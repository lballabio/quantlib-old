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5875" windowHeight="11310" firstSheet="50" activeTab="59"/>
  </bookViews>
  <sheets>
    <sheet name="General Settings" sheetId="56" r:id="rId1"/>
    <sheet name="USD" sheetId="4" r:id="rId2"/>
    <sheet name="RelinkableHandles" sheetId="5" r:id="rId3"/>
    <sheet name="Libor" sheetId="6" r:id="rId4"/>
    <sheet name="LiborSwapIsdaFixAm" sheetId="7" r:id="rId5"/>
    <sheet name="LiborSwapIsdaFixPm" sheetId="8" r:id="rId6"/>
    <sheet name="LiborSwapForBasisCalc" sheetId="9" r:id="rId7"/>
    <sheet name="UsdLibor" sheetId="10" r:id="rId8"/>
    <sheet name="BasisSwap1MxM" sheetId="11" r:id="rId9"/>
    <sheet name="BasisSwap3M6M" sheetId="12" r:id="rId10"/>
    <sheet name="BasisSwapxM12M" sheetId="13" r:id="rId11"/>
    <sheet name="USD_010_BasisSwapQuotes" sheetId="14" r:id="rId12"/>
    <sheet name="Deposits" sheetId="15" r:id="rId13"/>
    <sheet name="FRA" sheetId="16" r:id="rId14"/>
    <sheet name="Futures1M" sheetId="17" r:id="rId15"/>
    <sheet name="Futures3M" sheetId="18" r:id="rId16"/>
    <sheet name="ImmFra6M " sheetId="19" r:id="rId17"/>
    <sheet name="FuturesHWConvAdj" sheetId="20" r:id="rId18"/>
    <sheet name="USD_010_DepoFRAFuturesQuotes" sheetId="21" r:id="rId19"/>
    <sheet name="OIS" sheetId="22" r:id="rId20"/>
    <sheet name="Swaps1M" sheetId="23" r:id="rId21"/>
    <sheet name="SwapsIMMDated" sheetId="24" r:id="rId22"/>
    <sheet name="Swap3M" sheetId="25" r:id="rId23"/>
    <sheet name="Swap6M" sheetId="26" r:id="rId24"/>
    <sheet name="USD_010_SwapQuotes" sheetId="27" r:id="rId25"/>
    <sheet name="ON" sheetId="28" r:id="rId26"/>
    <sheet name="1M" sheetId="29" r:id="rId27"/>
    <sheet name="3M" sheetId="30" r:id="rId28"/>
    <sheet name="6M" sheetId="31" r:id="rId29"/>
    <sheet name="1Y" sheetId="32" r:id="rId30"/>
    <sheet name="USD_015_SyntheticQuotes" sheetId="33" r:id="rId31"/>
    <sheet name="1M (2)" sheetId="34" r:id="rId32"/>
    <sheet name="3M (2)" sheetId="35" r:id="rId33"/>
    <sheet name="6M (2)" sheetId="36" r:id="rId34"/>
    <sheet name="1Y (2)" sheetId="37" r:id="rId35"/>
    <sheet name="USD_020_ForwardSwapQuotes" sheetId="38" r:id="rId36"/>
    <sheet name="1M (3)" sheetId="39" r:id="rId37"/>
    <sheet name="3M (3)" sheetId="40" r:id="rId38"/>
    <sheet name="USD_020_FuturesConvAdjQuotes" sheetId="41" r:id="rId39"/>
    <sheet name="Deposits (2)" sheetId="42" r:id="rId40"/>
    <sheet name="FRA (2)" sheetId="43" r:id="rId41"/>
    <sheet name="Futures1M (2)" sheetId="44" r:id="rId42"/>
    <sheet name="Futures3M (2)" sheetId="45" r:id="rId43"/>
    <sheet name="FuturesConvexityAdjustment" sheetId="46" r:id="rId44"/>
    <sheet name="Swap1M" sheetId="47" r:id="rId45"/>
    <sheet name="SwapIMMDated" sheetId="48" r:id="rId46"/>
    <sheet name="Swap3M (2)" sheetId="49" r:id="rId47"/>
    <sheet name="Swap6M (2)" sheetId="50" r:id="rId48"/>
    <sheet name="BasisSwap1MXM (2)" sheetId="51" r:id="rId49"/>
    <sheet name="BasisSwap3M6M (2)" sheetId="52" r:id="rId50"/>
    <sheet name="BasisSwapXM12M (2)" sheetId="53" r:id="rId51"/>
    <sheet name="EONIAOIS" sheetId="54" r:id="rId52"/>
    <sheet name="FwdEONIAOIS" sheetId="55" r:id="rId53"/>
    <sheet name="LIBOR (2)" sheetId="57" r:id="rId54"/>
    <sheet name="SFIX1" sheetId="58" r:id="rId55"/>
    <sheet name="SFIX2" sheetId="59" r:id="rId56"/>
    <sheet name="SFIX3" sheetId="60" r:id="rId57"/>
    <sheet name="IB365" sheetId="61" r:id="rId58"/>
    <sheet name="IBOR" sheetId="62" r:id="rId59"/>
    <sheet name="USD_MMIndicesAddLastFixing" sheetId="63" r:id="rId60"/>
  </sheets>
  <externalReferences>
    <externalReference r:id="rId61"/>
  </externalReferences>
  <definedNames>
    <definedName name="Contributor" localSheetId="48">'BasisSwap1MXM (2)'!$F$2</definedName>
    <definedName name="Contributor" localSheetId="49">'BasisSwap3M6M (2)'!$F$2</definedName>
    <definedName name="Contributor" localSheetId="50">'BasisSwapXM12M (2)'!$F$2</definedName>
    <definedName name="Contributor" localSheetId="39">'Deposits (2)'!$C$2</definedName>
    <definedName name="Contributor" localSheetId="51">EONIAOIS!$F$2</definedName>
    <definedName name="Contributor" localSheetId="40">'FRA (2)'!$F$2</definedName>
    <definedName name="Contributor" localSheetId="43">FuturesConvexityAdjustment!$B$2</definedName>
    <definedName name="Contributor" localSheetId="52">FwdEONIAOIS!$F$2</definedName>
    <definedName name="Contributor" localSheetId="44">Swap1M!$F$2</definedName>
    <definedName name="Contributor" localSheetId="46">'Swap3M (2)'!$F$2</definedName>
    <definedName name="Contributor" localSheetId="47">'Swap6M (2)'!$F$2</definedName>
    <definedName name="Contributor" localSheetId="45">SwapIMMDated!$F$2</definedName>
    <definedName name="Contributor">'Swap3M (2)'!$F$2</definedName>
    <definedName name="Contributors" localSheetId="39">'Deposits (2)'!$M$5:$M$13</definedName>
    <definedName name="Contributors">'General Settings'!$C$11:$C$17</definedName>
    <definedName name="ContributorTable" localSheetId="39">'Deposits (2)'!$M$5:$Q$13</definedName>
    <definedName name="ContributorTable">'General Settings'!$C$11:$D$17</definedName>
    <definedName name="Conventions" localSheetId="48">'BasisSwap1MXM (2)'!$T$5:$V$9</definedName>
    <definedName name="Conventions" localSheetId="49">'BasisSwap3M6M (2)'!$T$5:$V$9</definedName>
    <definedName name="Conventions" localSheetId="50">'BasisSwapXM12M (2)'!$T$5:$V$9</definedName>
    <definedName name="Conventions" localSheetId="46">'Swap3M (2)'!$T$5:$V$9</definedName>
    <definedName name="Conventions" localSheetId="47">'Swap6M (2)'!$T$5:$V$9</definedName>
    <definedName name="Counter" localSheetId="48">'BasisSwap1MXM (2)'!$Q$3</definedName>
    <definedName name="Counter" localSheetId="49">'BasisSwap3M6M (2)'!$Q$3</definedName>
    <definedName name="Counter" localSheetId="50">'BasisSwapXM12M (2)'!$Q$3</definedName>
    <definedName name="Counter" localSheetId="39">'Deposits (2)'!$J$3</definedName>
    <definedName name="Counter" localSheetId="51">EONIAOIS!$Q$3</definedName>
    <definedName name="Counter" localSheetId="40">'FRA (2)'!$Q$3</definedName>
    <definedName name="Counter" localSheetId="41">'Futures1M (2)'!$R$4</definedName>
    <definedName name="Counter" localSheetId="42">'Futures3M (2)'!$R$4</definedName>
    <definedName name="Counter" localSheetId="43">FuturesConvexityAdjustment!$L$3</definedName>
    <definedName name="Counter" localSheetId="52">FwdEONIAOIS!$Q$3</definedName>
    <definedName name="Counter" localSheetId="44">Swap1M!$Q$3</definedName>
    <definedName name="Counter" localSheetId="46">'Swap3M (2)'!$Q$3</definedName>
    <definedName name="Counter" localSheetId="47">'Swap6M (2)'!$Q$3</definedName>
    <definedName name="Counter" localSheetId="45">SwapIMMDated!$Q$3</definedName>
    <definedName name="Counter">'Futures1M (2)'!$R$4</definedName>
    <definedName name="Currency" localSheetId="26">USD_015_SyntheticQuotes!$D$14</definedName>
    <definedName name="Currency" localSheetId="31">USD_020_ForwardSwapQuotes!$D$14</definedName>
    <definedName name="Currency" localSheetId="36">USD_020_FuturesConvAdjQuotes!$D$14</definedName>
    <definedName name="Currency" localSheetId="29">USD_015_SyntheticQuotes!$D$14</definedName>
    <definedName name="Currency" localSheetId="34">USD_020_ForwardSwapQuotes!$D$14</definedName>
    <definedName name="Currency" localSheetId="27">USD_015_SyntheticQuotes!$D$14</definedName>
    <definedName name="Currency" localSheetId="32">USD_020_ForwardSwapQuotes!$D$14</definedName>
    <definedName name="Currency" localSheetId="37">USD_020_FuturesConvAdjQuotes!$D$14</definedName>
    <definedName name="Currency" localSheetId="28">USD_015_SyntheticQuotes!$D$14</definedName>
    <definedName name="Currency" localSheetId="33">USD_020_ForwardSwapQuotes!$D$14</definedName>
    <definedName name="Currency" localSheetId="8">USD_010_BasisSwapQuotes!$D$14</definedName>
    <definedName name="Currency" localSheetId="48">'General Settings'!$D$4</definedName>
    <definedName name="Currency" localSheetId="9">USD_010_BasisSwapQuotes!$D$14</definedName>
    <definedName name="Currency" localSheetId="49">'General Settings'!$D$4</definedName>
    <definedName name="Currency" localSheetId="10">USD_010_BasisSwapQuotes!$D$14</definedName>
    <definedName name="Currency" localSheetId="50">'General Settings'!$D$4</definedName>
    <definedName name="Currency" localSheetId="12">USD_010_DepoFRAFuturesQuotes!$D$14</definedName>
    <definedName name="Currency" localSheetId="39">'General Settings'!$D$4</definedName>
    <definedName name="Currency" localSheetId="51">'General Settings'!$D$4</definedName>
    <definedName name="Currency" localSheetId="13">USD_010_DepoFRAFuturesQuotes!$D$14</definedName>
    <definedName name="Currency" localSheetId="40">'General Settings'!$D$4</definedName>
    <definedName name="Currency" localSheetId="14">USD_010_DepoFRAFuturesQuotes!$D$14</definedName>
    <definedName name="Currency" localSheetId="41">'General Settings'!$D$4</definedName>
    <definedName name="Currency" localSheetId="15">USD_010_DepoFRAFuturesQuotes!$D$14</definedName>
    <definedName name="Currency" localSheetId="42">'General Settings'!$D$4</definedName>
    <definedName name="Currency" localSheetId="43">'General Settings'!$D$4</definedName>
    <definedName name="Currency" localSheetId="17">USD_010_DepoFRAFuturesQuotes!$D$14</definedName>
    <definedName name="Currency" localSheetId="52">'General Settings'!$D$4</definedName>
    <definedName name="Currency" localSheetId="0">'General Settings'!$D$4</definedName>
    <definedName name="Currency" localSheetId="57">USD_MMIndicesAddLastFixing!$D$4</definedName>
    <definedName name="Currency" localSheetId="58">USD_MMIndicesAddLastFixing!$D$4</definedName>
    <definedName name="Currency" localSheetId="16">USD_010_DepoFRAFuturesQuotes!$D$14</definedName>
    <definedName name="Currency" localSheetId="53">USD_MMIndicesAddLastFixing!$D$4</definedName>
    <definedName name="Currency" localSheetId="19">USD_010_SwapQuotes!$D$14</definedName>
    <definedName name="Currency" localSheetId="25">USD_015_SyntheticQuotes!$D$14</definedName>
    <definedName name="Currency" localSheetId="54">USD_MMIndicesAddLastFixing!$D$4</definedName>
    <definedName name="Currency" localSheetId="55">USD_MMIndicesAddLastFixing!$D$4</definedName>
    <definedName name="Currency" localSheetId="56">USD_MMIndicesAddLastFixing!$D$4</definedName>
    <definedName name="Currency" localSheetId="44">'General Settings'!$D$4</definedName>
    <definedName name="Currency" localSheetId="22">USD_010_SwapQuotes!$D$14</definedName>
    <definedName name="Currency" localSheetId="46">'General Settings'!$D$4</definedName>
    <definedName name="Currency" localSheetId="23">USD_010_SwapQuotes!$D$14</definedName>
    <definedName name="Currency" localSheetId="47">'General Settings'!$D$4</definedName>
    <definedName name="Currency" localSheetId="45">'General Settings'!$D$4</definedName>
    <definedName name="Currency" localSheetId="20">USD_010_SwapQuotes!$D$14</definedName>
    <definedName name="Currency" localSheetId="21">USD_010_SwapQuotes!$D$14</definedName>
    <definedName name="Currency" localSheetId="1">USD!$E$3</definedName>
    <definedName name="Currency" localSheetId="11">USD_010_BasisSwapQuotes!$D$14</definedName>
    <definedName name="Currency" localSheetId="18">USD_010_DepoFRAFuturesQuotes!$D$14</definedName>
    <definedName name="Currency" localSheetId="24">USD_010_SwapQuotes!$D$14</definedName>
    <definedName name="Currency" localSheetId="30">USD_015_SyntheticQuotes!$D$14</definedName>
    <definedName name="Currency" localSheetId="35">USD_020_ForwardSwapQuotes!$D$14</definedName>
    <definedName name="Currency" localSheetId="38">USD_020_FuturesConvAdjQuotes!$D$14</definedName>
    <definedName name="Currency" localSheetId="59">USD_MMIndicesAddLastFixing!$D$4</definedName>
    <definedName name="Currency">UsdLibor!$D$5</definedName>
    <definedName name="Discounting">UsdLibor!$D$11</definedName>
    <definedName name="Discounting2">UsdLibor!$D$12</definedName>
    <definedName name="EvaluationDate">USD_MMIndicesAddLastFixing!$D$5</definedName>
    <definedName name="FamilyName" localSheetId="36">USD_020_FuturesConvAdjQuotes!$D$15</definedName>
    <definedName name="FamilyName" localSheetId="37">USD_020_FuturesConvAdjQuotes!$D$15</definedName>
    <definedName name="FamilyName" localSheetId="3">Libor!$F$3</definedName>
    <definedName name="FamilyName" localSheetId="6">LiborSwapForBasisCalc!$F$3</definedName>
    <definedName name="FamilyName" localSheetId="4">LiborSwapIsdaFixAm!$F$3</definedName>
    <definedName name="FamilyName" localSheetId="5">LiborSwapIsdaFixPm!$F$3</definedName>
    <definedName name="FamilyName" localSheetId="38">USD_020_FuturesConvAdjQuotes!$D$15</definedName>
    <definedName name="FamilyName">USD_020_ForwardSwapQuotes!$D$15</definedName>
    <definedName name="FileName" localSheetId="3">Libor!$E$5</definedName>
    <definedName name="FileName" localSheetId="6">LiborSwapForBasisCalc!$E$9</definedName>
    <definedName name="FileName" localSheetId="4">LiborSwapIsdaFixAm!$E$6</definedName>
    <definedName name="FileName" localSheetId="5">LiborSwapIsdaFixPm!$E$6</definedName>
    <definedName name="FileOverwrite" localSheetId="26">USD_015_SyntheticQuotes!$D$9</definedName>
    <definedName name="FileOverwrite" localSheetId="31">USD_020_ForwardSwapQuotes!$D$9</definedName>
    <definedName name="FileOverwrite" localSheetId="36">USD_020_FuturesConvAdjQuotes!$D$9</definedName>
    <definedName name="FileOverwrite" localSheetId="29">USD_015_SyntheticQuotes!$D$9</definedName>
    <definedName name="FileOverwrite" localSheetId="34">USD_020_ForwardSwapQuotes!$D$9</definedName>
    <definedName name="FileOverwrite" localSheetId="27">USD_015_SyntheticQuotes!$D$9</definedName>
    <definedName name="FileOverwrite" localSheetId="32">USD_020_ForwardSwapQuotes!$D$9</definedName>
    <definedName name="FileOverwrite" localSheetId="37">USD_020_FuturesConvAdjQuotes!$D$9</definedName>
    <definedName name="FileOverwrite" localSheetId="28">USD_015_SyntheticQuotes!$D$9</definedName>
    <definedName name="FileOverwrite" localSheetId="33">USD_020_ForwardSwapQuotes!$D$9</definedName>
    <definedName name="FileOverwrite" localSheetId="8">USD_010_BasisSwapQuotes!$D$9</definedName>
    <definedName name="FileOverwrite" localSheetId="9">USD_010_BasisSwapQuotes!$D$9</definedName>
    <definedName name="FileOverwrite" localSheetId="10">USD_010_BasisSwapQuotes!$D$9</definedName>
    <definedName name="FileOverwrite" localSheetId="12">USD_010_DepoFRAFuturesQuotes!$D$9</definedName>
    <definedName name="FileOverwrite" localSheetId="13">USD_010_DepoFRAFuturesQuotes!$D$9</definedName>
    <definedName name="FileOverwrite" localSheetId="14">USD_010_DepoFRAFuturesQuotes!$D$9</definedName>
    <definedName name="FileOverwrite" localSheetId="15">USD_010_DepoFRAFuturesQuotes!$D$9</definedName>
    <definedName name="FileOverwrite" localSheetId="17">USD_010_DepoFRAFuturesQuotes!$D$9</definedName>
    <definedName name="FileOverwrite" localSheetId="16">USD_010_DepoFRAFuturesQuotes!$D$9</definedName>
    <definedName name="FileOverwrite" localSheetId="3">UsdLibor!$D$10</definedName>
    <definedName name="FileOverwrite" localSheetId="6">UsdLibor!$D$10</definedName>
    <definedName name="FileOverwrite" localSheetId="4">UsdLibor!$D$10</definedName>
    <definedName name="FileOverwrite" localSheetId="5">UsdLibor!$D$10</definedName>
    <definedName name="FileOverwrite" localSheetId="19">USD_010_SwapQuotes!$D$9</definedName>
    <definedName name="FileOverwrite" localSheetId="25">USD_015_SyntheticQuotes!$D$9</definedName>
    <definedName name="FileOverwrite" localSheetId="22">USD_010_SwapQuotes!$D$9</definedName>
    <definedName name="FileOverwrite" localSheetId="23">USD_010_SwapQuotes!$D$9</definedName>
    <definedName name="FileOverwrite" localSheetId="20">USD_010_SwapQuotes!$D$9</definedName>
    <definedName name="FileOverwrite" localSheetId="21">USD_010_SwapQuotes!$D$9</definedName>
    <definedName name="FileOverwrite" localSheetId="11">USD_010_BasisSwapQuotes!$D$9</definedName>
    <definedName name="FileOverwrite" localSheetId="18">USD_010_DepoFRAFuturesQuotes!$D$9</definedName>
    <definedName name="FileOverwrite" localSheetId="24">USD_010_SwapQuotes!$D$9</definedName>
    <definedName name="FileOverwrite" localSheetId="30">USD_015_SyntheticQuotes!$D$9</definedName>
    <definedName name="FileOverwrite" localSheetId="35">USD_020_ForwardSwapQuotes!$D$9</definedName>
    <definedName name="FileOverwrite" localSheetId="38">USD_020_FuturesConvAdjQuotes!$D$9</definedName>
    <definedName name="FileOverwrite" localSheetId="7">UsdLibor!$D$10</definedName>
    <definedName name="FileOverwrite">RelinkableHandles!$D$9</definedName>
    <definedName name="FixingType" localSheetId="6">LiborSwapForBasisCalc!$F$4</definedName>
    <definedName name="FixingType" localSheetId="4">LiborSwapIsdaFixAm!$F$4</definedName>
    <definedName name="FixingType" localSheetId="5">LiborSwapIsdaFixPm!$F$4</definedName>
    <definedName name="FixingType">USD_020_ForwardSwapQuotes!$D$16</definedName>
    <definedName name="FuturesCodes" localSheetId="41">'Futures1M (2)'!$D$6:$D$17</definedName>
    <definedName name="FuturesCodes" localSheetId="42">'Futures3M (2)'!$D$6:$D$47</definedName>
    <definedName name="FuturesDates" localSheetId="41">'Futures1M (2)'!$E$6:$E$17</definedName>
    <definedName name="FuturesDates" localSheetId="42">'Futures3M (2)'!$E$6:$E$47</definedName>
    <definedName name="GENERAL_SETTINGS" localSheetId="59">USD_MMIndicesAddLastFixing!$B$2</definedName>
    <definedName name="GENERAL_SETTINGS">'General Settings'!$B$2</definedName>
    <definedName name="IborIndex" localSheetId="36">'1M (3)'!$F$4</definedName>
    <definedName name="IborIndex" localSheetId="37">'3M (3)'!$F$4</definedName>
    <definedName name="Instruments" localSheetId="48">'BasisSwap1MXM (2)'!$E$5:$E$42</definedName>
    <definedName name="Instruments" localSheetId="49">'BasisSwap3M6M (2)'!$E$5:$E$42</definedName>
    <definedName name="Instruments" localSheetId="50">'BasisSwapXM12M (2)'!$E$5:$E$42</definedName>
    <definedName name="Instruments" localSheetId="39">'Deposits (2)'!$B$5:$B$22</definedName>
    <definedName name="Instruments" localSheetId="51">EONIAOIS!$E$5:$E$58</definedName>
    <definedName name="Instruments" localSheetId="40">'FRA (2)'!$E$5:$E$19</definedName>
    <definedName name="Instruments" localSheetId="41">'Futures1M (2)'!$F$6:$F$17</definedName>
    <definedName name="Instruments" localSheetId="52">FwdEONIAOIS!$E$5:$E$10</definedName>
    <definedName name="Instruments" localSheetId="44">Swap1M!$E$5:$E$18</definedName>
    <definedName name="Instruments" localSheetId="46">'Swap3M (2)'!$E$5:$E$42</definedName>
    <definedName name="Instruments" localSheetId="47">'Swap6M (2)'!$E$5:$E$42</definedName>
    <definedName name="Instruments" localSheetId="45">SwapIMMDated!$E$5:$E$11</definedName>
    <definedName name="InterpolationType">'General Settings'!$D$8</definedName>
    <definedName name="LastUpdate">'General Settings'!$E$20</definedName>
    <definedName name="LiffeCodes" localSheetId="41">'Futures1M (2)'!$U$6:$V$10</definedName>
    <definedName name="LiffeCodes" localSheetId="42">'Futures3M (2)'!$U$6:$V$10</definedName>
    <definedName name="LiveDataFeed">'General Settings'!$E$23</definedName>
    <definedName name="MainTenor">USD_010_BasisSwapQuotes!#REF!</definedName>
    <definedName name="MarketTickCounter">'General Settings'!#REF!</definedName>
    <definedName name="MeanReversion" localSheetId="36">'1M (3)'!$F$3</definedName>
    <definedName name="MeanReversion" localSheetId="37">'3M (3)'!$F$3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 localSheetId="26">USD_015_SyntheticQuotes!$D$6</definedName>
    <definedName name="ObjectOverwrite" localSheetId="31">USD_020_ForwardSwapQuotes!$D$6</definedName>
    <definedName name="ObjectOverwrite" localSheetId="36">USD_020_FuturesConvAdjQuotes!$D$6</definedName>
    <definedName name="ObjectOverwrite" localSheetId="29">USD_015_SyntheticQuotes!$D$6</definedName>
    <definedName name="ObjectOverwrite" localSheetId="34">USD_020_ForwardSwapQuotes!$D$6</definedName>
    <definedName name="ObjectOverwrite" localSheetId="27">USD_015_SyntheticQuotes!$D$6</definedName>
    <definedName name="ObjectOverwrite" localSheetId="32">USD_020_ForwardSwapQuotes!$D$6</definedName>
    <definedName name="ObjectOverwrite" localSheetId="37">USD_020_FuturesConvAdjQuotes!$D$6</definedName>
    <definedName name="ObjectOverwrite" localSheetId="28">USD_015_SyntheticQuotes!$D$6</definedName>
    <definedName name="ObjectOverwrite" localSheetId="33">USD_020_ForwardSwapQuotes!$D$6</definedName>
    <definedName name="ObjectOverwrite" localSheetId="8">USD_010_BasisSwapQuotes!$D$6</definedName>
    <definedName name="ObjectOverwrite" localSheetId="9">USD_010_BasisSwapQuotes!$D$6</definedName>
    <definedName name="ObjectOverwrite" localSheetId="10">USD_010_BasisSwapQuotes!$D$6</definedName>
    <definedName name="ObjectOverwrite" localSheetId="12">USD_010_DepoFRAFuturesQuotes!$D$6</definedName>
    <definedName name="ObjectOverwrite" localSheetId="13">USD_010_DepoFRAFuturesQuotes!$D$6</definedName>
    <definedName name="ObjectOverwrite" localSheetId="14">USD_010_DepoFRAFuturesQuotes!$D$6</definedName>
    <definedName name="ObjectOverwrite" localSheetId="15">USD_010_DepoFRAFuturesQuotes!$D$6</definedName>
    <definedName name="ObjectOverwrite" localSheetId="17">USD_010_DepoFRAFuturesQuotes!$D$6</definedName>
    <definedName name="ObjectOverwrite" localSheetId="16">USD_010_DepoFRAFuturesQuotes!$D$6</definedName>
    <definedName name="ObjectOverwrite" localSheetId="3">UsdLibor!$D$7</definedName>
    <definedName name="ObjectOverwrite" localSheetId="6">UsdLibor!$D$7</definedName>
    <definedName name="ObjectOverwrite" localSheetId="4">UsdLibor!$D$7</definedName>
    <definedName name="ObjectOverwrite" localSheetId="5">UsdLibor!$D$7</definedName>
    <definedName name="ObjectOverwrite" localSheetId="19">USD_010_SwapQuotes!$D$6</definedName>
    <definedName name="ObjectOverwrite" localSheetId="25">USD_015_SyntheticQuotes!$D$6</definedName>
    <definedName name="ObjectOverwrite" localSheetId="22">USD_010_SwapQuotes!$D$6</definedName>
    <definedName name="ObjectOverwrite" localSheetId="23">USD_010_SwapQuotes!$D$6</definedName>
    <definedName name="ObjectOverwrite" localSheetId="20">USD_010_SwapQuotes!$D$6</definedName>
    <definedName name="ObjectOverwrite" localSheetId="21">USD_010_SwapQuotes!$D$6</definedName>
    <definedName name="ObjectOverwrite" localSheetId="11">USD_010_BasisSwapQuotes!$D$6</definedName>
    <definedName name="ObjectOverwrite" localSheetId="18">USD_010_DepoFRAFuturesQuotes!$D$6</definedName>
    <definedName name="ObjectOverwrite" localSheetId="24">USD_010_SwapQuotes!$D$6</definedName>
    <definedName name="ObjectOverwrite" localSheetId="30">USD_015_SyntheticQuotes!$D$6</definedName>
    <definedName name="ObjectOverwrite" localSheetId="35">USD_020_ForwardSwapQuotes!$D$6</definedName>
    <definedName name="ObjectOverwrite" localSheetId="38">USD_020_FuturesConvAdjQuotes!$D$6</definedName>
    <definedName name="ObjectOverwrite" localSheetId="7">UsdLibor!$D$7</definedName>
    <definedName name="ObjectOverwrite">RelinkableHandles!$D$6</definedName>
    <definedName name="Permanent" localSheetId="26">USD_015_SyntheticQuotes!$D$5</definedName>
    <definedName name="Permanent" localSheetId="31">USD_020_ForwardSwapQuotes!$D$5</definedName>
    <definedName name="Permanent" localSheetId="36">USD_020_FuturesConvAdjQuotes!$D$5</definedName>
    <definedName name="Permanent" localSheetId="29">USD_015_SyntheticQuotes!$D$5</definedName>
    <definedName name="Permanent" localSheetId="34">USD_020_ForwardSwapQuotes!$D$5</definedName>
    <definedName name="Permanent" localSheetId="27">USD_015_SyntheticQuotes!$D$5</definedName>
    <definedName name="Permanent" localSheetId="32">USD_020_ForwardSwapQuotes!$D$5</definedName>
    <definedName name="Permanent" localSheetId="37">USD_020_FuturesConvAdjQuotes!$D$5</definedName>
    <definedName name="Permanent" localSheetId="28">USD_015_SyntheticQuotes!$D$5</definedName>
    <definedName name="Permanent" localSheetId="33">USD_020_ForwardSwapQuotes!$D$5</definedName>
    <definedName name="Permanent" localSheetId="8">USD_010_BasisSwapQuotes!$D$5</definedName>
    <definedName name="Permanent" localSheetId="9">USD_010_BasisSwapQuotes!$D$5</definedName>
    <definedName name="Permanent" localSheetId="10">USD_010_BasisSwapQuotes!$D$5</definedName>
    <definedName name="Permanent" localSheetId="12">USD_010_DepoFRAFuturesQuotes!$D$5</definedName>
    <definedName name="Permanent" localSheetId="13">USD_010_DepoFRAFuturesQuotes!$D$5</definedName>
    <definedName name="Permanent" localSheetId="14">USD_010_DepoFRAFuturesQuotes!$D$5</definedName>
    <definedName name="Permanent" localSheetId="15">USD_010_DepoFRAFuturesQuotes!$D$5</definedName>
    <definedName name="Permanent" localSheetId="17">USD_010_DepoFRAFuturesQuotes!$D$5</definedName>
    <definedName name="Permanent" localSheetId="16">USD_010_DepoFRAFuturesQuotes!$D$5</definedName>
    <definedName name="Permanent" localSheetId="3">UsdLibor!$D$6</definedName>
    <definedName name="Permanent" localSheetId="6">UsdLibor!$D$6</definedName>
    <definedName name="Permanent" localSheetId="4">UsdLibor!$D$6</definedName>
    <definedName name="Permanent" localSheetId="5">UsdLibor!$D$6</definedName>
    <definedName name="Permanent" localSheetId="19">USD_010_SwapQuotes!$D$5</definedName>
    <definedName name="Permanent" localSheetId="25">USD_015_SyntheticQuotes!$D$5</definedName>
    <definedName name="Permanent" localSheetId="22">USD_010_SwapQuotes!$D$5</definedName>
    <definedName name="Permanent" localSheetId="23">USD_010_SwapQuotes!$D$5</definedName>
    <definedName name="Permanent" localSheetId="20">USD_010_SwapQuotes!$D$5</definedName>
    <definedName name="Permanent" localSheetId="21">USD_010_SwapQuotes!$D$5</definedName>
    <definedName name="Permanent" localSheetId="11">USD_010_BasisSwapQuotes!$D$5</definedName>
    <definedName name="Permanent" localSheetId="18">USD_010_DepoFRAFuturesQuotes!$D$5</definedName>
    <definedName name="Permanent" localSheetId="24">USD_010_SwapQuotes!$D$5</definedName>
    <definedName name="Permanent" localSheetId="30">USD_015_SyntheticQuotes!$D$5</definedName>
    <definedName name="Permanent" localSheetId="35">USD_020_ForwardSwapQuotes!$D$5</definedName>
    <definedName name="Permanent" localSheetId="38">USD_020_FuturesConvAdjQuotes!$D$5</definedName>
    <definedName name="Permanent" localSheetId="7">UsdLibor!$D$6</definedName>
    <definedName name="Permanent">RelinkableHandles!$D$5</definedName>
    <definedName name="PriceTickValue" localSheetId="12">USD_010_DepoFRAFuturesQuotes!$D$17</definedName>
    <definedName name="PriceTickValue" localSheetId="13">USD_010_DepoFRAFuturesQuotes!$D$17</definedName>
    <definedName name="PriceTickValue" localSheetId="14">USD_010_DepoFRAFuturesQuotes!$D$17</definedName>
    <definedName name="PriceTickValue" localSheetId="15">USD_010_DepoFRAFuturesQuotes!$D$17</definedName>
    <definedName name="PriceTickValue" localSheetId="17">USD_010_DepoFRAFuturesQuotes!$D$17</definedName>
    <definedName name="PriceTickValue" localSheetId="16">USD_010_DepoFRAFuturesQuotes!$D$17</definedName>
    <definedName name="PriceTickValue" localSheetId="18">USD_010_DepoFRAFuturesQuotes!$D$17</definedName>
    <definedName name="PriceTickValue" localSheetId="24">USD_010_SwapQuotes!$D$17</definedName>
    <definedName name="PriceTickValue" localSheetId="35">USD_020_ForwardSwapQuotes!$D$19</definedName>
    <definedName name="PriceTickValue" localSheetId="38">USD_020_FuturesConvAdjQuotes!$D$18</definedName>
    <definedName name="PriceTickValue">USD_010_BasisSwapQuotes!$D$17</definedName>
    <definedName name="Quote" localSheetId="48">'BasisSwap1MXM (2)'!$P$5:$P$42</definedName>
    <definedName name="Quote" localSheetId="49">'BasisSwap3M6M (2)'!$P$5:$P$42</definedName>
    <definedName name="Quote" localSheetId="50">'BasisSwapXM12M (2)'!$P$5:$P$42</definedName>
    <definedName name="Quote" localSheetId="39">'Deposits (2)'!$I$5:$I$22</definedName>
    <definedName name="Quote" localSheetId="51">EONIAOIS!$P$5:$P$58</definedName>
    <definedName name="Quote" localSheetId="40">'FRA (2)'!$P$5:$P$19</definedName>
    <definedName name="Quote" localSheetId="41">'Futures1M (2)'!$Q$6:$Q$17</definedName>
    <definedName name="Quote" localSheetId="42">'Futures3M (2)'!$Q$6:$Q$47</definedName>
    <definedName name="Quote" localSheetId="43">FuturesConvexityAdjustment!$K$5:$K$6</definedName>
    <definedName name="Quote" localSheetId="52">FwdEONIAOIS!$P$5:$P$10</definedName>
    <definedName name="Quote" localSheetId="44">Swap1M!$P$5:$P$18</definedName>
    <definedName name="Quote" localSheetId="46">'Swap3M (2)'!$P$5:$P$42</definedName>
    <definedName name="Quote" localSheetId="47">'Swap6M (2)'!$P$5:$P$42</definedName>
    <definedName name="Quote" localSheetId="45">SwapIMMDated!$P$5:$P$11</definedName>
    <definedName name="QuoteLive" localSheetId="48">'BasisSwap1MXM (2)'!$K$5:$K$42</definedName>
    <definedName name="QuoteLive" localSheetId="49">'BasisSwap3M6M (2)'!$K$5:$K$42</definedName>
    <definedName name="QuoteLive" localSheetId="50">'BasisSwapXM12M (2)'!$K$5:$K$42</definedName>
    <definedName name="QuoteLive" localSheetId="39">'Deposits (2)'!$D$5:$D$22</definedName>
    <definedName name="QuoteLive" localSheetId="51">EONIAOIS!$K$5:$K$58</definedName>
    <definedName name="QuoteLive" localSheetId="40">'FRA (2)'!$K$5:$K$19</definedName>
    <definedName name="QuoteLive" localSheetId="41">'Futures1M (2)'!$L$6:$L$17</definedName>
    <definedName name="QuoteLive" localSheetId="42">'Futures3M (2)'!$L$6:$L$47</definedName>
    <definedName name="QuoteLive" localSheetId="43">FuturesConvexityAdjustment!$F$5:$F$6</definedName>
    <definedName name="QuoteLive" localSheetId="52">FwdEONIAOIS!$K$5:$K$10</definedName>
    <definedName name="QuoteLive" localSheetId="44">Swap1M!$K$5:$K$18</definedName>
    <definedName name="QuoteLive" localSheetId="46">'Swap3M (2)'!$K$5:$K$42</definedName>
    <definedName name="QuoteLive" localSheetId="47">'Swap6M (2)'!$K$5:$K$42</definedName>
    <definedName name="QuoteLive" localSheetId="45">SwapIMMDated!$K$5:$K$11</definedName>
    <definedName name="QuoteStatic" localSheetId="48">'BasisSwap1MXM (2)'!$M$5:$M$42</definedName>
    <definedName name="QuoteStatic" localSheetId="49">'BasisSwap3M6M (2)'!$M$5:$M$42</definedName>
    <definedName name="QuoteStatic" localSheetId="50">'BasisSwapXM12M (2)'!$M$5:$M$42</definedName>
    <definedName name="QuoteStatic" localSheetId="39">'Deposits (2)'!$F$5:$F$18</definedName>
    <definedName name="QuoteStatic" localSheetId="51">EONIAOIS!$M$5:$M$58</definedName>
    <definedName name="QuoteStatic" localSheetId="40">'FRA (2)'!$M$5:$M$19</definedName>
    <definedName name="QuoteStatic" localSheetId="41">'Futures1M (2)'!$N$6:$N$17</definedName>
    <definedName name="QuoteStatic" localSheetId="42">'Futures3M (2)'!$N$6:$N$47</definedName>
    <definedName name="QuoteStatic" localSheetId="43">FuturesConvexityAdjustment!$H$5:$H$6</definedName>
    <definedName name="QuoteStatic" localSheetId="52">FwdEONIAOIS!$M$5:$M$10</definedName>
    <definedName name="QuoteStatic" localSheetId="44">Swap1M!$M$5:$M$18</definedName>
    <definedName name="QuoteStatic" localSheetId="46">'Swap3M (2)'!$M$5:$M$42</definedName>
    <definedName name="QuoteStatic" localSheetId="47">'Swap6M (2)'!$M$5:$M$42</definedName>
    <definedName name="QuoteStatic" localSheetId="45">SwapIMMDated!$M$5:$M$11</definedName>
    <definedName name="QuoteSuffix" localSheetId="26">USD_015_SyntheticQuotes!$D$15</definedName>
    <definedName name="QuoteSuffix" localSheetId="31">USD_020_ForwardSwapQuotes!$D$17</definedName>
    <definedName name="QuoteSuffix" localSheetId="36">USD_020_FuturesConvAdjQuotes!$D$16</definedName>
    <definedName name="QuoteSuffix" localSheetId="29">USD_015_SyntheticQuotes!$D$15</definedName>
    <definedName name="QuoteSuffix" localSheetId="34">USD_020_ForwardSwapQuotes!$D$17</definedName>
    <definedName name="QuoteSuffix" localSheetId="27">USD_015_SyntheticQuotes!$D$15</definedName>
    <definedName name="QuoteSuffix" localSheetId="32">USD_020_ForwardSwapQuotes!$D$17</definedName>
    <definedName name="QuoteSuffix" localSheetId="37">USD_020_FuturesConvAdjQuotes!$D$16</definedName>
    <definedName name="QuoteSuffix" localSheetId="28">USD_015_SyntheticQuotes!$D$15</definedName>
    <definedName name="QuoteSuffix" localSheetId="33">USD_020_ForwardSwapQuotes!$D$17</definedName>
    <definedName name="QuoteSuffix" localSheetId="12">USD_010_DepoFRAFuturesQuotes!$D$15</definedName>
    <definedName name="QuoteSuffix" localSheetId="13">USD_010_DepoFRAFuturesQuotes!$D$15</definedName>
    <definedName name="QuoteSuffix" localSheetId="14">USD_010_DepoFRAFuturesQuotes!$D$15</definedName>
    <definedName name="QuoteSuffix" localSheetId="15">USD_010_DepoFRAFuturesQuotes!$D$15</definedName>
    <definedName name="QuoteSuffix" localSheetId="17">USD_010_DepoFRAFuturesQuotes!$D$15</definedName>
    <definedName name="QuoteSuffix" localSheetId="16">USD_010_DepoFRAFuturesQuotes!$D$15</definedName>
    <definedName name="QuoteSuffix" localSheetId="19">USD_010_SwapQuotes!$D$15</definedName>
    <definedName name="QuoteSuffix" localSheetId="25">USD_015_SyntheticQuotes!$D$15</definedName>
    <definedName name="QuoteSuffix" localSheetId="22">USD_010_SwapQuotes!$D$15</definedName>
    <definedName name="QuoteSuffix" localSheetId="23">USD_010_SwapQuotes!$D$15</definedName>
    <definedName name="QuoteSuffix" localSheetId="20">USD_010_SwapQuotes!$D$15</definedName>
    <definedName name="QuoteSuffix" localSheetId="21">USD_010_SwapQuotes!$D$15</definedName>
    <definedName name="QuoteSuffix" localSheetId="18">USD_010_DepoFRAFuturesQuotes!$D$15</definedName>
    <definedName name="QuoteSuffix" localSheetId="24">USD_010_SwapQuotes!$D$15</definedName>
    <definedName name="QuoteSuffix" localSheetId="30">USD_015_SyntheticQuotes!$D$15</definedName>
    <definedName name="QuoteSuffix" localSheetId="35">USD_020_ForwardSwapQuotes!$D$17</definedName>
    <definedName name="QuoteSuffix" localSheetId="38">USD_020_FuturesConvAdjQuotes!$D$16</definedName>
    <definedName name="QuoteSuffix">USD_010_BasisSwapQuotes!$D$15</definedName>
    <definedName name="RateTickValue" localSheetId="26">USD_015_SyntheticQuotes!$D$16</definedName>
    <definedName name="RateTickValue" localSheetId="29">USD_015_SyntheticQuotes!$D$16</definedName>
    <definedName name="RateTickValue" localSheetId="27">USD_015_SyntheticQuotes!$D$16</definedName>
    <definedName name="RateTickValue" localSheetId="28">USD_015_SyntheticQuotes!$D$16</definedName>
    <definedName name="RateTickValue" localSheetId="12">USD_010_DepoFRAFuturesQuotes!$D$16</definedName>
    <definedName name="RateTickValue" localSheetId="13">USD_010_DepoFRAFuturesQuotes!$D$16</definedName>
    <definedName name="RateTickValue" localSheetId="14">USD_010_DepoFRAFuturesQuotes!$D$16</definedName>
    <definedName name="RateTickValue" localSheetId="15">USD_010_DepoFRAFuturesQuotes!$D$16</definedName>
    <definedName name="RateTickValue" localSheetId="17">USD_010_DepoFRAFuturesQuotes!$D$16</definedName>
    <definedName name="RateTickValue" localSheetId="16">USD_010_DepoFRAFuturesQuotes!$D$16</definedName>
    <definedName name="RateTickValue" localSheetId="19">USD_010_SwapQuotes!$D$16</definedName>
    <definedName name="RateTickValue" localSheetId="25">USD_015_SyntheticQuotes!$D$16</definedName>
    <definedName name="RateTickValue" localSheetId="22">USD_010_SwapQuotes!$D$16</definedName>
    <definedName name="RateTickValue" localSheetId="23">USD_010_SwapQuotes!$D$16</definedName>
    <definedName name="RateTickValue" localSheetId="20">USD_010_SwapQuotes!$D$16</definedName>
    <definedName name="RateTickValue" localSheetId="21">USD_010_SwapQuotes!$D$16</definedName>
    <definedName name="RateTickValue" localSheetId="18">USD_010_DepoFRAFuturesQuotes!$D$16</definedName>
    <definedName name="RateTickValue" localSheetId="24">USD_010_SwapQuotes!$D$16</definedName>
    <definedName name="RateTickValue" localSheetId="30">USD_015_SyntheticQuotes!$D$16</definedName>
    <definedName name="RateTickValue" localSheetId="35">USD_020_ForwardSwapQuotes!$D$18</definedName>
    <definedName name="RateTickValue" localSheetId="38">USD_020_FuturesConvAdjQuotes!$D$17</definedName>
    <definedName name="RateTickValue">USD_010_BasisSwapQuotes!$D$16</definedName>
    <definedName name="ReutersRtMode">'General Settings'!$D$6</definedName>
    <definedName name="SerializationPath" localSheetId="26">USD_015_SyntheticQuotes!$D$8</definedName>
    <definedName name="SerializationPath" localSheetId="31">USD_020_ForwardSwapQuotes!$D$8</definedName>
    <definedName name="SerializationPath" localSheetId="36">USD_020_FuturesConvAdjQuotes!$D$8</definedName>
    <definedName name="SerializationPath" localSheetId="29">USD_015_SyntheticQuotes!$D$8</definedName>
    <definedName name="SerializationPath" localSheetId="34">USD_020_ForwardSwapQuotes!$D$8</definedName>
    <definedName name="SerializationPath" localSheetId="27">USD_015_SyntheticQuotes!$D$8</definedName>
    <definedName name="SerializationPath" localSheetId="32">USD_020_ForwardSwapQuotes!$D$8</definedName>
    <definedName name="SerializationPath" localSheetId="37">USD_020_FuturesConvAdjQuotes!$D$8</definedName>
    <definedName name="SerializationPath" localSheetId="28">USD_015_SyntheticQuotes!$D$8</definedName>
    <definedName name="SerializationPath" localSheetId="33">USD_020_ForwardSwapQuotes!$D$8</definedName>
    <definedName name="SerializationPath" localSheetId="8">USD_010_BasisSwapQuotes!$D$8</definedName>
    <definedName name="SerializationPath" localSheetId="9">USD_010_BasisSwapQuotes!$D$8</definedName>
    <definedName name="SerializationPath" localSheetId="10">USD_010_BasisSwapQuotes!$D$8</definedName>
    <definedName name="SerializationPath" localSheetId="12">USD_010_DepoFRAFuturesQuotes!$D$8</definedName>
    <definedName name="SerializationPath" localSheetId="13">USD_010_DepoFRAFuturesQuotes!$D$8</definedName>
    <definedName name="SerializationPath" localSheetId="14">USD_010_DepoFRAFuturesQuotes!$D$8</definedName>
    <definedName name="SerializationPath" localSheetId="15">USD_010_DepoFRAFuturesQuotes!$D$8</definedName>
    <definedName name="SerializationPath" localSheetId="17">USD_010_DepoFRAFuturesQuotes!$D$8</definedName>
    <definedName name="SerializationPath" localSheetId="16">USD_010_DepoFRAFuturesQuotes!$D$8</definedName>
    <definedName name="SerializationPath" localSheetId="3">UsdLibor!$D$9</definedName>
    <definedName name="SerializationPath" localSheetId="6">UsdLibor!$D$9</definedName>
    <definedName name="SerializationPath" localSheetId="4">UsdLibor!$D$9</definedName>
    <definedName name="SerializationPath" localSheetId="5">UsdLibor!$D$9</definedName>
    <definedName name="SerializationPath" localSheetId="19">USD_010_SwapQuotes!$D$8</definedName>
    <definedName name="SerializationPath" localSheetId="25">USD_015_SyntheticQuotes!$D$8</definedName>
    <definedName name="SerializationPath" localSheetId="22">USD_010_SwapQuotes!$D$8</definedName>
    <definedName name="SerializationPath" localSheetId="23">USD_010_SwapQuotes!$D$8</definedName>
    <definedName name="SerializationPath" localSheetId="20">USD_010_SwapQuotes!$D$8</definedName>
    <definedName name="SerializationPath" localSheetId="21">USD_010_SwapQuotes!$D$8</definedName>
    <definedName name="SerializationPath" localSheetId="11">USD_010_BasisSwapQuotes!$D$8</definedName>
    <definedName name="SerializationPath" localSheetId="18">USD_010_DepoFRAFuturesQuotes!$D$8</definedName>
    <definedName name="SerializationPath" localSheetId="24">USD_010_SwapQuotes!$D$8</definedName>
    <definedName name="SerializationPath" localSheetId="30">USD_015_SyntheticQuotes!$D$8</definedName>
    <definedName name="SerializationPath" localSheetId="35">USD_020_ForwardSwapQuotes!$D$8</definedName>
    <definedName name="SerializationPath" localSheetId="38">USD_020_FuturesConvAdjQuotes!$D$8</definedName>
    <definedName name="SerializationPath" localSheetId="7">UsdLibor!$D$9</definedName>
    <definedName name="SerializationPath">RelinkableHandles!$D$8</definedName>
    <definedName name="Serialize" localSheetId="26">USD_015_SyntheticQuotes!$D$7</definedName>
    <definedName name="Serialize" localSheetId="31">USD_020_ForwardSwapQuotes!$D$7</definedName>
    <definedName name="Serialize" localSheetId="36">USD_020_FuturesConvAdjQuotes!$D$7</definedName>
    <definedName name="Serialize" localSheetId="29">USD_015_SyntheticQuotes!$D$7</definedName>
    <definedName name="Serialize" localSheetId="34">USD_020_ForwardSwapQuotes!$D$7</definedName>
    <definedName name="Serialize" localSheetId="27">USD_015_SyntheticQuotes!$D$7</definedName>
    <definedName name="Serialize" localSheetId="32">USD_020_ForwardSwapQuotes!$D$7</definedName>
    <definedName name="Serialize" localSheetId="37">USD_020_FuturesConvAdjQuotes!$D$7</definedName>
    <definedName name="Serialize" localSheetId="28">USD_015_SyntheticQuotes!$D$7</definedName>
    <definedName name="Serialize" localSheetId="33">USD_020_ForwardSwapQuotes!$D$7</definedName>
    <definedName name="Serialize" localSheetId="8">USD_010_BasisSwapQuotes!$D$7</definedName>
    <definedName name="Serialize" localSheetId="9">USD_010_BasisSwapQuotes!$D$7</definedName>
    <definedName name="Serialize" localSheetId="10">USD_010_BasisSwapQuotes!$D$7</definedName>
    <definedName name="Serialize" localSheetId="12">USD_010_DepoFRAFuturesQuotes!$D$7</definedName>
    <definedName name="Serialize" localSheetId="13">USD_010_DepoFRAFuturesQuotes!$D$7</definedName>
    <definedName name="Serialize" localSheetId="14">USD_010_DepoFRAFuturesQuotes!$D$7</definedName>
    <definedName name="Serialize" localSheetId="15">USD_010_DepoFRAFuturesQuotes!$D$7</definedName>
    <definedName name="Serialize" localSheetId="17">USD_010_DepoFRAFuturesQuotes!$D$7</definedName>
    <definedName name="Serialize" localSheetId="16">USD_010_DepoFRAFuturesQuotes!$D$7</definedName>
    <definedName name="Serialize" localSheetId="3">UsdLibor!$D$8</definedName>
    <definedName name="Serialize" localSheetId="6">UsdLibor!$D$8</definedName>
    <definedName name="Serialize" localSheetId="4">UsdLibor!$D$8</definedName>
    <definedName name="Serialize" localSheetId="5">UsdLibor!$D$8</definedName>
    <definedName name="Serialize" localSheetId="19">USD_010_SwapQuotes!$D$7</definedName>
    <definedName name="Serialize" localSheetId="25">USD_015_SyntheticQuotes!$D$7</definedName>
    <definedName name="Serialize" localSheetId="22">USD_010_SwapQuotes!$D$7</definedName>
    <definedName name="Serialize" localSheetId="23">USD_010_SwapQuotes!$D$7</definedName>
    <definedName name="Serialize" localSheetId="20">USD_010_SwapQuotes!$D$7</definedName>
    <definedName name="Serialize" localSheetId="21">USD_010_SwapQuotes!$D$7</definedName>
    <definedName name="Serialize" localSheetId="11">USD_010_BasisSwapQuotes!$D$7</definedName>
    <definedName name="Serialize" localSheetId="18">USD_010_DepoFRAFuturesQuotes!$D$7</definedName>
    <definedName name="Serialize" localSheetId="24">USD_010_SwapQuotes!$D$7</definedName>
    <definedName name="Serialize" localSheetId="30">USD_015_SyntheticQuotes!$D$7</definedName>
    <definedName name="Serialize" localSheetId="35">USD_020_ForwardSwapQuotes!$D$7</definedName>
    <definedName name="Serialize" localSheetId="38">USD_020_FuturesConvAdjQuotes!$D$7</definedName>
    <definedName name="Serialize" localSheetId="7">UsdLibor!$D$8</definedName>
    <definedName name="Serialize">RelinkableHandles!$D$7</definedName>
    <definedName name="Swap3M4Y">'Swap3M (2)'!$P$12</definedName>
    <definedName name="Swap6M4Y">'Swap6M (2)'!$P$12</definedName>
    <definedName name="SwapMainSetConventions">Swap3M!$J$3:$L$7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57">'IB365'!$C$24:$E$30</definedName>
    <definedName name="Traits" localSheetId="58">IBOR!$C$24:$E$30</definedName>
    <definedName name="Traits" localSheetId="53">'LIBOR (2)'!$C$24:$E$30</definedName>
    <definedName name="Traits" localSheetId="54">SFIX1!$C$21:$E$27</definedName>
    <definedName name="Traits" localSheetId="55">SFIX2!$C$21:$E$27</definedName>
    <definedName name="Traits" localSheetId="56">SFIX3!$C$21:$E$27</definedName>
    <definedName name="Trigger" localSheetId="26">USD_015_SyntheticQuotes!$D$4</definedName>
    <definedName name="Trigger" localSheetId="31">USD_020_ForwardSwapQuotes!$D$4</definedName>
    <definedName name="Trigger" localSheetId="36">USD_020_FuturesConvAdjQuotes!$D$4</definedName>
    <definedName name="Trigger" localSheetId="29">USD_015_SyntheticQuotes!$D$4</definedName>
    <definedName name="Trigger" localSheetId="34">USD_020_ForwardSwapQuotes!$D$4</definedName>
    <definedName name="Trigger" localSheetId="27">USD_015_SyntheticQuotes!$D$4</definedName>
    <definedName name="Trigger" localSheetId="32">USD_020_ForwardSwapQuotes!$D$4</definedName>
    <definedName name="Trigger" localSheetId="37">USD_020_FuturesConvAdjQuotes!$D$4</definedName>
    <definedName name="Trigger" localSheetId="28">USD_015_SyntheticQuotes!$D$4</definedName>
    <definedName name="Trigger" localSheetId="33">USD_020_ForwardSwapQuotes!$D$4</definedName>
    <definedName name="Trigger" localSheetId="8">USD_010_BasisSwapQuotes!$D$4</definedName>
    <definedName name="Trigger" localSheetId="48">'General Settings'!$D$5</definedName>
    <definedName name="Trigger" localSheetId="9">USD_010_BasisSwapQuotes!$D$4</definedName>
    <definedName name="Trigger" localSheetId="49">'General Settings'!$D$5</definedName>
    <definedName name="Trigger" localSheetId="10">USD_010_BasisSwapQuotes!$D$4</definedName>
    <definedName name="Trigger" localSheetId="50">'General Settings'!$D$5</definedName>
    <definedName name="Trigger" localSheetId="12">USD_010_DepoFRAFuturesQuotes!$D$4</definedName>
    <definedName name="Trigger" localSheetId="39">'General Settings'!$D$5</definedName>
    <definedName name="Trigger" localSheetId="51">'General Settings'!$D$5</definedName>
    <definedName name="Trigger" localSheetId="13">USD_010_DepoFRAFuturesQuotes!$D$4</definedName>
    <definedName name="Trigger" localSheetId="40">'General Settings'!$D$5</definedName>
    <definedName name="Trigger" localSheetId="14">USD_010_DepoFRAFuturesQuotes!$D$4</definedName>
    <definedName name="Trigger" localSheetId="41">'General Settings'!$D$5</definedName>
    <definedName name="Trigger" localSheetId="15">USD_010_DepoFRAFuturesQuotes!$D$4</definedName>
    <definedName name="Trigger" localSheetId="42">'General Settings'!$D$5</definedName>
    <definedName name="Trigger" localSheetId="43">'General Settings'!$D$5</definedName>
    <definedName name="Trigger" localSheetId="17">USD_010_DepoFRAFuturesQuotes!$D$4</definedName>
    <definedName name="Trigger" localSheetId="52">'General Settings'!$D$5</definedName>
    <definedName name="Trigger" localSheetId="0">'General Settings'!$D$5</definedName>
    <definedName name="Trigger" localSheetId="57">USD_MMIndicesAddLastFixing!$D$6</definedName>
    <definedName name="Trigger" localSheetId="58">USD_MMIndicesAddLastFixing!$D$6</definedName>
    <definedName name="Trigger" localSheetId="16">USD_010_DepoFRAFuturesQuotes!$D$4</definedName>
    <definedName name="Trigger" localSheetId="3">UsdLibor!$D$4</definedName>
    <definedName name="Trigger" localSheetId="53">USD_MMIndicesAddLastFixing!$D$6</definedName>
    <definedName name="Trigger" localSheetId="6">UsdLibor!$D$4</definedName>
    <definedName name="Trigger" localSheetId="4">UsdLibor!$D$4</definedName>
    <definedName name="Trigger" localSheetId="5">UsdLibor!$D$4</definedName>
    <definedName name="Trigger" localSheetId="19">USD_010_SwapQuotes!$D$4</definedName>
    <definedName name="Trigger" localSheetId="25">USD_015_SyntheticQuotes!$D$4</definedName>
    <definedName name="Trigger" localSheetId="54">USD_MMIndicesAddLastFixing!$D$6</definedName>
    <definedName name="Trigger" localSheetId="55">USD_MMIndicesAddLastFixing!$D$6</definedName>
    <definedName name="Trigger" localSheetId="56">USD_MMIndicesAddLastFixing!$D$6</definedName>
    <definedName name="Trigger" localSheetId="44">'General Settings'!$D$5</definedName>
    <definedName name="Trigger" localSheetId="22">USD_010_SwapQuotes!$D$4</definedName>
    <definedName name="Trigger" localSheetId="46">'General Settings'!$D$5</definedName>
    <definedName name="Trigger" localSheetId="23">USD_010_SwapQuotes!$D$4</definedName>
    <definedName name="Trigger" localSheetId="47">'General Settings'!$D$5</definedName>
    <definedName name="Trigger" localSheetId="45">'General Settings'!$D$5</definedName>
    <definedName name="Trigger" localSheetId="20">USD_010_SwapQuotes!$D$4</definedName>
    <definedName name="Trigger" localSheetId="21">USD_010_SwapQuotes!$D$4</definedName>
    <definedName name="Trigger" localSheetId="11">USD_010_BasisSwapQuotes!$D$4</definedName>
    <definedName name="Trigger" localSheetId="18">USD_010_DepoFRAFuturesQuotes!$D$4</definedName>
    <definedName name="Trigger" localSheetId="24">USD_010_SwapQuotes!$D$4</definedName>
    <definedName name="Trigger" localSheetId="30">USD_015_SyntheticQuotes!$D$4</definedName>
    <definedName name="Trigger" localSheetId="35">USD_020_ForwardSwapQuotes!$D$4</definedName>
    <definedName name="Trigger" localSheetId="38">USD_020_FuturesConvAdjQuotes!$D$4</definedName>
    <definedName name="Trigger" localSheetId="59">USD_MMIndicesAddLastFixing!$D$6</definedName>
    <definedName name="Trigger" localSheetId="7">UsdLibor!$D$4</definedName>
    <definedName name="Trigger">RelinkableHandles!$D$4</definedName>
    <definedName name="TriggerCounter" localSheetId="59">USD_MMIndicesAddLastFixing!$D$7</definedName>
    <definedName name="TriggerCounter">'General Settings'!$D$7</definedName>
    <definedName name="TriggerTOY1MFUT">[1]SpecialTriggers!#REF!</definedName>
    <definedName name="Volatility" localSheetId="36">'1M (3)'!$F$2</definedName>
    <definedName name="Volatility" localSheetId="37">'3M (3)'!$F$2</definedName>
  </definedNames>
  <calcPr calcId="145621"/>
</workbook>
</file>

<file path=xl/calcChain.xml><?xml version="1.0" encoding="utf-8"?>
<calcChain xmlns="http://schemas.openxmlformats.org/spreadsheetml/2006/main">
  <c r="B1" i="63" l="1"/>
  <c r="D5" i="63"/>
  <c r="D2" i="62"/>
  <c r="J2" i="62"/>
  <c r="D3" i="62"/>
  <c r="D4" i="62"/>
  <c r="G4" i="62"/>
  <c r="H4" i="62"/>
  <c r="L4" i="62" s="1"/>
  <c r="J4" i="62"/>
  <c r="R4" i="62"/>
  <c r="T4" i="62"/>
  <c r="D5" i="62"/>
  <c r="G5" i="62"/>
  <c r="H5" i="62"/>
  <c r="L5" i="62" s="1"/>
  <c r="J5" i="62"/>
  <c r="D6" i="62"/>
  <c r="G6" i="62"/>
  <c r="H6" i="62"/>
  <c r="J6" i="62"/>
  <c r="L6" i="62"/>
  <c r="D7" i="62"/>
  <c r="G7" i="62"/>
  <c r="H7" i="62"/>
  <c r="L7" i="62" s="1"/>
  <c r="J7" i="62"/>
  <c r="R7" i="62"/>
  <c r="T7" i="62"/>
  <c r="D8" i="62"/>
  <c r="G8" i="62"/>
  <c r="H8" i="62"/>
  <c r="L8" i="62" s="1"/>
  <c r="J8" i="62"/>
  <c r="R8" i="62"/>
  <c r="T8" i="62"/>
  <c r="D9" i="62"/>
  <c r="G9" i="62"/>
  <c r="H9" i="62"/>
  <c r="L9" i="62" s="1"/>
  <c r="J9" i="62"/>
  <c r="R9" i="62"/>
  <c r="T9" i="62"/>
  <c r="D10" i="62"/>
  <c r="G10" i="62"/>
  <c r="H10" i="62"/>
  <c r="L10" i="62" s="1"/>
  <c r="J10" i="62"/>
  <c r="R10" i="62"/>
  <c r="T10" i="62"/>
  <c r="D11" i="62"/>
  <c r="G11" i="62"/>
  <c r="H11" i="62"/>
  <c r="L11" i="62" s="1"/>
  <c r="J11" i="62"/>
  <c r="R11" i="62"/>
  <c r="T11" i="62"/>
  <c r="D12" i="62"/>
  <c r="G12" i="62"/>
  <c r="H12" i="62"/>
  <c r="L12" i="62" s="1"/>
  <c r="J12" i="62"/>
  <c r="R12" i="62"/>
  <c r="T12" i="62"/>
  <c r="D13" i="62"/>
  <c r="G13" i="62"/>
  <c r="H13" i="62"/>
  <c r="L13" i="62" s="1"/>
  <c r="J13" i="62"/>
  <c r="R13" i="62"/>
  <c r="T13" i="62"/>
  <c r="D14" i="62"/>
  <c r="G14" i="62"/>
  <c r="H14" i="62"/>
  <c r="L14" i="62" s="1"/>
  <c r="J14" i="62"/>
  <c r="R14" i="62"/>
  <c r="T14" i="62"/>
  <c r="D15" i="62"/>
  <c r="G15" i="62"/>
  <c r="H15" i="62"/>
  <c r="L15" i="62" s="1"/>
  <c r="J15" i="62"/>
  <c r="R15" i="62"/>
  <c r="T15" i="62"/>
  <c r="D16" i="62"/>
  <c r="G16" i="62"/>
  <c r="H16" i="62"/>
  <c r="L16" i="62" s="1"/>
  <c r="J16" i="62"/>
  <c r="R16" i="62"/>
  <c r="T16" i="62"/>
  <c r="D17" i="62"/>
  <c r="G17" i="62"/>
  <c r="H17" i="62"/>
  <c r="L17" i="62" s="1"/>
  <c r="J17" i="62"/>
  <c r="R17" i="62"/>
  <c r="T17" i="62"/>
  <c r="D18" i="62"/>
  <c r="G18" i="62"/>
  <c r="H18" i="62"/>
  <c r="L18" i="62" s="1"/>
  <c r="J18" i="62"/>
  <c r="R18" i="62"/>
  <c r="T18" i="62"/>
  <c r="D19" i="62"/>
  <c r="G19" i="62"/>
  <c r="H19" i="62"/>
  <c r="L19" i="62" s="1"/>
  <c r="J19" i="62"/>
  <c r="R19" i="62"/>
  <c r="T19" i="62"/>
  <c r="D20" i="62"/>
  <c r="G20" i="62"/>
  <c r="H20" i="62"/>
  <c r="L20" i="62" s="1"/>
  <c r="J20" i="62"/>
  <c r="R20" i="62"/>
  <c r="T20" i="62"/>
  <c r="D21" i="62"/>
  <c r="G21" i="62"/>
  <c r="H21" i="62"/>
  <c r="L21" i="62" s="1"/>
  <c r="J21" i="62"/>
  <c r="R21" i="62"/>
  <c r="T21" i="62"/>
  <c r="D2" i="61"/>
  <c r="J2" i="61"/>
  <c r="N5" i="62"/>
  <c r="N6" i="62"/>
  <c r="N7" i="62"/>
  <c r="N9" i="62"/>
  <c r="N11" i="62"/>
  <c r="N13" i="62"/>
  <c r="N15" i="62"/>
  <c r="N17" i="62"/>
  <c r="N19" i="62"/>
  <c r="N21" i="62"/>
  <c r="S16" i="62"/>
  <c r="K4" i="62"/>
  <c r="K8" i="62"/>
  <c r="K10" i="62"/>
  <c r="K12" i="62"/>
  <c r="K14" i="62"/>
  <c r="K16" i="62"/>
  <c r="K18" i="62"/>
  <c r="K20" i="62"/>
  <c r="K13" i="62"/>
  <c r="K19" i="62"/>
  <c r="K21" i="62"/>
  <c r="S4" i="62"/>
  <c r="S20" i="62"/>
  <c r="S7" i="62"/>
  <c r="S9" i="62"/>
  <c r="S11" i="62"/>
  <c r="S13" i="62"/>
  <c r="S15" i="62"/>
  <c r="S17" i="62"/>
  <c r="S19" i="62"/>
  <c r="S21" i="62"/>
  <c r="N16" i="62"/>
  <c r="N18" i="62"/>
  <c r="N20" i="62"/>
  <c r="K5" i="62"/>
  <c r="K6" i="62"/>
  <c r="K7" i="62"/>
  <c r="K9" i="62"/>
  <c r="S8" i="62"/>
  <c r="N4" i="62"/>
  <c r="N8" i="62"/>
  <c r="N10" i="62"/>
  <c r="N12" i="62"/>
  <c r="N14" i="62"/>
  <c r="K11" i="62"/>
  <c r="K15" i="62"/>
  <c r="K17" i="62"/>
  <c r="S12" i="62"/>
  <c r="S18" i="62"/>
  <c r="D3" i="61"/>
  <c r="M17" i="62" l="1"/>
  <c r="O17" i="62" s="1"/>
  <c r="M15" i="62"/>
  <c r="O15" i="62" s="1"/>
  <c r="M11" i="62"/>
  <c r="O11" i="62" s="1"/>
  <c r="M9" i="62"/>
  <c r="O9" i="62" s="1"/>
  <c r="M7" i="62"/>
  <c r="O7" i="62" s="1"/>
  <c r="M6" i="62"/>
  <c r="M5" i="62"/>
  <c r="M21" i="62"/>
  <c r="O21" i="62" s="1"/>
  <c r="M19" i="62"/>
  <c r="O19" i="62" s="1"/>
  <c r="M13" i="62"/>
  <c r="O13" i="62" s="1"/>
  <c r="M20" i="62"/>
  <c r="O20" i="62" s="1"/>
  <c r="M18" i="62"/>
  <c r="O18" i="62" s="1"/>
  <c r="M16" i="62"/>
  <c r="O16" i="62" s="1"/>
  <c r="M14" i="62"/>
  <c r="O14" i="62" s="1"/>
  <c r="M12" i="62"/>
  <c r="O12" i="62" s="1"/>
  <c r="M10" i="62"/>
  <c r="O10" i="62" s="1"/>
  <c r="M8" i="62"/>
  <c r="O8" i="62" s="1"/>
  <c r="M4" i="62"/>
  <c r="O4" i="62" s="1"/>
  <c r="D4" i="61"/>
  <c r="G4" i="61"/>
  <c r="H4" i="6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/>
  <c r="L9" i="61" s="1"/>
  <c r="J9" i="61"/>
  <c r="D10" i="61"/>
  <c r="G10" i="61"/>
  <c r="H10" i="61"/>
  <c r="L10" i="61" s="1"/>
  <c r="J10" i="61"/>
  <c r="D11" i="61"/>
  <c r="G11" i="61"/>
  <c r="H11" i="61"/>
  <c r="L11" i="61" s="1"/>
  <c r="J11" i="61"/>
  <c r="D12" i="61"/>
  <c r="G12" i="61"/>
  <c r="H12" i="61"/>
  <c r="L12" i="61" s="1"/>
  <c r="J12" i="61"/>
  <c r="D13" i="61"/>
  <c r="G13" i="61"/>
  <c r="H13" i="61" s="1"/>
  <c r="L13" i="61" s="1"/>
  <c r="J13" i="61"/>
  <c r="D14" i="61"/>
  <c r="G14" i="61"/>
  <c r="H14" i="6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/>
  <c r="L17" i="61" s="1"/>
  <c r="J17" i="61"/>
  <c r="D18" i="61"/>
  <c r="G18" i="61"/>
  <c r="H18" i="61"/>
  <c r="L18" i="61" s="1"/>
  <c r="J18" i="61"/>
  <c r="D19" i="61"/>
  <c r="G19" i="61"/>
  <c r="H19" i="61"/>
  <c r="L19" i="61" s="1"/>
  <c r="J19" i="61"/>
  <c r="D20" i="61"/>
  <c r="G20" i="61"/>
  <c r="H20" i="61"/>
  <c r="L20" i="61" s="1"/>
  <c r="J20" i="61"/>
  <c r="D21" i="61"/>
  <c r="G21" i="61"/>
  <c r="H21" i="61" s="1"/>
  <c r="L21" i="61" s="1"/>
  <c r="J21" i="61"/>
  <c r="D2" i="60"/>
  <c r="J2" i="60"/>
  <c r="S10" i="62"/>
  <c r="S14" i="62"/>
  <c r="N8" i="61"/>
  <c r="K11" i="61"/>
  <c r="N16" i="61"/>
  <c r="K19" i="61"/>
  <c r="N9" i="61"/>
  <c r="K12" i="61"/>
  <c r="N17" i="61"/>
  <c r="K20" i="61"/>
  <c r="K10" i="61"/>
  <c r="N10" i="61"/>
  <c r="K13" i="61"/>
  <c r="N18" i="61"/>
  <c r="K21" i="61"/>
  <c r="N20" i="61"/>
  <c r="K8" i="61"/>
  <c r="N4" i="61"/>
  <c r="K9" i="61"/>
  <c r="K17" i="61"/>
  <c r="N7" i="61"/>
  <c r="K18" i="61"/>
  <c r="K4" i="61"/>
  <c r="N11" i="61"/>
  <c r="K14" i="61"/>
  <c r="N19" i="61"/>
  <c r="K5" i="61"/>
  <c r="K6" i="61"/>
  <c r="K7" i="61"/>
  <c r="N12" i="61"/>
  <c r="K15" i="61"/>
  <c r="N13" i="61"/>
  <c r="K16" i="61"/>
  <c r="N21" i="61"/>
  <c r="N14" i="61"/>
  <c r="N5" i="61"/>
  <c r="N15" i="61"/>
  <c r="N6" i="61"/>
  <c r="D3" i="60"/>
  <c r="M2" i="62" l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/>
  <c r="L8" i="60" s="1"/>
  <c r="J8" i="60"/>
  <c r="D9" i="60"/>
  <c r="G9" i="60"/>
  <c r="H9" i="60"/>
  <c r="L9" i="60" s="1"/>
  <c r="J9" i="60"/>
  <c r="D10" i="60"/>
  <c r="G10" i="60"/>
  <c r="H10" i="60"/>
  <c r="L10" i="60" s="1"/>
  <c r="J10" i="60"/>
  <c r="D11" i="60"/>
  <c r="G11" i="60"/>
  <c r="H11" i="60"/>
  <c r="L11" i="60" s="1"/>
  <c r="J11" i="60"/>
  <c r="D12" i="60"/>
  <c r="G12" i="60"/>
  <c r="H12" i="60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/>
  <c r="L16" i="60" s="1"/>
  <c r="J16" i="60"/>
  <c r="D17" i="60"/>
  <c r="G17" i="60"/>
  <c r="H17" i="60"/>
  <c r="L17" i="60" s="1"/>
  <c r="J17" i="60"/>
  <c r="D18" i="60"/>
  <c r="G18" i="60"/>
  <c r="H18" i="60"/>
  <c r="L18" i="60" s="1"/>
  <c r="J18" i="60"/>
  <c r="D2" i="59"/>
  <c r="J2" i="59"/>
  <c r="N5" i="60"/>
  <c r="N14" i="60"/>
  <c r="K17" i="60"/>
  <c r="K10" i="60"/>
  <c r="N15" i="60"/>
  <c r="K18" i="60"/>
  <c r="N8" i="60"/>
  <c r="K11" i="60"/>
  <c r="N16" i="60"/>
  <c r="N7" i="60"/>
  <c r="K4" i="60"/>
  <c r="N9" i="60"/>
  <c r="K12" i="60"/>
  <c r="N17" i="60"/>
  <c r="K5" i="60"/>
  <c r="N10" i="60"/>
  <c r="K13" i="60"/>
  <c r="N18" i="60"/>
  <c r="K6" i="60"/>
  <c r="N11" i="60"/>
  <c r="K14" i="60"/>
  <c r="N4" i="60"/>
  <c r="K7" i="60"/>
  <c r="N12" i="60"/>
  <c r="K15" i="60"/>
  <c r="K8" i="60"/>
  <c r="N13" i="60"/>
  <c r="K16" i="60"/>
  <c r="N6" i="60"/>
  <c r="K9" i="60"/>
  <c r="D3" i="59"/>
  <c r="M2" i="61" l="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D4" i="59"/>
  <c r="G4" i="59"/>
  <c r="H4" i="59"/>
  <c r="L4" i="59" s="1"/>
  <c r="J4" i="59"/>
  <c r="D5" i="59"/>
  <c r="G5" i="59"/>
  <c r="H5" i="59" s="1"/>
  <c r="L5" i="59" s="1"/>
  <c r="J5" i="59"/>
  <c r="D6" i="59"/>
  <c r="G6" i="59"/>
  <c r="H6" i="59" s="1"/>
  <c r="L6" i="59" s="1"/>
  <c r="J6" i="59"/>
  <c r="D7" i="59"/>
  <c r="G7" i="59"/>
  <c r="H7" i="59" s="1"/>
  <c r="L7" i="59" s="1"/>
  <c r="J7" i="59"/>
  <c r="D8" i="59"/>
  <c r="G8" i="59"/>
  <c r="H8" i="59"/>
  <c r="L8" i="59" s="1"/>
  <c r="J8" i="59"/>
  <c r="D9" i="59"/>
  <c r="G9" i="59"/>
  <c r="H9" i="59"/>
  <c r="L9" i="59" s="1"/>
  <c r="J9" i="59"/>
  <c r="D10" i="59"/>
  <c r="G10" i="59"/>
  <c r="H10" i="59" s="1"/>
  <c r="L10" i="59" s="1"/>
  <c r="J10" i="59"/>
  <c r="D11" i="59"/>
  <c r="G11" i="59"/>
  <c r="H11" i="59"/>
  <c r="L11" i="59" s="1"/>
  <c r="J11" i="59"/>
  <c r="D12" i="59"/>
  <c r="G12" i="59"/>
  <c r="H12" i="59"/>
  <c r="L12" i="59" s="1"/>
  <c r="J12" i="59"/>
  <c r="D13" i="59"/>
  <c r="G13" i="59"/>
  <c r="H13" i="59" s="1"/>
  <c r="L13" i="59" s="1"/>
  <c r="J13" i="59"/>
  <c r="D14" i="59"/>
  <c r="G14" i="59"/>
  <c r="H14" i="59" s="1"/>
  <c r="L14" i="59" s="1"/>
  <c r="J14" i="59"/>
  <c r="D15" i="59"/>
  <c r="G15" i="59"/>
  <c r="H15" i="59" s="1"/>
  <c r="L15" i="59" s="1"/>
  <c r="J15" i="59"/>
  <c r="D16" i="59"/>
  <c r="G16" i="59"/>
  <c r="H16" i="59"/>
  <c r="L16" i="59" s="1"/>
  <c r="J16" i="59"/>
  <c r="D17" i="59"/>
  <c r="G17" i="59"/>
  <c r="H17" i="59"/>
  <c r="L17" i="59" s="1"/>
  <c r="J17" i="59"/>
  <c r="D18" i="59"/>
  <c r="G18" i="59"/>
  <c r="H18" i="59" s="1"/>
  <c r="L18" i="59" s="1"/>
  <c r="J18" i="59"/>
  <c r="D2" i="58"/>
  <c r="J2" i="58"/>
  <c r="N5" i="59"/>
  <c r="K8" i="59"/>
  <c r="N13" i="59"/>
  <c r="K16" i="59"/>
  <c r="N14" i="59"/>
  <c r="K18" i="59"/>
  <c r="N8" i="59"/>
  <c r="K11" i="59"/>
  <c r="N16" i="59"/>
  <c r="K4" i="59"/>
  <c r="N9" i="59"/>
  <c r="K12" i="59"/>
  <c r="N17" i="59"/>
  <c r="N18" i="59"/>
  <c r="N11" i="59"/>
  <c r="K14" i="59"/>
  <c r="N4" i="59"/>
  <c r="K7" i="59"/>
  <c r="K15" i="59"/>
  <c r="K9" i="59"/>
  <c r="K17" i="59"/>
  <c r="N7" i="59"/>
  <c r="K10" i="59"/>
  <c r="N15" i="59"/>
  <c r="K5" i="59"/>
  <c r="N10" i="59"/>
  <c r="K13" i="59"/>
  <c r="K6" i="59"/>
  <c r="N12" i="59"/>
  <c r="N6" i="59"/>
  <c r="D3" i="58"/>
  <c r="M2" i="60" l="1"/>
  <c r="M6" i="59"/>
  <c r="O6" i="59" s="1"/>
  <c r="M13" i="59"/>
  <c r="O13" i="59" s="1"/>
  <c r="M5" i="59"/>
  <c r="O5" i="59" s="1"/>
  <c r="M10" i="59"/>
  <c r="O10" i="59" s="1"/>
  <c r="M17" i="59"/>
  <c r="O17" i="59" s="1"/>
  <c r="M9" i="59"/>
  <c r="O9" i="59" s="1"/>
  <c r="M15" i="59"/>
  <c r="O15" i="59" s="1"/>
  <c r="M7" i="59"/>
  <c r="O7" i="59" s="1"/>
  <c r="M14" i="59"/>
  <c r="O14" i="59" s="1"/>
  <c r="M12" i="59"/>
  <c r="O12" i="59" s="1"/>
  <c r="M4" i="59"/>
  <c r="O4" i="59" s="1"/>
  <c r="M11" i="59"/>
  <c r="O11" i="59" s="1"/>
  <c r="M18" i="59"/>
  <c r="O18" i="59" s="1"/>
  <c r="M16" i="59"/>
  <c r="O16" i="59" s="1"/>
  <c r="M8" i="59"/>
  <c r="O8" i="59" s="1"/>
  <c r="D4" i="58"/>
  <c r="G4" i="58"/>
  <c r="J4" i="58"/>
  <c r="D5" i="58"/>
  <c r="G5" i="58"/>
  <c r="J5" i="58"/>
  <c r="D6" i="58"/>
  <c r="G6" i="58"/>
  <c r="J6" i="58"/>
  <c r="D7" i="58"/>
  <c r="G7" i="58"/>
  <c r="J7" i="58"/>
  <c r="D8" i="58"/>
  <c r="G8" i="58"/>
  <c r="J8" i="58"/>
  <c r="D9" i="58"/>
  <c r="G9" i="58"/>
  <c r="J9" i="58"/>
  <c r="D10" i="58"/>
  <c r="G10" i="58"/>
  <c r="J10" i="58"/>
  <c r="D11" i="58"/>
  <c r="G11" i="58"/>
  <c r="J11" i="58"/>
  <c r="D12" i="58"/>
  <c r="G12" i="58"/>
  <c r="J12" i="58"/>
  <c r="D13" i="58"/>
  <c r="G13" i="58"/>
  <c r="J13" i="58"/>
  <c r="D14" i="58"/>
  <c r="G14" i="58"/>
  <c r="H14" i="58"/>
  <c r="L14" i="58" s="1"/>
  <c r="J14" i="58"/>
  <c r="D15" i="58"/>
  <c r="G15" i="58"/>
  <c r="J15" i="58"/>
  <c r="D16" i="58"/>
  <c r="G16" i="58"/>
  <c r="J16" i="58"/>
  <c r="D17" i="58"/>
  <c r="G17" i="58"/>
  <c r="H17" i="58" s="1"/>
  <c r="L17" i="58" s="1"/>
  <c r="J17" i="58"/>
  <c r="D18" i="58"/>
  <c r="G18" i="58"/>
  <c r="J18" i="58"/>
  <c r="D2" i="57"/>
  <c r="J2" i="57"/>
  <c r="K10" i="58"/>
  <c r="K18" i="58"/>
  <c r="K11" i="58"/>
  <c r="K12" i="58"/>
  <c r="N17" i="58"/>
  <c r="K13" i="58"/>
  <c r="K6" i="58"/>
  <c r="K14" i="58"/>
  <c r="K16" i="58"/>
  <c r="K9" i="58"/>
  <c r="K17" i="58"/>
  <c r="K5" i="58"/>
  <c r="K4" i="58"/>
  <c r="K8" i="58"/>
  <c r="K7" i="58"/>
  <c r="K15" i="58"/>
  <c r="N14" i="58"/>
  <c r="D3" i="57"/>
  <c r="M2" i="59" l="1"/>
  <c r="M17" i="58"/>
  <c r="O17" i="58" s="1"/>
  <c r="M14" i="58"/>
  <c r="O14" i="58" s="1"/>
  <c r="D4" i="57"/>
  <c r="G4" i="57"/>
  <c r="J4" i="57"/>
  <c r="D5" i="57"/>
  <c r="G5" i="57"/>
  <c r="H5" i="57" s="1"/>
  <c r="L5" i="57" s="1"/>
  <c r="J5" i="57"/>
  <c r="D6" i="57"/>
  <c r="G6" i="57"/>
  <c r="H6" i="57" s="1"/>
  <c r="L6" i="57" s="1"/>
  <c r="J6" i="57"/>
  <c r="D7" i="57"/>
  <c r="G7" i="57"/>
  <c r="J7" i="57"/>
  <c r="D8" i="57"/>
  <c r="G8" i="57"/>
  <c r="H8" i="57"/>
  <c r="L8" i="57" s="1"/>
  <c r="J8" i="57"/>
  <c r="D9" i="57"/>
  <c r="G9" i="57"/>
  <c r="H9" i="57" s="1"/>
  <c r="L9" i="57" s="1"/>
  <c r="J9" i="57"/>
  <c r="D10" i="57"/>
  <c r="G10" i="57"/>
  <c r="J10" i="57"/>
  <c r="D11" i="57"/>
  <c r="G11" i="57"/>
  <c r="J11" i="57"/>
  <c r="D12" i="57"/>
  <c r="G12" i="57"/>
  <c r="J12" i="57"/>
  <c r="D13" i="57"/>
  <c r="G13" i="57"/>
  <c r="H13" i="57" s="1"/>
  <c r="L13" i="57" s="1"/>
  <c r="J13" i="57"/>
  <c r="D14" i="57"/>
  <c r="G14" i="57"/>
  <c r="H14" i="57"/>
  <c r="L14" i="57" s="1"/>
  <c r="J14" i="57"/>
  <c r="D15" i="57"/>
  <c r="G15" i="57"/>
  <c r="J15" i="57"/>
  <c r="D16" i="57"/>
  <c r="G16" i="57"/>
  <c r="H16" i="57"/>
  <c r="L16" i="57" s="1"/>
  <c r="J16" i="57"/>
  <c r="D17" i="57"/>
  <c r="G17" i="57"/>
  <c r="H17" i="57"/>
  <c r="L17" i="57" s="1"/>
  <c r="J17" i="57"/>
  <c r="D18" i="57"/>
  <c r="G18" i="57"/>
  <c r="H18" i="57"/>
  <c r="L18" i="57" s="1"/>
  <c r="J18" i="57"/>
  <c r="D19" i="57"/>
  <c r="G19" i="57"/>
  <c r="H19" i="57"/>
  <c r="L19" i="57" s="1"/>
  <c r="J19" i="57"/>
  <c r="D20" i="57"/>
  <c r="G20" i="57"/>
  <c r="H20" i="57"/>
  <c r="L20" i="57" s="1"/>
  <c r="J20" i="57"/>
  <c r="D21" i="57"/>
  <c r="G21" i="57"/>
  <c r="J21" i="57"/>
  <c r="H7" i="58"/>
  <c r="H4" i="58"/>
  <c r="H9" i="58"/>
  <c r="H16" i="58"/>
  <c r="H11" i="58"/>
  <c r="H8" i="58"/>
  <c r="H6" i="58"/>
  <c r="H18" i="58"/>
  <c r="H5" i="58"/>
  <c r="H10" i="58"/>
  <c r="H15" i="58"/>
  <c r="H13" i="58"/>
  <c r="H12" i="58"/>
  <c r="N8" i="57"/>
  <c r="K11" i="57"/>
  <c r="N16" i="57"/>
  <c r="K19" i="57"/>
  <c r="N9" i="57"/>
  <c r="K12" i="57"/>
  <c r="N17" i="57"/>
  <c r="K20" i="57"/>
  <c r="K13" i="57"/>
  <c r="N18" i="57"/>
  <c r="K21" i="57"/>
  <c r="K14" i="57"/>
  <c r="N19" i="57"/>
  <c r="N13" i="57"/>
  <c r="K9" i="57"/>
  <c r="K4" i="57"/>
  <c r="N20" i="57"/>
  <c r="K17" i="57"/>
  <c r="N6" i="57"/>
  <c r="K18" i="57"/>
  <c r="K5" i="57"/>
  <c r="K6" i="57"/>
  <c r="K7" i="57"/>
  <c r="K15" i="57"/>
  <c r="K8" i="57"/>
  <c r="K16" i="57"/>
  <c r="N14" i="57"/>
  <c r="N5" i="57"/>
  <c r="K10" i="57"/>
  <c r="M16" i="57" l="1"/>
  <c r="O16" i="57" s="1"/>
  <c r="M8" i="57"/>
  <c r="O8" i="57" s="1"/>
  <c r="M6" i="57"/>
  <c r="M5" i="57"/>
  <c r="M18" i="57"/>
  <c r="O18" i="57" s="1"/>
  <c r="M17" i="57"/>
  <c r="O17" i="57" s="1"/>
  <c r="M9" i="57"/>
  <c r="O9" i="57" s="1"/>
  <c r="M14" i="57"/>
  <c r="O14" i="57" s="1"/>
  <c r="M13" i="57"/>
  <c r="O13" i="57" s="1"/>
  <c r="M20" i="57"/>
  <c r="O20" i="57" s="1"/>
  <c r="M19" i="57"/>
  <c r="O19" i="57" s="1"/>
  <c r="L15" i="58"/>
  <c r="L9" i="58"/>
  <c r="L10" i="58"/>
  <c r="L4" i="58"/>
  <c r="L5" i="58"/>
  <c r="L7" i="58"/>
  <c r="L18" i="58"/>
  <c r="L6" i="58"/>
  <c r="L8" i="58"/>
  <c r="L12" i="58"/>
  <c r="L11" i="58"/>
  <c r="L13" i="58"/>
  <c r="L16" i="58"/>
  <c r="H11" i="57"/>
  <c r="H7" i="57"/>
  <c r="H21" i="57"/>
  <c r="H15" i="57"/>
  <c r="H10" i="57"/>
  <c r="H4" i="57"/>
  <c r="H12" i="57"/>
  <c r="N15" i="58"/>
  <c r="N9" i="58"/>
  <c r="N10" i="58"/>
  <c r="N4" i="58"/>
  <c r="N5" i="58"/>
  <c r="N7" i="58"/>
  <c r="N18" i="58"/>
  <c r="N6" i="58"/>
  <c r="N8" i="58"/>
  <c r="N12" i="58"/>
  <c r="N11" i="58"/>
  <c r="N13" i="58"/>
  <c r="N16" i="58"/>
  <c r="M16" i="58" l="1"/>
  <c r="O16" i="58" s="1"/>
  <c r="M13" i="58"/>
  <c r="O13" i="58" s="1"/>
  <c r="M11" i="58"/>
  <c r="O11" i="58" s="1"/>
  <c r="M12" i="58"/>
  <c r="O12" i="58" s="1"/>
  <c r="M8" i="58"/>
  <c r="O8" i="58" s="1"/>
  <c r="M6" i="58"/>
  <c r="O6" i="58" s="1"/>
  <c r="M18" i="58"/>
  <c r="O18" i="58" s="1"/>
  <c r="M7" i="58"/>
  <c r="O7" i="58" s="1"/>
  <c r="M5" i="58"/>
  <c r="O5" i="58" s="1"/>
  <c r="M4" i="58"/>
  <c r="O4" i="58" s="1"/>
  <c r="M10" i="58"/>
  <c r="O10" i="58" s="1"/>
  <c r="M9" i="58"/>
  <c r="O9" i="58" s="1"/>
  <c r="M15" i="58"/>
  <c r="O15" i="58" s="1"/>
  <c r="L4" i="57"/>
  <c r="L7" i="57"/>
  <c r="L11" i="57"/>
  <c r="L12" i="57"/>
  <c r="N4" i="57"/>
  <c r="L10" i="57"/>
  <c r="L15" i="57"/>
  <c r="L21" i="57"/>
  <c r="N7" i="57"/>
  <c r="N11" i="57"/>
  <c r="N12" i="57"/>
  <c r="N10" i="57"/>
  <c r="N15" i="57"/>
  <c r="N21" i="57"/>
  <c r="M2" i="58" l="1"/>
  <c r="M21" i="57"/>
  <c r="O21" i="57" s="1"/>
  <c r="M15" i="57"/>
  <c r="O15" i="57" s="1"/>
  <c r="M10" i="57"/>
  <c r="O10" i="57" s="1"/>
  <c r="M12" i="57"/>
  <c r="O12" i="57" s="1"/>
  <c r="M11" i="57"/>
  <c r="O11" i="57" s="1"/>
  <c r="M7" i="57"/>
  <c r="O7" i="57" s="1"/>
  <c r="M4" i="57"/>
  <c r="O4" i="57" s="1"/>
  <c r="M2" i="57" l="1"/>
  <c r="B1" i="56"/>
  <c r="D11" i="56"/>
  <c r="Q3" i="55"/>
  <c r="F4" i="55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6" i="55"/>
  <c r="K5" i="55"/>
  <c r="K10" i="55"/>
  <c r="K7" i="55"/>
  <c r="K9" i="55"/>
  <c r="K8" i="55"/>
  <c r="F4" i="54"/>
  <c r="P5" i="55" l="1" a="1"/>
  <c r="F5" i="55" a="1"/>
  <c r="E5" i="54"/>
  <c r="O5" i="54"/>
  <c r="E6" i="54"/>
  <c r="O6" i="54"/>
  <c r="E7" i="54"/>
  <c r="O7" i="54"/>
  <c r="E8" i="54"/>
  <c r="O8" i="54"/>
  <c r="E9" i="54"/>
  <c r="O9" i="54"/>
  <c r="E10" i="54"/>
  <c r="O10" i="54"/>
  <c r="E11" i="54"/>
  <c r="O11" i="54"/>
  <c r="E12" i="54"/>
  <c r="O12" i="54"/>
  <c r="E13" i="54"/>
  <c r="O13" i="54"/>
  <c r="E14" i="54"/>
  <c r="O14" i="54"/>
  <c r="E15" i="54"/>
  <c r="O15" i="54"/>
  <c r="E16" i="54"/>
  <c r="O16" i="54"/>
  <c r="E17" i="54"/>
  <c r="O17" i="54"/>
  <c r="E18" i="54"/>
  <c r="O18" i="54"/>
  <c r="E19" i="54"/>
  <c r="O19" i="54"/>
  <c r="E20" i="54"/>
  <c r="O20" i="54"/>
  <c r="E21" i="54"/>
  <c r="O21" i="54"/>
  <c r="E22" i="54"/>
  <c r="O22" i="54"/>
  <c r="E23" i="54"/>
  <c r="O23" i="54"/>
  <c r="E24" i="54"/>
  <c r="O24" i="54"/>
  <c r="E25" i="54"/>
  <c r="O25" i="54"/>
  <c r="E26" i="54"/>
  <c r="O26" i="54"/>
  <c r="E27" i="54"/>
  <c r="O27" i="54"/>
  <c r="E28" i="54"/>
  <c r="O28" i="54"/>
  <c r="E29" i="54"/>
  <c r="O29" i="54"/>
  <c r="E30" i="54"/>
  <c r="O30" i="54"/>
  <c r="E31" i="54"/>
  <c r="O31" i="54"/>
  <c r="E32" i="54"/>
  <c r="O32" i="54"/>
  <c r="E33" i="54"/>
  <c r="O33" i="54"/>
  <c r="E34" i="54"/>
  <c r="O34" i="54"/>
  <c r="E35" i="54"/>
  <c r="O35" i="54"/>
  <c r="E36" i="54"/>
  <c r="O36" i="54"/>
  <c r="E37" i="54"/>
  <c r="O37" i="54"/>
  <c r="E38" i="54"/>
  <c r="O38" i="54"/>
  <c r="E39" i="54"/>
  <c r="O39" i="54"/>
  <c r="E40" i="54"/>
  <c r="O40" i="54"/>
  <c r="E41" i="54"/>
  <c r="O41" i="54"/>
  <c r="E42" i="54"/>
  <c r="O42" i="54"/>
  <c r="E43" i="54"/>
  <c r="O43" i="54"/>
  <c r="E44" i="54"/>
  <c r="O44" i="54"/>
  <c r="E45" i="54"/>
  <c r="O45" i="54"/>
  <c r="E46" i="54"/>
  <c r="O46" i="54"/>
  <c r="E47" i="54"/>
  <c r="O47" i="54"/>
  <c r="E48" i="54"/>
  <c r="O48" i="54"/>
  <c r="E49" i="54"/>
  <c r="O49" i="54"/>
  <c r="E50" i="54"/>
  <c r="O50" i="54"/>
  <c r="E51" i="54"/>
  <c r="O51" i="54"/>
  <c r="E52" i="54"/>
  <c r="O52" i="54"/>
  <c r="E53" i="54"/>
  <c r="O53" i="54"/>
  <c r="E54" i="54"/>
  <c r="O54" i="54"/>
  <c r="E55" i="54"/>
  <c r="O55" i="54"/>
  <c r="E56" i="54"/>
  <c r="O56" i="54"/>
  <c r="E57" i="54"/>
  <c r="O57" i="54"/>
  <c r="E58" i="54"/>
  <c r="O58" i="54"/>
  <c r="K5" i="54"/>
  <c r="K57" i="54"/>
  <c r="K48" i="54"/>
  <c r="K19" i="54"/>
  <c r="K6" i="54"/>
  <c r="K42" i="54"/>
  <c r="K46" i="54"/>
  <c r="K50" i="54"/>
  <c r="K9" i="54"/>
  <c r="K13" i="54"/>
  <c r="K17" i="54"/>
  <c r="K21" i="54"/>
  <c r="K25" i="54"/>
  <c r="K29" i="54"/>
  <c r="K33" i="54"/>
  <c r="K37" i="54"/>
  <c r="K41" i="54"/>
  <c r="K45" i="54"/>
  <c r="K49" i="54"/>
  <c r="K53" i="54"/>
  <c r="K52" i="54"/>
  <c r="K56" i="54"/>
  <c r="K15" i="54"/>
  <c r="K31" i="54"/>
  <c r="K35" i="54"/>
  <c r="K51" i="54"/>
  <c r="K55" i="54"/>
  <c r="K8" i="54"/>
  <c r="K12" i="54"/>
  <c r="K16" i="54"/>
  <c r="K20" i="54"/>
  <c r="K24" i="54"/>
  <c r="K28" i="54"/>
  <c r="K32" i="54"/>
  <c r="K36" i="54"/>
  <c r="K40" i="54"/>
  <c r="K44" i="54"/>
  <c r="K43" i="54"/>
  <c r="K10" i="54"/>
  <c r="K14" i="54"/>
  <c r="K18" i="54"/>
  <c r="K26" i="54"/>
  <c r="K38" i="54"/>
  <c r="K58" i="54"/>
  <c r="K7" i="54"/>
  <c r="K11" i="54"/>
  <c r="K23" i="54"/>
  <c r="K27" i="54"/>
  <c r="K39" i="54"/>
  <c r="K47" i="54"/>
  <c r="K22" i="54"/>
  <c r="K30" i="54"/>
  <c r="K34" i="54"/>
  <c r="K54" i="54"/>
  <c r="F4" i="53"/>
  <c r="F7" i="55" l="1"/>
  <c r="F9" i="55"/>
  <c r="F6" i="55"/>
  <c r="F5" i="55"/>
  <c r="F8" i="55"/>
  <c r="F10" i="55"/>
  <c r="P8" i="55"/>
  <c r="P5" i="55"/>
  <c r="P10" i="55"/>
  <c r="P7" i="55"/>
  <c r="P9" i="55"/>
  <c r="P6" i="55"/>
  <c r="F5" i="54" a="1"/>
  <c r="F9" i="54" s="1"/>
  <c r="P5" i="54" a="1"/>
  <c r="C5" i="53" a="1"/>
  <c r="C5" i="53" s="1"/>
  <c r="D5" i="53" a="1"/>
  <c r="D5" i="53" s="1"/>
  <c r="F2" i="52"/>
  <c r="I7" i="53"/>
  <c r="I11" i="53"/>
  <c r="I15" i="53"/>
  <c r="I19" i="53"/>
  <c r="I23" i="53"/>
  <c r="I27" i="53"/>
  <c r="I31" i="53"/>
  <c r="I35" i="53"/>
  <c r="I39" i="53"/>
  <c r="I37" i="53"/>
  <c r="I16" i="53"/>
  <c r="I18" i="53"/>
  <c r="I33" i="53"/>
  <c r="I38" i="53"/>
  <c r="I12" i="53"/>
  <c r="I13" i="53"/>
  <c r="I14" i="53"/>
  <c r="I28" i="53"/>
  <c r="I29" i="53"/>
  <c r="I30" i="53"/>
  <c r="I41" i="53"/>
  <c r="I40" i="53"/>
  <c r="I42" i="53"/>
  <c r="I5" i="53"/>
  <c r="I8" i="53"/>
  <c r="I9" i="53"/>
  <c r="I10" i="53"/>
  <c r="I24" i="53"/>
  <c r="I25" i="53"/>
  <c r="I26" i="53"/>
  <c r="I6" i="53"/>
  <c r="I20" i="53"/>
  <c r="I21" i="53"/>
  <c r="I22" i="53"/>
  <c r="I36" i="53"/>
  <c r="I17" i="53"/>
  <c r="I32" i="53"/>
  <c r="I34" i="53"/>
  <c r="F4" i="52"/>
  <c r="F15" i="54" l="1"/>
  <c r="F20" i="54"/>
  <c r="F37" i="54"/>
  <c r="F11" i="54"/>
  <c r="F10" i="54"/>
  <c r="F42" i="54"/>
  <c r="F44" i="54"/>
  <c r="F12" i="54"/>
  <c r="F6" i="54"/>
  <c r="F29" i="54"/>
  <c r="F47" i="54"/>
  <c r="F52" i="54"/>
  <c r="F30" i="54"/>
  <c r="F48" i="54"/>
  <c r="F35" i="54"/>
  <c r="F7" i="54"/>
  <c r="F5" i="54"/>
  <c r="F8" i="54"/>
  <c r="F25" i="54"/>
  <c r="F31" i="54"/>
  <c r="F36" i="54"/>
  <c r="F53" i="54"/>
  <c r="F18" i="54"/>
  <c r="F27" i="54"/>
  <c r="F54" i="54"/>
  <c r="F32" i="54"/>
  <c r="F46" i="54"/>
  <c r="F49" i="54"/>
  <c r="F17" i="54"/>
  <c r="F43" i="54"/>
  <c r="F16" i="54"/>
  <c r="F33" i="54"/>
  <c r="F39" i="54"/>
  <c r="F26" i="54"/>
  <c r="F40" i="54"/>
  <c r="F57" i="54"/>
  <c r="F22" i="54"/>
  <c r="F58" i="54"/>
  <c r="F50" i="54"/>
  <c r="F21" i="54"/>
  <c r="F55" i="54"/>
  <c r="F23" i="54"/>
  <c r="F14" i="54"/>
  <c r="F28" i="54"/>
  <c r="F38" i="54"/>
  <c r="F45" i="54"/>
  <c r="F13" i="54"/>
  <c r="F51" i="54"/>
  <c r="F19" i="54"/>
  <c r="F56" i="54"/>
  <c r="F24" i="54"/>
  <c r="F34" i="54"/>
  <c r="F41" i="54"/>
  <c r="P53" i="54"/>
  <c r="P56" i="54"/>
  <c r="P15" i="54"/>
  <c r="P23" i="54"/>
  <c r="P31" i="54"/>
  <c r="P39" i="54"/>
  <c r="P47" i="54"/>
  <c r="P6" i="54"/>
  <c r="P10" i="54"/>
  <c r="P14" i="54"/>
  <c r="P18" i="54"/>
  <c r="P22" i="54"/>
  <c r="P26" i="54"/>
  <c r="P30" i="54"/>
  <c r="P34" i="54"/>
  <c r="P38" i="54"/>
  <c r="P42" i="54"/>
  <c r="P46" i="54"/>
  <c r="P50" i="54"/>
  <c r="P54" i="54"/>
  <c r="P58" i="54"/>
  <c r="P28" i="54"/>
  <c r="P40" i="54"/>
  <c r="P5" i="54"/>
  <c r="P9" i="54"/>
  <c r="P13" i="54"/>
  <c r="P17" i="54"/>
  <c r="P21" i="54"/>
  <c r="P25" i="54"/>
  <c r="P29" i="54"/>
  <c r="P33" i="54"/>
  <c r="P37" i="54"/>
  <c r="P41" i="54"/>
  <c r="P45" i="54"/>
  <c r="P49" i="54"/>
  <c r="P57" i="54"/>
  <c r="P16" i="54"/>
  <c r="P20" i="54"/>
  <c r="P32" i="54"/>
  <c r="P36" i="54"/>
  <c r="P48" i="54"/>
  <c r="P7" i="54"/>
  <c r="P11" i="54"/>
  <c r="P19" i="54"/>
  <c r="P55" i="54"/>
  <c r="P8" i="54"/>
  <c r="P12" i="54"/>
  <c r="P24" i="54"/>
  <c r="P44" i="54"/>
  <c r="P52" i="54"/>
  <c r="P27" i="54"/>
  <c r="P35" i="54"/>
  <c r="P43" i="54"/>
  <c r="P51" i="54"/>
  <c r="C6" i="53"/>
  <c r="C12" i="53"/>
  <c r="C42" i="53"/>
  <c r="C11" i="53"/>
  <c r="C28" i="53"/>
  <c r="C10" i="53"/>
  <c r="C27" i="53"/>
  <c r="C8" i="53"/>
  <c r="C24" i="53"/>
  <c r="C26" i="53"/>
  <c r="C7" i="53"/>
  <c r="C23" i="53"/>
  <c r="C22" i="53"/>
  <c r="J34" i="53"/>
  <c r="J32" i="53"/>
  <c r="J17" i="53"/>
  <c r="J36" i="53"/>
  <c r="J22" i="53"/>
  <c r="J21" i="53"/>
  <c r="J20" i="53"/>
  <c r="J6" i="53"/>
  <c r="J26" i="53"/>
  <c r="J25" i="53"/>
  <c r="J24" i="53"/>
  <c r="J10" i="53"/>
  <c r="J9" i="53"/>
  <c r="J8" i="53"/>
  <c r="J5" i="53"/>
  <c r="J42" i="53"/>
  <c r="J40" i="53"/>
  <c r="J41" i="53"/>
  <c r="J30" i="53"/>
  <c r="J29" i="53"/>
  <c r="J28" i="53"/>
  <c r="J14" i="53"/>
  <c r="J13" i="53"/>
  <c r="J12" i="53"/>
  <c r="J38" i="53"/>
  <c r="J33" i="53"/>
  <c r="J18" i="53"/>
  <c r="J16" i="53"/>
  <c r="J37" i="53"/>
  <c r="J39" i="53"/>
  <c r="J35" i="53"/>
  <c r="J31" i="53"/>
  <c r="J27" i="53"/>
  <c r="J23" i="53"/>
  <c r="J19" i="53"/>
  <c r="J15" i="53"/>
  <c r="J11" i="53"/>
  <c r="J7" i="53"/>
  <c r="E5" i="53"/>
  <c r="D27" i="53"/>
  <c r="D41" i="53"/>
  <c r="D40" i="53"/>
  <c r="C9" i="53"/>
  <c r="C13" i="53"/>
  <c r="C17" i="53"/>
  <c r="C21" i="53"/>
  <c r="C25" i="53"/>
  <c r="C29" i="53"/>
  <c r="C33" i="53"/>
  <c r="C37" i="53"/>
  <c r="C41" i="53"/>
  <c r="C40" i="53"/>
  <c r="D39" i="53"/>
  <c r="C32" i="53"/>
  <c r="C31" i="53"/>
  <c r="C30" i="53"/>
  <c r="C16" i="53"/>
  <c r="C15" i="53"/>
  <c r="C14" i="53"/>
  <c r="C39" i="53"/>
  <c r="D38" i="53"/>
  <c r="D36" i="53"/>
  <c r="D35" i="53"/>
  <c r="D34" i="53"/>
  <c r="D20" i="53"/>
  <c r="D19" i="53"/>
  <c r="D18" i="53"/>
  <c r="C38" i="53"/>
  <c r="D37" i="53"/>
  <c r="C36" i="53"/>
  <c r="E36" i="53" s="1"/>
  <c r="O36" i="53" s="1"/>
  <c r="C35" i="53"/>
  <c r="E35" i="53" s="1"/>
  <c r="O35" i="53" s="1"/>
  <c r="C34" i="53"/>
  <c r="E34" i="53" s="1"/>
  <c r="O34" i="53" s="1"/>
  <c r="C20" i="53"/>
  <c r="E20" i="53" s="1"/>
  <c r="O20" i="53" s="1"/>
  <c r="C19" i="53"/>
  <c r="E19" i="53" s="1"/>
  <c r="O19" i="53" s="1"/>
  <c r="C18" i="53"/>
  <c r="E18" i="53" s="1"/>
  <c r="O18" i="53" s="1"/>
  <c r="D11" i="53"/>
  <c r="D10" i="53"/>
  <c r="D24" i="53"/>
  <c r="E24" i="53" s="1"/>
  <c r="O24" i="53" s="1"/>
  <c r="D23" i="53"/>
  <c r="D22" i="53"/>
  <c r="E22" i="53" s="1"/>
  <c r="O22" i="53" s="1"/>
  <c r="D8" i="53"/>
  <c r="D7" i="53"/>
  <c r="D6" i="53"/>
  <c r="E6" i="53" s="1"/>
  <c r="O6" i="53" s="1"/>
  <c r="D28" i="53"/>
  <c r="D26" i="53"/>
  <c r="E26" i="53" s="1"/>
  <c r="O26" i="53" s="1"/>
  <c r="D12" i="53"/>
  <c r="E12" i="53" s="1"/>
  <c r="O12" i="53" s="1"/>
  <c r="D9" i="53"/>
  <c r="D13" i="53"/>
  <c r="D17" i="53"/>
  <c r="D21" i="53"/>
  <c r="D25" i="53"/>
  <c r="D29" i="53"/>
  <c r="D33" i="53"/>
  <c r="D42" i="53"/>
  <c r="E42" i="53" s="1"/>
  <c r="O42" i="53" s="1"/>
  <c r="D32" i="53"/>
  <c r="D31" i="53"/>
  <c r="D30" i="53"/>
  <c r="D16" i="53"/>
  <c r="D15" i="53"/>
  <c r="D14" i="53"/>
  <c r="C5" i="52" a="1"/>
  <c r="C9" i="52" s="1"/>
  <c r="D5" i="52" a="1"/>
  <c r="D5" i="52" s="1"/>
  <c r="W5" i="52"/>
  <c r="W6" i="52"/>
  <c r="W7" i="52"/>
  <c r="W8" i="52"/>
  <c r="W9" i="52"/>
  <c r="W10" i="52"/>
  <c r="W11" i="52"/>
  <c r="W12" i="52"/>
  <c r="W13" i="52"/>
  <c r="W14" i="52"/>
  <c r="W15" i="52"/>
  <c r="W16" i="52"/>
  <c r="W17" i="52"/>
  <c r="W18" i="52"/>
  <c r="W19" i="52"/>
  <c r="W20" i="52"/>
  <c r="W21" i="52"/>
  <c r="W22" i="52"/>
  <c r="W23" i="52"/>
  <c r="W24" i="52"/>
  <c r="W25" i="52"/>
  <c r="W26" i="52"/>
  <c r="W27" i="52"/>
  <c r="W28" i="52"/>
  <c r="W29" i="52"/>
  <c r="W30" i="52"/>
  <c r="W31" i="52"/>
  <c r="W32" i="52"/>
  <c r="W33" i="52"/>
  <c r="W34" i="52"/>
  <c r="W35" i="52"/>
  <c r="W36" i="52"/>
  <c r="W37" i="52"/>
  <c r="W38" i="52"/>
  <c r="W39" i="52"/>
  <c r="W40" i="52"/>
  <c r="W41" i="52"/>
  <c r="W42" i="52"/>
  <c r="Q23" i="54"/>
  <c r="Q22" i="54"/>
  <c r="Q54" i="54"/>
  <c r="Q21" i="54"/>
  <c r="Q57" i="54"/>
  <c r="Q19" i="54"/>
  <c r="Q35" i="54"/>
  <c r="Q31" i="54"/>
  <c r="Q26" i="54"/>
  <c r="Q58" i="54"/>
  <c r="Q25" i="54"/>
  <c r="Q16" i="54"/>
  <c r="Q55" i="54"/>
  <c r="Q43" i="54"/>
  <c r="Q39" i="54"/>
  <c r="Q30" i="54"/>
  <c r="Q28" i="54"/>
  <c r="Q29" i="54"/>
  <c r="Q20" i="54"/>
  <c r="Q8" i="54"/>
  <c r="Q51" i="54"/>
  <c r="Q47" i="54"/>
  <c r="Q34" i="54"/>
  <c r="Q40" i="54"/>
  <c r="Q33" i="54"/>
  <c r="Q32" i="54"/>
  <c r="Q12" i="54"/>
  <c r="Q6" i="54"/>
  <c r="Q38" i="54"/>
  <c r="Q5" i="54"/>
  <c r="Q37" i="54"/>
  <c r="Q36" i="54"/>
  <c r="Q53" i="54"/>
  <c r="Q10" i="54"/>
  <c r="Q42" i="54"/>
  <c r="Q9" i="54"/>
  <c r="Q41" i="54"/>
  <c r="Q48" i="54"/>
  <c r="Q44" i="54"/>
  <c r="Q56" i="54"/>
  <c r="Q14" i="54"/>
  <c r="Q46" i="54"/>
  <c r="Q13" i="54"/>
  <c r="Q45" i="54"/>
  <c r="Q7" i="54"/>
  <c r="Q15" i="54"/>
  <c r="Q50" i="54"/>
  <c r="Q17" i="54"/>
  <c r="Q11" i="54"/>
  <c r="Q24" i="54"/>
  <c r="Q52" i="54"/>
  <c r="Q18" i="54"/>
  <c r="Q49" i="54"/>
  <c r="Q27" i="54"/>
  <c r="I6" i="52"/>
  <c r="I8" i="52"/>
  <c r="I10" i="52"/>
  <c r="I12" i="52"/>
  <c r="I14" i="52"/>
  <c r="I16" i="52"/>
  <c r="I18" i="52"/>
  <c r="I20" i="52"/>
  <c r="I22" i="52"/>
  <c r="I24" i="52"/>
  <c r="I34" i="52"/>
  <c r="I37" i="52"/>
  <c r="I15" i="52"/>
  <c r="I23" i="52"/>
  <c r="I28" i="52"/>
  <c r="I31" i="52"/>
  <c r="I17" i="52"/>
  <c r="I25" i="52"/>
  <c r="I32" i="52"/>
  <c r="I35" i="52"/>
  <c r="I13" i="52"/>
  <c r="I40" i="52"/>
  <c r="I41" i="52"/>
  <c r="I5" i="52"/>
  <c r="I26" i="52"/>
  <c r="I29" i="52"/>
  <c r="I42" i="52"/>
  <c r="I36" i="52"/>
  <c r="I39" i="52"/>
  <c r="I7" i="52"/>
  <c r="I11" i="52"/>
  <c r="I21" i="52"/>
  <c r="I38" i="52"/>
  <c r="I19" i="52"/>
  <c r="I30" i="52"/>
  <c r="I33" i="52"/>
  <c r="I9" i="52"/>
  <c r="I27" i="52"/>
  <c r="F4" i="51"/>
  <c r="E7" i="53" l="1"/>
  <c r="O7" i="53" s="1"/>
  <c r="E28" i="53"/>
  <c r="O28" i="53" s="1"/>
  <c r="E8" i="53"/>
  <c r="O8" i="53" s="1"/>
  <c r="E23" i="53"/>
  <c r="O23" i="53" s="1"/>
  <c r="E10" i="53"/>
  <c r="O10" i="53" s="1"/>
  <c r="E15" i="53"/>
  <c r="O15" i="53" s="1"/>
  <c r="E37" i="53"/>
  <c r="O37" i="53" s="1"/>
  <c r="E11" i="53"/>
  <c r="O11" i="53" s="1"/>
  <c r="E38" i="53"/>
  <c r="O38" i="53" s="1"/>
  <c r="E39" i="53"/>
  <c r="O39" i="53" s="1"/>
  <c r="E16" i="53"/>
  <c r="O16" i="53" s="1"/>
  <c r="E33" i="53"/>
  <c r="O33" i="53" s="1"/>
  <c r="E30" i="53"/>
  <c r="O30" i="53" s="1"/>
  <c r="E29" i="53"/>
  <c r="O29" i="53" s="1"/>
  <c r="E25" i="53"/>
  <c r="O25" i="53" s="1"/>
  <c r="E27" i="53"/>
  <c r="O27" i="53" s="1"/>
  <c r="E32" i="53"/>
  <c r="O32" i="53" s="1"/>
  <c r="E21" i="53"/>
  <c r="O21" i="53" s="1"/>
  <c r="E17" i="53"/>
  <c r="O17" i="53" s="1"/>
  <c r="E31" i="53"/>
  <c r="O31" i="53" s="1"/>
  <c r="E40" i="53"/>
  <c r="O40" i="53" s="1"/>
  <c r="E13" i="53"/>
  <c r="O13" i="53" s="1"/>
  <c r="E14" i="53"/>
  <c r="O14" i="53" s="1"/>
  <c r="E41" i="53"/>
  <c r="O41" i="53" s="1"/>
  <c r="E9" i="53"/>
  <c r="O9" i="53" s="1"/>
  <c r="O5" i="53"/>
  <c r="C24" i="52"/>
  <c r="C8" i="52"/>
  <c r="C40" i="52"/>
  <c r="C36" i="52"/>
  <c r="C32" i="52"/>
  <c r="C28" i="52"/>
  <c r="C18" i="52"/>
  <c r="C12" i="52"/>
  <c r="C7" i="52"/>
  <c r="C39" i="52"/>
  <c r="C35" i="52"/>
  <c r="C31" i="52"/>
  <c r="C27" i="52"/>
  <c r="C22" i="52"/>
  <c r="C16" i="52"/>
  <c r="C6" i="52"/>
  <c r="C42" i="52"/>
  <c r="C38" i="52"/>
  <c r="C34" i="52"/>
  <c r="C30" i="52"/>
  <c r="C26" i="52"/>
  <c r="C10" i="52"/>
  <c r="C20" i="52"/>
  <c r="C41" i="52"/>
  <c r="C37" i="52"/>
  <c r="C33" i="52"/>
  <c r="C29" i="52"/>
  <c r="C14" i="52"/>
  <c r="C5" i="52"/>
  <c r="E5" i="52" s="1"/>
  <c r="O5" i="52" s="1"/>
  <c r="J27" i="52"/>
  <c r="J9" i="52"/>
  <c r="J33" i="52"/>
  <c r="J30" i="52"/>
  <c r="J19" i="52"/>
  <c r="J38" i="52"/>
  <c r="J21" i="52"/>
  <c r="J11" i="52"/>
  <c r="J7" i="52"/>
  <c r="J39" i="52"/>
  <c r="J36" i="52"/>
  <c r="J42" i="52"/>
  <c r="J29" i="52"/>
  <c r="J26" i="52"/>
  <c r="J5" i="52"/>
  <c r="J41" i="52"/>
  <c r="J40" i="52"/>
  <c r="J13" i="52"/>
  <c r="J35" i="52"/>
  <c r="J32" i="52"/>
  <c r="J25" i="52"/>
  <c r="J17" i="52"/>
  <c r="J31" i="52"/>
  <c r="J28" i="52"/>
  <c r="J23" i="52"/>
  <c r="J15" i="52"/>
  <c r="J37" i="52"/>
  <c r="J34" i="52"/>
  <c r="J24" i="52"/>
  <c r="J22" i="52"/>
  <c r="J20" i="52"/>
  <c r="J18" i="52"/>
  <c r="J16" i="52"/>
  <c r="J14" i="52"/>
  <c r="J12" i="52"/>
  <c r="J10" i="52"/>
  <c r="J8" i="52"/>
  <c r="J6" i="52"/>
  <c r="D41" i="52"/>
  <c r="D23" i="52"/>
  <c r="D22" i="52"/>
  <c r="D15" i="52"/>
  <c r="D14" i="52"/>
  <c r="D37" i="52"/>
  <c r="E37" i="52" s="1"/>
  <c r="O37" i="52" s="1"/>
  <c r="D12" i="52"/>
  <c r="D10" i="52"/>
  <c r="D8" i="52"/>
  <c r="D42" i="52"/>
  <c r="D26" i="52"/>
  <c r="D19" i="52"/>
  <c r="D34" i="52"/>
  <c r="D31" i="52"/>
  <c r="D40" i="52"/>
  <c r="D30" i="52"/>
  <c r="D27" i="52"/>
  <c r="D21" i="52"/>
  <c r="D20" i="52"/>
  <c r="D13" i="52"/>
  <c r="D11" i="52"/>
  <c r="D9" i="52"/>
  <c r="E9" i="52" s="1"/>
  <c r="O9" i="52" s="1"/>
  <c r="D7" i="52"/>
  <c r="D6" i="52"/>
  <c r="D39" i="52"/>
  <c r="D18" i="52"/>
  <c r="D28" i="52"/>
  <c r="D36" i="52"/>
  <c r="D33" i="52"/>
  <c r="D32" i="52"/>
  <c r="D29" i="52"/>
  <c r="D38" i="52"/>
  <c r="D35" i="52"/>
  <c r="D25" i="52"/>
  <c r="D24" i="52"/>
  <c r="D17" i="52"/>
  <c r="D16" i="52"/>
  <c r="C25" i="52"/>
  <c r="C23" i="52"/>
  <c r="C21" i="52"/>
  <c r="C19" i="52"/>
  <c r="C17" i="52"/>
  <c r="C15" i="52"/>
  <c r="C13" i="52"/>
  <c r="C11" i="52"/>
  <c r="C5" i="51" a="1"/>
  <c r="C38" i="51" s="1"/>
  <c r="D5" i="51" a="1"/>
  <c r="D14" i="51" s="1"/>
  <c r="I6" i="51"/>
  <c r="I10" i="51"/>
  <c r="I14" i="51"/>
  <c r="I18" i="51"/>
  <c r="I22" i="51"/>
  <c r="I26" i="51"/>
  <c r="I30" i="51"/>
  <c r="I34" i="51"/>
  <c r="I38" i="51"/>
  <c r="I42" i="51"/>
  <c r="I7" i="51"/>
  <c r="I11" i="51"/>
  <c r="I15" i="51"/>
  <c r="I19" i="51"/>
  <c r="I23" i="51"/>
  <c r="I27" i="51"/>
  <c r="I35" i="51"/>
  <c r="I39" i="51"/>
  <c r="I31" i="51"/>
  <c r="I17" i="51"/>
  <c r="I5" i="51"/>
  <c r="I8" i="51"/>
  <c r="I16" i="51"/>
  <c r="I21" i="51"/>
  <c r="I20" i="51"/>
  <c r="I25" i="51"/>
  <c r="I32" i="51"/>
  <c r="I37" i="51"/>
  <c r="I36" i="51"/>
  <c r="I41" i="51"/>
  <c r="I9" i="51"/>
  <c r="I13" i="51"/>
  <c r="I40" i="51"/>
  <c r="I12" i="51"/>
  <c r="I24" i="51"/>
  <c r="I29" i="51"/>
  <c r="I28" i="51"/>
  <c r="I33" i="51"/>
  <c r="F4" i="50"/>
  <c r="E6" i="52" l="1"/>
  <c r="O6" i="52" s="1"/>
  <c r="E35" i="52"/>
  <c r="O35" i="52" s="1"/>
  <c r="E7" i="52"/>
  <c r="O7" i="52" s="1"/>
  <c r="E34" i="52"/>
  <c r="O34" i="52" s="1"/>
  <c r="E24" i="52"/>
  <c r="O24" i="52" s="1"/>
  <c r="E18" i="52"/>
  <c r="O18" i="52" s="1"/>
  <c r="E42" i="52"/>
  <c r="O42" i="52" s="1"/>
  <c r="E26" i="52"/>
  <c r="O26" i="52" s="1"/>
  <c r="E29" i="52"/>
  <c r="O29" i="52" s="1"/>
  <c r="E40" i="52"/>
  <c r="O40" i="52" s="1"/>
  <c r="E8" i="52"/>
  <c r="O8" i="52" s="1"/>
  <c r="E33" i="52"/>
  <c r="O33" i="52" s="1"/>
  <c r="E21" i="52"/>
  <c r="O21" i="52" s="1"/>
  <c r="E38" i="52"/>
  <c r="O38" i="52" s="1"/>
  <c r="E30" i="52"/>
  <c r="O30" i="52" s="1"/>
  <c r="E27" i="52"/>
  <c r="O27" i="52" s="1"/>
  <c r="E31" i="52"/>
  <c r="O31" i="52" s="1"/>
  <c r="E36" i="52"/>
  <c r="O36" i="52" s="1"/>
  <c r="E41" i="52"/>
  <c r="O41" i="52" s="1"/>
  <c r="E19" i="52"/>
  <c r="O19" i="52" s="1"/>
  <c r="E39" i="52"/>
  <c r="O39" i="52" s="1"/>
  <c r="E10" i="52"/>
  <c r="O10" i="52" s="1"/>
  <c r="E14" i="52"/>
  <c r="O14" i="52" s="1"/>
  <c r="E12" i="52"/>
  <c r="O12" i="52" s="1"/>
  <c r="E28" i="52"/>
  <c r="O28" i="52" s="1"/>
  <c r="E22" i="52"/>
  <c r="O22" i="52" s="1"/>
  <c r="E23" i="52"/>
  <c r="O23" i="52" s="1"/>
  <c r="E20" i="52"/>
  <c r="O20" i="52" s="1"/>
  <c r="F5" i="53" a="1"/>
  <c r="E25" i="52"/>
  <c r="O25" i="52" s="1"/>
  <c r="E16" i="52"/>
  <c r="O16" i="52" s="1"/>
  <c r="E32" i="52"/>
  <c r="O32" i="52" s="1"/>
  <c r="E13" i="52"/>
  <c r="O13" i="52" s="1"/>
  <c r="E11" i="52"/>
  <c r="O11" i="52" s="1"/>
  <c r="F5" i="52" a="1"/>
  <c r="E15" i="52"/>
  <c r="O15" i="52" s="1"/>
  <c r="E17" i="52"/>
  <c r="O17" i="52" s="1"/>
  <c r="C11" i="51"/>
  <c r="J33" i="51"/>
  <c r="J28" i="51"/>
  <c r="J29" i="51"/>
  <c r="J24" i="51"/>
  <c r="J12" i="51"/>
  <c r="J40" i="51"/>
  <c r="J13" i="51"/>
  <c r="J9" i="51"/>
  <c r="J41" i="51"/>
  <c r="J36" i="51"/>
  <c r="J37" i="51"/>
  <c r="J32" i="51"/>
  <c r="J25" i="51"/>
  <c r="J20" i="51"/>
  <c r="J21" i="51"/>
  <c r="J16" i="51"/>
  <c r="J8" i="51"/>
  <c r="J5" i="51"/>
  <c r="J17" i="51"/>
  <c r="J31" i="51"/>
  <c r="J39" i="51"/>
  <c r="J35" i="51"/>
  <c r="J27" i="51"/>
  <c r="J23" i="51"/>
  <c r="J19" i="51"/>
  <c r="J15" i="51"/>
  <c r="J11" i="51"/>
  <c r="J7" i="51"/>
  <c r="J42" i="51"/>
  <c r="J38" i="51"/>
  <c r="J34" i="51"/>
  <c r="J30" i="51"/>
  <c r="J26" i="51"/>
  <c r="J22" i="51"/>
  <c r="J18" i="51"/>
  <c r="J14" i="51"/>
  <c r="J10" i="51"/>
  <c r="J6" i="51"/>
  <c r="D39" i="51"/>
  <c r="D34" i="51"/>
  <c r="D29" i="51"/>
  <c r="C8" i="51"/>
  <c r="C12" i="51"/>
  <c r="C16" i="51"/>
  <c r="C20" i="51"/>
  <c r="C24" i="51"/>
  <c r="C28" i="51"/>
  <c r="C32" i="51"/>
  <c r="C36" i="51"/>
  <c r="C40" i="51"/>
  <c r="C9" i="51"/>
  <c r="C13" i="51"/>
  <c r="C17" i="51"/>
  <c r="C21" i="51"/>
  <c r="C29" i="51"/>
  <c r="C33" i="51"/>
  <c r="C37" i="51"/>
  <c r="C41" i="51"/>
  <c r="C25" i="51"/>
  <c r="D27" i="51"/>
  <c r="D17" i="51"/>
  <c r="C6" i="51"/>
  <c r="D13" i="51"/>
  <c r="D7" i="51"/>
  <c r="D41" i="51"/>
  <c r="C23" i="51"/>
  <c r="D19" i="51"/>
  <c r="C18" i="51"/>
  <c r="C7" i="51"/>
  <c r="D5" i="51"/>
  <c r="D9" i="51"/>
  <c r="D8" i="51"/>
  <c r="D12" i="51"/>
  <c r="D16" i="51"/>
  <c r="D20" i="51"/>
  <c r="D24" i="51"/>
  <c r="D28" i="51"/>
  <c r="D32" i="51"/>
  <c r="D36" i="51"/>
  <c r="D40" i="51"/>
  <c r="C39" i="51"/>
  <c r="D35" i="51"/>
  <c r="C34" i="51"/>
  <c r="D30" i="51"/>
  <c r="D25" i="51"/>
  <c r="C5" i="51"/>
  <c r="E5" i="51" s="1"/>
  <c r="C35" i="51"/>
  <c r="D31" i="51"/>
  <c r="C30" i="51"/>
  <c r="D26" i="51"/>
  <c r="D21" i="51"/>
  <c r="D6" i="51"/>
  <c r="C31" i="51"/>
  <c r="C26" i="51"/>
  <c r="D22" i="51"/>
  <c r="C27" i="51"/>
  <c r="D23" i="51"/>
  <c r="C22" i="51"/>
  <c r="D18" i="51"/>
  <c r="D42" i="51"/>
  <c r="D37" i="51"/>
  <c r="C19" i="51"/>
  <c r="D15" i="51"/>
  <c r="C14" i="51"/>
  <c r="E14" i="51" s="1"/>
  <c r="O14" i="51" s="1"/>
  <c r="D10" i="51"/>
  <c r="C42" i="51"/>
  <c r="D38" i="51"/>
  <c r="E38" i="51" s="1"/>
  <c r="O38" i="51" s="1"/>
  <c r="D33" i="51"/>
  <c r="C15" i="51"/>
  <c r="D11" i="51"/>
  <c r="C10" i="51"/>
  <c r="C5" i="50" a="1"/>
  <c r="C8" i="50" s="1"/>
  <c r="D5" i="50" a="1"/>
  <c r="D11" i="50" s="1"/>
  <c r="K10" i="50"/>
  <c r="K18" i="50"/>
  <c r="K26" i="50"/>
  <c r="K34" i="50"/>
  <c r="K42" i="50"/>
  <c r="K11" i="50"/>
  <c r="K19" i="50"/>
  <c r="K27" i="50"/>
  <c r="K35" i="50"/>
  <c r="K5" i="50"/>
  <c r="K7" i="50"/>
  <c r="K13" i="50"/>
  <c r="K33" i="50"/>
  <c r="K39" i="50"/>
  <c r="K32" i="50"/>
  <c r="K38" i="50"/>
  <c r="K6" i="50"/>
  <c r="K12" i="50"/>
  <c r="K25" i="50"/>
  <c r="K31" i="50"/>
  <c r="K37" i="50"/>
  <c r="K24" i="50"/>
  <c r="K30" i="50"/>
  <c r="K36" i="50"/>
  <c r="K17" i="50"/>
  <c r="K23" i="50"/>
  <c r="K29" i="50"/>
  <c r="K16" i="50"/>
  <c r="K22" i="50"/>
  <c r="K28" i="50"/>
  <c r="K9" i="50"/>
  <c r="K15" i="50"/>
  <c r="K21" i="50"/>
  <c r="K41" i="50"/>
  <c r="K8" i="50"/>
  <c r="K14" i="50"/>
  <c r="K20" i="50"/>
  <c r="K40" i="50"/>
  <c r="F4" i="49"/>
  <c r="E42" i="51" l="1"/>
  <c r="O42" i="51" s="1"/>
  <c r="E11" i="51"/>
  <c r="O11" i="51" s="1"/>
  <c r="E30" i="51"/>
  <c r="O30" i="51" s="1"/>
  <c r="E27" i="51"/>
  <c r="O27" i="51" s="1"/>
  <c r="E33" i="51"/>
  <c r="O33" i="51" s="1"/>
  <c r="E6" i="51"/>
  <c r="O6" i="51" s="1"/>
  <c r="E22" i="51"/>
  <c r="O22" i="51" s="1"/>
  <c r="E39" i="51"/>
  <c r="O39" i="51" s="1"/>
  <c r="E37" i="51"/>
  <c r="O37" i="51" s="1"/>
  <c r="E36" i="51"/>
  <c r="O36" i="51" s="1"/>
  <c r="F5" i="53"/>
  <c r="F8" i="53"/>
  <c r="F12" i="53"/>
  <c r="F16" i="53"/>
  <c r="F20" i="53"/>
  <c r="F24" i="53"/>
  <c r="F28" i="53"/>
  <c r="F32" i="53"/>
  <c r="F36" i="53"/>
  <c r="F17" i="53"/>
  <c r="F18" i="53"/>
  <c r="F19" i="53"/>
  <c r="F33" i="53"/>
  <c r="F34" i="53"/>
  <c r="F35" i="53"/>
  <c r="F42" i="53"/>
  <c r="F15" i="53"/>
  <c r="F30" i="53"/>
  <c r="F31" i="53"/>
  <c r="F9" i="53"/>
  <c r="F10" i="53"/>
  <c r="F11" i="53"/>
  <c r="F25" i="53"/>
  <c r="F26" i="53"/>
  <c r="F27" i="53"/>
  <c r="F39" i="53"/>
  <c r="F13" i="53"/>
  <c r="F14" i="53"/>
  <c r="F29" i="53"/>
  <c r="F41" i="53"/>
  <c r="F6" i="53"/>
  <c r="F7" i="53"/>
  <c r="F21" i="53"/>
  <c r="F22" i="53"/>
  <c r="F23" i="53"/>
  <c r="F37" i="53"/>
  <c r="F38" i="53"/>
  <c r="F40" i="53"/>
  <c r="E24" i="51"/>
  <c r="O24" i="51" s="1"/>
  <c r="F6" i="52"/>
  <c r="F8" i="52"/>
  <c r="F10" i="52"/>
  <c r="F12" i="52"/>
  <c r="F14" i="52"/>
  <c r="F16" i="52"/>
  <c r="F18" i="52"/>
  <c r="F20" i="52"/>
  <c r="F22" i="52"/>
  <c r="F24" i="52"/>
  <c r="F26" i="52"/>
  <c r="F28" i="52"/>
  <c r="F30" i="52"/>
  <c r="F32" i="52"/>
  <c r="F34" i="52"/>
  <c r="F36" i="52"/>
  <c r="F38" i="52"/>
  <c r="F40" i="52"/>
  <c r="F42" i="52"/>
  <c r="F15" i="52"/>
  <c r="F23" i="52"/>
  <c r="F31" i="52"/>
  <c r="F41" i="52"/>
  <c r="F5" i="52"/>
  <c r="F29" i="52"/>
  <c r="F25" i="52"/>
  <c r="F19" i="52"/>
  <c r="F39" i="52"/>
  <c r="F33" i="52"/>
  <c r="F17" i="52"/>
  <c r="F35" i="52"/>
  <c r="F7" i="52"/>
  <c r="F9" i="52"/>
  <c r="F11" i="52"/>
  <c r="F13" i="52"/>
  <c r="F21" i="52"/>
  <c r="F27" i="52"/>
  <c r="F37" i="52"/>
  <c r="E19" i="51"/>
  <c r="O19" i="51" s="1"/>
  <c r="E21" i="51"/>
  <c r="O21" i="51" s="1"/>
  <c r="E20" i="51"/>
  <c r="O20" i="51" s="1"/>
  <c r="E18" i="51"/>
  <c r="O18" i="51" s="1"/>
  <c r="E23" i="51"/>
  <c r="O23" i="51" s="1"/>
  <c r="E41" i="51"/>
  <c r="O41" i="51" s="1"/>
  <c r="E40" i="51"/>
  <c r="O40" i="51" s="1"/>
  <c r="E8" i="51"/>
  <c r="O8" i="51" s="1"/>
  <c r="E32" i="51"/>
  <c r="O32" i="51" s="1"/>
  <c r="E28" i="51"/>
  <c r="O28" i="51" s="1"/>
  <c r="E10" i="51"/>
  <c r="O10" i="51" s="1"/>
  <c r="E35" i="51"/>
  <c r="O35" i="51" s="1"/>
  <c r="E29" i="51"/>
  <c r="O29" i="51" s="1"/>
  <c r="E26" i="51"/>
  <c r="O26" i="51" s="1"/>
  <c r="E7" i="51"/>
  <c r="O7" i="51" s="1"/>
  <c r="E17" i="51"/>
  <c r="O17" i="51" s="1"/>
  <c r="O5" i="51"/>
  <c r="E15" i="51"/>
  <c r="O15" i="51" s="1"/>
  <c r="E31" i="51"/>
  <c r="O31" i="51" s="1"/>
  <c r="E13" i="51"/>
  <c r="O13" i="51" s="1"/>
  <c r="E16" i="51"/>
  <c r="O16" i="51" s="1"/>
  <c r="E34" i="51"/>
  <c r="O34" i="51" s="1"/>
  <c r="E25" i="51"/>
  <c r="O25" i="51" s="1"/>
  <c r="E9" i="51"/>
  <c r="O9" i="51" s="1"/>
  <c r="E12" i="51"/>
  <c r="O12" i="51" s="1"/>
  <c r="C29" i="50"/>
  <c r="D42" i="50"/>
  <c r="C24" i="50"/>
  <c r="C12" i="50"/>
  <c r="D5" i="50"/>
  <c r="C42" i="50"/>
  <c r="D23" i="50"/>
  <c r="C37" i="50"/>
  <c r="D10" i="50"/>
  <c r="C11" i="50"/>
  <c r="E11" i="50" s="1"/>
  <c r="O11" i="50" s="1"/>
  <c r="D36" i="50"/>
  <c r="D17" i="50"/>
  <c r="C36" i="50"/>
  <c r="C17" i="50"/>
  <c r="C10" i="50"/>
  <c r="C35" i="50"/>
  <c r="D16" i="50"/>
  <c r="C9" i="50"/>
  <c r="C16" i="50"/>
  <c r="C41" i="50"/>
  <c r="C18" i="50"/>
  <c r="C5" i="50"/>
  <c r="X40" i="50"/>
  <c r="X20" i="50"/>
  <c r="X14" i="50"/>
  <c r="X8" i="50"/>
  <c r="X41" i="50"/>
  <c r="X21" i="50"/>
  <c r="X15" i="50"/>
  <c r="X9" i="50"/>
  <c r="X28" i="50"/>
  <c r="X22" i="50"/>
  <c r="X16" i="50"/>
  <c r="X29" i="50"/>
  <c r="X23" i="50"/>
  <c r="X17" i="50"/>
  <c r="X36" i="50"/>
  <c r="X30" i="50"/>
  <c r="X24" i="50"/>
  <c r="X37" i="50"/>
  <c r="X31" i="50"/>
  <c r="X25" i="50"/>
  <c r="X12" i="50"/>
  <c r="X6" i="50"/>
  <c r="X38" i="50"/>
  <c r="X32" i="50"/>
  <c r="X39" i="50"/>
  <c r="X33" i="50"/>
  <c r="X13" i="50"/>
  <c r="X7" i="50"/>
  <c r="P5" i="50" a="1"/>
  <c r="X5" i="50"/>
  <c r="X35" i="50"/>
  <c r="X27" i="50"/>
  <c r="X19" i="50"/>
  <c r="X11" i="50"/>
  <c r="X42" i="50"/>
  <c r="X34" i="50"/>
  <c r="X26" i="50"/>
  <c r="X18" i="50"/>
  <c r="X10" i="50"/>
  <c r="D13" i="50"/>
  <c r="D21" i="50"/>
  <c r="D29" i="50"/>
  <c r="D37" i="50"/>
  <c r="D6" i="50"/>
  <c r="D14" i="50"/>
  <c r="D22" i="50"/>
  <c r="D30" i="50"/>
  <c r="D38" i="50"/>
  <c r="D31" i="50"/>
  <c r="D25" i="50"/>
  <c r="D19" i="50"/>
  <c r="D32" i="50"/>
  <c r="D26" i="50"/>
  <c r="C25" i="50"/>
  <c r="D20" i="50"/>
  <c r="C19" i="50"/>
  <c r="C13" i="50"/>
  <c r="D39" i="50"/>
  <c r="D33" i="50"/>
  <c r="C32" i="50"/>
  <c r="E32" i="50" s="1"/>
  <c r="O32" i="50" s="1"/>
  <c r="D27" i="50"/>
  <c r="C26" i="50"/>
  <c r="C20" i="50"/>
  <c r="D7" i="50"/>
  <c r="D40" i="50"/>
  <c r="D34" i="50"/>
  <c r="C33" i="50"/>
  <c r="E33" i="50" s="1"/>
  <c r="O33" i="50" s="1"/>
  <c r="D28" i="50"/>
  <c r="C27" i="50"/>
  <c r="C21" i="50"/>
  <c r="D8" i="50"/>
  <c r="E8" i="50" s="1"/>
  <c r="D41" i="50"/>
  <c r="C40" i="50"/>
  <c r="E40" i="50" s="1"/>
  <c r="O40" i="50" s="1"/>
  <c r="D35" i="50"/>
  <c r="E35" i="50" s="1"/>
  <c r="O35" i="50" s="1"/>
  <c r="C34" i="50"/>
  <c r="C28" i="50"/>
  <c r="E28" i="50" s="1"/>
  <c r="O28" i="50" s="1"/>
  <c r="D15" i="50"/>
  <c r="D9" i="50"/>
  <c r="D24" i="50"/>
  <c r="D18" i="50"/>
  <c r="D12" i="50"/>
  <c r="C6" i="50"/>
  <c r="C14" i="50"/>
  <c r="C22" i="50"/>
  <c r="C30" i="50"/>
  <c r="C38" i="50"/>
  <c r="C7" i="50"/>
  <c r="C15" i="50"/>
  <c r="C23" i="50"/>
  <c r="C31" i="50"/>
  <c r="C39" i="50"/>
  <c r="C5" i="49" a="1"/>
  <c r="C5" i="49" s="1"/>
  <c r="D5" i="49" a="1"/>
  <c r="D15" i="49" s="1"/>
  <c r="K10" i="49"/>
  <c r="K18" i="49"/>
  <c r="K26" i="49"/>
  <c r="K34" i="49"/>
  <c r="K42" i="49"/>
  <c r="K11" i="49"/>
  <c r="K19" i="49"/>
  <c r="K27" i="49"/>
  <c r="K35" i="49"/>
  <c r="K5" i="49"/>
  <c r="K16" i="49"/>
  <c r="K22" i="49"/>
  <c r="K28" i="49"/>
  <c r="K41" i="49"/>
  <c r="K29" i="49"/>
  <c r="K9" i="49"/>
  <c r="K15" i="49"/>
  <c r="K21" i="49"/>
  <c r="K8" i="49"/>
  <c r="K14" i="49"/>
  <c r="K20" i="49"/>
  <c r="K40" i="49"/>
  <c r="K7" i="49"/>
  <c r="K13" i="49"/>
  <c r="K33" i="49"/>
  <c r="K39" i="49"/>
  <c r="K12" i="49"/>
  <c r="K32" i="49"/>
  <c r="K38" i="49"/>
  <c r="K6" i="49"/>
  <c r="K25" i="49"/>
  <c r="K31" i="49"/>
  <c r="K37" i="49"/>
  <c r="K24" i="49"/>
  <c r="K30" i="49"/>
  <c r="K36" i="49"/>
  <c r="K17" i="49"/>
  <c r="K23" i="49"/>
  <c r="F4" i="48"/>
  <c r="E29" i="50" l="1"/>
  <c r="O29" i="50" s="1"/>
  <c r="E31" i="50"/>
  <c r="O31" i="50" s="1"/>
  <c r="E27" i="50"/>
  <c r="O27" i="50" s="1"/>
  <c r="E41" i="50"/>
  <c r="O41" i="50" s="1"/>
  <c r="E7" i="50"/>
  <c r="O7" i="50" s="1"/>
  <c r="E24" i="50"/>
  <c r="O24" i="50" s="1"/>
  <c r="E17" i="50"/>
  <c r="O17" i="50" s="1"/>
  <c r="E9" i="50"/>
  <c r="O9" i="50" s="1"/>
  <c r="E21" i="50"/>
  <c r="O21" i="50" s="1"/>
  <c r="E26" i="50"/>
  <c r="O26" i="50" s="1"/>
  <c r="E25" i="50"/>
  <c r="O25" i="50" s="1"/>
  <c r="E37" i="50"/>
  <c r="O37" i="50" s="1"/>
  <c r="E5" i="50"/>
  <c r="O5" i="50" s="1"/>
  <c r="E10" i="50"/>
  <c r="O10" i="50" s="1"/>
  <c r="E42" i="50"/>
  <c r="O42" i="50" s="1"/>
  <c r="E16" i="50"/>
  <c r="O16" i="50" s="1"/>
  <c r="E20" i="50"/>
  <c r="O20" i="50" s="1"/>
  <c r="E36" i="50"/>
  <c r="O36" i="50" s="1"/>
  <c r="E6" i="50"/>
  <c r="O6" i="50" s="1"/>
  <c r="E23" i="50"/>
  <c r="O23" i="50" s="1"/>
  <c r="E12" i="50"/>
  <c r="O12" i="50" s="1"/>
  <c r="E18" i="50"/>
  <c r="O18" i="50" s="1"/>
  <c r="F5" i="51" a="1"/>
  <c r="E22" i="50"/>
  <c r="O22" i="50" s="1"/>
  <c r="E39" i="50"/>
  <c r="O39" i="50" s="1"/>
  <c r="E14" i="50"/>
  <c r="O14" i="50" s="1"/>
  <c r="E34" i="50"/>
  <c r="O34" i="50" s="1"/>
  <c r="O8" i="50"/>
  <c r="E15" i="50"/>
  <c r="O15" i="50" s="1"/>
  <c r="E38" i="50"/>
  <c r="O38" i="50" s="1"/>
  <c r="E13" i="50"/>
  <c r="O13" i="50" s="1"/>
  <c r="E30" i="50"/>
  <c r="O30" i="50" s="1"/>
  <c r="E19" i="50"/>
  <c r="O19" i="50" s="1"/>
  <c r="P8" i="50"/>
  <c r="P16" i="50"/>
  <c r="P24" i="50"/>
  <c r="P32" i="50"/>
  <c r="P40" i="50"/>
  <c r="P9" i="50"/>
  <c r="P17" i="50"/>
  <c r="P25" i="50"/>
  <c r="P33" i="50"/>
  <c r="P41" i="50"/>
  <c r="P15" i="50"/>
  <c r="P21" i="50"/>
  <c r="P27" i="50"/>
  <c r="P14" i="50"/>
  <c r="P20" i="50"/>
  <c r="P26" i="50"/>
  <c r="P13" i="50"/>
  <c r="P39" i="50"/>
  <c r="P7" i="50"/>
  <c r="P19" i="50"/>
  <c r="P6" i="50"/>
  <c r="P12" i="50"/>
  <c r="P18" i="50"/>
  <c r="P38" i="50"/>
  <c r="P11" i="50"/>
  <c r="P31" i="50"/>
  <c r="P37" i="50"/>
  <c r="P5" i="50"/>
  <c r="P10" i="50"/>
  <c r="P30" i="50"/>
  <c r="P36" i="50"/>
  <c r="P42" i="50"/>
  <c r="P23" i="50"/>
  <c r="P29" i="50"/>
  <c r="P35" i="50"/>
  <c r="P22" i="50"/>
  <c r="P28" i="50"/>
  <c r="P34" i="50"/>
  <c r="C33" i="49"/>
  <c r="C19" i="49"/>
  <c r="C13" i="49"/>
  <c r="C28" i="49"/>
  <c r="C9" i="49"/>
  <c r="C34" i="49"/>
  <c r="C20" i="49"/>
  <c r="C32" i="49"/>
  <c r="C29" i="49"/>
  <c r="C41" i="49"/>
  <c r="C27" i="49"/>
  <c r="C8" i="49"/>
  <c r="C21" i="49"/>
  <c r="C40" i="49"/>
  <c r="C26" i="49"/>
  <c r="C35" i="49"/>
  <c r="C25" i="49"/>
  <c r="X23" i="49"/>
  <c r="X17" i="49"/>
  <c r="X36" i="49"/>
  <c r="X30" i="49"/>
  <c r="X24" i="49"/>
  <c r="X37" i="49"/>
  <c r="X31" i="49"/>
  <c r="X25" i="49"/>
  <c r="X6" i="49"/>
  <c r="X38" i="49"/>
  <c r="X32" i="49"/>
  <c r="X12" i="49"/>
  <c r="X39" i="49"/>
  <c r="X33" i="49"/>
  <c r="X13" i="49"/>
  <c r="X7" i="49"/>
  <c r="X40" i="49"/>
  <c r="X20" i="49"/>
  <c r="X14" i="49"/>
  <c r="X8" i="49"/>
  <c r="X21" i="49"/>
  <c r="X15" i="49"/>
  <c r="X9" i="49"/>
  <c r="X29" i="49"/>
  <c r="X41" i="49"/>
  <c r="X28" i="49"/>
  <c r="X22" i="49"/>
  <c r="X16" i="49"/>
  <c r="P5" i="49" a="1"/>
  <c r="X5" i="49"/>
  <c r="X35" i="49"/>
  <c r="X27" i="49"/>
  <c r="X19" i="49"/>
  <c r="X11" i="49"/>
  <c r="X42" i="49"/>
  <c r="X34" i="49"/>
  <c r="X26" i="49"/>
  <c r="X18" i="49"/>
  <c r="X10" i="49"/>
  <c r="D34" i="49"/>
  <c r="D28" i="49"/>
  <c r="D8" i="49"/>
  <c r="D5" i="49"/>
  <c r="E5" i="49" s="1"/>
  <c r="D13" i="49"/>
  <c r="D21" i="49"/>
  <c r="D29" i="49"/>
  <c r="D37" i="49"/>
  <c r="D6" i="49"/>
  <c r="D14" i="49"/>
  <c r="D22" i="49"/>
  <c r="D30" i="49"/>
  <c r="D38" i="49"/>
  <c r="D7" i="49"/>
  <c r="D41" i="49"/>
  <c r="D35" i="49"/>
  <c r="D9" i="49"/>
  <c r="D42" i="49"/>
  <c r="D36" i="49"/>
  <c r="D16" i="49"/>
  <c r="D10" i="49"/>
  <c r="C6" i="49"/>
  <c r="C14" i="49"/>
  <c r="C22" i="49"/>
  <c r="C30" i="49"/>
  <c r="C38" i="49"/>
  <c r="C7" i="49"/>
  <c r="C15" i="49"/>
  <c r="E15" i="49" s="1"/>
  <c r="O15" i="49" s="1"/>
  <c r="C23" i="49"/>
  <c r="C31" i="49"/>
  <c r="C39" i="49"/>
  <c r="C42" i="49"/>
  <c r="C36" i="49"/>
  <c r="D23" i="49"/>
  <c r="D17" i="49"/>
  <c r="C16" i="49"/>
  <c r="E16" i="49" s="1"/>
  <c r="O16" i="49" s="1"/>
  <c r="D11" i="49"/>
  <c r="C10" i="49"/>
  <c r="C37" i="49"/>
  <c r="D24" i="49"/>
  <c r="D18" i="49"/>
  <c r="C17" i="49"/>
  <c r="D12" i="49"/>
  <c r="C11" i="49"/>
  <c r="D31" i="49"/>
  <c r="D25" i="49"/>
  <c r="C24" i="49"/>
  <c r="D19" i="49"/>
  <c r="C18" i="49"/>
  <c r="E18" i="49" s="1"/>
  <c r="O18" i="49" s="1"/>
  <c r="C12" i="49"/>
  <c r="D32" i="49"/>
  <c r="D26" i="49"/>
  <c r="D20" i="49"/>
  <c r="D40" i="49"/>
  <c r="D39" i="49"/>
  <c r="D33" i="49"/>
  <c r="D27" i="49"/>
  <c r="E5" i="48"/>
  <c r="O5" i="48" s="1"/>
  <c r="E6" i="48"/>
  <c r="O6" i="48" s="1"/>
  <c r="E7" i="48"/>
  <c r="O7" i="48" s="1"/>
  <c r="E8" i="48"/>
  <c r="O8" i="48" s="1"/>
  <c r="E9" i="48"/>
  <c r="O9" i="48" s="1"/>
  <c r="E10" i="48"/>
  <c r="O10" i="48" s="1"/>
  <c r="E11" i="48"/>
  <c r="O11" i="48" s="1"/>
  <c r="Q32" i="50"/>
  <c r="Q27" i="50"/>
  <c r="Q10" i="50"/>
  <c r="Q9" i="50"/>
  <c r="Q12" i="50"/>
  <c r="Q34" i="50"/>
  <c r="Q17" i="50"/>
  <c r="Q20" i="50"/>
  <c r="Q18" i="50"/>
  <c r="Q36" i="50"/>
  <c r="Q25" i="50"/>
  <c r="Q26" i="50"/>
  <c r="Q38" i="50"/>
  <c r="Q42" i="50"/>
  <c r="Q8" i="50"/>
  <c r="Q33" i="50"/>
  <c r="Q13" i="50"/>
  <c r="Q11" i="50"/>
  <c r="Q23" i="50"/>
  <c r="Q16" i="50"/>
  <c r="Q41" i="50"/>
  <c r="Q39" i="50"/>
  <c r="Q31" i="50"/>
  <c r="Q29" i="50"/>
  <c r="Q24" i="50"/>
  <c r="Q15" i="50"/>
  <c r="Q7" i="50"/>
  <c r="Q37" i="50"/>
  <c r="Q35" i="50"/>
  <c r="Q21" i="50"/>
  <c r="Q19" i="50"/>
  <c r="Q5" i="50"/>
  <c r="Q22" i="50"/>
  <c r="Q40" i="50"/>
  <c r="Q6" i="50"/>
  <c r="Q28" i="50"/>
  <c r="Q14" i="50"/>
  <c r="Q30" i="50"/>
  <c r="K5" i="48"/>
  <c r="K6" i="48"/>
  <c r="K8" i="48"/>
  <c r="K7" i="48"/>
  <c r="K11" i="48"/>
  <c r="K10" i="48"/>
  <c r="K9" i="48"/>
  <c r="F4" i="47"/>
  <c r="E32" i="49" l="1"/>
  <c r="O32" i="49" s="1"/>
  <c r="E27" i="49"/>
  <c r="O27" i="49" s="1"/>
  <c r="E28" i="49"/>
  <c r="O28" i="49" s="1"/>
  <c r="E37" i="49"/>
  <c r="O37" i="49" s="1"/>
  <c r="E34" i="49"/>
  <c r="O34" i="49" s="1"/>
  <c r="E26" i="49"/>
  <c r="O26" i="49" s="1"/>
  <c r="E20" i="49"/>
  <c r="O20" i="49" s="1"/>
  <c r="E8" i="49"/>
  <c r="O8" i="49" s="1"/>
  <c r="E25" i="49"/>
  <c r="O25" i="49" s="1"/>
  <c r="E9" i="49"/>
  <c r="O9" i="49" s="1"/>
  <c r="E40" i="49"/>
  <c r="O40" i="49" s="1"/>
  <c r="E21" i="49"/>
  <c r="O21" i="49" s="1"/>
  <c r="E29" i="49"/>
  <c r="O29" i="49" s="1"/>
  <c r="E35" i="49"/>
  <c r="O35" i="49" s="1"/>
  <c r="F8" i="51"/>
  <c r="F7" i="51"/>
  <c r="F11" i="51"/>
  <c r="F15" i="51"/>
  <c r="F19" i="51"/>
  <c r="F23" i="51"/>
  <c r="F27" i="51"/>
  <c r="F31" i="51"/>
  <c r="F35" i="51"/>
  <c r="F39" i="51"/>
  <c r="F5" i="51"/>
  <c r="F6" i="51"/>
  <c r="F16" i="51"/>
  <c r="F20" i="51"/>
  <c r="F25" i="51"/>
  <c r="F30" i="51"/>
  <c r="F24" i="51"/>
  <c r="F29" i="51"/>
  <c r="F34" i="51"/>
  <c r="F10" i="51"/>
  <c r="F32" i="51"/>
  <c r="F37" i="51"/>
  <c r="F14" i="51"/>
  <c r="F36" i="51"/>
  <c r="F9" i="51"/>
  <c r="F13" i="51"/>
  <c r="F18" i="51"/>
  <c r="F40" i="51"/>
  <c r="F12" i="51"/>
  <c r="F17" i="51"/>
  <c r="F22" i="51"/>
  <c r="F21" i="51"/>
  <c r="F26" i="51"/>
  <c r="F28" i="51"/>
  <c r="F33" i="51"/>
  <c r="F38" i="51"/>
  <c r="F42" i="51"/>
  <c r="F41" i="51"/>
  <c r="E38" i="49"/>
  <c r="O38" i="49" s="1"/>
  <c r="E33" i="49"/>
  <c r="O33" i="49" s="1"/>
  <c r="E19" i="49"/>
  <c r="O19" i="49" s="1"/>
  <c r="E41" i="49"/>
  <c r="O41" i="49" s="1"/>
  <c r="E13" i="49"/>
  <c r="O13" i="49" s="1"/>
  <c r="F5" i="50" a="1"/>
  <c r="E12" i="49"/>
  <c r="O12" i="49" s="1"/>
  <c r="E17" i="49"/>
  <c r="O17" i="49" s="1"/>
  <c r="E36" i="49"/>
  <c r="O36" i="49" s="1"/>
  <c r="E30" i="49"/>
  <c r="O30" i="49" s="1"/>
  <c r="E7" i="49"/>
  <c r="O7" i="49" s="1"/>
  <c r="E10" i="49"/>
  <c r="O10" i="49" s="1"/>
  <c r="E31" i="49"/>
  <c r="O31" i="49" s="1"/>
  <c r="E24" i="49"/>
  <c r="O24" i="49" s="1"/>
  <c r="E42" i="49"/>
  <c r="O42" i="49" s="1"/>
  <c r="E22" i="49"/>
  <c r="O22" i="49" s="1"/>
  <c r="E39" i="49"/>
  <c r="O39" i="49" s="1"/>
  <c r="E14" i="49"/>
  <c r="O14" i="49" s="1"/>
  <c r="E6" i="49"/>
  <c r="O6" i="49" s="1"/>
  <c r="E23" i="49"/>
  <c r="O23" i="49" s="1"/>
  <c r="E11" i="49"/>
  <c r="O11" i="49" s="1"/>
  <c r="O5" i="49"/>
  <c r="P8" i="49"/>
  <c r="P16" i="49"/>
  <c r="P24" i="49"/>
  <c r="P32" i="49"/>
  <c r="P40" i="49"/>
  <c r="P9" i="49"/>
  <c r="P17" i="49"/>
  <c r="P25" i="49"/>
  <c r="P33" i="49"/>
  <c r="P41" i="49"/>
  <c r="P10" i="49"/>
  <c r="P30" i="49"/>
  <c r="P36" i="49"/>
  <c r="P42" i="49"/>
  <c r="P23" i="49"/>
  <c r="P29" i="49"/>
  <c r="P35" i="49"/>
  <c r="P31" i="49"/>
  <c r="P5" i="49"/>
  <c r="P22" i="49"/>
  <c r="P28" i="49"/>
  <c r="P34" i="49"/>
  <c r="P15" i="49"/>
  <c r="P21" i="49"/>
  <c r="P27" i="49"/>
  <c r="P14" i="49"/>
  <c r="P20" i="49"/>
  <c r="P26" i="49"/>
  <c r="P7" i="49"/>
  <c r="P13" i="49"/>
  <c r="P19" i="49"/>
  <c r="P18" i="49"/>
  <c r="P38" i="49"/>
  <c r="P39" i="49"/>
  <c r="P12" i="49"/>
  <c r="P6" i="49"/>
  <c r="P11" i="49"/>
  <c r="P37" i="49"/>
  <c r="X9" i="48"/>
  <c r="X10" i="48"/>
  <c r="X11" i="48"/>
  <c r="X7" i="48"/>
  <c r="X8" i="48"/>
  <c r="X6" i="48"/>
  <c r="P5" i="48" a="1"/>
  <c r="X5" i="48"/>
  <c r="F5" i="48" a="1"/>
  <c r="E5" i="47"/>
  <c r="O5" i="47" s="1"/>
  <c r="E6" i="47"/>
  <c r="O6" i="47" s="1"/>
  <c r="E7" i="47"/>
  <c r="O7" i="47" s="1"/>
  <c r="E8" i="47"/>
  <c r="O8" i="47" s="1"/>
  <c r="E9" i="47"/>
  <c r="O9" i="47" s="1"/>
  <c r="E10" i="47"/>
  <c r="O10" i="47" s="1"/>
  <c r="E11" i="47"/>
  <c r="O11" i="47" s="1"/>
  <c r="E12" i="47"/>
  <c r="O12" i="47" s="1"/>
  <c r="E13" i="47"/>
  <c r="O13" i="47" s="1"/>
  <c r="E14" i="47"/>
  <c r="O14" i="47" s="1"/>
  <c r="E15" i="47"/>
  <c r="O15" i="47" s="1"/>
  <c r="E16" i="47"/>
  <c r="O16" i="47" s="1"/>
  <c r="E17" i="47"/>
  <c r="O17" i="47" s="1"/>
  <c r="E18" i="47"/>
  <c r="O18" i="47" s="1"/>
  <c r="Q16" i="49"/>
  <c r="Q41" i="49"/>
  <c r="Q31" i="49"/>
  <c r="Q14" i="49"/>
  <c r="Q39" i="49"/>
  <c r="Q29" i="49"/>
  <c r="Q24" i="49"/>
  <c r="Q10" i="49"/>
  <c r="Q5" i="49"/>
  <c r="Q20" i="49"/>
  <c r="Q12" i="49"/>
  <c r="Q18" i="49"/>
  <c r="Q33" i="49"/>
  <c r="Q38" i="49"/>
  <c r="Q32" i="49"/>
  <c r="Q30" i="49"/>
  <c r="Q22" i="49"/>
  <c r="Q26" i="49"/>
  <c r="Q6" i="49"/>
  <c r="Q40" i="49"/>
  <c r="Q36" i="49"/>
  <c r="Q28" i="49"/>
  <c r="Q7" i="49"/>
  <c r="Q11" i="49"/>
  <c r="Q9" i="49"/>
  <c r="Q42" i="49"/>
  <c r="Q34" i="49"/>
  <c r="Q13" i="49"/>
  <c r="Q37" i="49"/>
  <c r="Q27" i="49"/>
  <c r="Q17" i="49"/>
  <c r="Q23" i="49"/>
  <c r="Q15" i="49"/>
  <c r="Q19" i="49"/>
  <c r="Q25" i="49"/>
  <c r="Q21" i="49"/>
  <c r="Q8" i="49"/>
  <c r="Q35" i="49"/>
  <c r="K8" i="47"/>
  <c r="K5" i="47"/>
  <c r="K6" i="47"/>
  <c r="K14" i="47"/>
  <c r="K13" i="47"/>
  <c r="K12" i="47"/>
  <c r="K18" i="47"/>
  <c r="K11" i="47"/>
  <c r="K10" i="47"/>
  <c r="K17" i="47"/>
  <c r="K9" i="47"/>
  <c r="K16" i="47"/>
  <c r="K7" i="47"/>
  <c r="K15" i="47"/>
  <c r="B4" i="46"/>
  <c r="F11" i="50" l="1"/>
  <c r="F19" i="50"/>
  <c r="F27" i="50"/>
  <c r="F35" i="50"/>
  <c r="F5" i="50"/>
  <c r="F12" i="50"/>
  <c r="F20" i="50"/>
  <c r="F28" i="50"/>
  <c r="F36" i="50"/>
  <c r="F6" i="50"/>
  <c r="F26" i="50"/>
  <c r="F32" i="50"/>
  <c r="F38" i="50"/>
  <c r="F25" i="50"/>
  <c r="F31" i="50"/>
  <c r="F37" i="50"/>
  <c r="F18" i="50"/>
  <c r="F24" i="50"/>
  <c r="F30" i="50"/>
  <c r="F17" i="50"/>
  <c r="F23" i="50"/>
  <c r="F29" i="50"/>
  <c r="F10" i="50"/>
  <c r="F16" i="50"/>
  <c r="F22" i="50"/>
  <c r="F42" i="50"/>
  <c r="F9" i="50"/>
  <c r="F15" i="50"/>
  <c r="F21" i="50"/>
  <c r="F41" i="50"/>
  <c r="F8" i="50"/>
  <c r="F14" i="50"/>
  <c r="F34" i="50"/>
  <c r="F40" i="50"/>
  <c r="F7" i="50"/>
  <c r="F13" i="50"/>
  <c r="F33" i="50"/>
  <c r="F39" i="50"/>
  <c r="F5" i="49" a="1"/>
  <c r="F7" i="48"/>
  <c r="F6" i="48"/>
  <c r="F11" i="48"/>
  <c r="F10" i="48"/>
  <c r="F9" i="48"/>
  <c r="F8" i="48"/>
  <c r="F5" i="48"/>
  <c r="P7" i="48"/>
  <c r="P10" i="48"/>
  <c r="P9" i="48"/>
  <c r="P8" i="48"/>
  <c r="P6" i="48"/>
  <c r="P5" i="48"/>
  <c r="P11" i="48"/>
  <c r="F5" i="47" a="1"/>
  <c r="F13" i="47" s="1"/>
  <c r="X15" i="47"/>
  <c r="X7" i="47"/>
  <c r="X9" i="47"/>
  <c r="X10" i="47"/>
  <c r="X11" i="47"/>
  <c r="X12" i="47"/>
  <c r="X13" i="47"/>
  <c r="X14" i="47"/>
  <c r="X6" i="47"/>
  <c r="P5" i="47" a="1"/>
  <c r="X5" i="47"/>
  <c r="X8" i="47"/>
  <c r="B5" i="46"/>
  <c r="F5" i="46"/>
  <c r="K5" i="46" s="1" a="1"/>
  <c r="K6" i="46" s="1"/>
  <c r="J5" i="46"/>
  <c r="J6" i="46"/>
  <c r="Q11" i="48"/>
  <c r="Q7" i="48"/>
  <c r="Q10" i="48"/>
  <c r="Q9" i="48"/>
  <c r="Q8" i="48"/>
  <c r="Q6" i="48"/>
  <c r="Q5" i="48"/>
  <c r="L6" i="46"/>
  <c r="F5" i="45"/>
  <c r="L6" i="45"/>
  <c r="E6" i="45" a="1"/>
  <c r="L9" i="45"/>
  <c r="L17" i="45"/>
  <c r="L25" i="45"/>
  <c r="L40" i="45"/>
  <c r="L43" i="45"/>
  <c r="L33" i="45"/>
  <c r="L37" i="45"/>
  <c r="L42" i="45"/>
  <c r="L21" i="45"/>
  <c r="L29" i="45"/>
  <c r="L16" i="45"/>
  <c r="L44" i="45"/>
  <c r="L11" i="45"/>
  <c r="L27" i="45"/>
  <c r="L14" i="45"/>
  <c r="L30" i="45"/>
  <c r="L36" i="45"/>
  <c r="L12" i="45"/>
  <c r="L20" i="45"/>
  <c r="L28" i="45"/>
  <c r="L45" i="45"/>
  <c r="L18" i="45"/>
  <c r="L26" i="45"/>
  <c r="L35" i="45"/>
  <c r="L47" i="45"/>
  <c r="L34" i="45"/>
  <c r="L46" i="45"/>
  <c r="L7" i="45"/>
  <c r="L15" i="45"/>
  <c r="L23" i="45"/>
  <c r="L10" i="45"/>
  <c r="L31" i="45"/>
  <c r="L39" i="45"/>
  <c r="L13" i="45"/>
  <c r="L8" i="45"/>
  <c r="L24" i="45"/>
  <c r="L19" i="45"/>
  <c r="L22" i="45"/>
  <c r="L32" i="45"/>
  <c r="L38" i="45"/>
  <c r="L41" i="45"/>
  <c r="F5" i="44"/>
  <c r="F11" i="49" l="1"/>
  <c r="F19" i="49"/>
  <c r="F27" i="49"/>
  <c r="F35" i="49"/>
  <c r="F5" i="49"/>
  <c r="F12" i="49"/>
  <c r="F20" i="49"/>
  <c r="F28" i="49"/>
  <c r="F36" i="49"/>
  <c r="F9" i="49"/>
  <c r="F15" i="49"/>
  <c r="F21" i="49"/>
  <c r="F41" i="49"/>
  <c r="F16" i="49"/>
  <c r="F22" i="49"/>
  <c r="F8" i="49"/>
  <c r="F14" i="49"/>
  <c r="F34" i="49"/>
  <c r="F40" i="49"/>
  <c r="F7" i="49"/>
  <c r="F13" i="49"/>
  <c r="F33" i="49"/>
  <c r="F39" i="49"/>
  <c r="F26" i="49"/>
  <c r="F32" i="49"/>
  <c r="F38" i="49"/>
  <c r="F6" i="49"/>
  <c r="F25" i="49"/>
  <c r="F31" i="49"/>
  <c r="F37" i="49"/>
  <c r="F18" i="49"/>
  <c r="F30" i="49"/>
  <c r="F17" i="49"/>
  <c r="F23" i="49"/>
  <c r="F29" i="49"/>
  <c r="F24" i="49"/>
  <c r="F10" i="49"/>
  <c r="F42" i="49"/>
  <c r="F9" i="47"/>
  <c r="F5" i="47"/>
  <c r="F10" i="47"/>
  <c r="F8" i="47"/>
  <c r="F16" i="47"/>
  <c r="F11" i="47"/>
  <c r="F17" i="47"/>
  <c r="F7" i="47"/>
  <c r="F18" i="47"/>
  <c r="F14" i="47"/>
  <c r="F6" i="47"/>
  <c r="F12" i="47"/>
  <c r="F15" i="47"/>
  <c r="P10" i="47"/>
  <c r="P17" i="47"/>
  <c r="P8" i="47"/>
  <c r="P16" i="47"/>
  <c r="P7" i="47"/>
  <c r="P15" i="47"/>
  <c r="P6" i="47"/>
  <c r="P14" i="47"/>
  <c r="P5" i="47"/>
  <c r="P13" i="47"/>
  <c r="P12" i="47"/>
  <c r="P18" i="47"/>
  <c r="P11" i="47"/>
  <c r="P9" i="47"/>
  <c r="K5" i="46"/>
  <c r="X41" i="45"/>
  <c r="X38" i="45"/>
  <c r="X32" i="45"/>
  <c r="X22" i="45"/>
  <c r="X19" i="45"/>
  <c r="X24" i="45"/>
  <c r="X8" i="45"/>
  <c r="X13" i="45"/>
  <c r="X39" i="45"/>
  <c r="X31" i="45"/>
  <c r="X10" i="45"/>
  <c r="X23" i="45"/>
  <c r="X15" i="45"/>
  <c r="X7" i="45"/>
  <c r="X46" i="45"/>
  <c r="X34" i="45"/>
  <c r="X47" i="45"/>
  <c r="X35" i="45"/>
  <c r="X26" i="45"/>
  <c r="X18" i="45"/>
  <c r="X45" i="45"/>
  <c r="X28" i="45"/>
  <c r="X20" i="45"/>
  <c r="X12" i="45"/>
  <c r="X36" i="45"/>
  <c r="X30" i="45"/>
  <c r="X14" i="45"/>
  <c r="X27" i="45"/>
  <c r="X11" i="45"/>
  <c r="X44" i="45"/>
  <c r="X16" i="45"/>
  <c r="X29" i="45"/>
  <c r="X21" i="45"/>
  <c r="X42" i="45"/>
  <c r="X37" i="45"/>
  <c r="X33" i="45"/>
  <c r="X43" i="45"/>
  <c r="X40" i="45"/>
  <c r="X25" i="45"/>
  <c r="X17" i="45"/>
  <c r="X9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34" i="45"/>
  <c r="E35" i="45"/>
  <c r="E36" i="45"/>
  <c r="E37" i="45"/>
  <c r="E38" i="45"/>
  <c r="E39" i="45"/>
  <c r="E40" i="45"/>
  <c r="E41" i="45"/>
  <c r="E42" i="45"/>
  <c r="E43" i="45"/>
  <c r="E44" i="45"/>
  <c r="E45" i="45"/>
  <c r="E46" i="45"/>
  <c r="E47" i="45"/>
  <c r="X6" i="45"/>
  <c r="Q6" i="45" a="1"/>
  <c r="F2" i="43"/>
  <c r="Q16" i="47"/>
  <c r="Q18" i="47"/>
  <c r="Q7" i="47"/>
  <c r="Q11" i="47"/>
  <c r="Q15" i="47"/>
  <c r="Q9" i="47"/>
  <c r="Q6" i="47"/>
  <c r="Q14" i="47"/>
  <c r="Q10" i="47"/>
  <c r="Q5" i="47"/>
  <c r="Q17" i="47"/>
  <c r="Q13" i="47"/>
  <c r="Q8" i="47"/>
  <c r="Q12" i="47"/>
  <c r="L5" i="46"/>
  <c r="L3" i="46" s="1"/>
  <c r="L13" i="44"/>
  <c r="E6" i="44" a="1"/>
  <c r="L6" i="44"/>
  <c r="L7" i="44"/>
  <c r="L8" i="44"/>
  <c r="L9" i="44"/>
  <c r="L10" i="44"/>
  <c r="L12" i="44"/>
  <c r="L14" i="44"/>
  <c r="L16" i="44"/>
  <c r="L11" i="44"/>
  <c r="L15" i="44"/>
  <c r="L17" i="44"/>
  <c r="F4" i="43"/>
  <c r="Q11" i="45" l="1"/>
  <c r="Q19" i="45"/>
  <c r="Q27" i="45"/>
  <c r="Q41" i="45"/>
  <c r="Q20" i="45"/>
  <c r="Q28" i="45"/>
  <c r="Q7" i="45"/>
  <c r="Q15" i="45"/>
  <c r="Q10" i="45"/>
  <c r="Q26" i="45"/>
  <c r="Q31" i="45"/>
  <c r="Q33" i="45"/>
  <c r="Q35" i="45"/>
  <c r="Q39" i="45"/>
  <c r="Q42" i="45"/>
  <c r="Q47" i="45"/>
  <c r="Q24" i="45"/>
  <c r="Q44" i="45"/>
  <c r="Q6" i="45"/>
  <c r="Q14" i="45"/>
  <c r="Q22" i="45"/>
  <c r="Q30" i="45"/>
  <c r="Q32" i="45"/>
  <c r="Q34" i="45"/>
  <c r="Q36" i="45"/>
  <c r="Q38" i="45"/>
  <c r="Q46" i="45"/>
  <c r="Q12" i="45"/>
  <c r="Q23" i="45"/>
  <c r="Q45" i="45"/>
  <c r="Q21" i="45"/>
  <c r="Q8" i="45"/>
  <c r="Q9" i="45"/>
  <c r="Q17" i="45"/>
  <c r="Q25" i="45"/>
  <c r="Q40" i="45"/>
  <c r="Q43" i="45"/>
  <c r="Q18" i="45"/>
  <c r="Q37" i="45"/>
  <c r="Q13" i="45"/>
  <c r="Q29" i="45"/>
  <c r="Q16" i="45"/>
  <c r="X17" i="44"/>
  <c r="X15" i="44"/>
  <c r="X11" i="44"/>
  <c r="X16" i="44"/>
  <c r="X14" i="44"/>
  <c r="X12" i="44"/>
  <c r="X10" i="44"/>
  <c r="X9" i="44"/>
  <c r="X8" i="44"/>
  <c r="X7" i="44"/>
  <c r="Q6" i="44" a="1"/>
  <c r="X6" i="44"/>
  <c r="E16" i="44"/>
  <c r="E6" i="44"/>
  <c r="E7" i="44"/>
  <c r="E8" i="44"/>
  <c r="E9" i="44"/>
  <c r="E10" i="44"/>
  <c r="E11" i="44"/>
  <c r="E12" i="44"/>
  <c r="E13" i="44"/>
  <c r="E14" i="44"/>
  <c r="E15" i="44"/>
  <c r="E17" i="44"/>
  <c r="X13" i="44"/>
  <c r="E5" i="43"/>
  <c r="O5" i="43" s="1"/>
  <c r="E6" i="43"/>
  <c r="E7" i="43"/>
  <c r="O7" i="43" s="1"/>
  <c r="E8" i="43"/>
  <c r="O8" i="43" s="1"/>
  <c r="E9" i="43"/>
  <c r="O9" i="43" s="1"/>
  <c r="E10" i="43"/>
  <c r="O10" i="43" s="1"/>
  <c r="E11" i="43"/>
  <c r="O11" i="43" s="1"/>
  <c r="E12" i="43"/>
  <c r="O12" i="43" s="1"/>
  <c r="E13" i="43"/>
  <c r="O13" i="43" s="1"/>
  <c r="E14" i="43"/>
  <c r="O14" i="43" s="1"/>
  <c r="E15" i="43"/>
  <c r="O15" i="43" s="1"/>
  <c r="E16" i="43"/>
  <c r="O16" i="43" s="1"/>
  <c r="E17" i="43"/>
  <c r="O17" i="43" s="1"/>
  <c r="E18" i="43"/>
  <c r="O18" i="43" s="1"/>
  <c r="E19" i="43"/>
  <c r="O19" i="43" s="1"/>
  <c r="K9" i="43"/>
  <c r="K17" i="43"/>
  <c r="K8" i="43"/>
  <c r="K16" i="43"/>
  <c r="K7" i="43"/>
  <c r="K15" i="43"/>
  <c r="K6" i="43"/>
  <c r="K12" i="43"/>
  <c r="K19" i="43"/>
  <c r="K10" i="43"/>
  <c r="K18" i="43"/>
  <c r="K5" i="43"/>
  <c r="K14" i="43"/>
  <c r="K13" i="43"/>
  <c r="K11" i="43"/>
  <c r="C4" i="42"/>
  <c r="Q6" i="44" l="1"/>
  <c r="Q7" i="44"/>
  <c r="Q8" i="44"/>
  <c r="Q9" i="44"/>
  <c r="Q10" i="44"/>
  <c r="Q11" i="44"/>
  <c r="Q12" i="44"/>
  <c r="Q13" i="44"/>
  <c r="Q14" i="44"/>
  <c r="Q15" i="44"/>
  <c r="Q16" i="44"/>
  <c r="Q17" i="44"/>
  <c r="F5" i="43" a="1"/>
  <c r="F19" i="43" s="1"/>
  <c r="X11" i="43"/>
  <c r="X13" i="43"/>
  <c r="X14" i="43"/>
  <c r="X5" i="43"/>
  <c r="P5" i="43" a="1"/>
  <c r="X18" i="43"/>
  <c r="X10" i="43"/>
  <c r="X19" i="43"/>
  <c r="X12" i="43"/>
  <c r="X6" i="43"/>
  <c r="X15" i="43"/>
  <c r="X7" i="43"/>
  <c r="X16" i="43"/>
  <c r="X8" i="43"/>
  <c r="X17" i="43"/>
  <c r="X9" i="43"/>
  <c r="O6" i="43"/>
  <c r="D4" i="42"/>
  <c r="C5" i="42" a="1"/>
  <c r="C7" i="42" s="1"/>
  <c r="H5" i="42" a="1"/>
  <c r="H6" i="42" s="1"/>
  <c r="P5" i="42"/>
  <c r="C8" i="42" a="1"/>
  <c r="C8" i="42" s="1"/>
  <c r="C27" i="42"/>
  <c r="C5" i="42" l="1"/>
  <c r="F18" i="43"/>
  <c r="F7" i="43"/>
  <c r="F14" i="43"/>
  <c r="F8" i="43"/>
  <c r="F6" i="43"/>
  <c r="F10" i="43"/>
  <c r="F5" i="43"/>
  <c r="F12" i="43"/>
  <c r="F17" i="43"/>
  <c r="F11" i="43"/>
  <c r="F16" i="43"/>
  <c r="F13" i="43"/>
  <c r="F15" i="43"/>
  <c r="F9" i="43"/>
  <c r="P11" i="43"/>
  <c r="P19" i="43"/>
  <c r="P10" i="43"/>
  <c r="P18" i="43"/>
  <c r="P5" i="43"/>
  <c r="P9" i="43"/>
  <c r="P17" i="43"/>
  <c r="P8" i="43"/>
  <c r="P16" i="43"/>
  <c r="P6" i="43"/>
  <c r="P14" i="43"/>
  <c r="P13" i="43"/>
  <c r="P7" i="43"/>
  <c r="P15" i="43"/>
  <c r="P12" i="43"/>
  <c r="C6" i="42"/>
  <c r="H21" i="42"/>
  <c r="H19" i="42"/>
  <c r="H17" i="42"/>
  <c r="H15" i="42"/>
  <c r="H13" i="42"/>
  <c r="H11" i="42"/>
  <c r="H9" i="42"/>
  <c r="C21" i="42"/>
  <c r="C19" i="42"/>
  <c r="C17" i="42"/>
  <c r="C15" i="42"/>
  <c r="C13" i="42"/>
  <c r="C11" i="42"/>
  <c r="C9" i="42"/>
  <c r="H7" i="42"/>
  <c r="H22" i="42"/>
  <c r="H20" i="42"/>
  <c r="H18" i="42"/>
  <c r="H16" i="42"/>
  <c r="H14" i="42"/>
  <c r="H12" i="42"/>
  <c r="H10" i="42"/>
  <c r="H8" i="42"/>
  <c r="C22" i="42"/>
  <c r="C20" i="42"/>
  <c r="C18" i="42"/>
  <c r="C16" i="42"/>
  <c r="C14" i="42"/>
  <c r="C12" i="42"/>
  <c r="C10" i="42"/>
  <c r="H5" i="42"/>
  <c r="F28" i="42"/>
  <c r="D5" i="42" s="1"/>
  <c r="F29" i="42"/>
  <c r="D6" i="42" s="1"/>
  <c r="F30" i="42"/>
  <c r="D7" i="42" s="1"/>
  <c r="Q18" i="43"/>
  <c r="Q13" i="43"/>
  <c r="Q5" i="43"/>
  <c r="Q7" i="43"/>
  <c r="Q9" i="43"/>
  <c r="Q15" i="43"/>
  <c r="Q17" i="43"/>
  <c r="Q12" i="43"/>
  <c r="Q8" i="43"/>
  <c r="Q11" i="43"/>
  <c r="Q16" i="43"/>
  <c r="Q19" i="43"/>
  <c r="Q6" i="43"/>
  <c r="Q10" i="43"/>
  <c r="Q14" i="43"/>
  <c r="I5" i="42" l="1" a="1"/>
  <c r="I6" i="42" l="1"/>
  <c r="I5" i="42"/>
  <c r="I8" i="42"/>
  <c r="I10" i="42"/>
  <c r="I12" i="42"/>
  <c r="I14" i="42"/>
  <c r="I16" i="42"/>
  <c r="I18" i="42"/>
  <c r="I20" i="42"/>
  <c r="I22" i="42"/>
  <c r="I7" i="42"/>
  <c r="I9" i="42"/>
  <c r="I11" i="42"/>
  <c r="I13" i="42"/>
  <c r="I15" i="42"/>
  <c r="I17" i="42"/>
  <c r="I19" i="42"/>
  <c r="I21" i="42"/>
  <c r="J9" i="42"/>
  <c r="J11" i="42"/>
  <c r="J14" i="42"/>
  <c r="J13" i="42"/>
  <c r="J15" i="42"/>
  <c r="J18" i="42"/>
  <c r="J17" i="42"/>
  <c r="J6" i="42"/>
  <c r="J20" i="42"/>
  <c r="J19" i="42"/>
  <c r="J5" i="42"/>
  <c r="J22" i="42"/>
  <c r="J21" i="42"/>
  <c r="J8" i="42"/>
  <c r="J7" i="42"/>
  <c r="J10" i="42"/>
  <c r="J12" i="42"/>
  <c r="J16" i="42"/>
  <c r="D8" i="41" l="1"/>
  <c r="F2" i="40"/>
  <c r="F3" i="40"/>
  <c r="F4" i="40"/>
  <c r="F6" i="40"/>
  <c r="F2" i="39"/>
  <c r="F3" i="39"/>
  <c r="F4" i="39"/>
  <c r="F6" i="39"/>
  <c r="B1" i="41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92" i="40"/>
  <c r="G43" i="40"/>
  <c r="G27" i="40"/>
  <c r="G46" i="40"/>
  <c r="G98" i="40"/>
  <c r="G50" i="40"/>
  <c r="G61" i="40"/>
  <c r="G82" i="40"/>
  <c r="G99" i="40"/>
  <c r="G39" i="40"/>
  <c r="G62" i="40"/>
  <c r="G102" i="40"/>
  <c r="G73" i="40"/>
  <c r="G91" i="40"/>
  <c r="G110" i="40"/>
  <c r="G119" i="40"/>
  <c r="G9" i="40"/>
  <c r="G101" i="40"/>
  <c r="G113" i="40"/>
  <c r="G108" i="40"/>
  <c r="G10" i="40"/>
  <c r="G65" i="40"/>
  <c r="G47" i="40"/>
  <c r="G57" i="40"/>
  <c r="G14" i="40"/>
  <c r="G97" i="40"/>
  <c r="G126" i="40"/>
  <c r="G114" i="40"/>
  <c r="G8" i="40"/>
  <c r="G44" i="40"/>
  <c r="G35" i="40"/>
  <c r="G109" i="40"/>
  <c r="G74" i="40"/>
  <c r="G120" i="40"/>
  <c r="G32" i="40"/>
  <c r="G18" i="40"/>
  <c r="G70" i="40"/>
  <c r="G63" i="40"/>
  <c r="G79" i="40"/>
  <c r="G36" i="40"/>
  <c r="G37" i="40"/>
  <c r="G105" i="40"/>
  <c r="G124" i="40"/>
  <c r="G49" i="40"/>
  <c r="G69" i="40"/>
  <c r="G86" i="40"/>
  <c r="G20" i="40"/>
  <c r="G11" i="40"/>
  <c r="G117" i="40"/>
  <c r="G71" i="40"/>
  <c r="G95" i="40"/>
  <c r="G87" i="40"/>
  <c r="G26" i="40"/>
  <c r="G107" i="40"/>
  <c r="G40" i="40"/>
  <c r="G13" i="40"/>
  <c r="G83" i="40"/>
  <c r="G16" i="40"/>
  <c r="G72" i="40"/>
  <c r="G15" i="40"/>
  <c r="G56" i="40"/>
  <c r="G45" i="40"/>
  <c r="G30" i="40"/>
  <c r="G21" i="40"/>
  <c r="G76" i="40"/>
  <c r="G42" i="40"/>
  <c r="G22" i="40"/>
  <c r="G115" i="40"/>
  <c r="G75" i="40"/>
  <c r="G118" i="40"/>
  <c r="G112" i="40"/>
  <c r="G33" i="40"/>
  <c r="G123" i="40"/>
  <c r="G51" i="40"/>
  <c r="G89" i="40"/>
  <c r="G7" i="40"/>
  <c r="G106" i="40"/>
  <c r="G93" i="40"/>
  <c r="G100" i="40"/>
  <c r="G60" i="40"/>
  <c r="G41" i="40"/>
  <c r="G90" i="40"/>
  <c r="G80" i="40"/>
  <c r="G78" i="40"/>
  <c r="G103" i="40"/>
  <c r="G67" i="40"/>
  <c r="G52" i="40"/>
  <c r="G94" i="40"/>
  <c r="G19" i="40"/>
  <c r="G28" i="40"/>
  <c r="G48" i="40"/>
  <c r="G23" i="40"/>
  <c r="G104" i="40"/>
  <c r="G77" i="40"/>
  <c r="G24" i="40"/>
  <c r="G88" i="40"/>
  <c r="G121" i="40"/>
  <c r="G55" i="40"/>
  <c r="G66" i="40"/>
  <c r="G81" i="40"/>
  <c r="G125" i="40"/>
  <c r="G111" i="40"/>
  <c r="G68" i="40"/>
  <c r="G17" i="40"/>
  <c r="G85" i="40"/>
  <c r="G29" i="40"/>
  <c r="G53" i="40"/>
  <c r="G54" i="40"/>
  <c r="G34" i="40"/>
  <c r="G84" i="40"/>
  <c r="G96" i="40"/>
  <c r="G59" i="40"/>
  <c r="G122" i="40"/>
  <c r="G116" i="40"/>
  <c r="G58" i="40"/>
  <c r="G12" i="40"/>
  <c r="G25" i="40"/>
  <c r="G64" i="40"/>
  <c r="G38" i="40"/>
  <c r="G31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H31" i="40"/>
  <c r="H59" i="40"/>
  <c r="H17" i="40"/>
  <c r="H88" i="40"/>
  <c r="H94" i="40"/>
  <c r="H60" i="40"/>
  <c r="H33" i="40"/>
  <c r="H21" i="40"/>
  <c r="H13" i="40"/>
  <c r="H11" i="40"/>
  <c r="H36" i="40"/>
  <c r="H109" i="40"/>
  <c r="H57" i="40"/>
  <c r="H119" i="40"/>
  <c r="H82" i="40"/>
  <c r="G78" i="39"/>
  <c r="G86" i="39"/>
  <c r="G52" i="39"/>
  <c r="G68" i="39"/>
  <c r="G107" i="39"/>
  <c r="G124" i="39"/>
  <c r="G24" i="39"/>
  <c r="G73" i="39"/>
  <c r="G93" i="39"/>
  <c r="G95" i="39"/>
  <c r="G13" i="39"/>
  <c r="G126" i="39"/>
  <c r="G101" i="39"/>
  <c r="G26" i="39"/>
  <c r="G66" i="39"/>
  <c r="G16" i="39"/>
  <c r="G59" i="39"/>
  <c r="G114" i="39"/>
  <c r="G55" i="39"/>
  <c r="G99" i="39"/>
  <c r="G84" i="39"/>
  <c r="G19" i="39"/>
  <c r="G44" i="39"/>
  <c r="G122" i="39"/>
  <c r="H48" i="40"/>
  <c r="H95" i="40"/>
  <c r="H62" i="40"/>
  <c r="G39" i="39"/>
  <c r="G40" i="39"/>
  <c r="G11" i="39"/>
  <c r="G106" i="39"/>
  <c r="H28" i="40"/>
  <c r="G105" i="39"/>
  <c r="G103" i="39"/>
  <c r="G63" i="39"/>
  <c r="G61" i="39"/>
  <c r="H121" i="40"/>
  <c r="H37" i="40"/>
  <c r="H99" i="40"/>
  <c r="G33" i="39"/>
  <c r="G54" i="39"/>
  <c r="G51" i="39"/>
  <c r="G41" i="39"/>
  <c r="H38" i="40"/>
  <c r="H96" i="40"/>
  <c r="H68" i="40"/>
  <c r="H24" i="40"/>
  <c r="H52" i="40"/>
  <c r="H100" i="40"/>
  <c r="H112" i="40"/>
  <c r="H30" i="40"/>
  <c r="H40" i="40"/>
  <c r="H20" i="40"/>
  <c r="H79" i="40"/>
  <c r="H35" i="40"/>
  <c r="H47" i="40"/>
  <c r="H110" i="40"/>
  <c r="H61" i="40"/>
  <c r="G14" i="39"/>
  <c r="G70" i="39"/>
  <c r="G71" i="39"/>
  <c r="G108" i="39"/>
  <c r="G120" i="39"/>
  <c r="G117" i="39"/>
  <c r="G75" i="39"/>
  <c r="G25" i="39"/>
  <c r="G94" i="39"/>
  <c r="G67" i="39"/>
  <c r="G100" i="39"/>
  <c r="G85" i="39"/>
  <c r="G58" i="39"/>
  <c r="H58" i="40"/>
  <c r="H32" i="40"/>
  <c r="G28" i="39"/>
  <c r="G53" i="39"/>
  <c r="G98" i="39"/>
  <c r="H29" i="40"/>
  <c r="H42" i="40"/>
  <c r="H120" i="40"/>
  <c r="H39" i="40"/>
  <c r="G10" i="39"/>
  <c r="G35" i="39"/>
  <c r="G112" i="39"/>
  <c r="H85" i="40"/>
  <c r="H41" i="40"/>
  <c r="H76" i="40"/>
  <c r="H74" i="40"/>
  <c r="H92" i="40"/>
  <c r="G15" i="39"/>
  <c r="G45" i="39"/>
  <c r="G104" i="39"/>
  <c r="H64" i="40"/>
  <c r="H84" i="40"/>
  <c r="H111" i="40"/>
  <c r="H77" i="40"/>
  <c r="H67" i="40"/>
  <c r="H93" i="40"/>
  <c r="H118" i="40"/>
  <c r="H45" i="40"/>
  <c r="H107" i="40"/>
  <c r="H86" i="40"/>
  <c r="H63" i="40"/>
  <c r="H44" i="40"/>
  <c r="H65" i="40"/>
  <c r="H91" i="40"/>
  <c r="H50" i="40"/>
  <c r="G96" i="39"/>
  <c r="G48" i="39"/>
  <c r="G77" i="39"/>
  <c r="G83" i="39"/>
  <c r="G17" i="39"/>
  <c r="G21" i="39"/>
  <c r="G102" i="39"/>
  <c r="G43" i="39"/>
  <c r="G92" i="39"/>
  <c r="G91" i="39"/>
  <c r="G50" i="39"/>
  <c r="G113" i="39"/>
  <c r="G72" i="39"/>
  <c r="G20" i="39"/>
  <c r="G60" i="39"/>
  <c r="H54" i="40"/>
  <c r="H115" i="40"/>
  <c r="H49" i="40"/>
  <c r="H114" i="40"/>
  <c r="H102" i="40"/>
  <c r="G88" i="39"/>
  <c r="G115" i="39"/>
  <c r="G18" i="39"/>
  <c r="G62" i="39"/>
  <c r="H66" i="40"/>
  <c r="H89" i="40"/>
  <c r="H72" i="40"/>
  <c r="H126" i="40"/>
  <c r="H27" i="40"/>
  <c r="G36" i="39"/>
  <c r="G12" i="39"/>
  <c r="G38" i="39"/>
  <c r="H55" i="40"/>
  <c r="H90" i="40"/>
  <c r="H16" i="40"/>
  <c r="H105" i="40"/>
  <c r="H97" i="40"/>
  <c r="H43" i="40"/>
  <c r="G8" i="39"/>
  <c r="G22" i="39"/>
  <c r="G123" i="39"/>
  <c r="G81" i="39"/>
  <c r="H122" i="40"/>
  <c r="H123" i="40"/>
  <c r="H117" i="40"/>
  <c r="H14" i="40"/>
  <c r="G32" i="39"/>
  <c r="G125" i="39"/>
  <c r="G79" i="39"/>
  <c r="G34" i="39"/>
  <c r="H25" i="40"/>
  <c r="H34" i="40"/>
  <c r="H125" i="40"/>
  <c r="H104" i="40"/>
  <c r="H103" i="40"/>
  <c r="H106" i="40"/>
  <c r="H75" i="40"/>
  <c r="H56" i="40"/>
  <c r="H26" i="40"/>
  <c r="H69" i="40"/>
  <c r="H70" i="40"/>
  <c r="H8" i="40"/>
  <c r="H10" i="40"/>
  <c r="H73" i="40"/>
  <c r="H98" i="40"/>
  <c r="G111" i="39"/>
  <c r="G46" i="39"/>
  <c r="G69" i="39"/>
  <c r="G87" i="39"/>
  <c r="G42" i="39"/>
  <c r="G82" i="39"/>
  <c r="G56" i="39"/>
  <c r="G116" i="39"/>
  <c r="G121" i="39"/>
  <c r="G97" i="39"/>
  <c r="G27" i="39"/>
  <c r="G31" i="39"/>
  <c r="G118" i="39"/>
  <c r="G37" i="39"/>
  <c r="G65" i="39"/>
  <c r="H12" i="40"/>
  <c r="H81" i="40"/>
  <c r="H23" i="40"/>
  <c r="H78" i="40"/>
  <c r="H7" i="40"/>
  <c r="H15" i="40"/>
  <c r="H87" i="40"/>
  <c r="H18" i="40"/>
  <c r="H108" i="40"/>
  <c r="H46" i="40"/>
  <c r="G47" i="39"/>
  <c r="G110" i="39"/>
  <c r="G23" i="39"/>
  <c r="G49" i="39"/>
  <c r="H53" i="40"/>
  <c r="H80" i="40"/>
  <c r="H22" i="40"/>
  <c r="H124" i="40"/>
  <c r="H113" i="40"/>
  <c r="G80" i="39"/>
  <c r="G76" i="39"/>
  <c r="G7" i="39"/>
  <c r="G90" i="39"/>
  <c r="G74" i="39"/>
  <c r="H116" i="40"/>
  <c r="H51" i="40"/>
  <c r="H71" i="40"/>
  <c r="H101" i="40"/>
  <c r="G89" i="39"/>
  <c r="G64" i="39"/>
  <c r="G57" i="39"/>
  <c r="G29" i="39"/>
  <c r="H19" i="40"/>
  <c r="H83" i="40"/>
  <c r="H9" i="40"/>
  <c r="G109" i="39"/>
  <c r="G30" i="39"/>
  <c r="G119" i="39"/>
  <c r="G9" i="39"/>
  <c r="D8" i="38" l="1"/>
  <c r="C3" i="37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" i="35"/>
  <c r="L11" i="35"/>
  <c r="L19" i="35"/>
  <c r="L27" i="35"/>
  <c r="L35" i="35"/>
  <c r="L36" i="35"/>
  <c r="L22" i="35"/>
  <c r="L34" i="35"/>
  <c r="L4" i="35"/>
  <c r="L12" i="35"/>
  <c r="L20" i="35"/>
  <c r="L28" i="35"/>
  <c r="L14" i="35"/>
  <c r="L30" i="35"/>
  <c r="L5" i="35"/>
  <c r="L13" i="35"/>
  <c r="L21" i="35"/>
  <c r="L29" i="35"/>
  <c r="L6" i="35"/>
  <c r="L25" i="35"/>
  <c r="L7" i="35"/>
  <c r="L15" i="35"/>
  <c r="L23" i="35"/>
  <c r="L31" i="35"/>
  <c r="L8" i="35"/>
  <c r="L16" i="35"/>
  <c r="L24" i="35"/>
  <c r="L32" i="35"/>
  <c r="L9" i="35"/>
  <c r="L17" i="35"/>
  <c r="L33" i="35"/>
  <c r="L10" i="35"/>
  <c r="L18" i="35"/>
  <c r="L26" i="35"/>
  <c r="L3" i="34"/>
  <c r="L11" i="34"/>
  <c r="L19" i="34"/>
  <c r="L27" i="34"/>
  <c r="L35" i="34"/>
  <c r="L4" i="34"/>
  <c r="L12" i="34"/>
  <c r="L36" i="34"/>
  <c r="L7" i="34"/>
  <c r="L5" i="34"/>
  <c r="L13" i="34"/>
  <c r="L21" i="34"/>
  <c r="L29" i="34"/>
  <c r="L6" i="34"/>
  <c r="L14" i="34"/>
  <c r="L22" i="34"/>
  <c r="L15" i="34"/>
  <c r="L8" i="34"/>
  <c r="L16" i="34"/>
  <c r="L24" i="34"/>
  <c r="L32" i="34"/>
  <c r="L26" i="34"/>
  <c r="L28" i="34"/>
  <c r="L23" i="34"/>
  <c r="L9" i="34"/>
  <c r="L17" i="34"/>
  <c r="L25" i="34"/>
  <c r="L33" i="34"/>
  <c r="L10" i="34"/>
  <c r="L18" i="34"/>
  <c r="L34" i="34"/>
  <c r="L20" i="34"/>
  <c r="L30" i="34"/>
  <c r="L31" i="34"/>
  <c r="H9" i="39"/>
  <c r="H74" i="39"/>
  <c r="H47" i="39"/>
  <c r="H116" i="39"/>
  <c r="H34" i="39"/>
  <c r="H38" i="39"/>
  <c r="H20" i="39"/>
  <c r="H21" i="39"/>
  <c r="H15" i="39"/>
  <c r="H85" i="39"/>
  <c r="H108" i="39"/>
  <c r="H61" i="39"/>
  <c r="H122" i="39"/>
  <c r="H16" i="39"/>
  <c r="H73" i="39"/>
  <c r="H119" i="39"/>
  <c r="H90" i="39"/>
  <c r="H65" i="39"/>
  <c r="H56" i="39"/>
  <c r="H79" i="39"/>
  <c r="H12" i="39"/>
  <c r="H72" i="39"/>
  <c r="H17" i="39"/>
  <c r="H112" i="39"/>
  <c r="H100" i="39"/>
  <c r="H71" i="39"/>
  <c r="H63" i="39"/>
  <c r="H44" i="39"/>
  <c r="H66" i="39"/>
  <c r="H24" i="39"/>
  <c r="H97" i="39"/>
  <c r="H43" i="39"/>
  <c r="H54" i="39"/>
  <c r="H86" i="39"/>
  <c r="H121" i="39"/>
  <c r="H58" i="39"/>
  <c r="H59" i="39"/>
  <c r="H30" i="39"/>
  <c r="H7" i="39"/>
  <c r="H37" i="39"/>
  <c r="H82" i="39"/>
  <c r="H125" i="39"/>
  <c r="H36" i="39"/>
  <c r="H113" i="39"/>
  <c r="H83" i="39"/>
  <c r="H35" i="39"/>
  <c r="H67" i="39"/>
  <c r="H70" i="39"/>
  <c r="H103" i="39"/>
  <c r="H19" i="39"/>
  <c r="H26" i="39"/>
  <c r="H124" i="39"/>
  <c r="H57" i="39"/>
  <c r="H123" i="39"/>
  <c r="H92" i="39"/>
  <c r="H53" i="39"/>
  <c r="H51" i="39"/>
  <c r="H55" i="39"/>
  <c r="H52" i="39"/>
  <c r="H23" i="39"/>
  <c r="H46" i="39"/>
  <c r="H22" i="39"/>
  <c r="H88" i="39"/>
  <c r="H28" i="39"/>
  <c r="H117" i="39"/>
  <c r="H114" i="39"/>
  <c r="H110" i="39"/>
  <c r="H111" i="39"/>
  <c r="H8" i="39"/>
  <c r="H102" i="39"/>
  <c r="H120" i="39"/>
  <c r="H39" i="39"/>
  <c r="H78" i="39"/>
  <c r="B1" i="38"/>
  <c r="H109" i="39"/>
  <c r="H76" i="39"/>
  <c r="H118" i="39"/>
  <c r="H42" i="39"/>
  <c r="H32" i="39"/>
  <c r="H62" i="39"/>
  <c r="H50" i="39"/>
  <c r="H77" i="39"/>
  <c r="H10" i="39"/>
  <c r="H94" i="39"/>
  <c r="H14" i="39"/>
  <c r="H105" i="39"/>
  <c r="H84" i="39"/>
  <c r="H101" i="39"/>
  <c r="H107" i="39"/>
  <c r="H29" i="39"/>
  <c r="H80" i="39"/>
  <c r="H31" i="39"/>
  <c r="H87" i="39"/>
  <c r="H81" i="39"/>
  <c r="H18" i="39"/>
  <c r="H91" i="39"/>
  <c r="H48" i="39"/>
  <c r="H98" i="39"/>
  <c r="H25" i="39"/>
  <c r="H41" i="39"/>
  <c r="H106" i="39"/>
  <c r="H99" i="39"/>
  <c r="H126" i="39"/>
  <c r="H68" i="39"/>
  <c r="H49" i="39"/>
  <c r="H27" i="39"/>
  <c r="H69" i="39"/>
  <c r="H115" i="39"/>
  <c r="H96" i="39"/>
  <c r="H75" i="39"/>
  <c r="H11" i="39"/>
  <c r="H13" i="39"/>
  <c r="H64" i="39"/>
  <c r="H104" i="39"/>
  <c r="H40" i="39"/>
  <c r="H95" i="39"/>
  <c r="H89" i="39"/>
  <c r="H60" i="39"/>
  <c r="H45" i="39"/>
  <c r="H33" i="39"/>
  <c r="H93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J32" i="37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" i="36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27" i="36"/>
  <c r="K31" i="37"/>
  <c r="K36" i="36"/>
  <c r="K16" i="37"/>
  <c r="K9" i="37"/>
  <c r="K7" i="36"/>
  <c r="K19" i="36"/>
  <c r="K12" i="36"/>
  <c r="K22" i="36"/>
  <c r="K23" i="36"/>
  <c r="K25" i="36"/>
  <c r="K19" i="37"/>
  <c r="K22" i="37"/>
  <c r="K20" i="36"/>
  <c r="L25" i="36"/>
  <c r="K18" i="37"/>
  <c r="K31" i="36"/>
  <c r="K28" i="36"/>
  <c r="K36" i="37"/>
  <c r="K10" i="36"/>
  <c r="K3" i="36"/>
  <c r="K35" i="37"/>
  <c r="K5" i="37"/>
  <c r="K14" i="37"/>
  <c r="K13" i="37"/>
  <c r="K34" i="36"/>
  <c r="K35" i="36"/>
  <c r="K11" i="36"/>
  <c r="K9" i="36"/>
  <c r="K30" i="37"/>
  <c r="K25" i="37"/>
  <c r="K18" i="36"/>
  <c r="K12" i="37"/>
  <c r="K7" i="37"/>
  <c r="K17" i="37"/>
  <c r="K10" i="37"/>
  <c r="K33" i="36"/>
  <c r="K27" i="37"/>
  <c r="K11" i="37"/>
  <c r="K28" i="37"/>
  <c r="K8" i="36"/>
  <c r="K30" i="36"/>
  <c r="K5" i="36"/>
  <c r="K16" i="36"/>
  <c r="K4" i="37"/>
  <c r="K26" i="37"/>
  <c r="K6" i="36"/>
  <c r="K24" i="36"/>
  <c r="K29" i="37"/>
  <c r="K3" i="37"/>
  <c r="K21" i="37"/>
  <c r="K14" i="36"/>
  <c r="K26" i="36"/>
  <c r="K33" i="37"/>
  <c r="K21" i="36"/>
  <c r="K6" i="37"/>
  <c r="K8" i="37"/>
  <c r="K23" i="37"/>
  <c r="K24" i="37"/>
  <c r="K32" i="37"/>
  <c r="K15" i="36"/>
  <c r="K4" i="36"/>
  <c r="K17" i="36"/>
  <c r="K32" i="36"/>
  <c r="K34" i="37"/>
  <c r="K20" i="37"/>
  <c r="K13" i="36"/>
  <c r="K15" i="37"/>
  <c r="K29" i="36"/>
  <c r="K2" i="35"/>
  <c r="K2" i="34"/>
  <c r="K2" i="36"/>
  <c r="J2" i="37" l="1"/>
  <c r="D8" i="33"/>
  <c r="L29" i="36"/>
  <c r="L15" i="37"/>
  <c r="L32" i="37"/>
  <c r="L14" i="36"/>
  <c r="L16" i="36"/>
  <c r="L10" i="37"/>
  <c r="L11" i="36"/>
  <c r="L10" i="36"/>
  <c r="L23" i="36"/>
  <c r="L31" i="37"/>
  <c r="L13" i="36"/>
  <c r="L24" i="37"/>
  <c r="L21" i="37"/>
  <c r="L5" i="36"/>
  <c r="L17" i="37"/>
  <c r="L35" i="36"/>
  <c r="L36" i="37"/>
  <c r="L22" i="36"/>
  <c r="L27" i="36"/>
  <c r="L9" i="37"/>
  <c r="L20" i="37"/>
  <c r="L23" i="37"/>
  <c r="L3" i="37"/>
  <c r="L30" i="36"/>
  <c r="L7" i="37"/>
  <c r="L34" i="36"/>
  <c r="L28" i="36"/>
  <c r="L12" i="36"/>
  <c r="L34" i="37"/>
  <c r="L8" i="37"/>
  <c r="L29" i="37"/>
  <c r="L8" i="36"/>
  <c r="L12" i="37"/>
  <c r="L13" i="37"/>
  <c r="L31" i="36"/>
  <c r="L19" i="36"/>
  <c r="L32" i="36"/>
  <c r="L6" i="37"/>
  <c r="L24" i="36"/>
  <c r="L28" i="37"/>
  <c r="L18" i="36"/>
  <c r="L14" i="37"/>
  <c r="L18" i="37"/>
  <c r="L7" i="36"/>
  <c r="B1" i="33"/>
  <c r="L17" i="36"/>
  <c r="L21" i="36"/>
  <c r="L6" i="36"/>
  <c r="L11" i="37"/>
  <c r="L25" i="37"/>
  <c r="L5" i="37"/>
  <c r="C1" i="32"/>
  <c r="L4" i="36"/>
  <c r="L33" i="37"/>
  <c r="L26" i="37"/>
  <c r="L27" i="37"/>
  <c r="L30" i="37"/>
  <c r="L35" i="37"/>
  <c r="L22" i="37"/>
  <c r="L16" i="37"/>
  <c r="L15" i="36"/>
  <c r="L26" i="36"/>
  <c r="L4" i="37"/>
  <c r="L33" i="36"/>
  <c r="L9" i="36"/>
  <c r="L3" i="36"/>
  <c r="L19" i="37"/>
  <c r="L36" i="36"/>
  <c r="L20" i="36"/>
  <c r="L2" i="34"/>
  <c r="L2" i="36"/>
  <c r="L2" i="35"/>
  <c r="K2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D29" i="32"/>
  <c r="D47" i="32"/>
  <c r="E29" i="32"/>
  <c r="E47" i="32"/>
  <c r="D14" i="32"/>
  <c r="D4" i="32"/>
  <c r="D28" i="32"/>
  <c r="D44" i="32"/>
  <c r="D15" i="32"/>
  <c r="E15" i="32"/>
  <c r="D60" i="32"/>
  <c r="D8" i="32"/>
  <c r="E8" i="32" s="1"/>
  <c r="D31" i="32"/>
  <c r="D51" i="32"/>
  <c r="D11" i="32"/>
  <c r="E31" i="32"/>
  <c r="E51" i="32"/>
  <c r="D30" i="32"/>
  <c r="D48" i="32"/>
  <c r="D18" i="32"/>
  <c r="C1" i="31"/>
  <c r="D33" i="32"/>
  <c r="D55" i="32"/>
  <c r="E33" i="32"/>
  <c r="E55" i="32"/>
  <c r="D12" i="32"/>
  <c r="D52" i="32"/>
  <c r="E52" i="32" s="1"/>
  <c r="D43" i="32"/>
  <c r="D19" i="32"/>
  <c r="E19" i="32" s="1"/>
  <c r="D62" i="32"/>
  <c r="D16" i="32"/>
  <c r="E16" i="32" s="1"/>
  <c r="D49" i="32"/>
  <c r="D21" i="32"/>
  <c r="D37" i="32"/>
  <c r="D63" i="32"/>
  <c r="E21" i="32"/>
  <c r="E37" i="32"/>
  <c r="E63" i="32"/>
  <c r="D20" i="32"/>
  <c r="E20" i="32" s="1"/>
  <c r="D36" i="32"/>
  <c r="E36" i="32" s="1"/>
  <c r="D64" i="32"/>
  <c r="E62" i="32"/>
  <c r="D53" i="32"/>
  <c r="D23" i="32"/>
  <c r="D39" i="32"/>
  <c r="D46" i="32"/>
  <c r="E23" i="32"/>
  <c r="E39" i="32"/>
  <c r="D9" i="32"/>
  <c r="E9" i="32" s="1"/>
  <c r="D22" i="32"/>
  <c r="D38" i="32"/>
  <c r="E38" i="32" s="1"/>
  <c r="E4" i="32"/>
  <c r="E28" i="32"/>
  <c r="E44" i="32"/>
  <c r="E64" i="32"/>
  <c r="D57" i="32"/>
  <c r="D13" i="32"/>
  <c r="E13" i="32" s="1"/>
  <c r="D45" i="32"/>
  <c r="D3" i="32"/>
  <c r="E3" i="32" s="1"/>
  <c r="E45" i="32"/>
  <c r="E11" i="32"/>
  <c r="D26" i="32"/>
  <c r="E26" i="32" s="1"/>
  <c r="D42" i="32"/>
  <c r="E42" i="32" s="1"/>
  <c r="D10" i="32"/>
  <c r="D54" i="32"/>
  <c r="E54" i="32" s="1"/>
  <c r="E22" i="32"/>
  <c r="D35" i="32"/>
  <c r="E35" i="32" s="1"/>
  <c r="D34" i="32"/>
  <c r="E34" i="32" s="1"/>
  <c r="D5" i="32"/>
  <c r="E5" i="32" s="1"/>
  <c r="D25" i="32"/>
  <c r="D41" i="32"/>
  <c r="D56" i="32"/>
  <c r="E56" i="32" s="1"/>
  <c r="E25" i="32"/>
  <c r="E41" i="32"/>
  <c r="D6" i="32"/>
  <c r="E6" i="32" s="1"/>
  <c r="E14" i="32"/>
  <c r="D24" i="32"/>
  <c r="E24" i="32" s="1"/>
  <c r="D40" i="32"/>
  <c r="E40" i="32" s="1"/>
  <c r="D7" i="32"/>
  <c r="E30" i="32"/>
  <c r="E46" i="32"/>
  <c r="E7" i="32"/>
  <c r="D61" i="32"/>
  <c r="D27" i="32"/>
  <c r="E27" i="32"/>
  <c r="D17" i="32"/>
  <c r="E17" i="32" s="1"/>
  <c r="E12" i="32"/>
  <c r="E48" i="32"/>
  <c r="D50" i="32"/>
  <c r="D32" i="32"/>
  <c r="E32" i="32" s="1"/>
  <c r="D59" i="32"/>
  <c r="E59" i="32" s="1"/>
  <c r="D58" i="32"/>
  <c r="E58" i="32" s="1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E61" i="32"/>
  <c r="D3" i="31"/>
  <c r="D6" i="31"/>
  <c r="E10" i="32"/>
  <c r="D13" i="31"/>
  <c r="D14" i="31"/>
  <c r="E57" i="32"/>
  <c r="D7" i="31"/>
  <c r="D9" i="31"/>
  <c r="D8" i="31"/>
  <c r="D12" i="31"/>
  <c r="D11" i="31"/>
  <c r="E11" i="31" s="1"/>
  <c r="E53" i="32"/>
  <c r="D15" i="31"/>
  <c r="E14" i="31"/>
  <c r="D10" i="31"/>
  <c r="E10" i="31" s="1"/>
  <c r="E49" i="32"/>
  <c r="E7" i="31"/>
  <c r="E13" i="31"/>
  <c r="D4" i="31"/>
  <c r="E43" i="32"/>
  <c r="D16" i="31"/>
  <c r="E60" i="32"/>
  <c r="E3" i="31"/>
  <c r="E18" i="32"/>
  <c r="E15" i="31"/>
  <c r="E16" i="31"/>
  <c r="C1" i="30"/>
  <c r="E50" i="32"/>
  <c r="D5" i="31"/>
  <c r="E5" i="31" s="1"/>
  <c r="C2" i="30" l="1"/>
  <c r="C3" i="30"/>
  <c r="C4" i="30"/>
  <c r="C5" i="30"/>
  <c r="C6" i="30"/>
  <c r="C7" i="30"/>
  <c r="C8" i="30"/>
  <c r="C9" i="30"/>
  <c r="C10" i="30"/>
  <c r="C11" i="30"/>
  <c r="C12" i="30"/>
  <c r="C13" i="30"/>
  <c r="E4" i="31"/>
  <c r="D10" i="30"/>
  <c r="D8" i="30"/>
  <c r="D5" i="30"/>
  <c r="E12" i="31"/>
  <c r="E9" i="31"/>
  <c r="E8" i="30"/>
  <c r="D4" i="30"/>
  <c r="D13" i="30"/>
  <c r="D6" i="30"/>
  <c r="D3" i="30"/>
  <c r="E6" i="31"/>
  <c r="D11" i="30"/>
  <c r="C1" i="29"/>
  <c r="E4" i="30"/>
  <c r="D9" i="30"/>
  <c r="E9" i="30" s="1"/>
  <c r="E3" i="30"/>
  <c r="D12" i="30"/>
  <c r="E12" i="30" s="1"/>
  <c r="E10" i="30"/>
  <c r="E11" i="30"/>
  <c r="D7" i="30"/>
  <c r="E6" i="30"/>
  <c r="E8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7" i="30"/>
  <c r="D5" i="29"/>
  <c r="D11" i="29"/>
  <c r="D8" i="29"/>
  <c r="E13" i="30"/>
  <c r="D4" i="29"/>
  <c r="E11" i="29"/>
  <c r="E4" i="29"/>
  <c r="D9" i="29"/>
  <c r="D3" i="29"/>
  <c r="E5" i="30"/>
  <c r="D7" i="29"/>
  <c r="E7" i="29"/>
  <c r="E3" i="29"/>
  <c r="D4" i="28"/>
  <c r="E8" i="29"/>
  <c r="D10" i="29"/>
  <c r="D3" i="28"/>
  <c r="E3" i="28" s="1"/>
  <c r="E5" i="29"/>
  <c r="D6" i="29"/>
  <c r="E6" i="29" s="1"/>
  <c r="D2" i="31"/>
  <c r="D2" i="28"/>
  <c r="D2" i="30"/>
  <c r="D2" i="29"/>
  <c r="D2" i="32"/>
  <c r="D8" i="27" l="1"/>
  <c r="C3" i="26" a="1"/>
  <c r="C3" i="26" s="1"/>
  <c r="D3" i="26" a="1"/>
  <c r="D9" i="26" s="1"/>
  <c r="C3" i="25" a="1"/>
  <c r="C9" i="25" s="1"/>
  <c r="D3" i="25" a="1"/>
  <c r="D4" i="25" s="1"/>
  <c r="E2" i="24"/>
  <c r="E3" i="24"/>
  <c r="E4" i="24"/>
  <c r="E5" i="24"/>
  <c r="E6" i="24"/>
  <c r="E7" i="24"/>
  <c r="E8" i="24"/>
  <c r="E9" i="24"/>
  <c r="E2" i="23"/>
  <c r="E3" i="23"/>
  <c r="E4" i="23"/>
  <c r="E5" i="23"/>
  <c r="E6" i="23"/>
  <c r="E7" i="23"/>
  <c r="E8" i="23"/>
  <c r="E9" i="23"/>
  <c r="E10" i="23"/>
  <c r="E11" i="23"/>
  <c r="E12" i="23"/>
  <c r="E13" i="23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4" i="28"/>
  <c r="F8" i="23"/>
  <c r="F9" i="23"/>
  <c r="F10" i="23"/>
  <c r="F35" i="22"/>
  <c r="F6" i="22"/>
  <c r="F38" i="22"/>
  <c r="F17" i="22"/>
  <c r="F4" i="22"/>
  <c r="F36" i="22"/>
  <c r="F15" i="22"/>
  <c r="F47" i="22"/>
  <c r="F8" i="22"/>
  <c r="E9" i="29"/>
  <c r="F3" i="23"/>
  <c r="F5" i="23"/>
  <c r="F5" i="22"/>
  <c r="F49" i="22"/>
  <c r="F7" i="22"/>
  <c r="G15" i="22"/>
  <c r="F3" i="24"/>
  <c r="G3" i="24"/>
  <c r="F4" i="23"/>
  <c r="F43" i="22"/>
  <c r="G43" i="22"/>
  <c r="F26" i="22"/>
  <c r="F32" i="22"/>
  <c r="G5" i="22"/>
  <c r="F9" i="22"/>
  <c r="G9" i="22" s="1"/>
  <c r="F53" i="22"/>
  <c r="B1" i="27"/>
  <c r="F6" i="24"/>
  <c r="G8" i="23"/>
  <c r="G9" i="23"/>
  <c r="G10" i="23"/>
  <c r="F51" i="22"/>
  <c r="F14" i="22"/>
  <c r="F46" i="22"/>
  <c r="F12" i="22"/>
  <c r="F44" i="22"/>
  <c r="G44" i="22" s="1"/>
  <c r="F23" i="22"/>
  <c r="G23" i="22" s="1"/>
  <c r="F55" i="22"/>
  <c r="F16" i="22"/>
  <c r="F40" i="22"/>
  <c r="F9" i="24"/>
  <c r="F12" i="23"/>
  <c r="F13" i="23"/>
  <c r="F25" i="22"/>
  <c r="G38" i="22"/>
  <c r="G49" i="22"/>
  <c r="F34" i="22"/>
  <c r="G34" i="22" s="1"/>
  <c r="F54" i="22"/>
  <c r="F52" i="22"/>
  <c r="G52" i="22" s="1"/>
  <c r="G7" i="22"/>
  <c r="F29" i="22"/>
  <c r="F11" i="22"/>
  <c r="G11" i="22" s="1"/>
  <c r="D58" i="22"/>
  <c r="D59" i="22" s="1"/>
  <c r="G25" i="22"/>
  <c r="G36" i="22"/>
  <c r="F42" i="22"/>
  <c r="G12" i="23"/>
  <c r="F19" i="22"/>
  <c r="G6" i="22"/>
  <c r="F24" i="22"/>
  <c r="F37" i="22"/>
  <c r="G37" i="22" s="1"/>
  <c r="G47" i="22"/>
  <c r="E10" i="29"/>
  <c r="F27" i="22"/>
  <c r="G27" i="22" s="1"/>
  <c r="F48" i="22"/>
  <c r="G6" i="24"/>
  <c r="F11" i="23"/>
  <c r="G11" i="23" s="1"/>
  <c r="G19" i="22"/>
  <c r="G51" i="22"/>
  <c r="G17" i="22"/>
  <c r="G55" i="22"/>
  <c r="G26" i="22"/>
  <c r="F56" i="22"/>
  <c r="F31" i="22"/>
  <c r="G31" i="22" s="1"/>
  <c r="D60" i="22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F7" i="23"/>
  <c r="G7" i="23" s="1"/>
  <c r="G54" i="22"/>
  <c r="G4" i="22"/>
  <c r="F10" i="22"/>
  <c r="F8" i="24"/>
  <c r="G8" i="24" s="1"/>
  <c r="F28" i="22"/>
  <c r="G28" i="22" s="1"/>
  <c r="G35" i="22"/>
  <c r="F18" i="22"/>
  <c r="G18" i="22" s="1"/>
  <c r="F5" i="24"/>
  <c r="G5" i="24" s="1"/>
  <c r="F4" i="24"/>
  <c r="G4" i="24" s="1"/>
  <c r="G3" i="23"/>
  <c r="G4" i="23"/>
  <c r="F3" i="22"/>
  <c r="G3" i="22" s="1"/>
  <c r="F33" i="22"/>
  <c r="G33" i="22" s="1"/>
  <c r="F22" i="22"/>
  <c r="G22" i="22" s="1"/>
  <c r="G46" i="22"/>
  <c r="F20" i="22"/>
  <c r="G20" i="22" s="1"/>
  <c r="F13" i="22"/>
  <c r="G13" i="22" s="1"/>
  <c r="D75" i="22"/>
  <c r="G9" i="24"/>
  <c r="F6" i="23"/>
  <c r="G6" i="23" s="1"/>
  <c r="F41" i="22"/>
  <c r="G41" i="22" s="1"/>
  <c r="F21" i="22"/>
  <c r="G21" i="22" s="1"/>
  <c r="F30" i="22"/>
  <c r="G30" i="22" s="1"/>
  <c r="F39" i="22"/>
  <c r="G39" i="22" s="1"/>
  <c r="F45" i="22"/>
  <c r="F7" i="24"/>
  <c r="G12" i="22"/>
  <c r="F50" i="22"/>
  <c r="G50" i="22" s="1"/>
  <c r="E2" i="29"/>
  <c r="E2" i="31"/>
  <c r="E2" i="32"/>
  <c r="E2" i="30"/>
  <c r="E2" i="28"/>
  <c r="C29" i="26" l="1"/>
  <c r="C18" i="26"/>
  <c r="D5" i="26"/>
  <c r="C26" i="26"/>
  <c r="C5" i="26"/>
  <c r="D16" i="25"/>
  <c r="D24" i="26"/>
  <c r="D35" i="26"/>
  <c r="C16" i="26"/>
  <c r="D29" i="26"/>
  <c r="D8" i="26"/>
  <c r="D19" i="26"/>
  <c r="C37" i="26"/>
  <c r="D16" i="26"/>
  <c r="C21" i="25"/>
  <c r="D37" i="26"/>
  <c r="D27" i="26"/>
  <c r="C8" i="26"/>
  <c r="C13" i="25"/>
  <c r="C10" i="25"/>
  <c r="C34" i="26"/>
  <c r="C24" i="26"/>
  <c r="D13" i="26"/>
  <c r="C8" i="25"/>
  <c r="D32" i="26"/>
  <c r="D21" i="26"/>
  <c r="C13" i="26"/>
  <c r="D3" i="26"/>
  <c r="E3" i="26" s="1"/>
  <c r="C26" i="25"/>
  <c r="D5" i="25"/>
  <c r="C32" i="26"/>
  <c r="C21" i="26"/>
  <c r="C10" i="26"/>
  <c r="D11" i="26"/>
  <c r="D38" i="26"/>
  <c r="C35" i="26"/>
  <c r="D22" i="26"/>
  <c r="C19" i="26"/>
  <c r="D14" i="26"/>
  <c r="C11" i="26"/>
  <c r="D6" i="26"/>
  <c r="D36" i="26"/>
  <c r="C33" i="26"/>
  <c r="D28" i="26"/>
  <c r="C25" i="26"/>
  <c r="D20" i="26"/>
  <c r="C17" i="26"/>
  <c r="D12" i="26"/>
  <c r="C9" i="26"/>
  <c r="D4" i="26"/>
  <c r="D39" i="26"/>
  <c r="C36" i="26"/>
  <c r="D31" i="26"/>
  <c r="C28" i="26"/>
  <c r="D23" i="26"/>
  <c r="C20" i="26"/>
  <c r="D15" i="26"/>
  <c r="C12" i="26"/>
  <c r="D7" i="26"/>
  <c r="C4" i="26"/>
  <c r="C39" i="26"/>
  <c r="D34" i="26"/>
  <c r="C31" i="26"/>
  <c r="D26" i="26"/>
  <c r="C23" i="26"/>
  <c r="D18" i="26"/>
  <c r="C15" i="26"/>
  <c r="D10" i="26"/>
  <c r="C7" i="26"/>
  <c r="D30" i="26"/>
  <c r="C27" i="26"/>
  <c r="C38" i="26"/>
  <c r="D33" i="26"/>
  <c r="C30" i="26"/>
  <c r="D25" i="26"/>
  <c r="C22" i="26"/>
  <c r="D17" i="26"/>
  <c r="C14" i="26"/>
  <c r="C6" i="26"/>
  <c r="C18" i="25"/>
  <c r="D8" i="25"/>
  <c r="C34" i="25"/>
  <c r="C16" i="25"/>
  <c r="C5" i="25"/>
  <c r="D37" i="25"/>
  <c r="D29" i="25"/>
  <c r="D13" i="25"/>
  <c r="D3" i="25"/>
  <c r="D21" i="25"/>
  <c r="D39" i="25"/>
  <c r="C36" i="25"/>
  <c r="D31" i="25"/>
  <c r="C28" i="25"/>
  <c r="D23" i="25"/>
  <c r="C20" i="25"/>
  <c r="D15" i="25"/>
  <c r="C12" i="25"/>
  <c r="D7" i="25"/>
  <c r="C4" i="25"/>
  <c r="C39" i="25"/>
  <c r="D34" i="25"/>
  <c r="C31" i="25"/>
  <c r="D26" i="25"/>
  <c r="C23" i="25"/>
  <c r="D18" i="25"/>
  <c r="C15" i="25"/>
  <c r="D10" i="25"/>
  <c r="C7" i="25"/>
  <c r="C37" i="25"/>
  <c r="C29" i="25"/>
  <c r="D24" i="25"/>
  <c r="C32" i="25"/>
  <c r="D27" i="25"/>
  <c r="D38" i="25"/>
  <c r="C19" i="25"/>
  <c r="D14" i="25"/>
  <c r="C11" i="25"/>
  <c r="C38" i="25"/>
  <c r="D33" i="25"/>
  <c r="C30" i="25"/>
  <c r="D25" i="25"/>
  <c r="C22" i="25"/>
  <c r="D17" i="25"/>
  <c r="C14" i="25"/>
  <c r="D9" i="25"/>
  <c r="E9" i="25" s="1"/>
  <c r="C6" i="25"/>
  <c r="C3" i="25"/>
  <c r="D32" i="25"/>
  <c r="D35" i="25"/>
  <c r="C24" i="25"/>
  <c r="D19" i="25"/>
  <c r="D11" i="25"/>
  <c r="C35" i="25"/>
  <c r="D30" i="25"/>
  <c r="C27" i="25"/>
  <c r="D22" i="25"/>
  <c r="D6" i="25"/>
  <c r="D36" i="25"/>
  <c r="C33" i="25"/>
  <c r="D28" i="25"/>
  <c r="C25" i="25"/>
  <c r="D20" i="25"/>
  <c r="C17" i="25"/>
  <c r="D12" i="25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G7" i="24"/>
  <c r="G13" i="23"/>
  <c r="F32" i="26"/>
  <c r="F21" i="25"/>
  <c r="F67" i="22"/>
  <c r="F62" i="22"/>
  <c r="F68" i="22"/>
  <c r="F66" i="22"/>
  <c r="G45" i="22"/>
  <c r="G40" i="22"/>
  <c r="F13" i="26"/>
  <c r="F13" i="25"/>
  <c r="F63" i="22"/>
  <c r="F58" i="22"/>
  <c r="F60" i="22"/>
  <c r="G10" i="22"/>
  <c r="G16" i="22"/>
  <c r="F8" i="26"/>
  <c r="F16" i="26"/>
  <c r="F10" i="25"/>
  <c r="F59" i="22"/>
  <c r="F64" i="22"/>
  <c r="G58" i="22"/>
  <c r="G56" i="22"/>
  <c r="G14" i="22"/>
  <c r="F3" i="26"/>
  <c r="F9" i="25"/>
  <c r="F71" i="22"/>
  <c r="F73" i="22"/>
  <c r="G29" i="22"/>
  <c r="F5" i="25"/>
  <c r="G48" i="22"/>
  <c r="G53" i="22"/>
  <c r="F24" i="26"/>
  <c r="F72" i="22"/>
  <c r="F69" i="22"/>
  <c r="F65" i="22"/>
  <c r="G24" i="22"/>
  <c r="G32" i="22"/>
  <c r="F29" i="26"/>
  <c r="F34" i="25"/>
  <c r="F74" i="22"/>
  <c r="G8" i="22"/>
  <c r="F37" i="26"/>
  <c r="G42" i="22"/>
  <c r="G5" i="23"/>
  <c r="F5" i="26"/>
  <c r="F16" i="25"/>
  <c r="F26" i="25"/>
  <c r="F70" i="22"/>
  <c r="F61" i="22"/>
  <c r="F75" i="22"/>
  <c r="D76" i="22"/>
  <c r="F21" i="26"/>
  <c r="F8" i="25"/>
  <c r="F26" i="26"/>
  <c r="F18" i="25"/>
  <c r="G72" i="22"/>
  <c r="G74" i="22"/>
  <c r="G70" i="22"/>
  <c r="G73" i="22"/>
  <c r="G75" i="22"/>
  <c r="G71" i="22"/>
  <c r="E18" i="26" l="1"/>
  <c r="E29" i="26"/>
  <c r="E24" i="26"/>
  <c r="E26" i="25"/>
  <c r="E21" i="26"/>
  <c r="E5" i="26"/>
  <c r="E10" i="25"/>
  <c r="E26" i="26"/>
  <c r="E37" i="26"/>
  <c r="E16" i="26"/>
  <c r="E13" i="26"/>
  <c r="E21" i="25"/>
  <c r="E13" i="25"/>
  <c r="E34" i="26"/>
  <c r="E32" i="26"/>
  <c r="E5" i="25"/>
  <c r="E10" i="26"/>
  <c r="E8" i="25"/>
  <c r="E2" i="26"/>
  <c r="E8" i="26"/>
  <c r="E30" i="26"/>
  <c r="E12" i="26"/>
  <c r="E23" i="26"/>
  <c r="E9" i="26"/>
  <c r="E38" i="26"/>
  <c r="E20" i="26"/>
  <c r="E11" i="26"/>
  <c r="E6" i="26"/>
  <c r="E27" i="26"/>
  <c r="E31" i="26"/>
  <c r="E17" i="26"/>
  <c r="E14" i="26"/>
  <c r="E28" i="26"/>
  <c r="E19" i="26"/>
  <c r="E7" i="26"/>
  <c r="E39" i="26"/>
  <c r="E25" i="26"/>
  <c r="E22" i="26"/>
  <c r="E4" i="26"/>
  <c r="E36" i="26"/>
  <c r="E35" i="26"/>
  <c r="E15" i="26"/>
  <c r="E33" i="26"/>
  <c r="E18" i="25"/>
  <c r="E16" i="25"/>
  <c r="E24" i="25"/>
  <c r="E15" i="25"/>
  <c r="E30" i="25"/>
  <c r="E32" i="25"/>
  <c r="E23" i="25"/>
  <c r="E17" i="25"/>
  <c r="E27" i="25"/>
  <c r="E2" i="25"/>
  <c r="E3" i="25"/>
  <c r="E12" i="25"/>
  <c r="E28" i="25"/>
  <c r="E6" i="25"/>
  <c r="E38" i="25"/>
  <c r="E29" i="25"/>
  <c r="E31" i="25"/>
  <c r="E25" i="25"/>
  <c r="E35" i="25"/>
  <c r="E11" i="25"/>
  <c r="E37" i="25"/>
  <c r="E34" i="25"/>
  <c r="E14" i="25"/>
  <c r="E7" i="25"/>
  <c r="E39" i="25"/>
  <c r="E36" i="25"/>
  <c r="E33" i="25"/>
  <c r="E19" i="25"/>
  <c r="E4" i="25"/>
  <c r="E20" i="25"/>
  <c r="E22" i="25"/>
  <c r="E76" i="22"/>
  <c r="G18" i="25"/>
  <c r="G26" i="26"/>
  <c r="G34" i="25"/>
  <c r="G64" i="22"/>
  <c r="G13" i="26"/>
  <c r="F35" i="26"/>
  <c r="F4" i="26"/>
  <c r="F23" i="26"/>
  <c r="F23" i="25"/>
  <c r="F36" i="25"/>
  <c r="F11" i="25"/>
  <c r="G69" i="22"/>
  <c r="G62" i="22"/>
  <c r="F14" i="26"/>
  <c r="F17" i="25"/>
  <c r="G8" i="25"/>
  <c r="G29" i="26"/>
  <c r="G59" i="22"/>
  <c r="G66" i="22"/>
  <c r="F30" i="26"/>
  <c r="F31" i="26"/>
  <c r="F18" i="26"/>
  <c r="F22" i="26"/>
  <c r="F12" i="25"/>
  <c r="F32" i="25"/>
  <c r="F15" i="25"/>
  <c r="G61" i="22"/>
  <c r="F19" i="26"/>
  <c r="F35" i="25"/>
  <c r="F31" i="25"/>
  <c r="G21" i="26"/>
  <c r="G65" i="22"/>
  <c r="G10" i="25"/>
  <c r="G68" i="22"/>
  <c r="F25" i="26"/>
  <c r="F20" i="26"/>
  <c r="F6" i="26"/>
  <c r="F15" i="26"/>
  <c r="F19" i="25"/>
  <c r="F6" i="25"/>
  <c r="F4" i="25"/>
  <c r="G16" i="26"/>
  <c r="F10" i="26"/>
  <c r="F14" i="25"/>
  <c r="G26" i="25"/>
  <c r="G24" i="26"/>
  <c r="G8" i="26"/>
  <c r="G67" i="22"/>
  <c r="F36" i="26"/>
  <c r="F11" i="26"/>
  <c r="F33" i="26"/>
  <c r="F7" i="25"/>
  <c r="F39" i="25"/>
  <c r="F22" i="25"/>
  <c r="F30" i="25"/>
  <c r="G37" i="26"/>
  <c r="F27" i="26"/>
  <c r="F29" i="25"/>
  <c r="G16" i="25"/>
  <c r="G5" i="25"/>
  <c r="G60" i="22"/>
  <c r="G21" i="25"/>
  <c r="F34" i="26"/>
  <c r="F17" i="26"/>
  <c r="F39" i="26"/>
  <c r="F37" i="25"/>
  <c r="F28" i="25"/>
  <c r="F33" i="25"/>
  <c r="F25" i="25"/>
  <c r="G3" i="26"/>
  <c r="F12" i="26"/>
  <c r="F38" i="25"/>
  <c r="G5" i="26"/>
  <c r="G9" i="25"/>
  <c r="G63" i="22"/>
  <c r="G32" i="26"/>
  <c r="F38" i="26"/>
  <c r="F7" i="26"/>
  <c r="F28" i="26"/>
  <c r="F27" i="25"/>
  <c r="F20" i="25"/>
  <c r="F3" i="25"/>
  <c r="F76" i="22"/>
  <c r="G13" i="25"/>
  <c r="F9" i="26"/>
  <c r="F24" i="25"/>
  <c r="D77" i="22"/>
  <c r="G76" i="22"/>
  <c r="E77" i="22" l="1"/>
  <c r="G24" i="25"/>
  <c r="G38" i="25"/>
  <c r="G34" i="26"/>
  <c r="G11" i="26"/>
  <c r="G6" i="26"/>
  <c r="G12" i="25"/>
  <c r="G36" i="25"/>
  <c r="G12" i="26"/>
  <c r="G29" i="25"/>
  <c r="G36" i="26"/>
  <c r="G20" i="26"/>
  <c r="G22" i="26"/>
  <c r="G23" i="25"/>
  <c r="D78" i="22"/>
  <c r="G9" i="26"/>
  <c r="G3" i="25"/>
  <c r="G25" i="25"/>
  <c r="G27" i="26"/>
  <c r="G14" i="25"/>
  <c r="G25" i="26"/>
  <c r="G18" i="26"/>
  <c r="G23" i="26"/>
  <c r="G4" i="26"/>
  <c r="G19" i="25"/>
  <c r="G17" i="26"/>
  <c r="G32" i="25"/>
  <c r="G20" i="25"/>
  <c r="G33" i="25"/>
  <c r="G30" i="25"/>
  <c r="G10" i="26"/>
  <c r="G31" i="25"/>
  <c r="G31" i="26"/>
  <c r="G17" i="25"/>
  <c r="G14" i="26"/>
  <c r="G38" i="26"/>
  <c r="G11" i="25"/>
  <c r="G27" i="25"/>
  <c r="G28" i="25"/>
  <c r="G22" i="25"/>
  <c r="G4" i="25"/>
  <c r="G35" i="25"/>
  <c r="G30" i="26"/>
  <c r="G35" i="26"/>
  <c r="G15" i="25"/>
  <c r="G33" i="26"/>
  <c r="G15" i="26"/>
  <c r="G28" i="26"/>
  <c r="G37" i="25"/>
  <c r="G39" i="25"/>
  <c r="G6" i="25"/>
  <c r="G19" i="26"/>
  <c r="G7" i="26"/>
  <c r="G39" i="26"/>
  <c r="G7" i="25"/>
  <c r="F77" i="22"/>
  <c r="G77" i="22"/>
  <c r="E78" i="22" l="1"/>
  <c r="D79" i="22"/>
  <c r="F78" i="22"/>
  <c r="G78" i="22"/>
  <c r="E79" i="22" l="1"/>
  <c r="F79" i="22"/>
  <c r="D80" i="22"/>
  <c r="G79" i="22"/>
  <c r="E80" i="22" l="1"/>
  <c r="F80" i="22"/>
  <c r="D81" i="22"/>
  <c r="G80" i="22"/>
  <c r="E81" i="22" l="1"/>
  <c r="F81" i="22"/>
  <c r="D82" i="22"/>
  <c r="G81" i="22"/>
  <c r="E82" i="22" l="1"/>
  <c r="D83" i="22"/>
  <c r="F82" i="22"/>
  <c r="G82" i="22"/>
  <c r="E83" i="22" l="1"/>
  <c r="D84" i="22"/>
  <c r="F83" i="22"/>
  <c r="G83" i="22"/>
  <c r="E84" i="22" l="1"/>
  <c r="F84" i="22"/>
  <c r="D85" i="22"/>
  <c r="G84" i="22"/>
  <c r="E85" i="22" l="1"/>
  <c r="F85" i="22"/>
  <c r="D86" i="22"/>
  <c r="G85" i="22"/>
  <c r="E86" i="22" l="1"/>
  <c r="F86" i="22"/>
  <c r="D87" i="22"/>
  <c r="G86" i="22"/>
  <c r="E87" i="22" l="1"/>
  <c r="F87" i="22"/>
  <c r="D88" i="22"/>
  <c r="G87" i="22"/>
  <c r="E88" i="22" l="1"/>
  <c r="F88" i="22"/>
  <c r="D89" i="22"/>
  <c r="G88" i="22"/>
  <c r="E89" i="22" l="1"/>
  <c r="F89" i="22"/>
  <c r="D90" i="22"/>
  <c r="G89" i="22"/>
  <c r="E90" i="22" l="1"/>
  <c r="F90" i="22"/>
  <c r="D91" i="22"/>
  <c r="G90" i="22"/>
  <c r="E91" i="22" l="1"/>
  <c r="F91" i="22"/>
  <c r="D92" i="22"/>
  <c r="G91" i="22"/>
  <c r="E92" i="22" l="1"/>
  <c r="F92" i="22"/>
  <c r="D93" i="22"/>
  <c r="G92" i="22"/>
  <c r="E93" i="22" l="1"/>
  <c r="F93" i="22"/>
  <c r="F2" i="26"/>
  <c r="F2" i="25"/>
  <c r="F2" i="23"/>
  <c r="F2" i="24"/>
  <c r="F2" i="22"/>
  <c r="G93" i="22"/>
  <c r="D8" i="21" l="1"/>
  <c r="B2" i="20"/>
  <c r="B3" i="20"/>
  <c r="B4" i="20"/>
  <c r="E2" i="19"/>
  <c r="E2" i="18"/>
  <c r="E2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/>
  <c r="C16" i="16"/>
  <c r="D16" i="16" s="1"/>
  <c r="C17" i="16"/>
  <c r="D17" i="16"/>
  <c r="C18" i="16"/>
  <c r="D18" i="16" s="1"/>
  <c r="C19" i="16"/>
  <c r="D19" i="16"/>
  <c r="C20" i="16"/>
  <c r="D20" i="16" s="1"/>
  <c r="C21" i="16"/>
  <c r="D21" i="16"/>
  <c r="C22" i="16"/>
  <c r="D22" i="16" s="1"/>
  <c r="C23" i="16"/>
  <c r="D23" i="16"/>
  <c r="C24" i="16"/>
  <c r="D24" i="16" s="1"/>
  <c r="C25" i="16"/>
  <c r="D25" i="16"/>
  <c r="C26" i="16"/>
  <c r="D26" i="16" s="1"/>
  <c r="C27" i="16"/>
  <c r="D27" i="16"/>
  <c r="C28" i="16"/>
  <c r="D28" i="16" s="1"/>
  <c r="C29" i="16"/>
  <c r="D29" i="16"/>
  <c r="C30" i="16"/>
  <c r="D30" i="16" s="1"/>
  <c r="C31" i="16"/>
  <c r="D31" i="16"/>
  <c r="C32" i="16"/>
  <c r="D32" i="16" s="1"/>
  <c r="D33" i="16"/>
  <c r="D34" i="16"/>
  <c r="D35" i="16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D3" i="17" a="1"/>
  <c r="E9" i="16"/>
  <c r="E24" i="16"/>
  <c r="F9" i="16"/>
  <c r="E27" i="16"/>
  <c r="D12" i="15"/>
  <c r="D14" i="15"/>
  <c r="D18" i="15"/>
  <c r="E5" i="16"/>
  <c r="D3" i="15"/>
  <c r="C3" i="20"/>
  <c r="E14" i="16"/>
  <c r="E30" i="16"/>
  <c r="C4" i="20"/>
  <c r="E29" i="16"/>
  <c r="E13" i="16"/>
  <c r="E18" i="15"/>
  <c r="D3" i="19" a="1"/>
  <c r="E20" i="16"/>
  <c r="D3" i="18" a="1"/>
  <c r="D10" i="15"/>
  <c r="E10" i="15" s="1"/>
  <c r="D8" i="15"/>
  <c r="E8" i="16"/>
  <c r="E35" i="16"/>
  <c r="F35" i="16" s="1"/>
  <c r="E6" i="16"/>
  <c r="E26" i="16"/>
  <c r="F26" i="16" s="1"/>
  <c r="E12" i="16"/>
  <c r="D16" i="15"/>
  <c r="D9" i="15"/>
  <c r="E9" i="15" s="1"/>
  <c r="D4" i="15"/>
  <c r="E25" i="16"/>
  <c r="F25" i="16" s="1"/>
  <c r="E23" i="16"/>
  <c r="E8" i="15"/>
  <c r="F8" i="16"/>
  <c r="E18" i="16"/>
  <c r="D15" i="15"/>
  <c r="E15" i="15" s="1"/>
  <c r="E11" i="16"/>
  <c r="E17" i="16"/>
  <c r="E19" i="16"/>
  <c r="B1" i="21"/>
  <c r="E34" i="16"/>
  <c r="E33" i="16"/>
  <c r="F33" i="16" s="1"/>
  <c r="F11" i="16"/>
  <c r="E28" i="16"/>
  <c r="E10" i="16"/>
  <c r="D5" i="15"/>
  <c r="E15" i="16"/>
  <c r="F15" i="16" s="1"/>
  <c r="D7" i="15"/>
  <c r="E7" i="15" s="1"/>
  <c r="F6" i="16"/>
  <c r="F23" i="16"/>
  <c r="E16" i="15"/>
  <c r="F18" i="16"/>
  <c r="E5" i="15"/>
  <c r="F34" i="16"/>
  <c r="D17" i="15"/>
  <c r="E17" i="15" s="1"/>
  <c r="E22" i="16"/>
  <c r="F22" i="16" s="1"/>
  <c r="D3" i="20"/>
  <c r="E3" i="16"/>
  <c r="F3" i="16" s="1"/>
  <c r="E21" i="16"/>
  <c r="E16" i="16"/>
  <c r="E32" i="16"/>
  <c r="F32" i="16" s="1"/>
  <c r="E31" i="16"/>
  <c r="E7" i="16"/>
  <c r="F19" i="16"/>
  <c r="E12" i="15"/>
  <c r="D13" i="15"/>
  <c r="E13" i="15" s="1"/>
  <c r="D11" i="15"/>
  <c r="D20" i="15"/>
  <c r="F12" i="16"/>
  <c r="F21" i="16"/>
  <c r="F31" i="16"/>
  <c r="F27" i="16"/>
  <c r="D19" i="15"/>
  <c r="E19" i="15" s="1"/>
  <c r="E4" i="16"/>
  <c r="F4" i="16" s="1"/>
  <c r="D6" i="15"/>
  <c r="G2" i="22"/>
  <c r="G2" i="24"/>
  <c r="G2" i="23"/>
  <c r="G2" i="25"/>
  <c r="G2" i="26"/>
  <c r="D4" i="19" l="1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3" i="18"/>
  <c r="E3" i="18" s="1"/>
  <c r="D5" i="18"/>
  <c r="E5" i="18" s="1"/>
  <c r="D7" i="18"/>
  <c r="E7" i="18" s="1"/>
  <c r="D9" i="18"/>
  <c r="E9" i="18" s="1"/>
  <c r="D11" i="18"/>
  <c r="E11" i="18" s="1"/>
  <c r="D13" i="18"/>
  <c r="E13" i="18" s="1"/>
  <c r="D15" i="18"/>
  <c r="E15" i="18" s="1"/>
  <c r="D17" i="18"/>
  <c r="E17" i="18" s="1"/>
  <c r="D19" i="18"/>
  <c r="E19" i="18" s="1"/>
  <c r="D21" i="18"/>
  <c r="E21" i="18" s="1"/>
  <c r="D23" i="18"/>
  <c r="E23" i="18" s="1"/>
  <c r="D25" i="18"/>
  <c r="E25" i="18" s="1"/>
  <c r="D27" i="18"/>
  <c r="E27" i="18" s="1"/>
  <c r="D29" i="18"/>
  <c r="E29" i="18" s="1"/>
  <c r="D31" i="18"/>
  <c r="E31" i="18" s="1"/>
  <c r="D33" i="18"/>
  <c r="E33" i="18" s="1"/>
  <c r="D35" i="18"/>
  <c r="E35" i="18" s="1"/>
  <c r="D37" i="18"/>
  <c r="E37" i="18" s="1"/>
  <c r="D39" i="18"/>
  <c r="E39" i="18" s="1"/>
  <c r="D41" i="18"/>
  <c r="E41" i="18" s="1"/>
  <c r="D43" i="18"/>
  <c r="E43" i="18" s="1"/>
  <c r="D45" i="18"/>
  <c r="E45" i="18" s="1"/>
  <c r="D47" i="18"/>
  <c r="E47" i="18" s="1"/>
  <c r="D49" i="18"/>
  <c r="E49" i="18" s="1"/>
  <c r="D51" i="18"/>
  <c r="E51" i="18" s="1"/>
  <c r="D53" i="18"/>
  <c r="E53" i="18" s="1"/>
  <c r="D55" i="18"/>
  <c r="E55" i="18" s="1"/>
  <c r="D57" i="18"/>
  <c r="E57" i="18" s="1"/>
  <c r="D59" i="18"/>
  <c r="E59" i="18" s="1"/>
  <c r="D61" i="18"/>
  <c r="E61" i="18" s="1"/>
  <c r="D63" i="18"/>
  <c r="E63" i="18" s="1"/>
  <c r="D65" i="18"/>
  <c r="E65" i="18" s="1"/>
  <c r="D67" i="18"/>
  <c r="E67" i="18" s="1"/>
  <c r="D69" i="18"/>
  <c r="E69" i="18" s="1"/>
  <c r="D71" i="18"/>
  <c r="E71" i="18" s="1"/>
  <c r="D73" i="18"/>
  <c r="E73" i="18" s="1"/>
  <c r="D75" i="18"/>
  <c r="E75" i="18" s="1"/>
  <c r="D77" i="18"/>
  <c r="E77" i="18" s="1"/>
  <c r="D79" i="18"/>
  <c r="E79" i="18" s="1"/>
  <c r="D81" i="18"/>
  <c r="E81" i="18" s="1"/>
  <c r="D83" i="18"/>
  <c r="E83" i="18" s="1"/>
  <c r="D85" i="18"/>
  <c r="E85" i="18" s="1"/>
  <c r="D87" i="18"/>
  <c r="E87" i="18" s="1"/>
  <c r="D89" i="18"/>
  <c r="E89" i="18" s="1"/>
  <c r="D91" i="18"/>
  <c r="E91" i="18" s="1"/>
  <c r="D93" i="18"/>
  <c r="E93" i="18" s="1"/>
  <c r="D95" i="18"/>
  <c r="E95" i="18" s="1"/>
  <c r="D97" i="18"/>
  <c r="E97" i="18" s="1"/>
  <c r="D99" i="18"/>
  <c r="E99" i="18" s="1"/>
  <c r="D101" i="18"/>
  <c r="E101" i="18" s="1"/>
  <c r="D103" i="18"/>
  <c r="E103" i="18" s="1"/>
  <c r="D105" i="18"/>
  <c r="E105" i="18" s="1"/>
  <c r="D107" i="18"/>
  <c r="E107" i="18" s="1"/>
  <c r="D109" i="18"/>
  <c r="E109" i="18" s="1"/>
  <c r="D111" i="18"/>
  <c r="E111" i="18" s="1"/>
  <c r="D113" i="18"/>
  <c r="E113" i="18" s="1"/>
  <c r="D115" i="18"/>
  <c r="E115" i="18" s="1"/>
  <c r="D117" i="18"/>
  <c r="E117" i="18" s="1"/>
  <c r="D119" i="18"/>
  <c r="E119" i="18" s="1"/>
  <c r="D121" i="18"/>
  <c r="E121" i="18" s="1"/>
  <c r="D58" i="18"/>
  <c r="E58" i="18" s="1"/>
  <c r="D68" i="18"/>
  <c r="E68" i="18" s="1"/>
  <c r="D72" i="18"/>
  <c r="E72" i="18" s="1"/>
  <c r="D76" i="18"/>
  <c r="E76" i="18" s="1"/>
  <c r="D80" i="18"/>
  <c r="E80" i="18" s="1"/>
  <c r="D84" i="18"/>
  <c r="E84" i="18" s="1"/>
  <c r="D88" i="18"/>
  <c r="E88" i="18" s="1"/>
  <c r="D92" i="18"/>
  <c r="E92" i="18" s="1"/>
  <c r="D96" i="18"/>
  <c r="E96" i="18" s="1"/>
  <c r="D100" i="18"/>
  <c r="E100" i="18" s="1"/>
  <c r="D104" i="18"/>
  <c r="E104" i="18" s="1"/>
  <c r="D108" i="18"/>
  <c r="E108" i="18" s="1"/>
  <c r="D112" i="18"/>
  <c r="E112" i="18" s="1"/>
  <c r="D116" i="18"/>
  <c r="E116" i="18" s="1"/>
  <c r="D120" i="18"/>
  <c r="E120" i="18" s="1"/>
  <c r="D14" i="18"/>
  <c r="E14" i="18" s="1"/>
  <c r="D46" i="18"/>
  <c r="E46" i="18" s="1"/>
  <c r="D74" i="18"/>
  <c r="E74" i="18" s="1"/>
  <c r="D90" i="18"/>
  <c r="E90" i="18" s="1"/>
  <c r="D102" i="18"/>
  <c r="E102" i="18" s="1"/>
  <c r="D114" i="18"/>
  <c r="E114" i="18" s="1"/>
  <c r="D4" i="18"/>
  <c r="E4" i="18" s="1"/>
  <c r="D12" i="18"/>
  <c r="E12" i="18" s="1"/>
  <c r="D20" i="18"/>
  <c r="E20" i="18" s="1"/>
  <c r="D28" i="18"/>
  <c r="E28" i="18" s="1"/>
  <c r="D36" i="18"/>
  <c r="E36" i="18" s="1"/>
  <c r="D44" i="18"/>
  <c r="E44" i="18" s="1"/>
  <c r="D52" i="18"/>
  <c r="E52" i="18" s="1"/>
  <c r="D64" i="18"/>
  <c r="E64" i="18" s="1"/>
  <c r="D6" i="18"/>
  <c r="E6" i="18" s="1"/>
  <c r="D30" i="18"/>
  <c r="E30" i="18" s="1"/>
  <c r="D38" i="18"/>
  <c r="E38" i="18" s="1"/>
  <c r="D54" i="18"/>
  <c r="E54" i="18" s="1"/>
  <c r="D60" i="18"/>
  <c r="E60" i="18" s="1"/>
  <c r="D118" i="18"/>
  <c r="E118" i="18" s="1"/>
  <c r="D22" i="18"/>
  <c r="E22" i="18" s="1"/>
  <c r="D82" i="18"/>
  <c r="E82" i="18" s="1"/>
  <c r="D98" i="18"/>
  <c r="E98" i="18" s="1"/>
  <c r="D110" i="18"/>
  <c r="E110" i="18" s="1"/>
  <c r="D122" i="18"/>
  <c r="E122" i="18" s="1"/>
  <c r="D8" i="18"/>
  <c r="E8" i="18" s="1"/>
  <c r="D16" i="18"/>
  <c r="E16" i="18" s="1"/>
  <c r="D24" i="18"/>
  <c r="E24" i="18" s="1"/>
  <c r="D32" i="18"/>
  <c r="E32" i="18" s="1"/>
  <c r="D40" i="18"/>
  <c r="E40" i="18" s="1"/>
  <c r="D48" i="18"/>
  <c r="E48" i="18" s="1"/>
  <c r="D56" i="18"/>
  <c r="E56" i="18" s="1"/>
  <c r="D62" i="18"/>
  <c r="E62" i="18" s="1"/>
  <c r="D10" i="18"/>
  <c r="E10" i="18" s="1"/>
  <c r="D18" i="18"/>
  <c r="E18" i="18" s="1"/>
  <c r="D26" i="18"/>
  <c r="E26" i="18" s="1"/>
  <c r="D34" i="18"/>
  <c r="E34" i="18" s="1"/>
  <c r="D42" i="18"/>
  <c r="E42" i="18" s="1"/>
  <c r="D50" i="18"/>
  <c r="E50" i="18" s="1"/>
  <c r="D66" i="18"/>
  <c r="E66" i="18" s="1"/>
  <c r="D70" i="18"/>
  <c r="E70" i="18" s="1"/>
  <c r="D78" i="18"/>
  <c r="E78" i="18" s="1"/>
  <c r="D86" i="18"/>
  <c r="E86" i="18" s="1"/>
  <c r="D94" i="18"/>
  <c r="E94" i="18" s="1"/>
  <c r="D106" i="18"/>
  <c r="E106" i="18" s="1"/>
  <c r="D4" i="17"/>
  <c r="E4" i="17" s="1"/>
  <c r="D6" i="17"/>
  <c r="E6" i="17" s="1"/>
  <c r="D8" i="17"/>
  <c r="E8" i="17" s="1"/>
  <c r="D10" i="17"/>
  <c r="E10" i="17" s="1"/>
  <c r="D12" i="17"/>
  <c r="E12" i="17" s="1"/>
  <c r="D14" i="17"/>
  <c r="E14" i="17" s="1"/>
  <c r="D16" i="17"/>
  <c r="E16" i="17" s="1"/>
  <c r="D18" i="17"/>
  <c r="E18" i="17" s="1"/>
  <c r="D20" i="17"/>
  <c r="E20" i="17" s="1"/>
  <c r="D22" i="17"/>
  <c r="E22" i="17" s="1"/>
  <c r="D24" i="17"/>
  <c r="E24" i="17" s="1"/>
  <c r="D26" i="17"/>
  <c r="E26" i="17" s="1"/>
  <c r="D28" i="17"/>
  <c r="E28" i="17" s="1"/>
  <c r="D30" i="17"/>
  <c r="E30" i="17" s="1"/>
  <c r="D32" i="17"/>
  <c r="E32" i="17" s="1"/>
  <c r="D34" i="17"/>
  <c r="E34" i="17" s="1"/>
  <c r="D36" i="17"/>
  <c r="E36" i="17" s="1"/>
  <c r="D38" i="17"/>
  <c r="E38" i="17" s="1"/>
  <c r="D40" i="17"/>
  <c r="E40" i="17" s="1"/>
  <c r="D42" i="17"/>
  <c r="E42" i="17" s="1"/>
  <c r="D44" i="17"/>
  <c r="E44" i="17" s="1"/>
  <c r="D46" i="17"/>
  <c r="E46" i="17" s="1"/>
  <c r="D48" i="17"/>
  <c r="E48" i="17" s="1"/>
  <c r="D50" i="17"/>
  <c r="E50" i="17" s="1"/>
  <c r="D52" i="17"/>
  <c r="E52" i="17" s="1"/>
  <c r="D54" i="17"/>
  <c r="E54" i="17" s="1"/>
  <c r="D56" i="17"/>
  <c r="E56" i="17" s="1"/>
  <c r="D58" i="17"/>
  <c r="E58" i="17" s="1"/>
  <c r="D60" i="17"/>
  <c r="E60" i="17" s="1"/>
  <c r="D62" i="17"/>
  <c r="E62" i="17" s="1"/>
  <c r="D64" i="17"/>
  <c r="E64" i="17" s="1"/>
  <c r="D66" i="17"/>
  <c r="E66" i="17" s="1"/>
  <c r="D68" i="17"/>
  <c r="E68" i="17" s="1"/>
  <c r="D70" i="17"/>
  <c r="E70" i="17" s="1"/>
  <c r="D72" i="17"/>
  <c r="E72" i="17" s="1"/>
  <c r="D74" i="17"/>
  <c r="E74" i="17" s="1"/>
  <c r="D76" i="17"/>
  <c r="E76" i="17" s="1"/>
  <c r="D78" i="17"/>
  <c r="E78" i="17" s="1"/>
  <c r="D80" i="17"/>
  <c r="E80" i="17" s="1"/>
  <c r="D82" i="17"/>
  <c r="E82" i="17" s="1"/>
  <c r="D84" i="17"/>
  <c r="E84" i="17" s="1"/>
  <c r="D86" i="17"/>
  <c r="E86" i="17" s="1"/>
  <c r="D88" i="17"/>
  <c r="E88" i="17" s="1"/>
  <c r="D90" i="17"/>
  <c r="E90" i="17" s="1"/>
  <c r="D92" i="17"/>
  <c r="E92" i="17" s="1"/>
  <c r="D94" i="17"/>
  <c r="E94" i="17" s="1"/>
  <c r="D96" i="17"/>
  <c r="E96" i="17" s="1"/>
  <c r="D98" i="17"/>
  <c r="E98" i="17" s="1"/>
  <c r="D100" i="17"/>
  <c r="E100" i="17" s="1"/>
  <c r="D102" i="17"/>
  <c r="E102" i="17" s="1"/>
  <c r="D104" i="17"/>
  <c r="E104" i="17" s="1"/>
  <c r="D106" i="17"/>
  <c r="E106" i="17" s="1"/>
  <c r="D108" i="17"/>
  <c r="E108" i="17" s="1"/>
  <c r="D110" i="17"/>
  <c r="E110" i="17" s="1"/>
  <c r="D112" i="17"/>
  <c r="E112" i="17" s="1"/>
  <c r="D114" i="17"/>
  <c r="E114" i="17" s="1"/>
  <c r="D116" i="17"/>
  <c r="E116" i="17" s="1"/>
  <c r="D118" i="17"/>
  <c r="E118" i="17" s="1"/>
  <c r="D120" i="17"/>
  <c r="E120" i="17" s="1"/>
  <c r="D122" i="17"/>
  <c r="E122" i="17" s="1"/>
  <c r="D67" i="17"/>
  <c r="E67" i="17" s="1"/>
  <c r="D83" i="17"/>
  <c r="E83" i="17" s="1"/>
  <c r="D99" i="17"/>
  <c r="E99" i="17" s="1"/>
  <c r="D115" i="17"/>
  <c r="E115" i="17" s="1"/>
  <c r="D9" i="17"/>
  <c r="E9" i="17" s="1"/>
  <c r="D33" i="17"/>
  <c r="E33" i="17" s="1"/>
  <c r="D61" i="17"/>
  <c r="E61" i="17" s="1"/>
  <c r="D59" i="17"/>
  <c r="E59" i="17" s="1"/>
  <c r="D3" i="17"/>
  <c r="E3" i="17" s="1"/>
  <c r="D11" i="17"/>
  <c r="E11" i="17" s="1"/>
  <c r="D19" i="17"/>
  <c r="E19" i="17" s="1"/>
  <c r="D27" i="17"/>
  <c r="E27" i="17" s="1"/>
  <c r="D35" i="17"/>
  <c r="E35" i="17" s="1"/>
  <c r="D43" i="17"/>
  <c r="E43" i="17" s="1"/>
  <c r="D51" i="17"/>
  <c r="E51" i="17" s="1"/>
  <c r="D65" i="17"/>
  <c r="E65" i="17" s="1"/>
  <c r="D81" i="17"/>
  <c r="E81" i="17" s="1"/>
  <c r="D97" i="17"/>
  <c r="E97" i="17" s="1"/>
  <c r="D113" i="17"/>
  <c r="E113" i="17" s="1"/>
  <c r="D17" i="17"/>
  <c r="E17" i="17" s="1"/>
  <c r="D41" i="17"/>
  <c r="E41" i="17" s="1"/>
  <c r="D77" i="17"/>
  <c r="E77" i="17" s="1"/>
  <c r="D109" i="17"/>
  <c r="E109" i="17" s="1"/>
  <c r="D75" i="17"/>
  <c r="E75" i="17" s="1"/>
  <c r="D63" i="17"/>
  <c r="E63" i="17" s="1"/>
  <c r="D79" i="17"/>
  <c r="E79" i="17" s="1"/>
  <c r="D95" i="17"/>
  <c r="E95" i="17" s="1"/>
  <c r="D111" i="17"/>
  <c r="E111" i="17" s="1"/>
  <c r="D25" i="17"/>
  <c r="E25" i="17" s="1"/>
  <c r="D49" i="17"/>
  <c r="E49" i="17" s="1"/>
  <c r="D93" i="17"/>
  <c r="E93" i="17" s="1"/>
  <c r="D91" i="17"/>
  <c r="E91" i="17" s="1"/>
  <c r="D107" i="17"/>
  <c r="E107" i="17" s="1"/>
  <c r="D7" i="17"/>
  <c r="E7" i="17" s="1"/>
  <c r="D15" i="17"/>
  <c r="E15" i="17" s="1"/>
  <c r="D23" i="17"/>
  <c r="E23" i="17" s="1"/>
  <c r="D31" i="17"/>
  <c r="E31" i="17" s="1"/>
  <c r="D39" i="17"/>
  <c r="E39" i="17" s="1"/>
  <c r="D47" i="17"/>
  <c r="E47" i="17" s="1"/>
  <c r="D57" i="17"/>
  <c r="E57" i="17" s="1"/>
  <c r="D73" i="17"/>
  <c r="E73" i="17" s="1"/>
  <c r="D89" i="17"/>
  <c r="E89" i="17" s="1"/>
  <c r="D105" i="17"/>
  <c r="E105" i="17" s="1"/>
  <c r="D121" i="17"/>
  <c r="E121" i="17" s="1"/>
  <c r="D55" i="17"/>
  <c r="E55" i="17" s="1"/>
  <c r="D71" i="17"/>
  <c r="E71" i="17" s="1"/>
  <c r="D87" i="17"/>
  <c r="E87" i="17" s="1"/>
  <c r="D103" i="17"/>
  <c r="E103" i="17" s="1"/>
  <c r="D119" i="17"/>
  <c r="E119" i="17" s="1"/>
  <c r="D5" i="17"/>
  <c r="E5" i="17" s="1"/>
  <c r="D13" i="17"/>
  <c r="E13" i="17" s="1"/>
  <c r="D21" i="17"/>
  <c r="E21" i="17" s="1"/>
  <c r="D29" i="17"/>
  <c r="E29" i="17" s="1"/>
  <c r="D37" i="17"/>
  <c r="E37" i="17" s="1"/>
  <c r="D45" i="17"/>
  <c r="E45" i="17" s="1"/>
  <c r="D53" i="17"/>
  <c r="E53" i="17" s="1"/>
  <c r="D69" i="17"/>
  <c r="E69" i="17" s="1"/>
  <c r="D85" i="17"/>
  <c r="E85" i="17" s="1"/>
  <c r="D101" i="17"/>
  <c r="E101" i="17" s="1"/>
  <c r="D117" i="17"/>
  <c r="E117" i="17" s="1"/>
  <c r="E6" i="15"/>
  <c r="E20" i="15"/>
  <c r="F20" i="16"/>
  <c r="E14" i="15"/>
  <c r="F100" i="19"/>
  <c r="F5" i="19"/>
  <c r="F102" i="19"/>
  <c r="F13" i="19"/>
  <c r="F11" i="19"/>
  <c r="F104" i="19"/>
  <c r="F21" i="19"/>
  <c r="F76" i="19"/>
  <c r="F94" i="19"/>
  <c r="F87" i="19"/>
  <c r="F112" i="19"/>
  <c r="F85" i="19"/>
  <c r="F115" i="19"/>
  <c r="F90" i="19"/>
  <c r="F39" i="19"/>
  <c r="F99" i="18"/>
  <c r="F42" i="18"/>
  <c r="F53" i="18"/>
  <c r="F6" i="18"/>
  <c r="F70" i="18"/>
  <c r="F18" i="18"/>
  <c r="F119" i="18"/>
  <c r="F9" i="18"/>
  <c r="F28" i="18"/>
  <c r="F47" i="18"/>
  <c r="F44" i="18"/>
  <c r="F65" i="18"/>
  <c r="F22" i="18"/>
  <c r="F62" i="18"/>
  <c r="F100" i="18"/>
  <c r="F100" i="17"/>
  <c r="F29" i="17"/>
  <c r="F118" i="17"/>
  <c r="F87" i="17"/>
  <c r="F108" i="17"/>
  <c r="F88" i="17"/>
  <c r="F45" i="17"/>
  <c r="F92" i="17"/>
  <c r="F78" i="17"/>
  <c r="F89" i="17"/>
  <c r="F96" i="17"/>
  <c r="F13" i="17"/>
  <c r="F114" i="17"/>
  <c r="F117" i="17"/>
  <c r="F81" i="17"/>
  <c r="E3" i="15"/>
  <c r="F23" i="19"/>
  <c r="F57" i="19"/>
  <c r="F82" i="18"/>
  <c r="F93" i="18"/>
  <c r="F104" i="18"/>
  <c r="F31" i="17"/>
  <c r="F53" i="17"/>
  <c r="F82" i="17"/>
  <c r="F5" i="16"/>
  <c r="F78" i="19"/>
  <c r="F117" i="19"/>
  <c r="F4" i="18"/>
  <c r="F90" i="18"/>
  <c r="F55" i="17"/>
  <c r="F44" i="17"/>
  <c r="F21" i="17"/>
  <c r="E11" i="15"/>
  <c r="F13" i="16"/>
  <c r="F24" i="16"/>
  <c r="F116" i="19"/>
  <c r="F101" i="19"/>
  <c r="F118" i="19"/>
  <c r="F26" i="19"/>
  <c r="F71" i="19"/>
  <c r="F120" i="19"/>
  <c r="F10" i="19"/>
  <c r="F67" i="19"/>
  <c r="F110" i="19"/>
  <c r="F69" i="19"/>
  <c r="F99" i="19"/>
  <c r="F18" i="19"/>
  <c r="F35" i="19"/>
  <c r="F3" i="19"/>
  <c r="F53" i="19"/>
  <c r="F115" i="18"/>
  <c r="F10" i="18"/>
  <c r="F69" i="18"/>
  <c r="F98" i="18"/>
  <c r="F43" i="18"/>
  <c r="F7" i="18"/>
  <c r="F88" i="18"/>
  <c r="F57" i="18"/>
  <c r="F78" i="18"/>
  <c r="F63" i="18"/>
  <c r="F118" i="18"/>
  <c r="F81" i="18"/>
  <c r="F32" i="18"/>
  <c r="F27" i="18"/>
  <c r="F16" i="18"/>
  <c r="F116" i="17"/>
  <c r="F6" i="17"/>
  <c r="F33" i="17"/>
  <c r="F10" i="17"/>
  <c r="F63" i="17"/>
  <c r="F104" i="17"/>
  <c r="F26" i="17"/>
  <c r="F3" i="17"/>
  <c r="F94" i="17"/>
  <c r="F5" i="17"/>
  <c r="F112" i="17"/>
  <c r="F101" i="17"/>
  <c r="F115" i="17"/>
  <c r="F106" i="17"/>
  <c r="F73" i="17"/>
  <c r="F103" i="17"/>
  <c r="F72" i="19"/>
  <c r="F80" i="19"/>
  <c r="F108" i="19"/>
  <c r="F92" i="18"/>
  <c r="F15" i="18"/>
  <c r="F68" i="17"/>
  <c r="F56" i="17"/>
  <c r="F15" i="17"/>
  <c r="F105" i="19"/>
  <c r="F47" i="19"/>
  <c r="F83" i="18"/>
  <c r="F103" i="18"/>
  <c r="F52" i="18"/>
  <c r="F37" i="17"/>
  <c r="F7" i="17"/>
  <c r="F7" i="16"/>
  <c r="F29" i="16"/>
  <c r="F4" i="19"/>
  <c r="F93" i="19"/>
  <c r="F6" i="19"/>
  <c r="F75" i="19"/>
  <c r="F74" i="19"/>
  <c r="F8" i="19"/>
  <c r="F91" i="19"/>
  <c r="F42" i="19"/>
  <c r="F41" i="19"/>
  <c r="F83" i="19"/>
  <c r="F16" i="19"/>
  <c r="F27" i="19"/>
  <c r="F34" i="19"/>
  <c r="F49" i="19"/>
  <c r="F25" i="19"/>
  <c r="F3" i="18"/>
  <c r="F80" i="18"/>
  <c r="F61" i="18"/>
  <c r="F85" i="18"/>
  <c r="F48" i="18"/>
  <c r="F91" i="18"/>
  <c r="F23" i="18"/>
  <c r="F120" i="18"/>
  <c r="F105" i="18"/>
  <c r="F45" i="18"/>
  <c r="F79" i="18"/>
  <c r="F24" i="18"/>
  <c r="F97" i="18"/>
  <c r="F34" i="18"/>
  <c r="F59" i="18"/>
  <c r="F4" i="17"/>
  <c r="F9" i="17"/>
  <c r="F22" i="17"/>
  <c r="F43" i="17"/>
  <c r="F42" i="17"/>
  <c r="F119" i="17"/>
  <c r="F120" i="17"/>
  <c r="F58" i="17"/>
  <c r="F107" i="17"/>
  <c r="F110" i="17"/>
  <c r="F85" i="17"/>
  <c r="F99" i="17"/>
  <c r="F18" i="17"/>
  <c r="F27" i="17"/>
  <c r="F65" i="17"/>
  <c r="G3" i="17"/>
  <c r="F111" i="17"/>
  <c r="F7" i="19"/>
  <c r="F31" i="19"/>
  <c r="F98" i="19"/>
  <c r="F21" i="18"/>
  <c r="F56" i="18"/>
  <c r="F102" i="18"/>
  <c r="F29" i="18"/>
  <c r="F12" i="17"/>
  <c r="F79" i="17"/>
  <c r="F76" i="17"/>
  <c r="F89" i="19"/>
  <c r="F88" i="19"/>
  <c r="F96" i="19"/>
  <c r="F37" i="18"/>
  <c r="F58" i="18"/>
  <c r="F20" i="18"/>
  <c r="F60" i="17"/>
  <c r="F105" i="17"/>
  <c r="F16" i="16"/>
  <c r="D4" i="20"/>
  <c r="F20" i="19"/>
  <c r="F43" i="19"/>
  <c r="F22" i="19"/>
  <c r="F51" i="19"/>
  <c r="F122" i="19"/>
  <c r="F24" i="19"/>
  <c r="F65" i="19"/>
  <c r="F58" i="19"/>
  <c r="F14" i="19"/>
  <c r="F19" i="19"/>
  <c r="F32" i="19"/>
  <c r="F33" i="19"/>
  <c r="F50" i="19"/>
  <c r="F95" i="19"/>
  <c r="F29" i="19"/>
  <c r="F19" i="18"/>
  <c r="F112" i="18"/>
  <c r="F68" i="18"/>
  <c r="F101" i="18"/>
  <c r="F50" i="18"/>
  <c r="F96" i="18"/>
  <c r="F39" i="18"/>
  <c r="F12" i="18"/>
  <c r="F14" i="18"/>
  <c r="F109" i="18"/>
  <c r="F95" i="18"/>
  <c r="F26" i="18"/>
  <c r="F113" i="18"/>
  <c r="F106" i="18"/>
  <c r="F107" i="18"/>
  <c r="F20" i="17"/>
  <c r="F35" i="17"/>
  <c r="F38" i="17"/>
  <c r="F77" i="17"/>
  <c r="F90" i="17"/>
  <c r="F8" i="17"/>
  <c r="F61" i="17"/>
  <c r="F74" i="17"/>
  <c r="F69" i="17"/>
  <c r="F83" i="17"/>
  <c r="F16" i="17"/>
  <c r="F19" i="17"/>
  <c r="F34" i="17"/>
  <c r="F17" i="17"/>
  <c r="F91" i="17"/>
  <c r="G4" i="18"/>
  <c r="F50" i="17"/>
  <c r="F70" i="19"/>
  <c r="F62" i="19"/>
  <c r="F119" i="19"/>
  <c r="F116" i="18"/>
  <c r="F75" i="18"/>
  <c r="F121" i="18"/>
  <c r="F86" i="17"/>
  <c r="F93" i="17"/>
  <c r="F64" i="17"/>
  <c r="E4" i="15"/>
  <c r="F86" i="19"/>
  <c r="F121" i="19"/>
  <c r="F103" i="19"/>
  <c r="F40" i="18"/>
  <c r="F66" i="18"/>
  <c r="F77" i="18"/>
  <c r="F72" i="17"/>
  <c r="F98" i="17"/>
  <c r="F10" i="16"/>
  <c r="F30" i="16"/>
  <c r="F36" i="19"/>
  <c r="F109" i="19"/>
  <c r="F38" i="19"/>
  <c r="F59" i="19"/>
  <c r="F37" i="19"/>
  <c r="F40" i="19"/>
  <c r="F107" i="19"/>
  <c r="F106" i="19"/>
  <c r="F30" i="19"/>
  <c r="F113" i="19"/>
  <c r="F48" i="19"/>
  <c r="F79" i="19"/>
  <c r="F66" i="19"/>
  <c r="F45" i="19"/>
  <c r="F28" i="19"/>
  <c r="F35" i="18"/>
  <c r="F114" i="18"/>
  <c r="F60" i="18"/>
  <c r="F117" i="18"/>
  <c r="F25" i="18"/>
  <c r="F54" i="18"/>
  <c r="F55" i="18"/>
  <c r="F30" i="18"/>
  <c r="F122" i="18"/>
  <c r="F36" i="18"/>
  <c r="F111" i="18"/>
  <c r="F94" i="18"/>
  <c r="F76" i="18"/>
  <c r="F41" i="18"/>
  <c r="F46" i="18"/>
  <c r="F36" i="17"/>
  <c r="F41" i="17"/>
  <c r="F54" i="17"/>
  <c r="F49" i="17"/>
  <c r="F59" i="17"/>
  <c r="F24" i="17"/>
  <c r="F51" i="17"/>
  <c r="F122" i="17"/>
  <c r="F14" i="17"/>
  <c r="F11" i="17"/>
  <c r="F32" i="17"/>
  <c r="F113" i="17"/>
  <c r="G3" i="19"/>
  <c r="F68" i="19"/>
  <c r="F44" i="19"/>
  <c r="F61" i="19"/>
  <c r="F67" i="18"/>
  <c r="F87" i="18"/>
  <c r="F33" i="18"/>
  <c r="F71" i="17"/>
  <c r="F46" i="17"/>
  <c r="F121" i="17"/>
  <c r="F84" i="19"/>
  <c r="F92" i="19"/>
  <c r="F114" i="19"/>
  <c r="F38" i="18"/>
  <c r="F49" i="18"/>
  <c r="F102" i="17"/>
  <c r="F62" i="17"/>
  <c r="F67" i="17"/>
  <c r="F28" i="16"/>
  <c r="F14" i="16"/>
  <c r="F52" i="19"/>
  <c r="F111" i="19"/>
  <c r="F54" i="19"/>
  <c r="F9" i="19"/>
  <c r="F55" i="19"/>
  <c r="F56" i="19"/>
  <c r="F17" i="19"/>
  <c r="F81" i="19"/>
  <c r="F46" i="19"/>
  <c r="F63" i="19"/>
  <c r="F64" i="19"/>
  <c r="F77" i="19"/>
  <c r="F82" i="19"/>
  <c r="F73" i="19"/>
  <c r="F60" i="19"/>
  <c r="F51" i="18"/>
  <c r="F64" i="18"/>
  <c r="F5" i="18"/>
  <c r="F84" i="18"/>
  <c r="F73" i="18"/>
  <c r="F13" i="18"/>
  <c r="F71" i="18"/>
  <c r="F110" i="18"/>
  <c r="F11" i="18"/>
  <c r="F86" i="18"/>
  <c r="F72" i="18"/>
  <c r="F17" i="18"/>
  <c r="F108" i="18"/>
  <c r="F89" i="18"/>
  <c r="F8" i="18"/>
  <c r="F52" i="17"/>
  <c r="F25" i="17"/>
  <c r="F70" i="17"/>
  <c r="F39" i="17"/>
  <c r="F57" i="17"/>
  <c r="F40" i="17"/>
  <c r="F109" i="17"/>
  <c r="F75" i="17"/>
  <c r="F30" i="17"/>
  <c r="F97" i="17"/>
  <c r="F48" i="17"/>
  <c r="F95" i="17"/>
  <c r="F66" i="17"/>
  <c r="F23" i="17"/>
  <c r="F28" i="17"/>
  <c r="F17" i="16"/>
  <c r="F15" i="19"/>
  <c r="F12" i="19"/>
  <c r="F97" i="19"/>
  <c r="F74" i="18"/>
  <c r="F31" i="18"/>
  <c r="F84" i="17"/>
  <c r="F47" i="17"/>
  <c r="F80" i="17"/>
  <c r="F2" i="17"/>
  <c r="C2" i="20"/>
  <c r="E2" i="16"/>
  <c r="F2" i="18"/>
  <c r="F2" i="19"/>
  <c r="D2" i="15"/>
  <c r="D8" i="14" l="1"/>
  <c r="C3" i="13"/>
  <c r="D3" i="13"/>
  <c r="D4" i="13" s="1"/>
  <c r="D5" i="13" s="1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C3" i="12"/>
  <c r="D3" i="12"/>
  <c r="D4" i="12" s="1"/>
  <c r="D5" i="12" s="1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C3" i="11"/>
  <c r="D3" i="11"/>
  <c r="D4" i="11" s="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G80" i="17"/>
  <c r="G28" i="17"/>
  <c r="G109" i="17"/>
  <c r="G89" i="18"/>
  <c r="G13" i="18"/>
  <c r="G82" i="19"/>
  <c r="G55" i="19"/>
  <c r="G49" i="18"/>
  <c r="G33" i="18"/>
  <c r="G11" i="17"/>
  <c r="G41" i="17"/>
  <c r="G122" i="18"/>
  <c r="G35" i="18"/>
  <c r="G106" i="19"/>
  <c r="G98" i="17"/>
  <c r="G64" i="17"/>
  <c r="G70" i="19"/>
  <c r="G69" i="17"/>
  <c r="G20" i="17"/>
  <c r="G12" i="18"/>
  <c r="G29" i="19"/>
  <c r="G65" i="19"/>
  <c r="G60" i="17"/>
  <c r="G79" i="17"/>
  <c r="G7" i="19"/>
  <c r="G107" i="17"/>
  <c r="G4" i="17"/>
  <c r="G120" i="18"/>
  <c r="G25" i="19"/>
  <c r="G91" i="19"/>
  <c r="G37" i="17"/>
  <c r="G68" i="17"/>
  <c r="G106" i="17"/>
  <c r="G63" i="17"/>
  <c r="G81" i="18"/>
  <c r="G98" i="18"/>
  <c r="G69" i="19"/>
  <c r="G101" i="19"/>
  <c r="G82" i="17"/>
  <c r="G81" i="17"/>
  <c r="G45" i="17"/>
  <c r="G62" i="18"/>
  <c r="G18" i="18"/>
  <c r="G115" i="19"/>
  <c r="G11" i="19"/>
  <c r="G74" i="18"/>
  <c r="G64" i="18"/>
  <c r="G84" i="19"/>
  <c r="G76" i="18"/>
  <c r="G59" i="19"/>
  <c r="G34" i="17"/>
  <c r="G101" i="18"/>
  <c r="G96" i="19"/>
  <c r="G18" i="17"/>
  <c r="G85" i="18"/>
  <c r="G47" i="19"/>
  <c r="G116" i="17"/>
  <c r="G120" i="19"/>
  <c r="G118" i="17"/>
  <c r="G94" i="19"/>
  <c r="G97" i="19"/>
  <c r="G25" i="17"/>
  <c r="G11" i="18"/>
  <c r="G81" i="19"/>
  <c r="G68" i="19"/>
  <c r="G117" i="18"/>
  <c r="G103" i="19"/>
  <c r="G77" i="17"/>
  <c r="G19" i="19"/>
  <c r="G99" i="17"/>
  <c r="G93" i="19"/>
  <c r="G35" i="19"/>
  <c r="G28" i="18"/>
  <c r="G52" i="17"/>
  <c r="G113" i="17"/>
  <c r="G109" i="19"/>
  <c r="G16" i="17"/>
  <c r="G20" i="19"/>
  <c r="G22" i="17"/>
  <c r="G15" i="17"/>
  <c r="G18" i="19"/>
  <c r="G78" i="17"/>
  <c r="G30" i="19"/>
  <c r="G47" i="17"/>
  <c r="G23" i="17"/>
  <c r="G40" i="17"/>
  <c r="G108" i="18"/>
  <c r="G73" i="18"/>
  <c r="G77" i="19"/>
  <c r="G9" i="19"/>
  <c r="G38" i="18"/>
  <c r="G87" i="18"/>
  <c r="G14" i="17"/>
  <c r="G36" i="17"/>
  <c r="G30" i="18"/>
  <c r="G28" i="19"/>
  <c r="G107" i="19"/>
  <c r="G72" i="17"/>
  <c r="G93" i="17"/>
  <c r="G50" i="17"/>
  <c r="G74" i="17"/>
  <c r="G107" i="18"/>
  <c r="G39" i="18"/>
  <c r="G95" i="19"/>
  <c r="G24" i="19"/>
  <c r="G20" i="18"/>
  <c r="G12" i="17"/>
  <c r="G111" i="17"/>
  <c r="G58" i="17"/>
  <c r="G59" i="18"/>
  <c r="G23" i="18"/>
  <c r="G49" i="19"/>
  <c r="G8" i="19"/>
  <c r="G52" i="18"/>
  <c r="G15" i="18"/>
  <c r="G115" i="17"/>
  <c r="G10" i="17"/>
  <c r="G118" i="18"/>
  <c r="G69" i="18"/>
  <c r="G110" i="19"/>
  <c r="G116" i="19"/>
  <c r="G53" i="17"/>
  <c r="G117" i="17"/>
  <c r="G88" i="17"/>
  <c r="G22" i="18"/>
  <c r="G70" i="18"/>
  <c r="G85" i="19"/>
  <c r="G13" i="19"/>
  <c r="G48" i="19"/>
  <c r="G94" i="17"/>
  <c r="G82" i="18"/>
  <c r="G76" i="19"/>
  <c r="G30" i="17"/>
  <c r="G62" i="17"/>
  <c r="G49" i="17"/>
  <c r="G60" i="18"/>
  <c r="G121" i="19"/>
  <c r="G38" i="17"/>
  <c r="G112" i="18"/>
  <c r="G98" i="19"/>
  <c r="G45" i="18"/>
  <c r="G41" i="19"/>
  <c r="G103" i="17"/>
  <c r="G7" i="18"/>
  <c r="G117" i="19"/>
  <c r="G100" i="17"/>
  <c r="G39" i="19"/>
  <c r="G15" i="19"/>
  <c r="G73" i="19"/>
  <c r="G71" i="17"/>
  <c r="G54" i="17"/>
  <c r="G114" i="18"/>
  <c r="G86" i="19"/>
  <c r="G83" i="17"/>
  <c r="G14" i="18"/>
  <c r="G58" i="19"/>
  <c r="G76" i="17"/>
  <c r="G110" i="17"/>
  <c r="G84" i="17"/>
  <c r="G66" i="17"/>
  <c r="G57" i="17"/>
  <c r="G17" i="18"/>
  <c r="G84" i="18"/>
  <c r="G64" i="19"/>
  <c r="G54" i="19"/>
  <c r="G114" i="19"/>
  <c r="G67" i="18"/>
  <c r="G122" i="17"/>
  <c r="G46" i="18"/>
  <c r="G55" i="18"/>
  <c r="G45" i="19"/>
  <c r="G40" i="19"/>
  <c r="G77" i="18"/>
  <c r="G86" i="17"/>
  <c r="G91" i="17"/>
  <c r="G61" i="17"/>
  <c r="G106" i="18"/>
  <c r="G96" i="18"/>
  <c r="G50" i="19"/>
  <c r="G122" i="19"/>
  <c r="G58" i="18"/>
  <c r="G29" i="18"/>
  <c r="G65" i="17"/>
  <c r="G120" i="17"/>
  <c r="G34" i="18"/>
  <c r="G91" i="18"/>
  <c r="G34" i="19"/>
  <c r="G74" i="19"/>
  <c r="G103" i="18"/>
  <c r="G92" i="18"/>
  <c r="G101" i="17"/>
  <c r="G33" i="17"/>
  <c r="G63" i="18"/>
  <c r="G10" i="18"/>
  <c r="G67" i="19"/>
  <c r="G21" i="17"/>
  <c r="G31" i="17"/>
  <c r="G114" i="17"/>
  <c r="G108" i="17"/>
  <c r="G65" i="18"/>
  <c r="G6" i="18"/>
  <c r="G112" i="19"/>
  <c r="G102" i="19"/>
  <c r="G48" i="17"/>
  <c r="G70" i="17"/>
  <c r="G86" i="18"/>
  <c r="G46" i="19"/>
  <c r="G52" i="19"/>
  <c r="G44" i="19"/>
  <c r="G24" i="17"/>
  <c r="G25" i="18"/>
  <c r="G79" i="19"/>
  <c r="G40" i="18"/>
  <c r="G75" i="18"/>
  <c r="G90" i="17"/>
  <c r="G26" i="18"/>
  <c r="G32" i="19"/>
  <c r="G22" i="19"/>
  <c r="G56" i="18"/>
  <c r="G42" i="17"/>
  <c r="G24" i="18"/>
  <c r="G16" i="19"/>
  <c r="G6" i="19"/>
  <c r="G80" i="19"/>
  <c r="G5" i="17"/>
  <c r="G57" i="18"/>
  <c r="G53" i="19"/>
  <c r="G55" i="17"/>
  <c r="G93" i="18"/>
  <c r="G96" i="17"/>
  <c r="G47" i="18"/>
  <c r="G42" i="18"/>
  <c r="G100" i="19"/>
  <c r="B1" i="14"/>
  <c r="G97" i="17"/>
  <c r="G51" i="18"/>
  <c r="G121" i="17"/>
  <c r="G59" i="17"/>
  <c r="G94" i="18"/>
  <c r="G38" i="19"/>
  <c r="G116" i="18"/>
  <c r="G19" i="17"/>
  <c r="G95" i="18"/>
  <c r="G68" i="18"/>
  <c r="G43" i="19"/>
  <c r="G21" i="18"/>
  <c r="G43" i="17"/>
  <c r="G61" i="18"/>
  <c r="G105" i="19"/>
  <c r="G16" i="18"/>
  <c r="G71" i="19"/>
  <c r="G89" i="17"/>
  <c r="G99" i="18"/>
  <c r="G12" i="19"/>
  <c r="G110" i="18"/>
  <c r="G60" i="19"/>
  <c r="G17" i="19"/>
  <c r="G46" i="17"/>
  <c r="G111" i="18"/>
  <c r="G113" i="19"/>
  <c r="G119" i="19"/>
  <c r="G109" i="18"/>
  <c r="G14" i="19"/>
  <c r="G89" i="19"/>
  <c r="G85" i="17"/>
  <c r="G80" i="18"/>
  <c r="G4" i="19"/>
  <c r="G26" i="17"/>
  <c r="G27" i="18"/>
  <c r="G26" i="19"/>
  <c r="G57" i="19"/>
  <c r="G9" i="18"/>
  <c r="G21" i="19"/>
  <c r="G75" i="17"/>
  <c r="G8" i="18"/>
  <c r="G71" i="18"/>
  <c r="G102" i="17"/>
  <c r="G32" i="17"/>
  <c r="G36" i="18"/>
  <c r="G36" i="19"/>
  <c r="G62" i="19"/>
  <c r="G35" i="17"/>
  <c r="G19" i="18"/>
  <c r="G105" i="17"/>
  <c r="G31" i="19"/>
  <c r="G31" i="18"/>
  <c r="G95" i="17"/>
  <c r="G39" i="17"/>
  <c r="G72" i="18"/>
  <c r="G5" i="18"/>
  <c r="G63" i="19"/>
  <c r="G111" i="19"/>
  <c r="G92" i="19"/>
  <c r="G61" i="19"/>
  <c r="G51" i="17"/>
  <c r="G41" i="18"/>
  <c r="G54" i="18"/>
  <c r="G66" i="19"/>
  <c r="G37" i="19"/>
  <c r="G66" i="18"/>
  <c r="G121" i="18"/>
  <c r="G17" i="17"/>
  <c r="G8" i="17"/>
  <c r="G113" i="18"/>
  <c r="G50" i="18"/>
  <c r="G33" i="19"/>
  <c r="G51" i="19"/>
  <c r="G37" i="18"/>
  <c r="G102" i="18"/>
  <c r="G27" i="17"/>
  <c r="G119" i="17"/>
  <c r="G97" i="18"/>
  <c r="G48" i="18"/>
  <c r="G27" i="19"/>
  <c r="G75" i="19"/>
  <c r="G83" i="18"/>
  <c r="G108" i="19"/>
  <c r="G112" i="17"/>
  <c r="G6" i="17"/>
  <c r="G78" i="18"/>
  <c r="G115" i="18"/>
  <c r="G10" i="19"/>
  <c r="G44" i="17"/>
  <c r="G104" i="18"/>
  <c r="G13" i="17"/>
  <c r="G87" i="17"/>
  <c r="G44" i="18"/>
  <c r="G53" i="18"/>
  <c r="G87" i="19"/>
  <c r="G5" i="19"/>
  <c r="G67" i="17"/>
  <c r="G88" i="19"/>
  <c r="G79" i="18"/>
  <c r="G83" i="19"/>
  <c r="G72" i="19"/>
  <c r="G88" i="18"/>
  <c r="G90" i="18"/>
  <c r="G29" i="17"/>
  <c r="G56" i="19"/>
  <c r="G9" i="17"/>
  <c r="G32" i="18"/>
  <c r="G119" i="18"/>
  <c r="G92" i="17"/>
  <c r="G105" i="18"/>
  <c r="G43" i="18"/>
  <c r="G90" i="19"/>
  <c r="G104" i="17"/>
  <c r="G3" i="18"/>
  <c r="G99" i="19"/>
  <c r="G104" i="19"/>
  <c r="G73" i="17"/>
  <c r="G100" i="18"/>
  <c r="G42" i="19"/>
  <c r="G118" i="19"/>
  <c r="G7" i="17"/>
  <c r="G78" i="19"/>
  <c r="G56" i="17"/>
  <c r="G23" i="19"/>
  <c r="E2" i="15"/>
  <c r="G2" i="18"/>
  <c r="G2" i="19"/>
  <c r="F2" i="16"/>
  <c r="D2" i="20"/>
  <c r="G2" i="17"/>
  <c r="E3" i="13" l="1"/>
  <c r="E3" i="11"/>
  <c r="E3" i="12"/>
  <c r="C4" i="13"/>
  <c r="C4" i="12"/>
  <c r="C4" i="11"/>
  <c r="F3" i="12"/>
  <c r="F3" i="13"/>
  <c r="F3" i="11"/>
  <c r="C5" i="13" l="1"/>
  <c r="E4" i="13"/>
  <c r="E2" i="12"/>
  <c r="C5" i="12"/>
  <c r="E4" i="12"/>
  <c r="E2" i="11"/>
  <c r="C5" i="11"/>
  <c r="E4" i="11"/>
  <c r="G3" i="13"/>
  <c r="G3" i="12"/>
  <c r="F4" i="13"/>
  <c r="F4" i="12"/>
  <c r="F4" i="11"/>
  <c r="G4" i="12"/>
  <c r="G3" i="11"/>
  <c r="C6" i="13" l="1"/>
  <c r="E5" i="13"/>
  <c r="E5" i="12"/>
  <c r="C6" i="12"/>
  <c r="E5" i="11"/>
  <c r="C6" i="11"/>
  <c r="G4" i="11"/>
  <c r="F5" i="13"/>
  <c r="G4" i="13"/>
  <c r="F5" i="12"/>
  <c r="G5" i="12"/>
  <c r="F5" i="11"/>
  <c r="G5" i="11" s="1"/>
  <c r="E6" i="13" l="1"/>
  <c r="C7" i="13"/>
  <c r="C7" i="12"/>
  <c r="E6" i="12"/>
  <c r="E6" i="11"/>
  <c r="C7" i="11"/>
  <c r="G5" i="13"/>
  <c r="F6" i="11"/>
  <c r="G6" i="11" s="1"/>
  <c r="F6" i="13"/>
  <c r="F6" i="12"/>
  <c r="G6" i="12" s="1"/>
  <c r="E2" i="13" l="1"/>
  <c r="C8" i="13"/>
  <c r="E7" i="13"/>
  <c r="E7" i="12"/>
  <c r="C8" i="12"/>
  <c r="C8" i="11"/>
  <c r="E7" i="11"/>
  <c r="G6" i="13"/>
  <c r="F7" i="13"/>
  <c r="F7" i="12"/>
  <c r="F7" i="11"/>
  <c r="G7" i="11"/>
  <c r="G7" i="13"/>
  <c r="G7" i="12"/>
  <c r="E8" i="13" l="1"/>
  <c r="C9" i="13"/>
  <c r="E8" i="12"/>
  <c r="C9" i="12"/>
  <c r="E8" i="11"/>
  <c r="C9" i="11"/>
  <c r="F8" i="13"/>
  <c r="G8" i="13" s="1"/>
  <c r="F8" i="12"/>
  <c r="G8" i="12" s="1"/>
  <c r="F8" i="11"/>
  <c r="G8" i="11" s="1"/>
  <c r="E9" i="13" l="1"/>
  <c r="C10" i="13"/>
  <c r="E9" i="12"/>
  <c r="C10" i="12"/>
  <c r="C10" i="11"/>
  <c r="E9" i="11"/>
  <c r="F9" i="11"/>
  <c r="G9" i="11" s="1"/>
  <c r="F9" i="13"/>
  <c r="G9" i="13" s="1"/>
  <c r="F9" i="12"/>
  <c r="G9" i="12" s="1"/>
  <c r="E10" i="13" l="1"/>
  <c r="C11" i="13"/>
  <c r="E10" i="12"/>
  <c r="C11" i="12"/>
  <c r="E10" i="11"/>
  <c r="C11" i="11"/>
  <c r="F10" i="13"/>
  <c r="G10" i="13" s="1"/>
  <c r="F10" i="12"/>
  <c r="G10" i="12" s="1"/>
  <c r="F10" i="11"/>
  <c r="G10" i="11" s="1"/>
  <c r="E11" i="13" l="1"/>
  <c r="C12" i="13"/>
  <c r="E11" i="12"/>
  <c r="C12" i="12"/>
  <c r="E11" i="11"/>
  <c r="C12" i="11"/>
  <c r="F11" i="11"/>
  <c r="G11" i="11" s="1"/>
  <c r="F11" i="13"/>
  <c r="G11" i="13" s="1"/>
  <c r="F11" i="12"/>
  <c r="G11" i="12" s="1"/>
  <c r="C13" i="13" l="1"/>
  <c r="E12" i="13"/>
  <c r="C13" i="12"/>
  <c r="E12" i="12"/>
  <c r="C13" i="11"/>
  <c r="E12" i="11"/>
  <c r="F12" i="11"/>
  <c r="G12" i="11"/>
  <c r="F12" i="13"/>
  <c r="G12" i="13" s="1"/>
  <c r="F12" i="12"/>
  <c r="G12" i="12"/>
  <c r="C14" i="13" l="1"/>
  <c r="E13" i="13"/>
  <c r="E13" i="12"/>
  <c r="C14" i="12"/>
  <c r="E13" i="11"/>
  <c r="C14" i="11"/>
  <c r="F13" i="13"/>
  <c r="G13" i="13" s="1"/>
  <c r="F13" i="12"/>
  <c r="G13" i="12" s="1"/>
  <c r="F13" i="11"/>
  <c r="G13" i="11" s="1"/>
  <c r="E14" i="13" l="1"/>
  <c r="C15" i="13"/>
  <c r="C15" i="12"/>
  <c r="E14" i="12"/>
  <c r="E14" i="11"/>
  <c r="C15" i="11"/>
  <c r="F14" i="11"/>
  <c r="G14" i="11"/>
  <c r="F14" i="13"/>
  <c r="F14" i="12"/>
  <c r="G14" i="12" s="1"/>
  <c r="G14" i="13"/>
  <c r="E15" i="13" l="1"/>
  <c r="C16" i="13"/>
  <c r="C16" i="12"/>
  <c r="E15" i="12"/>
  <c r="C16" i="11"/>
  <c r="E15" i="11"/>
  <c r="F15" i="11"/>
  <c r="G15" i="11" s="1"/>
  <c r="F15" i="13"/>
  <c r="G15" i="13" s="1"/>
  <c r="F15" i="12"/>
  <c r="G15" i="12" s="1"/>
  <c r="C17" i="13" l="1"/>
  <c r="E16" i="13"/>
  <c r="E16" i="12"/>
  <c r="C17" i="12"/>
  <c r="E16" i="11"/>
  <c r="C17" i="11"/>
  <c r="F16" i="12"/>
  <c r="G16" i="12" s="1"/>
  <c r="F16" i="13"/>
  <c r="G16" i="13" s="1"/>
  <c r="F16" i="11"/>
  <c r="G16" i="11" s="1"/>
  <c r="E17" i="13" l="1"/>
  <c r="C18" i="13"/>
  <c r="C18" i="12"/>
  <c r="E17" i="12"/>
  <c r="C18" i="11"/>
  <c r="E17" i="11"/>
  <c r="F17" i="11"/>
  <c r="G17" i="11" s="1"/>
  <c r="F17" i="13"/>
  <c r="G17" i="13" s="1"/>
  <c r="F17" i="12"/>
  <c r="G17" i="12" s="1"/>
  <c r="E18" i="13" l="1"/>
  <c r="C19" i="13"/>
  <c r="C19" i="12"/>
  <c r="E18" i="12"/>
  <c r="E18" i="11"/>
  <c r="C19" i="11"/>
  <c r="F18" i="11"/>
  <c r="G18" i="11" s="1"/>
  <c r="F18" i="13"/>
  <c r="G18" i="13" s="1"/>
  <c r="F18" i="12"/>
  <c r="G18" i="12" s="1"/>
  <c r="E19" i="13" l="1"/>
  <c r="C20" i="13"/>
  <c r="E19" i="12"/>
  <c r="C20" i="12"/>
  <c r="E19" i="11"/>
  <c r="C20" i="11"/>
  <c r="F19" i="13"/>
  <c r="F19" i="12"/>
  <c r="G19" i="12" s="1"/>
  <c r="F19" i="11"/>
  <c r="G19" i="11"/>
  <c r="G19" i="13"/>
  <c r="C21" i="13" l="1"/>
  <c r="E20" i="13"/>
  <c r="C21" i="12"/>
  <c r="E20" i="12"/>
  <c r="C21" i="11"/>
  <c r="E20" i="11"/>
  <c r="F20" i="13"/>
  <c r="G20" i="13" s="1"/>
  <c r="F20" i="12"/>
  <c r="F20" i="11"/>
  <c r="G20" i="11" s="1"/>
  <c r="G20" i="12"/>
  <c r="C22" i="13" l="1"/>
  <c r="E21" i="13"/>
  <c r="E21" i="12"/>
  <c r="C22" i="12"/>
  <c r="E21" i="11"/>
  <c r="C22" i="11"/>
  <c r="F21" i="12"/>
  <c r="G21" i="12" s="1"/>
  <c r="F21" i="13"/>
  <c r="G21" i="13" s="1"/>
  <c r="F21" i="11"/>
  <c r="G21" i="11" s="1"/>
  <c r="E22" i="13" l="1"/>
  <c r="C23" i="13"/>
  <c r="E22" i="12"/>
  <c r="C23" i="12"/>
  <c r="E22" i="11"/>
  <c r="C23" i="11"/>
  <c r="F22" i="12"/>
  <c r="G22" i="12" s="1"/>
  <c r="F22" i="11"/>
  <c r="G22" i="11" s="1"/>
  <c r="F22" i="13"/>
  <c r="G22" i="13" s="1"/>
  <c r="E23" i="13" l="1"/>
  <c r="C24" i="13"/>
  <c r="C24" i="12"/>
  <c r="E23" i="12"/>
  <c r="C24" i="11"/>
  <c r="E23" i="11"/>
  <c r="F23" i="13"/>
  <c r="F23" i="12"/>
  <c r="G23" i="12" s="1"/>
  <c r="F23" i="11"/>
  <c r="G23" i="11"/>
  <c r="G23" i="13"/>
  <c r="C25" i="13" l="1"/>
  <c r="E24" i="13"/>
  <c r="E24" i="12"/>
  <c r="C25" i="12"/>
  <c r="E24" i="11"/>
  <c r="C25" i="11"/>
  <c r="F24" i="11"/>
  <c r="G24" i="11"/>
  <c r="F24" i="13"/>
  <c r="G24" i="13" s="1"/>
  <c r="F24" i="12"/>
  <c r="G24" i="12" s="1"/>
  <c r="E25" i="13" l="1"/>
  <c r="C26" i="13"/>
  <c r="C26" i="12"/>
  <c r="E25" i="12"/>
  <c r="C26" i="11"/>
  <c r="E25" i="11"/>
  <c r="F25" i="13"/>
  <c r="G25" i="13" s="1"/>
  <c r="F25" i="12"/>
  <c r="F25" i="11"/>
  <c r="G25" i="11" s="1"/>
  <c r="G25" i="12"/>
  <c r="C27" i="13" l="1"/>
  <c r="E26" i="13"/>
  <c r="E26" i="12"/>
  <c r="C27" i="12"/>
  <c r="C27" i="11"/>
  <c r="E26" i="11"/>
  <c r="F26" i="13"/>
  <c r="G26" i="13" s="1"/>
  <c r="F26" i="11"/>
  <c r="F26" i="12"/>
  <c r="G26" i="12" s="1"/>
  <c r="G26" i="11"/>
  <c r="E27" i="13" l="1"/>
  <c r="C28" i="13"/>
  <c r="E27" i="12"/>
  <c r="C28" i="12"/>
  <c r="E27" i="11"/>
  <c r="C28" i="11"/>
  <c r="F27" i="13"/>
  <c r="F27" i="12"/>
  <c r="F27" i="11"/>
  <c r="G27" i="11"/>
  <c r="G27" i="12"/>
  <c r="G27" i="13"/>
  <c r="C29" i="13" l="1"/>
  <c r="E28" i="13"/>
  <c r="C29" i="12"/>
  <c r="E28" i="12"/>
  <c r="C29" i="11"/>
  <c r="E28" i="11"/>
  <c r="F28" i="13"/>
  <c r="G28" i="13" s="1"/>
  <c r="F28" i="12"/>
  <c r="F28" i="11"/>
  <c r="G28" i="11" s="1"/>
  <c r="G28" i="12"/>
  <c r="C30" i="13" l="1"/>
  <c r="E29" i="13"/>
  <c r="E29" i="12"/>
  <c r="C30" i="12"/>
  <c r="E29" i="11"/>
  <c r="C30" i="11"/>
  <c r="F29" i="13"/>
  <c r="F29" i="12"/>
  <c r="F29" i="11"/>
  <c r="G29" i="11"/>
  <c r="G29" i="12"/>
  <c r="G29" i="13"/>
  <c r="E30" i="13" l="1"/>
  <c r="C31" i="13"/>
  <c r="E30" i="12"/>
  <c r="C31" i="12"/>
  <c r="E30" i="11"/>
  <c r="C31" i="11"/>
  <c r="F30" i="12"/>
  <c r="G30" i="12" s="1"/>
  <c r="F30" i="11"/>
  <c r="G30" i="11"/>
  <c r="F30" i="13"/>
  <c r="G30" i="13" s="1"/>
  <c r="E31" i="13" l="1"/>
  <c r="C32" i="13"/>
  <c r="C32" i="12"/>
  <c r="E31" i="12"/>
  <c r="C32" i="11"/>
  <c r="E31" i="11"/>
  <c r="F31" i="13"/>
  <c r="F31" i="12"/>
  <c r="F31" i="11"/>
  <c r="G31" i="11"/>
  <c r="G31" i="12"/>
  <c r="G31" i="13"/>
  <c r="C33" i="13" l="1"/>
  <c r="E32" i="13"/>
  <c r="E32" i="12"/>
  <c r="C33" i="12"/>
  <c r="E32" i="11"/>
  <c r="C33" i="11"/>
  <c r="F32" i="12"/>
  <c r="F32" i="13"/>
  <c r="F32" i="11"/>
  <c r="G32" i="11" s="1"/>
  <c r="G32" i="12"/>
  <c r="G32" i="13"/>
  <c r="E33" i="13" l="1"/>
  <c r="C34" i="13"/>
  <c r="C34" i="12"/>
  <c r="E33" i="12"/>
  <c r="C34" i="11"/>
  <c r="E33" i="11"/>
  <c r="F33" i="13"/>
  <c r="G33" i="13" s="1"/>
  <c r="F33" i="12"/>
  <c r="G33" i="12" s="1"/>
  <c r="F33" i="11"/>
  <c r="G33" i="11"/>
  <c r="E34" i="13" l="1"/>
  <c r="C35" i="13"/>
  <c r="E34" i="12"/>
  <c r="C35" i="12"/>
  <c r="E34" i="11"/>
  <c r="C35" i="11"/>
  <c r="F34" i="13"/>
  <c r="G34" i="13" s="1"/>
  <c r="F34" i="12"/>
  <c r="F34" i="11"/>
  <c r="G34" i="11"/>
  <c r="G34" i="12"/>
  <c r="E35" i="13" l="1"/>
  <c r="C36" i="13"/>
  <c r="E35" i="12"/>
  <c r="C36" i="12"/>
  <c r="E35" i="11"/>
  <c r="C36" i="11"/>
  <c r="F35" i="13"/>
  <c r="F35" i="12"/>
  <c r="F35" i="11"/>
  <c r="G35" i="11"/>
  <c r="G35" i="12"/>
  <c r="G35" i="13"/>
  <c r="C37" i="13" l="1"/>
  <c r="E36" i="13"/>
  <c r="C37" i="12"/>
  <c r="E36" i="12"/>
  <c r="C37" i="11"/>
  <c r="E36" i="11"/>
  <c r="F36" i="13"/>
  <c r="G36" i="13" s="1"/>
  <c r="F36" i="12"/>
  <c r="F36" i="11"/>
  <c r="G36" i="11" s="1"/>
  <c r="G36" i="12"/>
  <c r="C38" i="13" l="1"/>
  <c r="E37" i="13"/>
  <c r="C38" i="12"/>
  <c r="E37" i="12"/>
  <c r="E37" i="11"/>
  <c r="C38" i="11"/>
  <c r="F37" i="13"/>
  <c r="G37" i="13" s="1"/>
  <c r="F37" i="12"/>
  <c r="F37" i="11"/>
  <c r="G37" i="11" s="1"/>
  <c r="G37" i="12"/>
  <c r="E38" i="13" l="1"/>
  <c r="C39" i="13"/>
  <c r="E38" i="12"/>
  <c r="C39" i="12"/>
  <c r="E38" i="11"/>
  <c r="C39" i="11"/>
  <c r="F38" i="13"/>
  <c r="F38" i="12"/>
  <c r="F38" i="11"/>
  <c r="G38" i="11"/>
  <c r="G38" i="12"/>
  <c r="G38" i="13"/>
  <c r="E39" i="13" l="1"/>
  <c r="C40" i="13"/>
  <c r="E40" i="13" s="1"/>
  <c r="C40" i="12"/>
  <c r="E40" i="12" s="1"/>
  <c r="E39" i="12"/>
  <c r="C40" i="11"/>
  <c r="E40" i="11" s="1"/>
  <c r="E39" i="11"/>
  <c r="F39" i="12"/>
  <c r="G39" i="12" s="1"/>
  <c r="F40" i="11"/>
  <c r="F39" i="11"/>
  <c r="G39" i="11"/>
  <c r="F39" i="13"/>
  <c r="G39" i="13"/>
  <c r="F40" i="13"/>
  <c r="F40" i="12"/>
  <c r="F2" i="13"/>
  <c r="F2" i="11"/>
  <c r="F2" i="12"/>
  <c r="D9" i="10" l="1"/>
  <c r="D11" i="10"/>
  <c r="D12" i="10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G40" i="13"/>
  <c r="F36" i="8"/>
  <c r="F64" i="8"/>
  <c r="F49" i="8"/>
  <c r="G36" i="8"/>
  <c r="F37" i="8"/>
  <c r="F26" i="8"/>
  <c r="F53" i="8"/>
  <c r="F27" i="8"/>
  <c r="F54" i="8"/>
  <c r="F28" i="7"/>
  <c r="F56" i="7"/>
  <c r="F53" i="7"/>
  <c r="F45" i="7"/>
  <c r="F19" i="7"/>
  <c r="G56" i="7"/>
  <c r="F30" i="7"/>
  <c r="F62" i="7"/>
  <c r="F19" i="6"/>
  <c r="F10" i="6"/>
  <c r="F8" i="8"/>
  <c r="G27" i="8"/>
  <c r="F23" i="7"/>
  <c r="G19" i="7"/>
  <c r="G45" i="7"/>
  <c r="H19" i="6"/>
  <c r="F56" i="8"/>
  <c r="F17" i="8"/>
  <c r="F33" i="7"/>
  <c r="G40" i="11"/>
  <c r="F44" i="8"/>
  <c r="F7" i="8"/>
  <c r="F39" i="8"/>
  <c r="F50" i="8"/>
  <c r="F43" i="8"/>
  <c r="F61" i="8"/>
  <c r="F62" i="8"/>
  <c r="F36" i="7"/>
  <c r="G36" i="7" s="1"/>
  <c r="F7" i="7"/>
  <c r="F39" i="7"/>
  <c r="F16" i="7"/>
  <c r="G16" i="7" s="1"/>
  <c r="F18" i="7"/>
  <c r="F50" i="7"/>
  <c r="F61" i="7"/>
  <c r="F27" i="7"/>
  <c r="F59" i="7"/>
  <c r="F9" i="7"/>
  <c r="F41" i="7"/>
  <c r="F6" i="6"/>
  <c r="F18" i="6"/>
  <c r="F22" i="6"/>
  <c r="H10" i="6"/>
  <c r="F14" i="6"/>
  <c r="G19" i="6"/>
  <c r="F47" i="7"/>
  <c r="G47" i="7" s="1"/>
  <c r="F32" i="7"/>
  <c r="F17" i="7"/>
  <c r="H6" i="6"/>
  <c r="H18" i="6"/>
  <c r="G22" i="6"/>
  <c r="F9" i="6"/>
  <c r="F12" i="8"/>
  <c r="F55" i="8"/>
  <c r="F38" i="8"/>
  <c r="G38" i="8" s="1"/>
  <c r="F66" i="8"/>
  <c r="F55" i="7"/>
  <c r="F64" i="7"/>
  <c r="F57" i="7"/>
  <c r="F29" i="8"/>
  <c r="G50" i="8"/>
  <c r="F37" i="7"/>
  <c r="F42" i="7"/>
  <c r="G42" i="7" s="1"/>
  <c r="F65" i="7"/>
  <c r="F52" i="8"/>
  <c r="F35" i="8"/>
  <c r="G12" i="8"/>
  <c r="G44" i="8"/>
  <c r="G55" i="8"/>
  <c r="G56" i="8"/>
  <c r="F57" i="8"/>
  <c r="F34" i="8"/>
  <c r="F51" i="8"/>
  <c r="F25" i="8"/>
  <c r="F44" i="7"/>
  <c r="G44" i="7"/>
  <c r="G23" i="7"/>
  <c r="G55" i="7"/>
  <c r="G32" i="7"/>
  <c r="G64" i="7"/>
  <c r="F38" i="7"/>
  <c r="G38" i="7" s="1"/>
  <c r="F8" i="7"/>
  <c r="F8" i="6"/>
  <c r="F7" i="6"/>
  <c r="G7" i="6" s="1"/>
  <c r="I7" i="6" s="1"/>
  <c r="F12" i="6"/>
  <c r="G14" i="6"/>
  <c r="F15" i="7"/>
  <c r="G15" i="7" s="1"/>
  <c r="F58" i="7"/>
  <c r="F35" i="7"/>
  <c r="G35" i="7" s="1"/>
  <c r="F49" i="7"/>
  <c r="H7" i="6"/>
  <c r="F24" i="7"/>
  <c r="F46" i="8"/>
  <c r="F40" i="8"/>
  <c r="G40" i="8" s="1"/>
  <c r="F65" i="8"/>
  <c r="G53" i="7"/>
  <c r="F34" i="7"/>
  <c r="F25" i="7"/>
  <c r="F15" i="6"/>
  <c r="F28" i="8"/>
  <c r="F19" i="8"/>
  <c r="G51" i="8"/>
  <c r="F63" i="7"/>
  <c r="F21" i="7"/>
  <c r="F11" i="6"/>
  <c r="F60" i="8"/>
  <c r="G64" i="8"/>
  <c r="F15" i="8"/>
  <c r="G15" i="8" s="1"/>
  <c r="F47" i="8"/>
  <c r="G47" i="8" s="1"/>
  <c r="F58" i="8"/>
  <c r="G58" i="8" s="1"/>
  <c r="F16" i="8"/>
  <c r="F14" i="8"/>
  <c r="G7" i="8"/>
  <c r="G39" i="8"/>
  <c r="F24" i="8"/>
  <c r="F59" i="8"/>
  <c r="G46" i="8"/>
  <c r="F52" i="7"/>
  <c r="G37" i="7"/>
  <c r="F26" i="7"/>
  <c r="G21" i="7"/>
  <c r="F16" i="6"/>
  <c r="H16" i="6" s="1"/>
  <c r="F23" i="8"/>
  <c r="F13" i="7"/>
  <c r="G13" i="7" s="1"/>
  <c r="F43" i="7"/>
  <c r="G43" i="7" s="1"/>
  <c r="F63" i="8"/>
  <c r="F20" i="7"/>
  <c r="G27" i="7"/>
  <c r="H8" i="6"/>
  <c r="B1" i="10"/>
  <c r="F45" i="8"/>
  <c r="F22" i="8"/>
  <c r="G22" i="8" s="1"/>
  <c r="G52" i="8"/>
  <c r="G63" i="8"/>
  <c r="G37" i="8"/>
  <c r="G35" i="8"/>
  <c r="F10" i="8"/>
  <c r="F42" i="8"/>
  <c r="G45" i="8"/>
  <c r="G62" i="8"/>
  <c r="F60" i="7"/>
  <c r="G20" i="7"/>
  <c r="G52" i="7"/>
  <c r="F40" i="7"/>
  <c r="G63" i="7"/>
  <c r="F48" i="7"/>
  <c r="G40" i="7"/>
  <c r="F14" i="7"/>
  <c r="G14" i="7" s="1"/>
  <c r="F46" i="7"/>
  <c r="G46" i="7" s="1"/>
  <c r="F20" i="6"/>
  <c r="F13" i="8"/>
  <c r="G13" i="8" s="1"/>
  <c r="F48" i="8"/>
  <c r="G48" i="8" s="1"/>
  <c r="F66" i="7"/>
  <c r="G66" i="7" s="1"/>
  <c r="H11" i="6"/>
  <c r="G11" i="6"/>
  <c r="F41" i="8"/>
  <c r="G23" i="8"/>
  <c r="F31" i="7"/>
  <c r="G31" i="7" s="1"/>
  <c r="G59" i="7"/>
  <c r="G10" i="6"/>
  <c r="F20" i="8"/>
  <c r="G20" i="8" s="1"/>
  <c r="F32" i="8"/>
  <c r="G32" i="8" s="1"/>
  <c r="F33" i="8"/>
  <c r="G28" i="8"/>
  <c r="G60" i="8"/>
  <c r="F21" i="8"/>
  <c r="G21" i="8" s="1"/>
  <c r="G8" i="8"/>
  <c r="F9" i="8"/>
  <c r="F18" i="8"/>
  <c r="G10" i="8"/>
  <c r="F11" i="8"/>
  <c r="G11" i="8" s="1"/>
  <c r="F30" i="8"/>
  <c r="F12" i="7"/>
  <c r="G12" i="7" s="1"/>
  <c r="F29" i="7"/>
  <c r="G29" i="7" s="1"/>
  <c r="G28" i="7"/>
  <c r="G60" i="7"/>
  <c r="G7" i="7"/>
  <c r="G39" i="7"/>
  <c r="G18" i="7"/>
  <c r="F11" i="7"/>
  <c r="G11" i="7" s="1"/>
  <c r="G48" i="7"/>
  <c r="F22" i="7"/>
  <c r="G22" i="7" s="1"/>
  <c r="F54" i="7"/>
  <c r="G54" i="7" s="1"/>
  <c r="G30" i="7"/>
  <c r="G62" i="7"/>
  <c r="F21" i="6"/>
  <c r="F13" i="6"/>
  <c r="G12" i="6"/>
  <c r="F17" i="6"/>
  <c r="G9" i="6"/>
  <c r="G40" i="12"/>
  <c r="F31" i="8"/>
  <c r="G31" i="8" s="1"/>
  <c r="G24" i="8"/>
  <c r="F10" i="7"/>
  <c r="F51" i="7"/>
  <c r="G51" i="7" s="1"/>
  <c r="H9" i="6"/>
  <c r="G16" i="6"/>
  <c r="I16" i="6" s="1"/>
  <c r="G8" i="6"/>
  <c r="I8" i="6" s="1"/>
  <c r="G18" i="6"/>
  <c r="G2" i="12"/>
  <c r="G2" i="11"/>
  <c r="G2" i="13"/>
  <c r="G15" i="6"/>
  <c r="H15" i="6"/>
  <c r="G20" i="6"/>
  <c r="H20" i="6"/>
  <c r="H21" i="6"/>
  <c r="G21" i="6"/>
  <c r="I21" i="6" s="1"/>
  <c r="H13" i="6"/>
  <c r="G13" i="6"/>
  <c r="H17" i="6"/>
  <c r="G17" i="6"/>
  <c r="F7" i="9" l="1"/>
  <c r="I17" i="6"/>
  <c r="G30" i="8"/>
  <c r="G26" i="7"/>
  <c r="G24" i="7"/>
  <c r="G57" i="8"/>
  <c r="H14" i="6"/>
  <c r="G33" i="7"/>
  <c r="F68" i="9"/>
  <c r="F60" i="9"/>
  <c r="F52" i="9"/>
  <c r="F44" i="9"/>
  <c r="F36" i="9"/>
  <c r="F28" i="9"/>
  <c r="F20" i="9"/>
  <c r="F12" i="9"/>
  <c r="F39" i="9"/>
  <c r="I11" i="6"/>
  <c r="G61" i="8"/>
  <c r="F54" i="9"/>
  <c r="F30" i="9"/>
  <c r="G42" i="8"/>
  <c r="G43" i="8"/>
  <c r="F53" i="9"/>
  <c r="F21" i="9"/>
  <c r="I13" i="6"/>
  <c r="G18" i="8"/>
  <c r="G59" i="8"/>
  <c r="G49" i="7"/>
  <c r="G65" i="7"/>
  <c r="H22" i="6"/>
  <c r="G17" i="8"/>
  <c r="F67" i="9"/>
  <c r="F59" i="9"/>
  <c r="F51" i="9"/>
  <c r="F43" i="9"/>
  <c r="F35" i="9"/>
  <c r="F27" i="9"/>
  <c r="F19" i="9"/>
  <c r="F11" i="9"/>
  <c r="F23" i="9"/>
  <c r="G25" i="8"/>
  <c r="F38" i="9"/>
  <c r="F22" i="9"/>
  <c r="G34" i="8"/>
  <c r="F61" i="9"/>
  <c r="F37" i="9"/>
  <c r="I20" i="6"/>
  <c r="G9" i="8"/>
  <c r="G14" i="8"/>
  <c r="G58" i="7"/>
  <c r="G29" i="8"/>
  <c r="G41" i="7"/>
  <c r="G54" i="8"/>
  <c r="F66" i="9"/>
  <c r="F58" i="9"/>
  <c r="F50" i="9"/>
  <c r="F42" i="9"/>
  <c r="F34" i="9"/>
  <c r="F26" i="9"/>
  <c r="F18" i="9"/>
  <c r="F10" i="9"/>
  <c r="F31" i="9"/>
  <c r="F62" i="9"/>
  <c r="I12" i="6"/>
  <c r="G65" i="8"/>
  <c r="I19" i="6"/>
  <c r="F45" i="9"/>
  <c r="I15" i="6"/>
  <c r="G33" i="8"/>
  <c r="G16" i="8"/>
  <c r="I14" i="6"/>
  <c r="G57" i="7"/>
  <c r="G9" i="7"/>
  <c r="G53" i="8"/>
  <c r="F65" i="9"/>
  <c r="F57" i="9"/>
  <c r="F49" i="9"/>
  <c r="F41" i="9"/>
  <c r="F33" i="9"/>
  <c r="F25" i="9"/>
  <c r="F17" i="9"/>
  <c r="F16" i="9"/>
  <c r="G41" i="8"/>
  <c r="G25" i="7"/>
  <c r="I22" i="6"/>
  <c r="G50" i="7"/>
  <c r="F63" i="9"/>
  <c r="F47" i="9"/>
  <c r="I9" i="6"/>
  <c r="G34" i="7"/>
  <c r="G17" i="7"/>
  <c r="F29" i="9"/>
  <c r="I18" i="6"/>
  <c r="I10" i="6"/>
  <c r="G19" i="8"/>
  <c r="H12" i="6"/>
  <c r="G66" i="8"/>
  <c r="G61" i="7"/>
  <c r="G26" i="8"/>
  <c r="F64" i="9"/>
  <c r="F56" i="9"/>
  <c r="F48" i="9"/>
  <c r="F40" i="9"/>
  <c r="F32" i="9"/>
  <c r="F24" i="9"/>
  <c r="G10" i="7"/>
  <c r="G8" i="7"/>
  <c r="G49" i="8"/>
  <c r="F55" i="9"/>
  <c r="F15" i="9"/>
  <c r="F46" i="9"/>
  <c r="F14" i="9"/>
  <c r="F69" i="9"/>
  <c r="F13" i="9"/>
  <c r="F5" i="6"/>
  <c r="F6" i="8"/>
  <c r="F9" i="9"/>
  <c r="F6" i="7"/>
  <c r="D8" i="5" l="1"/>
  <c r="D5" i="4"/>
  <c r="D6" i="4"/>
  <c r="D7" i="4"/>
  <c r="D8" i="4"/>
  <c r="D9" i="4"/>
  <c r="D10" i="4"/>
  <c r="D11" i="4"/>
  <c r="D12" i="4"/>
  <c r="C13" i="4"/>
  <c r="D13" i="4"/>
  <c r="C14" i="4"/>
  <c r="D14" i="4"/>
  <c r="C15" i="4"/>
  <c r="D15" i="4"/>
  <c r="C16" i="4"/>
  <c r="D16" i="4"/>
  <c r="C17" i="4"/>
  <c r="D17" i="4"/>
  <c r="D19" i="4"/>
  <c r="G13" i="9"/>
  <c r="G40" i="9"/>
  <c r="G17" i="9"/>
  <c r="G62" i="9"/>
  <c r="G58" i="9"/>
  <c r="G19" i="9"/>
  <c r="G53" i="9"/>
  <c r="G44" i="9"/>
  <c r="G69" i="9"/>
  <c r="G48" i="9"/>
  <c r="G25" i="9"/>
  <c r="G31" i="9"/>
  <c r="G66" i="9"/>
  <c r="G27" i="9"/>
  <c r="G30" i="9"/>
  <c r="G52" i="9"/>
  <c r="G14" i="9"/>
  <c r="G56" i="9"/>
  <c r="G33" i="9"/>
  <c r="G10" i="9"/>
  <c r="G37" i="9"/>
  <c r="G35" i="9"/>
  <c r="G54" i="9"/>
  <c r="G60" i="9"/>
  <c r="G67" i="9"/>
  <c r="G16" i="9"/>
  <c r="G50" i="9"/>
  <c r="G36" i="9"/>
  <c r="G46" i="9"/>
  <c r="G64" i="9"/>
  <c r="G41" i="9"/>
  <c r="G18" i="9"/>
  <c r="G61" i="9"/>
  <c r="G43" i="9"/>
  <c r="G39" i="9"/>
  <c r="G68" i="9"/>
  <c r="G42" i="9"/>
  <c r="G32" i="9"/>
  <c r="G11" i="9"/>
  <c r="G15" i="9"/>
  <c r="G29" i="9"/>
  <c r="G49" i="9"/>
  <c r="G26" i="9"/>
  <c r="G22" i="9"/>
  <c r="G51" i="9"/>
  <c r="G12" i="9"/>
  <c r="G55" i="9"/>
  <c r="G47" i="9"/>
  <c r="G57" i="9"/>
  <c r="G34" i="9"/>
  <c r="G38" i="9"/>
  <c r="G59" i="9"/>
  <c r="G20" i="9"/>
  <c r="G24" i="9"/>
  <c r="G63" i="9"/>
  <c r="G65" i="9"/>
  <c r="G23" i="9"/>
  <c r="G28" i="9"/>
  <c r="G45" i="9"/>
  <c r="G21" i="9"/>
  <c r="E6" i="4"/>
  <c r="B1" i="5"/>
  <c r="E10" i="4"/>
  <c r="F6" i="4"/>
  <c r="E14" i="4"/>
  <c r="E7" i="4"/>
  <c r="F7" i="4" s="1"/>
  <c r="F14" i="4"/>
  <c r="E11" i="4"/>
  <c r="F10" i="4"/>
  <c r="F11" i="4"/>
  <c r="E8" i="4"/>
  <c r="E12" i="4"/>
  <c r="E17" i="4"/>
  <c r="E16" i="4"/>
  <c r="F17" i="4"/>
  <c r="E9" i="4"/>
  <c r="F9" i="4" s="1"/>
  <c r="E15" i="4"/>
  <c r="F15" i="4" s="1"/>
  <c r="E13" i="4"/>
  <c r="G6" i="7"/>
  <c r="H5" i="6"/>
  <c r="G9" i="9"/>
  <c r="G6" i="8"/>
  <c r="D20" i="4" l="1"/>
  <c r="D21" i="4"/>
  <c r="D23" i="4"/>
  <c r="D24" i="4"/>
  <c r="D25" i="4"/>
  <c r="D26" i="4"/>
  <c r="D27" i="4"/>
  <c r="D28" i="4"/>
  <c r="D29" i="4"/>
  <c r="D30" i="4"/>
  <c r="D31" i="4"/>
  <c r="D32" i="4"/>
  <c r="D33" i="4"/>
  <c r="F13" i="4"/>
  <c r="E31" i="4"/>
  <c r="F16" i="4"/>
  <c r="E21" i="4"/>
  <c r="F31" i="4"/>
  <c r="F12" i="4"/>
  <c r="E30" i="4"/>
  <c r="E29" i="4"/>
  <c r="E27" i="4"/>
  <c r="F27" i="4" s="1"/>
  <c r="F8" i="4"/>
  <c r="F30" i="4"/>
  <c r="E25" i="4"/>
  <c r="E28" i="4"/>
  <c r="F28" i="4"/>
  <c r="E24" i="4"/>
  <c r="F24" i="4" s="1"/>
  <c r="E33" i="4"/>
  <c r="F33" i="4" s="1"/>
  <c r="E26" i="4"/>
  <c r="E32" i="4"/>
  <c r="F32" i="4" s="1"/>
  <c r="E20" i="4"/>
  <c r="F20" i="4" s="1"/>
  <c r="E23" i="4"/>
  <c r="E19" i="4"/>
  <c r="E5" i="4"/>
  <c r="G6" i="39"/>
  <c r="H6" i="39"/>
  <c r="G6" i="40"/>
  <c r="H6" i="40"/>
  <c r="F5" i="4"/>
  <c r="F23" i="4"/>
  <c r="F19" i="4"/>
  <c r="F26" i="4"/>
  <c r="F25" i="4"/>
  <c r="F21" i="4"/>
  <c r="F29" i="4"/>
  <c r="J3" i="42"/>
  <c r="Q3" i="43"/>
  <c r="D6" i="44" a="1"/>
  <c r="D17" i="44"/>
  <c r="D16" i="44"/>
  <c r="D15" i="44"/>
  <c r="D14" i="44"/>
  <c r="D13" i="44"/>
  <c r="D12" i="44"/>
  <c r="D11" i="44"/>
  <c r="D10" i="44"/>
  <c r="D9" i="44"/>
  <c r="D8" i="44"/>
  <c r="D7" i="44"/>
  <c r="P6" i="44" s="1" a="1"/>
  <c r="D6" i="44"/>
  <c r="P12" i="44" l="1"/>
  <c r="P11" i="44"/>
  <c r="P13" i="44"/>
  <c r="P6" i="44"/>
  <c r="P10" i="44"/>
  <c r="P17" i="44"/>
  <c r="P9" i="44"/>
  <c r="P16" i="44"/>
  <c r="P8" i="44"/>
  <c r="P15" i="44"/>
  <c r="P7" i="44"/>
  <c r="P14" i="44"/>
  <c r="F6" i="44" a="1"/>
  <c r="R6" i="44"/>
  <c r="R14" i="44"/>
  <c r="R10" i="44"/>
  <c r="R17" i="44"/>
  <c r="R9" i="44"/>
  <c r="R16" i="44"/>
  <c r="R12" i="44"/>
  <c r="R8" i="44"/>
  <c r="R11" i="44"/>
  <c r="R15" i="44"/>
  <c r="R13" i="44"/>
  <c r="R7" i="44"/>
  <c r="F16" i="44" l="1"/>
  <c r="F8" i="44"/>
  <c r="F15" i="44"/>
  <c r="F7" i="44"/>
  <c r="F10" i="44"/>
  <c r="F17" i="44"/>
  <c r="F9" i="44"/>
  <c r="F14" i="44"/>
  <c r="F6" i="44"/>
  <c r="F13" i="44"/>
  <c r="F12" i="44"/>
  <c r="F11" i="44"/>
  <c r="R4" i="44"/>
  <c r="D6" i="45" a="1"/>
  <c r="D47" i="45"/>
  <c r="D46" i="45"/>
  <c r="D45" i="45"/>
  <c r="D44" i="45"/>
  <c r="D43" i="45"/>
  <c r="D42" i="45"/>
  <c r="D41" i="45"/>
  <c r="D40" i="45"/>
  <c r="D39" i="45"/>
  <c r="D38" i="45"/>
  <c r="D37" i="45"/>
  <c r="D36" i="45"/>
  <c r="D35" i="45"/>
  <c r="D34" i="45"/>
  <c r="D33" i="45"/>
  <c r="D32" i="45"/>
  <c r="D31" i="45"/>
  <c r="D30" i="45"/>
  <c r="D29" i="45"/>
  <c r="D28" i="45"/>
  <c r="D27" i="45"/>
  <c r="D26" i="45"/>
  <c r="D25" i="45"/>
  <c r="D24" i="45"/>
  <c r="D23" i="45"/>
  <c r="D22" i="45"/>
  <c r="D21" i="45"/>
  <c r="D20" i="45"/>
  <c r="D19" i="45"/>
  <c r="D18" i="45"/>
  <c r="D17" i="45"/>
  <c r="D16" i="45"/>
  <c r="D15" i="45"/>
  <c r="D14" i="45"/>
  <c r="D13" i="45"/>
  <c r="D12" i="45"/>
  <c r="D11" i="45"/>
  <c r="D10" i="45"/>
  <c r="D9" i="45"/>
  <c r="D8" i="45"/>
  <c r="D7" i="45"/>
  <c r="D6" i="45"/>
  <c r="P6" i="45" l="1" a="1"/>
  <c r="P24" i="45" s="1"/>
  <c r="R24" i="45"/>
  <c r="P19" i="45" l="1"/>
  <c r="P11" i="45"/>
  <c r="R19" i="45"/>
  <c r="R11" i="45"/>
  <c r="P16" i="45"/>
  <c r="R16" i="45"/>
  <c r="P8" i="45"/>
  <c r="R8" i="45"/>
  <c r="P47" i="45"/>
  <c r="R47" i="45"/>
  <c r="P33" i="45"/>
  <c r="R33" i="45"/>
  <c r="P28" i="45"/>
  <c r="R28" i="45"/>
  <c r="P20" i="45"/>
  <c r="R20" i="45"/>
  <c r="P12" i="45"/>
  <c r="R12" i="45"/>
  <c r="P41" i="45"/>
  <c r="R41" i="45"/>
  <c r="P27" i="45"/>
  <c r="R27" i="45"/>
  <c r="P42" i="45"/>
  <c r="P39" i="45"/>
  <c r="P37" i="45"/>
  <c r="R37" i="45"/>
  <c r="P35" i="45"/>
  <c r="R35" i="45"/>
  <c r="P31" i="45"/>
  <c r="R31" i="45"/>
  <c r="P26" i="45"/>
  <c r="R26" i="45"/>
  <c r="P10" i="45"/>
  <c r="R10" i="45"/>
  <c r="P45" i="45"/>
  <c r="P23" i="45"/>
  <c r="R23" i="45"/>
  <c r="P15" i="45"/>
  <c r="R15" i="45"/>
  <c r="P7" i="45"/>
  <c r="R7" i="45"/>
  <c r="P43" i="45"/>
  <c r="P40" i="45"/>
  <c r="R40" i="45"/>
  <c r="P25" i="45"/>
  <c r="R25" i="45"/>
  <c r="P17" i="45"/>
  <c r="R17" i="45"/>
  <c r="P9" i="45"/>
  <c r="R9" i="45"/>
  <c r="P6" i="45"/>
  <c r="R6" i="45"/>
  <c r="P44" i="45"/>
  <c r="R44" i="45"/>
  <c r="P29" i="45"/>
  <c r="R29" i="45"/>
  <c r="P21" i="45"/>
  <c r="R21" i="45"/>
  <c r="P13" i="45"/>
  <c r="R13" i="45"/>
  <c r="P18" i="45"/>
  <c r="R18" i="45"/>
  <c r="P46" i="45"/>
  <c r="P38" i="45"/>
  <c r="R38" i="45"/>
  <c r="P36" i="45"/>
  <c r="R36" i="45"/>
  <c r="P34" i="45"/>
  <c r="R34" i="45"/>
  <c r="P32" i="45"/>
  <c r="R32" i="45"/>
  <c r="P30" i="45"/>
  <c r="R30" i="45"/>
  <c r="P22" i="45"/>
  <c r="R22" i="45"/>
  <c r="P14" i="45"/>
  <c r="R14" i="45"/>
  <c r="F6" i="45" a="1"/>
  <c r="F46" i="45" s="1"/>
  <c r="R45" i="45"/>
  <c r="R42" i="45"/>
  <c r="R46" i="45"/>
  <c r="R43" i="45"/>
  <c r="R39" i="45"/>
  <c r="R4" i="45"/>
  <c r="F6" i="45" l="1"/>
  <c r="F22" i="45"/>
  <c r="F38" i="45"/>
  <c r="F7" i="45"/>
  <c r="F31" i="45"/>
  <c r="F8" i="45"/>
  <c r="F24" i="45"/>
  <c r="F40" i="45"/>
  <c r="F25" i="45"/>
  <c r="F18" i="45"/>
  <c r="F34" i="45"/>
  <c r="F19" i="45"/>
  <c r="F35" i="45"/>
  <c r="F44" i="45"/>
  <c r="F14" i="45"/>
  <c r="F15" i="45"/>
  <c r="F41" i="45"/>
  <c r="F9" i="45"/>
  <c r="F42" i="45"/>
  <c r="F45" i="45"/>
  <c r="F30" i="45"/>
  <c r="F47" i="45"/>
  <c r="F23" i="45"/>
  <c r="F39" i="45"/>
  <c r="F16" i="45"/>
  <c r="F32" i="45"/>
  <c r="F17" i="45"/>
  <c r="F33" i="45"/>
  <c r="F10" i="45"/>
  <c r="F26" i="45"/>
  <c r="F43" i="45"/>
  <c r="F11" i="45"/>
  <c r="F27" i="45"/>
  <c r="F12" i="45"/>
  <c r="F20" i="45"/>
  <c r="F28" i="45"/>
  <c r="F36" i="45"/>
  <c r="F13" i="45"/>
  <c r="F21" i="45"/>
  <c r="F29" i="45"/>
  <c r="F37" i="45"/>
  <c r="Q3" i="47"/>
  <c r="Q3" i="48"/>
  <c r="Q3" i="49"/>
  <c r="Q3" i="50"/>
  <c r="F3" i="51"/>
  <c r="K5" i="51" a="1"/>
  <c r="K31" i="51"/>
  <c r="K19" i="51"/>
  <c r="K15" i="51"/>
  <c r="K16" i="51"/>
  <c r="K11" i="51"/>
  <c r="K8" i="51"/>
  <c r="K32" i="51"/>
  <c r="K27" i="51"/>
  <c r="K28" i="51"/>
  <c r="K23" i="51"/>
  <c r="K24" i="51"/>
  <c r="K7" i="51"/>
  <c r="K20" i="51"/>
  <c r="K5" i="51"/>
  <c r="K38" i="51"/>
  <c r="K39" i="51" s="1"/>
  <c r="K40" i="51" s="1"/>
  <c r="K41" i="51" s="1"/>
  <c r="K42" i="51" s="1"/>
  <c r="K18" i="51"/>
  <c r="K14" i="51"/>
  <c r="K10" i="51"/>
  <c r="K34" i="51"/>
  <c r="K35" i="51"/>
  <c r="K30" i="51"/>
  <c r="K26" i="51"/>
  <c r="K22" i="51"/>
  <c r="K6" i="51"/>
  <c r="K29" i="51"/>
  <c r="K37" i="51"/>
  <c r="K33" i="51"/>
  <c r="K25" i="51"/>
  <c r="K21" i="51"/>
  <c r="K17" i="51"/>
  <c r="K13" i="51"/>
  <c r="K9" i="51"/>
  <c r="K36" i="51"/>
  <c r="K12" i="51"/>
  <c r="P5" i="51" l="1" a="1"/>
  <c r="P10" i="51" s="1"/>
  <c r="Q10" i="51"/>
  <c r="F3" i="52"/>
  <c r="K5" i="52" a="1"/>
  <c r="P14" i="51" l="1"/>
  <c r="P29" i="51"/>
  <c r="P32" i="51"/>
  <c r="P19" i="51"/>
  <c r="P24" i="51"/>
  <c r="P39" i="51"/>
  <c r="P30" i="51"/>
  <c r="P33" i="51"/>
  <c r="P38" i="51"/>
  <c r="P13" i="51"/>
  <c r="P12" i="51"/>
  <c r="P42" i="51"/>
  <c r="P9" i="51"/>
  <c r="P8" i="51"/>
  <c r="P18" i="51"/>
  <c r="P7" i="51"/>
  <c r="P25" i="51"/>
  <c r="P27" i="51"/>
  <c r="P37" i="51"/>
  <c r="P23" i="51"/>
  <c r="P22" i="51"/>
  <c r="P11" i="51"/>
  <c r="P6" i="51"/>
  <c r="P40" i="51"/>
  <c r="P28" i="51"/>
  <c r="P34" i="51"/>
  <c r="P20" i="51"/>
  <c r="P26" i="51"/>
  <c r="P5" i="51"/>
  <c r="P41" i="51"/>
  <c r="P15" i="51"/>
  <c r="P36" i="51"/>
  <c r="P35" i="51"/>
  <c r="P17" i="51"/>
  <c r="P31" i="51"/>
  <c r="P16" i="51"/>
  <c r="P21" i="51"/>
  <c r="K20" i="52"/>
  <c r="K19" i="52"/>
  <c r="K12" i="52"/>
  <c r="K8" i="52"/>
  <c r="K26" i="52"/>
  <c r="K6" i="52"/>
  <c r="K18" i="52"/>
  <c r="K17" i="52"/>
  <c r="K36" i="52"/>
  <c r="K10" i="52"/>
  <c r="K5" i="52"/>
  <c r="K27" i="52"/>
  <c r="K35" i="52"/>
  <c r="K38" i="52"/>
  <c r="K39" i="52" s="1"/>
  <c r="K40" i="52" s="1"/>
  <c r="K41" i="52" s="1"/>
  <c r="K42" i="52" s="1"/>
  <c r="K28" i="52"/>
  <c r="K24" i="52"/>
  <c r="K29" i="52"/>
  <c r="K16" i="52"/>
  <c r="K34" i="52"/>
  <c r="K31" i="52"/>
  <c r="K30" i="52"/>
  <c r="K32" i="52"/>
  <c r="K37" i="52"/>
  <c r="K22" i="52"/>
  <c r="K14" i="52"/>
  <c r="K33" i="52"/>
  <c r="K25" i="52"/>
  <c r="K23" i="52"/>
  <c r="K21" i="52"/>
  <c r="K15" i="52"/>
  <c r="K13" i="52"/>
  <c r="K11" i="52"/>
  <c r="K9" i="52"/>
  <c r="K7" i="52"/>
  <c r="Q14" i="51"/>
  <c r="Q38" i="51"/>
  <c r="Q25" i="51"/>
  <c r="Q28" i="51"/>
  <c r="Q35" i="51"/>
  <c r="Q24" i="51"/>
  <c r="Q9" i="51"/>
  <c r="Q22" i="51"/>
  <c r="Q5" i="51"/>
  <c r="Q21" i="51"/>
  <c r="Q39" i="51"/>
  <c r="Q8" i="51"/>
  <c r="Q11" i="51"/>
  <c r="Q41" i="51"/>
  <c r="Q30" i="51"/>
  <c r="Q18" i="51"/>
  <c r="Q6" i="51"/>
  <c r="Q15" i="51"/>
  <c r="Q33" i="51"/>
  <c r="Q7" i="51"/>
  <c r="Q40" i="51"/>
  <c r="Q36" i="51"/>
  <c r="Q29" i="51"/>
  <c r="Q13" i="51"/>
  <c r="Q27" i="51"/>
  <c r="Q34" i="51"/>
  <c r="Q17" i="51"/>
  <c r="Q32" i="51"/>
  <c r="Q12" i="51"/>
  <c r="Q37" i="51"/>
  <c r="Q20" i="51"/>
  <c r="Q31" i="51"/>
  <c r="Q42" i="51"/>
  <c r="Q23" i="51"/>
  <c r="Q26" i="51"/>
  <c r="Q16" i="51"/>
  <c r="Q19" i="51"/>
  <c r="Q3" i="51" s="1"/>
  <c r="P5" i="52" l="1" a="1"/>
  <c r="P38" i="52" s="1"/>
  <c r="P21" i="52" l="1"/>
  <c r="X21" i="52" s="1"/>
  <c r="P6" i="52"/>
  <c r="X6" i="52" s="1"/>
  <c r="P17" i="52"/>
  <c r="X17" i="52" s="1"/>
  <c r="P22" i="52"/>
  <c r="X22" i="52" s="1"/>
  <c r="P31" i="52"/>
  <c r="P40" i="52"/>
  <c r="P37" i="52"/>
  <c r="X37" i="52" s="1"/>
  <c r="P16" i="52"/>
  <c r="X16" i="52" s="1"/>
  <c r="P26" i="52"/>
  <c r="X26" i="52" s="1"/>
  <c r="P32" i="52"/>
  <c r="X32" i="52" s="1"/>
  <c r="P10" i="52"/>
  <c r="X10" i="52" s="1"/>
  <c r="P14" i="52"/>
  <c r="X14" i="52" s="1"/>
  <c r="P27" i="52"/>
  <c r="P12" i="52"/>
  <c r="X12" i="52" s="1"/>
  <c r="P13" i="52"/>
  <c r="X13" i="52" s="1"/>
  <c r="P35" i="52"/>
  <c r="X35" i="52" s="1"/>
  <c r="P7" i="52"/>
  <c r="X7" i="52" s="1"/>
  <c r="P39" i="52"/>
  <c r="X39" i="52" s="1"/>
  <c r="P15" i="52"/>
  <c r="X15" i="52" s="1"/>
  <c r="P20" i="52"/>
  <c r="X20" i="52" s="1"/>
  <c r="P8" i="52"/>
  <c r="X8" i="52" s="1"/>
  <c r="P29" i="52"/>
  <c r="X29" i="52" s="1"/>
  <c r="P11" i="52"/>
  <c r="X11" i="52" s="1"/>
  <c r="P36" i="52"/>
  <c r="X36" i="52" s="1"/>
  <c r="P28" i="52"/>
  <c r="X28" i="52" s="1"/>
  <c r="P19" i="52"/>
  <c r="X19" i="52" s="1"/>
  <c r="P24" i="52"/>
  <c r="X24" i="52" s="1"/>
  <c r="P30" i="52"/>
  <c r="X30" i="52" s="1"/>
  <c r="P18" i="52"/>
  <c r="X18" i="52" s="1"/>
  <c r="P25" i="52"/>
  <c r="P42" i="52"/>
  <c r="X42" i="52" s="1"/>
  <c r="P41" i="52"/>
  <c r="X41" i="52" s="1"/>
  <c r="P34" i="52"/>
  <c r="X34" i="52" s="1"/>
  <c r="P9" i="52"/>
  <c r="X9" i="52" s="1"/>
  <c r="P23" i="52"/>
  <c r="X23" i="52" s="1"/>
  <c r="P33" i="52"/>
  <c r="X33" i="52" s="1"/>
  <c r="P5" i="52"/>
  <c r="X5" i="52" s="1"/>
  <c r="X31" i="52"/>
  <c r="X40" i="52"/>
  <c r="X27" i="52"/>
  <c r="X25" i="52"/>
  <c r="X38" i="52"/>
  <c r="Q23" i="52"/>
  <c r="Q13" i="52"/>
  <c r="Q26" i="52"/>
  <c r="Q25" i="52"/>
  <c r="Q38" i="52"/>
  <c r="Q8" i="52"/>
  <c r="Q22" i="52"/>
  <c r="Q16" i="52"/>
  <c r="Q18" i="52"/>
  <c r="Q37" i="52"/>
  <c r="Q35" i="52"/>
  <c r="Q7" i="52"/>
  <c r="Q15" i="52"/>
  <c r="Q11" i="52"/>
  <c r="Q19" i="52"/>
  <c r="Q24" i="52"/>
  <c r="Q30" i="52"/>
  <c r="Q14" i="52"/>
  <c r="Q34" i="52"/>
  <c r="Q28" i="52"/>
  <c r="Q5" i="52"/>
  <c r="Q40" i="52"/>
  <c r="Q12" i="52"/>
  <c r="Q10" i="52"/>
  <c r="Q41" i="52"/>
  <c r="Q9" i="52"/>
  <c r="Q17" i="52"/>
  <c r="Q21" i="52"/>
  <c r="Q42" i="52"/>
  <c r="Q29" i="52"/>
  <c r="Q27" i="52"/>
  <c r="Q32" i="52"/>
  <c r="Q33" i="52"/>
  <c r="Q39" i="52"/>
  <c r="Q20" i="52"/>
  <c r="Q36" i="52"/>
  <c r="Q31" i="52"/>
  <c r="Q6" i="52"/>
  <c r="Q3" i="52"/>
  <c r="F3" i="53"/>
  <c r="K5" i="53" a="1"/>
  <c r="K21" i="53"/>
  <c r="K20" i="53"/>
  <c r="K19" i="53"/>
  <c r="K25" i="53"/>
  <c r="K24" i="53"/>
  <c r="K23" i="53"/>
  <c r="K9" i="53"/>
  <c r="K8" i="53"/>
  <c r="K7" i="53"/>
  <c r="K29" i="53"/>
  <c r="K28" i="53"/>
  <c r="K27" i="53"/>
  <c r="K13" i="53"/>
  <c r="K12" i="53"/>
  <c r="K11" i="53"/>
  <c r="K36" i="53"/>
  <c r="K37" i="53"/>
  <c r="K33" i="53"/>
  <c r="K32" i="53"/>
  <c r="K31" i="53"/>
  <c r="K17" i="53"/>
  <c r="K16" i="53"/>
  <c r="K15" i="53"/>
  <c r="K35" i="53"/>
  <c r="K5" i="53"/>
  <c r="K22" i="53"/>
  <c r="K6" i="53"/>
  <c r="K38" i="53"/>
  <c r="K39" i="53" s="1"/>
  <c r="K40" i="53" s="1"/>
  <c r="K41" i="53" s="1"/>
  <c r="K42" i="53" s="1"/>
  <c r="K26" i="53"/>
  <c r="K10" i="53"/>
  <c r="K30" i="53"/>
  <c r="K14" i="53"/>
  <c r="K34" i="53"/>
  <c r="K18" i="53"/>
  <c r="P5" i="53" l="1" a="1"/>
  <c r="P15" i="53" l="1"/>
  <c r="P19" i="53"/>
  <c r="P7" i="53"/>
  <c r="P10" i="53"/>
  <c r="P31" i="53"/>
  <c r="P35" i="53"/>
  <c r="P37" i="53"/>
  <c r="P5" i="53"/>
  <c r="P28" i="53"/>
  <c r="P39" i="53"/>
  <c r="P38" i="53"/>
  <c r="P13" i="53"/>
  <c r="P11" i="53"/>
  <c r="P8" i="53"/>
  <c r="P27" i="53"/>
  <c r="P25" i="53"/>
  <c r="P21" i="53"/>
  <c r="P23" i="53"/>
  <c r="P16" i="53"/>
  <c r="P24" i="53"/>
  <c r="P26" i="53"/>
  <c r="P32" i="53"/>
  <c r="P42" i="53"/>
  <c r="P40" i="53"/>
  <c r="P14" i="53"/>
  <c r="P18" i="53"/>
  <c r="P33" i="53"/>
  <c r="P17" i="53"/>
  <c r="P6" i="53"/>
  <c r="P12" i="53"/>
  <c r="P30" i="53"/>
  <c r="P34" i="53"/>
  <c r="P22" i="53"/>
  <c r="P29" i="53"/>
  <c r="P20" i="53"/>
  <c r="P36" i="53"/>
  <c r="P41" i="53"/>
  <c r="P9" i="53"/>
  <c r="Q15" i="53"/>
  <c r="Q19" i="53"/>
  <c r="Q7" i="53"/>
  <c r="Q38" i="53"/>
  <c r="Q16" i="53"/>
  <c r="Q33" i="53"/>
  <c r="Q20" i="53"/>
  <c r="Q36" i="53"/>
  <c r="Q27" i="53"/>
  <c r="Q22" i="53"/>
  <c r="Q29" i="53"/>
  <c r="Q10" i="53"/>
  <c r="Q13" i="53"/>
  <c r="Q24" i="53"/>
  <c r="Q17" i="53"/>
  <c r="Q37" i="53"/>
  <c r="Q42" i="53"/>
  <c r="Q39" i="53"/>
  <c r="Q31" i="53"/>
  <c r="Q11" i="53"/>
  <c r="Q26" i="53"/>
  <c r="Q6" i="53"/>
  <c r="Q41" i="53"/>
  <c r="Q32" i="53"/>
  <c r="Q9" i="53"/>
  <c r="Q30" i="53"/>
  <c r="Q23" i="53"/>
  <c r="Q35" i="53"/>
  <c r="Q8" i="53"/>
  <c r="Q12" i="53"/>
  <c r="Q14" i="53"/>
  <c r="Q5" i="53"/>
  <c r="Q25" i="53"/>
  <c r="Q40" i="53"/>
  <c r="Q34" i="53"/>
  <c r="Q28" i="53"/>
  <c r="Q21" i="53"/>
  <c r="Q18" i="53"/>
  <c r="Q3" i="53"/>
  <c r="Q3" i="54"/>
  <c r="D7" i="56" s="1"/>
  <c r="D7" i="63"/>
</calcChain>
</file>

<file path=xl/comments1.xml><?xml version="1.0" encoding="utf-8"?>
<comments xmlns="http://schemas.openxmlformats.org/spreadsheetml/2006/main">
  <authors>
    <author>erik</author>
  </authors>
  <commentList>
    <comment ref="A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<sst xmlns="http://schemas.openxmlformats.org/spreadsheetml/2006/main" count="3060" uniqueCount="343">
  <si>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</si>
  <si>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</si>
  <si>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</si>
  <si>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</si>
  <si>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</si>
  <si>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</si>
  <si>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</si>
  <si>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</si>
  <si>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</si>
  <si>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</si>
  <si>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</si>
  <si>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</si>
  <si>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</si>
  <si>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</si>
  <si>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</si>
  <si>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</si>
  <si>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</si>
  <si>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</si>
  <si>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</si>
  <si>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</si>
  <si>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</si>
  <si>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</si>
  <si>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</si>
  <si>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</si>
  <si>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</si>
  <si>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</si>
  <si>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</si>
  <si>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</si>
  <si>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</si>
  <si>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</si>
  <si>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</si>
  <si>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</si>
  <si>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</si>
  <si>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</si>
  <si>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</si>
  <si>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</si>
  <si>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</si>
  <si>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</si>
  <si>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</si>
  <si>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</si>
  <si>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</si>
  <si>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</si>
  <si>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</si>
  <si>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</si>
  <si>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</si>
  <si>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</si>
  <si>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</si>
  <si>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</si>
  <si>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</si>
  <si>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</si>
  <si>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</si>
  <si>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</si>
  <si>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</si>
  <si>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</si>
  <si>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</si>
  <si>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</si>
  <si>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</si>
  <si>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</si>
  <si>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</si>
  <si>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</si>
  <si>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</si>
  <si>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</si>
  <si>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</si>
  <si>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</si>
  <si>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</si>
  <si>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</si>
  <si>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</si>
  <si>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</si>
  <si>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</si>
  <si>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</si>
  <si>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</si>
  <si>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</si>
  <si>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</si>
  <si>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</si>
  <si>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</si>
  <si>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</si>
  <si>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</si>
  <si>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</si>
  <si>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</si>
  <si>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</si>
  <si>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</si>
  <si>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</si>
  <si>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</si>
  <si>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</si>
  <si>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</si>
  <si>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</si>
  <si>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</si>
  <si>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</si>
  <si>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</si>
  <si>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</si>
  <si>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</si>
  <si>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</si>
  <si>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</si>
  <si>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</si>
  <si>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</si>
  <si>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</si>
  <si>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</si>
  <si>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</si>
  <si>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</si>
  <si>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</si>
  <si>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</si>
  <si>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</si>
  <si>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</si>
  <si>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</si>
  <si>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</si>
  <si>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</si>
  <si>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</si>
  <si>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</si>
  <si>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</si>
  <si>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</si>
  <si>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</si>
  <si>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</si>
  <si>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</si>
  <si>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</si>
  <si>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</si>
  <si>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</si>
  <si>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</si>
  <si>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</si>
  <si>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</si>
  <si>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</si>
  <si>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</si>
  <si>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</si>
  <si>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</si>
  <si>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</si>
  <si>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</si>
  <si>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</si>
  <si>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</si>
  <si>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</si>
  <si>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</si>
  <si>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</si>
  <si>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</si>
  <si>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</si>
  <si>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</si>
  <si>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</si>
  <si>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</si>
  <si>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</si>
  <si>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</si>
  <si>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</si>
  <si>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</si>
  <si>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</si>
  <si>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</si>
  <si>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</si>
  <si>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</si>
  <si>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</si>
  <si>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</si>
  <si>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GENERAL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</si>
  <si>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</si>
  <si>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</si>
  <si>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</si>
  <si>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</si>
  <si>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</si>
  <si>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</si>
  <si>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</si>
  <si>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</si>
  <si>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</si>
  <si>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</si>
  <si>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</si>
  <si>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</si>
  <si>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</si>
  <si>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</si>
  <si>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</si>
  <si>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</si>
  <si>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</si>
  <si>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</si>
  <si>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</si>
  <si>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</si>
  <si>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</si>
  <si>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</si>
  <si>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</si>
  <si>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</si>
  <si>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</si>
  <si>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</si>
  <si>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</si>
  <si>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</si>
  <si>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</si>
  <si>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</si>
  <si>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</si>
  <si>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</si>
  <si>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</si>
  <si>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</si>
  <si>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</si>
  <si>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</si>
  <si>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</si>
  <si>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</si>
  <si>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</si>
  <si>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</si>
  <si>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</si>
  <si>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</si>
  <si>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</si>
  <si>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</si>
  <si>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</si>
  <si>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</si>
  <si>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</si>
  <si>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</si>
  <si>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</si>
  <si>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</si>
  <si>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</si>
  <si>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</si>
  <si>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</si>
  <si>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</si>
  <si>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</si>
  <si>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</si>
  <si>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</si>
  <si>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</si>
  <si>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</si>
  <si>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</si>
  <si>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</si>
  <si>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</si>
  <si>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</si>
  <si>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</si>
  <si>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</si>
  <si>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</si>
  <si>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</si>
  <si>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</si>
  <si>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</si>
  <si>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</si>
  <si>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</si>
  <si>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</si>
  <si>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</si>
  <si>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</si>
  <si>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</si>
  <si>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</si>
  <si>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Additional Settings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</si>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</sst>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3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b/>
      <sz val="1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4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</cellStyleXfs>
  <cellXfs count="561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0" fontId="2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165" fontId="2" fillId="4" borderId="6" xfId="1" quotePrefix="1" applyNumberFormat="1" applyFont="1" applyFill="1" applyBorder="1" applyAlignment="1" applyProtection="1">
      <alignment horizontal="left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11" fillId="2" borderId="0" xfId="2" applyFont="1" applyFill="1"/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14" fillId="2" borderId="0" xfId="11" applyFill="1"/>
    <xf numFmtId="0" fontId="1" fillId="2" borderId="0" xfId="11" applyFont="1" applyFill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14" fillId="3" borderId="3" xfId="1" applyFont="1" applyFill="1" applyBorder="1"/>
    <xf numFmtId="170" fontId="2" fillId="4" borderId="6" xfId="1" applyNumberFormat="1" applyFont="1" applyFill="1" applyBorder="1" applyAlignment="1" applyProtection="1">
      <alignment horizontal="center"/>
    </xf>
    <xf numFmtId="0" fontId="14" fillId="3" borderId="0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0" fontId="7" fillId="6" borderId="13" xfId="2" applyFont="1" applyFill="1" applyBorder="1" applyAlignment="1">
      <alignment horizontal="center"/>
    </xf>
    <xf numFmtId="0" fontId="7" fillId="6" borderId="12" xfId="2" applyFont="1" applyFill="1" applyBorder="1" applyAlignment="1">
      <alignment horizontal="center"/>
    </xf>
    <xf numFmtId="0" fontId="7" fillId="6" borderId="11" xfId="2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0" fontId="7" fillId="6" borderId="13" xfId="11" applyFont="1" applyFill="1" applyBorder="1" applyAlignment="1">
      <alignment horizontal="center"/>
    </xf>
    <xf numFmtId="0" fontId="7" fillId="6" borderId="12" xfId="11" applyFont="1" applyFill="1" applyBorder="1" applyAlignment="1">
      <alignment horizontal="center"/>
    </xf>
    <xf numFmtId="0" fontId="7" fillId="6" borderId="11" xfId="1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7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2" fontId="5" fillId="0" borderId="0" xfId="1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0" fontId="1" fillId="0" borderId="6" xfId="1" applyBorder="1" applyAlignment="1">
      <alignment horizontal="center" vertical="center" wrapText="1"/>
    </xf>
    <xf numFmtId="169" fontId="10" fillId="0" borderId="16" xfId="4" applyNumberFormat="1" applyFont="1" applyFill="1" applyBorder="1" applyAlignment="1">
      <alignment horizontal="center" vertical="center" wrapText="1"/>
    </xf>
    <xf numFmtId="172" fontId="10" fillId="0" borderId="6" xfId="4" applyNumberFormat="1" applyFont="1" applyFill="1" applyBorder="1" applyAlignment="1">
      <alignment horizontal="center" vertical="center" wrapText="1"/>
    </xf>
    <xf numFmtId="2" fontId="1" fillId="0" borderId="0" xfId="1" applyNumberFormat="1"/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8" xfId="1" applyFont="1" applyBorder="1"/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170" fontId="5" fillId="0" borderId="0" xfId="1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1" fillId="0" borderId="0" xfId="1" applyNumberFormat="1"/>
    <xf numFmtId="0" fontId="5" fillId="3" borderId="24" xfId="1" applyFont="1" applyFill="1" applyBorder="1" applyAlignment="1">
      <alignment horizontal="center"/>
    </xf>
    <xf numFmtId="0" fontId="1" fillId="3" borderId="0" xfId="1" applyFill="1"/>
    <xf numFmtId="0" fontId="1" fillId="9" borderId="0" xfId="1" applyFill="1"/>
    <xf numFmtId="0" fontId="5" fillId="9" borderId="0" xfId="1" applyFont="1" applyFill="1" applyBorder="1"/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2"/>
    <xf numFmtId="0" fontId="14" fillId="3" borderId="0" xfId="12" applyFill="1"/>
    <xf numFmtId="0" fontId="14" fillId="3" borderId="1" xfId="12" quotePrefix="1" applyFill="1" applyBorder="1"/>
    <xf numFmtId="0" fontId="14" fillId="3" borderId="2" xfId="12" quotePrefix="1" applyFill="1" applyBorder="1"/>
    <xf numFmtId="0" fontId="14" fillId="3" borderId="3" xfId="12" applyFill="1" applyBorder="1"/>
    <xf numFmtId="0" fontId="14" fillId="3" borderId="4" xfId="12" applyFill="1" applyBorder="1"/>
    <xf numFmtId="0" fontId="14" fillId="3" borderId="0" xfId="12" applyFill="1" applyBorder="1"/>
    <xf numFmtId="0" fontId="14" fillId="3" borderId="7" xfId="12" applyFill="1" applyBorder="1"/>
    <xf numFmtId="14" fontId="14" fillId="3" borderId="0" xfId="12" applyNumberFormat="1" applyFill="1"/>
    <xf numFmtId="177" fontId="14" fillId="3" borderId="0" xfId="12" applyNumberFormat="1" applyFill="1"/>
    <xf numFmtId="0" fontId="14" fillId="3" borderId="8" xfId="12" applyFill="1" applyBorder="1"/>
    <xf numFmtId="0" fontId="14" fillId="3" borderId="9" xfId="12" applyFill="1" applyBorder="1"/>
    <xf numFmtId="0" fontId="14" fillId="3" borderId="10" xfId="12" applyFill="1" applyBorder="1"/>
    <xf numFmtId="169" fontId="30" fillId="3" borderId="0" xfId="13" applyNumberFormat="1" applyFont="1" applyFill="1"/>
    <xf numFmtId="0" fontId="30" fillId="3" borderId="0" xfId="12" applyFont="1" applyFill="1" applyAlignment="1">
      <alignment horizontal="left"/>
    </xf>
    <xf numFmtId="0" fontId="14" fillId="2" borderId="1" xfId="12" applyFill="1" applyBorder="1"/>
    <xf numFmtId="0" fontId="14" fillId="2" borderId="2" xfId="12" applyFill="1" applyBorder="1"/>
    <xf numFmtId="169" fontId="30" fillId="2" borderId="2" xfId="13" applyNumberFormat="1" applyFont="1" applyFill="1" applyBorder="1"/>
    <xf numFmtId="0" fontId="30" fillId="2" borderId="2" xfId="12" applyFont="1" applyFill="1" applyBorder="1" applyAlignment="1">
      <alignment horizontal="left"/>
    </xf>
    <xf numFmtId="0" fontId="14" fillId="2" borderId="3" xfId="12" applyFill="1" applyBorder="1"/>
    <xf numFmtId="0" fontId="14" fillId="2" borderId="4" xfId="12" applyFill="1" applyBorder="1"/>
    <xf numFmtId="170" fontId="5" fillId="0" borderId="14" xfId="13" applyNumberFormat="1" applyFont="1" applyFill="1" applyBorder="1" applyAlignment="1">
      <alignment horizontal="center"/>
    </xf>
    <xf numFmtId="170" fontId="5" fillId="0" borderId="15" xfId="13" applyNumberFormat="1" applyFont="1" applyFill="1" applyBorder="1" applyAlignment="1"/>
    <xf numFmtId="170" fontId="5" fillId="0" borderId="18" xfId="13" applyNumberFormat="1" applyFont="1" applyFill="1" applyBorder="1" applyAlignment="1"/>
    <xf numFmtId="170" fontId="5" fillId="0" borderId="19" xfId="13" applyNumberFormat="1" applyFont="1" applyFill="1" applyBorder="1" applyAlignment="1"/>
    <xf numFmtId="0" fontId="14" fillId="2" borderId="0" xfId="12" applyFill="1" applyBorder="1" applyAlignment="1"/>
    <xf numFmtId="0" fontId="14" fillId="0" borderId="15" xfId="12" applyBorder="1" applyAlignment="1"/>
    <xf numFmtId="169" fontId="5" fillId="0" borderId="18" xfId="13" applyNumberFormat="1" applyFont="1" applyFill="1" applyBorder="1" applyAlignment="1"/>
    <xf numFmtId="178" fontId="5" fillId="0" borderId="18" xfId="13" applyNumberFormat="1" applyFont="1" applyFill="1" applyBorder="1" applyAlignment="1"/>
    <xf numFmtId="170" fontId="10" fillId="0" borderId="19" xfId="13" applyNumberFormat="1" applyFont="1" applyFill="1" applyBorder="1" applyAlignment="1"/>
    <xf numFmtId="0" fontId="14" fillId="2" borderId="7" xfId="12" applyFill="1" applyBorder="1"/>
    <xf numFmtId="170" fontId="5" fillId="0" borderId="26" xfId="13" applyNumberFormat="1" applyFont="1" applyFill="1" applyBorder="1" applyAlignment="1">
      <alignment horizontal="center"/>
    </xf>
    <xf numFmtId="170" fontId="5" fillId="0" borderId="20" xfId="13" applyNumberFormat="1" applyFont="1" applyFill="1" applyBorder="1" applyAlignment="1"/>
    <xf numFmtId="170" fontId="5" fillId="0" borderId="0" xfId="13" applyNumberFormat="1" applyFont="1" applyFill="1" applyBorder="1" applyAlignment="1"/>
    <xf numFmtId="170" fontId="5" fillId="0" borderId="21" xfId="13" applyNumberFormat="1" applyFont="1" applyFill="1" applyBorder="1" applyAlignment="1"/>
    <xf numFmtId="0" fontId="14" fillId="0" borderId="20" xfId="12" applyBorder="1" applyAlignment="1"/>
    <xf numFmtId="169" fontId="5" fillId="0" borderId="0" xfId="13" applyNumberFormat="1" applyFont="1" applyFill="1" applyBorder="1" applyAlignment="1"/>
    <xf numFmtId="178" fontId="5" fillId="0" borderId="0" xfId="13" applyNumberFormat="1" applyFont="1" applyFill="1" applyBorder="1" applyAlignment="1"/>
    <xf numFmtId="170" fontId="10" fillId="0" borderId="21" xfId="13" applyNumberFormat="1" applyFont="1" applyFill="1" applyBorder="1" applyAlignment="1"/>
    <xf numFmtId="170" fontId="5" fillId="0" borderId="25" xfId="13" applyNumberFormat="1" applyFont="1" applyFill="1" applyBorder="1" applyAlignment="1">
      <alignment horizontal="center"/>
    </xf>
    <xf numFmtId="170" fontId="5" fillId="0" borderId="22" xfId="13" applyNumberFormat="1" applyFont="1" applyFill="1" applyBorder="1" applyAlignment="1"/>
    <xf numFmtId="170" fontId="5" fillId="0" borderId="23" xfId="13" applyNumberFormat="1" applyFont="1" applyFill="1" applyBorder="1" applyAlignment="1"/>
    <xf numFmtId="170" fontId="5" fillId="0" borderId="24" xfId="13" applyNumberFormat="1" applyFont="1" applyFill="1" applyBorder="1" applyAlignment="1"/>
    <xf numFmtId="0" fontId="14" fillId="0" borderId="22" xfId="12" applyBorder="1" applyAlignment="1"/>
    <xf numFmtId="169" fontId="5" fillId="0" borderId="23" xfId="13" applyNumberFormat="1" applyFont="1" applyFill="1" applyBorder="1" applyAlignment="1"/>
    <xf numFmtId="178" fontId="5" fillId="0" borderId="23" xfId="13" applyNumberFormat="1" applyFont="1" applyFill="1" applyBorder="1" applyAlignment="1"/>
    <xf numFmtId="170" fontId="10" fillId="0" borderId="24" xfId="13" applyNumberFormat="1" applyFont="1" applyFill="1" applyBorder="1" applyAlignment="1"/>
    <xf numFmtId="170" fontId="10" fillId="0" borderId="5" xfId="13" applyNumberFormat="1" applyFont="1" applyFill="1" applyBorder="1" applyAlignment="1">
      <alignment horizontal="center" vertical="center" wrapText="1"/>
    </xf>
    <xf numFmtId="170" fontId="10" fillId="0" borderId="6" xfId="13" applyNumberFormat="1" applyFont="1" applyFill="1" applyBorder="1" applyAlignment="1">
      <alignment horizontal="center" vertical="center" wrapText="1"/>
    </xf>
    <xf numFmtId="170" fontId="10" fillId="0" borderId="17" xfId="13" applyNumberFormat="1" applyFont="1" applyFill="1" applyBorder="1" applyAlignment="1">
      <alignment horizontal="center" vertical="center" wrapText="1"/>
    </xf>
    <xf numFmtId="170" fontId="10" fillId="0" borderId="16" xfId="13" applyNumberFormat="1" applyFont="1" applyFill="1" applyBorder="1" applyAlignment="1">
      <alignment horizontal="center" vertical="center" wrapText="1"/>
    </xf>
    <xf numFmtId="0" fontId="14" fillId="2" borderId="0" xfId="12" applyFill="1" applyBorder="1"/>
    <xf numFmtId="0" fontId="14" fillId="2" borderId="8" xfId="12" applyFill="1" applyBorder="1"/>
    <xf numFmtId="0" fontId="14" fillId="2" borderId="9" xfId="12" applyFill="1" applyBorder="1"/>
    <xf numFmtId="170" fontId="14" fillId="2" borderId="9" xfId="12" applyNumberFormat="1" applyFill="1" applyBorder="1"/>
    <xf numFmtId="0" fontId="31" fillId="2" borderId="9" xfId="12" applyFont="1" applyFill="1" applyBorder="1"/>
    <xf numFmtId="0" fontId="30" fillId="2" borderId="9" xfId="12" applyFont="1" applyFill="1" applyBorder="1"/>
    <xf numFmtId="0" fontId="30" fillId="2" borderId="9" xfId="12" applyFont="1" applyFill="1" applyBorder="1" applyAlignment="1">
      <alignment horizontal="left"/>
    </xf>
    <xf numFmtId="0" fontId="31" fillId="2" borderId="9" xfId="12" applyFont="1" applyFill="1" applyBorder="1" applyAlignment="1">
      <alignment horizontal="center"/>
    </xf>
    <xf numFmtId="0" fontId="14" fillId="2" borderId="10" xfId="12" applyFill="1" applyBorder="1"/>
    <xf numFmtId="0" fontId="30" fillId="3" borderId="0" xfId="12" applyFont="1" applyFill="1"/>
    <xf numFmtId="0" fontId="14" fillId="3" borderId="1" xfId="12" applyFill="1" applyBorder="1"/>
    <xf numFmtId="0" fontId="14" fillId="3" borderId="2" xfId="12" applyFill="1" applyBorder="1"/>
    <xf numFmtId="170" fontId="5" fillId="0" borderId="14" xfId="13" applyNumberFormat="1" applyFont="1" applyFill="1" applyBorder="1" applyAlignment="1"/>
    <xf numFmtId="170" fontId="5" fillId="0" borderId="26" xfId="13" applyNumberFormat="1" applyFont="1" applyFill="1" applyBorder="1" applyAlignment="1"/>
    <xf numFmtId="0" fontId="14" fillId="3" borderId="4" xfId="12" quotePrefix="1" applyFill="1" applyBorder="1"/>
    <xf numFmtId="0" fontId="14" fillId="3" borderId="0" xfId="12" quotePrefix="1" applyFill="1" applyBorder="1"/>
    <xf numFmtId="0" fontId="14" fillId="3" borderId="8" xfId="12" quotePrefix="1" applyFill="1" applyBorder="1"/>
    <xf numFmtId="0" fontId="14" fillId="3" borderId="9" xfId="12" quotePrefix="1" applyFill="1" applyBorder="1"/>
    <xf numFmtId="0" fontId="5" fillId="0" borderId="0" xfId="13" applyNumberFormat="1" applyFont="1" applyFill="1" applyBorder="1" applyAlignment="1"/>
    <xf numFmtId="0" fontId="5" fillId="0" borderId="23" xfId="13" applyNumberFormat="1" applyFont="1" applyFill="1" applyBorder="1" applyAlignment="1"/>
    <xf numFmtId="10" fontId="0" fillId="3" borderId="0" xfId="13" applyNumberFormat="1" applyFont="1" applyFill="1"/>
    <xf numFmtId="170" fontId="0" fillId="3" borderId="0" xfId="13" applyNumberFormat="1" applyFont="1" applyFill="1"/>
    <xf numFmtId="0" fontId="5" fillId="3" borderId="0" xfId="12" applyFont="1" applyFill="1"/>
    <xf numFmtId="0" fontId="5" fillId="9" borderId="0" xfId="12" applyFont="1" applyFill="1"/>
    <xf numFmtId="0" fontId="5" fillId="9" borderId="0" xfId="12" applyFont="1" applyFill="1" applyBorder="1"/>
    <xf numFmtId="0" fontId="5" fillId="0" borderId="0" xfId="12" applyFont="1"/>
    <xf numFmtId="0" fontId="5" fillId="3" borderId="1" xfId="12" applyFont="1" applyFill="1" applyBorder="1"/>
    <xf numFmtId="0" fontId="5" fillId="3" borderId="2" xfId="12" applyFont="1" applyFill="1" applyBorder="1"/>
    <xf numFmtId="0" fontId="11" fillId="3" borderId="3" xfId="12" applyFont="1" applyFill="1" applyBorder="1"/>
    <xf numFmtId="0" fontId="5" fillId="3" borderId="4" xfId="12" applyFont="1" applyFill="1" applyBorder="1"/>
    <xf numFmtId="0" fontId="5" fillId="3" borderId="15" xfId="12" applyFont="1" applyFill="1" applyBorder="1" applyAlignment="1">
      <alignment horizontal="center"/>
    </xf>
    <xf numFmtId="0" fontId="5" fillId="2" borderId="14" xfId="12" applyFont="1" applyFill="1" applyBorder="1"/>
    <xf numFmtId="0" fontId="11" fillId="3" borderId="7" xfId="12" applyFont="1" applyFill="1" applyBorder="1"/>
    <xf numFmtId="176" fontId="5" fillId="3" borderId="20" xfId="12" applyNumberFormat="1" applyFont="1" applyFill="1" applyBorder="1" applyAlignment="1">
      <alignment horizontal="center"/>
    </xf>
    <xf numFmtId="0" fontId="5" fillId="2" borderId="26" xfId="12" applyFont="1" applyFill="1" applyBorder="1"/>
    <xf numFmtId="172" fontId="5" fillId="0" borderId="20" xfId="13" applyNumberFormat="1" applyFont="1" applyFill="1" applyBorder="1" applyAlignment="1">
      <alignment horizontal="center"/>
    </xf>
    <xf numFmtId="0" fontId="5" fillId="3" borderId="22" xfId="12" applyFont="1" applyFill="1" applyBorder="1" applyAlignment="1">
      <alignment horizontal="center"/>
    </xf>
    <xf numFmtId="0" fontId="5" fillId="2" borderId="25" xfId="12" applyFont="1" applyFill="1" applyBorder="1"/>
    <xf numFmtId="0" fontId="11" fillId="3" borderId="32" xfId="12" applyFont="1" applyFill="1" applyBorder="1"/>
    <xf numFmtId="0" fontId="11" fillId="3" borderId="23" xfId="12" applyFont="1" applyFill="1" applyBorder="1"/>
    <xf numFmtId="0" fontId="11" fillId="3" borderId="33" xfId="12" applyFont="1" applyFill="1" applyBorder="1"/>
    <xf numFmtId="0" fontId="14" fillId="0" borderId="11" xfId="12" applyBorder="1" applyAlignment="1">
      <alignment horizontal="center"/>
    </xf>
    <xf numFmtId="0" fontId="14" fillId="0" borderId="12" xfId="12" applyBorder="1" applyAlignment="1">
      <alignment horizontal="center"/>
    </xf>
    <xf numFmtId="0" fontId="32" fillId="6" borderId="13" xfId="12" applyFont="1" applyFill="1" applyBorder="1" applyAlignment="1">
      <alignment horizontal="center"/>
    </xf>
    <xf numFmtId="0" fontId="11" fillId="9" borderId="0" xfId="12" applyFont="1" applyFill="1"/>
    <xf numFmtId="0" fontId="5" fillId="9" borderId="0" xfId="12" applyFont="1" applyFill="1" applyAlignment="1">
      <alignment horizontal="left"/>
    </xf>
    <xf numFmtId="0" fontId="5" fillId="10" borderId="0" xfId="12" applyFont="1" applyFill="1" applyAlignment="1">
      <alignment horizontal="left"/>
    </xf>
  </cellXfs>
  <cellStyles count="14">
    <cellStyle name="Migliaia (0)_AZIONI" xfId="5"/>
    <cellStyle name="Migliaia_AZIONI" xfId="6"/>
    <cellStyle name="Normal" xfId="0" builtinId="0"/>
    <cellStyle name="Normal 2" xfId="1"/>
    <cellStyle name="Normal 3" xfId="12"/>
    <cellStyle name="Normal_SwaptionATMVols" xfId="2"/>
    <cellStyle name="Normal_SwaptionATMVols 2" xfId="11"/>
    <cellStyle name="Normale_AZIONI" xfId="7"/>
    <cellStyle name="Percent 2" xfId="4"/>
    <cellStyle name="Percent 3" xfId="10"/>
    <cellStyle name="Percent 4" xfId="13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333375</xdr:colOff>
          <xdr:row>18</xdr:row>
          <xdr:rowOff>57150</xdr:rowOff>
        </xdr:from>
        <xdr:ext cx="1381125" cy="314325"/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20</xdr:row>
          <xdr:rowOff>123825</xdr:rowOff>
        </xdr:from>
        <xdr:ext cx="1381125" cy="314325"/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Workbooks/MarketData/ReutersFeed/USD_InterestRateQuotesFe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ialTriggers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AJ56"/>
  <sheetViews>
    <sheetView workbookViewId="0"/>
  </sheetViews>
  <sheetFormatPr defaultRowHeight="12.75" x14ac:dyDescent="0.2"/>
  <cols>
    <col min="1" max="1" width="3" style="433" customWidth="1"/>
    <col min="2" max="2" width="5.140625" style="433" customWidth="1"/>
    <col min="3" max="3" width="14.85546875" style="433" bestFit="1" customWidth="1"/>
    <col min="4" max="4" width="21.42578125" style="433" bestFit="1" customWidth="1"/>
    <col min="5" max="5" width="20.7109375" style="433" bestFit="1" customWidth="1"/>
    <col min="6" max="6" width="5.42578125" style="433" customWidth="1"/>
    <col min="7" max="16384" width="9.140625" style="433"/>
  </cols>
  <sheetData>
    <row r="1" spans="1:36" s="434" customFormat="1" ht="13.5" thickBot="1" x14ac:dyDescent="0.25">
      <c r="A1" s="434" t="s">
        <v>315</v>
      </c>
      <c r="B1" s="434" t="str">
        <f>_xll.qlxlVersion(TRUE,Trigger)</f>
        <v>QuantLibXL 1.3.0 - MS VC++ 9.0 - Multithreaded Static Runtime library - Release Configuration - Dec  5 2013 11:03:51</v>
      </c>
    </row>
    <row r="2" spans="1:36" s="434" customFormat="1" ht="15.75" x14ac:dyDescent="0.25">
      <c r="B2" s="269" t="s">
        <v>314</v>
      </c>
      <c r="C2" s="270"/>
      <c r="D2" s="270"/>
      <c r="E2" s="270"/>
      <c r="F2" s="271"/>
    </row>
    <row r="3" spans="1:36" s="20" customFormat="1" x14ac:dyDescent="0.2">
      <c r="A3" s="434"/>
      <c r="B3" s="440"/>
      <c r="C3" s="462"/>
      <c r="D3" s="462"/>
      <c r="E3" s="462"/>
      <c r="F3" s="461"/>
      <c r="G3" s="434"/>
      <c r="H3" s="434"/>
      <c r="I3" s="434"/>
      <c r="J3" s="434"/>
      <c r="K3" s="434"/>
      <c r="L3" s="434"/>
      <c r="M3" s="434"/>
      <c r="N3" s="434"/>
      <c r="O3" s="434"/>
      <c r="P3" s="434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4"/>
      <c r="AD3" s="434"/>
      <c r="AE3" s="434"/>
      <c r="AF3" s="434"/>
      <c r="AG3" s="434"/>
      <c r="AH3" s="434"/>
      <c r="AI3" s="434"/>
      <c r="AJ3" s="434"/>
    </row>
    <row r="4" spans="1:36" s="20" customFormat="1" x14ac:dyDescent="0.2">
      <c r="A4" s="434"/>
      <c r="B4" s="440"/>
      <c r="C4" s="460" t="s">
        <v>20</v>
      </c>
      <c r="D4" s="459" t="s">
        <v>122</v>
      </c>
      <c r="E4" s="450"/>
      <c r="F4" s="442"/>
      <c r="G4" s="434"/>
      <c r="H4" s="434"/>
      <c r="I4" s="434"/>
      <c r="J4" s="434"/>
      <c r="K4" s="434"/>
      <c r="L4" s="434"/>
      <c r="M4" s="434"/>
      <c r="N4" s="434"/>
      <c r="O4" s="434"/>
      <c r="P4" s="434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34"/>
      <c r="AC4" s="434"/>
      <c r="AD4" s="434"/>
      <c r="AE4" s="434"/>
      <c r="AF4" s="434"/>
      <c r="AG4" s="434"/>
      <c r="AH4" s="434"/>
      <c r="AI4" s="434"/>
      <c r="AJ4" s="434"/>
    </row>
    <row r="5" spans="1:36" s="20" customFormat="1" x14ac:dyDescent="0.2">
      <c r="A5" s="434"/>
      <c r="B5" s="440"/>
      <c r="C5" s="456" t="s">
        <v>26</v>
      </c>
      <c r="D5" s="458">
        <v>41570.845069444447</v>
      </c>
      <c r="E5" s="450"/>
      <c r="F5" s="442"/>
      <c r="G5" s="434"/>
      <c r="H5" s="434"/>
      <c r="I5" s="434"/>
      <c r="J5" s="434"/>
      <c r="K5" s="434"/>
      <c r="L5" s="434"/>
      <c r="M5" s="434"/>
      <c r="N5" s="434"/>
      <c r="O5" s="434"/>
      <c r="P5" s="434"/>
      <c r="Q5" s="434"/>
      <c r="R5" s="434"/>
      <c r="S5" s="434"/>
      <c r="T5" s="434"/>
      <c r="U5" s="434"/>
      <c r="V5" s="434"/>
      <c r="W5" s="434"/>
      <c r="X5" s="434"/>
      <c r="Y5" s="434"/>
      <c r="Z5" s="434"/>
      <c r="AA5" s="434"/>
      <c r="AB5" s="434"/>
      <c r="AC5" s="434"/>
      <c r="AD5" s="434"/>
      <c r="AE5" s="434"/>
      <c r="AF5" s="434"/>
      <c r="AG5" s="434"/>
      <c r="AH5" s="434"/>
      <c r="AI5" s="434"/>
      <c r="AJ5" s="434"/>
    </row>
    <row r="6" spans="1:36" s="20" customFormat="1" x14ac:dyDescent="0.2">
      <c r="A6" s="434"/>
      <c r="B6" s="440"/>
      <c r="C6" s="456" t="s">
        <v>313</v>
      </c>
      <c r="D6" s="457" t="s">
        <v>312</v>
      </c>
      <c r="E6" s="450"/>
      <c r="F6" s="442"/>
      <c r="G6" s="434"/>
      <c r="H6" s="434"/>
      <c r="I6" s="434"/>
      <c r="J6" s="434"/>
      <c r="K6" s="434"/>
      <c r="L6" s="434"/>
      <c r="M6" s="434"/>
      <c r="N6" s="434"/>
      <c r="O6" s="434"/>
      <c r="P6" s="434"/>
      <c r="Q6" s="434"/>
      <c r="R6" s="434"/>
      <c r="S6" s="434"/>
      <c r="T6" s="434"/>
      <c r="U6" s="434"/>
      <c r="V6" s="434"/>
      <c r="W6" s="434"/>
      <c r="X6" s="434"/>
      <c r="Y6" s="434"/>
      <c r="Z6" s="434"/>
      <c r="AA6" s="434"/>
      <c r="AB6" s="434"/>
      <c r="AC6" s="434"/>
      <c r="AD6" s="434"/>
      <c r="AE6" s="434"/>
      <c r="AF6" s="434"/>
      <c r="AG6" s="434"/>
      <c r="AH6" s="434"/>
      <c r="AI6" s="434"/>
      <c r="AJ6" s="434"/>
    </row>
    <row r="7" spans="1:36" s="20" customFormat="1" x14ac:dyDescent="0.2">
      <c r="A7" s="434"/>
      <c r="B7" s="440"/>
      <c r="C7" s="456" t="s">
        <v>311</v>
      </c>
      <c r="D7" s="455">
        <f>_xll.ohTrigger('Deposits (2)'!J3,'FRA (2)'!Q3,'Futures3M (2)'!R4,FuturesConvexityAdjustment!L3,Swap1M!Q3,'Swap3M (2)'!Q3,SwapIMMDated!Q3,'Swap6M (2)'!Q3,'BasisSwap1MXM (2)'!Q3,'BasisSwap3M6M (2)'!Q3,'BasisSwapXM12M (2)'!Q3,EONIAOIS!Q3)</f>
        <v>8</v>
      </c>
      <c r="E7" s="450"/>
      <c r="F7" s="442"/>
      <c r="G7" s="434"/>
      <c r="H7" s="434"/>
      <c r="I7" s="434"/>
      <c r="J7" s="434"/>
      <c r="K7" s="434"/>
      <c r="L7" s="434"/>
      <c r="M7" s="434"/>
      <c r="N7" s="434"/>
      <c r="O7" s="434"/>
      <c r="P7" s="434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  <c r="AE7" s="434"/>
      <c r="AF7" s="434"/>
      <c r="AG7" s="434"/>
      <c r="AH7" s="434"/>
      <c r="AI7" s="434"/>
      <c r="AJ7" s="434"/>
    </row>
    <row r="8" spans="1:36" s="20" customFormat="1" x14ac:dyDescent="0.2">
      <c r="A8" s="434"/>
      <c r="B8" s="440"/>
      <c r="C8" s="454" t="s">
        <v>310</v>
      </c>
      <c r="D8" s="453" t="s">
        <v>309</v>
      </c>
      <c r="E8" s="450"/>
      <c r="F8" s="442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4"/>
      <c r="W8" s="434"/>
      <c r="X8" s="434"/>
      <c r="Y8" s="434"/>
      <c r="Z8" s="434"/>
      <c r="AA8" s="434"/>
      <c r="AB8" s="434"/>
      <c r="AC8" s="434"/>
      <c r="AD8" s="434"/>
      <c r="AE8" s="434"/>
      <c r="AF8" s="434"/>
      <c r="AG8" s="434"/>
      <c r="AH8" s="434"/>
      <c r="AI8" s="434"/>
      <c r="AJ8" s="434"/>
    </row>
    <row r="9" spans="1:36" s="20" customFormat="1" x14ac:dyDescent="0.2">
      <c r="A9" s="434"/>
      <c r="B9" s="440"/>
      <c r="C9" s="450"/>
      <c r="D9" s="391"/>
      <c r="E9" s="450"/>
      <c r="F9" s="442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  <c r="AE9" s="434"/>
      <c r="AF9" s="434"/>
      <c r="AG9" s="434"/>
      <c r="AH9" s="434"/>
      <c r="AI9" s="434"/>
      <c r="AJ9" s="434"/>
    </row>
    <row r="10" spans="1:36" s="20" customFormat="1" x14ac:dyDescent="0.2">
      <c r="A10" s="434"/>
      <c r="B10" s="440"/>
      <c r="C10" s="452" t="s">
        <v>261</v>
      </c>
      <c r="D10" s="451" t="s">
        <v>308</v>
      </c>
      <c r="E10" s="450"/>
      <c r="F10" s="442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  <c r="AE10" s="434"/>
      <c r="AF10" s="434"/>
      <c r="AG10" s="434"/>
      <c r="AH10" s="434"/>
      <c r="AI10" s="434"/>
      <c r="AJ10" s="434"/>
    </row>
    <row r="11" spans="1:36" s="20" customFormat="1" x14ac:dyDescent="0.2">
      <c r="A11" s="434"/>
      <c r="B11" s="440"/>
      <c r="C11" s="449" t="s">
        <v>250</v>
      </c>
      <c r="D11" s="448" t="str">
        <f>""</f>
        <v/>
      </c>
      <c r="E11" s="450"/>
      <c r="F11" s="442"/>
      <c r="G11" s="434"/>
      <c r="H11" s="434"/>
      <c r="I11" s="434"/>
      <c r="J11" s="434"/>
      <c r="K11" s="434"/>
      <c r="L11" s="434"/>
      <c r="M11" s="434"/>
      <c r="N11" s="434"/>
      <c r="O11" s="434"/>
      <c r="P11" s="434"/>
      <c r="Q11" s="434"/>
      <c r="R11" s="434"/>
      <c r="S11" s="434"/>
      <c r="T11" s="434"/>
      <c r="U11" s="434"/>
      <c r="V11" s="434"/>
      <c r="W11" s="434"/>
      <c r="X11" s="434"/>
      <c r="Y11" s="434"/>
      <c r="Z11" s="434"/>
      <c r="AA11" s="434"/>
      <c r="AB11" s="434"/>
      <c r="AC11" s="434"/>
      <c r="AD11" s="434"/>
      <c r="AE11" s="434"/>
      <c r="AF11" s="434"/>
      <c r="AG11" s="434"/>
      <c r="AH11" s="434"/>
      <c r="AI11" s="434"/>
      <c r="AJ11" s="434"/>
    </row>
    <row r="12" spans="1:36" s="20" customFormat="1" x14ac:dyDescent="0.2">
      <c r="A12" s="434"/>
      <c r="B12" s="440"/>
      <c r="C12" s="449" t="s">
        <v>237</v>
      </c>
      <c r="D12" s="448" t="s">
        <v>249</v>
      </c>
      <c r="E12" s="445"/>
      <c r="F12" s="442"/>
      <c r="G12" s="434"/>
      <c r="H12" s="434"/>
      <c r="I12" s="434"/>
      <c r="J12" s="434"/>
      <c r="K12" s="434"/>
      <c r="L12" s="434"/>
      <c r="M12" s="434"/>
      <c r="N12" s="434"/>
      <c r="O12" s="434"/>
      <c r="P12" s="434"/>
      <c r="Q12" s="434"/>
      <c r="R12" s="434"/>
      <c r="S12" s="434"/>
      <c r="T12" s="434"/>
      <c r="U12" s="434"/>
      <c r="V12" s="434"/>
      <c r="W12" s="434"/>
      <c r="X12" s="434"/>
      <c r="Y12" s="434"/>
      <c r="Z12" s="434"/>
      <c r="AA12" s="434"/>
      <c r="AB12" s="434"/>
      <c r="AC12" s="434"/>
      <c r="AD12" s="434"/>
      <c r="AE12" s="434"/>
      <c r="AF12" s="434"/>
      <c r="AG12" s="434"/>
      <c r="AH12" s="434"/>
      <c r="AI12" s="434"/>
      <c r="AJ12" s="434"/>
    </row>
    <row r="13" spans="1:36" s="20" customFormat="1" x14ac:dyDescent="0.2">
      <c r="A13" s="434"/>
      <c r="B13" s="440"/>
      <c r="C13" s="449" t="s">
        <v>248</v>
      </c>
      <c r="D13" s="448" t="s">
        <v>248</v>
      </c>
      <c r="E13" s="445"/>
      <c r="F13" s="442"/>
      <c r="G13" s="434"/>
      <c r="H13" s="434"/>
      <c r="I13" s="434"/>
      <c r="J13" s="434"/>
      <c r="K13" s="434"/>
      <c r="L13" s="434"/>
      <c r="M13" s="434"/>
      <c r="N13" s="434"/>
      <c r="O13" s="434"/>
      <c r="P13" s="434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  <c r="AE13" s="434"/>
      <c r="AF13" s="434"/>
      <c r="AG13" s="434"/>
      <c r="AH13" s="434"/>
      <c r="AI13" s="434"/>
      <c r="AJ13" s="434"/>
    </row>
    <row r="14" spans="1:36" s="20" customFormat="1" x14ac:dyDescent="0.2">
      <c r="A14" s="434"/>
      <c r="B14" s="440"/>
      <c r="C14" s="449" t="s">
        <v>246</v>
      </c>
      <c r="D14" s="448" t="s">
        <v>245</v>
      </c>
      <c r="E14" s="445"/>
      <c r="F14" s="442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Z14" s="434"/>
      <c r="AA14" s="434"/>
      <c r="AB14" s="434"/>
      <c r="AC14" s="434"/>
      <c r="AD14" s="434"/>
      <c r="AE14" s="434"/>
      <c r="AF14" s="434"/>
      <c r="AG14" s="434"/>
      <c r="AH14" s="434"/>
      <c r="AI14" s="434"/>
      <c r="AJ14" s="434"/>
    </row>
    <row r="15" spans="1:36" s="20" customFormat="1" x14ac:dyDescent="0.2">
      <c r="A15" s="434"/>
      <c r="B15" s="440"/>
      <c r="C15" s="449" t="s">
        <v>244</v>
      </c>
      <c r="D15" s="448" t="s">
        <v>243</v>
      </c>
      <c r="E15" s="445"/>
      <c r="F15" s="442"/>
      <c r="G15" s="434"/>
      <c r="H15" s="434"/>
      <c r="I15" s="434"/>
      <c r="J15" s="434"/>
      <c r="K15" s="434"/>
      <c r="L15" s="434"/>
      <c r="M15" s="434"/>
      <c r="N15" s="434"/>
      <c r="O15" s="434"/>
      <c r="P15" s="434"/>
      <c r="Q15" s="434"/>
      <c r="R15" s="434"/>
      <c r="S15" s="434"/>
      <c r="T15" s="434"/>
      <c r="U15" s="434"/>
      <c r="V15" s="434"/>
      <c r="W15" s="434"/>
      <c r="X15" s="434"/>
      <c r="Y15" s="434"/>
      <c r="Z15" s="434"/>
      <c r="AA15" s="434"/>
      <c r="AB15" s="434"/>
      <c r="AC15" s="434"/>
      <c r="AD15" s="434"/>
      <c r="AE15" s="434"/>
      <c r="AF15" s="434"/>
      <c r="AG15" s="434"/>
      <c r="AH15" s="434"/>
      <c r="AI15" s="434"/>
      <c r="AJ15" s="434"/>
    </row>
    <row r="16" spans="1:36" s="20" customFormat="1" x14ac:dyDescent="0.2">
      <c r="A16" s="434"/>
      <c r="B16" s="440"/>
      <c r="C16" s="449" t="s">
        <v>242</v>
      </c>
      <c r="D16" s="448" t="s">
        <v>307</v>
      </c>
      <c r="E16" s="445"/>
      <c r="F16" s="442"/>
      <c r="G16" s="434"/>
      <c r="H16" s="434"/>
      <c r="I16" s="434"/>
      <c r="J16" s="434"/>
      <c r="K16" s="434"/>
      <c r="L16" s="434"/>
      <c r="M16" s="434"/>
      <c r="N16" s="434"/>
      <c r="O16" s="434"/>
      <c r="P16" s="434"/>
      <c r="Q16" s="434"/>
      <c r="R16" s="434"/>
      <c r="S16" s="434"/>
      <c r="T16" s="434"/>
      <c r="U16" s="434"/>
      <c r="V16" s="434"/>
      <c r="W16" s="434"/>
      <c r="X16" s="434"/>
      <c r="Y16" s="434"/>
      <c r="Z16" s="434"/>
      <c r="AA16" s="434"/>
      <c r="AB16" s="434"/>
      <c r="AC16" s="434"/>
      <c r="AD16" s="434"/>
      <c r="AE16" s="434"/>
      <c r="AF16" s="434"/>
      <c r="AG16" s="434"/>
      <c r="AH16" s="434"/>
      <c r="AI16" s="434"/>
      <c r="AJ16" s="434"/>
    </row>
    <row r="17" spans="1:36" s="20" customFormat="1" x14ac:dyDescent="0.2">
      <c r="A17" s="434"/>
      <c r="B17" s="440"/>
      <c r="C17" s="447" t="s">
        <v>306</v>
      </c>
      <c r="D17" s="446" t="s">
        <v>305</v>
      </c>
      <c r="E17" s="445"/>
      <c r="F17" s="442"/>
      <c r="G17" s="434"/>
      <c r="H17" s="434"/>
      <c r="I17" s="434"/>
      <c r="J17" s="434"/>
      <c r="K17" s="434"/>
      <c r="L17" s="434"/>
      <c r="M17" s="434"/>
      <c r="N17" s="434"/>
      <c r="O17" s="434"/>
      <c r="P17" s="434"/>
      <c r="Q17" s="434"/>
      <c r="R17" s="434"/>
      <c r="S17" s="434"/>
      <c r="T17" s="434"/>
      <c r="U17" s="434"/>
      <c r="V17" s="434"/>
      <c r="W17" s="434"/>
      <c r="X17" s="434"/>
      <c r="Y17" s="434"/>
      <c r="Z17" s="434"/>
      <c r="AA17" s="434"/>
      <c r="AB17" s="434"/>
      <c r="AC17" s="434"/>
      <c r="AD17" s="434"/>
      <c r="AE17" s="434"/>
      <c r="AF17" s="434"/>
      <c r="AG17" s="434"/>
      <c r="AH17" s="434"/>
      <c r="AI17" s="434"/>
      <c r="AJ17" s="434"/>
    </row>
    <row r="18" spans="1:36" s="20" customFormat="1" x14ac:dyDescent="0.2">
      <c r="A18" s="434"/>
      <c r="B18" s="440"/>
      <c r="C18" s="439"/>
      <c r="D18" s="439"/>
      <c r="E18" s="439"/>
      <c r="F18" s="442"/>
      <c r="G18" s="434"/>
      <c r="H18" s="434"/>
      <c r="I18" s="434"/>
      <c r="J18" s="434"/>
      <c r="K18" s="434"/>
      <c r="L18" s="434"/>
      <c r="M18" s="434"/>
      <c r="N18" s="434"/>
      <c r="O18" s="434"/>
      <c r="P18" s="434"/>
      <c r="Q18" s="434"/>
      <c r="R18" s="434"/>
      <c r="S18" s="434"/>
      <c r="T18" s="434"/>
      <c r="U18" s="434"/>
      <c r="V18" s="434"/>
      <c r="W18" s="434"/>
      <c r="X18" s="434"/>
      <c r="Y18" s="434"/>
      <c r="Z18" s="434"/>
      <c r="AA18" s="434"/>
      <c r="AB18" s="434"/>
      <c r="AC18" s="434"/>
      <c r="AD18" s="434"/>
      <c r="AE18" s="434"/>
      <c r="AF18" s="434"/>
      <c r="AG18" s="434"/>
      <c r="AH18" s="434"/>
      <c r="AI18" s="434"/>
      <c r="AJ18" s="434"/>
    </row>
    <row r="19" spans="1:36" s="20" customFormat="1" x14ac:dyDescent="0.2">
      <c r="A19" s="434"/>
      <c r="B19" s="440"/>
      <c r="C19" s="439"/>
      <c r="D19" s="439"/>
      <c r="E19" s="439"/>
      <c r="F19" s="442"/>
      <c r="G19" s="434"/>
      <c r="H19" s="434"/>
      <c r="I19" s="434"/>
      <c r="J19" s="434"/>
      <c r="K19" s="434"/>
      <c r="L19" s="434"/>
      <c r="M19" s="434"/>
      <c r="N19" s="434"/>
      <c r="O19" s="434"/>
      <c r="P19" s="434"/>
      <c r="Q19" s="434"/>
      <c r="R19" s="434"/>
      <c r="S19" s="434"/>
      <c r="T19" s="434"/>
      <c r="U19" s="434"/>
      <c r="V19" s="434"/>
      <c r="W19" s="434"/>
      <c r="X19" s="434"/>
      <c r="Y19" s="434"/>
      <c r="Z19" s="434"/>
      <c r="AA19" s="434"/>
      <c r="AB19" s="434"/>
      <c r="AC19" s="434"/>
      <c r="AD19" s="434"/>
      <c r="AE19" s="434"/>
      <c r="AF19" s="434"/>
      <c r="AG19" s="434"/>
      <c r="AH19" s="434"/>
      <c r="AI19" s="434"/>
      <c r="AJ19" s="434"/>
    </row>
    <row r="20" spans="1:36" s="20" customFormat="1" x14ac:dyDescent="0.2">
      <c r="A20" s="434"/>
      <c r="B20" s="440"/>
      <c r="C20" s="439"/>
      <c r="D20" s="438" t="s">
        <v>304</v>
      </c>
      <c r="E20" s="444">
        <v>41570.838356481479</v>
      </c>
      <c r="F20" s="49"/>
      <c r="G20" s="434"/>
      <c r="H20" s="434"/>
      <c r="I20" s="434"/>
      <c r="J20" s="434"/>
      <c r="K20" s="434"/>
      <c r="L20" s="434"/>
      <c r="M20" s="434"/>
      <c r="N20" s="434"/>
      <c r="O20" s="434"/>
      <c r="P20" s="434"/>
      <c r="Q20" s="434"/>
      <c r="R20" s="434"/>
      <c r="S20" s="434"/>
      <c r="T20" s="434"/>
      <c r="U20" s="434"/>
      <c r="V20" s="434"/>
      <c r="W20" s="434"/>
      <c r="X20" s="434"/>
      <c r="Y20" s="434"/>
      <c r="Z20" s="434"/>
      <c r="AA20" s="434"/>
      <c r="AB20" s="434"/>
      <c r="AC20" s="434"/>
      <c r="AD20" s="434"/>
      <c r="AE20" s="434"/>
      <c r="AF20" s="434"/>
      <c r="AG20" s="434"/>
      <c r="AH20" s="434"/>
      <c r="AI20" s="434"/>
      <c r="AJ20" s="434"/>
    </row>
    <row r="21" spans="1:36" s="20" customFormat="1" x14ac:dyDescent="0.2">
      <c r="A21" s="434"/>
      <c r="B21" s="440"/>
      <c r="C21" s="439"/>
      <c r="D21" s="443"/>
      <c r="E21" s="441"/>
      <c r="F21" s="442"/>
      <c r="G21" s="434"/>
      <c r="H21" s="434"/>
      <c r="I21" s="434"/>
      <c r="J21" s="434"/>
      <c r="K21" s="434"/>
      <c r="L21" s="434"/>
      <c r="M21" s="434"/>
      <c r="N21" s="434"/>
      <c r="O21" s="434"/>
      <c r="P21" s="434"/>
      <c r="Q21" s="434"/>
      <c r="R21" s="434"/>
      <c r="S21" s="434"/>
      <c r="T21" s="434"/>
      <c r="U21" s="434"/>
      <c r="V21" s="434"/>
      <c r="W21" s="434"/>
      <c r="X21" s="434"/>
      <c r="Y21" s="434"/>
      <c r="Z21" s="434"/>
      <c r="AA21" s="434"/>
      <c r="AB21" s="434"/>
      <c r="AC21" s="434"/>
      <c r="AD21" s="434"/>
      <c r="AE21" s="434"/>
      <c r="AF21" s="434"/>
      <c r="AG21" s="434"/>
      <c r="AH21" s="434"/>
      <c r="AI21" s="434"/>
      <c r="AJ21" s="434"/>
    </row>
    <row r="22" spans="1:36" s="20" customFormat="1" x14ac:dyDescent="0.2">
      <c r="A22" s="434"/>
      <c r="B22" s="440"/>
      <c r="C22" s="439"/>
      <c r="D22" s="438"/>
      <c r="E22" s="441"/>
      <c r="F22" s="49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  <c r="V22" s="434"/>
      <c r="W22" s="434"/>
      <c r="X22" s="434"/>
      <c r="Y22" s="434"/>
      <c r="Z22" s="434"/>
      <c r="AA22" s="434"/>
      <c r="AB22" s="434"/>
      <c r="AC22" s="434"/>
      <c r="AD22" s="434"/>
      <c r="AE22" s="434"/>
      <c r="AF22" s="434"/>
      <c r="AG22" s="434"/>
      <c r="AH22" s="434"/>
      <c r="AI22" s="434"/>
      <c r="AJ22" s="434"/>
    </row>
    <row r="23" spans="1:36" s="20" customFormat="1" x14ac:dyDescent="0.2">
      <c r="A23" s="434"/>
      <c r="B23" s="440"/>
      <c r="C23" s="439"/>
      <c r="D23" s="438" t="s">
        <v>303</v>
      </c>
      <c r="E23" s="437" t="b">
        <v>1</v>
      </c>
      <c r="F23" s="49"/>
      <c r="G23" s="434"/>
      <c r="H23" s="434"/>
      <c r="I23" s="434"/>
      <c r="J23" s="434"/>
      <c r="K23" s="434"/>
      <c r="L23" s="434"/>
      <c r="M23" s="434"/>
      <c r="N23" s="434"/>
      <c r="O23" s="434"/>
      <c r="P23" s="434"/>
      <c r="Q23" s="434"/>
      <c r="R23" s="434"/>
      <c r="S23" s="434"/>
      <c r="T23" s="434"/>
      <c r="U23" s="434"/>
      <c r="V23" s="434"/>
      <c r="W23" s="434"/>
      <c r="X23" s="434"/>
      <c r="Y23" s="434"/>
      <c r="Z23" s="434"/>
      <c r="AA23" s="434"/>
      <c r="AB23" s="434"/>
      <c r="AC23" s="434"/>
      <c r="AD23" s="434"/>
      <c r="AE23" s="434"/>
      <c r="AF23" s="434"/>
      <c r="AG23" s="434"/>
      <c r="AH23" s="434"/>
      <c r="AI23" s="434"/>
      <c r="AJ23" s="434"/>
    </row>
    <row r="24" spans="1:36" s="20" customFormat="1" ht="11.25" customHeight="1" thickBot="1" x14ac:dyDescent="0.25">
      <c r="A24" s="434"/>
      <c r="B24" s="436"/>
      <c r="C24" s="47"/>
      <c r="D24" s="47"/>
      <c r="E24" s="47"/>
      <c r="F24" s="46"/>
      <c r="G24" s="434"/>
      <c r="H24" s="434"/>
      <c r="I24" s="434"/>
      <c r="J24" s="434"/>
      <c r="K24" s="434"/>
      <c r="L24" s="434"/>
      <c r="M24" s="434"/>
      <c r="N24" s="434"/>
      <c r="O24" s="434"/>
      <c r="P24" s="434"/>
      <c r="Q24" s="434"/>
      <c r="R24" s="434"/>
      <c r="S24" s="434"/>
      <c r="T24" s="434"/>
      <c r="U24" s="434"/>
      <c r="V24" s="434"/>
      <c r="W24" s="434"/>
      <c r="X24" s="434"/>
      <c r="Y24" s="434"/>
      <c r="Z24" s="434"/>
      <c r="AA24" s="434"/>
      <c r="AB24" s="434"/>
      <c r="AC24" s="434"/>
      <c r="AD24" s="434"/>
      <c r="AE24" s="434"/>
      <c r="AF24" s="434"/>
      <c r="AG24" s="434"/>
      <c r="AH24" s="434"/>
      <c r="AI24" s="434"/>
      <c r="AJ24" s="434"/>
    </row>
    <row r="25" spans="1:36" s="434" customFormat="1" x14ac:dyDescent="0.2">
      <c r="C25" s="435"/>
      <c r="D25" s="435"/>
      <c r="E25" s="435"/>
      <c r="F25" s="435"/>
    </row>
    <row r="26" spans="1:36" s="434" customFormat="1" x14ac:dyDescent="0.2">
      <c r="C26" s="435"/>
      <c r="D26" s="435"/>
      <c r="E26" s="435"/>
      <c r="F26" s="435"/>
    </row>
    <row r="27" spans="1:36" s="434" customFormat="1" x14ac:dyDescent="0.2">
      <c r="C27" s="435"/>
      <c r="D27" s="435"/>
      <c r="E27" s="435"/>
      <c r="F27" s="435"/>
    </row>
    <row r="28" spans="1:36" s="434" customFormat="1" x14ac:dyDescent="0.2">
      <c r="C28" s="435"/>
      <c r="D28" s="435"/>
      <c r="E28" s="435"/>
      <c r="F28" s="435"/>
    </row>
    <row r="29" spans="1:36" s="434" customFormat="1" x14ac:dyDescent="0.2">
      <c r="C29" s="435"/>
      <c r="D29" s="435"/>
      <c r="E29" s="435"/>
      <c r="F29" s="435"/>
    </row>
    <row r="30" spans="1:36" s="434" customFormat="1" x14ac:dyDescent="0.2">
      <c r="C30" s="435"/>
      <c r="D30" s="435"/>
      <c r="E30" s="435"/>
      <c r="F30" s="435"/>
    </row>
    <row r="31" spans="1:36" s="434" customFormat="1" x14ac:dyDescent="0.2"/>
    <row r="32" spans="1:36" s="434" customFormat="1" x14ac:dyDescent="0.2"/>
    <row r="33" s="434" customFormat="1" x14ac:dyDescent="0.2"/>
    <row r="34" s="434" customFormat="1" x14ac:dyDescent="0.2"/>
    <row r="35" s="434" customFormat="1" x14ac:dyDescent="0.2"/>
    <row r="36" s="434" customFormat="1" x14ac:dyDescent="0.2"/>
    <row r="37" s="434" customFormat="1" x14ac:dyDescent="0.2"/>
    <row r="38" s="434" customFormat="1" x14ac:dyDescent="0.2"/>
    <row r="39" s="434" customFormat="1" x14ac:dyDescent="0.2"/>
    <row r="40" s="434" customFormat="1" x14ac:dyDescent="0.2"/>
    <row r="41" s="434" customFormat="1" x14ac:dyDescent="0.2"/>
    <row r="42" s="434" customFormat="1" x14ac:dyDescent="0.2"/>
    <row r="43" s="434" customFormat="1" x14ac:dyDescent="0.2"/>
    <row r="44" s="434" customFormat="1" x14ac:dyDescent="0.2"/>
    <row r="45" s="434" customFormat="1" x14ac:dyDescent="0.2"/>
    <row r="46" s="434" customFormat="1" x14ac:dyDescent="0.2"/>
    <row r="47" s="434" customFormat="1" x14ac:dyDescent="0.2"/>
    <row r="48" s="434" customFormat="1" x14ac:dyDescent="0.2"/>
    <row r="49" s="434" customFormat="1" x14ac:dyDescent="0.2"/>
    <row r="50" s="434" customFormat="1" x14ac:dyDescent="0.2"/>
    <row r="51" s="434" customFormat="1" x14ac:dyDescent="0.2"/>
    <row r="52" s="434" customFormat="1" x14ac:dyDescent="0.2"/>
    <row r="53" s="434" customFormat="1" x14ac:dyDescent="0.2"/>
    <row r="54" s="434" customFormat="1" x14ac:dyDescent="0.2"/>
    <row r="55" s="434" customFormat="1" x14ac:dyDescent="0.2"/>
    <row r="56" s="434" customFormat="1" x14ac:dyDescent="0.2"/>
  </sheetData>
  <mergeCells count="1">
    <mergeCell ref="B2:F2"/>
  </mergeCells>
  <conditionalFormatting sqref="E23">
    <cfRule type="cellIs" dxfId="38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1</xdr:col>
                <xdr:colOff>333375</xdr:colOff>
                <xdr:row>18</xdr:row>
                <xdr:rowOff>57150</xdr:rowOff>
              </from>
              <to>
                <xdr:col>3</xdr:col>
                <xdr:colOff>381000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UsdYC#0022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UsdYCSTD#0022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UsdLiborYCON#0022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UsdLiborYC1M#0022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UsdLiborYC3M#0022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UsdLiborYC6M#0022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UsdLiborYC1Y#0022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UsdLiborYCON-Mx#0022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UsdLiborYC1M-Mx#0022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UsdLiborYC3M-Mx#0022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UsdLiborYC6M-Mx#0022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UsdLiborYC1Y-Mx#0022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UsdSwaptionATMVol#0022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UsdSwaptionVol#0022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Usd3MFutOptionVol#0022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Usd1MCapletVol#0022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Usd3MCapletVol#0022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Usd6MCapletVol#0022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Usd1YCapletVol#0022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Usd3MFutOptionVolEx#0022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Usd1MCapletVolEx#0022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Usd3MCapletVolEx#0022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Usd6MCapletVolEx#0022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Usd1YCapletVolEx#0022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50"/>
  <sheetViews>
    <sheetView workbookViewId="0"/>
  </sheetViews>
  <sheetFormatPr defaultRowHeight="12.75" x14ac:dyDescent="0.2"/>
  <cols>
    <col min="1" max="1" width="2.85546875" style="20" customWidth="1"/>
    <col min="2" max="2" width="6.5703125" style="20" customWidth="1"/>
    <col min="3" max="3" width="15.5703125" style="20" bestFit="1" customWidth="1"/>
    <col min="4" max="4" width="79.140625" style="20" bestFit="1" customWidth="1"/>
    <col min="5" max="5" width="5" style="20" customWidth="1"/>
    <col min="6" max="6" width="50.42578125" style="20" customWidth="1"/>
    <col min="7" max="7" width="5.7109375" style="20" customWidth="1"/>
    <col min="8" max="16384" width="9.140625" style="20"/>
  </cols>
  <sheetData>
    <row r="1" spans="1:29" ht="13.5" thickBot="1" x14ac:dyDescent="0.25">
      <c r="A1" s="23" t="s">
        <v>28</v>
      </c>
      <c r="B1" s="23" t="str">
        <f>_xll.qlxlVersion(TRUE,Trigger)</f>
        <v>QuantLibXL 1.3.0 - MS VC++ 9.0 - Multithreaded Static Runtime library - Release Configuration - Dec  5 2013 11:03:51</v>
      </c>
      <c r="C1" s="23"/>
      <c r="D1" s="23"/>
      <c r="E1" s="23"/>
      <c r="F1" s="23"/>
      <c r="G1" s="2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x14ac:dyDescent="0.25">
      <c r="A2" s="23"/>
      <c r="B2" s="266" t="s">
        <v>27</v>
      </c>
      <c r="C2" s="267"/>
      <c r="D2" s="267"/>
      <c r="E2" s="26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">
      <c r="A3" s="23"/>
      <c r="B3" s="9"/>
      <c r="C3" s="13"/>
      <c r="D3" s="13"/>
      <c r="E3" s="5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">
      <c r="A4" s="23"/>
      <c r="B4" s="9"/>
      <c r="C4" s="16" t="s">
        <v>26</v>
      </c>
      <c r="D4" s="15">
        <v>41620.591215277775</v>
      </c>
      <c r="E4" s="14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2">
      <c r="A5" s="23"/>
      <c r="B5" s="9"/>
      <c r="C5" s="16" t="s">
        <v>25</v>
      </c>
      <c r="D5" s="15" t="b">
        <v>1</v>
      </c>
      <c r="E5" s="14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2">
      <c r="A6" s="23"/>
      <c r="B6" s="9"/>
      <c r="C6" s="16" t="s">
        <v>24</v>
      </c>
      <c r="D6" s="15" t="b">
        <v>0</v>
      </c>
      <c r="E6" s="1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">
      <c r="A7" s="23"/>
      <c r="B7" s="9"/>
      <c r="C7" s="16" t="s">
        <v>23</v>
      </c>
      <c r="D7" s="15" t="b">
        <v>1</v>
      </c>
      <c r="E7" s="14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2">
      <c r="A9" s="23"/>
      <c r="B9" s="9"/>
      <c r="C9" s="16" t="s">
        <v>21</v>
      </c>
      <c r="D9" s="24" t="b">
        <v>1</v>
      </c>
      <c r="E9" s="14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3.5" thickBot="1" x14ac:dyDescent="0.25">
      <c r="A10" s="23"/>
      <c r="B10" s="4"/>
      <c r="C10" s="3"/>
      <c r="D10" s="3"/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2">
      <c r="A12" s="1"/>
      <c r="B12" s="1"/>
      <c r="C12" s="22"/>
      <c r="D12" s="22"/>
      <c r="E12" s="22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">
      <c r="A13" s="1"/>
      <c r="B13" s="1"/>
      <c r="C13" s="22"/>
      <c r="D13" s="22"/>
      <c r="E13" s="22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">
      <c r="A14" s="1"/>
      <c r="B14" s="1"/>
      <c r="C14" s="22"/>
      <c r="D14" s="22"/>
      <c r="E14" s="22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">
      <c r="A15" s="1"/>
      <c r="B15" s="1"/>
      <c r="C15" s="22"/>
      <c r="D15" s="22"/>
      <c r="E15" s="22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">
      <c r="A16" s="1"/>
      <c r="B16" s="1"/>
      <c r="C16" s="22"/>
      <c r="D16" s="22"/>
      <c r="E16" s="22"/>
      <c r="F16" s="2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">
      <c r="A17" s="1"/>
      <c r="B17" s="1"/>
      <c r="C17" s="22"/>
      <c r="D17" s="22"/>
      <c r="E17" s="22"/>
      <c r="F17" s="22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">
      <c r="A18" s="1"/>
      <c r="B18" s="1"/>
      <c r="C18" s="22"/>
      <c r="D18" s="22"/>
      <c r="E18" s="22"/>
      <c r="F18" s="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">
      <c r="A19" s="1"/>
      <c r="B19" s="1"/>
      <c r="C19" s="22"/>
      <c r="D19" s="22"/>
      <c r="E19" s="22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">
      <c r="A20" s="1"/>
      <c r="B20" s="1"/>
      <c r="C20" s="22"/>
      <c r="D20" s="22"/>
      <c r="E20" s="22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">
      <c r="A21" s="1"/>
      <c r="B21" s="1"/>
      <c r="C21" s="22"/>
      <c r="D21" s="22"/>
      <c r="E21" s="22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">
      <c r="A22" s="1"/>
      <c r="B22" s="1"/>
      <c r="C22" s="22"/>
      <c r="D22" s="22"/>
      <c r="E22" s="22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">
      <c r="A23" s="1"/>
      <c r="B23" s="1"/>
      <c r="C23" s="22"/>
      <c r="D23" s="22"/>
      <c r="E23" s="22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">
      <c r="A24" s="1"/>
      <c r="B24" s="1"/>
      <c r="C24" s="22"/>
      <c r="D24" s="22"/>
      <c r="E24" s="22"/>
      <c r="F24" s="2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">
      <c r="A25" s="1"/>
      <c r="B25" s="1"/>
      <c r="C25" s="22"/>
      <c r="D25" s="22"/>
      <c r="E25" s="22"/>
      <c r="F25" s="2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">
      <c r="A26" s="1"/>
      <c r="B26" s="1"/>
      <c r="C26" s="22"/>
      <c r="D26" s="22"/>
      <c r="E26" s="22"/>
      <c r="F26" s="2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">
      <c r="A27" s="1"/>
      <c r="B27" s="1"/>
      <c r="C27" s="22"/>
      <c r="D27" s="22"/>
      <c r="E27" s="22"/>
      <c r="F27" s="2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">
      <c r="A28" s="1"/>
      <c r="B28" s="1"/>
      <c r="C28" s="22"/>
      <c r="D28" s="22"/>
      <c r="E28" s="22"/>
      <c r="F28" s="2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">
      <c r="A29" s="1"/>
      <c r="B29" s="1"/>
      <c r="C29" s="22"/>
      <c r="D29" s="22"/>
      <c r="E29" s="22"/>
      <c r="F29" s="2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">
      <c r="A30" s="1"/>
      <c r="B30" s="1"/>
      <c r="C30" s="22"/>
      <c r="D30" s="22"/>
      <c r="E30" s="22"/>
      <c r="F30" s="2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">
      <c r="A31" s="1"/>
      <c r="B31" s="1"/>
      <c r="C31" s="22"/>
      <c r="D31" s="22"/>
      <c r="E31" s="22"/>
      <c r="F31" s="2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">
      <c r="A32" s="1"/>
      <c r="B32" s="1"/>
      <c r="C32" s="22"/>
      <c r="D32" s="22"/>
      <c r="E32" s="22"/>
      <c r="F32" s="2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">
      <c r="A33" s="1"/>
      <c r="B33" s="1"/>
      <c r="C33" s="22"/>
      <c r="D33" s="22"/>
      <c r="E33" s="22"/>
      <c r="F33" s="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">
      <c r="A34" s="1"/>
      <c r="B34" s="1"/>
      <c r="C34" s="22"/>
      <c r="D34" s="22"/>
      <c r="E34" s="22"/>
      <c r="F34" s="2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">
      <c r="A35" s="1"/>
      <c r="B35" s="1"/>
      <c r="C35" s="22"/>
      <c r="D35" s="22"/>
      <c r="E35" s="22"/>
      <c r="F35" s="2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">
      <c r="A36" s="1"/>
      <c r="B36" s="1"/>
      <c r="C36" s="22"/>
      <c r="D36" s="22"/>
      <c r="E36" s="22"/>
      <c r="F36" s="2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">
      <c r="A37" s="1"/>
      <c r="B37" s="1"/>
      <c r="C37" s="22"/>
      <c r="D37" s="22"/>
      <c r="E37" s="22"/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">
      <c r="A38" s="1"/>
      <c r="B38" s="1"/>
      <c r="C38" s="22"/>
      <c r="D38" s="22"/>
      <c r="E38" s="22"/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2">
      <c r="A39" s="1"/>
      <c r="B39" s="1"/>
      <c r="C39" s="22"/>
      <c r="D39" s="22"/>
      <c r="E39" s="22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">
      <c r="A40" s="1"/>
      <c r="B40" s="1"/>
      <c r="C40" s="22"/>
      <c r="D40" s="22"/>
      <c r="E40" s="22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2">
      <c r="A41" s="1"/>
      <c r="B41" s="1"/>
      <c r="C41" s="22"/>
      <c r="D41" s="22"/>
      <c r="E41" s="22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2">
      <c r="A42" s="1"/>
      <c r="B42" s="1"/>
      <c r="C42" s="22"/>
      <c r="D42" s="22"/>
      <c r="E42" s="22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2">
      <c r="A43" s="1"/>
      <c r="B43" s="1"/>
      <c r="C43" s="22"/>
      <c r="D43" s="22"/>
      <c r="E43" s="22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">
      <c r="A44" s="1"/>
      <c r="B44" s="1"/>
      <c r="C44" s="22"/>
      <c r="D44" s="22"/>
      <c r="E44" s="22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">
      <c r="A45" s="1"/>
      <c r="B45" s="1"/>
      <c r="C45" s="22"/>
      <c r="D45" s="22"/>
      <c r="E45" s="22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">
      <c r="A46" s="1"/>
      <c r="B46" s="1"/>
      <c r="C46" s="22"/>
      <c r="D46" s="22"/>
      <c r="E46" s="22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2">
      <c r="A47" s="1"/>
      <c r="B47" s="1"/>
      <c r="C47" s="22"/>
      <c r="D47" s="22"/>
      <c r="E47" s="22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2">
      <c r="A48" s="1"/>
      <c r="B48" s="1"/>
      <c r="C48" s="22"/>
      <c r="D48" s="22"/>
      <c r="E48" s="22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">
      <c r="A49" s="1"/>
      <c r="B49" s="1"/>
      <c r="C49" s="22"/>
      <c r="D49" s="22"/>
      <c r="E49" s="22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">
      <c r="C50" s="21"/>
      <c r="D50" s="21"/>
      <c r="E50" s="21"/>
      <c r="F50" s="2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6384" width="9.140625" style="1"/>
  </cols>
  <sheetData>
    <row r="1" spans="1:10" s="26" customFormat="1" ht="12" thickBot="1" x14ac:dyDescent="0.25">
      <c r="A1" s="26" t="s">
        <v>123</v>
      </c>
    </row>
    <row r="2" spans="1:10" s="26" customFormat="1" x14ac:dyDescent="0.2">
      <c r="B2" s="44"/>
      <c r="C2" s="43"/>
      <c r="D2" s="43"/>
      <c r="E2" s="42"/>
      <c r="F2" s="41"/>
      <c r="G2" s="41"/>
      <c r="H2" s="41"/>
      <c r="I2" s="41"/>
      <c r="J2" s="40"/>
    </row>
    <row r="3" spans="1:10" s="26" customFormat="1" x14ac:dyDescent="0.2">
      <c r="B3" s="31"/>
      <c r="C3" s="39"/>
      <c r="D3" s="39"/>
      <c r="E3" s="16" t="s">
        <v>49</v>
      </c>
      <c r="F3" s="34" t="s">
        <v>48</v>
      </c>
      <c r="G3" s="38"/>
      <c r="H3" s="38"/>
      <c r="I3" s="38"/>
      <c r="J3" s="33"/>
    </row>
    <row r="4" spans="1:10" s="26" customFormat="1" x14ac:dyDescent="0.2">
      <c r="B4" s="31"/>
      <c r="C4" s="39"/>
      <c r="D4" s="39"/>
      <c r="E4" s="38"/>
      <c r="F4" s="38"/>
      <c r="G4" s="38"/>
      <c r="H4" s="38"/>
      <c r="I4" s="38"/>
      <c r="J4" s="33"/>
    </row>
    <row r="5" spans="1:10" s="26" customFormat="1" x14ac:dyDescent="0.2">
      <c r="B5" s="31"/>
      <c r="C5" s="37" t="s">
        <v>47</v>
      </c>
      <c r="D5" s="36" t="s">
        <v>46</v>
      </c>
      <c r="E5" s="35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4"/>
      <c r="H5" s="7" t="str">
        <f ca="1">_xll.ohRangeRetrieveError(F5)</f>
        <v/>
      </c>
      <c r="I5" s="7" t="str">
        <f>_xll.ohRangeRetrieveError(G5)</f>
        <v/>
      </c>
      <c r="J5" s="33"/>
    </row>
    <row r="6" spans="1:10" s="26" customFormat="1" x14ac:dyDescent="0.2">
      <c r="B6" s="31"/>
      <c r="C6" s="30" t="s">
        <v>45</v>
      </c>
      <c r="D6" s="29" t="s">
        <v>18</v>
      </c>
      <c r="E6" s="32"/>
      <c r="F6" s="27" t="str">
        <f>_xll.qlEonia(C6,Currency&amp;$D6,Permanent,Trigger,ObjectOverwrite)</f>
        <v>FedFund2#0021</v>
      </c>
      <c r="G6" s="27"/>
      <c r="H6" s="7" t="str">
        <f>_xll.ohRangeRetrieveError(F6)</f>
        <v/>
      </c>
      <c r="I6" s="7" t="str">
        <f>_xll.ohRangeRetrieveError(G6)</f>
        <v/>
      </c>
      <c r="J6" s="33"/>
    </row>
    <row r="7" spans="1:10" s="26" customFormat="1" x14ac:dyDescent="0.2">
      <c r="B7" s="31"/>
      <c r="C7" s="30" t="s">
        <v>44</v>
      </c>
      <c r="D7" s="29" t="s">
        <v>16</v>
      </c>
      <c r="E7" s="32" t="s">
        <v>44</v>
      </c>
      <c r="F7" s="27" t="str">
        <f>_xll.qlEonia(C7,Currency&amp;$D7,Permanent,Trigger,ObjectOverwrite)</f>
        <v>FedFund#0021</v>
      </c>
      <c r="G7" s="27" t="str">
        <f>_xll.qlLastFixingQuote(E7&amp;"LastFixing_Quote",F7,Permanent,Trigger,ObjectOverwrite)</f>
        <v>FedFundLastFixing_Quote#0021</v>
      </c>
      <c r="H7" s="7" t="str">
        <f>_xll.ohRangeRetrieveError(F7)</f>
        <v/>
      </c>
      <c r="I7" s="7" t="str">
        <f>_xll.ohRangeRetrieveError(G7)</f>
        <v/>
      </c>
      <c r="J7" s="5"/>
    </row>
    <row r="8" spans="1:10" s="26" customFormat="1" x14ac:dyDescent="0.2">
      <c r="B8" s="31"/>
      <c r="C8" s="30" t="s">
        <v>43</v>
      </c>
      <c r="D8" s="29" t="s">
        <v>16</v>
      </c>
      <c r="E8" s="28" t="str">
        <f t="shared" ref="E8:E22" si="0">PROPER(Currency)&amp;FamilyName&amp;$C8</f>
        <v>UsdLiborSW</v>
      </c>
      <c r="F8" s="27" t="str">
        <f>_xll.qlLibor($E8,Currency,$C8,Currency&amp;$D8,Permanent,Trigger,ObjectOverwrite)</f>
        <v>UsdLiborSW#0021</v>
      </c>
      <c r="G8" s="27" t="str">
        <f>_xll.qlLastFixingQuote(E8&amp;"LastFixing_Quote",F8,Permanent,Trigger,ObjectOverwrite)</f>
        <v>UsdLiborSWLastFixing_Quote#0021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6" customFormat="1" x14ac:dyDescent="0.2">
      <c r="B9" s="31"/>
      <c r="C9" s="30" t="s">
        <v>42</v>
      </c>
      <c r="D9" s="29" t="s">
        <v>16</v>
      </c>
      <c r="E9" s="28" t="str">
        <f t="shared" si="0"/>
        <v>UsdLibor2W</v>
      </c>
      <c r="F9" s="27" t="str">
        <f>_xll.qlLibor($E9,Currency,$C9,Currency&amp;$D9,Permanent,Trigger,ObjectOverwrite)</f>
        <v>UsdLibor2W#0021</v>
      </c>
      <c r="G9" s="27" t="str">
        <f>_xll.qlLastFixingQuote(E9&amp;"LastFixing_Quote",F9,Permanent,Trigger,ObjectOverwrite)</f>
        <v>UsdLibor2WLastFixing_Quote#0021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6" customFormat="1" x14ac:dyDescent="0.2">
      <c r="B10" s="31"/>
      <c r="C10" s="30" t="s">
        <v>41</v>
      </c>
      <c r="D10" s="29" t="s">
        <v>15</v>
      </c>
      <c r="E10" s="28" t="str">
        <f t="shared" si="0"/>
        <v>UsdLibor3W</v>
      </c>
      <c r="F10" s="27" t="str">
        <f>_xll.qlLibor($E10,Currency,$C10,Currency&amp;$D10,Permanent,Trigger,ObjectOverwrite)</f>
        <v>UsdLibor3W#0021</v>
      </c>
      <c r="G10" s="27" t="str">
        <f>_xll.qlLastFixingQuote(E10&amp;"LastFixing_Quote",F10,Permanent,Trigger,ObjectOverwrite)</f>
        <v>UsdLibor3WLastFixing_Quote#0021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6" customFormat="1" x14ac:dyDescent="0.2">
      <c r="B11" s="31"/>
      <c r="C11" s="30" t="s">
        <v>40</v>
      </c>
      <c r="D11" s="29" t="s">
        <v>15</v>
      </c>
      <c r="E11" s="28" t="str">
        <f t="shared" si="0"/>
        <v>UsdLibor1M</v>
      </c>
      <c r="F11" s="27" t="str">
        <f>_xll.qlLibor($E11,Currency,$C11,Currency&amp;$D11,Permanent,Trigger,ObjectOverwrite)</f>
        <v>UsdLibor1M#0021</v>
      </c>
      <c r="G11" s="27" t="str">
        <f>_xll.qlLastFixingQuote(E11&amp;"LastFixing_Quote",F11,Permanent,Trigger,ObjectOverwrite)</f>
        <v>UsdLibor1MLastFixing_Quote#0021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6" customFormat="1" x14ac:dyDescent="0.2">
      <c r="B12" s="31"/>
      <c r="C12" s="30" t="s">
        <v>39</v>
      </c>
      <c r="D12" s="29" t="s">
        <v>14</v>
      </c>
      <c r="E12" s="28" t="str">
        <f t="shared" si="0"/>
        <v>UsdLibor2M</v>
      </c>
      <c r="F12" s="27" t="str">
        <f>_xll.qlLibor($E12,Currency,$C12,Currency&amp;$D12,Permanent,Trigger,ObjectOverwrite)</f>
        <v>UsdLibor2M#0021</v>
      </c>
      <c r="G12" s="27" t="str">
        <f>_xll.qlLastFixingQuote(E12&amp;"LastFixing_Quote",F12,Permanent,Trigger,ObjectOverwrite)</f>
        <v>UsdLibor2MLastFixing_Quote#0021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6" customFormat="1" x14ac:dyDescent="0.2">
      <c r="B13" s="31"/>
      <c r="C13" s="30" t="s">
        <v>38</v>
      </c>
      <c r="D13" s="29" t="s">
        <v>14</v>
      </c>
      <c r="E13" s="28" t="str">
        <f t="shared" si="0"/>
        <v>UsdLibor3M</v>
      </c>
      <c r="F13" s="27" t="str">
        <f>_xll.qlLibor($E13,Currency,$C13,Currency&amp;$D13,Permanent,Trigger,ObjectOverwrite)</f>
        <v>UsdLibor3M#0021</v>
      </c>
      <c r="G13" s="27" t="str">
        <f>_xll.qlLastFixingQuote(E13&amp;"LastFixing_Quote",F13,Permanent,Trigger,ObjectOverwrite)</f>
        <v>UsdLibor3MLastFixing_Quote#0021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6" customFormat="1" x14ac:dyDescent="0.2">
      <c r="B14" s="31"/>
      <c r="C14" s="30" t="s">
        <v>37</v>
      </c>
      <c r="D14" s="29" t="s">
        <v>14</v>
      </c>
      <c r="E14" s="28" t="str">
        <f t="shared" si="0"/>
        <v>UsdLibor4M</v>
      </c>
      <c r="F14" s="27" t="str">
        <f>_xll.qlLibor($E14,Currency,$C14,Currency&amp;$D14,Permanent,Trigger,ObjectOverwrite)</f>
        <v>UsdLibor4M#0021</v>
      </c>
      <c r="G14" s="27" t="str">
        <f>_xll.qlLastFixingQuote(E14&amp;"LastFixing_Quote",F14,Permanent,Trigger,ObjectOverwrite)</f>
        <v>UsdLibor4MLastFixing_Quote#0021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6" customFormat="1" x14ac:dyDescent="0.2">
      <c r="B15" s="31"/>
      <c r="C15" s="30" t="s">
        <v>36</v>
      </c>
      <c r="D15" s="29" t="s">
        <v>13</v>
      </c>
      <c r="E15" s="28" t="str">
        <f t="shared" si="0"/>
        <v>UsdLibor5M</v>
      </c>
      <c r="F15" s="27" t="str">
        <f>_xll.qlLibor($E15,Currency,$C15,Currency&amp;$D15,Permanent,Trigger,ObjectOverwrite)</f>
        <v>UsdLibor5M#0021</v>
      </c>
      <c r="G15" s="27" t="str">
        <f>_xll.qlLastFixingQuote(E15&amp;"LastFixing_Quote",F15,Permanent,Trigger,ObjectOverwrite)</f>
        <v>UsdLibor5MLastFixing_Quote#0021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6" customFormat="1" x14ac:dyDescent="0.2">
      <c r="B16" s="31"/>
      <c r="C16" s="30" t="s">
        <v>35</v>
      </c>
      <c r="D16" s="29" t="s">
        <v>13</v>
      </c>
      <c r="E16" s="28" t="str">
        <f t="shared" si="0"/>
        <v>UsdLibor6M</v>
      </c>
      <c r="F16" s="27" t="str">
        <f>_xll.qlLibor($E16,Currency,$C16,Currency&amp;$D16,Permanent,Trigger,ObjectOverwrite)</f>
        <v>UsdLibor6M#0021</v>
      </c>
      <c r="G16" s="27" t="str">
        <f>_xll.qlLastFixingQuote(E16&amp;"LastFixing_Quote",F16,Permanent,Trigger,ObjectOverwrite)</f>
        <v>UsdLibor6MLastFixing_Quote#0021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6" customFormat="1" x14ac:dyDescent="0.2">
      <c r="B17" s="31"/>
      <c r="C17" s="30" t="s">
        <v>34</v>
      </c>
      <c r="D17" s="29" t="s">
        <v>13</v>
      </c>
      <c r="E17" s="28" t="str">
        <f t="shared" si="0"/>
        <v>UsdLibor7M</v>
      </c>
      <c r="F17" s="27" t="str">
        <f>_xll.qlLibor($E17,Currency,$C17,Currency&amp;$D17,Permanent,Trigger,ObjectOverwrite)</f>
        <v>UsdLibor7M#0021</v>
      </c>
      <c r="G17" s="27" t="str">
        <f>_xll.qlLastFixingQuote(E17&amp;"LastFixing_Quote",F17,Permanent,Trigger,ObjectOverwrite)</f>
        <v>UsdLibor7MLastFixing_Quote#0021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6" customFormat="1" x14ac:dyDescent="0.2">
      <c r="B18" s="31"/>
      <c r="C18" s="30" t="s">
        <v>33</v>
      </c>
      <c r="D18" s="29" t="s">
        <v>13</v>
      </c>
      <c r="E18" s="28" t="str">
        <f t="shared" si="0"/>
        <v>UsdLibor8M</v>
      </c>
      <c r="F18" s="27" t="str">
        <f>_xll.qlLibor($E18,Currency,$C18,Currency&amp;$D18,Permanent,Trigger,ObjectOverwrite)</f>
        <v>UsdLibor8M#0021</v>
      </c>
      <c r="G18" s="27" t="str">
        <f>_xll.qlLastFixingQuote(E18&amp;"LastFixing_Quote",F18,Permanent,Trigger,ObjectOverwrite)</f>
        <v>UsdLibor8MLastFixing_Quote#0021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6" customFormat="1" x14ac:dyDescent="0.2">
      <c r="B19" s="31"/>
      <c r="C19" s="30" t="s">
        <v>32</v>
      </c>
      <c r="D19" s="29" t="s">
        <v>12</v>
      </c>
      <c r="E19" s="28" t="str">
        <f t="shared" si="0"/>
        <v>UsdLibor9M</v>
      </c>
      <c r="F19" s="27" t="str">
        <f>_xll.qlLibor($E19,Currency,$C19,Currency&amp;$D19,Permanent,Trigger,ObjectOverwrite)</f>
        <v>UsdLibor9M#0021</v>
      </c>
      <c r="G19" s="27" t="str">
        <f>_xll.qlLastFixingQuote(E19&amp;"LastFixing_Quote",F19,Permanent,Trigger,ObjectOverwrite)</f>
        <v>UsdLibor9MLastFixing_Quote#0021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6" customFormat="1" x14ac:dyDescent="0.2">
      <c r="B20" s="31"/>
      <c r="C20" s="30" t="s">
        <v>31</v>
      </c>
      <c r="D20" s="29" t="s">
        <v>12</v>
      </c>
      <c r="E20" s="28" t="str">
        <f t="shared" si="0"/>
        <v>UsdLibor10M</v>
      </c>
      <c r="F20" s="27" t="str">
        <f>_xll.qlLibor($E20,Currency,$C20,Currency&amp;$D20,Permanent,Trigger,ObjectOverwrite)</f>
        <v>UsdLibor10M#0021</v>
      </c>
      <c r="G20" s="27" t="str">
        <f>_xll.qlLastFixingQuote(E20&amp;"LastFixing_Quote",F20,Permanent,Trigger,ObjectOverwrite)</f>
        <v>UsdLibor10MLastFixing_Quote#0021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6" customFormat="1" x14ac:dyDescent="0.2">
      <c r="B21" s="31"/>
      <c r="C21" s="30" t="s">
        <v>30</v>
      </c>
      <c r="D21" s="29" t="s">
        <v>12</v>
      </c>
      <c r="E21" s="28" t="str">
        <f t="shared" si="0"/>
        <v>UsdLibor11M</v>
      </c>
      <c r="F21" s="27" t="str">
        <f>_xll.qlLibor($E21,Currency,$C21,Currency&amp;$D21,Permanent,Trigger,ObjectOverwrite)</f>
        <v>UsdLibor11M#0021</v>
      </c>
      <c r="G21" s="27" t="str">
        <f>_xll.qlLastFixingQuote(E21&amp;"LastFixing_Quote",F21,Permanent,Trigger,ObjectOverwrite)</f>
        <v>UsdLibor11MLastFixing_Quote#0021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6" customFormat="1" x14ac:dyDescent="0.2">
      <c r="B22" s="31"/>
      <c r="C22" s="30" t="s">
        <v>29</v>
      </c>
      <c r="D22" s="29" t="s">
        <v>12</v>
      </c>
      <c r="E22" s="28" t="str">
        <f t="shared" si="0"/>
        <v>UsdLibor1Y</v>
      </c>
      <c r="F22" s="27" t="str">
        <f>_xll.qlLibor($E22,Currency,$C22,Currency&amp;$D22,Permanent,Trigger,ObjectOverwrite)</f>
        <v>UsdLibor1Y#0021</v>
      </c>
      <c r="G22" s="27" t="str">
        <f>_xll.qlLastFixingQuote(E22&amp;"LastFixing_Quote",F22,Permanent,Trigger,ObjectOverwrite)</f>
        <v>UsdLibor1YLastFixing_Quote#0021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6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6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5" customFormat="1" ht="12" thickBot="1" x14ac:dyDescent="0.25">
      <c r="A1" s="45" t="s">
        <v>123</v>
      </c>
    </row>
    <row r="2" spans="1:8" s="45" customFormat="1" x14ac:dyDescent="0.2">
      <c r="B2" s="65"/>
      <c r="C2" s="63"/>
      <c r="D2" s="63"/>
      <c r="E2" s="64"/>
      <c r="F2" s="63"/>
      <c r="G2" s="63"/>
      <c r="H2" s="62"/>
    </row>
    <row r="3" spans="1:8" s="45" customFormat="1" x14ac:dyDescent="0.2">
      <c r="B3" s="55"/>
      <c r="C3" s="60"/>
      <c r="D3" s="60"/>
      <c r="E3" s="61" t="s">
        <v>49</v>
      </c>
      <c r="F3" s="57" t="s">
        <v>112</v>
      </c>
      <c r="G3" s="60"/>
      <c r="H3" s="56"/>
    </row>
    <row r="4" spans="1:8" s="45" customFormat="1" x14ac:dyDescent="0.2">
      <c r="B4" s="55"/>
      <c r="C4" s="60"/>
      <c r="D4" s="60"/>
      <c r="E4" s="61" t="s">
        <v>111</v>
      </c>
      <c r="F4" s="57" t="s">
        <v>110</v>
      </c>
      <c r="G4" s="60"/>
      <c r="H4" s="56"/>
    </row>
    <row r="5" spans="1:8" s="45" customFormat="1" x14ac:dyDescent="0.2">
      <c r="B5" s="55"/>
      <c r="C5" s="60"/>
      <c r="D5" s="60"/>
      <c r="E5" s="60"/>
      <c r="F5" s="60"/>
      <c r="G5" s="60"/>
      <c r="H5" s="56"/>
    </row>
    <row r="6" spans="1:8" s="45" customFormat="1" x14ac:dyDescent="0.2">
      <c r="B6" s="55"/>
      <c r="C6" s="60"/>
      <c r="D6" s="59" t="s">
        <v>109</v>
      </c>
      <c r="E6" s="58" t="str">
        <f>PROPER(Currency)&amp;FamilyName&amp;FixingType&amp;".xml"</f>
        <v>UsdLiborSwapIsdaFixAm.xml</v>
      </c>
      <c r="F6" s="57">
        <f ca="1">IF(Serialize,_xll.ohObjectSave(F7:F66,SerializationPath&amp;FileName,FileOverwrite,,Serialize),"---")</f>
        <v>60</v>
      </c>
      <c r="G6" s="50" t="str">
        <f ca="1">_xll.ohRangeRetrieveError(F6)</f>
        <v/>
      </c>
      <c r="H6" s="56"/>
    </row>
    <row r="7" spans="1:8" s="45" customFormat="1" x14ac:dyDescent="0.2">
      <c r="B7" s="55"/>
      <c r="C7" s="54" t="s">
        <v>29</v>
      </c>
      <c r="D7" s="53" t="s">
        <v>14</v>
      </c>
      <c r="E7" s="52" t="str">
        <f t="shared" ref="E7:E38" si="0">PROPER(Currency)&amp;FamilyName&amp;FixingType&amp;$C7</f>
        <v>UsdLiborSwapIsdaFixAm1Y</v>
      </c>
      <c r="F7" s="51" t="str">
        <f>_xll.qlLiborSwap($E7,Currency,FixingType,$C7,Currency&amp;$D7,Discounting,Permanent,Trigger,ObjectOverwrite)</f>
        <v>UsdLiborSwapIsdaFixAm1Y#0021</v>
      </c>
      <c r="G7" s="50" t="str">
        <f>_xll.ohRangeRetrieveError(F7)</f>
        <v/>
      </c>
      <c r="H7" s="49"/>
    </row>
    <row r="8" spans="1:8" s="45" customFormat="1" x14ac:dyDescent="0.2">
      <c r="B8" s="55"/>
      <c r="C8" s="54" t="s">
        <v>108</v>
      </c>
      <c r="D8" s="53" t="s">
        <v>14</v>
      </c>
      <c r="E8" s="52" t="str">
        <f t="shared" si="0"/>
        <v>UsdLiborSwapIsdaFixAm2Y</v>
      </c>
      <c r="F8" s="51" t="str">
        <f>_xll.qlLiborSwap($E8,Currency,FixingType,$C8,Currency&amp;$D8,Discounting,Permanent,Trigger,ObjectOverwrite)</f>
        <v>UsdLiborSwapIsdaFixAm2Y#0021</v>
      </c>
      <c r="G8" s="50" t="str">
        <f>_xll.ohRangeRetrieveError(F8)</f>
        <v/>
      </c>
      <c r="H8" s="49"/>
    </row>
    <row r="9" spans="1:8" s="45" customFormat="1" x14ac:dyDescent="0.2">
      <c r="B9" s="55"/>
      <c r="C9" s="54" t="s">
        <v>107</v>
      </c>
      <c r="D9" s="53" t="s">
        <v>14</v>
      </c>
      <c r="E9" s="52" t="str">
        <f t="shared" si="0"/>
        <v>UsdLiborSwapIsdaFixAm3Y</v>
      </c>
      <c r="F9" s="51" t="str">
        <f>_xll.qlLiborSwap($E9,Currency,FixingType,$C9,Currency&amp;$D9,Discounting,Permanent,Trigger,ObjectOverwrite)</f>
        <v>UsdLiborSwapIsdaFixAm3Y#0021</v>
      </c>
      <c r="G9" s="50" t="str">
        <f>_xll.ohRangeRetrieveError(F9)</f>
        <v/>
      </c>
      <c r="H9" s="49"/>
    </row>
    <row r="10" spans="1:8" s="45" customFormat="1" x14ac:dyDescent="0.2">
      <c r="B10" s="55"/>
      <c r="C10" s="54" t="s">
        <v>106</v>
      </c>
      <c r="D10" s="53" t="s">
        <v>14</v>
      </c>
      <c r="E10" s="52" t="str">
        <f t="shared" si="0"/>
        <v>UsdLiborSwapIsdaFixAm4Y</v>
      </c>
      <c r="F10" s="51" t="str">
        <f>_xll.qlLiborSwap($E10,Currency,FixingType,$C10,Currency&amp;$D10,Discounting,Permanent,Trigger,ObjectOverwrite)</f>
        <v>UsdLiborSwapIsdaFixAm4Y#0021</v>
      </c>
      <c r="G10" s="50" t="str">
        <f>_xll.ohRangeRetrieveError(F10)</f>
        <v/>
      </c>
      <c r="H10" s="49"/>
    </row>
    <row r="11" spans="1:8" s="45" customFormat="1" x14ac:dyDescent="0.2">
      <c r="B11" s="55"/>
      <c r="C11" s="54" t="s">
        <v>105</v>
      </c>
      <c r="D11" s="53" t="s">
        <v>14</v>
      </c>
      <c r="E11" s="52" t="str">
        <f t="shared" si="0"/>
        <v>UsdLiborSwapIsdaFixAm5Y</v>
      </c>
      <c r="F11" s="51" t="str">
        <f>_xll.qlLiborSwap($E11,Currency,FixingType,$C11,Currency&amp;$D11,Discounting,Permanent,Trigger,ObjectOverwrite)</f>
        <v>UsdLiborSwapIsdaFixAm5Y#0021</v>
      </c>
      <c r="G11" s="50" t="str">
        <f>_xll.ohRangeRetrieveError(F11)</f>
        <v/>
      </c>
      <c r="H11" s="49"/>
    </row>
    <row r="12" spans="1:8" s="45" customFormat="1" x14ac:dyDescent="0.2">
      <c r="B12" s="55"/>
      <c r="C12" s="54" t="s">
        <v>104</v>
      </c>
      <c r="D12" s="53" t="s">
        <v>14</v>
      </c>
      <c r="E12" s="52" t="str">
        <f t="shared" si="0"/>
        <v>UsdLiborSwapIsdaFixAm6Y</v>
      </c>
      <c r="F12" s="51" t="str">
        <f>_xll.qlLiborSwap($E12,Currency,FixingType,$C12,Currency&amp;$D12,Discounting,Permanent,Trigger,ObjectOverwrite)</f>
        <v>UsdLiborSwapIsdaFixAm6Y#0021</v>
      </c>
      <c r="G12" s="50" t="str">
        <f>_xll.ohRangeRetrieveError(F12)</f>
        <v/>
      </c>
      <c r="H12" s="49"/>
    </row>
    <row r="13" spans="1:8" s="45" customFormat="1" x14ac:dyDescent="0.2">
      <c r="B13" s="55"/>
      <c r="C13" s="54" t="s">
        <v>103</v>
      </c>
      <c r="D13" s="53" t="s">
        <v>14</v>
      </c>
      <c r="E13" s="52" t="str">
        <f t="shared" si="0"/>
        <v>UsdLiborSwapIsdaFixAm7Y</v>
      </c>
      <c r="F13" s="51" t="str">
        <f>_xll.qlLiborSwap($E13,Currency,FixingType,$C13,Currency&amp;$D13,Discounting,Permanent,Trigger,ObjectOverwrite)</f>
        <v>UsdLiborSwapIsdaFixAm7Y#0021</v>
      </c>
      <c r="G13" s="50" t="str">
        <f>_xll.ohRangeRetrieveError(F13)</f>
        <v/>
      </c>
      <c r="H13" s="49"/>
    </row>
    <row r="14" spans="1:8" s="45" customFormat="1" x14ac:dyDescent="0.2">
      <c r="B14" s="55"/>
      <c r="C14" s="54" t="s">
        <v>102</v>
      </c>
      <c r="D14" s="53" t="s">
        <v>14</v>
      </c>
      <c r="E14" s="52" t="str">
        <f t="shared" si="0"/>
        <v>UsdLiborSwapIsdaFixAm8Y</v>
      </c>
      <c r="F14" s="51" t="str">
        <f>_xll.qlLiborSwap($E14,Currency,FixingType,$C14,Currency&amp;$D14,Discounting,Permanent,Trigger,ObjectOverwrite)</f>
        <v>UsdLiborSwapIsdaFixAm8Y#0021</v>
      </c>
      <c r="G14" s="50" t="str">
        <f>_xll.ohRangeRetrieveError(F14)</f>
        <v/>
      </c>
      <c r="H14" s="49"/>
    </row>
    <row r="15" spans="1:8" s="45" customFormat="1" x14ac:dyDescent="0.2">
      <c r="B15" s="55"/>
      <c r="C15" s="54" t="s">
        <v>101</v>
      </c>
      <c r="D15" s="53" t="s">
        <v>14</v>
      </c>
      <c r="E15" s="52" t="str">
        <f t="shared" si="0"/>
        <v>UsdLiborSwapIsdaFixAm9Y</v>
      </c>
      <c r="F15" s="51" t="str">
        <f>_xll.qlLiborSwap($E15,Currency,FixingType,$C15,Currency&amp;$D15,Discounting,Permanent,Trigger,ObjectOverwrite)</f>
        <v>UsdLiborSwapIsdaFixAm9Y#0021</v>
      </c>
      <c r="G15" s="50" t="str">
        <f>_xll.ohRangeRetrieveError(F15)</f>
        <v/>
      </c>
      <c r="H15" s="49"/>
    </row>
    <row r="16" spans="1:8" s="45" customFormat="1" x14ac:dyDescent="0.2">
      <c r="B16" s="55"/>
      <c r="C16" s="54" t="s">
        <v>100</v>
      </c>
      <c r="D16" s="53" t="s">
        <v>14</v>
      </c>
      <c r="E16" s="52" t="str">
        <f t="shared" si="0"/>
        <v>UsdLiborSwapIsdaFixAm10Y</v>
      </c>
      <c r="F16" s="51" t="str">
        <f>_xll.qlLiborSwap($E16,Currency,FixingType,$C16,Currency&amp;$D16,Discounting,Permanent,Trigger,ObjectOverwrite)</f>
        <v>UsdLiborSwapIsdaFixAm10Y#0021</v>
      </c>
      <c r="G16" s="50" t="str">
        <f>_xll.ohRangeRetrieveError(F16)</f>
        <v/>
      </c>
      <c r="H16" s="49"/>
    </row>
    <row r="17" spans="2:8" s="45" customFormat="1" x14ac:dyDescent="0.2">
      <c r="B17" s="55"/>
      <c r="C17" s="54" t="s">
        <v>99</v>
      </c>
      <c r="D17" s="53" t="s">
        <v>14</v>
      </c>
      <c r="E17" s="52" t="str">
        <f t="shared" si="0"/>
        <v>UsdLiborSwapIsdaFixAm11Y</v>
      </c>
      <c r="F17" s="51" t="str">
        <f>_xll.qlLiborSwap($E17,Currency,FixingType,$C17,Currency&amp;$D17,Discounting,Permanent,Trigger,ObjectOverwrite)</f>
        <v>UsdLiborSwapIsdaFixAm11Y#0021</v>
      </c>
      <c r="G17" s="50" t="str">
        <f>_xll.ohRangeRetrieveError(F17)</f>
        <v/>
      </c>
      <c r="H17" s="49"/>
    </row>
    <row r="18" spans="2:8" s="45" customFormat="1" x14ac:dyDescent="0.2">
      <c r="B18" s="55"/>
      <c r="C18" s="54" t="s">
        <v>98</v>
      </c>
      <c r="D18" s="53" t="s">
        <v>14</v>
      </c>
      <c r="E18" s="52" t="str">
        <f t="shared" si="0"/>
        <v>UsdLiborSwapIsdaFixAm12Y</v>
      </c>
      <c r="F18" s="51" t="str">
        <f>_xll.qlLiborSwap($E18,Currency,FixingType,$C18,Currency&amp;$D18,Discounting,Permanent,Trigger,ObjectOverwrite)</f>
        <v>UsdLiborSwapIsdaFixAm12Y#0021</v>
      </c>
      <c r="G18" s="50" t="str">
        <f>_xll.ohRangeRetrieveError(F18)</f>
        <v/>
      </c>
      <c r="H18" s="49"/>
    </row>
    <row r="19" spans="2:8" s="45" customFormat="1" x14ac:dyDescent="0.2">
      <c r="B19" s="55"/>
      <c r="C19" s="54" t="s">
        <v>97</v>
      </c>
      <c r="D19" s="53" t="s">
        <v>14</v>
      </c>
      <c r="E19" s="52" t="str">
        <f t="shared" si="0"/>
        <v>UsdLiborSwapIsdaFixAm13Y</v>
      </c>
      <c r="F19" s="51" t="str">
        <f>_xll.qlLiborSwap($E19,Currency,FixingType,$C19,Currency&amp;$D19,Discounting,Permanent,Trigger,ObjectOverwrite)</f>
        <v>UsdLiborSwapIsdaFixAm13Y#0021</v>
      </c>
      <c r="G19" s="50" t="str">
        <f>_xll.ohRangeRetrieveError(F19)</f>
        <v/>
      </c>
      <c r="H19" s="49"/>
    </row>
    <row r="20" spans="2:8" s="45" customFormat="1" x14ac:dyDescent="0.2">
      <c r="B20" s="55"/>
      <c r="C20" s="54" t="s">
        <v>96</v>
      </c>
      <c r="D20" s="53" t="s">
        <v>14</v>
      </c>
      <c r="E20" s="52" t="str">
        <f t="shared" si="0"/>
        <v>UsdLiborSwapIsdaFixAm14Y</v>
      </c>
      <c r="F20" s="51" t="str">
        <f>_xll.qlLiborSwap($E20,Currency,FixingType,$C20,Currency&amp;$D20,Discounting,Permanent,Trigger,ObjectOverwrite)</f>
        <v>UsdLiborSwapIsdaFixAm14Y#0021</v>
      </c>
      <c r="G20" s="50" t="str">
        <f>_xll.ohRangeRetrieveError(F20)</f>
        <v/>
      </c>
      <c r="H20" s="49"/>
    </row>
    <row r="21" spans="2:8" s="45" customFormat="1" x14ac:dyDescent="0.2">
      <c r="B21" s="55"/>
      <c r="C21" s="54" t="s">
        <v>95</v>
      </c>
      <c r="D21" s="53" t="s">
        <v>14</v>
      </c>
      <c r="E21" s="52" t="str">
        <f t="shared" si="0"/>
        <v>UsdLiborSwapIsdaFixAm15Y</v>
      </c>
      <c r="F21" s="51" t="str">
        <f>_xll.qlLiborSwap($E21,Currency,FixingType,$C21,Currency&amp;$D21,Discounting,Permanent,Trigger,ObjectOverwrite)</f>
        <v>UsdLiborSwapIsdaFixAm15Y#0021</v>
      </c>
      <c r="G21" s="50" t="str">
        <f>_xll.ohRangeRetrieveError(F21)</f>
        <v/>
      </c>
      <c r="H21" s="49"/>
    </row>
    <row r="22" spans="2:8" s="45" customFormat="1" x14ac:dyDescent="0.2">
      <c r="B22" s="55"/>
      <c r="C22" s="54" t="s">
        <v>94</v>
      </c>
      <c r="D22" s="53" t="s">
        <v>14</v>
      </c>
      <c r="E22" s="52" t="str">
        <f t="shared" si="0"/>
        <v>UsdLiborSwapIsdaFixAm16Y</v>
      </c>
      <c r="F22" s="51" t="str">
        <f>_xll.qlLiborSwap($E22,Currency,FixingType,$C22,Currency&amp;$D22,Discounting,Permanent,Trigger,ObjectOverwrite)</f>
        <v>UsdLiborSwapIsdaFixAm16Y#0021</v>
      </c>
      <c r="G22" s="50" t="str">
        <f>_xll.ohRangeRetrieveError(F22)</f>
        <v/>
      </c>
      <c r="H22" s="49"/>
    </row>
    <row r="23" spans="2:8" s="45" customFormat="1" x14ac:dyDescent="0.2">
      <c r="B23" s="55"/>
      <c r="C23" s="54" t="s">
        <v>93</v>
      </c>
      <c r="D23" s="53" t="s">
        <v>14</v>
      </c>
      <c r="E23" s="52" t="str">
        <f t="shared" si="0"/>
        <v>UsdLiborSwapIsdaFixAm17Y</v>
      </c>
      <c r="F23" s="51" t="str">
        <f>_xll.qlLiborSwap($E23,Currency,FixingType,$C23,Currency&amp;$D23,Discounting,Permanent,Trigger,ObjectOverwrite)</f>
        <v>UsdLiborSwapIsdaFixAm17Y#0021</v>
      </c>
      <c r="G23" s="50" t="str">
        <f>_xll.ohRangeRetrieveError(F23)</f>
        <v/>
      </c>
      <c r="H23" s="49"/>
    </row>
    <row r="24" spans="2:8" s="45" customFormat="1" x14ac:dyDescent="0.2">
      <c r="B24" s="55"/>
      <c r="C24" s="54" t="s">
        <v>92</v>
      </c>
      <c r="D24" s="53" t="s">
        <v>14</v>
      </c>
      <c r="E24" s="52" t="str">
        <f t="shared" si="0"/>
        <v>UsdLiborSwapIsdaFixAm18Y</v>
      </c>
      <c r="F24" s="51" t="str">
        <f>_xll.qlLiborSwap($E24,Currency,FixingType,$C24,Currency&amp;$D24,Discounting,Permanent,Trigger,ObjectOverwrite)</f>
        <v>UsdLiborSwapIsdaFixAm18Y#0021</v>
      </c>
      <c r="G24" s="50" t="str">
        <f>_xll.ohRangeRetrieveError(F24)</f>
        <v/>
      </c>
      <c r="H24" s="49"/>
    </row>
    <row r="25" spans="2:8" s="45" customFormat="1" x14ac:dyDescent="0.2">
      <c r="B25" s="55"/>
      <c r="C25" s="54" t="s">
        <v>91</v>
      </c>
      <c r="D25" s="53" t="s">
        <v>14</v>
      </c>
      <c r="E25" s="52" t="str">
        <f t="shared" si="0"/>
        <v>UsdLiborSwapIsdaFixAm19Y</v>
      </c>
      <c r="F25" s="51" t="str">
        <f>_xll.qlLiborSwap($E25,Currency,FixingType,$C25,Currency&amp;$D25,Discounting,Permanent,Trigger,ObjectOverwrite)</f>
        <v>UsdLiborSwapIsdaFixAm19Y#0021</v>
      </c>
      <c r="G25" s="50" t="str">
        <f>_xll.ohRangeRetrieveError(F25)</f>
        <v/>
      </c>
      <c r="H25" s="49"/>
    </row>
    <row r="26" spans="2:8" s="45" customFormat="1" x14ac:dyDescent="0.2">
      <c r="B26" s="55"/>
      <c r="C26" s="54" t="s">
        <v>90</v>
      </c>
      <c r="D26" s="53" t="s">
        <v>14</v>
      </c>
      <c r="E26" s="52" t="str">
        <f t="shared" si="0"/>
        <v>UsdLiborSwapIsdaFixAm20Y</v>
      </c>
      <c r="F26" s="51" t="str">
        <f>_xll.qlLiborSwap($E26,Currency,FixingType,$C26,Currency&amp;$D26,Discounting,Permanent,Trigger,ObjectOverwrite)</f>
        <v>UsdLiborSwapIsdaFixAm20Y#0021</v>
      </c>
      <c r="G26" s="50" t="str">
        <f>_xll.ohRangeRetrieveError(F26)</f>
        <v/>
      </c>
      <c r="H26" s="49"/>
    </row>
    <row r="27" spans="2:8" s="45" customFormat="1" x14ac:dyDescent="0.2">
      <c r="B27" s="55"/>
      <c r="C27" s="54" t="s">
        <v>89</v>
      </c>
      <c r="D27" s="53" t="s">
        <v>14</v>
      </c>
      <c r="E27" s="52" t="str">
        <f t="shared" si="0"/>
        <v>UsdLiborSwapIsdaFixAm21Y</v>
      </c>
      <c r="F27" s="51" t="str">
        <f>_xll.qlLiborSwap($E27,Currency,FixingType,$C27,Currency&amp;$D27,Discounting,Permanent,Trigger,ObjectOverwrite)</f>
        <v>UsdLiborSwapIsdaFixAm21Y#0021</v>
      </c>
      <c r="G27" s="50" t="str">
        <f>_xll.ohRangeRetrieveError(F27)</f>
        <v/>
      </c>
      <c r="H27" s="49"/>
    </row>
    <row r="28" spans="2:8" s="45" customFormat="1" x14ac:dyDescent="0.2">
      <c r="B28" s="55"/>
      <c r="C28" s="54" t="s">
        <v>88</v>
      </c>
      <c r="D28" s="53" t="s">
        <v>14</v>
      </c>
      <c r="E28" s="52" t="str">
        <f t="shared" si="0"/>
        <v>UsdLiborSwapIsdaFixAm22Y</v>
      </c>
      <c r="F28" s="51" t="str">
        <f>_xll.qlLiborSwap($E28,Currency,FixingType,$C28,Currency&amp;$D28,Discounting,Permanent,Trigger,ObjectOverwrite)</f>
        <v>UsdLiborSwapIsdaFixAm22Y#0021</v>
      </c>
      <c r="G28" s="50" t="str">
        <f>_xll.ohRangeRetrieveError(F28)</f>
        <v/>
      </c>
      <c r="H28" s="49"/>
    </row>
    <row r="29" spans="2:8" s="45" customFormat="1" x14ac:dyDescent="0.2">
      <c r="B29" s="55"/>
      <c r="C29" s="54" t="s">
        <v>87</v>
      </c>
      <c r="D29" s="53" t="s">
        <v>14</v>
      </c>
      <c r="E29" s="52" t="str">
        <f t="shared" si="0"/>
        <v>UsdLiborSwapIsdaFixAm23Y</v>
      </c>
      <c r="F29" s="51" t="str">
        <f>_xll.qlLiborSwap($E29,Currency,FixingType,$C29,Currency&amp;$D29,Discounting,Permanent,Trigger,ObjectOverwrite)</f>
        <v>UsdLiborSwapIsdaFixAm23Y#0021</v>
      </c>
      <c r="G29" s="50" t="str">
        <f>_xll.ohRangeRetrieveError(F29)</f>
        <v/>
      </c>
      <c r="H29" s="49"/>
    </row>
    <row r="30" spans="2:8" s="45" customFormat="1" x14ac:dyDescent="0.2">
      <c r="B30" s="55"/>
      <c r="C30" s="54" t="s">
        <v>86</v>
      </c>
      <c r="D30" s="53" t="s">
        <v>14</v>
      </c>
      <c r="E30" s="52" t="str">
        <f t="shared" si="0"/>
        <v>UsdLiborSwapIsdaFixAm24Y</v>
      </c>
      <c r="F30" s="51" t="str">
        <f>_xll.qlLiborSwap($E30,Currency,FixingType,$C30,Currency&amp;$D30,Discounting,Permanent,Trigger,ObjectOverwrite)</f>
        <v>UsdLiborSwapIsdaFixAm24Y#0021</v>
      </c>
      <c r="G30" s="50" t="str">
        <f>_xll.ohRangeRetrieveError(F30)</f>
        <v/>
      </c>
      <c r="H30" s="49"/>
    </row>
    <row r="31" spans="2:8" s="45" customFormat="1" x14ac:dyDescent="0.2">
      <c r="B31" s="55"/>
      <c r="C31" s="54" t="s">
        <v>85</v>
      </c>
      <c r="D31" s="53" t="s">
        <v>14</v>
      </c>
      <c r="E31" s="52" t="str">
        <f t="shared" si="0"/>
        <v>UsdLiborSwapIsdaFixAm25Y</v>
      </c>
      <c r="F31" s="51" t="str">
        <f>_xll.qlLiborSwap($E31,Currency,FixingType,$C31,Currency&amp;$D31,Discounting,Permanent,Trigger,ObjectOverwrite)</f>
        <v>UsdLiborSwapIsdaFixAm25Y#0021</v>
      </c>
      <c r="G31" s="50" t="str">
        <f>_xll.ohRangeRetrieveError(F31)</f>
        <v/>
      </c>
      <c r="H31" s="49"/>
    </row>
    <row r="32" spans="2:8" s="45" customFormat="1" x14ac:dyDescent="0.2">
      <c r="B32" s="55"/>
      <c r="C32" s="54" t="s">
        <v>84</v>
      </c>
      <c r="D32" s="53" t="s">
        <v>14</v>
      </c>
      <c r="E32" s="52" t="str">
        <f t="shared" si="0"/>
        <v>UsdLiborSwapIsdaFixAm26Y</v>
      </c>
      <c r="F32" s="51" t="str">
        <f>_xll.qlLiborSwap($E32,Currency,FixingType,$C32,Currency&amp;$D32,Discounting,Permanent,Trigger,ObjectOverwrite)</f>
        <v>UsdLiborSwapIsdaFixAm26Y#0021</v>
      </c>
      <c r="G32" s="50" t="str">
        <f>_xll.ohRangeRetrieveError(F32)</f>
        <v/>
      </c>
      <c r="H32" s="49"/>
    </row>
    <row r="33" spans="2:8" s="45" customFormat="1" x14ac:dyDescent="0.2">
      <c r="B33" s="55"/>
      <c r="C33" s="54" t="s">
        <v>83</v>
      </c>
      <c r="D33" s="53" t="s">
        <v>14</v>
      </c>
      <c r="E33" s="52" t="str">
        <f t="shared" si="0"/>
        <v>UsdLiborSwapIsdaFixAm27Y</v>
      </c>
      <c r="F33" s="51" t="str">
        <f>_xll.qlLiborSwap($E33,Currency,FixingType,$C33,Currency&amp;$D33,Discounting,Permanent,Trigger,ObjectOverwrite)</f>
        <v>UsdLiborSwapIsdaFixAm27Y#0021</v>
      </c>
      <c r="G33" s="50" t="str">
        <f>_xll.ohRangeRetrieveError(F33)</f>
        <v/>
      </c>
      <c r="H33" s="49"/>
    </row>
    <row r="34" spans="2:8" s="45" customFormat="1" x14ac:dyDescent="0.2">
      <c r="B34" s="55"/>
      <c r="C34" s="54" t="s">
        <v>82</v>
      </c>
      <c r="D34" s="53" t="s">
        <v>14</v>
      </c>
      <c r="E34" s="52" t="str">
        <f t="shared" si="0"/>
        <v>UsdLiborSwapIsdaFixAm28Y</v>
      </c>
      <c r="F34" s="51" t="str">
        <f>_xll.qlLiborSwap($E34,Currency,FixingType,$C34,Currency&amp;$D34,Discounting,Permanent,Trigger,ObjectOverwrite)</f>
        <v>UsdLiborSwapIsdaFixAm28Y#0021</v>
      </c>
      <c r="G34" s="50" t="str">
        <f>_xll.ohRangeRetrieveError(F34)</f>
        <v/>
      </c>
      <c r="H34" s="49"/>
    </row>
    <row r="35" spans="2:8" s="45" customFormat="1" x14ac:dyDescent="0.2">
      <c r="B35" s="55"/>
      <c r="C35" s="54" t="s">
        <v>81</v>
      </c>
      <c r="D35" s="53" t="s">
        <v>14</v>
      </c>
      <c r="E35" s="52" t="str">
        <f t="shared" si="0"/>
        <v>UsdLiborSwapIsdaFixAm29Y</v>
      </c>
      <c r="F35" s="51" t="str">
        <f>_xll.qlLiborSwap($E35,Currency,FixingType,$C35,Currency&amp;$D35,Discounting,Permanent,Trigger,ObjectOverwrite)</f>
        <v>UsdLiborSwapIsdaFixAm29Y#0021</v>
      </c>
      <c r="G35" s="50" t="str">
        <f>_xll.ohRangeRetrieveError(F35)</f>
        <v/>
      </c>
      <c r="H35" s="49"/>
    </row>
    <row r="36" spans="2:8" s="45" customFormat="1" x14ac:dyDescent="0.2">
      <c r="B36" s="55"/>
      <c r="C36" s="54" t="s">
        <v>80</v>
      </c>
      <c r="D36" s="53" t="s">
        <v>14</v>
      </c>
      <c r="E36" s="52" t="str">
        <f t="shared" si="0"/>
        <v>UsdLiborSwapIsdaFixAm30Y</v>
      </c>
      <c r="F36" s="51" t="str">
        <f>_xll.qlLiborSwap($E36,Currency,FixingType,$C36,Currency&amp;$D36,Discounting,Permanent,Trigger,ObjectOverwrite)</f>
        <v>UsdLiborSwapIsdaFixAm30Y#0021</v>
      </c>
      <c r="G36" s="50" t="str">
        <f>_xll.ohRangeRetrieveError(F36)</f>
        <v/>
      </c>
      <c r="H36" s="49"/>
    </row>
    <row r="37" spans="2:8" s="45" customFormat="1" x14ac:dyDescent="0.2">
      <c r="B37" s="55"/>
      <c r="C37" s="54" t="s">
        <v>79</v>
      </c>
      <c r="D37" s="53" t="s">
        <v>14</v>
      </c>
      <c r="E37" s="52" t="str">
        <f t="shared" si="0"/>
        <v>UsdLiborSwapIsdaFixAm31Y</v>
      </c>
      <c r="F37" s="51" t="str">
        <f>_xll.qlLiborSwap($E37,Currency,FixingType,$C37,Currency&amp;$D37,Discounting,Permanent,Trigger,ObjectOverwrite)</f>
        <v>UsdLiborSwapIsdaFixAm31Y#0021</v>
      </c>
      <c r="G37" s="50" t="str">
        <f>_xll.ohRangeRetrieveError(F37)</f>
        <v/>
      </c>
      <c r="H37" s="49"/>
    </row>
    <row r="38" spans="2:8" s="45" customFormat="1" x14ac:dyDescent="0.2">
      <c r="B38" s="55"/>
      <c r="C38" s="54" t="s">
        <v>78</v>
      </c>
      <c r="D38" s="53" t="s">
        <v>14</v>
      </c>
      <c r="E38" s="52" t="str">
        <f t="shared" si="0"/>
        <v>UsdLiborSwapIsdaFixAm32Y</v>
      </c>
      <c r="F38" s="51" t="str">
        <f>_xll.qlLiborSwap($E38,Currency,FixingType,$C38,Currency&amp;$D38,Discounting,Permanent,Trigger,ObjectOverwrite)</f>
        <v>UsdLiborSwapIsdaFixAm32Y#0021</v>
      </c>
      <c r="G38" s="50" t="str">
        <f>_xll.ohRangeRetrieveError(F38)</f>
        <v/>
      </c>
      <c r="H38" s="49"/>
    </row>
    <row r="39" spans="2:8" s="45" customFormat="1" x14ac:dyDescent="0.2">
      <c r="B39" s="55"/>
      <c r="C39" s="54" t="s">
        <v>77</v>
      </c>
      <c r="D39" s="53" t="s">
        <v>14</v>
      </c>
      <c r="E39" s="52" t="str">
        <f t="shared" ref="E39:E66" si="1">PROPER(Currency)&amp;FamilyName&amp;FixingType&amp;$C39</f>
        <v>UsdLiborSwapIsdaFixAm33Y</v>
      </c>
      <c r="F39" s="51" t="str">
        <f>_xll.qlLiborSwap($E39,Currency,FixingType,$C39,Currency&amp;$D39,Discounting,Permanent,Trigger,ObjectOverwrite)</f>
        <v>UsdLiborSwapIsdaFixAm33Y#0021</v>
      </c>
      <c r="G39" s="50" t="str">
        <f>_xll.ohRangeRetrieveError(F39)</f>
        <v/>
      </c>
      <c r="H39" s="49"/>
    </row>
    <row r="40" spans="2:8" s="45" customFormat="1" x14ac:dyDescent="0.2">
      <c r="B40" s="55"/>
      <c r="C40" s="54" t="s">
        <v>76</v>
      </c>
      <c r="D40" s="53" t="s">
        <v>14</v>
      </c>
      <c r="E40" s="52" t="str">
        <f t="shared" si="1"/>
        <v>UsdLiborSwapIsdaFixAm34Y</v>
      </c>
      <c r="F40" s="51" t="str">
        <f>_xll.qlLiborSwap($E40,Currency,FixingType,$C40,Currency&amp;$D40,Discounting,Permanent,Trigger,ObjectOverwrite)</f>
        <v>UsdLiborSwapIsdaFixAm34Y#0021</v>
      </c>
      <c r="G40" s="50" t="str">
        <f>_xll.ohRangeRetrieveError(F40)</f>
        <v/>
      </c>
      <c r="H40" s="49"/>
    </row>
    <row r="41" spans="2:8" s="45" customFormat="1" x14ac:dyDescent="0.2">
      <c r="B41" s="55"/>
      <c r="C41" s="54" t="s">
        <v>75</v>
      </c>
      <c r="D41" s="53" t="s">
        <v>14</v>
      </c>
      <c r="E41" s="52" t="str">
        <f t="shared" si="1"/>
        <v>UsdLiborSwapIsdaFixAm35Y</v>
      </c>
      <c r="F41" s="51" t="str">
        <f>_xll.qlLiborSwap($E41,Currency,FixingType,$C41,Currency&amp;$D41,Discounting,Permanent,Trigger,ObjectOverwrite)</f>
        <v>UsdLiborSwapIsdaFixAm35Y#0021</v>
      </c>
      <c r="G41" s="50" t="str">
        <f>_xll.ohRangeRetrieveError(F41)</f>
        <v/>
      </c>
      <c r="H41" s="49"/>
    </row>
    <row r="42" spans="2:8" s="45" customFormat="1" x14ac:dyDescent="0.2">
      <c r="B42" s="55"/>
      <c r="C42" s="54" t="s">
        <v>74</v>
      </c>
      <c r="D42" s="53" t="s">
        <v>14</v>
      </c>
      <c r="E42" s="52" t="str">
        <f t="shared" si="1"/>
        <v>UsdLiborSwapIsdaFixAm36Y</v>
      </c>
      <c r="F42" s="51" t="str">
        <f>_xll.qlLiborSwap($E42,Currency,FixingType,$C42,Currency&amp;$D42,Discounting,Permanent,Trigger,ObjectOverwrite)</f>
        <v>UsdLiborSwapIsdaFixAm36Y#0021</v>
      </c>
      <c r="G42" s="50" t="str">
        <f>_xll.ohRangeRetrieveError(F42)</f>
        <v/>
      </c>
      <c r="H42" s="49"/>
    </row>
    <row r="43" spans="2:8" s="45" customFormat="1" x14ac:dyDescent="0.2">
      <c r="B43" s="55"/>
      <c r="C43" s="54" t="s">
        <v>73</v>
      </c>
      <c r="D43" s="53" t="s">
        <v>14</v>
      </c>
      <c r="E43" s="52" t="str">
        <f t="shared" si="1"/>
        <v>UsdLiborSwapIsdaFixAm37Y</v>
      </c>
      <c r="F43" s="51" t="str">
        <f>_xll.qlLiborSwap($E43,Currency,FixingType,$C43,Currency&amp;$D43,Discounting,Permanent,Trigger,ObjectOverwrite)</f>
        <v>UsdLiborSwapIsdaFixAm37Y#0021</v>
      </c>
      <c r="G43" s="50" t="str">
        <f>_xll.ohRangeRetrieveError(F43)</f>
        <v/>
      </c>
      <c r="H43" s="49"/>
    </row>
    <row r="44" spans="2:8" s="45" customFormat="1" x14ac:dyDescent="0.2">
      <c r="B44" s="55"/>
      <c r="C44" s="54" t="s">
        <v>72</v>
      </c>
      <c r="D44" s="53" t="s">
        <v>14</v>
      </c>
      <c r="E44" s="52" t="str">
        <f t="shared" si="1"/>
        <v>UsdLiborSwapIsdaFixAm38Y</v>
      </c>
      <c r="F44" s="51" t="str">
        <f>_xll.qlLiborSwap($E44,Currency,FixingType,$C44,Currency&amp;$D44,Discounting,Permanent,Trigger,ObjectOverwrite)</f>
        <v>UsdLiborSwapIsdaFixAm38Y#0021</v>
      </c>
      <c r="G44" s="50" t="str">
        <f>_xll.ohRangeRetrieveError(F44)</f>
        <v/>
      </c>
      <c r="H44" s="49"/>
    </row>
    <row r="45" spans="2:8" s="45" customFormat="1" x14ac:dyDescent="0.2">
      <c r="B45" s="55"/>
      <c r="C45" s="54" t="s">
        <v>71</v>
      </c>
      <c r="D45" s="53" t="s">
        <v>14</v>
      </c>
      <c r="E45" s="52" t="str">
        <f t="shared" si="1"/>
        <v>UsdLiborSwapIsdaFixAm39Y</v>
      </c>
      <c r="F45" s="51" t="str">
        <f>_xll.qlLiborSwap($E45,Currency,FixingType,$C45,Currency&amp;$D45,Discounting,Permanent,Trigger,ObjectOverwrite)</f>
        <v>UsdLiborSwapIsdaFixAm39Y#0021</v>
      </c>
      <c r="G45" s="50" t="str">
        <f>_xll.ohRangeRetrieveError(F45)</f>
        <v/>
      </c>
      <c r="H45" s="49"/>
    </row>
    <row r="46" spans="2:8" s="45" customFormat="1" x14ac:dyDescent="0.2">
      <c r="B46" s="55"/>
      <c r="C46" s="54" t="s">
        <v>70</v>
      </c>
      <c r="D46" s="53" t="s">
        <v>14</v>
      </c>
      <c r="E46" s="52" t="str">
        <f t="shared" si="1"/>
        <v>UsdLiborSwapIsdaFixAm40Y</v>
      </c>
      <c r="F46" s="51" t="str">
        <f>_xll.qlLiborSwap($E46,Currency,FixingType,$C46,Currency&amp;$D46,Discounting,Permanent,Trigger,ObjectOverwrite)</f>
        <v>UsdLiborSwapIsdaFixAm40Y#0021</v>
      </c>
      <c r="G46" s="50" t="str">
        <f>_xll.ohRangeRetrieveError(F46)</f>
        <v/>
      </c>
      <c r="H46" s="49"/>
    </row>
    <row r="47" spans="2:8" s="45" customFormat="1" x14ac:dyDescent="0.2">
      <c r="B47" s="55"/>
      <c r="C47" s="54" t="s">
        <v>69</v>
      </c>
      <c r="D47" s="53" t="s">
        <v>14</v>
      </c>
      <c r="E47" s="52" t="str">
        <f t="shared" si="1"/>
        <v>UsdLiborSwapIsdaFixAm41Y</v>
      </c>
      <c r="F47" s="51" t="str">
        <f>_xll.qlLiborSwap($E47,Currency,FixingType,$C47,Currency&amp;$D47,Discounting,Permanent,Trigger,ObjectOverwrite)</f>
        <v>UsdLiborSwapIsdaFixAm41Y#0021</v>
      </c>
      <c r="G47" s="50" t="str">
        <f>_xll.ohRangeRetrieveError(F47)</f>
        <v/>
      </c>
      <c r="H47" s="49"/>
    </row>
    <row r="48" spans="2:8" s="45" customFormat="1" x14ac:dyDescent="0.2">
      <c r="B48" s="55"/>
      <c r="C48" s="54" t="s">
        <v>68</v>
      </c>
      <c r="D48" s="53" t="s">
        <v>14</v>
      </c>
      <c r="E48" s="52" t="str">
        <f t="shared" si="1"/>
        <v>UsdLiborSwapIsdaFixAm42Y</v>
      </c>
      <c r="F48" s="51" t="str">
        <f>_xll.qlLiborSwap($E48,Currency,FixingType,$C48,Currency&amp;$D48,Discounting,Permanent,Trigger,ObjectOverwrite)</f>
        <v>UsdLiborSwapIsdaFixAm42Y#0021</v>
      </c>
      <c r="G48" s="50" t="str">
        <f>_xll.ohRangeRetrieveError(F48)</f>
        <v/>
      </c>
      <c r="H48" s="49"/>
    </row>
    <row r="49" spans="2:8" s="45" customFormat="1" x14ac:dyDescent="0.2">
      <c r="B49" s="55"/>
      <c r="C49" s="54" t="s">
        <v>67</v>
      </c>
      <c r="D49" s="53" t="s">
        <v>14</v>
      </c>
      <c r="E49" s="52" t="str">
        <f t="shared" si="1"/>
        <v>UsdLiborSwapIsdaFixAm43Y</v>
      </c>
      <c r="F49" s="51" t="str">
        <f>_xll.qlLiborSwap($E49,Currency,FixingType,$C49,Currency&amp;$D49,Discounting,Permanent,Trigger,ObjectOverwrite)</f>
        <v>UsdLiborSwapIsdaFixAm43Y#0021</v>
      </c>
      <c r="G49" s="50" t="str">
        <f>_xll.ohRangeRetrieveError(F49)</f>
        <v/>
      </c>
      <c r="H49" s="49"/>
    </row>
    <row r="50" spans="2:8" s="45" customFormat="1" x14ac:dyDescent="0.2">
      <c r="B50" s="55"/>
      <c r="C50" s="54" t="s">
        <v>66</v>
      </c>
      <c r="D50" s="53" t="s">
        <v>14</v>
      </c>
      <c r="E50" s="52" t="str">
        <f t="shared" si="1"/>
        <v>UsdLiborSwapIsdaFixAm44Y</v>
      </c>
      <c r="F50" s="51" t="str">
        <f>_xll.qlLiborSwap($E50,Currency,FixingType,$C50,Currency&amp;$D50,Discounting,Permanent,Trigger,ObjectOverwrite)</f>
        <v>UsdLiborSwapIsdaFixAm44Y#0021</v>
      </c>
      <c r="G50" s="50" t="str">
        <f>_xll.ohRangeRetrieveError(F50)</f>
        <v/>
      </c>
      <c r="H50" s="49"/>
    </row>
    <row r="51" spans="2:8" s="45" customFormat="1" x14ac:dyDescent="0.2">
      <c r="B51" s="55"/>
      <c r="C51" s="54" t="s">
        <v>65</v>
      </c>
      <c r="D51" s="53" t="s">
        <v>14</v>
      </c>
      <c r="E51" s="52" t="str">
        <f t="shared" si="1"/>
        <v>UsdLiborSwapIsdaFixAm45Y</v>
      </c>
      <c r="F51" s="51" t="str">
        <f>_xll.qlLiborSwap($E51,Currency,FixingType,$C51,Currency&amp;$D51,Discounting,Permanent,Trigger,ObjectOverwrite)</f>
        <v>UsdLiborSwapIsdaFixAm45Y#0021</v>
      </c>
      <c r="G51" s="50" t="str">
        <f>_xll.ohRangeRetrieveError(F51)</f>
        <v/>
      </c>
      <c r="H51" s="49"/>
    </row>
    <row r="52" spans="2:8" s="45" customFormat="1" x14ac:dyDescent="0.2">
      <c r="B52" s="55"/>
      <c r="C52" s="54" t="s">
        <v>64</v>
      </c>
      <c r="D52" s="53" t="s">
        <v>14</v>
      </c>
      <c r="E52" s="52" t="str">
        <f t="shared" si="1"/>
        <v>UsdLiborSwapIsdaFixAm46Y</v>
      </c>
      <c r="F52" s="51" t="str">
        <f>_xll.qlLiborSwap($E52,Currency,FixingType,$C52,Currency&amp;$D52,Discounting,Permanent,Trigger,ObjectOverwrite)</f>
        <v>UsdLiborSwapIsdaFixAm46Y#0021</v>
      </c>
      <c r="G52" s="50" t="str">
        <f>_xll.ohRangeRetrieveError(F52)</f>
        <v/>
      </c>
      <c r="H52" s="49"/>
    </row>
    <row r="53" spans="2:8" s="45" customFormat="1" x14ac:dyDescent="0.2">
      <c r="B53" s="55"/>
      <c r="C53" s="54" t="s">
        <v>63</v>
      </c>
      <c r="D53" s="53" t="s">
        <v>14</v>
      </c>
      <c r="E53" s="52" t="str">
        <f t="shared" si="1"/>
        <v>UsdLiborSwapIsdaFixAm47Y</v>
      </c>
      <c r="F53" s="51" t="str">
        <f>_xll.qlLiborSwap($E53,Currency,FixingType,$C53,Currency&amp;$D53,Discounting,Permanent,Trigger,ObjectOverwrite)</f>
        <v>UsdLiborSwapIsdaFixAm47Y#0021</v>
      </c>
      <c r="G53" s="50" t="str">
        <f>_xll.ohRangeRetrieveError(F53)</f>
        <v/>
      </c>
      <c r="H53" s="49"/>
    </row>
    <row r="54" spans="2:8" s="45" customFormat="1" x14ac:dyDescent="0.2">
      <c r="B54" s="55"/>
      <c r="C54" s="54" t="s">
        <v>62</v>
      </c>
      <c r="D54" s="53" t="s">
        <v>14</v>
      </c>
      <c r="E54" s="52" t="str">
        <f t="shared" si="1"/>
        <v>UsdLiborSwapIsdaFixAm48Y</v>
      </c>
      <c r="F54" s="51" t="str">
        <f>_xll.qlLiborSwap($E54,Currency,FixingType,$C54,Currency&amp;$D54,Discounting,Permanent,Trigger,ObjectOverwrite)</f>
        <v>UsdLiborSwapIsdaFixAm48Y#0021</v>
      </c>
      <c r="G54" s="50" t="str">
        <f>_xll.ohRangeRetrieveError(F54)</f>
        <v/>
      </c>
      <c r="H54" s="49"/>
    </row>
    <row r="55" spans="2:8" s="45" customFormat="1" x14ac:dyDescent="0.2">
      <c r="B55" s="55"/>
      <c r="C55" s="54" t="s">
        <v>61</v>
      </c>
      <c r="D55" s="53" t="s">
        <v>14</v>
      </c>
      <c r="E55" s="52" t="str">
        <f t="shared" si="1"/>
        <v>UsdLiborSwapIsdaFixAm49Y</v>
      </c>
      <c r="F55" s="51" t="str">
        <f>_xll.qlLiborSwap($E55,Currency,FixingType,$C55,Currency&amp;$D55,Discounting,Permanent,Trigger,ObjectOverwrite)</f>
        <v>UsdLiborSwapIsdaFixAm49Y#0021</v>
      </c>
      <c r="G55" s="50" t="str">
        <f>_xll.ohRangeRetrieveError(F55)</f>
        <v/>
      </c>
      <c r="H55" s="49"/>
    </row>
    <row r="56" spans="2:8" s="45" customFormat="1" x14ac:dyDescent="0.2">
      <c r="B56" s="55"/>
      <c r="C56" s="54" t="s">
        <v>60</v>
      </c>
      <c r="D56" s="53" t="s">
        <v>14</v>
      </c>
      <c r="E56" s="52" t="str">
        <f t="shared" si="1"/>
        <v>UsdLiborSwapIsdaFixAm50Y</v>
      </c>
      <c r="F56" s="51" t="str">
        <f>_xll.qlLiborSwap($E56,Currency,FixingType,$C56,Currency&amp;$D56,Discounting,Permanent,Trigger,ObjectOverwrite)</f>
        <v>UsdLiborSwapIsdaFixAm50Y#0021</v>
      </c>
      <c r="G56" s="50" t="str">
        <f>_xll.ohRangeRetrieveError(F56)</f>
        <v/>
      </c>
      <c r="H56" s="49"/>
    </row>
    <row r="57" spans="2:8" s="45" customFormat="1" x14ac:dyDescent="0.2">
      <c r="B57" s="55"/>
      <c r="C57" s="54" t="s">
        <v>59</v>
      </c>
      <c r="D57" s="53" t="s">
        <v>14</v>
      </c>
      <c r="E57" s="52" t="str">
        <f t="shared" si="1"/>
        <v>UsdLiborSwapIsdaFixAm51Y</v>
      </c>
      <c r="F57" s="51" t="str">
        <f>_xll.qlLiborSwap($E57,Currency,FixingType,$C57,Currency&amp;$D57,Discounting,Permanent,Trigger,ObjectOverwrite)</f>
        <v>UsdLiborSwapIsdaFixAm51Y#0021</v>
      </c>
      <c r="G57" s="50" t="str">
        <f>_xll.ohRangeRetrieveError(F57)</f>
        <v/>
      </c>
      <c r="H57" s="49"/>
    </row>
    <row r="58" spans="2:8" s="45" customFormat="1" x14ac:dyDescent="0.2">
      <c r="B58" s="55"/>
      <c r="C58" s="54" t="s">
        <v>58</v>
      </c>
      <c r="D58" s="53" t="s">
        <v>14</v>
      </c>
      <c r="E58" s="52" t="str">
        <f t="shared" si="1"/>
        <v>UsdLiborSwapIsdaFixAm52Y</v>
      </c>
      <c r="F58" s="51" t="str">
        <f>_xll.qlLiborSwap($E58,Currency,FixingType,$C58,Currency&amp;$D58,Discounting,Permanent,Trigger,ObjectOverwrite)</f>
        <v>UsdLiborSwapIsdaFixAm52Y#0021</v>
      </c>
      <c r="G58" s="50" t="str">
        <f>_xll.ohRangeRetrieveError(F58)</f>
        <v/>
      </c>
      <c r="H58" s="49"/>
    </row>
    <row r="59" spans="2:8" s="45" customFormat="1" x14ac:dyDescent="0.2">
      <c r="B59" s="55"/>
      <c r="C59" s="54" t="s">
        <v>57</v>
      </c>
      <c r="D59" s="53" t="s">
        <v>14</v>
      </c>
      <c r="E59" s="52" t="str">
        <f t="shared" si="1"/>
        <v>UsdLiborSwapIsdaFixAm53Y</v>
      </c>
      <c r="F59" s="51" t="str">
        <f>_xll.qlLiborSwap($E59,Currency,FixingType,$C59,Currency&amp;$D59,Discounting,Permanent,Trigger,ObjectOverwrite)</f>
        <v>UsdLiborSwapIsdaFixAm53Y#0021</v>
      </c>
      <c r="G59" s="50" t="str">
        <f>_xll.ohRangeRetrieveError(F59)</f>
        <v/>
      </c>
      <c r="H59" s="49"/>
    </row>
    <row r="60" spans="2:8" s="45" customFormat="1" x14ac:dyDescent="0.2">
      <c r="B60" s="55"/>
      <c r="C60" s="54" t="s">
        <v>56</v>
      </c>
      <c r="D60" s="53" t="s">
        <v>14</v>
      </c>
      <c r="E60" s="52" t="str">
        <f t="shared" si="1"/>
        <v>UsdLiborSwapIsdaFixAm54Y</v>
      </c>
      <c r="F60" s="51" t="str">
        <f>_xll.qlLiborSwap($E60,Currency,FixingType,$C60,Currency&amp;$D60,Discounting,Permanent,Trigger,ObjectOverwrite)</f>
        <v>UsdLiborSwapIsdaFixAm54Y#0021</v>
      </c>
      <c r="G60" s="50" t="str">
        <f>_xll.ohRangeRetrieveError(F60)</f>
        <v/>
      </c>
      <c r="H60" s="49"/>
    </row>
    <row r="61" spans="2:8" s="45" customFormat="1" x14ac:dyDescent="0.2">
      <c r="B61" s="55"/>
      <c r="C61" s="54" t="s">
        <v>55</v>
      </c>
      <c r="D61" s="53" t="s">
        <v>14</v>
      </c>
      <c r="E61" s="52" t="str">
        <f t="shared" si="1"/>
        <v>UsdLiborSwapIsdaFixAm55Y</v>
      </c>
      <c r="F61" s="51" t="str">
        <f>_xll.qlLiborSwap($E61,Currency,FixingType,$C61,Currency&amp;$D61,Discounting,Permanent,Trigger,ObjectOverwrite)</f>
        <v>UsdLiborSwapIsdaFixAm55Y#0021</v>
      </c>
      <c r="G61" s="50" t="str">
        <f>_xll.ohRangeRetrieveError(F61)</f>
        <v/>
      </c>
      <c r="H61" s="49"/>
    </row>
    <row r="62" spans="2:8" s="45" customFormat="1" x14ac:dyDescent="0.2">
      <c r="B62" s="55"/>
      <c r="C62" s="54" t="s">
        <v>54</v>
      </c>
      <c r="D62" s="53" t="s">
        <v>14</v>
      </c>
      <c r="E62" s="52" t="str">
        <f t="shared" si="1"/>
        <v>UsdLiborSwapIsdaFixAm56Y</v>
      </c>
      <c r="F62" s="51" t="str">
        <f>_xll.qlLiborSwap($E62,Currency,FixingType,$C62,Currency&amp;$D62,Discounting,Permanent,Trigger,ObjectOverwrite)</f>
        <v>UsdLiborSwapIsdaFixAm56Y#0021</v>
      </c>
      <c r="G62" s="50" t="str">
        <f>_xll.ohRangeRetrieveError(F62)</f>
        <v/>
      </c>
      <c r="H62" s="49"/>
    </row>
    <row r="63" spans="2:8" s="45" customFormat="1" x14ac:dyDescent="0.2">
      <c r="B63" s="55"/>
      <c r="C63" s="54" t="s">
        <v>53</v>
      </c>
      <c r="D63" s="53" t="s">
        <v>14</v>
      </c>
      <c r="E63" s="52" t="str">
        <f t="shared" si="1"/>
        <v>UsdLiborSwapIsdaFixAm57Y</v>
      </c>
      <c r="F63" s="51" t="str">
        <f>_xll.qlLiborSwap($E63,Currency,FixingType,$C63,Currency&amp;$D63,Discounting,Permanent,Trigger,ObjectOverwrite)</f>
        <v>UsdLiborSwapIsdaFixAm57Y#0021</v>
      </c>
      <c r="G63" s="50" t="str">
        <f>_xll.ohRangeRetrieveError(F63)</f>
        <v/>
      </c>
      <c r="H63" s="49"/>
    </row>
    <row r="64" spans="2:8" s="45" customFormat="1" x14ac:dyDescent="0.2">
      <c r="B64" s="55"/>
      <c r="C64" s="54" t="s">
        <v>52</v>
      </c>
      <c r="D64" s="53" t="s">
        <v>14</v>
      </c>
      <c r="E64" s="52" t="str">
        <f t="shared" si="1"/>
        <v>UsdLiborSwapIsdaFixAm58Y</v>
      </c>
      <c r="F64" s="51" t="str">
        <f>_xll.qlLiborSwap($E64,Currency,FixingType,$C64,Currency&amp;$D64,Discounting,Permanent,Trigger,ObjectOverwrite)</f>
        <v>UsdLiborSwapIsdaFixAm58Y#0021</v>
      </c>
      <c r="G64" s="50" t="str">
        <f>_xll.ohRangeRetrieveError(F64)</f>
        <v/>
      </c>
      <c r="H64" s="49"/>
    </row>
    <row r="65" spans="2:8" s="45" customFormat="1" x14ac:dyDescent="0.2">
      <c r="B65" s="55"/>
      <c r="C65" s="54" t="s">
        <v>51</v>
      </c>
      <c r="D65" s="53" t="s">
        <v>14</v>
      </c>
      <c r="E65" s="52" t="str">
        <f t="shared" si="1"/>
        <v>UsdLiborSwapIsdaFixAm59Y</v>
      </c>
      <c r="F65" s="51" t="str">
        <f>_xll.qlLiborSwap($E65,Currency,FixingType,$C65,Currency&amp;$D65,Discounting,Permanent,Trigger,ObjectOverwrite)</f>
        <v>UsdLiborSwapIsdaFixAm59Y#0021</v>
      </c>
      <c r="G65" s="50" t="str">
        <f>_xll.ohRangeRetrieveError(F65)</f>
        <v/>
      </c>
      <c r="H65" s="49"/>
    </row>
    <row r="66" spans="2:8" s="45" customFormat="1" x14ac:dyDescent="0.2">
      <c r="B66" s="55"/>
      <c r="C66" s="54" t="s">
        <v>50</v>
      </c>
      <c r="D66" s="53" t="s">
        <v>14</v>
      </c>
      <c r="E66" s="52" t="str">
        <f t="shared" si="1"/>
        <v>UsdLiborSwapIsdaFixAm60Y</v>
      </c>
      <c r="F66" s="51" t="str">
        <f>_xll.qlLiborSwap($E66,Currency,FixingType,$C66,Currency&amp;$D66,Discounting,Permanent,Trigger,ObjectOverwrite)</f>
        <v>UsdLiborSwapIsdaFixAm60Y#0021</v>
      </c>
      <c r="G66" s="50" t="str">
        <f>_xll.ohRangeRetrieveError(F66)</f>
        <v/>
      </c>
      <c r="H66" s="49"/>
    </row>
    <row r="67" spans="2:8" s="45" customFormat="1" ht="12" thickBot="1" x14ac:dyDescent="0.25">
      <c r="B67" s="48"/>
      <c r="C67" s="47"/>
      <c r="D67" s="47"/>
      <c r="E67" s="47"/>
      <c r="F67" s="47"/>
      <c r="G67" s="47"/>
      <c r="H67" s="46"/>
    </row>
    <row r="68" spans="2:8" s="45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8" width="5.28515625" style="22" customWidth="1"/>
    <col min="9" max="16384" width="9.140625" style="22"/>
  </cols>
  <sheetData>
    <row r="1" spans="1:8" s="45" customFormat="1" ht="12" thickBot="1" x14ac:dyDescent="0.25">
      <c r="A1" s="45" t="s">
        <v>123</v>
      </c>
    </row>
    <row r="2" spans="1:8" s="45" customFormat="1" x14ac:dyDescent="0.2">
      <c r="B2" s="65"/>
      <c r="C2" s="63"/>
      <c r="D2" s="63"/>
      <c r="E2" s="64"/>
      <c r="F2" s="63"/>
      <c r="G2" s="63"/>
      <c r="H2" s="62"/>
    </row>
    <row r="3" spans="1:8" s="45" customFormat="1" x14ac:dyDescent="0.2">
      <c r="B3" s="55"/>
      <c r="C3" s="60"/>
      <c r="D3" s="60"/>
      <c r="E3" s="61" t="s">
        <v>49</v>
      </c>
      <c r="F3" s="57" t="s">
        <v>112</v>
      </c>
      <c r="G3" s="60"/>
      <c r="H3" s="56"/>
    </row>
    <row r="4" spans="1:8" s="45" customFormat="1" x14ac:dyDescent="0.2">
      <c r="B4" s="55"/>
      <c r="C4" s="60"/>
      <c r="D4" s="60"/>
      <c r="E4" s="61" t="s">
        <v>111</v>
      </c>
      <c r="F4" s="57" t="s">
        <v>113</v>
      </c>
      <c r="G4" s="60"/>
      <c r="H4" s="56"/>
    </row>
    <row r="5" spans="1:8" s="45" customFormat="1" x14ac:dyDescent="0.2">
      <c r="B5" s="55"/>
      <c r="C5" s="60"/>
      <c r="D5" s="60"/>
      <c r="E5" s="60"/>
      <c r="F5" s="60"/>
      <c r="G5" s="60"/>
      <c r="H5" s="56"/>
    </row>
    <row r="6" spans="1:8" s="45" customFormat="1" x14ac:dyDescent="0.2">
      <c r="B6" s="55"/>
      <c r="C6" s="60"/>
      <c r="D6" s="59" t="s">
        <v>109</v>
      </c>
      <c r="E6" s="58" t="str">
        <f>PROPER(Currency)&amp;FamilyName&amp;FixingType&amp;".xml"</f>
        <v>UsdLiborSwapIsdaFixPm.xml</v>
      </c>
      <c r="F6" s="57">
        <f ca="1">IF(Serialize,_xll.ohObjectSave(F7:F66,SerializationPath&amp;FileName,FileOverwrite,,Serialize),"---")</f>
        <v>60</v>
      </c>
      <c r="G6" s="50" t="str">
        <f ca="1">_xll.ohRangeRetrieveError(F6)</f>
        <v/>
      </c>
      <c r="H6" s="56"/>
    </row>
    <row r="7" spans="1:8" s="45" customFormat="1" x14ac:dyDescent="0.2">
      <c r="B7" s="55"/>
      <c r="C7" s="67" t="s">
        <v>29</v>
      </c>
      <c r="D7" s="29" t="s">
        <v>14</v>
      </c>
      <c r="E7" s="66" t="str">
        <f t="shared" ref="E7:E38" si="0">PROPER(Currency)&amp;FamilyName&amp;FixingType&amp;$C7</f>
        <v>UsdLiborSwapIsdaFixPm1Y</v>
      </c>
      <c r="F7" s="51" t="str">
        <f>_xll.qlLiborSwap($E7,Currency,FixingType,$C7,Currency&amp;$D7,Discounting,Permanent,Trigger,ObjectOverwrite)</f>
        <v>UsdLiborSwapIsdaFixPm1Y#0021</v>
      </c>
      <c r="G7" s="50" t="str">
        <f>_xll.ohRangeRetrieveError(F7)</f>
        <v/>
      </c>
      <c r="H7" s="49"/>
    </row>
    <row r="8" spans="1:8" s="45" customFormat="1" x14ac:dyDescent="0.2">
      <c r="B8" s="55"/>
      <c r="C8" s="67" t="s">
        <v>108</v>
      </c>
      <c r="D8" s="29" t="s">
        <v>14</v>
      </c>
      <c r="E8" s="66" t="str">
        <f t="shared" si="0"/>
        <v>UsdLiborSwapIsdaFixPm2Y</v>
      </c>
      <c r="F8" s="51" t="str">
        <f>_xll.qlLiborSwap($E8,Currency,FixingType,$C8,Currency&amp;$D8,Discounting,Permanent,Trigger,ObjectOverwrite)</f>
        <v>UsdLiborSwapIsdaFixPm2Y#0021</v>
      </c>
      <c r="G8" s="50" t="str">
        <f>_xll.ohRangeRetrieveError(F8)</f>
        <v/>
      </c>
      <c r="H8" s="49"/>
    </row>
    <row r="9" spans="1:8" s="45" customFormat="1" x14ac:dyDescent="0.2">
      <c r="B9" s="55"/>
      <c r="C9" s="67" t="s">
        <v>107</v>
      </c>
      <c r="D9" s="29" t="s">
        <v>14</v>
      </c>
      <c r="E9" s="66" t="str">
        <f t="shared" si="0"/>
        <v>UsdLiborSwapIsdaFixPm3Y</v>
      </c>
      <c r="F9" s="51" t="str">
        <f>_xll.qlLiborSwap($E9,Currency,FixingType,$C9,Currency&amp;$D9,Discounting,Permanent,Trigger,ObjectOverwrite)</f>
        <v>UsdLiborSwapIsdaFixPm3Y#0021</v>
      </c>
      <c r="G9" s="50" t="str">
        <f>_xll.ohRangeRetrieveError(F9)</f>
        <v/>
      </c>
      <c r="H9" s="49"/>
    </row>
    <row r="10" spans="1:8" s="45" customFormat="1" x14ac:dyDescent="0.2">
      <c r="B10" s="55"/>
      <c r="C10" s="67" t="s">
        <v>106</v>
      </c>
      <c r="D10" s="29" t="s">
        <v>14</v>
      </c>
      <c r="E10" s="66" t="str">
        <f t="shared" si="0"/>
        <v>UsdLiborSwapIsdaFixPm4Y</v>
      </c>
      <c r="F10" s="51" t="str">
        <f>_xll.qlLiborSwap($E10,Currency,FixingType,$C10,Currency&amp;$D10,Discounting,Permanent,Trigger,ObjectOverwrite)</f>
        <v>UsdLiborSwapIsdaFixPm4Y#0021</v>
      </c>
      <c r="G10" s="50" t="str">
        <f>_xll.ohRangeRetrieveError(F10)</f>
        <v/>
      </c>
      <c r="H10" s="49"/>
    </row>
    <row r="11" spans="1:8" s="45" customFormat="1" x14ac:dyDescent="0.2">
      <c r="B11" s="55"/>
      <c r="C11" s="67" t="s">
        <v>105</v>
      </c>
      <c r="D11" s="29" t="s">
        <v>14</v>
      </c>
      <c r="E11" s="66" t="str">
        <f t="shared" si="0"/>
        <v>UsdLiborSwapIsdaFixPm5Y</v>
      </c>
      <c r="F11" s="51" t="str">
        <f>_xll.qlLiborSwap($E11,Currency,FixingType,$C11,Currency&amp;$D11,Discounting,Permanent,Trigger,ObjectOverwrite)</f>
        <v>UsdLiborSwapIsdaFixPm5Y#0021</v>
      </c>
      <c r="G11" s="50" t="str">
        <f>_xll.ohRangeRetrieveError(F11)</f>
        <v/>
      </c>
      <c r="H11" s="49"/>
    </row>
    <row r="12" spans="1:8" s="45" customFormat="1" x14ac:dyDescent="0.2">
      <c r="B12" s="55"/>
      <c r="C12" s="67" t="s">
        <v>104</v>
      </c>
      <c r="D12" s="29" t="s">
        <v>14</v>
      </c>
      <c r="E12" s="66" t="str">
        <f t="shared" si="0"/>
        <v>UsdLiborSwapIsdaFixPm6Y</v>
      </c>
      <c r="F12" s="51" t="str">
        <f>_xll.qlLiborSwap($E12,Currency,FixingType,$C12,Currency&amp;$D12,Discounting,Permanent,Trigger,ObjectOverwrite)</f>
        <v>UsdLiborSwapIsdaFixPm6Y#0021</v>
      </c>
      <c r="G12" s="50" t="str">
        <f>_xll.ohRangeRetrieveError(F12)</f>
        <v/>
      </c>
      <c r="H12" s="49"/>
    </row>
    <row r="13" spans="1:8" s="45" customFormat="1" x14ac:dyDescent="0.2">
      <c r="B13" s="55"/>
      <c r="C13" s="67" t="s">
        <v>103</v>
      </c>
      <c r="D13" s="29" t="s">
        <v>14</v>
      </c>
      <c r="E13" s="66" t="str">
        <f t="shared" si="0"/>
        <v>UsdLiborSwapIsdaFixPm7Y</v>
      </c>
      <c r="F13" s="51" t="str">
        <f>_xll.qlLiborSwap($E13,Currency,FixingType,$C13,Currency&amp;$D13,Discounting,Permanent,Trigger,ObjectOverwrite)</f>
        <v>UsdLiborSwapIsdaFixPm7Y#0021</v>
      </c>
      <c r="G13" s="50" t="str">
        <f>_xll.ohRangeRetrieveError(F13)</f>
        <v/>
      </c>
      <c r="H13" s="49"/>
    </row>
    <row r="14" spans="1:8" s="45" customFormat="1" x14ac:dyDescent="0.2">
      <c r="B14" s="55"/>
      <c r="C14" s="67" t="s">
        <v>102</v>
      </c>
      <c r="D14" s="29" t="s">
        <v>14</v>
      </c>
      <c r="E14" s="66" t="str">
        <f t="shared" si="0"/>
        <v>UsdLiborSwapIsdaFixPm8Y</v>
      </c>
      <c r="F14" s="51" t="str">
        <f>_xll.qlLiborSwap($E14,Currency,FixingType,$C14,Currency&amp;$D14,Discounting,Permanent,Trigger,ObjectOverwrite)</f>
        <v>UsdLiborSwapIsdaFixPm8Y#0021</v>
      </c>
      <c r="G14" s="50" t="str">
        <f>_xll.ohRangeRetrieveError(F14)</f>
        <v/>
      </c>
      <c r="H14" s="49"/>
    </row>
    <row r="15" spans="1:8" s="45" customFormat="1" x14ac:dyDescent="0.2">
      <c r="B15" s="55"/>
      <c r="C15" s="67" t="s">
        <v>101</v>
      </c>
      <c r="D15" s="29" t="s">
        <v>14</v>
      </c>
      <c r="E15" s="66" t="str">
        <f t="shared" si="0"/>
        <v>UsdLiborSwapIsdaFixPm9Y</v>
      </c>
      <c r="F15" s="51" t="str">
        <f>_xll.qlLiborSwap($E15,Currency,FixingType,$C15,Currency&amp;$D15,Discounting,Permanent,Trigger,ObjectOverwrite)</f>
        <v>UsdLiborSwapIsdaFixPm9Y#0021</v>
      </c>
      <c r="G15" s="50" t="str">
        <f>_xll.ohRangeRetrieveError(F15)</f>
        <v/>
      </c>
      <c r="H15" s="49"/>
    </row>
    <row r="16" spans="1:8" s="45" customFormat="1" x14ac:dyDescent="0.2">
      <c r="B16" s="55"/>
      <c r="C16" s="67" t="s">
        <v>100</v>
      </c>
      <c r="D16" s="29" t="s">
        <v>14</v>
      </c>
      <c r="E16" s="66" t="str">
        <f t="shared" si="0"/>
        <v>UsdLiborSwapIsdaFixPm10Y</v>
      </c>
      <c r="F16" s="51" t="str">
        <f>_xll.qlLiborSwap($E16,Currency,FixingType,$C16,Currency&amp;$D16,Discounting,Permanent,Trigger,ObjectOverwrite)</f>
        <v>UsdLiborSwapIsdaFixPm10Y#0021</v>
      </c>
      <c r="G16" s="50" t="str">
        <f>_xll.ohRangeRetrieveError(F16)</f>
        <v/>
      </c>
      <c r="H16" s="49"/>
    </row>
    <row r="17" spans="2:8" s="45" customFormat="1" x14ac:dyDescent="0.2">
      <c r="B17" s="55"/>
      <c r="C17" s="67" t="s">
        <v>99</v>
      </c>
      <c r="D17" s="29" t="s">
        <v>14</v>
      </c>
      <c r="E17" s="66" t="str">
        <f t="shared" si="0"/>
        <v>UsdLiborSwapIsdaFixPm11Y</v>
      </c>
      <c r="F17" s="51" t="str">
        <f>_xll.qlLiborSwap($E17,Currency,FixingType,$C17,Currency&amp;$D17,Discounting,Permanent,Trigger,ObjectOverwrite)</f>
        <v>UsdLiborSwapIsdaFixPm11Y#0021</v>
      </c>
      <c r="G17" s="50" t="str">
        <f>_xll.ohRangeRetrieveError(F17)</f>
        <v/>
      </c>
      <c r="H17" s="49"/>
    </row>
    <row r="18" spans="2:8" s="45" customFormat="1" x14ac:dyDescent="0.2">
      <c r="B18" s="55"/>
      <c r="C18" s="67" t="s">
        <v>98</v>
      </c>
      <c r="D18" s="29" t="s">
        <v>14</v>
      </c>
      <c r="E18" s="66" t="str">
        <f t="shared" si="0"/>
        <v>UsdLiborSwapIsdaFixPm12Y</v>
      </c>
      <c r="F18" s="51" t="str">
        <f>_xll.qlLiborSwap($E18,Currency,FixingType,$C18,Currency&amp;$D18,Discounting,Permanent,Trigger,ObjectOverwrite)</f>
        <v>UsdLiborSwapIsdaFixPm12Y#0021</v>
      </c>
      <c r="G18" s="50" t="str">
        <f>_xll.ohRangeRetrieveError(F18)</f>
        <v/>
      </c>
      <c r="H18" s="49"/>
    </row>
    <row r="19" spans="2:8" s="45" customFormat="1" x14ac:dyDescent="0.2">
      <c r="B19" s="55"/>
      <c r="C19" s="67" t="s">
        <v>97</v>
      </c>
      <c r="D19" s="29" t="s">
        <v>14</v>
      </c>
      <c r="E19" s="66" t="str">
        <f t="shared" si="0"/>
        <v>UsdLiborSwapIsdaFixPm13Y</v>
      </c>
      <c r="F19" s="51" t="str">
        <f>_xll.qlLiborSwap($E19,Currency,FixingType,$C19,Currency&amp;$D19,Discounting,Permanent,Trigger,ObjectOverwrite)</f>
        <v>UsdLiborSwapIsdaFixPm13Y#0021</v>
      </c>
      <c r="G19" s="50" t="str">
        <f>_xll.ohRangeRetrieveError(F19)</f>
        <v/>
      </c>
      <c r="H19" s="49"/>
    </row>
    <row r="20" spans="2:8" s="45" customFormat="1" x14ac:dyDescent="0.2">
      <c r="B20" s="55"/>
      <c r="C20" s="67" t="s">
        <v>96</v>
      </c>
      <c r="D20" s="29" t="s">
        <v>14</v>
      </c>
      <c r="E20" s="66" t="str">
        <f t="shared" si="0"/>
        <v>UsdLiborSwapIsdaFixPm14Y</v>
      </c>
      <c r="F20" s="51" t="str">
        <f>_xll.qlLiborSwap($E20,Currency,FixingType,$C20,Currency&amp;$D20,Discounting,Permanent,Trigger,ObjectOverwrite)</f>
        <v>UsdLiborSwapIsdaFixPm14Y#0021</v>
      </c>
      <c r="G20" s="50" t="str">
        <f>_xll.ohRangeRetrieveError(F20)</f>
        <v/>
      </c>
      <c r="H20" s="49"/>
    </row>
    <row r="21" spans="2:8" s="45" customFormat="1" x14ac:dyDescent="0.2">
      <c r="B21" s="55"/>
      <c r="C21" s="67" t="s">
        <v>95</v>
      </c>
      <c r="D21" s="29" t="s">
        <v>14</v>
      </c>
      <c r="E21" s="66" t="str">
        <f t="shared" si="0"/>
        <v>UsdLiborSwapIsdaFixPm15Y</v>
      </c>
      <c r="F21" s="51" t="str">
        <f>_xll.qlLiborSwap($E21,Currency,FixingType,$C21,Currency&amp;$D21,Discounting,Permanent,Trigger,ObjectOverwrite)</f>
        <v>UsdLiborSwapIsdaFixPm15Y#0021</v>
      </c>
      <c r="G21" s="50" t="str">
        <f>_xll.ohRangeRetrieveError(F21)</f>
        <v/>
      </c>
      <c r="H21" s="49"/>
    </row>
    <row r="22" spans="2:8" s="45" customFormat="1" x14ac:dyDescent="0.2">
      <c r="B22" s="55"/>
      <c r="C22" s="67" t="s">
        <v>94</v>
      </c>
      <c r="D22" s="29" t="s">
        <v>14</v>
      </c>
      <c r="E22" s="66" t="str">
        <f t="shared" si="0"/>
        <v>UsdLiborSwapIsdaFixPm16Y</v>
      </c>
      <c r="F22" s="51" t="str">
        <f>_xll.qlLiborSwap($E22,Currency,FixingType,$C22,Currency&amp;$D22,Discounting,Permanent,Trigger,ObjectOverwrite)</f>
        <v>UsdLiborSwapIsdaFixPm16Y#0021</v>
      </c>
      <c r="G22" s="50" t="str">
        <f>_xll.ohRangeRetrieveError(F22)</f>
        <v/>
      </c>
      <c r="H22" s="49"/>
    </row>
    <row r="23" spans="2:8" s="45" customFormat="1" x14ac:dyDescent="0.2">
      <c r="B23" s="55"/>
      <c r="C23" s="67" t="s">
        <v>93</v>
      </c>
      <c r="D23" s="29" t="s">
        <v>14</v>
      </c>
      <c r="E23" s="66" t="str">
        <f t="shared" si="0"/>
        <v>UsdLiborSwapIsdaFixPm17Y</v>
      </c>
      <c r="F23" s="51" t="str">
        <f>_xll.qlLiborSwap($E23,Currency,FixingType,$C23,Currency&amp;$D23,Discounting,Permanent,Trigger,ObjectOverwrite)</f>
        <v>UsdLiborSwapIsdaFixPm17Y#0021</v>
      </c>
      <c r="G23" s="50" t="str">
        <f>_xll.ohRangeRetrieveError(F23)</f>
        <v/>
      </c>
      <c r="H23" s="49"/>
    </row>
    <row r="24" spans="2:8" s="45" customFormat="1" x14ac:dyDescent="0.2">
      <c r="B24" s="55"/>
      <c r="C24" s="67" t="s">
        <v>92</v>
      </c>
      <c r="D24" s="29" t="s">
        <v>14</v>
      </c>
      <c r="E24" s="66" t="str">
        <f t="shared" si="0"/>
        <v>UsdLiborSwapIsdaFixPm18Y</v>
      </c>
      <c r="F24" s="51" t="str">
        <f>_xll.qlLiborSwap($E24,Currency,FixingType,$C24,Currency&amp;$D24,Discounting,Permanent,Trigger,ObjectOverwrite)</f>
        <v>UsdLiborSwapIsdaFixPm18Y#0021</v>
      </c>
      <c r="G24" s="50" t="str">
        <f>_xll.ohRangeRetrieveError(F24)</f>
        <v/>
      </c>
      <c r="H24" s="49"/>
    </row>
    <row r="25" spans="2:8" s="45" customFormat="1" x14ac:dyDescent="0.2">
      <c r="B25" s="55"/>
      <c r="C25" s="67" t="s">
        <v>91</v>
      </c>
      <c r="D25" s="29" t="s">
        <v>14</v>
      </c>
      <c r="E25" s="66" t="str">
        <f t="shared" si="0"/>
        <v>UsdLiborSwapIsdaFixPm19Y</v>
      </c>
      <c r="F25" s="51" t="str">
        <f>_xll.qlLiborSwap($E25,Currency,FixingType,$C25,Currency&amp;$D25,Discounting,Permanent,Trigger,ObjectOverwrite)</f>
        <v>UsdLiborSwapIsdaFixPm19Y#0021</v>
      </c>
      <c r="G25" s="50" t="str">
        <f>_xll.ohRangeRetrieveError(F25)</f>
        <v/>
      </c>
      <c r="H25" s="49"/>
    </row>
    <row r="26" spans="2:8" s="45" customFormat="1" x14ac:dyDescent="0.2">
      <c r="B26" s="55"/>
      <c r="C26" s="67" t="s">
        <v>90</v>
      </c>
      <c r="D26" s="29" t="s">
        <v>14</v>
      </c>
      <c r="E26" s="66" t="str">
        <f t="shared" si="0"/>
        <v>UsdLiborSwapIsdaFixPm20Y</v>
      </c>
      <c r="F26" s="51" t="str">
        <f>_xll.qlLiborSwap($E26,Currency,FixingType,$C26,Currency&amp;$D26,Discounting,Permanent,Trigger,ObjectOverwrite)</f>
        <v>UsdLiborSwapIsdaFixPm20Y#0021</v>
      </c>
      <c r="G26" s="50" t="str">
        <f>_xll.ohRangeRetrieveError(F26)</f>
        <v/>
      </c>
      <c r="H26" s="49"/>
    </row>
    <row r="27" spans="2:8" s="45" customFormat="1" x14ac:dyDescent="0.2">
      <c r="B27" s="55"/>
      <c r="C27" s="67" t="s">
        <v>89</v>
      </c>
      <c r="D27" s="29" t="s">
        <v>14</v>
      </c>
      <c r="E27" s="66" t="str">
        <f t="shared" si="0"/>
        <v>UsdLiborSwapIsdaFixPm21Y</v>
      </c>
      <c r="F27" s="51" t="str">
        <f>_xll.qlLiborSwap($E27,Currency,FixingType,$C27,Currency&amp;$D27,Discounting,Permanent,Trigger,ObjectOverwrite)</f>
        <v>UsdLiborSwapIsdaFixPm21Y#0021</v>
      </c>
      <c r="G27" s="50" t="str">
        <f>_xll.ohRangeRetrieveError(F27)</f>
        <v/>
      </c>
      <c r="H27" s="49"/>
    </row>
    <row r="28" spans="2:8" s="45" customFormat="1" x14ac:dyDescent="0.2">
      <c r="B28" s="55"/>
      <c r="C28" s="67" t="s">
        <v>88</v>
      </c>
      <c r="D28" s="29" t="s">
        <v>14</v>
      </c>
      <c r="E28" s="66" t="str">
        <f t="shared" si="0"/>
        <v>UsdLiborSwapIsdaFixPm22Y</v>
      </c>
      <c r="F28" s="51" t="str">
        <f>_xll.qlLiborSwap($E28,Currency,FixingType,$C28,Currency&amp;$D28,Discounting,Permanent,Trigger,ObjectOverwrite)</f>
        <v>UsdLiborSwapIsdaFixPm22Y#0021</v>
      </c>
      <c r="G28" s="50" t="str">
        <f>_xll.ohRangeRetrieveError(F28)</f>
        <v/>
      </c>
      <c r="H28" s="49"/>
    </row>
    <row r="29" spans="2:8" s="45" customFormat="1" x14ac:dyDescent="0.2">
      <c r="B29" s="55"/>
      <c r="C29" s="67" t="s">
        <v>87</v>
      </c>
      <c r="D29" s="29" t="s">
        <v>14</v>
      </c>
      <c r="E29" s="66" t="str">
        <f t="shared" si="0"/>
        <v>UsdLiborSwapIsdaFixPm23Y</v>
      </c>
      <c r="F29" s="51" t="str">
        <f>_xll.qlLiborSwap($E29,Currency,FixingType,$C29,Currency&amp;$D29,Discounting,Permanent,Trigger,ObjectOverwrite)</f>
        <v>UsdLiborSwapIsdaFixPm23Y#0021</v>
      </c>
      <c r="G29" s="50" t="str">
        <f>_xll.ohRangeRetrieveError(F29)</f>
        <v/>
      </c>
      <c r="H29" s="49"/>
    </row>
    <row r="30" spans="2:8" s="45" customFormat="1" x14ac:dyDescent="0.2">
      <c r="B30" s="55"/>
      <c r="C30" s="67" t="s">
        <v>86</v>
      </c>
      <c r="D30" s="29" t="s">
        <v>14</v>
      </c>
      <c r="E30" s="66" t="str">
        <f t="shared" si="0"/>
        <v>UsdLiborSwapIsdaFixPm24Y</v>
      </c>
      <c r="F30" s="51" t="str">
        <f>_xll.qlLiborSwap($E30,Currency,FixingType,$C30,Currency&amp;$D30,Discounting,Permanent,Trigger,ObjectOverwrite)</f>
        <v>UsdLiborSwapIsdaFixPm24Y#0021</v>
      </c>
      <c r="G30" s="50" t="str">
        <f>_xll.ohRangeRetrieveError(F30)</f>
        <v/>
      </c>
      <c r="H30" s="49"/>
    </row>
    <row r="31" spans="2:8" s="45" customFormat="1" x14ac:dyDescent="0.2">
      <c r="B31" s="55"/>
      <c r="C31" s="67" t="s">
        <v>85</v>
      </c>
      <c r="D31" s="29" t="s">
        <v>14</v>
      </c>
      <c r="E31" s="66" t="str">
        <f t="shared" si="0"/>
        <v>UsdLiborSwapIsdaFixPm25Y</v>
      </c>
      <c r="F31" s="51" t="str">
        <f>_xll.qlLiborSwap($E31,Currency,FixingType,$C31,Currency&amp;$D31,Discounting,Permanent,Trigger,ObjectOverwrite)</f>
        <v>UsdLiborSwapIsdaFixPm25Y#0021</v>
      </c>
      <c r="G31" s="50" t="str">
        <f>_xll.ohRangeRetrieveError(F31)</f>
        <v/>
      </c>
      <c r="H31" s="49"/>
    </row>
    <row r="32" spans="2:8" s="45" customFormat="1" x14ac:dyDescent="0.2">
      <c r="B32" s="55"/>
      <c r="C32" s="67" t="s">
        <v>84</v>
      </c>
      <c r="D32" s="29" t="s">
        <v>14</v>
      </c>
      <c r="E32" s="66" t="str">
        <f t="shared" si="0"/>
        <v>UsdLiborSwapIsdaFixPm26Y</v>
      </c>
      <c r="F32" s="51" t="str">
        <f>_xll.qlLiborSwap($E32,Currency,FixingType,$C32,Currency&amp;$D32,Discounting,Permanent,Trigger,ObjectOverwrite)</f>
        <v>UsdLiborSwapIsdaFixPm26Y#0021</v>
      </c>
      <c r="G32" s="50" t="str">
        <f>_xll.ohRangeRetrieveError(F32)</f>
        <v/>
      </c>
      <c r="H32" s="49"/>
    </row>
    <row r="33" spans="2:8" s="45" customFormat="1" x14ac:dyDescent="0.2">
      <c r="B33" s="55"/>
      <c r="C33" s="67" t="s">
        <v>83</v>
      </c>
      <c r="D33" s="29" t="s">
        <v>14</v>
      </c>
      <c r="E33" s="66" t="str">
        <f t="shared" si="0"/>
        <v>UsdLiborSwapIsdaFixPm27Y</v>
      </c>
      <c r="F33" s="51" t="str">
        <f>_xll.qlLiborSwap($E33,Currency,FixingType,$C33,Currency&amp;$D33,Discounting,Permanent,Trigger,ObjectOverwrite)</f>
        <v>UsdLiborSwapIsdaFixPm27Y#0021</v>
      </c>
      <c r="G33" s="50" t="str">
        <f>_xll.ohRangeRetrieveError(F33)</f>
        <v/>
      </c>
      <c r="H33" s="49"/>
    </row>
    <row r="34" spans="2:8" s="45" customFormat="1" x14ac:dyDescent="0.2">
      <c r="B34" s="55"/>
      <c r="C34" s="67" t="s">
        <v>82</v>
      </c>
      <c r="D34" s="29" t="s">
        <v>14</v>
      </c>
      <c r="E34" s="66" t="str">
        <f t="shared" si="0"/>
        <v>UsdLiborSwapIsdaFixPm28Y</v>
      </c>
      <c r="F34" s="51" t="str">
        <f>_xll.qlLiborSwap($E34,Currency,FixingType,$C34,Currency&amp;$D34,Discounting,Permanent,Trigger,ObjectOverwrite)</f>
        <v>UsdLiborSwapIsdaFixPm28Y#0021</v>
      </c>
      <c r="G34" s="50" t="str">
        <f>_xll.ohRangeRetrieveError(F34)</f>
        <v/>
      </c>
      <c r="H34" s="49"/>
    </row>
    <row r="35" spans="2:8" s="45" customFormat="1" x14ac:dyDescent="0.2">
      <c r="B35" s="55"/>
      <c r="C35" s="67" t="s">
        <v>81</v>
      </c>
      <c r="D35" s="29" t="s">
        <v>14</v>
      </c>
      <c r="E35" s="66" t="str">
        <f t="shared" si="0"/>
        <v>UsdLiborSwapIsdaFixPm29Y</v>
      </c>
      <c r="F35" s="51" t="str">
        <f>_xll.qlLiborSwap($E35,Currency,FixingType,$C35,Currency&amp;$D35,Discounting,Permanent,Trigger,ObjectOverwrite)</f>
        <v>UsdLiborSwapIsdaFixPm29Y#0021</v>
      </c>
      <c r="G35" s="50" t="str">
        <f>_xll.ohRangeRetrieveError(F35)</f>
        <v/>
      </c>
      <c r="H35" s="49"/>
    </row>
    <row r="36" spans="2:8" s="45" customFormat="1" x14ac:dyDescent="0.2">
      <c r="B36" s="55"/>
      <c r="C36" s="67" t="s">
        <v>80</v>
      </c>
      <c r="D36" s="29" t="s">
        <v>14</v>
      </c>
      <c r="E36" s="66" t="str">
        <f t="shared" si="0"/>
        <v>UsdLiborSwapIsdaFixPm30Y</v>
      </c>
      <c r="F36" s="51" t="str">
        <f>_xll.qlLiborSwap($E36,Currency,FixingType,$C36,Currency&amp;$D36,Discounting,Permanent,Trigger,ObjectOverwrite)</f>
        <v>UsdLiborSwapIsdaFixPm30Y#0021</v>
      </c>
      <c r="G36" s="50" t="str">
        <f>_xll.ohRangeRetrieveError(F36)</f>
        <v/>
      </c>
      <c r="H36" s="49"/>
    </row>
    <row r="37" spans="2:8" s="45" customFormat="1" x14ac:dyDescent="0.2">
      <c r="B37" s="55"/>
      <c r="C37" s="67" t="s">
        <v>79</v>
      </c>
      <c r="D37" s="29" t="s">
        <v>14</v>
      </c>
      <c r="E37" s="66" t="str">
        <f t="shared" si="0"/>
        <v>UsdLiborSwapIsdaFixPm31Y</v>
      </c>
      <c r="F37" s="51" t="str">
        <f>_xll.qlLiborSwap($E37,Currency,FixingType,$C37,Currency&amp;$D37,Discounting,Permanent,Trigger,ObjectOverwrite)</f>
        <v>UsdLiborSwapIsdaFixPm31Y#0021</v>
      </c>
      <c r="G37" s="50" t="str">
        <f>_xll.ohRangeRetrieveError(F37)</f>
        <v/>
      </c>
      <c r="H37" s="49"/>
    </row>
    <row r="38" spans="2:8" s="45" customFormat="1" x14ac:dyDescent="0.2">
      <c r="B38" s="55"/>
      <c r="C38" s="67" t="s">
        <v>78</v>
      </c>
      <c r="D38" s="29" t="s">
        <v>14</v>
      </c>
      <c r="E38" s="66" t="str">
        <f t="shared" si="0"/>
        <v>UsdLiborSwapIsdaFixPm32Y</v>
      </c>
      <c r="F38" s="51" t="str">
        <f>_xll.qlLiborSwap($E38,Currency,FixingType,$C38,Currency&amp;$D38,Discounting,Permanent,Trigger,ObjectOverwrite)</f>
        <v>UsdLiborSwapIsdaFixPm32Y#0021</v>
      </c>
      <c r="G38" s="50" t="str">
        <f>_xll.ohRangeRetrieveError(F38)</f>
        <v/>
      </c>
      <c r="H38" s="49"/>
    </row>
    <row r="39" spans="2:8" s="45" customFormat="1" x14ac:dyDescent="0.2">
      <c r="B39" s="55"/>
      <c r="C39" s="67" t="s">
        <v>77</v>
      </c>
      <c r="D39" s="29" t="s">
        <v>14</v>
      </c>
      <c r="E39" s="66" t="str">
        <f t="shared" ref="E39:E66" si="1">PROPER(Currency)&amp;FamilyName&amp;FixingType&amp;$C39</f>
        <v>UsdLiborSwapIsdaFixPm33Y</v>
      </c>
      <c r="F39" s="51" t="str">
        <f>_xll.qlLiborSwap($E39,Currency,FixingType,$C39,Currency&amp;$D39,Discounting,Permanent,Trigger,ObjectOverwrite)</f>
        <v>UsdLiborSwapIsdaFixPm33Y#0021</v>
      </c>
      <c r="G39" s="50" t="str">
        <f>_xll.ohRangeRetrieveError(F39)</f>
        <v/>
      </c>
      <c r="H39" s="49"/>
    </row>
    <row r="40" spans="2:8" s="45" customFormat="1" x14ac:dyDescent="0.2">
      <c r="B40" s="55"/>
      <c r="C40" s="67" t="s">
        <v>76</v>
      </c>
      <c r="D40" s="29" t="s">
        <v>14</v>
      </c>
      <c r="E40" s="66" t="str">
        <f t="shared" si="1"/>
        <v>UsdLiborSwapIsdaFixPm34Y</v>
      </c>
      <c r="F40" s="51" t="str">
        <f>_xll.qlLiborSwap($E40,Currency,FixingType,$C40,Currency&amp;$D40,Discounting,Permanent,Trigger,ObjectOverwrite)</f>
        <v>UsdLiborSwapIsdaFixPm34Y#0021</v>
      </c>
      <c r="G40" s="50" t="str">
        <f>_xll.ohRangeRetrieveError(F40)</f>
        <v/>
      </c>
      <c r="H40" s="49"/>
    </row>
    <row r="41" spans="2:8" s="45" customFormat="1" x14ac:dyDescent="0.2">
      <c r="B41" s="55"/>
      <c r="C41" s="67" t="s">
        <v>75</v>
      </c>
      <c r="D41" s="29" t="s">
        <v>14</v>
      </c>
      <c r="E41" s="66" t="str">
        <f t="shared" si="1"/>
        <v>UsdLiborSwapIsdaFixPm35Y</v>
      </c>
      <c r="F41" s="51" t="str">
        <f>_xll.qlLiborSwap($E41,Currency,FixingType,$C41,Currency&amp;$D41,Discounting,Permanent,Trigger,ObjectOverwrite)</f>
        <v>UsdLiborSwapIsdaFixPm35Y#0021</v>
      </c>
      <c r="G41" s="50" t="str">
        <f>_xll.ohRangeRetrieveError(F41)</f>
        <v/>
      </c>
      <c r="H41" s="49"/>
    </row>
    <row r="42" spans="2:8" s="45" customFormat="1" x14ac:dyDescent="0.2">
      <c r="B42" s="55"/>
      <c r="C42" s="67" t="s">
        <v>74</v>
      </c>
      <c r="D42" s="29" t="s">
        <v>14</v>
      </c>
      <c r="E42" s="66" t="str">
        <f t="shared" si="1"/>
        <v>UsdLiborSwapIsdaFixPm36Y</v>
      </c>
      <c r="F42" s="51" t="str">
        <f>_xll.qlLiborSwap($E42,Currency,FixingType,$C42,Currency&amp;$D42,Discounting,Permanent,Trigger,ObjectOverwrite)</f>
        <v>UsdLiborSwapIsdaFixPm36Y#0021</v>
      </c>
      <c r="G42" s="50" t="str">
        <f>_xll.ohRangeRetrieveError(F42)</f>
        <v/>
      </c>
      <c r="H42" s="49"/>
    </row>
    <row r="43" spans="2:8" s="45" customFormat="1" x14ac:dyDescent="0.2">
      <c r="B43" s="55"/>
      <c r="C43" s="67" t="s">
        <v>73</v>
      </c>
      <c r="D43" s="29" t="s">
        <v>14</v>
      </c>
      <c r="E43" s="66" t="str">
        <f t="shared" si="1"/>
        <v>UsdLiborSwapIsdaFixPm37Y</v>
      </c>
      <c r="F43" s="51" t="str">
        <f>_xll.qlLiborSwap($E43,Currency,FixingType,$C43,Currency&amp;$D43,Discounting,Permanent,Trigger,ObjectOverwrite)</f>
        <v>UsdLiborSwapIsdaFixPm37Y#0021</v>
      </c>
      <c r="G43" s="50" t="str">
        <f>_xll.ohRangeRetrieveError(F43)</f>
        <v/>
      </c>
      <c r="H43" s="49"/>
    </row>
    <row r="44" spans="2:8" s="45" customFormat="1" x14ac:dyDescent="0.2">
      <c r="B44" s="55"/>
      <c r="C44" s="67" t="s">
        <v>72</v>
      </c>
      <c r="D44" s="29" t="s">
        <v>14</v>
      </c>
      <c r="E44" s="66" t="str">
        <f t="shared" si="1"/>
        <v>UsdLiborSwapIsdaFixPm38Y</v>
      </c>
      <c r="F44" s="51" t="str">
        <f>_xll.qlLiborSwap($E44,Currency,FixingType,$C44,Currency&amp;$D44,Discounting,Permanent,Trigger,ObjectOverwrite)</f>
        <v>UsdLiborSwapIsdaFixPm38Y#0021</v>
      </c>
      <c r="G44" s="50" t="str">
        <f>_xll.ohRangeRetrieveError(F44)</f>
        <v/>
      </c>
      <c r="H44" s="49"/>
    </row>
    <row r="45" spans="2:8" s="45" customFormat="1" x14ac:dyDescent="0.2">
      <c r="B45" s="55"/>
      <c r="C45" s="67" t="s">
        <v>71</v>
      </c>
      <c r="D45" s="29" t="s">
        <v>14</v>
      </c>
      <c r="E45" s="66" t="str">
        <f t="shared" si="1"/>
        <v>UsdLiborSwapIsdaFixPm39Y</v>
      </c>
      <c r="F45" s="51" t="str">
        <f>_xll.qlLiborSwap($E45,Currency,FixingType,$C45,Currency&amp;$D45,Discounting,Permanent,Trigger,ObjectOverwrite)</f>
        <v>UsdLiborSwapIsdaFixPm39Y#0021</v>
      </c>
      <c r="G45" s="50" t="str">
        <f>_xll.ohRangeRetrieveError(F45)</f>
        <v/>
      </c>
      <c r="H45" s="49"/>
    </row>
    <row r="46" spans="2:8" s="45" customFormat="1" x14ac:dyDescent="0.2">
      <c r="B46" s="55"/>
      <c r="C46" s="67" t="s">
        <v>70</v>
      </c>
      <c r="D46" s="29" t="s">
        <v>14</v>
      </c>
      <c r="E46" s="66" t="str">
        <f t="shared" si="1"/>
        <v>UsdLiborSwapIsdaFixPm40Y</v>
      </c>
      <c r="F46" s="51" t="str">
        <f>_xll.qlLiborSwap($E46,Currency,FixingType,$C46,Currency&amp;$D46,Discounting,Permanent,Trigger,ObjectOverwrite)</f>
        <v>UsdLiborSwapIsdaFixPm40Y#0021</v>
      </c>
      <c r="G46" s="50" t="str">
        <f>_xll.ohRangeRetrieveError(F46)</f>
        <v/>
      </c>
      <c r="H46" s="49"/>
    </row>
    <row r="47" spans="2:8" s="45" customFormat="1" x14ac:dyDescent="0.2">
      <c r="B47" s="55"/>
      <c r="C47" s="67" t="s">
        <v>69</v>
      </c>
      <c r="D47" s="29" t="s">
        <v>14</v>
      </c>
      <c r="E47" s="66" t="str">
        <f t="shared" si="1"/>
        <v>UsdLiborSwapIsdaFixPm41Y</v>
      </c>
      <c r="F47" s="51" t="str">
        <f>_xll.qlLiborSwap($E47,Currency,FixingType,$C47,Currency&amp;$D47,Discounting,Permanent,Trigger,ObjectOverwrite)</f>
        <v>UsdLiborSwapIsdaFixPm41Y#0021</v>
      </c>
      <c r="G47" s="50" t="str">
        <f>_xll.ohRangeRetrieveError(F47)</f>
        <v/>
      </c>
      <c r="H47" s="49"/>
    </row>
    <row r="48" spans="2:8" s="45" customFormat="1" x14ac:dyDescent="0.2">
      <c r="B48" s="55"/>
      <c r="C48" s="67" t="s">
        <v>68</v>
      </c>
      <c r="D48" s="29" t="s">
        <v>14</v>
      </c>
      <c r="E48" s="66" t="str">
        <f t="shared" si="1"/>
        <v>UsdLiborSwapIsdaFixPm42Y</v>
      </c>
      <c r="F48" s="51" t="str">
        <f>_xll.qlLiborSwap($E48,Currency,FixingType,$C48,Currency&amp;$D48,Discounting,Permanent,Trigger,ObjectOverwrite)</f>
        <v>UsdLiborSwapIsdaFixPm42Y#0021</v>
      </c>
      <c r="G48" s="50" t="str">
        <f>_xll.ohRangeRetrieveError(F48)</f>
        <v/>
      </c>
      <c r="H48" s="49"/>
    </row>
    <row r="49" spans="2:8" s="45" customFormat="1" x14ac:dyDescent="0.2">
      <c r="B49" s="55"/>
      <c r="C49" s="67" t="s">
        <v>67</v>
      </c>
      <c r="D49" s="29" t="s">
        <v>14</v>
      </c>
      <c r="E49" s="66" t="str">
        <f t="shared" si="1"/>
        <v>UsdLiborSwapIsdaFixPm43Y</v>
      </c>
      <c r="F49" s="51" t="str">
        <f>_xll.qlLiborSwap($E49,Currency,FixingType,$C49,Currency&amp;$D49,Discounting,Permanent,Trigger,ObjectOverwrite)</f>
        <v>UsdLiborSwapIsdaFixPm43Y#0021</v>
      </c>
      <c r="G49" s="50" t="str">
        <f>_xll.ohRangeRetrieveError(F49)</f>
        <v/>
      </c>
      <c r="H49" s="49"/>
    </row>
    <row r="50" spans="2:8" s="45" customFormat="1" x14ac:dyDescent="0.2">
      <c r="B50" s="55"/>
      <c r="C50" s="67" t="s">
        <v>66</v>
      </c>
      <c r="D50" s="29" t="s">
        <v>14</v>
      </c>
      <c r="E50" s="66" t="str">
        <f t="shared" si="1"/>
        <v>UsdLiborSwapIsdaFixPm44Y</v>
      </c>
      <c r="F50" s="51" t="str">
        <f>_xll.qlLiborSwap($E50,Currency,FixingType,$C50,Currency&amp;$D50,Discounting,Permanent,Trigger,ObjectOverwrite)</f>
        <v>UsdLiborSwapIsdaFixPm44Y#0021</v>
      </c>
      <c r="G50" s="50" t="str">
        <f>_xll.ohRangeRetrieveError(F50)</f>
        <v/>
      </c>
      <c r="H50" s="49"/>
    </row>
    <row r="51" spans="2:8" s="45" customFormat="1" x14ac:dyDescent="0.2">
      <c r="B51" s="55"/>
      <c r="C51" s="67" t="s">
        <v>65</v>
      </c>
      <c r="D51" s="29" t="s">
        <v>14</v>
      </c>
      <c r="E51" s="66" t="str">
        <f t="shared" si="1"/>
        <v>UsdLiborSwapIsdaFixPm45Y</v>
      </c>
      <c r="F51" s="51" t="str">
        <f>_xll.qlLiborSwap($E51,Currency,FixingType,$C51,Currency&amp;$D51,Discounting,Permanent,Trigger,ObjectOverwrite)</f>
        <v>UsdLiborSwapIsdaFixPm45Y#0021</v>
      </c>
      <c r="G51" s="50" t="str">
        <f>_xll.ohRangeRetrieveError(F51)</f>
        <v/>
      </c>
      <c r="H51" s="49"/>
    </row>
    <row r="52" spans="2:8" s="45" customFormat="1" x14ac:dyDescent="0.2">
      <c r="B52" s="55"/>
      <c r="C52" s="67" t="s">
        <v>64</v>
      </c>
      <c r="D52" s="29" t="s">
        <v>14</v>
      </c>
      <c r="E52" s="66" t="str">
        <f t="shared" si="1"/>
        <v>UsdLiborSwapIsdaFixPm46Y</v>
      </c>
      <c r="F52" s="51" t="str">
        <f>_xll.qlLiborSwap($E52,Currency,FixingType,$C52,Currency&amp;$D52,Discounting,Permanent,Trigger,ObjectOverwrite)</f>
        <v>UsdLiborSwapIsdaFixPm46Y#0021</v>
      </c>
      <c r="G52" s="50" t="str">
        <f>_xll.ohRangeRetrieveError(F52)</f>
        <v/>
      </c>
      <c r="H52" s="49"/>
    </row>
    <row r="53" spans="2:8" s="45" customFormat="1" x14ac:dyDescent="0.2">
      <c r="B53" s="55"/>
      <c r="C53" s="67" t="s">
        <v>63</v>
      </c>
      <c r="D53" s="29" t="s">
        <v>14</v>
      </c>
      <c r="E53" s="66" t="str">
        <f t="shared" si="1"/>
        <v>UsdLiborSwapIsdaFixPm47Y</v>
      </c>
      <c r="F53" s="51" t="str">
        <f>_xll.qlLiborSwap($E53,Currency,FixingType,$C53,Currency&amp;$D53,Discounting,Permanent,Trigger,ObjectOverwrite)</f>
        <v>UsdLiborSwapIsdaFixPm47Y#0021</v>
      </c>
      <c r="G53" s="50" t="str">
        <f>_xll.ohRangeRetrieveError(F53)</f>
        <v/>
      </c>
      <c r="H53" s="49"/>
    </row>
    <row r="54" spans="2:8" s="45" customFormat="1" x14ac:dyDescent="0.2">
      <c r="B54" s="55"/>
      <c r="C54" s="67" t="s">
        <v>62</v>
      </c>
      <c r="D54" s="29" t="s">
        <v>14</v>
      </c>
      <c r="E54" s="66" t="str">
        <f t="shared" si="1"/>
        <v>UsdLiborSwapIsdaFixPm48Y</v>
      </c>
      <c r="F54" s="51" t="str">
        <f>_xll.qlLiborSwap($E54,Currency,FixingType,$C54,Currency&amp;$D54,Discounting,Permanent,Trigger,ObjectOverwrite)</f>
        <v>UsdLiborSwapIsdaFixPm48Y#0021</v>
      </c>
      <c r="G54" s="50" t="str">
        <f>_xll.ohRangeRetrieveError(F54)</f>
        <v/>
      </c>
      <c r="H54" s="49"/>
    </row>
    <row r="55" spans="2:8" s="45" customFormat="1" x14ac:dyDescent="0.2">
      <c r="B55" s="55"/>
      <c r="C55" s="67" t="s">
        <v>61</v>
      </c>
      <c r="D55" s="29" t="s">
        <v>14</v>
      </c>
      <c r="E55" s="66" t="str">
        <f t="shared" si="1"/>
        <v>UsdLiborSwapIsdaFixPm49Y</v>
      </c>
      <c r="F55" s="51" t="str">
        <f>_xll.qlLiborSwap($E55,Currency,FixingType,$C55,Currency&amp;$D55,Discounting,Permanent,Trigger,ObjectOverwrite)</f>
        <v>UsdLiborSwapIsdaFixPm49Y#0021</v>
      </c>
      <c r="G55" s="50" t="str">
        <f>_xll.ohRangeRetrieveError(F55)</f>
        <v/>
      </c>
      <c r="H55" s="49"/>
    </row>
    <row r="56" spans="2:8" s="45" customFormat="1" x14ac:dyDescent="0.2">
      <c r="B56" s="55"/>
      <c r="C56" s="67" t="s">
        <v>60</v>
      </c>
      <c r="D56" s="29" t="s">
        <v>14</v>
      </c>
      <c r="E56" s="66" t="str">
        <f t="shared" si="1"/>
        <v>UsdLiborSwapIsdaFixPm50Y</v>
      </c>
      <c r="F56" s="51" t="str">
        <f>_xll.qlLiborSwap($E56,Currency,FixingType,$C56,Currency&amp;$D56,Discounting,Permanent,Trigger,ObjectOverwrite)</f>
        <v>UsdLiborSwapIsdaFixPm50Y#0021</v>
      </c>
      <c r="G56" s="50" t="str">
        <f>_xll.ohRangeRetrieveError(F56)</f>
        <v/>
      </c>
      <c r="H56" s="49"/>
    </row>
    <row r="57" spans="2:8" s="45" customFormat="1" x14ac:dyDescent="0.2">
      <c r="B57" s="55"/>
      <c r="C57" s="67" t="s">
        <v>59</v>
      </c>
      <c r="D57" s="29" t="s">
        <v>14</v>
      </c>
      <c r="E57" s="66" t="str">
        <f t="shared" si="1"/>
        <v>UsdLiborSwapIsdaFixPm51Y</v>
      </c>
      <c r="F57" s="51" t="str">
        <f>_xll.qlLiborSwap($E57,Currency,FixingType,$C57,Currency&amp;$D57,Discounting,Permanent,Trigger,ObjectOverwrite)</f>
        <v>UsdLiborSwapIsdaFixPm51Y#0021</v>
      </c>
      <c r="G57" s="50" t="str">
        <f>_xll.ohRangeRetrieveError(F57)</f>
        <v/>
      </c>
      <c r="H57" s="49"/>
    </row>
    <row r="58" spans="2:8" s="45" customFormat="1" x14ac:dyDescent="0.2">
      <c r="B58" s="55"/>
      <c r="C58" s="67" t="s">
        <v>58</v>
      </c>
      <c r="D58" s="29" t="s">
        <v>14</v>
      </c>
      <c r="E58" s="66" t="str">
        <f t="shared" si="1"/>
        <v>UsdLiborSwapIsdaFixPm52Y</v>
      </c>
      <c r="F58" s="51" t="str">
        <f>_xll.qlLiborSwap($E58,Currency,FixingType,$C58,Currency&amp;$D58,Discounting,Permanent,Trigger,ObjectOverwrite)</f>
        <v>UsdLiborSwapIsdaFixPm52Y#0021</v>
      </c>
      <c r="G58" s="50" t="str">
        <f>_xll.ohRangeRetrieveError(F58)</f>
        <v/>
      </c>
      <c r="H58" s="49"/>
    </row>
    <row r="59" spans="2:8" s="45" customFormat="1" x14ac:dyDescent="0.2">
      <c r="B59" s="55"/>
      <c r="C59" s="67" t="s">
        <v>57</v>
      </c>
      <c r="D59" s="29" t="s">
        <v>14</v>
      </c>
      <c r="E59" s="66" t="str">
        <f t="shared" si="1"/>
        <v>UsdLiborSwapIsdaFixPm53Y</v>
      </c>
      <c r="F59" s="51" t="str">
        <f>_xll.qlLiborSwap($E59,Currency,FixingType,$C59,Currency&amp;$D59,Discounting,Permanent,Trigger,ObjectOverwrite)</f>
        <v>UsdLiborSwapIsdaFixPm53Y#0021</v>
      </c>
      <c r="G59" s="50" t="str">
        <f>_xll.ohRangeRetrieveError(F59)</f>
        <v/>
      </c>
      <c r="H59" s="49"/>
    </row>
    <row r="60" spans="2:8" s="45" customFormat="1" x14ac:dyDescent="0.2">
      <c r="B60" s="55"/>
      <c r="C60" s="67" t="s">
        <v>56</v>
      </c>
      <c r="D60" s="29" t="s">
        <v>14</v>
      </c>
      <c r="E60" s="66" t="str">
        <f t="shared" si="1"/>
        <v>UsdLiborSwapIsdaFixPm54Y</v>
      </c>
      <c r="F60" s="51" t="str">
        <f>_xll.qlLiborSwap($E60,Currency,FixingType,$C60,Currency&amp;$D60,Discounting,Permanent,Trigger,ObjectOverwrite)</f>
        <v>UsdLiborSwapIsdaFixPm54Y#0021</v>
      </c>
      <c r="G60" s="50" t="str">
        <f>_xll.ohRangeRetrieveError(F60)</f>
        <v/>
      </c>
      <c r="H60" s="49"/>
    </row>
    <row r="61" spans="2:8" s="45" customFormat="1" x14ac:dyDescent="0.2">
      <c r="B61" s="55"/>
      <c r="C61" s="67" t="s">
        <v>55</v>
      </c>
      <c r="D61" s="29" t="s">
        <v>14</v>
      </c>
      <c r="E61" s="66" t="str">
        <f t="shared" si="1"/>
        <v>UsdLiborSwapIsdaFixPm55Y</v>
      </c>
      <c r="F61" s="51" t="str">
        <f>_xll.qlLiborSwap($E61,Currency,FixingType,$C61,Currency&amp;$D61,Discounting,Permanent,Trigger,ObjectOverwrite)</f>
        <v>UsdLiborSwapIsdaFixPm55Y#0021</v>
      </c>
      <c r="G61" s="50" t="str">
        <f>_xll.ohRangeRetrieveError(F61)</f>
        <v/>
      </c>
      <c r="H61" s="49"/>
    </row>
    <row r="62" spans="2:8" s="45" customFormat="1" x14ac:dyDescent="0.2">
      <c r="B62" s="55"/>
      <c r="C62" s="67" t="s">
        <v>54</v>
      </c>
      <c r="D62" s="29" t="s">
        <v>14</v>
      </c>
      <c r="E62" s="66" t="str">
        <f t="shared" si="1"/>
        <v>UsdLiborSwapIsdaFixPm56Y</v>
      </c>
      <c r="F62" s="51" t="str">
        <f>_xll.qlLiborSwap($E62,Currency,FixingType,$C62,Currency&amp;$D62,Discounting,Permanent,Trigger,ObjectOverwrite)</f>
        <v>UsdLiborSwapIsdaFixPm56Y#0021</v>
      </c>
      <c r="G62" s="50" t="str">
        <f>_xll.ohRangeRetrieveError(F62)</f>
        <v/>
      </c>
      <c r="H62" s="49"/>
    </row>
    <row r="63" spans="2:8" s="45" customFormat="1" x14ac:dyDescent="0.2">
      <c r="B63" s="55"/>
      <c r="C63" s="67" t="s">
        <v>53</v>
      </c>
      <c r="D63" s="29" t="s">
        <v>14</v>
      </c>
      <c r="E63" s="66" t="str">
        <f t="shared" si="1"/>
        <v>UsdLiborSwapIsdaFixPm57Y</v>
      </c>
      <c r="F63" s="51" t="str">
        <f>_xll.qlLiborSwap($E63,Currency,FixingType,$C63,Currency&amp;$D63,Discounting,Permanent,Trigger,ObjectOverwrite)</f>
        <v>UsdLiborSwapIsdaFixPm57Y#0021</v>
      </c>
      <c r="G63" s="50" t="str">
        <f>_xll.ohRangeRetrieveError(F63)</f>
        <v/>
      </c>
      <c r="H63" s="49"/>
    </row>
    <row r="64" spans="2:8" s="45" customFormat="1" x14ac:dyDescent="0.2">
      <c r="B64" s="55"/>
      <c r="C64" s="67" t="s">
        <v>52</v>
      </c>
      <c r="D64" s="29" t="s">
        <v>14</v>
      </c>
      <c r="E64" s="66" t="str">
        <f t="shared" si="1"/>
        <v>UsdLiborSwapIsdaFixPm58Y</v>
      </c>
      <c r="F64" s="51" t="str">
        <f>_xll.qlLiborSwap($E64,Currency,FixingType,$C64,Currency&amp;$D64,Discounting,Permanent,Trigger,ObjectOverwrite)</f>
        <v>UsdLiborSwapIsdaFixPm58Y#0021</v>
      </c>
      <c r="G64" s="50" t="str">
        <f>_xll.ohRangeRetrieveError(F64)</f>
        <v/>
      </c>
      <c r="H64" s="49"/>
    </row>
    <row r="65" spans="2:8" s="45" customFormat="1" x14ac:dyDescent="0.2">
      <c r="B65" s="55"/>
      <c r="C65" s="67" t="s">
        <v>51</v>
      </c>
      <c r="D65" s="29" t="s">
        <v>14</v>
      </c>
      <c r="E65" s="66" t="str">
        <f t="shared" si="1"/>
        <v>UsdLiborSwapIsdaFixPm59Y</v>
      </c>
      <c r="F65" s="51" t="str">
        <f>_xll.qlLiborSwap($E65,Currency,FixingType,$C65,Currency&amp;$D65,Discounting,Permanent,Trigger,ObjectOverwrite)</f>
        <v>UsdLiborSwapIsdaFixPm59Y#0021</v>
      </c>
      <c r="G65" s="50" t="str">
        <f>_xll.ohRangeRetrieveError(F65)</f>
        <v/>
      </c>
      <c r="H65" s="49"/>
    </row>
    <row r="66" spans="2:8" s="45" customFormat="1" x14ac:dyDescent="0.2">
      <c r="B66" s="55"/>
      <c r="C66" s="67" t="s">
        <v>50</v>
      </c>
      <c r="D66" s="29" t="s">
        <v>14</v>
      </c>
      <c r="E66" s="66" t="str">
        <f t="shared" si="1"/>
        <v>UsdLiborSwapIsdaFixPm60Y</v>
      </c>
      <c r="F66" s="51" t="str">
        <f>_xll.qlLiborSwap($E66,Currency,FixingType,$C66,Currency&amp;$D66,Discounting,Permanent,Trigger,ObjectOverwrite)</f>
        <v>UsdLiborSwapIsdaFixPm60Y#0021</v>
      </c>
      <c r="G66" s="50" t="str">
        <f>_xll.ohRangeRetrieveError(F66)</f>
        <v/>
      </c>
      <c r="H66" s="49"/>
    </row>
    <row r="67" spans="2:8" s="45" customFormat="1" ht="12" thickBot="1" x14ac:dyDescent="0.25">
      <c r="B67" s="48"/>
      <c r="C67" s="47"/>
      <c r="D67" s="47"/>
      <c r="E67" s="47"/>
      <c r="F67" s="47"/>
      <c r="G67" s="47"/>
      <c r="H67" s="46"/>
    </row>
    <row r="68" spans="2:8" s="45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5" customFormat="1" ht="12" thickBot="1" x14ac:dyDescent="0.25">
      <c r="A1" s="45" t="s">
        <v>123</v>
      </c>
    </row>
    <row r="2" spans="1:8" s="45" customFormat="1" x14ac:dyDescent="0.2">
      <c r="B2" s="65"/>
      <c r="C2" s="63"/>
      <c r="D2" s="63"/>
      <c r="E2" s="64"/>
      <c r="F2" s="63"/>
      <c r="G2" s="63"/>
      <c r="H2" s="62"/>
    </row>
    <row r="3" spans="1:8" s="45" customFormat="1" x14ac:dyDescent="0.2">
      <c r="B3" s="55"/>
      <c r="C3" s="60"/>
      <c r="D3" s="60"/>
      <c r="E3" s="61" t="s">
        <v>49</v>
      </c>
      <c r="F3" s="57" t="s">
        <v>112</v>
      </c>
      <c r="G3" s="60"/>
      <c r="H3" s="56"/>
    </row>
    <row r="4" spans="1:8" s="45" customFormat="1" x14ac:dyDescent="0.2">
      <c r="B4" s="55"/>
      <c r="C4" s="60"/>
      <c r="D4" s="60"/>
      <c r="E4" s="61" t="s">
        <v>111</v>
      </c>
      <c r="F4" s="57" t="s">
        <v>119</v>
      </c>
      <c r="G4" s="60"/>
      <c r="H4" s="56"/>
    </row>
    <row r="5" spans="1:8" s="45" customFormat="1" x14ac:dyDescent="0.2">
      <c r="B5" s="55"/>
      <c r="C5" s="60"/>
      <c r="D5" s="60"/>
      <c r="E5" s="61" t="s">
        <v>118</v>
      </c>
      <c r="F5" s="68" t="s">
        <v>117</v>
      </c>
      <c r="G5" s="60"/>
      <c r="H5" s="56"/>
    </row>
    <row r="6" spans="1:8" s="45" customFormat="1" x14ac:dyDescent="0.2">
      <c r="B6" s="55"/>
      <c r="C6" s="60"/>
      <c r="D6" s="60"/>
      <c r="E6" s="61" t="s">
        <v>116</v>
      </c>
      <c r="F6" s="68" t="s">
        <v>115</v>
      </c>
      <c r="G6" s="60"/>
      <c r="H6" s="56"/>
    </row>
    <row r="7" spans="1:8" s="45" customFormat="1" x14ac:dyDescent="0.2">
      <c r="B7" s="55"/>
      <c r="C7" s="60"/>
      <c r="D7" s="60"/>
      <c r="E7" s="61" t="s">
        <v>114</v>
      </c>
      <c r="F7" s="68">
        <f>TYPE(Libor!F13)</f>
        <v>2</v>
      </c>
      <c r="G7" s="60"/>
      <c r="H7" s="56"/>
    </row>
    <row r="8" spans="1:8" s="45" customFormat="1" x14ac:dyDescent="0.2">
      <c r="B8" s="55"/>
      <c r="C8" s="60"/>
      <c r="D8" s="60"/>
      <c r="E8" s="60"/>
      <c r="F8" s="60"/>
      <c r="G8" s="60"/>
      <c r="H8" s="56"/>
    </row>
    <row r="9" spans="1:8" s="45" customFormat="1" x14ac:dyDescent="0.2">
      <c r="B9" s="55"/>
      <c r="C9" s="60"/>
      <c r="D9" s="59" t="s">
        <v>109</v>
      </c>
      <c r="E9" s="58" t="str">
        <f>PROPER(Currency)&amp;FamilyName&amp;FixingType&amp;".xml"</f>
        <v>UsdLiborSwapForBasisCalc.xml</v>
      </c>
      <c r="F9" s="57">
        <f ca="1">IF(Serialize,_xll.ohObjectSave(F10:F69,SerializationPath&amp;FileName,FileOverwrite,,Serialize),"---")</f>
        <v>60</v>
      </c>
      <c r="G9" s="50" t="str">
        <f ca="1">_xll.ohRangeRetrieveError(F9)</f>
        <v/>
      </c>
      <c r="H9" s="56"/>
    </row>
    <row r="10" spans="1:8" s="45" customFormat="1" x14ac:dyDescent="0.2">
      <c r="B10" s="55"/>
      <c r="C10" s="54" t="s">
        <v>29</v>
      </c>
      <c r="D10" s="53" t="s">
        <v>14</v>
      </c>
      <c r="E10" s="52" t="str">
        <f t="shared" ref="E10:E41" si="0">PROPER(Currency)&amp;FamilyName&amp;FixingType&amp;$C10</f>
        <v>UsdLiborSwapForBasisCalc1Y</v>
      </c>
      <c r="F10" s="51" t="str">
        <f>_xll.qlSwapIndex($E10,FixingType,C10,2,Currency,$F$6,"1Y","f","act/360","USDLibor3M",Discounting,Permanent,$F$7,ObjectOverwrite)</f>
        <v>UsdLiborSwapForBasisCalc1Y#0021</v>
      </c>
      <c r="G10" s="50" t="str">
        <f>_xll.ohRangeRetrieveError(F10)</f>
        <v/>
      </c>
      <c r="H10" s="49"/>
    </row>
    <row r="11" spans="1:8" s="45" customFormat="1" x14ac:dyDescent="0.2">
      <c r="B11" s="55"/>
      <c r="C11" s="54" t="s">
        <v>108</v>
      </c>
      <c r="D11" s="53" t="s">
        <v>14</v>
      </c>
      <c r="E11" s="52" t="str">
        <f t="shared" si="0"/>
        <v>UsdLiborSwapForBasisCalc2Y</v>
      </c>
      <c r="F11" s="51" t="str">
        <f>_xll.qlSwapIndex($E11,FixingType,C11,2,Currency,$F$6,"1Y","f","act/360","USDLibor3M",Discounting,Permanent,$F$7,ObjectOverwrite)</f>
        <v>UsdLiborSwapForBasisCalc2Y#0021</v>
      </c>
      <c r="G11" s="50" t="str">
        <f>_xll.ohRangeRetrieveError(F11)</f>
        <v/>
      </c>
      <c r="H11" s="49"/>
    </row>
    <row r="12" spans="1:8" s="45" customFormat="1" x14ac:dyDescent="0.2">
      <c r="B12" s="55"/>
      <c r="C12" s="54" t="s">
        <v>107</v>
      </c>
      <c r="D12" s="53" t="s">
        <v>14</v>
      </c>
      <c r="E12" s="52" t="str">
        <f t="shared" si="0"/>
        <v>UsdLiborSwapForBasisCalc3Y</v>
      </c>
      <c r="F12" s="51" t="str">
        <f>_xll.qlSwapIndex($E12,FixingType,C12,2,Currency,$F$6,"1Y","f","act/360","USDLibor3M",Discounting,Permanent,$F$7,ObjectOverwrite)</f>
        <v>UsdLiborSwapForBasisCalc3Y#0021</v>
      </c>
      <c r="G12" s="50" t="str">
        <f>_xll.ohRangeRetrieveError(F12)</f>
        <v/>
      </c>
      <c r="H12" s="49"/>
    </row>
    <row r="13" spans="1:8" s="45" customFormat="1" x14ac:dyDescent="0.2">
      <c r="B13" s="55"/>
      <c r="C13" s="54" t="s">
        <v>106</v>
      </c>
      <c r="D13" s="53" t="s">
        <v>14</v>
      </c>
      <c r="E13" s="52" t="str">
        <f t="shared" si="0"/>
        <v>UsdLiborSwapForBasisCalc4Y</v>
      </c>
      <c r="F13" s="51" t="str">
        <f>_xll.qlSwapIndex($E13,FixingType,C13,2,Currency,$F$6,"1Y","f","act/360","USDLibor3M",Discounting,Permanent,$F$7,ObjectOverwrite)</f>
        <v>UsdLiborSwapForBasisCalc4Y#0021</v>
      </c>
      <c r="G13" s="50" t="str">
        <f>_xll.ohRangeRetrieveError(F13)</f>
        <v/>
      </c>
      <c r="H13" s="49"/>
    </row>
    <row r="14" spans="1:8" s="45" customFormat="1" x14ac:dyDescent="0.2">
      <c r="B14" s="55"/>
      <c r="C14" s="54" t="s">
        <v>105</v>
      </c>
      <c r="D14" s="53" t="s">
        <v>14</v>
      </c>
      <c r="E14" s="52" t="str">
        <f t="shared" si="0"/>
        <v>UsdLiborSwapForBasisCalc5Y</v>
      </c>
      <c r="F14" s="51" t="str">
        <f>_xll.qlSwapIndex($E14,FixingType,C14,2,Currency,$F$6,"1Y","f","act/360","USDLibor3M",Discounting,Permanent,$F$7,ObjectOverwrite)</f>
        <v>UsdLiborSwapForBasisCalc5Y#0021</v>
      </c>
      <c r="G14" s="50" t="str">
        <f>_xll.ohRangeRetrieveError(F14)</f>
        <v/>
      </c>
      <c r="H14" s="49"/>
    </row>
    <row r="15" spans="1:8" s="45" customFormat="1" x14ac:dyDescent="0.2">
      <c r="B15" s="55"/>
      <c r="C15" s="54" t="s">
        <v>104</v>
      </c>
      <c r="D15" s="53" t="s">
        <v>14</v>
      </c>
      <c r="E15" s="52" t="str">
        <f t="shared" si="0"/>
        <v>UsdLiborSwapForBasisCalc6Y</v>
      </c>
      <c r="F15" s="51" t="str">
        <f>_xll.qlSwapIndex($E15,FixingType,C15,2,Currency,$F$6,"1Y","f","act/360","USDLibor3M",Discounting,Permanent,$F$7,ObjectOverwrite)</f>
        <v>UsdLiborSwapForBasisCalc6Y#0021</v>
      </c>
      <c r="G15" s="50" t="str">
        <f>_xll.ohRangeRetrieveError(F15)</f>
        <v/>
      </c>
      <c r="H15" s="49"/>
    </row>
    <row r="16" spans="1:8" s="45" customFormat="1" x14ac:dyDescent="0.2">
      <c r="B16" s="55"/>
      <c r="C16" s="54" t="s">
        <v>103</v>
      </c>
      <c r="D16" s="53" t="s">
        <v>14</v>
      </c>
      <c r="E16" s="52" t="str">
        <f t="shared" si="0"/>
        <v>UsdLiborSwapForBasisCalc7Y</v>
      </c>
      <c r="F16" s="51" t="str">
        <f>_xll.qlSwapIndex($E16,FixingType,C16,2,Currency,$F$6,"1Y","f","act/360","USDLibor3M",Discounting,Permanent,$F$7,ObjectOverwrite)</f>
        <v>UsdLiborSwapForBasisCalc7Y#0021</v>
      </c>
      <c r="G16" s="50" t="str">
        <f>_xll.ohRangeRetrieveError(F16)</f>
        <v/>
      </c>
      <c r="H16" s="49"/>
    </row>
    <row r="17" spans="2:8" s="45" customFormat="1" x14ac:dyDescent="0.2">
      <c r="B17" s="55"/>
      <c r="C17" s="54" t="s">
        <v>102</v>
      </c>
      <c r="D17" s="53" t="s">
        <v>14</v>
      </c>
      <c r="E17" s="52" t="str">
        <f t="shared" si="0"/>
        <v>UsdLiborSwapForBasisCalc8Y</v>
      </c>
      <c r="F17" s="51" t="str">
        <f>_xll.qlSwapIndex($E17,FixingType,C17,2,Currency,$F$6,"1Y","f","act/360","USDLibor3M",Discounting,Permanent,$F$7,ObjectOverwrite)</f>
        <v>UsdLiborSwapForBasisCalc8Y#0021</v>
      </c>
      <c r="G17" s="50" t="str">
        <f>_xll.ohRangeRetrieveError(F17)</f>
        <v/>
      </c>
      <c r="H17" s="49"/>
    </row>
    <row r="18" spans="2:8" s="45" customFormat="1" x14ac:dyDescent="0.2">
      <c r="B18" s="55"/>
      <c r="C18" s="54" t="s">
        <v>101</v>
      </c>
      <c r="D18" s="53" t="s">
        <v>14</v>
      </c>
      <c r="E18" s="52" t="str">
        <f t="shared" si="0"/>
        <v>UsdLiborSwapForBasisCalc9Y</v>
      </c>
      <c r="F18" s="51" t="str">
        <f>_xll.qlSwapIndex($E18,FixingType,C18,2,Currency,$F$6,"1Y","f","act/360","USDLibor3M",Discounting,Permanent,$F$7,ObjectOverwrite)</f>
        <v>UsdLiborSwapForBasisCalc9Y#0021</v>
      </c>
      <c r="G18" s="50" t="str">
        <f>_xll.ohRangeRetrieveError(F18)</f>
        <v/>
      </c>
      <c r="H18" s="49"/>
    </row>
    <row r="19" spans="2:8" s="45" customFormat="1" x14ac:dyDescent="0.2">
      <c r="B19" s="55"/>
      <c r="C19" s="54" t="s">
        <v>100</v>
      </c>
      <c r="D19" s="53" t="s">
        <v>14</v>
      </c>
      <c r="E19" s="52" t="str">
        <f t="shared" si="0"/>
        <v>UsdLiborSwapForBasisCalc10Y</v>
      </c>
      <c r="F19" s="51" t="str">
        <f>_xll.qlSwapIndex($E19,FixingType,C19,2,Currency,$F$6,"1Y","f","act/360","USDLibor3M",Discounting,Permanent,$F$7,ObjectOverwrite)</f>
        <v>UsdLiborSwapForBasisCalc10Y#0021</v>
      </c>
      <c r="G19" s="50" t="str">
        <f>_xll.ohRangeRetrieveError(F19)</f>
        <v/>
      </c>
      <c r="H19" s="49"/>
    </row>
    <row r="20" spans="2:8" s="45" customFormat="1" x14ac:dyDescent="0.2">
      <c r="B20" s="55"/>
      <c r="C20" s="54" t="s">
        <v>99</v>
      </c>
      <c r="D20" s="53" t="s">
        <v>14</v>
      </c>
      <c r="E20" s="52" t="str">
        <f t="shared" si="0"/>
        <v>UsdLiborSwapForBasisCalc11Y</v>
      </c>
      <c r="F20" s="51" t="str">
        <f>_xll.qlSwapIndex($E20,FixingType,C20,2,Currency,$F$6,"1Y","f","act/360","USDLibor3M",Discounting,Permanent,$F$7,ObjectOverwrite)</f>
        <v>UsdLiborSwapForBasisCalc11Y#0021</v>
      </c>
      <c r="G20" s="50" t="str">
        <f>_xll.ohRangeRetrieveError(F20)</f>
        <v/>
      </c>
      <c r="H20" s="49"/>
    </row>
    <row r="21" spans="2:8" s="45" customFormat="1" x14ac:dyDescent="0.2">
      <c r="B21" s="55"/>
      <c r="C21" s="54" t="s">
        <v>98</v>
      </c>
      <c r="D21" s="53" t="s">
        <v>14</v>
      </c>
      <c r="E21" s="52" t="str">
        <f t="shared" si="0"/>
        <v>UsdLiborSwapForBasisCalc12Y</v>
      </c>
      <c r="F21" s="51" t="str">
        <f>_xll.qlSwapIndex($E21,FixingType,C21,2,Currency,$F$6,"1Y","f","act/360","USDLibor3M",Discounting,Permanent,$F$7,ObjectOverwrite)</f>
        <v>UsdLiborSwapForBasisCalc12Y#0021</v>
      </c>
      <c r="G21" s="50" t="str">
        <f>_xll.ohRangeRetrieveError(F21)</f>
        <v/>
      </c>
      <c r="H21" s="49"/>
    </row>
    <row r="22" spans="2:8" s="45" customFormat="1" x14ac:dyDescent="0.2">
      <c r="B22" s="55"/>
      <c r="C22" s="54" t="s">
        <v>97</v>
      </c>
      <c r="D22" s="53" t="s">
        <v>14</v>
      </c>
      <c r="E22" s="52" t="str">
        <f t="shared" si="0"/>
        <v>UsdLiborSwapForBasisCalc13Y</v>
      </c>
      <c r="F22" s="51" t="str">
        <f>_xll.qlSwapIndex($E22,FixingType,C22,2,Currency,$F$6,"1Y","f","act/360","USDLibor3M",Discounting,Permanent,$F$7,ObjectOverwrite)</f>
        <v>UsdLiborSwapForBasisCalc13Y#0021</v>
      </c>
      <c r="G22" s="50" t="str">
        <f>_xll.ohRangeRetrieveError(F22)</f>
        <v/>
      </c>
      <c r="H22" s="49"/>
    </row>
    <row r="23" spans="2:8" s="45" customFormat="1" x14ac:dyDescent="0.2">
      <c r="B23" s="55"/>
      <c r="C23" s="54" t="s">
        <v>96</v>
      </c>
      <c r="D23" s="53" t="s">
        <v>14</v>
      </c>
      <c r="E23" s="52" t="str">
        <f t="shared" si="0"/>
        <v>UsdLiborSwapForBasisCalc14Y</v>
      </c>
      <c r="F23" s="51" t="str">
        <f>_xll.qlSwapIndex($E23,FixingType,C23,2,Currency,$F$6,"1Y","f","act/360","USDLibor3M",Discounting,Permanent,$F$7,ObjectOverwrite)</f>
        <v>UsdLiborSwapForBasisCalc14Y#0021</v>
      </c>
      <c r="G23" s="50" t="str">
        <f>_xll.ohRangeRetrieveError(F23)</f>
        <v/>
      </c>
      <c r="H23" s="49"/>
    </row>
    <row r="24" spans="2:8" s="45" customFormat="1" x14ac:dyDescent="0.2">
      <c r="B24" s="55"/>
      <c r="C24" s="54" t="s">
        <v>95</v>
      </c>
      <c r="D24" s="53" t="s">
        <v>14</v>
      </c>
      <c r="E24" s="52" t="str">
        <f t="shared" si="0"/>
        <v>UsdLiborSwapForBasisCalc15Y</v>
      </c>
      <c r="F24" s="51" t="str">
        <f>_xll.qlSwapIndex($E24,FixingType,C24,2,Currency,$F$6,"1Y","f","act/360","USDLibor3M",Discounting,Permanent,$F$7,ObjectOverwrite)</f>
        <v>UsdLiborSwapForBasisCalc15Y#0021</v>
      </c>
      <c r="G24" s="50" t="str">
        <f>_xll.ohRangeRetrieveError(F24)</f>
        <v/>
      </c>
      <c r="H24" s="49"/>
    </row>
    <row r="25" spans="2:8" s="45" customFormat="1" x14ac:dyDescent="0.2">
      <c r="B25" s="55"/>
      <c r="C25" s="54" t="s">
        <v>94</v>
      </c>
      <c r="D25" s="53" t="s">
        <v>14</v>
      </c>
      <c r="E25" s="52" t="str">
        <f t="shared" si="0"/>
        <v>UsdLiborSwapForBasisCalc16Y</v>
      </c>
      <c r="F25" s="51" t="str">
        <f>_xll.qlSwapIndex($E25,FixingType,C25,2,Currency,$F$6,"1Y","f","act/360","USDLibor3M",Discounting,Permanent,$F$7,ObjectOverwrite)</f>
        <v>UsdLiborSwapForBasisCalc16Y#0021</v>
      </c>
      <c r="G25" s="50" t="str">
        <f>_xll.ohRangeRetrieveError(F25)</f>
        <v/>
      </c>
      <c r="H25" s="49"/>
    </row>
    <row r="26" spans="2:8" s="45" customFormat="1" x14ac:dyDescent="0.2">
      <c r="B26" s="55"/>
      <c r="C26" s="54" t="s">
        <v>93</v>
      </c>
      <c r="D26" s="53" t="s">
        <v>14</v>
      </c>
      <c r="E26" s="52" t="str">
        <f t="shared" si="0"/>
        <v>UsdLiborSwapForBasisCalc17Y</v>
      </c>
      <c r="F26" s="51" t="str">
        <f>_xll.qlSwapIndex($E26,FixingType,C26,2,Currency,$F$6,"1Y","f","act/360","USDLibor3M",Discounting,Permanent,$F$7,ObjectOverwrite)</f>
        <v>UsdLiborSwapForBasisCalc17Y#0021</v>
      </c>
      <c r="G26" s="50" t="str">
        <f>_xll.ohRangeRetrieveError(F26)</f>
        <v/>
      </c>
      <c r="H26" s="49"/>
    </row>
    <row r="27" spans="2:8" s="45" customFormat="1" x14ac:dyDescent="0.2">
      <c r="B27" s="55"/>
      <c r="C27" s="54" t="s">
        <v>92</v>
      </c>
      <c r="D27" s="53" t="s">
        <v>14</v>
      </c>
      <c r="E27" s="52" t="str">
        <f t="shared" si="0"/>
        <v>UsdLiborSwapForBasisCalc18Y</v>
      </c>
      <c r="F27" s="51" t="str">
        <f>_xll.qlSwapIndex($E27,FixingType,C27,2,Currency,$F$6,"1Y","f","act/360","USDLibor3M",Discounting,Permanent,$F$7,ObjectOverwrite)</f>
        <v>UsdLiborSwapForBasisCalc18Y#0021</v>
      </c>
      <c r="G27" s="50" t="str">
        <f>_xll.ohRangeRetrieveError(F27)</f>
        <v/>
      </c>
      <c r="H27" s="49"/>
    </row>
    <row r="28" spans="2:8" s="45" customFormat="1" x14ac:dyDescent="0.2">
      <c r="B28" s="55"/>
      <c r="C28" s="54" t="s">
        <v>91</v>
      </c>
      <c r="D28" s="53" t="s">
        <v>14</v>
      </c>
      <c r="E28" s="52" t="str">
        <f t="shared" si="0"/>
        <v>UsdLiborSwapForBasisCalc19Y</v>
      </c>
      <c r="F28" s="51" t="str">
        <f>_xll.qlSwapIndex($E28,FixingType,C28,2,Currency,$F$6,"1Y","f","act/360","USDLibor3M",Discounting,Permanent,$F$7,ObjectOverwrite)</f>
        <v>UsdLiborSwapForBasisCalc19Y#0021</v>
      </c>
      <c r="G28" s="50" t="str">
        <f>_xll.ohRangeRetrieveError(F28)</f>
        <v/>
      </c>
      <c r="H28" s="49"/>
    </row>
    <row r="29" spans="2:8" s="45" customFormat="1" x14ac:dyDescent="0.2">
      <c r="B29" s="55"/>
      <c r="C29" s="54" t="s">
        <v>90</v>
      </c>
      <c r="D29" s="53" t="s">
        <v>14</v>
      </c>
      <c r="E29" s="52" t="str">
        <f t="shared" si="0"/>
        <v>UsdLiborSwapForBasisCalc20Y</v>
      </c>
      <c r="F29" s="51" t="str">
        <f>_xll.qlSwapIndex($E29,FixingType,C29,2,Currency,$F$6,"1Y","f","act/360","USDLibor3M",Discounting,Permanent,$F$7,ObjectOverwrite)</f>
        <v>UsdLiborSwapForBasisCalc20Y#0021</v>
      </c>
      <c r="G29" s="50" t="str">
        <f>_xll.ohRangeRetrieveError(F29)</f>
        <v/>
      </c>
      <c r="H29" s="49"/>
    </row>
    <row r="30" spans="2:8" s="45" customFormat="1" x14ac:dyDescent="0.2">
      <c r="B30" s="55"/>
      <c r="C30" s="54" t="s">
        <v>89</v>
      </c>
      <c r="D30" s="53" t="s">
        <v>14</v>
      </c>
      <c r="E30" s="52" t="str">
        <f t="shared" si="0"/>
        <v>UsdLiborSwapForBasisCalc21Y</v>
      </c>
      <c r="F30" s="51" t="str">
        <f>_xll.qlSwapIndex($E30,FixingType,C30,2,Currency,$F$6,"1Y","f","act/360","USDLibor3M",Discounting,Permanent,$F$7,ObjectOverwrite)</f>
        <v>UsdLiborSwapForBasisCalc21Y#0021</v>
      </c>
      <c r="G30" s="50" t="str">
        <f>_xll.ohRangeRetrieveError(F30)</f>
        <v/>
      </c>
      <c r="H30" s="49"/>
    </row>
    <row r="31" spans="2:8" s="45" customFormat="1" x14ac:dyDescent="0.2">
      <c r="B31" s="55"/>
      <c r="C31" s="54" t="s">
        <v>88</v>
      </c>
      <c r="D31" s="53" t="s">
        <v>14</v>
      </c>
      <c r="E31" s="52" t="str">
        <f t="shared" si="0"/>
        <v>UsdLiborSwapForBasisCalc22Y</v>
      </c>
      <c r="F31" s="51" t="str">
        <f>_xll.qlSwapIndex($E31,FixingType,C31,2,Currency,$F$6,"1Y","f","act/360","USDLibor3M",Discounting,Permanent,$F$7,ObjectOverwrite)</f>
        <v>UsdLiborSwapForBasisCalc22Y#0021</v>
      </c>
      <c r="G31" s="50" t="str">
        <f>_xll.ohRangeRetrieveError(F31)</f>
        <v/>
      </c>
      <c r="H31" s="49"/>
    </row>
    <row r="32" spans="2:8" s="45" customFormat="1" x14ac:dyDescent="0.2">
      <c r="B32" s="55"/>
      <c r="C32" s="54" t="s">
        <v>87</v>
      </c>
      <c r="D32" s="53" t="s">
        <v>14</v>
      </c>
      <c r="E32" s="52" t="str">
        <f t="shared" si="0"/>
        <v>UsdLiborSwapForBasisCalc23Y</v>
      </c>
      <c r="F32" s="51" t="str">
        <f>_xll.qlSwapIndex($E32,FixingType,C32,2,Currency,$F$6,"1Y","f","act/360","USDLibor3M",Discounting,Permanent,$F$7,ObjectOverwrite)</f>
        <v>UsdLiborSwapForBasisCalc23Y#0021</v>
      </c>
      <c r="G32" s="50" t="str">
        <f>_xll.ohRangeRetrieveError(F32)</f>
        <v/>
      </c>
      <c r="H32" s="49"/>
    </row>
    <row r="33" spans="2:8" s="45" customFormat="1" x14ac:dyDescent="0.2">
      <c r="B33" s="55"/>
      <c r="C33" s="54" t="s">
        <v>86</v>
      </c>
      <c r="D33" s="53" t="s">
        <v>14</v>
      </c>
      <c r="E33" s="52" t="str">
        <f t="shared" si="0"/>
        <v>UsdLiborSwapForBasisCalc24Y</v>
      </c>
      <c r="F33" s="51" t="str">
        <f>_xll.qlSwapIndex($E33,FixingType,C33,2,Currency,$F$6,"1Y","f","act/360","USDLibor3M",Discounting,Permanent,$F$7,ObjectOverwrite)</f>
        <v>UsdLiborSwapForBasisCalc24Y#0021</v>
      </c>
      <c r="G33" s="50" t="str">
        <f>_xll.ohRangeRetrieveError(F33)</f>
        <v/>
      </c>
      <c r="H33" s="49"/>
    </row>
    <row r="34" spans="2:8" s="45" customFormat="1" x14ac:dyDescent="0.2">
      <c r="B34" s="55"/>
      <c r="C34" s="54" t="s">
        <v>85</v>
      </c>
      <c r="D34" s="53" t="s">
        <v>14</v>
      </c>
      <c r="E34" s="52" t="str">
        <f t="shared" si="0"/>
        <v>UsdLiborSwapForBasisCalc25Y</v>
      </c>
      <c r="F34" s="51" t="str">
        <f>_xll.qlSwapIndex($E34,FixingType,C34,2,Currency,$F$6,"1Y","f","act/360","USDLibor3M",Discounting,Permanent,$F$7,ObjectOverwrite)</f>
        <v>UsdLiborSwapForBasisCalc25Y#0021</v>
      </c>
      <c r="G34" s="50" t="str">
        <f>_xll.ohRangeRetrieveError(F34)</f>
        <v/>
      </c>
      <c r="H34" s="49"/>
    </row>
    <row r="35" spans="2:8" s="45" customFormat="1" x14ac:dyDescent="0.2">
      <c r="B35" s="55"/>
      <c r="C35" s="54" t="s">
        <v>84</v>
      </c>
      <c r="D35" s="53" t="s">
        <v>14</v>
      </c>
      <c r="E35" s="52" t="str">
        <f t="shared" si="0"/>
        <v>UsdLiborSwapForBasisCalc26Y</v>
      </c>
      <c r="F35" s="51" t="str">
        <f>_xll.qlSwapIndex($E35,FixingType,C35,2,Currency,$F$6,"1Y","f","act/360","USDLibor3M",Discounting,Permanent,$F$7,ObjectOverwrite)</f>
        <v>UsdLiborSwapForBasisCalc26Y#0021</v>
      </c>
      <c r="G35" s="50" t="str">
        <f>_xll.ohRangeRetrieveError(F35)</f>
        <v/>
      </c>
      <c r="H35" s="49"/>
    </row>
    <row r="36" spans="2:8" s="45" customFormat="1" x14ac:dyDescent="0.2">
      <c r="B36" s="55"/>
      <c r="C36" s="54" t="s">
        <v>83</v>
      </c>
      <c r="D36" s="53" t="s">
        <v>14</v>
      </c>
      <c r="E36" s="52" t="str">
        <f t="shared" si="0"/>
        <v>UsdLiborSwapForBasisCalc27Y</v>
      </c>
      <c r="F36" s="51" t="str">
        <f>_xll.qlSwapIndex($E36,FixingType,C36,2,Currency,$F$6,"1Y","f","act/360","USDLibor3M",Discounting,Permanent,$F$7,ObjectOverwrite)</f>
        <v>UsdLiborSwapForBasisCalc27Y#0021</v>
      </c>
      <c r="G36" s="50" t="str">
        <f>_xll.ohRangeRetrieveError(F36)</f>
        <v/>
      </c>
      <c r="H36" s="49"/>
    </row>
    <row r="37" spans="2:8" s="45" customFormat="1" x14ac:dyDescent="0.2">
      <c r="B37" s="55"/>
      <c r="C37" s="54" t="s">
        <v>82</v>
      </c>
      <c r="D37" s="53" t="s">
        <v>14</v>
      </c>
      <c r="E37" s="52" t="str">
        <f t="shared" si="0"/>
        <v>UsdLiborSwapForBasisCalc28Y</v>
      </c>
      <c r="F37" s="51" t="str">
        <f>_xll.qlSwapIndex($E37,FixingType,C37,2,Currency,$F$6,"1Y","f","act/360","USDLibor3M",Discounting,Permanent,$F$7,ObjectOverwrite)</f>
        <v>UsdLiborSwapForBasisCalc28Y#0021</v>
      </c>
      <c r="G37" s="50" t="str">
        <f>_xll.ohRangeRetrieveError(F37)</f>
        <v/>
      </c>
      <c r="H37" s="49"/>
    </row>
    <row r="38" spans="2:8" s="45" customFormat="1" x14ac:dyDescent="0.2">
      <c r="B38" s="55"/>
      <c r="C38" s="54" t="s">
        <v>81</v>
      </c>
      <c r="D38" s="53" t="s">
        <v>14</v>
      </c>
      <c r="E38" s="52" t="str">
        <f t="shared" si="0"/>
        <v>UsdLiborSwapForBasisCalc29Y</v>
      </c>
      <c r="F38" s="51" t="str">
        <f>_xll.qlSwapIndex($E38,FixingType,C38,2,Currency,$F$6,"1Y","f","act/360","USDLibor3M",Discounting,Permanent,$F$7,ObjectOverwrite)</f>
        <v>UsdLiborSwapForBasisCalc29Y#0021</v>
      </c>
      <c r="G38" s="50" t="str">
        <f>_xll.ohRangeRetrieveError(F38)</f>
        <v/>
      </c>
      <c r="H38" s="49"/>
    </row>
    <row r="39" spans="2:8" s="45" customFormat="1" x14ac:dyDescent="0.2">
      <c r="B39" s="55"/>
      <c r="C39" s="54" t="s">
        <v>80</v>
      </c>
      <c r="D39" s="53" t="s">
        <v>14</v>
      </c>
      <c r="E39" s="52" t="str">
        <f t="shared" si="0"/>
        <v>UsdLiborSwapForBasisCalc30Y</v>
      </c>
      <c r="F39" s="51" t="str">
        <f>_xll.qlSwapIndex($E39,FixingType,C39,2,Currency,$F$6,"1Y","f","act/360","USDLibor3M",Discounting,Permanent,$F$7,ObjectOverwrite)</f>
        <v>UsdLiborSwapForBasisCalc30Y#0021</v>
      </c>
      <c r="G39" s="50" t="str">
        <f>_xll.ohRangeRetrieveError(F39)</f>
        <v/>
      </c>
      <c r="H39" s="49"/>
    </row>
    <row r="40" spans="2:8" s="45" customFormat="1" x14ac:dyDescent="0.2">
      <c r="B40" s="55"/>
      <c r="C40" s="54" t="s">
        <v>79</v>
      </c>
      <c r="D40" s="53" t="s">
        <v>14</v>
      </c>
      <c r="E40" s="52" t="str">
        <f t="shared" si="0"/>
        <v>UsdLiborSwapForBasisCalc31Y</v>
      </c>
      <c r="F40" s="51" t="str">
        <f>_xll.qlSwapIndex($E40,FixingType,C40,2,Currency,$F$6,"1Y","f","act/360","USDLibor3M",Discounting,Permanent,$F$7,ObjectOverwrite)</f>
        <v>UsdLiborSwapForBasisCalc31Y#0021</v>
      </c>
      <c r="G40" s="50" t="str">
        <f>_xll.ohRangeRetrieveError(F40)</f>
        <v/>
      </c>
      <c r="H40" s="49"/>
    </row>
    <row r="41" spans="2:8" s="45" customFormat="1" x14ac:dyDescent="0.2">
      <c r="B41" s="55"/>
      <c r="C41" s="54" t="s">
        <v>78</v>
      </c>
      <c r="D41" s="53" t="s">
        <v>14</v>
      </c>
      <c r="E41" s="52" t="str">
        <f t="shared" si="0"/>
        <v>UsdLiborSwapForBasisCalc32Y</v>
      </c>
      <c r="F41" s="51" t="str">
        <f>_xll.qlSwapIndex($E41,FixingType,C41,2,Currency,$F$6,"1Y","f","act/360","USDLibor3M",Discounting,Permanent,$F$7,ObjectOverwrite)</f>
        <v>UsdLiborSwapForBasisCalc32Y#0021</v>
      </c>
      <c r="G41" s="50" t="str">
        <f>_xll.ohRangeRetrieveError(F41)</f>
        <v/>
      </c>
      <c r="H41" s="49"/>
    </row>
    <row r="42" spans="2:8" s="45" customFormat="1" x14ac:dyDescent="0.2">
      <c r="B42" s="55"/>
      <c r="C42" s="54" t="s">
        <v>77</v>
      </c>
      <c r="D42" s="53" t="s">
        <v>14</v>
      </c>
      <c r="E42" s="52" t="str">
        <f t="shared" ref="E42:E69" si="1">PROPER(Currency)&amp;FamilyName&amp;FixingType&amp;$C42</f>
        <v>UsdLiborSwapForBasisCalc33Y</v>
      </c>
      <c r="F42" s="51" t="str">
        <f>_xll.qlSwapIndex($E42,FixingType,C42,2,Currency,$F$6,"1Y","f","act/360","USDLibor3M",Discounting,Permanent,$F$7,ObjectOverwrite)</f>
        <v>UsdLiborSwapForBasisCalc33Y#0021</v>
      </c>
      <c r="G42" s="50" t="str">
        <f>_xll.ohRangeRetrieveError(F42)</f>
        <v/>
      </c>
      <c r="H42" s="49"/>
    </row>
    <row r="43" spans="2:8" s="45" customFormat="1" x14ac:dyDescent="0.2">
      <c r="B43" s="55"/>
      <c r="C43" s="54" t="s">
        <v>76</v>
      </c>
      <c r="D43" s="53" t="s">
        <v>14</v>
      </c>
      <c r="E43" s="52" t="str">
        <f t="shared" si="1"/>
        <v>UsdLiborSwapForBasisCalc34Y</v>
      </c>
      <c r="F43" s="51" t="str">
        <f>_xll.qlSwapIndex($E43,FixingType,C43,2,Currency,$F$6,"1Y","f","act/360","USDLibor3M",Discounting,Permanent,$F$7,ObjectOverwrite)</f>
        <v>UsdLiborSwapForBasisCalc34Y#0021</v>
      </c>
      <c r="G43" s="50" t="str">
        <f>_xll.ohRangeRetrieveError(F43)</f>
        <v/>
      </c>
      <c r="H43" s="49"/>
    </row>
    <row r="44" spans="2:8" s="45" customFormat="1" x14ac:dyDescent="0.2">
      <c r="B44" s="55"/>
      <c r="C44" s="54" t="s">
        <v>75</v>
      </c>
      <c r="D44" s="53" t="s">
        <v>14</v>
      </c>
      <c r="E44" s="52" t="str">
        <f t="shared" si="1"/>
        <v>UsdLiborSwapForBasisCalc35Y</v>
      </c>
      <c r="F44" s="51" t="str">
        <f>_xll.qlSwapIndex($E44,FixingType,C44,2,Currency,$F$6,"1Y","f","act/360","USDLibor3M",Discounting,Permanent,$F$7,ObjectOverwrite)</f>
        <v>UsdLiborSwapForBasisCalc35Y#0021</v>
      </c>
      <c r="G44" s="50" t="str">
        <f>_xll.ohRangeRetrieveError(F44)</f>
        <v/>
      </c>
      <c r="H44" s="49"/>
    </row>
    <row r="45" spans="2:8" s="45" customFormat="1" x14ac:dyDescent="0.2">
      <c r="B45" s="55"/>
      <c r="C45" s="54" t="s">
        <v>74</v>
      </c>
      <c r="D45" s="53" t="s">
        <v>14</v>
      </c>
      <c r="E45" s="52" t="str">
        <f t="shared" si="1"/>
        <v>UsdLiborSwapForBasisCalc36Y</v>
      </c>
      <c r="F45" s="51" t="str">
        <f>_xll.qlSwapIndex($E45,FixingType,C45,2,Currency,$F$6,"1Y","f","act/360","USDLibor3M",Discounting,Permanent,$F$7,ObjectOverwrite)</f>
        <v>UsdLiborSwapForBasisCalc36Y#0021</v>
      </c>
      <c r="G45" s="50" t="str">
        <f>_xll.ohRangeRetrieveError(F45)</f>
        <v/>
      </c>
      <c r="H45" s="49"/>
    </row>
    <row r="46" spans="2:8" s="45" customFormat="1" x14ac:dyDescent="0.2">
      <c r="B46" s="55"/>
      <c r="C46" s="54" t="s">
        <v>73</v>
      </c>
      <c r="D46" s="53" t="s">
        <v>14</v>
      </c>
      <c r="E46" s="52" t="str">
        <f t="shared" si="1"/>
        <v>UsdLiborSwapForBasisCalc37Y</v>
      </c>
      <c r="F46" s="51" t="str">
        <f>_xll.qlSwapIndex($E46,FixingType,C46,2,Currency,$F$6,"1Y","f","act/360","USDLibor3M",Discounting,Permanent,$F$7,ObjectOverwrite)</f>
        <v>UsdLiborSwapForBasisCalc37Y#0021</v>
      </c>
      <c r="G46" s="50" t="str">
        <f>_xll.ohRangeRetrieveError(F46)</f>
        <v/>
      </c>
      <c r="H46" s="49"/>
    </row>
    <row r="47" spans="2:8" s="45" customFormat="1" x14ac:dyDescent="0.2">
      <c r="B47" s="55"/>
      <c r="C47" s="54" t="s">
        <v>72</v>
      </c>
      <c r="D47" s="53" t="s">
        <v>14</v>
      </c>
      <c r="E47" s="52" t="str">
        <f t="shared" si="1"/>
        <v>UsdLiborSwapForBasisCalc38Y</v>
      </c>
      <c r="F47" s="51" t="str">
        <f>_xll.qlSwapIndex($E47,FixingType,C47,2,Currency,$F$6,"1Y","f","act/360","USDLibor3M",Discounting,Permanent,$F$7,ObjectOverwrite)</f>
        <v>UsdLiborSwapForBasisCalc38Y#0021</v>
      </c>
      <c r="G47" s="50" t="str">
        <f>_xll.ohRangeRetrieveError(F47)</f>
        <v/>
      </c>
      <c r="H47" s="49"/>
    </row>
    <row r="48" spans="2:8" s="45" customFormat="1" x14ac:dyDescent="0.2">
      <c r="B48" s="55"/>
      <c r="C48" s="54" t="s">
        <v>71</v>
      </c>
      <c r="D48" s="53" t="s">
        <v>14</v>
      </c>
      <c r="E48" s="52" t="str">
        <f t="shared" si="1"/>
        <v>UsdLiborSwapForBasisCalc39Y</v>
      </c>
      <c r="F48" s="51" t="str">
        <f>_xll.qlSwapIndex($E48,FixingType,C48,2,Currency,$F$6,"1Y","f","act/360","USDLibor3M",Discounting,Permanent,$F$7,ObjectOverwrite)</f>
        <v>UsdLiborSwapForBasisCalc39Y#0021</v>
      </c>
      <c r="G48" s="50" t="str">
        <f>_xll.ohRangeRetrieveError(F48)</f>
        <v/>
      </c>
      <c r="H48" s="49"/>
    </row>
    <row r="49" spans="2:8" s="45" customFormat="1" x14ac:dyDescent="0.2">
      <c r="B49" s="55"/>
      <c r="C49" s="54" t="s">
        <v>70</v>
      </c>
      <c r="D49" s="53" t="s">
        <v>14</v>
      </c>
      <c r="E49" s="52" t="str">
        <f t="shared" si="1"/>
        <v>UsdLiborSwapForBasisCalc40Y</v>
      </c>
      <c r="F49" s="51" t="str">
        <f>_xll.qlSwapIndex($E49,FixingType,C49,2,Currency,$F$6,"1Y","f","act/360","USDLibor3M",Discounting,Permanent,$F$7,ObjectOverwrite)</f>
        <v>UsdLiborSwapForBasisCalc40Y#0021</v>
      </c>
      <c r="G49" s="50" t="str">
        <f>_xll.ohRangeRetrieveError(F49)</f>
        <v/>
      </c>
      <c r="H49" s="49"/>
    </row>
    <row r="50" spans="2:8" s="45" customFormat="1" x14ac:dyDescent="0.2">
      <c r="B50" s="55"/>
      <c r="C50" s="54" t="s">
        <v>69</v>
      </c>
      <c r="D50" s="53" t="s">
        <v>14</v>
      </c>
      <c r="E50" s="52" t="str">
        <f t="shared" si="1"/>
        <v>UsdLiborSwapForBasisCalc41Y</v>
      </c>
      <c r="F50" s="51" t="str">
        <f>_xll.qlSwapIndex($E50,FixingType,C50,2,Currency,$F$6,"1Y","f","act/360","USDLibor3M",Discounting,Permanent,$F$7,ObjectOverwrite)</f>
        <v>UsdLiborSwapForBasisCalc41Y#0021</v>
      </c>
      <c r="G50" s="50" t="str">
        <f>_xll.ohRangeRetrieveError(F50)</f>
        <v/>
      </c>
      <c r="H50" s="49"/>
    </row>
    <row r="51" spans="2:8" s="45" customFormat="1" x14ac:dyDescent="0.2">
      <c r="B51" s="55"/>
      <c r="C51" s="54" t="s">
        <v>68</v>
      </c>
      <c r="D51" s="53" t="s">
        <v>14</v>
      </c>
      <c r="E51" s="52" t="str">
        <f t="shared" si="1"/>
        <v>UsdLiborSwapForBasisCalc42Y</v>
      </c>
      <c r="F51" s="51" t="str">
        <f>_xll.qlSwapIndex($E51,FixingType,C51,2,Currency,$F$6,"1Y","f","act/360","USDLibor3M",Discounting,Permanent,$F$7,ObjectOverwrite)</f>
        <v>UsdLiborSwapForBasisCalc42Y#0021</v>
      </c>
      <c r="G51" s="50" t="str">
        <f>_xll.ohRangeRetrieveError(F51)</f>
        <v/>
      </c>
      <c r="H51" s="49"/>
    </row>
    <row r="52" spans="2:8" s="45" customFormat="1" x14ac:dyDescent="0.2">
      <c r="B52" s="55"/>
      <c r="C52" s="54" t="s">
        <v>67</v>
      </c>
      <c r="D52" s="53" t="s">
        <v>14</v>
      </c>
      <c r="E52" s="52" t="str">
        <f t="shared" si="1"/>
        <v>UsdLiborSwapForBasisCalc43Y</v>
      </c>
      <c r="F52" s="51" t="str">
        <f>_xll.qlSwapIndex($E52,FixingType,C52,2,Currency,$F$6,"1Y","f","act/360","USDLibor3M",Discounting,Permanent,$F$7,ObjectOverwrite)</f>
        <v>UsdLiborSwapForBasisCalc43Y#0021</v>
      </c>
      <c r="G52" s="50" t="str">
        <f>_xll.ohRangeRetrieveError(F52)</f>
        <v/>
      </c>
      <c r="H52" s="49"/>
    </row>
    <row r="53" spans="2:8" s="45" customFormat="1" x14ac:dyDescent="0.2">
      <c r="B53" s="55"/>
      <c r="C53" s="54" t="s">
        <v>66</v>
      </c>
      <c r="D53" s="53" t="s">
        <v>14</v>
      </c>
      <c r="E53" s="52" t="str">
        <f t="shared" si="1"/>
        <v>UsdLiborSwapForBasisCalc44Y</v>
      </c>
      <c r="F53" s="51" t="str">
        <f>_xll.qlSwapIndex($E53,FixingType,C53,2,Currency,$F$6,"1Y","f","act/360","USDLibor3M",Discounting,Permanent,$F$7,ObjectOverwrite)</f>
        <v>UsdLiborSwapForBasisCalc44Y#0021</v>
      </c>
      <c r="G53" s="50" t="str">
        <f>_xll.ohRangeRetrieveError(F53)</f>
        <v/>
      </c>
      <c r="H53" s="49"/>
    </row>
    <row r="54" spans="2:8" s="45" customFormat="1" x14ac:dyDescent="0.2">
      <c r="B54" s="55"/>
      <c r="C54" s="54" t="s">
        <v>65</v>
      </c>
      <c r="D54" s="53" t="s">
        <v>14</v>
      </c>
      <c r="E54" s="52" t="str">
        <f t="shared" si="1"/>
        <v>UsdLiborSwapForBasisCalc45Y</v>
      </c>
      <c r="F54" s="51" t="str">
        <f>_xll.qlSwapIndex($E54,FixingType,C54,2,Currency,$F$6,"1Y","f","act/360","USDLibor3M",Discounting,Permanent,$F$7,ObjectOverwrite)</f>
        <v>UsdLiborSwapForBasisCalc45Y#0021</v>
      </c>
      <c r="G54" s="50" t="str">
        <f>_xll.ohRangeRetrieveError(F54)</f>
        <v/>
      </c>
      <c r="H54" s="49"/>
    </row>
    <row r="55" spans="2:8" s="45" customFormat="1" x14ac:dyDescent="0.2">
      <c r="B55" s="55"/>
      <c r="C55" s="54" t="s">
        <v>64</v>
      </c>
      <c r="D55" s="53" t="s">
        <v>14</v>
      </c>
      <c r="E55" s="52" t="str">
        <f t="shared" si="1"/>
        <v>UsdLiborSwapForBasisCalc46Y</v>
      </c>
      <c r="F55" s="51" t="str">
        <f>_xll.qlSwapIndex($E55,FixingType,C55,2,Currency,$F$6,"1Y","f","act/360","USDLibor3M",Discounting,Permanent,$F$7,ObjectOverwrite)</f>
        <v>UsdLiborSwapForBasisCalc46Y#0021</v>
      </c>
      <c r="G55" s="50" t="str">
        <f>_xll.ohRangeRetrieveError(F55)</f>
        <v/>
      </c>
      <c r="H55" s="49"/>
    </row>
    <row r="56" spans="2:8" s="45" customFormat="1" x14ac:dyDescent="0.2">
      <c r="B56" s="55"/>
      <c r="C56" s="54" t="s">
        <v>63</v>
      </c>
      <c r="D56" s="53" t="s">
        <v>14</v>
      </c>
      <c r="E56" s="52" t="str">
        <f t="shared" si="1"/>
        <v>UsdLiborSwapForBasisCalc47Y</v>
      </c>
      <c r="F56" s="51" t="str">
        <f>_xll.qlSwapIndex($E56,FixingType,C56,2,Currency,$F$6,"1Y","f","act/360","USDLibor3M",Discounting,Permanent,$F$7,ObjectOverwrite)</f>
        <v>UsdLiborSwapForBasisCalc47Y#0021</v>
      </c>
      <c r="G56" s="50" t="str">
        <f>_xll.ohRangeRetrieveError(F56)</f>
        <v/>
      </c>
      <c r="H56" s="49"/>
    </row>
    <row r="57" spans="2:8" s="45" customFormat="1" x14ac:dyDescent="0.2">
      <c r="B57" s="55"/>
      <c r="C57" s="54" t="s">
        <v>62</v>
      </c>
      <c r="D57" s="53" t="s">
        <v>14</v>
      </c>
      <c r="E57" s="52" t="str">
        <f t="shared" si="1"/>
        <v>UsdLiborSwapForBasisCalc48Y</v>
      </c>
      <c r="F57" s="51" t="str">
        <f>_xll.qlSwapIndex($E57,FixingType,C57,2,Currency,$F$6,"1Y","f","act/360","USDLibor3M",Discounting,Permanent,$F$7,ObjectOverwrite)</f>
        <v>UsdLiborSwapForBasisCalc48Y#0021</v>
      </c>
      <c r="G57" s="50" t="str">
        <f>_xll.ohRangeRetrieveError(F57)</f>
        <v/>
      </c>
      <c r="H57" s="49"/>
    </row>
    <row r="58" spans="2:8" s="45" customFormat="1" x14ac:dyDescent="0.2">
      <c r="B58" s="55"/>
      <c r="C58" s="54" t="s">
        <v>61</v>
      </c>
      <c r="D58" s="53" t="s">
        <v>14</v>
      </c>
      <c r="E58" s="52" t="str">
        <f t="shared" si="1"/>
        <v>UsdLiborSwapForBasisCalc49Y</v>
      </c>
      <c r="F58" s="51" t="str">
        <f>_xll.qlSwapIndex($E58,FixingType,C58,2,Currency,$F$6,"1Y","f","act/360","USDLibor3M",Discounting,Permanent,$F$7,ObjectOverwrite)</f>
        <v>UsdLiborSwapForBasisCalc49Y#0021</v>
      </c>
      <c r="G58" s="50" t="str">
        <f>_xll.ohRangeRetrieveError(F58)</f>
        <v/>
      </c>
      <c r="H58" s="49"/>
    </row>
    <row r="59" spans="2:8" s="45" customFormat="1" x14ac:dyDescent="0.2">
      <c r="B59" s="55"/>
      <c r="C59" s="54" t="s">
        <v>60</v>
      </c>
      <c r="D59" s="53" t="s">
        <v>14</v>
      </c>
      <c r="E59" s="52" t="str">
        <f t="shared" si="1"/>
        <v>UsdLiborSwapForBasisCalc50Y</v>
      </c>
      <c r="F59" s="51" t="str">
        <f>_xll.qlSwapIndex($E59,FixingType,C59,2,Currency,$F$6,"1Y","f","act/360","USDLibor3M",Discounting,Permanent,$F$7,ObjectOverwrite)</f>
        <v>UsdLiborSwapForBasisCalc50Y#0021</v>
      </c>
      <c r="G59" s="50" t="str">
        <f>_xll.ohRangeRetrieveError(F59)</f>
        <v/>
      </c>
      <c r="H59" s="49"/>
    </row>
    <row r="60" spans="2:8" s="45" customFormat="1" x14ac:dyDescent="0.2">
      <c r="B60" s="55"/>
      <c r="C60" s="54" t="s">
        <v>59</v>
      </c>
      <c r="D60" s="53" t="s">
        <v>14</v>
      </c>
      <c r="E60" s="52" t="str">
        <f t="shared" si="1"/>
        <v>UsdLiborSwapForBasisCalc51Y</v>
      </c>
      <c r="F60" s="51" t="str">
        <f>_xll.qlSwapIndex($E60,FixingType,C60,2,Currency,$F$6,"1Y","f","act/360","USDLibor3M",Discounting,Permanent,$F$7,ObjectOverwrite)</f>
        <v>UsdLiborSwapForBasisCalc51Y#0021</v>
      </c>
      <c r="G60" s="50" t="str">
        <f>_xll.ohRangeRetrieveError(F60)</f>
        <v/>
      </c>
      <c r="H60" s="49"/>
    </row>
    <row r="61" spans="2:8" s="45" customFormat="1" x14ac:dyDescent="0.2">
      <c r="B61" s="55"/>
      <c r="C61" s="54" t="s">
        <v>58</v>
      </c>
      <c r="D61" s="53" t="s">
        <v>14</v>
      </c>
      <c r="E61" s="52" t="str">
        <f t="shared" si="1"/>
        <v>UsdLiborSwapForBasisCalc52Y</v>
      </c>
      <c r="F61" s="51" t="str">
        <f>_xll.qlSwapIndex($E61,FixingType,C61,2,Currency,$F$6,"1Y","f","act/360","USDLibor3M",Discounting,Permanent,$F$7,ObjectOverwrite)</f>
        <v>UsdLiborSwapForBasisCalc52Y#0021</v>
      </c>
      <c r="G61" s="50" t="str">
        <f>_xll.ohRangeRetrieveError(F61)</f>
        <v/>
      </c>
      <c r="H61" s="49"/>
    </row>
    <row r="62" spans="2:8" s="45" customFormat="1" x14ac:dyDescent="0.2">
      <c r="B62" s="55"/>
      <c r="C62" s="54" t="s">
        <v>57</v>
      </c>
      <c r="D62" s="53" t="s">
        <v>14</v>
      </c>
      <c r="E62" s="52" t="str">
        <f t="shared" si="1"/>
        <v>UsdLiborSwapForBasisCalc53Y</v>
      </c>
      <c r="F62" s="51" t="str">
        <f>_xll.qlSwapIndex($E62,FixingType,C62,2,Currency,$F$6,"1Y","f","act/360","USDLibor3M",Discounting,Permanent,$F$7,ObjectOverwrite)</f>
        <v>UsdLiborSwapForBasisCalc53Y#0021</v>
      </c>
      <c r="G62" s="50" t="str">
        <f>_xll.ohRangeRetrieveError(F62)</f>
        <v/>
      </c>
      <c r="H62" s="49"/>
    </row>
    <row r="63" spans="2:8" s="45" customFormat="1" x14ac:dyDescent="0.2">
      <c r="B63" s="55"/>
      <c r="C63" s="54" t="s">
        <v>56</v>
      </c>
      <c r="D63" s="53" t="s">
        <v>14</v>
      </c>
      <c r="E63" s="52" t="str">
        <f t="shared" si="1"/>
        <v>UsdLiborSwapForBasisCalc54Y</v>
      </c>
      <c r="F63" s="51" t="str">
        <f>_xll.qlSwapIndex($E63,FixingType,C63,2,Currency,$F$6,"1Y","f","act/360","USDLibor3M",Discounting,Permanent,$F$7,ObjectOverwrite)</f>
        <v>UsdLiborSwapForBasisCalc54Y#0021</v>
      </c>
      <c r="G63" s="50" t="str">
        <f>_xll.ohRangeRetrieveError(F63)</f>
        <v/>
      </c>
      <c r="H63" s="49"/>
    </row>
    <row r="64" spans="2:8" s="45" customFormat="1" x14ac:dyDescent="0.2">
      <c r="B64" s="55"/>
      <c r="C64" s="54" t="s">
        <v>55</v>
      </c>
      <c r="D64" s="53" t="s">
        <v>14</v>
      </c>
      <c r="E64" s="52" t="str">
        <f t="shared" si="1"/>
        <v>UsdLiborSwapForBasisCalc55Y</v>
      </c>
      <c r="F64" s="51" t="str">
        <f>_xll.qlSwapIndex($E64,FixingType,C64,2,Currency,$F$6,"1Y","f","act/360","USDLibor3M",Discounting,Permanent,$F$7,ObjectOverwrite)</f>
        <v>UsdLiborSwapForBasisCalc55Y#0021</v>
      </c>
      <c r="G64" s="50" t="str">
        <f>_xll.ohRangeRetrieveError(F64)</f>
        <v/>
      </c>
      <c r="H64" s="49"/>
    </row>
    <row r="65" spans="2:8" s="45" customFormat="1" x14ac:dyDescent="0.2">
      <c r="B65" s="55"/>
      <c r="C65" s="54" t="s">
        <v>54</v>
      </c>
      <c r="D65" s="53" t="s">
        <v>14</v>
      </c>
      <c r="E65" s="52" t="str">
        <f t="shared" si="1"/>
        <v>UsdLiborSwapForBasisCalc56Y</v>
      </c>
      <c r="F65" s="51" t="str">
        <f>_xll.qlSwapIndex($E65,FixingType,C65,2,Currency,$F$6,"1Y","f","act/360","USDLibor3M",Discounting,Permanent,$F$7,ObjectOverwrite)</f>
        <v>UsdLiborSwapForBasisCalc56Y#0021</v>
      </c>
      <c r="G65" s="50" t="str">
        <f>_xll.ohRangeRetrieveError(F65)</f>
        <v/>
      </c>
      <c r="H65" s="49"/>
    </row>
    <row r="66" spans="2:8" s="45" customFormat="1" x14ac:dyDescent="0.2">
      <c r="B66" s="55"/>
      <c r="C66" s="54" t="s">
        <v>53</v>
      </c>
      <c r="D66" s="53" t="s">
        <v>14</v>
      </c>
      <c r="E66" s="52" t="str">
        <f t="shared" si="1"/>
        <v>UsdLiborSwapForBasisCalc57Y</v>
      </c>
      <c r="F66" s="51" t="str">
        <f>_xll.qlSwapIndex($E66,FixingType,C66,2,Currency,$F$6,"1Y","f","act/360","USDLibor3M",Discounting,Permanent,$F$7,ObjectOverwrite)</f>
        <v>UsdLiborSwapForBasisCalc57Y#0021</v>
      </c>
      <c r="G66" s="50" t="str">
        <f>_xll.ohRangeRetrieveError(F66)</f>
        <v/>
      </c>
      <c r="H66" s="49"/>
    </row>
    <row r="67" spans="2:8" s="45" customFormat="1" x14ac:dyDescent="0.2">
      <c r="B67" s="55"/>
      <c r="C67" s="54" t="s">
        <v>52</v>
      </c>
      <c r="D67" s="53" t="s">
        <v>14</v>
      </c>
      <c r="E67" s="52" t="str">
        <f t="shared" si="1"/>
        <v>UsdLiborSwapForBasisCalc58Y</v>
      </c>
      <c r="F67" s="51" t="str">
        <f>_xll.qlSwapIndex($E67,FixingType,C67,2,Currency,$F$6,"1Y","f","act/360","USDLibor3M",Discounting,Permanent,$F$7,ObjectOverwrite)</f>
        <v>UsdLiborSwapForBasisCalc58Y#0021</v>
      </c>
      <c r="G67" s="50" t="str">
        <f>_xll.ohRangeRetrieveError(F67)</f>
        <v/>
      </c>
      <c r="H67" s="49"/>
    </row>
    <row r="68" spans="2:8" s="45" customFormat="1" x14ac:dyDescent="0.2">
      <c r="B68" s="55"/>
      <c r="C68" s="54" t="s">
        <v>51</v>
      </c>
      <c r="D68" s="53" t="s">
        <v>14</v>
      </c>
      <c r="E68" s="52" t="str">
        <f t="shared" si="1"/>
        <v>UsdLiborSwapForBasisCalc59Y</v>
      </c>
      <c r="F68" s="51" t="str">
        <f>_xll.qlSwapIndex($E68,FixingType,C68,2,Currency,$F$6,"1Y","f","act/360","USDLibor3M",Discounting,Permanent,$F$7,ObjectOverwrite)</f>
        <v>UsdLiborSwapForBasisCalc59Y#0021</v>
      </c>
      <c r="G68" s="50" t="str">
        <f>_xll.ohRangeRetrieveError(F68)</f>
        <v/>
      </c>
      <c r="H68" s="49"/>
    </row>
    <row r="69" spans="2:8" s="45" customFormat="1" x14ac:dyDescent="0.2">
      <c r="B69" s="55"/>
      <c r="C69" s="54" t="s">
        <v>50</v>
      </c>
      <c r="D69" s="53" t="s">
        <v>14</v>
      </c>
      <c r="E69" s="52" t="str">
        <f t="shared" si="1"/>
        <v>UsdLiborSwapForBasisCalc60Y</v>
      </c>
      <c r="F69" s="51" t="str">
        <f>_xll.qlSwapIndex($E69,FixingType,C69,2,Currency,$F$6,"1Y","f","act/360","USDLibor3M",Discounting,Permanent,$F$7,ObjectOverwrite)</f>
        <v>UsdLiborSwapForBasisCalc60Y#0021</v>
      </c>
      <c r="G69" s="50" t="str">
        <f>_xll.ohRangeRetrieveError(F69)</f>
        <v/>
      </c>
      <c r="H69" s="49"/>
    </row>
    <row r="70" spans="2:8" s="45" customFormat="1" ht="12" thickBot="1" x14ac:dyDescent="0.25">
      <c r="B70" s="48"/>
      <c r="C70" s="47"/>
      <c r="D70" s="47"/>
      <c r="E70" s="47"/>
      <c r="F70" s="47"/>
      <c r="G70" s="47"/>
      <c r="H70" s="46"/>
    </row>
    <row r="71" spans="2:8" s="45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3"/>
  <sheetViews>
    <sheetView workbookViewId="0"/>
  </sheetViews>
  <sheetFormatPr defaultColWidth="8" defaultRowHeight="11.25" x14ac:dyDescent="0.2"/>
  <cols>
    <col min="1" max="1" width="6.140625" style="26" customWidth="1"/>
    <col min="2" max="2" width="4.28515625" style="26" customWidth="1"/>
    <col min="3" max="3" width="15.5703125" style="26" bestFit="1" customWidth="1"/>
    <col min="4" max="4" width="93" style="26" bestFit="1" customWidth="1"/>
    <col min="5" max="5" width="4.7109375" style="26" customWidth="1"/>
    <col min="6" max="6" width="35.28515625" style="26" customWidth="1"/>
    <col min="7" max="7" width="4.28515625" style="26" customWidth="1"/>
    <col min="8" max="16384" width="8" style="26"/>
  </cols>
  <sheetData>
    <row r="1" spans="1:5" ht="13.5" thickBot="1" x14ac:dyDescent="0.25">
      <c r="A1" s="26" t="s">
        <v>123</v>
      </c>
      <c r="B1" s="69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66" t="s">
        <v>27</v>
      </c>
      <c r="C2" s="267"/>
      <c r="D2" s="267"/>
      <c r="E2" s="268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20</v>
      </c>
      <c r="D5" s="34" t="s">
        <v>122</v>
      </c>
      <c r="E5" s="14"/>
    </row>
    <row r="6" spans="1:5" s="1" customFormat="1" ht="12.75" x14ac:dyDescent="0.2">
      <c r="A6" s="23"/>
      <c r="B6" s="9"/>
      <c r="C6" s="16" t="s">
        <v>25</v>
      </c>
      <c r="D6" s="15" t="b">
        <v>1</v>
      </c>
      <c r="E6" s="14"/>
    </row>
    <row r="7" spans="1:5" s="1" customFormat="1" ht="12.75" x14ac:dyDescent="0.2">
      <c r="A7" s="23"/>
      <c r="B7" s="9"/>
      <c r="C7" s="16" t="s">
        <v>24</v>
      </c>
      <c r="D7" s="15" t="b">
        <v>0</v>
      </c>
      <c r="E7" s="14"/>
    </row>
    <row r="8" spans="1:5" s="1" customFormat="1" ht="12.75" x14ac:dyDescent="0.2">
      <c r="A8" s="23"/>
      <c r="B8" s="9"/>
      <c r="C8" s="16" t="s">
        <v>23</v>
      </c>
      <c r="D8" s="15" t="b">
        <v>1</v>
      </c>
      <c r="E8" s="14"/>
    </row>
    <row r="9" spans="1:5" s="1" customFormat="1" ht="12.75" x14ac:dyDescent="0.2">
      <c r="A9" s="23"/>
      <c r="B9" s="9"/>
      <c r="C9" s="16" t="s">
        <v>22</v>
      </c>
      <c r="D9" s="25" t="str">
        <f ca="1">SUBSTITUTE(LEFT(CELL("filename",A1),FIND("[",CELL("filename",A1),1)-1),"\XLS\","\XML\")</f>
        <v>C:\Users\erik\Documents\repos\quantlib_nando\QuantLibXL\Data2\XML\</v>
      </c>
      <c r="E9" s="14"/>
    </row>
    <row r="10" spans="1:5" s="1" customFormat="1" ht="12.75" x14ac:dyDescent="0.2">
      <c r="A10" s="23"/>
      <c r="B10" s="9"/>
      <c r="C10" s="16" t="s">
        <v>21</v>
      </c>
      <c r="D10" s="24" t="b">
        <v>1</v>
      </c>
      <c r="E10" s="14"/>
    </row>
    <row r="11" spans="1:5" s="1" customFormat="1" ht="12.75" x14ac:dyDescent="0.2">
      <c r="A11" s="23"/>
      <c r="B11" s="9"/>
      <c r="C11" s="16" t="s">
        <v>121</v>
      </c>
      <c r="D11" s="15" t="str">
        <f>Currency&amp;"YC"</f>
        <v>USDYC</v>
      </c>
      <c r="E11" s="14"/>
    </row>
    <row r="12" spans="1:5" s="1" customFormat="1" ht="12.75" x14ac:dyDescent="0.2">
      <c r="A12" s="23"/>
      <c r="B12" s="9"/>
      <c r="C12" s="16" t="s">
        <v>120</v>
      </c>
      <c r="D12" s="15" t="str">
        <f>Currency&amp;"YCSTD"</f>
        <v>USDYCSTD</v>
      </c>
      <c r="E12" s="14"/>
    </row>
    <row r="13" spans="1:5" s="1" customFormat="1" ht="13.5" thickBot="1" x14ac:dyDescent="0.25">
      <c r="A13" s="23"/>
      <c r="B13" s="4"/>
      <c r="C13" s="3"/>
      <c r="D13" s="3"/>
      <c r="E13" s="2"/>
    </row>
  </sheetData>
  <mergeCells count="1">
    <mergeCell ref="B2:E2"/>
  </mergeCells>
  <dataValidations count="1">
    <dataValidation type="list" allowBlank="1" showInputMessage="1" showErrorMessage="1" sqref="D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41"/>
  <sheetViews>
    <sheetView workbookViewId="0"/>
  </sheetViews>
  <sheetFormatPr defaultRowHeight="11.25" x14ac:dyDescent="0.2"/>
  <cols>
    <col min="1" max="1" width="3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70" bestFit="1" customWidth="1"/>
    <col min="7" max="7" width="38.28515625" style="21" customWidth="1"/>
    <col min="8" max="8" width="4.42578125" style="21" customWidth="1"/>
    <col min="9" max="12" width="3.5703125" style="21" customWidth="1"/>
    <col min="13" max="16384" width="9.140625" style="21"/>
  </cols>
  <sheetData>
    <row r="1" spans="1:12" x14ac:dyDescent="0.2">
      <c r="A1" s="104" t="s">
        <v>146</v>
      </c>
      <c r="B1" s="99"/>
      <c r="C1" s="99"/>
      <c r="D1" s="99"/>
      <c r="E1" s="97"/>
      <c r="F1" s="98"/>
      <c r="G1" s="97"/>
      <c r="H1" s="96"/>
    </row>
    <row r="2" spans="1:12" x14ac:dyDescent="0.2">
      <c r="A2" s="81"/>
      <c r="B2" s="94" t="s">
        <v>136</v>
      </c>
      <c r="C2" s="95"/>
      <c r="D2" s="94"/>
      <c r="E2" s="93" t="str">
        <f>Currency&amp;"_010_Sw"&amp;$C$4&amp;$D$4&amp;".xml"</f>
        <v>USD_010_Sw3L1L.xml</v>
      </c>
      <c r="F2" s="92">
        <f ca="1">IF(Serialize,_xll.ohObjectSave(F3:F40,SerializationPath&amp;E2,FileOverwrite,Serialize),"---")</f>
        <v>38</v>
      </c>
      <c r="G2" s="76" t="str">
        <f ca="1">_xll.ohRangeRetrieveError(F2)</f>
        <v/>
      </c>
      <c r="H2" s="75"/>
    </row>
    <row r="3" spans="1:12" x14ac:dyDescent="0.2">
      <c r="A3" s="81"/>
      <c r="B3" s="91" t="s">
        <v>35</v>
      </c>
      <c r="C3" s="79" t="str">
        <f>VLOOKUP(Currency,$J$8:$L$12,2)</f>
        <v>3L</v>
      </c>
      <c r="D3" s="78" t="str">
        <f>VLOOKUP(Currency,$J$8:$L$12,3)</f>
        <v>1L</v>
      </c>
      <c r="E3" s="77" t="str">
        <f t="shared" ref="E3:E40" si="0">IF(ISBLANK(C3),"#",Currency&amp;$C3&amp;$D3&amp;$B3&amp;QuoteSuffix)</f>
        <v>USD3L1L6M_Quote</v>
      </c>
      <c r="F3" s="77" t="str">
        <f>_xll.qlSimpleQuote(E3,,RateTickValue,Permanent,Trigger,ObjectOverwrite)</f>
        <v>USD3L1L6M_Quote#0021</v>
      </c>
      <c r="G3" s="76" t="str">
        <f>_xll.ohRangeRetrieveError(F3)</f>
        <v/>
      </c>
      <c r="H3" s="75"/>
    </row>
    <row r="4" spans="1:12" x14ac:dyDescent="0.2">
      <c r="A4" s="81"/>
      <c r="B4" s="91" t="s">
        <v>29</v>
      </c>
      <c r="C4" s="79" t="str">
        <f t="shared" ref="C4:C40" si="1">C3</f>
        <v>3L</v>
      </c>
      <c r="D4" s="78" t="str">
        <f t="shared" ref="D4:D40" si="2">D3</f>
        <v>1L</v>
      </c>
      <c r="E4" s="77" t="str">
        <f t="shared" si="0"/>
        <v>USD3L1L1Y_Quote</v>
      </c>
      <c r="F4" s="77" t="str">
        <f>_xll.qlSimpleQuote(E4,,RateTickValue,Permanent,Trigger,ObjectOverwrite)</f>
        <v>USD3L1L1Y_Quote#0021</v>
      </c>
      <c r="G4" s="76" t="str">
        <f>_xll.ohRangeRetrieveError(F4)</f>
        <v/>
      </c>
      <c r="H4" s="75"/>
    </row>
    <row r="5" spans="1:12" s="20" customFormat="1" ht="12.75" x14ac:dyDescent="0.2">
      <c r="A5" s="81"/>
      <c r="B5" s="91" t="s">
        <v>135</v>
      </c>
      <c r="C5" s="79" t="str">
        <f t="shared" si="1"/>
        <v>3L</v>
      </c>
      <c r="D5" s="78" t="str">
        <f t="shared" si="2"/>
        <v>1L</v>
      </c>
      <c r="E5" s="77" t="str">
        <f t="shared" si="0"/>
        <v>USD3L1L15M_Quote</v>
      </c>
      <c r="F5" s="77" t="str">
        <f>_xll.qlSimpleQuote(E5,,RateTickValue,Permanent,Trigger,ObjectOverwrite)</f>
        <v>USD3L1L15M_Quote#0021</v>
      </c>
      <c r="G5" s="76" t="str">
        <f>_xll.ohRangeRetrieveError(F5)</f>
        <v/>
      </c>
      <c r="H5" s="75"/>
    </row>
    <row r="6" spans="1:12" s="20" customFormat="1" ht="12.75" x14ac:dyDescent="0.2">
      <c r="A6" s="81"/>
      <c r="B6" s="91" t="s">
        <v>134</v>
      </c>
      <c r="C6" s="79" t="str">
        <f t="shared" si="1"/>
        <v>3L</v>
      </c>
      <c r="D6" s="78" t="str">
        <f t="shared" si="2"/>
        <v>1L</v>
      </c>
      <c r="E6" s="77" t="str">
        <f t="shared" si="0"/>
        <v>USD3L1L18M_Quote</v>
      </c>
      <c r="F6" s="77" t="str">
        <f>_xll.qlSimpleQuote(E6,,RateTickValue,Permanent,Trigger,ObjectOverwrite)</f>
        <v>USD3L1L18M_Quote#0021</v>
      </c>
      <c r="G6" s="76" t="str">
        <f>_xll.ohRangeRetrieveError(F6)</f>
        <v/>
      </c>
      <c r="H6" s="75"/>
    </row>
    <row r="7" spans="1:12" s="20" customFormat="1" ht="13.5" thickBot="1" x14ac:dyDescent="0.25">
      <c r="A7" s="81"/>
      <c r="B7" s="91" t="s">
        <v>133</v>
      </c>
      <c r="C7" s="79" t="str">
        <f t="shared" si="1"/>
        <v>3L</v>
      </c>
      <c r="D7" s="78" t="str">
        <f t="shared" si="2"/>
        <v>1L</v>
      </c>
      <c r="E7" s="77" t="str">
        <f t="shared" si="0"/>
        <v>USD3L1L21M_Quote</v>
      </c>
      <c r="F7" s="77" t="str">
        <f>_xll.qlSimpleQuote(E7,,RateTickValue,Permanent,Trigger,ObjectOverwrite)</f>
        <v>USD3L1L21M_Quote#0021</v>
      </c>
      <c r="G7" s="76" t="str">
        <f>_xll.ohRangeRetrieveError(F7)</f>
        <v/>
      </c>
      <c r="H7" s="75"/>
    </row>
    <row r="8" spans="1:12" x14ac:dyDescent="0.2">
      <c r="A8" s="81"/>
      <c r="B8" s="80" t="s">
        <v>108</v>
      </c>
      <c r="C8" s="79" t="str">
        <f t="shared" si="1"/>
        <v>3L</v>
      </c>
      <c r="D8" s="78" t="str">
        <f t="shared" si="2"/>
        <v>1L</v>
      </c>
      <c r="E8" s="77" t="str">
        <f t="shared" si="0"/>
        <v>USD3L1L2Y_Quote</v>
      </c>
      <c r="F8" s="77" t="str">
        <f>_xll.qlSimpleQuote(E8,,RateTickValue,Permanent,Trigger,ObjectOverwrite)</f>
        <v>USD3L1L2Y_Quote#0021</v>
      </c>
      <c r="G8" s="76" t="str">
        <f>_xll.ohRangeRetrieveError(F8)</f>
        <v/>
      </c>
      <c r="H8" s="75"/>
      <c r="J8" s="90" t="s">
        <v>132</v>
      </c>
      <c r="K8" s="89" t="s">
        <v>124</v>
      </c>
      <c r="L8" s="88" t="s">
        <v>126</v>
      </c>
    </row>
    <row r="9" spans="1:12" x14ac:dyDescent="0.2">
      <c r="A9" s="81"/>
      <c r="B9" s="80" t="s">
        <v>107</v>
      </c>
      <c r="C9" s="79" t="str">
        <f t="shared" si="1"/>
        <v>3L</v>
      </c>
      <c r="D9" s="78" t="str">
        <f t="shared" si="2"/>
        <v>1L</v>
      </c>
      <c r="E9" s="77" t="str">
        <f t="shared" si="0"/>
        <v>USD3L1L3Y_Quote</v>
      </c>
      <c r="F9" s="77" t="str">
        <f>_xll.qlSimpleQuote(E9,,RateTickValue,Permanent,Trigger,ObjectOverwrite)</f>
        <v>USD3L1L3Y_Quote#0021</v>
      </c>
      <c r="G9" s="76" t="str">
        <f>_xll.ohRangeRetrieveError(F9)</f>
        <v/>
      </c>
      <c r="H9" s="75"/>
      <c r="J9" s="87" t="s">
        <v>131</v>
      </c>
      <c r="K9" s="86" t="s">
        <v>130</v>
      </c>
      <c r="L9" s="85" t="s">
        <v>129</v>
      </c>
    </row>
    <row r="10" spans="1:12" x14ac:dyDescent="0.2">
      <c r="A10" s="81"/>
      <c r="B10" s="80" t="s">
        <v>106</v>
      </c>
      <c r="C10" s="79" t="str">
        <f t="shared" si="1"/>
        <v>3L</v>
      </c>
      <c r="D10" s="78" t="str">
        <f t="shared" si="2"/>
        <v>1L</v>
      </c>
      <c r="E10" s="77" t="str">
        <f t="shared" si="0"/>
        <v>USD3L1L4Y_Quote</v>
      </c>
      <c r="F10" s="77" t="str">
        <f>_xll.qlSimpleQuote(E10,,RateTickValue,Permanent,Trigger,ObjectOverwrite)</f>
        <v>USD3L1L4Y_Quote#0021</v>
      </c>
      <c r="G10" s="76" t="str">
        <f>_xll.ohRangeRetrieveError(F10)</f>
        <v/>
      </c>
      <c r="H10" s="75"/>
      <c r="J10" s="87" t="s">
        <v>128</v>
      </c>
      <c r="K10" s="86" t="s">
        <v>124</v>
      </c>
      <c r="L10" s="85" t="s">
        <v>126</v>
      </c>
    </row>
    <row r="11" spans="1:12" x14ac:dyDescent="0.2">
      <c r="A11" s="81"/>
      <c r="B11" s="80" t="s">
        <v>105</v>
      </c>
      <c r="C11" s="79" t="str">
        <f t="shared" si="1"/>
        <v>3L</v>
      </c>
      <c r="D11" s="78" t="str">
        <f t="shared" si="2"/>
        <v>1L</v>
      </c>
      <c r="E11" s="77" t="str">
        <f t="shared" si="0"/>
        <v>USD3L1L5Y_Quote</v>
      </c>
      <c r="F11" s="77" t="str">
        <f>_xll.qlSimpleQuote(E11,,RateTickValue,Permanent,Trigger,ObjectOverwrite)</f>
        <v>USD3L1L5Y_Quote#0021</v>
      </c>
      <c r="G11" s="76" t="str">
        <f>_xll.ohRangeRetrieveError(F11)</f>
        <v/>
      </c>
      <c r="H11" s="75"/>
      <c r="J11" s="87" t="s">
        <v>127</v>
      </c>
      <c r="K11" s="86" t="s">
        <v>124</v>
      </c>
      <c r="L11" s="85" t="s">
        <v>126</v>
      </c>
    </row>
    <row r="12" spans="1:12" ht="12" thickBot="1" x14ac:dyDescent="0.25">
      <c r="A12" s="81"/>
      <c r="B12" s="80" t="s">
        <v>104</v>
      </c>
      <c r="C12" s="79" t="str">
        <f t="shared" si="1"/>
        <v>3L</v>
      </c>
      <c r="D12" s="78" t="str">
        <f t="shared" si="2"/>
        <v>1L</v>
      </c>
      <c r="E12" s="77" t="str">
        <f t="shared" si="0"/>
        <v>USD3L1L6Y_Quote</v>
      </c>
      <c r="F12" s="77" t="str">
        <f>_xll.qlSimpleQuote(E12,,RateTickValue,Permanent,Trigger,ObjectOverwrite)</f>
        <v>USD3L1L6Y_Quote#0021</v>
      </c>
      <c r="G12" s="76" t="str">
        <f>_xll.ohRangeRetrieveError(F12)</f>
        <v/>
      </c>
      <c r="H12" s="75"/>
      <c r="J12" s="84" t="s">
        <v>122</v>
      </c>
      <c r="K12" s="83" t="s">
        <v>125</v>
      </c>
      <c r="L12" s="82" t="s">
        <v>124</v>
      </c>
    </row>
    <row r="13" spans="1:12" x14ac:dyDescent="0.2">
      <c r="A13" s="81"/>
      <c r="B13" s="80" t="s">
        <v>103</v>
      </c>
      <c r="C13" s="79" t="str">
        <f t="shared" si="1"/>
        <v>3L</v>
      </c>
      <c r="D13" s="78" t="str">
        <f t="shared" si="2"/>
        <v>1L</v>
      </c>
      <c r="E13" s="77" t="str">
        <f t="shared" si="0"/>
        <v>USD3L1L7Y_Quote</v>
      </c>
      <c r="F13" s="77" t="str">
        <f>_xll.qlSimpleQuote(E13,,RateTickValue,Permanent,Trigger,ObjectOverwrite)</f>
        <v>USD3L1L7Y_Quote#0021</v>
      </c>
      <c r="G13" s="76" t="str">
        <f>_xll.ohRangeRetrieveError(F13)</f>
        <v/>
      </c>
      <c r="H13" s="75"/>
    </row>
    <row r="14" spans="1:12" x14ac:dyDescent="0.2">
      <c r="A14" s="81"/>
      <c r="B14" s="80" t="s">
        <v>102</v>
      </c>
      <c r="C14" s="79" t="str">
        <f t="shared" si="1"/>
        <v>3L</v>
      </c>
      <c r="D14" s="78" t="str">
        <f t="shared" si="2"/>
        <v>1L</v>
      </c>
      <c r="E14" s="77" t="str">
        <f t="shared" si="0"/>
        <v>USD3L1L8Y_Quote</v>
      </c>
      <c r="F14" s="77" t="str">
        <f>_xll.qlSimpleQuote(E14,,RateTickValue,Permanent,Trigger,ObjectOverwrite)</f>
        <v>USD3L1L8Y_Quote#0021</v>
      </c>
      <c r="G14" s="76" t="str">
        <f>_xll.ohRangeRetrieveError(F14)</f>
        <v/>
      </c>
      <c r="H14" s="75"/>
    </row>
    <row r="15" spans="1:12" x14ac:dyDescent="0.2">
      <c r="A15" s="81"/>
      <c r="B15" s="80" t="s">
        <v>101</v>
      </c>
      <c r="C15" s="79" t="str">
        <f t="shared" si="1"/>
        <v>3L</v>
      </c>
      <c r="D15" s="78" t="str">
        <f t="shared" si="2"/>
        <v>1L</v>
      </c>
      <c r="E15" s="77" t="str">
        <f t="shared" si="0"/>
        <v>USD3L1L9Y_Quote</v>
      </c>
      <c r="F15" s="77" t="str">
        <f>_xll.qlSimpleQuote(E15,,RateTickValue,Permanent,Trigger,ObjectOverwrite)</f>
        <v>USD3L1L9Y_Quote#0021</v>
      </c>
      <c r="G15" s="76" t="str">
        <f>_xll.ohRangeRetrieveError(F15)</f>
        <v/>
      </c>
      <c r="H15" s="75"/>
    </row>
    <row r="16" spans="1:12" x14ac:dyDescent="0.2">
      <c r="A16" s="81"/>
      <c r="B16" s="80" t="s">
        <v>100</v>
      </c>
      <c r="C16" s="79" t="str">
        <f t="shared" si="1"/>
        <v>3L</v>
      </c>
      <c r="D16" s="78" t="str">
        <f t="shared" si="2"/>
        <v>1L</v>
      </c>
      <c r="E16" s="77" t="str">
        <f t="shared" si="0"/>
        <v>USD3L1L10Y_Quote</v>
      </c>
      <c r="F16" s="77" t="str">
        <f>_xll.qlSimpleQuote(E16,,RateTickValue,Permanent,Trigger,ObjectOverwrite)</f>
        <v>USD3L1L10Y_Quote#0021</v>
      </c>
      <c r="G16" s="76" t="str">
        <f>_xll.ohRangeRetrieveError(F16)</f>
        <v/>
      </c>
      <c r="H16" s="75"/>
    </row>
    <row r="17" spans="1:8" x14ac:dyDescent="0.2">
      <c r="A17" s="81"/>
      <c r="B17" s="80" t="s">
        <v>99</v>
      </c>
      <c r="C17" s="79" t="str">
        <f t="shared" si="1"/>
        <v>3L</v>
      </c>
      <c r="D17" s="78" t="str">
        <f t="shared" si="2"/>
        <v>1L</v>
      </c>
      <c r="E17" s="77" t="str">
        <f t="shared" si="0"/>
        <v>USD3L1L11Y_Quote</v>
      </c>
      <c r="F17" s="77" t="str">
        <f>_xll.qlSimpleQuote(E17,,RateTickValue,Permanent,Trigger,ObjectOverwrite)</f>
        <v>USD3L1L11Y_Quote#0021</v>
      </c>
      <c r="G17" s="76" t="str">
        <f>_xll.ohRangeRetrieveError(F17)</f>
        <v/>
      </c>
      <c r="H17" s="75"/>
    </row>
    <row r="18" spans="1:8" x14ac:dyDescent="0.2">
      <c r="A18" s="81"/>
      <c r="B18" s="80" t="s">
        <v>98</v>
      </c>
      <c r="C18" s="79" t="str">
        <f t="shared" si="1"/>
        <v>3L</v>
      </c>
      <c r="D18" s="78" t="str">
        <f t="shared" si="2"/>
        <v>1L</v>
      </c>
      <c r="E18" s="77" t="str">
        <f t="shared" si="0"/>
        <v>USD3L1L12Y_Quote</v>
      </c>
      <c r="F18" s="77" t="str">
        <f>_xll.qlSimpleQuote(E18,,RateTickValue,Permanent,Trigger,ObjectOverwrite)</f>
        <v>USD3L1L12Y_Quote#0021</v>
      </c>
      <c r="G18" s="76" t="str">
        <f>_xll.ohRangeRetrieveError(F18)</f>
        <v/>
      </c>
      <c r="H18" s="75"/>
    </row>
    <row r="19" spans="1:8" x14ac:dyDescent="0.2">
      <c r="A19" s="81"/>
      <c r="B19" s="80" t="s">
        <v>97</v>
      </c>
      <c r="C19" s="79" t="str">
        <f t="shared" si="1"/>
        <v>3L</v>
      </c>
      <c r="D19" s="78" t="str">
        <f t="shared" si="2"/>
        <v>1L</v>
      </c>
      <c r="E19" s="77" t="str">
        <f t="shared" si="0"/>
        <v>USD3L1L13Y_Quote</v>
      </c>
      <c r="F19" s="77" t="str">
        <f>_xll.qlSimpleQuote(E19,,RateTickValue,Permanent,Trigger,ObjectOverwrite)</f>
        <v>USD3L1L13Y_Quote#0021</v>
      </c>
      <c r="G19" s="76" t="str">
        <f>_xll.ohRangeRetrieveError(F19)</f>
        <v/>
      </c>
      <c r="H19" s="75"/>
    </row>
    <row r="20" spans="1:8" x14ac:dyDescent="0.2">
      <c r="A20" s="81"/>
      <c r="B20" s="80" t="s">
        <v>96</v>
      </c>
      <c r="C20" s="79" t="str">
        <f t="shared" si="1"/>
        <v>3L</v>
      </c>
      <c r="D20" s="78" t="str">
        <f t="shared" si="2"/>
        <v>1L</v>
      </c>
      <c r="E20" s="77" t="str">
        <f t="shared" si="0"/>
        <v>USD3L1L14Y_Quote</v>
      </c>
      <c r="F20" s="77" t="str">
        <f>_xll.qlSimpleQuote(E20,,RateTickValue,Permanent,Trigger,ObjectOverwrite)</f>
        <v>USD3L1L14Y_Quote#0021</v>
      </c>
      <c r="G20" s="76" t="str">
        <f>_xll.ohRangeRetrieveError(F20)</f>
        <v/>
      </c>
      <c r="H20" s="75"/>
    </row>
    <row r="21" spans="1:8" x14ac:dyDescent="0.2">
      <c r="A21" s="81"/>
      <c r="B21" s="80" t="s">
        <v>95</v>
      </c>
      <c r="C21" s="79" t="str">
        <f t="shared" si="1"/>
        <v>3L</v>
      </c>
      <c r="D21" s="78" t="str">
        <f t="shared" si="2"/>
        <v>1L</v>
      </c>
      <c r="E21" s="77" t="str">
        <f t="shared" si="0"/>
        <v>USD3L1L15Y_Quote</v>
      </c>
      <c r="F21" s="77" t="str">
        <f>_xll.qlSimpleQuote(E21,,RateTickValue,Permanent,Trigger,ObjectOverwrite)</f>
        <v>USD3L1L15Y_Quote#0021</v>
      </c>
      <c r="G21" s="76" t="str">
        <f>_xll.ohRangeRetrieveError(F21)</f>
        <v/>
      </c>
      <c r="H21" s="75"/>
    </row>
    <row r="22" spans="1:8" x14ac:dyDescent="0.2">
      <c r="A22" s="81"/>
      <c r="B22" s="80" t="s">
        <v>94</v>
      </c>
      <c r="C22" s="79" t="str">
        <f t="shared" si="1"/>
        <v>3L</v>
      </c>
      <c r="D22" s="78" t="str">
        <f t="shared" si="2"/>
        <v>1L</v>
      </c>
      <c r="E22" s="77" t="str">
        <f t="shared" si="0"/>
        <v>USD3L1L16Y_Quote</v>
      </c>
      <c r="F22" s="77" t="str">
        <f>_xll.qlSimpleQuote(E22,,RateTickValue,Permanent,Trigger,ObjectOverwrite)</f>
        <v>USD3L1L16Y_Quote#0021</v>
      </c>
      <c r="G22" s="76" t="str">
        <f>_xll.ohRangeRetrieveError(F22)</f>
        <v/>
      </c>
      <c r="H22" s="75"/>
    </row>
    <row r="23" spans="1:8" x14ac:dyDescent="0.2">
      <c r="A23" s="81"/>
      <c r="B23" s="80" t="s">
        <v>93</v>
      </c>
      <c r="C23" s="79" t="str">
        <f t="shared" si="1"/>
        <v>3L</v>
      </c>
      <c r="D23" s="78" t="str">
        <f t="shared" si="2"/>
        <v>1L</v>
      </c>
      <c r="E23" s="77" t="str">
        <f t="shared" si="0"/>
        <v>USD3L1L17Y_Quote</v>
      </c>
      <c r="F23" s="77" t="str">
        <f>_xll.qlSimpleQuote(E23,,RateTickValue,Permanent,Trigger,ObjectOverwrite)</f>
        <v>USD3L1L17Y_Quote#0021</v>
      </c>
      <c r="G23" s="76" t="str">
        <f>_xll.ohRangeRetrieveError(F23)</f>
        <v/>
      </c>
      <c r="H23" s="75"/>
    </row>
    <row r="24" spans="1:8" x14ac:dyDescent="0.2">
      <c r="A24" s="81"/>
      <c r="B24" s="80" t="s">
        <v>92</v>
      </c>
      <c r="C24" s="79" t="str">
        <f t="shared" si="1"/>
        <v>3L</v>
      </c>
      <c r="D24" s="78" t="str">
        <f t="shared" si="2"/>
        <v>1L</v>
      </c>
      <c r="E24" s="77" t="str">
        <f t="shared" si="0"/>
        <v>USD3L1L18Y_Quote</v>
      </c>
      <c r="F24" s="77" t="str">
        <f>_xll.qlSimpleQuote(E24,,RateTickValue,Permanent,Trigger,ObjectOverwrite)</f>
        <v>USD3L1L18Y_Quote#0021</v>
      </c>
      <c r="G24" s="76" t="str">
        <f>_xll.ohRangeRetrieveError(F24)</f>
        <v/>
      </c>
      <c r="H24" s="75"/>
    </row>
    <row r="25" spans="1:8" x14ac:dyDescent="0.2">
      <c r="A25" s="81"/>
      <c r="B25" s="80" t="s">
        <v>91</v>
      </c>
      <c r="C25" s="79" t="str">
        <f t="shared" si="1"/>
        <v>3L</v>
      </c>
      <c r="D25" s="78" t="str">
        <f t="shared" si="2"/>
        <v>1L</v>
      </c>
      <c r="E25" s="77" t="str">
        <f t="shared" si="0"/>
        <v>USD3L1L19Y_Quote</v>
      </c>
      <c r="F25" s="77" t="str">
        <f>_xll.qlSimpleQuote(E25,,RateTickValue,Permanent,Trigger,ObjectOverwrite)</f>
        <v>USD3L1L19Y_Quote#0021</v>
      </c>
      <c r="G25" s="76" t="str">
        <f>_xll.ohRangeRetrieveError(F25)</f>
        <v/>
      </c>
      <c r="H25" s="75"/>
    </row>
    <row r="26" spans="1:8" x14ac:dyDescent="0.2">
      <c r="A26" s="81"/>
      <c r="B26" s="80" t="s">
        <v>90</v>
      </c>
      <c r="C26" s="79" t="str">
        <f t="shared" si="1"/>
        <v>3L</v>
      </c>
      <c r="D26" s="78" t="str">
        <f t="shared" si="2"/>
        <v>1L</v>
      </c>
      <c r="E26" s="77" t="str">
        <f t="shared" si="0"/>
        <v>USD3L1L20Y_Quote</v>
      </c>
      <c r="F26" s="77" t="str">
        <f>_xll.qlSimpleQuote(E26,,RateTickValue,Permanent,Trigger,ObjectOverwrite)</f>
        <v>USD3L1L20Y_Quote#0021</v>
      </c>
      <c r="G26" s="76" t="str">
        <f>_xll.ohRangeRetrieveError(F26)</f>
        <v/>
      </c>
      <c r="H26" s="75"/>
    </row>
    <row r="27" spans="1:8" x14ac:dyDescent="0.2">
      <c r="A27" s="81"/>
      <c r="B27" s="80" t="s">
        <v>89</v>
      </c>
      <c r="C27" s="79" t="str">
        <f t="shared" si="1"/>
        <v>3L</v>
      </c>
      <c r="D27" s="78" t="str">
        <f t="shared" si="2"/>
        <v>1L</v>
      </c>
      <c r="E27" s="77" t="str">
        <f t="shared" si="0"/>
        <v>USD3L1L21Y_Quote</v>
      </c>
      <c r="F27" s="77" t="str">
        <f>_xll.qlSimpleQuote(E27,,RateTickValue,Permanent,Trigger,ObjectOverwrite)</f>
        <v>USD3L1L21Y_Quote#0021</v>
      </c>
      <c r="G27" s="76" t="str">
        <f>_xll.ohRangeRetrieveError(F27)</f>
        <v/>
      </c>
      <c r="H27" s="75"/>
    </row>
    <row r="28" spans="1:8" x14ac:dyDescent="0.2">
      <c r="A28" s="81"/>
      <c r="B28" s="80" t="s">
        <v>88</v>
      </c>
      <c r="C28" s="79" t="str">
        <f t="shared" si="1"/>
        <v>3L</v>
      </c>
      <c r="D28" s="78" t="str">
        <f t="shared" si="2"/>
        <v>1L</v>
      </c>
      <c r="E28" s="77" t="str">
        <f t="shared" si="0"/>
        <v>USD3L1L22Y_Quote</v>
      </c>
      <c r="F28" s="77" t="str">
        <f>_xll.qlSimpleQuote(E28,,RateTickValue,Permanent,Trigger,ObjectOverwrite)</f>
        <v>USD3L1L22Y_Quote#0021</v>
      </c>
      <c r="G28" s="76" t="str">
        <f>_xll.ohRangeRetrieveError(F28)</f>
        <v/>
      </c>
      <c r="H28" s="75"/>
    </row>
    <row r="29" spans="1:8" x14ac:dyDescent="0.2">
      <c r="A29" s="81"/>
      <c r="B29" s="80" t="s">
        <v>87</v>
      </c>
      <c r="C29" s="79" t="str">
        <f t="shared" si="1"/>
        <v>3L</v>
      </c>
      <c r="D29" s="78" t="str">
        <f t="shared" si="2"/>
        <v>1L</v>
      </c>
      <c r="E29" s="77" t="str">
        <f t="shared" si="0"/>
        <v>USD3L1L23Y_Quote</v>
      </c>
      <c r="F29" s="77" t="str">
        <f>_xll.qlSimpleQuote(E29,,RateTickValue,Permanent,Trigger,ObjectOverwrite)</f>
        <v>USD3L1L23Y_Quote#0021</v>
      </c>
      <c r="G29" s="76" t="str">
        <f>_xll.ohRangeRetrieveError(F29)</f>
        <v/>
      </c>
      <c r="H29" s="75"/>
    </row>
    <row r="30" spans="1:8" x14ac:dyDescent="0.2">
      <c r="A30" s="81"/>
      <c r="B30" s="80" t="s">
        <v>86</v>
      </c>
      <c r="C30" s="79" t="str">
        <f t="shared" si="1"/>
        <v>3L</v>
      </c>
      <c r="D30" s="78" t="str">
        <f t="shared" si="2"/>
        <v>1L</v>
      </c>
      <c r="E30" s="77" t="str">
        <f t="shared" si="0"/>
        <v>USD3L1L24Y_Quote</v>
      </c>
      <c r="F30" s="77" t="str">
        <f>_xll.qlSimpleQuote(E30,,RateTickValue,Permanent,Trigger,ObjectOverwrite)</f>
        <v>USD3L1L24Y_Quote#0021</v>
      </c>
      <c r="G30" s="76" t="str">
        <f>_xll.ohRangeRetrieveError(F30)</f>
        <v/>
      </c>
      <c r="H30" s="75"/>
    </row>
    <row r="31" spans="1:8" x14ac:dyDescent="0.2">
      <c r="A31" s="81"/>
      <c r="B31" s="80" t="s">
        <v>85</v>
      </c>
      <c r="C31" s="79" t="str">
        <f t="shared" si="1"/>
        <v>3L</v>
      </c>
      <c r="D31" s="78" t="str">
        <f t="shared" si="2"/>
        <v>1L</v>
      </c>
      <c r="E31" s="77" t="str">
        <f t="shared" si="0"/>
        <v>USD3L1L25Y_Quote</v>
      </c>
      <c r="F31" s="77" t="str">
        <f>_xll.qlSimpleQuote(E31,,RateTickValue,Permanent,Trigger,ObjectOverwrite)</f>
        <v>USD3L1L25Y_Quote#0021</v>
      </c>
      <c r="G31" s="76" t="str">
        <f>_xll.ohRangeRetrieveError(F31)</f>
        <v/>
      </c>
      <c r="H31" s="75"/>
    </row>
    <row r="32" spans="1:8" x14ac:dyDescent="0.2">
      <c r="A32" s="81"/>
      <c r="B32" s="80" t="s">
        <v>84</v>
      </c>
      <c r="C32" s="79" t="str">
        <f t="shared" si="1"/>
        <v>3L</v>
      </c>
      <c r="D32" s="78" t="str">
        <f t="shared" si="2"/>
        <v>1L</v>
      </c>
      <c r="E32" s="77" t="str">
        <f t="shared" si="0"/>
        <v>USD3L1L26Y_Quote</v>
      </c>
      <c r="F32" s="77" t="str">
        <f>_xll.qlSimpleQuote(E32,,RateTickValue,Permanent,Trigger,ObjectOverwrite)</f>
        <v>USD3L1L26Y_Quote#0021</v>
      </c>
      <c r="G32" s="76" t="str">
        <f>_xll.ohRangeRetrieveError(F32)</f>
        <v/>
      </c>
      <c r="H32" s="75"/>
    </row>
    <row r="33" spans="1:8" x14ac:dyDescent="0.2">
      <c r="A33" s="81"/>
      <c r="B33" s="80" t="s">
        <v>83</v>
      </c>
      <c r="C33" s="79" t="str">
        <f t="shared" si="1"/>
        <v>3L</v>
      </c>
      <c r="D33" s="78" t="str">
        <f t="shared" si="2"/>
        <v>1L</v>
      </c>
      <c r="E33" s="77" t="str">
        <f t="shared" si="0"/>
        <v>USD3L1L27Y_Quote</v>
      </c>
      <c r="F33" s="77" t="str">
        <f>_xll.qlSimpleQuote(E33,,RateTickValue,Permanent,Trigger,ObjectOverwrite)</f>
        <v>USD3L1L27Y_Quote#0021</v>
      </c>
      <c r="G33" s="76" t="str">
        <f>_xll.ohRangeRetrieveError(F33)</f>
        <v/>
      </c>
      <c r="H33" s="75"/>
    </row>
    <row r="34" spans="1:8" x14ac:dyDescent="0.2">
      <c r="A34" s="81"/>
      <c r="B34" s="80" t="s">
        <v>82</v>
      </c>
      <c r="C34" s="79" t="str">
        <f t="shared" si="1"/>
        <v>3L</v>
      </c>
      <c r="D34" s="78" t="str">
        <f t="shared" si="2"/>
        <v>1L</v>
      </c>
      <c r="E34" s="77" t="str">
        <f t="shared" si="0"/>
        <v>USD3L1L28Y_Quote</v>
      </c>
      <c r="F34" s="77" t="str">
        <f>_xll.qlSimpleQuote(E34,,RateTickValue,Permanent,Trigger,ObjectOverwrite)</f>
        <v>USD3L1L28Y_Quote#0021</v>
      </c>
      <c r="G34" s="76" t="str">
        <f>_xll.ohRangeRetrieveError(F34)</f>
        <v/>
      </c>
      <c r="H34" s="75"/>
    </row>
    <row r="35" spans="1:8" x14ac:dyDescent="0.2">
      <c r="A35" s="81"/>
      <c r="B35" s="80" t="s">
        <v>81</v>
      </c>
      <c r="C35" s="79" t="str">
        <f t="shared" si="1"/>
        <v>3L</v>
      </c>
      <c r="D35" s="78" t="str">
        <f t="shared" si="2"/>
        <v>1L</v>
      </c>
      <c r="E35" s="77" t="str">
        <f t="shared" si="0"/>
        <v>USD3L1L29Y_Quote</v>
      </c>
      <c r="F35" s="77" t="str">
        <f>_xll.qlSimpleQuote(E35,,RateTickValue,Permanent,Trigger,ObjectOverwrite)</f>
        <v>USD3L1L29Y_Quote#0021</v>
      </c>
      <c r="G35" s="76" t="str">
        <f>_xll.ohRangeRetrieveError(F35)</f>
        <v/>
      </c>
      <c r="H35" s="75"/>
    </row>
    <row r="36" spans="1:8" x14ac:dyDescent="0.2">
      <c r="A36" s="81"/>
      <c r="B36" s="80" t="s">
        <v>80</v>
      </c>
      <c r="C36" s="79" t="str">
        <f t="shared" si="1"/>
        <v>3L</v>
      </c>
      <c r="D36" s="78" t="str">
        <f t="shared" si="2"/>
        <v>1L</v>
      </c>
      <c r="E36" s="77" t="str">
        <f t="shared" si="0"/>
        <v>USD3L1L30Y_Quote</v>
      </c>
      <c r="F36" s="77" t="str">
        <f>_xll.qlSimpleQuote(E36,,RateTickValue,Permanent,Trigger,ObjectOverwrite)</f>
        <v>USD3L1L30Y_Quote#0021</v>
      </c>
      <c r="G36" s="76" t="str">
        <f>_xll.ohRangeRetrieveError(F36)</f>
        <v/>
      </c>
      <c r="H36" s="75"/>
    </row>
    <row r="37" spans="1:8" x14ac:dyDescent="0.2">
      <c r="A37" s="81"/>
      <c r="B37" s="80" t="s">
        <v>75</v>
      </c>
      <c r="C37" s="79" t="str">
        <f t="shared" si="1"/>
        <v>3L</v>
      </c>
      <c r="D37" s="78" t="str">
        <f t="shared" si="2"/>
        <v>1L</v>
      </c>
      <c r="E37" s="77" t="str">
        <f t="shared" si="0"/>
        <v>USD3L1L35Y_Quote</v>
      </c>
      <c r="F37" s="77" t="str">
        <f>_xll.qlSimpleQuote(E37,,RateTickValue,Permanent,Trigger,ObjectOverwrite)</f>
        <v>USD3L1L35Y_Quote#0021</v>
      </c>
      <c r="G37" s="76" t="str">
        <f>_xll.ohRangeRetrieveError(F37)</f>
        <v/>
      </c>
      <c r="H37" s="75"/>
    </row>
    <row r="38" spans="1:8" x14ac:dyDescent="0.2">
      <c r="A38" s="81"/>
      <c r="B38" s="80" t="s">
        <v>70</v>
      </c>
      <c r="C38" s="79" t="str">
        <f t="shared" si="1"/>
        <v>3L</v>
      </c>
      <c r="D38" s="78" t="str">
        <f t="shared" si="2"/>
        <v>1L</v>
      </c>
      <c r="E38" s="77" t="str">
        <f t="shared" si="0"/>
        <v>USD3L1L40Y_Quote</v>
      </c>
      <c r="F38" s="77" t="str">
        <f>_xll.qlSimpleQuote(E38,,RateTickValue,Permanent,Trigger,ObjectOverwrite)</f>
        <v>USD3L1L40Y_Quote#0021</v>
      </c>
      <c r="G38" s="76" t="str">
        <f>_xll.ohRangeRetrieveError(F38)</f>
        <v/>
      </c>
      <c r="H38" s="75"/>
    </row>
    <row r="39" spans="1:8" x14ac:dyDescent="0.2">
      <c r="A39" s="81"/>
      <c r="B39" s="80" t="s">
        <v>60</v>
      </c>
      <c r="C39" s="79" t="str">
        <f t="shared" si="1"/>
        <v>3L</v>
      </c>
      <c r="D39" s="78" t="str">
        <f t="shared" si="2"/>
        <v>1L</v>
      </c>
      <c r="E39" s="77" t="str">
        <f t="shared" si="0"/>
        <v>USD3L1L50Y_Quote</v>
      </c>
      <c r="F39" s="77" t="str">
        <f>_xll.qlSimpleQuote(E39,,RateTickValue,Permanent,Trigger,ObjectOverwrite)</f>
        <v>USD3L1L50Y_Quote#0021</v>
      </c>
      <c r="G39" s="76" t="str">
        <f>_xll.ohRangeRetrieveError(F39)</f>
        <v/>
      </c>
      <c r="H39" s="75"/>
    </row>
    <row r="40" spans="1:8" x14ac:dyDescent="0.2">
      <c r="A40" s="81"/>
      <c r="B40" s="80" t="s">
        <v>50</v>
      </c>
      <c r="C40" s="79" t="str">
        <f t="shared" si="1"/>
        <v>3L</v>
      </c>
      <c r="D40" s="78" t="str">
        <f t="shared" si="2"/>
        <v>1L</v>
      </c>
      <c r="E40" s="77" t="str">
        <f t="shared" si="0"/>
        <v>USD3L1L60Y_Quote</v>
      </c>
      <c r="F40" s="77" t="str">
        <f>_xll.qlSimpleQuote(E40,,RateTickValue,Permanent,Trigger,ObjectOverwrite)</f>
        <v>USD3L1L60Y_Quote#0021</v>
      </c>
      <c r="G40" s="76" t="str">
        <f>_xll.ohRangeRetrieveError(F40)</f>
        <v/>
      </c>
      <c r="H40" s="75"/>
    </row>
    <row r="41" spans="1:8" x14ac:dyDescent="0.2">
      <c r="A41" s="74"/>
      <c r="B41" s="73"/>
      <c r="C41" s="73"/>
      <c r="D41" s="73"/>
      <c r="E41" s="73"/>
      <c r="F41" s="72"/>
      <c r="G41" s="72"/>
      <c r="H41" s="71"/>
    </row>
  </sheetData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41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12" x14ac:dyDescent="0.2">
      <c r="A1" s="104" t="s">
        <v>146</v>
      </c>
      <c r="B1" s="99"/>
      <c r="C1" s="99"/>
      <c r="D1" s="99"/>
      <c r="E1" s="100"/>
      <c r="F1" s="101"/>
      <c r="G1" s="100"/>
      <c r="H1" s="96"/>
    </row>
    <row r="2" spans="1:12" x14ac:dyDescent="0.2">
      <c r="A2" s="81"/>
      <c r="B2" s="94" t="s">
        <v>136</v>
      </c>
      <c r="C2" s="95"/>
      <c r="D2" s="94"/>
      <c r="E2" s="93" t="str">
        <f>Currency&amp;"_010_Sw"&amp;$C$4&amp;$D$4&amp;".xml"</f>
        <v>USD_010_Sw6L3L.xml</v>
      </c>
      <c r="F2" s="92">
        <f ca="1">IF(Serialize,_xll.ohObjectSave(F3:F40,SerializationPath&amp;E2,FileOverwrite,Serialize),"---")</f>
        <v>38</v>
      </c>
      <c r="G2" s="76" t="str">
        <f ca="1">_xll.ohRangeRetrieveError(F2)</f>
        <v/>
      </c>
      <c r="H2" s="75"/>
    </row>
    <row r="3" spans="1:12" x14ac:dyDescent="0.2">
      <c r="A3" s="81"/>
      <c r="B3" s="91" t="s">
        <v>35</v>
      </c>
      <c r="C3" s="79" t="str">
        <f>VLOOKUP(Currency,$J$8:$L$12,2)</f>
        <v>6L</v>
      </c>
      <c r="D3" s="78" t="str">
        <f>VLOOKUP(Currency,$J$8:$L$12,3)</f>
        <v>3L</v>
      </c>
      <c r="E3" s="77" t="str">
        <f t="shared" ref="E3:E40" si="0">IF(ISBLANK(C3),"#",Currency&amp;$C3&amp;$D3&amp;$B3&amp;QuoteSuffix)</f>
        <v>USD6L3L6M_Quote</v>
      </c>
      <c r="F3" s="77" t="str">
        <f>_xll.qlSimpleQuote(E3,,RateTickValue,Permanent,Trigger,ObjectOverwrite)</f>
        <v>USD6L3L6M_Quote#0021</v>
      </c>
      <c r="G3" s="76" t="str">
        <f>_xll.ohRangeRetrieveError(F3)</f>
        <v/>
      </c>
      <c r="H3" s="75"/>
    </row>
    <row r="4" spans="1:12" x14ac:dyDescent="0.2">
      <c r="A4" s="81"/>
      <c r="B4" s="91" t="s">
        <v>29</v>
      </c>
      <c r="C4" s="79" t="str">
        <f t="shared" ref="C4:C40" si="1">C3</f>
        <v>6L</v>
      </c>
      <c r="D4" s="78" t="str">
        <f t="shared" ref="D4:D40" si="2">D3</f>
        <v>3L</v>
      </c>
      <c r="E4" s="77" t="str">
        <f t="shared" si="0"/>
        <v>USD6L3L1Y_Quote</v>
      </c>
      <c r="F4" s="77" t="str">
        <f>_xll.qlSimpleQuote(E4,,RateTickValue,Permanent,Trigger,ObjectOverwrite)</f>
        <v>USD6L3L1Y_Quote#0021</v>
      </c>
      <c r="G4" s="76" t="str">
        <f>_xll.ohRangeRetrieveError(F4)</f>
        <v/>
      </c>
      <c r="H4" s="75"/>
    </row>
    <row r="5" spans="1:12" x14ac:dyDescent="0.2">
      <c r="A5" s="81"/>
      <c r="B5" s="91" t="s">
        <v>135</v>
      </c>
      <c r="C5" s="79" t="str">
        <f t="shared" si="1"/>
        <v>6L</v>
      </c>
      <c r="D5" s="78" t="str">
        <f t="shared" si="2"/>
        <v>3L</v>
      </c>
      <c r="E5" s="77" t="str">
        <f t="shared" si="0"/>
        <v>USD6L3L15M_Quote</v>
      </c>
      <c r="F5" s="77" t="str">
        <f>_xll.qlSimpleQuote(E5,,RateTickValue,Permanent,Trigger,ObjectOverwrite)</f>
        <v>USD6L3L15M_Quote#0021</v>
      </c>
      <c r="G5" s="76" t="str">
        <f>_xll.ohRangeRetrieveError(F5)</f>
        <v/>
      </c>
      <c r="H5" s="75"/>
    </row>
    <row r="6" spans="1:12" x14ac:dyDescent="0.2">
      <c r="A6" s="81"/>
      <c r="B6" s="91" t="s">
        <v>134</v>
      </c>
      <c r="C6" s="79" t="str">
        <f t="shared" si="1"/>
        <v>6L</v>
      </c>
      <c r="D6" s="78" t="str">
        <f t="shared" si="2"/>
        <v>3L</v>
      </c>
      <c r="E6" s="77" t="str">
        <f t="shared" si="0"/>
        <v>USD6L3L18M_Quote</v>
      </c>
      <c r="F6" s="77" t="str">
        <f>_xll.qlSimpleQuote(E6,,RateTickValue,Permanent,Trigger,ObjectOverwrite)</f>
        <v>USD6L3L18M_Quote#0021</v>
      </c>
      <c r="G6" s="76" t="str">
        <f>_xll.ohRangeRetrieveError(F6)</f>
        <v/>
      </c>
      <c r="H6" s="75"/>
    </row>
    <row r="7" spans="1:12" ht="13.5" thickBot="1" x14ac:dyDescent="0.25">
      <c r="A7" s="81"/>
      <c r="B7" s="91" t="s">
        <v>133</v>
      </c>
      <c r="C7" s="79" t="str">
        <f t="shared" si="1"/>
        <v>6L</v>
      </c>
      <c r="D7" s="78" t="str">
        <f t="shared" si="2"/>
        <v>3L</v>
      </c>
      <c r="E7" s="77" t="str">
        <f t="shared" si="0"/>
        <v>USD6L3L21M_Quote</v>
      </c>
      <c r="F7" s="77" t="str">
        <f>_xll.qlSimpleQuote(E7,,RateTickValue,Permanent,Trigger,ObjectOverwrite)</f>
        <v>USD6L3L21M_Quote#0021</v>
      </c>
      <c r="G7" s="76" t="str">
        <f>_xll.ohRangeRetrieveError(F7)</f>
        <v/>
      </c>
      <c r="H7" s="75"/>
    </row>
    <row r="8" spans="1:12" x14ac:dyDescent="0.2">
      <c r="A8" s="81"/>
      <c r="B8" s="80" t="s">
        <v>108</v>
      </c>
      <c r="C8" s="79" t="str">
        <f t="shared" si="1"/>
        <v>6L</v>
      </c>
      <c r="D8" s="78" t="str">
        <f t="shared" si="2"/>
        <v>3L</v>
      </c>
      <c r="E8" s="77" t="str">
        <f t="shared" si="0"/>
        <v>USD6L3L2Y_Quote</v>
      </c>
      <c r="F8" s="77" t="str">
        <f>_xll.qlSimpleQuote(E8,,RateTickValue,Permanent,Trigger,ObjectOverwrite)</f>
        <v>USD6L3L2Y_Quote#0021</v>
      </c>
      <c r="G8" s="76" t="str">
        <f>_xll.ohRangeRetrieveError(F8)</f>
        <v/>
      </c>
      <c r="H8" s="75"/>
      <c r="J8" s="90" t="s">
        <v>132</v>
      </c>
      <c r="K8" s="89" t="s">
        <v>125</v>
      </c>
      <c r="L8" s="88" t="s">
        <v>126</v>
      </c>
    </row>
    <row r="9" spans="1:12" x14ac:dyDescent="0.2">
      <c r="A9" s="81"/>
      <c r="B9" s="80" t="s">
        <v>107</v>
      </c>
      <c r="C9" s="79" t="str">
        <f t="shared" si="1"/>
        <v>6L</v>
      </c>
      <c r="D9" s="78" t="str">
        <f t="shared" si="2"/>
        <v>3L</v>
      </c>
      <c r="E9" s="77" t="str">
        <f t="shared" si="0"/>
        <v>USD6L3L3Y_Quote</v>
      </c>
      <c r="F9" s="77" t="str">
        <f>_xll.qlSimpleQuote(E9,,RateTickValue,Permanent,Trigger,ObjectOverwrite)</f>
        <v>USD6L3L3Y_Quote#0021</v>
      </c>
      <c r="G9" s="76" t="str">
        <f>_xll.ohRangeRetrieveError(F9)</f>
        <v/>
      </c>
      <c r="H9" s="75"/>
      <c r="J9" s="87" t="s">
        <v>131</v>
      </c>
      <c r="K9" s="86" t="s">
        <v>137</v>
      </c>
      <c r="L9" s="85" t="s">
        <v>129</v>
      </c>
    </row>
    <row r="10" spans="1:12" x14ac:dyDescent="0.2">
      <c r="A10" s="81"/>
      <c r="B10" s="80" t="s">
        <v>106</v>
      </c>
      <c r="C10" s="79" t="str">
        <f t="shared" si="1"/>
        <v>6L</v>
      </c>
      <c r="D10" s="78" t="str">
        <f t="shared" si="2"/>
        <v>3L</v>
      </c>
      <c r="E10" s="77" t="str">
        <f t="shared" si="0"/>
        <v>USD6L3L4Y_Quote</v>
      </c>
      <c r="F10" s="77" t="str">
        <f>_xll.qlSimpleQuote(E10,,RateTickValue,Permanent,Trigger,ObjectOverwrite)</f>
        <v>USD6L3L4Y_Quote#0021</v>
      </c>
      <c r="G10" s="76" t="str">
        <f>_xll.ohRangeRetrieveError(F10)</f>
        <v/>
      </c>
      <c r="H10" s="75"/>
      <c r="J10" s="87" t="s">
        <v>128</v>
      </c>
      <c r="K10" s="86" t="s">
        <v>125</v>
      </c>
      <c r="L10" s="85" t="s">
        <v>126</v>
      </c>
    </row>
    <row r="11" spans="1:12" x14ac:dyDescent="0.2">
      <c r="A11" s="81"/>
      <c r="B11" s="80" t="s">
        <v>105</v>
      </c>
      <c r="C11" s="79" t="str">
        <f t="shared" si="1"/>
        <v>6L</v>
      </c>
      <c r="D11" s="78" t="str">
        <f t="shared" si="2"/>
        <v>3L</v>
      </c>
      <c r="E11" s="77" t="str">
        <f t="shared" si="0"/>
        <v>USD6L3L5Y_Quote</v>
      </c>
      <c r="F11" s="77" t="str">
        <f>_xll.qlSimpleQuote(E11,,RateTickValue,Permanent,Trigger,ObjectOverwrite)</f>
        <v>USD6L3L5Y_Quote#0021</v>
      </c>
      <c r="G11" s="76" t="str">
        <f>_xll.ohRangeRetrieveError(F11)</f>
        <v/>
      </c>
      <c r="H11" s="75"/>
      <c r="J11" s="87" t="s">
        <v>127</v>
      </c>
      <c r="K11" s="86" t="s">
        <v>125</v>
      </c>
      <c r="L11" s="85" t="s">
        <v>126</v>
      </c>
    </row>
    <row r="12" spans="1:12" ht="13.5" thickBot="1" x14ac:dyDescent="0.25">
      <c r="A12" s="81"/>
      <c r="B12" s="80" t="s">
        <v>104</v>
      </c>
      <c r="C12" s="79" t="str">
        <f t="shared" si="1"/>
        <v>6L</v>
      </c>
      <c r="D12" s="78" t="str">
        <f t="shared" si="2"/>
        <v>3L</v>
      </c>
      <c r="E12" s="77" t="str">
        <f t="shared" si="0"/>
        <v>USD6L3L6Y_Quote</v>
      </c>
      <c r="F12" s="77" t="str">
        <f>_xll.qlSimpleQuote(E12,,RateTickValue,Permanent,Trigger,ObjectOverwrite)</f>
        <v>USD6L3L6Y_Quote#0021</v>
      </c>
      <c r="G12" s="76" t="str">
        <f>_xll.ohRangeRetrieveError(F12)</f>
        <v/>
      </c>
      <c r="H12" s="75"/>
      <c r="J12" s="84" t="s">
        <v>122</v>
      </c>
      <c r="K12" s="83" t="s">
        <v>126</v>
      </c>
      <c r="L12" s="82" t="s">
        <v>125</v>
      </c>
    </row>
    <row r="13" spans="1:12" x14ac:dyDescent="0.2">
      <c r="A13" s="81"/>
      <c r="B13" s="80" t="s">
        <v>103</v>
      </c>
      <c r="C13" s="79" t="str">
        <f t="shared" si="1"/>
        <v>6L</v>
      </c>
      <c r="D13" s="78" t="str">
        <f t="shared" si="2"/>
        <v>3L</v>
      </c>
      <c r="E13" s="77" t="str">
        <f t="shared" si="0"/>
        <v>USD6L3L7Y_Quote</v>
      </c>
      <c r="F13" s="77" t="str">
        <f>_xll.qlSimpleQuote(E13,,RateTickValue,Permanent,Trigger,ObjectOverwrite)</f>
        <v>USD6L3L7Y_Quote#0021</v>
      </c>
      <c r="G13" s="76" t="str">
        <f>_xll.ohRangeRetrieveError(F13)</f>
        <v/>
      </c>
      <c r="H13" s="75"/>
    </row>
    <row r="14" spans="1:12" x14ac:dyDescent="0.2">
      <c r="A14" s="81"/>
      <c r="B14" s="80" t="s">
        <v>102</v>
      </c>
      <c r="C14" s="79" t="str">
        <f t="shared" si="1"/>
        <v>6L</v>
      </c>
      <c r="D14" s="78" t="str">
        <f t="shared" si="2"/>
        <v>3L</v>
      </c>
      <c r="E14" s="77" t="str">
        <f t="shared" si="0"/>
        <v>USD6L3L8Y_Quote</v>
      </c>
      <c r="F14" s="77" t="str">
        <f>_xll.qlSimpleQuote(E14,,RateTickValue,Permanent,Trigger,ObjectOverwrite)</f>
        <v>USD6L3L8Y_Quote#0021</v>
      </c>
      <c r="G14" s="76" t="str">
        <f>_xll.ohRangeRetrieveError(F14)</f>
        <v/>
      </c>
      <c r="H14" s="75"/>
    </row>
    <row r="15" spans="1:12" x14ac:dyDescent="0.2">
      <c r="A15" s="81"/>
      <c r="B15" s="80" t="s">
        <v>101</v>
      </c>
      <c r="C15" s="79" t="str">
        <f t="shared" si="1"/>
        <v>6L</v>
      </c>
      <c r="D15" s="78" t="str">
        <f t="shared" si="2"/>
        <v>3L</v>
      </c>
      <c r="E15" s="77" t="str">
        <f t="shared" si="0"/>
        <v>USD6L3L9Y_Quote</v>
      </c>
      <c r="F15" s="77" t="str">
        <f>_xll.qlSimpleQuote(E15,,RateTickValue,Permanent,Trigger,ObjectOverwrite)</f>
        <v>USD6L3L9Y_Quote#0021</v>
      </c>
      <c r="G15" s="76" t="str">
        <f>_xll.ohRangeRetrieveError(F15)</f>
        <v/>
      </c>
      <c r="H15" s="75"/>
    </row>
    <row r="16" spans="1:12" x14ac:dyDescent="0.2">
      <c r="A16" s="81"/>
      <c r="B16" s="80" t="s">
        <v>100</v>
      </c>
      <c r="C16" s="79" t="str">
        <f t="shared" si="1"/>
        <v>6L</v>
      </c>
      <c r="D16" s="78" t="str">
        <f t="shared" si="2"/>
        <v>3L</v>
      </c>
      <c r="E16" s="77" t="str">
        <f t="shared" si="0"/>
        <v>USD6L3L10Y_Quote</v>
      </c>
      <c r="F16" s="77" t="str">
        <f>_xll.qlSimpleQuote(E16,,RateTickValue,Permanent,Trigger,ObjectOverwrite)</f>
        <v>USD6L3L10Y_Quote#0021</v>
      </c>
      <c r="G16" s="76" t="str">
        <f>_xll.ohRangeRetrieveError(F16)</f>
        <v/>
      </c>
      <c r="H16" s="75"/>
    </row>
    <row r="17" spans="1:8" x14ac:dyDescent="0.2">
      <c r="A17" s="81"/>
      <c r="B17" s="80" t="s">
        <v>99</v>
      </c>
      <c r="C17" s="79" t="str">
        <f t="shared" si="1"/>
        <v>6L</v>
      </c>
      <c r="D17" s="78" t="str">
        <f t="shared" si="2"/>
        <v>3L</v>
      </c>
      <c r="E17" s="77" t="str">
        <f t="shared" si="0"/>
        <v>USD6L3L11Y_Quote</v>
      </c>
      <c r="F17" s="77" t="str">
        <f>_xll.qlSimpleQuote(E17,,RateTickValue,Permanent,Trigger,ObjectOverwrite)</f>
        <v>USD6L3L11Y_Quote#0021</v>
      </c>
      <c r="G17" s="76" t="str">
        <f>_xll.ohRangeRetrieveError(F17)</f>
        <v/>
      </c>
      <c r="H17" s="75"/>
    </row>
    <row r="18" spans="1:8" x14ac:dyDescent="0.2">
      <c r="A18" s="81"/>
      <c r="B18" s="80" t="s">
        <v>98</v>
      </c>
      <c r="C18" s="79" t="str">
        <f t="shared" si="1"/>
        <v>6L</v>
      </c>
      <c r="D18" s="78" t="str">
        <f t="shared" si="2"/>
        <v>3L</v>
      </c>
      <c r="E18" s="77" t="str">
        <f t="shared" si="0"/>
        <v>USD6L3L12Y_Quote</v>
      </c>
      <c r="F18" s="77" t="str">
        <f>_xll.qlSimpleQuote(E18,,RateTickValue,Permanent,Trigger,ObjectOverwrite)</f>
        <v>USD6L3L12Y_Quote#0021</v>
      </c>
      <c r="G18" s="76" t="str">
        <f>_xll.ohRangeRetrieveError(F18)</f>
        <v/>
      </c>
      <c r="H18" s="75"/>
    </row>
    <row r="19" spans="1:8" x14ac:dyDescent="0.2">
      <c r="A19" s="81"/>
      <c r="B19" s="80" t="s">
        <v>97</v>
      </c>
      <c r="C19" s="79" t="str">
        <f t="shared" si="1"/>
        <v>6L</v>
      </c>
      <c r="D19" s="78" t="str">
        <f t="shared" si="2"/>
        <v>3L</v>
      </c>
      <c r="E19" s="77" t="str">
        <f t="shared" si="0"/>
        <v>USD6L3L13Y_Quote</v>
      </c>
      <c r="F19" s="77" t="str">
        <f>_xll.qlSimpleQuote(E19,,RateTickValue,Permanent,Trigger,ObjectOverwrite)</f>
        <v>USD6L3L13Y_Quote#0021</v>
      </c>
      <c r="G19" s="76" t="str">
        <f>_xll.ohRangeRetrieveError(F19)</f>
        <v/>
      </c>
      <c r="H19" s="75"/>
    </row>
    <row r="20" spans="1:8" x14ac:dyDescent="0.2">
      <c r="A20" s="81"/>
      <c r="B20" s="80" t="s">
        <v>96</v>
      </c>
      <c r="C20" s="79" t="str">
        <f t="shared" si="1"/>
        <v>6L</v>
      </c>
      <c r="D20" s="78" t="str">
        <f t="shared" si="2"/>
        <v>3L</v>
      </c>
      <c r="E20" s="77" t="str">
        <f t="shared" si="0"/>
        <v>USD6L3L14Y_Quote</v>
      </c>
      <c r="F20" s="77" t="str">
        <f>_xll.qlSimpleQuote(E20,,RateTickValue,Permanent,Trigger,ObjectOverwrite)</f>
        <v>USD6L3L14Y_Quote#0021</v>
      </c>
      <c r="G20" s="76" t="str">
        <f>_xll.ohRangeRetrieveError(F20)</f>
        <v/>
      </c>
      <c r="H20" s="75"/>
    </row>
    <row r="21" spans="1:8" x14ac:dyDescent="0.2">
      <c r="A21" s="81"/>
      <c r="B21" s="80" t="s">
        <v>95</v>
      </c>
      <c r="C21" s="79" t="str">
        <f t="shared" si="1"/>
        <v>6L</v>
      </c>
      <c r="D21" s="78" t="str">
        <f t="shared" si="2"/>
        <v>3L</v>
      </c>
      <c r="E21" s="77" t="str">
        <f t="shared" si="0"/>
        <v>USD6L3L15Y_Quote</v>
      </c>
      <c r="F21" s="77" t="str">
        <f>_xll.qlSimpleQuote(E21,,RateTickValue,Permanent,Trigger,ObjectOverwrite)</f>
        <v>USD6L3L15Y_Quote#0021</v>
      </c>
      <c r="G21" s="76" t="str">
        <f>_xll.ohRangeRetrieveError(F21)</f>
        <v/>
      </c>
      <c r="H21" s="75"/>
    </row>
    <row r="22" spans="1:8" x14ac:dyDescent="0.2">
      <c r="A22" s="81"/>
      <c r="B22" s="80" t="s">
        <v>94</v>
      </c>
      <c r="C22" s="79" t="str">
        <f t="shared" si="1"/>
        <v>6L</v>
      </c>
      <c r="D22" s="78" t="str">
        <f t="shared" si="2"/>
        <v>3L</v>
      </c>
      <c r="E22" s="77" t="str">
        <f t="shared" si="0"/>
        <v>USD6L3L16Y_Quote</v>
      </c>
      <c r="F22" s="77" t="str">
        <f>_xll.qlSimpleQuote(E22,,RateTickValue,Permanent,Trigger,ObjectOverwrite)</f>
        <v>USD6L3L16Y_Quote#0021</v>
      </c>
      <c r="G22" s="76" t="str">
        <f>_xll.ohRangeRetrieveError(F22)</f>
        <v/>
      </c>
      <c r="H22" s="75"/>
    </row>
    <row r="23" spans="1:8" x14ac:dyDescent="0.2">
      <c r="A23" s="81"/>
      <c r="B23" s="80" t="s">
        <v>93</v>
      </c>
      <c r="C23" s="79" t="str">
        <f t="shared" si="1"/>
        <v>6L</v>
      </c>
      <c r="D23" s="78" t="str">
        <f t="shared" si="2"/>
        <v>3L</v>
      </c>
      <c r="E23" s="77" t="str">
        <f t="shared" si="0"/>
        <v>USD6L3L17Y_Quote</v>
      </c>
      <c r="F23" s="77" t="str">
        <f>_xll.qlSimpleQuote(E23,,RateTickValue,Permanent,Trigger,ObjectOverwrite)</f>
        <v>USD6L3L17Y_Quote#0021</v>
      </c>
      <c r="G23" s="76" t="str">
        <f>_xll.ohRangeRetrieveError(F23)</f>
        <v/>
      </c>
      <c r="H23" s="75"/>
    </row>
    <row r="24" spans="1:8" x14ac:dyDescent="0.2">
      <c r="A24" s="81"/>
      <c r="B24" s="80" t="s">
        <v>92</v>
      </c>
      <c r="C24" s="79" t="str">
        <f t="shared" si="1"/>
        <v>6L</v>
      </c>
      <c r="D24" s="78" t="str">
        <f t="shared" si="2"/>
        <v>3L</v>
      </c>
      <c r="E24" s="77" t="str">
        <f t="shared" si="0"/>
        <v>USD6L3L18Y_Quote</v>
      </c>
      <c r="F24" s="77" t="str">
        <f>_xll.qlSimpleQuote(E24,,RateTickValue,Permanent,Trigger,ObjectOverwrite)</f>
        <v>USD6L3L18Y_Quote#0021</v>
      </c>
      <c r="G24" s="76" t="str">
        <f>_xll.ohRangeRetrieveError(F24)</f>
        <v/>
      </c>
      <c r="H24" s="75"/>
    </row>
    <row r="25" spans="1:8" x14ac:dyDescent="0.2">
      <c r="A25" s="81"/>
      <c r="B25" s="80" t="s">
        <v>91</v>
      </c>
      <c r="C25" s="79" t="str">
        <f t="shared" si="1"/>
        <v>6L</v>
      </c>
      <c r="D25" s="78" t="str">
        <f t="shared" si="2"/>
        <v>3L</v>
      </c>
      <c r="E25" s="77" t="str">
        <f t="shared" si="0"/>
        <v>USD6L3L19Y_Quote</v>
      </c>
      <c r="F25" s="77" t="str">
        <f>_xll.qlSimpleQuote(E25,,RateTickValue,Permanent,Trigger,ObjectOverwrite)</f>
        <v>USD6L3L19Y_Quote#0021</v>
      </c>
      <c r="G25" s="76" t="str">
        <f>_xll.ohRangeRetrieveError(F25)</f>
        <v/>
      </c>
      <c r="H25" s="75"/>
    </row>
    <row r="26" spans="1:8" x14ac:dyDescent="0.2">
      <c r="A26" s="81"/>
      <c r="B26" s="80" t="s">
        <v>90</v>
      </c>
      <c r="C26" s="79" t="str">
        <f t="shared" si="1"/>
        <v>6L</v>
      </c>
      <c r="D26" s="78" t="str">
        <f t="shared" si="2"/>
        <v>3L</v>
      </c>
      <c r="E26" s="77" t="str">
        <f t="shared" si="0"/>
        <v>USD6L3L20Y_Quote</v>
      </c>
      <c r="F26" s="77" t="str">
        <f>_xll.qlSimpleQuote(E26,,RateTickValue,Permanent,Trigger,ObjectOverwrite)</f>
        <v>USD6L3L20Y_Quote#0021</v>
      </c>
      <c r="G26" s="76" t="str">
        <f>_xll.ohRangeRetrieveError(F26)</f>
        <v/>
      </c>
      <c r="H26" s="75"/>
    </row>
    <row r="27" spans="1:8" x14ac:dyDescent="0.2">
      <c r="A27" s="81"/>
      <c r="B27" s="80" t="s">
        <v>89</v>
      </c>
      <c r="C27" s="79" t="str">
        <f t="shared" si="1"/>
        <v>6L</v>
      </c>
      <c r="D27" s="78" t="str">
        <f t="shared" si="2"/>
        <v>3L</v>
      </c>
      <c r="E27" s="77" t="str">
        <f t="shared" si="0"/>
        <v>USD6L3L21Y_Quote</v>
      </c>
      <c r="F27" s="77" t="str">
        <f>_xll.qlSimpleQuote(E27,,RateTickValue,Permanent,Trigger,ObjectOverwrite)</f>
        <v>USD6L3L21Y_Quote#0021</v>
      </c>
      <c r="G27" s="76" t="str">
        <f>_xll.ohRangeRetrieveError(F27)</f>
        <v/>
      </c>
      <c r="H27" s="75"/>
    </row>
    <row r="28" spans="1:8" x14ac:dyDescent="0.2">
      <c r="A28" s="81"/>
      <c r="B28" s="80" t="s">
        <v>88</v>
      </c>
      <c r="C28" s="79" t="str">
        <f t="shared" si="1"/>
        <v>6L</v>
      </c>
      <c r="D28" s="78" t="str">
        <f t="shared" si="2"/>
        <v>3L</v>
      </c>
      <c r="E28" s="77" t="str">
        <f t="shared" si="0"/>
        <v>USD6L3L22Y_Quote</v>
      </c>
      <c r="F28" s="77" t="str">
        <f>_xll.qlSimpleQuote(E28,,RateTickValue,Permanent,Trigger,ObjectOverwrite)</f>
        <v>USD6L3L22Y_Quote#0021</v>
      </c>
      <c r="G28" s="76" t="str">
        <f>_xll.ohRangeRetrieveError(F28)</f>
        <v/>
      </c>
      <c r="H28" s="75"/>
    </row>
    <row r="29" spans="1:8" x14ac:dyDescent="0.2">
      <c r="A29" s="81"/>
      <c r="B29" s="80" t="s">
        <v>87</v>
      </c>
      <c r="C29" s="79" t="str">
        <f t="shared" si="1"/>
        <v>6L</v>
      </c>
      <c r="D29" s="78" t="str">
        <f t="shared" si="2"/>
        <v>3L</v>
      </c>
      <c r="E29" s="77" t="str">
        <f t="shared" si="0"/>
        <v>USD6L3L23Y_Quote</v>
      </c>
      <c r="F29" s="77" t="str">
        <f>_xll.qlSimpleQuote(E29,,RateTickValue,Permanent,Trigger,ObjectOverwrite)</f>
        <v>USD6L3L23Y_Quote#0021</v>
      </c>
      <c r="G29" s="76" t="str">
        <f>_xll.ohRangeRetrieveError(F29)</f>
        <v/>
      </c>
      <c r="H29" s="75"/>
    </row>
    <row r="30" spans="1:8" x14ac:dyDescent="0.2">
      <c r="A30" s="81"/>
      <c r="B30" s="80" t="s">
        <v>86</v>
      </c>
      <c r="C30" s="79" t="str">
        <f t="shared" si="1"/>
        <v>6L</v>
      </c>
      <c r="D30" s="78" t="str">
        <f t="shared" si="2"/>
        <v>3L</v>
      </c>
      <c r="E30" s="77" t="str">
        <f t="shared" si="0"/>
        <v>USD6L3L24Y_Quote</v>
      </c>
      <c r="F30" s="77" t="str">
        <f>_xll.qlSimpleQuote(E30,,RateTickValue,Permanent,Trigger,ObjectOverwrite)</f>
        <v>USD6L3L24Y_Quote#0021</v>
      </c>
      <c r="G30" s="76" t="str">
        <f>_xll.ohRangeRetrieveError(F30)</f>
        <v/>
      </c>
      <c r="H30" s="75"/>
    </row>
    <row r="31" spans="1:8" x14ac:dyDescent="0.2">
      <c r="A31" s="81"/>
      <c r="B31" s="80" t="s">
        <v>85</v>
      </c>
      <c r="C31" s="79" t="str">
        <f t="shared" si="1"/>
        <v>6L</v>
      </c>
      <c r="D31" s="78" t="str">
        <f t="shared" si="2"/>
        <v>3L</v>
      </c>
      <c r="E31" s="77" t="str">
        <f t="shared" si="0"/>
        <v>USD6L3L25Y_Quote</v>
      </c>
      <c r="F31" s="77" t="str">
        <f>_xll.qlSimpleQuote(E31,,RateTickValue,Permanent,Trigger,ObjectOverwrite)</f>
        <v>USD6L3L25Y_Quote#0021</v>
      </c>
      <c r="G31" s="76" t="str">
        <f>_xll.ohRangeRetrieveError(F31)</f>
        <v/>
      </c>
      <c r="H31" s="75"/>
    </row>
    <row r="32" spans="1:8" x14ac:dyDescent="0.2">
      <c r="A32" s="81"/>
      <c r="B32" s="80" t="s">
        <v>84</v>
      </c>
      <c r="C32" s="79" t="str">
        <f t="shared" si="1"/>
        <v>6L</v>
      </c>
      <c r="D32" s="78" t="str">
        <f t="shared" si="2"/>
        <v>3L</v>
      </c>
      <c r="E32" s="77" t="str">
        <f t="shared" si="0"/>
        <v>USD6L3L26Y_Quote</v>
      </c>
      <c r="F32" s="77" t="str">
        <f>_xll.qlSimpleQuote(E32,,RateTickValue,Permanent,Trigger,ObjectOverwrite)</f>
        <v>USD6L3L26Y_Quote#0021</v>
      </c>
      <c r="G32" s="76" t="str">
        <f>_xll.ohRangeRetrieveError(F32)</f>
        <v/>
      </c>
      <c r="H32" s="75"/>
    </row>
    <row r="33" spans="1:8" x14ac:dyDescent="0.2">
      <c r="A33" s="81"/>
      <c r="B33" s="80" t="s">
        <v>83</v>
      </c>
      <c r="C33" s="79" t="str">
        <f t="shared" si="1"/>
        <v>6L</v>
      </c>
      <c r="D33" s="78" t="str">
        <f t="shared" si="2"/>
        <v>3L</v>
      </c>
      <c r="E33" s="77" t="str">
        <f t="shared" si="0"/>
        <v>USD6L3L27Y_Quote</v>
      </c>
      <c r="F33" s="77" t="str">
        <f>_xll.qlSimpleQuote(E33,,RateTickValue,Permanent,Trigger,ObjectOverwrite)</f>
        <v>USD6L3L27Y_Quote#0021</v>
      </c>
      <c r="G33" s="76" t="str">
        <f>_xll.ohRangeRetrieveError(F33)</f>
        <v/>
      </c>
      <c r="H33" s="75"/>
    </row>
    <row r="34" spans="1:8" x14ac:dyDescent="0.2">
      <c r="A34" s="81"/>
      <c r="B34" s="80" t="s">
        <v>82</v>
      </c>
      <c r="C34" s="79" t="str">
        <f t="shared" si="1"/>
        <v>6L</v>
      </c>
      <c r="D34" s="78" t="str">
        <f t="shared" si="2"/>
        <v>3L</v>
      </c>
      <c r="E34" s="77" t="str">
        <f t="shared" si="0"/>
        <v>USD6L3L28Y_Quote</v>
      </c>
      <c r="F34" s="77" t="str">
        <f>_xll.qlSimpleQuote(E34,,RateTickValue,Permanent,Trigger,ObjectOverwrite)</f>
        <v>USD6L3L28Y_Quote#0021</v>
      </c>
      <c r="G34" s="76" t="str">
        <f>_xll.ohRangeRetrieveError(F34)</f>
        <v/>
      </c>
      <c r="H34" s="75"/>
    </row>
    <row r="35" spans="1:8" x14ac:dyDescent="0.2">
      <c r="A35" s="81"/>
      <c r="B35" s="80" t="s">
        <v>81</v>
      </c>
      <c r="C35" s="79" t="str">
        <f t="shared" si="1"/>
        <v>6L</v>
      </c>
      <c r="D35" s="78" t="str">
        <f t="shared" si="2"/>
        <v>3L</v>
      </c>
      <c r="E35" s="77" t="str">
        <f t="shared" si="0"/>
        <v>USD6L3L29Y_Quote</v>
      </c>
      <c r="F35" s="77" t="str">
        <f>_xll.qlSimpleQuote(E35,,RateTickValue,Permanent,Trigger,ObjectOverwrite)</f>
        <v>USD6L3L29Y_Quote#0021</v>
      </c>
      <c r="G35" s="76" t="str">
        <f>_xll.ohRangeRetrieveError(F35)</f>
        <v/>
      </c>
      <c r="H35" s="75"/>
    </row>
    <row r="36" spans="1:8" x14ac:dyDescent="0.2">
      <c r="A36" s="81"/>
      <c r="B36" s="80" t="s">
        <v>80</v>
      </c>
      <c r="C36" s="79" t="str">
        <f t="shared" si="1"/>
        <v>6L</v>
      </c>
      <c r="D36" s="78" t="str">
        <f t="shared" si="2"/>
        <v>3L</v>
      </c>
      <c r="E36" s="77" t="str">
        <f t="shared" si="0"/>
        <v>USD6L3L30Y_Quote</v>
      </c>
      <c r="F36" s="77" t="str">
        <f>_xll.qlSimpleQuote(E36,,RateTickValue,Permanent,Trigger,ObjectOverwrite)</f>
        <v>USD6L3L30Y_Quote#0021</v>
      </c>
      <c r="G36" s="76" t="str">
        <f>_xll.ohRangeRetrieveError(F36)</f>
        <v/>
      </c>
      <c r="H36" s="75"/>
    </row>
    <row r="37" spans="1:8" x14ac:dyDescent="0.2">
      <c r="A37" s="81"/>
      <c r="B37" s="80" t="s">
        <v>75</v>
      </c>
      <c r="C37" s="79" t="str">
        <f t="shared" si="1"/>
        <v>6L</v>
      </c>
      <c r="D37" s="78" t="str">
        <f t="shared" si="2"/>
        <v>3L</v>
      </c>
      <c r="E37" s="77" t="str">
        <f t="shared" si="0"/>
        <v>USD6L3L35Y_Quote</v>
      </c>
      <c r="F37" s="77" t="str">
        <f>_xll.qlSimpleQuote(E37,,RateTickValue,Permanent,Trigger,ObjectOverwrite)</f>
        <v>USD6L3L35Y_Quote#0021</v>
      </c>
      <c r="G37" s="76" t="str">
        <f>_xll.ohRangeRetrieveError(F37)</f>
        <v/>
      </c>
      <c r="H37" s="75"/>
    </row>
    <row r="38" spans="1:8" x14ac:dyDescent="0.2">
      <c r="A38" s="81"/>
      <c r="B38" s="80" t="s">
        <v>70</v>
      </c>
      <c r="C38" s="79" t="str">
        <f t="shared" si="1"/>
        <v>6L</v>
      </c>
      <c r="D38" s="78" t="str">
        <f t="shared" si="2"/>
        <v>3L</v>
      </c>
      <c r="E38" s="77" t="str">
        <f t="shared" si="0"/>
        <v>USD6L3L40Y_Quote</v>
      </c>
      <c r="F38" s="77" t="str">
        <f>_xll.qlSimpleQuote(E38,,RateTickValue,Permanent,Trigger,ObjectOverwrite)</f>
        <v>USD6L3L40Y_Quote#0021</v>
      </c>
      <c r="G38" s="76" t="str">
        <f>_xll.ohRangeRetrieveError(F38)</f>
        <v/>
      </c>
      <c r="H38" s="75"/>
    </row>
    <row r="39" spans="1:8" x14ac:dyDescent="0.2">
      <c r="A39" s="81"/>
      <c r="B39" s="80" t="s">
        <v>60</v>
      </c>
      <c r="C39" s="79" t="str">
        <f t="shared" si="1"/>
        <v>6L</v>
      </c>
      <c r="D39" s="78" t="str">
        <f t="shared" si="2"/>
        <v>3L</v>
      </c>
      <c r="E39" s="77" t="str">
        <f t="shared" si="0"/>
        <v>USD6L3L50Y_Quote</v>
      </c>
      <c r="F39" s="77" t="str">
        <f>_xll.qlSimpleQuote(E39,,RateTickValue,Permanent,Trigger,ObjectOverwrite)</f>
        <v>USD6L3L50Y_Quote#0021</v>
      </c>
      <c r="G39" s="76" t="str">
        <f>_xll.ohRangeRetrieveError(F39)</f>
        <v/>
      </c>
      <c r="H39" s="75"/>
    </row>
    <row r="40" spans="1:8" x14ac:dyDescent="0.2">
      <c r="A40" s="81"/>
      <c r="B40" s="80" t="s">
        <v>50</v>
      </c>
      <c r="C40" s="79" t="str">
        <f t="shared" si="1"/>
        <v>6L</v>
      </c>
      <c r="D40" s="78" t="str">
        <f t="shared" si="2"/>
        <v>3L</v>
      </c>
      <c r="E40" s="77" t="str">
        <f t="shared" si="0"/>
        <v>USD6L3L60Y_Quote</v>
      </c>
      <c r="F40" s="77" t="str">
        <f>_xll.qlSimpleQuote(E40,,RateTickValue,Permanent,Trigger,ObjectOverwrite)</f>
        <v>USD6L3L60Y_Quote#0021</v>
      </c>
      <c r="G40" s="76" t="str">
        <f>_xll.ohRangeRetrieveError(F40)</f>
        <v/>
      </c>
      <c r="H40" s="75"/>
    </row>
    <row r="41" spans="1:8" x14ac:dyDescent="0.2">
      <c r="A41" s="74"/>
      <c r="B41" s="73"/>
      <c r="C41" s="73"/>
      <c r="D41" s="73"/>
      <c r="E41" s="73"/>
      <c r="F41" s="72"/>
      <c r="G41" s="72"/>
      <c r="H41" s="71"/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41"/>
  <sheetViews>
    <sheetView workbookViewId="0"/>
  </sheetViews>
  <sheetFormatPr defaultRowHeight="12.75" x14ac:dyDescent="0.2"/>
  <cols>
    <col min="1" max="1" width="4.14062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6384" width="9.140625" style="20"/>
  </cols>
  <sheetData>
    <row r="1" spans="1:12" x14ac:dyDescent="0.2">
      <c r="A1" s="104" t="s">
        <v>146</v>
      </c>
      <c r="B1" s="99"/>
      <c r="C1" s="99"/>
      <c r="D1" s="99"/>
      <c r="E1" s="100"/>
      <c r="F1" s="101"/>
      <c r="G1" s="100"/>
      <c r="H1" s="96"/>
    </row>
    <row r="2" spans="1:12" x14ac:dyDescent="0.2">
      <c r="A2" s="81"/>
      <c r="B2" s="94" t="s">
        <v>136</v>
      </c>
      <c r="C2" s="95"/>
      <c r="D2" s="94"/>
      <c r="E2" s="93" t="str">
        <f>Currency&amp;"_010_Sw"&amp;$C$7&amp;$D$7&amp;".xml"</f>
        <v>USD_010_Sw12L3L.xml</v>
      </c>
      <c r="F2" s="92">
        <f ca="1">IF(Serialize,_xll.ohObjectSave(F3:F40,SerializationPath&amp;E2,FileOverwrite,Serialize),"---")</f>
        <v>38</v>
      </c>
      <c r="G2" s="76" t="str">
        <f ca="1">_xll.ohRangeRetrieveError(F2)</f>
        <v/>
      </c>
      <c r="H2" s="75"/>
    </row>
    <row r="3" spans="1:12" x14ac:dyDescent="0.2">
      <c r="A3" s="81"/>
      <c r="B3" s="91" t="s">
        <v>35</v>
      </c>
      <c r="C3" s="79" t="str">
        <f>VLOOKUP(Currency,$J$8:$L$12,2)</f>
        <v>12L</v>
      </c>
      <c r="D3" s="78" t="str">
        <f>VLOOKUP(Currency,$J$8:$L$12,3)</f>
        <v>3L</v>
      </c>
      <c r="E3" s="77" t="str">
        <f t="shared" ref="E3:E40" si="0">IF(ISBLANK(C3),"#",Currency&amp;$C3&amp;$D3&amp;$B3&amp;QuoteSuffix)</f>
        <v>USD12L3L6M_Quote</v>
      </c>
      <c r="F3" s="77" t="str">
        <f>_xll.qlSimpleQuote(E3,,RateTickValue,Permanent,Trigger,ObjectOverwrite)</f>
        <v>USD12L3L6M_Quote#0021</v>
      </c>
      <c r="G3" s="76" t="str">
        <f>_xll.ohRangeRetrieveError(F3)</f>
        <v/>
      </c>
      <c r="H3" s="75"/>
    </row>
    <row r="4" spans="1:12" x14ac:dyDescent="0.2">
      <c r="A4" s="81"/>
      <c r="B4" s="91" t="s">
        <v>29</v>
      </c>
      <c r="C4" s="79" t="str">
        <f t="shared" ref="C4:C40" si="1">C3</f>
        <v>12L</v>
      </c>
      <c r="D4" s="78" t="str">
        <f t="shared" ref="D4:D40" si="2">D3</f>
        <v>3L</v>
      </c>
      <c r="E4" s="77" t="str">
        <f t="shared" si="0"/>
        <v>USD12L3L1Y_Quote</v>
      </c>
      <c r="F4" s="77" t="str">
        <f>_xll.qlSimpleQuote(E4,,RateTickValue,Permanent,Trigger,ObjectOverwrite)</f>
        <v>USD12L3L1Y_Quote#0021</v>
      </c>
      <c r="G4" s="76" t="str">
        <f>_xll.ohRangeRetrieveError(F4)</f>
        <v/>
      </c>
      <c r="H4" s="75"/>
    </row>
    <row r="5" spans="1:12" x14ac:dyDescent="0.2">
      <c r="A5" s="81"/>
      <c r="B5" s="91" t="s">
        <v>135</v>
      </c>
      <c r="C5" s="79" t="str">
        <f t="shared" si="1"/>
        <v>12L</v>
      </c>
      <c r="D5" s="78" t="str">
        <f t="shared" si="2"/>
        <v>3L</v>
      </c>
      <c r="E5" s="77" t="str">
        <f t="shared" si="0"/>
        <v>USD12L3L15M_Quote</v>
      </c>
      <c r="F5" s="77" t="str">
        <f>_xll.qlSimpleQuote(E5,,RateTickValue,Permanent,Trigger,ObjectOverwrite)</f>
        <v>USD12L3L15M_Quote#0021</v>
      </c>
      <c r="G5" s="76" t="str">
        <f>_xll.ohRangeRetrieveError(F5)</f>
        <v/>
      </c>
      <c r="H5" s="75"/>
    </row>
    <row r="6" spans="1:12" x14ac:dyDescent="0.2">
      <c r="A6" s="81"/>
      <c r="B6" s="91" t="s">
        <v>134</v>
      </c>
      <c r="C6" s="79" t="str">
        <f t="shared" si="1"/>
        <v>12L</v>
      </c>
      <c r="D6" s="78" t="str">
        <f t="shared" si="2"/>
        <v>3L</v>
      </c>
      <c r="E6" s="77" t="str">
        <f t="shared" si="0"/>
        <v>USD12L3L18M_Quote</v>
      </c>
      <c r="F6" s="77" t="str">
        <f>_xll.qlSimpleQuote(E6,,RateTickValue,Permanent,Trigger,ObjectOverwrite)</f>
        <v>USD12L3L18M_Quote#0021</v>
      </c>
      <c r="G6" s="76" t="str">
        <f>_xll.ohRangeRetrieveError(F6)</f>
        <v/>
      </c>
      <c r="H6" s="75"/>
    </row>
    <row r="7" spans="1:12" ht="13.5" thickBot="1" x14ac:dyDescent="0.25">
      <c r="A7" s="81"/>
      <c r="B7" s="91" t="s">
        <v>133</v>
      </c>
      <c r="C7" s="79" t="str">
        <f t="shared" si="1"/>
        <v>12L</v>
      </c>
      <c r="D7" s="78" t="str">
        <f t="shared" si="2"/>
        <v>3L</v>
      </c>
      <c r="E7" s="77" t="str">
        <f t="shared" si="0"/>
        <v>USD12L3L21M_Quote</v>
      </c>
      <c r="F7" s="77" t="str">
        <f>_xll.qlSimpleQuote(E7,,RateTickValue,Permanent,Trigger,ObjectOverwrite)</f>
        <v>USD12L3L21M_Quote#0021</v>
      </c>
      <c r="G7" s="76" t="str">
        <f>_xll.ohRangeRetrieveError(F7)</f>
        <v/>
      </c>
      <c r="H7" s="75"/>
    </row>
    <row r="8" spans="1:12" x14ac:dyDescent="0.2">
      <c r="A8" s="81"/>
      <c r="B8" s="80" t="s">
        <v>108</v>
      </c>
      <c r="C8" s="79" t="str">
        <f t="shared" si="1"/>
        <v>12L</v>
      </c>
      <c r="D8" s="78" t="str">
        <f t="shared" si="2"/>
        <v>3L</v>
      </c>
      <c r="E8" s="77" t="str">
        <f t="shared" si="0"/>
        <v>USD12L3L2Y_Quote</v>
      </c>
      <c r="F8" s="77" t="str">
        <f>_xll.qlSimpleQuote(E8,,RateTickValue,Permanent,Trigger,ObjectOverwrite)</f>
        <v>USD12L3L2Y_Quote#0021</v>
      </c>
      <c r="G8" s="76" t="str">
        <f>_xll.ohRangeRetrieveError(F8)</f>
        <v/>
      </c>
      <c r="H8" s="75"/>
      <c r="J8" s="90" t="s">
        <v>132</v>
      </c>
      <c r="K8" s="89" t="s">
        <v>126</v>
      </c>
      <c r="L8" s="88" t="s">
        <v>138</v>
      </c>
    </row>
    <row r="9" spans="1:12" x14ac:dyDescent="0.2">
      <c r="A9" s="81"/>
      <c r="B9" s="80" t="s">
        <v>107</v>
      </c>
      <c r="C9" s="79" t="str">
        <f t="shared" si="1"/>
        <v>12L</v>
      </c>
      <c r="D9" s="78" t="str">
        <f t="shared" si="2"/>
        <v>3L</v>
      </c>
      <c r="E9" s="77" t="str">
        <f t="shared" si="0"/>
        <v>USD12L3L3Y_Quote</v>
      </c>
      <c r="F9" s="77" t="str">
        <f>_xll.qlSimpleQuote(E9,,RateTickValue,Permanent,Trigger,ObjectOverwrite)</f>
        <v>USD12L3L3Y_Quote#0021</v>
      </c>
      <c r="G9" s="76" t="str">
        <f>_xll.ohRangeRetrieveError(F9)</f>
        <v/>
      </c>
      <c r="H9" s="75"/>
      <c r="J9" s="87" t="s">
        <v>131</v>
      </c>
      <c r="K9" s="86" t="s">
        <v>129</v>
      </c>
      <c r="L9" s="85" t="s">
        <v>139</v>
      </c>
    </row>
    <row r="10" spans="1:12" x14ac:dyDescent="0.2">
      <c r="A10" s="81"/>
      <c r="B10" s="80" t="s">
        <v>106</v>
      </c>
      <c r="C10" s="79" t="str">
        <f t="shared" si="1"/>
        <v>12L</v>
      </c>
      <c r="D10" s="78" t="str">
        <f t="shared" si="2"/>
        <v>3L</v>
      </c>
      <c r="E10" s="77" t="str">
        <f t="shared" si="0"/>
        <v>USD12L3L4Y_Quote</v>
      </c>
      <c r="F10" s="77" t="str">
        <f>_xll.qlSimpleQuote(E10,,RateTickValue,Permanent,Trigger,ObjectOverwrite)</f>
        <v>USD12L3L4Y_Quote#0021</v>
      </c>
      <c r="G10" s="76" t="str">
        <f>_xll.ohRangeRetrieveError(F10)</f>
        <v/>
      </c>
      <c r="H10" s="75"/>
      <c r="J10" s="87" t="s">
        <v>128</v>
      </c>
      <c r="K10" s="86" t="s">
        <v>126</v>
      </c>
      <c r="L10" s="85" t="s">
        <v>138</v>
      </c>
    </row>
    <row r="11" spans="1:12" x14ac:dyDescent="0.2">
      <c r="A11" s="81"/>
      <c r="B11" s="80" t="s">
        <v>105</v>
      </c>
      <c r="C11" s="79" t="str">
        <f t="shared" si="1"/>
        <v>12L</v>
      </c>
      <c r="D11" s="78" t="str">
        <f t="shared" si="2"/>
        <v>3L</v>
      </c>
      <c r="E11" s="77" t="str">
        <f t="shared" si="0"/>
        <v>USD12L3L5Y_Quote</v>
      </c>
      <c r="F11" s="77" t="str">
        <f>_xll.qlSimpleQuote(E11,,RateTickValue,Permanent,Trigger,ObjectOverwrite)</f>
        <v>USD12L3L5Y_Quote#0021</v>
      </c>
      <c r="G11" s="76" t="str">
        <f>_xll.ohRangeRetrieveError(F11)</f>
        <v/>
      </c>
      <c r="H11" s="75"/>
      <c r="J11" s="87" t="s">
        <v>127</v>
      </c>
      <c r="K11" s="86" t="s">
        <v>126</v>
      </c>
      <c r="L11" s="85" t="s">
        <v>138</v>
      </c>
    </row>
    <row r="12" spans="1:12" ht="13.5" thickBot="1" x14ac:dyDescent="0.25">
      <c r="A12" s="81"/>
      <c r="B12" s="80" t="s">
        <v>104</v>
      </c>
      <c r="C12" s="79" t="str">
        <f t="shared" si="1"/>
        <v>12L</v>
      </c>
      <c r="D12" s="78" t="str">
        <f t="shared" si="2"/>
        <v>3L</v>
      </c>
      <c r="E12" s="77" t="str">
        <f t="shared" si="0"/>
        <v>USD12L3L6Y_Quote</v>
      </c>
      <c r="F12" s="77" t="str">
        <f>_xll.qlSimpleQuote(E12,,RateTickValue,Permanent,Trigger,ObjectOverwrite)</f>
        <v>USD12L3L6Y_Quote#0021</v>
      </c>
      <c r="G12" s="76" t="str">
        <f>_xll.ohRangeRetrieveError(F12)</f>
        <v/>
      </c>
      <c r="H12" s="75"/>
      <c r="J12" s="84" t="s">
        <v>122</v>
      </c>
      <c r="K12" s="83" t="s">
        <v>138</v>
      </c>
      <c r="L12" s="82" t="s">
        <v>125</v>
      </c>
    </row>
    <row r="13" spans="1:12" x14ac:dyDescent="0.2">
      <c r="A13" s="81"/>
      <c r="B13" s="80" t="s">
        <v>103</v>
      </c>
      <c r="C13" s="79" t="str">
        <f t="shared" si="1"/>
        <v>12L</v>
      </c>
      <c r="D13" s="78" t="str">
        <f t="shared" si="2"/>
        <v>3L</v>
      </c>
      <c r="E13" s="77" t="str">
        <f t="shared" si="0"/>
        <v>USD12L3L7Y_Quote</v>
      </c>
      <c r="F13" s="77" t="str">
        <f>_xll.qlSimpleQuote(E13,,RateTickValue,Permanent,Trigger,ObjectOverwrite)</f>
        <v>USD12L3L7Y_Quote#0021</v>
      </c>
      <c r="G13" s="76" t="str">
        <f>_xll.ohRangeRetrieveError(F13)</f>
        <v/>
      </c>
      <c r="H13" s="75"/>
    </row>
    <row r="14" spans="1:12" x14ac:dyDescent="0.2">
      <c r="A14" s="81"/>
      <c r="B14" s="80" t="s">
        <v>102</v>
      </c>
      <c r="C14" s="79" t="str">
        <f t="shared" si="1"/>
        <v>12L</v>
      </c>
      <c r="D14" s="78" t="str">
        <f t="shared" si="2"/>
        <v>3L</v>
      </c>
      <c r="E14" s="77" t="str">
        <f t="shared" si="0"/>
        <v>USD12L3L8Y_Quote</v>
      </c>
      <c r="F14" s="77" t="str">
        <f>_xll.qlSimpleQuote(E14,,RateTickValue,Permanent,Trigger,ObjectOverwrite)</f>
        <v>USD12L3L8Y_Quote#0021</v>
      </c>
      <c r="G14" s="76" t="str">
        <f>_xll.ohRangeRetrieveError(F14)</f>
        <v/>
      </c>
      <c r="H14" s="75"/>
    </row>
    <row r="15" spans="1:12" x14ac:dyDescent="0.2">
      <c r="A15" s="81"/>
      <c r="B15" s="80" t="s">
        <v>101</v>
      </c>
      <c r="C15" s="79" t="str">
        <f t="shared" si="1"/>
        <v>12L</v>
      </c>
      <c r="D15" s="78" t="str">
        <f t="shared" si="2"/>
        <v>3L</v>
      </c>
      <c r="E15" s="77" t="str">
        <f t="shared" si="0"/>
        <v>USD12L3L9Y_Quote</v>
      </c>
      <c r="F15" s="77" t="str">
        <f>_xll.qlSimpleQuote(E15,,RateTickValue,Permanent,Trigger,ObjectOverwrite)</f>
        <v>USD12L3L9Y_Quote#0021</v>
      </c>
      <c r="G15" s="76" t="str">
        <f>_xll.ohRangeRetrieveError(F15)</f>
        <v/>
      </c>
      <c r="H15" s="75"/>
    </row>
    <row r="16" spans="1:12" x14ac:dyDescent="0.2">
      <c r="A16" s="81"/>
      <c r="B16" s="80" t="s">
        <v>100</v>
      </c>
      <c r="C16" s="79" t="str">
        <f t="shared" si="1"/>
        <v>12L</v>
      </c>
      <c r="D16" s="78" t="str">
        <f t="shared" si="2"/>
        <v>3L</v>
      </c>
      <c r="E16" s="77" t="str">
        <f t="shared" si="0"/>
        <v>USD12L3L10Y_Quote</v>
      </c>
      <c r="F16" s="77" t="str">
        <f>_xll.qlSimpleQuote(E16,,RateTickValue,Permanent,Trigger,ObjectOverwrite)</f>
        <v>USD12L3L10Y_Quote#0021</v>
      </c>
      <c r="G16" s="76" t="str">
        <f>_xll.ohRangeRetrieveError(F16)</f>
        <v/>
      </c>
      <c r="H16" s="75"/>
    </row>
    <row r="17" spans="1:8" x14ac:dyDescent="0.2">
      <c r="A17" s="81"/>
      <c r="B17" s="80" t="s">
        <v>99</v>
      </c>
      <c r="C17" s="79" t="str">
        <f t="shared" si="1"/>
        <v>12L</v>
      </c>
      <c r="D17" s="78" t="str">
        <f t="shared" si="2"/>
        <v>3L</v>
      </c>
      <c r="E17" s="77" t="str">
        <f t="shared" si="0"/>
        <v>USD12L3L11Y_Quote</v>
      </c>
      <c r="F17" s="77" t="str">
        <f>_xll.qlSimpleQuote(E17,,RateTickValue,Permanent,Trigger,ObjectOverwrite)</f>
        <v>USD12L3L11Y_Quote#0021</v>
      </c>
      <c r="G17" s="76" t="str">
        <f>_xll.ohRangeRetrieveError(F17)</f>
        <v/>
      </c>
      <c r="H17" s="75"/>
    </row>
    <row r="18" spans="1:8" x14ac:dyDescent="0.2">
      <c r="A18" s="81"/>
      <c r="B18" s="80" t="s">
        <v>98</v>
      </c>
      <c r="C18" s="79" t="str">
        <f t="shared" si="1"/>
        <v>12L</v>
      </c>
      <c r="D18" s="78" t="str">
        <f t="shared" si="2"/>
        <v>3L</v>
      </c>
      <c r="E18" s="77" t="str">
        <f t="shared" si="0"/>
        <v>USD12L3L12Y_Quote</v>
      </c>
      <c r="F18" s="77" t="str">
        <f>_xll.qlSimpleQuote(E18,,RateTickValue,Permanent,Trigger,ObjectOverwrite)</f>
        <v>USD12L3L12Y_Quote#0021</v>
      </c>
      <c r="G18" s="76" t="str">
        <f>_xll.ohRangeRetrieveError(F18)</f>
        <v/>
      </c>
      <c r="H18" s="75"/>
    </row>
    <row r="19" spans="1:8" x14ac:dyDescent="0.2">
      <c r="A19" s="81"/>
      <c r="B19" s="80" t="s">
        <v>97</v>
      </c>
      <c r="C19" s="79" t="str">
        <f t="shared" si="1"/>
        <v>12L</v>
      </c>
      <c r="D19" s="78" t="str">
        <f t="shared" si="2"/>
        <v>3L</v>
      </c>
      <c r="E19" s="77" t="str">
        <f t="shared" si="0"/>
        <v>USD12L3L13Y_Quote</v>
      </c>
      <c r="F19" s="77" t="str">
        <f>_xll.qlSimpleQuote(E19,,RateTickValue,Permanent,Trigger,ObjectOverwrite)</f>
        <v>USD12L3L13Y_Quote#0021</v>
      </c>
      <c r="G19" s="76" t="str">
        <f>_xll.ohRangeRetrieveError(F19)</f>
        <v/>
      </c>
      <c r="H19" s="75"/>
    </row>
    <row r="20" spans="1:8" x14ac:dyDescent="0.2">
      <c r="A20" s="81"/>
      <c r="B20" s="80" t="s">
        <v>96</v>
      </c>
      <c r="C20" s="79" t="str">
        <f t="shared" si="1"/>
        <v>12L</v>
      </c>
      <c r="D20" s="78" t="str">
        <f t="shared" si="2"/>
        <v>3L</v>
      </c>
      <c r="E20" s="77" t="str">
        <f t="shared" si="0"/>
        <v>USD12L3L14Y_Quote</v>
      </c>
      <c r="F20" s="77" t="str">
        <f>_xll.qlSimpleQuote(E20,,RateTickValue,Permanent,Trigger,ObjectOverwrite)</f>
        <v>USD12L3L14Y_Quote#0021</v>
      </c>
      <c r="G20" s="76" t="str">
        <f>_xll.ohRangeRetrieveError(F20)</f>
        <v/>
      </c>
      <c r="H20" s="75"/>
    </row>
    <row r="21" spans="1:8" x14ac:dyDescent="0.2">
      <c r="A21" s="81"/>
      <c r="B21" s="80" t="s">
        <v>95</v>
      </c>
      <c r="C21" s="79" t="str">
        <f t="shared" si="1"/>
        <v>12L</v>
      </c>
      <c r="D21" s="78" t="str">
        <f t="shared" si="2"/>
        <v>3L</v>
      </c>
      <c r="E21" s="77" t="str">
        <f t="shared" si="0"/>
        <v>USD12L3L15Y_Quote</v>
      </c>
      <c r="F21" s="77" t="str">
        <f>_xll.qlSimpleQuote(E21,,RateTickValue,Permanent,Trigger,ObjectOverwrite)</f>
        <v>USD12L3L15Y_Quote#0021</v>
      </c>
      <c r="G21" s="76" t="str">
        <f>_xll.ohRangeRetrieveError(F21)</f>
        <v/>
      </c>
      <c r="H21" s="75"/>
    </row>
    <row r="22" spans="1:8" x14ac:dyDescent="0.2">
      <c r="A22" s="81"/>
      <c r="B22" s="80" t="s">
        <v>94</v>
      </c>
      <c r="C22" s="79" t="str">
        <f t="shared" si="1"/>
        <v>12L</v>
      </c>
      <c r="D22" s="78" t="str">
        <f t="shared" si="2"/>
        <v>3L</v>
      </c>
      <c r="E22" s="77" t="str">
        <f t="shared" si="0"/>
        <v>USD12L3L16Y_Quote</v>
      </c>
      <c r="F22" s="77" t="str">
        <f>_xll.qlSimpleQuote(E22,,RateTickValue,Permanent,Trigger,ObjectOverwrite)</f>
        <v>USD12L3L16Y_Quote#0021</v>
      </c>
      <c r="G22" s="76" t="str">
        <f>_xll.ohRangeRetrieveError(F22)</f>
        <v/>
      </c>
      <c r="H22" s="75"/>
    </row>
    <row r="23" spans="1:8" x14ac:dyDescent="0.2">
      <c r="A23" s="81"/>
      <c r="B23" s="80" t="s">
        <v>93</v>
      </c>
      <c r="C23" s="79" t="str">
        <f t="shared" si="1"/>
        <v>12L</v>
      </c>
      <c r="D23" s="78" t="str">
        <f t="shared" si="2"/>
        <v>3L</v>
      </c>
      <c r="E23" s="77" t="str">
        <f t="shared" si="0"/>
        <v>USD12L3L17Y_Quote</v>
      </c>
      <c r="F23" s="77" t="str">
        <f>_xll.qlSimpleQuote(E23,,RateTickValue,Permanent,Trigger,ObjectOverwrite)</f>
        <v>USD12L3L17Y_Quote#0021</v>
      </c>
      <c r="G23" s="76" t="str">
        <f>_xll.ohRangeRetrieveError(F23)</f>
        <v/>
      </c>
      <c r="H23" s="75"/>
    </row>
    <row r="24" spans="1:8" x14ac:dyDescent="0.2">
      <c r="A24" s="81"/>
      <c r="B24" s="80" t="s">
        <v>92</v>
      </c>
      <c r="C24" s="79" t="str">
        <f t="shared" si="1"/>
        <v>12L</v>
      </c>
      <c r="D24" s="78" t="str">
        <f t="shared" si="2"/>
        <v>3L</v>
      </c>
      <c r="E24" s="77" t="str">
        <f t="shared" si="0"/>
        <v>USD12L3L18Y_Quote</v>
      </c>
      <c r="F24" s="77" t="str">
        <f>_xll.qlSimpleQuote(E24,,RateTickValue,Permanent,Trigger,ObjectOverwrite)</f>
        <v>USD12L3L18Y_Quote#0021</v>
      </c>
      <c r="G24" s="76" t="str">
        <f>_xll.ohRangeRetrieveError(F24)</f>
        <v/>
      </c>
      <c r="H24" s="75"/>
    </row>
    <row r="25" spans="1:8" x14ac:dyDescent="0.2">
      <c r="A25" s="81"/>
      <c r="B25" s="80" t="s">
        <v>91</v>
      </c>
      <c r="C25" s="79" t="str">
        <f t="shared" si="1"/>
        <v>12L</v>
      </c>
      <c r="D25" s="78" t="str">
        <f t="shared" si="2"/>
        <v>3L</v>
      </c>
      <c r="E25" s="77" t="str">
        <f t="shared" si="0"/>
        <v>USD12L3L19Y_Quote</v>
      </c>
      <c r="F25" s="77" t="str">
        <f>_xll.qlSimpleQuote(E25,,RateTickValue,Permanent,Trigger,ObjectOverwrite)</f>
        <v>USD12L3L19Y_Quote#0021</v>
      </c>
      <c r="G25" s="76" t="str">
        <f>_xll.ohRangeRetrieveError(F25)</f>
        <v/>
      </c>
      <c r="H25" s="75"/>
    </row>
    <row r="26" spans="1:8" x14ac:dyDescent="0.2">
      <c r="A26" s="81"/>
      <c r="B26" s="80" t="s">
        <v>90</v>
      </c>
      <c r="C26" s="79" t="str">
        <f t="shared" si="1"/>
        <v>12L</v>
      </c>
      <c r="D26" s="78" t="str">
        <f t="shared" si="2"/>
        <v>3L</v>
      </c>
      <c r="E26" s="77" t="str">
        <f t="shared" si="0"/>
        <v>USD12L3L20Y_Quote</v>
      </c>
      <c r="F26" s="77" t="str">
        <f>_xll.qlSimpleQuote(E26,,RateTickValue,Permanent,Trigger,ObjectOverwrite)</f>
        <v>USD12L3L20Y_Quote#0021</v>
      </c>
      <c r="G26" s="76" t="str">
        <f>_xll.ohRangeRetrieveError(F26)</f>
        <v/>
      </c>
      <c r="H26" s="75"/>
    </row>
    <row r="27" spans="1:8" x14ac:dyDescent="0.2">
      <c r="A27" s="81"/>
      <c r="B27" s="80" t="s">
        <v>89</v>
      </c>
      <c r="C27" s="79" t="str">
        <f t="shared" si="1"/>
        <v>12L</v>
      </c>
      <c r="D27" s="78" t="str">
        <f t="shared" si="2"/>
        <v>3L</v>
      </c>
      <c r="E27" s="77" t="str">
        <f t="shared" si="0"/>
        <v>USD12L3L21Y_Quote</v>
      </c>
      <c r="F27" s="77" t="str">
        <f>_xll.qlSimpleQuote(E27,,RateTickValue,Permanent,Trigger,ObjectOverwrite)</f>
        <v>USD12L3L21Y_Quote#0021</v>
      </c>
      <c r="G27" s="76" t="str">
        <f>_xll.ohRangeRetrieveError(F27)</f>
        <v/>
      </c>
      <c r="H27" s="75"/>
    </row>
    <row r="28" spans="1:8" x14ac:dyDescent="0.2">
      <c r="A28" s="81"/>
      <c r="B28" s="80" t="s">
        <v>88</v>
      </c>
      <c r="C28" s="79" t="str">
        <f t="shared" si="1"/>
        <v>12L</v>
      </c>
      <c r="D28" s="78" t="str">
        <f t="shared" si="2"/>
        <v>3L</v>
      </c>
      <c r="E28" s="77" t="str">
        <f t="shared" si="0"/>
        <v>USD12L3L22Y_Quote</v>
      </c>
      <c r="F28" s="77" t="str">
        <f>_xll.qlSimpleQuote(E28,,RateTickValue,Permanent,Trigger,ObjectOverwrite)</f>
        <v>USD12L3L22Y_Quote#0021</v>
      </c>
      <c r="G28" s="76" t="str">
        <f>_xll.ohRangeRetrieveError(F28)</f>
        <v/>
      </c>
      <c r="H28" s="75"/>
    </row>
    <row r="29" spans="1:8" x14ac:dyDescent="0.2">
      <c r="A29" s="81"/>
      <c r="B29" s="80" t="s">
        <v>87</v>
      </c>
      <c r="C29" s="79" t="str">
        <f t="shared" si="1"/>
        <v>12L</v>
      </c>
      <c r="D29" s="78" t="str">
        <f t="shared" si="2"/>
        <v>3L</v>
      </c>
      <c r="E29" s="77" t="str">
        <f t="shared" si="0"/>
        <v>USD12L3L23Y_Quote</v>
      </c>
      <c r="F29" s="77" t="str">
        <f>_xll.qlSimpleQuote(E29,,RateTickValue,Permanent,Trigger,ObjectOverwrite)</f>
        <v>USD12L3L23Y_Quote#0021</v>
      </c>
      <c r="G29" s="76" t="str">
        <f>_xll.ohRangeRetrieveError(F29)</f>
        <v/>
      </c>
      <c r="H29" s="75"/>
    </row>
    <row r="30" spans="1:8" x14ac:dyDescent="0.2">
      <c r="A30" s="81"/>
      <c r="B30" s="80" t="s">
        <v>86</v>
      </c>
      <c r="C30" s="79" t="str">
        <f t="shared" si="1"/>
        <v>12L</v>
      </c>
      <c r="D30" s="78" t="str">
        <f t="shared" si="2"/>
        <v>3L</v>
      </c>
      <c r="E30" s="77" t="str">
        <f t="shared" si="0"/>
        <v>USD12L3L24Y_Quote</v>
      </c>
      <c r="F30" s="77" t="str">
        <f>_xll.qlSimpleQuote(E30,,RateTickValue,Permanent,Trigger,ObjectOverwrite)</f>
        <v>USD12L3L24Y_Quote#0021</v>
      </c>
      <c r="G30" s="76" t="str">
        <f>_xll.ohRangeRetrieveError(F30)</f>
        <v/>
      </c>
      <c r="H30" s="75"/>
    </row>
    <row r="31" spans="1:8" x14ac:dyDescent="0.2">
      <c r="A31" s="81"/>
      <c r="B31" s="80" t="s">
        <v>85</v>
      </c>
      <c r="C31" s="79" t="str">
        <f t="shared" si="1"/>
        <v>12L</v>
      </c>
      <c r="D31" s="78" t="str">
        <f t="shared" si="2"/>
        <v>3L</v>
      </c>
      <c r="E31" s="77" t="str">
        <f t="shared" si="0"/>
        <v>USD12L3L25Y_Quote</v>
      </c>
      <c r="F31" s="77" t="str">
        <f>_xll.qlSimpleQuote(E31,,RateTickValue,Permanent,Trigger,ObjectOverwrite)</f>
        <v>USD12L3L25Y_Quote#0021</v>
      </c>
      <c r="G31" s="76" t="str">
        <f>_xll.ohRangeRetrieveError(F31)</f>
        <v/>
      </c>
      <c r="H31" s="75"/>
    </row>
    <row r="32" spans="1:8" x14ac:dyDescent="0.2">
      <c r="A32" s="81"/>
      <c r="B32" s="80" t="s">
        <v>84</v>
      </c>
      <c r="C32" s="79" t="str">
        <f t="shared" si="1"/>
        <v>12L</v>
      </c>
      <c r="D32" s="78" t="str">
        <f t="shared" si="2"/>
        <v>3L</v>
      </c>
      <c r="E32" s="77" t="str">
        <f t="shared" si="0"/>
        <v>USD12L3L26Y_Quote</v>
      </c>
      <c r="F32" s="77" t="str">
        <f>_xll.qlSimpleQuote(E32,,RateTickValue,Permanent,Trigger,ObjectOverwrite)</f>
        <v>USD12L3L26Y_Quote#0021</v>
      </c>
      <c r="G32" s="76" t="str">
        <f>_xll.ohRangeRetrieveError(F32)</f>
        <v/>
      </c>
      <c r="H32" s="75"/>
    </row>
    <row r="33" spans="1:8" x14ac:dyDescent="0.2">
      <c r="A33" s="81"/>
      <c r="B33" s="80" t="s">
        <v>83</v>
      </c>
      <c r="C33" s="79" t="str">
        <f t="shared" si="1"/>
        <v>12L</v>
      </c>
      <c r="D33" s="78" t="str">
        <f t="shared" si="2"/>
        <v>3L</v>
      </c>
      <c r="E33" s="77" t="str">
        <f t="shared" si="0"/>
        <v>USD12L3L27Y_Quote</v>
      </c>
      <c r="F33" s="77" t="str">
        <f>_xll.qlSimpleQuote(E33,,RateTickValue,Permanent,Trigger,ObjectOverwrite)</f>
        <v>USD12L3L27Y_Quote#0021</v>
      </c>
      <c r="G33" s="76" t="str">
        <f>_xll.ohRangeRetrieveError(F33)</f>
        <v/>
      </c>
      <c r="H33" s="75"/>
    </row>
    <row r="34" spans="1:8" x14ac:dyDescent="0.2">
      <c r="A34" s="81"/>
      <c r="B34" s="80" t="s">
        <v>82</v>
      </c>
      <c r="C34" s="79" t="str">
        <f t="shared" si="1"/>
        <v>12L</v>
      </c>
      <c r="D34" s="78" t="str">
        <f t="shared" si="2"/>
        <v>3L</v>
      </c>
      <c r="E34" s="77" t="str">
        <f t="shared" si="0"/>
        <v>USD12L3L28Y_Quote</v>
      </c>
      <c r="F34" s="77" t="str">
        <f>_xll.qlSimpleQuote(E34,,RateTickValue,Permanent,Trigger,ObjectOverwrite)</f>
        <v>USD12L3L28Y_Quote#0021</v>
      </c>
      <c r="G34" s="76" t="str">
        <f>_xll.ohRangeRetrieveError(F34)</f>
        <v/>
      </c>
      <c r="H34" s="75"/>
    </row>
    <row r="35" spans="1:8" x14ac:dyDescent="0.2">
      <c r="A35" s="81"/>
      <c r="B35" s="80" t="s">
        <v>81</v>
      </c>
      <c r="C35" s="79" t="str">
        <f t="shared" si="1"/>
        <v>12L</v>
      </c>
      <c r="D35" s="78" t="str">
        <f t="shared" si="2"/>
        <v>3L</v>
      </c>
      <c r="E35" s="77" t="str">
        <f t="shared" si="0"/>
        <v>USD12L3L29Y_Quote</v>
      </c>
      <c r="F35" s="77" t="str">
        <f>_xll.qlSimpleQuote(E35,,RateTickValue,Permanent,Trigger,ObjectOverwrite)</f>
        <v>USD12L3L29Y_Quote#0021</v>
      </c>
      <c r="G35" s="76" t="str">
        <f>_xll.ohRangeRetrieveError(F35)</f>
        <v/>
      </c>
      <c r="H35" s="75"/>
    </row>
    <row r="36" spans="1:8" x14ac:dyDescent="0.2">
      <c r="A36" s="81"/>
      <c r="B36" s="80" t="s">
        <v>80</v>
      </c>
      <c r="C36" s="79" t="str">
        <f t="shared" si="1"/>
        <v>12L</v>
      </c>
      <c r="D36" s="78" t="str">
        <f t="shared" si="2"/>
        <v>3L</v>
      </c>
      <c r="E36" s="77" t="str">
        <f t="shared" si="0"/>
        <v>USD12L3L30Y_Quote</v>
      </c>
      <c r="F36" s="77" t="str">
        <f>_xll.qlSimpleQuote(E36,,RateTickValue,Permanent,Trigger,ObjectOverwrite)</f>
        <v>USD12L3L30Y_Quote#0021</v>
      </c>
      <c r="G36" s="76" t="str">
        <f>_xll.ohRangeRetrieveError(F36)</f>
        <v/>
      </c>
      <c r="H36" s="75"/>
    </row>
    <row r="37" spans="1:8" x14ac:dyDescent="0.2">
      <c r="A37" s="81"/>
      <c r="B37" s="80" t="s">
        <v>75</v>
      </c>
      <c r="C37" s="79" t="str">
        <f t="shared" si="1"/>
        <v>12L</v>
      </c>
      <c r="D37" s="78" t="str">
        <f t="shared" si="2"/>
        <v>3L</v>
      </c>
      <c r="E37" s="77" t="str">
        <f t="shared" si="0"/>
        <v>USD12L3L35Y_Quote</v>
      </c>
      <c r="F37" s="77" t="str">
        <f>_xll.qlSimpleQuote(E37,,RateTickValue,Permanent,Trigger,ObjectOverwrite)</f>
        <v>USD12L3L35Y_Quote#0021</v>
      </c>
      <c r="G37" s="76" t="str">
        <f>_xll.ohRangeRetrieveError(F37)</f>
        <v/>
      </c>
      <c r="H37" s="75"/>
    </row>
    <row r="38" spans="1:8" x14ac:dyDescent="0.2">
      <c r="A38" s="81"/>
      <c r="B38" s="80" t="s">
        <v>70</v>
      </c>
      <c r="C38" s="79" t="str">
        <f t="shared" si="1"/>
        <v>12L</v>
      </c>
      <c r="D38" s="78" t="str">
        <f t="shared" si="2"/>
        <v>3L</v>
      </c>
      <c r="E38" s="77" t="str">
        <f t="shared" si="0"/>
        <v>USD12L3L40Y_Quote</v>
      </c>
      <c r="F38" s="77" t="str">
        <f>_xll.qlSimpleQuote(E38,,RateTickValue,Permanent,Trigger,ObjectOverwrite)</f>
        <v>USD12L3L40Y_Quote#0021</v>
      </c>
      <c r="G38" s="76" t="str">
        <f>_xll.ohRangeRetrieveError(F38)</f>
        <v/>
      </c>
      <c r="H38" s="75"/>
    </row>
    <row r="39" spans="1:8" x14ac:dyDescent="0.2">
      <c r="A39" s="81"/>
      <c r="B39" s="80" t="s">
        <v>60</v>
      </c>
      <c r="C39" s="79" t="str">
        <f t="shared" si="1"/>
        <v>12L</v>
      </c>
      <c r="D39" s="78" t="str">
        <f t="shared" si="2"/>
        <v>3L</v>
      </c>
      <c r="E39" s="77" t="str">
        <f t="shared" si="0"/>
        <v>USD12L3L50Y_Quote</v>
      </c>
      <c r="F39" s="77" t="str">
        <f>_xll.qlSimpleQuote(E39,,RateTickValue,Permanent,Trigger,ObjectOverwrite)</f>
        <v>USD12L3L50Y_Quote#0021</v>
      </c>
      <c r="G39" s="76" t="str">
        <f>_xll.ohRangeRetrieveError(F39)</f>
        <v/>
      </c>
      <c r="H39" s="75"/>
    </row>
    <row r="40" spans="1:8" x14ac:dyDescent="0.2">
      <c r="A40" s="81"/>
      <c r="B40" s="80" t="s">
        <v>50</v>
      </c>
      <c r="C40" s="79" t="str">
        <f t="shared" si="1"/>
        <v>12L</v>
      </c>
      <c r="D40" s="78" t="str">
        <f t="shared" si="2"/>
        <v>3L</v>
      </c>
      <c r="E40" s="77" t="str">
        <f t="shared" si="0"/>
        <v>USD12L3L60Y_Quote</v>
      </c>
      <c r="F40" s="77" t="str">
        <f>_xll.qlSimpleQuote(E40,,RateTickValue,Permanent,Trigger,ObjectOverwrite)</f>
        <v>USD12L3L60Y_Quote#0021</v>
      </c>
      <c r="G40" s="76" t="str">
        <f>_xll.ohRangeRetrieveError(F40)</f>
        <v/>
      </c>
      <c r="H40" s="75"/>
    </row>
    <row r="41" spans="1:8" x14ac:dyDescent="0.2">
      <c r="A41" s="74"/>
      <c r="B41" s="73"/>
      <c r="C41" s="73"/>
      <c r="D41" s="73"/>
      <c r="E41" s="73"/>
      <c r="F41" s="72"/>
      <c r="G41" s="72"/>
      <c r="H41" s="71"/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8"/>
  <sheetViews>
    <sheetView workbookViewId="0"/>
  </sheetViews>
  <sheetFormatPr defaultColWidth="8" defaultRowHeight="11.25" x14ac:dyDescent="0.2"/>
  <cols>
    <col min="1" max="1" width="3.28515625" style="26" customWidth="1"/>
    <col min="2" max="2" width="4.28515625" style="26" customWidth="1"/>
    <col min="3" max="3" width="15.5703125" style="26" bestFit="1" customWidth="1"/>
    <col min="4" max="4" width="101.42578125" style="26" bestFit="1" customWidth="1"/>
    <col min="5" max="5" width="3.7109375" style="26" customWidth="1"/>
    <col min="6" max="6" width="35.28515625" style="26" customWidth="1"/>
    <col min="7" max="7" width="4.28515625" style="26" customWidth="1"/>
    <col min="8" max="16384" width="8" style="26"/>
  </cols>
  <sheetData>
    <row r="1" spans="1:5" ht="13.5" thickBot="1" x14ac:dyDescent="0.25">
      <c r="A1" s="26" t="s">
        <v>146</v>
      </c>
      <c r="B1" s="69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69" t="s">
        <v>145</v>
      </c>
      <c r="C2" s="270"/>
      <c r="D2" s="270"/>
      <c r="E2" s="271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269" t="s">
        <v>144</v>
      </c>
      <c r="C12" s="270"/>
      <c r="D12" s="270"/>
      <c r="E12" s="271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3">
        <v>1E-4</v>
      </c>
      <c r="E16" s="14"/>
    </row>
    <row r="17" spans="2:5" x14ac:dyDescent="0.2">
      <c r="B17" s="9"/>
      <c r="C17" s="16" t="s">
        <v>140</v>
      </c>
      <c r="D17" s="102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1"/>
  <sheetViews>
    <sheetView workbookViewId="0"/>
  </sheetViews>
  <sheetFormatPr defaultRowHeight="11.25" x14ac:dyDescent="0.2"/>
  <cols>
    <col min="1" max="1" width="4.42578125" style="105" customWidth="1"/>
    <col min="2" max="2" width="5.140625" style="105" bestFit="1" customWidth="1"/>
    <col min="3" max="3" width="17.85546875" style="105" bestFit="1" customWidth="1"/>
    <col min="4" max="4" width="1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9" t="s">
        <v>186</v>
      </c>
      <c r="B1" s="114"/>
      <c r="C1" s="114"/>
      <c r="D1" s="114"/>
      <c r="E1" s="114"/>
      <c r="F1" s="113"/>
    </row>
    <row r="2" spans="1:6" ht="21" customHeight="1" x14ac:dyDescent="0.2">
      <c r="A2" s="81"/>
      <c r="B2" s="112"/>
      <c r="C2" s="93" t="str">
        <f>Currency&amp;"_010_"&amp;"Deposits.xml"</f>
        <v>USD_010_Deposits.xml</v>
      </c>
      <c r="D2" s="111">
        <f ca="1">IF(Serialize,_xll.ohObjectSave(D3:D20,SerializationPath&amp;C2,FileOverwrite,Serialize),"---")</f>
        <v>18</v>
      </c>
      <c r="E2" s="110" t="str">
        <f ca="1">_xll.ohRangeRetrieveError(D2)</f>
        <v/>
      </c>
      <c r="F2" s="106"/>
    </row>
    <row r="3" spans="1:6" x14ac:dyDescent="0.2">
      <c r="A3" s="81"/>
      <c r="B3" s="109" t="s">
        <v>164</v>
      </c>
      <c r="C3" s="108" t="str">
        <f t="shared" ref="C3:C20" si="0">Currency&amp;$B3&amp;QuoteSuffix</f>
        <v>USDOND_Quote</v>
      </c>
      <c r="D3" s="108" t="str">
        <f>_xll.qlSimpleQuote(C3,,RateTickValue,Permanent,Trigger,ObjectOverwrite)</f>
        <v>USDOND_Quote#0021</v>
      </c>
      <c r="E3" s="107" t="str">
        <f>_xll.ohRangeRetrieveError(D3)</f>
        <v/>
      </c>
      <c r="F3" s="106"/>
    </row>
    <row r="4" spans="1:6" x14ac:dyDescent="0.2">
      <c r="A4" s="81"/>
      <c r="B4" s="109" t="s">
        <v>163</v>
      </c>
      <c r="C4" s="108" t="str">
        <f t="shared" si="0"/>
        <v>USDTND_Quote</v>
      </c>
      <c r="D4" s="108" t="str">
        <f>_xll.qlSimpleQuote(C4,,RateTickValue,Permanent,Trigger,ObjectOverwrite)</f>
        <v>USDTND_Quote#0021</v>
      </c>
      <c r="E4" s="107" t="str">
        <f>_xll.ohRangeRetrieveError(D4)</f>
        <v/>
      </c>
      <c r="F4" s="106"/>
    </row>
    <row r="5" spans="1:6" x14ac:dyDescent="0.2">
      <c r="A5" s="81"/>
      <c r="B5" s="109" t="s">
        <v>162</v>
      </c>
      <c r="C5" s="108" t="str">
        <f t="shared" si="0"/>
        <v>USDSND_Quote</v>
      </c>
      <c r="D5" s="108" t="str">
        <f>_xll.qlSimpleQuote(C5,,RateTickValue,Permanent,Trigger,ObjectOverwrite)</f>
        <v>USDSND_Quote#0021</v>
      </c>
      <c r="E5" s="107" t="str">
        <f>_xll.ohRangeRetrieveError(D5)</f>
        <v/>
      </c>
      <c r="F5" s="106"/>
    </row>
    <row r="6" spans="1:6" x14ac:dyDescent="0.2">
      <c r="A6" s="81"/>
      <c r="B6" s="109" t="s">
        <v>161</v>
      </c>
      <c r="C6" s="108" t="str">
        <f t="shared" si="0"/>
        <v>USDSWD_Quote</v>
      </c>
      <c r="D6" s="108" t="str">
        <f>_xll.qlSimpleQuote(C6,,RateTickValue,Permanent,Trigger,ObjectOverwrite)</f>
        <v>USDSWD_Quote#0021</v>
      </c>
      <c r="E6" s="107" t="str">
        <f>_xll.ohRangeRetrieveError(D6)</f>
        <v/>
      </c>
      <c r="F6" s="106"/>
    </row>
    <row r="7" spans="1:6" x14ac:dyDescent="0.2">
      <c r="A7" s="81"/>
      <c r="B7" s="109" t="s">
        <v>160</v>
      </c>
      <c r="C7" s="108" t="str">
        <f t="shared" si="0"/>
        <v>USD2WD_Quote</v>
      </c>
      <c r="D7" s="108" t="str">
        <f>_xll.qlSimpleQuote(C7,,RateTickValue,Permanent,Trigger,ObjectOverwrite)</f>
        <v>USD2WD_Quote#0021</v>
      </c>
      <c r="E7" s="107" t="str">
        <f>_xll.ohRangeRetrieveError(D7)</f>
        <v/>
      </c>
      <c r="F7" s="106"/>
    </row>
    <row r="8" spans="1:6" x14ac:dyDescent="0.2">
      <c r="A8" s="81"/>
      <c r="B8" s="109" t="s">
        <v>159</v>
      </c>
      <c r="C8" s="108" t="str">
        <f t="shared" si="0"/>
        <v>USD3WD_Quote</v>
      </c>
      <c r="D8" s="108" t="str">
        <f>_xll.qlSimpleQuote(C8,,RateTickValue,Permanent,Trigger,ObjectOverwrite)</f>
        <v>USD3WD_Quote#0021</v>
      </c>
      <c r="E8" s="107" t="str">
        <f>_xll.ohRangeRetrieveError(D8)</f>
        <v/>
      </c>
      <c r="F8" s="106"/>
    </row>
    <row r="9" spans="1:6" x14ac:dyDescent="0.2">
      <c r="A9" s="81"/>
      <c r="B9" s="109" t="s">
        <v>158</v>
      </c>
      <c r="C9" s="108" t="str">
        <f t="shared" si="0"/>
        <v>USD1MD_Quote</v>
      </c>
      <c r="D9" s="108" t="str">
        <f>_xll.qlSimpleQuote(C9,,RateTickValue,Permanent,Trigger,ObjectOverwrite)</f>
        <v>USD1MD_Quote#0021</v>
      </c>
      <c r="E9" s="107" t="str">
        <f>_xll.ohRangeRetrieveError(D9)</f>
        <v/>
      </c>
      <c r="F9" s="106"/>
    </row>
    <row r="10" spans="1:6" x14ac:dyDescent="0.2">
      <c r="A10" s="81"/>
      <c r="B10" s="109" t="s">
        <v>157</v>
      </c>
      <c r="C10" s="108" t="str">
        <f t="shared" si="0"/>
        <v>USD2MD_Quote</v>
      </c>
      <c r="D10" s="108" t="str">
        <f>_xll.qlSimpleQuote(C10,,RateTickValue,Permanent,Trigger,ObjectOverwrite)</f>
        <v>USD2MD_Quote#0021</v>
      </c>
      <c r="E10" s="107" t="str">
        <f>_xll.ohRangeRetrieveError(D10)</f>
        <v/>
      </c>
      <c r="F10" s="106"/>
    </row>
    <row r="11" spans="1:6" x14ac:dyDescent="0.2">
      <c r="A11" s="81"/>
      <c r="B11" s="109" t="s">
        <v>156</v>
      </c>
      <c r="C11" s="108" t="str">
        <f t="shared" si="0"/>
        <v>USD3MD_Quote</v>
      </c>
      <c r="D11" s="108" t="str">
        <f>_xll.qlSimpleQuote(C11,,RateTickValue,Permanent,Trigger,ObjectOverwrite)</f>
        <v>USD3MD_Quote#0021</v>
      </c>
      <c r="E11" s="107" t="str">
        <f>_xll.ohRangeRetrieveError(D11)</f>
        <v/>
      </c>
      <c r="F11" s="106"/>
    </row>
    <row r="12" spans="1:6" x14ac:dyDescent="0.2">
      <c r="A12" s="81"/>
      <c r="B12" s="109" t="s">
        <v>155</v>
      </c>
      <c r="C12" s="108" t="str">
        <f t="shared" si="0"/>
        <v>USD4MD_Quote</v>
      </c>
      <c r="D12" s="108" t="str">
        <f>_xll.qlSimpleQuote(C12,,RateTickValue,Permanent,Trigger,ObjectOverwrite)</f>
        <v>USD4MD_Quote#0021</v>
      </c>
      <c r="E12" s="107" t="str">
        <f>_xll.ohRangeRetrieveError(D12)</f>
        <v/>
      </c>
      <c r="F12" s="106"/>
    </row>
    <row r="13" spans="1:6" x14ac:dyDescent="0.2">
      <c r="A13" s="81"/>
      <c r="B13" s="109" t="s">
        <v>154</v>
      </c>
      <c r="C13" s="108" t="str">
        <f t="shared" si="0"/>
        <v>USD5MD_Quote</v>
      </c>
      <c r="D13" s="108" t="str">
        <f>_xll.qlSimpleQuote(C13,,RateTickValue,Permanent,Trigger,ObjectOverwrite)</f>
        <v>USD5MD_Quote#0021</v>
      </c>
      <c r="E13" s="107" t="str">
        <f>_xll.ohRangeRetrieveError(D13)</f>
        <v/>
      </c>
      <c r="F13" s="106"/>
    </row>
    <row r="14" spans="1:6" x14ac:dyDescent="0.2">
      <c r="A14" s="81"/>
      <c r="B14" s="109" t="s">
        <v>153</v>
      </c>
      <c r="C14" s="108" t="str">
        <f t="shared" si="0"/>
        <v>USD6MD_Quote</v>
      </c>
      <c r="D14" s="108" t="str">
        <f>_xll.qlSimpleQuote(C14,,RateTickValue,Permanent,Trigger,ObjectOverwrite)</f>
        <v>USD6MD_Quote#0021</v>
      </c>
      <c r="E14" s="107" t="str">
        <f>_xll.ohRangeRetrieveError(D14)</f>
        <v/>
      </c>
      <c r="F14" s="106"/>
    </row>
    <row r="15" spans="1:6" x14ac:dyDescent="0.2">
      <c r="A15" s="81"/>
      <c r="B15" s="109" t="s">
        <v>152</v>
      </c>
      <c r="C15" s="108" t="str">
        <f t="shared" si="0"/>
        <v>USD7MD_Quote</v>
      </c>
      <c r="D15" s="108" t="str">
        <f>_xll.qlSimpleQuote(C15,,RateTickValue,Permanent,Trigger,ObjectOverwrite)</f>
        <v>USD7MD_Quote#0021</v>
      </c>
      <c r="E15" s="107" t="str">
        <f>_xll.ohRangeRetrieveError(D15)</f>
        <v/>
      </c>
      <c r="F15" s="106"/>
    </row>
    <row r="16" spans="1:6" x14ac:dyDescent="0.2">
      <c r="A16" s="81"/>
      <c r="B16" s="109" t="s">
        <v>151</v>
      </c>
      <c r="C16" s="108" t="str">
        <f t="shared" si="0"/>
        <v>USD8MD_Quote</v>
      </c>
      <c r="D16" s="108" t="str">
        <f>_xll.qlSimpleQuote(C16,,RateTickValue,Permanent,Trigger,ObjectOverwrite)</f>
        <v>USD8MD_Quote#0021</v>
      </c>
      <c r="E16" s="107" t="str">
        <f>_xll.ohRangeRetrieveError(D16)</f>
        <v/>
      </c>
      <c r="F16" s="106"/>
    </row>
    <row r="17" spans="1:6" x14ac:dyDescent="0.2">
      <c r="A17" s="81"/>
      <c r="B17" s="109" t="s">
        <v>150</v>
      </c>
      <c r="C17" s="108" t="str">
        <f t="shared" si="0"/>
        <v>USD9MD_Quote</v>
      </c>
      <c r="D17" s="108" t="str">
        <f>_xll.qlSimpleQuote(C17,,RateTickValue,Permanent,Trigger,ObjectOverwrite)</f>
        <v>USD9MD_Quote#0021</v>
      </c>
      <c r="E17" s="107" t="str">
        <f>_xll.ohRangeRetrieveError(D17)</f>
        <v/>
      </c>
      <c r="F17" s="106"/>
    </row>
    <row r="18" spans="1:6" x14ac:dyDescent="0.2">
      <c r="A18" s="81"/>
      <c r="B18" s="109" t="s">
        <v>149</v>
      </c>
      <c r="C18" s="108" t="str">
        <f t="shared" si="0"/>
        <v>USD10MD_Quote</v>
      </c>
      <c r="D18" s="108" t="str">
        <f>_xll.qlSimpleQuote(C18,,RateTickValue,Permanent,Trigger,ObjectOverwrite)</f>
        <v>USD10MD_Quote#0021</v>
      </c>
      <c r="E18" s="107" t="str">
        <f>_xll.ohRangeRetrieveError(D18)</f>
        <v/>
      </c>
      <c r="F18" s="106"/>
    </row>
    <row r="19" spans="1:6" x14ac:dyDescent="0.2">
      <c r="A19" s="81"/>
      <c r="B19" s="109" t="s">
        <v>148</v>
      </c>
      <c r="C19" s="108" t="str">
        <f t="shared" si="0"/>
        <v>USD11MD_Quote</v>
      </c>
      <c r="D19" s="108" t="str">
        <f>_xll.qlSimpleQuote(C19,,RateTickValue,Permanent,Trigger,ObjectOverwrite)</f>
        <v>USD11MD_Quote#0021</v>
      </c>
      <c r="E19" s="107" t="str">
        <f>_xll.ohRangeRetrieveError(D19)</f>
        <v/>
      </c>
      <c r="F19" s="106"/>
    </row>
    <row r="20" spans="1:6" x14ac:dyDescent="0.2">
      <c r="A20" s="81"/>
      <c r="B20" s="109" t="s">
        <v>147</v>
      </c>
      <c r="C20" s="108" t="str">
        <f t="shared" si="0"/>
        <v>USD1YD_Quote</v>
      </c>
      <c r="D20" s="108" t="str">
        <f>_xll.qlSimpleQuote(C20,,RateTickValue,Permanent,Trigger,ObjectOverwrite)</f>
        <v>USD1YD_Quote#0021</v>
      </c>
      <c r="E20" s="107" t="str">
        <f>_xll.ohRangeRetrieveError(D20)</f>
        <v/>
      </c>
      <c r="F20" s="106"/>
    </row>
    <row r="21" spans="1:6" x14ac:dyDescent="0.2">
      <c r="A21" s="74"/>
      <c r="B21" s="73"/>
      <c r="C21" s="73"/>
      <c r="D21" s="73"/>
      <c r="E21" s="73"/>
      <c r="F21" s="71"/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17" bestFit="1" customWidth="1"/>
    <col min="5" max="5" width="20" style="20" bestFit="1" customWidth="1"/>
    <col min="6" max="6" width="57.42578125" style="116" customWidth="1"/>
    <col min="7" max="7" width="4.28515625" style="20" customWidth="1"/>
    <col min="8" max="8" width="4.42578125" style="20" customWidth="1"/>
    <col min="9" max="16384" width="9.140625" style="20"/>
  </cols>
  <sheetData>
    <row r="1" spans="1:7" x14ac:dyDescent="0.2">
      <c r="A1" s="169" t="s">
        <v>186</v>
      </c>
      <c r="B1" s="139"/>
      <c r="C1" s="139"/>
      <c r="D1" s="20"/>
      <c r="E1" s="116"/>
      <c r="F1" s="20"/>
      <c r="G1" s="49"/>
    </row>
    <row r="2" spans="1:7" ht="24" customHeight="1" x14ac:dyDescent="0.2">
      <c r="A2" s="124"/>
      <c r="B2" s="138"/>
      <c r="C2" s="137"/>
      <c r="D2" s="136" t="str">
        <f>Currency&amp;"_010_"&amp;"FRA.xml"</f>
        <v>USD_010_FRA.xml</v>
      </c>
      <c r="E2" s="135">
        <f ca="1">IF(Serialize,_xll.ohObjectSave(E3:E35,SerializationPath&amp;D2,FileOverwrite,Serialize),"---")</f>
        <v>33</v>
      </c>
      <c r="F2" s="134" t="str">
        <f ca="1">_xll.ohRangeRetrieveError(E2)</f>
        <v/>
      </c>
      <c r="G2" s="49"/>
    </row>
    <row r="3" spans="1:7" x14ac:dyDescent="0.2">
      <c r="A3" s="124"/>
      <c r="B3" s="128" t="s">
        <v>180</v>
      </c>
      <c r="C3" s="129" t="s">
        <v>166</v>
      </c>
      <c r="D3" s="128" t="str">
        <f t="shared" ref="D3:D35" si="0">Currency&amp;$B3&amp;$C3&amp;QuoteSuffix</f>
        <v>USDT1F1_Quote</v>
      </c>
      <c r="E3" s="127" t="str">
        <f>_xll.qlSimpleQuote(D3,,RateTickValue,Permanent,Trigger,ObjectOverwrite)</f>
        <v>USDT1F1_Quote#0021</v>
      </c>
      <c r="F3" s="126" t="str">
        <f>_xll.ohRangeRetrieveError(E3)</f>
        <v/>
      </c>
      <c r="G3" s="49"/>
    </row>
    <row r="4" spans="1:7" x14ac:dyDescent="0.2">
      <c r="A4" s="124"/>
      <c r="B4" s="121" t="s">
        <v>179</v>
      </c>
      <c r="C4" s="125" t="s">
        <v>166</v>
      </c>
      <c r="D4" s="121" t="str">
        <f t="shared" si="0"/>
        <v>USDTOM1F1_Quote</v>
      </c>
      <c r="E4" s="120" t="str">
        <f>_xll.qlSimpleQuote(D4,,RateTickValue,Permanent,Trigger,ObjectOverwrite)</f>
        <v>USDTOM1F1_Quote#0021</v>
      </c>
      <c r="F4" s="119" t="str">
        <f>_xll.ohRangeRetrieveError(E4)</f>
        <v/>
      </c>
      <c r="G4" s="49"/>
    </row>
    <row r="5" spans="1:7" x14ac:dyDescent="0.2">
      <c r="A5" s="124"/>
      <c r="B5" s="128" t="s">
        <v>178</v>
      </c>
      <c r="C5" s="129" t="s">
        <v>166</v>
      </c>
      <c r="D5" s="128" t="str">
        <f t="shared" si="0"/>
        <v>USDT3F1_Quote</v>
      </c>
      <c r="E5" s="127" t="str">
        <f>_xll.qlSimpleQuote(D5,,RateTickValue,Permanent,Trigger,ObjectOverwrite)</f>
        <v>USDT3F1_Quote#0021</v>
      </c>
      <c r="F5" s="126" t="str">
        <f>_xll.ohRangeRetrieveError(E5)</f>
        <v/>
      </c>
      <c r="G5" s="49"/>
    </row>
    <row r="6" spans="1:7" x14ac:dyDescent="0.2">
      <c r="A6" s="124"/>
      <c r="B6" s="121" t="s">
        <v>177</v>
      </c>
      <c r="C6" s="125" t="s">
        <v>166</v>
      </c>
      <c r="D6" s="121" t="str">
        <f t="shared" si="0"/>
        <v>USDTOM3F1_Quote</v>
      </c>
      <c r="E6" s="120" t="str">
        <f>_xll.qlSimpleQuote(D6,,RateTickValue,Permanent,Trigger,ObjectOverwrite)</f>
        <v>USDTOM3F1_Quote#0021</v>
      </c>
      <c r="F6" s="119" t="str">
        <f>_xll.ohRangeRetrieveError(E6)</f>
        <v/>
      </c>
      <c r="G6" s="49"/>
    </row>
    <row r="7" spans="1:7" x14ac:dyDescent="0.2">
      <c r="A7" s="124"/>
      <c r="B7" s="128">
        <v>1</v>
      </c>
      <c r="C7" s="129" t="s">
        <v>176</v>
      </c>
      <c r="D7" s="128" t="str">
        <f t="shared" si="0"/>
        <v>USD1x4F_Quote</v>
      </c>
      <c r="E7" s="127" t="str">
        <f>_xll.qlSimpleQuote(D7,,RateTickValue,Permanent,Trigger,ObjectOverwrite)</f>
        <v>USD1x4F_Quote#0021</v>
      </c>
      <c r="F7" s="126" t="str">
        <f>_xll.ohRangeRetrieveError(E7)</f>
        <v/>
      </c>
      <c r="G7" s="49"/>
    </row>
    <row r="8" spans="1:7" x14ac:dyDescent="0.2">
      <c r="A8" s="124"/>
      <c r="B8" s="132">
        <v>2</v>
      </c>
      <c r="C8" s="133" t="s">
        <v>175</v>
      </c>
      <c r="D8" s="132" t="str">
        <f t="shared" si="0"/>
        <v>USD2x5F_Quote</v>
      </c>
      <c r="E8" s="131" t="str">
        <f>_xll.qlSimpleQuote(D8,,RateTickValue,Permanent,Trigger,ObjectOverwrite)</f>
        <v>USD2x5F_Quote#0021</v>
      </c>
      <c r="F8" s="130" t="str">
        <f>_xll.ohRangeRetrieveError(E8)</f>
        <v/>
      </c>
      <c r="G8" s="49"/>
    </row>
    <row r="9" spans="1:7" x14ac:dyDescent="0.2">
      <c r="A9" s="124"/>
      <c r="B9" s="132">
        <v>3</v>
      </c>
      <c r="C9" s="133" t="s">
        <v>174</v>
      </c>
      <c r="D9" s="132" t="str">
        <f t="shared" si="0"/>
        <v>USD3x6F_Quote</v>
      </c>
      <c r="E9" s="131" t="str">
        <f>_xll.qlSimpleQuote(D9,,RateTickValue,Permanent,Trigger,ObjectOverwrite)</f>
        <v>USD3x6F_Quote#0021</v>
      </c>
      <c r="F9" s="130" t="str">
        <f>_xll.ohRangeRetrieveError(E9)</f>
        <v/>
      </c>
      <c r="G9" s="49"/>
    </row>
    <row r="10" spans="1:7" x14ac:dyDescent="0.2">
      <c r="A10" s="124"/>
      <c r="B10" s="132">
        <v>4</v>
      </c>
      <c r="C10" s="133" t="s">
        <v>173</v>
      </c>
      <c r="D10" s="132" t="str">
        <f t="shared" si="0"/>
        <v>USD4x7F_Quote</v>
      </c>
      <c r="E10" s="131" t="str">
        <f>_xll.qlSimpleQuote(D10,,RateTickValue,Permanent,Trigger,ObjectOverwrite)</f>
        <v>USD4x7F_Quote#0021</v>
      </c>
      <c r="F10" s="130" t="str">
        <f>_xll.ohRangeRetrieveError(E10)</f>
        <v/>
      </c>
      <c r="G10" s="49"/>
    </row>
    <row r="11" spans="1:7" x14ac:dyDescent="0.2">
      <c r="A11" s="124"/>
      <c r="B11" s="132">
        <v>5</v>
      </c>
      <c r="C11" s="133" t="s">
        <v>172</v>
      </c>
      <c r="D11" s="132" t="str">
        <f t="shared" si="0"/>
        <v>USD5x8F_Quote</v>
      </c>
      <c r="E11" s="131" t="str">
        <f>_xll.qlSimpleQuote(D11,,RateTickValue,Permanent,Trigger,ObjectOverwrite)</f>
        <v>USD5x8F_Quote#0021</v>
      </c>
      <c r="F11" s="130" t="str">
        <f>_xll.ohRangeRetrieveError(E11)</f>
        <v/>
      </c>
      <c r="G11" s="49"/>
    </row>
    <row r="12" spans="1:7" x14ac:dyDescent="0.2">
      <c r="A12" s="124"/>
      <c r="B12" s="121">
        <v>6</v>
      </c>
      <c r="C12" s="125" t="s">
        <v>171</v>
      </c>
      <c r="D12" s="121" t="str">
        <f t="shared" si="0"/>
        <v>USD6x9F_Quote</v>
      </c>
      <c r="E12" s="120" t="str">
        <f>_xll.qlSimpleQuote(D12,,RateTickValue,Permanent,Trigger,ObjectOverwrite)</f>
        <v>USD6x9F_Quote#0021</v>
      </c>
      <c r="F12" s="119" t="str">
        <f>_xll.ohRangeRetrieveError(E12)</f>
        <v/>
      </c>
      <c r="G12" s="49"/>
    </row>
    <row r="13" spans="1:7" x14ac:dyDescent="0.2">
      <c r="A13" s="124"/>
      <c r="B13" s="128" t="s">
        <v>170</v>
      </c>
      <c r="C13" s="129" t="s">
        <v>166</v>
      </c>
      <c r="D13" s="128" t="str">
        <f t="shared" si="0"/>
        <v>USDT6F1_Quote</v>
      </c>
      <c r="E13" s="127" t="str">
        <f>_xll.qlSimpleQuote(D13,,RateTickValue,Permanent,Trigger,ObjectOverwrite)</f>
        <v>USDT6F1_Quote#0021</v>
      </c>
      <c r="F13" s="126" t="str">
        <f>_xll.ohRangeRetrieveError(E13)</f>
        <v/>
      </c>
      <c r="G13" s="49"/>
    </row>
    <row r="14" spans="1:7" x14ac:dyDescent="0.2">
      <c r="A14" s="124"/>
      <c r="B14" s="121" t="s">
        <v>169</v>
      </c>
      <c r="C14" s="125" t="s">
        <v>166</v>
      </c>
      <c r="D14" s="121" t="str">
        <f t="shared" si="0"/>
        <v>USDTOM6F1_Quote</v>
      </c>
      <c r="E14" s="120" t="str">
        <f>_xll.qlSimpleQuote(D14,,RateTickValue,Permanent,Trigger,ObjectOverwrite)</f>
        <v>USDTOM6F1_Quote#0021</v>
      </c>
      <c r="F14" s="119" t="str">
        <f>_xll.ohRangeRetrieveError(E14)</f>
        <v/>
      </c>
      <c r="G14" s="49"/>
    </row>
    <row r="15" spans="1:7" x14ac:dyDescent="0.2">
      <c r="A15" s="124"/>
      <c r="B15" s="128">
        <v>1</v>
      </c>
      <c r="C15" s="129" t="str">
        <f t="shared" ref="C15:C32" si="1">"x"&amp;B15+6&amp;"F"</f>
        <v>x7F</v>
      </c>
      <c r="D15" s="128" t="str">
        <f t="shared" si="0"/>
        <v>USD1x7F_Quote</v>
      </c>
      <c r="E15" s="127" t="str">
        <f>_xll.qlSimpleQuote(D15,,RateTickValue,Permanent,Trigger,ObjectOverwrite)</f>
        <v>USD1x7F_Quote#0021</v>
      </c>
      <c r="F15" s="126" t="str">
        <f>_xll.ohRangeRetrieveError(E15)</f>
        <v/>
      </c>
      <c r="G15" s="49"/>
    </row>
    <row r="16" spans="1:7" x14ac:dyDescent="0.2">
      <c r="A16" s="124"/>
      <c r="B16" s="132">
        <v>2</v>
      </c>
      <c r="C16" s="133" t="str">
        <f t="shared" si="1"/>
        <v>x8F</v>
      </c>
      <c r="D16" s="132" t="str">
        <f t="shared" si="0"/>
        <v>USD2x8F_Quote</v>
      </c>
      <c r="E16" s="131" t="str">
        <f>_xll.qlSimpleQuote(D16,,RateTickValue,Permanent,Trigger,ObjectOverwrite)</f>
        <v>USD2x8F_Quote#0021</v>
      </c>
      <c r="F16" s="130" t="str">
        <f>_xll.ohRangeRetrieveError(E16)</f>
        <v/>
      </c>
      <c r="G16" s="49"/>
    </row>
    <row r="17" spans="1:7" x14ac:dyDescent="0.2">
      <c r="A17" s="124"/>
      <c r="B17" s="132">
        <v>3</v>
      </c>
      <c r="C17" s="133" t="str">
        <f t="shared" si="1"/>
        <v>x9F</v>
      </c>
      <c r="D17" s="132" t="str">
        <f t="shared" si="0"/>
        <v>USD3x9F_Quote</v>
      </c>
      <c r="E17" s="131" t="str">
        <f>_xll.qlSimpleQuote(D17,,RateTickValue,Permanent,Trigger,ObjectOverwrite)</f>
        <v>USD3x9F_Quote#0021</v>
      </c>
      <c r="F17" s="130" t="str">
        <f>_xll.ohRangeRetrieveError(E17)</f>
        <v/>
      </c>
      <c r="G17" s="49"/>
    </row>
    <row r="18" spans="1:7" x14ac:dyDescent="0.2">
      <c r="A18" s="124"/>
      <c r="B18" s="132">
        <v>4</v>
      </c>
      <c r="C18" s="133" t="str">
        <f t="shared" si="1"/>
        <v>x10F</v>
      </c>
      <c r="D18" s="132" t="str">
        <f t="shared" si="0"/>
        <v>USD4x10F_Quote</v>
      </c>
      <c r="E18" s="131" t="str">
        <f>_xll.qlSimpleQuote(D18,,RateTickValue,Permanent,Trigger,ObjectOverwrite)</f>
        <v>USD4x10F_Quote#0021</v>
      </c>
      <c r="F18" s="130" t="str">
        <f>_xll.ohRangeRetrieveError(E18)</f>
        <v/>
      </c>
      <c r="G18" s="49"/>
    </row>
    <row r="19" spans="1:7" x14ac:dyDescent="0.2">
      <c r="A19" s="124"/>
      <c r="B19" s="132">
        <v>5</v>
      </c>
      <c r="C19" s="133" t="str">
        <f t="shared" si="1"/>
        <v>x11F</v>
      </c>
      <c r="D19" s="132" t="str">
        <f t="shared" si="0"/>
        <v>USD5x11F_Quote</v>
      </c>
      <c r="E19" s="131" t="str">
        <f>_xll.qlSimpleQuote(D19,,RateTickValue,Permanent,Trigger,ObjectOverwrite)</f>
        <v>USD5x11F_Quote#0021</v>
      </c>
      <c r="F19" s="130" t="str">
        <f>_xll.ohRangeRetrieveError(E19)</f>
        <v/>
      </c>
      <c r="G19" s="49"/>
    </row>
    <row r="20" spans="1:7" x14ac:dyDescent="0.2">
      <c r="A20" s="124"/>
      <c r="B20" s="132">
        <v>6</v>
      </c>
      <c r="C20" s="133" t="str">
        <f t="shared" si="1"/>
        <v>x12F</v>
      </c>
      <c r="D20" s="132" t="str">
        <f t="shared" si="0"/>
        <v>USD6x12F_Quote</v>
      </c>
      <c r="E20" s="131" t="str">
        <f>_xll.qlSimpleQuote(D20,,RateTickValue,Permanent,Trigger,ObjectOverwrite)</f>
        <v>USD6x12F_Quote#0021</v>
      </c>
      <c r="F20" s="130" t="str">
        <f>_xll.ohRangeRetrieveError(E20)</f>
        <v/>
      </c>
      <c r="G20" s="49"/>
    </row>
    <row r="21" spans="1:7" x14ac:dyDescent="0.2">
      <c r="A21" s="124"/>
      <c r="B21" s="132">
        <v>7</v>
      </c>
      <c r="C21" s="133" t="str">
        <f t="shared" si="1"/>
        <v>x13F</v>
      </c>
      <c r="D21" s="132" t="str">
        <f t="shared" si="0"/>
        <v>USD7x13F_Quote</v>
      </c>
      <c r="E21" s="131" t="str">
        <f>_xll.qlSimpleQuote(D21,,RateTickValue,Permanent,Trigger,ObjectOverwrite)</f>
        <v>USD7x13F_Quote#0021</v>
      </c>
      <c r="F21" s="130" t="str">
        <f>_xll.ohRangeRetrieveError(E21)</f>
        <v/>
      </c>
      <c r="G21" s="49"/>
    </row>
    <row r="22" spans="1:7" x14ac:dyDescent="0.2">
      <c r="A22" s="124"/>
      <c r="B22" s="132">
        <v>8</v>
      </c>
      <c r="C22" s="133" t="str">
        <f t="shared" si="1"/>
        <v>x14F</v>
      </c>
      <c r="D22" s="132" t="str">
        <f t="shared" si="0"/>
        <v>USD8x14F_Quote</v>
      </c>
      <c r="E22" s="131" t="str">
        <f>_xll.qlSimpleQuote(D22,,RateTickValue,Permanent,Trigger,ObjectOverwrite)</f>
        <v>USD8x14F_Quote#0021</v>
      </c>
      <c r="F22" s="130" t="str">
        <f>_xll.ohRangeRetrieveError(E22)</f>
        <v/>
      </c>
      <c r="G22" s="49"/>
    </row>
    <row r="23" spans="1:7" x14ac:dyDescent="0.2">
      <c r="A23" s="124"/>
      <c r="B23" s="132">
        <v>9</v>
      </c>
      <c r="C23" s="133" t="str">
        <f t="shared" si="1"/>
        <v>x15F</v>
      </c>
      <c r="D23" s="132" t="str">
        <f t="shared" si="0"/>
        <v>USD9x15F_Quote</v>
      </c>
      <c r="E23" s="131" t="str">
        <f>_xll.qlSimpleQuote(D23,,RateTickValue,Permanent,Trigger,ObjectOverwrite)</f>
        <v>USD9x15F_Quote#0021</v>
      </c>
      <c r="F23" s="130" t="str">
        <f>_xll.ohRangeRetrieveError(E23)</f>
        <v/>
      </c>
      <c r="G23" s="49"/>
    </row>
    <row r="24" spans="1:7" x14ac:dyDescent="0.2">
      <c r="A24" s="124"/>
      <c r="B24" s="132">
        <v>10</v>
      </c>
      <c r="C24" s="133" t="str">
        <f t="shared" si="1"/>
        <v>x16F</v>
      </c>
      <c r="D24" s="132" t="str">
        <f t="shared" si="0"/>
        <v>USD10x16F_Quote</v>
      </c>
      <c r="E24" s="131" t="str">
        <f>_xll.qlSimpleQuote(D24,,RateTickValue,Permanent,Trigger,ObjectOverwrite)</f>
        <v>USD10x16F_Quote#0021</v>
      </c>
      <c r="F24" s="130" t="str">
        <f>_xll.ohRangeRetrieveError(E24)</f>
        <v/>
      </c>
      <c r="G24" s="49"/>
    </row>
    <row r="25" spans="1:7" x14ac:dyDescent="0.2">
      <c r="A25" s="124"/>
      <c r="B25" s="132">
        <v>11</v>
      </c>
      <c r="C25" s="133" t="str">
        <f t="shared" si="1"/>
        <v>x17F</v>
      </c>
      <c r="D25" s="132" t="str">
        <f t="shared" si="0"/>
        <v>USD11x17F_Quote</v>
      </c>
      <c r="E25" s="131" t="str">
        <f>_xll.qlSimpleQuote(D25,,RateTickValue,Permanent,Trigger,ObjectOverwrite)</f>
        <v>USD11x17F_Quote#0021</v>
      </c>
      <c r="F25" s="130" t="str">
        <f>_xll.ohRangeRetrieveError(E25)</f>
        <v/>
      </c>
      <c r="G25" s="49"/>
    </row>
    <row r="26" spans="1:7" x14ac:dyDescent="0.2">
      <c r="A26" s="124"/>
      <c r="B26" s="132">
        <v>12</v>
      </c>
      <c r="C26" s="133" t="str">
        <f t="shared" si="1"/>
        <v>x18F</v>
      </c>
      <c r="D26" s="132" t="str">
        <f t="shared" si="0"/>
        <v>USD12x18F_Quote</v>
      </c>
      <c r="E26" s="131" t="str">
        <f>_xll.qlSimpleQuote(D26,,RateTickValue,Permanent,Trigger,ObjectOverwrite)</f>
        <v>USD12x18F_Quote#0021</v>
      </c>
      <c r="F26" s="130" t="str">
        <f>_xll.ohRangeRetrieveError(E26)</f>
        <v/>
      </c>
      <c r="G26" s="49"/>
    </row>
    <row r="27" spans="1:7" x14ac:dyDescent="0.2">
      <c r="A27" s="124"/>
      <c r="B27" s="132">
        <v>13</v>
      </c>
      <c r="C27" s="133" t="str">
        <f t="shared" si="1"/>
        <v>x19F</v>
      </c>
      <c r="D27" s="132" t="str">
        <f t="shared" si="0"/>
        <v>USD13x19F_Quote</v>
      </c>
      <c r="E27" s="131" t="str">
        <f>_xll.qlSimpleQuote(D27,,RateTickValue,Permanent,Trigger,ObjectOverwrite)</f>
        <v>USD13x19F_Quote#0021</v>
      </c>
      <c r="F27" s="130" t="str">
        <f>_xll.ohRangeRetrieveError(E27)</f>
        <v/>
      </c>
      <c r="G27" s="49"/>
    </row>
    <row r="28" spans="1:7" x14ac:dyDescent="0.2">
      <c r="A28" s="124"/>
      <c r="B28" s="132">
        <v>14</v>
      </c>
      <c r="C28" s="133" t="str">
        <f t="shared" si="1"/>
        <v>x20F</v>
      </c>
      <c r="D28" s="132" t="str">
        <f t="shared" si="0"/>
        <v>USD14x20F_Quote</v>
      </c>
      <c r="E28" s="131" t="str">
        <f>_xll.qlSimpleQuote(D28,,RateTickValue,Permanent,Trigger,ObjectOverwrite)</f>
        <v>USD14x20F_Quote#0021</v>
      </c>
      <c r="F28" s="130" t="str">
        <f>_xll.ohRangeRetrieveError(E28)</f>
        <v/>
      </c>
      <c r="G28" s="49"/>
    </row>
    <row r="29" spans="1:7" x14ac:dyDescent="0.2">
      <c r="A29" s="124"/>
      <c r="B29" s="132">
        <v>15</v>
      </c>
      <c r="C29" s="133" t="str">
        <f t="shared" si="1"/>
        <v>x21F</v>
      </c>
      <c r="D29" s="132" t="str">
        <f t="shared" si="0"/>
        <v>USD15x21F_Quote</v>
      </c>
      <c r="E29" s="131" t="str">
        <f>_xll.qlSimpleQuote(D29,,RateTickValue,Permanent,Trigger,ObjectOverwrite)</f>
        <v>USD15x21F_Quote#0021</v>
      </c>
      <c r="F29" s="130" t="str">
        <f>_xll.ohRangeRetrieveError(E29)</f>
        <v/>
      </c>
      <c r="G29" s="49"/>
    </row>
    <row r="30" spans="1:7" x14ac:dyDescent="0.2">
      <c r="A30" s="124"/>
      <c r="B30" s="132">
        <v>16</v>
      </c>
      <c r="C30" s="133" t="str">
        <f t="shared" si="1"/>
        <v>x22F</v>
      </c>
      <c r="D30" s="132" t="str">
        <f t="shared" si="0"/>
        <v>USD16x22F_Quote</v>
      </c>
      <c r="E30" s="131" t="str">
        <f>_xll.qlSimpleQuote(D30,,RateTickValue,Permanent,Trigger,ObjectOverwrite)</f>
        <v>USD16x22F_Quote#0021</v>
      </c>
      <c r="F30" s="130" t="str">
        <f>_xll.ohRangeRetrieveError(E30)</f>
        <v/>
      </c>
      <c r="G30" s="49"/>
    </row>
    <row r="31" spans="1:7" x14ac:dyDescent="0.2">
      <c r="A31" s="124"/>
      <c r="B31" s="132">
        <v>17</v>
      </c>
      <c r="C31" s="133" t="str">
        <f t="shared" si="1"/>
        <v>x23F</v>
      </c>
      <c r="D31" s="132" t="str">
        <f t="shared" si="0"/>
        <v>USD17x23F_Quote</v>
      </c>
      <c r="E31" s="131" t="str">
        <f>_xll.qlSimpleQuote(D31,,RateTickValue,Permanent,Trigger,ObjectOverwrite)</f>
        <v>USD17x23F_Quote#0021</v>
      </c>
      <c r="F31" s="130" t="str">
        <f>_xll.ohRangeRetrieveError(E31)</f>
        <v/>
      </c>
      <c r="G31" s="49"/>
    </row>
    <row r="32" spans="1:7" x14ac:dyDescent="0.2">
      <c r="A32" s="124"/>
      <c r="B32" s="121">
        <v>18</v>
      </c>
      <c r="C32" s="125" t="str">
        <f t="shared" si="1"/>
        <v>x24F</v>
      </c>
      <c r="D32" s="121" t="str">
        <f t="shared" si="0"/>
        <v>USD18x24F_Quote</v>
      </c>
      <c r="E32" s="120" t="str">
        <f>_xll.qlSimpleQuote(D32,,RateTickValue,Permanent,Trigger,ObjectOverwrite)</f>
        <v>USD18x24F_Quote#0021</v>
      </c>
      <c r="F32" s="119" t="str">
        <f>_xll.ohRangeRetrieveError(E32)</f>
        <v/>
      </c>
      <c r="G32" s="49"/>
    </row>
    <row r="33" spans="1:7" x14ac:dyDescent="0.2">
      <c r="A33" s="124"/>
      <c r="B33" s="128" t="s">
        <v>168</v>
      </c>
      <c r="C33" s="129" t="s">
        <v>166</v>
      </c>
      <c r="D33" s="128" t="str">
        <f t="shared" si="0"/>
        <v>USDT12F1_Quote</v>
      </c>
      <c r="E33" s="127" t="str">
        <f>_xll.qlSimpleQuote(D33,,RateTickValue,Permanent,Trigger,ObjectOverwrite)</f>
        <v>USDT12F1_Quote#0021</v>
      </c>
      <c r="F33" s="126" t="str">
        <f>_xll.ohRangeRetrieveError(E33)</f>
        <v/>
      </c>
      <c r="G33" s="49"/>
    </row>
    <row r="34" spans="1:7" x14ac:dyDescent="0.2">
      <c r="A34" s="124"/>
      <c r="B34" s="121" t="s">
        <v>167</v>
      </c>
      <c r="C34" s="125" t="s">
        <v>166</v>
      </c>
      <c r="D34" s="121" t="str">
        <f t="shared" si="0"/>
        <v>USDTOM12F1_Quote</v>
      </c>
      <c r="E34" s="120" t="str">
        <f>_xll.qlSimpleQuote(D34,,RateTickValue,Permanent,Trigger,ObjectOverwrite)</f>
        <v>USDTOM12F1_Quote#0021</v>
      </c>
      <c r="F34" s="119" t="str">
        <f>_xll.ohRangeRetrieveError(E34)</f>
        <v/>
      </c>
      <c r="G34" s="49"/>
    </row>
    <row r="35" spans="1:7" x14ac:dyDescent="0.2">
      <c r="A35" s="124"/>
      <c r="B35" s="123">
        <v>12</v>
      </c>
      <c r="C35" s="122" t="s">
        <v>165</v>
      </c>
      <c r="D35" s="121" t="str">
        <f t="shared" si="0"/>
        <v>USD12x24F_Quote</v>
      </c>
      <c r="E35" s="120" t="str">
        <f>_xll.qlSimpleQuote(D35,,RateTickValue,Permanent,Trigger,ObjectOverwrite)</f>
        <v>USD12x24F_Quote#0021</v>
      </c>
      <c r="F35" s="119" t="str">
        <f>_xll.ohRangeRetrieveError(E35)</f>
        <v/>
      </c>
      <c r="G35" s="49"/>
    </row>
    <row r="36" spans="1:7" ht="13.5" thickBot="1" x14ac:dyDescent="0.25">
      <c r="A36" s="48"/>
      <c r="B36" s="47"/>
      <c r="C36" s="47"/>
      <c r="D36" s="47"/>
      <c r="E36" s="118"/>
      <c r="F36" s="118"/>
      <c r="G36" s="46"/>
    </row>
  </sheetData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23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6.140625" style="105" bestFit="1" customWidth="1"/>
    <col min="5" max="5" width="19.140625" style="105" bestFit="1" customWidth="1"/>
    <col min="6" max="6" width="20.140625" style="105" bestFit="1" customWidth="1"/>
    <col min="7" max="7" width="33.85546875" style="105" customWidth="1"/>
    <col min="8" max="8" width="4.5703125" style="105" customWidth="1"/>
    <col min="9" max="16384" width="9.140625" style="105"/>
  </cols>
  <sheetData>
    <row r="1" spans="1:8" x14ac:dyDescent="0.2">
      <c r="A1" s="160" t="s">
        <v>186</v>
      </c>
      <c r="B1" s="159"/>
      <c r="C1" s="159"/>
      <c r="D1" s="158" t="s">
        <v>184</v>
      </c>
      <c r="E1" s="158" t="s">
        <v>40</v>
      </c>
      <c r="F1" s="157"/>
      <c r="G1" s="157"/>
      <c r="H1" s="156"/>
    </row>
    <row r="2" spans="1:8" ht="22.5" x14ac:dyDescent="0.2">
      <c r="A2" s="155"/>
      <c r="B2" s="94" t="s">
        <v>183</v>
      </c>
      <c r="C2" s="95" t="s">
        <v>182</v>
      </c>
      <c r="D2" s="95" t="s">
        <v>181</v>
      </c>
      <c r="E2" s="93" t="str">
        <f>Currency&amp;"_010_"&amp;$D$1&amp;$E$1&amp;".xml"</f>
        <v>USD_010_FUT1M.xml</v>
      </c>
      <c r="F2" s="92">
        <f ca="1">IF(Serialize,_xll.ohObjectSave(F3:F122,SerializationPath&amp;E2,FileOverwrite,Serialize),"---")</f>
        <v>120</v>
      </c>
      <c r="G2" s="110" t="str">
        <f ca="1">_xll.ohRangeRetrieveError(F2)</f>
        <v/>
      </c>
      <c r="H2" s="143"/>
    </row>
    <row r="3" spans="1:8" x14ac:dyDescent="0.2">
      <c r="A3" s="149"/>
      <c r="B3" s="154">
        <v>1</v>
      </c>
      <c r="C3" s="153" t="b">
        <v>0</v>
      </c>
      <c r="D3" s="152" t="str">
        <f t="array" ref="D3:D122">_xll.qlIMMNextCodes(_xll.qlSettingsEvaluationDate(Trigger)-1,$C3:$C122)</f>
        <v>Z3</v>
      </c>
      <c r="E3" s="145" t="str">
        <f t="shared" ref="E3:E34" si="0">Currency&amp;$D$1&amp;$E$1&amp;$D3&amp;QuoteSuffix</f>
        <v>USDFUT1MZ3_Quote</v>
      </c>
      <c r="F3" s="151" t="str">
        <f>_xll.qlSimpleQuote(E3,,PriceTickValue,Permanent,Trigger,ObjectOverwrite)</f>
        <v>USDFUT1MZ3_Quote#0021</v>
      </c>
      <c r="G3" s="150" t="str">
        <f>_xll.ohRangeRetrieveError(F3)</f>
        <v/>
      </c>
      <c r="H3" s="143"/>
    </row>
    <row r="4" spans="1:8" x14ac:dyDescent="0.2">
      <c r="A4" s="149"/>
      <c r="B4" s="148">
        <v>2</v>
      </c>
      <c r="C4" s="147" t="b">
        <v>0</v>
      </c>
      <c r="D4" s="146" t="str">
        <v>F4</v>
      </c>
      <c r="E4" s="145" t="str">
        <f t="shared" si="0"/>
        <v>USDFUT1MF4_Quote</v>
      </c>
      <c r="F4" s="144" t="str">
        <f>_xll.qlSimpleQuote(E4,,PriceTickValue,Permanent,Trigger,ObjectOverwrite)</f>
        <v>USDFUT1MF4_Quote#0021</v>
      </c>
      <c r="G4" s="107" t="str">
        <f>_xll.ohRangeRetrieveError(F4)</f>
        <v/>
      </c>
      <c r="H4" s="143"/>
    </row>
    <row r="5" spans="1:8" x14ac:dyDescent="0.2">
      <c r="A5" s="149"/>
      <c r="B5" s="148">
        <v>3</v>
      </c>
      <c r="C5" s="147" t="b">
        <v>0</v>
      </c>
      <c r="D5" s="146" t="str">
        <v>G4</v>
      </c>
      <c r="E5" s="145" t="str">
        <f t="shared" si="0"/>
        <v>USDFUT1MG4_Quote</v>
      </c>
      <c r="F5" s="144" t="str">
        <f>_xll.qlSimpleQuote(E5,,PriceTickValue,Permanent,Trigger,ObjectOverwrite)</f>
        <v>USDFUT1MG4_Quote#0021</v>
      </c>
      <c r="G5" s="107" t="str">
        <f>_xll.ohRangeRetrieveError(F5)</f>
        <v/>
      </c>
      <c r="H5" s="143"/>
    </row>
    <row r="6" spans="1:8" x14ac:dyDescent="0.2">
      <c r="A6" s="149"/>
      <c r="B6" s="148">
        <v>4</v>
      </c>
      <c r="C6" s="147" t="b">
        <v>0</v>
      </c>
      <c r="D6" s="146" t="str">
        <v>H4</v>
      </c>
      <c r="E6" s="145" t="str">
        <f t="shared" si="0"/>
        <v>USDFUT1MH4_Quote</v>
      </c>
      <c r="F6" s="144" t="str">
        <f>_xll.qlSimpleQuote(E6,,PriceTickValue,Permanent,Trigger,ObjectOverwrite)</f>
        <v>USDFUT1MH4_Quote#0021</v>
      </c>
      <c r="G6" s="107" t="str">
        <f>_xll.ohRangeRetrieveError(F6)</f>
        <v/>
      </c>
      <c r="H6" s="143"/>
    </row>
    <row r="7" spans="1:8" x14ac:dyDescent="0.2">
      <c r="A7" s="149"/>
      <c r="B7" s="148">
        <v>5</v>
      </c>
      <c r="C7" s="147" t="b">
        <v>0</v>
      </c>
      <c r="D7" s="146" t="str">
        <v>J4</v>
      </c>
      <c r="E7" s="145" t="str">
        <f t="shared" si="0"/>
        <v>USDFUT1MJ4_Quote</v>
      </c>
      <c r="F7" s="144" t="str">
        <f>_xll.qlSimpleQuote(E7,,PriceTickValue,Permanent,Trigger,ObjectOverwrite)</f>
        <v>USDFUT1MJ4_Quote#0021</v>
      </c>
      <c r="G7" s="107" t="str">
        <f>_xll.ohRangeRetrieveError(F7)</f>
        <v/>
      </c>
      <c r="H7" s="143"/>
    </row>
    <row r="8" spans="1:8" x14ac:dyDescent="0.2">
      <c r="A8" s="149"/>
      <c r="B8" s="148">
        <v>6</v>
      </c>
      <c r="C8" s="147" t="b">
        <v>0</v>
      </c>
      <c r="D8" s="146" t="str">
        <v>K4</v>
      </c>
      <c r="E8" s="145" t="str">
        <f t="shared" si="0"/>
        <v>USDFUT1MK4_Quote</v>
      </c>
      <c r="F8" s="144" t="str">
        <f>_xll.qlSimpleQuote(E8,,PriceTickValue,Permanent,Trigger,ObjectOverwrite)</f>
        <v>USDFUT1MK4_Quote#0021</v>
      </c>
      <c r="G8" s="107" t="str">
        <f>_xll.ohRangeRetrieveError(F8)</f>
        <v/>
      </c>
      <c r="H8" s="143"/>
    </row>
    <row r="9" spans="1:8" x14ac:dyDescent="0.2">
      <c r="A9" s="149"/>
      <c r="B9" s="148">
        <v>7</v>
      </c>
      <c r="C9" s="147" t="b">
        <v>0</v>
      </c>
      <c r="D9" s="146" t="str">
        <v>M4</v>
      </c>
      <c r="E9" s="145" t="str">
        <f t="shared" si="0"/>
        <v>USDFUT1MM4_Quote</v>
      </c>
      <c r="F9" s="144" t="str">
        <f>_xll.qlSimpleQuote(E9,,PriceTickValue,Permanent,Trigger,ObjectOverwrite)</f>
        <v>USDFUT1MM4_Quote#0021</v>
      </c>
      <c r="G9" s="107" t="str">
        <f>_xll.ohRangeRetrieveError(F9)</f>
        <v/>
      </c>
      <c r="H9" s="143"/>
    </row>
    <row r="10" spans="1:8" x14ac:dyDescent="0.2">
      <c r="A10" s="149"/>
      <c r="B10" s="148">
        <v>8</v>
      </c>
      <c r="C10" s="147" t="b">
        <v>0</v>
      </c>
      <c r="D10" s="146" t="str">
        <v>N4</v>
      </c>
      <c r="E10" s="145" t="str">
        <f t="shared" si="0"/>
        <v>USDFUT1MN4_Quote</v>
      </c>
      <c r="F10" s="144" t="str">
        <f>_xll.qlSimpleQuote(E10,,PriceTickValue,Permanent,Trigger,ObjectOverwrite)</f>
        <v>USDFUT1MN4_Quote#0021</v>
      </c>
      <c r="G10" s="107" t="str">
        <f>_xll.ohRangeRetrieveError(F10)</f>
        <v/>
      </c>
      <c r="H10" s="143"/>
    </row>
    <row r="11" spans="1:8" x14ac:dyDescent="0.2">
      <c r="A11" s="149"/>
      <c r="B11" s="148">
        <v>9</v>
      </c>
      <c r="C11" s="147" t="b">
        <v>0</v>
      </c>
      <c r="D11" s="146" t="str">
        <v>Q4</v>
      </c>
      <c r="E11" s="145" t="str">
        <f t="shared" si="0"/>
        <v>USDFUT1MQ4_Quote</v>
      </c>
      <c r="F11" s="144" t="str">
        <f>_xll.qlSimpleQuote(E11,,PriceTickValue,Permanent,Trigger,ObjectOverwrite)</f>
        <v>USDFUT1MQ4_Quote#0021</v>
      </c>
      <c r="G11" s="107" t="str">
        <f>_xll.ohRangeRetrieveError(F11)</f>
        <v/>
      </c>
      <c r="H11" s="143"/>
    </row>
    <row r="12" spans="1:8" x14ac:dyDescent="0.2">
      <c r="A12" s="149"/>
      <c r="B12" s="148">
        <v>10</v>
      </c>
      <c r="C12" s="147" t="b">
        <v>0</v>
      </c>
      <c r="D12" s="146" t="str">
        <v>U4</v>
      </c>
      <c r="E12" s="145" t="str">
        <f t="shared" si="0"/>
        <v>USDFUT1MU4_Quote</v>
      </c>
      <c r="F12" s="144" t="str">
        <f>_xll.qlSimpleQuote(E12,,PriceTickValue,Permanent,Trigger,ObjectOverwrite)</f>
        <v>USDFUT1MU4_Quote#0021</v>
      </c>
      <c r="G12" s="107" t="str">
        <f>_xll.ohRangeRetrieveError(F12)</f>
        <v/>
      </c>
      <c r="H12" s="143"/>
    </row>
    <row r="13" spans="1:8" x14ac:dyDescent="0.2">
      <c r="A13" s="149"/>
      <c r="B13" s="148">
        <v>11</v>
      </c>
      <c r="C13" s="147" t="b">
        <v>0</v>
      </c>
      <c r="D13" s="146" t="str">
        <v>V4</v>
      </c>
      <c r="E13" s="145" t="str">
        <f t="shared" si="0"/>
        <v>USDFUT1MV4_Quote</v>
      </c>
      <c r="F13" s="144" t="str">
        <f>_xll.qlSimpleQuote(E13,,PriceTickValue,Permanent,Trigger,ObjectOverwrite)</f>
        <v>USDFUT1MV4_Quote#0021</v>
      </c>
      <c r="G13" s="107" t="str">
        <f>_xll.ohRangeRetrieveError(F13)</f>
        <v/>
      </c>
      <c r="H13" s="143"/>
    </row>
    <row r="14" spans="1:8" x14ac:dyDescent="0.2">
      <c r="A14" s="149"/>
      <c r="B14" s="148">
        <v>12</v>
      </c>
      <c r="C14" s="147" t="b">
        <v>0</v>
      </c>
      <c r="D14" s="146" t="str">
        <v>X4</v>
      </c>
      <c r="E14" s="145" t="str">
        <f t="shared" si="0"/>
        <v>USDFUT1MX4_Quote</v>
      </c>
      <c r="F14" s="144" t="str">
        <f>_xll.qlSimpleQuote(E14,,PriceTickValue,Permanent,Trigger,ObjectOverwrite)</f>
        <v>USDFUT1MX4_Quote#0021</v>
      </c>
      <c r="G14" s="107" t="str">
        <f>_xll.ohRangeRetrieveError(F14)</f>
        <v/>
      </c>
      <c r="H14" s="143"/>
    </row>
    <row r="15" spans="1:8" x14ac:dyDescent="0.2">
      <c r="A15" s="149"/>
      <c r="B15" s="148">
        <v>13</v>
      </c>
      <c r="C15" s="147" t="b">
        <v>0</v>
      </c>
      <c r="D15" s="146" t="str">
        <v>Z4</v>
      </c>
      <c r="E15" s="145" t="str">
        <f t="shared" si="0"/>
        <v>USDFUT1MZ4_Quote</v>
      </c>
      <c r="F15" s="144" t="str">
        <f>_xll.qlSimpleQuote(E15,,PriceTickValue,Permanent,Trigger,ObjectOverwrite)</f>
        <v>USDFUT1MZ4_Quote#0021</v>
      </c>
      <c r="G15" s="107" t="str">
        <f>_xll.ohRangeRetrieveError(F15)</f>
        <v/>
      </c>
      <c r="H15" s="143"/>
    </row>
    <row r="16" spans="1:8" x14ac:dyDescent="0.2">
      <c r="A16" s="149"/>
      <c r="B16" s="148">
        <v>14</v>
      </c>
      <c r="C16" s="147" t="b">
        <v>0</v>
      </c>
      <c r="D16" s="146" t="str">
        <v>F5</v>
      </c>
      <c r="E16" s="145" t="str">
        <f t="shared" si="0"/>
        <v>USDFUT1MF5_Quote</v>
      </c>
      <c r="F16" s="144" t="str">
        <f>_xll.qlSimpleQuote(E16,,PriceTickValue,Permanent,Trigger,ObjectOverwrite)</f>
        <v>USDFUT1MF5_Quote#0021</v>
      </c>
      <c r="G16" s="107" t="str">
        <f>_xll.ohRangeRetrieveError(F16)</f>
        <v/>
      </c>
      <c r="H16" s="143"/>
    </row>
    <row r="17" spans="1:8" x14ac:dyDescent="0.2">
      <c r="A17" s="149"/>
      <c r="B17" s="148">
        <v>15</v>
      </c>
      <c r="C17" s="147" t="b">
        <v>0</v>
      </c>
      <c r="D17" s="146" t="str">
        <v>G5</v>
      </c>
      <c r="E17" s="145" t="str">
        <f t="shared" si="0"/>
        <v>USDFUT1MG5_Quote</v>
      </c>
      <c r="F17" s="144" t="str">
        <f>_xll.qlSimpleQuote(E17,,PriceTickValue,Permanent,Trigger,ObjectOverwrite)</f>
        <v>USDFUT1MG5_Quote#0021</v>
      </c>
      <c r="G17" s="107" t="str">
        <f>_xll.ohRangeRetrieveError(F17)</f>
        <v/>
      </c>
      <c r="H17" s="143"/>
    </row>
    <row r="18" spans="1:8" x14ac:dyDescent="0.2">
      <c r="A18" s="149"/>
      <c r="B18" s="148">
        <v>16</v>
      </c>
      <c r="C18" s="147" t="b">
        <v>0</v>
      </c>
      <c r="D18" s="146" t="str">
        <v>H5</v>
      </c>
      <c r="E18" s="145" t="str">
        <f t="shared" si="0"/>
        <v>USDFUT1MH5_Quote</v>
      </c>
      <c r="F18" s="144" t="str">
        <f>_xll.qlSimpleQuote(E18,,PriceTickValue,Permanent,Trigger,ObjectOverwrite)</f>
        <v>USDFUT1MH5_Quote#0021</v>
      </c>
      <c r="G18" s="107" t="str">
        <f>_xll.ohRangeRetrieveError(F18)</f>
        <v/>
      </c>
      <c r="H18" s="143"/>
    </row>
    <row r="19" spans="1:8" x14ac:dyDescent="0.2">
      <c r="A19" s="149"/>
      <c r="B19" s="148">
        <v>17</v>
      </c>
      <c r="C19" s="147" t="b">
        <v>0</v>
      </c>
      <c r="D19" s="146" t="str">
        <v>J5</v>
      </c>
      <c r="E19" s="145" t="str">
        <f t="shared" si="0"/>
        <v>USDFUT1MJ5_Quote</v>
      </c>
      <c r="F19" s="144" t="str">
        <f>_xll.qlSimpleQuote(E19,,PriceTickValue,Permanent,Trigger,ObjectOverwrite)</f>
        <v>USDFUT1MJ5_Quote#0021</v>
      </c>
      <c r="G19" s="107" t="str">
        <f>_xll.ohRangeRetrieveError(F19)</f>
        <v/>
      </c>
      <c r="H19" s="143"/>
    </row>
    <row r="20" spans="1:8" x14ac:dyDescent="0.2">
      <c r="A20" s="149"/>
      <c r="B20" s="148">
        <v>18</v>
      </c>
      <c r="C20" s="147" t="b">
        <v>0</v>
      </c>
      <c r="D20" s="146" t="str">
        <v>K5</v>
      </c>
      <c r="E20" s="145" t="str">
        <f t="shared" si="0"/>
        <v>USDFUT1MK5_Quote</v>
      </c>
      <c r="F20" s="144" t="str">
        <f>_xll.qlSimpleQuote(E20,,PriceTickValue,Permanent,Trigger,ObjectOverwrite)</f>
        <v>USDFUT1MK5_Quote#0021</v>
      </c>
      <c r="G20" s="107" t="str">
        <f>_xll.ohRangeRetrieveError(F20)</f>
        <v/>
      </c>
      <c r="H20" s="143"/>
    </row>
    <row r="21" spans="1:8" x14ac:dyDescent="0.2">
      <c r="A21" s="149"/>
      <c r="B21" s="148">
        <v>19</v>
      </c>
      <c r="C21" s="147" t="b">
        <v>0</v>
      </c>
      <c r="D21" s="146" t="str">
        <v>M5</v>
      </c>
      <c r="E21" s="145" t="str">
        <f t="shared" si="0"/>
        <v>USDFUT1MM5_Quote</v>
      </c>
      <c r="F21" s="144" t="str">
        <f>_xll.qlSimpleQuote(E21,,PriceTickValue,Permanent,Trigger,ObjectOverwrite)</f>
        <v>USDFUT1MM5_Quote#0021</v>
      </c>
      <c r="G21" s="107" t="str">
        <f>_xll.ohRangeRetrieveError(F21)</f>
        <v/>
      </c>
      <c r="H21" s="143"/>
    </row>
    <row r="22" spans="1:8" x14ac:dyDescent="0.2">
      <c r="A22" s="149"/>
      <c r="B22" s="148">
        <v>20</v>
      </c>
      <c r="C22" s="147" t="b">
        <v>0</v>
      </c>
      <c r="D22" s="146" t="str">
        <v>N5</v>
      </c>
      <c r="E22" s="145" t="str">
        <f t="shared" si="0"/>
        <v>USDFUT1MN5_Quote</v>
      </c>
      <c r="F22" s="144" t="str">
        <f>_xll.qlSimpleQuote(E22,,PriceTickValue,Permanent,Trigger,ObjectOverwrite)</f>
        <v>USDFUT1MN5_Quote#0021</v>
      </c>
      <c r="G22" s="107" t="str">
        <f>_xll.ohRangeRetrieveError(F22)</f>
        <v/>
      </c>
      <c r="H22" s="143"/>
    </row>
    <row r="23" spans="1:8" x14ac:dyDescent="0.2">
      <c r="A23" s="149"/>
      <c r="B23" s="148">
        <v>21</v>
      </c>
      <c r="C23" s="147" t="b">
        <v>0</v>
      </c>
      <c r="D23" s="146" t="str">
        <v>Q5</v>
      </c>
      <c r="E23" s="145" t="str">
        <f t="shared" si="0"/>
        <v>USDFUT1MQ5_Quote</v>
      </c>
      <c r="F23" s="144" t="str">
        <f>_xll.qlSimpleQuote(E23,,PriceTickValue,Permanent,Trigger,ObjectOverwrite)</f>
        <v>USDFUT1MQ5_Quote#0021</v>
      </c>
      <c r="G23" s="107" t="str">
        <f>_xll.ohRangeRetrieveError(F23)</f>
        <v/>
      </c>
      <c r="H23" s="143"/>
    </row>
    <row r="24" spans="1:8" x14ac:dyDescent="0.2">
      <c r="A24" s="149"/>
      <c r="B24" s="148">
        <v>22</v>
      </c>
      <c r="C24" s="147" t="b">
        <v>0</v>
      </c>
      <c r="D24" s="146" t="str">
        <v>U5</v>
      </c>
      <c r="E24" s="145" t="str">
        <f t="shared" si="0"/>
        <v>USDFUT1MU5_Quote</v>
      </c>
      <c r="F24" s="144" t="str">
        <f>_xll.qlSimpleQuote(E24,,PriceTickValue,Permanent,Trigger,ObjectOverwrite)</f>
        <v>USDFUT1MU5_Quote#0021</v>
      </c>
      <c r="G24" s="107" t="str">
        <f>_xll.ohRangeRetrieveError(F24)</f>
        <v/>
      </c>
      <c r="H24" s="143"/>
    </row>
    <row r="25" spans="1:8" x14ac:dyDescent="0.2">
      <c r="A25" s="149"/>
      <c r="B25" s="148">
        <v>23</v>
      </c>
      <c r="C25" s="147" t="b">
        <v>0</v>
      </c>
      <c r="D25" s="146" t="str">
        <v>V5</v>
      </c>
      <c r="E25" s="145" t="str">
        <f t="shared" si="0"/>
        <v>USDFUT1MV5_Quote</v>
      </c>
      <c r="F25" s="144" t="str">
        <f>_xll.qlSimpleQuote(E25,,PriceTickValue,Permanent,Trigger,ObjectOverwrite)</f>
        <v>USDFUT1MV5_Quote#0021</v>
      </c>
      <c r="G25" s="107" t="str">
        <f>_xll.ohRangeRetrieveError(F25)</f>
        <v/>
      </c>
      <c r="H25" s="143"/>
    </row>
    <row r="26" spans="1:8" x14ac:dyDescent="0.2">
      <c r="A26" s="149"/>
      <c r="B26" s="148">
        <v>24</v>
      </c>
      <c r="C26" s="147" t="b">
        <v>0</v>
      </c>
      <c r="D26" s="146" t="str">
        <v>X5</v>
      </c>
      <c r="E26" s="145" t="str">
        <f t="shared" si="0"/>
        <v>USDFUT1MX5_Quote</v>
      </c>
      <c r="F26" s="144" t="str">
        <f>_xll.qlSimpleQuote(E26,,PriceTickValue,Permanent,Trigger,ObjectOverwrite)</f>
        <v>USDFUT1MX5_Quote#0021</v>
      </c>
      <c r="G26" s="107" t="str">
        <f>_xll.ohRangeRetrieveError(F26)</f>
        <v/>
      </c>
      <c r="H26" s="143"/>
    </row>
    <row r="27" spans="1:8" x14ac:dyDescent="0.2">
      <c r="A27" s="149"/>
      <c r="B27" s="148">
        <v>25</v>
      </c>
      <c r="C27" s="147" t="b">
        <v>0</v>
      </c>
      <c r="D27" s="146" t="str">
        <v>Z5</v>
      </c>
      <c r="E27" s="145" t="str">
        <f t="shared" si="0"/>
        <v>USDFUT1MZ5_Quote</v>
      </c>
      <c r="F27" s="144" t="str">
        <f>_xll.qlSimpleQuote(E27,,PriceTickValue,Permanent,Trigger,ObjectOverwrite)</f>
        <v>USDFUT1MZ5_Quote#0021</v>
      </c>
      <c r="G27" s="107" t="str">
        <f>_xll.ohRangeRetrieveError(F27)</f>
        <v/>
      </c>
      <c r="H27" s="143"/>
    </row>
    <row r="28" spans="1:8" x14ac:dyDescent="0.2">
      <c r="A28" s="149"/>
      <c r="B28" s="148">
        <v>26</v>
      </c>
      <c r="C28" s="147" t="b">
        <v>0</v>
      </c>
      <c r="D28" s="146" t="str">
        <v>F6</v>
      </c>
      <c r="E28" s="145" t="str">
        <f t="shared" si="0"/>
        <v>USDFUT1MF6_Quote</v>
      </c>
      <c r="F28" s="144" t="str">
        <f>_xll.qlSimpleQuote(E28,,PriceTickValue,Permanent,Trigger,ObjectOverwrite)</f>
        <v>USDFUT1MF6_Quote#0021</v>
      </c>
      <c r="G28" s="107" t="str">
        <f>_xll.ohRangeRetrieveError(F28)</f>
        <v/>
      </c>
      <c r="H28" s="143"/>
    </row>
    <row r="29" spans="1:8" x14ac:dyDescent="0.2">
      <c r="A29" s="149"/>
      <c r="B29" s="148">
        <v>27</v>
      </c>
      <c r="C29" s="147" t="b">
        <v>0</v>
      </c>
      <c r="D29" s="146" t="str">
        <v>G6</v>
      </c>
      <c r="E29" s="145" t="str">
        <f t="shared" si="0"/>
        <v>USDFUT1MG6_Quote</v>
      </c>
      <c r="F29" s="144" t="str">
        <f>_xll.qlSimpleQuote(E29,,PriceTickValue,Permanent,Trigger,ObjectOverwrite)</f>
        <v>USDFUT1MG6_Quote#0021</v>
      </c>
      <c r="G29" s="107" t="str">
        <f>_xll.ohRangeRetrieveError(F29)</f>
        <v/>
      </c>
      <c r="H29" s="143"/>
    </row>
    <row r="30" spans="1:8" x14ac:dyDescent="0.2">
      <c r="A30" s="149"/>
      <c r="B30" s="148">
        <v>28</v>
      </c>
      <c r="C30" s="147" t="b">
        <v>0</v>
      </c>
      <c r="D30" s="146" t="str">
        <v>H6</v>
      </c>
      <c r="E30" s="145" t="str">
        <f t="shared" si="0"/>
        <v>USDFUT1MH6_Quote</v>
      </c>
      <c r="F30" s="144" t="str">
        <f>_xll.qlSimpleQuote(E30,,PriceTickValue,Permanent,Trigger,ObjectOverwrite)</f>
        <v>USDFUT1MH6_Quote#0021</v>
      </c>
      <c r="G30" s="107" t="str">
        <f>_xll.ohRangeRetrieveError(F30)</f>
        <v/>
      </c>
      <c r="H30" s="143"/>
    </row>
    <row r="31" spans="1:8" x14ac:dyDescent="0.2">
      <c r="A31" s="149"/>
      <c r="B31" s="148">
        <v>29</v>
      </c>
      <c r="C31" s="147" t="b">
        <v>0</v>
      </c>
      <c r="D31" s="146" t="str">
        <v>J6</v>
      </c>
      <c r="E31" s="145" t="str">
        <f t="shared" si="0"/>
        <v>USDFUT1MJ6_Quote</v>
      </c>
      <c r="F31" s="144" t="str">
        <f>_xll.qlSimpleQuote(E31,,PriceTickValue,Permanent,Trigger,ObjectOverwrite)</f>
        <v>USDFUT1MJ6_Quote#0021</v>
      </c>
      <c r="G31" s="107" t="str">
        <f>_xll.ohRangeRetrieveError(F31)</f>
        <v/>
      </c>
      <c r="H31" s="143"/>
    </row>
    <row r="32" spans="1:8" x14ac:dyDescent="0.2">
      <c r="A32" s="149"/>
      <c r="B32" s="148">
        <v>30</v>
      </c>
      <c r="C32" s="147" t="b">
        <v>0</v>
      </c>
      <c r="D32" s="146" t="str">
        <v>K6</v>
      </c>
      <c r="E32" s="145" t="str">
        <f t="shared" si="0"/>
        <v>USDFUT1MK6_Quote</v>
      </c>
      <c r="F32" s="144" t="str">
        <f>_xll.qlSimpleQuote(E32,,PriceTickValue,Permanent,Trigger,ObjectOverwrite)</f>
        <v>USDFUT1MK6_Quote#0021</v>
      </c>
      <c r="G32" s="107" t="str">
        <f>_xll.ohRangeRetrieveError(F32)</f>
        <v/>
      </c>
      <c r="H32" s="143"/>
    </row>
    <row r="33" spans="1:8" x14ac:dyDescent="0.2">
      <c r="A33" s="149"/>
      <c r="B33" s="148">
        <v>31</v>
      </c>
      <c r="C33" s="147" t="b">
        <v>0</v>
      </c>
      <c r="D33" s="146" t="str">
        <v>M6</v>
      </c>
      <c r="E33" s="145" t="str">
        <f t="shared" si="0"/>
        <v>USDFUT1MM6_Quote</v>
      </c>
      <c r="F33" s="144" t="str">
        <f>_xll.qlSimpleQuote(E33,,PriceTickValue,Permanent,Trigger,ObjectOverwrite)</f>
        <v>USDFUT1MM6_Quote#0021</v>
      </c>
      <c r="G33" s="107" t="str">
        <f>_xll.ohRangeRetrieveError(F33)</f>
        <v/>
      </c>
      <c r="H33" s="143"/>
    </row>
    <row r="34" spans="1:8" x14ac:dyDescent="0.2">
      <c r="A34" s="149"/>
      <c r="B34" s="148">
        <v>32</v>
      </c>
      <c r="C34" s="147" t="b">
        <v>0</v>
      </c>
      <c r="D34" s="146" t="str">
        <v>N6</v>
      </c>
      <c r="E34" s="145" t="str">
        <f t="shared" si="0"/>
        <v>USDFUT1MN6_Quote</v>
      </c>
      <c r="F34" s="144" t="str">
        <f>_xll.qlSimpleQuote(E34,,PriceTickValue,Permanent,Trigger,ObjectOverwrite)</f>
        <v>USDFUT1MN6_Quote#0021</v>
      </c>
      <c r="G34" s="107" t="str">
        <f>_xll.ohRangeRetrieveError(F34)</f>
        <v/>
      </c>
      <c r="H34" s="143"/>
    </row>
    <row r="35" spans="1:8" x14ac:dyDescent="0.2">
      <c r="A35" s="149"/>
      <c r="B35" s="148">
        <v>33</v>
      </c>
      <c r="C35" s="147" t="b">
        <v>0</v>
      </c>
      <c r="D35" s="146" t="str">
        <v>Q6</v>
      </c>
      <c r="E35" s="145" t="str">
        <f t="shared" ref="E35:E66" si="1">Currency&amp;$D$1&amp;$E$1&amp;$D35&amp;QuoteSuffix</f>
        <v>USDFUT1MQ6_Quote</v>
      </c>
      <c r="F35" s="144" t="str">
        <f>_xll.qlSimpleQuote(E35,,PriceTickValue,Permanent,Trigger,ObjectOverwrite)</f>
        <v>USDFUT1MQ6_Quote#0021</v>
      </c>
      <c r="G35" s="107" t="str">
        <f>_xll.ohRangeRetrieveError(F35)</f>
        <v/>
      </c>
      <c r="H35" s="143"/>
    </row>
    <row r="36" spans="1:8" x14ac:dyDescent="0.2">
      <c r="A36" s="149"/>
      <c r="B36" s="148">
        <v>34</v>
      </c>
      <c r="C36" s="147" t="b">
        <v>0</v>
      </c>
      <c r="D36" s="146" t="str">
        <v>U6</v>
      </c>
      <c r="E36" s="145" t="str">
        <f t="shared" si="1"/>
        <v>USDFUT1MU6_Quote</v>
      </c>
      <c r="F36" s="144" t="str">
        <f>_xll.qlSimpleQuote(E36,,PriceTickValue,Permanent,Trigger,ObjectOverwrite)</f>
        <v>USDFUT1MU6_Quote#0021</v>
      </c>
      <c r="G36" s="107" t="str">
        <f>_xll.ohRangeRetrieveError(F36)</f>
        <v/>
      </c>
      <c r="H36" s="143"/>
    </row>
    <row r="37" spans="1:8" x14ac:dyDescent="0.2">
      <c r="A37" s="149"/>
      <c r="B37" s="148">
        <v>35</v>
      </c>
      <c r="C37" s="147" t="b">
        <v>0</v>
      </c>
      <c r="D37" s="146" t="str">
        <v>V6</v>
      </c>
      <c r="E37" s="145" t="str">
        <f t="shared" si="1"/>
        <v>USDFUT1MV6_Quote</v>
      </c>
      <c r="F37" s="144" t="str">
        <f>_xll.qlSimpleQuote(E37,,PriceTickValue,Permanent,Trigger,ObjectOverwrite)</f>
        <v>USDFUT1MV6_Quote#0021</v>
      </c>
      <c r="G37" s="107" t="str">
        <f>_xll.ohRangeRetrieveError(F37)</f>
        <v/>
      </c>
      <c r="H37" s="143"/>
    </row>
    <row r="38" spans="1:8" x14ac:dyDescent="0.2">
      <c r="A38" s="149"/>
      <c r="B38" s="148">
        <v>36</v>
      </c>
      <c r="C38" s="147" t="b">
        <v>0</v>
      </c>
      <c r="D38" s="146" t="str">
        <v>X6</v>
      </c>
      <c r="E38" s="145" t="str">
        <f t="shared" si="1"/>
        <v>USDFUT1MX6_Quote</v>
      </c>
      <c r="F38" s="144" t="str">
        <f>_xll.qlSimpleQuote(E38,,PriceTickValue,Permanent,Trigger,ObjectOverwrite)</f>
        <v>USDFUT1MX6_Quote#0021</v>
      </c>
      <c r="G38" s="107" t="str">
        <f>_xll.ohRangeRetrieveError(F38)</f>
        <v/>
      </c>
      <c r="H38" s="143"/>
    </row>
    <row r="39" spans="1:8" x14ac:dyDescent="0.2">
      <c r="A39" s="149"/>
      <c r="B39" s="148">
        <v>37</v>
      </c>
      <c r="C39" s="147" t="b">
        <v>0</v>
      </c>
      <c r="D39" s="146" t="str">
        <v>Z6</v>
      </c>
      <c r="E39" s="145" t="str">
        <f t="shared" si="1"/>
        <v>USDFUT1MZ6_Quote</v>
      </c>
      <c r="F39" s="144" t="str">
        <f>_xll.qlSimpleQuote(E39,,PriceTickValue,Permanent,Trigger,ObjectOverwrite)</f>
        <v>USDFUT1MZ6_Quote#0021</v>
      </c>
      <c r="G39" s="107" t="str">
        <f>_xll.ohRangeRetrieveError(F39)</f>
        <v/>
      </c>
      <c r="H39" s="143"/>
    </row>
    <row r="40" spans="1:8" x14ac:dyDescent="0.2">
      <c r="A40" s="149"/>
      <c r="B40" s="148">
        <v>38</v>
      </c>
      <c r="C40" s="147" t="b">
        <v>0</v>
      </c>
      <c r="D40" s="146" t="str">
        <v>F7</v>
      </c>
      <c r="E40" s="145" t="str">
        <f t="shared" si="1"/>
        <v>USDFUT1MF7_Quote</v>
      </c>
      <c r="F40" s="144" t="str">
        <f>_xll.qlSimpleQuote(E40,,PriceTickValue,Permanent,Trigger,ObjectOverwrite)</f>
        <v>USDFUT1MF7_Quote#0021</v>
      </c>
      <c r="G40" s="107" t="str">
        <f>_xll.ohRangeRetrieveError(F40)</f>
        <v/>
      </c>
      <c r="H40" s="143"/>
    </row>
    <row r="41" spans="1:8" x14ac:dyDescent="0.2">
      <c r="A41" s="149"/>
      <c r="B41" s="148">
        <v>39</v>
      </c>
      <c r="C41" s="147" t="b">
        <v>0</v>
      </c>
      <c r="D41" s="146" t="str">
        <v>G7</v>
      </c>
      <c r="E41" s="145" t="str">
        <f t="shared" si="1"/>
        <v>USDFUT1MG7_Quote</v>
      </c>
      <c r="F41" s="144" t="str">
        <f>_xll.qlSimpleQuote(E41,,PriceTickValue,Permanent,Trigger,ObjectOverwrite)</f>
        <v>USDFUT1MG7_Quote#0021</v>
      </c>
      <c r="G41" s="107" t="str">
        <f>_xll.ohRangeRetrieveError(F41)</f>
        <v/>
      </c>
      <c r="H41" s="143"/>
    </row>
    <row r="42" spans="1:8" x14ac:dyDescent="0.2">
      <c r="A42" s="149"/>
      <c r="B42" s="148">
        <v>40</v>
      </c>
      <c r="C42" s="147" t="b">
        <v>0</v>
      </c>
      <c r="D42" s="146" t="str">
        <v>H7</v>
      </c>
      <c r="E42" s="145" t="str">
        <f t="shared" si="1"/>
        <v>USDFUT1MH7_Quote</v>
      </c>
      <c r="F42" s="144" t="str">
        <f>_xll.qlSimpleQuote(E42,,PriceTickValue,Permanent,Trigger,ObjectOverwrite)</f>
        <v>USDFUT1MH7_Quote#0021</v>
      </c>
      <c r="G42" s="107" t="str">
        <f>_xll.ohRangeRetrieveError(F42)</f>
        <v/>
      </c>
      <c r="H42" s="143"/>
    </row>
    <row r="43" spans="1:8" x14ac:dyDescent="0.2">
      <c r="A43" s="149"/>
      <c r="B43" s="148">
        <v>41</v>
      </c>
      <c r="C43" s="147" t="b">
        <v>0</v>
      </c>
      <c r="D43" s="146" t="str">
        <v>J7</v>
      </c>
      <c r="E43" s="145" t="str">
        <f t="shared" si="1"/>
        <v>USDFUT1MJ7_Quote</v>
      </c>
      <c r="F43" s="144" t="str">
        <f>_xll.qlSimpleQuote(E43,,PriceTickValue,Permanent,Trigger,ObjectOverwrite)</f>
        <v>USDFUT1MJ7_Quote#0021</v>
      </c>
      <c r="G43" s="107" t="str">
        <f>_xll.ohRangeRetrieveError(F43)</f>
        <v/>
      </c>
      <c r="H43" s="143"/>
    </row>
    <row r="44" spans="1:8" x14ac:dyDescent="0.2">
      <c r="A44" s="149"/>
      <c r="B44" s="148">
        <v>42</v>
      </c>
      <c r="C44" s="147" t="b">
        <v>0</v>
      </c>
      <c r="D44" s="146" t="str">
        <v>K7</v>
      </c>
      <c r="E44" s="145" t="str">
        <f t="shared" si="1"/>
        <v>USDFUT1MK7_Quote</v>
      </c>
      <c r="F44" s="144" t="str">
        <f>_xll.qlSimpleQuote(E44,,PriceTickValue,Permanent,Trigger,ObjectOverwrite)</f>
        <v>USDFUT1MK7_Quote#0021</v>
      </c>
      <c r="G44" s="107" t="str">
        <f>_xll.ohRangeRetrieveError(F44)</f>
        <v/>
      </c>
      <c r="H44" s="143"/>
    </row>
    <row r="45" spans="1:8" x14ac:dyDescent="0.2">
      <c r="A45" s="149"/>
      <c r="B45" s="148">
        <v>43</v>
      </c>
      <c r="C45" s="147" t="b">
        <v>0</v>
      </c>
      <c r="D45" s="146" t="str">
        <v>M7</v>
      </c>
      <c r="E45" s="145" t="str">
        <f t="shared" si="1"/>
        <v>USDFUT1MM7_Quote</v>
      </c>
      <c r="F45" s="144" t="str">
        <f>_xll.qlSimpleQuote(E45,,PriceTickValue,Permanent,Trigger,ObjectOverwrite)</f>
        <v>USDFUT1MM7_Quote#0021</v>
      </c>
      <c r="G45" s="107" t="str">
        <f>_xll.ohRangeRetrieveError(F45)</f>
        <v/>
      </c>
      <c r="H45" s="143"/>
    </row>
    <row r="46" spans="1:8" x14ac:dyDescent="0.2">
      <c r="A46" s="149"/>
      <c r="B46" s="148">
        <v>44</v>
      </c>
      <c r="C46" s="147" t="b">
        <v>0</v>
      </c>
      <c r="D46" s="146" t="str">
        <v>N7</v>
      </c>
      <c r="E46" s="145" t="str">
        <f t="shared" si="1"/>
        <v>USDFUT1MN7_Quote</v>
      </c>
      <c r="F46" s="144" t="str">
        <f>_xll.qlSimpleQuote(E46,,PriceTickValue,Permanent,Trigger,ObjectOverwrite)</f>
        <v>USDFUT1MN7_Quote#0021</v>
      </c>
      <c r="G46" s="107" t="str">
        <f>_xll.ohRangeRetrieveError(F46)</f>
        <v/>
      </c>
      <c r="H46" s="143"/>
    </row>
    <row r="47" spans="1:8" x14ac:dyDescent="0.2">
      <c r="A47" s="149"/>
      <c r="B47" s="148">
        <v>45</v>
      </c>
      <c r="C47" s="147" t="b">
        <v>0</v>
      </c>
      <c r="D47" s="146" t="str">
        <v>Q7</v>
      </c>
      <c r="E47" s="145" t="str">
        <f t="shared" si="1"/>
        <v>USDFUT1MQ7_Quote</v>
      </c>
      <c r="F47" s="144" t="str">
        <f>_xll.qlSimpleQuote(E47,,PriceTickValue,Permanent,Trigger,ObjectOverwrite)</f>
        <v>USDFUT1MQ7_Quote#0021</v>
      </c>
      <c r="G47" s="107" t="str">
        <f>_xll.ohRangeRetrieveError(F47)</f>
        <v/>
      </c>
      <c r="H47" s="143"/>
    </row>
    <row r="48" spans="1:8" x14ac:dyDescent="0.2">
      <c r="A48" s="149"/>
      <c r="B48" s="148">
        <v>46</v>
      </c>
      <c r="C48" s="147" t="b">
        <v>0</v>
      </c>
      <c r="D48" s="146" t="str">
        <v>U7</v>
      </c>
      <c r="E48" s="145" t="str">
        <f t="shared" si="1"/>
        <v>USDFUT1MU7_Quote</v>
      </c>
      <c r="F48" s="144" t="str">
        <f>_xll.qlSimpleQuote(E48,,PriceTickValue,Permanent,Trigger,ObjectOverwrite)</f>
        <v>USDFUT1MU7_Quote#0021</v>
      </c>
      <c r="G48" s="107" t="str">
        <f>_xll.ohRangeRetrieveError(F48)</f>
        <v/>
      </c>
      <c r="H48" s="143"/>
    </row>
    <row r="49" spans="1:8" x14ac:dyDescent="0.2">
      <c r="A49" s="149"/>
      <c r="B49" s="148">
        <v>47</v>
      </c>
      <c r="C49" s="147" t="b">
        <v>0</v>
      </c>
      <c r="D49" s="146" t="str">
        <v>V7</v>
      </c>
      <c r="E49" s="145" t="str">
        <f t="shared" si="1"/>
        <v>USDFUT1MV7_Quote</v>
      </c>
      <c r="F49" s="144" t="str">
        <f>_xll.qlSimpleQuote(E49,,PriceTickValue,Permanent,Trigger,ObjectOverwrite)</f>
        <v>USDFUT1MV7_Quote#0021</v>
      </c>
      <c r="G49" s="107" t="str">
        <f>_xll.ohRangeRetrieveError(F49)</f>
        <v/>
      </c>
      <c r="H49" s="143"/>
    </row>
    <row r="50" spans="1:8" x14ac:dyDescent="0.2">
      <c r="A50" s="149"/>
      <c r="B50" s="148">
        <v>48</v>
      </c>
      <c r="C50" s="147" t="b">
        <v>0</v>
      </c>
      <c r="D50" s="146" t="str">
        <v>X7</v>
      </c>
      <c r="E50" s="145" t="str">
        <f t="shared" si="1"/>
        <v>USDFUT1MX7_Quote</v>
      </c>
      <c r="F50" s="144" t="str">
        <f>_xll.qlSimpleQuote(E50,,PriceTickValue,Permanent,Trigger,ObjectOverwrite)</f>
        <v>USDFUT1MX7_Quote#0021</v>
      </c>
      <c r="G50" s="107" t="str">
        <f>_xll.ohRangeRetrieveError(F50)</f>
        <v/>
      </c>
      <c r="H50" s="143"/>
    </row>
    <row r="51" spans="1:8" x14ac:dyDescent="0.2">
      <c r="A51" s="149"/>
      <c r="B51" s="148">
        <v>49</v>
      </c>
      <c r="C51" s="147" t="b">
        <v>0</v>
      </c>
      <c r="D51" s="146" t="str">
        <v>Z7</v>
      </c>
      <c r="E51" s="145" t="str">
        <f t="shared" si="1"/>
        <v>USDFUT1MZ7_Quote</v>
      </c>
      <c r="F51" s="144" t="str">
        <f>_xll.qlSimpleQuote(E51,,PriceTickValue,Permanent,Trigger,ObjectOverwrite)</f>
        <v>USDFUT1MZ7_Quote#0021</v>
      </c>
      <c r="G51" s="107" t="str">
        <f>_xll.ohRangeRetrieveError(F51)</f>
        <v/>
      </c>
      <c r="H51" s="143"/>
    </row>
    <row r="52" spans="1:8" x14ac:dyDescent="0.2">
      <c r="A52" s="149"/>
      <c r="B52" s="148">
        <v>50</v>
      </c>
      <c r="C52" s="147" t="b">
        <v>0</v>
      </c>
      <c r="D52" s="146" t="str">
        <v>F8</v>
      </c>
      <c r="E52" s="145" t="str">
        <f t="shared" si="1"/>
        <v>USDFUT1MF8_Quote</v>
      </c>
      <c r="F52" s="144" t="str">
        <f>_xll.qlSimpleQuote(E52,,PriceTickValue,Permanent,Trigger,ObjectOverwrite)</f>
        <v>USDFUT1MF8_Quote#0021</v>
      </c>
      <c r="G52" s="107" t="str">
        <f>_xll.ohRangeRetrieveError(F52)</f>
        <v/>
      </c>
      <c r="H52" s="143"/>
    </row>
    <row r="53" spans="1:8" x14ac:dyDescent="0.2">
      <c r="A53" s="149"/>
      <c r="B53" s="148">
        <v>51</v>
      </c>
      <c r="C53" s="147" t="b">
        <v>0</v>
      </c>
      <c r="D53" s="146" t="str">
        <v>G8</v>
      </c>
      <c r="E53" s="145" t="str">
        <f t="shared" si="1"/>
        <v>USDFUT1MG8_Quote</v>
      </c>
      <c r="F53" s="144" t="str">
        <f>_xll.qlSimpleQuote(E53,,PriceTickValue,Permanent,Trigger,ObjectOverwrite)</f>
        <v>USDFUT1MG8_Quote#0021</v>
      </c>
      <c r="G53" s="107" t="str">
        <f>_xll.ohRangeRetrieveError(F53)</f>
        <v/>
      </c>
      <c r="H53" s="143"/>
    </row>
    <row r="54" spans="1:8" x14ac:dyDescent="0.2">
      <c r="A54" s="149"/>
      <c r="B54" s="148">
        <v>52</v>
      </c>
      <c r="C54" s="147" t="b">
        <v>0</v>
      </c>
      <c r="D54" s="146" t="str">
        <v>H8</v>
      </c>
      <c r="E54" s="145" t="str">
        <f t="shared" si="1"/>
        <v>USDFUT1MH8_Quote</v>
      </c>
      <c r="F54" s="144" t="str">
        <f>_xll.qlSimpleQuote(E54,,PriceTickValue,Permanent,Trigger,ObjectOverwrite)</f>
        <v>USDFUT1MH8_Quote#0021</v>
      </c>
      <c r="G54" s="107" t="str">
        <f>_xll.ohRangeRetrieveError(F54)</f>
        <v/>
      </c>
      <c r="H54" s="143"/>
    </row>
    <row r="55" spans="1:8" x14ac:dyDescent="0.2">
      <c r="A55" s="149"/>
      <c r="B55" s="148">
        <v>53</v>
      </c>
      <c r="C55" s="147" t="b">
        <v>0</v>
      </c>
      <c r="D55" s="146" t="str">
        <v>J8</v>
      </c>
      <c r="E55" s="145" t="str">
        <f t="shared" si="1"/>
        <v>USDFUT1MJ8_Quote</v>
      </c>
      <c r="F55" s="144" t="str">
        <f>_xll.qlSimpleQuote(E55,,PriceTickValue,Permanent,Trigger,ObjectOverwrite)</f>
        <v>USDFUT1MJ8_Quote#0021</v>
      </c>
      <c r="G55" s="107" t="str">
        <f>_xll.ohRangeRetrieveError(F55)</f>
        <v/>
      </c>
      <c r="H55" s="143"/>
    </row>
    <row r="56" spans="1:8" x14ac:dyDescent="0.2">
      <c r="A56" s="149"/>
      <c r="B56" s="148">
        <v>54</v>
      </c>
      <c r="C56" s="147" t="b">
        <v>0</v>
      </c>
      <c r="D56" s="146" t="str">
        <v>K8</v>
      </c>
      <c r="E56" s="145" t="str">
        <f t="shared" si="1"/>
        <v>USDFUT1MK8_Quote</v>
      </c>
      <c r="F56" s="144" t="str">
        <f>_xll.qlSimpleQuote(E56,,PriceTickValue,Permanent,Trigger,ObjectOverwrite)</f>
        <v>USDFUT1MK8_Quote#0021</v>
      </c>
      <c r="G56" s="107" t="str">
        <f>_xll.ohRangeRetrieveError(F56)</f>
        <v/>
      </c>
      <c r="H56" s="143"/>
    </row>
    <row r="57" spans="1:8" x14ac:dyDescent="0.2">
      <c r="A57" s="149"/>
      <c r="B57" s="148">
        <v>55</v>
      </c>
      <c r="C57" s="147" t="b">
        <v>0</v>
      </c>
      <c r="D57" s="146" t="str">
        <v>M8</v>
      </c>
      <c r="E57" s="145" t="str">
        <f t="shared" si="1"/>
        <v>USDFUT1MM8_Quote</v>
      </c>
      <c r="F57" s="144" t="str">
        <f>_xll.qlSimpleQuote(E57,,PriceTickValue,Permanent,Trigger,ObjectOverwrite)</f>
        <v>USDFUT1MM8_Quote#0021</v>
      </c>
      <c r="G57" s="107" t="str">
        <f>_xll.ohRangeRetrieveError(F57)</f>
        <v/>
      </c>
      <c r="H57" s="143"/>
    </row>
    <row r="58" spans="1:8" x14ac:dyDescent="0.2">
      <c r="A58" s="149"/>
      <c r="B58" s="148">
        <v>56</v>
      </c>
      <c r="C58" s="147" t="b">
        <v>0</v>
      </c>
      <c r="D58" s="146" t="str">
        <v>N8</v>
      </c>
      <c r="E58" s="145" t="str">
        <f t="shared" si="1"/>
        <v>USDFUT1MN8_Quote</v>
      </c>
      <c r="F58" s="144" t="str">
        <f>_xll.qlSimpleQuote(E58,,PriceTickValue,Permanent,Trigger,ObjectOverwrite)</f>
        <v>USDFUT1MN8_Quote#0021</v>
      </c>
      <c r="G58" s="107" t="str">
        <f>_xll.ohRangeRetrieveError(F58)</f>
        <v/>
      </c>
      <c r="H58" s="143"/>
    </row>
    <row r="59" spans="1:8" x14ac:dyDescent="0.2">
      <c r="A59" s="149"/>
      <c r="B59" s="148">
        <v>57</v>
      </c>
      <c r="C59" s="147" t="b">
        <v>0</v>
      </c>
      <c r="D59" s="146" t="str">
        <v>Q8</v>
      </c>
      <c r="E59" s="145" t="str">
        <f t="shared" si="1"/>
        <v>USDFUT1MQ8_Quote</v>
      </c>
      <c r="F59" s="144" t="str">
        <f>_xll.qlSimpleQuote(E59,,PriceTickValue,Permanent,Trigger,ObjectOverwrite)</f>
        <v>USDFUT1MQ8_Quote#0021</v>
      </c>
      <c r="G59" s="107" t="str">
        <f>_xll.ohRangeRetrieveError(F59)</f>
        <v/>
      </c>
      <c r="H59" s="143"/>
    </row>
    <row r="60" spans="1:8" x14ac:dyDescent="0.2">
      <c r="A60" s="149"/>
      <c r="B60" s="148">
        <v>58</v>
      </c>
      <c r="C60" s="147" t="b">
        <v>0</v>
      </c>
      <c r="D60" s="146" t="str">
        <v>U8</v>
      </c>
      <c r="E60" s="145" t="str">
        <f t="shared" si="1"/>
        <v>USDFUT1MU8_Quote</v>
      </c>
      <c r="F60" s="144" t="str">
        <f>_xll.qlSimpleQuote(E60,,PriceTickValue,Permanent,Trigger,ObjectOverwrite)</f>
        <v>USDFUT1MU8_Quote#0021</v>
      </c>
      <c r="G60" s="107" t="str">
        <f>_xll.ohRangeRetrieveError(F60)</f>
        <v/>
      </c>
      <c r="H60" s="143"/>
    </row>
    <row r="61" spans="1:8" x14ac:dyDescent="0.2">
      <c r="A61" s="149"/>
      <c r="B61" s="148">
        <v>59</v>
      </c>
      <c r="C61" s="147" t="b">
        <v>0</v>
      </c>
      <c r="D61" s="146" t="str">
        <v>V8</v>
      </c>
      <c r="E61" s="145" t="str">
        <f t="shared" si="1"/>
        <v>USDFUT1MV8_Quote</v>
      </c>
      <c r="F61" s="144" t="str">
        <f>_xll.qlSimpleQuote(E61,,PriceTickValue,Permanent,Trigger,ObjectOverwrite)</f>
        <v>USDFUT1MV8_Quote#0021</v>
      </c>
      <c r="G61" s="107" t="str">
        <f>_xll.ohRangeRetrieveError(F61)</f>
        <v/>
      </c>
      <c r="H61" s="143"/>
    </row>
    <row r="62" spans="1:8" x14ac:dyDescent="0.2">
      <c r="A62" s="149"/>
      <c r="B62" s="148">
        <v>60</v>
      </c>
      <c r="C62" s="147" t="b">
        <v>0</v>
      </c>
      <c r="D62" s="146" t="str">
        <v>X8</v>
      </c>
      <c r="E62" s="145" t="str">
        <f t="shared" si="1"/>
        <v>USDFUT1MX8_Quote</v>
      </c>
      <c r="F62" s="144" t="str">
        <f>_xll.qlSimpleQuote(E62,,PriceTickValue,Permanent,Trigger,ObjectOverwrite)</f>
        <v>USDFUT1MX8_Quote#0021</v>
      </c>
      <c r="G62" s="107" t="str">
        <f>_xll.ohRangeRetrieveError(F62)</f>
        <v/>
      </c>
      <c r="H62" s="143"/>
    </row>
    <row r="63" spans="1:8" x14ac:dyDescent="0.2">
      <c r="A63" s="149"/>
      <c r="B63" s="148">
        <v>61</v>
      </c>
      <c r="C63" s="147" t="b">
        <v>0</v>
      </c>
      <c r="D63" s="146" t="str">
        <v>Z8</v>
      </c>
      <c r="E63" s="145" t="str">
        <f t="shared" si="1"/>
        <v>USDFUT1MZ8_Quote</v>
      </c>
      <c r="F63" s="144" t="str">
        <f>_xll.qlSimpleQuote(E63,,PriceTickValue,Permanent,Trigger,ObjectOverwrite)</f>
        <v>USDFUT1MZ8_Quote#0021</v>
      </c>
      <c r="G63" s="107" t="str">
        <f>_xll.ohRangeRetrieveError(F63)</f>
        <v/>
      </c>
      <c r="H63" s="143"/>
    </row>
    <row r="64" spans="1:8" x14ac:dyDescent="0.2">
      <c r="A64" s="149"/>
      <c r="B64" s="148">
        <v>62</v>
      </c>
      <c r="C64" s="147" t="b">
        <v>0</v>
      </c>
      <c r="D64" s="146" t="str">
        <v>F9</v>
      </c>
      <c r="E64" s="145" t="str">
        <f t="shared" si="1"/>
        <v>USDFUT1MF9_Quote</v>
      </c>
      <c r="F64" s="144" t="str">
        <f>_xll.qlSimpleQuote(E64,,PriceTickValue,Permanent,Trigger,ObjectOverwrite)</f>
        <v>USDFUT1MF9_Quote#0021</v>
      </c>
      <c r="G64" s="107" t="str">
        <f>_xll.ohRangeRetrieveError(F64)</f>
        <v/>
      </c>
      <c r="H64" s="143"/>
    </row>
    <row r="65" spans="1:8" x14ac:dyDescent="0.2">
      <c r="A65" s="149"/>
      <c r="B65" s="148">
        <v>63</v>
      </c>
      <c r="C65" s="147" t="b">
        <v>0</v>
      </c>
      <c r="D65" s="146" t="str">
        <v>G9</v>
      </c>
      <c r="E65" s="145" t="str">
        <f t="shared" si="1"/>
        <v>USDFUT1MG9_Quote</v>
      </c>
      <c r="F65" s="144" t="str">
        <f>_xll.qlSimpleQuote(E65,,PriceTickValue,Permanent,Trigger,ObjectOverwrite)</f>
        <v>USDFUT1MG9_Quote#0021</v>
      </c>
      <c r="G65" s="107" t="str">
        <f>_xll.ohRangeRetrieveError(F65)</f>
        <v/>
      </c>
      <c r="H65" s="143"/>
    </row>
    <row r="66" spans="1:8" x14ac:dyDescent="0.2">
      <c r="A66" s="149"/>
      <c r="B66" s="148">
        <v>64</v>
      </c>
      <c r="C66" s="147" t="b">
        <v>0</v>
      </c>
      <c r="D66" s="146" t="str">
        <v>H9</v>
      </c>
      <c r="E66" s="145" t="str">
        <f t="shared" si="1"/>
        <v>USDFUT1MH9_Quote</v>
      </c>
      <c r="F66" s="144" t="str">
        <f>_xll.qlSimpleQuote(E66,,PriceTickValue,Permanent,Trigger,ObjectOverwrite)</f>
        <v>USDFUT1MH9_Quote#0021</v>
      </c>
      <c r="G66" s="107" t="str">
        <f>_xll.ohRangeRetrieveError(F66)</f>
        <v/>
      </c>
      <c r="H66" s="143"/>
    </row>
    <row r="67" spans="1:8" x14ac:dyDescent="0.2">
      <c r="A67" s="149"/>
      <c r="B67" s="148">
        <v>65</v>
      </c>
      <c r="C67" s="147" t="b">
        <v>0</v>
      </c>
      <c r="D67" s="146" t="str">
        <v>J9</v>
      </c>
      <c r="E67" s="145" t="str">
        <f t="shared" ref="E67:E98" si="2">Currency&amp;$D$1&amp;$E$1&amp;$D67&amp;QuoteSuffix</f>
        <v>USDFUT1MJ9_Quote</v>
      </c>
      <c r="F67" s="144" t="str">
        <f>_xll.qlSimpleQuote(E67,,PriceTickValue,Permanent,Trigger,ObjectOverwrite)</f>
        <v>USDFUT1MJ9_Quote#0021</v>
      </c>
      <c r="G67" s="107" t="str">
        <f>_xll.ohRangeRetrieveError(F67)</f>
        <v/>
      </c>
      <c r="H67" s="143"/>
    </row>
    <row r="68" spans="1:8" x14ac:dyDescent="0.2">
      <c r="A68" s="149"/>
      <c r="B68" s="148">
        <v>66</v>
      </c>
      <c r="C68" s="147" t="b">
        <v>0</v>
      </c>
      <c r="D68" s="146" t="str">
        <v>K9</v>
      </c>
      <c r="E68" s="145" t="str">
        <f t="shared" si="2"/>
        <v>USDFUT1MK9_Quote</v>
      </c>
      <c r="F68" s="144" t="str">
        <f>_xll.qlSimpleQuote(E68,,PriceTickValue,Permanent,Trigger,ObjectOverwrite)</f>
        <v>USDFUT1MK9_Quote#0021</v>
      </c>
      <c r="G68" s="107" t="str">
        <f>_xll.ohRangeRetrieveError(F68)</f>
        <v/>
      </c>
      <c r="H68" s="143"/>
    </row>
    <row r="69" spans="1:8" x14ac:dyDescent="0.2">
      <c r="A69" s="149"/>
      <c r="B69" s="148">
        <v>67</v>
      </c>
      <c r="C69" s="147" t="b">
        <v>0</v>
      </c>
      <c r="D69" s="146" t="str">
        <v>M9</v>
      </c>
      <c r="E69" s="145" t="str">
        <f t="shared" si="2"/>
        <v>USDFUT1MM9_Quote</v>
      </c>
      <c r="F69" s="144" t="str">
        <f>_xll.qlSimpleQuote(E69,,PriceTickValue,Permanent,Trigger,ObjectOverwrite)</f>
        <v>USDFUT1MM9_Quote#0021</v>
      </c>
      <c r="G69" s="107" t="str">
        <f>_xll.ohRangeRetrieveError(F69)</f>
        <v/>
      </c>
      <c r="H69" s="143"/>
    </row>
    <row r="70" spans="1:8" x14ac:dyDescent="0.2">
      <c r="A70" s="149"/>
      <c r="B70" s="148">
        <v>68</v>
      </c>
      <c r="C70" s="147" t="b">
        <v>0</v>
      </c>
      <c r="D70" s="146" t="str">
        <v>N9</v>
      </c>
      <c r="E70" s="145" t="str">
        <f t="shared" si="2"/>
        <v>USDFUT1MN9_Quote</v>
      </c>
      <c r="F70" s="144" t="str">
        <f>_xll.qlSimpleQuote(E70,,PriceTickValue,Permanent,Trigger,ObjectOverwrite)</f>
        <v>USDFUT1MN9_Quote#0021</v>
      </c>
      <c r="G70" s="107" t="str">
        <f>_xll.ohRangeRetrieveError(F70)</f>
        <v/>
      </c>
      <c r="H70" s="143"/>
    </row>
    <row r="71" spans="1:8" x14ac:dyDescent="0.2">
      <c r="A71" s="149"/>
      <c r="B71" s="148">
        <v>69</v>
      </c>
      <c r="C71" s="147" t="b">
        <v>0</v>
      </c>
      <c r="D71" s="146" t="str">
        <v>Q9</v>
      </c>
      <c r="E71" s="145" t="str">
        <f t="shared" si="2"/>
        <v>USDFUT1MQ9_Quote</v>
      </c>
      <c r="F71" s="144" t="str">
        <f>_xll.qlSimpleQuote(E71,,PriceTickValue,Permanent,Trigger,ObjectOverwrite)</f>
        <v>USDFUT1MQ9_Quote#0021</v>
      </c>
      <c r="G71" s="107" t="str">
        <f>_xll.ohRangeRetrieveError(F71)</f>
        <v/>
      </c>
      <c r="H71" s="143"/>
    </row>
    <row r="72" spans="1:8" x14ac:dyDescent="0.2">
      <c r="A72" s="149"/>
      <c r="B72" s="148">
        <v>70</v>
      </c>
      <c r="C72" s="147" t="b">
        <v>0</v>
      </c>
      <c r="D72" s="146" t="str">
        <v>U9</v>
      </c>
      <c r="E72" s="145" t="str">
        <f t="shared" si="2"/>
        <v>USDFUT1MU9_Quote</v>
      </c>
      <c r="F72" s="144" t="str">
        <f>_xll.qlSimpleQuote(E72,,PriceTickValue,Permanent,Trigger,ObjectOverwrite)</f>
        <v>USDFUT1MU9_Quote#0021</v>
      </c>
      <c r="G72" s="107" t="str">
        <f>_xll.ohRangeRetrieveError(F72)</f>
        <v/>
      </c>
      <c r="H72" s="143"/>
    </row>
    <row r="73" spans="1:8" x14ac:dyDescent="0.2">
      <c r="A73" s="149"/>
      <c r="B73" s="148">
        <v>71</v>
      </c>
      <c r="C73" s="147" t="b">
        <v>0</v>
      </c>
      <c r="D73" s="146" t="str">
        <v>V9</v>
      </c>
      <c r="E73" s="145" t="str">
        <f t="shared" si="2"/>
        <v>USDFUT1MV9_Quote</v>
      </c>
      <c r="F73" s="144" t="str">
        <f>_xll.qlSimpleQuote(E73,,PriceTickValue,Permanent,Trigger,ObjectOverwrite)</f>
        <v>USDFUT1MV9_Quote#0021</v>
      </c>
      <c r="G73" s="107" t="str">
        <f>_xll.ohRangeRetrieveError(F73)</f>
        <v/>
      </c>
      <c r="H73" s="143"/>
    </row>
    <row r="74" spans="1:8" x14ac:dyDescent="0.2">
      <c r="A74" s="149"/>
      <c r="B74" s="148">
        <v>72</v>
      </c>
      <c r="C74" s="147" t="b">
        <v>0</v>
      </c>
      <c r="D74" s="146" t="str">
        <v>X9</v>
      </c>
      <c r="E74" s="145" t="str">
        <f t="shared" si="2"/>
        <v>USDFUT1MX9_Quote</v>
      </c>
      <c r="F74" s="144" t="str">
        <f>_xll.qlSimpleQuote(E74,,PriceTickValue,Permanent,Trigger,ObjectOverwrite)</f>
        <v>USDFUT1MX9_Quote#0021</v>
      </c>
      <c r="G74" s="107" t="str">
        <f>_xll.ohRangeRetrieveError(F74)</f>
        <v/>
      </c>
      <c r="H74" s="143"/>
    </row>
    <row r="75" spans="1:8" x14ac:dyDescent="0.2">
      <c r="A75" s="149"/>
      <c r="B75" s="148">
        <v>73</v>
      </c>
      <c r="C75" s="147" t="b">
        <v>0</v>
      </c>
      <c r="D75" s="146" t="str">
        <v>Z9</v>
      </c>
      <c r="E75" s="145" t="str">
        <f t="shared" si="2"/>
        <v>USDFUT1MZ9_Quote</v>
      </c>
      <c r="F75" s="144" t="str">
        <f>_xll.qlSimpleQuote(E75,,PriceTickValue,Permanent,Trigger,ObjectOverwrite)</f>
        <v>USDFUT1MZ9_Quote#0021</v>
      </c>
      <c r="G75" s="107" t="str">
        <f>_xll.ohRangeRetrieveError(F75)</f>
        <v/>
      </c>
      <c r="H75" s="143"/>
    </row>
    <row r="76" spans="1:8" x14ac:dyDescent="0.2">
      <c r="A76" s="149"/>
      <c r="B76" s="148">
        <v>74</v>
      </c>
      <c r="C76" s="147" t="b">
        <v>0</v>
      </c>
      <c r="D76" s="146" t="str">
        <v>F0</v>
      </c>
      <c r="E76" s="145" t="str">
        <f t="shared" si="2"/>
        <v>USDFUT1MF0_Quote</v>
      </c>
      <c r="F76" s="144" t="str">
        <f>_xll.qlSimpleQuote(E76,,PriceTickValue,Permanent,Trigger,ObjectOverwrite)</f>
        <v>USDFUT1MF0_Quote#0021</v>
      </c>
      <c r="G76" s="107" t="str">
        <f>_xll.ohRangeRetrieveError(F76)</f>
        <v/>
      </c>
      <c r="H76" s="143"/>
    </row>
    <row r="77" spans="1:8" x14ac:dyDescent="0.2">
      <c r="A77" s="149"/>
      <c r="B77" s="148">
        <v>75</v>
      </c>
      <c r="C77" s="147" t="b">
        <v>0</v>
      </c>
      <c r="D77" s="146" t="str">
        <v>G0</v>
      </c>
      <c r="E77" s="145" t="str">
        <f t="shared" si="2"/>
        <v>USDFUT1MG0_Quote</v>
      </c>
      <c r="F77" s="144" t="str">
        <f>_xll.qlSimpleQuote(E77,,PriceTickValue,Permanent,Trigger,ObjectOverwrite)</f>
        <v>USDFUT1MG0_Quote#0021</v>
      </c>
      <c r="G77" s="107" t="str">
        <f>_xll.ohRangeRetrieveError(F77)</f>
        <v/>
      </c>
      <c r="H77" s="143"/>
    </row>
    <row r="78" spans="1:8" x14ac:dyDescent="0.2">
      <c r="A78" s="149"/>
      <c r="B78" s="148">
        <v>76</v>
      </c>
      <c r="C78" s="147" t="b">
        <v>0</v>
      </c>
      <c r="D78" s="146" t="str">
        <v>H0</v>
      </c>
      <c r="E78" s="145" t="str">
        <f t="shared" si="2"/>
        <v>USDFUT1MH0_Quote</v>
      </c>
      <c r="F78" s="144" t="str">
        <f>_xll.qlSimpleQuote(E78,,PriceTickValue,Permanent,Trigger,ObjectOverwrite)</f>
        <v>USDFUT1MH0_Quote#0021</v>
      </c>
      <c r="G78" s="107" t="str">
        <f>_xll.ohRangeRetrieveError(F78)</f>
        <v/>
      </c>
      <c r="H78" s="143"/>
    </row>
    <row r="79" spans="1:8" x14ac:dyDescent="0.2">
      <c r="A79" s="149"/>
      <c r="B79" s="148">
        <v>77</v>
      </c>
      <c r="C79" s="147" t="b">
        <v>0</v>
      </c>
      <c r="D79" s="146" t="str">
        <v>J0</v>
      </c>
      <c r="E79" s="145" t="str">
        <f t="shared" si="2"/>
        <v>USDFUT1MJ0_Quote</v>
      </c>
      <c r="F79" s="144" t="str">
        <f>_xll.qlSimpleQuote(E79,,PriceTickValue,Permanent,Trigger,ObjectOverwrite)</f>
        <v>USDFUT1MJ0_Quote#0021</v>
      </c>
      <c r="G79" s="107" t="str">
        <f>_xll.ohRangeRetrieveError(F79)</f>
        <v/>
      </c>
      <c r="H79" s="143"/>
    </row>
    <row r="80" spans="1:8" x14ac:dyDescent="0.2">
      <c r="A80" s="149"/>
      <c r="B80" s="148">
        <v>78</v>
      </c>
      <c r="C80" s="147" t="b">
        <v>0</v>
      </c>
      <c r="D80" s="146" t="str">
        <v>K0</v>
      </c>
      <c r="E80" s="145" t="str">
        <f t="shared" si="2"/>
        <v>USDFUT1MK0_Quote</v>
      </c>
      <c r="F80" s="144" t="str">
        <f>_xll.qlSimpleQuote(E80,,PriceTickValue,Permanent,Trigger,ObjectOverwrite)</f>
        <v>USDFUT1MK0_Quote#0021</v>
      </c>
      <c r="G80" s="107" t="str">
        <f>_xll.ohRangeRetrieveError(F80)</f>
        <v/>
      </c>
      <c r="H80" s="143"/>
    </row>
    <row r="81" spans="1:8" x14ac:dyDescent="0.2">
      <c r="A81" s="149"/>
      <c r="B81" s="148">
        <v>79</v>
      </c>
      <c r="C81" s="147" t="b">
        <v>0</v>
      </c>
      <c r="D81" s="146" t="str">
        <v>M0</v>
      </c>
      <c r="E81" s="145" t="str">
        <f t="shared" si="2"/>
        <v>USDFUT1MM0_Quote</v>
      </c>
      <c r="F81" s="144" t="str">
        <f>_xll.qlSimpleQuote(E81,,PriceTickValue,Permanent,Trigger,ObjectOverwrite)</f>
        <v>USDFUT1MM0_Quote#0021</v>
      </c>
      <c r="G81" s="107" t="str">
        <f>_xll.ohRangeRetrieveError(F81)</f>
        <v/>
      </c>
      <c r="H81" s="143"/>
    </row>
    <row r="82" spans="1:8" x14ac:dyDescent="0.2">
      <c r="A82" s="149"/>
      <c r="B82" s="148">
        <v>80</v>
      </c>
      <c r="C82" s="147" t="b">
        <v>0</v>
      </c>
      <c r="D82" s="146" t="str">
        <v>N0</v>
      </c>
      <c r="E82" s="145" t="str">
        <f t="shared" si="2"/>
        <v>USDFUT1MN0_Quote</v>
      </c>
      <c r="F82" s="144" t="str">
        <f>_xll.qlSimpleQuote(E82,,PriceTickValue,Permanent,Trigger,ObjectOverwrite)</f>
        <v>USDFUT1MN0_Quote#0021</v>
      </c>
      <c r="G82" s="107" t="str">
        <f>_xll.ohRangeRetrieveError(F82)</f>
        <v/>
      </c>
      <c r="H82" s="143"/>
    </row>
    <row r="83" spans="1:8" x14ac:dyDescent="0.2">
      <c r="A83" s="149"/>
      <c r="B83" s="148">
        <v>81</v>
      </c>
      <c r="C83" s="147" t="b">
        <v>0</v>
      </c>
      <c r="D83" s="146" t="str">
        <v>Q0</v>
      </c>
      <c r="E83" s="145" t="str">
        <f t="shared" si="2"/>
        <v>USDFUT1MQ0_Quote</v>
      </c>
      <c r="F83" s="144" t="str">
        <f>_xll.qlSimpleQuote(E83,,PriceTickValue,Permanent,Trigger,ObjectOverwrite)</f>
        <v>USDFUT1MQ0_Quote#0021</v>
      </c>
      <c r="G83" s="107" t="str">
        <f>_xll.ohRangeRetrieveError(F83)</f>
        <v/>
      </c>
      <c r="H83" s="143"/>
    </row>
    <row r="84" spans="1:8" x14ac:dyDescent="0.2">
      <c r="A84" s="149"/>
      <c r="B84" s="148">
        <v>82</v>
      </c>
      <c r="C84" s="147" t="b">
        <v>0</v>
      </c>
      <c r="D84" s="146" t="str">
        <v>U0</v>
      </c>
      <c r="E84" s="145" t="str">
        <f t="shared" si="2"/>
        <v>USDFUT1MU0_Quote</v>
      </c>
      <c r="F84" s="144" t="str">
        <f>_xll.qlSimpleQuote(E84,,PriceTickValue,Permanent,Trigger,ObjectOverwrite)</f>
        <v>USDFUT1MU0_Quote#0021</v>
      </c>
      <c r="G84" s="107" t="str">
        <f>_xll.ohRangeRetrieveError(F84)</f>
        <v/>
      </c>
      <c r="H84" s="143"/>
    </row>
    <row r="85" spans="1:8" x14ac:dyDescent="0.2">
      <c r="A85" s="149"/>
      <c r="B85" s="148">
        <v>83</v>
      </c>
      <c r="C85" s="147" t="b">
        <v>0</v>
      </c>
      <c r="D85" s="146" t="str">
        <v>V0</v>
      </c>
      <c r="E85" s="145" t="str">
        <f t="shared" si="2"/>
        <v>USDFUT1MV0_Quote</v>
      </c>
      <c r="F85" s="144" t="str">
        <f>_xll.qlSimpleQuote(E85,,PriceTickValue,Permanent,Trigger,ObjectOverwrite)</f>
        <v>USDFUT1MV0_Quote#0021</v>
      </c>
      <c r="G85" s="107" t="str">
        <f>_xll.ohRangeRetrieveError(F85)</f>
        <v/>
      </c>
      <c r="H85" s="143"/>
    </row>
    <row r="86" spans="1:8" x14ac:dyDescent="0.2">
      <c r="A86" s="149"/>
      <c r="B86" s="148">
        <v>84</v>
      </c>
      <c r="C86" s="147" t="b">
        <v>0</v>
      </c>
      <c r="D86" s="146" t="str">
        <v>X0</v>
      </c>
      <c r="E86" s="145" t="str">
        <f t="shared" si="2"/>
        <v>USDFUT1MX0_Quote</v>
      </c>
      <c r="F86" s="144" t="str">
        <f>_xll.qlSimpleQuote(E86,,PriceTickValue,Permanent,Trigger,ObjectOverwrite)</f>
        <v>USDFUT1MX0_Quote#0021</v>
      </c>
      <c r="G86" s="107" t="str">
        <f>_xll.ohRangeRetrieveError(F86)</f>
        <v/>
      </c>
      <c r="H86" s="143"/>
    </row>
    <row r="87" spans="1:8" x14ac:dyDescent="0.2">
      <c r="A87" s="149"/>
      <c r="B87" s="148">
        <v>85</v>
      </c>
      <c r="C87" s="147" t="b">
        <v>0</v>
      </c>
      <c r="D87" s="146" t="str">
        <v>Z0</v>
      </c>
      <c r="E87" s="145" t="str">
        <f t="shared" si="2"/>
        <v>USDFUT1MZ0_Quote</v>
      </c>
      <c r="F87" s="144" t="str">
        <f>_xll.qlSimpleQuote(E87,,PriceTickValue,Permanent,Trigger,ObjectOverwrite)</f>
        <v>USDFUT1MZ0_Quote#0021</v>
      </c>
      <c r="G87" s="107" t="str">
        <f>_xll.ohRangeRetrieveError(F87)</f>
        <v/>
      </c>
      <c r="H87" s="143"/>
    </row>
    <row r="88" spans="1:8" x14ac:dyDescent="0.2">
      <c r="A88" s="149"/>
      <c r="B88" s="148">
        <v>86</v>
      </c>
      <c r="C88" s="147" t="b">
        <v>0</v>
      </c>
      <c r="D88" s="146" t="str">
        <v>F1</v>
      </c>
      <c r="E88" s="145" t="str">
        <f t="shared" si="2"/>
        <v>USDFUT1MF1_Quote</v>
      </c>
      <c r="F88" s="144" t="str">
        <f>_xll.qlSimpleQuote(E88,,PriceTickValue,Permanent,Trigger,ObjectOverwrite)</f>
        <v>USDFUT1MF1_Quote#0021</v>
      </c>
      <c r="G88" s="107" t="str">
        <f>_xll.ohRangeRetrieveError(F88)</f>
        <v/>
      </c>
      <c r="H88" s="143"/>
    </row>
    <row r="89" spans="1:8" x14ac:dyDescent="0.2">
      <c r="A89" s="149"/>
      <c r="B89" s="148">
        <v>87</v>
      </c>
      <c r="C89" s="147" t="b">
        <v>0</v>
      </c>
      <c r="D89" s="146" t="str">
        <v>G1</v>
      </c>
      <c r="E89" s="145" t="str">
        <f t="shared" si="2"/>
        <v>USDFUT1MG1_Quote</v>
      </c>
      <c r="F89" s="144" t="str">
        <f>_xll.qlSimpleQuote(E89,,PriceTickValue,Permanent,Trigger,ObjectOverwrite)</f>
        <v>USDFUT1MG1_Quote#0021</v>
      </c>
      <c r="G89" s="107" t="str">
        <f>_xll.ohRangeRetrieveError(F89)</f>
        <v/>
      </c>
      <c r="H89" s="143"/>
    </row>
    <row r="90" spans="1:8" x14ac:dyDescent="0.2">
      <c r="A90" s="149"/>
      <c r="B90" s="148">
        <v>88</v>
      </c>
      <c r="C90" s="147" t="b">
        <v>0</v>
      </c>
      <c r="D90" s="146" t="str">
        <v>H1</v>
      </c>
      <c r="E90" s="145" t="str">
        <f t="shared" si="2"/>
        <v>USDFUT1MH1_Quote</v>
      </c>
      <c r="F90" s="144" t="str">
        <f>_xll.qlSimpleQuote(E90,,PriceTickValue,Permanent,Trigger,ObjectOverwrite)</f>
        <v>USDFUT1MH1_Quote#0021</v>
      </c>
      <c r="G90" s="107" t="str">
        <f>_xll.ohRangeRetrieveError(F90)</f>
        <v/>
      </c>
      <c r="H90" s="143"/>
    </row>
    <row r="91" spans="1:8" x14ac:dyDescent="0.2">
      <c r="A91" s="149"/>
      <c r="B91" s="148">
        <v>89</v>
      </c>
      <c r="C91" s="147" t="b">
        <v>0</v>
      </c>
      <c r="D91" s="146" t="str">
        <v>J1</v>
      </c>
      <c r="E91" s="145" t="str">
        <f t="shared" si="2"/>
        <v>USDFUT1MJ1_Quote</v>
      </c>
      <c r="F91" s="144" t="str">
        <f>_xll.qlSimpleQuote(E91,,PriceTickValue,Permanent,Trigger,ObjectOverwrite)</f>
        <v>USDFUT1MJ1_Quote#0021</v>
      </c>
      <c r="G91" s="107" t="str">
        <f>_xll.ohRangeRetrieveError(F91)</f>
        <v/>
      </c>
      <c r="H91" s="143"/>
    </row>
    <row r="92" spans="1:8" x14ac:dyDescent="0.2">
      <c r="A92" s="149"/>
      <c r="B92" s="148">
        <v>90</v>
      </c>
      <c r="C92" s="147" t="b">
        <v>0</v>
      </c>
      <c r="D92" s="146" t="str">
        <v>K1</v>
      </c>
      <c r="E92" s="145" t="str">
        <f t="shared" si="2"/>
        <v>USDFUT1MK1_Quote</v>
      </c>
      <c r="F92" s="144" t="str">
        <f>_xll.qlSimpleQuote(E92,,PriceTickValue,Permanent,Trigger,ObjectOverwrite)</f>
        <v>USDFUT1MK1_Quote#0021</v>
      </c>
      <c r="G92" s="107" t="str">
        <f>_xll.ohRangeRetrieveError(F92)</f>
        <v/>
      </c>
      <c r="H92" s="143"/>
    </row>
    <row r="93" spans="1:8" x14ac:dyDescent="0.2">
      <c r="A93" s="149"/>
      <c r="B93" s="148">
        <v>91</v>
      </c>
      <c r="C93" s="147" t="b">
        <v>0</v>
      </c>
      <c r="D93" s="146" t="str">
        <v>M1</v>
      </c>
      <c r="E93" s="145" t="str">
        <f t="shared" si="2"/>
        <v>USDFUT1MM1_Quote</v>
      </c>
      <c r="F93" s="144" t="str">
        <f>_xll.qlSimpleQuote(E93,,PriceTickValue,Permanent,Trigger,ObjectOverwrite)</f>
        <v>USDFUT1MM1_Quote#0021</v>
      </c>
      <c r="G93" s="107" t="str">
        <f>_xll.ohRangeRetrieveError(F93)</f>
        <v/>
      </c>
      <c r="H93" s="143"/>
    </row>
    <row r="94" spans="1:8" x14ac:dyDescent="0.2">
      <c r="A94" s="149"/>
      <c r="B94" s="148">
        <v>92</v>
      </c>
      <c r="C94" s="147" t="b">
        <v>0</v>
      </c>
      <c r="D94" s="146" t="str">
        <v>N1</v>
      </c>
      <c r="E94" s="145" t="str">
        <f t="shared" si="2"/>
        <v>USDFUT1MN1_Quote</v>
      </c>
      <c r="F94" s="144" t="str">
        <f>_xll.qlSimpleQuote(E94,,PriceTickValue,Permanent,Trigger,ObjectOverwrite)</f>
        <v>USDFUT1MN1_Quote#0021</v>
      </c>
      <c r="G94" s="107" t="str">
        <f>_xll.ohRangeRetrieveError(F94)</f>
        <v/>
      </c>
      <c r="H94" s="143"/>
    </row>
    <row r="95" spans="1:8" x14ac:dyDescent="0.2">
      <c r="A95" s="149"/>
      <c r="B95" s="148">
        <v>93</v>
      </c>
      <c r="C95" s="147" t="b">
        <v>0</v>
      </c>
      <c r="D95" s="146" t="str">
        <v>Q1</v>
      </c>
      <c r="E95" s="145" t="str">
        <f t="shared" si="2"/>
        <v>USDFUT1MQ1_Quote</v>
      </c>
      <c r="F95" s="144" t="str">
        <f>_xll.qlSimpleQuote(E95,,PriceTickValue,Permanent,Trigger,ObjectOverwrite)</f>
        <v>USDFUT1MQ1_Quote#0021</v>
      </c>
      <c r="G95" s="107" t="str">
        <f>_xll.ohRangeRetrieveError(F95)</f>
        <v/>
      </c>
      <c r="H95" s="143"/>
    </row>
    <row r="96" spans="1:8" x14ac:dyDescent="0.2">
      <c r="A96" s="149"/>
      <c r="B96" s="148">
        <v>94</v>
      </c>
      <c r="C96" s="147" t="b">
        <v>0</v>
      </c>
      <c r="D96" s="146" t="str">
        <v>U1</v>
      </c>
      <c r="E96" s="145" t="str">
        <f t="shared" si="2"/>
        <v>USDFUT1MU1_Quote</v>
      </c>
      <c r="F96" s="144" t="str">
        <f>_xll.qlSimpleQuote(E96,,PriceTickValue,Permanent,Trigger,ObjectOverwrite)</f>
        <v>USDFUT1MU1_Quote#0021</v>
      </c>
      <c r="G96" s="107" t="str">
        <f>_xll.ohRangeRetrieveError(F96)</f>
        <v/>
      </c>
      <c r="H96" s="143"/>
    </row>
    <row r="97" spans="1:8" x14ac:dyDescent="0.2">
      <c r="A97" s="149"/>
      <c r="B97" s="148">
        <v>95</v>
      </c>
      <c r="C97" s="147" t="b">
        <v>0</v>
      </c>
      <c r="D97" s="146" t="str">
        <v>V1</v>
      </c>
      <c r="E97" s="145" t="str">
        <f t="shared" si="2"/>
        <v>USDFUT1MV1_Quote</v>
      </c>
      <c r="F97" s="144" t="str">
        <f>_xll.qlSimpleQuote(E97,,PriceTickValue,Permanent,Trigger,ObjectOverwrite)</f>
        <v>USDFUT1MV1_Quote#0021</v>
      </c>
      <c r="G97" s="107" t="str">
        <f>_xll.ohRangeRetrieveError(F97)</f>
        <v/>
      </c>
      <c r="H97" s="143"/>
    </row>
    <row r="98" spans="1:8" x14ac:dyDescent="0.2">
      <c r="A98" s="149"/>
      <c r="B98" s="148">
        <v>96</v>
      </c>
      <c r="C98" s="147" t="b">
        <v>0</v>
      </c>
      <c r="D98" s="146" t="str">
        <v>X1</v>
      </c>
      <c r="E98" s="145" t="str">
        <f t="shared" si="2"/>
        <v>USDFUT1MX1_Quote</v>
      </c>
      <c r="F98" s="144" t="str">
        <f>_xll.qlSimpleQuote(E98,,PriceTickValue,Permanent,Trigger,ObjectOverwrite)</f>
        <v>USDFUT1MX1_Quote#0021</v>
      </c>
      <c r="G98" s="107" t="str">
        <f>_xll.ohRangeRetrieveError(F98)</f>
        <v/>
      </c>
      <c r="H98" s="143"/>
    </row>
    <row r="99" spans="1:8" x14ac:dyDescent="0.2">
      <c r="A99" s="149"/>
      <c r="B99" s="148">
        <v>97</v>
      </c>
      <c r="C99" s="147" t="b">
        <v>0</v>
      </c>
      <c r="D99" s="146" t="str">
        <v>Z1</v>
      </c>
      <c r="E99" s="145" t="str">
        <f t="shared" ref="E99:E122" si="3">Currency&amp;$D$1&amp;$E$1&amp;$D99&amp;QuoteSuffix</f>
        <v>USDFUT1MZ1_Quote</v>
      </c>
      <c r="F99" s="144" t="str">
        <f>_xll.qlSimpleQuote(E99,,PriceTickValue,Permanent,Trigger,ObjectOverwrite)</f>
        <v>USDFUT1MZ1_Quote#0021</v>
      </c>
      <c r="G99" s="107" t="str">
        <f>_xll.ohRangeRetrieveError(F99)</f>
        <v/>
      </c>
      <c r="H99" s="143"/>
    </row>
    <row r="100" spans="1:8" x14ac:dyDescent="0.2">
      <c r="A100" s="149"/>
      <c r="B100" s="148">
        <v>98</v>
      </c>
      <c r="C100" s="147" t="b">
        <v>0</v>
      </c>
      <c r="D100" s="146" t="str">
        <v>F2</v>
      </c>
      <c r="E100" s="145" t="str">
        <f t="shared" si="3"/>
        <v>USDFUT1MF2_Quote</v>
      </c>
      <c r="F100" s="144" t="str">
        <f>_xll.qlSimpleQuote(E100,,PriceTickValue,Permanent,Trigger,ObjectOverwrite)</f>
        <v>USDFUT1MF2_Quote#0021</v>
      </c>
      <c r="G100" s="107" t="str">
        <f>_xll.ohRangeRetrieveError(F100)</f>
        <v/>
      </c>
      <c r="H100" s="143"/>
    </row>
    <row r="101" spans="1:8" x14ac:dyDescent="0.2">
      <c r="A101" s="149"/>
      <c r="B101" s="148">
        <v>99</v>
      </c>
      <c r="C101" s="147" t="b">
        <v>0</v>
      </c>
      <c r="D101" s="146" t="str">
        <v>G2</v>
      </c>
      <c r="E101" s="145" t="str">
        <f t="shared" si="3"/>
        <v>USDFUT1MG2_Quote</v>
      </c>
      <c r="F101" s="144" t="str">
        <f>_xll.qlSimpleQuote(E101,,PriceTickValue,Permanent,Trigger,ObjectOverwrite)</f>
        <v>USDFUT1MG2_Quote#0021</v>
      </c>
      <c r="G101" s="107" t="str">
        <f>_xll.ohRangeRetrieveError(F101)</f>
        <v/>
      </c>
      <c r="H101" s="143"/>
    </row>
    <row r="102" spans="1:8" x14ac:dyDescent="0.2">
      <c r="A102" s="149"/>
      <c r="B102" s="148">
        <v>100</v>
      </c>
      <c r="C102" s="147" t="b">
        <v>0</v>
      </c>
      <c r="D102" s="146" t="str">
        <v>H2</v>
      </c>
      <c r="E102" s="145" t="str">
        <f t="shared" si="3"/>
        <v>USDFUT1MH2_Quote</v>
      </c>
      <c r="F102" s="144" t="str">
        <f>_xll.qlSimpleQuote(E102,,PriceTickValue,Permanent,Trigger,ObjectOverwrite)</f>
        <v>USDFUT1MH2_Quote#0021</v>
      </c>
      <c r="G102" s="107" t="str">
        <f>_xll.ohRangeRetrieveError(F102)</f>
        <v/>
      </c>
      <c r="H102" s="143"/>
    </row>
    <row r="103" spans="1:8" x14ac:dyDescent="0.2">
      <c r="A103" s="149"/>
      <c r="B103" s="148">
        <v>101</v>
      </c>
      <c r="C103" s="147" t="b">
        <v>0</v>
      </c>
      <c r="D103" s="146" t="str">
        <v>J2</v>
      </c>
      <c r="E103" s="145" t="str">
        <f t="shared" si="3"/>
        <v>USDFUT1MJ2_Quote</v>
      </c>
      <c r="F103" s="144" t="str">
        <f>_xll.qlSimpleQuote(E103,,PriceTickValue,Permanent,Trigger,ObjectOverwrite)</f>
        <v>USDFUT1MJ2_Quote#0021</v>
      </c>
      <c r="G103" s="107" t="str">
        <f>_xll.ohRangeRetrieveError(F103)</f>
        <v/>
      </c>
      <c r="H103" s="143"/>
    </row>
    <row r="104" spans="1:8" x14ac:dyDescent="0.2">
      <c r="A104" s="149"/>
      <c r="B104" s="148">
        <v>102</v>
      </c>
      <c r="C104" s="147" t="b">
        <v>0</v>
      </c>
      <c r="D104" s="146" t="str">
        <v>K2</v>
      </c>
      <c r="E104" s="145" t="str">
        <f t="shared" si="3"/>
        <v>USDFUT1MK2_Quote</v>
      </c>
      <c r="F104" s="144" t="str">
        <f>_xll.qlSimpleQuote(E104,,PriceTickValue,Permanent,Trigger,ObjectOverwrite)</f>
        <v>USDFUT1MK2_Quote#0021</v>
      </c>
      <c r="G104" s="107" t="str">
        <f>_xll.ohRangeRetrieveError(F104)</f>
        <v/>
      </c>
      <c r="H104" s="143"/>
    </row>
    <row r="105" spans="1:8" x14ac:dyDescent="0.2">
      <c r="A105" s="149"/>
      <c r="B105" s="148">
        <v>103</v>
      </c>
      <c r="C105" s="147" t="b">
        <v>0</v>
      </c>
      <c r="D105" s="146" t="str">
        <v>M2</v>
      </c>
      <c r="E105" s="145" t="str">
        <f t="shared" si="3"/>
        <v>USDFUT1MM2_Quote</v>
      </c>
      <c r="F105" s="144" t="str">
        <f>_xll.qlSimpleQuote(E105,,PriceTickValue,Permanent,Trigger,ObjectOverwrite)</f>
        <v>USDFUT1MM2_Quote#0021</v>
      </c>
      <c r="G105" s="107" t="str">
        <f>_xll.ohRangeRetrieveError(F105)</f>
        <v/>
      </c>
      <c r="H105" s="143"/>
    </row>
    <row r="106" spans="1:8" x14ac:dyDescent="0.2">
      <c r="A106" s="149"/>
      <c r="B106" s="148">
        <v>104</v>
      </c>
      <c r="C106" s="147" t="b">
        <v>0</v>
      </c>
      <c r="D106" s="146" t="str">
        <v>N2</v>
      </c>
      <c r="E106" s="145" t="str">
        <f t="shared" si="3"/>
        <v>USDFUT1MN2_Quote</v>
      </c>
      <c r="F106" s="144" t="str">
        <f>_xll.qlSimpleQuote(E106,,PriceTickValue,Permanent,Trigger,ObjectOverwrite)</f>
        <v>USDFUT1MN2_Quote#0021</v>
      </c>
      <c r="G106" s="107" t="str">
        <f>_xll.ohRangeRetrieveError(F106)</f>
        <v/>
      </c>
      <c r="H106" s="143"/>
    </row>
    <row r="107" spans="1:8" x14ac:dyDescent="0.2">
      <c r="A107" s="149"/>
      <c r="B107" s="148">
        <v>105</v>
      </c>
      <c r="C107" s="147" t="b">
        <v>0</v>
      </c>
      <c r="D107" s="146" t="str">
        <v>Q2</v>
      </c>
      <c r="E107" s="145" t="str">
        <f t="shared" si="3"/>
        <v>USDFUT1MQ2_Quote</v>
      </c>
      <c r="F107" s="144" t="str">
        <f>_xll.qlSimpleQuote(E107,,PriceTickValue,Permanent,Trigger,ObjectOverwrite)</f>
        <v>USDFUT1MQ2_Quote#0021</v>
      </c>
      <c r="G107" s="107" t="str">
        <f>_xll.ohRangeRetrieveError(F107)</f>
        <v/>
      </c>
      <c r="H107" s="143"/>
    </row>
    <row r="108" spans="1:8" x14ac:dyDescent="0.2">
      <c r="A108" s="149"/>
      <c r="B108" s="148">
        <v>106</v>
      </c>
      <c r="C108" s="147" t="b">
        <v>0</v>
      </c>
      <c r="D108" s="146" t="str">
        <v>U2</v>
      </c>
      <c r="E108" s="145" t="str">
        <f t="shared" si="3"/>
        <v>USDFUT1MU2_Quote</v>
      </c>
      <c r="F108" s="144" t="str">
        <f>_xll.qlSimpleQuote(E108,,PriceTickValue,Permanent,Trigger,ObjectOverwrite)</f>
        <v>USDFUT1MU2_Quote#0021</v>
      </c>
      <c r="G108" s="107" t="str">
        <f>_xll.ohRangeRetrieveError(F108)</f>
        <v/>
      </c>
      <c r="H108" s="143"/>
    </row>
    <row r="109" spans="1:8" x14ac:dyDescent="0.2">
      <c r="A109" s="149"/>
      <c r="B109" s="148">
        <v>107</v>
      </c>
      <c r="C109" s="147" t="b">
        <v>0</v>
      </c>
      <c r="D109" s="146" t="str">
        <v>V2</v>
      </c>
      <c r="E109" s="145" t="str">
        <f t="shared" si="3"/>
        <v>USDFUT1MV2_Quote</v>
      </c>
      <c r="F109" s="144" t="str">
        <f>_xll.qlSimpleQuote(E109,,PriceTickValue,Permanent,Trigger,ObjectOverwrite)</f>
        <v>USDFUT1MV2_Quote#0021</v>
      </c>
      <c r="G109" s="107" t="str">
        <f>_xll.ohRangeRetrieveError(F109)</f>
        <v/>
      </c>
      <c r="H109" s="143"/>
    </row>
    <row r="110" spans="1:8" x14ac:dyDescent="0.2">
      <c r="A110" s="149"/>
      <c r="B110" s="148">
        <v>108</v>
      </c>
      <c r="C110" s="147" t="b">
        <v>0</v>
      </c>
      <c r="D110" s="146" t="str">
        <v>X2</v>
      </c>
      <c r="E110" s="145" t="str">
        <f t="shared" si="3"/>
        <v>USDFUT1MX2_Quote</v>
      </c>
      <c r="F110" s="144" t="str">
        <f>_xll.qlSimpleQuote(E110,,PriceTickValue,Permanent,Trigger,ObjectOverwrite)</f>
        <v>USDFUT1MX2_Quote#0021</v>
      </c>
      <c r="G110" s="107" t="str">
        <f>_xll.ohRangeRetrieveError(F110)</f>
        <v/>
      </c>
      <c r="H110" s="143"/>
    </row>
    <row r="111" spans="1:8" x14ac:dyDescent="0.2">
      <c r="A111" s="149"/>
      <c r="B111" s="148">
        <v>109</v>
      </c>
      <c r="C111" s="147" t="b">
        <v>0</v>
      </c>
      <c r="D111" s="146" t="str">
        <v>Z2</v>
      </c>
      <c r="E111" s="145" t="str">
        <f t="shared" si="3"/>
        <v>USDFUT1MZ2_Quote</v>
      </c>
      <c r="F111" s="144" t="str">
        <f>_xll.qlSimpleQuote(E111,,PriceTickValue,Permanent,Trigger,ObjectOverwrite)</f>
        <v>USDFUT1MZ2_Quote#0021</v>
      </c>
      <c r="G111" s="107" t="str">
        <f>_xll.ohRangeRetrieveError(F111)</f>
        <v/>
      </c>
      <c r="H111" s="143"/>
    </row>
    <row r="112" spans="1:8" x14ac:dyDescent="0.2">
      <c r="A112" s="149"/>
      <c r="B112" s="148">
        <v>110</v>
      </c>
      <c r="C112" s="147" t="b">
        <v>0</v>
      </c>
      <c r="D112" s="146" t="str">
        <v>F3</v>
      </c>
      <c r="E112" s="145" t="str">
        <f t="shared" si="3"/>
        <v>USDFUT1MF3_Quote</v>
      </c>
      <c r="F112" s="144" t="str">
        <f>_xll.qlSimpleQuote(E112,,PriceTickValue,Permanent,Trigger,ObjectOverwrite)</f>
        <v>USDFUT1MF3_Quote#0021</v>
      </c>
      <c r="G112" s="107" t="str">
        <f>_xll.ohRangeRetrieveError(F112)</f>
        <v/>
      </c>
      <c r="H112" s="143"/>
    </row>
    <row r="113" spans="1:8" x14ac:dyDescent="0.2">
      <c r="A113" s="149"/>
      <c r="B113" s="148">
        <v>111</v>
      </c>
      <c r="C113" s="147" t="b">
        <v>0</v>
      </c>
      <c r="D113" s="146" t="str">
        <v>G3</v>
      </c>
      <c r="E113" s="145" t="str">
        <f t="shared" si="3"/>
        <v>USDFUT1MG3_Quote</v>
      </c>
      <c r="F113" s="144" t="str">
        <f>_xll.qlSimpleQuote(E113,,PriceTickValue,Permanent,Trigger,ObjectOverwrite)</f>
        <v>USDFUT1MG3_Quote#0021</v>
      </c>
      <c r="G113" s="107" t="str">
        <f>_xll.ohRangeRetrieveError(F113)</f>
        <v/>
      </c>
      <c r="H113" s="143"/>
    </row>
    <row r="114" spans="1:8" x14ac:dyDescent="0.2">
      <c r="A114" s="149"/>
      <c r="B114" s="148">
        <v>112</v>
      </c>
      <c r="C114" s="147" t="b">
        <v>0</v>
      </c>
      <c r="D114" s="146" t="str">
        <v>H3</v>
      </c>
      <c r="E114" s="145" t="str">
        <f t="shared" si="3"/>
        <v>USDFUT1MH3_Quote</v>
      </c>
      <c r="F114" s="144" t="str">
        <f>_xll.qlSimpleQuote(E114,,PriceTickValue,Permanent,Trigger,ObjectOverwrite)</f>
        <v>USDFUT1MH3_Quote#0021</v>
      </c>
      <c r="G114" s="107" t="str">
        <f>_xll.ohRangeRetrieveError(F114)</f>
        <v/>
      </c>
      <c r="H114" s="143"/>
    </row>
    <row r="115" spans="1:8" x14ac:dyDescent="0.2">
      <c r="A115" s="149"/>
      <c r="B115" s="148">
        <v>113</v>
      </c>
      <c r="C115" s="147" t="b">
        <v>0</v>
      </c>
      <c r="D115" s="146" t="str">
        <v>J3</v>
      </c>
      <c r="E115" s="145" t="str">
        <f t="shared" si="3"/>
        <v>USDFUT1MJ3_Quote</v>
      </c>
      <c r="F115" s="144" t="str">
        <f>_xll.qlSimpleQuote(E115,,PriceTickValue,Permanent,Trigger,ObjectOverwrite)</f>
        <v>USDFUT1MJ3_Quote#0021</v>
      </c>
      <c r="G115" s="107" t="str">
        <f>_xll.ohRangeRetrieveError(F115)</f>
        <v/>
      </c>
      <c r="H115" s="143"/>
    </row>
    <row r="116" spans="1:8" x14ac:dyDescent="0.2">
      <c r="A116" s="149"/>
      <c r="B116" s="148">
        <v>114</v>
      </c>
      <c r="C116" s="147" t="b">
        <v>0</v>
      </c>
      <c r="D116" s="146" t="str">
        <v>K3</v>
      </c>
      <c r="E116" s="145" t="str">
        <f t="shared" si="3"/>
        <v>USDFUT1MK3_Quote</v>
      </c>
      <c r="F116" s="144" t="str">
        <f>_xll.qlSimpleQuote(E116,,PriceTickValue,Permanent,Trigger,ObjectOverwrite)</f>
        <v>USDFUT1MK3_Quote#0021</v>
      </c>
      <c r="G116" s="107" t="str">
        <f>_xll.ohRangeRetrieveError(F116)</f>
        <v/>
      </c>
      <c r="H116" s="143"/>
    </row>
    <row r="117" spans="1:8" x14ac:dyDescent="0.2">
      <c r="A117" s="149"/>
      <c r="B117" s="148">
        <v>115</v>
      </c>
      <c r="C117" s="147" t="b">
        <v>0</v>
      </c>
      <c r="D117" s="146" t="str">
        <v>M3</v>
      </c>
      <c r="E117" s="145" t="str">
        <f t="shared" si="3"/>
        <v>USDFUT1MM3_Quote</v>
      </c>
      <c r="F117" s="144" t="str">
        <f>_xll.qlSimpleQuote(E117,,PriceTickValue,Permanent,Trigger,ObjectOverwrite)</f>
        <v>USDFUT1MM3_Quote#0021</v>
      </c>
      <c r="G117" s="107" t="str">
        <f>_xll.ohRangeRetrieveError(F117)</f>
        <v/>
      </c>
      <c r="H117" s="143"/>
    </row>
    <row r="118" spans="1:8" x14ac:dyDescent="0.2">
      <c r="A118" s="149"/>
      <c r="B118" s="148">
        <v>116</v>
      </c>
      <c r="C118" s="147" t="b">
        <v>0</v>
      </c>
      <c r="D118" s="146" t="str">
        <v>N3</v>
      </c>
      <c r="E118" s="145" t="str">
        <f t="shared" si="3"/>
        <v>USDFUT1MN3_Quote</v>
      </c>
      <c r="F118" s="144" t="str">
        <f>_xll.qlSimpleQuote(E118,,PriceTickValue,Permanent,Trigger,ObjectOverwrite)</f>
        <v>USDFUT1MN3_Quote#0021</v>
      </c>
      <c r="G118" s="107" t="str">
        <f>_xll.ohRangeRetrieveError(F118)</f>
        <v/>
      </c>
      <c r="H118" s="143"/>
    </row>
    <row r="119" spans="1:8" x14ac:dyDescent="0.2">
      <c r="A119" s="149"/>
      <c r="B119" s="148">
        <v>117</v>
      </c>
      <c r="C119" s="147" t="b">
        <v>0</v>
      </c>
      <c r="D119" s="146" t="str">
        <v>Q3</v>
      </c>
      <c r="E119" s="145" t="str">
        <f t="shared" si="3"/>
        <v>USDFUT1MQ3_Quote</v>
      </c>
      <c r="F119" s="144" t="str">
        <f>_xll.qlSimpleQuote(E119,,PriceTickValue,Permanent,Trigger,ObjectOverwrite)</f>
        <v>USDFUT1MQ3_Quote#0021</v>
      </c>
      <c r="G119" s="107" t="str">
        <f>_xll.ohRangeRetrieveError(F119)</f>
        <v/>
      </c>
      <c r="H119" s="143"/>
    </row>
    <row r="120" spans="1:8" x14ac:dyDescent="0.2">
      <c r="A120" s="149"/>
      <c r="B120" s="148">
        <v>118</v>
      </c>
      <c r="C120" s="147" t="b">
        <v>0</v>
      </c>
      <c r="D120" s="146" t="str">
        <v>U3</v>
      </c>
      <c r="E120" s="145" t="str">
        <f t="shared" si="3"/>
        <v>USDFUT1MU3_Quote</v>
      </c>
      <c r="F120" s="144" t="str">
        <f>_xll.qlSimpleQuote(E120,,PriceTickValue,Permanent,Trigger,ObjectOverwrite)</f>
        <v>USDFUT1MU3_Quote#0021</v>
      </c>
      <c r="G120" s="107" t="str">
        <f>_xll.ohRangeRetrieveError(F120)</f>
        <v/>
      </c>
      <c r="H120" s="143"/>
    </row>
    <row r="121" spans="1:8" x14ac:dyDescent="0.2">
      <c r="A121" s="149"/>
      <c r="B121" s="148">
        <v>119</v>
      </c>
      <c r="C121" s="147" t="b">
        <v>0</v>
      </c>
      <c r="D121" s="146" t="str">
        <v>V3</v>
      </c>
      <c r="E121" s="145" t="str">
        <f t="shared" si="3"/>
        <v>USDFUT1MV3_Quote</v>
      </c>
      <c r="F121" s="144" t="str">
        <f>_xll.qlSimpleQuote(E121,,PriceTickValue,Permanent,Trigger,ObjectOverwrite)</f>
        <v>USDFUT1MV3_Quote#0021</v>
      </c>
      <c r="G121" s="107" t="str">
        <f>_xll.ohRangeRetrieveError(F121)</f>
        <v/>
      </c>
      <c r="H121" s="143"/>
    </row>
    <row r="122" spans="1:8" x14ac:dyDescent="0.2">
      <c r="A122" s="149"/>
      <c r="B122" s="148">
        <v>120</v>
      </c>
      <c r="C122" s="147" t="b">
        <v>0</v>
      </c>
      <c r="D122" s="146" t="str">
        <v>X3</v>
      </c>
      <c r="E122" s="145" t="str">
        <f t="shared" si="3"/>
        <v>USDFUT1MX3_Quote</v>
      </c>
      <c r="F122" s="144" t="str">
        <f>_xll.qlSimpleQuote(E122,,PriceTickValue,Permanent,Trigger,ObjectOverwrite)</f>
        <v>USDFUT1MX3_Quote#0021</v>
      </c>
      <c r="G122" s="107" t="str">
        <f>_xll.ohRangeRetrieveError(F122)</f>
        <v/>
      </c>
      <c r="H122" s="143"/>
    </row>
    <row r="123" spans="1:8" ht="12" thickBot="1" x14ac:dyDescent="0.25">
      <c r="A123" s="142"/>
      <c r="B123" s="141"/>
      <c r="C123" s="141"/>
      <c r="D123" s="141"/>
      <c r="E123" s="141"/>
      <c r="F123" s="141"/>
      <c r="G123" s="141"/>
      <c r="H123" s="140"/>
    </row>
  </sheetData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23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6.140625" style="105" bestFit="1" customWidth="1"/>
    <col min="5" max="5" width="19.140625" style="105" bestFit="1" customWidth="1"/>
    <col min="6" max="6" width="20.140625" style="105" bestFit="1" customWidth="1"/>
    <col min="7" max="7" width="33.85546875" style="105" customWidth="1"/>
    <col min="8" max="8" width="4.5703125" style="105" customWidth="1"/>
    <col min="9" max="16384" width="9.140625" style="105"/>
  </cols>
  <sheetData>
    <row r="1" spans="1:8" x14ac:dyDescent="0.2">
      <c r="A1" s="160" t="s">
        <v>186</v>
      </c>
      <c r="B1" s="159"/>
      <c r="C1" s="159"/>
      <c r="D1" s="158" t="s">
        <v>184</v>
      </c>
      <c r="E1" s="158" t="s">
        <v>38</v>
      </c>
      <c r="F1" s="157"/>
      <c r="G1" s="157"/>
      <c r="H1" s="156"/>
    </row>
    <row r="2" spans="1:8" ht="22.5" x14ac:dyDescent="0.2">
      <c r="A2" s="155"/>
      <c r="B2" s="94" t="s">
        <v>183</v>
      </c>
      <c r="C2" s="95" t="s">
        <v>182</v>
      </c>
      <c r="D2" s="95" t="s">
        <v>181</v>
      </c>
      <c r="E2" s="93" t="str">
        <f>Currency&amp;"_010_"&amp;$D$1&amp;$E$1&amp;".xml"</f>
        <v>USD_010_FUT3M.xml</v>
      </c>
      <c r="F2" s="92">
        <f ca="1">IF(Serialize,_xll.ohObjectSave(F3:F122,SerializationPath&amp;E2,FileOverwrite,Serialize),"---")</f>
        <v>120</v>
      </c>
      <c r="G2" s="110" t="str">
        <f ca="1">_xll.ohRangeRetrieveError(F2)</f>
        <v/>
      </c>
      <c r="H2" s="143"/>
    </row>
    <row r="3" spans="1:8" x14ac:dyDescent="0.2">
      <c r="A3" s="149"/>
      <c r="B3" s="154">
        <v>1</v>
      </c>
      <c r="C3" s="153" t="b">
        <v>0</v>
      </c>
      <c r="D3" s="152" t="str">
        <f t="array" ref="D3:D122">_xll.qlIMMNextCodes(_xll.qlSettingsEvaluationDate(Trigger)-1,$C3:$C122)</f>
        <v>Z3</v>
      </c>
      <c r="E3" s="145" t="str">
        <f t="shared" ref="E3:E34" si="0">Currency&amp;$D$1&amp;$E$1&amp;$D3&amp;QuoteSuffix</f>
        <v>USDFUT3MZ3_Quote</v>
      </c>
      <c r="F3" s="151" t="str">
        <f>_xll.qlSimpleQuote(E3,,PriceTickValue,Permanent,Trigger,ObjectOverwrite)</f>
        <v>USDFUT3MZ3_Quote#0021</v>
      </c>
      <c r="G3" s="150" t="str">
        <f>_xll.ohRangeRetrieveError(F3)</f>
        <v/>
      </c>
      <c r="H3" s="143"/>
    </row>
    <row r="4" spans="1:8" x14ac:dyDescent="0.2">
      <c r="A4" s="149"/>
      <c r="B4" s="148">
        <v>2</v>
      </c>
      <c r="C4" s="147" t="b">
        <v>0</v>
      </c>
      <c r="D4" s="146" t="str">
        <v>F4</v>
      </c>
      <c r="E4" s="145" t="str">
        <f t="shared" si="0"/>
        <v>USDFUT3MF4_Quote</v>
      </c>
      <c r="F4" s="144" t="str">
        <f>_xll.qlSimpleQuote(E4,,PriceTickValue,Permanent,Trigger,ObjectOverwrite)</f>
        <v>USDFUT3MF4_Quote#0021</v>
      </c>
      <c r="G4" s="107" t="str">
        <f>_xll.ohRangeRetrieveError(F4)</f>
        <v/>
      </c>
      <c r="H4" s="143"/>
    </row>
    <row r="5" spans="1:8" x14ac:dyDescent="0.2">
      <c r="A5" s="149"/>
      <c r="B5" s="148">
        <v>3</v>
      </c>
      <c r="C5" s="147" t="b">
        <v>0</v>
      </c>
      <c r="D5" s="146" t="str">
        <v>G4</v>
      </c>
      <c r="E5" s="145" t="str">
        <f t="shared" si="0"/>
        <v>USDFUT3MG4_Quote</v>
      </c>
      <c r="F5" s="144" t="str">
        <f>_xll.qlSimpleQuote(E5,,PriceTickValue,Permanent,Trigger,ObjectOverwrite)</f>
        <v>USDFUT3MG4_Quote#0021</v>
      </c>
      <c r="G5" s="107" t="str">
        <f>_xll.ohRangeRetrieveError(F5)</f>
        <v/>
      </c>
      <c r="H5" s="143"/>
    </row>
    <row r="6" spans="1:8" x14ac:dyDescent="0.2">
      <c r="A6" s="149"/>
      <c r="B6" s="148">
        <v>4</v>
      </c>
      <c r="C6" s="147" t="b">
        <v>0</v>
      </c>
      <c r="D6" s="146" t="str">
        <v>H4</v>
      </c>
      <c r="E6" s="145" t="str">
        <f t="shared" si="0"/>
        <v>USDFUT3MH4_Quote</v>
      </c>
      <c r="F6" s="144" t="str">
        <f>_xll.qlSimpleQuote(E6,,PriceTickValue,Permanent,Trigger,ObjectOverwrite)</f>
        <v>USDFUT3MH4_Quote#0021</v>
      </c>
      <c r="G6" s="107" t="str">
        <f>_xll.ohRangeRetrieveError(F6)</f>
        <v/>
      </c>
      <c r="H6" s="143"/>
    </row>
    <row r="7" spans="1:8" x14ac:dyDescent="0.2">
      <c r="A7" s="149"/>
      <c r="B7" s="148">
        <v>5</v>
      </c>
      <c r="C7" s="147" t="b">
        <v>0</v>
      </c>
      <c r="D7" s="146" t="str">
        <v>J4</v>
      </c>
      <c r="E7" s="145" t="str">
        <f t="shared" si="0"/>
        <v>USDFUT3MJ4_Quote</v>
      </c>
      <c r="F7" s="144" t="str">
        <f>_xll.qlSimpleQuote(E7,,PriceTickValue,Permanent,Trigger,ObjectOverwrite)</f>
        <v>USDFUT3MJ4_Quote#0021</v>
      </c>
      <c r="G7" s="107" t="str">
        <f>_xll.ohRangeRetrieveError(F7)</f>
        <v/>
      </c>
      <c r="H7" s="143"/>
    </row>
    <row r="8" spans="1:8" x14ac:dyDescent="0.2">
      <c r="A8" s="149"/>
      <c r="B8" s="148">
        <v>6</v>
      </c>
      <c r="C8" s="147" t="b">
        <v>0</v>
      </c>
      <c r="D8" s="146" t="str">
        <v>K4</v>
      </c>
      <c r="E8" s="145" t="str">
        <f t="shared" si="0"/>
        <v>USDFUT3MK4_Quote</v>
      </c>
      <c r="F8" s="144" t="str">
        <f>_xll.qlSimpleQuote(E8,,PriceTickValue,Permanent,Trigger,ObjectOverwrite)</f>
        <v>USDFUT3MK4_Quote#0021</v>
      </c>
      <c r="G8" s="107" t="str">
        <f>_xll.ohRangeRetrieveError(F8)</f>
        <v/>
      </c>
      <c r="H8" s="143"/>
    </row>
    <row r="9" spans="1:8" x14ac:dyDescent="0.2">
      <c r="A9" s="149"/>
      <c r="B9" s="148">
        <v>7</v>
      </c>
      <c r="C9" s="147" t="b">
        <v>0</v>
      </c>
      <c r="D9" s="146" t="str">
        <v>M4</v>
      </c>
      <c r="E9" s="145" t="str">
        <f t="shared" si="0"/>
        <v>USDFUT3MM4_Quote</v>
      </c>
      <c r="F9" s="144" t="str">
        <f>_xll.qlSimpleQuote(E9,,PriceTickValue,Permanent,Trigger,ObjectOverwrite)</f>
        <v>USDFUT3MM4_Quote#0021</v>
      </c>
      <c r="G9" s="107" t="str">
        <f>_xll.ohRangeRetrieveError(F9)</f>
        <v/>
      </c>
      <c r="H9" s="143"/>
    </row>
    <row r="10" spans="1:8" x14ac:dyDescent="0.2">
      <c r="A10" s="149"/>
      <c r="B10" s="148">
        <v>8</v>
      </c>
      <c r="C10" s="147" t="b">
        <v>0</v>
      </c>
      <c r="D10" s="146" t="str">
        <v>N4</v>
      </c>
      <c r="E10" s="145" t="str">
        <f t="shared" si="0"/>
        <v>USDFUT3MN4_Quote</v>
      </c>
      <c r="F10" s="144" t="str">
        <f>_xll.qlSimpleQuote(E10,,PriceTickValue,Permanent,Trigger,ObjectOverwrite)</f>
        <v>USDFUT3MN4_Quote#0021</v>
      </c>
      <c r="G10" s="107" t="str">
        <f>_xll.ohRangeRetrieveError(F10)</f>
        <v/>
      </c>
      <c r="H10" s="143"/>
    </row>
    <row r="11" spans="1:8" x14ac:dyDescent="0.2">
      <c r="A11" s="149"/>
      <c r="B11" s="148">
        <v>9</v>
      </c>
      <c r="C11" s="147" t="b">
        <v>0</v>
      </c>
      <c r="D11" s="146" t="str">
        <v>Q4</v>
      </c>
      <c r="E11" s="145" t="str">
        <f t="shared" si="0"/>
        <v>USDFUT3MQ4_Quote</v>
      </c>
      <c r="F11" s="144" t="str">
        <f>_xll.qlSimpleQuote(E11,,PriceTickValue,Permanent,Trigger,ObjectOverwrite)</f>
        <v>USDFUT3MQ4_Quote#0021</v>
      </c>
      <c r="G11" s="107" t="str">
        <f>_xll.ohRangeRetrieveError(F11)</f>
        <v/>
      </c>
      <c r="H11" s="143"/>
    </row>
    <row r="12" spans="1:8" x14ac:dyDescent="0.2">
      <c r="A12" s="149"/>
      <c r="B12" s="148">
        <v>10</v>
      </c>
      <c r="C12" s="147" t="b">
        <v>0</v>
      </c>
      <c r="D12" s="146" t="str">
        <v>U4</v>
      </c>
      <c r="E12" s="145" t="str">
        <f t="shared" si="0"/>
        <v>USDFUT3MU4_Quote</v>
      </c>
      <c r="F12" s="144" t="str">
        <f>_xll.qlSimpleQuote(E12,,PriceTickValue,Permanent,Trigger,ObjectOverwrite)</f>
        <v>USDFUT3MU4_Quote#0021</v>
      </c>
      <c r="G12" s="107" t="str">
        <f>_xll.ohRangeRetrieveError(F12)</f>
        <v/>
      </c>
      <c r="H12" s="143"/>
    </row>
    <row r="13" spans="1:8" x14ac:dyDescent="0.2">
      <c r="A13" s="149"/>
      <c r="B13" s="148">
        <v>11</v>
      </c>
      <c r="C13" s="147" t="b">
        <v>0</v>
      </c>
      <c r="D13" s="146" t="str">
        <v>V4</v>
      </c>
      <c r="E13" s="145" t="str">
        <f t="shared" si="0"/>
        <v>USDFUT3MV4_Quote</v>
      </c>
      <c r="F13" s="144" t="str">
        <f>_xll.qlSimpleQuote(E13,,PriceTickValue,Permanent,Trigger,ObjectOverwrite)</f>
        <v>USDFUT3MV4_Quote#0021</v>
      </c>
      <c r="G13" s="107" t="str">
        <f>_xll.ohRangeRetrieveError(F13)</f>
        <v/>
      </c>
      <c r="H13" s="143"/>
    </row>
    <row r="14" spans="1:8" x14ac:dyDescent="0.2">
      <c r="A14" s="149"/>
      <c r="B14" s="148">
        <v>12</v>
      </c>
      <c r="C14" s="147" t="b">
        <v>0</v>
      </c>
      <c r="D14" s="146" t="str">
        <v>X4</v>
      </c>
      <c r="E14" s="145" t="str">
        <f t="shared" si="0"/>
        <v>USDFUT3MX4_Quote</v>
      </c>
      <c r="F14" s="144" t="str">
        <f>_xll.qlSimpleQuote(E14,,PriceTickValue,Permanent,Trigger,ObjectOverwrite)</f>
        <v>USDFUT3MX4_Quote#0021</v>
      </c>
      <c r="G14" s="107" t="str">
        <f>_xll.ohRangeRetrieveError(F14)</f>
        <v/>
      </c>
      <c r="H14" s="143"/>
    </row>
    <row r="15" spans="1:8" x14ac:dyDescent="0.2">
      <c r="A15" s="149"/>
      <c r="B15" s="148">
        <v>13</v>
      </c>
      <c r="C15" s="147" t="b">
        <v>0</v>
      </c>
      <c r="D15" s="146" t="str">
        <v>Z4</v>
      </c>
      <c r="E15" s="145" t="str">
        <f t="shared" si="0"/>
        <v>USDFUT3MZ4_Quote</v>
      </c>
      <c r="F15" s="144" t="str">
        <f>_xll.qlSimpleQuote(E15,,PriceTickValue,Permanent,Trigger,ObjectOverwrite)</f>
        <v>USDFUT3MZ4_Quote#0021</v>
      </c>
      <c r="G15" s="107" t="str">
        <f>_xll.ohRangeRetrieveError(F15)</f>
        <v/>
      </c>
      <c r="H15" s="143"/>
    </row>
    <row r="16" spans="1:8" x14ac:dyDescent="0.2">
      <c r="A16" s="149"/>
      <c r="B16" s="148">
        <v>14</v>
      </c>
      <c r="C16" s="147" t="b">
        <v>0</v>
      </c>
      <c r="D16" s="146" t="str">
        <v>F5</v>
      </c>
      <c r="E16" s="145" t="str">
        <f t="shared" si="0"/>
        <v>USDFUT3MF5_Quote</v>
      </c>
      <c r="F16" s="144" t="str">
        <f>_xll.qlSimpleQuote(E16,,PriceTickValue,Permanent,Trigger,ObjectOverwrite)</f>
        <v>USDFUT3MF5_Quote#0021</v>
      </c>
      <c r="G16" s="107" t="str">
        <f>_xll.ohRangeRetrieveError(F16)</f>
        <v/>
      </c>
      <c r="H16" s="143"/>
    </row>
    <row r="17" spans="1:8" x14ac:dyDescent="0.2">
      <c r="A17" s="149"/>
      <c r="B17" s="148">
        <v>15</v>
      </c>
      <c r="C17" s="147" t="b">
        <v>0</v>
      </c>
      <c r="D17" s="146" t="str">
        <v>G5</v>
      </c>
      <c r="E17" s="145" t="str">
        <f t="shared" si="0"/>
        <v>USDFUT3MG5_Quote</v>
      </c>
      <c r="F17" s="144" t="str">
        <f>_xll.qlSimpleQuote(E17,,PriceTickValue,Permanent,Trigger,ObjectOverwrite)</f>
        <v>USDFUT3MG5_Quote#0021</v>
      </c>
      <c r="G17" s="107" t="str">
        <f>_xll.ohRangeRetrieveError(F17)</f>
        <v/>
      </c>
      <c r="H17" s="143"/>
    </row>
    <row r="18" spans="1:8" x14ac:dyDescent="0.2">
      <c r="A18" s="149"/>
      <c r="B18" s="148">
        <v>16</v>
      </c>
      <c r="C18" s="147" t="b">
        <v>0</v>
      </c>
      <c r="D18" s="146" t="str">
        <v>H5</v>
      </c>
      <c r="E18" s="145" t="str">
        <f t="shared" si="0"/>
        <v>USDFUT3MH5_Quote</v>
      </c>
      <c r="F18" s="144" t="str">
        <f>_xll.qlSimpleQuote(E18,,PriceTickValue,Permanent,Trigger,ObjectOverwrite)</f>
        <v>USDFUT3MH5_Quote#0021</v>
      </c>
      <c r="G18" s="107" t="str">
        <f>_xll.ohRangeRetrieveError(F18)</f>
        <v/>
      </c>
      <c r="H18" s="143"/>
    </row>
    <row r="19" spans="1:8" x14ac:dyDescent="0.2">
      <c r="A19" s="149"/>
      <c r="B19" s="148">
        <v>17</v>
      </c>
      <c r="C19" s="147" t="b">
        <v>0</v>
      </c>
      <c r="D19" s="146" t="str">
        <v>J5</v>
      </c>
      <c r="E19" s="145" t="str">
        <f t="shared" si="0"/>
        <v>USDFUT3MJ5_Quote</v>
      </c>
      <c r="F19" s="144" t="str">
        <f>_xll.qlSimpleQuote(E19,,PriceTickValue,Permanent,Trigger,ObjectOverwrite)</f>
        <v>USDFUT3MJ5_Quote#0021</v>
      </c>
      <c r="G19" s="107" t="str">
        <f>_xll.ohRangeRetrieveError(F19)</f>
        <v/>
      </c>
      <c r="H19" s="143"/>
    </row>
    <row r="20" spans="1:8" x14ac:dyDescent="0.2">
      <c r="A20" s="149"/>
      <c r="B20" s="148">
        <v>18</v>
      </c>
      <c r="C20" s="147" t="b">
        <v>0</v>
      </c>
      <c r="D20" s="146" t="str">
        <v>K5</v>
      </c>
      <c r="E20" s="145" t="str">
        <f t="shared" si="0"/>
        <v>USDFUT3MK5_Quote</v>
      </c>
      <c r="F20" s="144" t="str">
        <f>_xll.qlSimpleQuote(E20,,PriceTickValue,Permanent,Trigger,ObjectOverwrite)</f>
        <v>USDFUT3MK5_Quote#0021</v>
      </c>
      <c r="G20" s="107" t="str">
        <f>_xll.ohRangeRetrieveError(F20)</f>
        <v/>
      </c>
      <c r="H20" s="143"/>
    </row>
    <row r="21" spans="1:8" x14ac:dyDescent="0.2">
      <c r="A21" s="149"/>
      <c r="B21" s="148">
        <v>19</v>
      </c>
      <c r="C21" s="147" t="b">
        <v>0</v>
      </c>
      <c r="D21" s="146" t="str">
        <v>M5</v>
      </c>
      <c r="E21" s="145" t="str">
        <f t="shared" si="0"/>
        <v>USDFUT3MM5_Quote</v>
      </c>
      <c r="F21" s="144" t="str">
        <f>_xll.qlSimpleQuote(E21,,PriceTickValue,Permanent,Trigger,ObjectOverwrite)</f>
        <v>USDFUT3MM5_Quote#0021</v>
      </c>
      <c r="G21" s="107" t="str">
        <f>_xll.ohRangeRetrieveError(F21)</f>
        <v/>
      </c>
      <c r="H21" s="143"/>
    </row>
    <row r="22" spans="1:8" x14ac:dyDescent="0.2">
      <c r="A22" s="149"/>
      <c r="B22" s="148">
        <v>20</v>
      </c>
      <c r="C22" s="147" t="b">
        <v>0</v>
      </c>
      <c r="D22" s="146" t="str">
        <v>N5</v>
      </c>
      <c r="E22" s="145" t="str">
        <f t="shared" si="0"/>
        <v>USDFUT3MN5_Quote</v>
      </c>
      <c r="F22" s="144" t="str">
        <f>_xll.qlSimpleQuote(E22,,PriceTickValue,Permanent,Trigger,ObjectOverwrite)</f>
        <v>USDFUT3MN5_Quote#0021</v>
      </c>
      <c r="G22" s="107" t="str">
        <f>_xll.ohRangeRetrieveError(F22)</f>
        <v/>
      </c>
      <c r="H22" s="143"/>
    </row>
    <row r="23" spans="1:8" x14ac:dyDescent="0.2">
      <c r="A23" s="149"/>
      <c r="B23" s="148">
        <v>21</v>
      </c>
      <c r="C23" s="147" t="b">
        <v>0</v>
      </c>
      <c r="D23" s="146" t="str">
        <v>Q5</v>
      </c>
      <c r="E23" s="145" t="str">
        <f t="shared" si="0"/>
        <v>USDFUT3MQ5_Quote</v>
      </c>
      <c r="F23" s="144" t="str">
        <f>_xll.qlSimpleQuote(E23,,PriceTickValue,Permanent,Trigger,ObjectOverwrite)</f>
        <v>USDFUT3MQ5_Quote#0021</v>
      </c>
      <c r="G23" s="107" t="str">
        <f>_xll.ohRangeRetrieveError(F23)</f>
        <v/>
      </c>
      <c r="H23" s="143"/>
    </row>
    <row r="24" spans="1:8" x14ac:dyDescent="0.2">
      <c r="A24" s="149"/>
      <c r="B24" s="148">
        <v>22</v>
      </c>
      <c r="C24" s="147" t="b">
        <v>0</v>
      </c>
      <c r="D24" s="146" t="str">
        <v>U5</v>
      </c>
      <c r="E24" s="145" t="str">
        <f t="shared" si="0"/>
        <v>USDFUT3MU5_Quote</v>
      </c>
      <c r="F24" s="144" t="str">
        <f>_xll.qlSimpleQuote(E24,,PriceTickValue,Permanent,Trigger,ObjectOverwrite)</f>
        <v>USDFUT3MU5_Quote#0021</v>
      </c>
      <c r="G24" s="107" t="str">
        <f>_xll.ohRangeRetrieveError(F24)</f>
        <v/>
      </c>
      <c r="H24" s="143"/>
    </row>
    <row r="25" spans="1:8" x14ac:dyDescent="0.2">
      <c r="A25" s="149"/>
      <c r="B25" s="148">
        <v>23</v>
      </c>
      <c r="C25" s="147" t="b">
        <v>0</v>
      </c>
      <c r="D25" s="146" t="str">
        <v>V5</v>
      </c>
      <c r="E25" s="145" t="str">
        <f t="shared" si="0"/>
        <v>USDFUT3MV5_Quote</v>
      </c>
      <c r="F25" s="144" t="str">
        <f>_xll.qlSimpleQuote(E25,,PriceTickValue,Permanent,Trigger,ObjectOverwrite)</f>
        <v>USDFUT3MV5_Quote#0021</v>
      </c>
      <c r="G25" s="107" t="str">
        <f>_xll.ohRangeRetrieveError(F25)</f>
        <v/>
      </c>
      <c r="H25" s="143"/>
    </row>
    <row r="26" spans="1:8" x14ac:dyDescent="0.2">
      <c r="A26" s="149"/>
      <c r="B26" s="148">
        <v>24</v>
      </c>
      <c r="C26" s="147" t="b">
        <v>0</v>
      </c>
      <c r="D26" s="146" t="str">
        <v>X5</v>
      </c>
      <c r="E26" s="145" t="str">
        <f t="shared" si="0"/>
        <v>USDFUT3MX5_Quote</v>
      </c>
      <c r="F26" s="144" t="str">
        <f>_xll.qlSimpleQuote(E26,,PriceTickValue,Permanent,Trigger,ObjectOverwrite)</f>
        <v>USDFUT3MX5_Quote#0021</v>
      </c>
      <c r="G26" s="107" t="str">
        <f>_xll.ohRangeRetrieveError(F26)</f>
        <v/>
      </c>
      <c r="H26" s="143"/>
    </row>
    <row r="27" spans="1:8" x14ac:dyDescent="0.2">
      <c r="A27" s="149"/>
      <c r="B27" s="148">
        <v>25</v>
      </c>
      <c r="C27" s="147" t="b">
        <v>0</v>
      </c>
      <c r="D27" s="146" t="str">
        <v>Z5</v>
      </c>
      <c r="E27" s="145" t="str">
        <f t="shared" si="0"/>
        <v>USDFUT3MZ5_Quote</v>
      </c>
      <c r="F27" s="144" t="str">
        <f>_xll.qlSimpleQuote(E27,,PriceTickValue,Permanent,Trigger,ObjectOverwrite)</f>
        <v>USDFUT3MZ5_Quote#0021</v>
      </c>
      <c r="G27" s="107" t="str">
        <f>_xll.ohRangeRetrieveError(F27)</f>
        <v/>
      </c>
      <c r="H27" s="143"/>
    </row>
    <row r="28" spans="1:8" x14ac:dyDescent="0.2">
      <c r="A28" s="149"/>
      <c r="B28" s="148">
        <v>26</v>
      </c>
      <c r="C28" s="147" t="b">
        <v>0</v>
      </c>
      <c r="D28" s="146" t="str">
        <v>F6</v>
      </c>
      <c r="E28" s="145" t="str">
        <f t="shared" si="0"/>
        <v>USDFUT3MF6_Quote</v>
      </c>
      <c r="F28" s="144" t="str">
        <f>_xll.qlSimpleQuote(E28,,PriceTickValue,Permanent,Trigger,ObjectOverwrite)</f>
        <v>USDFUT3MF6_Quote#0021</v>
      </c>
      <c r="G28" s="107" t="str">
        <f>_xll.ohRangeRetrieveError(F28)</f>
        <v/>
      </c>
      <c r="H28" s="143"/>
    </row>
    <row r="29" spans="1:8" x14ac:dyDescent="0.2">
      <c r="A29" s="149"/>
      <c r="B29" s="148">
        <v>27</v>
      </c>
      <c r="C29" s="147" t="b">
        <v>0</v>
      </c>
      <c r="D29" s="146" t="str">
        <v>G6</v>
      </c>
      <c r="E29" s="145" t="str">
        <f t="shared" si="0"/>
        <v>USDFUT3MG6_Quote</v>
      </c>
      <c r="F29" s="144" t="str">
        <f>_xll.qlSimpleQuote(E29,,PriceTickValue,Permanent,Trigger,ObjectOverwrite)</f>
        <v>USDFUT3MG6_Quote#0021</v>
      </c>
      <c r="G29" s="107" t="str">
        <f>_xll.ohRangeRetrieveError(F29)</f>
        <v/>
      </c>
      <c r="H29" s="143"/>
    </row>
    <row r="30" spans="1:8" x14ac:dyDescent="0.2">
      <c r="A30" s="149"/>
      <c r="B30" s="148">
        <v>28</v>
      </c>
      <c r="C30" s="147" t="b">
        <v>0</v>
      </c>
      <c r="D30" s="146" t="str">
        <v>H6</v>
      </c>
      <c r="E30" s="145" t="str">
        <f t="shared" si="0"/>
        <v>USDFUT3MH6_Quote</v>
      </c>
      <c r="F30" s="144" t="str">
        <f>_xll.qlSimpleQuote(E30,,PriceTickValue,Permanent,Trigger,ObjectOverwrite)</f>
        <v>USDFUT3MH6_Quote#0021</v>
      </c>
      <c r="G30" s="107" t="str">
        <f>_xll.ohRangeRetrieveError(F30)</f>
        <v/>
      </c>
      <c r="H30" s="143"/>
    </row>
    <row r="31" spans="1:8" x14ac:dyDescent="0.2">
      <c r="A31" s="149"/>
      <c r="B31" s="148">
        <v>29</v>
      </c>
      <c r="C31" s="147" t="b">
        <v>0</v>
      </c>
      <c r="D31" s="146" t="str">
        <v>J6</v>
      </c>
      <c r="E31" s="145" t="str">
        <f t="shared" si="0"/>
        <v>USDFUT3MJ6_Quote</v>
      </c>
      <c r="F31" s="144" t="str">
        <f>_xll.qlSimpleQuote(E31,,PriceTickValue,Permanent,Trigger,ObjectOverwrite)</f>
        <v>USDFUT3MJ6_Quote#0021</v>
      </c>
      <c r="G31" s="107" t="str">
        <f>_xll.ohRangeRetrieveError(F31)</f>
        <v/>
      </c>
      <c r="H31" s="143"/>
    </row>
    <row r="32" spans="1:8" x14ac:dyDescent="0.2">
      <c r="A32" s="149"/>
      <c r="B32" s="148">
        <v>30</v>
      </c>
      <c r="C32" s="147" t="b">
        <v>0</v>
      </c>
      <c r="D32" s="146" t="str">
        <v>K6</v>
      </c>
      <c r="E32" s="145" t="str">
        <f t="shared" si="0"/>
        <v>USDFUT3MK6_Quote</v>
      </c>
      <c r="F32" s="144" t="str">
        <f>_xll.qlSimpleQuote(E32,,PriceTickValue,Permanent,Trigger,ObjectOverwrite)</f>
        <v>USDFUT3MK6_Quote#0021</v>
      </c>
      <c r="G32" s="107" t="str">
        <f>_xll.ohRangeRetrieveError(F32)</f>
        <v/>
      </c>
      <c r="H32" s="143"/>
    </row>
    <row r="33" spans="1:8" x14ac:dyDescent="0.2">
      <c r="A33" s="149"/>
      <c r="B33" s="148">
        <v>31</v>
      </c>
      <c r="C33" s="147" t="b">
        <v>0</v>
      </c>
      <c r="D33" s="146" t="str">
        <v>M6</v>
      </c>
      <c r="E33" s="145" t="str">
        <f t="shared" si="0"/>
        <v>USDFUT3MM6_Quote</v>
      </c>
      <c r="F33" s="144" t="str">
        <f>_xll.qlSimpleQuote(E33,,PriceTickValue,Permanent,Trigger,ObjectOverwrite)</f>
        <v>USDFUT3MM6_Quote#0021</v>
      </c>
      <c r="G33" s="107" t="str">
        <f>_xll.ohRangeRetrieveError(F33)</f>
        <v/>
      </c>
      <c r="H33" s="143"/>
    </row>
    <row r="34" spans="1:8" x14ac:dyDescent="0.2">
      <c r="A34" s="149"/>
      <c r="B34" s="148">
        <v>32</v>
      </c>
      <c r="C34" s="147" t="b">
        <v>0</v>
      </c>
      <c r="D34" s="146" t="str">
        <v>N6</v>
      </c>
      <c r="E34" s="145" t="str">
        <f t="shared" si="0"/>
        <v>USDFUT3MN6_Quote</v>
      </c>
      <c r="F34" s="144" t="str">
        <f>_xll.qlSimpleQuote(E34,,PriceTickValue,Permanent,Trigger,ObjectOverwrite)</f>
        <v>USDFUT3MN6_Quote#0021</v>
      </c>
      <c r="G34" s="107" t="str">
        <f>_xll.ohRangeRetrieveError(F34)</f>
        <v/>
      </c>
      <c r="H34" s="143"/>
    </row>
    <row r="35" spans="1:8" x14ac:dyDescent="0.2">
      <c r="A35" s="149"/>
      <c r="B35" s="148">
        <v>33</v>
      </c>
      <c r="C35" s="147" t="b">
        <v>0</v>
      </c>
      <c r="D35" s="146" t="str">
        <v>Q6</v>
      </c>
      <c r="E35" s="145" t="str">
        <f t="shared" ref="E35:E66" si="1">Currency&amp;$D$1&amp;$E$1&amp;$D35&amp;QuoteSuffix</f>
        <v>USDFUT3MQ6_Quote</v>
      </c>
      <c r="F35" s="144" t="str">
        <f>_xll.qlSimpleQuote(E35,,PriceTickValue,Permanent,Trigger,ObjectOverwrite)</f>
        <v>USDFUT3MQ6_Quote#0021</v>
      </c>
      <c r="G35" s="107" t="str">
        <f>_xll.ohRangeRetrieveError(F35)</f>
        <v/>
      </c>
      <c r="H35" s="143"/>
    </row>
    <row r="36" spans="1:8" x14ac:dyDescent="0.2">
      <c r="A36" s="149"/>
      <c r="B36" s="148">
        <v>34</v>
      </c>
      <c r="C36" s="147" t="b">
        <v>0</v>
      </c>
      <c r="D36" s="146" t="str">
        <v>U6</v>
      </c>
      <c r="E36" s="145" t="str">
        <f t="shared" si="1"/>
        <v>USDFUT3MU6_Quote</v>
      </c>
      <c r="F36" s="144" t="str">
        <f>_xll.qlSimpleQuote(E36,,PriceTickValue,Permanent,Trigger,ObjectOverwrite)</f>
        <v>USDFUT3MU6_Quote#0021</v>
      </c>
      <c r="G36" s="107" t="str">
        <f>_xll.ohRangeRetrieveError(F36)</f>
        <v/>
      </c>
      <c r="H36" s="143"/>
    </row>
    <row r="37" spans="1:8" x14ac:dyDescent="0.2">
      <c r="A37" s="149"/>
      <c r="B37" s="148">
        <v>35</v>
      </c>
      <c r="C37" s="147" t="b">
        <v>0</v>
      </c>
      <c r="D37" s="146" t="str">
        <v>V6</v>
      </c>
      <c r="E37" s="145" t="str">
        <f t="shared" si="1"/>
        <v>USDFUT3MV6_Quote</v>
      </c>
      <c r="F37" s="144" t="str">
        <f>_xll.qlSimpleQuote(E37,,PriceTickValue,Permanent,Trigger,ObjectOverwrite)</f>
        <v>USDFUT3MV6_Quote#0021</v>
      </c>
      <c r="G37" s="107" t="str">
        <f>_xll.ohRangeRetrieveError(F37)</f>
        <v/>
      </c>
      <c r="H37" s="143"/>
    </row>
    <row r="38" spans="1:8" x14ac:dyDescent="0.2">
      <c r="A38" s="149"/>
      <c r="B38" s="148">
        <v>36</v>
      </c>
      <c r="C38" s="147" t="b">
        <v>0</v>
      </c>
      <c r="D38" s="146" t="str">
        <v>X6</v>
      </c>
      <c r="E38" s="145" t="str">
        <f t="shared" si="1"/>
        <v>USDFUT3MX6_Quote</v>
      </c>
      <c r="F38" s="144" t="str">
        <f>_xll.qlSimpleQuote(E38,,PriceTickValue,Permanent,Trigger,ObjectOverwrite)</f>
        <v>USDFUT3MX6_Quote#0021</v>
      </c>
      <c r="G38" s="107" t="str">
        <f>_xll.ohRangeRetrieveError(F38)</f>
        <v/>
      </c>
      <c r="H38" s="143"/>
    </row>
    <row r="39" spans="1:8" x14ac:dyDescent="0.2">
      <c r="A39" s="149"/>
      <c r="B39" s="148">
        <v>37</v>
      </c>
      <c r="C39" s="147" t="b">
        <v>0</v>
      </c>
      <c r="D39" s="146" t="str">
        <v>Z6</v>
      </c>
      <c r="E39" s="145" t="str">
        <f t="shared" si="1"/>
        <v>USDFUT3MZ6_Quote</v>
      </c>
      <c r="F39" s="144" t="str">
        <f>_xll.qlSimpleQuote(E39,,PriceTickValue,Permanent,Trigger,ObjectOverwrite)</f>
        <v>USDFUT3MZ6_Quote#0021</v>
      </c>
      <c r="G39" s="107" t="str">
        <f>_xll.ohRangeRetrieveError(F39)</f>
        <v/>
      </c>
      <c r="H39" s="143"/>
    </row>
    <row r="40" spans="1:8" x14ac:dyDescent="0.2">
      <c r="A40" s="149"/>
      <c r="B40" s="148">
        <v>38</v>
      </c>
      <c r="C40" s="147" t="b">
        <v>0</v>
      </c>
      <c r="D40" s="146" t="str">
        <v>F7</v>
      </c>
      <c r="E40" s="145" t="str">
        <f t="shared" si="1"/>
        <v>USDFUT3MF7_Quote</v>
      </c>
      <c r="F40" s="144" t="str">
        <f>_xll.qlSimpleQuote(E40,,PriceTickValue,Permanent,Trigger,ObjectOverwrite)</f>
        <v>USDFUT3MF7_Quote#0021</v>
      </c>
      <c r="G40" s="107" t="str">
        <f>_xll.ohRangeRetrieveError(F40)</f>
        <v/>
      </c>
      <c r="H40" s="143"/>
    </row>
    <row r="41" spans="1:8" x14ac:dyDescent="0.2">
      <c r="A41" s="149"/>
      <c r="B41" s="148">
        <v>39</v>
      </c>
      <c r="C41" s="147" t="b">
        <v>0</v>
      </c>
      <c r="D41" s="146" t="str">
        <v>G7</v>
      </c>
      <c r="E41" s="145" t="str">
        <f t="shared" si="1"/>
        <v>USDFUT3MG7_Quote</v>
      </c>
      <c r="F41" s="144" t="str">
        <f>_xll.qlSimpleQuote(E41,,PriceTickValue,Permanent,Trigger,ObjectOverwrite)</f>
        <v>USDFUT3MG7_Quote#0021</v>
      </c>
      <c r="G41" s="107" t="str">
        <f>_xll.ohRangeRetrieveError(F41)</f>
        <v/>
      </c>
      <c r="H41" s="143"/>
    </row>
    <row r="42" spans="1:8" x14ac:dyDescent="0.2">
      <c r="A42" s="149"/>
      <c r="B42" s="148">
        <v>40</v>
      </c>
      <c r="C42" s="147" t="b">
        <v>0</v>
      </c>
      <c r="D42" s="146" t="str">
        <v>H7</v>
      </c>
      <c r="E42" s="145" t="str">
        <f t="shared" si="1"/>
        <v>USDFUT3MH7_Quote</v>
      </c>
      <c r="F42" s="144" t="str">
        <f>_xll.qlSimpleQuote(E42,,PriceTickValue,Permanent,Trigger,ObjectOverwrite)</f>
        <v>USDFUT3MH7_Quote#0021</v>
      </c>
      <c r="G42" s="107" t="str">
        <f>_xll.ohRangeRetrieveError(F42)</f>
        <v/>
      </c>
      <c r="H42" s="143"/>
    </row>
    <row r="43" spans="1:8" x14ac:dyDescent="0.2">
      <c r="A43" s="149"/>
      <c r="B43" s="148">
        <v>41</v>
      </c>
      <c r="C43" s="147" t="b">
        <v>0</v>
      </c>
      <c r="D43" s="146" t="str">
        <v>J7</v>
      </c>
      <c r="E43" s="145" t="str">
        <f t="shared" si="1"/>
        <v>USDFUT3MJ7_Quote</v>
      </c>
      <c r="F43" s="144" t="str">
        <f>_xll.qlSimpleQuote(E43,,PriceTickValue,Permanent,Trigger,ObjectOverwrite)</f>
        <v>USDFUT3MJ7_Quote#0021</v>
      </c>
      <c r="G43" s="107" t="str">
        <f>_xll.ohRangeRetrieveError(F43)</f>
        <v/>
      </c>
      <c r="H43" s="143"/>
    </row>
    <row r="44" spans="1:8" x14ac:dyDescent="0.2">
      <c r="A44" s="149"/>
      <c r="B44" s="148">
        <v>42</v>
      </c>
      <c r="C44" s="147" t="b">
        <v>0</v>
      </c>
      <c r="D44" s="146" t="str">
        <v>K7</v>
      </c>
      <c r="E44" s="145" t="str">
        <f t="shared" si="1"/>
        <v>USDFUT3MK7_Quote</v>
      </c>
      <c r="F44" s="144" t="str">
        <f>_xll.qlSimpleQuote(E44,,PriceTickValue,Permanent,Trigger,ObjectOverwrite)</f>
        <v>USDFUT3MK7_Quote#0021</v>
      </c>
      <c r="G44" s="107" t="str">
        <f>_xll.ohRangeRetrieveError(F44)</f>
        <v/>
      </c>
      <c r="H44" s="143"/>
    </row>
    <row r="45" spans="1:8" x14ac:dyDescent="0.2">
      <c r="A45" s="149"/>
      <c r="B45" s="148">
        <v>43</v>
      </c>
      <c r="C45" s="147" t="b">
        <v>0</v>
      </c>
      <c r="D45" s="146" t="str">
        <v>M7</v>
      </c>
      <c r="E45" s="145" t="str">
        <f t="shared" si="1"/>
        <v>USDFUT3MM7_Quote</v>
      </c>
      <c r="F45" s="144" t="str">
        <f>_xll.qlSimpleQuote(E45,,PriceTickValue,Permanent,Trigger,ObjectOverwrite)</f>
        <v>USDFUT3MM7_Quote#0021</v>
      </c>
      <c r="G45" s="107" t="str">
        <f>_xll.ohRangeRetrieveError(F45)</f>
        <v/>
      </c>
      <c r="H45" s="143"/>
    </row>
    <row r="46" spans="1:8" x14ac:dyDescent="0.2">
      <c r="A46" s="149"/>
      <c r="B46" s="148">
        <v>44</v>
      </c>
      <c r="C46" s="147" t="b">
        <v>0</v>
      </c>
      <c r="D46" s="146" t="str">
        <v>N7</v>
      </c>
      <c r="E46" s="145" t="str">
        <f t="shared" si="1"/>
        <v>USDFUT3MN7_Quote</v>
      </c>
      <c r="F46" s="144" t="str">
        <f>_xll.qlSimpleQuote(E46,,PriceTickValue,Permanent,Trigger,ObjectOverwrite)</f>
        <v>USDFUT3MN7_Quote#0021</v>
      </c>
      <c r="G46" s="107" t="str">
        <f>_xll.ohRangeRetrieveError(F46)</f>
        <v/>
      </c>
      <c r="H46" s="143"/>
    </row>
    <row r="47" spans="1:8" x14ac:dyDescent="0.2">
      <c r="A47" s="149"/>
      <c r="B47" s="148">
        <v>45</v>
      </c>
      <c r="C47" s="147" t="b">
        <v>0</v>
      </c>
      <c r="D47" s="146" t="str">
        <v>Q7</v>
      </c>
      <c r="E47" s="145" t="str">
        <f t="shared" si="1"/>
        <v>USDFUT3MQ7_Quote</v>
      </c>
      <c r="F47" s="144" t="str">
        <f>_xll.qlSimpleQuote(E47,,PriceTickValue,Permanent,Trigger,ObjectOverwrite)</f>
        <v>USDFUT3MQ7_Quote#0021</v>
      </c>
      <c r="G47" s="107" t="str">
        <f>_xll.ohRangeRetrieveError(F47)</f>
        <v/>
      </c>
      <c r="H47" s="143"/>
    </row>
    <row r="48" spans="1:8" x14ac:dyDescent="0.2">
      <c r="A48" s="149"/>
      <c r="B48" s="148">
        <v>46</v>
      </c>
      <c r="C48" s="147" t="b">
        <v>0</v>
      </c>
      <c r="D48" s="146" t="str">
        <v>U7</v>
      </c>
      <c r="E48" s="145" t="str">
        <f t="shared" si="1"/>
        <v>USDFUT3MU7_Quote</v>
      </c>
      <c r="F48" s="144" t="str">
        <f>_xll.qlSimpleQuote(E48,,PriceTickValue,Permanent,Trigger,ObjectOverwrite)</f>
        <v>USDFUT3MU7_Quote#0021</v>
      </c>
      <c r="G48" s="107" t="str">
        <f>_xll.ohRangeRetrieveError(F48)</f>
        <v/>
      </c>
      <c r="H48" s="143"/>
    </row>
    <row r="49" spans="1:8" x14ac:dyDescent="0.2">
      <c r="A49" s="149"/>
      <c r="B49" s="148">
        <v>47</v>
      </c>
      <c r="C49" s="147" t="b">
        <v>0</v>
      </c>
      <c r="D49" s="146" t="str">
        <v>V7</v>
      </c>
      <c r="E49" s="145" t="str">
        <f t="shared" si="1"/>
        <v>USDFUT3MV7_Quote</v>
      </c>
      <c r="F49" s="144" t="str">
        <f>_xll.qlSimpleQuote(E49,,PriceTickValue,Permanent,Trigger,ObjectOverwrite)</f>
        <v>USDFUT3MV7_Quote#0021</v>
      </c>
      <c r="G49" s="107" t="str">
        <f>_xll.ohRangeRetrieveError(F49)</f>
        <v/>
      </c>
      <c r="H49" s="143"/>
    </row>
    <row r="50" spans="1:8" x14ac:dyDescent="0.2">
      <c r="A50" s="149"/>
      <c r="B50" s="148">
        <v>48</v>
      </c>
      <c r="C50" s="147" t="b">
        <v>0</v>
      </c>
      <c r="D50" s="146" t="str">
        <v>X7</v>
      </c>
      <c r="E50" s="145" t="str">
        <f t="shared" si="1"/>
        <v>USDFUT3MX7_Quote</v>
      </c>
      <c r="F50" s="144" t="str">
        <f>_xll.qlSimpleQuote(E50,,PriceTickValue,Permanent,Trigger,ObjectOverwrite)</f>
        <v>USDFUT3MX7_Quote#0021</v>
      </c>
      <c r="G50" s="107" t="str">
        <f>_xll.ohRangeRetrieveError(F50)</f>
        <v/>
      </c>
      <c r="H50" s="143"/>
    </row>
    <row r="51" spans="1:8" x14ac:dyDescent="0.2">
      <c r="A51" s="149"/>
      <c r="B51" s="148">
        <v>49</v>
      </c>
      <c r="C51" s="147" t="b">
        <v>0</v>
      </c>
      <c r="D51" s="146" t="str">
        <v>Z7</v>
      </c>
      <c r="E51" s="145" t="str">
        <f t="shared" si="1"/>
        <v>USDFUT3MZ7_Quote</v>
      </c>
      <c r="F51" s="144" t="str">
        <f>_xll.qlSimpleQuote(E51,,PriceTickValue,Permanent,Trigger,ObjectOverwrite)</f>
        <v>USDFUT3MZ7_Quote#0021</v>
      </c>
      <c r="G51" s="107" t="str">
        <f>_xll.ohRangeRetrieveError(F51)</f>
        <v/>
      </c>
      <c r="H51" s="143"/>
    </row>
    <row r="52" spans="1:8" x14ac:dyDescent="0.2">
      <c r="A52" s="149"/>
      <c r="B52" s="148">
        <v>50</v>
      </c>
      <c r="C52" s="147" t="b">
        <v>0</v>
      </c>
      <c r="D52" s="146" t="str">
        <v>F8</v>
      </c>
      <c r="E52" s="145" t="str">
        <f t="shared" si="1"/>
        <v>USDFUT3MF8_Quote</v>
      </c>
      <c r="F52" s="144" t="str">
        <f>_xll.qlSimpleQuote(E52,,PriceTickValue,Permanent,Trigger,ObjectOverwrite)</f>
        <v>USDFUT3MF8_Quote#0021</v>
      </c>
      <c r="G52" s="107" t="str">
        <f>_xll.ohRangeRetrieveError(F52)</f>
        <v/>
      </c>
      <c r="H52" s="143"/>
    </row>
    <row r="53" spans="1:8" x14ac:dyDescent="0.2">
      <c r="A53" s="149"/>
      <c r="B53" s="148">
        <v>51</v>
      </c>
      <c r="C53" s="147" t="b">
        <v>0</v>
      </c>
      <c r="D53" s="146" t="str">
        <v>G8</v>
      </c>
      <c r="E53" s="145" t="str">
        <f t="shared" si="1"/>
        <v>USDFUT3MG8_Quote</v>
      </c>
      <c r="F53" s="144" t="str">
        <f>_xll.qlSimpleQuote(E53,,PriceTickValue,Permanent,Trigger,ObjectOverwrite)</f>
        <v>USDFUT3MG8_Quote#0021</v>
      </c>
      <c r="G53" s="107" t="str">
        <f>_xll.ohRangeRetrieveError(F53)</f>
        <v/>
      </c>
      <c r="H53" s="143"/>
    </row>
    <row r="54" spans="1:8" x14ac:dyDescent="0.2">
      <c r="A54" s="149"/>
      <c r="B54" s="148">
        <v>52</v>
      </c>
      <c r="C54" s="147" t="b">
        <v>0</v>
      </c>
      <c r="D54" s="146" t="str">
        <v>H8</v>
      </c>
      <c r="E54" s="145" t="str">
        <f t="shared" si="1"/>
        <v>USDFUT3MH8_Quote</v>
      </c>
      <c r="F54" s="144" t="str">
        <f>_xll.qlSimpleQuote(E54,,PriceTickValue,Permanent,Trigger,ObjectOverwrite)</f>
        <v>USDFUT3MH8_Quote#0021</v>
      </c>
      <c r="G54" s="107" t="str">
        <f>_xll.ohRangeRetrieveError(F54)</f>
        <v/>
      </c>
      <c r="H54" s="143"/>
    </row>
    <row r="55" spans="1:8" x14ac:dyDescent="0.2">
      <c r="A55" s="149"/>
      <c r="B55" s="148">
        <v>53</v>
      </c>
      <c r="C55" s="147" t="b">
        <v>0</v>
      </c>
      <c r="D55" s="146" t="str">
        <v>J8</v>
      </c>
      <c r="E55" s="145" t="str">
        <f t="shared" si="1"/>
        <v>USDFUT3MJ8_Quote</v>
      </c>
      <c r="F55" s="144" t="str">
        <f>_xll.qlSimpleQuote(E55,,PriceTickValue,Permanent,Trigger,ObjectOverwrite)</f>
        <v>USDFUT3MJ8_Quote#0021</v>
      </c>
      <c r="G55" s="107" t="str">
        <f>_xll.ohRangeRetrieveError(F55)</f>
        <v/>
      </c>
      <c r="H55" s="143"/>
    </row>
    <row r="56" spans="1:8" x14ac:dyDescent="0.2">
      <c r="A56" s="149"/>
      <c r="B56" s="148">
        <v>54</v>
      </c>
      <c r="C56" s="147" t="b">
        <v>0</v>
      </c>
      <c r="D56" s="146" t="str">
        <v>K8</v>
      </c>
      <c r="E56" s="145" t="str">
        <f t="shared" si="1"/>
        <v>USDFUT3MK8_Quote</v>
      </c>
      <c r="F56" s="144" t="str">
        <f>_xll.qlSimpleQuote(E56,,PriceTickValue,Permanent,Trigger,ObjectOverwrite)</f>
        <v>USDFUT3MK8_Quote#0021</v>
      </c>
      <c r="G56" s="107" t="str">
        <f>_xll.ohRangeRetrieveError(F56)</f>
        <v/>
      </c>
      <c r="H56" s="143"/>
    </row>
    <row r="57" spans="1:8" x14ac:dyDescent="0.2">
      <c r="A57" s="149"/>
      <c r="B57" s="148">
        <v>55</v>
      </c>
      <c r="C57" s="147" t="b">
        <v>0</v>
      </c>
      <c r="D57" s="146" t="str">
        <v>M8</v>
      </c>
      <c r="E57" s="145" t="str">
        <f t="shared" si="1"/>
        <v>USDFUT3MM8_Quote</v>
      </c>
      <c r="F57" s="144" t="str">
        <f>_xll.qlSimpleQuote(E57,,PriceTickValue,Permanent,Trigger,ObjectOverwrite)</f>
        <v>USDFUT3MM8_Quote#0021</v>
      </c>
      <c r="G57" s="107" t="str">
        <f>_xll.ohRangeRetrieveError(F57)</f>
        <v/>
      </c>
      <c r="H57" s="143"/>
    </row>
    <row r="58" spans="1:8" x14ac:dyDescent="0.2">
      <c r="A58" s="149"/>
      <c r="B58" s="148">
        <v>56</v>
      </c>
      <c r="C58" s="147" t="b">
        <v>0</v>
      </c>
      <c r="D58" s="146" t="str">
        <v>N8</v>
      </c>
      <c r="E58" s="145" t="str">
        <f t="shared" si="1"/>
        <v>USDFUT3MN8_Quote</v>
      </c>
      <c r="F58" s="144" t="str">
        <f>_xll.qlSimpleQuote(E58,,PriceTickValue,Permanent,Trigger,ObjectOverwrite)</f>
        <v>USDFUT3MN8_Quote#0021</v>
      </c>
      <c r="G58" s="107" t="str">
        <f>_xll.ohRangeRetrieveError(F58)</f>
        <v/>
      </c>
      <c r="H58" s="143"/>
    </row>
    <row r="59" spans="1:8" x14ac:dyDescent="0.2">
      <c r="A59" s="149"/>
      <c r="B59" s="148">
        <v>57</v>
      </c>
      <c r="C59" s="147" t="b">
        <v>0</v>
      </c>
      <c r="D59" s="146" t="str">
        <v>Q8</v>
      </c>
      <c r="E59" s="145" t="str">
        <f t="shared" si="1"/>
        <v>USDFUT3MQ8_Quote</v>
      </c>
      <c r="F59" s="144" t="str">
        <f>_xll.qlSimpleQuote(E59,,PriceTickValue,Permanent,Trigger,ObjectOverwrite)</f>
        <v>USDFUT3MQ8_Quote#0021</v>
      </c>
      <c r="G59" s="107" t="str">
        <f>_xll.ohRangeRetrieveError(F59)</f>
        <v/>
      </c>
      <c r="H59" s="143"/>
    </row>
    <row r="60" spans="1:8" x14ac:dyDescent="0.2">
      <c r="A60" s="149"/>
      <c r="B60" s="148">
        <v>58</v>
      </c>
      <c r="C60" s="147" t="b">
        <v>0</v>
      </c>
      <c r="D60" s="146" t="str">
        <v>U8</v>
      </c>
      <c r="E60" s="145" t="str">
        <f t="shared" si="1"/>
        <v>USDFUT3MU8_Quote</v>
      </c>
      <c r="F60" s="144" t="str">
        <f>_xll.qlSimpleQuote(E60,,PriceTickValue,Permanent,Trigger,ObjectOverwrite)</f>
        <v>USDFUT3MU8_Quote#0021</v>
      </c>
      <c r="G60" s="107" t="str">
        <f>_xll.ohRangeRetrieveError(F60)</f>
        <v/>
      </c>
      <c r="H60" s="143"/>
    </row>
    <row r="61" spans="1:8" x14ac:dyDescent="0.2">
      <c r="A61" s="149"/>
      <c r="B61" s="148">
        <v>59</v>
      </c>
      <c r="C61" s="147" t="b">
        <v>0</v>
      </c>
      <c r="D61" s="146" t="str">
        <v>V8</v>
      </c>
      <c r="E61" s="145" t="str">
        <f t="shared" si="1"/>
        <v>USDFUT3MV8_Quote</v>
      </c>
      <c r="F61" s="144" t="str">
        <f>_xll.qlSimpleQuote(E61,,PriceTickValue,Permanent,Trigger,ObjectOverwrite)</f>
        <v>USDFUT3MV8_Quote#0021</v>
      </c>
      <c r="G61" s="107" t="str">
        <f>_xll.ohRangeRetrieveError(F61)</f>
        <v/>
      </c>
      <c r="H61" s="143"/>
    </row>
    <row r="62" spans="1:8" x14ac:dyDescent="0.2">
      <c r="A62" s="149"/>
      <c r="B62" s="148">
        <v>60</v>
      </c>
      <c r="C62" s="147" t="b">
        <v>0</v>
      </c>
      <c r="D62" s="146" t="str">
        <v>X8</v>
      </c>
      <c r="E62" s="145" t="str">
        <f t="shared" si="1"/>
        <v>USDFUT3MX8_Quote</v>
      </c>
      <c r="F62" s="144" t="str">
        <f>_xll.qlSimpleQuote(E62,,PriceTickValue,Permanent,Trigger,ObjectOverwrite)</f>
        <v>USDFUT3MX8_Quote#0021</v>
      </c>
      <c r="G62" s="107" t="str">
        <f>_xll.ohRangeRetrieveError(F62)</f>
        <v/>
      </c>
      <c r="H62" s="143"/>
    </row>
    <row r="63" spans="1:8" x14ac:dyDescent="0.2">
      <c r="A63" s="149"/>
      <c r="B63" s="148">
        <v>61</v>
      </c>
      <c r="C63" s="147" t="b">
        <v>0</v>
      </c>
      <c r="D63" s="146" t="str">
        <v>Z8</v>
      </c>
      <c r="E63" s="145" t="str">
        <f t="shared" si="1"/>
        <v>USDFUT3MZ8_Quote</v>
      </c>
      <c r="F63" s="144" t="str">
        <f>_xll.qlSimpleQuote(E63,,PriceTickValue,Permanent,Trigger,ObjectOverwrite)</f>
        <v>USDFUT3MZ8_Quote#0021</v>
      </c>
      <c r="G63" s="107" t="str">
        <f>_xll.ohRangeRetrieveError(F63)</f>
        <v/>
      </c>
      <c r="H63" s="143"/>
    </row>
    <row r="64" spans="1:8" x14ac:dyDescent="0.2">
      <c r="A64" s="149"/>
      <c r="B64" s="148">
        <v>62</v>
      </c>
      <c r="C64" s="147" t="b">
        <v>0</v>
      </c>
      <c r="D64" s="146" t="str">
        <v>F9</v>
      </c>
      <c r="E64" s="145" t="str">
        <f t="shared" si="1"/>
        <v>USDFUT3MF9_Quote</v>
      </c>
      <c r="F64" s="144" t="str">
        <f>_xll.qlSimpleQuote(E64,,PriceTickValue,Permanent,Trigger,ObjectOverwrite)</f>
        <v>USDFUT3MF9_Quote#0021</v>
      </c>
      <c r="G64" s="107" t="str">
        <f>_xll.ohRangeRetrieveError(F64)</f>
        <v/>
      </c>
      <c r="H64" s="143"/>
    </row>
    <row r="65" spans="1:8" x14ac:dyDescent="0.2">
      <c r="A65" s="149"/>
      <c r="B65" s="148">
        <v>63</v>
      </c>
      <c r="C65" s="147" t="b">
        <v>0</v>
      </c>
      <c r="D65" s="146" t="str">
        <v>G9</v>
      </c>
      <c r="E65" s="145" t="str">
        <f t="shared" si="1"/>
        <v>USDFUT3MG9_Quote</v>
      </c>
      <c r="F65" s="144" t="str">
        <f>_xll.qlSimpleQuote(E65,,PriceTickValue,Permanent,Trigger,ObjectOverwrite)</f>
        <v>USDFUT3MG9_Quote#0021</v>
      </c>
      <c r="G65" s="107" t="str">
        <f>_xll.ohRangeRetrieveError(F65)</f>
        <v/>
      </c>
      <c r="H65" s="143"/>
    </row>
    <row r="66" spans="1:8" x14ac:dyDescent="0.2">
      <c r="A66" s="149"/>
      <c r="B66" s="148">
        <v>64</v>
      </c>
      <c r="C66" s="147" t="b">
        <v>0</v>
      </c>
      <c r="D66" s="146" t="str">
        <v>H9</v>
      </c>
      <c r="E66" s="145" t="str">
        <f t="shared" si="1"/>
        <v>USDFUT3MH9_Quote</v>
      </c>
      <c r="F66" s="144" t="str">
        <f>_xll.qlSimpleQuote(E66,,PriceTickValue,Permanent,Trigger,ObjectOverwrite)</f>
        <v>USDFUT3MH9_Quote#0021</v>
      </c>
      <c r="G66" s="107" t="str">
        <f>_xll.ohRangeRetrieveError(F66)</f>
        <v/>
      </c>
      <c r="H66" s="143"/>
    </row>
    <row r="67" spans="1:8" x14ac:dyDescent="0.2">
      <c r="A67" s="149"/>
      <c r="B67" s="148">
        <v>65</v>
      </c>
      <c r="C67" s="147" t="b">
        <v>0</v>
      </c>
      <c r="D67" s="146" t="str">
        <v>J9</v>
      </c>
      <c r="E67" s="145" t="str">
        <f t="shared" ref="E67:E98" si="2">Currency&amp;$D$1&amp;$E$1&amp;$D67&amp;QuoteSuffix</f>
        <v>USDFUT3MJ9_Quote</v>
      </c>
      <c r="F67" s="144" t="str">
        <f>_xll.qlSimpleQuote(E67,,PriceTickValue,Permanent,Trigger,ObjectOverwrite)</f>
        <v>USDFUT3MJ9_Quote#0021</v>
      </c>
      <c r="G67" s="107" t="str">
        <f>_xll.ohRangeRetrieveError(F67)</f>
        <v/>
      </c>
      <c r="H67" s="143"/>
    </row>
    <row r="68" spans="1:8" x14ac:dyDescent="0.2">
      <c r="A68" s="149"/>
      <c r="B68" s="148">
        <v>66</v>
      </c>
      <c r="C68" s="147" t="b">
        <v>0</v>
      </c>
      <c r="D68" s="146" t="str">
        <v>K9</v>
      </c>
      <c r="E68" s="145" t="str">
        <f t="shared" si="2"/>
        <v>USDFUT3MK9_Quote</v>
      </c>
      <c r="F68" s="144" t="str">
        <f>_xll.qlSimpleQuote(E68,,PriceTickValue,Permanent,Trigger,ObjectOverwrite)</f>
        <v>USDFUT3MK9_Quote#0021</v>
      </c>
      <c r="G68" s="107" t="str">
        <f>_xll.ohRangeRetrieveError(F68)</f>
        <v/>
      </c>
      <c r="H68" s="143"/>
    </row>
    <row r="69" spans="1:8" x14ac:dyDescent="0.2">
      <c r="A69" s="149"/>
      <c r="B69" s="148">
        <v>67</v>
      </c>
      <c r="C69" s="147" t="b">
        <v>0</v>
      </c>
      <c r="D69" s="146" t="str">
        <v>M9</v>
      </c>
      <c r="E69" s="145" t="str">
        <f t="shared" si="2"/>
        <v>USDFUT3MM9_Quote</v>
      </c>
      <c r="F69" s="144" t="str">
        <f>_xll.qlSimpleQuote(E69,,PriceTickValue,Permanent,Trigger,ObjectOverwrite)</f>
        <v>USDFUT3MM9_Quote#0021</v>
      </c>
      <c r="G69" s="107" t="str">
        <f>_xll.ohRangeRetrieveError(F69)</f>
        <v/>
      </c>
      <c r="H69" s="143"/>
    </row>
    <row r="70" spans="1:8" x14ac:dyDescent="0.2">
      <c r="A70" s="149"/>
      <c r="B70" s="148">
        <v>68</v>
      </c>
      <c r="C70" s="147" t="b">
        <v>0</v>
      </c>
      <c r="D70" s="146" t="str">
        <v>N9</v>
      </c>
      <c r="E70" s="145" t="str">
        <f t="shared" si="2"/>
        <v>USDFUT3MN9_Quote</v>
      </c>
      <c r="F70" s="144" t="str">
        <f>_xll.qlSimpleQuote(E70,,PriceTickValue,Permanent,Trigger,ObjectOverwrite)</f>
        <v>USDFUT3MN9_Quote#0021</v>
      </c>
      <c r="G70" s="107" t="str">
        <f>_xll.ohRangeRetrieveError(F70)</f>
        <v/>
      </c>
      <c r="H70" s="143"/>
    </row>
    <row r="71" spans="1:8" x14ac:dyDescent="0.2">
      <c r="A71" s="149"/>
      <c r="B71" s="148">
        <v>69</v>
      </c>
      <c r="C71" s="147" t="b">
        <v>0</v>
      </c>
      <c r="D71" s="146" t="str">
        <v>Q9</v>
      </c>
      <c r="E71" s="145" t="str">
        <f t="shared" si="2"/>
        <v>USDFUT3MQ9_Quote</v>
      </c>
      <c r="F71" s="144" t="str">
        <f>_xll.qlSimpleQuote(E71,,PriceTickValue,Permanent,Trigger,ObjectOverwrite)</f>
        <v>USDFUT3MQ9_Quote#0021</v>
      </c>
      <c r="G71" s="107" t="str">
        <f>_xll.ohRangeRetrieveError(F71)</f>
        <v/>
      </c>
      <c r="H71" s="143"/>
    </row>
    <row r="72" spans="1:8" x14ac:dyDescent="0.2">
      <c r="A72" s="149"/>
      <c r="B72" s="148">
        <v>70</v>
      </c>
      <c r="C72" s="147" t="b">
        <v>0</v>
      </c>
      <c r="D72" s="146" t="str">
        <v>U9</v>
      </c>
      <c r="E72" s="145" t="str">
        <f t="shared" si="2"/>
        <v>USDFUT3MU9_Quote</v>
      </c>
      <c r="F72" s="144" t="str">
        <f>_xll.qlSimpleQuote(E72,,PriceTickValue,Permanent,Trigger,ObjectOverwrite)</f>
        <v>USDFUT3MU9_Quote#0021</v>
      </c>
      <c r="G72" s="107" t="str">
        <f>_xll.ohRangeRetrieveError(F72)</f>
        <v/>
      </c>
      <c r="H72" s="143"/>
    </row>
    <row r="73" spans="1:8" x14ac:dyDescent="0.2">
      <c r="A73" s="149"/>
      <c r="B73" s="148">
        <v>71</v>
      </c>
      <c r="C73" s="147" t="b">
        <v>0</v>
      </c>
      <c r="D73" s="146" t="str">
        <v>V9</v>
      </c>
      <c r="E73" s="145" t="str">
        <f t="shared" si="2"/>
        <v>USDFUT3MV9_Quote</v>
      </c>
      <c r="F73" s="144" t="str">
        <f>_xll.qlSimpleQuote(E73,,PriceTickValue,Permanent,Trigger,ObjectOverwrite)</f>
        <v>USDFUT3MV9_Quote#0021</v>
      </c>
      <c r="G73" s="107" t="str">
        <f>_xll.ohRangeRetrieveError(F73)</f>
        <v/>
      </c>
      <c r="H73" s="143"/>
    </row>
    <row r="74" spans="1:8" x14ac:dyDescent="0.2">
      <c r="A74" s="149"/>
      <c r="B74" s="148">
        <v>72</v>
      </c>
      <c r="C74" s="147" t="b">
        <v>0</v>
      </c>
      <c r="D74" s="146" t="str">
        <v>X9</v>
      </c>
      <c r="E74" s="145" t="str">
        <f t="shared" si="2"/>
        <v>USDFUT3MX9_Quote</v>
      </c>
      <c r="F74" s="144" t="str">
        <f>_xll.qlSimpleQuote(E74,,PriceTickValue,Permanent,Trigger,ObjectOverwrite)</f>
        <v>USDFUT3MX9_Quote#0021</v>
      </c>
      <c r="G74" s="107" t="str">
        <f>_xll.ohRangeRetrieveError(F74)</f>
        <v/>
      </c>
      <c r="H74" s="143"/>
    </row>
    <row r="75" spans="1:8" x14ac:dyDescent="0.2">
      <c r="A75" s="149"/>
      <c r="B75" s="148">
        <v>73</v>
      </c>
      <c r="C75" s="147" t="b">
        <v>0</v>
      </c>
      <c r="D75" s="146" t="str">
        <v>Z9</v>
      </c>
      <c r="E75" s="145" t="str">
        <f t="shared" si="2"/>
        <v>USDFUT3MZ9_Quote</v>
      </c>
      <c r="F75" s="144" t="str">
        <f>_xll.qlSimpleQuote(E75,,PriceTickValue,Permanent,Trigger,ObjectOverwrite)</f>
        <v>USDFUT3MZ9_Quote#0021</v>
      </c>
      <c r="G75" s="107" t="str">
        <f>_xll.ohRangeRetrieveError(F75)</f>
        <v/>
      </c>
      <c r="H75" s="143"/>
    </row>
    <row r="76" spans="1:8" x14ac:dyDescent="0.2">
      <c r="A76" s="149"/>
      <c r="B76" s="148">
        <v>74</v>
      </c>
      <c r="C76" s="147" t="b">
        <v>0</v>
      </c>
      <c r="D76" s="146" t="str">
        <v>F0</v>
      </c>
      <c r="E76" s="145" t="str">
        <f t="shared" si="2"/>
        <v>USDFUT3MF0_Quote</v>
      </c>
      <c r="F76" s="144" t="str">
        <f>_xll.qlSimpleQuote(E76,,PriceTickValue,Permanent,Trigger,ObjectOverwrite)</f>
        <v>USDFUT3MF0_Quote#0021</v>
      </c>
      <c r="G76" s="107" t="str">
        <f>_xll.ohRangeRetrieveError(F76)</f>
        <v/>
      </c>
      <c r="H76" s="143"/>
    </row>
    <row r="77" spans="1:8" x14ac:dyDescent="0.2">
      <c r="A77" s="149"/>
      <c r="B77" s="148">
        <v>75</v>
      </c>
      <c r="C77" s="147" t="b">
        <v>0</v>
      </c>
      <c r="D77" s="146" t="str">
        <v>G0</v>
      </c>
      <c r="E77" s="145" t="str">
        <f t="shared" si="2"/>
        <v>USDFUT3MG0_Quote</v>
      </c>
      <c r="F77" s="144" t="str">
        <f>_xll.qlSimpleQuote(E77,,PriceTickValue,Permanent,Trigger,ObjectOverwrite)</f>
        <v>USDFUT3MG0_Quote#0021</v>
      </c>
      <c r="G77" s="107" t="str">
        <f>_xll.ohRangeRetrieveError(F77)</f>
        <v/>
      </c>
      <c r="H77" s="143"/>
    </row>
    <row r="78" spans="1:8" x14ac:dyDescent="0.2">
      <c r="A78" s="149"/>
      <c r="B78" s="148">
        <v>76</v>
      </c>
      <c r="C78" s="147" t="b">
        <v>0</v>
      </c>
      <c r="D78" s="146" t="str">
        <v>H0</v>
      </c>
      <c r="E78" s="145" t="str">
        <f t="shared" si="2"/>
        <v>USDFUT3MH0_Quote</v>
      </c>
      <c r="F78" s="144" t="str">
        <f>_xll.qlSimpleQuote(E78,,PriceTickValue,Permanent,Trigger,ObjectOverwrite)</f>
        <v>USDFUT3MH0_Quote#0021</v>
      </c>
      <c r="G78" s="107" t="str">
        <f>_xll.ohRangeRetrieveError(F78)</f>
        <v/>
      </c>
      <c r="H78" s="143"/>
    </row>
    <row r="79" spans="1:8" x14ac:dyDescent="0.2">
      <c r="A79" s="149"/>
      <c r="B79" s="148">
        <v>77</v>
      </c>
      <c r="C79" s="147" t="b">
        <v>0</v>
      </c>
      <c r="D79" s="146" t="str">
        <v>J0</v>
      </c>
      <c r="E79" s="145" t="str">
        <f t="shared" si="2"/>
        <v>USDFUT3MJ0_Quote</v>
      </c>
      <c r="F79" s="144" t="str">
        <f>_xll.qlSimpleQuote(E79,,PriceTickValue,Permanent,Trigger,ObjectOverwrite)</f>
        <v>USDFUT3MJ0_Quote#0021</v>
      </c>
      <c r="G79" s="107" t="str">
        <f>_xll.ohRangeRetrieveError(F79)</f>
        <v/>
      </c>
      <c r="H79" s="143"/>
    </row>
    <row r="80" spans="1:8" x14ac:dyDescent="0.2">
      <c r="A80" s="149"/>
      <c r="B80" s="148">
        <v>78</v>
      </c>
      <c r="C80" s="147" t="b">
        <v>0</v>
      </c>
      <c r="D80" s="146" t="str">
        <v>K0</v>
      </c>
      <c r="E80" s="145" t="str">
        <f t="shared" si="2"/>
        <v>USDFUT3MK0_Quote</v>
      </c>
      <c r="F80" s="144" t="str">
        <f>_xll.qlSimpleQuote(E80,,PriceTickValue,Permanent,Trigger,ObjectOverwrite)</f>
        <v>USDFUT3MK0_Quote#0021</v>
      </c>
      <c r="G80" s="107" t="str">
        <f>_xll.ohRangeRetrieveError(F80)</f>
        <v/>
      </c>
      <c r="H80" s="143"/>
    </row>
    <row r="81" spans="1:8" x14ac:dyDescent="0.2">
      <c r="A81" s="149"/>
      <c r="B81" s="148">
        <v>79</v>
      </c>
      <c r="C81" s="147" t="b">
        <v>0</v>
      </c>
      <c r="D81" s="146" t="str">
        <v>M0</v>
      </c>
      <c r="E81" s="145" t="str">
        <f t="shared" si="2"/>
        <v>USDFUT3MM0_Quote</v>
      </c>
      <c r="F81" s="144" t="str">
        <f>_xll.qlSimpleQuote(E81,,PriceTickValue,Permanent,Trigger,ObjectOverwrite)</f>
        <v>USDFUT3MM0_Quote#0021</v>
      </c>
      <c r="G81" s="107" t="str">
        <f>_xll.ohRangeRetrieveError(F81)</f>
        <v/>
      </c>
      <c r="H81" s="143"/>
    </row>
    <row r="82" spans="1:8" x14ac:dyDescent="0.2">
      <c r="A82" s="149"/>
      <c r="B82" s="148">
        <v>80</v>
      </c>
      <c r="C82" s="147" t="b">
        <v>0</v>
      </c>
      <c r="D82" s="146" t="str">
        <v>N0</v>
      </c>
      <c r="E82" s="145" t="str">
        <f t="shared" si="2"/>
        <v>USDFUT3MN0_Quote</v>
      </c>
      <c r="F82" s="144" t="str">
        <f>_xll.qlSimpleQuote(E82,,PriceTickValue,Permanent,Trigger,ObjectOverwrite)</f>
        <v>USDFUT3MN0_Quote#0021</v>
      </c>
      <c r="G82" s="107" t="str">
        <f>_xll.ohRangeRetrieveError(F82)</f>
        <v/>
      </c>
      <c r="H82" s="143"/>
    </row>
    <row r="83" spans="1:8" x14ac:dyDescent="0.2">
      <c r="A83" s="149"/>
      <c r="B83" s="148">
        <v>81</v>
      </c>
      <c r="C83" s="147" t="b">
        <v>0</v>
      </c>
      <c r="D83" s="146" t="str">
        <v>Q0</v>
      </c>
      <c r="E83" s="145" t="str">
        <f t="shared" si="2"/>
        <v>USDFUT3MQ0_Quote</v>
      </c>
      <c r="F83" s="144" t="str">
        <f>_xll.qlSimpleQuote(E83,,PriceTickValue,Permanent,Trigger,ObjectOverwrite)</f>
        <v>USDFUT3MQ0_Quote#0021</v>
      </c>
      <c r="G83" s="107" t="str">
        <f>_xll.ohRangeRetrieveError(F83)</f>
        <v/>
      </c>
      <c r="H83" s="143"/>
    </row>
    <row r="84" spans="1:8" x14ac:dyDescent="0.2">
      <c r="A84" s="149"/>
      <c r="B84" s="148">
        <v>82</v>
      </c>
      <c r="C84" s="147" t="b">
        <v>0</v>
      </c>
      <c r="D84" s="146" t="str">
        <v>U0</v>
      </c>
      <c r="E84" s="145" t="str">
        <f t="shared" si="2"/>
        <v>USDFUT3MU0_Quote</v>
      </c>
      <c r="F84" s="144" t="str">
        <f>_xll.qlSimpleQuote(E84,,PriceTickValue,Permanent,Trigger,ObjectOverwrite)</f>
        <v>USDFUT3MU0_Quote#0021</v>
      </c>
      <c r="G84" s="107" t="str">
        <f>_xll.ohRangeRetrieveError(F84)</f>
        <v/>
      </c>
      <c r="H84" s="143"/>
    </row>
    <row r="85" spans="1:8" x14ac:dyDescent="0.2">
      <c r="A85" s="149"/>
      <c r="B85" s="148">
        <v>83</v>
      </c>
      <c r="C85" s="147" t="b">
        <v>0</v>
      </c>
      <c r="D85" s="146" t="str">
        <v>V0</v>
      </c>
      <c r="E85" s="145" t="str">
        <f t="shared" si="2"/>
        <v>USDFUT3MV0_Quote</v>
      </c>
      <c r="F85" s="144" t="str">
        <f>_xll.qlSimpleQuote(E85,,PriceTickValue,Permanent,Trigger,ObjectOverwrite)</f>
        <v>USDFUT3MV0_Quote#0021</v>
      </c>
      <c r="G85" s="107" t="str">
        <f>_xll.ohRangeRetrieveError(F85)</f>
        <v/>
      </c>
      <c r="H85" s="143"/>
    </row>
    <row r="86" spans="1:8" x14ac:dyDescent="0.2">
      <c r="A86" s="149"/>
      <c r="B86" s="148">
        <v>84</v>
      </c>
      <c r="C86" s="147" t="b">
        <v>0</v>
      </c>
      <c r="D86" s="146" t="str">
        <v>X0</v>
      </c>
      <c r="E86" s="145" t="str">
        <f t="shared" si="2"/>
        <v>USDFUT3MX0_Quote</v>
      </c>
      <c r="F86" s="144" t="str">
        <f>_xll.qlSimpleQuote(E86,,PriceTickValue,Permanent,Trigger,ObjectOverwrite)</f>
        <v>USDFUT3MX0_Quote#0021</v>
      </c>
      <c r="G86" s="107" t="str">
        <f>_xll.ohRangeRetrieveError(F86)</f>
        <v/>
      </c>
      <c r="H86" s="143"/>
    </row>
    <row r="87" spans="1:8" x14ac:dyDescent="0.2">
      <c r="A87" s="149"/>
      <c r="B87" s="148">
        <v>85</v>
      </c>
      <c r="C87" s="147" t="b">
        <v>0</v>
      </c>
      <c r="D87" s="146" t="str">
        <v>Z0</v>
      </c>
      <c r="E87" s="145" t="str">
        <f t="shared" si="2"/>
        <v>USDFUT3MZ0_Quote</v>
      </c>
      <c r="F87" s="144" t="str">
        <f>_xll.qlSimpleQuote(E87,,PriceTickValue,Permanent,Trigger,ObjectOverwrite)</f>
        <v>USDFUT3MZ0_Quote#0021</v>
      </c>
      <c r="G87" s="107" t="str">
        <f>_xll.ohRangeRetrieveError(F87)</f>
        <v/>
      </c>
      <c r="H87" s="143"/>
    </row>
    <row r="88" spans="1:8" x14ac:dyDescent="0.2">
      <c r="A88" s="149"/>
      <c r="B88" s="148">
        <v>86</v>
      </c>
      <c r="C88" s="147" t="b">
        <v>0</v>
      </c>
      <c r="D88" s="146" t="str">
        <v>F1</v>
      </c>
      <c r="E88" s="145" t="str">
        <f t="shared" si="2"/>
        <v>USDFUT3MF1_Quote</v>
      </c>
      <c r="F88" s="144" t="str">
        <f>_xll.qlSimpleQuote(E88,,PriceTickValue,Permanent,Trigger,ObjectOverwrite)</f>
        <v>USDFUT3MF1_Quote#0021</v>
      </c>
      <c r="G88" s="107" t="str">
        <f>_xll.ohRangeRetrieveError(F88)</f>
        <v/>
      </c>
      <c r="H88" s="143"/>
    </row>
    <row r="89" spans="1:8" x14ac:dyDescent="0.2">
      <c r="A89" s="149"/>
      <c r="B89" s="148">
        <v>87</v>
      </c>
      <c r="C89" s="147" t="b">
        <v>0</v>
      </c>
      <c r="D89" s="146" t="str">
        <v>G1</v>
      </c>
      <c r="E89" s="145" t="str">
        <f t="shared" si="2"/>
        <v>USDFUT3MG1_Quote</v>
      </c>
      <c r="F89" s="144" t="str">
        <f>_xll.qlSimpleQuote(E89,,PriceTickValue,Permanent,Trigger,ObjectOverwrite)</f>
        <v>USDFUT3MG1_Quote#0021</v>
      </c>
      <c r="G89" s="107" t="str">
        <f>_xll.ohRangeRetrieveError(F89)</f>
        <v/>
      </c>
      <c r="H89" s="143"/>
    </row>
    <row r="90" spans="1:8" x14ac:dyDescent="0.2">
      <c r="A90" s="149"/>
      <c r="B90" s="148">
        <v>88</v>
      </c>
      <c r="C90" s="147" t="b">
        <v>0</v>
      </c>
      <c r="D90" s="146" t="str">
        <v>H1</v>
      </c>
      <c r="E90" s="145" t="str">
        <f t="shared" si="2"/>
        <v>USDFUT3MH1_Quote</v>
      </c>
      <c r="F90" s="144" t="str">
        <f>_xll.qlSimpleQuote(E90,,PriceTickValue,Permanent,Trigger,ObjectOverwrite)</f>
        <v>USDFUT3MH1_Quote#0021</v>
      </c>
      <c r="G90" s="107" t="str">
        <f>_xll.ohRangeRetrieveError(F90)</f>
        <v/>
      </c>
      <c r="H90" s="143"/>
    </row>
    <row r="91" spans="1:8" x14ac:dyDescent="0.2">
      <c r="A91" s="149"/>
      <c r="B91" s="148">
        <v>89</v>
      </c>
      <c r="C91" s="147" t="b">
        <v>0</v>
      </c>
      <c r="D91" s="146" t="str">
        <v>J1</v>
      </c>
      <c r="E91" s="145" t="str">
        <f t="shared" si="2"/>
        <v>USDFUT3MJ1_Quote</v>
      </c>
      <c r="F91" s="144" t="str">
        <f>_xll.qlSimpleQuote(E91,,PriceTickValue,Permanent,Trigger,ObjectOverwrite)</f>
        <v>USDFUT3MJ1_Quote#0021</v>
      </c>
      <c r="G91" s="107" t="str">
        <f>_xll.ohRangeRetrieveError(F91)</f>
        <v/>
      </c>
      <c r="H91" s="143"/>
    </row>
    <row r="92" spans="1:8" x14ac:dyDescent="0.2">
      <c r="A92" s="149"/>
      <c r="B92" s="148">
        <v>90</v>
      </c>
      <c r="C92" s="147" t="b">
        <v>0</v>
      </c>
      <c r="D92" s="146" t="str">
        <v>K1</v>
      </c>
      <c r="E92" s="145" t="str">
        <f t="shared" si="2"/>
        <v>USDFUT3MK1_Quote</v>
      </c>
      <c r="F92" s="144" t="str">
        <f>_xll.qlSimpleQuote(E92,,PriceTickValue,Permanent,Trigger,ObjectOverwrite)</f>
        <v>USDFUT3MK1_Quote#0021</v>
      </c>
      <c r="G92" s="107" t="str">
        <f>_xll.ohRangeRetrieveError(F92)</f>
        <v/>
      </c>
      <c r="H92" s="143"/>
    </row>
    <row r="93" spans="1:8" x14ac:dyDescent="0.2">
      <c r="A93" s="149"/>
      <c r="B93" s="148">
        <v>91</v>
      </c>
      <c r="C93" s="147" t="b">
        <v>0</v>
      </c>
      <c r="D93" s="146" t="str">
        <v>M1</v>
      </c>
      <c r="E93" s="145" t="str">
        <f t="shared" si="2"/>
        <v>USDFUT3MM1_Quote</v>
      </c>
      <c r="F93" s="144" t="str">
        <f>_xll.qlSimpleQuote(E93,,PriceTickValue,Permanent,Trigger,ObjectOverwrite)</f>
        <v>USDFUT3MM1_Quote#0021</v>
      </c>
      <c r="G93" s="107" t="str">
        <f>_xll.ohRangeRetrieveError(F93)</f>
        <v/>
      </c>
      <c r="H93" s="143"/>
    </row>
    <row r="94" spans="1:8" x14ac:dyDescent="0.2">
      <c r="A94" s="149"/>
      <c r="B94" s="148">
        <v>92</v>
      </c>
      <c r="C94" s="147" t="b">
        <v>0</v>
      </c>
      <c r="D94" s="146" t="str">
        <v>N1</v>
      </c>
      <c r="E94" s="145" t="str">
        <f t="shared" si="2"/>
        <v>USDFUT3MN1_Quote</v>
      </c>
      <c r="F94" s="144" t="str">
        <f>_xll.qlSimpleQuote(E94,,PriceTickValue,Permanent,Trigger,ObjectOverwrite)</f>
        <v>USDFUT3MN1_Quote#0021</v>
      </c>
      <c r="G94" s="107" t="str">
        <f>_xll.ohRangeRetrieveError(F94)</f>
        <v/>
      </c>
      <c r="H94" s="143"/>
    </row>
    <row r="95" spans="1:8" x14ac:dyDescent="0.2">
      <c r="A95" s="149"/>
      <c r="B95" s="148">
        <v>93</v>
      </c>
      <c r="C95" s="147" t="b">
        <v>0</v>
      </c>
      <c r="D95" s="146" t="str">
        <v>Q1</v>
      </c>
      <c r="E95" s="145" t="str">
        <f t="shared" si="2"/>
        <v>USDFUT3MQ1_Quote</v>
      </c>
      <c r="F95" s="144" t="str">
        <f>_xll.qlSimpleQuote(E95,,PriceTickValue,Permanent,Trigger,ObjectOverwrite)</f>
        <v>USDFUT3MQ1_Quote#0021</v>
      </c>
      <c r="G95" s="107" t="str">
        <f>_xll.ohRangeRetrieveError(F95)</f>
        <v/>
      </c>
      <c r="H95" s="143"/>
    </row>
    <row r="96" spans="1:8" x14ac:dyDescent="0.2">
      <c r="A96" s="149"/>
      <c r="B96" s="148">
        <v>94</v>
      </c>
      <c r="C96" s="147" t="b">
        <v>0</v>
      </c>
      <c r="D96" s="146" t="str">
        <v>U1</v>
      </c>
      <c r="E96" s="145" t="str">
        <f t="shared" si="2"/>
        <v>USDFUT3MU1_Quote</v>
      </c>
      <c r="F96" s="144" t="str">
        <f>_xll.qlSimpleQuote(E96,,PriceTickValue,Permanent,Trigger,ObjectOverwrite)</f>
        <v>USDFUT3MU1_Quote#0021</v>
      </c>
      <c r="G96" s="107" t="str">
        <f>_xll.ohRangeRetrieveError(F96)</f>
        <v/>
      </c>
      <c r="H96" s="143"/>
    </row>
    <row r="97" spans="1:8" x14ac:dyDescent="0.2">
      <c r="A97" s="149"/>
      <c r="B97" s="148">
        <v>95</v>
      </c>
      <c r="C97" s="147" t="b">
        <v>0</v>
      </c>
      <c r="D97" s="146" t="str">
        <v>V1</v>
      </c>
      <c r="E97" s="145" t="str">
        <f t="shared" si="2"/>
        <v>USDFUT3MV1_Quote</v>
      </c>
      <c r="F97" s="144" t="str">
        <f>_xll.qlSimpleQuote(E97,,PriceTickValue,Permanent,Trigger,ObjectOverwrite)</f>
        <v>USDFUT3MV1_Quote#0021</v>
      </c>
      <c r="G97" s="107" t="str">
        <f>_xll.ohRangeRetrieveError(F97)</f>
        <v/>
      </c>
      <c r="H97" s="143"/>
    </row>
    <row r="98" spans="1:8" x14ac:dyDescent="0.2">
      <c r="A98" s="149"/>
      <c r="B98" s="148">
        <v>96</v>
      </c>
      <c r="C98" s="147" t="b">
        <v>0</v>
      </c>
      <c r="D98" s="146" t="str">
        <v>X1</v>
      </c>
      <c r="E98" s="145" t="str">
        <f t="shared" si="2"/>
        <v>USDFUT3MX1_Quote</v>
      </c>
      <c r="F98" s="144" t="str">
        <f>_xll.qlSimpleQuote(E98,,PriceTickValue,Permanent,Trigger,ObjectOverwrite)</f>
        <v>USDFUT3MX1_Quote#0021</v>
      </c>
      <c r="G98" s="107" t="str">
        <f>_xll.ohRangeRetrieveError(F98)</f>
        <v/>
      </c>
      <c r="H98" s="143"/>
    </row>
    <row r="99" spans="1:8" x14ac:dyDescent="0.2">
      <c r="A99" s="149"/>
      <c r="B99" s="148">
        <v>97</v>
      </c>
      <c r="C99" s="147" t="b">
        <v>0</v>
      </c>
      <c r="D99" s="146" t="str">
        <v>Z1</v>
      </c>
      <c r="E99" s="145" t="str">
        <f t="shared" ref="E99:E122" si="3">Currency&amp;$D$1&amp;$E$1&amp;$D99&amp;QuoteSuffix</f>
        <v>USDFUT3MZ1_Quote</v>
      </c>
      <c r="F99" s="144" t="str">
        <f>_xll.qlSimpleQuote(E99,,PriceTickValue,Permanent,Trigger,ObjectOverwrite)</f>
        <v>USDFUT3MZ1_Quote#0021</v>
      </c>
      <c r="G99" s="107" t="str">
        <f>_xll.ohRangeRetrieveError(F99)</f>
        <v/>
      </c>
      <c r="H99" s="143"/>
    </row>
    <row r="100" spans="1:8" x14ac:dyDescent="0.2">
      <c r="A100" s="149"/>
      <c r="B100" s="148">
        <v>98</v>
      </c>
      <c r="C100" s="147" t="b">
        <v>0</v>
      </c>
      <c r="D100" s="146" t="str">
        <v>F2</v>
      </c>
      <c r="E100" s="145" t="str">
        <f t="shared" si="3"/>
        <v>USDFUT3MF2_Quote</v>
      </c>
      <c r="F100" s="144" t="str">
        <f>_xll.qlSimpleQuote(E100,,PriceTickValue,Permanent,Trigger,ObjectOverwrite)</f>
        <v>USDFUT3MF2_Quote#0021</v>
      </c>
      <c r="G100" s="107" t="str">
        <f>_xll.ohRangeRetrieveError(F100)</f>
        <v/>
      </c>
      <c r="H100" s="143"/>
    </row>
    <row r="101" spans="1:8" x14ac:dyDescent="0.2">
      <c r="A101" s="149"/>
      <c r="B101" s="148">
        <v>99</v>
      </c>
      <c r="C101" s="147" t="b">
        <v>0</v>
      </c>
      <c r="D101" s="146" t="str">
        <v>G2</v>
      </c>
      <c r="E101" s="145" t="str">
        <f t="shared" si="3"/>
        <v>USDFUT3MG2_Quote</v>
      </c>
      <c r="F101" s="144" t="str">
        <f>_xll.qlSimpleQuote(E101,,PriceTickValue,Permanent,Trigger,ObjectOverwrite)</f>
        <v>USDFUT3MG2_Quote#0021</v>
      </c>
      <c r="G101" s="107" t="str">
        <f>_xll.ohRangeRetrieveError(F101)</f>
        <v/>
      </c>
      <c r="H101" s="143"/>
    </row>
    <row r="102" spans="1:8" x14ac:dyDescent="0.2">
      <c r="A102" s="149"/>
      <c r="B102" s="148">
        <v>100</v>
      </c>
      <c r="C102" s="147" t="b">
        <v>0</v>
      </c>
      <c r="D102" s="146" t="str">
        <v>H2</v>
      </c>
      <c r="E102" s="145" t="str">
        <f t="shared" si="3"/>
        <v>USDFUT3MH2_Quote</v>
      </c>
      <c r="F102" s="144" t="str">
        <f>_xll.qlSimpleQuote(E102,,PriceTickValue,Permanent,Trigger,ObjectOverwrite)</f>
        <v>USDFUT3MH2_Quote#0021</v>
      </c>
      <c r="G102" s="107" t="str">
        <f>_xll.ohRangeRetrieveError(F102)</f>
        <v/>
      </c>
      <c r="H102" s="143"/>
    </row>
    <row r="103" spans="1:8" x14ac:dyDescent="0.2">
      <c r="A103" s="149"/>
      <c r="B103" s="148">
        <v>101</v>
      </c>
      <c r="C103" s="147" t="b">
        <v>0</v>
      </c>
      <c r="D103" s="146" t="str">
        <v>J2</v>
      </c>
      <c r="E103" s="145" t="str">
        <f t="shared" si="3"/>
        <v>USDFUT3MJ2_Quote</v>
      </c>
      <c r="F103" s="144" t="str">
        <f>_xll.qlSimpleQuote(E103,,PriceTickValue,Permanent,Trigger,ObjectOverwrite)</f>
        <v>USDFUT3MJ2_Quote#0021</v>
      </c>
      <c r="G103" s="107" t="str">
        <f>_xll.ohRangeRetrieveError(F103)</f>
        <v/>
      </c>
      <c r="H103" s="143"/>
    </row>
    <row r="104" spans="1:8" x14ac:dyDescent="0.2">
      <c r="A104" s="149"/>
      <c r="B104" s="148">
        <v>102</v>
      </c>
      <c r="C104" s="147" t="b">
        <v>0</v>
      </c>
      <c r="D104" s="146" t="str">
        <v>K2</v>
      </c>
      <c r="E104" s="145" t="str">
        <f t="shared" si="3"/>
        <v>USDFUT3MK2_Quote</v>
      </c>
      <c r="F104" s="144" t="str">
        <f>_xll.qlSimpleQuote(E104,,PriceTickValue,Permanent,Trigger,ObjectOverwrite)</f>
        <v>USDFUT3MK2_Quote#0021</v>
      </c>
      <c r="G104" s="107" t="str">
        <f>_xll.ohRangeRetrieveError(F104)</f>
        <v/>
      </c>
      <c r="H104" s="143"/>
    </row>
    <row r="105" spans="1:8" x14ac:dyDescent="0.2">
      <c r="A105" s="149"/>
      <c r="B105" s="148">
        <v>103</v>
      </c>
      <c r="C105" s="147" t="b">
        <v>0</v>
      </c>
      <c r="D105" s="146" t="str">
        <v>M2</v>
      </c>
      <c r="E105" s="145" t="str">
        <f t="shared" si="3"/>
        <v>USDFUT3MM2_Quote</v>
      </c>
      <c r="F105" s="144" t="str">
        <f>_xll.qlSimpleQuote(E105,,PriceTickValue,Permanent,Trigger,ObjectOverwrite)</f>
        <v>USDFUT3MM2_Quote#0021</v>
      </c>
      <c r="G105" s="107" t="str">
        <f>_xll.ohRangeRetrieveError(F105)</f>
        <v/>
      </c>
      <c r="H105" s="143"/>
    </row>
    <row r="106" spans="1:8" x14ac:dyDescent="0.2">
      <c r="A106" s="149"/>
      <c r="B106" s="148">
        <v>104</v>
      </c>
      <c r="C106" s="147" t="b">
        <v>0</v>
      </c>
      <c r="D106" s="146" t="str">
        <v>N2</v>
      </c>
      <c r="E106" s="145" t="str">
        <f t="shared" si="3"/>
        <v>USDFUT3MN2_Quote</v>
      </c>
      <c r="F106" s="144" t="str">
        <f>_xll.qlSimpleQuote(E106,,PriceTickValue,Permanent,Trigger,ObjectOverwrite)</f>
        <v>USDFUT3MN2_Quote#0021</v>
      </c>
      <c r="G106" s="107" t="str">
        <f>_xll.ohRangeRetrieveError(F106)</f>
        <v/>
      </c>
      <c r="H106" s="143"/>
    </row>
    <row r="107" spans="1:8" x14ac:dyDescent="0.2">
      <c r="A107" s="149"/>
      <c r="B107" s="148">
        <v>105</v>
      </c>
      <c r="C107" s="147" t="b">
        <v>0</v>
      </c>
      <c r="D107" s="146" t="str">
        <v>Q2</v>
      </c>
      <c r="E107" s="145" t="str">
        <f t="shared" si="3"/>
        <v>USDFUT3MQ2_Quote</v>
      </c>
      <c r="F107" s="144" t="str">
        <f>_xll.qlSimpleQuote(E107,,PriceTickValue,Permanent,Trigger,ObjectOverwrite)</f>
        <v>USDFUT3MQ2_Quote#0021</v>
      </c>
      <c r="G107" s="107" t="str">
        <f>_xll.ohRangeRetrieveError(F107)</f>
        <v/>
      </c>
      <c r="H107" s="143"/>
    </row>
    <row r="108" spans="1:8" x14ac:dyDescent="0.2">
      <c r="A108" s="149"/>
      <c r="B108" s="148">
        <v>106</v>
      </c>
      <c r="C108" s="147" t="b">
        <v>0</v>
      </c>
      <c r="D108" s="146" t="str">
        <v>U2</v>
      </c>
      <c r="E108" s="145" t="str">
        <f t="shared" si="3"/>
        <v>USDFUT3MU2_Quote</v>
      </c>
      <c r="F108" s="144" t="str">
        <f>_xll.qlSimpleQuote(E108,,PriceTickValue,Permanent,Trigger,ObjectOverwrite)</f>
        <v>USDFUT3MU2_Quote#0021</v>
      </c>
      <c r="G108" s="107" t="str">
        <f>_xll.ohRangeRetrieveError(F108)</f>
        <v/>
      </c>
      <c r="H108" s="143"/>
    </row>
    <row r="109" spans="1:8" x14ac:dyDescent="0.2">
      <c r="A109" s="149"/>
      <c r="B109" s="148">
        <v>107</v>
      </c>
      <c r="C109" s="147" t="b">
        <v>0</v>
      </c>
      <c r="D109" s="146" t="str">
        <v>V2</v>
      </c>
      <c r="E109" s="145" t="str">
        <f t="shared" si="3"/>
        <v>USDFUT3MV2_Quote</v>
      </c>
      <c r="F109" s="144" t="str">
        <f>_xll.qlSimpleQuote(E109,,PriceTickValue,Permanent,Trigger,ObjectOverwrite)</f>
        <v>USDFUT3MV2_Quote#0021</v>
      </c>
      <c r="G109" s="107" t="str">
        <f>_xll.ohRangeRetrieveError(F109)</f>
        <v/>
      </c>
      <c r="H109" s="143"/>
    </row>
    <row r="110" spans="1:8" x14ac:dyDescent="0.2">
      <c r="A110" s="149"/>
      <c r="B110" s="148">
        <v>108</v>
      </c>
      <c r="C110" s="147" t="b">
        <v>0</v>
      </c>
      <c r="D110" s="146" t="str">
        <v>X2</v>
      </c>
      <c r="E110" s="145" t="str">
        <f t="shared" si="3"/>
        <v>USDFUT3MX2_Quote</v>
      </c>
      <c r="F110" s="144" t="str">
        <f>_xll.qlSimpleQuote(E110,,PriceTickValue,Permanent,Trigger,ObjectOverwrite)</f>
        <v>USDFUT3MX2_Quote#0021</v>
      </c>
      <c r="G110" s="107" t="str">
        <f>_xll.ohRangeRetrieveError(F110)</f>
        <v/>
      </c>
      <c r="H110" s="143"/>
    </row>
    <row r="111" spans="1:8" x14ac:dyDescent="0.2">
      <c r="A111" s="149"/>
      <c r="B111" s="148">
        <v>109</v>
      </c>
      <c r="C111" s="147" t="b">
        <v>0</v>
      </c>
      <c r="D111" s="146" t="str">
        <v>Z2</v>
      </c>
      <c r="E111" s="145" t="str">
        <f t="shared" si="3"/>
        <v>USDFUT3MZ2_Quote</v>
      </c>
      <c r="F111" s="144" t="str">
        <f>_xll.qlSimpleQuote(E111,,PriceTickValue,Permanent,Trigger,ObjectOverwrite)</f>
        <v>USDFUT3MZ2_Quote#0021</v>
      </c>
      <c r="G111" s="107" t="str">
        <f>_xll.ohRangeRetrieveError(F111)</f>
        <v/>
      </c>
      <c r="H111" s="143"/>
    </row>
    <row r="112" spans="1:8" x14ac:dyDescent="0.2">
      <c r="A112" s="149"/>
      <c r="B112" s="148">
        <v>110</v>
      </c>
      <c r="C112" s="147" t="b">
        <v>0</v>
      </c>
      <c r="D112" s="146" t="str">
        <v>F3</v>
      </c>
      <c r="E112" s="145" t="str">
        <f t="shared" si="3"/>
        <v>USDFUT3MF3_Quote</v>
      </c>
      <c r="F112" s="144" t="str">
        <f>_xll.qlSimpleQuote(E112,,PriceTickValue,Permanent,Trigger,ObjectOverwrite)</f>
        <v>USDFUT3MF3_Quote#0021</v>
      </c>
      <c r="G112" s="107" t="str">
        <f>_xll.ohRangeRetrieveError(F112)</f>
        <v/>
      </c>
      <c r="H112" s="143"/>
    </row>
    <row r="113" spans="1:8" x14ac:dyDescent="0.2">
      <c r="A113" s="149"/>
      <c r="B113" s="148">
        <v>111</v>
      </c>
      <c r="C113" s="147" t="b">
        <v>0</v>
      </c>
      <c r="D113" s="146" t="str">
        <v>G3</v>
      </c>
      <c r="E113" s="145" t="str">
        <f t="shared" si="3"/>
        <v>USDFUT3MG3_Quote</v>
      </c>
      <c r="F113" s="144" t="str">
        <f>_xll.qlSimpleQuote(E113,,PriceTickValue,Permanent,Trigger,ObjectOverwrite)</f>
        <v>USDFUT3MG3_Quote#0021</v>
      </c>
      <c r="G113" s="107" t="str">
        <f>_xll.ohRangeRetrieveError(F113)</f>
        <v/>
      </c>
      <c r="H113" s="143"/>
    </row>
    <row r="114" spans="1:8" x14ac:dyDescent="0.2">
      <c r="A114" s="149"/>
      <c r="B114" s="148">
        <v>112</v>
      </c>
      <c r="C114" s="147" t="b">
        <v>0</v>
      </c>
      <c r="D114" s="146" t="str">
        <v>H3</v>
      </c>
      <c r="E114" s="145" t="str">
        <f t="shared" si="3"/>
        <v>USDFUT3MH3_Quote</v>
      </c>
      <c r="F114" s="144" t="str">
        <f>_xll.qlSimpleQuote(E114,,PriceTickValue,Permanent,Trigger,ObjectOverwrite)</f>
        <v>USDFUT3MH3_Quote#0021</v>
      </c>
      <c r="G114" s="107" t="str">
        <f>_xll.ohRangeRetrieveError(F114)</f>
        <v/>
      </c>
      <c r="H114" s="143"/>
    </row>
    <row r="115" spans="1:8" x14ac:dyDescent="0.2">
      <c r="A115" s="149"/>
      <c r="B115" s="148">
        <v>113</v>
      </c>
      <c r="C115" s="147" t="b">
        <v>0</v>
      </c>
      <c r="D115" s="146" t="str">
        <v>J3</v>
      </c>
      <c r="E115" s="145" t="str">
        <f t="shared" si="3"/>
        <v>USDFUT3MJ3_Quote</v>
      </c>
      <c r="F115" s="144" t="str">
        <f>_xll.qlSimpleQuote(E115,,PriceTickValue,Permanent,Trigger,ObjectOverwrite)</f>
        <v>USDFUT3MJ3_Quote#0021</v>
      </c>
      <c r="G115" s="107" t="str">
        <f>_xll.ohRangeRetrieveError(F115)</f>
        <v/>
      </c>
      <c r="H115" s="143"/>
    </row>
    <row r="116" spans="1:8" x14ac:dyDescent="0.2">
      <c r="A116" s="149"/>
      <c r="B116" s="148">
        <v>114</v>
      </c>
      <c r="C116" s="147" t="b">
        <v>0</v>
      </c>
      <c r="D116" s="146" t="str">
        <v>K3</v>
      </c>
      <c r="E116" s="145" t="str">
        <f t="shared" si="3"/>
        <v>USDFUT3MK3_Quote</v>
      </c>
      <c r="F116" s="144" t="str">
        <f>_xll.qlSimpleQuote(E116,,PriceTickValue,Permanent,Trigger,ObjectOverwrite)</f>
        <v>USDFUT3MK3_Quote#0021</v>
      </c>
      <c r="G116" s="107" t="str">
        <f>_xll.ohRangeRetrieveError(F116)</f>
        <v/>
      </c>
      <c r="H116" s="143"/>
    </row>
    <row r="117" spans="1:8" x14ac:dyDescent="0.2">
      <c r="A117" s="149"/>
      <c r="B117" s="148">
        <v>115</v>
      </c>
      <c r="C117" s="147" t="b">
        <v>0</v>
      </c>
      <c r="D117" s="146" t="str">
        <v>M3</v>
      </c>
      <c r="E117" s="145" t="str">
        <f t="shared" si="3"/>
        <v>USDFUT3MM3_Quote</v>
      </c>
      <c r="F117" s="144" t="str">
        <f>_xll.qlSimpleQuote(E117,,PriceTickValue,Permanent,Trigger,ObjectOverwrite)</f>
        <v>USDFUT3MM3_Quote#0021</v>
      </c>
      <c r="G117" s="107" t="str">
        <f>_xll.ohRangeRetrieveError(F117)</f>
        <v/>
      </c>
      <c r="H117" s="143"/>
    </row>
    <row r="118" spans="1:8" x14ac:dyDescent="0.2">
      <c r="A118" s="149"/>
      <c r="B118" s="148">
        <v>116</v>
      </c>
      <c r="C118" s="147" t="b">
        <v>0</v>
      </c>
      <c r="D118" s="146" t="str">
        <v>N3</v>
      </c>
      <c r="E118" s="145" t="str">
        <f t="shared" si="3"/>
        <v>USDFUT3MN3_Quote</v>
      </c>
      <c r="F118" s="144" t="str">
        <f>_xll.qlSimpleQuote(E118,,PriceTickValue,Permanent,Trigger,ObjectOverwrite)</f>
        <v>USDFUT3MN3_Quote#0021</v>
      </c>
      <c r="G118" s="107" t="str">
        <f>_xll.ohRangeRetrieveError(F118)</f>
        <v/>
      </c>
      <c r="H118" s="143"/>
    </row>
    <row r="119" spans="1:8" x14ac:dyDescent="0.2">
      <c r="A119" s="149"/>
      <c r="B119" s="148">
        <v>117</v>
      </c>
      <c r="C119" s="147" t="b">
        <v>0</v>
      </c>
      <c r="D119" s="146" t="str">
        <v>Q3</v>
      </c>
      <c r="E119" s="145" t="str">
        <f t="shared" si="3"/>
        <v>USDFUT3MQ3_Quote</v>
      </c>
      <c r="F119" s="144" t="str">
        <f>_xll.qlSimpleQuote(E119,,PriceTickValue,Permanent,Trigger,ObjectOverwrite)</f>
        <v>USDFUT3MQ3_Quote#0021</v>
      </c>
      <c r="G119" s="107" t="str">
        <f>_xll.ohRangeRetrieveError(F119)</f>
        <v/>
      </c>
      <c r="H119" s="143"/>
    </row>
    <row r="120" spans="1:8" x14ac:dyDescent="0.2">
      <c r="A120" s="149"/>
      <c r="B120" s="148">
        <v>118</v>
      </c>
      <c r="C120" s="147" t="b">
        <v>0</v>
      </c>
      <c r="D120" s="146" t="str">
        <v>U3</v>
      </c>
      <c r="E120" s="145" t="str">
        <f t="shared" si="3"/>
        <v>USDFUT3MU3_Quote</v>
      </c>
      <c r="F120" s="144" t="str">
        <f>_xll.qlSimpleQuote(E120,,PriceTickValue,Permanent,Trigger,ObjectOverwrite)</f>
        <v>USDFUT3MU3_Quote#0021</v>
      </c>
      <c r="G120" s="107" t="str">
        <f>_xll.ohRangeRetrieveError(F120)</f>
        <v/>
      </c>
      <c r="H120" s="143"/>
    </row>
    <row r="121" spans="1:8" x14ac:dyDescent="0.2">
      <c r="A121" s="149"/>
      <c r="B121" s="148">
        <v>119</v>
      </c>
      <c r="C121" s="147" t="b">
        <v>0</v>
      </c>
      <c r="D121" s="146" t="str">
        <v>V3</v>
      </c>
      <c r="E121" s="145" t="str">
        <f t="shared" si="3"/>
        <v>USDFUT3MV3_Quote</v>
      </c>
      <c r="F121" s="144" t="str">
        <f>_xll.qlSimpleQuote(E121,,PriceTickValue,Permanent,Trigger,ObjectOverwrite)</f>
        <v>USDFUT3MV3_Quote#0021</v>
      </c>
      <c r="G121" s="107" t="str">
        <f>_xll.ohRangeRetrieveError(F121)</f>
        <v/>
      </c>
      <c r="H121" s="143"/>
    </row>
    <row r="122" spans="1:8" x14ac:dyDescent="0.2">
      <c r="A122" s="149"/>
      <c r="B122" s="148">
        <v>120</v>
      </c>
      <c r="C122" s="147" t="b">
        <v>0</v>
      </c>
      <c r="D122" s="146" t="str">
        <v>X3</v>
      </c>
      <c r="E122" s="145" t="str">
        <f t="shared" si="3"/>
        <v>USDFUT3MX3_Quote</v>
      </c>
      <c r="F122" s="144" t="str">
        <f>_xll.qlSimpleQuote(E122,,PriceTickValue,Permanent,Trigger,ObjectOverwrite)</f>
        <v>USDFUT3MX3_Quote#0021</v>
      </c>
      <c r="G122" s="107" t="str">
        <f>_xll.ohRangeRetrieveError(F122)</f>
        <v/>
      </c>
      <c r="H122" s="143"/>
    </row>
    <row r="123" spans="1:8" ht="12" thickBot="1" x14ac:dyDescent="0.25">
      <c r="A123" s="142"/>
      <c r="B123" s="141"/>
      <c r="C123" s="141"/>
      <c r="D123" s="141"/>
      <c r="E123" s="141"/>
      <c r="F123" s="141"/>
      <c r="G123" s="141"/>
      <c r="H123" s="140"/>
    </row>
  </sheetData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6.5703125" style="105" bestFit="1" customWidth="1"/>
    <col min="5" max="5" width="20.140625" style="105" bestFit="1" customWidth="1"/>
    <col min="6" max="6" width="23.140625" style="105" bestFit="1" customWidth="1"/>
    <col min="7" max="7" width="33.85546875" style="105" customWidth="1"/>
    <col min="8" max="8" width="4.5703125" style="105" customWidth="1"/>
    <col min="9" max="16384" width="9.140625" style="105"/>
  </cols>
  <sheetData>
    <row r="1" spans="1:8" x14ac:dyDescent="0.2">
      <c r="A1" s="160" t="s">
        <v>186</v>
      </c>
      <c r="B1" s="159"/>
      <c r="C1" s="159"/>
      <c r="D1" s="158" t="s">
        <v>185</v>
      </c>
      <c r="E1" s="158" t="s">
        <v>35</v>
      </c>
      <c r="F1" s="157"/>
      <c r="G1" s="157"/>
      <c r="H1" s="156"/>
    </row>
    <row r="2" spans="1:8" ht="22.5" x14ac:dyDescent="0.2">
      <c r="A2" s="155"/>
      <c r="B2" s="94" t="s">
        <v>183</v>
      </c>
      <c r="C2" s="95" t="s">
        <v>182</v>
      </c>
      <c r="D2" s="95" t="s">
        <v>181</v>
      </c>
      <c r="E2" s="93" t="str">
        <f>Currency&amp;"_010_"&amp;$D$1&amp;$E$1&amp;".xml"</f>
        <v>USD_010_IMMFRA6M.xml</v>
      </c>
      <c r="F2" s="92">
        <f ca="1">IF(Serialize,_xll.ohObjectSave(F3:F122,SerializationPath&amp;E2,FileOverwrite,Serialize),"---")</f>
        <v>120</v>
      </c>
      <c r="G2" s="110" t="str">
        <f ca="1">_xll.ohRangeRetrieveError(F2)</f>
        <v/>
      </c>
      <c r="H2" s="143"/>
    </row>
    <row r="3" spans="1:8" x14ac:dyDescent="0.2">
      <c r="A3" s="149"/>
      <c r="B3" s="154">
        <v>1</v>
      </c>
      <c r="C3" s="153" t="b">
        <v>0</v>
      </c>
      <c r="D3" s="152" t="str">
        <f t="array" ref="D3:D122">_xll.qlIMMNextCodes(_xll.qlSettingsEvaluationDate(Trigger)-1,$C3:$C122)</f>
        <v>Z3</v>
      </c>
      <c r="E3" s="145" t="str">
        <f t="shared" ref="E3:E34" si="0">Currency&amp;$D$1&amp;$E$1&amp;$D3&amp;QuoteSuffix</f>
        <v>USDIMMFRA6MZ3_Quote</v>
      </c>
      <c r="F3" s="151" t="str">
        <f>_xll.qlSimpleQuote(E3,,PriceTickValue,Permanent,Trigger,ObjectOverwrite)</f>
        <v>USDIMMFRA6MZ3_Quote#0021</v>
      </c>
      <c r="G3" s="150" t="str">
        <f>_xll.ohRangeRetrieveError(F3)</f>
        <v/>
      </c>
      <c r="H3" s="143"/>
    </row>
    <row r="4" spans="1:8" x14ac:dyDescent="0.2">
      <c r="A4" s="149"/>
      <c r="B4" s="148">
        <v>2</v>
      </c>
      <c r="C4" s="147" t="b">
        <v>0</v>
      </c>
      <c r="D4" s="146" t="str">
        <v>F4</v>
      </c>
      <c r="E4" s="145" t="str">
        <f t="shared" si="0"/>
        <v>USDIMMFRA6MF4_Quote</v>
      </c>
      <c r="F4" s="144" t="str">
        <f>_xll.qlSimpleQuote(E4,,PriceTickValue,Permanent,Trigger,ObjectOverwrite)</f>
        <v>USDIMMFRA6MF4_Quote#0021</v>
      </c>
      <c r="G4" s="107" t="str">
        <f>_xll.ohRangeRetrieveError(F4)</f>
        <v/>
      </c>
      <c r="H4" s="143"/>
    </row>
    <row r="5" spans="1:8" x14ac:dyDescent="0.2">
      <c r="A5" s="149"/>
      <c r="B5" s="148">
        <v>3</v>
      </c>
      <c r="C5" s="147" t="b">
        <v>0</v>
      </c>
      <c r="D5" s="146" t="str">
        <v>G4</v>
      </c>
      <c r="E5" s="145" t="str">
        <f t="shared" si="0"/>
        <v>USDIMMFRA6MG4_Quote</v>
      </c>
      <c r="F5" s="144" t="str">
        <f>_xll.qlSimpleQuote(E5,,PriceTickValue,Permanent,Trigger,ObjectOverwrite)</f>
        <v>USDIMMFRA6MG4_Quote#0021</v>
      </c>
      <c r="G5" s="107" t="str">
        <f>_xll.ohRangeRetrieveError(F5)</f>
        <v/>
      </c>
      <c r="H5" s="143"/>
    </row>
    <row r="6" spans="1:8" x14ac:dyDescent="0.2">
      <c r="A6" s="149"/>
      <c r="B6" s="148">
        <v>4</v>
      </c>
      <c r="C6" s="147" t="b">
        <v>0</v>
      </c>
      <c r="D6" s="146" t="str">
        <v>H4</v>
      </c>
      <c r="E6" s="145" t="str">
        <f t="shared" si="0"/>
        <v>USDIMMFRA6MH4_Quote</v>
      </c>
      <c r="F6" s="144" t="str">
        <f>_xll.qlSimpleQuote(E6,,PriceTickValue,Permanent,Trigger,ObjectOverwrite)</f>
        <v>USDIMMFRA6MH4_Quote#0021</v>
      </c>
      <c r="G6" s="107" t="str">
        <f>_xll.ohRangeRetrieveError(F6)</f>
        <v/>
      </c>
      <c r="H6" s="143"/>
    </row>
    <row r="7" spans="1:8" x14ac:dyDescent="0.2">
      <c r="A7" s="149"/>
      <c r="B7" s="148">
        <v>5</v>
      </c>
      <c r="C7" s="147" t="b">
        <v>0</v>
      </c>
      <c r="D7" s="146" t="str">
        <v>J4</v>
      </c>
      <c r="E7" s="145" t="str">
        <f t="shared" si="0"/>
        <v>USDIMMFRA6MJ4_Quote</v>
      </c>
      <c r="F7" s="144" t="str">
        <f>_xll.qlSimpleQuote(E7,,PriceTickValue,Permanent,Trigger,ObjectOverwrite)</f>
        <v>USDIMMFRA6MJ4_Quote#0021</v>
      </c>
      <c r="G7" s="107" t="str">
        <f>_xll.ohRangeRetrieveError(F7)</f>
        <v/>
      </c>
      <c r="H7" s="143"/>
    </row>
    <row r="8" spans="1:8" x14ac:dyDescent="0.2">
      <c r="A8" s="149"/>
      <c r="B8" s="148">
        <v>6</v>
      </c>
      <c r="C8" s="147" t="b">
        <v>0</v>
      </c>
      <c r="D8" s="146" t="str">
        <v>K4</v>
      </c>
      <c r="E8" s="145" t="str">
        <f t="shared" si="0"/>
        <v>USDIMMFRA6MK4_Quote</v>
      </c>
      <c r="F8" s="144" t="str">
        <f>_xll.qlSimpleQuote(E8,,PriceTickValue,Permanent,Trigger,ObjectOverwrite)</f>
        <v>USDIMMFRA6MK4_Quote#0021</v>
      </c>
      <c r="G8" s="107" t="str">
        <f>_xll.ohRangeRetrieveError(F8)</f>
        <v/>
      </c>
      <c r="H8" s="143"/>
    </row>
    <row r="9" spans="1:8" x14ac:dyDescent="0.2">
      <c r="A9" s="149"/>
      <c r="B9" s="148">
        <v>7</v>
      </c>
      <c r="C9" s="147" t="b">
        <v>0</v>
      </c>
      <c r="D9" s="146" t="str">
        <v>M4</v>
      </c>
      <c r="E9" s="145" t="str">
        <f t="shared" si="0"/>
        <v>USDIMMFRA6MM4_Quote</v>
      </c>
      <c r="F9" s="144" t="str">
        <f>_xll.qlSimpleQuote(E9,,PriceTickValue,Permanent,Trigger,ObjectOverwrite)</f>
        <v>USDIMMFRA6MM4_Quote#0021</v>
      </c>
      <c r="G9" s="107" t="str">
        <f>_xll.ohRangeRetrieveError(F9)</f>
        <v/>
      </c>
      <c r="H9" s="143"/>
    </row>
    <row r="10" spans="1:8" x14ac:dyDescent="0.2">
      <c r="A10" s="149"/>
      <c r="B10" s="148">
        <v>8</v>
      </c>
      <c r="C10" s="147" t="b">
        <v>0</v>
      </c>
      <c r="D10" s="146" t="str">
        <v>N4</v>
      </c>
      <c r="E10" s="145" t="str">
        <f t="shared" si="0"/>
        <v>USDIMMFRA6MN4_Quote</v>
      </c>
      <c r="F10" s="144" t="str">
        <f>_xll.qlSimpleQuote(E10,,PriceTickValue,Permanent,Trigger,ObjectOverwrite)</f>
        <v>USDIMMFRA6MN4_Quote#0021</v>
      </c>
      <c r="G10" s="107" t="str">
        <f>_xll.ohRangeRetrieveError(F10)</f>
        <v/>
      </c>
      <c r="H10" s="143"/>
    </row>
    <row r="11" spans="1:8" x14ac:dyDescent="0.2">
      <c r="A11" s="149"/>
      <c r="B11" s="148">
        <v>9</v>
      </c>
      <c r="C11" s="147" t="b">
        <v>0</v>
      </c>
      <c r="D11" s="146" t="str">
        <v>Q4</v>
      </c>
      <c r="E11" s="145" t="str">
        <f t="shared" si="0"/>
        <v>USDIMMFRA6MQ4_Quote</v>
      </c>
      <c r="F11" s="144" t="str">
        <f>_xll.qlSimpleQuote(E11,,PriceTickValue,Permanent,Trigger,ObjectOverwrite)</f>
        <v>USDIMMFRA6MQ4_Quote#0021</v>
      </c>
      <c r="G11" s="107" t="str">
        <f>_xll.ohRangeRetrieveError(F11)</f>
        <v/>
      </c>
      <c r="H11" s="143"/>
    </row>
    <row r="12" spans="1:8" x14ac:dyDescent="0.2">
      <c r="A12" s="149"/>
      <c r="B12" s="148">
        <v>10</v>
      </c>
      <c r="C12" s="147" t="b">
        <v>0</v>
      </c>
      <c r="D12" s="146" t="str">
        <v>U4</v>
      </c>
      <c r="E12" s="145" t="str">
        <f t="shared" si="0"/>
        <v>USDIMMFRA6MU4_Quote</v>
      </c>
      <c r="F12" s="144" t="str">
        <f>_xll.qlSimpleQuote(E12,,PriceTickValue,Permanent,Trigger,ObjectOverwrite)</f>
        <v>USDIMMFRA6MU4_Quote#0021</v>
      </c>
      <c r="G12" s="107" t="str">
        <f>_xll.ohRangeRetrieveError(F12)</f>
        <v/>
      </c>
      <c r="H12" s="143"/>
    </row>
    <row r="13" spans="1:8" x14ac:dyDescent="0.2">
      <c r="A13" s="149"/>
      <c r="B13" s="148">
        <v>11</v>
      </c>
      <c r="C13" s="147" t="b">
        <v>0</v>
      </c>
      <c r="D13" s="146" t="str">
        <v>V4</v>
      </c>
      <c r="E13" s="145" t="str">
        <f t="shared" si="0"/>
        <v>USDIMMFRA6MV4_Quote</v>
      </c>
      <c r="F13" s="144" t="str">
        <f>_xll.qlSimpleQuote(E13,,PriceTickValue,Permanent,Trigger,ObjectOverwrite)</f>
        <v>USDIMMFRA6MV4_Quote#0021</v>
      </c>
      <c r="G13" s="107" t="str">
        <f>_xll.ohRangeRetrieveError(F13)</f>
        <v/>
      </c>
      <c r="H13" s="143"/>
    </row>
    <row r="14" spans="1:8" x14ac:dyDescent="0.2">
      <c r="A14" s="149"/>
      <c r="B14" s="148">
        <v>12</v>
      </c>
      <c r="C14" s="147" t="b">
        <v>0</v>
      </c>
      <c r="D14" s="146" t="str">
        <v>X4</v>
      </c>
      <c r="E14" s="145" t="str">
        <f t="shared" si="0"/>
        <v>USDIMMFRA6MX4_Quote</v>
      </c>
      <c r="F14" s="144" t="str">
        <f>_xll.qlSimpleQuote(E14,,PriceTickValue,Permanent,Trigger,ObjectOverwrite)</f>
        <v>USDIMMFRA6MX4_Quote#0021</v>
      </c>
      <c r="G14" s="107" t="str">
        <f>_xll.ohRangeRetrieveError(F14)</f>
        <v/>
      </c>
      <c r="H14" s="143"/>
    </row>
    <row r="15" spans="1:8" x14ac:dyDescent="0.2">
      <c r="A15" s="149"/>
      <c r="B15" s="148">
        <v>13</v>
      </c>
      <c r="C15" s="147" t="b">
        <v>0</v>
      </c>
      <c r="D15" s="146" t="str">
        <v>Z4</v>
      </c>
      <c r="E15" s="145" t="str">
        <f t="shared" si="0"/>
        <v>USDIMMFRA6MZ4_Quote</v>
      </c>
      <c r="F15" s="144" t="str">
        <f>_xll.qlSimpleQuote(E15,,PriceTickValue,Permanent,Trigger,ObjectOverwrite)</f>
        <v>USDIMMFRA6MZ4_Quote#0021</v>
      </c>
      <c r="G15" s="107" t="str">
        <f>_xll.ohRangeRetrieveError(F15)</f>
        <v/>
      </c>
      <c r="H15" s="143"/>
    </row>
    <row r="16" spans="1:8" x14ac:dyDescent="0.2">
      <c r="A16" s="149"/>
      <c r="B16" s="148">
        <v>14</v>
      </c>
      <c r="C16" s="147" t="b">
        <v>0</v>
      </c>
      <c r="D16" s="146" t="str">
        <v>F5</v>
      </c>
      <c r="E16" s="145" t="str">
        <f t="shared" si="0"/>
        <v>USDIMMFRA6MF5_Quote</v>
      </c>
      <c r="F16" s="144" t="str">
        <f>_xll.qlSimpleQuote(E16,,PriceTickValue,Permanent,Trigger,ObjectOverwrite)</f>
        <v>USDIMMFRA6MF5_Quote#0021</v>
      </c>
      <c r="G16" s="107" t="str">
        <f>_xll.ohRangeRetrieveError(F16)</f>
        <v/>
      </c>
      <c r="H16" s="143"/>
    </row>
    <row r="17" spans="1:8" x14ac:dyDescent="0.2">
      <c r="A17" s="149"/>
      <c r="B17" s="148">
        <v>15</v>
      </c>
      <c r="C17" s="147" t="b">
        <v>0</v>
      </c>
      <c r="D17" s="146" t="str">
        <v>G5</v>
      </c>
      <c r="E17" s="145" t="str">
        <f t="shared" si="0"/>
        <v>USDIMMFRA6MG5_Quote</v>
      </c>
      <c r="F17" s="144" t="str">
        <f>_xll.qlSimpleQuote(E17,,PriceTickValue,Permanent,Trigger,ObjectOverwrite)</f>
        <v>USDIMMFRA6MG5_Quote#0021</v>
      </c>
      <c r="G17" s="107" t="str">
        <f>_xll.ohRangeRetrieveError(F17)</f>
        <v/>
      </c>
      <c r="H17" s="143"/>
    </row>
    <row r="18" spans="1:8" x14ac:dyDescent="0.2">
      <c r="A18" s="149"/>
      <c r="B18" s="148">
        <v>16</v>
      </c>
      <c r="C18" s="147" t="b">
        <v>0</v>
      </c>
      <c r="D18" s="146" t="str">
        <v>H5</v>
      </c>
      <c r="E18" s="145" t="str">
        <f t="shared" si="0"/>
        <v>USDIMMFRA6MH5_Quote</v>
      </c>
      <c r="F18" s="144" t="str">
        <f>_xll.qlSimpleQuote(E18,,PriceTickValue,Permanent,Trigger,ObjectOverwrite)</f>
        <v>USDIMMFRA6MH5_Quote#0021</v>
      </c>
      <c r="G18" s="107" t="str">
        <f>_xll.ohRangeRetrieveError(F18)</f>
        <v/>
      </c>
      <c r="H18" s="143"/>
    </row>
    <row r="19" spans="1:8" x14ac:dyDescent="0.2">
      <c r="A19" s="149"/>
      <c r="B19" s="148">
        <v>17</v>
      </c>
      <c r="C19" s="147" t="b">
        <v>0</v>
      </c>
      <c r="D19" s="146" t="str">
        <v>J5</v>
      </c>
      <c r="E19" s="145" t="str">
        <f t="shared" si="0"/>
        <v>USDIMMFRA6MJ5_Quote</v>
      </c>
      <c r="F19" s="144" t="str">
        <f>_xll.qlSimpleQuote(E19,,PriceTickValue,Permanent,Trigger,ObjectOverwrite)</f>
        <v>USDIMMFRA6MJ5_Quote#0021</v>
      </c>
      <c r="G19" s="107" t="str">
        <f>_xll.ohRangeRetrieveError(F19)</f>
        <v/>
      </c>
      <c r="H19" s="143"/>
    </row>
    <row r="20" spans="1:8" x14ac:dyDescent="0.2">
      <c r="A20" s="149"/>
      <c r="B20" s="148">
        <v>18</v>
      </c>
      <c r="C20" s="147" t="b">
        <v>0</v>
      </c>
      <c r="D20" s="146" t="str">
        <v>K5</v>
      </c>
      <c r="E20" s="145" t="str">
        <f t="shared" si="0"/>
        <v>USDIMMFRA6MK5_Quote</v>
      </c>
      <c r="F20" s="144" t="str">
        <f>_xll.qlSimpleQuote(E20,,PriceTickValue,Permanent,Trigger,ObjectOverwrite)</f>
        <v>USDIMMFRA6MK5_Quote#0021</v>
      </c>
      <c r="G20" s="107" t="str">
        <f>_xll.ohRangeRetrieveError(F20)</f>
        <v/>
      </c>
      <c r="H20" s="143"/>
    </row>
    <row r="21" spans="1:8" x14ac:dyDescent="0.2">
      <c r="A21" s="149"/>
      <c r="B21" s="148">
        <v>19</v>
      </c>
      <c r="C21" s="147" t="b">
        <v>0</v>
      </c>
      <c r="D21" s="146" t="str">
        <v>M5</v>
      </c>
      <c r="E21" s="145" t="str">
        <f t="shared" si="0"/>
        <v>USDIMMFRA6MM5_Quote</v>
      </c>
      <c r="F21" s="144" t="str">
        <f>_xll.qlSimpleQuote(E21,,PriceTickValue,Permanent,Trigger,ObjectOverwrite)</f>
        <v>USDIMMFRA6MM5_Quote#0021</v>
      </c>
      <c r="G21" s="107" t="str">
        <f>_xll.ohRangeRetrieveError(F21)</f>
        <v/>
      </c>
      <c r="H21" s="143"/>
    </row>
    <row r="22" spans="1:8" x14ac:dyDescent="0.2">
      <c r="A22" s="149"/>
      <c r="B22" s="148">
        <v>20</v>
      </c>
      <c r="C22" s="147" t="b">
        <v>0</v>
      </c>
      <c r="D22" s="146" t="str">
        <v>N5</v>
      </c>
      <c r="E22" s="145" t="str">
        <f t="shared" si="0"/>
        <v>USDIMMFRA6MN5_Quote</v>
      </c>
      <c r="F22" s="144" t="str">
        <f>_xll.qlSimpleQuote(E22,,PriceTickValue,Permanent,Trigger,ObjectOverwrite)</f>
        <v>USDIMMFRA6MN5_Quote#0021</v>
      </c>
      <c r="G22" s="107" t="str">
        <f>_xll.ohRangeRetrieveError(F22)</f>
        <v/>
      </c>
      <c r="H22" s="143"/>
    </row>
    <row r="23" spans="1:8" x14ac:dyDescent="0.2">
      <c r="A23" s="149"/>
      <c r="B23" s="148">
        <v>21</v>
      </c>
      <c r="C23" s="147" t="b">
        <v>0</v>
      </c>
      <c r="D23" s="146" t="str">
        <v>Q5</v>
      </c>
      <c r="E23" s="145" t="str">
        <f t="shared" si="0"/>
        <v>USDIMMFRA6MQ5_Quote</v>
      </c>
      <c r="F23" s="144" t="str">
        <f>_xll.qlSimpleQuote(E23,,PriceTickValue,Permanent,Trigger,ObjectOverwrite)</f>
        <v>USDIMMFRA6MQ5_Quote#0021</v>
      </c>
      <c r="G23" s="107" t="str">
        <f>_xll.ohRangeRetrieveError(F23)</f>
        <v/>
      </c>
      <c r="H23" s="143"/>
    </row>
    <row r="24" spans="1:8" x14ac:dyDescent="0.2">
      <c r="A24" s="149"/>
      <c r="B24" s="148">
        <v>22</v>
      </c>
      <c r="C24" s="147" t="b">
        <v>0</v>
      </c>
      <c r="D24" s="146" t="str">
        <v>U5</v>
      </c>
      <c r="E24" s="145" t="str">
        <f t="shared" si="0"/>
        <v>USDIMMFRA6MU5_Quote</v>
      </c>
      <c r="F24" s="144" t="str">
        <f>_xll.qlSimpleQuote(E24,,PriceTickValue,Permanent,Trigger,ObjectOverwrite)</f>
        <v>USDIMMFRA6MU5_Quote#0021</v>
      </c>
      <c r="G24" s="107" t="str">
        <f>_xll.ohRangeRetrieveError(F24)</f>
        <v/>
      </c>
      <c r="H24" s="143"/>
    </row>
    <row r="25" spans="1:8" x14ac:dyDescent="0.2">
      <c r="A25" s="149"/>
      <c r="B25" s="148">
        <v>23</v>
      </c>
      <c r="C25" s="147" t="b">
        <v>0</v>
      </c>
      <c r="D25" s="146" t="str">
        <v>V5</v>
      </c>
      <c r="E25" s="145" t="str">
        <f t="shared" si="0"/>
        <v>USDIMMFRA6MV5_Quote</v>
      </c>
      <c r="F25" s="144" t="str">
        <f>_xll.qlSimpleQuote(E25,,PriceTickValue,Permanent,Trigger,ObjectOverwrite)</f>
        <v>USDIMMFRA6MV5_Quote#0021</v>
      </c>
      <c r="G25" s="107" t="str">
        <f>_xll.ohRangeRetrieveError(F25)</f>
        <v/>
      </c>
      <c r="H25" s="143"/>
    </row>
    <row r="26" spans="1:8" x14ac:dyDescent="0.2">
      <c r="A26" s="149"/>
      <c r="B26" s="148">
        <v>24</v>
      </c>
      <c r="C26" s="147" t="b">
        <v>0</v>
      </c>
      <c r="D26" s="146" t="str">
        <v>X5</v>
      </c>
      <c r="E26" s="145" t="str">
        <f t="shared" si="0"/>
        <v>USDIMMFRA6MX5_Quote</v>
      </c>
      <c r="F26" s="144" t="str">
        <f>_xll.qlSimpleQuote(E26,,PriceTickValue,Permanent,Trigger,ObjectOverwrite)</f>
        <v>USDIMMFRA6MX5_Quote#0021</v>
      </c>
      <c r="G26" s="107" t="str">
        <f>_xll.ohRangeRetrieveError(F26)</f>
        <v/>
      </c>
      <c r="H26" s="143"/>
    </row>
    <row r="27" spans="1:8" x14ac:dyDescent="0.2">
      <c r="A27" s="149"/>
      <c r="B27" s="148">
        <v>25</v>
      </c>
      <c r="C27" s="147" t="b">
        <v>0</v>
      </c>
      <c r="D27" s="146" t="str">
        <v>Z5</v>
      </c>
      <c r="E27" s="145" t="str">
        <f t="shared" si="0"/>
        <v>USDIMMFRA6MZ5_Quote</v>
      </c>
      <c r="F27" s="144" t="str">
        <f>_xll.qlSimpleQuote(E27,,PriceTickValue,Permanent,Trigger,ObjectOverwrite)</f>
        <v>USDIMMFRA6MZ5_Quote#0021</v>
      </c>
      <c r="G27" s="107" t="str">
        <f>_xll.ohRangeRetrieveError(F27)</f>
        <v/>
      </c>
      <c r="H27" s="143"/>
    </row>
    <row r="28" spans="1:8" x14ac:dyDescent="0.2">
      <c r="A28" s="149"/>
      <c r="B28" s="148">
        <v>26</v>
      </c>
      <c r="C28" s="147" t="b">
        <v>0</v>
      </c>
      <c r="D28" s="146" t="str">
        <v>F6</v>
      </c>
      <c r="E28" s="145" t="str">
        <f t="shared" si="0"/>
        <v>USDIMMFRA6MF6_Quote</v>
      </c>
      <c r="F28" s="144" t="str">
        <f>_xll.qlSimpleQuote(E28,,PriceTickValue,Permanent,Trigger,ObjectOverwrite)</f>
        <v>USDIMMFRA6MF6_Quote#0021</v>
      </c>
      <c r="G28" s="107" t="str">
        <f>_xll.ohRangeRetrieveError(F28)</f>
        <v/>
      </c>
      <c r="H28" s="143"/>
    </row>
    <row r="29" spans="1:8" x14ac:dyDescent="0.2">
      <c r="A29" s="149"/>
      <c r="B29" s="148">
        <v>27</v>
      </c>
      <c r="C29" s="147" t="b">
        <v>0</v>
      </c>
      <c r="D29" s="146" t="str">
        <v>G6</v>
      </c>
      <c r="E29" s="145" t="str">
        <f t="shared" si="0"/>
        <v>USDIMMFRA6MG6_Quote</v>
      </c>
      <c r="F29" s="144" t="str">
        <f>_xll.qlSimpleQuote(E29,,PriceTickValue,Permanent,Trigger,ObjectOverwrite)</f>
        <v>USDIMMFRA6MG6_Quote#0021</v>
      </c>
      <c r="G29" s="107" t="str">
        <f>_xll.ohRangeRetrieveError(F29)</f>
        <v/>
      </c>
      <c r="H29" s="143"/>
    </row>
    <row r="30" spans="1:8" x14ac:dyDescent="0.2">
      <c r="A30" s="149"/>
      <c r="B30" s="148">
        <v>28</v>
      </c>
      <c r="C30" s="147" t="b">
        <v>0</v>
      </c>
      <c r="D30" s="146" t="str">
        <v>H6</v>
      </c>
      <c r="E30" s="145" t="str">
        <f t="shared" si="0"/>
        <v>USDIMMFRA6MH6_Quote</v>
      </c>
      <c r="F30" s="144" t="str">
        <f>_xll.qlSimpleQuote(E30,,PriceTickValue,Permanent,Trigger,ObjectOverwrite)</f>
        <v>USDIMMFRA6MH6_Quote#0021</v>
      </c>
      <c r="G30" s="107" t="str">
        <f>_xll.ohRangeRetrieveError(F30)</f>
        <v/>
      </c>
      <c r="H30" s="143"/>
    </row>
    <row r="31" spans="1:8" x14ac:dyDescent="0.2">
      <c r="A31" s="149"/>
      <c r="B31" s="148">
        <v>29</v>
      </c>
      <c r="C31" s="147" t="b">
        <v>0</v>
      </c>
      <c r="D31" s="146" t="str">
        <v>J6</v>
      </c>
      <c r="E31" s="145" t="str">
        <f t="shared" si="0"/>
        <v>USDIMMFRA6MJ6_Quote</v>
      </c>
      <c r="F31" s="144" t="str">
        <f>_xll.qlSimpleQuote(E31,,PriceTickValue,Permanent,Trigger,ObjectOverwrite)</f>
        <v>USDIMMFRA6MJ6_Quote#0021</v>
      </c>
      <c r="G31" s="107" t="str">
        <f>_xll.ohRangeRetrieveError(F31)</f>
        <v/>
      </c>
      <c r="H31" s="143"/>
    </row>
    <row r="32" spans="1:8" x14ac:dyDescent="0.2">
      <c r="A32" s="149"/>
      <c r="B32" s="148">
        <v>30</v>
      </c>
      <c r="C32" s="147" t="b">
        <v>0</v>
      </c>
      <c r="D32" s="146" t="str">
        <v>K6</v>
      </c>
      <c r="E32" s="145" t="str">
        <f t="shared" si="0"/>
        <v>USDIMMFRA6MK6_Quote</v>
      </c>
      <c r="F32" s="144" t="str">
        <f>_xll.qlSimpleQuote(E32,,PriceTickValue,Permanent,Trigger,ObjectOverwrite)</f>
        <v>USDIMMFRA6MK6_Quote#0021</v>
      </c>
      <c r="G32" s="107" t="str">
        <f>_xll.ohRangeRetrieveError(F32)</f>
        <v/>
      </c>
      <c r="H32" s="143"/>
    </row>
    <row r="33" spans="1:8" x14ac:dyDescent="0.2">
      <c r="A33" s="149"/>
      <c r="B33" s="148">
        <v>31</v>
      </c>
      <c r="C33" s="147" t="b">
        <v>0</v>
      </c>
      <c r="D33" s="146" t="str">
        <v>M6</v>
      </c>
      <c r="E33" s="145" t="str">
        <f t="shared" si="0"/>
        <v>USDIMMFRA6MM6_Quote</v>
      </c>
      <c r="F33" s="144" t="str">
        <f>_xll.qlSimpleQuote(E33,,PriceTickValue,Permanent,Trigger,ObjectOverwrite)</f>
        <v>USDIMMFRA6MM6_Quote#0021</v>
      </c>
      <c r="G33" s="107" t="str">
        <f>_xll.ohRangeRetrieveError(F33)</f>
        <v/>
      </c>
      <c r="H33" s="143"/>
    </row>
    <row r="34" spans="1:8" x14ac:dyDescent="0.2">
      <c r="A34" s="149"/>
      <c r="B34" s="148">
        <v>32</v>
      </c>
      <c r="C34" s="147" t="b">
        <v>0</v>
      </c>
      <c r="D34" s="146" t="str">
        <v>N6</v>
      </c>
      <c r="E34" s="145" t="str">
        <f t="shared" si="0"/>
        <v>USDIMMFRA6MN6_Quote</v>
      </c>
      <c r="F34" s="144" t="str">
        <f>_xll.qlSimpleQuote(E34,,PriceTickValue,Permanent,Trigger,ObjectOverwrite)</f>
        <v>USDIMMFRA6MN6_Quote#0021</v>
      </c>
      <c r="G34" s="107" t="str">
        <f>_xll.ohRangeRetrieveError(F34)</f>
        <v/>
      </c>
      <c r="H34" s="143"/>
    </row>
    <row r="35" spans="1:8" x14ac:dyDescent="0.2">
      <c r="A35" s="149"/>
      <c r="B35" s="148">
        <v>33</v>
      </c>
      <c r="C35" s="147" t="b">
        <v>0</v>
      </c>
      <c r="D35" s="146" t="str">
        <v>Q6</v>
      </c>
      <c r="E35" s="145" t="str">
        <f t="shared" ref="E35:E66" si="1">Currency&amp;$D$1&amp;$E$1&amp;$D35&amp;QuoteSuffix</f>
        <v>USDIMMFRA6MQ6_Quote</v>
      </c>
      <c r="F35" s="144" t="str">
        <f>_xll.qlSimpleQuote(E35,,PriceTickValue,Permanent,Trigger,ObjectOverwrite)</f>
        <v>USDIMMFRA6MQ6_Quote#0021</v>
      </c>
      <c r="G35" s="107" t="str">
        <f>_xll.ohRangeRetrieveError(F35)</f>
        <v/>
      </c>
      <c r="H35" s="143"/>
    </row>
    <row r="36" spans="1:8" x14ac:dyDescent="0.2">
      <c r="A36" s="149"/>
      <c r="B36" s="148">
        <v>34</v>
      </c>
      <c r="C36" s="147" t="b">
        <v>0</v>
      </c>
      <c r="D36" s="146" t="str">
        <v>U6</v>
      </c>
      <c r="E36" s="145" t="str">
        <f t="shared" si="1"/>
        <v>USDIMMFRA6MU6_Quote</v>
      </c>
      <c r="F36" s="144" t="str">
        <f>_xll.qlSimpleQuote(E36,,PriceTickValue,Permanent,Trigger,ObjectOverwrite)</f>
        <v>USDIMMFRA6MU6_Quote#0021</v>
      </c>
      <c r="G36" s="107" t="str">
        <f>_xll.ohRangeRetrieveError(F36)</f>
        <v/>
      </c>
      <c r="H36" s="143"/>
    </row>
    <row r="37" spans="1:8" x14ac:dyDescent="0.2">
      <c r="A37" s="149"/>
      <c r="B37" s="148">
        <v>35</v>
      </c>
      <c r="C37" s="147" t="b">
        <v>0</v>
      </c>
      <c r="D37" s="146" t="str">
        <v>V6</v>
      </c>
      <c r="E37" s="145" t="str">
        <f t="shared" si="1"/>
        <v>USDIMMFRA6MV6_Quote</v>
      </c>
      <c r="F37" s="144" t="str">
        <f>_xll.qlSimpleQuote(E37,,PriceTickValue,Permanent,Trigger,ObjectOverwrite)</f>
        <v>USDIMMFRA6MV6_Quote#0021</v>
      </c>
      <c r="G37" s="107" t="str">
        <f>_xll.ohRangeRetrieveError(F37)</f>
        <v/>
      </c>
      <c r="H37" s="143"/>
    </row>
    <row r="38" spans="1:8" x14ac:dyDescent="0.2">
      <c r="A38" s="149"/>
      <c r="B38" s="148">
        <v>36</v>
      </c>
      <c r="C38" s="147" t="b">
        <v>0</v>
      </c>
      <c r="D38" s="146" t="str">
        <v>X6</v>
      </c>
      <c r="E38" s="145" t="str">
        <f t="shared" si="1"/>
        <v>USDIMMFRA6MX6_Quote</v>
      </c>
      <c r="F38" s="144" t="str">
        <f>_xll.qlSimpleQuote(E38,,PriceTickValue,Permanent,Trigger,ObjectOverwrite)</f>
        <v>USDIMMFRA6MX6_Quote#0021</v>
      </c>
      <c r="G38" s="107" t="str">
        <f>_xll.ohRangeRetrieveError(F38)</f>
        <v/>
      </c>
      <c r="H38" s="143"/>
    </row>
    <row r="39" spans="1:8" x14ac:dyDescent="0.2">
      <c r="A39" s="149"/>
      <c r="B39" s="148">
        <v>37</v>
      </c>
      <c r="C39" s="147" t="b">
        <v>0</v>
      </c>
      <c r="D39" s="146" t="str">
        <v>Z6</v>
      </c>
      <c r="E39" s="145" t="str">
        <f t="shared" si="1"/>
        <v>USDIMMFRA6MZ6_Quote</v>
      </c>
      <c r="F39" s="144" t="str">
        <f>_xll.qlSimpleQuote(E39,,PriceTickValue,Permanent,Trigger,ObjectOverwrite)</f>
        <v>USDIMMFRA6MZ6_Quote#0021</v>
      </c>
      <c r="G39" s="107" t="str">
        <f>_xll.ohRangeRetrieveError(F39)</f>
        <v/>
      </c>
      <c r="H39" s="143"/>
    </row>
    <row r="40" spans="1:8" x14ac:dyDescent="0.2">
      <c r="A40" s="149"/>
      <c r="B40" s="148">
        <v>38</v>
      </c>
      <c r="C40" s="147" t="b">
        <v>0</v>
      </c>
      <c r="D40" s="146" t="str">
        <v>F7</v>
      </c>
      <c r="E40" s="145" t="str">
        <f t="shared" si="1"/>
        <v>USDIMMFRA6MF7_Quote</v>
      </c>
      <c r="F40" s="144" t="str">
        <f>_xll.qlSimpleQuote(E40,,PriceTickValue,Permanent,Trigger,ObjectOverwrite)</f>
        <v>USDIMMFRA6MF7_Quote#0021</v>
      </c>
      <c r="G40" s="107" t="str">
        <f>_xll.ohRangeRetrieveError(F40)</f>
        <v/>
      </c>
      <c r="H40" s="143"/>
    </row>
    <row r="41" spans="1:8" x14ac:dyDescent="0.2">
      <c r="A41" s="149"/>
      <c r="B41" s="148">
        <v>39</v>
      </c>
      <c r="C41" s="147" t="b">
        <v>0</v>
      </c>
      <c r="D41" s="146" t="str">
        <v>G7</v>
      </c>
      <c r="E41" s="145" t="str">
        <f t="shared" si="1"/>
        <v>USDIMMFRA6MG7_Quote</v>
      </c>
      <c r="F41" s="144" t="str">
        <f>_xll.qlSimpleQuote(E41,,PriceTickValue,Permanent,Trigger,ObjectOverwrite)</f>
        <v>USDIMMFRA6MG7_Quote#0021</v>
      </c>
      <c r="G41" s="107" t="str">
        <f>_xll.ohRangeRetrieveError(F41)</f>
        <v/>
      </c>
      <c r="H41" s="143"/>
    </row>
    <row r="42" spans="1:8" x14ac:dyDescent="0.2">
      <c r="A42" s="149"/>
      <c r="B42" s="148">
        <v>40</v>
      </c>
      <c r="C42" s="147" t="b">
        <v>0</v>
      </c>
      <c r="D42" s="146" t="str">
        <v>H7</v>
      </c>
      <c r="E42" s="145" t="str">
        <f t="shared" si="1"/>
        <v>USDIMMFRA6MH7_Quote</v>
      </c>
      <c r="F42" s="144" t="str">
        <f>_xll.qlSimpleQuote(E42,,PriceTickValue,Permanent,Trigger,ObjectOverwrite)</f>
        <v>USDIMMFRA6MH7_Quote#0021</v>
      </c>
      <c r="G42" s="107" t="str">
        <f>_xll.ohRangeRetrieveError(F42)</f>
        <v/>
      </c>
      <c r="H42" s="143"/>
    </row>
    <row r="43" spans="1:8" x14ac:dyDescent="0.2">
      <c r="A43" s="149"/>
      <c r="B43" s="148">
        <v>41</v>
      </c>
      <c r="C43" s="147" t="b">
        <v>0</v>
      </c>
      <c r="D43" s="146" t="str">
        <v>J7</v>
      </c>
      <c r="E43" s="145" t="str">
        <f t="shared" si="1"/>
        <v>USDIMMFRA6MJ7_Quote</v>
      </c>
      <c r="F43" s="144" t="str">
        <f>_xll.qlSimpleQuote(E43,,PriceTickValue,Permanent,Trigger,ObjectOverwrite)</f>
        <v>USDIMMFRA6MJ7_Quote#0021</v>
      </c>
      <c r="G43" s="107" t="str">
        <f>_xll.ohRangeRetrieveError(F43)</f>
        <v/>
      </c>
      <c r="H43" s="143"/>
    </row>
    <row r="44" spans="1:8" x14ac:dyDescent="0.2">
      <c r="A44" s="149"/>
      <c r="B44" s="148">
        <v>42</v>
      </c>
      <c r="C44" s="147" t="b">
        <v>0</v>
      </c>
      <c r="D44" s="146" t="str">
        <v>K7</v>
      </c>
      <c r="E44" s="145" t="str">
        <f t="shared" si="1"/>
        <v>USDIMMFRA6MK7_Quote</v>
      </c>
      <c r="F44" s="144" t="str">
        <f>_xll.qlSimpleQuote(E44,,PriceTickValue,Permanent,Trigger,ObjectOverwrite)</f>
        <v>USDIMMFRA6MK7_Quote#0021</v>
      </c>
      <c r="G44" s="107" t="str">
        <f>_xll.ohRangeRetrieveError(F44)</f>
        <v/>
      </c>
      <c r="H44" s="143"/>
    </row>
    <row r="45" spans="1:8" x14ac:dyDescent="0.2">
      <c r="A45" s="149"/>
      <c r="B45" s="148">
        <v>43</v>
      </c>
      <c r="C45" s="147" t="b">
        <v>0</v>
      </c>
      <c r="D45" s="146" t="str">
        <v>M7</v>
      </c>
      <c r="E45" s="145" t="str">
        <f t="shared" si="1"/>
        <v>USDIMMFRA6MM7_Quote</v>
      </c>
      <c r="F45" s="144" t="str">
        <f>_xll.qlSimpleQuote(E45,,PriceTickValue,Permanent,Trigger,ObjectOverwrite)</f>
        <v>USDIMMFRA6MM7_Quote#0021</v>
      </c>
      <c r="G45" s="107" t="str">
        <f>_xll.ohRangeRetrieveError(F45)</f>
        <v/>
      </c>
      <c r="H45" s="143"/>
    </row>
    <row r="46" spans="1:8" x14ac:dyDescent="0.2">
      <c r="A46" s="149"/>
      <c r="B46" s="148">
        <v>44</v>
      </c>
      <c r="C46" s="147" t="b">
        <v>0</v>
      </c>
      <c r="D46" s="146" t="str">
        <v>N7</v>
      </c>
      <c r="E46" s="145" t="str">
        <f t="shared" si="1"/>
        <v>USDIMMFRA6MN7_Quote</v>
      </c>
      <c r="F46" s="144" t="str">
        <f>_xll.qlSimpleQuote(E46,,PriceTickValue,Permanent,Trigger,ObjectOverwrite)</f>
        <v>USDIMMFRA6MN7_Quote#0021</v>
      </c>
      <c r="G46" s="107" t="str">
        <f>_xll.ohRangeRetrieveError(F46)</f>
        <v/>
      </c>
      <c r="H46" s="143"/>
    </row>
    <row r="47" spans="1:8" x14ac:dyDescent="0.2">
      <c r="A47" s="149"/>
      <c r="B47" s="148">
        <v>45</v>
      </c>
      <c r="C47" s="147" t="b">
        <v>0</v>
      </c>
      <c r="D47" s="146" t="str">
        <v>Q7</v>
      </c>
      <c r="E47" s="145" t="str">
        <f t="shared" si="1"/>
        <v>USDIMMFRA6MQ7_Quote</v>
      </c>
      <c r="F47" s="144" t="str">
        <f>_xll.qlSimpleQuote(E47,,PriceTickValue,Permanent,Trigger,ObjectOverwrite)</f>
        <v>USDIMMFRA6MQ7_Quote#0021</v>
      </c>
      <c r="G47" s="107" t="str">
        <f>_xll.ohRangeRetrieveError(F47)</f>
        <v/>
      </c>
      <c r="H47" s="143"/>
    </row>
    <row r="48" spans="1:8" x14ac:dyDescent="0.2">
      <c r="A48" s="149"/>
      <c r="B48" s="148">
        <v>46</v>
      </c>
      <c r="C48" s="147" t="b">
        <v>0</v>
      </c>
      <c r="D48" s="146" t="str">
        <v>U7</v>
      </c>
      <c r="E48" s="145" t="str">
        <f t="shared" si="1"/>
        <v>USDIMMFRA6MU7_Quote</v>
      </c>
      <c r="F48" s="144" t="str">
        <f>_xll.qlSimpleQuote(E48,,PriceTickValue,Permanent,Trigger,ObjectOverwrite)</f>
        <v>USDIMMFRA6MU7_Quote#0021</v>
      </c>
      <c r="G48" s="107" t="str">
        <f>_xll.ohRangeRetrieveError(F48)</f>
        <v/>
      </c>
      <c r="H48" s="143"/>
    </row>
    <row r="49" spans="1:8" x14ac:dyDescent="0.2">
      <c r="A49" s="149"/>
      <c r="B49" s="148">
        <v>47</v>
      </c>
      <c r="C49" s="147" t="b">
        <v>0</v>
      </c>
      <c r="D49" s="146" t="str">
        <v>V7</v>
      </c>
      <c r="E49" s="145" t="str">
        <f t="shared" si="1"/>
        <v>USDIMMFRA6MV7_Quote</v>
      </c>
      <c r="F49" s="144" t="str">
        <f>_xll.qlSimpleQuote(E49,,PriceTickValue,Permanent,Trigger,ObjectOverwrite)</f>
        <v>USDIMMFRA6MV7_Quote#0021</v>
      </c>
      <c r="G49" s="107" t="str">
        <f>_xll.ohRangeRetrieveError(F49)</f>
        <v/>
      </c>
      <c r="H49" s="143"/>
    </row>
    <row r="50" spans="1:8" x14ac:dyDescent="0.2">
      <c r="A50" s="149"/>
      <c r="B50" s="148">
        <v>48</v>
      </c>
      <c r="C50" s="147" t="b">
        <v>0</v>
      </c>
      <c r="D50" s="146" t="str">
        <v>X7</v>
      </c>
      <c r="E50" s="145" t="str">
        <f t="shared" si="1"/>
        <v>USDIMMFRA6MX7_Quote</v>
      </c>
      <c r="F50" s="144" t="str">
        <f>_xll.qlSimpleQuote(E50,,PriceTickValue,Permanent,Trigger,ObjectOverwrite)</f>
        <v>USDIMMFRA6MX7_Quote#0021</v>
      </c>
      <c r="G50" s="107" t="str">
        <f>_xll.ohRangeRetrieveError(F50)</f>
        <v/>
      </c>
      <c r="H50" s="143"/>
    </row>
    <row r="51" spans="1:8" x14ac:dyDescent="0.2">
      <c r="A51" s="149"/>
      <c r="B51" s="148">
        <v>49</v>
      </c>
      <c r="C51" s="147" t="b">
        <v>0</v>
      </c>
      <c r="D51" s="146" t="str">
        <v>Z7</v>
      </c>
      <c r="E51" s="145" t="str">
        <f t="shared" si="1"/>
        <v>USDIMMFRA6MZ7_Quote</v>
      </c>
      <c r="F51" s="144" t="str">
        <f>_xll.qlSimpleQuote(E51,,PriceTickValue,Permanent,Trigger,ObjectOverwrite)</f>
        <v>USDIMMFRA6MZ7_Quote#0021</v>
      </c>
      <c r="G51" s="107" t="str">
        <f>_xll.ohRangeRetrieveError(F51)</f>
        <v/>
      </c>
      <c r="H51" s="143"/>
    </row>
    <row r="52" spans="1:8" x14ac:dyDescent="0.2">
      <c r="A52" s="149"/>
      <c r="B52" s="148">
        <v>50</v>
      </c>
      <c r="C52" s="147" t="b">
        <v>0</v>
      </c>
      <c r="D52" s="146" t="str">
        <v>F8</v>
      </c>
      <c r="E52" s="145" t="str">
        <f t="shared" si="1"/>
        <v>USDIMMFRA6MF8_Quote</v>
      </c>
      <c r="F52" s="144" t="str">
        <f>_xll.qlSimpleQuote(E52,,PriceTickValue,Permanent,Trigger,ObjectOverwrite)</f>
        <v>USDIMMFRA6MF8_Quote#0021</v>
      </c>
      <c r="G52" s="107" t="str">
        <f>_xll.ohRangeRetrieveError(F52)</f>
        <v/>
      </c>
      <c r="H52" s="143"/>
    </row>
    <row r="53" spans="1:8" x14ac:dyDescent="0.2">
      <c r="A53" s="149"/>
      <c r="B53" s="148">
        <v>51</v>
      </c>
      <c r="C53" s="147" t="b">
        <v>0</v>
      </c>
      <c r="D53" s="146" t="str">
        <v>G8</v>
      </c>
      <c r="E53" s="145" t="str">
        <f t="shared" si="1"/>
        <v>USDIMMFRA6MG8_Quote</v>
      </c>
      <c r="F53" s="144" t="str">
        <f>_xll.qlSimpleQuote(E53,,PriceTickValue,Permanent,Trigger,ObjectOverwrite)</f>
        <v>USDIMMFRA6MG8_Quote#0021</v>
      </c>
      <c r="G53" s="107" t="str">
        <f>_xll.ohRangeRetrieveError(F53)</f>
        <v/>
      </c>
      <c r="H53" s="143"/>
    </row>
    <row r="54" spans="1:8" x14ac:dyDescent="0.2">
      <c r="A54" s="149"/>
      <c r="B54" s="148">
        <v>52</v>
      </c>
      <c r="C54" s="147" t="b">
        <v>0</v>
      </c>
      <c r="D54" s="146" t="str">
        <v>H8</v>
      </c>
      <c r="E54" s="145" t="str">
        <f t="shared" si="1"/>
        <v>USDIMMFRA6MH8_Quote</v>
      </c>
      <c r="F54" s="144" t="str">
        <f>_xll.qlSimpleQuote(E54,,PriceTickValue,Permanent,Trigger,ObjectOverwrite)</f>
        <v>USDIMMFRA6MH8_Quote#0021</v>
      </c>
      <c r="G54" s="107" t="str">
        <f>_xll.ohRangeRetrieveError(F54)</f>
        <v/>
      </c>
      <c r="H54" s="143"/>
    </row>
    <row r="55" spans="1:8" x14ac:dyDescent="0.2">
      <c r="A55" s="149"/>
      <c r="B55" s="148">
        <v>53</v>
      </c>
      <c r="C55" s="147" t="b">
        <v>0</v>
      </c>
      <c r="D55" s="146" t="str">
        <v>J8</v>
      </c>
      <c r="E55" s="145" t="str">
        <f t="shared" si="1"/>
        <v>USDIMMFRA6MJ8_Quote</v>
      </c>
      <c r="F55" s="144" t="str">
        <f>_xll.qlSimpleQuote(E55,,PriceTickValue,Permanent,Trigger,ObjectOverwrite)</f>
        <v>USDIMMFRA6MJ8_Quote#0021</v>
      </c>
      <c r="G55" s="107" t="str">
        <f>_xll.ohRangeRetrieveError(F55)</f>
        <v/>
      </c>
      <c r="H55" s="143"/>
    </row>
    <row r="56" spans="1:8" x14ac:dyDescent="0.2">
      <c r="A56" s="149"/>
      <c r="B56" s="148">
        <v>54</v>
      </c>
      <c r="C56" s="147" t="b">
        <v>0</v>
      </c>
      <c r="D56" s="146" t="str">
        <v>K8</v>
      </c>
      <c r="E56" s="145" t="str">
        <f t="shared" si="1"/>
        <v>USDIMMFRA6MK8_Quote</v>
      </c>
      <c r="F56" s="144" t="str">
        <f>_xll.qlSimpleQuote(E56,,PriceTickValue,Permanent,Trigger,ObjectOverwrite)</f>
        <v>USDIMMFRA6MK8_Quote#0021</v>
      </c>
      <c r="G56" s="107" t="str">
        <f>_xll.ohRangeRetrieveError(F56)</f>
        <v/>
      </c>
      <c r="H56" s="143"/>
    </row>
    <row r="57" spans="1:8" x14ac:dyDescent="0.2">
      <c r="A57" s="149"/>
      <c r="B57" s="148">
        <v>55</v>
      </c>
      <c r="C57" s="147" t="b">
        <v>0</v>
      </c>
      <c r="D57" s="146" t="str">
        <v>M8</v>
      </c>
      <c r="E57" s="145" t="str">
        <f t="shared" si="1"/>
        <v>USDIMMFRA6MM8_Quote</v>
      </c>
      <c r="F57" s="144" t="str">
        <f>_xll.qlSimpleQuote(E57,,PriceTickValue,Permanent,Trigger,ObjectOverwrite)</f>
        <v>USDIMMFRA6MM8_Quote#0021</v>
      </c>
      <c r="G57" s="107" t="str">
        <f>_xll.ohRangeRetrieveError(F57)</f>
        <v/>
      </c>
      <c r="H57" s="143"/>
    </row>
    <row r="58" spans="1:8" x14ac:dyDescent="0.2">
      <c r="A58" s="149"/>
      <c r="B58" s="148">
        <v>56</v>
      </c>
      <c r="C58" s="147" t="b">
        <v>0</v>
      </c>
      <c r="D58" s="146" t="str">
        <v>N8</v>
      </c>
      <c r="E58" s="145" t="str">
        <f t="shared" si="1"/>
        <v>USDIMMFRA6MN8_Quote</v>
      </c>
      <c r="F58" s="144" t="str">
        <f>_xll.qlSimpleQuote(E58,,PriceTickValue,Permanent,Trigger,ObjectOverwrite)</f>
        <v>USDIMMFRA6MN8_Quote#0021</v>
      </c>
      <c r="G58" s="107" t="str">
        <f>_xll.ohRangeRetrieveError(F58)</f>
        <v/>
      </c>
      <c r="H58" s="143"/>
    </row>
    <row r="59" spans="1:8" x14ac:dyDescent="0.2">
      <c r="A59" s="149"/>
      <c r="B59" s="148">
        <v>57</v>
      </c>
      <c r="C59" s="147" t="b">
        <v>0</v>
      </c>
      <c r="D59" s="146" t="str">
        <v>Q8</v>
      </c>
      <c r="E59" s="145" t="str">
        <f t="shared" si="1"/>
        <v>USDIMMFRA6MQ8_Quote</v>
      </c>
      <c r="F59" s="144" t="str">
        <f>_xll.qlSimpleQuote(E59,,PriceTickValue,Permanent,Trigger,ObjectOverwrite)</f>
        <v>USDIMMFRA6MQ8_Quote#0021</v>
      </c>
      <c r="G59" s="107" t="str">
        <f>_xll.ohRangeRetrieveError(F59)</f>
        <v/>
      </c>
      <c r="H59" s="143"/>
    </row>
    <row r="60" spans="1:8" x14ac:dyDescent="0.2">
      <c r="A60" s="149"/>
      <c r="B60" s="148">
        <v>58</v>
      </c>
      <c r="C60" s="147" t="b">
        <v>0</v>
      </c>
      <c r="D60" s="146" t="str">
        <v>U8</v>
      </c>
      <c r="E60" s="145" t="str">
        <f t="shared" si="1"/>
        <v>USDIMMFRA6MU8_Quote</v>
      </c>
      <c r="F60" s="144" t="str">
        <f>_xll.qlSimpleQuote(E60,,PriceTickValue,Permanent,Trigger,ObjectOverwrite)</f>
        <v>USDIMMFRA6MU8_Quote#0021</v>
      </c>
      <c r="G60" s="107" t="str">
        <f>_xll.ohRangeRetrieveError(F60)</f>
        <v/>
      </c>
      <c r="H60" s="143"/>
    </row>
    <row r="61" spans="1:8" x14ac:dyDescent="0.2">
      <c r="A61" s="149"/>
      <c r="B61" s="148">
        <v>59</v>
      </c>
      <c r="C61" s="147" t="b">
        <v>0</v>
      </c>
      <c r="D61" s="146" t="str">
        <v>V8</v>
      </c>
      <c r="E61" s="145" t="str">
        <f t="shared" si="1"/>
        <v>USDIMMFRA6MV8_Quote</v>
      </c>
      <c r="F61" s="144" t="str">
        <f>_xll.qlSimpleQuote(E61,,PriceTickValue,Permanent,Trigger,ObjectOverwrite)</f>
        <v>USDIMMFRA6MV8_Quote#0021</v>
      </c>
      <c r="G61" s="107" t="str">
        <f>_xll.ohRangeRetrieveError(F61)</f>
        <v/>
      </c>
      <c r="H61" s="143"/>
    </row>
    <row r="62" spans="1:8" x14ac:dyDescent="0.2">
      <c r="A62" s="149"/>
      <c r="B62" s="148">
        <v>60</v>
      </c>
      <c r="C62" s="147" t="b">
        <v>0</v>
      </c>
      <c r="D62" s="146" t="str">
        <v>X8</v>
      </c>
      <c r="E62" s="145" t="str">
        <f t="shared" si="1"/>
        <v>USDIMMFRA6MX8_Quote</v>
      </c>
      <c r="F62" s="144" t="str">
        <f>_xll.qlSimpleQuote(E62,,PriceTickValue,Permanent,Trigger,ObjectOverwrite)</f>
        <v>USDIMMFRA6MX8_Quote#0021</v>
      </c>
      <c r="G62" s="107" t="str">
        <f>_xll.ohRangeRetrieveError(F62)</f>
        <v/>
      </c>
      <c r="H62" s="143"/>
    </row>
    <row r="63" spans="1:8" x14ac:dyDescent="0.2">
      <c r="A63" s="149"/>
      <c r="B63" s="148">
        <v>61</v>
      </c>
      <c r="C63" s="147" t="b">
        <v>0</v>
      </c>
      <c r="D63" s="146" t="str">
        <v>Z8</v>
      </c>
      <c r="E63" s="145" t="str">
        <f t="shared" si="1"/>
        <v>USDIMMFRA6MZ8_Quote</v>
      </c>
      <c r="F63" s="144" t="str">
        <f>_xll.qlSimpleQuote(E63,,PriceTickValue,Permanent,Trigger,ObjectOverwrite)</f>
        <v>USDIMMFRA6MZ8_Quote#0021</v>
      </c>
      <c r="G63" s="107" t="str">
        <f>_xll.ohRangeRetrieveError(F63)</f>
        <v/>
      </c>
      <c r="H63" s="143"/>
    </row>
    <row r="64" spans="1:8" x14ac:dyDescent="0.2">
      <c r="A64" s="149"/>
      <c r="B64" s="148">
        <v>62</v>
      </c>
      <c r="C64" s="147" t="b">
        <v>0</v>
      </c>
      <c r="D64" s="146" t="str">
        <v>F9</v>
      </c>
      <c r="E64" s="145" t="str">
        <f t="shared" si="1"/>
        <v>USDIMMFRA6MF9_Quote</v>
      </c>
      <c r="F64" s="144" t="str">
        <f>_xll.qlSimpleQuote(E64,,PriceTickValue,Permanent,Trigger,ObjectOverwrite)</f>
        <v>USDIMMFRA6MF9_Quote#0021</v>
      </c>
      <c r="G64" s="107" t="str">
        <f>_xll.ohRangeRetrieveError(F64)</f>
        <v/>
      </c>
      <c r="H64" s="143"/>
    </row>
    <row r="65" spans="1:8" x14ac:dyDescent="0.2">
      <c r="A65" s="149"/>
      <c r="B65" s="148">
        <v>63</v>
      </c>
      <c r="C65" s="147" t="b">
        <v>0</v>
      </c>
      <c r="D65" s="146" t="str">
        <v>G9</v>
      </c>
      <c r="E65" s="145" t="str">
        <f t="shared" si="1"/>
        <v>USDIMMFRA6MG9_Quote</v>
      </c>
      <c r="F65" s="144" t="str">
        <f>_xll.qlSimpleQuote(E65,,PriceTickValue,Permanent,Trigger,ObjectOverwrite)</f>
        <v>USDIMMFRA6MG9_Quote#0021</v>
      </c>
      <c r="G65" s="107" t="str">
        <f>_xll.ohRangeRetrieveError(F65)</f>
        <v/>
      </c>
      <c r="H65" s="143"/>
    </row>
    <row r="66" spans="1:8" x14ac:dyDescent="0.2">
      <c r="A66" s="149"/>
      <c r="B66" s="148">
        <v>64</v>
      </c>
      <c r="C66" s="147" t="b">
        <v>0</v>
      </c>
      <c r="D66" s="146" t="str">
        <v>H9</v>
      </c>
      <c r="E66" s="145" t="str">
        <f t="shared" si="1"/>
        <v>USDIMMFRA6MH9_Quote</v>
      </c>
      <c r="F66" s="144" t="str">
        <f>_xll.qlSimpleQuote(E66,,PriceTickValue,Permanent,Trigger,ObjectOverwrite)</f>
        <v>USDIMMFRA6MH9_Quote#0021</v>
      </c>
      <c r="G66" s="107" t="str">
        <f>_xll.ohRangeRetrieveError(F66)</f>
        <v/>
      </c>
      <c r="H66" s="143"/>
    </row>
    <row r="67" spans="1:8" x14ac:dyDescent="0.2">
      <c r="A67" s="149"/>
      <c r="B67" s="148">
        <v>65</v>
      </c>
      <c r="C67" s="147" t="b">
        <v>0</v>
      </c>
      <c r="D67" s="146" t="str">
        <v>J9</v>
      </c>
      <c r="E67" s="145" t="str">
        <f t="shared" ref="E67:E98" si="2">Currency&amp;$D$1&amp;$E$1&amp;$D67&amp;QuoteSuffix</f>
        <v>USDIMMFRA6MJ9_Quote</v>
      </c>
      <c r="F67" s="144" t="str">
        <f>_xll.qlSimpleQuote(E67,,PriceTickValue,Permanent,Trigger,ObjectOverwrite)</f>
        <v>USDIMMFRA6MJ9_Quote#0021</v>
      </c>
      <c r="G67" s="107" t="str">
        <f>_xll.ohRangeRetrieveError(F67)</f>
        <v/>
      </c>
      <c r="H67" s="143"/>
    </row>
    <row r="68" spans="1:8" x14ac:dyDescent="0.2">
      <c r="A68" s="149"/>
      <c r="B68" s="148">
        <v>66</v>
      </c>
      <c r="C68" s="147" t="b">
        <v>0</v>
      </c>
      <c r="D68" s="146" t="str">
        <v>K9</v>
      </c>
      <c r="E68" s="145" t="str">
        <f t="shared" si="2"/>
        <v>USDIMMFRA6MK9_Quote</v>
      </c>
      <c r="F68" s="144" t="str">
        <f>_xll.qlSimpleQuote(E68,,PriceTickValue,Permanent,Trigger,ObjectOverwrite)</f>
        <v>USDIMMFRA6MK9_Quote#0021</v>
      </c>
      <c r="G68" s="107" t="str">
        <f>_xll.ohRangeRetrieveError(F68)</f>
        <v/>
      </c>
      <c r="H68" s="143"/>
    </row>
    <row r="69" spans="1:8" x14ac:dyDescent="0.2">
      <c r="A69" s="149"/>
      <c r="B69" s="148">
        <v>67</v>
      </c>
      <c r="C69" s="147" t="b">
        <v>0</v>
      </c>
      <c r="D69" s="146" t="str">
        <v>M9</v>
      </c>
      <c r="E69" s="145" t="str">
        <f t="shared" si="2"/>
        <v>USDIMMFRA6MM9_Quote</v>
      </c>
      <c r="F69" s="144" t="str">
        <f>_xll.qlSimpleQuote(E69,,PriceTickValue,Permanent,Trigger,ObjectOverwrite)</f>
        <v>USDIMMFRA6MM9_Quote#0021</v>
      </c>
      <c r="G69" s="107" t="str">
        <f>_xll.ohRangeRetrieveError(F69)</f>
        <v/>
      </c>
      <c r="H69" s="143"/>
    </row>
    <row r="70" spans="1:8" x14ac:dyDescent="0.2">
      <c r="A70" s="149"/>
      <c r="B70" s="148">
        <v>68</v>
      </c>
      <c r="C70" s="147" t="b">
        <v>0</v>
      </c>
      <c r="D70" s="146" t="str">
        <v>N9</v>
      </c>
      <c r="E70" s="145" t="str">
        <f t="shared" si="2"/>
        <v>USDIMMFRA6MN9_Quote</v>
      </c>
      <c r="F70" s="144" t="str">
        <f>_xll.qlSimpleQuote(E70,,PriceTickValue,Permanent,Trigger,ObjectOverwrite)</f>
        <v>USDIMMFRA6MN9_Quote#0021</v>
      </c>
      <c r="G70" s="107" t="str">
        <f>_xll.ohRangeRetrieveError(F70)</f>
        <v/>
      </c>
      <c r="H70" s="143"/>
    </row>
    <row r="71" spans="1:8" x14ac:dyDescent="0.2">
      <c r="A71" s="149"/>
      <c r="B71" s="148">
        <v>69</v>
      </c>
      <c r="C71" s="147" t="b">
        <v>0</v>
      </c>
      <c r="D71" s="146" t="str">
        <v>Q9</v>
      </c>
      <c r="E71" s="145" t="str">
        <f t="shared" si="2"/>
        <v>USDIMMFRA6MQ9_Quote</v>
      </c>
      <c r="F71" s="144" t="str">
        <f>_xll.qlSimpleQuote(E71,,PriceTickValue,Permanent,Trigger,ObjectOverwrite)</f>
        <v>USDIMMFRA6MQ9_Quote#0021</v>
      </c>
      <c r="G71" s="107" t="str">
        <f>_xll.ohRangeRetrieveError(F71)</f>
        <v/>
      </c>
      <c r="H71" s="143"/>
    </row>
    <row r="72" spans="1:8" x14ac:dyDescent="0.2">
      <c r="A72" s="149"/>
      <c r="B72" s="148">
        <v>70</v>
      </c>
      <c r="C72" s="147" t="b">
        <v>0</v>
      </c>
      <c r="D72" s="146" t="str">
        <v>U9</v>
      </c>
      <c r="E72" s="145" t="str">
        <f t="shared" si="2"/>
        <v>USDIMMFRA6MU9_Quote</v>
      </c>
      <c r="F72" s="144" t="str">
        <f>_xll.qlSimpleQuote(E72,,PriceTickValue,Permanent,Trigger,ObjectOverwrite)</f>
        <v>USDIMMFRA6MU9_Quote#0021</v>
      </c>
      <c r="G72" s="107" t="str">
        <f>_xll.ohRangeRetrieveError(F72)</f>
        <v/>
      </c>
      <c r="H72" s="143"/>
    </row>
    <row r="73" spans="1:8" x14ac:dyDescent="0.2">
      <c r="A73" s="149"/>
      <c r="B73" s="148">
        <v>71</v>
      </c>
      <c r="C73" s="147" t="b">
        <v>0</v>
      </c>
      <c r="D73" s="146" t="str">
        <v>V9</v>
      </c>
      <c r="E73" s="145" t="str">
        <f t="shared" si="2"/>
        <v>USDIMMFRA6MV9_Quote</v>
      </c>
      <c r="F73" s="144" t="str">
        <f>_xll.qlSimpleQuote(E73,,PriceTickValue,Permanent,Trigger,ObjectOverwrite)</f>
        <v>USDIMMFRA6MV9_Quote#0021</v>
      </c>
      <c r="G73" s="107" t="str">
        <f>_xll.ohRangeRetrieveError(F73)</f>
        <v/>
      </c>
      <c r="H73" s="143"/>
    </row>
    <row r="74" spans="1:8" x14ac:dyDescent="0.2">
      <c r="A74" s="149"/>
      <c r="B74" s="148">
        <v>72</v>
      </c>
      <c r="C74" s="147" t="b">
        <v>0</v>
      </c>
      <c r="D74" s="146" t="str">
        <v>X9</v>
      </c>
      <c r="E74" s="145" t="str">
        <f t="shared" si="2"/>
        <v>USDIMMFRA6MX9_Quote</v>
      </c>
      <c r="F74" s="144" t="str">
        <f>_xll.qlSimpleQuote(E74,,PriceTickValue,Permanent,Trigger,ObjectOverwrite)</f>
        <v>USDIMMFRA6MX9_Quote#0021</v>
      </c>
      <c r="G74" s="107" t="str">
        <f>_xll.ohRangeRetrieveError(F74)</f>
        <v/>
      </c>
      <c r="H74" s="143"/>
    </row>
    <row r="75" spans="1:8" x14ac:dyDescent="0.2">
      <c r="A75" s="149"/>
      <c r="B75" s="148">
        <v>73</v>
      </c>
      <c r="C75" s="147" t="b">
        <v>0</v>
      </c>
      <c r="D75" s="146" t="str">
        <v>Z9</v>
      </c>
      <c r="E75" s="145" t="str">
        <f t="shared" si="2"/>
        <v>USDIMMFRA6MZ9_Quote</v>
      </c>
      <c r="F75" s="144" t="str">
        <f>_xll.qlSimpleQuote(E75,,PriceTickValue,Permanent,Trigger,ObjectOverwrite)</f>
        <v>USDIMMFRA6MZ9_Quote#0021</v>
      </c>
      <c r="G75" s="107" t="str">
        <f>_xll.ohRangeRetrieveError(F75)</f>
        <v/>
      </c>
      <c r="H75" s="143"/>
    </row>
    <row r="76" spans="1:8" x14ac:dyDescent="0.2">
      <c r="A76" s="149"/>
      <c r="B76" s="148">
        <v>74</v>
      </c>
      <c r="C76" s="147" t="b">
        <v>0</v>
      </c>
      <c r="D76" s="146" t="str">
        <v>F0</v>
      </c>
      <c r="E76" s="145" t="str">
        <f t="shared" si="2"/>
        <v>USDIMMFRA6MF0_Quote</v>
      </c>
      <c r="F76" s="144" t="str">
        <f>_xll.qlSimpleQuote(E76,,PriceTickValue,Permanent,Trigger,ObjectOverwrite)</f>
        <v>USDIMMFRA6MF0_Quote#0021</v>
      </c>
      <c r="G76" s="107" t="str">
        <f>_xll.ohRangeRetrieveError(F76)</f>
        <v/>
      </c>
      <c r="H76" s="143"/>
    </row>
    <row r="77" spans="1:8" x14ac:dyDescent="0.2">
      <c r="A77" s="149"/>
      <c r="B77" s="148">
        <v>75</v>
      </c>
      <c r="C77" s="147" t="b">
        <v>0</v>
      </c>
      <c r="D77" s="146" t="str">
        <v>G0</v>
      </c>
      <c r="E77" s="145" t="str">
        <f t="shared" si="2"/>
        <v>USDIMMFRA6MG0_Quote</v>
      </c>
      <c r="F77" s="144" t="str">
        <f>_xll.qlSimpleQuote(E77,,PriceTickValue,Permanent,Trigger,ObjectOverwrite)</f>
        <v>USDIMMFRA6MG0_Quote#0021</v>
      </c>
      <c r="G77" s="107" t="str">
        <f>_xll.ohRangeRetrieveError(F77)</f>
        <v/>
      </c>
      <c r="H77" s="143"/>
    </row>
    <row r="78" spans="1:8" x14ac:dyDescent="0.2">
      <c r="A78" s="149"/>
      <c r="B78" s="148">
        <v>76</v>
      </c>
      <c r="C78" s="147" t="b">
        <v>0</v>
      </c>
      <c r="D78" s="146" t="str">
        <v>H0</v>
      </c>
      <c r="E78" s="145" t="str">
        <f t="shared" si="2"/>
        <v>USDIMMFRA6MH0_Quote</v>
      </c>
      <c r="F78" s="144" t="str">
        <f>_xll.qlSimpleQuote(E78,,PriceTickValue,Permanent,Trigger,ObjectOverwrite)</f>
        <v>USDIMMFRA6MH0_Quote#0021</v>
      </c>
      <c r="G78" s="107" t="str">
        <f>_xll.ohRangeRetrieveError(F78)</f>
        <v/>
      </c>
      <c r="H78" s="143"/>
    </row>
    <row r="79" spans="1:8" x14ac:dyDescent="0.2">
      <c r="A79" s="149"/>
      <c r="B79" s="148">
        <v>77</v>
      </c>
      <c r="C79" s="147" t="b">
        <v>0</v>
      </c>
      <c r="D79" s="146" t="str">
        <v>J0</v>
      </c>
      <c r="E79" s="145" t="str">
        <f t="shared" si="2"/>
        <v>USDIMMFRA6MJ0_Quote</v>
      </c>
      <c r="F79" s="144" t="str">
        <f>_xll.qlSimpleQuote(E79,,PriceTickValue,Permanent,Trigger,ObjectOverwrite)</f>
        <v>USDIMMFRA6MJ0_Quote#0021</v>
      </c>
      <c r="G79" s="107" t="str">
        <f>_xll.ohRangeRetrieveError(F79)</f>
        <v/>
      </c>
      <c r="H79" s="143"/>
    </row>
    <row r="80" spans="1:8" x14ac:dyDescent="0.2">
      <c r="A80" s="149"/>
      <c r="B80" s="148">
        <v>78</v>
      </c>
      <c r="C80" s="147" t="b">
        <v>0</v>
      </c>
      <c r="D80" s="146" t="str">
        <v>K0</v>
      </c>
      <c r="E80" s="145" t="str">
        <f t="shared" si="2"/>
        <v>USDIMMFRA6MK0_Quote</v>
      </c>
      <c r="F80" s="144" t="str">
        <f>_xll.qlSimpleQuote(E80,,PriceTickValue,Permanent,Trigger,ObjectOverwrite)</f>
        <v>USDIMMFRA6MK0_Quote#0021</v>
      </c>
      <c r="G80" s="107" t="str">
        <f>_xll.ohRangeRetrieveError(F80)</f>
        <v/>
      </c>
      <c r="H80" s="143"/>
    </row>
    <row r="81" spans="1:8" x14ac:dyDescent="0.2">
      <c r="A81" s="149"/>
      <c r="B81" s="148">
        <v>79</v>
      </c>
      <c r="C81" s="147" t="b">
        <v>0</v>
      </c>
      <c r="D81" s="146" t="str">
        <v>M0</v>
      </c>
      <c r="E81" s="145" t="str">
        <f t="shared" si="2"/>
        <v>USDIMMFRA6MM0_Quote</v>
      </c>
      <c r="F81" s="144" t="str">
        <f>_xll.qlSimpleQuote(E81,,PriceTickValue,Permanent,Trigger,ObjectOverwrite)</f>
        <v>USDIMMFRA6MM0_Quote#0021</v>
      </c>
      <c r="G81" s="107" t="str">
        <f>_xll.ohRangeRetrieveError(F81)</f>
        <v/>
      </c>
      <c r="H81" s="143"/>
    </row>
    <row r="82" spans="1:8" x14ac:dyDescent="0.2">
      <c r="A82" s="149"/>
      <c r="B82" s="148">
        <v>80</v>
      </c>
      <c r="C82" s="147" t="b">
        <v>0</v>
      </c>
      <c r="D82" s="146" t="str">
        <v>N0</v>
      </c>
      <c r="E82" s="145" t="str">
        <f t="shared" si="2"/>
        <v>USDIMMFRA6MN0_Quote</v>
      </c>
      <c r="F82" s="144" t="str">
        <f>_xll.qlSimpleQuote(E82,,PriceTickValue,Permanent,Trigger,ObjectOverwrite)</f>
        <v>USDIMMFRA6MN0_Quote#0021</v>
      </c>
      <c r="G82" s="107" t="str">
        <f>_xll.ohRangeRetrieveError(F82)</f>
        <v/>
      </c>
      <c r="H82" s="143"/>
    </row>
    <row r="83" spans="1:8" x14ac:dyDescent="0.2">
      <c r="A83" s="149"/>
      <c r="B83" s="148">
        <v>81</v>
      </c>
      <c r="C83" s="147" t="b">
        <v>0</v>
      </c>
      <c r="D83" s="146" t="str">
        <v>Q0</v>
      </c>
      <c r="E83" s="145" t="str">
        <f t="shared" si="2"/>
        <v>USDIMMFRA6MQ0_Quote</v>
      </c>
      <c r="F83" s="144" t="str">
        <f>_xll.qlSimpleQuote(E83,,PriceTickValue,Permanent,Trigger,ObjectOverwrite)</f>
        <v>USDIMMFRA6MQ0_Quote#0021</v>
      </c>
      <c r="G83" s="107" t="str">
        <f>_xll.ohRangeRetrieveError(F83)</f>
        <v/>
      </c>
      <c r="H83" s="143"/>
    </row>
    <row r="84" spans="1:8" x14ac:dyDescent="0.2">
      <c r="A84" s="149"/>
      <c r="B84" s="148">
        <v>82</v>
      </c>
      <c r="C84" s="147" t="b">
        <v>0</v>
      </c>
      <c r="D84" s="146" t="str">
        <v>U0</v>
      </c>
      <c r="E84" s="145" t="str">
        <f t="shared" si="2"/>
        <v>USDIMMFRA6MU0_Quote</v>
      </c>
      <c r="F84" s="144" t="str">
        <f>_xll.qlSimpleQuote(E84,,PriceTickValue,Permanent,Trigger,ObjectOverwrite)</f>
        <v>USDIMMFRA6MU0_Quote#0021</v>
      </c>
      <c r="G84" s="107" t="str">
        <f>_xll.ohRangeRetrieveError(F84)</f>
        <v/>
      </c>
      <c r="H84" s="143"/>
    </row>
    <row r="85" spans="1:8" x14ac:dyDescent="0.2">
      <c r="A85" s="149"/>
      <c r="B85" s="148">
        <v>83</v>
      </c>
      <c r="C85" s="147" t="b">
        <v>0</v>
      </c>
      <c r="D85" s="146" t="str">
        <v>V0</v>
      </c>
      <c r="E85" s="145" t="str">
        <f t="shared" si="2"/>
        <v>USDIMMFRA6MV0_Quote</v>
      </c>
      <c r="F85" s="144" t="str">
        <f>_xll.qlSimpleQuote(E85,,PriceTickValue,Permanent,Trigger,ObjectOverwrite)</f>
        <v>USDIMMFRA6MV0_Quote#0021</v>
      </c>
      <c r="G85" s="107" t="str">
        <f>_xll.ohRangeRetrieveError(F85)</f>
        <v/>
      </c>
      <c r="H85" s="143"/>
    </row>
    <row r="86" spans="1:8" x14ac:dyDescent="0.2">
      <c r="A86" s="149"/>
      <c r="B86" s="148">
        <v>84</v>
      </c>
      <c r="C86" s="147" t="b">
        <v>0</v>
      </c>
      <c r="D86" s="146" t="str">
        <v>X0</v>
      </c>
      <c r="E86" s="145" t="str">
        <f t="shared" si="2"/>
        <v>USDIMMFRA6MX0_Quote</v>
      </c>
      <c r="F86" s="144" t="str">
        <f>_xll.qlSimpleQuote(E86,,PriceTickValue,Permanent,Trigger,ObjectOverwrite)</f>
        <v>USDIMMFRA6MX0_Quote#0021</v>
      </c>
      <c r="G86" s="107" t="str">
        <f>_xll.ohRangeRetrieveError(F86)</f>
        <v/>
      </c>
      <c r="H86" s="143"/>
    </row>
    <row r="87" spans="1:8" x14ac:dyDescent="0.2">
      <c r="A87" s="149"/>
      <c r="B87" s="148">
        <v>85</v>
      </c>
      <c r="C87" s="147" t="b">
        <v>0</v>
      </c>
      <c r="D87" s="146" t="str">
        <v>Z0</v>
      </c>
      <c r="E87" s="145" t="str">
        <f t="shared" si="2"/>
        <v>USDIMMFRA6MZ0_Quote</v>
      </c>
      <c r="F87" s="144" t="str">
        <f>_xll.qlSimpleQuote(E87,,PriceTickValue,Permanent,Trigger,ObjectOverwrite)</f>
        <v>USDIMMFRA6MZ0_Quote#0021</v>
      </c>
      <c r="G87" s="107" t="str">
        <f>_xll.ohRangeRetrieveError(F87)</f>
        <v/>
      </c>
      <c r="H87" s="143"/>
    </row>
    <row r="88" spans="1:8" x14ac:dyDescent="0.2">
      <c r="A88" s="149"/>
      <c r="B88" s="148">
        <v>86</v>
      </c>
      <c r="C88" s="147" t="b">
        <v>0</v>
      </c>
      <c r="D88" s="146" t="str">
        <v>F1</v>
      </c>
      <c r="E88" s="145" t="str">
        <f t="shared" si="2"/>
        <v>USDIMMFRA6MF1_Quote</v>
      </c>
      <c r="F88" s="144" t="str">
        <f>_xll.qlSimpleQuote(E88,,PriceTickValue,Permanent,Trigger,ObjectOverwrite)</f>
        <v>USDIMMFRA6MF1_Quote#0021</v>
      </c>
      <c r="G88" s="107" t="str">
        <f>_xll.ohRangeRetrieveError(F88)</f>
        <v/>
      </c>
      <c r="H88" s="143"/>
    </row>
    <row r="89" spans="1:8" x14ac:dyDescent="0.2">
      <c r="A89" s="149"/>
      <c r="B89" s="148">
        <v>87</v>
      </c>
      <c r="C89" s="147" t="b">
        <v>0</v>
      </c>
      <c r="D89" s="146" t="str">
        <v>G1</v>
      </c>
      <c r="E89" s="145" t="str">
        <f t="shared" si="2"/>
        <v>USDIMMFRA6MG1_Quote</v>
      </c>
      <c r="F89" s="144" t="str">
        <f>_xll.qlSimpleQuote(E89,,PriceTickValue,Permanent,Trigger,ObjectOverwrite)</f>
        <v>USDIMMFRA6MG1_Quote#0021</v>
      </c>
      <c r="G89" s="107" t="str">
        <f>_xll.ohRangeRetrieveError(F89)</f>
        <v/>
      </c>
      <c r="H89" s="143"/>
    </row>
    <row r="90" spans="1:8" x14ac:dyDescent="0.2">
      <c r="A90" s="149"/>
      <c r="B90" s="148">
        <v>88</v>
      </c>
      <c r="C90" s="147" t="b">
        <v>0</v>
      </c>
      <c r="D90" s="146" t="str">
        <v>H1</v>
      </c>
      <c r="E90" s="145" t="str">
        <f t="shared" si="2"/>
        <v>USDIMMFRA6MH1_Quote</v>
      </c>
      <c r="F90" s="144" t="str">
        <f>_xll.qlSimpleQuote(E90,,PriceTickValue,Permanent,Trigger,ObjectOverwrite)</f>
        <v>USDIMMFRA6MH1_Quote#0021</v>
      </c>
      <c r="G90" s="107" t="str">
        <f>_xll.ohRangeRetrieveError(F90)</f>
        <v/>
      </c>
      <c r="H90" s="143"/>
    </row>
    <row r="91" spans="1:8" x14ac:dyDescent="0.2">
      <c r="A91" s="149"/>
      <c r="B91" s="148">
        <v>89</v>
      </c>
      <c r="C91" s="147" t="b">
        <v>0</v>
      </c>
      <c r="D91" s="146" t="str">
        <v>J1</v>
      </c>
      <c r="E91" s="145" t="str">
        <f t="shared" si="2"/>
        <v>USDIMMFRA6MJ1_Quote</v>
      </c>
      <c r="F91" s="144" t="str">
        <f>_xll.qlSimpleQuote(E91,,PriceTickValue,Permanent,Trigger,ObjectOverwrite)</f>
        <v>USDIMMFRA6MJ1_Quote#0021</v>
      </c>
      <c r="G91" s="107" t="str">
        <f>_xll.ohRangeRetrieveError(F91)</f>
        <v/>
      </c>
      <c r="H91" s="143"/>
    </row>
    <row r="92" spans="1:8" x14ac:dyDescent="0.2">
      <c r="A92" s="149"/>
      <c r="B92" s="148">
        <v>90</v>
      </c>
      <c r="C92" s="147" t="b">
        <v>0</v>
      </c>
      <c r="D92" s="146" t="str">
        <v>K1</v>
      </c>
      <c r="E92" s="145" t="str">
        <f t="shared" si="2"/>
        <v>USDIMMFRA6MK1_Quote</v>
      </c>
      <c r="F92" s="144" t="str">
        <f>_xll.qlSimpleQuote(E92,,PriceTickValue,Permanent,Trigger,ObjectOverwrite)</f>
        <v>USDIMMFRA6MK1_Quote#0021</v>
      </c>
      <c r="G92" s="107" t="str">
        <f>_xll.ohRangeRetrieveError(F92)</f>
        <v/>
      </c>
      <c r="H92" s="143"/>
    </row>
    <row r="93" spans="1:8" x14ac:dyDescent="0.2">
      <c r="A93" s="149"/>
      <c r="B93" s="148">
        <v>91</v>
      </c>
      <c r="C93" s="147" t="b">
        <v>0</v>
      </c>
      <c r="D93" s="146" t="str">
        <v>M1</v>
      </c>
      <c r="E93" s="145" t="str">
        <f t="shared" si="2"/>
        <v>USDIMMFRA6MM1_Quote</v>
      </c>
      <c r="F93" s="144" t="str">
        <f>_xll.qlSimpleQuote(E93,,PriceTickValue,Permanent,Trigger,ObjectOverwrite)</f>
        <v>USDIMMFRA6MM1_Quote#0021</v>
      </c>
      <c r="G93" s="107" t="str">
        <f>_xll.ohRangeRetrieveError(F93)</f>
        <v/>
      </c>
      <c r="H93" s="143"/>
    </row>
    <row r="94" spans="1:8" x14ac:dyDescent="0.2">
      <c r="A94" s="149"/>
      <c r="B94" s="148">
        <v>92</v>
      </c>
      <c r="C94" s="147" t="b">
        <v>0</v>
      </c>
      <c r="D94" s="146" t="str">
        <v>N1</v>
      </c>
      <c r="E94" s="145" t="str">
        <f t="shared" si="2"/>
        <v>USDIMMFRA6MN1_Quote</v>
      </c>
      <c r="F94" s="144" t="str">
        <f>_xll.qlSimpleQuote(E94,,PriceTickValue,Permanent,Trigger,ObjectOverwrite)</f>
        <v>USDIMMFRA6MN1_Quote#0021</v>
      </c>
      <c r="G94" s="107" t="str">
        <f>_xll.ohRangeRetrieveError(F94)</f>
        <v/>
      </c>
      <c r="H94" s="143"/>
    </row>
    <row r="95" spans="1:8" x14ac:dyDescent="0.2">
      <c r="A95" s="149"/>
      <c r="B95" s="148">
        <v>93</v>
      </c>
      <c r="C95" s="147" t="b">
        <v>0</v>
      </c>
      <c r="D95" s="146" t="str">
        <v>Q1</v>
      </c>
      <c r="E95" s="145" t="str">
        <f t="shared" si="2"/>
        <v>USDIMMFRA6MQ1_Quote</v>
      </c>
      <c r="F95" s="144" t="str">
        <f>_xll.qlSimpleQuote(E95,,PriceTickValue,Permanent,Trigger,ObjectOverwrite)</f>
        <v>USDIMMFRA6MQ1_Quote#0021</v>
      </c>
      <c r="G95" s="107" t="str">
        <f>_xll.ohRangeRetrieveError(F95)</f>
        <v/>
      </c>
      <c r="H95" s="143"/>
    </row>
    <row r="96" spans="1:8" x14ac:dyDescent="0.2">
      <c r="A96" s="149"/>
      <c r="B96" s="148">
        <v>94</v>
      </c>
      <c r="C96" s="147" t="b">
        <v>0</v>
      </c>
      <c r="D96" s="146" t="str">
        <v>U1</v>
      </c>
      <c r="E96" s="145" t="str">
        <f t="shared" si="2"/>
        <v>USDIMMFRA6MU1_Quote</v>
      </c>
      <c r="F96" s="144" t="str">
        <f>_xll.qlSimpleQuote(E96,,PriceTickValue,Permanent,Trigger,ObjectOverwrite)</f>
        <v>USDIMMFRA6MU1_Quote#0021</v>
      </c>
      <c r="G96" s="107" t="str">
        <f>_xll.ohRangeRetrieveError(F96)</f>
        <v/>
      </c>
      <c r="H96" s="143"/>
    </row>
    <row r="97" spans="1:8" x14ac:dyDescent="0.2">
      <c r="A97" s="149"/>
      <c r="B97" s="148">
        <v>95</v>
      </c>
      <c r="C97" s="147" t="b">
        <v>0</v>
      </c>
      <c r="D97" s="146" t="str">
        <v>V1</v>
      </c>
      <c r="E97" s="145" t="str">
        <f t="shared" si="2"/>
        <v>USDIMMFRA6MV1_Quote</v>
      </c>
      <c r="F97" s="144" t="str">
        <f>_xll.qlSimpleQuote(E97,,PriceTickValue,Permanent,Trigger,ObjectOverwrite)</f>
        <v>USDIMMFRA6MV1_Quote#0021</v>
      </c>
      <c r="G97" s="107" t="str">
        <f>_xll.ohRangeRetrieveError(F97)</f>
        <v/>
      </c>
      <c r="H97" s="143"/>
    </row>
    <row r="98" spans="1:8" x14ac:dyDescent="0.2">
      <c r="A98" s="149"/>
      <c r="B98" s="148">
        <v>96</v>
      </c>
      <c r="C98" s="147" t="b">
        <v>0</v>
      </c>
      <c r="D98" s="146" t="str">
        <v>X1</v>
      </c>
      <c r="E98" s="145" t="str">
        <f t="shared" si="2"/>
        <v>USDIMMFRA6MX1_Quote</v>
      </c>
      <c r="F98" s="144" t="str">
        <f>_xll.qlSimpleQuote(E98,,PriceTickValue,Permanent,Trigger,ObjectOverwrite)</f>
        <v>USDIMMFRA6MX1_Quote#0021</v>
      </c>
      <c r="G98" s="107" t="str">
        <f>_xll.ohRangeRetrieveError(F98)</f>
        <v/>
      </c>
      <c r="H98" s="143"/>
    </row>
    <row r="99" spans="1:8" x14ac:dyDescent="0.2">
      <c r="A99" s="149"/>
      <c r="B99" s="148">
        <v>97</v>
      </c>
      <c r="C99" s="147" t="b">
        <v>0</v>
      </c>
      <c r="D99" s="146" t="str">
        <v>Z1</v>
      </c>
      <c r="E99" s="145" t="str">
        <f t="shared" ref="E99:E122" si="3">Currency&amp;$D$1&amp;$E$1&amp;$D99&amp;QuoteSuffix</f>
        <v>USDIMMFRA6MZ1_Quote</v>
      </c>
      <c r="F99" s="144" t="str">
        <f>_xll.qlSimpleQuote(E99,,PriceTickValue,Permanent,Trigger,ObjectOverwrite)</f>
        <v>USDIMMFRA6MZ1_Quote#0021</v>
      </c>
      <c r="G99" s="107" t="str">
        <f>_xll.ohRangeRetrieveError(F99)</f>
        <v/>
      </c>
      <c r="H99" s="143"/>
    </row>
    <row r="100" spans="1:8" x14ac:dyDescent="0.2">
      <c r="A100" s="149"/>
      <c r="B100" s="148">
        <v>98</v>
      </c>
      <c r="C100" s="147" t="b">
        <v>0</v>
      </c>
      <c r="D100" s="146" t="str">
        <v>F2</v>
      </c>
      <c r="E100" s="145" t="str">
        <f t="shared" si="3"/>
        <v>USDIMMFRA6MF2_Quote</v>
      </c>
      <c r="F100" s="144" t="str">
        <f>_xll.qlSimpleQuote(E100,,PriceTickValue,Permanent,Trigger,ObjectOverwrite)</f>
        <v>USDIMMFRA6MF2_Quote#0021</v>
      </c>
      <c r="G100" s="107" t="str">
        <f>_xll.ohRangeRetrieveError(F100)</f>
        <v/>
      </c>
      <c r="H100" s="143"/>
    </row>
    <row r="101" spans="1:8" x14ac:dyDescent="0.2">
      <c r="A101" s="149"/>
      <c r="B101" s="148">
        <v>99</v>
      </c>
      <c r="C101" s="147" t="b">
        <v>0</v>
      </c>
      <c r="D101" s="146" t="str">
        <v>G2</v>
      </c>
      <c r="E101" s="145" t="str">
        <f t="shared" si="3"/>
        <v>USDIMMFRA6MG2_Quote</v>
      </c>
      <c r="F101" s="144" t="str">
        <f>_xll.qlSimpleQuote(E101,,PriceTickValue,Permanent,Trigger,ObjectOverwrite)</f>
        <v>USDIMMFRA6MG2_Quote#0021</v>
      </c>
      <c r="G101" s="107" t="str">
        <f>_xll.ohRangeRetrieveError(F101)</f>
        <v/>
      </c>
      <c r="H101" s="143"/>
    </row>
    <row r="102" spans="1:8" x14ac:dyDescent="0.2">
      <c r="A102" s="149"/>
      <c r="B102" s="148">
        <v>100</v>
      </c>
      <c r="C102" s="147" t="b">
        <v>0</v>
      </c>
      <c r="D102" s="146" t="str">
        <v>H2</v>
      </c>
      <c r="E102" s="145" t="str">
        <f t="shared" si="3"/>
        <v>USDIMMFRA6MH2_Quote</v>
      </c>
      <c r="F102" s="144" t="str">
        <f>_xll.qlSimpleQuote(E102,,PriceTickValue,Permanent,Trigger,ObjectOverwrite)</f>
        <v>USDIMMFRA6MH2_Quote#0021</v>
      </c>
      <c r="G102" s="107" t="str">
        <f>_xll.ohRangeRetrieveError(F102)</f>
        <v/>
      </c>
      <c r="H102" s="143"/>
    </row>
    <row r="103" spans="1:8" x14ac:dyDescent="0.2">
      <c r="A103" s="149"/>
      <c r="B103" s="148">
        <v>101</v>
      </c>
      <c r="C103" s="147" t="b">
        <v>0</v>
      </c>
      <c r="D103" s="146" t="str">
        <v>J2</v>
      </c>
      <c r="E103" s="145" t="str">
        <f t="shared" si="3"/>
        <v>USDIMMFRA6MJ2_Quote</v>
      </c>
      <c r="F103" s="144" t="str">
        <f>_xll.qlSimpleQuote(E103,,PriceTickValue,Permanent,Trigger,ObjectOverwrite)</f>
        <v>USDIMMFRA6MJ2_Quote#0021</v>
      </c>
      <c r="G103" s="107" t="str">
        <f>_xll.ohRangeRetrieveError(F103)</f>
        <v/>
      </c>
      <c r="H103" s="143"/>
    </row>
    <row r="104" spans="1:8" x14ac:dyDescent="0.2">
      <c r="A104" s="149"/>
      <c r="B104" s="148">
        <v>102</v>
      </c>
      <c r="C104" s="147" t="b">
        <v>0</v>
      </c>
      <c r="D104" s="146" t="str">
        <v>K2</v>
      </c>
      <c r="E104" s="145" t="str">
        <f t="shared" si="3"/>
        <v>USDIMMFRA6MK2_Quote</v>
      </c>
      <c r="F104" s="144" t="str">
        <f>_xll.qlSimpleQuote(E104,,PriceTickValue,Permanent,Trigger,ObjectOverwrite)</f>
        <v>USDIMMFRA6MK2_Quote#0021</v>
      </c>
      <c r="G104" s="107" t="str">
        <f>_xll.ohRangeRetrieveError(F104)</f>
        <v/>
      </c>
      <c r="H104" s="143"/>
    </row>
    <row r="105" spans="1:8" x14ac:dyDescent="0.2">
      <c r="A105" s="149"/>
      <c r="B105" s="148">
        <v>103</v>
      </c>
      <c r="C105" s="147" t="b">
        <v>0</v>
      </c>
      <c r="D105" s="146" t="str">
        <v>M2</v>
      </c>
      <c r="E105" s="145" t="str">
        <f t="shared" si="3"/>
        <v>USDIMMFRA6MM2_Quote</v>
      </c>
      <c r="F105" s="144" t="str">
        <f>_xll.qlSimpleQuote(E105,,PriceTickValue,Permanent,Trigger,ObjectOverwrite)</f>
        <v>USDIMMFRA6MM2_Quote#0021</v>
      </c>
      <c r="G105" s="107" t="str">
        <f>_xll.ohRangeRetrieveError(F105)</f>
        <v/>
      </c>
      <c r="H105" s="143"/>
    </row>
    <row r="106" spans="1:8" x14ac:dyDescent="0.2">
      <c r="A106" s="149"/>
      <c r="B106" s="148">
        <v>104</v>
      </c>
      <c r="C106" s="147" t="b">
        <v>0</v>
      </c>
      <c r="D106" s="146" t="str">
        <v>N2</v>
      </c>
      <c r="E106" s="145" t="str">
        <f t="shared" si="3"/>
        <v>USDIMMFRA6MN2_Quote</v>
      </c>
      <c r="F106" s="144" t="str">
        <f>_xll.qlSimpleQuote(E106,,PriceTickValue,Permanent,Trigger,ObjectOverwrite)</f>
        <v>USDIMMFRA6MN2_Quote#0021</v>
      </c>
      <c r="G106" s="107" t="str">
        <f>_xll.ohRangeRetrieveError(F106)</f>
        <v/>
      </c>
      <c r="H106" s="143"/>
    </row>
    <row r="107" spans="1:8" x14ac:dyDescent="0.2">
      <c r="A107" s="149"/>
      <c r="B107" s="148">
        <v>105</v>
      </c>
      <c r="C107" s="147" t="b">
        <v>0</v>
      </c>
      <c r="D107" s="146" t="str">
        <v>Q2</v>
      </c>
      <c r="E107" s="145" t="str">
        <f t="shared" si="3"/>
        <v>USDIMMFRA6MQ2_Quote</v>
      </c>
      <c r="F107" s="144" t="str">
        <f>_xll.qlSimpleQuote(E107,,PriceTickValue,Permanent,Trigger,ObjectOverwrite)</f>
        <v>USDIMMFRA6MQ2_Quote#0021</v>
      </c>
      <c r="G107" s="107" t="str">
        <f>_xll.ohRangeRetrieveError(F107)</f>
        <v/>
      </c>
      <c r="H107" s="143"/>
    </row>
    <row r="108" spans="1:8" x14ac:dyDescent="0.2">
      <c r="A108" s="149"/>
      <c r="B108" s="148">
        <v>106</v>
      </c>
      <c r="C108" s="147" t="b">
        <v>0</v>
      </c>
      <c r="D108" s="146" t="str">
        <v>U2</v>
      </c>
      <c r="E108" s="145" t="str">
        <f t="shared" si="3"/>
        <v>USDIMMFRA6MU2_Quote</v>
      </c>
      <c r="F108" s="144" t="str">
        <f>_xll.qlSimpleQuote(E108,,PriceTickValue,Permanent,Trigger,ObjectOverwrite)</f>
        <v>USDIMMFRA6MU2_Quote#0021</v>
      </c>
      <c r="G108" s="107" t="str">
        <f>_xll.ohRangeRetrieveError(F108)</f>
        <v/>
      </c>
      <c r="H108" s="143"/>
    </row>
    <row r="109" spans="1:8" x14ac:dyDescent="0.2">
      <c r="A109" s="149"/>
      <c r="B109" s="148">
        <v>107</v>
      </c>
      <c r="C109" s="147" t="b">
        <v>0</v>
      </c>
      <c r="D109" s="146" t="str">
        <v>V2</v>
      </c>
      <c r="E109" s="145" t="str">
        <f t="shared" si="3"/>
        <v>USDIMMFRA6MV2_Quote</v>
      </c>
      <c r="F109" s="144" t="str">
        <f>_xll.qlSimpleQuote(E109,,PriceTickValue,Permanent,Trigger,ObjectOverwrite)</f>
        <v>USDIMMFRA6MV2_Quote#0021</v>
      </c>
      <c r="G109" s="107" t="str">
        <f>_xll.ohRangeRetrieveError(F109)</f>
        <v/>
      </c>
      <c r="H109" s="143"/>
    </row>
    <row r="110" spans="1:8" x14ac:dyDescent="0.2">
      <c r="A110" s="149"/>
      <c r="B110" s="148">
        <v>108</v>
      </c>
      <c r="C110" s="147" t="b">
        <v>0</v>
      </c>
      <c r="D110" s="146" t="str">
        <v>X2</v>
      </c>
      <c r="E110" s="145" t="str">
        <f t="shared" si="3"/>
        <v>USDIMMFRA6MX2_Quote</v>
      </c>
      <c r="F110" s="144" t="str">
        <f>_xll.qlSimpleQuote(E110,,PriceTickValue,Permanent,Trigger,ObjectOverwrite)</f>
        <v>USDIMMFRA6MX2_Quote#0021</v>
      </c>
      <c r="G110" s="107" t="str">
        <f>_xll.ohRangeRetrieveError(F110)</f>
        <v/>
      </c>
      <c r="H110" s="143"/>
    </row>
    <row r="111" spans="1:8" x14ac:dyDescent="0.2">
      <c r="A111" s="149"/>
      <c r="B111" s="148">
        <v>109</v>
      </c>
      <c r="C111" s="147" t="b">
        <v>0</v>
      </c>
      <c r="D111" s="146" t="str">
        <v>Z2</v>
      </c>
      <c r="E111" s="145" t="str">
        <f t="shared" si="3"/>
        <v>USDIMMFRA6MZ2_Quote</v>
      </c>
      <c r="F111" s="144" t="str">
        <f>_xll.qlSimpleQuote(E111,,PriceTickValue,Permanent,Trigger,ObjectOverwrite)</f>
        <v>USDIMMFRA6MZ2_Quote#0021</v>
      </c>
      <c r="G111" s="107" t="str">
        <f>_xll.ohRangeRetrieveError(F111)</f>
        <v/>
      </c>
      <c r="H111" s="143"/>
    </row>
    <row r="112" spans="1:8" x14ac:dyDescent="0.2">
      <c r="A112" s="149"/>
      <c r="B112" s="148">
        <v>110</v>
      </c>
      <c r="C112" s="147" t="b">
        <v>0</v>
      </c>
      <c r="D112" s="146" t="str">
        <v>F3</v>
      </c>
      <c r="E112" s="145" t="str">
        <f t="shared" si="3"/>
        <v>USDIMMFRA6MF3_Quote</v>
      </c>
      <c r="F112" s="144" t="str">
        <f>_xll.qlSimpleQuote(E112,,PriceTickValue,Permanent,Trigger,ObjectOverwrite)</f>
        <v>USDIMMFRA6MF3_Quote#0021</v>
      </c>
      <c r="G112" s="107" t="str">
        <f>_xll.ohRangeRetrieveError(F112)</f>
        <v/>
      </c>
      <c r="H112" s="143"/>
    </row>
    <row r="113" spans="1:8" x14ac:dyDescent="0.2">
      <c r="A113" s="149"/>
      <c r="B113" s="148">
        <v>111</v>
      </c>
      <c r="C113" s="147" t="b">
        <v>0</v>
      </c>
      <c r="D113" s="146" t="str">
        <v>G3</v>
      </c>
      <c r="E113" s="145" t="str">
        <f t="shared" si="3"/>
        <v>USDIMMFRA6MG3_Quote</v>
      </c>
      <c r="F113" s="144" t="str">
        <f>_xll.qlSimpleQuote(E113,,PriceTickValue,Permanent,Trigger,ObjectOverwrite)</f>
        <v>USDIMMFRA6MG3_Quote#0021</v>
      </c>
      <c r="G113" s="107" t="str">
        <f>_xll.ohRangeRetrieveError(F113)</f>
        <v/>
      </c>
      <c r="H113" s="143"/>
    </row>
    <row r="114" spans="1:8" x14ac:dyDescent="0.2">
      <c r="A114" s="149"/>
      <c r="B114" s="148">
        <v>112</v>
      </c>
      <c r="C114" s="147" t="b">
        <v>0</v>
      </c>
      <c r="D114" s="146" t="str">
        <v>H3</v>
      </c>
      <c r="E114" s="145" t="str">
        <f t="shared" si="3"/>
        <v>USDIMMFRA6MH3_Quote</v>
      </c>
      <c r="F114" s="144" t="str">
        <f>_xll.qlSimpleQuote(E114,,PriceTickValue,Permanent,Trigger,ObjectOverwrite)</f>
        <v>USDIMMFRA6MH3_Quote#0021</v>
      </c>
      <c r="G114" s="107" t="str">
        <f>_xll.ohRangeRetrieveError(F114)</f>
        <v/>
      </c>
      <c r="H114" s="143"/>
    </row>
    <row r="115" spans="1:8" x14ac:dyDescent="0.2">
      <c r="A115" s="149"/>
      <c r="B115" s="148">
        <v>113</v>
      </c>
      <c r="C115" s="147" t="b">
        <v>0</v>
      </c>
      <c r="D115" s="146" t="str">
        <v>J3</v>
      </c>
      <c r="E115" s="145" t="str">
        <f t="shared" si="3"/>
        <v>USDIMMFRA6MJ3_Quote</v>
      </c>
      <c r="F115" s="144" t="str">
        <f>_xll.qlSimpleQuote(E115,,PriceTickValue,Permanent,Trigger,ObjectOverwrite)</f>
        <v>USDIMMFRA6MJ3_Quote#0021</v>
      </c>
      <c r="G115" s="107" t="str">
        <f>_xll.ohRangeRetrieveError(F115)</f>
        <v/>
      </c>
      <c r="H115" s="143"/>
    </row>
    <row r="116" spans="1:8" x14ac:dyDescent="0.2">
      <c r="A116" s="149"/>
      <c r="B116" s="148">
        <v>114</v>
      </c>
      <c r="C116" s="147" t="b">
        <v>0</v>
      </c>
      <c r="D116" s="146" t="str">
        <v>K3</v>
      </c>
      <c r="E116" s="145" t="str">
        <f t="shared" si="3"/>
        <v>USDIMMFRA6MK3_Quote</v>
      </c>
      <c r="F116" s="144" t="str">
        <f>_xll.qlSimpleQuote(E116,,PriceTickValue,Permanent,Trigger,ObjectOverwrite)</f>
        <v>USDIMMFRA6MK3_Quote#0021</v>
      </c>
      <c r="G116" s="107" t="str">
        <f>_xll.ohRangeRetrieveError(F116)</f>
        <v/>
      </c>
      <c r="H116" s="143"/>
    </row>
    <row r="117" spans="1:8" x14ac:dyDescent="0.2">
      <c r="A117" s="149"/>
      <c r="B117" s="148">
        <v>115</v>
      </c>
      <c r="C117" s="147" t="b">
        <v>0</v>
      </c>
      <c r="D117" s="146" t="str">
        <v>M3</v>
      </c>
      <c r="E117" s="145" t="str">
        <f t="shared" si="3"/>
        <v>USDIMMFRA6MM3_Quote</v>
      </c>
      <c r="F117" s="144" t="str">
        <f>_xll.qlSimpleQuote(E117,,PriceTickValue,Permanent,Trigger,ObjectOverwrite)</f>
        <v>USDIMMFRA6MM3_Quote#0021</v>
      </c>
      <c r="G117" s="107" t="str">
        <f>_xll.ohRangeRetrieveError(F117)</f>
        <v/>
      </c>
      <c r="H117" s="143"/>
    </row>
    <row r="118" spans="1:8" x14ac:dyDescent="0.2">
      <c r="A118" s="149"/>
      <c r="B118" s="148">
        <v>116</v>
      </c>
      <c r="C118" s="147" t="b">
        <v>0</v>
      </c>
      <c r="D118" s="146" t="str">
        <v>N3</v>
      </c>
      <c r="E118" s="145" t="str">
        <f t="shared" si="3"/>
        <v>USDIMMFRA6MN3_Quote</v>
      </c>
      <c r="F118" s="144" t="str">
        <f>_xll.qlSimpleQuote(E118,,PriceTickValue,Permanent,Trigger,ObjectOverwrite)</f>
        <v>USDIMMFRA6MN3_Quote#0021</v>
      </c>
      <c r="G118" s="107" t="str">
        <f>_xll.ohRangeRetrieveError(F118)</f>
        <v/>
      </c>
      <c r="H118" s="143"/>
    </row>
    <row r="119" spans="1:8" x14ac:dyDescent="0.2">
      <c r="A119" s="149"/>
      <c r="B119" s="148">
        <v>117</v>
      </c>
      <c r="C119" s="147" t="b">
        <v>0</v>
      </c>
      <c r="D119" s="146" t="str">
        <v>Q3</v>
      </c>
      <c r="E119" s="145" t="str">
        <f t="shared" si="3"/>
        <v>USDIMMFRA6MQ3_Quote</v>
      </c>
      <c r="F119" s="144" t="str">
        <f>_xll.qlSimpleQuote(E119,,PriceTickValue,Permanent,Trigger,ObjectOverwrite)</f>
        <v>USDIMMFRA6MQ3_Quote#0021</v>
      </c>
      <c r="G119" s="107" t="str">
        <f>_xll.ohRangeRetrieveError(F119)</f>
        <v/>
      </c>
      <c r="H119" s="143"/>
    </row>
    <row r="120" spans="1:8" x14ac:dyDescent="0.2">
      <c r="A120" s="149"/>
      <c r="B120" s="148">
        <v>118</v>
      </c>
      <c r="C120" s="147" t="b">
        <v>0</v>
      </c>
      <c r="D120" s="146" t="str">
        <v>U3</v>
      </c>
      <c r="E120" s="145" t="str">
        <f t="shared" si="3"/>
        <v>USDIMMFRA6MU3_Quote</v>
      </c>
      <c r="F120" s="144" t="str">
        <f>_xll.qlSimpleQuote(E120,,PriceTickValue,Permanent,Trigger,ObjectOverwrite)</f>
        <v>USDIMMFRA6MU3_Quote#0021</v>
      </c>
      <c r="G120" s="107" t="str">
        <f>_xll.ohRangeRetrieveError(F120)</f>
        <v/>
      </c>
      <c r="H120" s="143"/>
    </row>
    <row r="121" spans="1:8" x14ac:dyDescent="0.2">
      <c r="A121" s="149"/>
      <c r="B121" s="148">
        <v>119</v>
      </c>
      <c r="C121" s="147" t="b">
        <v>0</v>
      </c>
      <c r="D121" s="146" t="str">
        <v>V3</v>
      </c>
      <c r="E121" s="145" t="str">
        <f t="shared" si="3"/>
        <v>USDIMMFRA6MV3_Quote</v>
      </c>
      <c r="F121" s="144" t="str">
        <f>_xll.qlSimpleQuote(E121,,PriceTickValue,Permanent,Trigger,ObjectOverwrite)</f>
        <v>USDIMMFRA6MV3_Quote#0021</v>
      </c>
      <c r="G121" s="107" t="str">
        <f>_xll.ohRangeRetrieveError(F121)</f>
        <v/>
      </c>
      <c r="H121" s="143"/>
    </row>
    <row r="122" spans="1:8" x14ac:dyDescent="0.2">
      <c r="A122" s="149"/>
      <c r="B122" s="148">
        <v>120</v>
      </c>
      <c r="C122" s="147" t="b">
        <v>0</v>
      </c>
      <c r="D122" s="146" t="str">
        <v>X3</v>
      </c>
      <c r="E122" s="145" t="str">
        <f t="shared" si="3"/>
        <v>USDIMMFRA6MX3_Quote</v>
      </c>
      <c r="F122" s="144" t="str">
        <f>_xll.qlSimpleQuote(E122,,PriceTickValue,Permanent,Trigger,ObjectOverwrite)</f>
        <v>USDIMMFRA6MX3_Quote#0021</v>
      </c>
      <c r="G122" s="107" t="str">
        <f>_xll.ohRangeRetrieveError(F122)</f>
        <v/>
      </c>
      <c r="H122" s="143"/>
    </row>
    <row r="123" spans="1:8" ht="12" thickBot="1" x14ac:dyDescent="0.25">
      <c r="A123" s="142"/>
      <c r="B123" s="141"/>
      <c r="C123" s="141"/>
      <c r="D123" s="141"/>
      <c r="E123" s="141"/>
      <c r="F123" s="141"/>
      <c r="G123" s="141"/>
      <c r="H123" s="140"/>
    </row>
  </sheetData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5"/>
  <sheetViews>
    <sheetView workbookViewId="0"/>
  </sheetViews>
  <sheetFormatPr defaultRowHeight="11.25" x14ac:dyDescent="0.2"/>
  <cols>
    <col min="1" max="1" width="3.85546875" style="105" customWidth="1"/>
    <col min="2" max="2" width="25.5703125" style="105" bestFit="1" customWidth="1"/>
    <col min="3" max="3" width="27.7109375" style="105" bestFit="1" customWidth="1"/>
    <col min="4" max="4" width="23.28515625" style="105" customWidth="1"/>
    <col min="5" max="5" width="4.85546875" style="105" customWidth="1"/>
    <col min="6" max="16384" width="9.140625" style="105"/>
  </cols>
  <sheetData>
    <row r="1" spans="1:5" x14ac:dyDescent="0.2">
      <c r="A1" s="115" t="s">
        <v>186</v>
      </c>
      <c r="B1" s="114"/>
      <c r="C1" s="114"/>
      <c r="D1" s="114"/>
      <c r="E1" s="113"/>
    </row>
    <row r="2" spans="1:5" x14ac:dyDescent="0.2">
      <c r="A2" s="166"/>
      <c r="B2" s="36" t="str">
        <f>Currency&amp;"_010_"&amp;"FuturesHWConvAdj.xml"</f>
        <v>USD_010_FuturesHWConvAdj.xml</v>
      </c>
      <c r="C2" s="10">
        <f ca="1">IF(Serialize,_xll.ohObjectSave(C3:C4,SerializationPath&amp;B2,FileOverwrite,Serialize),"---")</f>
        <v>2</v>
      </c>
      <c r="D2" s="107" t="str">
        <f ca="1">_xll.ohRangeRetrieveError(C2)</f>
        <v/>
      </c>
      <c r="E2" s="164"/>
    </row>
    <row r="3" spans="1:5" x14ac:dyDescent="0.2">
      <c r="A3" s="166"/>
      <c r="B3" s="165" t="str">
        <f>Currency&amp;"HW_Volatility"&amp;QuoteSuffix</f>
        <v>USDHW_Volatility_Quote</v>
      </c>
      <c r="C3" s="165" t="str">
        <f>_xll.qlSimpleQuote(B3,,,Permanent,Trigger,ObjectOverwrite)</f>
        <v>USDHW_Volatility_Quote#0021</v>
      </c>
      <c r="D3" s="107" t="str">
        <f>_xll.ohRangeRetrieveError(C3)</f>
        <v/>
      </c>
      <c r="E3" s="164"/>
    </row>
    <row r="4" spans="1:5" x14ac:dyDescent="0.2">
      <c r="A4" s="166"/>
      <c r="B4" s="165" t="str">
        <f>Currency&amp;"HW_MeanReversion"&amp;QuoteSuffix</f>
        <v>USDHW_MeanReversion_Quote</v>
      </c>
      <c r="C4" s="165" t="str">
        <f>_xll.qlSimpleQuote(B4,,,Permanent,Trigger,ObjectOverwrite)</f>
        <v>USDHW_MeanReversion_Quote#0021</v>
      </c>
      <c r="D4" s="107" t="str">
        <f>_xll.ohRangeRetrieveError(C4)</f>
        <v/>
      </c>
      <c r="E4" s="164"/>
    </row>
    <row r="5" spans="1:5" x14ac:dyDescent="0.2">
      <c r="A5" s="163"/>
      <c r="B5" s="162"/>
      <c r="C5" s="162"/>
      <c r="D5" s="162"/>
      <c r="E5" s="161"/>
    </row>
  </sheetData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18"/>
  <sheetViews>
    <sheetView workbookViewId="0"/>
  </sheetViews>
  <sheetFormatPr defaultColWidth="8" defaultRowHeight="11.25" x14ac:dyDescent="0.2"/>
  <cols>
    <col min="1" max="1" width="3.28515625" style="167" customWidth="1"/>
    <col min="2" max="2" width="4.28515625" style="167" customWidth="1"/>
    <col min="3" max="3" width="15.5703125" style="167" bestFit="1" customWidth="1"/>
    <col min="4" max="4" width="101.42578125" style="167" bestFit="1" customWidth="1"/>
    <col min="5" max="5" width="3.7109375" style="167" customWidth="1"/>
    <col min="6" max="6" width="35.28515625" style="167" customWidth="1"/>
    <col min="7" max="7" width="4.28515625" style="167" customWidth="1"/>
    <col min="8" max="16384" width="8" style="167"/>
  </cols>
  <sheetData>
    <row r="1" spans="1:5" ht="13.5" thickBot="1" x14ac:dyDescent="0.25">
      <c r="A1" s="167" t="s">
        <v>186</v>
      </c>
      <c r="B1" s="168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69" t="s">
        <v>145</v>
      </c>
      <c r="C2" s="270"/>
      <c r="D2" s="270"/>
      <c r="E2" s="271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269" t="s">
        <v>144</v>
      </c>
      <c r="C12" s="270"/>
      <c r="D12" s="270"/>
      <c r="E12" s="271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3">
        <v>1E-4</v>
      </c>
      <c r="E16" s="14"/>
    </row>
    <row r="17" spans="2:5" x14ac:dyDescent="0.2">
      <c r="B17" s="9"/>
      <c r="C17" s="16" t="s">
        <v>140</v>
      </c>
      <c r="D17" s="102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94"/>
  <sheetViews>
    <sheetView workbookViewId="0"/>
  </sheetViews>
  <sheetFormatPr defaultRowHeight="13.5" x14ac:dyDescent="0.25"/>
  <cols>
    <col min="1" max="1" width="3.7109375" style="170" customWidth="1"/>
    <col min="2" max="3" width="4" style="170" bestFit="1" customWidth="1"/>
    <col min="4" max="4" width="6" style="170" bestFit="1" customWidth="1"/>
    <col min="5" max="5" width="21.42578125" style="170" bestFit="1" customWidth="1"/>
    <col min="6" max="6" width="26.5703125" style="171" bestFit="1" customWidth="1"/>
    <col min="7" max="7" width="38.28515625" style="170" customWidth="1"/>
    <col min="8" max="8" width="4.42578125" style="170" customWidth="1"/>
    <col min="9" max="16384" width="9.140625" style="170"/>
  </cols>
  <sheetData>
    <row r="1" spans="1:8" x14ac:dyDescent="0.25">
      <c r="A1" s="224" t="s">
        <v>218</v>
      </c>
      <c r="B1" s="195"/>
      <c r="C1" s="195"/>
      <c r="D1" s="195"/>
      <c r="E1" s="193"/>
      <c r="F1" s="194"/>
      <c r="G1" s="193"/>
      <c r="H1" s="192"/>
    </row>
    <row r="2" spans="1:8" x14ac:dyDescent="0.25">
      <c r="A2" s="181"/>
      <c r="B2" s="191"/>
      <c r="C2" s="191"/>
      <c r="D2" s="190"/>
      <c r="E2" s="189" t="str">
        <f>Currency&amp;"_010_"&amp;"OIS.xml"</f>
        <v>USD_010_OIS.xml</v>
      </c>
      <c r="F2" s="188">
        <f ca="1">IF(Serialize,_xll.ohObjectSave(_xll.ohPack(F3:F93),SerializationPath&amp;E2,FileOverwrite,Serialize),"---")</f>
        <v>66</v>
      </c>
      <c r="G2" s="187" t="str">
        <f ca="1">_xll.ohRangeRetrieveError(F2)</f>
        <v/>
      </c>
      <c r="H2" s="176"/>
    </row>
    <row r="3" spans="1:8" x14ac:dyDescent="0.25">
      <c r="A3" s="181"/>
      <c r="B3" s="180"/>
      <c r="C3" s="180" t="s">
        <v>187</v>
      </c>
      <c r="D3" s="186" t="s">
        <v>43</v>
      </c>
      <c r="E3" s="178" t="str">
        <f t="shared" ref="E3:E34" si="0">Currency&amp;$B3&amp;$C3&amp;$D3&amp;QuoteSuffix</f>
        <v>USDOISSW_Quote</v>
      </c>
      <c r="F3" s="178" t="str">
        <f>_xll.qlSimpleQuote(Currency&amp;$B3&amp;$C3&amp;$D3&amp;QuoteSuffix,,RateTickValue,Permanent,Trigger,ObjectOverwrite)</f>
        <v>USDOISSW_Quote#0021</v>
      </c>
      <c r="G3" s="177" t="str">
        <f>_xll.ohRangeRetrieveError(F3)</f>
        <v/>
      </c>
      <c r="H3" s="176"/>
    </row>
    <row r="4" spans="1:8" x14ac:dyDescent="0.25">
      <c r="A4" s="181"/>
      <c r="B4" s="180"/>
      <c r="C4" s="180" t="s">
        <v>187</v>
      </c>
      <c r="D4" s="186" t="s">
        <v>42</v>
      </c>
      <c r="E4" s="178" t="str">
        <f t="shared" si="0"/>
        <v>USDOIS2W_Quote</v>
      </c>
      <c r="F4" s="178" t="str">
        <f>_xll.qlSimpleQuote(Currency&amp;$B4&amp;$C4&amp;$D4&amp;QuoteSuffix,,RateTickValue,Permanent,Trigger,ObjectOverwrite)</f>
        <v>USDOIS2W_Quote#0021</v>
      </c>
      <c r="G4" s="177" t="str">
        <f>_xll.ohRangeRetrieveError(F4)</f>
        <v/>
      </c>
      <c r="H4" s="176"/>
    </row>
    <row r="5" spans="1:8" x14ac:dyDescent="0.25">
      <c r="A5" s="181"/>
      <c r="B5" s="180"/>
      <c r="C5" s="180" t="s">
        <v>187</v>
      </c>
      <c r="D5" s="186" t="s">
        <v>41</v>
      </c>
      <c r="E5" s="178" t="str">
        <f t="shared" si="0"/>
        <v>USDOIS3W_Quote</v>
      </c>
      <c r="F5" s="178" t="str">
        <f>_xll.qlSimpleQuote(Currency&amp;$B5&amp;$C5&amp;$D5&amp;QuoteSuffix,,RateTickValue,Permanent,Trigger,ObjectOverwrite)</f>
        <v>USDOIS3W_Quote#0021</v>
      </c>
      <c r="G5" s="177" t="str">
        <f>_xll.ohRangeRetrieveError(F5)</f>
        <v/>
      </c>
      <c r="H5" s="176"/>
    </row>
    <row r="6" spans="1:8" x14ac:dyDescent="0.25">
      <c r="A6" s="181"/>
      <c r="B6" s="180"/>
      <c r="C6" s="180" t="s">
        <v>187</v>
      </c>
      <c r="D6" s="186" t="s">
        <v>40</v>
      </c>
      <c r="E6" s="178" t="str">
        <f t="shared" si="0"/>
        <v>USDOIS1M_Quote</v>
      </c>
      <c r="F6" s="178" t="str">
        <f>_xll.qlSimpleQuote(Currency&amp;$B6&amp;$C6&amp;$D6&amp;QuoteSuffix,,RateTickValue,Permanent,Trigger,ObjectOverwrite)</f>
        <v>USDOIS1M_Quote#0021</v>
      </c>
      <c r="G6" s="177" t="str">
        <f>_xll.ohRangeRetrieveError(F6)</f>
        <v/>
      </c>
      <c r="H6" s="176"/>
    </row>
    <row r="7" spans="1:8" x14ac:dyDescent="0.25">
      <c r="A7" s="181"/>
      <c r="B7" s="180"/>
      <c r="C7" s="180" t="s">
        <v>187</v>
      </c>
      <c r="D7" s="186" t="s">
        <v>39</v>
      </c>
      <c r="E7" s="178" t="str">
        <f t="shared" si="0"/>
        <v>USDOIS2M_Quote</v>
      </c>
      <c r="F7" s="178" t="str">
        <f>_xll.qlSimpleQuote(Currency&amp;$B7&amp;$C7&amp;$D7&amp;QuoteSuffix,,RateTickValue,Permanent,Trigger,ObjectOverwrite)</f>
        <v>USDOIS2M_Quote#0021</v>
      </c>
      <c r="G7" s="177" t="str">
        <f>_xll.ohRangeRetrieveError(F7)</f>
        <v/>
      </c>
      <c r="H7" s="176"/>
    </row>
    <row r="8" spans="1:8" x14ac:dyDescent="0.25">
      <c r="A8" s="181"/>
      <c r="B8" s="180"/>
      <c r="C8" s="180" t="s">
        <v>187</v>
      </c>
      <c r="D8" s="186" t="s">
        <v>38</v>
      </c>
      <c r="E8" s="178" t="str">
        <f t="shared" si="0"/>
        <v>USDOIS3M_Quote</v>
      </c>
      <c r="F8" s="178" t="str">
        <f>_xll.qlSimpleQuote(Currency&amp;$B8&amp;$C8&amp;$D8&amp;QuoteSuffix,,RateTickValue,Permanent,Trigger,ObjectOverwrite)</f>
        <v>USDOIS3M_Quote#0021</v>
      </c>
      <c r="G8" s="177" t="str">
        <f>_xll.ohRangeRetrieveError(F8)</f>
        <v/>
      </c>
      <c r="H8" s="176"/>
    </row>
    <row r="9" spans="1:8" x14ac:dyDescent="0.25">
      <c r="A9" s="181"/>
      <c r="B9" s="180"/>
      <c r="C9" s="180" t="s">
        <v>187</v>
      </c>
      <c r="D9" s="186" t="s">
        <v>37</v>
      </c>
      <c r="E9" s="178" t="str">
        <f t="shared" si="0"/>
        <v>USDOIS4M_Quote</v>
      </c>
      <c r="F9" s="178" t="str">
        <f>_xll.qlSimpleQuote(Currency&amp;$B9&amp;$C9&amp;$D9&amp;QuoteSuffix,,RateTickValue,Permanent,Trigger,ObjectOverwrite)</f>
        <v>USDOIS4M_Quote#0021</v>
      </c>
      <c r="G9" s="177" t="str">
        <f>_xll.ohRangeRetrieveError(F9)</f>
        <v/>
      </c>
      <c r="H9" s="176"/>
    </row>
    <row r="10" spans="1:8" x14ac:dyDescent="0.25">
      <c r="A10" s="181"/>
      <c r="B10" s="180"/>
      <c r="C10" s="180" t="s">
        <v>187</v>
      </c>
      <c r="D10" s="186" t="s">
        <v>36</v>
      </c>
      <c r="E10" s="178" t="str">
        <f t="shared" si="0"/>
        <v>USDOIS5M_Quote</v>
      </c>
      <c r="F10" s="178" t="str">
        <f>_xll.qlSimpleQuote(Currency&amp;$B10&amp;$C10&amp;$D10&amp;QuoteSuffix,,RateTickValue,Permanent,Trigger,ObjectOverwrite)</f>
        <v>USDOIS5M_Quote#0021</v>
      </c>
      <c r="G10" s="177" t="str">
        <f>_xll.ohRangeRetrieveError(F10)</f>
        <v/>
      </c>
      <c r="H10" s="176"/>
    </row>
    <row r="11" spans="1:8" x14ac:dyDescent="0.25">
      <c r="A11" s="181"/>
      <c r="B11" s="180"/>
      <c r="C11" s="180" t="s">
        <v>187</v>
      </c>
      <c r="D11" s="186" t="s">
        <v>35</v>
      </c>
      <c r="E11" s="178" t="str">
        <f t="shared" si="0"/>
        <v>USDOIS6M_Quote</v>
      </c>
      <c r="F11" s="178" t="str">
        <f>_xll.qlSimpleQuote(Currency&amp;$B11&amp;$C11&amp;$D11&amp;QuoteSuffix,,RateTickValue,Permanent,Trigger,ObjectOverwrite)</f>
        <v>USDOIS6M_Quote#0021</v>
      </c>
      <c r="G11" s="177" t="str">
        <f>_xll.ohRangeRetrieveError(F11)</f>
        <v/>
      </c>
      <c r="H11" s="176"/>
    </row>
    <row r="12" spans="1:8" x14ac:dyDescent="0.25">
      <c r="A12" s="181"/>
      <c r="B12" s="180"/>
      <c r="C12" s="180" t="s">
        <v>187</v>
      </c>
      <c r="D12" s="186" t="s">
        <v>34</v>
      </c>
      <c r="E12" s="178" t="str">
        <f t="shared" si="0"/>
        <v>USDOIS7M_Quote</v>
      </c>
      <c r="F12" s="178" t="str">
        <f>_xll.qlSimpleQuote(Currency&amp;$B12&amp;$C12&amp;$D12&amp;QuoteSuffix,,RateTickValue,Permanent,Trigger,ObjectOverwrite)</f>
        <v>USDOIS7M_Quote#0021</v>
      </c>
      <c r="G12" s="177" t="str">
        <f>_xll.ohRangeRetrieveError(F12)</f>
        <v/>
      </c>
      <c r="H12" s="176"/>
    </row>
    <row r="13" spans="1:8" x14ac:dyDescent="0.25">
      <c r="A13" s="181"/>
      <c r="B13" s="180"/>
      <c r="C13" s="180" t="s">
        <v>187</v>
      </c>
      <c r="D13" s="186" t="s">
        <v>33</v>
      </c>
      <c r="E13" s="178" t="str">
        <f t="shared" si="0"/>
        <v>USDOIS8M_Quote</v>
      </c>
      <c r="F13" s="178" t="str">
        <f>_xll.qlSimpleQuote(Currency&amp;$B13&amp;$C13&amp;$D13&amp;QuoteSuffix,,RateTickValue,Permanent,Trigger,ObjectOverwrite)</f>
        <v>USDOIS8M_Quote#0021</v>
      </c>
      <c r="G13" s="177" t="str">
        <f>_xll.ohRangeRetrieveError(F13)</f>
        <v/>
      </c>
      <c r="H13" s="176"/>
    </row>
    <row r="14" spans="1:8" x14ac:dyDescent="0.25">
      <c r="A14" s="181"/>
      <c r="B14" s="180"/>
      <c r="C14" s="180" t="s">
        <v>187</v>
      </c>
      <c r="D14" s="186" t="s">
        <v>32</v>
      </c>
      <c r="E14" s="178" t="str">
        <f t="shared" si="0"/>
        <v>USDOIS9M_Quote</v>
      </c>
      <c r="F14" s="178" t="str">
        <f>_xll.qlSimpleQuote(Currency&amp;$B14&amp;$C14&amp;$D14&amp;QuoteSuffix,,RateTickValue,Permanent,Trigger,ObjectOverwrite)</f>
        <v>USDOIS9M_Quote#0021</v>
      </c>
      <c r="G14" s="177" t="str">
        <f>_xll.ohRangeRetrieveError(F14)</f>
        <v/>
      </c>
      <c r="H14" s="176"/>
    </row>
    <row r="15" spans="1:8" x14ac:dyDescent="0.25">
      <c r="A15" s="181"/>
      <c r="B15" s="180"/>
      <c r="C15" s="180" t="s">
        <v>187</v>
      </c>
      <c r="D15" s="186" t="s">
        <v>31</v>
      </c>
      <c r="E15" s="178" t="str">
        <f t="shared" si="0"/>
        <v>USDOIS10M_Quote</v>
      </c>
      <c r="F15" s="178" t="str">
        <f>_xll.qlSimpleQuote(Currency&amp;$B15&amp;$C15&amp;$D15&amp;QuoteSuffix,,RateTickValue,Permanent,Trigger,ObjectOverwrite)</f>
        <v>USDOIS10M_Quote#0021</v>
      </c>
      <c r="G15" s="177" t="str">
        <f>_xll.ohRangeRetrieveError(F15)</f>
        <v/>
      </c>
      <c r="H15" s="176"/>
    </row>
    <row r="16" spans="1:8" x14ac:dyDescent="0.25">
      <c r="A16" s="181"/>
      <c r="B16" s="180"/>
      <c r="C16" s="180" t="s">
        <v>187</v>
      </c>
      <c r="D16" s="186" t="s">
        <v>30</v>
      </c>
      <c r="E16" s="178" t="str">
        <f t="shared" si="0"/>
        <v>USDOIS11M_Quote</v>
      </c>
      <c r="F16" s="178" t="str">
        <f>_xll.qlSimpleQuote(Currency&amp;$B16&amp;$C16&amp;$D16&amp;QuoteSuffix,,RateTickValue,Permanent,Trigger,ObjectOverwrite)</f>
        <v>USDOIS11M_Quote#0021</v>
      </c>
      <c r="G16" s="177" t="str">
        <f>_xll.ohRangeRetrieveError(F16)</f>
        <v/>
      </c>
      <c r="H16" s="176"/>
    </row>
    <row r="17" spans="1:8" x14ac:dyDescent="0.25">
      <c r="A17" s="181"/>
      <c r="B17" s="180"/>
      <c r="C17" s="180" t="s">
        <v>187</v>
      </c>
      <c r="D17" s="186" t="s">
        <v>29</v>
      </c>
      <c r="E17" s="178" t="str">
        <f t="shared" si="0"/>
        <v>USDOIS1Y_Quote</v>
      </c>
      <c r="F17" s="178" t="str">
        <f>_xll.qlSimpleQuote(Currency&amp;$B17&amp;$C17&amp;$D17&amp;QuoteSuffix,,RateTickValue,Permanent,Trigger,ObjectOverwrite)</f>
        <v>USDOIS1Y_Quote#0021</v>
      </c>
      <c r="G17" s="177" t="str">
        <f>_xll.ohRangeRetrieveError(F17)</f>
        <v/>
      </c>
      <c r="H17" s="176"/>
    </row>
    <row r="18" spans="1:8" x14ac:dyDescent="0.25">
      <c r="A18" s="181"/>
      <c r="B18" s="180"/>
      <c r="C18" s="180" t="s">
        <v>187</v>
      </c>
      <c r="D18" s="186" t="s">
        <v>205</v>
      </c>
      <c r="E18" s="178" t="str">
        <f t="shared" si="0"/>
        <v>USDOIS13M_Quote</v>
      </c>
      <c r="F18" s="178" t="str">
        <f>_xll.qlSimpleQuote(Currency&amp;$B18&amp;$C18&amp;$D18&amp;QuoteSuffix,,RateTickValue,Permanent,Trigger,ObjectOverwrite)</f>
        <v>USDOIS13M_Quote#0021</v>
      </c>
      <c r="G18" s="177" t="str">
        <f>_xll.ohRangeRetrieveError(F18)</f>
        <v/>
      </c>
      <c r="H18" s="176"/>
    </row>
    <row r="19" spans="1:8" x14ac:dyDescent="0.25">
      <c r="A19" s="181"/>
      <c r="B19" s="180"/>
      <c r="C19" s="180" t="s">
        <v>187</v>
      </c>
      <c r="D19" s="186" t="s">
        <v>204</v>
      </c>
      <c r="E19" s="178" t="str">
        <f t="shared" si="0"/>
        <v>USDOIS14M_Quote</v>
      </c>
      <c r="F19" s="178" t="str">
        <f>_xll.qlSimpleQuote(Currency&amp;$B19&amp;$C19&amp;$D19&amp;QuoteSuffix,,RateTickValue,Permanent,Trigger,ObjectOverwrite)</f>
        <v>USDOIS14M_Quote#0021</v>
      </c>
      <c r="G19" s="177" t="str">
        <f>_xll.ohRangeRetrieveError(F19)</f>
        <v/>
      </c>
      <c r="H19" s="176"/>
    </row>
    <row r="20" spans="1:8" x14ac:dyDescent="0.25">
      <c r="A20" s="181"/>
      <c r="B20" s="180"/>
      <c r="C20" s="180" t="s">
        <v>187</v>
      </c>
      <c r="D20" s="186" t="s">
        <v>135</v>
      </c>
      <c r="E20" s="178" t="str">
        <f t="shared" si="0"/>
        <v>USDOIS15M_Quote</v>
      </c>
      <c r="F20" s="178" t="str">
        <f>_xll.qlSimpleQuote(Currency&amp;$B20&amp;$C20&amp;$D20&amp;QuoteSuffix,,RateTickValue,Permanent,Trigger,ObjectOverwrite)</f>
        <v>USDOIS15M_Quote#0021</v>
      </c>
      <c r="G20" s="177" t="str">
        <f>_xll.ohRangeRetrieveError(F20)</f>
        <v/>
      </c>
      <c r="H20" s="176"/>
    </row>
    <row r="21" spans="1:8" x14ac:dyDescent="0.25">
      <c r="A21" s="181"/>
      <c r="B21" s="180"/>
      <c r="C21" s="180" t="s">
        <v>187</v>
      </c>
      <c r="D21" s="186" t="s">
        <v>203</v>
      </c>
      <c r="E21" s="178" t="str">
        <f t="shared" si="0"/>
        <v>USDOIS16M_Quote</v>
      </c>
      <c r="F21" s="178" t="str">
        <f>_xll.qlSimpleQuote(Currency&amp;$B21&amp;$C21&amp;$D21&amp;QuoteSuffix,,RateTickValue,Permanent,Trigger,ObjectOverwrite)</f>
        <v>USDOIS16M_Quote#0021</v>
      </c>
      <c r="G21" s="177" t="str">
        <f>_xll.ohRangeRetrieveError(F21)</f>
        <v/>
      </c>
      <c r="H21" s="176"/>
    </row>
    <row r="22" spans="1:8" x14ac:dyDescent="0.25">
      <c r="A22" s="181"/>
      <c r="B22" s="180"/>
      <c r="C22" s="180" t="s">
        <v>187</v>
      </c>
      <c r="D22" s="186" t="s">
        <v>202</v>
      </c>
      <c r="E22" s="178" t="str">
        <f t="shared" si="0"/>
        <v>USDOIS17M_Quote</v>
      </c>
      <c r="F22" s="178" t="str">
        <f>_xll.qlSimpleQuote(Currency&amp;$B22&amp;$C22&amp;$D22&amp;QuoteSuffix,,RateTickValue,Permanent,Trigger,ObjectOverwrite)</f>
        <v>USDOIS17M_Quote#0021</v>
      </c>
      <c r="G22" s="177" t="str">
        <f>_xll.ohRangeRetrieveError(F22)</f>
        <v/>
      </c>
      <c r="H22" s="176"/>
    </row>
    <row r="23" spans="1:8" x14ac:dyDescent="0.25">
      <c r="A23" s="181"/>
      <c r="B23" s="180"/>
      <c r="C23" s="180" t="s">
        <v>187</v>
      </c>
      <c r="D23" s="186" t="s">
        <v>134</v>
      </c>
      <c r="E23" s="178" t="str">
        <f t="shared" si="0"/>
        <v>USDOIS18M_Quote</v>
      </c>
      <c r="F23" s="178" t="str">
        <f>_xll.qlSimpleQuote(Currency&amp;$B23&amp;$C23&amp;$D23&amp;QuoteSuffix,,RateTickValue,Permanent,Trigger,ObjectOverwrite)</f>
        <v>USDOIS18M_Quote#0021</v>
      </c>
      <c r="G23" s="177" t="str">
        <f>_xll.ohRangeRetrieveError(F23)</f>
        <v/>
      </c>
      <c r="H23" s="176"/>
    </row>
    <row r="24" spans="1:8" x14ac:dyDescent="0.25">
      <c r="A24" s="181"/>
      <c r="B24" s="180"/>
      <c r="C24" s="180" t="s">
        <v>187</v>
      </c>
      <c r="D24" s="186" t="s">
        <v>201</v>
      </c>
      <c r="E24" s="178" t="str">
        <f t="shared" si="0"/>
        <v>USDOIS19M_Quote</v>
      </c>
      <c r="F24" s="178" t="str">
        <f>_xll.qlSimpleQuote(Currency&amp;$B24&amp;$C24&amp;$D24&amp;QuoteSuffix,,RateTickValue,Permanent,Trigger,ObjectOverwrite)</f>
        <v>USDOIS19M_Quote#0021</v>
      </c>
      <c r="G24" s="177" t="str">
        <f>_xll.ohRangeRetrieveError(F24)</f>
        <v/>
      </c>
      <c r="H24" s="176"/>
    </row>
    <row r="25" spans="1:8" x14ac:dyDescent="0.25">
      <c r="A25" s="181"/>
      <c r="B25" s="180"/>
      <c r="C25" s="180" t="s">
        <v>187</v>
      </c>
      <c r="D25" s="186" t="s">
        <v>200</v>
      </c>
      <c r="E25" s="178" t="str">
        <f t="shared" si="0"/>
        <v>USDOIS20M_Quote</v>
      </c>
      <c r="F25" s="178" t="str">
        <f>_xll.qlSimpleQuote(Currency&amp;$B25&amp;$C25&amp;$D25&amp;QuoteSuffix,,RateTickValue,Permanent,Trigger,ObjectOverwrite)</f>
        <v>USDOIS20M_Quote#0021</v>
      </c>
      <c r="G25" s="177" t="str">
        <f>_xll.ohRangeRetrieveError(F25)</f>
        <v/>
      </c>
      <c r="H25" s="176"/>
    </row>
    <row r="26" spans="1:8" x14ac:dyDescent="0.25">
      <c r="A26" s="181"/>
      <c r="B26" s="180"/>
      <c r="C26" s="180" t="s">
        <v>187</v>
      </c>
      <c r="D26" s="186" t="s">
        <v>133</v>
      </c>
      <c r="E26" s="178" t="str">
        <f t="shared" si="0"/>
        <v>USDOIS21M_Quote</v>
      </c>
      <c r="F26" s="178" t="str">
        <f>_xll.qlSimpleQuote(Currency&amp;$B26&amp;$C26&amp;$D26&amp;QuoteSuffix,,RateTickValue,Permanent,Trigger,ObjectOverwrite)</f>
        <v>USDOIS21M_Quote#0021</v>
      </c>
      <c r="G26" s="177" t="str">
        <f>_xll.ohRangeRetrieveError(F26)</f>
        <v/>
      </c>
      <c r="H26" s="176"/>
    </row>
    <row r="27" spans="1:8" x14ac:dyDescent="0.25">
      <c r="A27" s="181"/>
      <c r="B27" s="180"/>
      <c r="C27" s="180" t="s">
        <v>187</v>
      </c>
      <c r="D27" s="186" t="s">
        <v>199</v>
      </c>
      <c r="E27" s="178" t="str">
        <f t="shared" si="0"/>
        <v>USDOIS22M_Quote</v>
      </c>
      <c r="F27" s="178" t="str">
        <f>_xll.qlSimpleQuote(Currency&amp;$B27&amp;$C27&amp;$D27&amp;QuoteSuffix,,RateTickValue,Permanent,Trigger,ObjectOverwrite)</f>
        <v>USDOIS22M_Quote#0021</v>
      </c>
      <c r="G27" s="177" t="str">
        <f>_xll.ohRangeRetrieveError(F27)</f>
        <v/>
      </c>
      <c r="H27" s="176"/>
    </row>
    <row r="28" spans="1:8" x14ac:dyDescent="0.25">
      <c r="A28" s="181"/>
      <c r="B28" s="180"/>
      <c r="C28" s="180" t="s">
        <v>187</v>
      </c>
      <c r="D28" s="186" t="s">
        <v>198</v>
      </c>
      <c r="E28" s="178" t="str">
        <f t="shared" si="0"/>
        <v>USDOIS23M_Quote</v>
      </c>
      <c r="F28" s="178" t="str">
        <f>_xll.qlSimpleQuote(Currency&amp;$B28&amp;$C28&amp;$D28&amp;QuoteSuffix,,RateTickValue,Permanent,Trigger,ObjectOverwrite)</f>
        <v>USDOIS23M_Quote#0021</v>
      </c>
      <c r="G28" s="177" t="str">
        <f>_xll.ohRangeRetrieveError(F28)</f>
        <v/>
      </c>
      <c r="H28" s="176"/>
    </row>
    <row r="29" spans="1:8" x14ac:dyDescent="0.25">
      <c r="A29" s="181"/>
      <c r="B29" s="180"/>
      <c r="C29" s="180" t="s">
        <v>187</v>
      </c>
      <c r="D29" s="186" t="s">
        <v>108</v>
      </c>
      <c r="E29" s="178" t="str">
        <f t="shared" si="0"/>
        <v>USDOIS2Y_Quote</v>
      </c>
      <c r="F29" s="178" t="str">
        <f>_xll.qlSimpleQuote(Currency&amp;$B29&amp;$C29&amp;$D29&amp;QuoteSuffix,,RateTickValue,Permanent,Trigger,ObjectOverwrite)</f>
        <v>USDOIS2Y_Quote#0021</v>
      </c>
      <c r="G29" s="177" t="str">
        <f>_xll.ohRangeRetrieveError(F29)</f>
        <v/>
      </c>
      <c r="H29" s="176"/>
    </row>
    <row r="30" spans="1:8" x14ac:dyDescent="0.25">
      <c r="A30" s="181"/>
      <c r="B30" s="180"/>
      <c r="C30" s="180" t="s">
        <v>187</v>
      </c>
      <c r="D30" s="186" t="s">
        <v>197</v>
      </c>
      <c r="E30" s="178" t="str">
        <f t="shared" si="0"/>
        <v>USDOIS27M_Quote</v>
      </c>
      <c r="F30" s="178" t="str">
        <f>_xll.qlSimpleQuote(Currency&amp;$B30&amp;$C30&amp;$D30&amp;QuoteSuffix,,RateTickValue,Permanent,Trigger,ObjectOverwrite)</f>
        <v>USDOIS27M_Quote#0021</v>
      </c>
      <c r="G30" s="177" t="str">
        <f>_xll.ohRangeRetrieveError(F30)</f>
        <v/>
      </c>
      <c r="H30" s="176"/>
    </row>
    <row r="31" spans="1:8" x14ac:dyDescent="0.25">
      <c r="A31" s="181"/>
      <c r="B31" s="180"/>
      <c r="C31" s="180" t="s">
        <v>187</v>
      </c>
      <c r="D31" s="186" t="s">
        <v>196</v>
      </c>
      <c r="E31" s="178" t="str">
        <f t="shared" si="0"/>
        <v>USDOIS30M_Quote</v>
      </c>
      <c r="F31" s="178" t="str">
        <f>_xll.qlSimpleQuote(Currency&amp;$B31&amp;$C31&amp;$D31&amp;QuoteSuffix,,RateTickValue,Permanent,Trigger,ObjectOverwrite)</f>
        <v>USDOIS30M_Quote#0021</v>
      </c>
      <c r="G31" s="177" t="str">
        <f>_xll.ohRangeRetrieveError(F31)</f>
        <v/>
      </c>
      <c r="H31" s="176"/>
    </row>
    <row r="32" spans="1:8" x14ac:dyDescent="0.25">
      <c r="A32" s="181"/>
      <c r="B32" s="180"/>
      <c r="C32" s="180" t="s">
        <v>187</v>
      </c>
      <c r="D32" s="186" t="s">
        <v>195</v>
      </c>
      <c r="E32" s="178" t="str">
        <f t="shared" si="0"/>
        <v>USDOIS33M_Quote</v>
      </c>
      <c r="F32" s="178" t="str">
        <f>_xll.qlSimpleQuote(Currency&amp;$B32&amp;$C32&amp;$D32&amp;QuoteSuffix,,RateTickValue,Permanent,Trigger,ObjectOverwrite)</f>
        <v>USDOIS33M_Quote#0021</v>
      </c>
      <c r="G32" s="177" t="str">
        <f>_xll.ohRangeRetrieveError(F32)</f>
        <v/>
      </c>
      <c r="H32" s="176"/>
    </row>
    <row r="33" spans="1:8" x14ac:dyDescent="0.25">
      <c r="A33" s="181"/>
      <c r="B33" s="180"/>
      <c r="C33" s="180" t="s">
        <v>187</v>
      </c>
      <c r="D33" s="186" t="s">
        <v>107</v>
      </c>
      <c r="E33" s="178" t="str">
        <f t="shared" si="0"/>
        <v>USDOIS3Y_Quote</v>
      </c>
      <c r="F33" s="178" t="str">
        <f>_xll.qlSimpleQuote(Currency&amp;$B33&amp;$C33&amp;$D33&amp;QuoteSuffix,,RateTickValue,Permanent,Trigger,ObjectOverwrite)</f>
        <v>USDOIS3Y_Quote#0021</v>
      </c>
      <c r="G33" s="177" t="str">
        <f>_xll.ohRangeRetrieveError(F33)</f>
        <v/>
      </c>
      <c r="H33" s="176"/>
    </row>
    <row r="34" spans="1:8" x14ac:dyDescent="0.25">
      <c r="A34" s="181"/>
      <c r="B34" s="180"/>
      <c r="C34" s="180" t="s">
        <v>187</v>
      </c>
      <c r="D34" s="186" t="s">
        <v>194</v>
      </c>
      <c r="E34" s="178" t="str">
        <f t="shared" si="0"/>
        <v>USDOIS39M_Quote</v>
      </c>
      <c r="F34" s="178" t="str">
        <f>_xll.qlSimpleQuote(Currency&amp;$B34&amp;$C34&amp;$D34&amp;QuoteSuffix,,RateTickValue,Permanent,Trigger,ObjectOverwrite)</f>
        <v>USDOIS39M_Quote#0021</v>
      </c>
      <c r="G34" s="177" t="str">
        <f>_xll.ohRangeRetrieveError(F34)</f>
        <v/>
      </c>
      <c r="H34" s="176"/>
    </row>
    <row r="35" spans="1:8" x14ac:dyDescent="0.25">
      <c r="A35" s="181"/>
      <c r="B35" s="180"/>
      <c r="C35" s="180" t="s">
        <v>187</v>
      </c>
      <c r="D35" s="186" t="s">
        <v>193</v>
      </c>
      <c r="E35" s="178" t="str">
        <f t="shared" ref="E35:E56" si="1">Currency&amp;$B35&amp;$C35&amp;$D35&amp;QuoteSuffix</f>
        <v>USDOIS42M_Quote</v>
      </c>
      <c r="F35" s="178" t="str">
        <f>_xll.qlSimpleQuote(Currency&amp;$B35&amp;$C35&amp;$D35&amp;QuoteSuffix,,RateTickValue,Permanent,Trigger,ObjectOverwrite)</f>
        <v>USDOIS42M_Quote#0021</v>
      </c>
      <c r="G35" s="177" t="str">
        <f>_xll.ohRangeRetrieveError(F35)</f>
        <v/>
      </c>
      <c r="H35" s="176"/>
    </row>
    <row r="36" spans="1:8" x14ac:dyDescent="0.25">
      <c r="A36" s="181"/>
      <c r="B36" s="180"/>
      <c r="C36" s="180" t="s">
        <v>187</v>
      </c>
      <c r="D36" s="186" t="s">
        <v>192</v>
      </c>
      <c r="E36" s="178" t="str">
        <f t="shared" si="1"/>
        <v>USDOIS45M_Quote</v>
      </c>
      <c r="F36" s="178" t="str">
        <f>_xll.qlSimpleQuote(Currency&amp;$B36&amp;$C36&amp;$D36&amp;QuoteSuffix,,RateTickValue,Permanent,Trigger,ObjectOverwrite)</f>
        <v>USDOIS45M_Quote#0021</v>
      </c>
      <c r="G36" s="177" t="str">
        <f>_xll.ohRangeRetrieveError(F36)</f>
        <v/>
      </c>
      <c r="H36" s="176"/>
    </row>
    <row r="37" spans="1:8" x14ac:dyDescent="0.25">
      <c r="A37" s="181"/>
      <c r="B37" s="180"/>
      <c r="C37" s="180" t="s">
        <v>187</v>
      </c>
      <c r="D37" s="186" t="s">
        <v>106</v>
      </c>
      <c r="E37" s="178" t="str">
        <f t="shared" si="1"/>
        <v>USDOIS4Y_Quote</v>
      </c>
      <c r="F37" s="178" t="str">
        <f>_xll.qlSimpleQuote(Currency&amp;$B37&amp;$C37&amp;$D37&amp;QuoteSuffix,,RateTickValue,Permanent,Trigger,ObjectOverwrite)</f>
        <v>USDOIS4Y_Quote#0021</v>
      </c>
      <c r="G37" s="177" t="str">
        <f>_xll.ohRangeRetrieveError(F37)</f>
        <v/>
      </c>
      <c r="H37" s="176"/>
    </row>
    <row r="38" spans="1:8" x14ac:dyDescent="0.25">
      <c r="A38" s="181"/>
      <c r="B38" s="180"/>
      <c r="C38" s="180" t="s">
        <v>187</v>
      </c>
      <c r="D38" s="186" t="s">
        <v>191</v>
      </c>
      <c r="E38" s="178" t="str">
        <f t="shared" si="1"/>
        <v>USDOIS51M_Quote</v>
      </c>
      <c r="F38" s="178" t="str">
        <f>_xll.qlSimpleQuote(Currency&amp;$B38&amp;$C38&amp;$D38&amp;QuoteSuffix,,RateTickValue,Permanent,Trigger,ObjectOverwrite)</f>
        <v>USDOIS51M_Quote#0021</v>
      </c>
      <c r="G38" s="177" t="str">
        <f>_xll.ohRangeRetrieveError(F38)</f>
        <v/>
      </c>
      <c r="H38" s="176"/>
    </row>
    <row r="39" spans="1:8" x14ac:dyDescent="0.25">
      <c r="A39" s="181"/>
      <c r="B39" s="180"/>
      <c r="C39" s="180" t="s">
        <v>187</v>
      </c>
      <c r="D39" s="186" t="s">
        <v>190</v>
      </c>
      <c r="E39" s="178" t="str">
        <f t="shared" si="1"/>
        <v>USDOIS54M_Quote</v>
      </c>
      <c r="F39" s="178" t="str">
        <f>_xll.qlSimpleQuote(Currency&amp;$B39&amp;$C39&amp;$D39&amp;QuoteSuffix,,RateTickValue,Permanent,Trigger,ObjectOverwrite)</f>
        <v>USDOIS54M_Quote#0021</v>
      </c>
      <c r="G39" s="177" t="str">
        <f>_xll.ohRangeRetrieveError(F39)</f>
        <v/>
      </c>
      <c r="H39" s="176"/>
    </row>
    <row r="40" spans="1:8" x14ac:dyDescent="0.25">
      <c r="A40" s="181"/>
      <c r="B40" s="180"/>
      <c r="C40" s="180" t="s">
        <v>187</v>
      </c>
      <c r="D40" s="186" t="s">
        <v>189</v>
      </c>
      <c r="E40" s="178" t="str">
        <f t="shared" si="1"/>
        <v>USDOIS57M_Quote</v>
      </c>
      <c r="F40" s="178" t="str">
        <f>_xll.qlSimpleQuote(Currency&amp;$B40&amp;$C40&amp;$D40&amp;QuoteSuffix,,RateTickValue,Permanent,Trigger,ObjectOverwrite)</f>
        <v>USDOIS57M_Quote#0021</v>
      </c>
      <c r="G40" s="177" t="str">
        <f>_xll.ohRangeRetrieveError(F40)</f>
        <v/>
      </c>
      <c r="H40" s="176"/>
    </row>
    <row r="41" spans="1:8" x14ac:dyDescent="0.25">
      <c r="A41" s="181"/>
      <c r="B41" s="180"/>
      <c r="C41" s="180" t="s">
        <v>187</v>
      </c>
      <c r="D41" s="186" t="s">
        <v>105</v>
      </c>
      <c r="E41" s="178" t="str">
        <f t="shared" si="1"/>
        <v>USDOIS5Y_Quote</v>
      </c>
      <c r="F41" s="178" t="str">
        <f>_xll.qlSimpleQuote(Currency&amp;$B41&amp;$C41&amp;$D41&amp;QuoteSuffix,,RateTickValue,Permanent,Trigger,ObjectOverwrite)</f>
        <v>USDOIS5Y_Quote#0021</v>
      </c>
      <c r="G41" s="177" t="str">
        <f>_xll.ohRangeRetrieveError(F41)</f>
        <v/>
      </c>
      <c r="H41" s="176"/>
    </row>
    <row r="42" spans="1:8" x14ac:dyDescent="0.25">
      <c r="A42" s="181"/>
      <c r="B42" s="180"/>
      <c r="C42" s="180" t="s">
        <v>187</v>
      </c>
      <c r="D42" s="186" t="s">
        <v>104</v>
      </c>
      <c r="E42" s="178" t="str">
        <f t="shared" si="1"/>
        <v>USDOIS6Y_Quote</v>
      </c>
      <c r="F42" s="178" t="str">
        <f>_xll.qlSimpleQuote(Currency&amp;$B42&amp;$C42&amp;$D42&amp;QuoteSuffix,,RateTickValue,Permanent,Trigger,ObjectOverwrite)</f>
        <v>USDOIS6Y_Quote#0021</v>
      </c>
      <c r="G42" s="177" t="str">
        <f>_xll.ohRangeRetrieveError(F42)</f>
        <v/>
      </c>
      <c r="H42" s="176"/>
    </row>
    <row r="43" spans="1:8" x14ac:dyDescent="0.25">
      <c r="A43" s="181"/>
      <c r="B43" s="180"/>
      <c r="C43" s="180" t="s">
        <v>187</v>
      </c>
      <c r="D43" s="186" t="s">
        <v>103</v>
      </c>
      <c r="E43" s="178" t="str">
        <f t="shared" si="1"/>
        <v>USDOIS7Y_Quote</v>
      </c>
      <c r="F43" s="178" t="str">
        <f>_xll.qlSimpleQuote(Currency&amp;$B43&amp;$C43&amp;$D43&amp;QuoteSuffix,,RateTickValue,Permanent,Trigger,ObjectOverwrite)</f>
        <v>USDOIS7Y_Quote#0021</v>
      </c>
      <c r="G43" s="177" t="str">
        <f>_xll.ohRangeRetrieveError(F43)</f>
        <v/>
      </c>
      <c r="H43" s="176"/>
    </row>
    <row r="44" spans="1:8" x14ac:dyDescent="0.25">
      <c r="A44" s="181"/>
      <c r="B44" s="180"/>
      <c r="C44" s="180" t="s">
        <v>187</v>
      </c>
      <c r="D44" s="186" t="s">
        <v>102</v>
      </c>
      <c r="E44" s="178" t="str">
        <f t="shared" si="1"/>
        <v>USDOIS8Y_Quote</v>
      </c>
      <c r="F44" s="178" t="str">
        <f>_xll.qlSimpleQuote(Currency&amp;$B44&amp;$C44&amp;$D44&amp;QuoteSuffix,,RateTickValue,Permanent,Trigger,ObjectOverwrite)</f>
        <v>USDOIS8Y_Quote#0021</v>
      </c>
      <c r="G44" s="177" t="str">
        <f>_xll.ohRangeRetrieveError(F44)</f>
        <v/>
      </c>
      <c r="H44" s="176"/>
    </row>
    <row r="45" spans="1:8" x14ac:dyDescent="0.25">
      <c r="A45" s="181"/>
      <c r="B45" s="180"/>
      <c r="C45" s="180" t="s">
        <v>187</v>
      </c>
      <c r="D45" s="186" t="s">
        <v>101</v>
      </c>
      <c r="E45" s="178" t="str">
        <f t="shared" si="1"/>
        <v>USDOIS9Y_Quote</v>
      </c>
      <c r="F45" s="178" t="str">
        <f>_xll.qlSimpleQuote(Currency&amp;$B45&amp;$C45&amp;$D45&amp;QuoteSuffix,,RateTickValue,Permanent,Trigger,ObjectOverwrite)</f>
        <v>USDOIS9Y_Quote#0021</v>
      </c>
      <c r="G45" s="177" t="str">
        <f>_xll.ohRangeRetrieveError(F45)</f>
        <v/>
      </c>
      <c r="H45" s="176"/>
    </row>
    <row r="46" spans="1:8" x14ac:dyDescent="0.25">
      <c r="A46" s="181"/>
      <c r="B46" s="180"/>
      <c r="C46" s="180" t="s">
        <v>187</v>
      </c>
      <c r="D46" s="186" t="s">
        <v>100</v>
      </c>
      <c r="E46" s="178" t="str">
        <f t="shared" si="1"/>
        <v>USDOIS10Y_Quote</v>
      </c>
      <c r="F46" s="178" t="str">
        <f>_xll.qlSimpleQuote(Currency&amp;$B46&amp;$C46&amp;$D46&amp;QuoteSuffix,,RateTickValue,Permanent,Trigger,ObjectOverwrite)</f>
        <v>USDOIS10Y_Quote#0021</v>
      </c>
      <c r="G46" s="177" t="str">
        <f>_xll.ohRangeRetrieveError(F46)</f>
        <v/>
      </c>
      <c r="H46" s="176"/>
    </row>
    <row r="47" spans="1:8" x14ac:dyDescent="0.25">
      <c r="A47" s="181"/>
      <c r="B47" s="180"/>
      <c r="C47" s="180" t="s">
        <v>187</v>
      </c>
      <c r="D47" s="186" t="s">
        <v>98</v>
      </c>
      <c r="E47" s="178" t="str">
        <f t="shared" si="1"/>
        <v>USDOIS12Y_Quote</v>
      </c>
      <c r="F47" s="178" t="str">
        <f>_xll.qlSimpleQuote(Currency&amp;$B47&amp;$C47&amp;$D47&amp;QuoteSuffix,,RateTickValue,Permanent,Trigger,ObjectOverwrite)</f>
        <v>USDOIS12Y_Quote#0021</v>
      </c>
      <c r="G47" s="177" t="str">
        <f>_xll.ohRangeRetrieveError(F47)</f>
        <v/>
      </c>
      <c r="H47" s="176"/>
    </row>
    <row r="48" spans="1:8" x14ac:dyDescent="0.25">
      <c r="A48" s="181"/>
      <c r="B48" s="180"/>
      <c r="C48" s="180" t="s">
        <v>187</v>
      </c>
      <c r="D48" s="186" t="s">
        <v>95</v>
      </c>
      <c r="E48" s="178" t="str">
        <f t="shared" si="1"/>
        <v>USDOIS15Y_Quote</v>
      </c>
      <c r="F48" s="178" t="str">
        <f>_xll.qlSimpleQuote(Currency&amp;$B48&amp;$C48&amp;$D48&amp;QuoteSuffix,,RateTickValue,Permanent,Trigger,ObjectOverwrite)</f>
        <v>USDOIS15Y_Quote#0021</v>
      </c>
      <c r="G48" s="177" t="str">
        <f>_xll.ohRangeRetrieveError(F48)</f>
        <v/>
      </c>
      <c r="H48" s="176"/>
    </row>
    <row r="49" spans="1:8" x14ac:dyDescent="0.25">
      <c r="A49" s="181"/>
      <c r="B49" s="180"/>
      <c r="C49" s="180" t="s">
        <v>187</v>
      </c>
      <c r="D49" s="186" t="s">
        <v>90</v>
      </c>
      <c r="E49" s="178" t="str">
        <f t="shared" si="1"/>
        <v>USDOIS20Y_Quote</v>
      </c>
      <c r="F49" s="178" t="str">
        <f>_xll.qlSimpleQuote(Currency&amp;$B49&amp;$C49&amp;$D49&amp;QuoteSuffix,,RateTickValue,Permanent,Trigger,ObjectOverwrite)</f>
        <v>USDOIS20Y_Quote#0021</v>
      </c>
      <c r="G49" s="177" t="str">
        <f>_xll.ohRangeRetrieveError(F49)</f>
        <v/>
      </c>
      <c r="H49" s="176"/>
    </row>
    <row r="50" spans="1:8" x14ac:dyDescent="0.25">
      <c r="A50" s="181"/>
      <c r="B50" s="180"/>
      <c r="C50" s="180" t="s">
        <v>187</v>
      </c>
      <c r="D50" s="186" t="s">
        <v>85</v>
      </c>
      <c r="E50" s="178" t="str">
        <f t="shared" si="1"/>
        <v>USDOIS25Y_Quote</v>
      </c>
      <c r="F50" s="178" t="str">
        <f>_xll.qlSimpleQuote(Currency&amp;$B50&amp;$C50&amp;$D50&amp;QuoteSuffix,,RateTickValue,Permanent,Trigger,ObjectOverwrite)</f>
        <v>USDOIS25Y_Quote#0021</v>
      </c>
      <c r="G50" s="177" t="str">
        <f>_xll.ohRangeRetrieveError(F50)</f>
        <v/>
      </c>
      <c r="H50" s="176"/>
    </row>
    <row r="51" spans="1:8" x14ac:dyDescent="0.25">
      <c r="A51" s="181"/>
      <c r="B51" s="180"/>
      <c r="C51" s="180" t="s">
        <v>187</v>
      </c>
      <c r="D51" s="186" t="s">
        <v>83</v>
      </c>
      <c r="E51" s="178" t="str">
        <f t="shared" si="1"/>
        <v>USDOIS27Y_Quote</v>
      </c>
      <c r="F51" s="178" t="str">
        <f>_xll.qlSimpleQuote(Currency&amp;$B51&amp;$C51&amp;$D51&amp;QuoteSuffix,,RateTickValue,Permanent,Trigger,ObjectOverwrite)</f>
        <v>USDOIS27Y_Quote#0021</v>
      </c>
      <c r="G51" s="177" t="str">
        <f>_xll.ohRangeRetrieveError(F51)</f>
        <v/>
      </c>
      <c r="H51" s="176"/>
    </row>
    <row r="52" spans="1:8" x14ac:dyDescent="0.25">
      <c r="A52" s="181"/>
      <c r="B52" s="180"/>
      <c r="C52" s="180" t="s">
        <v>187</v>
      </c>
      <c r="D52" s="186" t="s">
        <v>80</v>
      </c>
      <c r="E52" s="178" t="str">
        <f t="shared" si="1"/>
        <v>USDOIS30Y_Quote</v>
      </c>
      <c r="F52" s="178" t="str">
        <f>_xll.qlSimpleQuote(Currency&amp;$B52&amp;$C52&amp;$D52&amp;QuoteSuffix,,RateTickValue,Permanent,Trigger,ObjectOverwrite)</f>
        <v>USDOIS30Y_Quote#0021</v>
      </c>
      <c r="G52" s="177" t="str">
        <f>_xll.ohRangeRetrieveError(F52)</f>
        <v/>
      </c>
      <c r="H52" s="176"/>
    </row>
    <row r="53" spans="1:8" x14ac:dyDescent="0.25">
      <c r="A53" s="181"/>
      <c r="B53" s="180"/>
      <c r="C53" s="180" t="s">
        <v>187</v>
      </c>
      <c r="D53" s="186" t="s">
        <v>75</v>
      </c>
      <c r="E53" s="178" t="str">
        <f t="shared" si="1"/>
        <v>USDOIS35Y_Quote</v>
      </c>
      <c r="F53" s="178" t="str">
        <f>_xll.qlSimpleQuote(Currency&amp;$B53&amp;$C53&amp;$D53&amp;QuoteSuffix,,RateTickValue,Permanent,Trigger,ObjectOverwrite)</f>
        <v>USDOIS35Y_Quote#0021</v>
      </c>
      <c r="G53" s="177" t="str">
        <f>_xll.ohRangeRetrieveError(F53)</f>
        <v/>
      </c>
      <c r="H53" s="176"/>
    </row>
    <row r="54" spans="1:8" x14ac:dyDescent="0.25">
      <c r="A54" s="181"/>
      <c r="B54" s="180"/>
      <c r="C54" s="180" t="s">
        <v>187</v>
      </c>
      <c r="D54" s="186" t="s">
        <v>70</v>
      </c>
      <c r="E54" s="178" t="str">
        <f t="shared" si="1"/>
        <v>USDOIS40Y_Quote</v>
      </c>
      <c r="F54" s="178" t="str">
        <f>_xll.qlSimpleQuote(Currency&amp;$B54&amp;$C54&amp;$D54&amp;QuoteSuffix,,RateTickValue,Permanent,Trigger,ObjectOverwrite)</f>
        <v>USDOIS40Y_Quote#0021</v>
      </c>
      <c r="G54" s="177" t="str">
        <f>_xll.ohRangeRetrieveError(F54)</f>
        <v/>
      </c>
      <c r="H54" s="176"/>
    </row>
    <row r="55" spans="1:8" x14ac:dyDescent="0.25">
      <c r="A55" s="181"/>
      <c r="B55" s="180"/>
      <c r="C55" s="180" t="s">
        <v>187</v>
      </c>
      <c r="D55" s="186" t="s">
        <v>65</v>
      </c>
      <c r="E55" s="178" t="str">
        <f t="shared" si="1"/>
        <v>USDOIS45Y_Quote</v>
      </c>
      <c r="F55" s="178" t="str">
        <f>_xll.qlSimpleQuote(Currency&amp;$B55&amp;$C55&amp;$D55&amp;QuoteSuffix,,RateTickValue,Permanent,Trigger,ObjectOverwrite)</f>
        <v>USDOIS45Y_Quote#0021</v>
      </c>
      <c r="G55" s="177" t="str">
        <f>_xll.ohRangeRetrieveError(F55)</f>
        <v/>
      </c>
      <c r="H55" s="176"/>
    </row>
    <row r="56" spans="1:8" x14ac:dyDescent="0.25">
      <c r="A56" s="181"/>
      <c r="B56" s="180"/>
      <c r="C56" s="180" t="s">
        <v>187</v>
      </c>
      <c r="D56" s="186" t="s">
        <v>60</v>
      </c>
      <c r="E56" s="178" t="str">
        <f t="shared" si="1"/>
        <v>USDOIS50Y_Quote</v>
      </c>
      <c r="F56" s="178" t="str">
        <f>_xll.qlSimpleQuote(Currency&amp;$B56&amp;$C56&amp;$D56&amp;QuoteSuffix,,RateTickValue,Permanent,Trigger,ObjectOverwrite)</f>
        <v>USDOIS50Y_Quote#0021</v>
      </c>
      <c r="G56" s="177" t="str">
        <f>_xll.ohRangeRetrieveError(F56)</f>
        <v/>
      </c>
      <c r="H56" s="176"/>
    </row>
    <row r="57" spans="1:8" x14ac:dyDescent="0.25">
      <c r="A57" s="181"/>
      <c r="B57" s="185"/>
      <c r="C57" s="185"/>
      <c r="D57" s="184"/>
      <c r="E57" s="183"/>
      <c r="F57" s="183"/>
      <c r="G57" s="182"/>
      <c r="H57" s="176"/>
    </row>
    <row r="58" spans="1:8" x14ac:dyDescent="0.25">
      <c r="A58" s="181"/>
      <c r="B58" s="180" t="s">
        <v>188</v>
      </c>
      <c r="C58" s="180" t="s">
        <v>187</v>
      </c>
      <c r="D58" s="179" t="str">
        <f>_xll.qlECBNextCode(_xll.qlSettingsEvaluationDate(Trigger)-365)</f>
        <v>JAN13</v>
      </c>
      <c r="E58" s="178" t="str">
        <f t="shared" ref="E58:E93" si="2">Currency&amp;$B58&amp;$C58&amp;$D58&amp;QuoteSuffix</f>
        <v>USDFEDOISJAN13_Quote</v>
      </c>
      <c r="F58" s="178" t="str">
        <f>_xll.qlSimpleQuote(Currency&amp;$B58&amp;$C58&amp;$D58&amp;QuoteSuffix,,RateTickValue,Permanent,Trigger,ObjectOverwrite)</f>
        <v>USDFEDOISJAN13_Quote#0021</v>
      </c>
      <c r="G58" s="177" t="str">
        <f>_xll.ohRangeRetrieveError(F58)</f>
        <v/>
      </c>
      <c r="H58" s="176"/>
    </row>
    <row r="59" spans="1:8" x14ac:dyDescent="0.25">
      <c r="A59" s="181"/>
      <c r="B59" s="180" t="s">
        <v>188</v>
      </c>
      <c r="C59" s="180" t="s">
        <v>187</v>
      </c>
      <c r="D59" s="179" t="str">
        <f>_xll.qlECBNextCode(_xll.qlECBdate(D58))</f>
        <v>FEB13</v>
      </c>
      <c r="E59" s="178" t="str">
        <f t="shared" si="2"/>
        <v>USDFEDOISFEB13_Quote</v>
      </c>
      <c r="F59" s="178" t="str">
        <f>_xll.qlSimpleQuote(Currency&amp;$B59&amp;$C59&amp;$D59&amp;QuoteSuffix,,RateTickValue,Permanent,Trigger,ObjectOverwrite)</f>
        <v>USDFEDOISFEB13_Quote#0021</v>
      </c>
      <c r="G59" s="177" t="str">
        <f>_xll.ohRangeRetrieveError(F59)</f>
        <v/>
      </c>
      <c r="H59" s="176"/>
    </row>
    <row r="60" spans="1:8" x14ac:dyDescent="0.25">
      <c r="A60" s="181"/>
      <c r="B60" s="180" t="s">
        <v>188</v>
      </c>
      <c r="C60" s="180" t="s">
        <v>187</v>
      </c>
      <c r="D60" s="179" t="str">
        <f>_xll.qlECBNextCode(_xll.qlECBdate(D59))</f>
        <v>MAR13</v>
      </c>
      <c r="E60" s="178" t="str">
        <f t="shared" si="2"/>
        <v>USDFEDOISMAR13_Quote</v>
      </c>
      <c r="F60" s="178" t="str">
        <f>_xll.qlSimpleQuote(Currency&amp;$B60&amp;$C60&amp;$D60&amp;QuoteSuffix,,RateTickValue,Permanent,Trigger,ObjectOverwrite)</f>
        <v>USDFEDOISMAR13_Quote#0021</v>
      </c>
      <c r="G60" s="177" t="str">
        <f>_xll.ohRangeRetrieveError(F60)</f>
        <v/>
      </c>
      <c r="H60" s="176"/>
    </row>
    <row r="61" spans="1:8" x14ac:dyDescent="0.25">
      <c r="A61" s="181"/>
      <c r="B61" s="180" t="s">
        <v>188</v>
      </c>
      <c r="C61" s="180" t="s">
        <v>187</v>
      </c>
      <c r="D61" s="179" t="str">
        <f>_xll.qlECBNextCode(_xll.qlECBdate(D60))</f>
        <v>APR13</v>
      </c>
      <c r="E61" s="178" t="str">
        <f t="shared" si="2"/>
        <v>USDFEDOISAPR13_Quote</v>
      </c>
      <c r="F61" s="178" t="str">
        <f>_xll.qlSimpleQuote(Currency&amp;$B61&amp;$C61&amp;$D61&amp;QuoteSuffix,,RateTickValue,Permanent,Trigger,ObjectOverwrite)</f>
        <v>USDFEDOISAPR13_Quote#0021</v>
      </c>
      <c r="G61" s="177" t="str">
        <f>_xll.ohRangeRetrieveError(F61)</f>
        <v/>
      </c>
      <c r="H61" s="176"/>
    </row>
    <row r="62" spans="1:8" x14ac:dyDescent="0.25">
      <c r="A62" s="181"/>
      <c r="B62" s="180" t="s">
        <v>188</v>
      </c>
      <c r="C62" s="180" t="s">
        <v>187</v>
      </c>
      <c r="D62" s="179" t="str">
        <f>_xll.qlECBNextCode(_xll.qlECBdate(D61))</f>
        <v>MAY13</v>
      </c>
      <c r="E62" s="178" t="str">
        <f t="shared" si="2"/>
        <v>USDFEDOISMAY13_Quote</v>
      </c>
      <c r="F62" s="178" t="str">
        <f>_xll.qlSimpleQuote(Currency&amp;$B62&amp;$C62&amp;$D62&amp;QuoteSuffix,,RateTickValue,Permanent,Trigger,ObjectOverwrite)</f>
        <v>USDFEDOISMAY13_Quote#0021</v>
      </c>
      <c r="G62" s="177" t="str">
        <f>_xll.ohRangeRetrieveError(F62)</f>
        <v/>
      </c>
      <c r="H62" s="176"/>
    </row>
    <row r="63" spans="1:8" x14ac:dyDescent="0.25">
      <c r="A63" s="181"/>
      <c r="B63" s="180" t="s">
        <v>188</v>
      </c>
      <c r="C63" s="180" t="s">
        <v>187</v>
      </c>
      <c r="D63" s="179" t="str">
        <f>_xll.qlECBNextCode(_xll.qlECBdate(D62))</f>
        <v>JUN13</v>
      </c>
      <c r="E63" s="178" t="str">
        <f t="shared" si="2"/>
        <v>USDFEDOISJUN13_Quote</v>
      </c>
      <c r="F63" s="178" t="str">
        <f>_xll.qlSimpleQuote(Currency&amp;$B63&amp;$C63&amp;$D63&amp;QuoteSuffix,,RateTickValue,Permanent,Trigger,ObjectOverwrite)</f>
        <v>USDFEDOISJUN13_Quote#0021</v>
      </c>
      <c r="G63" s="177" t="str">
        <f>_xll.ohRangeRetrieveError(F63)</f>
        <v/>
      </c>
      <c r="H63" s="176"/>
    </row>
    <row r="64" spans="1:8" x14ac:dyDescent="0.25">
      <c r="A64" s="181"/>
      <c r="B64" s="180" t="s">
        <v>188</v>
      </c>
      <c r="C64" s="180" t="s">
        <v>187</v>
      </c>
      <c r="D64" s="179" t="str">
        <f>_xll.qlECBNextCode(_xll.qlECBdate(D63))</f>
        <v>JUL13</v>
      </c>
      <c r="E64" s="178" t="str">
        <f t="shared" si="2"/>
        <v>USDFEDOISJUL13_Quote</v>
      </c>
      <c r="F64" s="178" t="str">
        <f>_xll.qlSimpleQuote(Currency&amp;$B64&amp;$C64&amp;$D64&amp;QuoteSuffix,,RateTickValue,Permanent,Trigger,ObjectOverwrite)</f>
        <v>USDFEDOISJUL13_Quote#0021</v>
      </c>
      <c r="G64" s="177" t="str">
        <f>_xll.ohRangeRetrieveError(F64)</f>
        <v/>
      </c>
      <c r="H64" s="176"/>
    </row>
    <row r="65" spans="1:8" x14ac:dyDescent="0.25">
      <c r="A65" s="181"/>
      <c r="B65" s="180" t="s">
        <v>188</v>
      </c>
      <c r="C65" s="180" t="s">
        <v>187</v>
      </c>
      <c r="D65" s="179" t="str">
        <f>_xll.qlECBNextCode(_xll.qlECBdate(D64))</f>
        <v>AUG13</v>
      </c>
      <c r="E65" s="178" t="str">
        <f t="shared" si="2"/>
        <v>USDFEDOISAUG13_Quote</v>
      </c>
      <c r="F65" s="178" t="str">
        <f>_xll.qlSimpleQuote(Currency&amp;$B65&amp;$C65&amp;$D65&amp;QuoteSuffix,,RateTickValue,Permanent,Trigger,ObjectOverwrite)</f>
        <v>USDFEDOISAUG13_Quote#0021</v>
      </c>
      <c r="G65" s="177" t="str">
        <f>_xll.ohRangeRetrieveError(F65)</f>
        <v/>
      </c>
      <c r="H65" s="176"/>
    </row>
    <row r="66" spans="1:8" x14ac:dyDescent="0.25">
      <c r="A66" s="181"/>
      <c r="B66" s="180" t="s">
        <v>188</v>
      </c>
      <c r="C66" s="180" t="s">
        <v>187</v>
      </c>
      <c r="D66" s="179" t="str">
        <f>_xll.qlECBNextCode(_xll.qlECBdate(D65))</f>
        <v>SEP13</v>
      </c>
      <c r="E66" s="178" t="str">
        <f t="shared" si="2"/>
        <v>USDFEDOISSEP13_Quote</v>
      </c>
      <c r="F66" s="178" t="str">
        <f>_xll.qlSimpleQuote(Currency&amp;$B66&amp;$C66&amp;$D66&amp;QuoteSuffix,,RateTickValue,Permanent,Trigger,ObjectOverwrite)</f>
        <v>USDFEDOISSEP13_Quote#0021</v>
      </c>
      <c r="G66" s="177" t="str">
        <f>_xll.ohRangeRetrieveError(F66)</f>
        <v/>
      </c>
      <c r="H66" s="176"/>
    </row>
    <row r="67" spans="1:8" x14ac:dyDescent="0.25">
      <c r="A67" s="181"/>
      <c r="B67" s="180" t="s">
        <v>188</v>
      </c>
      <c r="C67" s="180" t="s">
        <v>187</v>
      </c>
      <c r="D67" s="179" t="str">
        <f>_xll.qlECBNextCode(_xll.qlECBdate(D66))</f>
        <v>OCT13</v>
      </c>
      <c r="E67" s="178" t="str">
        <f t="shared" si="2"/>
        <v>USDFEDOISOCT13_Quote</v>
      </c>
      <c r="F67" s="178" t="str">
        <f>_xll.qlSimpleQuote(Currency&amp;$B67&amp;$C67&amp;$D67&amp;QuoteSuffix,,RateTickValue,Permanent,Trigger,ObjectOverwrite)</f>
        <v>USDFEDOISOCT13_Quote#0021</v>
      </c>
      <c r="G67" s="177" t="str">
        <f>_xll.ohRangeRetrieveError(F67)</f>
        <v/>
      </c>
      <c r="H67" s="176"/>
    </row>
    <row r="68" spans="1:8" x14ac:dyDescent="0.25">
      <c r="A68" s="181"/>
      <c r="B68" s="180" t="s">
        <v>188</v>
      </c>
      <c r="C68" s="180" t="s">
        <v>187</v>
      </c>
      <c r="D68" s="179" t="str">
        <f>_xll.qlECBNextCode(_xll.qlECBdate(D67))</f>
        <v>NOV13</v>
      </c>
      <c r="E68" s="178" t="str">
        <f t="shared" si="2"/>
        <v>USDFEDOISNOV13_Quote</v>
      </c>
      <c r="F68" s="178" t="str">
        <f>_xll.qlSimpleQuote(Currency&amp;$B68&amp;$C68&amp;$D68&amp;QuoteSuffix,,RateTickValue,Permanent,Trigger,ObjectOverwrite)</f>
        <v>USDFEDOISNOV13_Quote#0021</v>
      </c>
      <c r="G68" s="177" t="str">
        <f>_xll.ohRangeRetrieveError(F68)</f>
        <v/>
      </c>
      <c r="H68" s="176"/>
    </row>
    <row r="69" spans="1:8" x14ac:dyDescent="0.25">
      <c r="A69" s="181"/>
      <c r="B69" s="180" t="s">
        <v>188</v>
      </c>
      <c r="C69" s="180" t="s">
        <v>187</v>
      </c>
      <c r="D69" s="179" t="str">
        <f>_xll.qlECBNextCode(_xll.qlECBdate(D68))</f>
        <v>DEC13</v>
      </c>
      <c r="E69" s="178" t="str">
        <f t="shared" si="2"/>
        <v>USDFEDOISDEC13_Quote</v>
      </c>
      <c r="F69" s="178" t="str">
        <f>_xll.qlSimpleQuote(Currency&amp;$B69&amp;$C69&amp;$D69&amp;QuoteSuffix,,RateTickValue,Permanent,Trigger,ObjectOverwrite)</f>
        <v>USDFEDOISDEC13_Quote#0021</v>
      </c>
      <c r="G69" s="177" t="str">
        <f>_xll.ohRangeRetrieveError(F69)</f>
        <v/>
      </c>
      <c r="H69" s="176"/>
    </row>
    <row r="70" spans="1:8" x14ac:dyDescent="0.25">
      <c r="A70" s="181"/>
      <c r="B70" s="180" t="s">
        <v>188</v>
      </c>
      <c r="C70" s="180" t="s">
        <v>187</v>
      </c>
      <c r="D70" s="179" t="e">
        <f>_xll.qlECBNextCode(_xll.qlECBdate(D69))</f>
        <v>#NUM!</v>
      </c>
      <c r="E70" s="178" t="e">
        <f t="shared" si="2"/>
        <v>#NUM!</v>
      </c>
      <c r="F70" s="178" t="e">
        <f>_xll.qlSimpleQuote(Currency&amp;$B70&amp;$C70&amp;$D70&amp;QuoteSuffix,,RateTickValue,Permanent,Trigger,ObjectOverwrite)</f>
        <v>#VALUE!</v>
      </c>
      <c r="G70" s="177" t="str">
        <f ca="1">_xll.ohRangeRetrieveError(F70)</f>
        <v/>
      </c>
      <c r="H70" s="176"/>
    </row>
    <row r="71" spans="1:8" x14ac:dyDescent="0.25">
      <c r="A71" s="181"/>
      <c r="B71" s="180" t="s">
        <v>188</v>
      </c>
      <c r="C71" s="180" t="s">
        <v>187</v>
      </c>
      <c r="D71" s="179" t="e">
        <f>_xll.qlECBNextCode(_xll.qlECBdate(D70))</f>
        <v>#NUM!</v>
      </c>
      <c r="E71" s="178" t="e">
        <f t="shared" si="2"/>
        <v>#NUM!</v>
      </c>
      <c r="F71" s="178" t="e">
        <f>_xll.qlSimpleQuote(Currency&amp;$B71&amp;$C71&amp;$D71&amp;QuoteSuffix,,RateTickValue,Permanent,Trigger,ObjectOverwrite)</f>
        <v>#VALUE!</v>
      </c>
      <c r="G71" s="177" t="str">
        <f ca="1">_xll.ohRangeRetrieveError(F71)</f>
        <v/>
      </c>
      <c r="H71" s="176"/>
    </row>
    <row r="72" spans="1:8" x14ac:dyDescent="0.25">
      <c r="A72" s="181"/>
      <c r="B72" s="180" t="s">
        <v>188</v>
      </c>
      <c r="C72" s="180" t="s">
        <v>187</v>
      </c>
      <c r="D72" s="179" t="e">
        <f>_xll.qlECBNextCode(_xll.qlECBdate(D71))</f>
        <v>#NUM!</v>
      </c>
      <c r="E72" s="178" t="e">
        <f t="shared" si="2"/>
        <v>#NUM!</v>
      </c>
      <c r="F72" s="178" t="e">
        <f>_xll.qlSimpleQuote(Currency&amp;$B72&amp;$C72&amp;$D72&amp;QuoteSuffix,,RateTickValue,Permanent,Trigger,ObjectOverwrite)</f>
        <v>#VALUE!</v>
      </c>
      <c r="G72" s="177" t="str">
        <f ca="1">_xll.ohRangeRetrieveError(F72)</f>
        <v/>
      </c>
      <c r="H72" s="176"/>
    </row>
    <row r="73" spans="1:8" x14ac:dyDescent="0.25">
      <c r="A73" s="181"/>
      <c r="B73" s="180" t="s">
        <v>188</v>
      </c>
      <c r="C73" s="180" t="s">
        <v>187</v>
      </c>
      <c r="D73" s="179" t="e">
        <f>_xll.qlECBNextCode(_xll.qlECBdate(D72))</f>
        <v>#NUM!</v>
      </c>
      <c r="E73" s="178" t="e">
        <f t="shared" si="2"/>
        <v>#NUM!</v>
      </c>
      <c r="F73" s="178" t="e">
        <f>_xll.qlSimpleQuote(Currency&amp;$B73&amp;$C73&amp;$D73&amp;QuoteSuffix,,RateTickValue,Permanent,Trigger,ObjectOverwrite)</f>
        <v>#VALUE!</v>
      </c>
      <c r="G73" s="177" t="str">
        <f ca="1">_xll.ohRangeRetrieveError(F73)</f>
        <v/>
      </c>
      <c r="H73" s="176"/>
    </row>
    <row r="74" spans="1:8" x14ac:dyDescent="0.25">
      <c r="A74" s="181"/>
      <c r="B74" s="180" t="s">
        <v>188</v>
      </c>
      <c r="C74" s="180" t="s">
        <v>187</v>
      </c>
      <c r="D74" s="179" t="e">
        <f>_xll.qlECBNextCode(_xll.qlECBdate(D73))</f>
        <v>#NUM!</v>
      </c>
      <c r="E74" s="178" t="e">
        <f t="shared" si="2"/>
        <v>#NUM!</v>
      </c>
      <c r="F74" s="178" t="e">
        <f>_xll.qlSimpleQuote(Currency&amp;$B74&amp;$C74&amp;$D74&amp;QuoteSuffix,,RateTickValue,Permanent,Trigger,ObjectOverwrite)</f>
        <v>#VALUE!</v>
      </c>
      <c r="G74" s="177" t="str">
        <f ca="1">_xll.ohRangeRetrieveError(F74)</f>
        <v/>
      </c>
      <c r="H74" s="176"/>
    </row>
    <row r="75" spans="1:8" x14ac:dyDescent="0.25">
      <c r="A75" s="181"/>
      <c r="B75" s="180" t="s">
        <v>188</v>
      </c>
      <c r="C75" s="180" t="s">
        <v>187</v>
      </c>
      <c r="D75" s="179" t="e">
        <f>_xll.qlECBNextCode(_xll.qlECBdate(D74))</f>
        <v>#NUM!</v>
      </c>
      <c r="E75" s="178" t="e">
        <f t="shared" si="2"/>
        <v>#NUM!</v>
      </c>
      <c r="F75" s="178" t="e">
        <f>_xll.qlSimpleQuote(Currency&amp;$B75&amp;$C75&amp;$D75&amp;QuoteSuffix,,RateTickValue,Permanent,Trigger,ObjectOverwrite)</f>
        <v>#VALUE!</v>
      </c>
      <c r="G75" s="177" t="str">
        <f ca="1">_xll.ohRangeRetrieveError(F75)</f>
        <v/>
      </c>
      <c r="H75" s="176"/>
    </row>
    <row r="76" spans="1:8" x14ac:dyDescent="0.25">
      <c r="A76" s="181"/>
      <c r="B76" s="180" t="s">
        <v>188</v>
      </c>
      <c r="C76" s="180" t="s">
        <v>187</v>
      </c>
      <c r="D76" s="179" t="e">
        <f>_xll.qlECBNextCode(_xll.qlECBdate(D75))</f>
        <v>#NUM!</v>
      </c>
      <c r="E76" s="178" t="e">
        <f t="shared" si="2"/>
        <v>#NUM!</v>
      </c>
      <c r="F76" s="178" t="e">
        <f>_xll.qlSimpleQuote(Currency&amp;$B76&amp;$C76&amp;$D76&amp;QuoteSuffix,,RateTickValue,Permanent,Trigger,ObjectOverwrite)</f>
        <v>#VALUE!</v>
      </c>
      <c r="G76" s="177" t="str">
        <f ca="1">_xll.ohRangeRetrieveError(F76)</f>
        <v/>
      </c>
      <c r="H76" s="176"/>
    </row>
    <row r="77" spans="1:8" x14ac:dyDescent="0.25">
      <c r="A77" s="181"/>
      <c r="B77" s="180" t="s">
        <v>188</v>
      </c>
      <c r="C77" s="180" t="s">
        <v>187</v>
      </c>
      <c r="D77" s="179" t="e">
        <f>_xll.qlECBNextCode(_xll.qlECBdate(D76))</f>
        <v>#NUM!</v>
      </c>
      <c r="E77" s="178" t="e">
        <f t="shared" si="2"/>
        <v>#NUM!</v>
      </c>
      <c r="F77" s="178" t="e">
        <f>_xll.qlSimpleQuote(Currency&amp;$B77&amp;$C77&amp;$D77&amp;QuoteSuffix,,RateTickValue,Permanent,Trigger,ObjectOverwrite)</f>
        <v>#VALUE!</v>
      </c>
      <c r="G77" s="177" t="str">
        <f ca="1">_xll.ohRangeRetrieveError(F77)</f>
        <v/>
      </c>
      <c r="H77" s="176"/>
    </row>
    <row r="78" spans="1:8" x14ac:dyDescent="0.25">
      <c r="A78" s="181"/>
      <c r="B78" s="180" t="s">
        <v>188</v>
      </c>
      <c r="C78" s="180" t="s">
        <v>187</v>
      </c>
      <c r="D78" s="179" t="e">
        <f>_xll.qlECBNextCode(_xll.qlECBdate(D77))</f>
        <v>#NUM!</v>
      </c>
      <c r="E78" s="178" t="e">
        <f t="shared" si="2"/>
        <v>#NUM!</v>
      </c>
      <c r="F78" s="178" t="e">
        <f>_xll.qlSimpleQuote(Currency&amp;$B78&amp;$C78&amp;$D78&amp;QuoteSuffix,,RateTickValue,Permanent,Trigger,ObjectOverwrite)</f>
        <v>#VALUE!</v>
      </c>
      <c r="G78" s="177" t="str">
        <f ca="1">_xll.ohRangeRetrieveError(F78)</f>
        <v/>
      </c>
      <c r="H78" s="176"/>
    </row>
    <row r="79" spans="1:8" x14ac:dyDescent="0.25">
      <c r="A79" s="181"/>
      <c r="B79" s="180" t="s">
        <v>188</v>
      </c>
      <c r="C79" s="180" t="s">
        <v>187</v>
      </c>
      <c r="D79" s="179" t="e">
        <f>_xll.qlECBNextCode(_xll.qlECBdate(D78))</f>
        <v>#NUM!</v>
      </c>
      <c r="E79" s="178" t="e">
        <f t="shared" si="2"/>
        <v>#NUM!</v>
      </c>
      <c r="F79" s="178" t="e">
        <f>_xll.qlSimpleQuote(Currency&amp;$B79&amp;$C79&amp;$D79&amp;QuoteSuffix,,RateTickValue,Permanent,Trigger,ObjectOverwrite)</f>
        <v>#VALUE!</v>
      </c>
      <c r="G79" s="177" t="str">
        <f ca="1">_xll.ohRangeRetrieveError(F79)</f>
        <v/>
      </c>
      <c r="H79" s="176"/>
    </row>
    <row r="80" spans="1:8" x14ac:dyDescent="0.25">
      <c r="A80" s="181"/>
      <c r="B80" s="180" t="s">
        <v>188</v>
      </c>
      <c r="C80" s="180" t="s">
        <v>187</v>
      </c>
      <c r="D80" s="179" t="e">
        <f>_xll.qlECBNextCode(_xll.qlECBdate(D79))</f>
        <v>#NUM!</v>
      </c>
      <c r="E80" s="178" t="e">
        <f t="shared" si="2"/>
        <v>#NUM!</v>
      </c>
      <c r="F80" s="178" t="e">
        <f>_xll.qlSimpleQuote(Currency&amp;$B80&amp;$C80&amp;$D80&amp;QuoteSuffix,,RateTickValue,Permanent,Trigger,ObjectOverwrite)</f>
        <v>#VALUE!</v>
      </c>
      <c r="G80" s="177" t="str">
        <f ca="1">_xll.ohRangeRetrieveError(F80)</f>
        <v/>
      </c>
      <c r="H80" s="176"/>
    </row>
    <row r="81" spans="1:8" x14ac:dyDescent="0.25">
      <c r="A81" s="181"/>
      <c r="B81" s="180" t="s">
        <v>188</v>
      </c>
      <c r="C81" s="180" t="s">
        <v>187</v>
      </c>
      <c r="D81" s="179" t="e">
        <f>_xll.qlECBNextCode(_xll.qlECBdate(D80))</f>
        <v>#NUM!</v>
      </c>
      <c r="E81" s="178" t="e">
        <f t="shared" si="2"/>
        <v>#NUM!</v>
      </c>
      <c r="F81" s="178" t="e">
        <f>_xll.qlSimpleQuote(Currency&amp;$B81&amp;$C81&amp;$D81&amp;QuoteSuffix,,RateTickValue,Permanent,Trigger,ObjectOverwrite)</f>
        <v>#VALUE!</v>
      </c>
      <c r="G81" s="177" t="str">
        <f ca="1">_xll.ohRangeRetrieveError(F81)</f>
        <v/>
      </c>
      <c r="H81" s="176"/>
    </row>
    <row r="82" spans="1:8" x14ac:dyDescent="0.25">
      <c r="A82" s="181"/>
      <c r="B82" s="180" t="s">
        <v>188</v>
      </c>
      <c r="C82" s="180" t="s">
        <v>187</v>
      </c>
      <c r="D82" s="179" t="e">
        <f>_xll.qlECBNextCode(_xll.qlECBdate(D81))</f>
        <v>#NUM!</v>
      </c>
      <c r="E82" s="178" t="e">
        <f t="shared" si="2"/>
        <v>#NUM!</v>
      </c>
      <c r="F82" s="178" t="e">
        <f>_xll.qlSimpleQuote(Currency&amp;$B82&amp;$C82&amp;$D82&amp;QuoteSuffix,,RateTickValue,Permanent,Trigger,ObjectOverwrite)</f>
        <v>#VALUE!</v>
      </c>
      <c r="G82" s="177" t="str">
        <f ca="1">_xll.ohRangeRetrieveError(F82)</f>
        <v/>
      </c>
      <c r="H82" s="176"/>
    </row>
    <row r="83" spans="1:8" x14ac:dyDescent="0.25">
      <c r="A83" s="181"/>
      <c r="B83" s="180" t="s">
        <v>188</v>
      </c>
      <c r="C83" s="180" t="s">
        <v>187</v>
      </c>
      <c r="D83" s="179" t="e">
        <f>_xll.qlECBNextCode(_xll.qlECBdate(D82))</f>
        <v>#NUM!</v>
      </c>
      <c r="E83" s="178" t="e">
        <f t="shared" si="2"/>
        <v>#NUM!</v>
      </c>
      <c r="F83" s="178" t="e">
        <f>_xll.qlSimpleQuote(Currency&amp;$B83&amp;$C83&amp;$D83&amp;QuoteSuffix,,RateTickValue,Permanent,Trigger,ObjectOverwrite)</f>
        <v>#VALUE!</v>
      </c>
      <c r="G83" s="177" t="str">
        <f ca="1">_xll.ohRangeRetrieveError(F83)</f>
        <v/>
      </c>
      <c r="H83" s="176"/>
    </row>
    <row r="84" spans="1:8" x14ac:dyDescent="0.25">
      <c r="A84" s="181"/>
      <c r="B84" s="180" t="s">
        <v>188</v>
      </c>
      <c r="C84" s="180" t="s">
        <v>187</v>
      </c>
      <c r="D84" s="179" t="e">
        <f>_xll.qlECBNextCode(_xll.qlECBdate(D83))</f>
        <v>#NUM!</v>
      </c>
      <c r="E84" s="178" t="e">
        <f t="shared" si="2"/>
        <v>#NUM!</v>
      </c>
      <c r="F84" s="178" t="e">
        <f>_xll.qlSimpleQuote(Currency&amp;$B84&amp;$C84&amp;$D84&amp;QuoteSuffix,,RateTickValue,Permanent,Trigger,ObjectOverwrite)</f>
        <v>#VALUE!</v>
      </c>
      <c r="G84" s="177" t="str">
        <f ca="1">_xll.ohRangeRetrieveError(F84)</f>
        <v/>
      </c>
      <c r="H84" s="176"/>
    </row>
    <row r="85" spans="1:8" x14ac:dyDescent="0.25">
      <c r="A85" s="181"/>
      <c r="B85" s="180" t="s">
        <v>188</v>
      </c>
      <c r="C85" s="180" t="s">
        <v>187</v>
      </c>
      <c r="D85" s="179" t="e">
        <f>_xll.qlECBNextCode(_xll.qlECBdate(D84))</f>
        <v>#NUM!</v>
      </c>
      <c r="E85" s="178" t="e">
        <f t="shared" si="2"/>
        <v>#NUM!</v>
      </c>
      <c r="F85" s="178" t="e">
        <f>_xll.qlSimpleQuote(Currency&amp;$B85&amp;$C85&amp;$D85&amp;QuoteSuffix,,RateTickValue,Permanent,Trigger,ObjectOverwrite)</f>
        <v>#VALUE!</v>
      </c>
      <c r="G85" s="177" t="str">
        <f ca="1">_xll.ohRangeRetrieveError(F85)</f>
        <v/>
      </c>
      <c r="H85" s="176"/>
    </row>
    <row r="86" spans="1:8" x14ac:dyDescent="0.25">
      <c r="A86" s="181"/>
      <c r="B86" s="180" t="s">
        <v>188</v>
      </c>
      <c r="C86" s="180" t="s">
        <v>187</v>
      </c>
      <c r="D86" s="179" t="e">
        <f>_xll.qlECBNextCode(_xll.qlECBdate(D85))</f>
        <v>#NUM!</v>
      </c>
      <c r="E86" s="178" t="e">
        <f t="shared" si="2"/>
        <v>#NUM!</v>
      </c>
      <c r="F86" s="178" t="e">
        <f>_xll.qlSimpleQuote(Currency&amp;$B86&amp;$C86&amp;$D86&amp;QuoteSuffix,,RateTickValue,Permanent,Trigger,ObjectOverwrite)</f>
        <v>#VALUE!</v>
      </c>
      <c r="G86" s="177" t="str">
        <f ca="1">_xll.ohRangeRetrieveError(F86)</f>
        <v/>
      </c>
      <c r="H86" s="176"/>
    </row>
    <row r="87" spans="1:8" x14ac:dyDescent="0.25">
      <c r="A87" s="181"/>
      <c r="B87" s="180" t="s">
        <v>188</v>
      </c>
      <c r="C87" s="180" t="s">
        <v>187</v>
      </c>
      <c r="D87" s="179" t="e">
        <f>_xll.qlECBNextCode(_xll.qlECBdate(D86))</f>
        <v>#NUM!</v>
      </c>
      <c r="E87" s="178" t="e">
        <f t="shared" si="2"/>
        <v>#NUM!</v>
      </c>
      <c r="F87" s="178" t="e">
        <f>_xll.qlSimpleQuote(Currency&amp;$B87&amp;$C87&amp;$D87&amp;QuoteSuffix,,RateTickValue,Permanent,Trigger,ObjectOverwrite)</f>
        <v>#VALUE!</v>
      </c>
      <c r="G87" s="177" t="str">
        <f ca="1">_xll.ohRangeRetrieveError(F87)</f>
        <v/>
      </c>
      <c r="H87" s="176"/>
    </row>
    <row r="88" spans="1:8" x14ac:dyDescent="0.25">
      <c r="A88" s="181"/>
      <c r="B88" s="180" t="s">
        <v>188</v>
      </c>
      <c r="C88" s="180" t="s">
        <v>187</v>
      </c>
      <c r="D88" s="179" t="e">
        <f>_xll.qlECBNextCode(_xll.qlECBdate(D87))</f>
        <v>#NUM!</v>
      </c>
      <c r="E88" s="178" t="e">
        <f t="shared" si="2"/>
        <v>#NUM!</v>
      </c>
      <c r="F88" s="178" t="e">
        <f>_xll.qlSimpleQuote(Currency&amp;$B88&amp;$C88&amp;$D88&amp;QuoteSuffix,,RateTickValue,Permanent,Trigger,ObjectOverwrite)</f>
        <v>#VALUE!</v>
      </c>
      <c r="G88" s="177" t="str">
        <f ca="1">_xll.ohRangeRetrieveError(F88)</f>
        <v/>
      </c>
      <c r="H88" s="176"/>
    </row>
    <row r="89" spans="1:8" x14ac:dyDescent="0.25">
      <c r="A89" s="181"/>
      <c r="B89" s="180" t="s">
        <v>188</v>
      </c>
      <c r="C89" s="180" t="s">
        <v>187</v>
      </c>
      <c r="D89" s="179" t="e">
        <f>_xll.qlECBNextCode(_xll.qlECBdate(D88))</f>
        <v>#NUM!</v>
      </c>
      <c r="E89" s="178" t="e">
        <f t="shared" si="2"/>
        <v>#NUM!</v>
      </c>
      <c r="F89" s="178" t="e">
        <f>_xll.qlSimpleQuote(Currency&amp;$B89&amp;$C89&amp;$D89&amp;QuoteSuffix,,RateTickValue,Permanent,Trigger,ObjectOverwrite)</f>
        <v>#VALUE!</v>
      </c>
      <c r="G89" s="177" t="str">
        <f ca="1">_xll.ohRangeRetrieveError(F89)</f>
        <v/>
      </c>
      <c r="H89" s="176"/>
    </row>
    <row r="90" spans="1:8" x14ac:dyDescent="0.25">
      <c r="A90" s="181"/>
      <c r="B90" s="180" t="s">
        <v>188</v>
      </c>
      <c r="C90" s="180" t="s">
        <v>187</v>
      </c>
      <c r="D90" s="179" t="e">
        <f>_xll.qlECBNextCode(_xll.qlECBdate(D89))</f>
        <v>#NUM!</v>
      </c>
      <c r="E90" s="178" t="e">
        <f t="shared" si="2"/>
        <v>#NUM!</v>
      </c>
      <c r="F90" s="178" t="e">
        <f>_xll.qlSimpleQuote(Currency&amp;$B90&amp;$C90&amp;$D90&amp;QuoteSuffix,,RateTickValue,Permanent,Trigger,ObjectOverwrite)</f>
        <v>#VALUE!</v>
      </c>
      <c r="G90" s="177" t="str">
        <f ca="1">_xll.ohRangeRetrieveError(F90)</f>
        <v/>
      </c>
      <c r="H90" s="176"/>
    </row>
    <row r="91" spans="1:8" x14ac:dyDescent="0.25">
      <c r="A91" s="181"/>
      <c r="B91" s="180" t="s">
        <v>188</v>
      </c>
      <c r="C91" s="180" t="s">
        <v>187</v>
      </c>
      <c r="D91" s="179" t="e">
        <f>_xll.qlECBNextCode(_xll.qlECBdate(D90))</f>
        <v>#NUM!</v>
      </c>
      <c r="E91" s="178" t="e">
        <f t="shared" si="2"/>
        <v>#NUM!</v>
      </c>
      <c r="F91" s="178" t="e">
        <f>_xll.qlSimpleQuote(Currency&amp;$B91&amp;$C91&amp;$D91&amp;QuoteSuffix,,RateTickValue,Permanent,Trigger,ObjectOverwrite)</f>
        <v>#VALUE!</v>
      </c>
      <c r="G91" s="177" t="str">
        <f ca="1">_xll.ohRangeRetrieveError(F91)</f>
        <v/>
      </c>
      <c r="H91" s="176"/>
    </row>
    <row r="92" spans="1:8" x14ac:dyDescent="0.25">
      <c r="A92" s="181"/>
      <c r="B92" s="180" t="s">
        <v>188</v>
      </c>
      <c r="C92" s="180" t="s">
        <v>187</v>
      </c>
      <c r="D92" s="179" t="e">
        <f>_xll.qlECBNextCode(_xll.qlECBdate(D91))</f>
        <v>#NUM!</v>
      </c>
      <c r="E92" s="178" t="e">
        <f t="shared" si="2"/>
        <v>#NUM!</v>
      </c>
      <c r="F92" s="178" t="e">
        <f>_xll.qlSimpleQuote(Currency&amp;$B92&amp;$C92&amp;$D92&amp;QuoteSuffix,,RateTickValue,Permanent,Trigger,ObjectOverwrite)</f>
        <v>#VALUE!</v>
      </c>
      <c r="G92" s="177" t="str">
        <f ca="1">_xll.ohRangeRetrieveError(F92)</f>
        <v/>
      </c>
      <c r="H92" s="176"/>
    </row>
    <row r="93" spans="1:8" x14ac:dyDescent="0.25">
      <c r="A93" s="181"/>
      <c r="B93" s="180" t="s">
        <v>188</v>
      </c>
      <c r="C93" s="180" t="s">
        <v>187</v>
      </c>
      <c r="D93" s="179" t="e">
        <f>_xll.qlECBNextCode(_xll.qlECBdate(D92))</f>
        <v>#NUM!</v>
      </c>
      <c r="E93" s="178" t="e">
        <f t="shared" si="2"/>
        <v>#NUM!</v>
      </c>
      <c r="F93" s="178" t="e">
        <f>_xll.qlSimpleQuote(Currency&amp;$B93&amp;$C93&amp;$D93&amp;QuoteSuffix,,RateTickValue,Permanent,Trigger,ObjectOverwrite)</f>
        <v>#VALUE!</v>
      </c>
      <c r="G93" s="177" t="str">
        <f ca="1">_xll.ohRangeRetrieveError(F93)</f>
        <v/>
      </c>
      <c r="H93" s="176"/>
    </row>
    <row r="94" spans="1:8" ht="14.25" thickBot="1" x14ac:dyDescent="0.3">
      <c r="A94" s="175"/>
      <c r="B94" s="174"/>
      <c r="C94" s="174"/>
      <c r="D94" s="174"/>
      <c r="E94" s="174"/>
      <c r="F94" s="173"/>
      <c r="G94" s="173"/>
      <c r="H94" s="172"/>
    </row>
  </sheetData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4"/>
  <sheetViews>
    <sheetView workbookViewId="0"/>
  </sheetViews>
  <sheetFormatPr defaultRowHeight="12.75" x14ac:dyDescent="0.2"/>
  <cols>
    <col min="1" max="1" width="3.7109375" style="20" customWidth="1"/>
    <col min="2" max="2" width="4.85546875" style="117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6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24" t="s">
        <v>218</v>
      </c>
      <c r="B1" s="206"/>
      <c r="C1" s="206"/>
      <c r="D1" s="206"/>
      <c r="E1" s="204"/>
      <c r="F1" s="205"/>
      <c r="G1" s="204"/>
      <c r="H1" s="203"/>
    </row>
    <row r="2" spans="1:8" x14ac:dyDescent="0.2">
      <c r="A2" s="124"/>
      <c r="B2" s="202"/>
      <c r="C2" s="201"/>
      <c r="D2" s="94"/>
      <c r="E2" s="93" t="str">
        <f>Currency&amp;"_010_Sw"&amp;"1M.xml"</f>
        <v>USD_010_Sw1M.xml</v>
      </c>
      <c r="F2" s="92">
        <f ca="1">IF(Serialize,_xll.ohObjectSave(F3:F13,SerializationPath&amp;E2,FileOverwrite,Serialize),"---")</f>
        <v>11</v>
      </c>
      <c r="G2" s="76" t="str">
        <f ca="1">_xll.ohRangeRetrieveError(F2)</f>
        <v/>
      </c>
      <c r="H2" s="49"/>
    </row>
    <row r="3" spans="1:8" x14ac:dyDescent="0.2">
      <c r="A3" s="124"/>
      <c r="B3" s="200"/>
      <c r="C3" s="79">
        <v>2</v>
      </c>
      <c r="D3" s="78" t="s">
        <v>206</v>
      </c>
      <c r="E3" s="77" t="str">
        <f t="shared" ref="E3:E13" si="0">Currency&amp;$C3&amp;$D3&amp;$B3&amp;QuoteSuffix</f>
        <v>USD2X1S_Quote</v>
      </c>
      <c r="F3" s="77" t="str">
        <f>_xll.qlSimpleQuote(Currency&amp;$C3&amp;$D3&amp;$B3&amp;QuoteSuffix,,RateTickValue,Permanent,Trigger,ObjectOverwrite)</f>
        <v>USD2X1S_Quote#0021</v>
      </c>
      <c r="G3" s="27" t="str">
        <f>_xll.ohRangeRetrieveError(F3)</f>
        <v/>
      </c>
      <c r="H3" s="49"/>
    </row>
    <row r="4" spans="1:8" x14ac:dyDescent="0.2">
      <c r="A4" s="124"/>
      <c r="B4" s="199"/>
      <c r="C4" s="198">
        <v>3</v>
      </c>
      <c r="D4" s="197" t="s">
        <v>206</v>
      </c>
      <c r="E4" s="77" t="str">
        <f t="shared" si="0"/>
        <v>USD3X1S_Quote</v>
      </c>
      <c r="F4" s="77" t="str">
        <f>_xll.qlSimpleQuote(Currency&amp;$C4&amp;$D4&amp;$B4&amp;QuoteSuffix,,RateTickValue,Permanent,Trigger,ObjectOverwrite)</f>
        <v>USD3X1S_Quote#0021</v>
      </c>
      <c r="G4" s="196" t="str">
        <f>_xll.ohRangeRetrieveError(F4)</f>
        <v/>
      </c>
      <c r="H4" s="49"/>
    </row>
    <row r="5" spans="1:8" x14ac:dyDescent="0.2">
      <c r="A5" s="124"/>
      <c r="B5" s="199"/>
      <c r="C5" s="198">
        <v>4</v>
      </c>
      <c r="D5" s="197" t="s">
        <v>206</v>
      </c>
      <c r="E5" s="77" t="str">
        <f t="shared" si="0"/>
        <v>USD4X1S_Quote</v>
      </c>
      <c r="F5" s="77" t="str">
        <f>_xll.qlSimpleQuote(Currency&amp;$C5&amp;$D5&amp;$B5&amp;QuoteSuffix,,RateTickValue,Permanent,Trigger,ObjectOverwrite)</f>
        <v>USD4X1S_Quote#0021</v>
      </c>
      <c r="G5" s="196" t="str">
        <f>_xll.ohRangeRetrieveError(F5)</f>
        <v/>
      </c>
      <c r="H5" s="49"/>
    </row>
    <row r="6" spans="1:8" x14ac:dyDescent="0.2">
      <c r="A6" s="124"/>
      <c r="B6" s="199"/>
      <c r="C6" s="198">
        <v>5</v>
      </c>
      <c r="D6" s="197" t="s">
        <v>206</v>
      </c>
      <c r="E6" s="77" t="str">
        <f t="shared" si="0"/>
        <v>USD5X1S_Quote</v>
      </c>
      <c r="F6" s="77" t="str">
        <f>_xll.qlSimpleQuote(Currency&amp;$C6&amp;$D6&amp;$B6&amp;QuoteSuffix,,RateTickValue,Permanent,Trigger,ObjectOverwrite)</f>
        <v>USD5X1S_Quote#0021</v>
      </c>
      <c r="G6" s="196" t="str">
        <f>_xll.ohRangeRetrieveError(F6)</f>
        <v/>
      </c>
      <c r="H6" s="49"/>
    </row>
    <row r="7" spans="1:8" x14ac:dyDescent="0.2">
      <c r="A7" s="124"/>
      <c r="B7" s="199"/>
      <c r="C7" s="198">
        <v>6</v>
      </c>
      <c r="D7" s="197" t="s">
        <v>206</v>
      </c>
      <c r="E7" s="77" t="str">
        <f t="shared" si="0"/>
        <v>USD6X1S_Quote</v>
      </c>
      <c r="F7" s="77" t="str">
        <f>_xll.qlSimpleQuote(Currency&amp;$C7&amp;$D7&amp;$B7&amp;QuoteSuffix,,RateTickValue,Permanent,Trigger,ObjectOverwrite)</f>
        <v>USD6X1S_Quote#0021</v>
      </c>
      <c r="G7" s="196" t="str">
        <f>_xll.ohRangeRetrieveError(F7)</f>
        <v/>
      </c>
      <c r="H7" s="49"/>
    </row>
    <row r="8" spans="1:8" x14ac:dyDescent="0.2">
      <c r="A8" s="124"/>
      <c r="B8" s="199"/>
      <c r="C8" s="198">
        <v>7</v>
      </c>
      <c r="D8" s="197" t="s">
        <v>206</v>
      </c>
      <c r="E8" s="77" t="str">
        <f t="shared" si="0"/>
        <v>USD7X1S_Quote</v>
      </c>
      <c r="F8" s="77" t="str">
        <f>_xll.qlSimpleQuote(Currency&amp;$C8&amp;$D8&amp;$B8&amp;QuoteSuffix,,RateTickValue,Permanent,Trigger,ObjectOverwrite)</f>
        <v>USD7X1S_Quote#0021</v>
      </c>
      <c r="G8" s="196" t="str">
        <f>_xll.ohRangeRetrieveError(F8)</f>
        <v/>
      </c>
      <c r="H8" s="49"/>
    </row>
    <row r="9" spans="1:8" x14ac:dyDescent="0.2">
      <c r="A9" s="124"/>
      <c r="B9" s="199"/>
      <c r="C9" s="198">
        <v>8</v>
      </c>
      <c r="D9" s="197" t="s">
        <v>206</v>
      </c>
      <c r="E9" s="77" t="str">
        <f t="shared" si="0"/>
        <v>USD8X1S_Quote</v>
      </c>
      <c r="F9" s="77" t="str">
        <f>_xll.qlSimpleQuote(Currency&amp;$C9&amp;$D9&amp;$B9&amp;QuoteSuffix,,RateTickValue,Permanent,Trigger,ObjectOverwrite)</f>
        <v>USD8X1S_Quote#0021</v>
      </c>
      <c r="G9" s="196" t="str">
        <f>_xll.ohRangeRetrieveError(F9)</f>
        <v/>
      </c>
      <c r="H9" s="49"/>
    </row>
    <row r="10" spans="1:8" x14ac:dyDescent="0.2">
      <c r="A10" s="124"/>
      <c r="B10" s="199"/>
      <c r="C10" s="198">
        <v>9</v>
      </c>
      <c r="D10" s="197" t="s">
        <v>206</v>
      </c>
      <c r="E10" s="77" t="str">
        <f t="shared" si="0"/>
        <v>USD9X1S_Quote</v>
      </c>
      <c r="F10" s="77" t="str">
        <f>_xll.qlSimpleQuote(Currency&amp;$C10&amp;$D10&amp;$B10&amp;QuoteSuffix,,RateTickValue,Permanent,Trigger,ObjectOverwrite)</f>
        <v>USD9X1S_Quote#0021</v>
      </c>
      <c r="G10" s="196" t="str">
        <f>_xll.ohRangeRetrieveError(F10)</f>
        <v/>
      </c>
      <c r="H10" s="49"/>
    </row>
    <row r="11" spans="1:8" x14ac:dyDescent="0.2">
      <c r="A11" s="124"/>
      <c r="B11" s="199"/>
      <c r="C11" s="198">
        <v>10</v>
      </c>
      <c r="D11" s="197" t="s">
        <v>206</v>
      </c>
      <c r="E11" s="77" t="str">
        <f t="shared" si="0"/>
        <v>USD10X1S_Quote</v>
      </c>
      <c r="F11" s="77" t="str">
        <f>_xll.qlSimpleQuote(Currency&amp;$C11&amp;$D11&amp;$B11&amp;QuoteSuffix,,RateTickValue,Permanent,Trigger,ObjectOverwrite)</f>
        <v>USD10X1S_Quote#0021</v>
      </c>
      <c r="G11" s="196" t="str">
        <f>_xll.ohRangeRetrieveError(F11)</f>
        <v/>
      </c>
      <c r="H11" s="49"/>
    </row>
    <row r="12" spans="1:8" x14ac:dyDescent="0.2">
      <c r="A12" s="124"/>
      <c r="B12" s="199"/>
      <c r="C12" s="198">
        <v>11</v>
      </c>
      <c r="D12" s="197" t="s">
        <v>206</v>
      </c>
      <c r="E12" s="77" t="str">
        <f t="shared" si="0"/>
        <v>USD11X1S_Quote</v>
      </c>
      <c r="F12" s="77" t="str">
        <f>_xll.qlSimpleQuote(Currency&amp;$C12&amp;$D12&amp;$B12&amp;QuoteSuffix,,RateTickValue,Permanent,Trigger,ObjectOverwrite)</f>
        <v>USD11X1S_Quote#0021</v>
      </c>
      <c r="G12" s="196" t="str">
        <f>_xll.ohRangeRetrieveError(F12)</f>
        <v/>
      </c>
      <c r="H12" s="49"/>
    </row>
    <row r="13" spans="1:8" x14ac:dyDescent="0.2">
      <c r="A13" s="124"/>
      <c r="B13" s="199"/>
      <c r="C13" s="198">
        <v>12</v>
      </c>
      <c r="D13" s="197" t="s">
        <v>206</v>
      </c>
      <c r="E13" s="77" t="str">
        <f t="shared" si="0"/>
        <v>USD12X1S_Quote</v>
      </c>
      <c r="F13" s="77" t="str">
        <f>_xll.qlSimpleQuote(Currency&amp;$C13&amp;$D13&amp;$B13&amp;QuoteSuffix,,RateTickValue,Permanent,Trigger,ObjectOverwrite)</f>
        <v>USD12X1S_Quote#0021</v>
      </c>
      <c r="G13" s="196" t="str">
        <f>_xll.ohRangeRetrieveError(F13)</f>
        <v/>
      </c>
      <c r="H13" s="49"/>
    </row>
    <row r="14" spans="1:8" ht="13.5" thickBot="1" x14ac:dyDescent="0.25">
      <c r="A14" s="48"/>
      <c r="B14" s="47"/>
      <c r="C14" s="47"/>
      <c r="D14" s="47"/>
      <c r="E14" s="47"/>
      <c r="F14" s="118"/>
      <c r="G14" s="118"/>
      <c r="H14" s="46"/>
    </row>
  </sheetData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10"/>
  <sheetViews>
    <sheetView workbookViewId="0"/>
  </sheetViews>
  <sheetFormatPr defaultRowHeight="12.75" x14ac:dyDescent="0.2"/>
  <cols>
    <col min="1" max="1" width="3.7109375" style="20" customWidth="1"/>
    <col min="2" max="2" width="4.85546875" style="117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6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24" t="s">
        <v>218</v>
      </c>
      <c r="B1" s="206"/>
      <c r="C1" s="206"/>
      <c r="D1" s="206"/>
      <c r="E1" s="204"/>
      <c r="F1" s="205"/>
      <c r="G1" s="204"/>
      <c r="H1" s="203"/>
    </row>
    <row r="2" spans="1:8" x14ac:dyDescent="0.2">
      <c r="A2" s="124"/>
      <c r="B2" s="210"/>
      <c r="C2" s="209"/>
      <c r="D2" s="94"/>
      <c r="E2" s="93" t="str">
        <f>Currency&amp;"_010_Sw"&amp;"IMM.xml"</f>
        <v>USD_010_SwIMM.xml</v>
      </c>
      <c r="F2" s="92">
        <f ca="1">IF(Serialize,_xll.ohObjectSave(F3:F9,SerializationPath&amp;E2,FileOverwrite,Serialize),"---")</f>
        <v>7</v>
      </c>
      <c r="G2" s="76" t="str">
        <f ca="1">_xll.ohRangeRetrieveError(F2)</f>
        <v/>
      </c>
      <c r="H2" s="49"/>
    </row>
    <row r="3" spans="1:8" x14ac:dyDescent="0.2">
      <c r="A3" s="124"/>
      <c r="B3" s="208"/>
      <c r="C3" s="78" t="s">
        <v>207</v>
      </c>
      <c r="D3" s="78">
        <v>12</v>
      </c>
      <c r="E3" s="77" t="str">
        <f t="shared" ref="E3:E9" si="0">Currency&amp;$C3&amp;$D3&amp;$B3&amp;QuoteSuffix</f>
        <v>USD1S12_Quote</v>
      </c>
      <c r="F3" s="77" t="str">
        <f>_xll.qlSimpleQuote(Currency&amp;$C3&amp;$D3&amp;$B3&amp;QuoteSuffix,,RateTickValue,Permanent,Trigger,ObjectOverwrite)</f>
        <v>USD1S12_Quote#0021</v>
      </c>
      <c r="G3" s="27" t="str">
        <f>_xll.ohRangeRetrieveError(F3)</f>
        <v/>
      </c>
      <c r="H3" s="49"/>
    </row>
    <row r="4" spans="1:8" x14ac:dyDescent="0.2">
      <c r="A4" s="124"/>
      <c r="B4" s="207"/>
      <c r="C4" s="197" t="s">
        <v>208</v>
      </c>
      <c r="D4" s="197">
        <v>12</v>
      </c>
      <c r="E4" s="77" t="str">
        <f t="shared" si="0"/>
        <v>USD2S12_Quote</v>
      </c>
      <c r="F4" s="77" t="str">
        <f>_xll.qlSimpleQuote(Currency&amp;$C4&amp;$D4&amp;$B4&amp;QuoteSuffix,,RateTickValue,Permanent,Trigger,ObjectOverwrite)</f>
        <v>USD2S12_Quote#0021</v>
      </c>
      <c r="G4" s="196" t="str">
        <f>_xll.ohRangeRetrieveError(F4)</f>
        <v/>
      </c>
      <c r="H4" s="49"/>
    </row>
    <row r="5" spans="1:8" x14ac:dyDescent="0.2">
      <c r="A5" s="124"/>
      <c r="B5" s="207"/>
      <c r="C5" s="197" t="s">
        <v>210</v>
      </c>
      <c r="D5" s="197">
        <v>12</v>
      </c>
      <c r="E5" s="77" t="str">
        <f t="shared" si="0"/>
        <v>USD3S12_Quote</v>
      </c>
      <c r="F5" s="77" t="str">
        <f>_xll.qlSimpleQuote(Currency&amp;$C5&amp;$D5&amp;$B5&amp;QuoteSuffix,,RateTickValue,Permanent,Trigger,ObjectOverwrite)</f>
        <v>USD3S12_Quote#0021</v>
      </c>
      <c r="G5" s="196" t="str">
        <f>_xll.ohRangeRetrieveError(F5)</f>
        <v/>
      </c>
      <c r="H5" s="49"/>
    </row>
    <row r="6" spans="1:8" x14ac:dyDescent="0.2">
      <c r="A6" s="124"/>
      <c r="B6" s="207"/>
      <c r="C6" s="197" t="s">
        <v>209</v>
      </c>
      <c r="D6" s="197">
        <v>12</v>
      </c>
      <c r="E6" s="77" t="str">
        <f t="shared" si="0"/>
        <v>USD4S12_Quote</v>
      </c>
      <c r="F6" s="77" t="str">
        <f>_xll.qlSimpleQuote(Currency&amp;$C6&amp;$D6&amp;$B6&amp;QuoteSuffix,,RateTickValue,Permanent,Trigger,ObjectOverwrite)</f>
        <v>USD4S12_Quote#0021</v>
      </c>
      <c r="G6" s="196" t="str">
        <f>_xll.ohRangeRetrieveError(F6)</f>
        <v/>
      </c>
      <c r="H6" s="49"/>
    </row>
    <row r="7" spans="1:8" x14ac:dyDescent="0.2">
      <c r="A7" s="124"/>
      <c r="B7" s="207"/>
      <c r="C7" s="197" t="s">
        <v>207</v>
      </c>
      <c r="D7" s="197">
        <v>24</v>
      </c>
      <c r="E7" s="77" t="str">
        <f t="shared" si="0"/>
        <v>USD1S24_Quote</v>
      </c>
      <c r="F7" s="77" t="str">
        <f>_xll.qlSimpleQuote(Currency&amp;$C7&amp;$D7&amp;$B7&amp;QuoteSuffix,,RateTickValue,Permanent,Trigger,ObjectOverwrite)</f>
        <v>USD1S24_Quote#0021</v>
      </c>
      <c r="G7" s="196" t="str">
        <f>_xll.ohRangeRetrieveError(F7)</f>
        <v/>
      </c>
      <c r="H7" s="49"/>
    </row>
    <row r="8" spans="1:8" x14ac:dyDescent="0.2">
      <c r="A8" s="124"/>
      <c r="B8" s="207"/>
      <c r="C8" s="197" t="s">
        <v>208</v>
      </c>
      <c r="D8" s="197">
        <v>24</v>
      </c>
      <c r="E8" s="77" t="str">
        <f t="shared" si="0"/>
        <v>USD2S24_Quote</v>
      </c>
      <c r="F8" s="77" t="str">
        <f>_xll.qlSimpleQuote(Currency&amp;$C8&amp;$D8&amp;$B8&amp;QuoteSuffix,,RateTickValue,Permanent,Trigger,ObjectOverwrite)</f>
        <v>USD2S24_Quote#0021</v>
      </c>
      <c r="G8" s="196" t="str">
        <f>_xll.ohRangeRetrieveError(F8)</f>
        <v/>
      </c>
      <c r="H8" s="49"/>
    </row>
    <row r="9" spans="1:8" x14ac:dyDescent="0.2">
      <c r="A9" s="124"/>
      <c r="B9" s="207"/>
      <c r="C9" s="197" t="s">
        <v>207</v>
      </c>
      <c r="D9" s="197">
        <v>36</v>
      </c>
      <c r="E9" s="77" t="str">
        <f t="shared" si="0"/>
        <v>USD1S36_Quote</v>
      </c>
      <c r="F9" s="77" t="str">
        <f>_xll.qlSimpleQuote(Currency&amp;$C9&amp;$D9&amp;$B9&amp;QuoteSuffix,,RateTickValue,Permanent,Trigger,ObjectOverwrite)</f>
        <v>USD1S36_Quote#0021</v>
      </c>
      <c r="G9" s="196" t="str">
        <f>_xll.ohRangeRetrieveError(F9)</f>
        <v/>
      </c>
      <c r="H9" s="49"/>
    </row>
    <row r="10" spans="1:8" ht="13.5" thickBot="1" x14ac:dyDescent="0.25">
      <c r="A10" s="48"/>
      <c r="B10" s="47"/>
      <c r="C10" s="47"/>
      <c r="D10" s="47"/>
      <c r="E10" s="47"/>
      <c r="F10" s="118"/>
      <c r="G10" s="118"/>
      <c r="H10" s="46"/>
    </row>
  </sheetData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40"/>
  <sheetViews>
    <sheetView workbookViewId="0"/>
  </sheetViews>
  <sheetFormatPr defaultRowHeight="12.75" x14ac:dyDescent="0.2"/>
  <cols>
    <col min="1" max="1" width="3.7109375" style="20" customWidth="1"/>
    <col min="2" max="2" width="6.5703125" style="117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6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12" ht="13.5" thickBot="1" x14ac:dyDescent="0.25">
      <c r="A1" s="224" t="s">
        <v>218</v>
      </c>
      <c r="B1" s="206"/>
      <c r="C1" s="206"/>
      <c r="D1" s="206"/>
      <c r="E1" s="204"/>
      <c r="F1" s="205"/>
      <c r="G1" s="204"/>
      <c r="H1" s="203"/>
    </row>
    <row r="2" spans="1:12" x14ac:dyDescent="0.2">
      <c r="A2" s="124"/>
      <c r="B2" s="94" t="s">
        <v>136</v>
      </c>
      <c r="C2" s="94"/>
      <c r="D2" s="94"/>
      <c r="E2" s="93" t="str">
        <f>Currency&amp;"_010_Sw"&amp;$C$3&amp;$D$3&amp;".xml"</f>
        <v>USD_010_SwAM3L.xml</v>
      </c>
      <c r="F2" s="92">
        <f ca="1">IF(Serialize,_xll.ohObjectSave(F3:F39,SerializationPath&amp;E2,FileOverwrite,Serialize),"---")</f>
        <v>37</v>
      </c>
      <c r="G2" s="76" t="str">
        <f ca="1">_xll.ohRangeRetrieveError(F2)</f>
        <v/>
      </c>
      <c r="H2" s="49"/>
      <c r="J2" s="215" t="s">
        <v>216</v>
      </c>
      <c r="K2" s="214" t="s">
        <v>215</v>
      </c>
      <c r="L2" s="213" t="s">
        <v>214</v>
      </c>
    </row>
    <row r="3" spans="1:12" x14ac:dyDescent="0.2">
      <c r="A3" s="124"/>
      <c r="B3" s="200" t="s">
        <v>29</v>
      </c>
      <c r="C3" s="79" t="str">
        <f t="array" ref="C3:C39">VLOOKUP(Currency,SwapMainSetConventions,2)</f>
        <v>AM</v>
      </c>
      <c r="D3" s="79" t="str">
        <f t="array" ref="D3:D39">VLOOKUP(Currency,SwapMainSetConventions,3)</f>
        <v>3L</v>
      </c>
      <c r="E3" s="77" t="str">
        <f t="shared" ref="E3:E39" si="0">Currency&amp;$C3&amp;$D3&amp;$B3&amp;QuoteSuffix</f>
        <v>USDAM3L1Y_Quote</v>
      </c>
      <c r="F3" s="77" t="str">
        <f>_xll.qlSimpleQuote(Currency&amp;$C3&amp;$D3&amp;$B3&amp;QuoteSuffix,,RateTickValue,Permanent,Trigger,ObjectOverwrite)</f>
        <v>USDAM3L1Y_Quote#0021</v>
      </c>
      <c r="G3" s="27" t="str">
        <f>_xll.ohRangeRetrieveError(F3)</f>
        <v/>
      </c>
      <c r="H3" s="49"/>
      <c r="J3" s="212" t="s">
        <v>132</v>
      </c>
      <c r="K3" s="86" t="s">
        <v>213</v>
      </c>
      <c r="L3" s="85" t="s">
        <v>125</v>
      </c>
    </row>
    <row r="4" spans="1:12" x14ac:dyDescent="0.2">
      <c r="A4" s="124"/>
      <c r="B4" s="199" t="s">
        <v>135</v>
      </c>
      <c r="C4" s="79" t="str">
        <v>AM</v>
      </c>
      <c r="D4" s="79" t="str">
        <v>3L</v>
      </c>
      <c r="E4" s="77" t="str">
        <f t="shared" si="0"/>
        <v>USDAM3L15M_Quote</v>
      </c>
      <c r="F4" s="77" t="str">
        <f>_xll.qlSimpleQuote(Currency&amp;$C4&amp;$D4&amp;$B4&amp;QuoteSuffix,,RateTickValue,Permanent,Trigger,ObjectOverwrite)</f>
        <v>USDAM3L15M_Quote#0021</v>
      </c>
      <c r="G4" s="196" t="str">
        <f>_xll.ohRangeRetrieveError(F4)</f>
        <v/>
      </c>
      <c r="H4" s="49"/>
      <c r="J4" s="212" t="s">
        <v>131</v>
      </c>
      <c r="K4" s="86" t="s">
        <v>213</v>
      </c>
      <c r="L4" s="85" t="s">
        <v>137</v>
      </c>
    </row>
    <row r="5" spans="1:12" x14ac:dyDescent="0.2">
      <c r="A5" s="124"/>
      <c r="B5" s="199" t="s">
        <v>134</v>
      </c>
      <c r="C5" s="79" t="str">
        <v>AM</v>
      </c>
      <c r="D5" s="79" t="str">
        <v>3L</v>
      </c>
      <c r="E5" s="77" t="str">
        <f t="shared" si="0"/>
        <v>USDAM3L18M_Quote</v>
      </c>
      <c r="F5" s="77" t="str">
        <f>_xll.qlSimpleQuote(Currency&amp;$C5&amp;$D5&amp;$B5&amp;QuoteSuffix,,RateTickValue,Permanent,Trigger,ObjectOverwrite)</f>
        <v>USDAM3L18M_Quote#0021</v>
      </c>
      <c r="G5" s="196" t="str">
        <f>_xll.ohRangeRetrieveError(F5)</f>
        <v/>
      </c>
      <c r="H5" s="49"/>
      <c r="J5" s="212" t="s">
        <v>128</v>
      </c>
      <c r="K5" s="86" t="s">
        <v>211</v>
      </c>
      <c r="L5" s="85" t="s">
        <v>125</v>
      </c>
    </row>
    <row r="6" spans="1:12" x14ac:dyDescent="0.2">
      <c r="A6" s="124"/>
      <c r="B6" s="199" t="s">
        <v>133</v>
      </c>
      <c r="C6" s="79" t="str">
        <v>AM</v>
      </c>
      <c r="D6" s="79" t="str">
        <v>3L</v>
      </c>
      <c r="E6" s="77" t="str">
        <f t="shared" si="0"/>
        <v>USDAM3L21M_Quote</v>
      </c>
      <c r="F6" s="77" t="str">
        <f>_xll.qlSimpleQuote(Currency&amp;$C6&amp;$D6&amp;$B6&amp;QuoteSuffix,,RateTickValue,Permanent,Trigger,ObjectOverwrite)</f>
        <v>USDAM3L21M_Quote#0021</v>
      </c>
      <c r="G6" s="196" t="str">
        <f>_xll.ohRangeRetrieveError(F6)</f>
        <v/>
      </c>
      <c r="H6" s="49"/>
      <c r="J6" s="212" t="s">
        <v>127</v>
      </c>
      <c r="K6" s="86" t="s">
        <v>212</v>
      </c>
      <c r="L6" s="85" t="s">
        <v>125</v>
      </c>
    </row>
    <row r="7" spans="1:12" ht="13.5" thickBot="1" x14ac:dyDescent="0.25">
      <c r="A7" s="124"/>
      <c r="B7" s="199" t="s">
        <v>108</v>
      </c>
      <c r="C7" s="79" t="str">
        <v>AM</v>
      </c>
      <c r="D7" s="79" t="str">
        <v>3L</v>
      </c>
      <c r="E7" s="77" t="str">
        <f t="shared" si="0"/>
        <v>USDAM3L2Y_Quote</v>
      </c>
      <c r="F7" s="77" t="str">
        <f>_xll.qlSimpleQuote(Currency&amp;$C7&amp;$D7&amp;$B7&amp;QuoteSuffix,,RateTickValue,Permanent,Trigger,ObjectOverwrite)</f>
        <v>USDAM3L2Y_Quote#0021</v>
      </c>
      <c r="G7" s="196" t="str">
        <f>_xll.ohRangeRetrieveError(F7)</f>
        <v/>
      </c>
      <c r="H7" s="49"/>
      <c r="J7" s="211" t="s">
        <v>122</v>
      </c>
      <c r="K7" s="83" t="s">
        <v>211</v>
      </c>
      <c r="L7" s="82" t="s">
        <v>125</v>
      </c>
    </row>
    <row r="8" spans="1:12" x14ac:dyDescent="0.2">
      <c r="A8" s="124"/>
      <c r="B8" s="199" t="s">
        <v>107</v>
      </c>
      <c r="C8" s="79" t="str">
        <v>AM</v>
      </c>
      <c r="D8" s="79" t="str">
        <v>3L</v>
      </c>
      <c r="E8" s="77" t="str">
        <f t="shared" si="0"/>
        <v>USDAM3L3Y_Quote</v>
      </c>
      <c r="F8" s="77" t="str">
        <f>_xll.qlSimpleQuote(Currency&amp;$C8&amp;$D8&amp;$B8&amp;QuoteSuffix,,RateTickValue,Permanent,Trigger,ObjectOverwrite)</f>
        <v>USDAM3L3Y_Quote#0021</v>
      </c>
      <c r="G8" s="196" t="str">
        <f>_xll.ohRangeRetrieveError(F8)</f>
        <v/>
      </c>
      <c r="H8" s="49"/>
    </row>
    <row r="9" spans="1:12" x14ac:dyDescent="0.2">
      <c r="A9" s="124"/>
      <c r="B9" s="199" t="s">
        <v>106</v>
      </c>
      <c r="C9" s="79" t="str">
        <v>AM</v>
      </c>
      <c r="D9" s="79" t="str">
        <v>3L</v>
      </c>
      <c r="E9" s="77" t="str">
        <f t="shared" si="0"/>
        <v>USDAM3L4Y_Quote</v>
      </c>
      <c r="F9" s="77" t="str">
        <f>_xll.qlSimpleQuote(Currency&amp;$C9&amp;$D9&amp;$B9&amp;QuoteSuffix,,RateTickValue,Permanent,Trigger,ObjectOverwrite)</f>
        <v>USDAM3L4Y_Quote#0021</v>
      </c>
      <c r="G9" s="196" t="str">
        <f>_xll.ohRangeRetrieveError(F9)</f>
        <v/>
      </c>
      <c r="H9" s="49"/>
    </row>
    <row r="10" spans="1:12" x14ac:dyDescent="0.2">
      <c r="A10" s="124"/>
      <c r="B10" s="199" t="s">
        <v>105</v>
      </c>
      <c r="C10" s="79" t="str">
        <v>AM</v>
      </c>
      <c r="D10" s="79" t="str">
        <v>3L</v>
      </c>
      <c r="E10" s="77" t="str">
        <f t="shared" si="0"/>
        <v>USDAM3L5Y_Quote</v>
      </c>
      <c r="F10" s="77" t="str">
        <f>_xll.qlSimpleQuote(Currency&amp;$C10&amp;$D10&amp;$B10&amp;QuoteSuffix,,RateTickValue,Permanent,Trigger,ObjectOverwrite)</f>
        <v>USDAM3L5Y_Quote#0021</v>
      </c>
      <c r="G10" s="196" t="str">
        <f>_xll.ohRangeRetrieveError(F10)</f>
        <v/>
      </c>
      <c r="H10" s="49"/>
    </row>
    <row r="11" spans="1:12" x14ac:dyDescent="0.2">
      <c r="A11" s="124"/>
      <c r="B11" s="199" t="s">
        <v>104</v>
      </c>
      <c r="C11" s="79" t="str">
        <v>AM</v>
      </c>
      <c r="D11" s="79" t="str">
        <v>3L</v>
      </c>
      <c r="E11" s="77" t="str">
        <f t="shared" si="0"/>
        <v>USDAM3L6Y_Quote</v>
      </c>
      <c r="F11" s="77" t="str">
        <f>_xll.qlSimpleQuote(Currency&amp;$C11&amp;$D11&amp;$B11&amp;QuoteSuffix,,RateTickValue,Permanent,Trigger,ObjectOverwrite)</f>
        <v>USDAM3L6Y_Quote#0021</v>
      </c>
      <c r="G11" s="196" t="str">
        <f>_xll.ohRangeRetrieveError(F11)</f>
        <v/>
      </c>
      <c r="H11" s="49"/>
    </row>
    <row r="12" spans="1:12" x14ac:dyDescent="0.2">
      <c r="A12" s="124"/>
      <c r="B12" s="199" t="s">
        <v>103</v>
      </c>
      <c r="C12" s="79" t="str">
        <v>AM</v>
      </c>
      <c r="D12" s="79" t="str">
        <v>3L</v>
      </c>
      <c r="E12" s="77" t="str">
        <f t="shared" si="0"/>
        <v>USDAM3L7Y_Quote</v>
      </c>
      <c r="F12" s="77" t="str">
        <f>_xll.qlSimpleQuote(Currency&amp;$C12&amp;$D12&amp;$B12&amp;QuoteSuffix,,RateTickValue,Permanent,Trigger,ObjectOverwrite)</f>
        <v>USDAM3L7Y_Quote#0021</v>
      </c>
      <c r="G12" s="196" t="str">
        <f>_xll.ohRangeRetrieveError(F12)</f>
        <v/>
      </c>
      <c r="H12" s="49"/>
    </row>
    <row r="13" spans="1:12" x14ac:dyDescent="0.2">
      <c r="A13" s="124"/>
      <c r="B13" s="199" t="s">
        <v>102</v>
      </c>
      <c r="C13" s="79" t="str">
        <v>AM</v>
      </c>
      <c r="D13" s="79" t="str">
        <v>3L</v>
      </c>
      <c r="E13" s="77" t="str">
        <f t="shared" si="0"/>
        <v>USDAM3L8Y_Quote</v>
      </c>
      <c r="F13" s="77" t="str">
        <f>_xll.qlSimpleQuote(Currency&amp;$C13&amp;$D13&amp;$B13&amp;QuoteSuffix,,RateTickValue,Permanent,Trigger,ObjectOverwrite)</f>
        <v>USDAM3L8Y_Quote#0021</v>
      </c>
      <c r="G13" s="196" t="str">
        <f>_xll.ohRangeRetrieveError(F13)</f>
        <v/>
      </c>
      <c r="H13" s="49"/>
    </row>
    <row r="14" spans="1:12" x14ac:dyDescent="0.2">
      <c r="A14" s="124"/>
      <c r="B14" s="199" t="s">
        <v>101</v>
      </c>
      <c r="C14" s="79" t="str">
        <v>AM</v>
      </c>
      <c r="D14" s="79" t="str">
        <v>3L</v>
      </c>
      <c r="E14" s="77" t="str">
        <f t="shared" si="0"/>
        <v>USDAM3L9Y_Quote</v>
      </c>
      <c r="F14" s="77" t="str">
        <f>_xll.qlSimpleQuote(Currency&amp;$C14&amp;$D14&amp;$B14&amp;QuoteSuffix,,RateTickValue,Permanent,Trigger,ObjectOverwrite)</f>
        <v>USDAM3L9Y_Quote#0021</v>
      </c>
      <c r="G14" s="196" t="str">
        <f>_xll.ohRangeRetrieveError(F14)</f>
        <v/>
      </c>
      <c r="H14" s="49"/>
    </row>
    <row r="15" spans="1:12" x14ac:dyDescent="0.2">
      <c r="A15" s="124"/>
      <c r="B15" s="199" t="s">
        <v>100</v>
      </c>
      <c r="C15" s="79" t="str">
        <v>AM</v>
      </c>
      <c r="D15" s="79" t="str">
        <v>3L</v>
      </c>
      <c r="E15" s="77" t="str">
        <f t="shared" si="0"/>
        <v>USDAM3L10Y_Quote</v>
      </c>
      <c r="F15" s="77" t="str">
        <f>_xll.qlSimpleQuote(Currency&amp;$C15&amp;$D15&amp;$B15&amp;QuoteSuffix,,RateTickValue,Permanent,Trigger,ObjectOverwrite)</f>
        <v>USDAM3L10Y_Quote#0021</v>
      </c>
      <c r="G15" s="196" t="str">
        <f>_xll.ohRangeRetrieveError(F15)</f>
        <v/>
      </c>
      <c r="H15" s="49"/>
    </row>
    <row r="16" spans="1:12" x14ac:dyDescent="0.2">
      <c r="A16" s="124"/>
      <c r="B16" s="199" t="s">
        <v>99</v>
      </c>
      <c r="C16" s="79" t="str">
        <v>AM</v>
      </c>
      <c r="D16" s="79" t="str">
        <v>3L</v>
      </c>
      <c r="E16" s="77" t="str">
        <f t="shared" si="0"/>
        <v>USDAM3L11Y_Quote</v>
      </c>
      <c r="F16" s="77" t="str">
        <f>_xll.qlSimpleQuote(Currency&amp;$C16&amp;$D16&amp;$B16&amp;QuoteSuffix,,RateTickValue,Permanent,Trigger,ObjectOverwrite)</f>
        <v>USDAM3L11Y_Quote#0021</v>
      </c>
      <c r="G16" s="196" t="str">
        <f>_xll.ohRangeRetrieveError(F16)</f>
        <v/>
      </c>
      <c r="H16" s="49"/>
    </row>
    <row r="17" spans="1:8" x14ac:dyDescent="0.2">
      <c r="A17" s="124"/>
      <c r="B17" s="199" t="s">
        <v>98</v>
      </c>
      <c r="C17" s="79" t="str">
        <v>AM</v>
      </c>
      <c r="D17" s="79" t="str">
        <v>3L</v>
      </c>
      <c r="E17" s="77" t="str">
        <f t="shared" si="0"/>
        <v>USDAM3L12Y_Quote</v>
      </c>
      <c r="F17" s="77" t="str">
        <f>_xll.qlSimpleQuote(Currency&amp;$C17&amp;$D17&amp;$B17&amp;QuoteSuffix,,RateTickValue,Permanent,Trigger,ObjectOverwrite)</f>
        <v>USDAM3L12Y_Quote#0021</v>
      </c>
      <c r="G17" s="196" t="str">
        <f>_xll.ohRangeRetrieveError(F17)</f>
        <v/>
      </c>
      <c r="H17" s="49"/>
    </row>
    <row r="18" spans="1:8" x14ac:dyDescent="0.2">
      <c r="A18" s="124"/>
      <c r="B18" s="199" t="s">
        <v>97</v>
      </c>
      <c r="C18" s="79" t="str">
        <v>AM</v>
      </c>
      <c r="D18" s="79" t="str">
        <v>3L</v>
      </c>
      <c r="E18" s="77" t="str">
        <f t="shared" si="0"/>
        <v>USDAM3L13Y_Quote</v>
      </c>
      <c r="F18" s="77" t="str">
        <f>_xll.qlSimpleQuote(Currency&amp;$C18&amp;$D18&amp;$B18&amp;QuoteSuffix,,RateTickValue,Permanent,Trigger,ObjectOverwrite)</f>
        <v>USDAM3L13Y_Quote#0021</v>
      </c>
      <c r="G18" s="196" t="str">
        <f>_xll.ohRangeRetrieveError(F18)</f>
        <v/>
      </c>
      <c r="H18" s="49"/>
    </row>
    <row r="19" spans="1:8" x14ac:dyDescent="0.2">
      <c r="A19" s="124"/>
      <c r="B19" s="199" t="s">
        <v>96</v>
      </c>
      <c r="C19" s="79" t="str">
        <v>AM</v>
      </c>
      <c r="D19" s="79" t="str">
        <v>3L</v>
      </c>
      <c r="E19" s="77" t="str">
        <f t="shared" si="0"/>
        <v>USDAM3L14Y_Quote</v>
      </c>
      <c r="F19" s="77" t="str">
        <f>_xll.qlSimpleQuote(Currency&amp;$C19&amp;$D19&amp;$B19&amp;QuoteSuffix,,RateTickValue,Permanent,Trigger,ObjectOverwrite)</f>
        <v>USDAM3L14Y_Quote#0021</v>
      </c>
      <c r="G19" s="196" t="str">
        <f>_xll.ohRangeRetrieveError(F19)</f>
        <v/>
      </c>
      <c r="H19" s="49"/>
    </row>
    <row r="20" spans="1:8" x14ac:dyDescent="0.2">
      <c r="A20" s="124"/>
      <c r="B20" s="199" t="s">
        <v>95</v>
      </c>
      <c r="C20" s="79" t="str">
        <v>AM</v>
      </c>
      <c r="D20" s="79" t="str">
        <v>3L</v>
      </c>
      <c r="E20" s="77" t="str">
        <f t="shared" si="0"/>
        <v>USDAM3L15Y_Quote</v>
      </c>
      <c r="F20" s="77" t="str">
        <f>_xll.qlSimpleQuote(Currency&amp;$C20&amp;$D20&amp;$B20&amp;QuoteSuffix,,RateTickValue,Permanent,Trigger,ObjectOverwrite)</f>
        <v>USDAM3L15Y_Quote#0021</v>
      </c>
      <c r="G20" s="196" t="str">
        <f>_xll.ohRangeRetrieveError(F20)</f>
        <v/>
      </c>
      <c r="H20" s="49"/>
    </row>
    <row r="21" spans="1:8" x14ac:dyDescent="0.2">
      <c r="A21" s="124"/>
      <c r="B21" s="199" t="s">
        <v>94</v>
      </c>
      <c r="C21" s="79" t="str">
        <v>AM</v>
      </c>
      <c r="D21" s="79" t="str">
        <v>3L</v>
      </c>
      <c r="E21" s="77" t="str">
        <f t="shared" si="0"/>
        <v>USDAM3L16Y_Quote</v>
      </c>
      <c r="F21" s="77" t="str">
        <f>_xll.qlSimpleQuote(Currency&amp;$C21&amp;$D21&amp;$B21&amp;QuoteSuffix,,RateTickValue,Permanent,Trigger,ObjectOverwrite)</f>
        <v>USDAM3L16Y_Quote#0021</v>
      </c>
      <c r="G21" s="196" t="str">
        <f>_xll.ohRangeRetrieveError(F21)</f>
        <v/>
      </c>
      <c r="H21" s="49"/>
    </row>
    <row r="22" spans="1:8" x14ac:dyDescent="0.2">
      <c r="A22" s="124"/>
      <c r="B22" s="199" t="s">
        <v>93</v>
      </c>
      <c r="C22" s="79" t="str">
        <v>AM</v>
      </c>
      <c r="D22" s="79" t="str">
        <v>3L</v>
      </c>
      <c r="E22" s="77" t="str">
        <f t="shared" si="0"/>
        <v>USDAM3L17Y_Quote</v>
      </c>
      <c r="F22" s="77" t="str">
        <f>_xll.qlSimpleQuote(Currency&amp;$C22&amp;$D22&amp;$B22&amp;QuoteSuffix,,RateTickValue,Permanent,Trigger,ObjectOverwrite)</f>
        <v>USDAM3L17Y_Quote#0021</v>
      </c>
      <c r="G22" s="196" t="str">
        <f>_xll.ohRangeRetrieveError(F22)</f>
        <v/>
      </c>
      <c r="H22" s="49"/>
    </row>
    <row r="23" spans="1:8" x14ac:dyDescent="0.2">
      <c r="A23" s="124"/>
      <c r="B23" s="199" t="s">
        <v>92</v>
      </c>
      <c r="C23" s="79" t="str">
        <v>AM</v>
      </c>
      <c r="D23" s="79" t="str">
        <v>3L</v>
      </c>
      <c r="E23" s="77" t="str">
        <f t="shared" si="0"/>
        <v>USDAM3L18Y_Quote</v>
      </c>
      <c r="F23" s="77" t="str">
        <f>_xll.qlSimpleQuote(Currency&amp;$C23&amp;$D23&amp;$B23&amp;QuoteSuffix,,RateTickValue,Permanent,Trigger,ObjectOverwrite)</f>
        <v>USDAM3L18Y_Quote#0021</v>
      </c>
      <c r="G23" s="196" t="str">
        <f>_xll.ohRangeRetrieveError(F23)</f>
        <v/>
      </c>
      <c r="H23" s="49"/>
    </row>
    <row r="24" spans="1:8" x14ac:dyDescent="0.2">
      <c r="A24" s="124"/>
      <c r="B24" s="199" t="s">
        <v>91</v>
      </c>
      <c r="C24" s="79" t="str">
        <v>AM</v>
      </c>
      <c r="D24" s="79" t="str">
        <v>3L</v>
      </c>
      <c r="E24" s="77" t="str">
        <f t="shared" si="0"/>
        <v>USDAM3L19Y_Quote</v>
      </c>
      <c r="F24" s="77" t="str">
        <f>_xll.qlSimpleQuote(Currency&amp;$C24&amp;$D24&amp;$B24&amp;QuoteSuffix,,RateTickValue,Permanent,Trigger,ObjectOverwrite)</f>
        <v>USDAM3L19Y_Quote#0021</v>
      </c>
      <c r="G24" s="196" t="str">
        <f>_xll.ohRangeRetrieveError(F24)</f>
        <v/>
      </c>
      <c r="H24" s="49"/>
    </row>
    <row r="25" spans="1:8" x14ac:dyDescent="0.2">
      <c r="A25" s="124"/>
      <c r="B25" s="199" t="s">
        <v>90</v>
      </c>
      <c r="C25" s="79" t="str">
        <v>AM</v>
      </c>
      <c r="D25" s="79" t="str">
        <v>3L</v>
      </c>
      <c r="E25" s="77" t="str">
        <f t="shared" si="0"/>
        <v>USDAM3L20Y_Quote</v>
      </c>
      <c r="F25" s="77" t="str">
        <f>_xll.qlSimpleQuote(Currency&amp;$C25&amp;$D25&amp;$B25&amp;QuoteSuffix,,RateTickValue,Permanent,Trigger,ObjectOverwrite)</f>
        <v>USDAM3L20Y_Quote#0021</v>
      </c>
      <c r="G25" s="196" t="str">
        <f>_xll.ohRangeRetrieveError(F25)</f>
        <v/>
      </c>
      <c r="H25" s="49"/>
    </row>
    <row r="26" spans="1:8" x14ac:dyDescent="0.2">
      <c r="A26" s="124"/>
      <c r="B26" s="199" t="s">
        <v>89</v>
      </c>
      <c r="C26" s="79" t="str">
        <v>AM</v>
      </c>
      <c r="D26" s="79" t="str">
        <v>3L</v>
      </c>
      <c r="E26" s="77" t="str">
        <f t="shared" si="0"/>
        <v>USDAM3L21Y_Quote</v>
      </c>
      <c r="F26" s="77" t="str">
        <f>_xll.qlSimpleQuote(Currency&amp;$C26&amp;$D26&amp;$B26&amp;QuoteSuffix,,RateTickValue,Permanent,Trigger,ObjectOverwrite)</f>
        <v>USDAM3L21Y_Quote#0021</v>
      </c>
      <c r="G26" s="196" t="str">
        <f>_xll.ohRangeRetrieveError(F26)</f>
        <v/>
      </c>
      <c r="H26" s="49"/>
    </row>
    <row r="27" spans="1:8" x14ac:dyDescent="0.2">
      <c r="A27" s="124"/>
      <c r="B27" s="199" t="s">
        <v>88</v>
      </c>
      <c r="C27" s="79" t="str">
        <v>AM</v>
      </c>
      <c r="D27" s="79" t="str">
        <v>3L</v>
      </c>
      <c r="E27" s="77" t="str">
        <f t="shared" si="0"/>
        <v>USDAM3L22Y_Quote</v>
      </c>
      <c r="F27" s="77" t="str">
        <f>_xll.qlSimpleQuote(Currency&amp;$C27&amp;$D27&amp;$B27&amp;QuoteSuffix,,RateTickValue,Permanent,Trigger,ObjectOverwrite)</f>
        <v>USDAM3L22Y_Quote#0021</v>
      </c>
      <c r="G27" s="196" t="str">
        <f>_xll.ohRangeRetrieveError(F27)</f>
        <v/>
      </c>
      <c r="H27" s="49"/>
    </row>
    <row r="28" spans="1:8" x14ac:dyDescent="0.2">
      <c r="A28" s="124"/>
      <c r="B28" s="199" t="s">
        <v>87</v>
      </c>
      <c r="C28" s="79" t="str">
        <v>AM</v>
      </c>
      <c r="D28" s="79" t="str">
        <v>3L</v>
      </c>
      <c r="E28" s="77" t="str">
        <f t="shared" si="0"/>
        <v>USDAM3L23Y_Quote</v>
      </c>
      <c r="F28" s="77" t="str">
        <f>_xll.qlSimpleQuote(Currency&amp;$C28&amp;$D28&amp;$B28&amp;QuoteSuffix,,RateTickValue,Permanent,Trigger,ObjectOverwrite)</f>
        <v>USDAM3L23Y_Quote#0021</v>
      </c>
      <c r="G28" s="196" t="str">
        <f>_xll.ohRangeRetrieveError(F28)</f>
        <v/>
      </c>
      <c r="H28" s="49"/>
    </row>
    <row r="29" spans="1:8" x14ac:dyDescent="0.2">
      <c r="A29" s="124"/>
      <c r="B29" s="199" t="s">
        <v>86</v>
      </c>
      <c r="C29" s="79" t="str">
        <v>AM</v>
      </c>
      <c r="D29" s="79" t="str">
        <v>3L</v>
      </c>
      <c r="E29" s="77" t="str">
        <f t="shared" si="0"/>
        <v>USDAM3L24Y_Quote</v>
      </c>
      <c r="F29" s="77" t="str">
        <f>_xll.qlSimpleQuote(Currency&amp;$C29&amp;$D29&amp;$B29&amp;QuoteSuffix,,RateTickValue,Permanent,Trigger,ObjectOverwrite)</f>
        <v>USDAM3L24Y_Quote#0021</v>
      </c>
      <c r="G29" s="196" t="str">
        <f>_xll.ohRangeRetrieveError(F29)</f>
        <v/>
      </c>
      <c r="H29" s="49"/>
    </row>
    <row r="30" spans="1:8" x14ac:dyDescent="0.2">
      <c r="A30" s="124"/>
      <c r="B30" s="199" t="s">
        <v>85</v>
      </c>
      <c r="C30" s="79" t="str">
        <v>AM</v>
      </c>
      <c r="D30" s="79" t="str">
        <v>3L</v>
      </c>
      <c r="E30" s="77" t="str">
        <f t="shared" si="0"/>
        <v>USDAM3L25Y_Quote</v>
      </c>
      <c r="F30" s="77" t="str">
        <f>_xll.qlSimpleQuote(Currency&amp;$C30&amp;$D30&amp;$B30&amp;QuoteSuffix,,RateTickValue,Permanent,Trigger,ObjectOverwrite)</f>
        <v>USDAM3L25Y_Quote#0021</v>
      </c>
      <c r="G30" s="196" t="str">
        <f>_xll.ohRangeRetrieveError(F30)</f>
        <v/>
      </c>
      <c r="H30" s="49"/>
    </row>
    <row r="31" spans="1:8" x14ac:dyDescent="0.2">
      <c r="A31" s="124"/>
      <c r="B31" s="199" t="s">
        <v>84</v>
      </c>
      <c r="C31" s="79" t="str">
        <v>AM</v>
      </c>
      <c r="D31" s="79" t="str">
        <v>3L</v>
      </c>
      <c r="E31" s="77" t="str">
        <f t="shared" si="0"/>
        <v>USDAM3L26Y_Quote</v>
      </c>
      <c r="F31" s="77" t="str">
        <f>_xll.qlSimpleQuote(Currency&amp;$C31&amp;$D31&amp;$B31&amp;QuoteSuffix,,RateTickValue,Permanent,Trigger,ObjectOverwrite)</f>
        <v>USDAM3L26Y_Quote#0021</v>
      </c>
      <c r="G31" s="196" t="str">
        <f>_xll.ohRangeRetrieveError(F31)</f>
        <v/>
      </c>
      <c r="H31" s="49"/>
    </row>
    <row r="32" spans="1:8" x14ac:dyDescent="0.2">
      <c r="A32" s="124"/>
      <c r="B32" s="199" t="s">
        <v>83</v>
      </c>
      <c r="C32" s="79" t="str">
        <v>AM</v>
      </c>
      <c r="D32" s="79" t="str">
        <v>3L</v>
      </c>
      <c r="E32" s="77" t="str">
        <f t="shared" si="0"/>
        <v>USDAM3L27Y_Quote</v>
      </c>
      <c r="F32" s="77" t="str">
        <f>_xll.qlSimpleQuote(Currency&amp;$C32&amp;$D32&amp;$B32&amp;QuoteSuffix,,RateTickValue,Permanent,Trigger,ObjectOverwrite)</f>
        <v>USDAM3L27Y_Quote#0021</v>
      </c>
      <c r="G32" s="196" t="str">
        <f>_xll.ohRangeRetrieveError(F32)</f>
        <v/>
      </c>
      <c r="H32" s="49"/>
    </row>
    <row r="33" spans="1:8" x14ac:dyDescent="0.2">
      <c r="A33" s="124"/>
      <c r="B33" s="199" t="s">
        <v>82</v>
      </c>
      <c r="C33" s="79" t="str">
        <v>AM</v>
      </c>
      <c r="D33" s="79" t="str">
        <v>3L</v>
      </c>
      <c r="E33" s="77" t="str">
        <f t="shared" si="0"/>
        <v>USDAM3L28Y_Quote</v>
      </c>
      <c r="F33" s="77" t="str">
        <f>_xll.qlSimpleQuote(Currency&amp;$C33&amp;$D33&amp;$B33&amp;QuoteSuffix,,RateTickValue,Permanent,Trigger,ObjectOverwrite)</f>
        <v>USDAM3L28Y_Quote#0021</v>
      </c>
      <c r="G33" s="196" t="str">
        <f>_xll.ohRangeRetrieveError(F33)</f>
        <v/>
      </c>
      <c r="H33" s="49"/>
    </row>
    <row r="34" spans="1:8" x14ac:dyDescent="0.2">
      <c r="A34" s="124"/>
      <c r="B34" s="199" t="s">
        <v>81</v>
      </c>
      <c r="C34" s="79" t="str">
        <v>AM</v>
      </c>
      <c r="D34" s="79" t="str">
        <v>3L</v>
      </c>
      <c r="E34" s="77" t="str">
        <f t="shared" si="0"/>
        <v>USDAM3L29Y_Quote</v>
      </c>
      <c r="F34" s="77" t="str">
        <f>_xll.qlSimpleQuote(Currency&amp;$C34&amp;$D34&amp;$B34&amp;QuoteSuffix,,RateTickValue,Permanent,Trigger,ObjectOverwrite)</f>
        <v>USDAM3L29Y_Quote#0021</v>
      </c>
      <c r="G34" s="196" t="str">
        <f>_xll.ohRangeRetrieveError(F34)</f>
        <v/>
      </c>
      <c r="H34" s="49"/>
    </row>
    <row r="35" spans="1:8" x14ac:dyDescent="0.2">
      <c r="A35" s="124"/>
      <c r="B35" s="199" t="s">
        <v>80</v>
      </c>
      <c r="C35" s="79" t="str">
        <v>AM</v>
      </c>
      <c r="D35" s="79" t="str">
        <v>3L</v>
      </c>
      <c r="E35" s="77" t="str">
        <f t="shared" si="0"/>
        <v>USDAM3L30Y_Quote</v>
      </c>
      <c r="F35" s="77" t="str">
        <f>_xll.qlSimpleQuote(Currency&amp;$C35&amp;$D35&amp;$B35&amp;QuoteSuffix,,RateTickValue,Permanent,Trigger,ObjectOverwrite)</f>
        <v>USDAM3L30Y_Quote#0021</v>
      </c>
      <c r="G35" s="196" t="str">
        <f>_xll.ohRangeRetrieveError(F35)</f>
        <v/>
      </c>
      <c r="H35" s="49"/>
    </row>
    <row r="36" spans="1:8" x14ac:dyDescent="0.2">
      <c r="A36" s="124"/>
      <c r="B36" s="199" t="s">
        <v>75</v>
      </c>
      <c r="C36" s="79" t="str">
        <v>AM</v>
      </c>
      <c r="D36" s="79" t="str">
        <v>3L</v>
      </c>
      <c r="E36" s="77" t="str">
        <f t="shared" si="0"/>
        <v>USDAM3L35Y_Quote</v>
      </c>
      <c r="F36" s="77" t="str">
        <f>_xll.qlSimpleQuote(Currency&amp;$C36&amp;$D36&amp;$B36&amp;QuoteSuffix,,RateTickValue,Permanent,Trigger,ObjectOverwrite)</f>
        <v>USDAM3L35Y_Quote#0021</v>
      </c>
      <c r="G36" s="196" t="str">
        <f>_xll.ohRangeRetrieveError(F36)</f>
        <v/>
      </c>
      <c r="H36" s="49"/>
    </row>
    <row r="37" spans="1:8" x14ac:dyDescent="0.2">
      <c r="A37" s="124"/>
      <c r="B37" s="199" t="s">
        <v>70</v>
      </c>
      <c r="C37" s="79" t="str">
        <v>AM</v>
      </c>
      <c r="D37" s="79" t="str">
        <v>3L</v>
      </c>
      <c r="E37" s="77" t="str">
        <f t="shared" si="0"/>
        <v>USDAM3L40Y_Quote</v>
      </c>
      <c r="F37" s="77" t="str">
        <f>_xll.qlSimpleQuote(Currency&amp;$C37&amp;$D37&amp;$B37&amp;QuoteSuffix,,RateTickValue,Permanent,Trigger,ObjectOverwrite)</f>
        <v>USDAM3L40Y_Quote#0021</v>
      </c>
      <c r="G37" s="196" t="str">
        <f>_xll.ohRangeRetrieveError(F37)</f>
        <v/>
      </c>
      <c r="H37" s="49"/>
    </row>
    <row r="38" spans="1:8" x14ac:dyDescent="0.2">
      <c r="A38" s="124"/>
      <c r="B38" s="199" t="s">
        <v>60</v>
      </c>
      <c r="C38" s="79" t="str">
        <v>AM</v>
      </c>
      <c r="D38" s="79" t="str">
        <v>3L</v>
      </c>
      <c r="E38" s="77" t="str">
        <f t="shared" si="0"/>
        <v>USDAM3L50Y_Quote</v>
      </c>
      <c r="F38" s="77" t="str">
        <f>_xll.qlSimpleQuote(Currency&amp;$C38&amp;$D38&amp;$B38&amp;QuoteSuffix,,RateTickValue,Permanent,Trigger,ObjectOverwrite)</f>
        <v>USDAM3L50Y_Quote#0021</v>
      </c>
      <c r="G38" s="196" t="str">
        <f>_xll.ohRangeRetrieveError(F38)</f>
        <v/>
      </c>
      <c r="H38" s="49"/>
    </row>
    <row r="39" spans="1:8" x14ac:dyDescent="0.2">
      <c r="A39" s="124"/>
      <c r="B39" s="199" t="s">
        <v>50</v>
      </c>
      <c r="C39" s="79" t="str">
        <v>AM</v>
      </c>
      <c r="D39" s="79" t="str">
        <v>3L</v>
      </c>
      <c r="E39" s="77" t="str">
        <f t="shared" si="0"/>
        <v>USDAM3L60Y_Quote</v>
      </c>
      <c r="F39" s="77" t="str">
        <f>_xll.qlSimpleQuote(Currency&amp;$C39&amp;$D39&amp;$B39&amp;QuoteSuffix,,RateTickValue,Permanent,Trigger,ObjectOverwrite)</f>
        <v>USDAM3L60Y_Quote#0021</v>
      </c>
      <c r="G39" s="196" t="str">
        <f>_xll.ohRangeRetrieveError(F39)</f>
        <v/>
      </c>
      <c r="H39" s="49"/>
    </row>
    <row r="40" spans="1:8" ht="13.5" thickBot="1" x14ac:dyDescent="0.25">
      <c r="A40" s="48"/>
      <c r="B40" s="47"/>
      <c r="C40" s="47"/>
      <c r="D40" s="47"/>
      <c r="E40" s="47"/>
      <c r="F40" s="118"/>
      <c r="G40" s="118"/>
      <c r="H40" s="46"/>
    </row>
  </sheetData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40"/>
  <sheetViews>
    <sheetView workbookViewId="0"/>
  </sheetViews>
  <sheetFormatPr defaultRowHeight="11.25" x14ac:dyDescent="0.2"/>
  <cols>
    <col min="1" max="1" width="3.7109375" style="105" customWidth="1"/>
    <col min="2" max="2" width="6.5703125" style="21" bestFit="1" customWidth="1"/>
    <col min="3" max="3" width="3.140625" style="105" bestFit="1" customWidth="1"/>
    <col min="4" max="4" width="2.7109375" style="105" bestFit="1" customWidth="1"/>
    <col min="5" max="5" width="18" style="105" bestFit="1" customWidth="1"/>
    <col min="6" max="6" width="20.140625" style="216" bestFit="1" customWidth="1"/>
    <col min="7" max="7" width="38.28515625" style="105" customWidth="1"/>
    <col min="8" max="8" width="4.42578125" style="105" customWidth="1"/>
    <col min="9" max="9" width="2.42578125" style="105" customWidth="1"/>
    <col min="10" max="10" width="8.5703125" style="105" bestFit="1" customWidth="1"/>
    <col min="11" max="11" width="3.28515625" style="105" bestFit="1" customWidth="1"/>
    <col min="12" max="12" width="9.5703125" style="105" bestFit="1" customWidth="1"/>
    <col min="13" max="16384" width="9.140625" style="105"/>
  </cols>
  <sheetData>
    <row r="1" spans="1:12" ht="12" thickBot="1" x14ac:dyDescent="0.25">
      <c r="A1" s="224" t="s">
        <v>218</v>
      </c>
      <c r="B1" s="206"/>
      <c r="C1" s="206"/>
      <c r="D1" s="206"/>
      <c r="E1" s="157"/>
      <c r="F1" s="223"/>
      <c r="G1" s="157"/>
      <c r="H1" s="203"/>
    </row>
    <row r="2" spans="1:12" x14ac:dyDescent="0.2">
      <c r="A2" s="124"/>
      <c r="B2" s="94" t="s">
        <v>136</v>
      </c>
      <c r="C2" s="94"/>
      <c r="D2" s="94"/>
      <c r="E2" s="93" t="str">
        <f>Currency&amp;"_010_Sw"&amp;$C$3&amp;$D$3&amp;".xml"</f>
        <v>USD_010_SwAM6L.xml</v>
      </c>
      <c r="F2" s="92">
        <f ca="1">IF(Serialize,_xll.ohObjectSave(F3:F39,SerializationPath&amp;E2,FileOverwrite,Serialize),"---")</f>
        <v>37</v>
      </c>
      <c r="G2" s="76" t="str">
        <f ca="1">_xll.ohRangeRetrieveError(F2)</f>
        <v/>
      </c>
      <c r="H2" s="49"/>
      <c r="J2" s="215" t="s">
        <v>217</v>
      </c>
      <c r="K2" s="214" t="s">
        <v>215</v>
      </c>
      <c r="L2" s="213" t="s">
        <v>214</v>
      </c>
    </row>
    <row r="3" spans="1:12" x14ac:dyDescent="0.2">
      <c r="A3" s="124"/>
      <c r="B3" s="219" t="s">
        <v>29</v>
      </c>
      <c r="C3" s="79" t="str">
        <f t="array" ref="C3:C39">VLOOKUP(Currency,SwapSecondarySetConventions,2)</f>
        <v>AM</v>
      </c>
      <c r="D3" s="79" t="str">
        <f t="array" ref="D3:D39">VLOOKUP(Currency,SwapSecondarySetConventions,3)</f>
        <v>6L</v>
      </c>
      <c r="E3" s="77" t="str">
        <f t="shared" ref="E3:E39" si="0">Currency&amp;$C3&amp;$D3&amp;$B3&amp;QuoteSuffix</f>
        <v>USDAM6L1Y_Quote</v>
      </c>
      <c r="F3" s="77" t="str">
        <f>_xll.qlSimpleQuote(Currency&amp;$C3&amp;$D3&amp;$B3&amp;QuoteSuffix,,RateTickValue,Permanent,Trigger,ObjectOverwrite)</f>
        <v>USDAM6L1Y_Quote#0021</v>
      </c>
      <c r="G3" s="76" t="str">
        <f>_xll.ohRangeRetrieveError(F3)</f>
        <v/>
      </c>
      <c r="H3" s="49"/>
      <c r="J3" s="212" t="s">
        <v>132</v>
      </c>
      <c r="K3" s="221" t="s">
        <v>213</v>
      </c>
      <c r="L3" s="220" t="s">
        <v>126</v>
      </c>
    </row>
    <row r="4" spans="1:12" x14ac:dyDescent="0.2">
      <c r="A4" s="124"/>
      <c r="B4" s="222" t="s">
        <v>135</v>
      </c>
      <c r="C4" s="79" t="str">
        <v>AM</v>
      </c>
      <c r="D4" s="79" t="str">
        <v>6L</v>
      </c>
      <c r="E4" s="77" t="str">
        <f t="shared" si="0"/>
        <v>USDAM6L15M_Quote</v>
      </c>
      <c r="F4" s="77" t="str">
        <f>_xll.qlSimpleQuote(Currency&amp;$C4&amp;$D4&amp;$B4&amp;QuoteSuffix,,RateTickValue,Permanent,Trigger,ObjectOverwrite)</f>
        <v>USDAM6L15M_Quote#0021</v>
      </c>
      <c r="G4" s="76" t="str">
        <f>_xll.ohRangeRetrieveError(F4)</f>
        <v/>
      </c>
      <c r="H4" s="49"/>
      <c r="J4" s="212" t="s">
        <v>131</v>
      </c>
      <c r="K4" s="86" t="s">
        <v>213</v>
      </c>
      <c r="L4" s="85" t="s">
        <v>129</v>
      </c>
    </row>
    <row r="5" spans="1:12" x14ac:dyDescent="0.2">
      <c r="A5" s="124"/>
      <c r="B5" s="222" t="s">
        <v>134</v>
      </c>
      <c r="C5" s="79" t="str">
        <v>AM</v>
      </c>
      <c r="D5" s="79" t="str">
        <v>6L</v>
      </c>
      <c r="E5" s="77" t="str">
        <f t="shared" si="0"/>
        <v>USDAM6L18M_Quote</v>
      </c>
      <c r="F5" s="77" t="str">
        <f>_xll.qlSimpleQuote(Currency&amp;$C5&amp;$D5&amp;$B5&amp;QuoteSuffix,,RateTickValue,Permanent,Trigger,ObjectOverwrite)</f>
        <v>USDAM6L18M_Quote#0021</v>
      </c>
      <c r="G5" s="76" t="str">
        <f>_xll.ohRangeRetrieveError(F5)</f>
        <v/>
      </c>
      <c r="H5" s="49"/>
      <c r="J5" s="212" t="s">
        <v>128</v>
      </c>
      <c r="K5" s="86" t="s">
        <v>212</v>
      </c>
      <c r="L5" s="85" t="s">
        <v>126</v>
      </c>
    </row>
    <row r="6" spans="1:12" x14ac:dyDescent="0.2">
      <c r="A6" s="124"/>
      <c r="B6" s="222" t="s">
        <v>133</v>
      </c>
      <c r="C6" s="79" t="str">
        <v>AM</v>
      </c>
      <c r="D6" s="79" t="str">
        <v>6L</v>
      </c>
      <c r="E6" s="77" t="str">
        <f t="shared" si="0"/>
        <v>USDAM6L21M_Quote</v>
      </c>
      <c r="F6" s="77" t="str">
        <f>_xll.qlSimpleQuote(Currency&amp;$C6&amp;$D6&amp;$B6&amp;QuoteSuffix,,RateTickValue,Permanent,Trigger,ObjectOverwrite)</f>
        <v>USDAM6L21M_Quote#0021</v>
      </c>
      <c r="G6" s="76" t="str">
        <f>_xll.ohRangeRetrieveError(F6)</f>
        <v/>
      </c>
      <c r="H6" s="49"/>
      <c r="J6" s="212" t="s">
        <v>127</v>
      </c>
      <c r="K6" s="221" t="s">
        <v>212</v>
      </c>
      <c r="L6" s="220" t="s">
        <v>126</v>
      </c>
    </row>
    <row r="7" spans="1:12" ht="12" thickBot="1" x14ac:dyDescent="0.25">
      <c r="A7" s="124"/>
      <c r="B7" s="219" t="s">
        <v>108</v>
      </c>
      <c r="C7" s="79" t="str">
        <v>AM</v>
      </c>
      <c r="D7" s="79" t="str">
        <v>6L</v>
      </c>
      <c r="E7" s="77" t="str">
        <f t="shared" si="0"/>
        <v>USDAM6L2Y_Quote</v>
      </c>
      <c r="F7" s="77" t="str">
        <f>_xll.qlSimpleQuote(Currency&amp;$C7&amp;$D7&amp;$B7&amp;QuoteSuffix,,RateTickValue,Permanent,Trigger,ObjectOverwrite)</f>
        <v>USDAM6L2Y_Quote#0021</v>
      </c>
      <c r="G7" s="76" t="str">
        <f>_xll.ohRangeRetrieveError(F7)</f>
        <v/>
      </c>
      <c r="H7" s="49"/>
      <c r="J7" s="211" t="s">
        <v>122</v>
      </c>
      <c r="K7" s="83" t="s">
        <v>211</v>
      </c>
      <c r="L7" s="82" t="s">
        <v>126</v>
      </c>
    </row>
    <row r="8" spans="1:12" x14ac:dyDescent="0.2">
      <c r="A8" s="124"/>
      <c r="B8" s="219" t="s">
        <v>107</v>
      </c>
      <c r="C8" s="79" t="str">
        <v>AM</v>
      </c>
      <c r="D8" s="79" t="str">
        <v>6L</v>
      </c>
      <c r="E8" s="77" t="str">
        <f t="shared" si="0"/>
        <v>USDAM6L3Y_Quote</v>
      </c>
      <c r="F8" s="77" t="str">
        <f>_xll.qlSimpleQuote(Currency&amp;$C8&amp;$D8&amp;$B8&amp;QuoteSuffix,,RateTickValue,Permanent,Trigger,ObjectOverwrite)</f>
        <v>USDAM6L3Y_Quote#0021</v>
      </c>
      <c r="G8" s="76" t="str">
        <f>_xll.ohRangeRetrieveError(F8)</f>
        <v/>
      </c>
      <c r="H8" s="49"/>
    </row>
    <row r="9" spans="1:12" x14ac:dyDescent="0.2">
      <c r="A9" s="124"/>
      <c r="B9" s="219" t="s">
        <v>106</v>
      </c>
      <c r="C9" s="79" t="str">
        <v>AM</v>
      </c>
      <c r="D9" s="79" t="str">
        <v>6L</v>
      </c>
      <c r="E9" s="77" t="str">
        <f t="shared" si="0"/>
        <v>USDAM6L4Y_Quote</v>
      </c>
      <c r="F9" s="77" t="str">
        <f>_xll.qlSimpleQuote(Currency&amp;$C9&amp;$D9&amp;$B9&amp;QuoteSuffix,,RateTickValue,Permanent,Trigger,ObjectOverwrite)</f>
        <v>USDAM6L4Y_Quote#0021</v>
      </c>
      <c r="G9" s="76" t="str">
        <f>_xll.ohRangeRetrieveError(F9)</f>
        <v/>
      </c>
      <c r="H9" s="49"/>
    </row>
    <row r="10" spans="1:12" x14ac:dyDescent="0.2">
      <c r="A10" s="124"/>
      <c r="B10" s="219" t="s">
        <v>105</v>
      </c>
      <c r="C10" s="79" t="str">
        <v>AM</v>
      </c>
      <c r="D10" s="79" t="str">
        <v>6L</v>
      </c>
      <c r="E10" s="77" t="str">
        <f t="shared" si="0"/>
        <v>USDAM6L5Y_Quote</v>
      </c>
      <c r="F10" s="77" t="str">
        <f>_xll.qlSimpleQuote(Currency&amp;$C10&amp;$D10&amp;$B10&amp;QuoteSuffix,,RateTickValue,Permanent,Trigger,ObjectOverwrite)</f>
        <v>USDAM6L5Y_Quote#0021</v>
      </c>
      <c r="G10" s="76" t="str">
        <f>_xll.ohRangeRetrieveError(F10)</f>
        <v/>
      </c>
      <c r="H10" s="49"/>
    </row>
    <row r="11" spans="1:12" x14ac:dyDescent="0.2">
      <c r="A11" s="124"/>
      <c r="B11" s="219" t="s">
        <v>104</v>
      </c>
      <c r="C11" s="79" t="str">
        <v>AM</v>
      </c>
      <c r="D11" s="79" t="str">
        <v>6L</v>
      </c>
      <c r="E11" s="77" t="str">
        <f t="shared" si="0"/>
        <v>USDAM6L6Y_Quote</v>
      </c>
      <c r="F11" s="77" t="str">
        <f>_xll.qlSimpleQuote(Currency&amp;$C11&amp;$D11&amp;$B11&amp;QuoteSuffix,,RateTickValue,Permanent,Trigger,ObjectOverwrite)</f>
        <v>USDAM6L6Y_Quote#0021</v>
      </c>
      <c r="G11" s="76" t="str">
        <f>_xll.ohRangeRetrieveError(F11)</f>
        <v/>
      </c>
      <c r="H11" s="49"/>
    </row>
    <row r="12" spans="1:12" x14ac:dyDescent="0.2">
      <c r="A12" s="124"/>
      <c r="B12" s="219" t="s">
        <v>103</v>
      </c>
      <c r="C12" s="79" t="str">
        <v>AM</v>
      </c>
      <c r="D12" s="79" t="str">
        <v>6L</v>
      </c>
      <c r="E12" s="77" t="str">
        <f t="shared" si="0"/>
        <v>USDAM6L7Y_Quote</v>
      </c>
      <c r="F12" s="77" t="str">
        <f>_xll.qlSimpleQuote(Currency&amp;$C12&amp;$D12&amp;$B12&amp;QuoteSuffix,,RateTickValue,Permanent,Trigger,ObjectOverwrite)</f>
        <v>USDAM6L7Y_Quote#0021</v>
      </c>
      <c r="G12" s="76" t="str">
        <f>_xll.ohRangeRetrieveError(F12)</f>
        <v/>
      </c>
      <c r="H12" s="49"/>
    </row>
    <row r="13" spans="1:12" x14ac:dyDescent="0.2">
      <c r="A13" s="124"/>
      <c r="B13" s="219" t="s">
        <v>102</v>
      </c>
      <c r="C13" s="79" t="str">
        <v>AM</v>
      </c>
      <c r="D13" s="79" t="str">
        <v>6L</v>
      </c>
      <c r="E13" s="77" t="str">
        <f t="shared" si="0"/>
        <v>USDAM6L8Y_Quote</v>
      </c>
      <c r="F13" s="77" t="str">
        <f>_xll.qlSimpleQuote(Currency&amp;$C13&amp;$D13&amp;$B13&amp;QuoteSuffix,,RateTickValue,Permanent,Trigger,ObjectOverwrite)</f>
        <v>USDAM6L8Y_Quote#0021</v>
      </c>
      <c r="G13" s="76" t="str">
        <f>_xll.ohRangeRetrieveError(F13)</f>
        <v/>
      </c>
      <c r="H13" s="49"/>
    </row>
    <row r="14" spans="1:12" x14ac:dyDescent="0.2">
      <c r="A14" s="124"/>
      <c r="B14" s="219" t="s">
        <v>101</v>
      </c>
      <c r="C14" s="79" t="str">
        <v>AM</v>
      </c>
      <c r="D14" s="79" t="str">
        <v>6L</v>
      </c>
      <c r="E14" s="77" t="str">
        <f t="shared" si="0"/>
        <v>USDAM6L9Y_Quote</v>
      </c>
      <c r="F14" s="77" t="str">
        <f>_xll.qlSimpleQuote(Currency&amp;$C14&amp;$D14&amp;$B14&amp;QuoteSuffix,,RateTickValue,Permanent,Trigger,ObjectOverwrite)</f>
        <v>USDAM6L9Y_Quote#0021</v>
      </c>
      <c r="G14" s="76" t="str">
        <f>_xll.ohRangeRetrieveError(F14)</f>
        <v/>
      </c>
      <c r="H14" s="49"/>
    </row>
    <row r="15" spans="1:12" x14ac:dyDescent="0.2">
      <c r="A15" s="124"/>
      <c r="B15" s="219" t="s">
        <v>100</v>
      </c>
      <c r="C15" s="79" t="str">
        <v>AM</v>
      </c>
      <c r="D15" s="79" t="str">
        <v>6L</v>
      </c>
      <c r="E15" s="77" t="str">
        <f t="shared" si="0"/>
        <v>USDAM6L10Y_Quote</v>
      </c>
      <c r="F15" s="77" t="str">
        <f>_xll.qlSimpleQuote(Currency&amp;$C15&amp;$D15&amp;$B15&amp;QuoteSuffix,,RateTickValue,Permanent,Trigger,ObjectOverwrite)</f>
        <v>USDAM6L10Y_Quote#0021</v>
      </c>
      <c r="G15" s="76" t="str">
        <f>_xll.ohRangeRetrieveError(F15)</f>
        <v/>
      </c>
      <c r="H15" s="49"/>
    </row>
    <row r="16" spans="1:12" x14ac:dyDescent="0.2">
      <c r="A16" s="124"/>
      <c r="B16" s="219" t="s">
        <v>99</v>
      </c>
      <c r="C16" s="79" t="str">
        <v>AM</v>
      </c>
      <c r="D16" s="79" t="str">
        <v>6L</v>
      </c>
      <c r="E16" s="77" t="str">
        <f t="shared" si="0"/>
        <v>USDAM6L11Y_Quote</v>
      </c>
      <c r="F16" s="77" t="str">
        <f>_xll.qlSimpleQuote(Currency&amp;$C16&amp;$D16&amp;$B16&amp;QuoteSuffix,,RateTickValue,Permanent,Trigger,ObjectOverwrite)</f>
        <v>USDAM6L11Y_Quote#0021</v>
      </c>
      <c r="G16" s="76" t="str">
        <f>_xll.ohRangeRetrieveError(F16)</f>
        <v/>
      </c>
      <c r="H16" s="49"/>
    </row>
    <row r="17" spans="1:8" x14ac:dyDescent="0.2">
      <c r="A17" s="124"/>
      <c r="B17" s="219" t="s">
        <v>98</v>
      </c>
      <c r="C17" s="79" t="str">
        <v>AM</v>
      </c>
      <c r="D17" s="79" t="str">
        <v>6L</v>
      </c>
      <c r="E17" s="77" t="str">
        <f t="shared" si="0"/>
        <v>USDAM6L12Y_Quote</v>
      </c>
      <c r="F17" s="77" t="str">
        <f>_xll.qlSimpleQuote(Currency&amp;$C17&amp;$D17&amp;$B17&amp;QuoteSuffix,,RateTickValue,Permanent,Trigger,ObjectOverwrite)</f>
        <v>USDAM6L12Y_Quote#0021</v>
      </c>
      <c r="G17" s="76" t="str">
        <f>_xll.ohRangeRetrieveError(F17)</f>
        <v/>
      </c>
      <c r="H17" s="49"/>
    </row>
    <row r="18" spans="1:8" x14ac:dyDescent="0.2">
      <c r="A18" s="124"/>
      <c r="B18" s="219" t="s">
        <v>97</v>
      </c>
      <c r="C18" s="79" t="str">
        <v>AM</v>
      </c>
      <c r="D18" s="79" t="str">
        <v>6L</v>
      </c>
      <c r="E18" s="77" t="str">
        <f t="shared" si="0"/>
        <v>USDAM6L13Y_Quote</v>
      </c>
      <c r="F18" s="77" t="str">
        <f>_xll.qlSimpleQuote(Currency&amp;$C18&amp;$D18&amp;$B18&amp;QuoteSuffix,,RateTickValue,Permanent,Trigger,ObjectOverwrite)</f>
        <v>USDAM6L13Y_Quote#0021</v>
      </c>
      <c r="G18" s="76" t="str">
        <f>_xll.ohRangeRetrieveError(F18)</f>
        <v/>
      </c>
      <c r="H18" s="49"/>
    </row>
    <row r="19" spans="1:8" x14ac:dyDescent="0.2">
      <c r="A19" s="124"/>
      <c r="B19" s="219" t="s">
        <v>96</v>
      </c>
      <c r="C19" s="79" t="str">
        <v>AM</v>
      </c>
      <c r="D19" s="79" t="str">
        <v>6L</v>
      </c>
      <c r="E19" s="77" t="str">
        <f t="shared" si="0"/>
        <v>USDAM6L14Y_Quote</v>
      </c>
      <c r="F19" s="77" t="str">
        <f>_xll.qlSimpleQuote(Currency&amp;$C19&amp;$D19&amp;$B19&amp;QuoteSuffix,,RateTickValue,Permanent,Trigger,ObjectOverwrite)</f>
        <v>USDAM6L14Y_Quote#0021</v>
      </c>
      <c r="G19" s="76" t="str">
        <f>_xll.ohRangeRetrieveError(F19)</f>
        <v/>
      </c>
      <c r="H19" s="49"/>
    </row>
    <row r="20" spans="1:8" x14ac:dyDescent="0.2">
      <c r="A20" s="124"/>
      <c r="B20" s="219" t="s">
        <v>95</v>
      </c>
      <c r="C20" s="79" t="str">
        <v>AM</v>
      </c>
      <c r="D20" s="79" t="str">
        <v>6L</v>
      </c>
      <c r="E20" s="77" t="str">
        <f t="shared" si="0"/>
        <v>USDAM6L15Y_Quote</v>
      </c>
      <c r="F20" s="77" t="str">
        <f>_xll.qlSimpleQuote(Currency&amp;$C20&amp;$D20&amp;$B20&amp;QuoteSuffix,,RateTickValue,Permanent,Trigger,ObjectOverwrite)</f>
        <v>USDAM6L15Y_Quote#0021</v>
      </c>
      <c r="G20" s="76" t="str">
        <f>_xll.ohRangeRetrieveError(F20)</f>
        <v/>
      </c>
      <c r="H20" s="49"/>
    </row>
    <row r="21" spans="1:8" x14ac:dyDescent="0.2">
      <c r="A21" s="124"/>
      <c r="B21" s="219" t="s">
        <v>94</v>
      </c>
      <c r="C21" s="79" t="str">
        <v>AM</v>
      </c>
      <c r="D21" s="79" t="str">
        <v>6L</v>
      </c>
      <c r="E21" s="77" t="str">
        <f t="shared" si="0"/>
        <v>USDAM6L16Y_Quote</v>
      </c>
      <c r="F21" s="77" t="str">
        <f>_xll.qlSimpleQuote(Currency&amp;$C21&amp;$D21&amp;$B21&amp;QuoteSuffix,,RateTickValue,Permanent,Trigger,ObjectOverwrite)</f>
        <v>USDAM6L16Y_Quote#0021</v>
      </c>
      <c r="G21" s="76" t="str">
        <f>_xll.ohRangeRetrieveError(F21)</f>
        <v/>
      </c>
      <c r="H21" s="49"/>
    </row>
    <row r="22" spans="1:8" x14ac:dyDescent="0.2">
      <c r="A22" s="124"/>
      <c r="B22" s="219" t="s">
        <v>93</v>
      </c>
      <c r="C22" s="79" t="str">
        <v>AM</v>
      </c>
      <c r="D22" s="79" t="str">
        <v>6L</v>
      </c>
      <c r="E22" s="77" t="str">
        <f t="shared" si="0"/>
        <v>USDAM6L17Y_Quote</v>
      </c>
      <c r="F22" s="77" t="str">
        <f>_xll.qlSimpleQuote(Currency&amp;$C22&amp;$D22&amp;$B22&amp;QuoteSuffix,,RateTickValue,Permanent,Trigger,ObjectOverwrite)</f>
        <v>USDAM6L17Y_Quote#0021</v>
      </c>
      <c r="G22" s="76" t="str">
        <f>_xll.ohRangeRetrieveError(F22)</f>
        <v/>
      </c>
      <c r="H22" s="49"/>
    </row>
    <row r="23" spans="1:8" x14ac:dyDescent="0.2">
      <c r="A23" s="124"/>
      <c r="B23" s="219" t="s">
        <v>92</v>
      </c>
      <c r="C23" s="79" t="str">
        <v>AM</v>
      </c>
      <c r="D23" s="79" t="str">
        <v>6L</v>
      </c>
      <c r="E23" s="77" t="str">
        <f t="shared" si="0"/>
        <v>USDAM6L18Y_Quote</v>
      </c>
      <c r="F23" s="77" t="str">
        <f>_xll.qlSimpleQuote(Currency&amp;$C23&amp;$D23&amp;$B23&amp;QuoteSuffix,,RateTickValue,Permanent,Trigger,ObjectOverwrite)</f>
        <v>USDAM6L18Y_Quote#0021</v>
      </c>
      <c r="G23" s="76" t="str">
        <f>_xll.ohRangeRetrieveError(F23)</f>
        <v/>
      </c>
      <c r="H23" s="49"/>
    </row>
    <row r="24" spans="1:8" x14ac:dyDescent="0.2">
      <c r="A24" s="124"/>
      <c r="B24" s="219" t="s">
        <v>91</v>
      </c>
      <c r="C24" s="79" t="str">
        <v>AM</v>
      </c>
      <c r="D24" s="79" t="str">
        <v>6L</v>
      </c>
      <c r="E24" s="77" t="str">
        <f t="shared" si="0"/>
        <v>USDAM6L19Y_Quote</v>
      </c>
      <c r="F24" s="77" t="str">
        <f>_xll.qlSimpleQuote(Currency&amp;$C24&amp;$D24&amp;$B24&amp;QuoteSuffix,,RateTickValue,Permanent,Trigger,ObjectOverwrite)</f>
        <v>USDAM6L19Y_Quote#0021</v>
      </c>
      <c r="G24" s="76" t="str">
        <f>_xll.ohRangeRetrieveError(F24)</f>
        <v/>
      </c>
      <c r="H24" s="49"/>
    </row>
    <row r="25" spans="1:8" x14ac:dyDescent="0.2">
      <c r="A25" s="124"/>
      <c r="B25" s="219" t="s">
        <v>90</v>
      </c>
      <c r="C25" s="79" t="str">
        <v>AM</v>
      </c>
      <c r="D25" s="79" t="str">
        <v>6L</v>
      </c>
      <c r="E25" s="77" t="str">
        <f t="shared" si="0"/>
        <v>USDAM6L20Y_Quote</v>
      </c>
      <c r="F25" s="77" t="str">
        <f>_xll.qlSimpleQuote(Currency&amp;$C25&amp;$D25&amp;$B25&amp;QuoteSuffix,,RateTickValue,Permanent,Trigger,ObjectOverwrite)</f>
        <v>USDAM6L20Y_Quote#0021</v>
      </c>
      <c r="G25" s="76" t="str">
        <f>_xll.ohRangeRetrieveError(F25)</f>
        <v/>
      </c>
      <c r="H25" s="49"/>
    </row>
    <row r="26" spans="1:8" x14ac:dyDescent="0.2">
      <c r="A26" s="124"/>
      <c r="B26" s="219" t="s">
        <v>89</v>
      </c>
      <c r="C26" s="79" t="str">
        <v>AM</v>
      </c>
      <c r="D26" s="79" t="str">
        <v>6L</v>
      </c>
      <c r="E26" s="77" t="str">
        <f t="shared" si="0"/>
        <v>USDAM6L21Y_Quote</v>
      </c>
      <c r="F26" s="77" t="str">
        <f>_xll.qlSimpleQuote(Currency&amp;$C26&amp;$D26&amp;$B26&amp;QuoteSuffix,,RateTickValue,Permanent,Trigger,ObjectOverwrite)</f>
        <v>USDAM6L21Y_Quote#0021</v>
      </c>
      <c r="G26" s="76" t="str">
        <f>_xll.ohRangeRetrieveError(F26)</f>
        <v/>
      </c>
      <c r="H26" s="49"/>
    </row>
    <row r="27" spans="1:8" x14ac:dyDescent="0.2">
      <c r="A27" s="124"/>
      <c r="B27" s="219" t="s">
        <v>88</v>
      </c>
      <c r="C27" s="79" t="str">
        <v>AM</v>
      </c>
      <c r="D27" s="79" t="str">
        <v>6L</v>
      </c>
      <c r="E27" s="77" t="str">
        <f t="shared" si="0"/>
        <v>USDAM6L22Y_Quote</v>
      </c>
      <c r="F27" s="77" t="str">
        <f>_xll.qlSimpleQuote(Currency&amp;$C27&amp;$D27&amp;$B27&amp;QuoteSuffix,,RateTickValue,Permanent,Trigger,ObjectOverwrite)</f>
        <v>USDAM6L22Y_Quote#0021</v>
      </c>
      <c r="G27" s="76" t="str">
        <f>_xll.ohRangeRetrieveError(F27)</f>
        <v/>
      </c>
      <c r="H27" s="49"/>
    </row>
    <row r="28" spans="1:8" x14ac:dyDescent="0.2">
      <c r="A28" s="124"/>
      <c r="B28" s="219" t="s">
        <v>87</v>
      </c>
      <c r="C28" s="79" t="str">
        <v>AM</v>
      </c>
      <c r="D28" s="79" t="str">
        <v>6L</v>
      </c>
      <c r="E28" s="77" t="str">
        <f t="shared" si="0"/>
        <v>USDAM6L23Y_Quote</v>
      </c>
      <c r="F28" s="77" t="str">
        <f>_xll.qlSimpleQuote(Currency&amp;$C28&amp;$D28&amp;$B28&amp;QuoteSuffix,,RateTickValue,Permanent,Trigger,ObjectOverwrite)</f>
        <v>USDAM6L23Y_Quote#0021</v>
      </c>
      <c r="G28" s="76" t="str">
        <f>_xll.ohRangeRetrieveError(F28)</f>
        <v/>
      </c>
      <c r="H28" s="49"/>
    </row>
    <row r="29" spans="1:8" x14ac:dyDescent="0.2">
      <c r="A29" s="124"/>
      <c r="B29" s="219" t="s">
        <v>86</v>
      </c>
      <c r="C29" s="79" t="str">
        <v>AM</v>
      </c>
      <c r="D29" s="79" t="str">
        <v>6L</v>
      </c>
      <c r="E29" s="77" t="str">
        <f t="shared" si="0"/>
        <v>USDAM6L24Y_Quote</v>
      </c>
      <c r="F29" s="77" t="str">
        <f>_xll.qlSimpleQuote(Currency&amp;$C29&amp;$D29&amp;$B29&amp;QuoteSuffix,,RateTickValue,Permanent,Trigger,ObjectOverwrite)</f>
        <v>USDAM6L24Y_Quote#0021</v>
      </c>
      <c r="G29" s="76" t="str">
        <f>_xll.ohRangeRetrieveError(F29)</f>
        <v/>
      </c>
      <c r="H29" s="49"/>
    </row>
    <row r="30" spans="1:8" x14ac:dyDescent="0.2">
      <c r="A30" s="124"/>
      <c r="B30" s="219" t="s">
        <v>85</v>
      </c>
      <c r="C30" s="79" t="str">
        <v>AM</v>
      </c>
      <c r="D30" s="79" t="str">
        <v>6L</v>
      </c>
      <c r="E30" s="77" t="str">
        <f t="shared" si="0"/>
        <v>USDAM6L25Y_Quote</v>
      </c>
      <c r="F30" s="77" t="str">
        <f>_xll.qlSimpleQuote(Currency&amp;$C30&amp;$D30&amp;$B30&amp;QuoteSuffix,,RateTickValue,Permanent,Trigger,ObjectOverwrite)</f>
        <v>USDAM6L25Y_Quote#0021</v>
      </c>
      <c r="G30" s="76" t="str">
        <f>_xll.ohRangeRetrieveError(F30)</f>
        <v/>
      </c>
      <c r="H30" s="49"/>
    </row>
    <row r="31" spans="1:8" x14ac:dyDescent="0.2">
      <c r="A31" s="124"/>
      <c r="B31" s="219" t="s">
        <v>84</v>
      </c>
      <c r="C31" s="79" t="str">
        <v>AM</v>
      </c>
      <c r="D31" s="79" t="str">
        <v>6L</v>
      </c>
      <c r="E31" s="77" t="str">
        <f t="shared" si="0"/>
        <v>USDAM6L26Y_Quote</v>
      </c>
      <c r="F31" s="77" t="str">
        <f>_xll.qlSimpleQuote(Currency&amp;$C31&amp;$D31&amp;$B31&amp;QuoteSuffix,,RateTickValue,Permanent,Trigger,ObjectOverwrite)</f>
        <v>USDAM6L26Y_Quote#0021</v>
      </c>
      <c r="G31" s="76" t="str">
        <f>_xll.ohRangeRetrieveError(F31)</f>
        <v/>
      </c>
      <c r="H31" s="49"/>
    </row>
    <row r="32" spans="1:8" x14ac:dyDescent="0.2">
      <c r="A32" s="124"/>
      <c r="B32" s="219" t="s">
        <v>83</v>
      </c>
      <c r="C32" s="79" t="str">
        <v>AM</v>
      </c>
      <c r="D32" s="79" t="str">
        <v>6L</v>
      </c>
      <c r="E32" s="77" t="str">
        <f t="shared" si="0"/>
        <v>USDAM6L27Y_Quote</v>
      </c>
      <c r="F32" s="77" t="str">
        <f>_xll.qlSimpleQuote(Currency&amp;$C32&amp;$D32&amp;$B32&amp;QuoteSuffix,,RateTickValue,Permanent,Trigger,ObjectOverwrite)</f>
        <v>USDAM6L27Y_Quote#0021</v>
      </c>
      <c r="G32" s="76" t="str">
        <f>_xll.ohRangeRetrieveError(F32)</f>
        <v/>
      </c>
      <c r="H32" s="49"/>
    </row>
    <row r="33" spans="1:8" x14ac:dyDescent="0.2">
      <c r="A33" s="124"/>
      <c r="B33" s="219" t="s">
        <v>82</v>
      </c>
      <c r="C33" s="79" t="str">
        <v>AM</v>
      </c>
      <c r="D33" s="79" t="str">
        <v>6L</v>
      </c>
      <c r="E33" s="77" t="str">
        <f t="shared" si="0"/>
        <v>USDAM6L28Y_Quote</v>
      </c>
      <c r="F33" s="77" t="str">
        <f>_xll.qlSimpleQuote(Currency&amp;$C33&amp;$D33&amp;$B33&amp;QuoteSuffix,,RateTickValue,Permanent,Trigger,ObjectOverwrite)</f>
        <v>USDAM6L28Y_Quote#0021</v>
      </c>
      <c r="G33" s="76" t="str">
        <f>_xll.ohRangeRetrieveError(F33)</f>
        <v/>
      </c>
      <c r="H33" s="49"/>
    </row>
    <row r="34" spans="1:8" x14ac:dyDescent="0.2">
      <c r="A34" s="124"/>
      <c r="B34" s="219" t="s">
        <v>81</v>
      </c>
      <c r="C34" s="79" t="str">
        <v>AM</v>
      </c>
      <c r="D34" s="79" t="str">
        <v>6L</v>
      </c>
      <c r="E34" s="77" t="str">
        <f t="shared" si="0"/>
        <v>USDAM6L29Y_Quote</v>
      </c>
      <c r="F34" s="77" t="str">
        <f>_xll.qlSimpleQuote(Currency&amp;$C34&amp;$D34&amp;$B34&amp;QuoteSuffix,,RateTickValue,Permanent,Trigger,ObjectOverwrite)</f>
        <v>USDAM6L29Y_Quote#0021</v>
      </c>
      <c r="G34" s="76" t="str">
        <f>_xll.ohRangeRetrieveError(F34)</f>
        <v/>
      </c>
      <c r="H34" s="49"/>
    </row>
    <row r="35" spans="1:8" x14ac:dyDescent="0.2">
      <c r="A35" s="124"/>
      <c r="B35" s="219" t="s">
        <v>80</v>
      </c>
      <c r="C35" s="79" t="str">
        <v>AM</v>
      </c>
      <c r="D35" s="79" t="str">
        <v>6L</v>
      </c>
      <c r="E35" s="77" t="str">
        <f t="shared" si="0"/>
        <v>USDAM6L30Y_Quote</v>
      </c>
      <c r="F35" s="77" t="str">
        <f>_xll.qlSimpleQuote(Currency&amp;$C35&amp;$D35&amp;$B35&amp;QuoteSuffix,,RateTickValue,Permanent,Trigger,ObjectOverwrite)</f>
        <v>USDAM6L30Y_Quote#0021</v>
      </c>
      <c r="G35" s="76" t="str">
        <f>_xll.ohRangeRetrieveError(F35)</f>
        <v/>
      </c>
      <c r="H35" s="49"/>
    </row>
    <row r="36" spans="1:8" x14ac:dyDescent="0.2">
      <c r="A36" s="124"/>
      <c r="B36" s="219" t="s">
        <v>75</v>
      </c>
      <c r="C36" s="79" t="str">
        <v>AM</v>
      </c>
      <c r="D36" s="79" t="str">
        <v>6L</v>
      </c>
      <c r="E36" s="77" t="str">
        <f t="shared" si="0"/>
        <v>USDAM6L35Y_Quote</v>
      </c>
      <c r="F36" s="77" t="str">
        <f>_xll.qlSimpleQuote(Currency&amp;$C36&amp;$D36&amp;$B36&amp;QuoteSuffix,,RateTickValue,Permanent,Trigger,ObjectOverwrite)</f>
        <v>USDAM6L35Y_Quote#0021</v>
      </c>
      <c r="G36" s="76" t="str">
        <f>_xll.ohRangeRetrieveError(F36)</f>
        <v/>
      </c>
      <c r="H36" s="49"/>
    </row>
    <row r="37" spans="1:8" x14ac:dyDescent="0.2">
      <c r="A37" s="124"/>
      <c r="B37" s="219" t="s">
        <v>70</v>
      </c>
      <c r="C37" s="79" t="str">
        <v>AM</v>
      </c>
      <c r="D37" s="79" t="str">
        <v>6L</v>
      </c>
      <c r="E37" s="77" t="str">
        <f t="shared" si="0"/>
        <v>USDAM6L40Y_Quote</v>
      </c>
      <c r="F37" s="77" t="str">
        <f>_xll.qlSimpleQuote(Currency&amp;$C37&amp;$D37&amp;$B37&amp;QuoteSuffix,,RateTickValue,Permanent,Trigger,ObjectOverwrite)</f>
        <v>USDAM6L40Y_Quote#0021</v>
      </c>
      <c r="G37" s="76" t="str">
        <f>_xll.ohRangeRetrieveError(F37)</f>
        <v/>
      </c>
      <c r="H37" s="49"/>
    </row>
    <row r="38" spans="1:8" x14ac:dyDescent="0.2">
      <c r="A38" s="124"/>
      <c r="B38" s="219" t="s">
        <v>60</v>
      </c>
      <c r="C38" s="79" t="str">
        <v>AM</v>
      </c>
      <c r="D38" s="79" t="str">
        <v>6L</v>
      </c>
      <c r="E38" s="77" t="str">
        <f t="shared" si="0"/>
        <v>USDAM6L50Y_Quote</v>
      </c>
      <c r="F38" s="77" t="str">
        <f>_xll.qlSimpleQuote(Currency&amp;$C38&amp;$D38&amp;$B38&amp;QuoteSuffix,,RateTickValue,Permanent,Trigger,ObjectOverwrite)</f>
        <v>USDAM6L50Y_Quote#0021</v>
      </c>
      <c r="G38" s="76" t="str">
        <f>_xll.ohRangeRetrieveError(F38)</f>
        <v/>
      </c>
      <c r="H38" s="49"/>
    </row>
    <row r="39" spans="1:8" x14ac:dyDescent="0.2">
      <c r="A39" s="124"/>
      <c r="B39" s="219" t="s">
        <v>50</v>
      </c>
      <c r="C39" s="79" t="str">
        <v>AM</v>
      </c>
      <c r="D39" s="79" t="str">
        <v>6L</v>
      </c>
      <c r="E39" s="77" t="str">
        <f t="shared" si="0"/>
        <v>USDAM6L60Y_Quote</v>
      </c>
      <c r="F39" s="77" t="str">
        <f>_xll.qlSimpleQuote(Currency&amp;$C39&amp;$D39&amp;$B39&amp;QuoteSuffix,,RateTickValue,Permanent,Trigger,ObjectOverwrite)</f>
        <v>USDAM6L60Y_Quote#0021</v>
      </c>
      <c r="G39" s="76" t="str">
        <f>_xll.ohRangeRetrieveError(F39)</f>
        <v/>
      </c>
      <c r="H39" s="49"/>
    </row>
    <row r="40" spans="1:8" ht="12" thickBot="1" x14ac:dyDescent="0.25">
      <c r="A40" s="218"/>
      <c r="B40" s="217"/>
      <c r="C40" s="217"/>
      <c r="D40" s="217"/>
      <c r="E40" s="217"/>
      <c r="F40" s="217"/>
      <c r="G40" s="217"/>
      <c r="H40" s="46"/>
    </row>
  </sheetData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18"/>
  <sheetViews>
    <sheetView workbookViewId="0"/>
  </sheetViews>
  <sheetFormatPr defaultColWidth="8" defaultRowHeight="11.25" x14ac:dyDescent="0.2"/>
  <cols>
    <col min="1" max="1" width="3.28515625" style="167" customWidth="1"/>
    <col min="2" max="2" width="4.28515625" style="167" customWidth="1"/>
    <col min="3" max="3" width="15.5703125" style="167" bestFit="1" customWidth="1"/>
    <col min="4" max="4" width="101.42578125" style="167" bestFit="1" customWidth="1"/>
    <col min="5" max="5" width="3.7109375" style="167" customWidth="1"/>
    <col min="6" max="6" width="35.28515625" style="167" customWidth="1"/>
    <col min="7" max="7" width="4.28515625" style="167" customWidth="1"/>
    <col min="8" max="16384" width="8" style="167"/>
  </cols>
  <sheetData>
    <row r="1" spans="1:5" ht="13.5" thickBot="1" x14ac:dyDescent="0.25">
      <c r="A1" s="167" t="s">
        <v>218</v>
      </c>
      <c r="B1" s="168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69" t="s">
        <v>145</v>
      </c>
      <c r="C2" s="270"/>
      <c r="D2" s="270"/>
      <c r="E2" s="271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269" t="s">
        <v>144</v>
      </c>
      <c r="C12" s="270"/>
      <c r="D12" s="270"/>
      <c r="E12" s="271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3">
        <v>1E-4</v>
      </c>
      <c r="E16" s="14"/>
    </row>
    <row r="17" spans="2:5" x14ac:dyDescent="0.2">
      <c r="B17" s="9"/>
      <c r="C17" s="16" t="s">
        <v>140</v>
      </c>
      <c r="D17" s="102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5" style="105" customWidth="1"/>
    <col min="2" max="2" width="6.140625" style="105" bestFit="1" customWidth="1"/>
    <col min="3" max="3" width="25.425781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1</v>
      </c>
      <c r="C1" s="234" t="s">
        <v>221</v>
      </c>
      <c r="D1" s="233"/>
      <c r="E1" s="233"/>
      <c r="F1" s="232"/>
    </row>
    <row r="2" spans="1:6" x14ac:dyDescent="0.2">
      <c r="A2" s="124"/>
      <c r="B2" s="231"/>
      <c r="C2" s="230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5"/>
    </row>
    <row r="3" spans="1:6" x14ac:dyDescent="0.2">
      <c r="A3" s="124"/>
      <c r="B3" s="229" t="s">
        <v>220</v>
      </c>
      <c r="C3" s="127" t="str">
        <f>Currency&amp;$B3&amp;"_SYNTH"&amp;Tenor&amp;QuoteSuffix</f>
        <v>USDTOY_SYNTHON_Quote</v>
      </c>
      <c r="D3" s="129" t="str">
        <f>_xll.qlSimpleQuote(C3,1,RateTickValue,Permanent,Trigger,ObjectOverwrite)</f>
        <v>USDTOY_SYNTHON_Quote#0021</v>
      </c>
      <c r="E3" s="228" t="str">
        <f>_xll.ohRangeRetrieveError(D3)</f>
        <v/>
      </c>
      <c r="F3" s="225"/>
    </row>
    <row r="4" spans="1:6" x14ac:dyDescent="0.2">
      <c r="A4" s="124"/>
      <c r="B4" s="227" t="s">
        <v>219</v>
      </c>
      <c r="C4" s="120" t="str">
        <f>Currency&amp;$B4&amp;"_SYNTH"&amp;Tenor&amp;QuoteSuffix</f>
        <v>USDTOY2_SYNTHON_Quote</v>
      </c>
      <c r="D4" s="125" t="str">
        <f>_xll.qlSimpleQuote(C4,1,RateTickValue,Permanent,Trigger,ObjectOverwrite)</f>
        <v>USDTOY2_SYNTHON_Quote#0021</v>
      </c>
      <c r="E4" s="226" t="str">
        <f>_xll.ohRangeRetrieveError(D4)</f>
        <v/>
      </c>
      <c r="F4" s="225"/>
    </row>
    <row r="5" spans="1:6" ht="12" thickBot="1" x14ac:dyDescent="0.25">
      <c r="A5" s="48"/>
      <c r="B5" s="47"/>
      <c r="C5" s="47"/>
      <c r="D5" s="47"/>
      <c r="E5" s="47"/>
      <c r="F5" s="46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2"/>
  <sheetViews>
    <sheetView workbookViewId="0"/>
  </sheetViews>
  <sheetFormatPr defaultRowHeight="11.25" x14ac:dyDescent="0.2"/>
  <cols>
    <col min="1" max="1" width="5" style="105" customWidth="1"/>
    <col min="2" max="2" width="6.140625" style="105" bestFit="1" customWidth="1"/>
    <col min="3" max="3" width="25.425781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1</v>
      </c>
      <c r="C1" s="234" t="str">
        <f>_xll.qlPeriodEquivalent(Months&amp;"M")</f>
        <v>1M</v>
      </c>
      <c r="D1" s="233"/>
      <c r="E1" s="233"/>
      <c r="F1" s="232"/>
    </row>
    <row r="2" spans="1:6" x14ac:dyDescent="0.2">
      <c r="A2" s="124"/>
      <c r="B2" s="231"/>
      <c r="C2" s="230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5"/>
    </row>
    <row r="3" spans="1:6" x14ac:dyDescent="0.2">
      <c r="A3" s="124"/>
      <c r="B3" s="237" t="s">
        <v>164</v>
      </c>
      <c r="C3" s="131" t="str">
        <f t="shared" ref="C3:C11" si="0">Currency&amp;$B3&amp;"_SYNTH"&amp;Tenor&amp;QuoteSuffix</f>
        <v>USDOND_SYNTH1M_Quote</v>
      </c>
      <c r="D3" s="133" t="str">
        <f>_xll.qlSimpleQuote(C3,,RateTickValue,Permanent,Trigger,ObjectOverwrite)</f>
        <v>USDOND_SYNTH1M_Quote#0021</v>
      </c>
      <c r="E3" s="235" t="str">
        <f>_xll.ohRangeRetrieveError(D3)</f>
        <v/>
      </c>
      <c r="F3" s="225"/>
    </row>
    <row r="4" spans="1:6" x14ac:dyDescent="0.2">
      <c r="A4" s="124"/>
      <c r="B4" s="237" t="s">
        <v>163</v>
      </c>
      <c r="C4" s="131" t="str">
        <f t="shared" si="0"/>
        <v>USDTND_SYNTH1M_Quote</v>
      </c>
      <c r="D4" s="133" t="str">
        <f>_xll.qlSimpleQuote(C4,,RateTickValue,Permanent,Trigger,ObjectOverwrite)</f>
        <v>USDTND_SYNTH1M_Quote#0021</v>
      </c>
      <c r="E4" s="235" t="str">
        <f>_xll.ohRangeRetrieveError(D4)</f>
        <v/>
      </c>
      <c r="F4" s="225"/>
    </row>
    <row r="5" spans="1:6" x14ac:dyDescent="0.2">
      <c r="A5" s="124"/>
      <c r="B5" s="237" t="s">
        <v>162</v>
      </c>
      <c r="C5" s="131" t="str">
        <f t="shared" si="0"/>
        <v>USDSND_SYNTH1M_Quote</v>
      </c>
      <c r="D5" s="133" t="str">
        <f>_xll.qlSimpleQuote(C5,,RateTickValue,Permanent,Trigger,ObjectOverwrite)</f>
        <v>USDSND_SYNTH1M_Quote#0021</v>
      </c>
      <c r="E5" s="235" t="str">
        <f>_xll.ohRangeRetrieveError(D5)</f>
        <v/>
      </c>
      <c r="F5" s="225"/>
    </row>
    <row r="6" spans="1:6" x14ac:dyDescent="0.2">
      <c r="A6" s="124"/>
      <c r="B6" s="237" t="s">
        <v>161</v>
      </c>
      <c r="C6" s="131" t="str">
        <f t="shared" si="0"/>
        <v>USDSWD_SYNTH1M_Quote</v>
      </c>
      <c r="D6" s="133" t="str">
        <f>_xll.qlSimpleQuote(C6,,RateTickValue,Permanent,Trigger,ObjectOverwrite)</f>
        <v>USDSWD_SYNTH1M_Quote#0021</v>
      </c>
      <c r="E6" s="235" t="str">
        <f>_xll.ohRangeRetrieveError(D6)</f>
        <v/>
      </c>
      <c r="F6" s="225"/>
    </row>
    <row r="7" spans="1:6" x14ac:dyDescent="0.2">
      <c r="A7" s="124"/>
      <c r="B7" s="237" t="s">
        <v>160</v>
      </c>
      <c r="C7" s="131" t="str">
        <f t="shared" si="0"/>
        <v>USD2WD_SYNTH1M_Quote</v>
      </c>
      <c r="D7" s="133" t="str">
        <f>_xll.qlSimpleQuote(C7,,RateTickValue,Permanent,Trigger,ObjectOverwrite)</f>
        <v>USD2WD_SYNTH1M_Quote#0021</v>
      </c>
      <c r="E7" s="235" t="str">
        <f>_xll.ohRangeRetrieveError(D7)</f>
        <v/>
      </c>
      <c r="F7" s="225"/>
    </row>
    <row r="8" spans="1:6" x14ac:dyDescent="0.2">
      <c r="A8" s="124"/>
      <c r="B8" s="237" t="s">
        <v>159</v>
      </c>
      <c r="C8" s="131" t="str">
        <f t="shared" si="0"/>
        <v>USD3WD_SYNTH1M_Quote</v>
      </c>
      <c r="D8" s="133" t="str">
        <f>_xll.qlSimpleQuote(C8,,RateTickValue,Permanent,Trigger,ObjectOverwrite)</f>
        <v>USD3WD_SYNTH1M_Quote#0021</v>
      </c>
      <c r="E8" s="235" t="str">
        <f>_xll.ohRangeRetrieveError(D8)</f>
        <v/>
      </c>
      <c r="F8" s="225"/>
    </row>
    <row r="9" spans="1:6" x14ac:dyDescent="0.2">
      <c r="A9" s="124"/>
      <c r="B9" s="236" t="s">
        <v>158</v>
      </c>
      <c r="C9" s="131" t="str">
        <f t="shared" si="0"/>
        <v>USD1MD_SYNTH1M_Quote</v>
      </c>
      <c r="D9" s="131" t="str">
        <f>_xll.qlSimpleQuote(C9,,RateTickValue,Permanent,Trigger,ObjectOverwrite)</f>
        <v>USD1MD_SYNTH1M_Quote#0021</v>
      </c>
      <c r="E9" s="235" t="str">
        <f>_xll.ohRangeRetrieveError(D9)</f>
        <v/>
      </c>
      <c r="F9" s="225"/>
    </row>
    <row r="10" spans="1:6" x14ac:dyDescent="0.2">
      <c r="A10" s="124"/>
      <c r="B10" s="229" t="s">
        <v>220</v>
      </c>
      <c r="C10" s="127" t="str">
        <f t="shared" si="0"/>
        <v>USDTOY_SYNTH1M_Quote</v>
      </c>
      <c r="D10" s="129" t="str">
        <f>_xll.qlSimpleQuote(C10,1,RateTickValue,Permanent,Trigger,ObjectOverwrite)</f>
        <v>USDTOY_SYNTH1M_Quote#0021</v>
      </c>
      <c r="E10" s="228" t="str">
        <f>_xll.ohRangeRetrieveError(D10)</f>
        <v/>
      </c>
      <c r="F10" s="225"/>
    </row>
    <row r="11" spans="1:6" x14ac:dyDescent="0.2">
      <c r="A11" s="124"/>
      <c r="B11" s="227" t="s">
        <v>219</v>
      </c>
      <c r="C11" s="120" t="str">
        <f t="shared" si="0"/>
        <v>USDTOY2_SYNTH1M_Quote</v>
      </c>
      <c r="D11" s="125" t="str">
        <f>_xll.qlSimpleQuote(C11,1,RateTickValue,Permanent,Trigger,ObjectOverwrite)</f>
        <v>USDTOY2_SYNTH1M_Quote#0021</v>
      </c>
      <c r="E11" s="226" t="str">
        <f>_xll.ohRangeRetrieveError(D11)</f>
        <v/>
      </c>
      <c r="F11" s="225"/>
    </row>
    <row r="12" spans="1:6" ht="12" thickBot="1" x14ac:dyDescent="0.25">
      <c r="A12" s="48"/>
      <c r="B12" s="47"/>
      <c r="C12" s="47"/>
      <c r="D12" s="47"/>
      <c r="E12" s="47"/>
      <c r="F12" s="46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5" style="105" customWidth="1"/>
    <col min="2" max="2" width="6.140625" style="105" bestFit="1" customWidth="1"/>
    <col min="3" max="3" width="25.425781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3</v>
      </c>
      <c r="C1" s="234" t="str">
        <f>_xll.qlPeriodEquivalent(Months&amp;"M")</f>
        <v>3M</v>
      </c>
      <c r="D1" s="233"/>
      <c r="E1" s="233"/>
      <c r="F1" s="232"/>
    </row>
    <row r="2" spans="1:6" x14ac:dyDescent="0.2">
      <c r="A2" s="124"/>
      <c r="B2" s="243"/>
      <c r="C2" s="230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5"/>
    </row>
    <row r="3" spans="1:6" x14ac:dyDescent="0.2">
      <c r="A3" s="124"/>
      <c r="B3" s="237" t="s">
        <v>164</v>
      </c>
      <c r="C3" s="131" t="str">
        <f t="shared" ref="C3:C13" si="0">Currency&amp;$B3&amp;"_SYNTH"&amp;Tenor&amp;QuoteSuffix</f>
        <v>USDOND_SYNTH3M_Quote</v>
      </c>
      <c r="D3" s="131" t="str">
        <f>_xll.qlSimpleQuote(C3,,RateTickValue,Permanent,Trigger,ObjectOverwrite)</f>
        <v>USDOND_SYNTH3M_Quote#0021</v>
      </c>
      <c r="E3" s="242" t="str">
        <f>_xll.ohRangeRetrieveError(D3)</f>
        <v/>
      </c>
      <c r="F3" s="225"/>
    </row>
    <row r="4" spans="1:6" x14ac:dyDescent="0.2">
      <c r="A4" s="124"/>
      <c r="B4" s="237" t="s">
        <v>163</v>
      </c>
      <c r="C4" s="131" t="str">
        <f t="shared" si="0"/>
        <v>USDTND_SYNTH3M_Quote</v>
      </c>
      <c r="D4" s="131" t="str">
        <f>_xll.qlSimpleQuote(C4,,RateTickValue,Permanent,Trigger,ObjectOverwrite)</f>
        <v>USDTND_SYNTH3M_Quote#0021</v>
      </c>
      <c r="E4" s="242" t="str">
        <f>_xll.ohRangeRetrieveError(D4)</f>
        <v/>
      </c>
      <c r="F4" s="225"/>
    </row>
    <row r="5" spans="1:6" x14ac:dyDescent="0.2">
      <c r="A5" s="124"/>
      <c r="B5" s="236" t="s">
        <v>162</v>
      </c>
      <c r="C5" s="131" t="str">
        <f t="shared" si="0"/>
        <v>USDSND_SYNTH3M_Quote</v>
      </c>
      <c r="D5" s="131" t="str">
        <f>_xll.qlSimpleQuote(C5,,RateTickValue,Permanent,Trigger,ObjectOverwrite)</f>
        <v>USDSND_SYNTH3M_Quote#0021</v>
      </c>
      <c r="E5" s="242" t="str">
        <f>_xll.ohRangeRetrieveError(D5)</f>
        <v/>
      </c>
      <c r="F5" s="225"/>
    </row>
    <row r="6" spans="1:6" x14ac:dyDescent="0.2">
      <c r="A6" s="124"/>
      <c r="B6" s="236" t="s">
        <v>161</v>
      </c>
      <c r="C6" s="131" t="str">
        <f t="shared" si="0"/>
        <v>USDSWD_SYNTH3M_Quote</v>
      </c>
      <c r="D6" s="131" t="str">
        <f>_xll.qlSimpleQuote(C6,,RateTickValue,Permanent,Trigger,ObjectOverwrite)</f>
        <v>USDSWD_SYNTH3M_Quote#0021</v>
      </c>
      <c r="E6" s="242" t="str">
        <f>_xll.ohRangeRetrieveError(D6)</f>
        <v/>
      </c>
      <c r="F6" s="225"/>
    </row>
    <row r="7" spans="1:6" x14ac:dyDescent="0.2">
      <c r="A7" s="124"/>
      <c r="B7" s="236" t="s">
        <v>160</v>
      </c>
      <c r="C7" s="131" t="str">
        <f t="shared" si="0"/>
        <v>USD2WD_SYNTH3M_Quote</v>
      </c>
      <c r="D7" s="131" t="str">
        <f>_xll.qlSimpleQuote(C7,,RateTickValue,Permanent,Trigger,ObjectOverwrite)</f>
        <v>USD2WD_SYNTH3M_Quote#0021</v>
      </c>
      <c r="E7" s="242" t="str">
        <f>_xll.ohRangeRetrieveError(D7)</f>
        <v/>
      </c>
      <c r="F7" s="225"/>
    </row>
    <row r="8" spans="1:6" x14ac:dyDescent="0.2">
      <c r="A8" s="124"/>
      <c r="B8" s="236" t="s">
        <v>159</v>
      </c>
      <c r="C8" s="131" t="str">
        <f t="shared" si="0"/>
        <v>USD3WD_SYNTH3M_Quote</v>
      </c>
      <c r="D8" s="131" t="str">
        <f>_xll.qlSimpleQuote(C8,,RateTickValue,Permanent,Trigger,ObjectOverwrite)</f>
        <v>USD3WD_SYNTH3M_Quote#0021</v>
      </c>
      <c r="E8" s="242" t="str">
        <f>_xll.ohRangeRetrieveError(D8)</f>
        <v/>
      </c>
      <c r="F8" s="225"/>
    </row>
    <row r="9" spans="1:6" x14ac:dyDescent="0.2">
      <c r="A9" s="124"/>
      <c r="B9" s="236" t="s">
        <v>158</v>
      </c>
      <c r="C9" s="131" t="str">
        <f t="shared" si="0"/>
        <v>USD1MD_SYNTH3M_Quote</v>
      </c>
      <c r="D9" s="131" t="str">
        <f>_xll.qlSimpleQuote(C9,,RateTickValue,Permanent,Trigger,ObjectOverwrite)</f>
        <v>USD1MD_SYNTH3M_Quote#0021</v>
      </c>
      <c r="E9" s="242" t="str">
        <f>_xll.ohRangeRetrieveError(D9)</f>
        <v/>
      </c>
      <c r="F9" s="225"/>
    </row>
    <row r="10" spans="1:6" x14ac:dyDescent="0.2">
      <c r="A10" s="124"/>
      <c r="B10" s="236" t="s">
        <v>157</v>
      </c>
      <c r="C10" s="131" t="str">
        <f t="shared" si="0"/>
        <v>USD2MD_SYNTH3M_Quote</v>
      </c>
      <c r="D10" s="131" t="str">
        <f>_xll.qlSimpleQuote(C10,,RateTickValue,Permanent,Trigger,ObjectOverwrite)</f>
        <v>USD2MD_SYNTH3M_Quote#0021</v>
      </c>
      <c r="E10" s="242" t="str">
        <f>_xll.ohRangeRetrieveError(D10)</f>
        <v/>
      </c>
      <c r="F10" s="225"/>
    </row>
    <row r="11" spans="1:6" x14ac:dyDescent="0.2">
      <c r="A11" s="124"/>
      <c r="B11" s="236" t="s">
        <v>156</v>
      </c>
      <c r="C11" s="131" t="str">
        <f t="shared" si="0"/>
        <v>USD3MD_SYNTH3M_Quote</v>
      </c>
      <c r="D11" s="131" t="str">
        <f>_xll.qlSimpleQuote(C11,,RateTickValue,Permanent,Trigger,ObjectOverwrite)</f>
        <v>USD3MD_SYNTH3M_Quote#0021</v>
      </c>
      <c r="E11" s="242" t="str">
        <f>_xll.ohRangeRetrieveError(D11)</f>
        <v/>
      </c>
      <c r="F11" s="225"/>
    </row>
    <row r="12" spans="1:6" x14ac:dyDescent="0.2">
      <c r="A12" s="124"/>
      <c r="B12" s="241" t="s">
        <v>220</v>
      </c>
      <c r="C12" s="127" t="str">
        <f t="shared" si="0"/>
        <v>USDTOY_SYNTH3M_Quote</v>
      </c>
      <c r="D12" s="127" t="str">
        <f>_xll.qlSimpleQuote(C12,1,RateTickValue,Permanent,Trigger,ObjectOverwrite)</f>
        <v>USDTOY_SYNTH3M_Quote#0021</v>
      </c>
      <c r="E12" s="240" t="str">
        <f>_xll.ohRangeRetrieveError(D12)</f>
        <v/>
      </c>
      <c r="F12" s="225"/>
    </row>
    <row r="13" spans="1:6" x14ac:dyDescent="0.2">
      <c r="A13" s="124"/>
      <c r="B13" s="239" t="s">
        <v>219</v>
      </c>
      <c r="C13" s="120" t="str">
        <f t="shared" si="0"/>
        <v>USDTOY2_SYNTH3M_Quote</v>
      </c>
      <c r="D13" s="120" t="str">
        <f>_xll.qlSimpleQuote(C13,1,RateTickValue,Permanent,Trigger,ObjectOverwrite)</f>
        <v>USDTOY2_SYNTH3M_Quote#0021</v>
      </c>
      <c r="E13" s="238" t="str">
        <f>_xll.ohRangeRetrieveError(D13)</f>
        <v/>
      </c>
      <c r="F13" s="225"/>
    </row>
    <row r="14" spans="1:6" ht="12" thickBot="1" x14ac:dyDescent="0.25">
      <c r="A14" s="48"/>
      <c r="B14" s="47"/>
      <c r="C14" s="47"/>
      <c r="D14" s="47"/>
      <c r="E14" s="47"/>
      <c r="F14" s="46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5" style="105" customWidth="1"/>
    <col min="2" max="2" width="7.28515625" style="105" bestFit="1" customWidth="1"/>
    <col min="3" max="3" width="25.425781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6</v>
      </c>
      <c r="C1" s="234" t="str">
        <f>_xll.qlPeriodEquivalent(Months&amp;"M")</f>
        <v>6M</v>
      </c>
      <c r="D1" s="233"/>
      <c r="E1" s="233"/>
      <c r="F1" s="232"/>
    </row>
    <row r="2" spans="1:6" x14ac:dyDescent="0.2">
      <c r="A2" s="124"/>
      <c r="B2" s="231"/>
      <c r="C2" s="230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5"/>
    </row>
    <row r="3" spans="1:6" x14ac:dyDescent="0.2">
      <c r="A3" s="124"/>
      <c r="B3" s="229" t="s">
        <v>164</v>
      </c>
      <c r="C3" s="127" t="str">
        <f t="shared" ref="C3:C16" si="0">Currency&amp;$B3&amp;"_SYNTH"&amp;Tenor&amp;QuoteSuffix</f>
        <v>USDOND_SYNTH6M_Quote</v>
      </c>
      <c r="D3" s="127" t="str">
        <f>_xll.qlSimpleQuote(C3,,RateTickValue,Permanent,Trigger,ObjectOverwrite)</f>
        <v>USDOND_SYNTH6M_Quote#0021</v>
      </c>
      <c r="E3" s="240" t="str">
        <f>_xll.ohRangeRetrieveError(D3)</f>
        <v/>
      </c>
      <c r="F3" s="225"/>
    </row>
    <row r="4" spans="1:6" x14ac:dyDescent="0.2">
      <c r="A4" s="124"/>
      <c r="B4" s="237" t="s">
        <v>163</v>
      </c>
      <c r="C4" s="131" t="str">
        <f t="shared" si="0"/>
        <v>USDTND_SYNTH6M_Quote</v>
      </c>
      <c r="D4" s="131" t="str">
        <f>_xll.qlSimpleQuote(C4,,RateTickValue,Permanent,Trigger,ObjectOverwrite)</f>
        <v>USDTND_SYNTH6M_Quote#0021</v>
      </c>
      <c r="E4" s="242" t="str">
        <f>_xll.ohRangeRetrieveError(D4)</f>
        <v/>
      </c>
      <c r="F4" s="225"/>
    </row>
    <row r="5" spans="1:6" x14ac:dyDescent="0.2">
      <c r="A5" s="124"/>
      <c r="B5" s="236" t="s">
        <v>162</v>
      </c>
      <c r="C5" s="131" t="str">
        <f t="shared" si="0"/>
        <v>USDSND_SYNTH6M_Quote</v>
      </c>
      <c r="D5" s="131" t="str">
        <f>_xll.qlSimpleQuote(C5,,RateTickValue,Permanent,Trigger,ObjectOverwrite)</f>
        <v>USDSND_SYNTH6M_Quote#0021</v>
      </c>
      <c r="E5" s="242" t="str">
        <f>_xll.ohRangeRetrieveError(D5)</f>
        <v/>
      </c>
      <c r="F5" s="225"/>
    </row>
    <row r="6" spans="1:6" x14ac:dyDescent="0.2">
      <c r="A6" s="124"/>
      <c r="B6" s="236" t="s">
        <v>161</v>
      </c>
      <c r="C6" s="131" t="str">
        <f t="shared" si="0"/>
        <v>USDSWD_SYNTH6M_Quote</v>
      </c>
      <c r="D6" s="131" t="str">
        <f>_xll.qlSimpleQuote(C6,,RateTickValue,Permanent,Trigger,ObjectOverwrite)</f>
        <v>USDSWD_SYNTH6M_Quote#0021</v>
      </c>
      <c r="E6" s="242" t="str">
        <f>_xll.ohRangeRetrieveError(D6)</f>
        <v/>
      </c>
      <c r="F6" s="225"/>
    </row>
    <row r="7" spans="1:6" x14ac:dyDescent="0.2">
      <c r="A7" s="124"/>
      <c r="B7" s="236" t="s">
        <v>160</v>
      </c>
      <c r="C7" s="131" t="str">
        <f t="shared" si="0"/>
        <v>USD2WD_SYNTH6M_Quote</v>
      </c>
      <c r="D7" s="131" t="str">
        <f>_xll.qlSimpleQuote(C7,,RateTickValue,Permanent,Trigger,ObjectOverwrite)</f>
        <v>USD2WD_SYNTH6M_Quote#0021</v>
      </c>
      <c r="E7" s="242" t="str">
        <f>_xll.ohRangeRetrieveError(D7)</f>
        <v/>
      </c>
      <c r="F7" s="225"/>
    </row>
    <row r="8" spans="1:6" x14ac:dyDescent="0.2">
      <c r="A8" s="124"/>
      <c r="B8" s="236" t="s">
        <v>159</v>
      </c>
      <c r="C8" s="131" t="str">
        <f t="shared" si="0"/>
        <v>USD3WD_SYNTH6M_Quote</v>
      </c>
      <c r="D8" s="131" t="str">
        <f>_xll.qlSimpleQuote(C8,,RateTickValue,Permanent,Trigger,ObjectOverwrite)</f>
        <v>USD3WD_SYNTH6M_Quote#0021</v>
      </c>
      <c r="E8" s="242" t="str">
        <f>_xll.ohRangeRetrieveError(D8)</f>
        <v/>
      </c>
      <c r="F8" s="225"/>
    </row>
    <row r="9" spans="1:6" x14ac:dyDescent="0.2">
      <c r="A9" s="124"/>
      <c r="B9" s="236" t="s">
        <v>158</v>
      </c>
      <c r="C9" s="131" t="str">
        <f t="shared" si="0"/>
        <v>USD1MD_SYNTH6M_Quote</v>
      </c>
      <c r="D9" s="131" t="str">
        <f>_xll.qlSimpleQuote(C9,,RateTickValue,Permanent,Trigger,ObjectOverwrite)</f>
        <v>USD1MD_SYNTH6M_Quote#0021</v>
      </c>
      <c r="E9" s="242" t="str">
        <f>_xll.ohRangeRetrieveError(D9)</f>
        <v/>
      </c>
      <c r="F9" s="225"/>
    </row>
    <row r="10" spans="1:6" x14ac:dyDescent="0.2">
      <c r="A10" s="124"/>
      <c r="B10" s="236" t="s">
        <v>157</v>
      </c>
      <c r="C10" s="131" t="str">
        <f t="shared" si="0"/>
        <v>USD2MD_SYNTH6M_Quote</v>
      </c>
      <c r="D10" s="131" t="str">
        <f>_xll.qlSimpleQuote(C10,,RateTickValue,Permanent,Trigger,ObjectOverwrite)</f>
        <v>USD2MD_SYNTH6M_Quote#0021</v>
      </c>
      <c r="E10" s="242" t="str">
        <f>_xll.ohRangeRetrieveError(D10)</f>
        <v/>
      </c>
      <c r="F10" s="225"/>
    </row>
    <row r="11" spans="1:6" x14ac:dyDescent="0.2">
      <c r="A11" s="124"/>
      <c r="B11" s="236" t="s">
        <v>156</v>
      </c>
      <c r="C11" s="131" t="str">
        <f t="shared" si="0"/>
        <v>USD3MD_SYNTH6M_Quote</v>
      </c>
      <c r="D11" s="131" t="str">
        <f>_xll.qlSimpleQuote(C11,,RateTickValue,Permanent,Trigger,ObjectOverwrite)</f>
        <v>USD3MD_SYNTH6M_Quote#0021</v>
      </c>
      <c r="E11" s="242" t="str">
        <f>_xll.ohRangeRetrieveError(D11)</f>
        <v/>
      </c>
      <c r="F11" s="225"/>
    </row>
    <row r="12" spans="1:6" x14ac:dyDescent="0.2">
      <c r="A12" s="124"/>
      <c r="B12" s="236" t="s">
        <v>155</v>
      </c>
      <c r="C12" s="131" t="str">
        <f t="shared" si="0"/>
        <v>USD4MD_SYNTH6M_Quote</v>
      </c>
      <c r="D12" s="131" t="str">
        <f>_xll.qlSimpleQuote(C12,,RateTickValue,Permanent,Trigger,ObjectOverwrite)</f>
        <v>USD4MD_SYNTH6M_Quote#0021</v>
      </c>
      <c r="E12" s="242" t="str">
        <f>_xll.ohRangeRetrieveError(D12)</f>
        <v/>
      </c>
      <c r="F12" s="225"/>
    </row>
    <row r="13" spans="1:6" x14ac:dyDescent="0.2">
      <c r="A13" s="124"/>
      <c r="B13" s="236" t="s">
        <v>154</v>
      </c>
      <c r="C13" s="131" t="str">
        <f t="shared" si="0"/>
        <v>USD5MD_SYNTH6M_Quote</v>
      </c>
      <c r="D13" s="131" t="str">
        <f>_xll.qlSimpleQuote(C13,,RateTickValue,Permanent,Trigger,ObjectOverwrite)</f>
        <v>USD5MD_SYNTH6M_Quote#0021</v>
      </c>
      <c r="E13" s="242" t="str">
        <f>_xll.ohRangeRetrieveError(D13)</f>
        <v/>
      </c>
      <c r="F13" s="225"/>
    </row>
    <row r="14" spans="1:6" x14ac:dyDescent="0.2">
      <c r="A14" s="124"/>
      <c r="B14" s="239" t="s">
        <v>153</v>
      </c>
      <c r="C14" s="120" t="str">
        <f t="shared" si="0"/>
        <v>USD6MD_SYNTH6M_Quote</v>
      </c>
      <c r="D14" s="120" t="str">
        <f>_xll.qlSimpleQuote(C14,,RateTickValue,Permanent,Trigger,ObjectOverwrite)</f>
        <v>USD6MD_SYNTH6M_Quote#0021</v>
      </c>
      <c r="E14" s="238" t="str">
        <f>_xll.ohRangeRetrieveError(D14)</f>
        <v/>
      </c>
      <c r="F14" s="225"/>
    </row>
    <row r="15" spans="1:6" x14ac:dyDescent="0.2">
      <c r="A15" s="124"/>
      <c r="B15" s="236" t="s">
        <v>220</v>
      </c>
      <c r="C15" s="131" t="str">
        <f t="shared" si="0"/>
        <v>USDTOY_SYNTH6M_Quote</v>
      </c>
      <c r="D15" s="131" t="str">
        <f>_xll.qlSimpleQuote(C15,1,RateTickValue,Permanent,Trigger,ObjectOverwrite)</f>
        <v>USDTOY_SYNTH6M_Quote#0021</v>
      </c>
      <c r="E15" s="242" t="str">
        <f>_xll.ohRangeRetrieveError(D15)</f>
        <v/>
      </c>
      <c r="F15" s="225"/>
    </row>
    <row r="16" spans="1:6" x14ac:dyDescent="0.2">
      <c r="A16" s="124"/>
      <c r="B16" s="239" t="s">
        <v>219</v>
      </c>
      <c r="C16" s="120" t="str">
        <f t="shared" si="0"/>
        <v>USDTOY2_SYNTH6M_Quote</v>
      </c>
      <c r="D16" s="120" t="str">
        <f>_xll.qlSimpleQuote(C16,1,RateTickValue,Permanent,Trigger,ObjectOverwrite)</f>
        <v>USDTOY2_SYNTH6M_Quote#0021</v>
      </c>
      <c r="E16" s="238" t="str">
        <f>_xll.ohRangeRetrieveError(D16)</f>
        <v/>
      </c>
      <c r="F16" s="225"/>
    </row>
    <row r="17" spans="1:6" ht="12" thickBot="1" x14ac:dyDescent="0.25">
      <c r="A17" s="48"/>
      <c r="B17" s="47"/>
      <c r="C17" s="47"/>
      <c r="D17" s="47"/>
      <c r="E17" s="47"/>
      <c r="F17" s="46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5" style="105" customWidth="1"/>
    <col min="2" max="2" width="6.140625" style="105" bestFit="1" customWidth="1"/>
    <col min="3" max="3" width="25.1406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12</v>
      </c>
      <c r="C1" s="234" t="str">
        <f>_xll.qlPeriodEquivalent(Months&amp;"M")</f>
        <v>1Y</v>
      </c>
      <c r="D1" s="233"/>
      <c r="E1" s="233"/>
      <c r="F1" s="232"/>
    </row>
    <row r="2" spans="1:6" x14ac:dyDescent="0.2">
      <c r="A2" s="124"/>
      <c r="B2" s="243"/>
      <c r="C2" s="230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5"/>
    </row>
    <row r="3" spans="1:6" x14ac:dyDescent="0.2">
      <c r="A3" s="124"/>
      <c r="B3" s="237" t="s">
        <v>164</v>
      </c>
      <c r="C3" s="131" t="str">
        <f t="shared" ref="C3:C34" si="0">Currency&amp;$B3&amp;"_SYNTH"&amp;Tenor&amp;QuoteSuffix</f>
        <v>USDOND_SYNTH1Y_Quote</v>
      </c>
      <c r="D3" s="131" t="str">
        <f>_xll.qlSimpleQuote(C3,,RateTickValue,Permanent,Trigger,ObjectOverwrite)</f>
        <v>USDOND_SYNTH1Y_Quote#0021</v>
      </c>
      <c r="E3" s="242" t="str">
        <f>_xll.ohRangeRetrieveError(D3)</f>
        <v/>
      </c>
      <c r="F3" s="225"/>
    </row>
    <row r="4" spans="1:6" x14ac:dyDescent="0.2">
      <c r="A4" s="124"/>
      <c r="B4" s="237" t="s">
        <v>163</v>
      </c>
      <c r="C4" s="131" t="str">
        <f t="shared" si="0"/>
        <v>USDTND_SYNTH1Y_Quote</v>
      </c>
      <c r="D4" s="131" t="str">
        <f>_xll.qlSimpleQuote(C4,,RateTickValue,Permanent,Trigger,ObjectOverwrite)</f>
        <v>USDTND_SYNTH1Y_Quote#0021</v>
      </c>
      <c r="E4" s="242" t="str">
        <f>_xll.ohRangeRetrieveError(D4)</f>
        <v/>
      </c>
      <c r="F4" s="225"/>
    </row>
    <row r="5" spans="1:6" x14ac:dyDescent="0.2">
      <c r="A5" s="124"/>
      <c r="B5" s="236" t="s">
        <v>162</v>
      </c>
      <c r="C5" s="131" t="str">
        <f t="shared" si="0"/>
        <v>USDSND_SYNTH1Y_Quote</v>
      </c>
      <c r="D5" s="131" t="str">
        <f>_xll.qlSimpleQuote(C5,,RateTickValue,Permanent,Trigger,ObjectOverwrite)</f>
        <v>USDSND_SYNTH1Y_Quote#0021</v>
      </c>
      <c r="E5" s="242" t="str">
        <f>_xll.ohRangeRetrieveError(D5)</f>
        <v/>
      </c>
      <c r="F5" s="225"/>
    </row>
    <row r="6" spans="1:6" x14ac:dyDescent="0.2">
      <c r="A6" s="124"/>
      <c r="B6" s="236" t="s">
        <v>161</v>
      </c>
      <c r="C6" s="131" t="str">
        <f t="shared" si="0"/>
        <v>USDSWD_SYNTH1Y_Quote</v>
      </c>
      <c r="D6" s="131" t="str">
        <f>_xll.qlSimpleQuote(C6,,RateTickValue,Permanent,Trigger,ObjectOverwrite)</f>
        <v>USDSWD_SYNTH1Y_Quote#0021</v>
      </c>
      <c r="E6" s="242" t="str">
        <f>_xll.ohRangeRetrieveError(D6)</f>
        <v/>
      </c>
      <c r="F6" s="225"/>
    </row>
    <row r="7" spans="1:6" x14ac:dyDescent="0.2">
      <c r="A7" s="124"/>
      <c r="B7" s="236" t="s">
        <v>160</v>
      </c>
      <c r="C7" s="131" t="str">
        <f t="shared" si="0"/>
        <v>USD2WD_SYNTH1Y_Quote</v>
      </c>
      <c r="D7" s="131" t="str">
        <f>_xll.qlSimpleQuote(C7,,RateTickValue,Permanent,Trigger,ObjectOverwrite)</f>
        <v>USD2WD_SYNTH1Y_Quote#0021</v>
      </c>
      <c r="E7" s="242" t="str">
        <f>_xll.ohRangeRetrieveError(D7)</f>
        <v/>
      </c>
      <c r="F7" s="225"/>
    </row>
    <row r="8" spans="1:6" x14ac:dyDescent="0.2">
      <c r="A8" s="124"/>
      <c r="B8" s="236" t="s">
        <v>159</v>
      </c>
      <c r="C8" s="131" t="str">
        <f t="shared" si="0"/>
        <v>USD3WD_SYNTH1Y_Quote</v>
      </c>
      <c r="D8" s="131" t="str">
        <f>_xll.qlSimpleQuote(C8,,RateTickValue,Permanent,Trigger,ObjectOverwrite)</f>
        <v>USD3WD_SYNTH1Y_Quote#0021</v>
      </c>
      <c r="E8" s="242" t="str">
        <f>_xll.ohRangeRetrieveError(D8)</f>
        <v/>
      </c>
      <c r="F8" s="225"/>
    </row>
    <row r="9" spans="1:6" x14ac:dyDescent="0.2">
      <c r="A9" s="124"/>
      <c r="B9" s="236" t="s">
        <v>158</v>
      </c>
      <c r="C9" s="131" t="str">
        <f t="shared" si="0"/>
        <v>USD1MD_SYNTH1Y_Quote</v>
      </c>
      <c r="D9" s="131" t="str">
        <f>_xll.qlSimpleQuote(C9,,RateTickValue,Permanent,Trigger,ObjectOverwrite)</f>
        <v>USD1MD_SYNTH1Y_Quote#0021</v>
      </c>
      <c r="E9" s="242" t="str">
        <f>_xll.ohRangeRetrieveError(D9)</f>
        <v/>
      </c>
      <c r="F9" s="225"/>
    </row>
    <row r="10" spans="1:6" x14ac:dyDescent="0.2">
      <c r="A10" s="124"/>
      <c r="B10" s="236" t="s">
        <v>157</v>
      </c>
      <c r="C10" s="131" t="str">
        <f t="shared" si="0"/>
        <v>USD2MD_SYNTH1Y_Quote</v>
      </c>
      <c r="D10" s="131" t="str">
        <f>_xll.qlSimpleQuote(C10,,RateTickValue,Permanent,Trigger,ObjectOverwrite)</f>
        <v>USD2MD_SYNTH1Y_Quote#0021</v>
      </c>
      <c r="E10" s="242" t="str">
        <f>_xll.ohRangeRetrieveError(D10)</f>
        <v/>
      </c>
      <c r="F10" s="225"/>
    </row>
    <row r="11" spans="1:6" x14ac:dyDescent="0.2">
      <c r="A11" s="124"/>
      <c r="B11" s="236" t="s">
        <v>156</v>
      </c>
      <c r="C11" s="131" t="str">
        <f t="shared" si="0"/>
        <v>USD3MD_SYNTH1Y_Quote</v>
      </c>
      <c r="D11" s="131" t="str">
        <f>_xll.qlSimpleQuote(C11,,RateTickValue,Permanent,Trigger,ObjectOverwrite)</f>
        <v>USD3MD_SYNTH1Y_Quote#0021</v>
      </c>
      <c r="E11" s="242" t="str">
        <f>_xll.ohRangeRetrieveError(D11)</f>
        <v/>
      </c>
      <c r="F11" s="225"/>
    </row>
    <row r="12" spans="1:6" x14ac:dyDescent="0.2">
      <c r="A12" s="124"/>
      <c r="B12" s="236" t="s">
        <v>155</v>
      </c>
      <c r="C12" s="131" t="str">
        <f t="shared" si="0"/>
        <v>USD4MD_SYNTH1Y_Quote</v>
      </c>
      <c r="D12" s="131" t="str">
        <f>_xll.qlSimpleQuote(C12,,RateTickValue,Permanent,Trigger,ObjectOverwrite)</f>
        <v>USD4MD_SYNTH1Y_Quote#0021</v>
      </c>
      <c r="E12" s="242" t="str">
        <f>_xll.ohRangeRetrieveError(D12)</f>
        <v/>
      </c>
      <c r="F12" s="225"/>
    </row>
    <row r="13" spans="1:6" x14ac:dyDescent="0.2">
      <c r="A13" s="124"/>
      <c r="B13" s="236" t="s">
        <v>154</v>
      </c>
      <c r="C13" s="131" t="str">
        <f t="shared" si="0"/>
        <v>USD5MD_SYNTH1Y_Quote</v>
      </c>
      <c r="D13" s="131" t="str">
        <f>_xll.qlSimpleQuote(C13,,RateTickValue,Permanent,Trigger,ObjectOverwrite)</f>
        <v>USD5MD_SYNTH1Y_Quote#0021</v>
      </c>
      <c r="E13" s="242" t="str">
        <f>_xll.ohRangeRetrieveError(D13)</f>
        <v/>
      </c>
      <c r="F13" s="225"/>
    </row>
    <row r="14" spans="1:6" x14ac:dyDescent="0.2">
      <c r="A14" s="124"/>
      <c r="B14" s="236" t="s">
        <v>153</v>
      </c>
      <c r="C14" s="131" t="str">
        <f t="shared" si="0"/>
        <v>USD6MD_SYNTH1Y_Quote</v>
      </c>
      <c r="D14" s="131" t="str">
        <f>_xll.qlSimpleQuote(C14,,RateTickValue,Permanent,Trigger,ObjectOverwrite)</f>
        <v>USD6MD_SYNTH1Y_Quote#0021</v>
      </c>
      <c r="E14" s="242" t="str">
        <f>_xll.ohRangeRetrieveError(D14)</f>
        <v/>
      </c>
      <c r="F14" s="225"/>
    </row>
    <row r="15" spans="1:6" x14ac:dyDescent="0.2">
      <c r="A15" s="124"/>
      <c r="B15" s="236" t="s">
        <v>152</v>
      </c>
      <c r="C15" s="131" t="str">
        <f t="shared" si="0"/>
        <v>USD7MD_SYNTH1Y_Quote</v>
      </c>
      <c r="D15" s="131" t="str">
        <f>_xll.qlSimpleQuote(C15,,RateTickValue,Permanent,Trigger,ObjectOverwrite)</f>
        <v>USD7MD_SYNTH1Y_Quote#0021</v>
      </c>
      <c r="E15" s="242" t="str">
        <f>_xll.ohRangeRetrieveError(D15)</f>
        <v/>
      </c>
      <c r="F15" s="225"/>
    </row>
    <row r="16" spans="1:6" x14ac:dyDescent="0.2">
      <c r="A16" s="124"/>
      <c r="B16" s="236" t="s">
        <v>151</v>
      </c>
      <c r="C16" s="131" t="str">
        <f t="shared" si="0"/>
        <v>USD8MD_SYNTH1Y_Quote</v>
      </c>
      <c r="D16" s="131" t="str">
        <f>_xll.qlSimpleQuote(C16,,RateTickValue,Permanent,Trigger,ObjectOverwrite)</f>
        <v>USD8MD_SYNTH1Y_Quote#0021</v>
      </c>
      <c r="E16" s="242" t="str">
        <f>_xll.ohRangeRetrieveError(D16)</f>
        <v/>
      </c>
      <c r="F16" s="225"/>
    </row>
    <row r="17" spans="1:6" x14ac:dyDescent="0.2">
      <c r="A17" s="124"/>
      <c r="B17" s="236" t="s">
        <v>150</v>
      </c>
      <c r="C17" s="131" t="str">
        <f t="shared" si="0"/>
        <v>USD9MD_SYNTH1Y_Quote</v>
      </c>
      <c r="D17" s="131" t="str">
        <f>_xll.qlSimpleQuote(C17,,RateTickValue,Permanent,Trigger,ObjectOverwrite)</f>
        <v>USD9MD_SYNTH1Y_Quote#0021</v>
      </c>
      <c r="E17" s="242" t="str">
        <f>_xll.ohRangeRetrieveError(D17)</f>
        <v/>
      </c>
      <c r="F17" s="225"/>
    </row>
    <row r="18" spans="1:6" x14ac:dyDescent="0.2">
      <c r="A18" s="124"/>
      <c r="B18" s="236" t="s">
        <v>149</v>
      </c>
      <c r="C18" s="131" t="str">
        <f t="shared" si="0"/>
        <v>USD10MD_SYNTH1Y_Quote</v>
      </c>
      <c r="D18" s="131" t="str">
        <f>_xll.qlSimpleQuote(C18,,RateTickValue,Permanent,Trigger,ObjectOverwrite)</f>
        <v>USD10MD_SYNTH1Y_Quote#0021</v>
      </c>
      <c r="E18" s="242" t="str">
        <f>_xll.ohRangeRetrieveError(D18)</f>
        <v/>
      </c>
      <c r="F18" s="225"/>
    </row>
    <row r="19" spans="1:6" x14ac:dyDescent="0.2">
      <c r="A19" s="124"/>
      <c r="B19" s="236" t="s">
        <v>148</v>
      </c>
      <c r="C19" s="131" t="str">
        <f t="shared" si="0"/>
        <v>USD11MD_SYNTH1Y_Quote</v>
      </c>
      <c r="D19" s="131" t="str">
        <f>_xll.qlSimpleQuote(C19,,RateTickValue,Permanent,Trigger,ObjectOverwrite)</f>
        <v>USD11MD_SYNTH1Y_Quote#0021</v>
      </c>
      <c r="E19" s="242" t="str">
        <f>_xll.ohRangeRetrieveError(D19)</f>
        <v/>
      </c>
      <c r="F19" s="225"/>
    </row>
    <row r="20" spans="1:6" x14ac:dyDescent="0.2">
      <c r="A20" s="124"/>
      <c r="B20" s="239" t="s">
        <v>147</v>
      </c>
      <c r="C20" s="120" t="str">
        <f t="shared" si="0"/>
        <v>USD1YD_SYNTH1Y_Quote</v>
      </c>
      <c r="D20" s="120" t="str">
        <f>_xll.qlSimpleQuote(C20,,RateTickValue,Permanent,Trigger,ObjectOverwrite)</f>
        <v>USD1YD_SYNTH1Y_Quote#0021</v>
      </c>
      <c r="E20" s="238" t="str">
        <f>_xll.ohRangeRetrieveError(D20)</f>
        <v/>
      </c>
      <c r="F20" s="225"/>
    </row>
    <row r="21" spans="1:6" x14ac:dyDescent="0.2">
      <c r="A21" s="124">
        <v>1</v>
      </c>
      <c r="B21" s="241" t="str">
        <f t="shared" ref="B21:B64" si="1">A21&amp;"x"&amp;A21+Months&amp;"F"</f>
        <v>1x13F</v>
      </c>
      <c r="C21" s="127" t="str">
        <f t="shared" si="0"/>
        <v>USD1x13F_SYNTH1Y_Quote</v>
      </c>
      <c r="D21" s="127" t="str">
        <f>_xll.qlSimpleQuote(C21,,RateTickValue,Permanent,Trigger,ObjectOverwrite)</f>
        <v>USD1x13F_SYNTH1Y_Quote#0021</v>
      </c>
      <c r="E21" s="240" t="str">
        <f>_xll.ohRangeRetrieveError(D21)</f>
        <v/>
      </c>
      <c r="F21" s="225"/>
    </row>
    <row r="22" spans="1:6" x14ac:dyDescent="0.2">
      <c r="A22" s="124">
        <v>2</v>
      </c>
      <c r="B22" s="236" t="str">
        <f t="shared" si="1"/>
        <v>2x14F</v>
      </c>
      <c r="C22" s="131" t="str">
        <f t="shared" si="0"/>
        <v>USD2x14F_SYNTH1Y_Quote</v>
      </c>
      <c r="D22" s="131" t="str">
        <f>_xll.qlSimpleQuote(C22,,RateTickValue,Permanent,Trigger,ObjectOverwrite)</f>
        <v>USD2x14F_SYNTH1Y_Quote#0021</v>
      </c>
      <c r="E22" s="242" t="str">
        <f>_xll.ohRangeRetrieveError(D22)</f>
        <v/>
      </c>
      <c r="F22" s="225"/>
    </row>
    <row r="23" spans="1:6" x14ac:dyDescent="0.2">
      <c r="A23" s="124">
        <v>3</v>
      </c>
      <c r="B23" s="236" t="str">
        <f t="shared" si="1"/>
        <v>3x15F</v>
      </c>
      <c r="C23" s="131" t="str">
        <f t="shared" si="0"/>
        <v>USD3x15F_SYNTH1Y_Quote</v>
      </c>
      <c r="D23" s="131" t="str">
        <f>_xll.qlSimpleQuote(C23,,RateTickValue,Permanent,Trigger,ObjectOverwrite)</f>
        <v>USD3x15F_SYNTH1Y_Quote#0021</v>
      </c>
      <c r="E23" s="242" t="str">
        <f>_xll.ohRangeRetrieveError(D23)</f>
        <v/>
      </c>
      <c r="F23" s="225"/>
    </row>
    <row r="24" spans="1:6" x14ac:dyDescent="0.2">
      <c r="A24" s="124">
        <v>4</v>
      </c>
      <c r="B24" s="236" t="str">
        <f t="shared" si="1"/>
        <v>4x16F</v>
      </c>
      <c r="C24" s="131" t="str">
        <f t="shared" si="0"/>
        <v>USD4x16F_SYNTH1Y_Quote</v>
      </c>
      <c r="D24" s="131" t="str">
        <f>_xll.qlSimpleQuote(C24,,RateTickValue,Permanent,Trigger,ObjectOverwrite)</f>
        <v>USD4x16F_SYNTH1Y_Quote#0021</v>
      </c>
      <c r="E24" s="242" t="str">
        <f>_xll.ohRangeRetrieveError(D24)</f>
        <v/>
      </c>
      <c r="F24" s="225"/>
    </row>
    <row r="25" spans="1:6" x14ac:dyDescent="0.2">
      <c r="A25" s="124">
        <v>5</v>
      </c>
      <c r="B25" s="236" t="str">
        <f t="shared" si="1"/>
        <v>5x17F</v>
      </c>
      <c r="C25" s="131" t="str">
        <f t="shared" si="0"/>
        <v>USD5x17F_SYNTH1Y_Quote</v>
      </c>
      <c r="D25" s="131" t="str">
        <f>_xll.qlSimpleQuote(C25,,RateTickValue,Permanent,Trigger,ObjectOverwrite)</f>
        <v>USD5x17F_SYNTH1Y_Quote#0021</v>
      </c>
      <c r="E25" s="242" t="str">
        <f>_xll.ohRangeRetrieveError(D25)</f>
        <v/>
      </c>
      <c r="F25" s="225"/>
    </row>
    <row r="26" spans="1:6" x14ac:dyDescent="0.2">
      <c r="A26" s="124">
        <v>6</v>
      </c>
      <c r="B26" s="236" t="str">
        <f t="shared" si="1"/>
        <v>6x18F</v>
      </c>
      <c r="C26" s="131" t="str">
        <f t="shared" si="0"/>
        <v>USD6x18F_SYNTH1Y_Quote</v>
      </c>
      <c r="D26" s="131" t="str">
        <f>_xll.qlSimpleQuote(C26,,RateTickValue,Permanent,Trigger,ObjectOverwrite)</f>
        <v>USD6x18F_SYNTH1Y_Quote#0021</v>
      </c>
      <c r="E26" s="242" t="str">
        <f>_xll.ohRangeRetrieveError(D26)</f>
        <v/>
      </c>
      <c r="F26" s="225"/>
    </row>
    <row r="27" spans="1:6" x14ac:dyDescent="0.2">
      <c r="A27" s="124">
        <v>7</v>
      </c>
      <c r="B27" s="236" t="str">
        <f t="shared" si="1"/>
        <v>7x19F</v>
      </c>
      <c r="C27" s="131" t="str">
        <f t="shared" si="0"/>
        <v>USD7x19F_SYNTH1Y_Quote</v>
      </c>
      <c r="D27" s="131" t="str">
        <f>_xll.qlSimpleQuote(C27,,RateTickValue,Permanent,Trigger,ObjectOverwrite)</f>
        <v>USD7x19F_SYNTH1Y_Quote#0021</v>
      </c>
      <c r="E27" s="242" t="str">
        <f>_xll.ohRangeRetrieveError(D27)</f>
        <v/>
      </c>
      <c r="F27" s="225"/>
    </row>
    <row r="28" spans="1:6" x14ac:dyDescent="0.2">
      <c r="A28" s="124">
        <v>8</v>
      </c>
      <c r="B28" s="236" t="str">
        <f t="shared" si="1"/>
        <v>8x20F</v>
      </c>
      <c r="C28" s="131" t="str">
        <f t="shared" si="0"/>
        <v>USD8x20F_SYNTH1Y_Quote</v>
      </c>
      <c r="D28" s="131" t="str">
        <f>_xll.qlSimpleQuote(C28,,RateTickValue,Permanent,Trigger,ObjectOverwrite)</f>
        <v>USD8x20F_SYNTH1Y_Quote#0021</v>
      </c>
      <c r="E28" s="242" t="str">
        <f>_xll.ohRangeRetrieveError(D28)</f>
        <v/>
      </c>
      <c r="F28" s="225"/>
    </row>
    <row r="29" spans="1:6" x14ac:dyDescent="0.2">
      <c r="A29" s="124">
        <v>9</v>
      </c>
      <c r="B29" s="236" t="str">
        <f t="shared" si="1"/>
        <v>9x21F</v>
      </c>
      <c r="C29" s="131" t="str">
        <f t="shared" si="0"/>
        <v>USD9x21F_SYNTH1Y_Quote</v>
      </c>
      <c r="D29" s="131" t="str">
        <f>_xll.qlSimpleQuote(C29,,RateTickValue,Permanent,Trigger,ObjectOverwrite)</f>
        <v>USD9x21F_SYNTH1Y_Quote#0021</v>
      </c>
      <c r="E29" s="242" t="str">
        <f>_xll.ohRangeRetrieveError(D29)</f>
        <v/>
      </c>
      <c r="F29" s="225"/>
    </row>
    <row r="30" spans="1:6" x14ac:dyDescent="0.2">
      <c r="A30" s="124">
        <v>10</v>
      </c>
      <c r="B30" s="236" t="str">
        <f t="shared" si="1"/>
        <v>10x22F</v>
      </c>
      <c r="C30" s="131" t="str">
        <f t="shared" si="0"/>
        <v>USD10x22F_SYNTH1Y_Quote</v>
      </c>
      <c r="D30" s="131" t="str">
        <f>_xll.qlSimpleQuote(C30,,RateTickValue,Permanent,Trigger,ObjectOverwrite)</f>
        <v>USD10x22F_SYNTH1Y_Quote#0021</v>
      </c>
      <c r="E30" s="242" t="str">
        <f>_xll.ohRangeRetrieveError(D30)</f>
        <v/>
      </c>
      <c r="F30" s="225"/>
    </row>
    <row r="31" spans="1:6" x14ac:dyDescent="0.2">
      <c r="A31" s="124">
        <v>11</v>
      </c>
      <c r="B31" s="236" t="str">
        <f t="shared" si="1"/>
        <v>11x23F</v>
      </c>
      <c r="C31" s="131" t="str">
        <f t="shared" si="0"/>
        <v>USD11x23F_SYNTH1Y_Quote</v>
      </c>
      <c r="D31" s="131" t="str">
        <f>_xll.qlSimpleQuote(C31,,RateTickValue,Permanent,Trigger,ObjectOverwrite)</f>
        <v>USD11x23F_SYNTH1Y_Quote#0021</v>
      </c>
      <c r="E31" s="242" t="str">
        <f>_xll.ohRangeRetrieveError(D31)</f>
        <v/>
      </c>
      <c r="F31" s="225"/>
    </row>
    <row r="32" spans="1:6" x14ac:dyDescent="0.2">
      <c r="A32" s="124">
        <v>13</v>
      </c>
      <c r="B32" s="236" t="str">
        <f t="shared" si="1"/>
        <v>13x25F</v>
      </c>
      <c r="C32" s="131" t="str">
        <f t="shared" si="0"/>
        <v>USD13x25F_SYNTH1Y_Quote</v>
      </c>
      <c r="D32" s="131" t="str">
        <f>_xll.qlSimpleQuote(C32,,RateTickValue,Permanent,Trigger,ObjectOverwrite)</f>
        <v>USD13x25F_SYNTH1Y_Quote#0021</v>
      </c>
      <c r="E32" s="242" t="str">
        <f>_xll.ohRangeRetrieveError(D32)</f>
        <v/>
      </c>
      <c r="F32" s="225"/>
    </row>
    <row r="33" spans="1:6" x14ac:dyDescent="0.2">
      <c r="A33" s="124">
        <v>14</v>
      </c>
      <c r="B33" s="236" t="str">
        <f t="shared" si="1"/>
        <v>14x26F</v>
      </c>
      <c r="C33" s="131" t="str">
        <f t="shared" si="0"/>
        <v>USD14x26F_SYNTH1Y_Quote</v>
      </c>
      <c r="D33" s="131" t="str">
        <f>_xll.qlSimpleQuote(C33,,RateTickValue,Permanent,Trigger,ObjectOverwrite)</f>
        <v>USD14x26F_SYNTH1Y_Quote#0021</v>
      </c>
      <c r="E33" s="242" t="str">
        <f>_xll.ohRangeRetrieveError(D33)</f>
        <v/>
      </c>
      <c r="F33" s="225"/>
    </row>
    <row r="34" spans="1:6" x14ac:dyDescent="0.2">
      <c r="A34" s="124">
        <v>15</v>
      </c>
      <c r="B34" s="236" t="str">
        <f t="shared" si="1"/>
        <v>15x27F</v>
      </c>
      <c r="C34" s="131" t="str">
        <f t="shared" si="0"/>
        <v>USD15x27F_SYNTH1Y_Quote</v>
      </c>
      <c r="D34" s="131" t="str">
        <f>_xll.qlSimpleQuote(C34,,RateTickValue,Permanent,Trigger,ObjectOverwrite)</f>
        <v>USD15x27F_SYNTH1Y_Quote#0021</v>
      </c>
      <c r="E34" s="242" t="str">
        <f>_xll.ohRangeRetrieveError(D34)</f>
        <v/>
      </c>
      <c r="F34" s="225"/>
    </row>
    <row r="35" spans="1:6" x14ac:dyDescent="0.2">
      <c r="A35" s="124">
        <v>16</v>
      </c>
      <c r="B35" s="236" t="str">
        <f t="shared" si="1"/>
        <v>16x28F</v>
      </c>
      <c r="C35" s="131" t="str">
        <f t="shared" ref="C35:C64" si="2">Currency&amp;$B35&amp;"_SYNTH"&amp;Tenor&amp;QuoteSuffix</f>
        <v>USD16x28F_SYNTH1Y_Quote</v>
      </c>
      <c r="D35" s="131" t="str">
        <f>_xll.qlSimpleQuote(C35,,RateTickValue,Permanent,Trigger,ObjectOverwrite)</f>
        <v>USD16x28F_SYNTH1Y_Quote#0021</v>
      </c>
      <c r="E35" s="242" t="str">
        <f>_xll.ohRangeRetrieveError(D35)</f>
        <v/>
      </c>
      <c r="F35" s="225"/>
    </row>
    <row r="36" spans="1:6" x14ac:dyDescent="0.2">
      <c r="A36" s="124">
        <v>17</v>
      </c>
      <c r="B36" s="236" t="str">
        <f t="shared" si="1"/>
        <v>17x29F</v>
      </c>
      <c r="C36" s="131" t="str">
        <f t="shared" si="2"/>
        <v>USD17x29F_SYNTH1Y_Quote</v>
      </c>
      <c r="D36" s="131" t="str">
        <f>_xll.qlSimpleQuote(C36,,RateTickValue,Permanent,Trigger,ObjectOverwrite)</f>
        <v>USD17x29F_SYNTH1Y_Quote#0021</v>
      </c>
      <c r="E36" s="242" t="str">
        <f>_xll.ohRangeRetrieveError(D36)</f>
        <v/>
      </c>
      <c r="F36" s="225"/>
    </row>
    <row r="37" spans="1:6" x14ac:dyDescent="0.2">
      <c r="A37" s="124">
        <v>18</v>
      </c>
      <c r="B37" s="236" t="str">
        <f t="shared" si="1"/>
        <v>18x30F</v>
      </c>
      <c r="C37" s="131" t="str">
        <f t="shared" si="2"/>
        <v>USD18x30F_SYNTH1Y_Quote</v>
      </c>
      <c r="D37" s="131" t="str">
        <f>_xll.qlSimpleQuote(C37,,RateTickValue,Permanent,Trigger,ObjectOverwrite)</f>
        <v>USD18x30F_SYNTH1Y_Quote#0021</v>
      </c>
      <c r="E37" s="242" t="str">
        <f>_xll.ohRangeRetrieveError(D37)</f>
        <v/>
      </c>
      <c r="F37" s="225"/>
    </row>
    <row r="38" spans="1:6" x14ac:dyDescent="0.2">
      <c r="A38" s="124">
        <v>19</v>
      </c>
      <c r="B38" s="236" t="str">
        <f t="shared" si="1"/>
        <v>19x31F</v>
      </c>
      <c r="C38" s="131" t="str">
        <f t="shared" si="2"/>
        <v>USD19x31F_SYNTH1Y_Quote</v>
      </c>
      <c r="D38" s="131" t="str">
        <f>_xll.qlSimpleQuote(C38,,RateTickValue,Permanent,Trigger,ObjectOverwrite)</f>
        <v>USD19x31F_SYNTH1Y_Quote#0021</v>
      </c>
      <c r="E38" s="242" t="str">
        <f>_xll.ohRangeRetrieveError(D38)</f>
        <v/>
      </c>
      <c r="F38" s="225"/>
    </row>
    <row r="39" spans="1:6" x14ac:dyDescent="0.2">
      <c r="A39" s="124">
        <v>20</v>
      </c>
      <c r="B39" s="236" t="str">
        <f t="shared" si="1"/>
        <v>20x32F</v>
      </c>
      <c r="C39" s="131" t="str">
        <f t="shared" si="2"/>
        <v>USD20x32F_SYNTH1Y_Quote</v>
      </c>
      <c r="D39" s="131" t="str">
        <f>_xll.qlSimpleQuote(C39,,RateTickValue,Permanent,Trigger,ObjectOverwrite)</f>
        <v>USD20x32F_SYNTH1Y_Quote#0021</v>
      </c>
      <c r="E39" s="242" t="str">
        <f>_xll.ohRangeRetrieveError(D39)</f>
        <v/>
      </c>
      <c r="F39" s="225"/>
    </row>
    <row r="40" spans="1:6" x14ac:dyDescent="0.2">
      <c r="A40" s="124">
        <v>21</v>
      </c>
      <c r="B40" s="236" t="str">
        <f t="shared" si="1"/>
        <v>21x33F</v>
      </c>
      <c r="C40" s="131" t="str">
        <f t="shared" si="2"/>
        <v>USD21x33F_SYNTH1Y_Quote</v>
      </c>
      <c r="D40" s="131" t="str">
        <f>_xll.qlSimpleQuote(C40,,RateTickValue,Permanent,Trigger,ObjectOverwrite)</f>
        <v>USD21x33F_SYNTH1Y_Quote#0021</v>
      </c>
      <c r="E40" s="242" t="str">
        <f>_xll.ohRangeRetrieveError(D40)</f>
        <v/>
      </c>
      <c r="F40" s="225"/>
    </row>
    <row r="41" spans="1:6" x14ac:dyDescent="0.2">
      <c r="A41" s="124">
        <v>22</v>
      </c>
      <c r="B41" s="236" t="str">
        <f t="shared" si="1"/>
        <v>22x34F</v>
      </c>
      <c r="C41" s="131" t="str">
        <f t="shared" si="2"/>
        <v>USD22x34F_SYNTH1Y_Quote</v>
      </c>
      <c r="D41" s="131" t="str">
        <f>_xll.qlSimpleQuote(C41,,RateTickValue,Permanent,Trigger,ObjectOverwrite)</f>
        <v>USD22x34F_SYNTH1Y_Quote#0021</v>
      </c>
      <c r="E41" s="242" t="str">
        <f>_xll.ohRangeRetrieveError(D41)</f>
        <v/>
      </c>
      <c r="F41" s="225"/>
    </row>
    <row r="42" spans="1:6" x14ac:dyDescent="0.2">
      <c r="A42" s="124">
        <v>23</v>
      </c>
      <c r="B42" s="236" t="str">
        <f t="shared" si="1"/>
        <v>23x35F</v>
      </c>
      <c r="C42" s="131" t="str">
        <f t="shared" si="2"/>
        <v>USD23x35F_SYNTH1Y_Quote</v>
      </c>
      <c r="D42" s="131" t="str">
        <f>_xll.qlSimpleQuote(C42,,RateTickValue,Permanent,Trigger,ObjectOverwrite)</f>
        <v>USD23x35F_SYNTH1Y_Quote#0021</v>
      </c>
      <c r="E42" s="242" t="str">
        <f>_xll.ohRangeRetrieveError(D42)</f>
        <v/>
      </c>
      <c r="F42" s="225"/>
    </row>
    <row r="43" spans="1:6" x14ac:dyDescent="0.2">
      <c r="A43" s="124">
        <v>25</v>
      </c>
      <c r="B43" s="236" t="str">
        <f t="shared" si="1"/>
        <v>25x37F</v>
      </c>
      <c r="C43" s="131" t="str">
        <f t="shared" si="2"/>
        <v>USD25x37F_SYNTH1Y_Quote</v>
      </c>
      <c r="D43" s="131" t="str">
        <f>_xll.qlSimpleQuote(C43,,RateTickValue,Permanent,Trigger,ObjectOverwrite)</f>
        <v>USD25x37F_SYNTH1Y_Quote#0021</v>
      </c>
      <c r="E43" s="242" t="str">
        <f>_xll.ohRangeRetrieveError(D43)</f>
        <v/>
      </c>
      <c r="F43" s="225"/>
    </row>
    <row r="44" spans="1:6" x14ac:dyDescent="0.2">
      <c r="A44" s="124">
        <v>26</v>
      </c>
      <c r="B44" s="236" t="str">
        <f t="shared" si="1"/>
        <v>26x38F</v>
      </c>
      <c r="C44" s="131" t="str">
        <f t="shared" si="2"/>
        <v>USD26x38F_SYNTH1Y_Quote</v>
      </c>
      <c r="D44" s="131" t="str">
        <f>_xll.qlSimpleQuote(C44,,RateTickValue,Permanent,Trigger,ObjectOverwrite)</f>
        <v>USD26x38F_SYNTH1Y_Quote#0021</v>
      </c>
      <c r="E44" s="242" t="str">
        <f>_xll.ohRangeRetrieveError(D44)</f>
        <v/>
      </c>
      <c r="F44" s="225"/>
    </row>
    <row r="45" spans="1:6" x14ac:dyDescent="0.2">
      <c r="A45" s="124">
        <v>27</v>
      </c>
      <c r="B45" s="236" t="str">
        <f t="shared" si="1"/>
        <v>27x39F</v>
      </c>
      <c r="C45" s="131" t="str">
        <f t="shared" si="2"/>
        <v>USD27x39F_SYNTH1Y_Quote</v>
      </c>
      <c r="D45" s="131" t="str">
        <f>_xll.qlSimpleQuote(C45,,RateTickValue,Permanent,Trigger,ObjectOverwrite)</f>
        <v>USD27x39F_SYNTH1Y_Quote#0021</v>
      </c>
      <c r="E45" s="242" t="str">
        <f>_xll.ohRangeRetrieveError(D45)</f>
        <v/>
      </c>
      <c r="F45" s="225"/>
    </row>
    <row r="46" spans="1:6" x14ac:dyDescent="0.2">
      <c r="A46" s="124">
        <v>28</v>
      </c>
      <c r="B46" s="236" t="str">
        <f t="shared" si="1"/>
        <v>28x40F</v>
      </c>
      <c r="C46" s="131" t="str">
        <f t="shared" si="2"/>
        <v>USD28x40F_SYNTH1Y_Quote</v>
      </c>
      <c r="D46" s="131" t="str">
        <f>_xll.qlSimpleQuote(C46,,RateTickValue,Permanent,Trigger,ObjectOverwrite)</f>
        <v>USD28x40F_SYNTH1Y_Quote#0021</v>
      </c>
      <c r="E46" s="242" t="str">
        <f>_xll.ohRangeRetrieveError(D46)</f>
        <v/>
      </c>
      <c r="F46" s="225"/>
    </row>
    <row r="47" spans="1:6" x14ac:dyDescent="0.2">
      <c r="A47" s="124">
        <v>29</v>
      </c>
      <c r="B47" s="236" t="str">
        <f t="shared" si="1"/>
        <v>29x41F</v>
      </c>
      <c r="C47" s="131" t="str">
        <f t="shared" si="2"/>
        <v>USD29x41F_SYNTH1Y_Quote</v>
      </c>
      <c r="D47" s="131" t="str">
        <f>_xll.qlSimpleQuote(C47,,RateTickValue,Permanent,Trigger,ObjectOverwrite)</f>
        <v>USD29x41F_SYNTH1Y_Quote#0021</v>
      </c>
      <c r="E47" s="242" t="str">
        <f>_xll.ohRangeRetrieveError(D47)</f>
        <v/>
      </c>
      <c r="F47" s="225"/>
    </row>
    <row r="48" spans="1:6" x14ac:dyDescent="0.2">
      <c r="A48" s="124">
        <v>30</v>
      </c>
      <c r="B48" s="236" t="str">
        <f t="shared" si="1"/>
        <v>30x42F</v>
      </c>
      <c r="C48" s="131" t="str">
        <f t="shared" si="2"/>
        <v>USD30x42F_SYNTH1Y_Quote</v>
      </c>
      <c r="D48" s="131" t="str">
        <f>_xll.qlSimpleQuote(C48,,RateTickValue,Permanent,Trigger,ObjectOverwrite)</f>
        <v>USD30x42F_SYNTH1Y_Quote#0021</v>
      </c>
      <c r="E48" s="242" t="str">
        <f>_xll.ohRangeRetrieveError(D48)</f>
        <v/>
      </c>
      <c r="F48" s="225"/>
    </row>
    <row r="49" spans="1:6" x14ac:dyDescent="0.2">
      <c r="A49" s="124">
        <v>31</v>
      </c>
      <c r="B49" s="236" t="str">
        <f t="shared" si="1"/>
        <v>31x43F</v>
      </c>
      <c r="C49" s="131" t="str">
        <f t="shared" si="2"/>
        <v>USD31x43F_SYNTH1Y_Quote</v>
      </c>
      <c r="D49" s="131" t="str">
        <f>_xll.qlSimpleQuote(C49,,RateTickValue,Permanent,Trigger,ObjectOverwrite)</f>
        <v>USD31x43F_SYNTH1Y_Quote#0021</v>
      </c>
      <c r="E49" s="242" t="str">
        <f>_xll.ohRangeRetrieveError(D49)</f>
        <v/>
      </c>
      <c r="F49" s="225"/>
    </row>
    <row r="50" spans="1:6" x14ac:dyDescent="0.2">
      <c r="A50" s="124">
        <v>32</v>
      </c>
      <c r="B50" s="236" t="str">
        <f t="shared" si="1"/>
        <v>32x44F</v>
      </c>
      <c r="C50" s="131" t="str">
        <f t="shared" si="2"/>
        <v>USD32x44F_SYNTH1Y_Quote</v>
      </c>
      <c r="D50" s="131" t="str">
        <f>_xll.qlSimpleQuote(C50,,RateTickValue,Permanent,Trigger,ObjectOverwrite)</f>
        <v>USD32x44F_SYNTH1Y_Quote#0021</v>
      </c>
      <c r="E50" s="242" t="str">
        <f>_xll.ohRangeRetrieveError(D50)</f>
        <v/>
      </c>
      <c r="F50" s="225"/>
    </row>
    <row r="51" spans="1:6" x14ac:dyDescent="0.2">
      <c r="A51" s="124">
        <v>33</v>
      </c>
      <c r="B51" s="236" t="str">
        <f t="shared" si="1"/>
        <v>33x45F</v>
      </c>
      <c r="C51" s="131" t="str">
        <f t="shared" si="2"/>
        <v>USD33x45F_SYNTH1Y_Quote</v>
      </c>
      <c r="D51" s="131" t="str">
        <f>_xll.qlSimpleQuote(C51,,RateTickValue,Permanent,Trigger,ObjectOverwrite)</f>
        <v>USD33x45F_SYNTH1Y_Quote#0021</v>
      </c>
      <c r="E51" s="242" t="str">
        <f>_xll.ohRangeRetrieveError(D51)</f>
        <v/>
      </c>
      <c r="F51" s="225"/>
    </row>
    <row r="52" spans="1:6" x14ac:dyDescent="0.2">
      <c r="A52" s="124">
        <v>34</v>
      </c>
      <c r="B52" s="236" t="str">
        <f t="shared" si="1"/>
        <v>34x46F</v>
      </c>
      <c r="C52" s="131" t="str">
        <f t="shared" si="2"/>
        <v>USD34x46F_SYNTH1Y_Quote</v>
      </c>
      <c r="D52" s="131" t="str">
        <f>_xll.qlSimpleQuote(C52,,RateTickValue,Permanent,Trigger,ObjectOverwrite)</f>
        <v>USD34x46F_SYNTH1Y_Quote#0021</v>
      </c>
      <c r="E52" s="242" t="str">
        <f>_xll.ohRangeRetrieveError(D52)</f>
        <v/>
      </c>
      <c r="F52" s="225"/>
    </row>
    <row r="53" spans="1:6" x14ac:dyDescent="0.2">
      <c r="A53" s="124">
        <v>35</v>
      </c>
      <c r="B53" s="236" t="str">
        <f t="shared" si="1"/>
        <v>35x47F</v>
      </c>
      <c r="C53" s="131" t="str">
        <f t="shared" si="2"/>
        <v>USD35x47F_SYNTH1Y_Quote</v>
      </c>
      <c r="D53" s="131" t="str">
        <f>_xll.qlSimpleQuote(C53,,RateTickValue,Permanent,Trigger,ObjectOverwrite)</f>
        <v>USD35x47F_SYNTH1Y_Quote#0021</v>
      </c>
      <c r="E53" s="242" t="str">
        <f>_xll.ohRangeRetrieveError(D53)</f>
        <v/>
      </c>
      <c r="F53" s="225"/>
    </row>
    <row r="54" spans="1:6" x14ac:dyDescent="0.2">
      <c r="A54" s="124">
        <v>37</v>
      </c>
      <c r="B54" s="236" t="str">
        <f t="shared" si="1"/>
        <v>37x49F</v>
      </c>
      <c r="C54" s="131" t="str">
        <f t="shared" si="2"/>
        <v>USD37x49F_SYNTH1Y_Quote</v>
      </c>
      <c r="D54" s="131" t="str">
        <f>_xll.qlSimpleQuote(C54,,RateTickValue,Permanent,Trigger,ObjectOverwrite)</f>
        <v>USD37x49F_SYNTH1Y_Quote#0021</v>
      </c>
      <c r="E54" s="242" t="str">
        <f>_xll.ohRangeRetrieveError(D54)</f>
        <v/>
      </c>
      <c r="F54" s="225"/>
    </row>
    <row r="55" spans="1:6" x14ac:dyDescent="0.2">
      <c r="A55" s="124">
        <v>38</v>
      </c>
      <c r="B55" s="236" t="str">
        <f t="shared" si="1"/>
        <v>38x50F</v>
      </c>
      <c r="C55" s="131" t="str">
        <f t="shared" si="2"/>
        <v>USD38x50F_SYNTH1Y_Quote</v>
      </c>
      <c r="D55" s="131" t="str">
        <f>_xll.qlSimpleQuote(C55,,RateTickValue,Permanent,Trigger,ObjectOverwrite)</f>
        <v>USD38x50F_SYNTH1Y_Quote#0021</v>
      </c>
      <c r="E55" s="242" t="str">
        <f>_xll.ohRangeRetrieveError(D55)</f>
        <v/>
      </c>
      <c r="F55" s="225"/>
    </row>
    <row r="56" spans="1:6" x14ac:dyDescent="0.2">
      <c r="A56" s="124">
        <v>39</v>
      </c>
      <c r="B56" s="236" t="str">
        <f t="shared" si="1"/>
        <v>39x51F</v>
      </c>
      <c r="C56" s="131" t="str">
        <f t="shared" si="2"/>
        <v>USD39x51F_SYNTH1Y_Quote</v>
      </c>
      <c r="D56" s="131" t="str">
        <f>_xll.qlSimpleQuote(C56,,RateTickValue,Permanent,Trigger,ObjectOverwrite)</f>
        <v>USD39x51F_SYNTH1Y_Quote#0021</v>
      </c>
      <c r="E56" s="242" t="str">
        <f>_xll.ohRangeRetrieveError(D56)</f>
        <v/>
      </c>
      <c r="F56" s="225"/>
    </row>
    <row r="57" spans="1:6" x14ac:dyDescent="0.2">
      <c r="A57" s="124">
        <v>40</v>
      </c>
      <c r="B57" s="236" t="str">
        <f t="shared" si="1"/>
        <v>40x52F</v>
      </c>
      <c r="C57" s="131" t="str">
        <f t="shared" si="2"/>
        <v>USD40x52F_SYNTH1Y_Quote</v>
      </c>
      <c r="D57" s="131" t="str">
        <f>_xll.qlSimpleQuote(C57,,RateTickValue,Permanent,Trigger,ObjectOverwrite)</f>
        <v>USD40x52F_SYNTH1Y_Quote#0021</v>
      </c>
      <c r="E57" s="242" t="str">
        <f>_xll.ohRangeRetrieveError(D57)</f>
        <v/>
      </c>
      <c r="F57" s="225"/>
    </row>
    <row r="58" spans="1:6" x14ac:dyDescent="0.2">
      <c r="A58" s="124">
        <v>41</v>
      </c>
      <c r="B58" s="236" t="str">
        <f t="shared" si="1"/>
        <v>41x53F</v>
      </c>
      <c r="C58" s="131" t="str">
        <f t="shared" si="2"/>
        <v>USD41x53F_SYNTH1Y_Quote</v>
      </c>
      <c r="D58" s="131" t="str">
        <f>_xll.qlSimpleQuote(C58,,RateTickValue,Permanent,Trigger,ObjectOverwrite)</f>
        <v>USD41x53F_SYNTH1Y_Quote#0021</v>
      </c>
      <c r="E58" s="242" t="str">
        <f>_xll.ohRangeRetrieveError(D58)</f>
        <v/>
      </c>
      <c r="F58" s="225"/>
    </row>
    <row r="59" spans="1:6" x14ac:dyDescent="0.2">
      <c r="A59" s="124">
        <v>42</v>
      </c>
      <c r="B59" s="236" t="str">
        <f t="shared" si="1"/>
        <v>42x54F</v>
      </c>
      <c r="C59" s="131" t="str">
        <f t="shared" si="2"/>
        <v>USD42x54F_SYNTH1Y_Quote</v>
      </c>
      <c r="D59" s="131" t="str">
        <f>_xll.qlSimpleQuote(C59,,RateTickValue,Permanent,Trigger,ObjectOverwrite)</f>
        <v>USD42x54F_SYNTH1Y_Quote#0021</v>
      </c>
      <c r="E59" s="242" t="str">
        <f>_xll.ohRangeRetrieveError(D59)</f>
        <v/>
      </c>
      <c r="F59" s="225"/>
    </row>
    <row r="60" spans="1:6" x14ac:dyDescent="0.2">
      <c r="A60" s="124">
        <v>43</v>
      </c>
      <c r="B60" s="236" t="str">
        <f t="shared" si="1"/>
        <v>43x55F</v>
      </c>
      <c r="C60" s="131" t="str">
        <f t="shared" si="2"/>
        <v>USD43x55F_SYNTH1Y_Quote</v>
      </c>
      <c r="D60" s="131" t="str">
        <f>_xll.qlSimpleQuote(C60,,RateTickValue,Permanent,Trigger,ObjectOverwrite)</f>
        <v>USD43x55F_SYNTH1Y_Quote#0021</v>
      </c>
      <c r="E60" s="242" t="str">
        <f>_xll.ohRangeRetrieveError(D60)</f>
        <v/>
      </c>
      <c r="F60" s="225"/>
    </row>
    <row r="61" spans="1:6" x14ac:dyDescent="0.2">
      <c r="A61" s="124">
        <v>44</v>
      </c>
      <c r="B61" s="236" t="str">
        <f t="shared" si="1"/>
        <v>44x56F</v>
      </c>
      <c r="C61" s="131" t="str">
        <f t="shared" si="2"/>
        <v>USD44x56F_SYNTH1Y_Quote</v>
      </c>
      <c r="D61" s="131" t="str">
        <f>_xll.qlSimpleQuote(C61,,RateTickValue,Permanent,Trigger,ObjectOverwrite)</f>
        <v>USD44x56F_SYNTH1Y_Quote#0021</v>
      </c>
      <c r="E61" s="242" t="str">
        <f>_xll.ohRangeRetrieveError(D61)</f>
        <v/>
      </c>
      <c r="F61" s="225"/>
    </row>
    <row r="62" spans="1:6" x14ac:dyDescent="0.2">
      <c r="A62" s="124">
        <v>45</v>
      </c>
      <c r="B62" s="236" t="str">
        <f t="shared" si="1"/>
        <v>45x57F</v>
      </c>
      <c r="C62" s="131" t="str">
        <f t="shared" si="2"/>
        <v>USD45x57F_SYNTH1Y_Quote</v>
      </c>
      <c r="D62" s="131" t="str">
        <f>_xll.qlSimpleQuote(C62,,RateTickValue,Permanent,Trigger,ObjectOverwrite)</f>
        <v>USD45x57F_SYNTH1Y_Quote#0021</v>
      </c>
      <c r="E62" s="242" t="str">
        <f>_xll.ohRangeRetrieveError(D62)</f>
        <v/>
      </c>
      <c r="F62" s="225"/>
    </row>
    <row r="63" spans="1:6" x14ac:dyDescent="0.2">
      <c r="A63" s="124">
        <v>46</v>
      </c>
      <c r="B63" s="236" t="str">
        <f t="shared" si="1"/>
        <v>46x58F</v>
      </c>
      <c r="C63" s="131" t="str">
        <f t="shared" si="2"/>
        <v>USD46x58F_SYNTH1Y_Quote</v>
      </c>
      <c r="D63" s="131" t="str">
        <f>_xll.qlSimpleQuote(C63,,RateTickValue,Permanent,Trigger,ObjectOverwrite)</f>
        <v>USD46x58F_SYNTH1Y_Quote#0021</v>
      </c>
      <c r="E63" s="242" t="str">
        <f>_xll.ohRangeRetrieveError(D63)</f>
        <v/>
      </c>
      <c r="F63" s="225"/>
    </row>
    <row r="64" spans="1:6" x14ac:dyDescent="0.2">
      <c r="A64" s="124">
        <v>47</v>
      </c>
      <c r="B64" s="239" t="str">
        <f t="shared" si="1"/>
        <v>47x59F</v>
      </c>
      <c r="C64" s="120" t="str">
        <f t="shared" si="2"/>
        <v>USD47x59F_SYNTH1Y_Quote</v>
      </c>
      <c r="D64" s="120" t="str">
        <f>_xll.qlSimpleQuote(C64,,RateTickValue,Permanent,Trigger,ObjectOverwrite)</f>
        <v>USD47x59F_SYNTH1Y_Quote#0021</v>
      </c>
      <c r="E64" s="238" t="str">
        <f>_xll.ohRangeRetrieveError(D64)</f>
        <v/>
      </c>
      <c r="F64" s="225"/>
    </row>
    <row r="65" spans="1:6" ht="12" thickBot="1" x14ac:dyDescent="0.25">
      <c r="A65" s="48"/>
      <c r="B65" s="47"/>
      <c r="C65" s="47"/>
      <c r="D65" s="47"/>
      <c r="E65" s="47"/>
      <c r="F65" s="46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E17"/>
  <sheetViews>
    <sheetView workbookViewId="0"/>
  </sheetViews>
  <sheetFormatPr defaultColWidth="8" defaultRowHeight="11.25" x14ac:dyDescent="0.2"/>
  <cols>
    <col min="1" max="1" width="6.140625" style="167" customWidth="1"/>
    <col min="2" max="2" width="4.28515625" style="167" customWidth="1"/>
    <col min="3" max="3" width="15.5703125" style="167" bestFit="1" customWidth="1"/>
    <col min="4" max="4" width="101.42578125" style="167" bestFit="1" customWidth="1"/>
    <col min="5" max="5" width="4.7109375" style="167" customWidth="1"/>
    <col min="6" max="6" width="35.28515625" style="167" customWidth="1"/>
    <col min="7" max="7" width="4.28515625" style="167" customWidth="1"/>
    <col min="8" max="16384" width="8" style="167"/>
  </cols>
  <sheetData>
    <row r="1" spans="1:5" ht="13.5" thickBot="1" x14ac:dyDescent="0.25">
      <c r="A1" s="167" t="s">
        <v>223</v>
      </c>
      <c r="B1" s="168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72" t="s">
        <v>27</v>
      </c>
      <c r="C2" s="273"/>
      <c r="D2" s="273"/>
      <c r="E2" s="274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272" t="s">
        <v>222</v>
      </c>
      <c r="C12" s="273"/>
      <c r="D12" s="273"/>
      <c r="E12" s="274"/>
    </row>
    <row r="13" spans="1:5" x14ac:dyDescent="0.2">
      <c r="B13" s="155"/>
      <c r="C13" s="246"/>
      <c r="D13" s="246"/>
      <c r="E13" s="143"/>
    </row>
    <row r="14" spans="1:5" x14ac:dyDescent="0.2">
      <c r="B14" s="155"/>
      <c r="C14" s="16" t="s">
        <v>20</v>
      </c>
      <c r="D14" s="15" t="s">
        <v>122</v>
      </c>
      <c r="E14" s="143"/>
    </row>
    <row r="15" spans="1:5" x14ac:dyDescent="0.2">
      <c r="B15" s="155"/>
      <c r="C15" s="16" t="s">
        <v>143</v>
      </c>
      <c r="D15" s="15" t="s">
        <v>142</v>
      </c>
      <c r="E15" s="143"/>
    </row>
    <row r="16" spans="1:5" x14ac:dyDescent="0.2">
      <c r="B16" s="155"/>
      <c r="C16" s="16" t="s">
        <v>141</v>
      </c>
      <c r="D16" s="245">
        <v>1E-4</v>
      </c>
      <c r="E16" s="143"/>
    </row>
    <row r="17" spans="2:5" ht="12" thickBot="1" x14ac:dyDescent="0.25">
      <c r="B17" s="244"/>
      <c r="C17" s="141"/>
      <c r="D17" s="141"/>
      <c r="E17" s="140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3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70" bestFit="1" customWidth="1"/>
    <col min="12" max="12" width="22" style="21" customWidth="1"/>
    <col min="13" max="13" width="4.42578125" style="21" customWidth="1"/>
    <col min="14" max="14" width="3.855468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24" t="s">
        <v>229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56"/>
      <c r="M1" s="203"/>
    </row>
    <row r="2" spans="1:20" ht="22.5" x14ac:dyDescent="0.2">
      <c r="A2" s="124"/>
      <c r="B2" s="254"/>
      <c r="C2" s="255"/>
      <c r="D2" s="254"/>
      <c r="E2" s="254" t="s">
        <v>227</v>
      </c>
      <c r="F2" s="254"/>
      <c r="G2" s="254"/>
      <c r="H2" s="254" t="s">
        <v>226</v>
      </c>
      <c r="I2" s="254" t="s">
        <v>225</v>
      </c>
      <c r="J2" s="253" t="str">
        <f>Currency&amp;"_020_Sw"&amp;$C$3&amp;$D$3&amp;"_Fwd"&amp;$E$3&amp;IF(H3=0,,"_Spr"&amp;$F3&amp;$G3)&amp;".xml"</f>
        <v>USD_020_SwAM3L_Fwd1w.xml</v>
      </c>
      <c r="K2" s="252" t="e">
        <f ca="1">IF(Serialize,_xll.ohObjectSave(K3:K36,SerializationPath&amp;J2,FileOverwrite,Serialize),"---")</f>
        <v>#NUM!</v>
      </c>
      <c r="L2" s="250" t="e">
        <f ca="1">_xll.ohRangeRetrieveError(K2)</f>
        <v>#NUM!</v>
      </c>
      <c r="M2" s="49"/>
      <c r="O2" s="215"/>
      <c r="P2" s="214"/>
      <c r="Q2" s="214"/>
      <c r="R2" s="214"/>
      <c r="S2" s="214"/>
      <c r="T2" s="213"/>
    </row>
    <row r="3" spans="1:20" x14ac:dyDescent="0.2">
      <c r="A3" s="124"/>
      <c r="B3" s="249" t="s">
        <v>29</v>
      </c>
      <c r="C3" s="197" t="str">
        <f t="shared" ref="C3:C36" si="0">VLOOKUP(Currency,$O$3:$T$7,2)</f>
        <v>AM</v>
      </c>
      <c r="D3" s="197" t="str">
        <f t="shared" ref="D3:D36" si="1">VLOOKUP(Currency,$O$3:$T$7,3)</f>
        <v>3L</v>
      </c>
      <c r="E3" s="197" t="str">
        <f t="shared" ref="E3:E36" si="2">VLOOKUP(Currency,$O$3:$T$7,4)</f>
        <v>1w</v>
      </c>
      <c r="F3" s="197">
        <f t="shared" ref="F3:F36" si="3">VLOOKUP(Currency,$O$3:$T$7,5)</f>
        <v>0</v>
      </c>
      <c r="G3" s="197">
        <f t="shared" ref="G3:G36" si="4">VLOOKUP(Currency,$O$3:$T$7,6)</f>
        <v>0</v>
      </c>
      <c r="H3" s="248">
        <f t="shared" ref="H3:H36" si="5">IF(F3=0,0,Currency&amp;$F3&amp;$G3&amp;$B3&amp;QuoteSuffix)</f>
        <v>0</v>
      </c>
      <c r="I3" s="251" t="str">
        <f t="shared" ref="I3:I36" si="6">PROPER(Currency)&amp;FamilyName&amp;"Swap"&amp;FixingType&amp;$B3</f>
        <v>UsdLiborSwapForBasisCalc1Y</v>
      </c>
      <c r="J3" s="247" t="str">
        <f t="shared" ref="J3:J36" si="7">Currency&amp;$C3&amp;$D3&amp;$B3&amp;"_"&amp;"Fwd"&amp;E3&amp;IF(H3=0,,"_Spr"&amp;$F3&amp;$G3)&amp;QuoteSuffix</f>
        <v>USDAM3L1Y_Fwd1w_Quote</v>
      </c>
      <c r="K3" s="247"/>
      <c r="L3" s="250" t="str">
        <f>_xll.ohRangeRetrieveError(K3)</f>
        <v/>
      </c>
      <c r="M3" s="49"/>
      <c r="O3" s="87" t="s">
        <v>132</v>
      </c>
      <c r="P3" s="86" t="s">
        <v>213</v>
      </c>
      <c r="Q3" s="86" t="s">
        <v>126</v>
      </c>
      <c r="R3" s="86" t="s">
        <v>224</v>
      </c>
      <c r="S3" s="86"/>
      <c r="T3" s="85"/>
    </row>
    <row r="4" spans="1:20" x14ac:dyDescent="0.2">
      <c r="A4" s="124"/>
      <c r="B4" s="249" t="s">
        <v>108</v>
      </c>
      <c r="C4" s="197" t="str">
        <f t="shared" si="0"/>
        <v>AM</v>
      </c>
      <c r="D4" s="197" t="str">
        <f t="shared" si="1"/>
        <v>3L</v>
      </c>
      <c r="E4" s="197" t="str">
        <f t="shared" si="2"/>
        <v>1w</v>
      </c>
      <c r="F4" s="197">
        <f t="shared" si="3"/>
        <v>0</v>
      </c>
      <c r="G4" s="197">
        <f t="shared" si="4"/>
        <v>0</v>
      </c>
      <c r="H4" s="248">
        <f t="shared" si="5"/>
        <v>0</v>
      </c>
      <c r="I4" s="108" t="str">
        <f t="shared" si="6"/>
        <v>UsdLiborSwapForBasisCalc2Y</v>
      </c>
      <c r="J4" s="247" t="str">
        <f t="shared" si="7"/>
        <v>USDAM3L2Y_Fwd1w_Quote</v>
      </c>
      <c r="K4" s="247"/>
      <c r="L4" s="250" t="str">
        <f>_xll.ohRangeRetrieveError(K4)</f>
        <v/>
      </c>
      <c r="M4" s="49"/>
      <c r="O4" s="87" t="s">
        <v>131</v>
      </c>
      <c r="P4" s="86" t="s">
        <v>213</v>
      </c>
      <c r="Q4" s="86" t="s">
        <v>129</v>
      </c>
      <c r="R4" s="86" t="s">
        <v>224</v>
      </c>
      <c r="S4" s="86"/>
      <c r="T4" s="85"/>
    </row>
    <row r="5" spans="1:20" x14ac:dyDescent="0.2">
      <c r="A5" s="124"/>
      <c r="B5" s="249" t="s">
        <v>107</v>
      </c>
      <c r="C5" s="197" t="str">
        <f t="shared" si="0"/>
        <v>AM</v>
      </c>
      <c r="D5" s="197" t="str">
        <f t="shared" si="1"/>
        <v>3L</v>
      </c>
      <c r="E5" s="197" t="str">
        <f t="shared" si="2"/>
        <v>1w</v>
      </c>
      <c r="F5" s="197">
        <f t="shared" si="3"/>
        <v>0</v>
      </c>
      <c r="G5" s="197">
        <f t="shared" si="4"/>
        <v>0</v>
      </c>
      <c r="H5" s="248">
        <f t="shared" si="5"/>
        <v>0</v>
      </c>
      <c r="I5" s="108" t="str">
        <f t="shared" si="6"/>
        <v>UsdLiborSwapForBasisCalc3Y</v>
      </c>
      <c r="J5" s="247" t="str">
        <f t="shared" si="7"/>
        <v>USDAM3L3Y_Fwd1w_Quote</v>
      </c>
      <c r="K5" s="247"/>
      <c r="L5" s="250" t="str">
        <f>_xll.ohRangeRetrieveError(K5)</f>
        <v/>
      </c>
      <c r="M5" s="49"/>
      <c r="O5" s="87" t="s">
        <v>128</v>
      </c>
      <c r="P5" s="86" t="s">
        <v>212</v>
      </c>
      <c r="Q5" s="86" t="s">
        <v>126</v>
      </c>
      <c r="R5" s="86" t="s">
        <v>224</v>
      </c>
      <c r="S5" s="86"/>
      <c r="T5" s="85"/>
    </row>
    <row r="6" spans="1:20" x14ac:dyDescent="0.2">
      <c r="A6" s="124"/>
      <c r="B6" s="249" t="s">
        <v>106</v>
      </c>
      <c r="C6" s="197" t="str">
        <f t="shared" si="0"/>
        <v>AM</v>
      </c>
      <c r="D6" s="197" t="str">
        <f t="shared" si="1"/>
        <v>3L</v>
      </c>
      <c r="E6" s="197" t="str">
        <f t="shared" si="2"/>
        <v>1w</v>
      </c>
      <c r="F6" s="197">
        <f t="shared" si="3"/>
        <v>0</v>
      </c>
      <c r="G6" s="197">
        <f t="shared" si="4"/>
        <v>0</v>
      </c>
      <c r="H6" s="248">
        <f t="shared" si="5"/>
        <v>0</v>
      </c>
      <c r="I6" s="108" t="str">
        <f t="shared" si="6"/>
        <v>UsdLiborSwapForBasisCalc4Y</v>
      </c>
      <c r="J6" s="247" t="str">
        <f t="shared" si="7"/>
        <v>USDAM3L4Y_Fwd1w_Quote</v>
      </c>
      <c r="K6" s="247"/>
      <c r="L6" s="250" t="str">
        <f>_xll.ohRangeRetrieveError(K6)</f>
        <v/>
      </c>
      <c r="M6" s="49"/>
      <c r="O6" s="87" t="s">
        <v>127</v>
      </c>
      <c r="P6" s="86" t="s">
        <v>212</v>
      </c>
      <c r="Q6" s="86" t="s">
        <v>126</v>
      </c>
      <c r="R6" s="86" t="s">
        <v>224</v>
      </c>
      <c r="S6" s="86"/>
      <c r="T6" s="85"/>
    </row>
    <row r="7" spans="1:20" ht="12" thickBot="1" x14ac:dyDescent="0.25">
      <c r="A7" s="124"/>
      <c r="B7" s="249" t="s">
        <v>105</v>
      </c>
      <c r="C7" s="197" t="str">
        <f t="shared" si="0"/>
        <v>AM</v>
      </c>
      <c r="D7" s="197" t="str">
        <f t="shared" si="1"/>
        <v>3L</v>
      </c>
      <c r="E7" s="197" t="str">
        <f t="shared" si="2"/>
        <v>1w</v>
      </c>
      <c r="F7" s="197">
        <f t="shared" si="3"/>
        <v>0</v>
      </c>
      <c r="G7" s="197">
        <f t="shared" si="4"/>
        <v>0</v>
      </c>
      <c r="H7" s="248">
        <f t="shared" si="5"/>
        <v>0</v>
      </c>
      <c r="I7" s="108" t="str">
        <f t="shared" si="6"/>
        <v>UsdLiborSwapForBasisCalc5Y</v>
      </c>
      <c r="J7" s="247" t="str">
        <f t="shared" si="7"/>
        <v>USDAM3L5Y_Fwd1w_Quote</v>
      </c>
      <c r="K7" s="247"/>
      <c r="L7" s="250" t="str">
        <f>_xll.ohRangeRetrieveError(K7)</f>
        <v/>
      </c>
      <c r="M7" s="49"/>
      <c r="O7" s="84" t="s">
        <v>122</v>
      </c>
      <c r="P7" s="83" t="s">
        <v>211</v>
      </c>
      <c r="Q7" s="83" t="s">
        <v>125</v>
      </c>
      <c r="R7" s="83" t="s">
        <v>224</v>
      </c>
      <c r="S7" s="83"/>
      <c r="T7" s="82"/>
    </row>
    <row r="8" spans="1:20" x14ac:dyDescent="0.2">
      <c r="A8" s="124"/>
      <c r="B8" s="249" t="s">
        <v>104</v>
      </c>
      <c r="C8" s="197" t="str">
        <f t="shared" si="0"/>
        <v>AM</v>
      </c>
      <c r="D8" s="197" t="str">
        <f t="shared" si="1"/>
        <v>3L</v>
      </c>
      <c r="E8" s="197" t="str">
        <f t="shared" si="2"/>
        <v>1w</v>
      </c>
      <c r="F8" s="197">
        <f t="shared" si="3"/>
        <v>0</v>
      </c>
      <c r="G8" s="197">
        <f t="shared" si="4"/>
        <v>0</v>
      </c>
      <c r="H8" s="248">
        <f t="shared" si="5"/>
        <v>0</v>
      </c>
      <c r="I8" s="108" t="str">
        <f t="shared" si="6"/>
        <v>UsdLiborSwapForBasisCalc6Y</v>
      </c>
      <c r="J8" s="247" t="str">
        <f t="shared" si="7"/>
        <v>USDAM3L6Y_Fwd1w_Quote</v>
      </c>
      <c r="K8" s="247"/>
      <c r="L8" s="250" t="str">
        <f>_xll.ohRangeRetrieveError(K8)</f>
        <v/>
      </c>
      <c r="M8" s="49"/>
    </row>
    <row r="9" spans="1:20" x14ac:dyDescent="0.2">
      <c r="A9" s="124"/>
      <c r="B9" s="249" t="s">
        <v>103</v>
      </c>
      <c r="C9" s="197" t="str">
        <f t="shared" si="0"/>
        <v>AM</v>
      </c>
      <c r="D9" s="197" t="str">
        <f t="shared" si="1"/>
        <v>3L</v>
      </c>
      <c r="E9" s="197" t="str">
        <f t="shared" si="2"/>
        <v>1w</v>
      </c>
      <c r="F9" s="197">
        <f t="shared" si="3"/>
        <v>0</v>
      </c>
      <c r="G9" s="197">
        <f t="shared" si="4"/>
        <v>0</v>
      </c>
      <c r="H9" s="248">
        <f t="shared" si="5"/>
        <v>0</v>
      </c>
      <c r="I9" s="108" t="str">
        <f t="shared" si="6"/>
        <v>UsdLiborSwapForBasisCalc7Y</v>
      </c>
      <c r="J9" s="247" t="str">
        <f t="shared" si="7"/>
        <v>USDAM3L7Y_Fwd1w_Quote</v>
      </c>
      <c r="K9" s="247"/>
      <c r="L9" s="250" t="str">
        <f>_xll.ohRangeRetrieveError(K9)</f>
        <v/>
      </c>
      <c r="M9" s="49"/>
    </row>
    <row r="10" spans="1:20" x14ac:dyDescent="0.2">
      <c r="A10" s="124"/>
      <c r="B10" s="249" t="s">
        <v>102</v>
      </c>
      <c r="C10" s="197" t="str">
        <f t="shared" si="0"/>
        <v>AM</v>
      </c>
      <c r="D10" s="197" t="str">
        <f t="shared" si="1"/>
        <v>3L</v>
      </c>
      <c r="E10" s="197" t="str">
        <f t="shared" si="2"/>
        <v>1w</v>
      </c>
      <c r="F10" s="197">
        <f t="shared" si="3"/>
        <v>0</v>
      </c>
      <c r="G10" s="197">
        <f t="shared" si="4"/>
        <v>0</v>
      </c>
      <c r="H10" s="248">
        <f t="shared" si="5"/>
        <v>0</v>
      </c>
      <c r="I10" s="108" t="str">
        <f t="shared" si="6"/>
        <v>UsdLiborSwapForBasisCalc8Y</v>
      </c>
      <c r="J10" s="247" t="str">
        <f t="shared" si="7"/>
        <v>USDAM3L8Y_Fwd1w_Quote</v>
      </c>
      <c r="K10" s="247"/>
      <c r="L10" s="250" t="str">
        <f>_xll.ohRangeRetrieveError(K10)</f>
        <v/>
      </c>
      <c r="M10" s="49"/>
    </row>
    <row r="11" spans="1:20" x14ac:dyDescent="0.2">
      <c r="A11" s="124"/>
      <c r="B11" s="249" t="s">
        <v>101</v>
      </c>
      <c r="C11" s="197" t="str">
        <f t="shared" si="0"/>
        <v>AM</v>
      </c>
      <c r="D11" s="197" t="str">
        <f t="shared" si="1"/>
        <v>3L</v>
      </c>
      <c r="E11" s="197" t="str">
        <f t="shared" si="2"/>
        <v>1w</v>
      </c>
      <c r="F11" s="197">
        <f t="shared" si="3"/>
        <v>0</v>
      </c>
      <c r="G11" s="197">
        <f t="shared" si="4"/>
        <v>0</v>
      </c>
      <c r="H11" s="248">
        <f t="shared" si="5"/>
        <v>0</v>
      </c>
      <c r="I11" s="108" t="str">
        <f t="shared" si="6"/>
        <v>UsdLiborSwapForBasisCalc9Y</v>
      </c>
      <c r="J11" s="247" t="str">
        <f t="shared" si="7"/>
        <v>USDAM3L9Y_Fwd1w_Quote</v>
      </c>
      <c r="K11" s="247"/>
      <c r="L11" s="250" t="str">
        <f>_xll.ohRangeRetrieveError(K11)</f>
        <v/>
      </c>
      <c r="M11" s="49"/>
    </row>
    <row r="12" spans="1:20" x14ac:dyDescent="0.2">
      <c r="A12" s="124"/>
      <c r="B12" s="249" t="s">
        <v>100</v>
      </c>
      <c r="C12" s="197" t="str">
        <f t="shared" si="0"/>
        <v>AM</v>
      </c>
      <c r="D12" s="197" t="str">
        <f t="shared" si="1"/>
        <v>3L</v>
      </c>
      <c r="E12" s="197" t="str">
        <f t="shared" si="2"/>
        <v>1w</v>
      </c>
      <c r="F12" s="197">
        <f t="shared" si="3"/>
        <v>0</v>
      </c>
      <c r="G12" s="197">
        <f t="shared" si="4"/>
        <v>0</v>
      </c>
      <c r="H12" s="248">
        <f t="shared" si="5"/>
        <v>0</v>
      </c>
      <c r="I12" s="108" t="str">
        <f t="shared" si="6"/>
        <v>UsdLiborSwapForBasisCalc10Y</v>
      </c>
      <c r="J12" s="247" t="str">
        <f t="shared" si="7"/>
        <v>USDAM3L10Y_Fwd1w_Quote</v>
      </c>
      <c r="K12" s="247"/>
      <c r="L12" s="250" t="str">
        <f>_xll.ohRangeRetrieveError(K12)</f>
        <v/>
      </c>
      <c r="M12" s="49"/>
    </row>
    <row r="13" spans="1:20" x14ac:dyDescent="0.2">
      <c r="A13" s="124"/>
      <c r="B13" s="249" t="s">
        <v>99</v>
      </c>
      <c r="C13" s="197" t="str">
        <f t="shared" si="0"/>
        <v>AM</v>
      </c>
      <c r="D13" s="197" t="str">
        <f t="shared" si="1"/>
        <v>3L</v>
      </c>
      <c r="E13" s="197" t="str">
        <f t="shared" si="2"/>
        <v>1w</v>
      </c>
      <c r="F13" s="197">
        <f t="shared" si="3"/>
        <v>0</v>
      </c>
      <c r="G13" s="197">
        <f t="shared" si="4"/>
        <v>0</v>
      </c>
      <c r="H13" s="248">
        <f t="shared" si="5"/>
        <v>0</v>
      </c>
      <c r="I13" s="108" t="str">
        <f t="shared" si="6"/>
        <v>UsdLiborSwapForBasisCalc11Y</v>
      </c>
      <c r="J13" s="247" t="str">
        <f t="shared" si="7"/>
        <v>USDAM3L11Y_Fwd1w_Quote</v>
      </c>
      <c r="K13" s="247"/>
      <c r="L13" s="250" t="str">
        <f>_xll.ohRangeRetrieveError(K13)</f>
        <v/>
      </c>
      <c r="M13" s="49"/>
    </row>
    <row r="14" spans="1:20" x14ac:dyDescent="0.2">
      <c r="A14" s="124"/>
      <c r="B14" s="249" t="s">
        <v>98</v>
      </c>
      <c r="C14" s="197" t="str">
        <f t="shared" si="0"/>
        <v>AM</v>
      </c>
      <c r="D14" s="197" t="str">
        <f t="shared" si="1"/>
        <v>3L</v>
      </c>
      <c r="E14" s="197" t="str">
        <f t="shared" si="2"/>
        <v>1w</v>
      </c>
      <c r="F14" s="197">
        <f t="shared" si="3"/>
        <v>0</v>
      </c>
      <c r="G14" s="197">
        <f t="shared" si="4"/>
        <v>0</v>
      </c>
      <c r="H14" s="248">
        <f t="shared" si="5"/>
        <v>0</v>
      </c>
      <c r="I14" s="108" t="str">
        <f t="shared" si="6"/>
        <v>UsdLiborSwapForBasisCalc12Y</v>
      </c>
      <c r="J14" s="247" t="str">
        <f t="shared" si="7"/>
        <v>USDAM3L12Y_Fwd1w_Quote</v>
      </c>
      <c r="K14" s="247"/>
      <c r="L14" s="250" t="str">
        <f>_xll.ohRangeRetrieveError(K14)</f>
        <v/>
      </c>
      <c r="M14" s="49"/>
    </row>
    <row r="15" spans="1:20" x14ac:dyDescent="0.2">
      <c r="A15" s="124"/>
      <c r="B15" s="249" t="s">
        <v>97</v>
      </c>
      <c r="C15" s="197" t="str">
        <f t="shared" si="0"/>
        <v>AM</v>
      </c>
      <c r="D15" s="197" t="str">
        <f t="shared" si="1"/>
        <v>3L</v>
      </c>
      <c r="E15" s="197" t="str">
        <f t="shared" si="2"/>
        <v>1w</v>
      </c>
      <c r="F15" s="197">
        <f t="shared" si="3"/>
        <v>0</v>
      </c>
      <c r="G15" s="197">
        <f t="shared" si="4"/>
        <v>0</v>
      </c>
      <c r="H15" s="248">
        <f t="shared" si="5"/>
        <v>0</v>
      </c>
      <c r="I15" s="108" t="str">
        <f t="shared" si="6"/>
        <v>UsdLiborSwapForBasisCalc13Y</v>
      </c>
      <c r="J15" s="247" t="str">
        <f t="shared" si="7"/>
        <v>USDAM3L13Y_Fwd1w_Quote</v>
      </c>
      <c r="K15" s="247"/>
      <c r="L15" s="250" t="str">
        <f>_xll.ohRangeRetrieveError(K15)</f>
        <v/>
      </c>
      <c r="M15" s="49"/>
    </row>
    <row r="16" spans="1:20" x14ac:dyDescent="0.2">
      <c r="A16" s="124"/>
      <c r="B16" s="249" t="s">
        <v>96</v>
      </c>
      <c r="C16" s="197" t="str">
        <f t="shared" si="0"/>
        <v>AM</v>
      </c>
      <c r="D16" s="197" t="str">
        <f t="shared" si="1"/>
        <v>3L</v>
      </c>
      <c r="E16" s="197" t="str">
        <f t="shared" si="2"/>
        <v>1w</v>
      </c>
      <c r="F16" s="197">
        <f t="shared" si="3"/>
        <v>0</v>
      </c>
      <c r="G16" s="197">
        <f t="shared" si="4"/>
        <v>0</v>
      </c>
      <c r="H16" s="248">
        <f t="shared" si="5"/>
        <v>0</v>
      </c>
      <c r="I16" s="108" t="str">
        <f t="shared" si="6"/>
        <v>UsdLiborSwapForBasisCalc14Y</v>
      </c>
      <c r="J16" s="247" t="str">
        <f t="shared" si="7"/>
        <v>USDAM3L14Y_Fwd1w_Quote</v>
      </c>
      <c r="K16" s="247"/>
      <c r="L16" s="250" t="str">
        <f>_xll.ohRangeRetrieveError(K16)</f>
        <v/>
      </c>
      <c r="M16" s="49"/>
    </row>
    <row r="17" spans="1:13" x14ac:dyDescent="0.2">
      <c r="A17" s="124"/>
      <c r="B17" s="249" t="s">
        <v>95</v>
      </c>
      <c r="C17" s="197" t="str">
        <f t="shared" si="0"/>
        <v>AM</v>
      </c>
      <c r="D17" s="197" t="str">
        <f t="shared" si="1"/>
        <v>3L</v>
      </c>
      <c r="E17" s="197" t="str">
        <f t="shared" si="2"/>
        <v>1w</v>
      </c>
      <c r="F17" s="197">
        <f t="shared" si="3"/>
        <v>0</v>
      </c>
      <c r="G17" s="197">
        <f t="shared" si="4"/>
        <v>0</v>
      </c>
      <c r="H17" s="248">
        <f t="shared" si="5"/>
        <v>0</v>
      </c>
      <c r="I17" s="108" t="str">
        <f t="shared" si="6"/>
        <v>UsdLiborSwapForBasisCalc15Y</v>
      </c>
      <c r="J17" s="247" t="str">
        <f t="shared" si="7"/>
        <v>USDAM3L15Y_Fwd1w_Quote</v>
      </c>
      <c r="K17" s="247"/>
      <c r="L17" s="250" t="str">
        <f>_xll.ohRangeRetrieveError(K17)</f>
        <v/>
      </c>
      <c r="M17" s="49"/>
    </row>
    <row r="18" spans="1:13" x14ac:dyDescent="0.2">
      <c r="A18" s="124"/>
      <c r="B18" s="249" t="s">
        <v>94</v>
      </c>
      <c r="C18" s="197" t="str">
        <f t="shared" si="0"/>
        <v>AM</v>
      </c>
      <c r="D18" s="197" t="str">
        <f t="shared" si="1"/>
        <v>3L</v>
      </c>
      <c r="E18" s="197" t="str">
        <f t="shared" si="2"/>
        <v>1w</v>
      </c>
      <c r="F18" s="197">
        <f t="shared" si="3"/>
        <v>0</v>
      </c>
      <c r="G18" s="197">
        <f t="shared" si="4"/>
        <v>0</v>
      </c>
      <c r="H18" s="248">
        <f t="shared" si="5"/>
        <v>0</v>
      </c>
      <c r="I18" s="108" t="str">
        <f t="shared" si="6"/>
        <v>UsdLiborSwapForBasisCalc16Y</v>
      </c>
      <c r="J18" s="247" t="str">
        <f t="shared" si="7"/>
        <v>USDAM3L16Y_Fwd1w_Quote</v>
      </c>
      <c r="K18" s="247"/>
      <c r="L18" s="250" t="str">
        <f>_xll.ohRangeRetrieveError(K18)</f>
        <v/>
      </c>
      <c r="M18" s="49"/>
    </row>
    <row r="19" spans="1:13" x14ac:dyDescent="0.2">
      <c r="A19" s="124"/>
      <c r="B19" s="249" t="s">
        <v>93</v>
      </c>
      <c r="C19" s="197" t="str">
        <f t="shared" si="0"/>
        <v>AM</v>
      </c>
      <c r="D19" s="197" t="str">
        <f t="shared" si="1"/>
        <v>3L</v>
      </c>
      <c r="E19" s="197" t="str">
        <f t="shared" si="2"/>
        <v>1w</v>
      </c>
      <c r="F19" s="197">
        <f t="shared" si="3"/>
        <v>0</v>
      </c>
      <c r="G19" s="197">
        <f t="shared" si="4"/>
        <v>0</v>
      </c>
      <c r="H19" s="248">
        <f t="shared" si="5"/>
        <v>0</v>
      </c>
      <c r="I19" s="108" t="str">
        <f t="shared" si="6"/>
        <v>UsdLiborSwapForBasisCalc17Y</v>
      </c>
      <c r="J19" s="247" t="str">
        <f t="shared" si="7"/>
        <v>USDAM3L17Y_Fwd1w_Quote</v>
      </c>
      <c r="K19" s="247"/>
      <c r="L19" s="250" t="str">
        <f>_xll.ohRangeRetrieveError(K19)</f>
        <v/>
      </c>
      <c r="M19" s="49"/>
    </row>
    <row r="20" spans="1:13" x14ac:dyDescent="0.2">
      <c r="A20" s="124"/>
      <c r="B20" s="249" t="s">
        <v>92</v>
      </c>
      <c r="C20" s="197" t="str">
        <f t="shared" si="0"/>
        <v>AM</v>
      </c>
      <c r="D20" s="197" t="str">
        <f t="shared" si="1"/>
        <v>3L</v>
      </c>
      <c r="E20" s="197" t="str">
        <f t="shared" si="2"/>
        <v>1w</v>
      </c>
      <c r="F20" s="197">
        <f t="shared" si="3"/>
        <v>0</v>
      </c>
      <c r="G20" s="197">
        <f t="shared" si="4"/>
        <v>0</v>
      </c>
      <c r="H20" s="248">
        <f t="shared" si="5"/>
        <v>0</v>
      </c>
      <c r="I20" s="108" t="str">
        <f t="shared" si="6"/>
        <v>UsdLiborSwapForBasisCalc18Y</v>
      </c>
      <c r="J20" s="247" t="str">
        <f t="shared" si="7"/>
        <v>USDAM3L18Y_Fwd1w_Quote</v>
      </c>
      <c r="K20" s="247"/>
      <c r="L20" s="250" t="str">
        <f>_xll.ohRangeRetrieveError(K20)</f>
        <v/>
      </c>
      <c r="M20" s="49"/>
    </row>
    <row r="21" spans="1:13" x14ac:dyDescent="0.2">
      <c r="A21" s="124"/>
      <c r="B21" s="249" t="s">
        <v>91</v>
      </c>
      <c r="C21" s="197" t="str">
        <f t="shared" si="0"/>
        <v>AM</v>
      </c>
      <c r="D21" s="197" t="str">
        <f t="shared" si="1"/>
        <v>3L</v>
      </c>
      <c r="E21" s="197" t="str">
        <f t="shared" si="2"/>
        <v>1w</v>
      </c>
      <c r="F21" s="197">
        <f t="shared" si="3"/>
        <v>0</v>
      </c>
      <c r="G21" s="197">
        <f t="shared" si="4"/>
        <v>0</v>
      </c>
      <c r="H21" s="248">
        <f t="shared" si="5"/>
        <v>0</v>
      </c>
      <c r="I21" s="108" t="str">
        <f t="shared" si="6"/>
        <v>UsdLiborSwapForBasisCalc19Y</v>
      </c>
      <c r="J21" s="247" t="str">
        <f t="shared" si="7"/>
        <v>USDAM3L19Y_Fwd1w_Quote</v>
      </c>
      <c r="K21" s="247"/>
      <c r="L21" s="250" t="str">
        <f>_xll.ohRangeRetrieveError(K21)</f>
        <v/>
      </c>
      <c r="M21" s="49"/>
    </row>
    <row r="22" spans="1:13" x14ac:dyDescent="0.2">
      <c r="A22" s="124"/>
      <c r="B22" s="249" t="s">
        <v>90</v>
      </c>
      <c r="C22" s="197" t="str">
        <f t="shared" si="0"/>
        <v>AM</v>
      </c>
      <c r="D22" s="197" t="str">
        <f t="shared" si="1"/>
        <v>3L</v>
      </c>
      <c r="E22" s="197" t="str">
        <f t="shared" si="2"/>
        <v>1w</v>
      </c>
      <c r="F22" s="197">
        <f t="shared" si="3"/>
        <v>0</v>
      </c>
      <c r="G22" s="197">
        <f t="shared" si="4"/>
        <v>0</v>
      </c>
      <c r="H22" s="248">
        <f t="shared" si="5"/>
        <v>0</v>
      </c>
      <c r="I22" s="108" t="str">
        <f t="shared" si="6"/>
        <v>UsdLiborSwapForBasisCalc20Y</v>
      </c>
      <c r="J22" s="247" t="str">
        <f t="shared" si="7"/>
        <v>USDAM3L20Y_Fwd1w_Quote</v>
      </c>
      <c r="K22" s="247"/>
      <c r="L22" s="250" t="str">
        <f>_xll.ohRangeRetrieveError(K22)</f>
        <v/>
      </c>
      <c r="M22" s="49"/>
    </row>
    <row r="23" spans="1:13" x14ac:dyDescent="0.2">
      <c r="A23" s="124"/>
      <c r="B23" s="249" t="s">
        <v>89</v>
      </c>
      <c r="C23" s="197" t="str">
        <f t="shared" si="0"/>
        <v>AM</v>
      </c>
      <c r="D23" s="197" t="str">
        <f t="shared" si="1"/>
        <v>3L</v>
      </c>
      <c r="E23" s="197" t="str">
        <f t="shared" si="2"/>
        <v>1w</v>
      </c>
      <c r="F23" s="197">
        <f t="shared" si="3"/>
        <v>0</v>
      </c>
      <c r="G23" s="197">
        <f t="shared" si="4"/>
        <v>0</v>
      </c>
      <c r="H23" s="248">
        <f t="shared" si="5"/>
        <v>0</v>
      </c>
      <c r="I23" s="108" t="str">
        <f t="shared" si="6"/>
        <v>UsdLiborSwapForBasisCalc21Y</v>
      </c>
      <c r="J23" s="247" t="str">
        <f t="shared" si="7"/>
        <v>USDAM3L21Y_Fwd1w_Quote</v>
      </c>
      <c r="K23" s="247"/>
      <c r="L23" s="250" t="str">
        <f>_xll.ohRangeRetrieveError(K23)</f>
        <v/>
      </c>
      <c r="M23" s="49"/>
    </row>
    <row r="24" spans="1:13" x14ac:dyDescent="0.2">
      <c r="A24" s="124"/>
      <c r="B24" s="249" t="s">
        <v>88</v>
      </c>
      <c r="C24" s="197" t="str">
        <f t="shared" si="0"/>
        <v>AM</v>
      </c>
      <c r="D24" s="197" t="str">
        <f t="shared" si="1"/>
        <v>3L</v>
      </c>
      <c r="E24" s="197" t="str">
        <f t="shared" si="2"/>
        <v>1w</v>
      </c>
      <c r="F24" s="197">
        <f t="shared" si="3"/>
        <v>0</v>
      </c>
      <c r="G24" s="197">
        <f t="shared" si="4"/>
        <v>0</v>
      </c>
      <c r="H24" s="248">
        <f t="shared" si="5"/>
        <v>0</v>
      </c>
      <c r="I24" s="108" t="str">
        <f t="shared" si="6"/>
        <v>UsdLiborSwapForBasisCalc22Y</v>
      </c>
      <c r="J24" s="247" t="str">
        <f t="shared" si="7"/>
        <v>USDAM3L22Y_Fwd1w_Quote</v>
      </c>
      <c r="K24" s="247"/>
      <c r="L24" s="250" t="str">
        <f>_xll.ohRangeRetrieveError(K24)</f>
        <v/>
      </c>
      <c r="M24" s="49"/>
    </row>
    <row r="25" spans="1:13" x14ac:dyDescent="0.2">
      <c r="A25" s="124"/>
      <c r="B25" s="249" t="s">
        <v>87</v>
      </c>
      <c r="C25" s="197" t="str">
        <f t="shared" si="0"/>
        <v>AM</v>
      </c>
      <c r="D25" s="197" t="str">
        <f t="shared" si="1"/>
        <v>3L</v>
      </c>
      <c r="E25" s="197" t="str">
        <f t="shared" si="2"/>
        <v>1w</v>
      </c>
      <c r="F25" s="197">
        <f t="shared" si="3"/>
        <v>0</v>
      </c>
      <c r="G25" s="197">
        <f t="shared" si="4"/>
        <v>0</v>
      </c>
      <c r="H25" s="248">
        <f t="shared" si="5"/>
        <v>0</v>
      </c>
      <c r="I25" s="108" t="str">
        <f t="shared" si="6"/>
        <v>UsdLiborSwapForBasisCalc23Y</v>
      </c>
      <c r="J25" s="247" t="str">
        <f t="shared" si="7"/>
        <v>USDAM3L23Y_Fwd1w_Quote</v>
      </c>
      <c r="K25" s="247"/>
      <c r="L25" s="250" t="str">
        <f>_xll.ohRangeRetrieveError(K25)</f>
        <v/>
      </c>
      <c r="M25" s="49"/>
    </row>
    <row r="26" spans="1:13" x14ac:dyDescent="0.2">
      <c r="A26" s="124"/>
      <c r="B26" s="249" t="s">
        <v>86</v>
      </c>
      <c r="C26" s="197" t="str">
        <f t="shared" si="0"/>
        <v>AM</v>
      </c>
      <c r="D26" s="197" t="str">
        <f t="shared" si="1"/>
        <v>3L</v>
      </c>
      <c r="E26" s="197" t="str">
        <f t="shared" si="2"/>
        <v>1w</v>
      </c>
      <c r="F26" s="197">
        <f t="shared" si="3"/>
        <v>0</v>
      </c>
      <c r="G26" s="197">
        <f t="shared" si="4"/>
        <v>0</v>
      </c>
      <c r="H26" s="248">
        <f t="shared" si="5"/>
        <v>0</v>
      </c>
      <c r="I26" s="108" t="str">
        <f t="shared" si="6"/>
        <v>UsdLiborSwapForBasisCalc24Y</v>
      </c>
      <c r="J26" s="247" t="str">
        <f t="shared" si="7"/>
        <v>USDAM3L24Y_Fwd1w_Quote</v>
      </c>
      <c r="K26" s="247"/>
      <c r="L26" s="250" t="str">
        <f>_xll.ohRangeRetrieveError(K26)</f>
        <v/>
      </c>
      <c r="M26" s="49"/>
    </row>
    <row r="27" spans="1:13" x14ac:dyDescent="0.2">
      <c r="A27" s="124"/>
      <c r="B27" s="249" t="s">
        <v>85</v>
      </c>
      <c r="C27" s="197" t="str">
        <f t="shared" si="0"/>
        <v>AM</v>
      </c>
      <c r="D27" s="197" t="str">
        <f t="shared" si="1"/>
        <v>3L</v>
      </c>
      <c r="E27" s="197" t="str">
        <f t="shared" si="2"/>
        <v>1w</v>
      </c>
      <c r="F27" s="197">
        <f t="shared" si="3"/>
        <v>0</v>
      </c>
      <c r="G27" s="197">
        <f t="shared" si="4"/>
        <v>0</v>
      </c>
      <c r="H27" s="248">
        <f t="shared" si="5"/>
        <v>0</v>
      </c>
      <c r="I27" s="108" t="str">
        <f t="shared" si="6"/>
        <v>UsdLiborSwapForBasisCalc25Y</v>
      </c>
      <c r="J27" s="247" t="str">
        <f t="shared" si="7"/>
        <v>USDAM3L25Y_Fwd1w_Quote</v>
      </c>
      <c r="K27" s="247"/>
      <c r="L27" s="250" t="str">
        <f>_xll.ohRangeRetrieveError(K27)</f>
        <v/>
      </c>
      <c r="M27" s="49"/>
    </row>
    <row r="28" spans="1:13" x14ac:dyDescent="0.2">
      <c r="A28" s="124"/>
      <c r="B28" s="249" t="s">
        <v>84</v>
      </c>
      <c r="C28" s="197" t="str">
        <f t="shared" si="0"/>
        <v>AM</v>
      </c>
      <c r="D28" s="197" t="str">
        <f t="shared" si="1"/>
        <v>3L</v>
      </c>
      <c r="E28" s="197" t="str">
        <f t="shared" si="2"/>
        <v>1w</v>
      </c>
      <c r="F28" s="197">
        <f t="shared" si="3"/>
        <v>0</v>
      </c>
      <c r="G28" s="197">
        <f t="shared" si="4"/>
        <v>0</v>
      </c>
      <c r="H28" s="248">
        <f t="shared" si="5"/>
        <v>0</v>
      </c>
      <c r="I28" s="108" t="str">
        <f t="shared" si="6"/>
        <v>UsdLiborSwapForBasisCalc26Y</v>
      </c>
      <c r="J28" s="247" t="str">
        <f t="shared" si="7"/>
        <v>USDAM3L26Y_Fwd1w_Quote</v>
      </c>
      <c r="K28" s="247"/>
      <c r="L28" s="250" t="str">
        <f>_xll.ohRangeRetrieveError(K28)</f>
        <v/>
      </c>
      <c r="M28" s="49"/>
    </row>
    <row r="29" spans="1:13" x14ac:dyDescent="0.2">
      <c r="A29" s="124"/>
      <c r="B29" s="249" t="s">
        <v>83</v>
      </c>
      <c r="C29" s="197" t="str">
        <f t="shared" si="0"/>
        <v>AM</v>
      </c>
      <c r="D29" s="197" t="str">
        <f t="shared" si="1"/>
        <v>3L</v>
      </c>
      <c r="E29" s="197" t="str">
        <f t="shared" si="2"/>
        <v>1w</v>
      </c>
      <c r="F29" s="197">
        <f t="shared" si="3"/>
        <v>0</v>
      </c>
      <c r="G29" s="197">
        <f t="shared" si="4"/>
        <v>0</v>
      </c>
      <c r="H29" s="248">
        <f t="shared" si="5"/>
        <v>0</v>
      </c>
      <c r="I29" s="108" t="str">
        <f t="shared" si="6"/>
        <v>UsdLiborSwapForBasisCalc27Y</v>
      </c>
      <c r="J29" s="247" t="str">
        <f t="shared" si="7"/>
        <v>USDAM3L27Y_Fwd1w_Quote</v>
      </c>
      <c r="K29" s="247"/>
      <c r="L29" s="250" t="str">
        <f>_xll.ohRangeRetrieveError(K29)</f>
        <v/>
      </c>
      <c r="M29" s="49"/>
    </row>
    <row r="30" spans="1:13" x14ac:dyDescent="0.2">
      <c r="A30" s="124"/>
      <c r="B30" s="249" t="s">
        <v>82</v>
      </c>
      <c r="C30" s="197" t="str">
        <f t="shared" si="0"/>
        <v>AM</v>
      </c>
      <c r="D30" s="197" t="str">
        <f t="shared" si="1"/>
        <v>3L</v>
      </c>
      <c r="E30" s="197" t="str">
        <f t="shared" si="2"/>
        <v>1w</v>
      </c>
      <c r="F30" s="197">
        <f t="shared" si="3"/>
        <v>0</v>
      </c>
      <c r="G30" s="197">
        <f t="shared" si="4"/>
        <v>0</v>
      </c>
      <c r="H30" s="248">
        <f t="shared" si="5"/>
        <v>0</v>
      </c>
      <c r="I30" s="108" t="str">
        <f t="shared" si="6"/>
        <v>UsdLiborSwapForBasisCalc28Y</v>
      </c>
      <c r="J30" s="247" t="str">
        <f t="shared" si="7"/>
        <v>USDAM3L28Y_Fwd1w_Quote</v>
      </c>
      <c r="K30" s="247"/>
      <c r="L30" s="250" t="str">
        <f>_xll.ohRangeRetrieveError(K30)</f>
        <v/>
      </c>
      <c r="M30" s="49"/>
    </row>
    <row r="31" spans="1:13" x14ac:dyDescent="0.2">
      <c r="A31" s="124"/>
      <c r="B31" s="249" t="s">
        <v>81</v>
      </c>
      <c r="C31" s="197" t="str">
        <f t="shared" si="0"/>
        <v>AM</v>
      </c>
      <c r="D31" s="197" t="str">
        <f t="shared" si="1"/>
        <v>3L</v>
      </c>
      <c r="E31" s="197" t="str">
        <f t="shared" si="2"/>
        <v>1w</v>
      </c>
      <c r="F31" s="197">
        <f t="shared" si="3"/>
        <v>0</v>
      </c>
      <c r="G31" s="197">
        <f t="shared" si="4"/>
        <v>0</v>
      </c>
      <c r="H31" s="248">
        <f t="shared" si="5"/>
        <v>0</v>
      </c>
      <c r="I31" s="108" t="str">
        <f t="shared" si="6"/>
        <v>UsdLiborSwapForBasisCalc29Y</v>
      </c>
      <c r="J31" s="247" t="str">
        <f t="shared" si="7"/>
        <v>USDAM3L29Y_Fwd1w_Quote</v>
      </c>
      <c r="K31" s="247"/>
      <c r="L31" s="250" t="str">
        <f>_xll.ohRangeRetrieveError(K31)</f>
        <v/>
      </c>
      <c r="M31" s="49"/>
    </row>
    <row r="32" spans="1:13" x14ac:dyDescent="0.2">
      <c r="A32" s="124"/>
      <c r="B32" s="249" t="s">
        <v>80</v>
      </c>
      <c r="C32" s="197" t="str">
        <f t="shared" si="0"/>
        <v>AM</v>
      </c>
      <c r="D32" s="197" t="str">
        <f t="shared" si="1"/>
        <v>3L</v>
      </c>
      <c r="E32" s="197" t="str">
        <f t="shared" si="2"/>
        <v>1w</v>
      </c>
      <c r="F32" s="197">
        <f t="shared" si="3"/>
        <v>0</v>
      </c>
      <c r="G32" s="197">
        <f t="shared" si="4"/>
        <v>0</v>
      </c>
      <c r="H32" s="248">
        <f t="shared" si="5"/>
        <v>0</v>
      </c>
      <c r="I32" s="108" t="str">
        <f t="shared" si="6"/>
        <v>UsdLiborSwapForBasisCalc30Y</v>
      </c>
      <c r="J32" s="247" t="str">
        <f t="shared" si="7"/>
        <v>USDAM3L30Y_Fwd1w_Quote</v>
      </c>
      <c r="K32" s="247"/>
      <c r="L32" s="250" t="str">
        <f>_xll.ohRangeRetrieveError(K32)</f>
        <v/>
      </c>
      <c r="M32" s="49"/>
    </row>
    <row r="33" spans="1:13" x14ac:dyDescent="0.2">
      <c r="A33" s="124"/>
      <c r="B33" s="249" t="s">
        <v>75</v>
      </c>
      <c r="C33" s="197" t="str">
        <f t="shared" si="0"/>
        <v>AM</v>
      </c>
      <c r="D33" s="197" t="str">
        <f t="shared" si="1"/>
        <v>3L</v>
      </c>
      <c r="E33" s="197" t="str">
        <f t="shared" si="2"/>
        <v>1w</v>
      </c>
      <c r="F33" s="197">
        <f t="shared" si="3"/>
        <v>0</v>
      </c>
      <c r="G33" s="197">
        <f t="shared" si="4"/>
        <v>0</v>
      </c>
      <c r="H33" s="248">
        <f t="shared" si="5"/>
        <v>0</v>
      </c>
      <c r="I33" s="108" t="str">
        <f t="shared" si="6"/>
        <v>UsdLiborSwapForBasisCalc35Y</v>
      </c>
      <c r="J33" s="247" t="str">
        <f t="shared" si="7"/>
        <v>USDAM3L35Y_Fwd1w_Quote</v>
      </c>
      <c r="K33" s="247"/>
      <c r="L33" s="250" t="str">
        <f>_xll.ohRangeRetrieveError(K33)</f>
        <v/>
      </c>
      <c r="M33" s="49"/>
    </row>
    <row r="34" spans="1:13" x14ac:dyDescent="0.2">
      <c r="A34" s="124"/>
      <c r="B34" s="249" t="s">
        <v>70</v>
      </c>
      <c r="C34" s="197" t="str">
        <f t="shared" si="0"/>
        <v>AM</v>
      </c>
      <c r="D34" s="197" t="str">
        <f t="shared" si="1"/>
        <v>3L</v>
      </c>
      <c r="E34" s="197" t="str">
        <f t="shared" si="2"/>
        <v>1w</v>
      </c>
      <c r="F34" s="197">
        <f t="shared" si="3"/>
        <v>0</v>
      </c>
      <c r="G34" s="197">
        <f t="shared" si="4"/>
        <v>0</v>
      </c>
      <c r="H34" s="248">
        <f t="shared" si="5"/>
        <v>0</v>
      </c>
      <c r="I34" s="108" t="str">
        <f t="shared" si="6"/>
        <v>UsdLiborSwapForBasisCalc40Y</v>
      </c>
      <c r="J34" s="247" t="str">
        <f t="shared" si="7"/>
        <v>USDAM3L40Y_Fwd1w_Quote</v>
      </c>
      <c r="K34" s="247"/>
      <c r="L34" s="250" t="str">
        <f>_xll.ohRangeRetrieveError(K34)</f>
        <v/>
      </c>
      <c r="M34" s="49"/>
    </row>
    <row r="35" spans="1:13" x14ac:dyDescent="0.2">
      <c r="A35" s="124"/>
      <c r="B35" s="249" t="s">
        <v>60</v>
      </c>
      <c r="C35" s="197" t="str">
        <f t="shared" si="0"/>
        <v>AM</v>
      </c>
      <c r="D35" s="197" t="str">
        <f t="shared" si="1"/>
        <v>3L</v>
      </c>
      <c r="E35" s="197" t="str">
        <f t="shared" si="2"/>
        <v>1w</v>
      </c>
      <c r="F35" s="197">
        <f t="shared" si="3"/>
        <v>0</v>
      </c>
      <c r="G35" s="197">
        <f t="shared" si="4"/>
        <v>0</v>
      </c>
      <c r="H35" s="248">
        <f t="shared" si="5"/>
        <v>0</v>
      </c>
      <c r="I35" s="108" t="str">
        <f t="shared" si="6"/>
        <v>UsdLiborSwapForBasisCalc50Y</v>
      </c>
      <c r="J35" s="247" t="str">
        <f t="shared" si="7"/>
        <v>USDAM3L50Y_Fwd1w_Quote</v>
      </c>
      <c r="K35" s="247"/>
      <c r="L35" s="250" t="str">
        <f>_xll.ohRangeRetrieveError(K35)</f>
        <v/>
      </c>
      <c r="M35" s="49"/>
    </row>
    <row r="36" spans="1:13" x14ac:dyDescent="0.2">
      <c r="A36" s="124"/>
      <c r="B36" s="249" t="s">
        <v>50</v>
      </c>
      <c r="C36" s="197" t="str">
        <f t="shared" si="0"/>
        <v>AM</v>
      </c>
      <c r="D36" s="197" t="str">
        <f t="shared" si="1"/>
        <v>3L</v>
      </c>
      <c r="E36" s="197" t="str">
        <f t="shared" si="2"/>
        <v>1w</v>
      </c>
      <c r="F36" s="197">
        <f t="shared" si="3"/>
        <v>0</v>
      </c>
      <c r="G36" s="197">
        <f t="shared" si="4"/>
        <v>0</v>
      </c>
      <c r="H36" s="248">
        <f t="shared" si="5"/>
        <v>0</v>
      </c>
      <c r="I36" s="108" t="str">
        <f t="shared" si="6"/>
        <v>UsdLiborSwapForBasisCalc60Y</v>
      </c>
      <c r="J36" s="247" t="str">
        <f t="shared" si="7"/>
        <v>USDAM3L60Y_Fwd1w_Quote</v>
      </c>
      <c r="K36" s="247"/>
      <c r="L36" s="76" t="str">
        <f>_xll.ohRangeRetrieveError(K36)</f>
        <v/>
      </c>
      <c r="M36" s="49"/>
    </row>
    <row r="37" spans="1:13" ht="12" thickBot="1" x14ac:dyDescent="0.25">
      <c r="A37" s="48"/>
      <c r="B37" s="47"/>
      <c r="C37" s="47"/>
      <c r="D37" s="47"/>
      <c r="E37" s="47"/>
      <c r="F37" s="47"/>
      <c r="G37" s="47"/>
      <c r="H37" s="47"/>
      <c r="I37" s="47"/>
      <c r="J37" s="47"/>
      <c r="K37" s="118"/>
      <c r="L37" s="118"/>
      <c r="M37" s="46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3.2851562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24" t="s">
        <v>229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56"/>
      <c r="M1" s="203"/>
    </row>
    <row r="2" spans="1:20" ht="22.5" x14ac:dyDescent="0.2">
      <c r="A2" s="124"/>
      <c r="B2" s="94"/>
      <c r="C2" s="94"/>
      <c r="D2" s="94"/>
      <c r="E2" s="94" t="s">
        <v>227</v>
      </c>
      <c r="F2" s="94"/>
      <c r="G2" s="94"/>
      <c r="H2" s="94" t="s">
        <v>226</v>
      </c>
      <c r="I2" s="94" t="s">
        <v>225</v>
      </c>
      <c r="J2" s="253" t="str">
        <f>Currency&amp;"_020_Sw"&amp;$C$3&amp;$D$3&amp;"_"&amp;"Fwd"&amp;$E$3&amp;IF(H3=0,,"_Spr"&amp;$F3&amp;$G3)&amp;".xml"</f>
        <v>USD_020_SwAM6L_Fwd1w.xml</v>
      </c>
      <c r="K2" s="111" t="e">
        <f ca="1">IF(Serialize,_xll.ohObjectSave(K3:K36,SerializationPath&amp;J2,FileOverwrite,Serialize),"---")</f>
        <v>#NUM!</v>
      </c>
      <c r="L2" s="76" t="e">
        <f ca="1">_xll.ohRangeRetrieveError(K2)</f>
        <v>#NUM!</v>
      </c>
      <c r="M2" s="49"/>
      <c r="O2" s="215"/>
      <c r="P2" s="214"/>
      <c r="Q2" s="214"/>
      <c r="R2" s="214"/>
      <c r="S2" s="214"/>
      <c r="T2" s="213"/>
    </row>
    <row r="3" spans="1:20" x14ac:dyDescent="0.2">
      <c r="A3" s="124"/>
      <c r="B3" s="80" t="s">
        <v>29</v>
      </c>
      <c r="C3" s="197" t="str">
        <f t="shared" ref="C3:C36" si="0">VLOOKUP(Currency,$O$3:$T$7,2)</f>
        <v>AM</v>
      </c>
      <c r="D3" s="197" t="str">
        <f t="shared" ref="D3:D36" si="1">VLOOKUP(Currency,$O$3:$T$7,3)</f>
        <v>6L</v>
      </c>
      <c r="E3" s="197" t="str">
        <f t="shared" ref="E3:E36" si="2">VLOOKUP(Currency,$O$3:$T$7,4)</f>
        <v>1w</v>
      </c>
      <c r="F3" s="197">
        <f t="shared" ref="F3:F36" si="3">VLOOKUP(Currency,$O$3:$T$7,5)</f>
        <v>0</v>
      </c>
      <c r="G3" s="197">
        <f t="shared" ref="G3:G36" si="4">VLOOKUP(Currency,$O$3:$T$7,6)</f>
        <v>0</v>
      </c>
      <c r="H3" s="248">
        <f t="shared" ref="H3:H36" si="5">IF(F3=0,0,Currency&amp;$F3&amp;$G3&amp;$B3&amp;QuoteSuffix)</f>
        <v>0</v>
      </c>
      <c r="I3" s="251" t="str">
        <f t="shared" ref="I3:I36" si="6">PROPER(Currency)&amp;FamilyName&amp;"Swap"&amp;FixingType&amp;$B3</f>
        <v>UsdLiborSwapForBasisCalc1Y</v>
      </c>
      <c r="J3" s="247" t="str">
        <f t="shared" ref="J3:J36" si="7">Currency&amp;$C3&amp;$D3&amp;$B3&amp;"_"&amp;"Fwd"&amp;E3&amp;IF(H3=0,,"_S"&amp;$F3&amp;$G3)&amp;QuoteSuffix</f>
        <v>USDAM6L1Y_Fwd1w_Quote</v>
      </c>
      <c r="K3" s="247"/>
      <c r="L3" s="257" t="str">
        <f>_xll.ohRangeRetrieveError(K3)</f>
        <v/>
      </c>
      <c r="M3" s="49"/>
      <c r="O3" s="87" t="s">
        <v>132</v>
      </c>
      <c r="P3" s="86" t="s">
        <v>213</v>
      </c>
      <c r="Q3" s="86" t="s">
        <v>126</v>
      </c>
      <c r="R3" s="86" t="s">
        <v>224</v>
      </c>
      <c r="S3" s="86"/>
      <c r="T3" s="85"/>
    </row>
    <row r="4" spans="1:20" x14ac:dyDescent="0.2">
      <c r="A4" s="124"/>
      <c r="B4" s="80" t="s">
        <v>108</v>
      </c>
      <c r="C4" s="197" t="str">
        <f t="shared" si="0"/>
        <v>AM</v>
      </c>
      <c r="D4" s="197" t="str">
        <f t="shared" si="1"/>
        <v>6L</v>
      </c>
      <c r="E4" s="197" t="str">
        <f t="shared" si="2"/>
        <v>1w</v>
      </c>
      <c r="F4" s="197">
        <f t="shared" si="3"/>
        <v>0</v>
      </c>
      <c r="G4" s="197">
        <f t="shared" si="4"/>
        <v>0</v>
      </c>
      <c r="H4" s="248">
        <f t="shared" si="5"/>
        <v>0</v>
      </c>
      <c r="I4" s="108" t="str">
        <f t="shared" si="6"/>
        <v>UsdLiborSwapForBasisCalc2Y</v>
      </c>
      <c r="J4" s="247" t="str">
        <f t="shared" si="7"/>
        <v>USDAM6L2Y_Fwd1w_Quote</v>
      </c>
      <c r="K4" s="247"/>
      <c r="L4" s="257" t="str">
        <f>_xll.ohRangeRetrieveError(K4)</f>
        <v/>
      </c>
      <c r="M4" s="49"/>
      <c r="O4" s="87" t="s">
        <v>131</v>
      </c>
      <c r="P4" s="86" t="s">
        <v>213</v>
      </c>
      <c r="Q4" s="86" t="s">
        <v>129</v>
      </c>
      <c r="R4" s="86" t="s">
        <v>224</v>
      </c>
      <c r="S4" s="86"/>
      <c r="T4" s="85"/>
    </row>
    <row r="5" spans="1:20" x14ac:dyDescent="0.2">
      <c r="A5" s="124"/>
      <c r="B5" s="80" t="s">
        <v>107</v>
      </c>
      <c r="C5" s="197" t="str">
        <f t="shared" si="0"/>
        <v>AM</v>
      </c>
      <c r="D5" s="197" t="str">
        <f t="shared" si="1"/>
        <v>6L</v>
      </c>
      <c r="E5" s="197" t="str">
        <f t="shared" si="2"/>
        <v>1w</v>
      </c>
      <c r="F5" s="197">
        <f t="shared" si="3"/>
        <v>0</v>
      </c>
      <c r="G5" s="197">
        <f t="shared" si="4"/>
        <v>0</v>
      </c>
      <c r="H5" s="248">
        <f t="shared" si="5"/>
        <v>0</v>
      </c>
      <c r="I5" s="108" t="str">
        <f t="shared" si="6"/>
        <v>UsdLiborSwapForBasisCalc3Y</v>
      </c>
      <c r="J5" s="247" t="str">
        <f t="shared" si="7"/>
        <v>USDAM6L3Y_Fwd1w_Quote</v>
      </c>
      <c r="K5" s="247"/>
      <c r="L5" s="257" t="str">
        <f>_xll.ohRangeRetrieveError(K5)</f>
        <v/>
      </c>
      <c r="M5" s="49"/>
      <c r="O5" s="87" t="s">
        <v>128</v>
      </c>
      <c r="P5" s="86" t="s">
        <v>212</v>
      </c>
      <c r="Q5" s="86" t="s">
        <v>126</v>
      </c>
      <c r="R5" s="86" t="s">
        <v>224</v>
      </c>
      <c r="S5" s="86"/>
      <c r="T5" s="85"/>
    </row>
    <row r="6" spans="1:20" x14ac:dyDescent="0.2">
      <c r="A6" s="124"/>
      <c r="B6" s="80" t="s">
        <v>106</v>
      </c>
      <c r="C6" s="197" t="str">
        <f t="shared" si="0"/>
        <v>AM</v>
      </c>
      <c r="D6" s="197" t="str">
        <f t="shared" si="1"/>
        <v>6L</v>
      </c>
      <c r="E6" s="197" t="str">
        <f t="shared" si="2"/>
        <v>1w</v>
      </c>
      <c r="F6" s="197">
        <f t="shared" si="3"/>
        <v>0</v>
      </c>
      <c r="G6" s="197">
        <f t="shared" si="4"/>
        <v>0</v>
      </c>
      <c r="H6" s="248">
        <f t="shared" si="5"/>
        <v>0</v>
      </c>
      <c r="I6" s="108" t="str">
        <f t="shared" si="6"/>
        <v>UsdLiborSwapForBasisCalc4Y</v>
      </c>
      <c r="J6" s="247" t="str">
        <f t="shared" si="7"/>
        <v>USDAM6L4Y_Fwd1w_Quote</v>
      </c>
      <c r="K6" s="247"/>
      <c r="L6" s="257" t="str">
        <f>_xll.ohRangeRetrieveError(K6)</f>
        <v/>
      </c>
      <c r="M6" s="49"/>
      <c r="O6" s="87" t="s">
        <v>127</v>
      </c>
      <c r="P6" s="86" t="s">
        <v>212</v>
      </c>
      <c r="Q6" s="86" t="s">
        <v>126</v>
      </c>
      <c r="R6" s="86" t="s">
        <v>224</v>
      </c>
      <c r="S6" s="86"/>
      <c r="T6" s="85"/>
    </row>
    <row r="7" spans="1:20" ht="12" thickBot="1" x14ac:dyDescent="0.25">
      <c r="A7" s="124"/>
      <c r="B7" s="80" t="s">
        <v>105</v>
      </c>
      <c r="C7" s="197" t="str">
        <f t="shared" si="0"/>
        <v>AM</v>
      </c>
      <c r="D7" s="197" t="str">
        <f t="shared" si="1"/>
        <v>6L</v>
      </c>
      <c r="E7" s="197" t="str">
        <f t="shared" si="2"/>
        <v>1w</v>
      </c>
      <c r="F7" s="197">
        <f t="shared" si="3"/>
        <v>0</v>
      </c>
      <c r="G7" s="197">
        <f t="shared" si="4"/>
        <v>0</v>
      </c>
      <c r="H7" s="248">
        <f t="shared" si="5"/>
        <v>0</v>
      </c>
      <c r="I7" s="108" t="str">
        <f t="shared" si="6"/>
        <v>UsdLiborSwapForBasisCalc5Y</v>
      </c>
      <c r="J7" s="247" t="str">
        <f t="shared" si="7"/>
        <v>USDAM6L5Y_Fwd1w_Quote</v>
      </c>
      <c r="K7" s="247"/>
      <c r="L7" s="257" t="str">
        <f>_xll.ohRangeRetrieveError(K7)</f>
        <v/>
      </c>
      <c r="M7" s="49"/>
      <c r="O7" s="84" t="s">
        <v>122</v>
      </c>
      <c r="P7" s="83" t="s">
        <v>211</v>
      </c>
      <c r="Q7" s="258" t="s">
        <v>126</v>
      </c>
      <c r="R7" s="83" t="s">
        <v>224</v>
      </c>
      <c r="S7" s="83"/>
      <c r="T7" s="82"/>
    </row>
    <row r="8" spans="1:20" x14ac:dyDescent="0.2">
      <c r="A8" s="124"/>
      <c r="B8" s="80" t="s">
        <v>104</v>
      </c>
      <c r="C8" s="197" t="str">
        <f t="shared" si="0"/>
        <v>AM</v>
      </c>
      <c r="D8" s="197" t="str">
        <f t="shared" si="1"/>
        <v>6L</v>
      </c>
      <c r="E8" s="197" t="str">
        <f t="shared" si="2"/>
        <v>1w</v>
      </c>
      <c r="F8" s="197">
        <f t="shared" si="3"/>
        <v>0</v>
      </c>
      <c r="G8" s="197">
        <f t="shared" si="4"/>
        <v>0</v>
      </c>
      <c r="H8" s="248">
        <f t="shared" si="5"/>
        <v>0</v>
      </c>
      <c r="I8" s="108" t="str">
        <f t="shared" si="6"/>
        <v>UsdLiborSwapForBasisCalc6Y</v>
      </c>
      <c r="J8" s="247" t="str">
        <f t="shared" si="7"/>
        <v>USDAM6L6Y_Fwd1w_Quote</v>
      </c>
      <c r="K8" s="247"/>
      <c r="L8" s="257" t="str">
        <f>_xll.ohRangeRetrieveError(K8)</f>
        <v/>
      </c>
      <c r="M8" s="49"/>
    </row>
    <row r="9" spans="1:20" x14ac:dyDescent="0.2">
      <c r="A9" s="124"/>
      <c r="B9" s="80" t="s">
        <v>103</v>
      </c>
      <c r="C9" s="197" t="str">
        <f t="shared" si="0"/>
        <v>AM</v>
      </c>
      <c r="D9" s="197" t="str">
        <f t="shared" si="1"/>
        <v>6L</v>
      </c>
      <c r="E9" s="197" t="str">
        <f t="shared" si="2"/>
        <v>1w</v>
      </c>
      <c r="F9" s="197">
        <f t="shared" si="3"/>
        <v>0</v>
      </c>
      <c r="G9" s="197">
        <f t="shared" si="4"/>
        <v>0</v>
      </c>
      <c r="H9" s="248">
        <f t="shared" si="5"/>
        <v>0</v>
      </c>
      <c r="I9" s="108" t="str">
        <f t="shared" si="6"/>
        <v>UsdLiborSwapForBasisCalc7Y</v>
      </c>
      <c r="J9" s="247" t="str">
        <f t="shared" si="7"/>
        <v>USDAM6L7Y_Fwd1w_Quote</v>
      </c>
      <c r="K9" s="247"/>
      <c r="L9" s="257" t="str">
        <f>_xll.ohRangeRetrieveError(K9)</f>
        <v/>
      </c>
      <c r="M9" s="49"/>
    </row>
    <row r="10" spans="1:20" x14ac:dyDescent="0.2">
      <c r="A10" s="124"/>
      <c r="B10" s="80" t="s">
        <v>102</v>
      </c>
      <c r="C10" s="197" t="str">
        <f t="shared" si="0"/>
        <v>AM</v>
      </c>
      <c r="D10" s="197" t="str">
        <f t="shared" si="1"/>
        <v>6L</v>
      </c>
      <c r="E10" s="197" t="str">
        <f t="shared" si="2"/>
        <v>1w</v>
      </c>
      <c r="F10" s="197">
        <f t="shared" si="3"/>
        <v>0</v>
      </c>
      <c r="G10" s="197">
        <f t="shared" si="4"/>
        <v>0</v>
      </c>
      <c r="H10" s="248">
        <f t="shared" si="5"/>
        <v>0</v>
      </c>
      <c r="I10" s="108" t="str">
        <f t="shared" si="6"/>
        <v>UsdLiborSwapForBasisCalc8Y</v>
      </c>
      <c r="J10" s="247" t="str">
        <f t="shared" si="7"/>
        <v>USDAM6L8Y_Fwd1w_Quote</v>
      </c>
      <c r="K10" s="247"/>
      <c r="L10" s="257" t="str">
        <f>_xll.ohRangeRetrieveError(K10)</f>
        <v/>
      </c>
      <c r="M10" s="49"/>
    </row>
    <row r="11" spans="1:20" x14ac:dyDescent="0.2">
      <c r="A11" s="124"/>
      <c r="B11" s="80" t="s">
        <v>101</v>
      </c>
      <c r="C11" s="197" t="str">
        <f t="shared" si="0"/>
        <v>AM</v>
      </c>
      <c r="D11" s="197" t="str">
        <f t="shared" si="1"/>
        <v>6L</v>
      </c>
      <c r="E11" s="197" t="str">
        <f t="shared" si="2"/>
        <v>1w</v>
      </c>
      <c r="F11" s="197">
        <f t="shared" si="3"/>
        <v>0</v>
      </c>
      <c r="G11" s="197">
        <f t="shared" si="4"/>
        <v>0</v>
      </c>
      <c r="H11" s="248">
        <f t="shared" si="5"/>
        <v>0</v>
      </c>
      <c r="I11" s="108" t="str">
        <f t="shared" si="6"/>
        <v>UsdLiborSwapForBasisCalc9Y</v>
      </c>
      <c r="J11" s="247" t="str">
        <f t="shared" si="7"/>
        <v>USDAM6L9Y_Fwd1w_Quote</v>
      </c>
      <c r="K11" s="247"/>
      <c r="L11" s="257" t="str">
        <f>_xll.ohRangeRetrieveError(K11)</f>
        <v/>
      </c>
      <c r="M11" s="49"/>
    </row>
    <row r="12" spans="1:20" x14ac:dyDescent="0.2">
      <c r="A12" s="124"/>
      <c r="B12" s="80" t="s">
        <v>100</v>
      </c>
      <c r="C12" s="197" t="str">
        <f t="shared" si="0"/>
        <v>AM</v>
      </c>
      <c r="D12" s="197" t="str">
        <f t="shared" si="1"/>
        <v>6L</v>
      </c>
      <c r="E12" s="197" t="str">
        <f t="shared" si="2"/>
        <v>1w</v>
      </c>
      <c r="F12" s="197">
        <f t="shared" si="3"/>
        <v>0</v>
      </c>
      <c r="G12" s="197">
        <f t="shared" si="4"/>
        <v>0</v>
      </c>
      <c r="H12" s="248">
        <f t="shared" si="5"/>
        <v>0</v>
      </c>
      <c r="I12" s="108" t="str">
        <f t="shared" si="6"/>
        <v>UsdLiborSwapForBasisCalc10Y</v>
      </c>
      <c r="J12" s="247" t="str">
        <f t="shared" si="7"/>
        <v>USDAM6L10Y_Fwd1w_Quote</v>
      </c>
      <c r="K12" s="247"/>
      <c r="L12" s="257" t="str">
        <f>_xll.ohRangeRetrieveError(K12)</f>
        <v/>
      </c>
      <c r="M12" s="49"/>
    </row>
    <row r="13" spans="1:20" x14ac:dyDescent="0.2">
      <c r="A13" s="124"/>
      <c r="B13" s="80" t="s">
        <v>99</v>
      </c>
      <c r="C13" s="197" t="str">
        <f t="shared" si="0"/>
        <v>AM</v>
      </c>
      <c r="D13" s="197" t="str">
        <f t="shared" si="1"/>
        <v>6L</v>
      </c>
      <c r="E13" s="197" t="str">
        <f t="shared" si="2"/>
        <v>1w</v>
      </c>
      <c r="F13" s="197">
        <f t="shared" si="3"/>
        <v>0</v>
      </c>
      <c r="G13" s="197">
        <f t="shared" si="4"/>
        <v>0</v>
      </c>
      <c r="H13" s="248">
        <f t="shared" si="5"/>
        <v>0</v>
      </c>
      <c r="I13" s="108" t="str">
        <f t="shared" si="6"/>
        <v>UsdLiborSwapForBasisCalc11Y</v>
      </c>
      <c r="J13" s="247" t="str">
        <f t="shared" si="7"/>
        <v>USDAM6L11Y_Fwd1w_Quote</v>
      </c>
      <c r="K13" s="247"/>
      <c r="L13" s="257" t="str">
        <f>_xll.ohRangeRetrieveError(K13)</f>
        <v/>
      </c>
      <c r="M13" s="49"/>
    </row>
    <row r="14" spans="1:20" x14ac:dyDescent="0.2">
      <c r="A14" s="124"/>
      <c r="B14" s="80" t="s">
        <v>98</v>
      </c>
      <c r="C14" s="197" t="str">
        <f t="shared" si="0"/>
        <v>AM</v>
      </c>
      <c r="D14" s="197" t="str">
        <f t="shared" si="1"/>
        <v>6L</v>
      </c>
      <c r="E14" s="197" t="str">
        <f t="shared" si="2"/>
        <v>1w</v>
      </c>
      <c r="F14" s="197">
        <f t="shared" si="3"/>
        <v>0</v>
      </c>
      <c r="G14" s="197">
        <f t="shared" si="4"/>
        <v>0</v>
      </c>
      <c r="H14" s="248">
        <f t="shared" si="5"/>
        <v>0</v>
      </c>
      <c r="I14" s="108" t="str">
        <f t="shared" si="6"/>
        <v>UsdLiborSwapForBasisCalc12Y</v>
      </c>
      <c r="J14" s="247" t="str">
        <f t="shared" si="7"/>
        <v>USDAM6L12Y_Fwd1w_Quote</v>
      </c>
      <c r="K14" s="247"/>
      <c r="L14" s="257" t="str">
        <f>_xll.ohRangeRetrieveError(K14)</f>
        <v/>
      </c>
      <c r="M14" s="49"/>
    </row>
    <row r="15" spans="1:20" x14ac:dyDescent="0.2">
      <c r="A15" s="124"/>
      <c r="B15" s="80" t="s">
        <v>97</v>
      </c>
      <c r="C15" s="197" t="str">
        <f t="shared" si="0"/>
        <v>AM</v>
      </c>
      <c r="D15" s="197" t="str">
        <f t="shared" si="1"/>
        <v>6L</v>
      </c>
      <c r="E15" s="197" t="str">
        <f t="shared" si="2"/>
        <v>1w</v>
      </c>
      <c r="F15" s="197">
        <f t="shared" si="3"/>
        <v>0</v>
      </c>
      <c r="G15" s="197">
        <f t="shared" si="4"/>
        <v>0</v>
      </c>
      <c r="H15" s="248">
        <f t="shared" si="5"/>
        <v>0</v>
      </c>
      <c r="I15" s="108" t="str">
        <f t="shared" si="6"/>
        <v>UsdLiborSwapForBasisCalc13Y</v>
      </c>
      <c r="J15" s="247" t="str">
        <f t="shared" si="7"/>
        <v>USDAM6L13Y_Fwd1w_Quote</v>
      </c>
      <c r="K15" s="247"/>
      <c r="L15" s="257" t="str">
        <f>_xll.ohRangeRetrieveError(K15)</f>
        <v/>
      </c>
      <c r="M15" s="49"/>
    </row>
    <row r="16" spans="1:20" x14ac:dyDescent="0.2">
      <c r="A16" s="124"/>
      <c r="B16" s="80" t="s">
        <v>96</v>
      </c>
      <c r="C16" s="197" t="str">
        <f t="shared" si="0"/>
        <v>AM</v>
      </c>
      <c r="D16" s="197" t="str">
        <f t="shared" si="1"/>
        <v>6L</v>
      </c>
      <c r="E16" s="197" t="str">
        <f t="shared" si="2"/>
        <v>1w</v>
      </c>
      <c r="F16" s="197">
        <f t="shared" si="3"/>
        <v>0</v>
      </c>
      <c r="G16" s="197">
        <f t="shared" si="4"/>
        <v>0</v>
      </c>
      <c r="H16" s="248">
        <f t="shared" si="5"/>
        <v>0</v>
      </c>
      <c r="I16" s="108" t="str">
        <f t="shared" si="6"/>
        <v>UsdLiborSwapForBasisCalc14Y</v>
      </c>
      <c r="J16" s="247" t="str">
        <f t="shared" si="7"/>
        <v>USDAM6L14Y_Fwd1w_Quote</v>
      </c>
      <c r="K16" s="247"/>
      <c r="L16" s="257" t="str">
        <f>_xll.ohRangeRetrieveError(K16)</f>
        <v/>
      </c>
      <c r="M16" s="49"/>
    </row>
    <row r="17" spans="1:13" x14ac:dyDescent="0.2">
      <c r="A17" s="124"/>
      <c r="B17" s="80" t="s">
        <v>95</v>
      </c>
      <c r="C17" s="197" t="str">
        <f t="shared" si="0"/>
        <v>AM</v>
      </c>
      <c r="D17" s="197" t="str">
        <f t="shared" si="1"/>
        <v>6L</v>
      </c>
      <c r="E17" s="197" t="str">
        <f t="shared" si="2"/>
        <v>1w</v>
      </c>
      <c r="F17" s="197">
        <f t="shared" si="3"/>
        <v>0</v>
      </c>
      <c r="G17" s="197">
        <f t="shared" si="4"/>
        <v>0</v>
      </c>
      <c r="H17" s="248">
        <f t="shared" si="5"/>
        <v>0</v>
      </c>
      <c r="I17" s="108" t="str">
        <f t="shared" si="6"/>
        <v>UsdLiborSwapForBasisCalc15Y</v>
      </c>
      <c r="J17" s="247" t="str">
        <f t="shared" si="7"/>
        <v>USDAM6L15Y_Fwd1w_Quote</v>
      </c>
      <c r="K17" s="247"/>
      <c r="L17" s="257" t="str">
        <f>_xll.ohRangeRetrieveError(K17)</f>
        <v/>
      </c>
      <c r="M17" s="49"/>
    </row>
    <row r="18" spans="1:13" x14ac:dyDescent="0.2">
      <c r="A18" s="124"/>
      <c r="B18" s="80" t="s">
        <v>94</v>
      </c>
      <c r="C18" s="197" t="str">
        <f t="shared" si="0"/>
        <v>AM</v>
      </c>
      <c r="D18" s="197" t="str">
        <f t="shared" si="1"/>
        <v>6L</v>
      </c>
      <c r="E18" s="197" t="str">
        <f t="shared" si="2"/>
        <v>1w</v>
      </c>
      <c r="F18" s="197">
        <f t="shared" si="3"/>
        <v>0</v>
      </c>
      <c r="G18" s="197">
        <f t="shared" si="4"/>
        <v>0</v>
      </c>
      <c r="H18" s="248">
        <f t="shared" si="5"/>
        <v>0</v>
      </c>
      <c r="I18" s="108" t="str">
        <f t="shared" si="6"/>
        <v>UsdLiborSwapForBasisCalc16Y</v>
      </c>
      <c r="J18" s="247" t="str">
        <f t="shared" si="7"/>
        <v>USDAM6L16Y_Fwd1w_Quote</v>
      </c>
      <c r="K18" s="247"/>
      <c r="L18" s="257" t="str">
        <f>_xll.ohRangeRetrieveError(K18)</f>
        <v/>
      </c>
      <c r="M18" s="49"/>
    </row>
    <row r="19" spans="1:13" x14ac:dyDescent="0.2">
      <c r="A19" s="124"/>
      <c r="B19" s="80" t="s">
        <v>93</v>
      </c>
      <c r="C19" s="197" t="str">
        <f t="shared" si="0"/>
        <v>AM</v>
      </c>
      <c r="D19" s="197" t="str">
        <f t="shared" si="1"/>
        <v>6L</v>
      </c>
      <c r="E19" s="197" t="str">
        <f t="shared" si="2"/>
        <v>1w</v>
      </c>
      <c r="F19" s="197">
        <f t="shared" si="3"/>
        <v>0</v>
      </c>
      <c r="G19" s="197">
        <f t="shared" si="4"/>
        <v>0</v>
      </c>
      <c r="H19" s="248">
        <f t="shared" si="5"/>
        <v>0</v>
      </c>
      <c r="I19" s="108" t="str">
        <f t="shared" si="6"/>
        <v>UsdLiborSwapForBasisCalc17Y</v>
      </c>
      <c r="J19" s="247" t="str">
        <f t="shared" si="7"/>
        <v>USDAM6L17Y_Fwd1w_Quote</v>
      </c>
      <c r="K19" s="247"/>
      <c r="L19" s="257" t="str">
        <f>_xll.ohRangeRetrieveError(K19)</f>
        <v/>
      </c>
      <c r="M19" s="49"/>
    </row>
    <row r="20" spans="1:13" x14ac:dyDescent="0.2">
      <c r="A20" s="124"/>
      <c r="B20" s="80" t="s">
        <v>92</v>
      </c>
      <c r="C20" s="197" t="str">
        <f t="shared" si="0"/>
        <v>AM</v>
      </c>
      <c r="D20" s="197" t="str">
        <f t="shared" si="1"/>
        <v>6L</v>
      </c>
      <c r="E20" s="197" t="str">
        <f t="shared" si="2"/>
        <v>1w</v>
      </c>
      <c r="F20" s="197">
        <f t="shared" si="3"/>
        <v>0</v>
      </c>
      <c r="G20" s="197">
        <f t="shared" si="4"/>
        <v>0</v>
      </c>
      <c r="H20" s="248">
        <f t="shared" si="5"/>
        <v>0</v>
      </c>
      <c r="I20" s="108" t="str">
        <f t="shared" si="6"/>
        <v>UsdLiborSwapForBasisCalc18Y</v>
      </c>
      <c r="J20" s="247" t="str">
        <f t="shared" si="7"/>
        <v>USDAM6L18Y_Fwd1w_Quote</v>
      </c>
      <c r="K20" s="247"/>
      <c r="L20" s="257" t="str">
        <f>_xll.ohRangeRetrieveError(K20)</f>
        <v/>
      </c>
      <c r="M20" s="49"/>
    </row>
    <row r="21" spans="1:13" x14ac:dyDescent="0.2">
      <c r="A21" s="124"/>
      <c r="B21" s="80" t="s">
        <v>91</v>
      </c>
      <c r="C21" s="197" t="str">
        <f t="shared" si="0"/>
        <v>AM</v>
      </c>
      <c r="D21" s="197" t="str">
        <f t="shared" si="1"/>
        <v>6L</v>
      </c>
      <c r="E21" s="197" t="str">
        <f t="shared" si="2"/>
        <v>1w</v>
      </c>
      <c r="F21" s="197">
        <f t="shared" si="3"/>
        <v>0</v>
      </c>
      <c r="G21" s="197">
        <f t="shared" si="4"/>
        <v>0</v>
      </c>
      <c r="H21" s="248">
        <f t="shared" si="5"/>
        <v>0</v>
      </c>
      <c r="I21" s="108" t="str">
        <f t="shared" si="6"/>
        <v>UsdLiborSwapForBasisCalc19Y</v>
      </c>
      <c r="J21" s="247" t="str">
        <f t="shared" si="7"/>
        <v>USDAM6L19Y_Fwd1w_Quote</v>
      </c>
      <c r="K21" s="247"/>
      <c r="L21" s="257" t="str">
        <f>_xll.ohRangeRetrieveError(K21)</f>
        <v/>
      </c>
      <c r="M21" s="49"/>
    </row>
    <row r="22" spans="1:13" x14ac:dyDescent="0.2">
      <c r="A22" s="124"/>
      <c r="B22" s="80" t="s">
        <v>90</v>
      </c>
      <c r="C22" s="197" t="str">
        <f t="shared" si="0"/>
        <v>AM</v>
      </c>
      <c r="D22" s="197" t="str">
        <f t="shared" si="1"/>
        <v>6L</v>
      </c>
      <c r="E22" s="197" t="str">
        <f t="shared" si="2"/>
        <v>1w</v>
      </c>
      <c r="F22" s="197">
        <f t="shared" si="3"/>
        <v>0</v>
      </c>
      <c r="G22" s="197">
        <f t="shared" si="4"/>
        <v>0</v>
      </c>
      <c r="H22" s="248">
        <f t="shared" si="5"/>
        <v>0</v>
      </c>
      <c r="I22" s="108" t="str">
        <f t="shared" si="6"/>
        <v>UsdLiborSwapForBasisCalc20Y</v>
      </c>
      <c r="J22" s="247" t="str">
        <f t="shared" si="7"/>
        <v>USDAM6L20Y_Fwd1w_Quote</v>
      </c>
      <c r="K22" s="247"/>
      <c r="L22" s="257" t="str">
        <f>_xll.ohRangeRetrieveError(K22)</f>
        <v/>
      </c>
      <c r="M22" s="49"/>
    </row>
    <row r="23" spans="1:13" x14ac:dyDescent="0.2">
      <c r="A23" s="124"/>
      <c r="B23" s="80" t="s">
        <v>89</v>
      </c>
      <c r="C23" s="197" t="str">
        <f t="shared" si="0"/>
        <v>AM</v>
      </c>
      <c r="D23" s="197" t="str">
        <f t="shared" si="1"/>
        <v>6L</v>
      </c>
      <c r="E23" s="197" t="str">
        <f t="shared" si="2"/>
        <v>1w</v>
      </c>
      <c r="F23" s="197">
        <f t="shared" si="3"/>
        <v>0</v>
      </c>
      <c r="G23" s="197">
        <f t="shared" si="4"/>
        <v>0</v>
      </c>
      <c r="H23" s="248">
        <f t="shared" si="5"/>
        <v>0</v>
      </c>
      <c r="I23" s="108" t="str">
        <f t="shared" si="6"/>
        <v>UsdLiborSwapForBasisCalc21Y</v>
      </c>
      <c r="J23" s="247" t="str">
        <f t="shared" si="7"/>
        <v>USDAM6L21Y_Fwd1w_Quote</v>
      </c>
      <c r="K23" s="247"/>
      <c r="L23" s="257" t="str">
        <f>_xll.ohRangeRetrieveError(K23)</f>
        <v/>
      </c>
      <c r="M23" s="49"/>
    </row>
    <row r="24" spans="1:13" x14ac:dyDescent="0.2">
      <c r="A24" s="124"/>
      <c r="B24" s="80" t="s">
        <v>88</v>
      </c>
      <c r="C24" s="197" t="str">
        <f t="shared" si="0"/>
        <v>AM</v>
      </c>
      <c r="D24" s="197" t="str">
        <f t="shared" si="1"/>
        <v>6L</v>
      </c>
      <c r="E24" s="197" t="str">
        <f t="shared" si="2"/>
        <v>1w</v>
      </c>
      <c r="F24" s="197">
        <f t="shared" si="3"/>
        <v>0</v>
      </c>
      <c r="G24" s="197">
        <f t="shared" si="4"/>
        <v>0</v>
      </c>
      <c r="H24" s="248">
        <f t="shared" si="5"/>
        <v>0</v>
      </c>
      <c r="I24" s="108" t="str">
        <f t="shared" si="6"/>
        <v>UsdLiborSwapForBasisCalc22Y</v>
      </c>
      <c r="J24" s="247" t="str">
        <f t="shared" si="7"/>
        <v>USDAM6L22Y_Fwd1w_Quote</v>
      </c>
      <c r="K24" s="247"/>
      <c r="L24" s="257" t="str">
        <f>_xll.ohRangeRetrieveError(K24)</f>
        <v/>
      </c>
      <c r="M24" s="49"/>
    </row>
    <row r="25" spans="1:13" x14ac:dyDescent="0.2">
      <c r="A25" s="124"/>
      <c r="B25" s="80" t="s">
        <v>87</v>
      </c>
      <c r="C25" s="197" t="str">
        <f t="shared" si="0"/>
        <v>AM</v>
      </c>
      <c r="D25" s="197" t="str">
        <f t="shared" si="1"/>
        <v>6L</v>
      </c>
      <c r="E25" s="197" t="str">
        <f t="shared" si="2"/>
        <v>1w</v>
      </c>
      <c r="F25" s="197">
        <f t="shared" si="3"/>
        <v>0</v>
      </c>
      <c r="G25" s="197">
        <f t="shared" si="4"/>
        <v>0</v>
      </c>
      <c r="H25" s="248">
        <f t="shared" si="5"/>
        <v>0</v>
      </c>
      <c r="I25" s="108" t="str">
        <f t="shared" si="6"/>
        <v>UsdLiborSwapForBasisCalc23Y</v>
      </c>
      <c r="J25" s="247" t="str">
        <f t="shared" si="7"/>
        <v>USDAM6L23Y_Fwd1w_Quote</v>
      </c>
      <c r="K25" s="247"/>
      <c r="L25" s="257" t="str">
        <f>_xll.ohRangeRetrieveError(K25)</f>
        <v/>
      </c>
      <c r="M25" s="49"/>
    </row>
    <row r="26" spans="1:13" x14ac:dyDescent="0.2">
      <c r="A26" s="124"/>
      <c r="B26" s="80" t="s">
        <v>86</v>
      </c>
      <c r="C26" s="197" t="str">
        <f t="shared" si="0"/>
        <v>AM</v>
      </c>
      <c r="D26" s="197" t="str">
        <f t="shared" si="1"/>
        <v>6L</v>
      </c>
      <c r="E26" s="197" t="str">
        <f t="shared" si="2"/>
        <v>1w</v>
      </c>
      <c r="F26" s="197">
        <f t="shared" si="3"/>
        <v>0</v>
      </c>
      <c r="G26" s="197">
        <f t="shared" si="4"/>
        <v>0</v>
      </c>
      <c r="H26" s="248">
        <f t="shared" si="5"/>
        <v>0</v>
      </c>
      <c r="I26" s="108" t="str">
        <f t="shared" si="6"/>
        <v>UsdLiborSwapForBasisCalc24Y</v>
      </c>
      <c r="J26" s="247" t="str">
        <f t="shared" si="7"/>
        <v>USDAM6L24Y_Fwd1w_Quote</v>
      </c>
      <c r="K26" s="247"/>
      <c r="L26" s="257" t="str">
        <f>_xll.ohRangeRetrieveError(K26)</f>
        <v/>
      </c>
      <c r="M26" s="49"/>
    </row>
    <row r="27" spans="1:13" x14ac:dyDescent="0.2">
      <c r="A27" s="124"/>
      <c r="B27" s="80" t="s">
        <v>85</v>
      </c>
      <c r="C27" s="197" t="str">
        <f t="shared" si="0"/>
        <v>AM</v>
      </c>
      <c r="D27" s="197" t="str">
        <f t="shared" si="1"/>
        <v>6L</v>
      </c>
      <c r="E27" s="197" t="str">
        <f t="shared" si="2"/>
        <v>1w</v>
      </c>
      <c r="F27" s="197">
        <f t="shared" si="3"/>
        <v>0</v>
      </c>
      <c r="G27" s="197">
        <f t="shared" si="4"/>
        <v>0</v>
      </c>
      <c r="H27" s="248">
        <f t="shared" si="5"/>
        <v>0</v>
      </c>
      <c r="I27" s="108" t="str">
        <f t="shared" si="6"/>
        <v>UsdLiborSwapForBasisCalc25Y</v>
      </c>
      <c r="J27" s="247" t="str">
        <f t="shared" si="7"/>
        <v>USDAM6L25Y_Fwd1w_Quote</v>
      </c>
      <c r="K27" s="247"/>
      <c r="L27" s="257" t="str">
        <f>_xll.ohRangeRetrieveError(K27)</f>
        <v/>
      </c>
      <c r="M27" s="49"/>
    </row>
    <row r="28" spans="1:13" x14ac:dyDescent="0.2">
      <c r="A28" s="124"/>
      <c r="B28" s="80" t="s">
        <v>84</v>
      </c>
      <c r="C28" s="197" t="str">
        <f t="shared" si="0"/>
        <v>AM</v>
      </c>
      <c r="D28" s="197" t="str">
        <f t="shared" si="1"/>
        <v>6L</v>
      </c>
      <c r="E28" s="197" t="str">
        <f t="shared" si="2"/>
        <v>1w</v>
      </c>
      <c r="F28" s="197">
        <f t="shared" si="3"/>
        <v>0</v>
      </c>
      <c r="G28" s="197">
        <f t="shared" si="4"/>
        <v>0</v>
      </c>
      <c r="H28" s="248">
        <f t="shared" si="5"/>
        <v>0</v>
      </c>
      <c r="I28" s="108" t="str">
        <f t="shared" si="6"/>
        <v>UsdLiborSwapForBasisCalc26Y</v>
      </c>
      <c r="J28" s="247" t="str">
        <f t="shared" si="7"/>
        <v>USDAM6L26Y_Fwd1w_Quote</v>
      </c>
      <c r="K28" s="247"/>
      <c r="L28" s="257" t="str">
        <f>_xll.ohRangeRetrieveError(K28)</f>
        <v/>
      </c>
      <c r="M28" s="49"/>
    </row>
    <row r="29" spans="1:13" x14ac:dyDescent="0.2">
      <c r="A29" s="124"/>
      <c r="B29" s="80" t="s">
        <v>83</v>
      </c>
      <c r="C29" s="197" t="str">
        <f t="shared" si="0"/>
        <v>AM</v>
      </c>
      <c r="D29" s="197" t="str">
        <f t="shared" si="1"/>
        <v>6L</v>
      </c>
      <c r="E29" s="197" t="str">
        <f t="shared" si="2"/>
        <v>1w</v>
      </c>
      <c r="F29" s="197">
        <f t="shared" si="3"/>
        <v>0</v>
      </c>
      <c r="G29" s="197">
        <f t="shared" si="4"/>
        <v>0</v>
      </c>
      <c r="H29" s="248">
        <f t="shared" si="5"/>
        <v>0</v>
      </c>
      <c r="I29" s="108" t="str">
        <f t="shared" si="6"/>
        <v>UsdLiborSwapForBasisCalc27Y</v>
      </c>
      <c r="J29" s="247" t="str">
        <f t="shared" si="7"/>
        <v>USDAM6L27Y_Fwd1w_Quote</v>
      </c>
      <c r="K29" s="247"/>
      <c r="L29" s="257" t="str">
        <f>_xll.ohRangeRetrieveError(K29)</f>
        <v/>
      </c>
      <c r="M29" s="49"/>
    </row>
    <row r="30" spans="1:13" x14ac:dyDescent="0.2">
      <c r="A30" s="124"/>
      <c r="B30" s="80" t="s">
        <v>82</v>
      </c>
      <c r="C30" s="197" t="str">
        <f t="shared" si="0"/>
        <v>AM</v>
      </c>
      <c r="D30" s="197" t="str">
        <f t="shared" si="1"/>
        <v>6L</v>
      </c>
      <c r="E30" s="197" t="str">
        <f t="shared" si="2"/>
        <v>1w</v>
      </c>
      <c r="F30" s="197">
        <f t="shared" si="3"/>
        <v>0</v>
      </c>
      <c r="G30" s="197">
        <f t="shared" si="4"/>
        <v>0</v>
      </c>
      <c r="H30" s="248">
        <f t="shared" si="5"/>
        <v>0</v>
      </c>
      <c r="I30" s="108" t="str">
        <f t="shared" si="6"/>
        <v>UsdLiborSwapForBasisCalc28Y</v>
      </c>
      <c r="J30" s="247" t="str">
        <f t="shared" si="7"/>
        <v>USDAM6L28Y_Fwd1w_Quote</v>
      </c>
      <c r="K30" s="247"/>
      <c r="L30" s="257" t="str">
        <f>_xll.ohRangeRetrieveError(K30)</f>
        <v/>
      </c>
      <c r="M30" s="49"/>
    </row>
    <row r="31" spans="1:13" x14ac:dyDescent="0.2">
      <c r="A31" s="124"/>
      <c r="B31" s="80" t="s">
        <v>81</v>
      </c>
      <c r="C31" s="197" t="str">
        <f t="shared" si="0"/>
        <v>AM</v>
      </c>
      <c r="D31" s="197" t="str">
        <f t="shared" si="1"/>
        <v>6L</v>
      </c>
      <c r="E31" s="197" t="str">
        <f t="shared" si="2"/>
        <v>1w</v>
      </c>
      <c r="F31" s="197">
        <f t="shared" si="3"/>
        <v>0</v>
      </c>
      <c r="G31" s="197">
        <f t="shared" si="4"/>
        <v>0</v>
      </c>
      <c r="H31" s="248">
        <f t="shared" si="5"/>
        <v>0</v>
      </c>
      <c r="I31" s="108" t="str">
        <f t="shared" si="6"/>
        <v>UsdLiborSwapForBasisCalc29Y</v>
      </c>
      <c r="J31" s="247" t="str">
        <f t="shared" si="7"/>
        <v>USDAM6L29Y_Fwd1w_Quote</v>
      </c>
      <c r="K31" s="247"/>
      <c r="L31" s="257" t="str">
        <f>_xll.ohRangeRetrieveError(K31)</f>
        <v/>
      </c>
      <c r="M31" s="49"/>
    </row>
    <row r="32" spans="1:13" x14ac:dyDescent="0.2">
      <c r="A32" s="124"/>
      <c r="B32" s="80" t="s">
        <v>80</v>
      </c>
      <c r="C32" s="197" t="str">
        <f t="shared" si="0"/>
        <v>AM</v>
      </c>
      <c r="D32" s="197" t="str">
        <f t="shared" si="1"/>
        <v>6L</v>
      </c>
      <c r="E32" s="197" t="str">
        <f t="shared" si="2"/>
        <v>1w</v>
      </c>
      <c r="F32" s="197">
        <f t="shared" si="3"/>
        <v>0</v>
      </c>
      <c r="G32" s="197">
        <f t="shared" si="4"/>
        <v>0</v>
      </c>
      <c r="H32" s="248">
        <f t="shared" si="5"/>
        <v>0</v>
      </c>
      <c r="I32" s="108" t="str">
        <f t="shared" si="6"/>
        <v>UsdLiborSwapForBasisCalc30Y</v>
      </c>
      <c r="J32" s="247" t="str">
        <f t="shared" si="7"/>
        <v>USDAM6L30Y_Fwd1w_Quote</v>
      </c>
      <c r="K32" s="247"/>
      <c r="L32" s="257" t="str">
        <f>_xll.ohRangeRetrieveError(K32)</f>
        <v/>
      </c>
      <c r="M32" s="49"/>
    </row>
    <row r="33" spans="1:13" x14ac:dyDescent="0.2">
      <c r="A33" s="124"/>
      <c r="B33" s="80" t="s">
        <v>75</v>
      </c>
      <c r="C33" s="197" t="str">
        <f t="shared" si="0"/>
        <v>AM</v>
      </c>
      <c r="D33" s="197" t="str">
        <f t="shared" si="1"/>
        <v>6L</v>
      </c>
      <c r="E33" s="197" t="str">
        <f t="shared" si="2"/>
        <v>1w</v>
      </c>
      <c r="F33" s="197">
        <f t="shared" si="3"/>
        <v>0</v>
      </c>
      <c r="G33" s="197">
        <f t="shared" si="4"/>
        <v>0</v>
      </c>
      <c r="H33" s="248">
        <f t="shared" si="5"/>
        <v>0</v>
      </c>
      <c r="I33" s="108" t="str">
        <f t="shared" si="6"/>
        <v>UsdLiborSwapForBasisCalc35Y</v>
      </c>
      <c r="J33" s="247" t="str">
        <f t="shared" si="7"/>
        <v>USDAM6L35Y_Fwd1w_Quote</v>
      </c>
      <c r="K33" s="247"/>
      <c r="L33" s="257" t="str">
        <f>_xll.ohRangeRetrieveError(K33)</f>
        <v/>
      </c>
      <c r="M33" s="49"/>
    </row>
    <row r="34" spans="1:13" x14ac:dyDescent="0.2">
      <c r="A34" s="124"/>
      <c r="B34" s="80" t="s">
        <v>70</v>
      </c>
      <c r="C34" s="197" t="str">
        <f t="shared" si="0"/>
        <v>AM</v>
      </c>
      <c r="D34" s="197" t="str">
        <f t="shared" si="1"/>
        <v>6L</v>
      </c>
      <c r="E34" s="197" t="str">
        <f t="shared" si="2"/>
        <v>1w</v>
      </c>
      <c r="F34" s="197">
        <f t="shared" si="3"/>
        <v>0</v>
      </c>
      <c r="G34" s="197">
        <f t="shared" si="4"/>
        <v>0</v>
      </c>
      <c r="H34" s="248">
        <f t="shared" si="5"/>
        <v>0</v>
      </c>
      <c r="I34" s="108" t="str">
        <f t="shared" si="6"/>
        <v>UsdLiborSwapForBasisCalc40Y</v>
      </c>
      <c r="J34" s="247" t="str">
        <f t="shared" si="7"/>
        <v>USDAM6L40Y_Fwd1w_Quote</v>
      </c>
      <c r="K34" s="247"/>
      <c r="L34" s="257" t="str">
        <f>_xll.ohRangeRetrieveError(K34)</f>
        <v/>
      </c>
      <c r="M34" s="49"/>
    </row>
    <row r="35" spans="1:13" x14ac:dyDescent="0.2">
      <c r="A35" s="124"/>
      <c r="B35" s="80" t="s">
        <v>60</v>
      </c>
      <c r="C35" s="197" t="str">
        <f t="shared" si="0"/>
        <v>AM</v>
      </c>
      <c r="D35" s="197" t="str">
        <f t="shared" si="1"/>
        <v>6L</v>
      </c>
      <c r="E35" s="197" t="str">
        <f t="shared" si="2"/>
        <v>1w</v>
      </c>
      <c r="F35" s="197">
        <f t="shared" si="3"/>
        <v>0</v>
      </c>
      <c r="G35" s="197">
        <f t="shared" si="4"/>
        <v>0</v>
      </c>
      <c r="H35" s="248">
        <f t="shared" si="5"/>
        <v>0</v>
      </c>
      <c r="I35" s="108" t="str">
        <f t="shared" si="6"/>
        <v>UsdLiborSwapForBasisCalc50Y</v>
      </c>
      <c r="J35" s="247" t="str">
        <f t="shared" si="7"/>
        <v>USDAM6L50Y_Fwd1w_Quote</v>
      </c>
      <c r="K35" s="247"/>
      <c r="L35" s="257" t="str">
        <f>_xll.ohRangeRetrieveError(K35)</f>
        <v/>
      </c>
      <c r="M35" s="49"/>
    </row>
    <row r="36" spans="1:13" x14ac:dyDescent="0.2">
      <c r="A36" s="124"/>
      <c r="B36" s="80" t="s">
        <v>50</v>
      </c>
      <c r="C36" s="197" t="str">
        <f t="shared" si="0"/>
        <v>AM</v>
      </c>
      <c r="D36" s="197" t="str">
        <f t="shared" si="1"/>
        <v>6L</v>
      </c>
      <c r="E36" s="197" t="str">
        <f t="shared" si="2"/>
        <v>1w</v>
      </c>
      <c r="F36" s="197">
        <f t="shared" si="3"/>
        <v>0</v>
      </c>
      <c r="G36" s="197">
        <f t="shared" si="4"/>
        <v>0</v>
      </c>
      <c r="H36" s="248">
        <f t="shared" si="5"/>
        <v>0</v>
      </c>
      <c r="I36" s="108" t="str">
        <f t="shared" si="6"/>
        <v>UsdLiborSwapForBasisCalc60Y</v>
      </c>
      <c r="J36" s="247" t="str">
        <f t="shared" si="7"/>
        <v>USDAM6L60Y_Fwd1w_Quote</v>
      </c>
      <c r="K36" s="247"/>
      <c r="L36" s="257" t="str">
        <f>_xll.ohRangeRetrieveError(K36)</f>
        <v/>
      </c>
      <c r="M36" s="49"/>
    </row>
    <row r="37" spans="1:13" ht="12" thickBot="1" x14ac:dyDescent="0.25">
      <c r="A37" s="48"/>
      <c r="B37" s="47"/>
      <c r="C37" s="47"/>
      <c r="D37" s="47"/>
      <c r="E37" s="47"/>
      <c r="F37" s="47"/>
      <c r="G37" s="47"/>
      <c r="H37" s="47"/>
      <c r="I37" s="47"/>
      <c r="J37" s="47"/>
      <c r="K37" s="118"/>
      <c r="L37" s="118"/>
      <c r="M37" s="46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24" t="s">
        <v>229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56"/>
      <c r="M1" s="203"/>
    </row>
    <row r="2" spans="1:20" ht="22.5" x14ac:dyDescent="0.2">
      <c r="A2" s="124"/>
      <c r="B2" s="94"/>
      <c r="C2" s="94"/>
      <c r="D2" s="94"/>
      <c r="E2" s="94" t="s">
        <v>227</v>
      </c>
      <c r="F2" s="94"/>
      <c r="G2" s="94"/>
      <c r="H2" s="94" t="s">
        <v>226</v>
      </c>
      <c r="I2" s="94" t="s">
        <v>225</v>
      </c>
      <c r="J2" s="253" t="str">
        <f>Currency&amp;"_020_Sw"&amp;$C$3&amp;$D$3&amp;IF(H3=0,,"_Spr"&amp;$F3&amp;$G3)&amp;".xml"</f>
        <v>USD_020_SwAM3L_Spr6L3L.xml</v>
      </c>
      <c r="K2" s="111">
        <f ca="1">IF(Serialize,_xll.ohObjectSave(K3:K36,SerializationPath&amp;J2,FileOverwrite,Serialize),"---")</f>
        <v>34</v>
      </c>
      <c r="L2" s="76" t="str">
        <f ca="1">_xll.ohRangeRetrieveError(K2)</f>
        <v/>
      </c>
      <c r="M2" s="49"/>
      <c r="O2" s="215"/>
      <c r="P2" s="214"/>
      <c r="Q2" s="214"/>
      <c r="R2" s="214"/>
      <c r="S2" s="214"/>
      <c r="T2" s="213"/>
    </row>
    <row r="3" spans="1:20" x14ac:dyDescent="0.2">
      <c r="A3" s="124"/>
      <c r="B3" s="80" t="s">
        <v>29</v>
      </c>
      <c r="C3" s="197" t="str">
        <f t="shared" ref="C3:C36" si="0">VLOOKUP(Currency,$O$3:$T$7,2)</f>
        <v>AM</v>
      </c>
      <c r="D3" s="197" t="str">
        <f t="shared" ref="D3:D36" si="1">VLOOKUP(Currency,$O$3:$T$7,3)</f>
        <v>3L</v>
      </c>
      <c r="E3" s="260" t="s">
        <v>228</v>
      </c>
      <c r="F3" s="197" t="str">
        <f t="shared" ref="F3:F36" si="2">VLOOKUP(Currency,$O$3:$T$7,5)</f>
        <v>6L</v>
      </c>
      <c r="G3" s="197" t="str">
        <f t="shared" ref="G3:G36" si="3">VLOOKUP(Currency,$O$3:$T$7,6)</f>
        <v>3L</v>
      </c>
      <c r="H3" s="248" t="str">
        <f t="shared" ref="H3:H36" si="4">IF(F3=0,0,Currency&amp;$F3&amp;$G3&amp;$B3&amp;QuoteSuffix)</f>
        <v>USD6L3L1Y_Quote</v>
      </c>
      <c r="I3" s="251" t="str">
        <f t="shared" ref="I3:I36" si="5">PROPER(Currency)&amp;FamilyName&amp;"Swap"&amp;FixingType&amp;$B3</f>
        <v>UsdLiborSwapForBasisCalc1Y</v>
      </c>
      <c r="J3" s="247" t="str">
        <f t="shared" ref="J3:J36" si="6">Currency&amp;$C3&amp;$D3&amp;$B3&amp;IF(H3=0,,"_S"&amp;$F3&amp;$G3)&amp;QuoteSuffix</f>
        <v>USDAM3L1Y_S6L3L_Quote</v>
      </c>
      <c r="K3" s="247" t="str">
        <f>_xll.qlForwardSwapQuote(J3,I3,H3,E3,Permanent,Trigger,ObjectOverwrite)</f>
        <v>USDAM3L1Y_S6L3L_Quote#0020</v>
      </c>
      <c r="L3" s="257" t="str">
        <f>_xll.ohRangeRetrieveError(K3)</f>
        <v/>
      </c>
      <c r="M3" s="49"/>
      <c r="O3" s="87" t="s">
        <v>132</v>
      </c>
      <c r="P3" s="86" t="s">
        <v>213</v>
      </c>
      <c r="Q3" s="86" t="s">
        <v>125</v>
      </c>
      <c r="R3" s="86" t="s">
        <v>224</v>
      </c>
      <c r="S3" s="86"/>
      <c r="T3" s="85"/>
    </row>
    <row r="4" spans="1:20" x14ac:dyDescent="0.2">
      <c r="A4" s="124"/>
      <c r="B4" s="80" t="s">
        <v>108</v>
      </c>
      <c r="C4" s="197" t="str">
        <f t="shared" si="0"/>
        <v>AM</v>
      </c>
      <c r="D4" s="197" t="str">
        <f t="shared" si="1"/>
        <v>3L</v>
      </c>
      <c r="E4" s="197" t="str">
        <f t="shared" ref="E4:E36" si="7">E3</f>
        <v>0D</v>
      </c>
      <c r="F4" s="197" t="str">
        <f t="shared" si="2"/>
        <v>6L</v>
      </c>
      <c r="G4" s="197" t="str">
        <f t="shared" si="3"/>
        <v>3L</v>
      </c>
      <c r="H4" s="248" t="str">
        <f t="shared" si="4"/>
        <v>USD6L3L2Y_Quote</v>
      </c>
      <c r="I4" s="108" t="str">
        <f t="shared" si="5"/>
        <v>UsdLiborSwapForBasisCalc2Y</v>
      </c>
      <c r="J4" s="247" t="str">
        <f t="shared" si="6"/>
        <v>USDAM3L2Y_S6L3L_Quote</v>
      </c>
      <c r="K4" s="247" t="str">
        <f>_xll.qlForwardSwapQuote(J4,I4,H4,E4,Permanent,Trigger,ObjectOverwrite)</f>
        <v>USDAM3L2Y_S6L3L_Quote#0020</v>
      </c>
      <c r="L4" s="257" t="str">
        <f>_xll.ohRangeRetrieveError(K4)</f>
        <v/>
      </c>
      <c r="M4" s="49"/>
      <c r="O4" s="87" t="s">
        <v>131</v>
      </c>
      <c r="P4" s="86" t="s">
        <v>213</v>
      </c>
      <c r="Q4" s="259" t="s">
        <v>137</v>
      </c>
      <c r="R4" s="86" t="s">
        <v>224</v>
      </c>
      <c r="S4" s="86" t="s">
        <v>137</v>
      </c>
      <c r="T4" s="85" t="s">
        <v>129</v>
      </c>
    </row>
    <row r="5" spans="1:20" x14ac:dyDescent="0.2">
      <c r="A5" s="124"/>
      <c r="B5" s="80" t="s">
        <v>107</v>
      </c>
      <c r="C5" s="197" t="str">
        <f t="shared" si="0"/>
        <v>AM</v>
      </c>
      <c r="D5" s="197" t="str">
        <f t="shared" si="1"/>
        <v>3L</v>
      </c>
      <c r="E5" s="197" t="str">
        <f t="shared" si="7"/>
        <v>0D</v>
      </c>
      <c r="F5" s="197" t="str">
        <f t="shared" si="2"/>
        <v>6L</v>
      </c>
      <c r="G5" s="197" t="str">
        <f t="shared" si="3"/>
        <v>3L</v>
      </c>
      <c r="H5" s="248" t="str">
        <f t="shared" si="4"/>
        <v>USD6L3L3Y_Quote</v>
      </c>
      <c r="I5" s="108" t="str">
        <f t="shared" si="5"/>
        <v>UsdLiborSwapForBasisCalc3Y</v>
      </c>
      <c r="J5" s="247" t="str">
        <f t="shared" si="6"/>
        <v>USDAM3L3Y_S6L3L_Quote</v>
      </c>
      <c r="K5" s="247" t="str">
        <f>_xll.qlForwardSwapQuote(J5,I5,H5,E5,Permanent,Trigger,ObjectOverwrite)</f>
        <v>USDAM3L3Y_S6L3L_Quote#0020</v>
      </c>
      <c r="L5" s="257" t="str">
        <f>_xll.ohRangeRetrieveError(K5)</f>
        <v/>
      </c>
      <c r="M5" s="49"/>
      <c r="O5" s="87" t="s">
        <v>128</v>
      </c>
      <c r="P5" s="86" t="s">
        <v>212</v>
      </c>
      <c r="Q5" s="86" t="s">
        <v>125</v>
      </c>
      <c r="R5" s="86" t="s">
        <v>224</v>
      </c>
      <c r="S5" s="86"/>
      <c r="T5" s="85"/>
    </row>
    <row r="6" spans="1:20" x14ac:dyDescent="0.2">
      <c r="A6" s="124"/>
      <c r="B6" s="80" t="s">
        <v>106</v>
      </c>
      <c r="C6" s="197" t="str">
        <f t="shared" si="0"/>
        <v>AM</v>
      </c>
      <c r="D6" s="197" t="str">
        <f t="shared" si="1"/>
        <v>3L</v>
      </c>
      <c r="E6" s="197" t="str">
        <f t="shared" si="7"/>
        <v>0D</v>
      </c>
      <c r="F6" s="197" t="str">
        <f t="shared" si="2"/>
        <v>6L</v>
      </c>
      <c r="G6" s="197" t="str">
        <f t="shared" si="3"/>
        <v>3L</v>
      </c>
      <c r="H6" s="248" t="str">
        <f t="shared" si="4"/>
        <v>USD6L3L4Y_Quote</v>
      </c>
      <c r="I6" s="108" t="str">
        <f t="shared" si="5"/>
        <v>UsdLiborSwapForBasisCalc4Y</v>
      </c>
      <c r="J6" s="247" t="str">
        <f t="shared" si="6"/>
        <v>USDAM3L4Y_S6L3L_Quote</v>
      </c>
      <c r="K6" s="247" t="str">
        <f>_xll.qlForwardSwapQuote(J6,I6,H6,E6,Permanent,Trigger,ObjectOverwrite)</f>
        <v>USDAM3L4Y_S6L3L_Quote#0020</v>
      </c>
      <c r="L6" s="257" t="str">
        <f>_xll.ohRangeRetrieveError(K6)</f>
        <v/>
      </c>
      <c r="M6" s="49"/>
      <c r="O6" s="87" t="s">
        <v>127</v>
      </c>
      <c r="P6" s="86" t="s">
        <v>212</v>
      </c>
      <c r="Q6" s="86" t="s">
        <v>125</v>
      </c>
      <c r="R6" s="86" t="s">
        <v>224</v>
      </c>
      <c r="S6" s="86"/>
      <c r="T6" s="85"/>
    </row>
    <row r="7" spans="1:20" ht="12" thickBot="1" x14ac:dyDescent="0.25">
      <c r="A7" s="124"/>
      <c r="B7" s="80" t="s">
        <v>105</v>
      </c>
      <c r="C7" s="197" t="str">
        <f t="shared" si="0"/>
        <v>AM</v>
      </c>
      <c r="D7" s="197" t="str">
        <f t="shared" si="1"/>
        <v>3L</v>
      </c>
      <c r="E7" s="197" t="str">
        <f t="shared" si="7"/>
        <v>0D</v>
      </c>
      <c r="F7" s="197" t="str">
        <f t="shared" si="2"/>
        <v>6L</v>
      </c>
      <c r="G7" s="197" t="str">
        <f t="shared" si="3"/>
        <v>3L</v>
      </c>
      <c r="H7" s="248" t="str">
        <f t="shared" si="4"/>
        <v>USD6L3L5Y_Quote</v>
      </c>
      <c r="I7" s="108" t="str">
        <f t="shared" si="5"/>
        <v>UsdLiborSwapForBasisCalc5Y</v>
      </c>
      <c r="J7" s="247" t="str">
        <f t="shared" si="6"/>
        <v>USDAM3L5Y_S6L3L_Quote</v>
      </c>
      <c r="K7" s="247" t="str">
        <f>_xll.qlForwardSwapQuote(J7,I7,H7,E7,Permanent,Trigger,ObjectOverwrite)</f>
        <v>USDAM3L5Y_S6L3L_Quote#0020</v>
      </c>
      <c r="L7" s="257" t="str">
        <f>_xll.ohRangeRetrieveError(K7)</f>
        <v/>
      </c>
      <c r="M7" s="49"/>
      <c r="O7" s="84" t="s">
        <v>122</v>
      </c>
      <c r="P7" s="83" t="s">
        <v>211</v>
      </c>
      <c r="Q7" s="83" t="s">
        <v>125</v>
      </c>
      <c r="R7" s="83" t="s">
        <v>224</v>
      </c>
      <c r="S7" s="83" t="s">
        <v>126</v>
      </c>
      <c r="T7" s="82" t="s">
        <v>125</v>
      </c>
    </row>
    <row r="8" spans="1:20" x14ac:dyDescent="0.2">
      <c r="A8" s="124"/>
      <c r="B8" s="80" t="s">
        <v>104</v>
      </c>
      <c r="C8" s="197" t="str">
        <f t="shared" si="0"/>
        <v>AM</v>
      </c>
      <c r="D8" s="197" t="str">
        <f t="shared" si="1"/>
        <v>3L</v>
      </c>
      <c r="E8" s="197" t="str">
        <f t="shared" si="7"/>
        <v>0D</v>
      </c>
      <c r="F8" s="197" t="str">
        <f t="shared" si="2"/>
        <v>6L</v>
      </c>
      <c r="G8" s="197" t="str">
        <f t="shared" si="3"/>
        <v>3L</v>
      </c>
      <c r="H8" s="248" t="str">
        <f t="shared" si="4"/>
        <v>USD6L3L6Y_Quote</v>
      </c>
      <c r="I8" s="108" t="str">
        <f t="shared" si="5"/>
        <v>UsdLiborSwapForBasisCalc6Y</v>
      </c>
      <c r="J8" s="247" t="str">
        <f t="shared" si="6"/>
        <v>USDAM3L6Y_S6L3L_Quote</v>
      </c>
      <c r="K8" s="247" t="str">
        <f>_xll.qlForwardSwapQuote(J8,I8,H8,E8,Permanent,Trigger,ObjectOverwrite)</f>
        <v>USDAM3L6Y_S6L3L_Quote#0020</v>
      </c>
      <c r="L8" s="257" t="str">
        <f>_xll.ohRangeRetrieveError(K8)</f>
        <v/>
      </c>
      <c r="M8" s="49"/>
    </row>
    <row r="9" spans="1:20" x14ac:dyDescent="0.2">
      <c r="A9" s="124"/>
      <c r="B9" s="80" t="s">
        <v>103</v>
      </c>
      <c r="C9" s="197" t="str">
        <f t="shared" si="0"/>
        <v>AM</v>
      </c>
      <c r="D9" s="197" t="str">
        <f t="shared" si="1"/>
        <v>3L</v>
      </c>
      <c r="E9" s="197" t="str">
        <f t="shared" si="7"/>
        <v>0D</v>
      </c>
      <c r="F9" s="197" t="str">
        <f t="shared" si="2"/>
        <v>6L</v>
      </c>
      <c r="G9" s="197" t="str">
        <f t="shared" si="3"/>
        <v>3L</v>
      </c>
      <c r="H9" s="248" t="str">
        <f t="shared" si="4"/>
        <v>USD6L3L7Y_Quote</v>
      </c>
      <c r="I9" s="108" t="str">
        <f t="shared" si="5"/>
        <v>UsdLiborSwapForBasisCalc7Y</v>
      </c>
      <c r="J9" s="247" t="str">
        <f t="shared" si="6"/>
        <v>USDAM3L7Y_S6L3L_Quote</v>
      </c>
      <c r="K9" s="247" t="str">
        <f>_xll.qlForwardSwapQuote(J9,I9,H9,E9,Permanent,Trigger,ObjectOverwrite)</f>
        <v>USDAM3L7Y_S6L3L_Quote#0020</v>
      </c>
      <c r="L9" s="257" t="str">
        <f>_xll.ohRangeRetrieveError(K9)</f>
        <v/>
      </c>
      <c r="M9" s="49"/>
    </row>
    <row r="10" spans="1:20" x14ac:dyDescent="0.2">
      <c r="A10" s="124"/>
      <c r="B10" s="80" t="s">
        <v>102</v>
      </c>
      <c r="C10" s="197" t="str">
        <f t="shared" si="0"/>
        <v>AM</v>
      </c>
      <c r="D10" s="197" t="str">
        <f t="shared" si="1"/>
        <v>3L</v>
      </c>
      <c r="E10" s="197" t="str">
        <f t="shared" si="7"/>
        <v>0D</v>
      </c>
      <c r="F10" s="197" t="str">
        <f t="shared" si="2"/>
        <v>6L</v>
      </c>
      <c r="G10" s="197" t="str">
        <f t="shared" si="3"/>
        <v>3L</v>
      </c>
      <c r="H10" s="248" t="str">
        <f t="shared" si="4"/>
        <v>USD6L3L8Y_Quote</v>
      </c>
      <c r="I10" s="108" t="str">
        <f t="shared" si="5"/>
        <v>UsdLiborSwapForBasisCalc8Y</v>
      </c>
      <c r="J10" s="247" t="str">
        <f t="shared" si="6"/>
        <v>USDAM3L8Y_S6L3L_Quote</v>
      </c>
      <c r="K10" s="247" t="str">
        <f>_xll.qlForwardSwapQuote(J10,I10,H10,E10,Permanent,Trigger,ObjectOverwrite)</f>
        <v>USDAM3L8Y_S6L3L_Quote#0020</v>
      </c>
      <c r="L10" s="257" t="str">
        <f>_xll.ohRangeRetrieveError(K10)</f>
        <v/>
      </c>
      <c r="M10" s="49"/>
    </row>
    <row r="11" spans="1:20" x14ac:dyDescent="0.2">
      <c r="A11" s="124"/>
      <c r="B11" s="80" t="s">
        <v>101</v>
      </c>
      <c r="C11" s="197" t="str">
        <f t="shared" si="0"/>
        <v>AM</v>
      </c>
      <c r="D11" s="197" t="str">
        <f t="shared" si="1"/>
        <v>3L</v>
      </c>
      <c r="E11" s="197" t="str">
        <f t="shared" si="7"/>
        <v>0D</v>
      </c>
      <c r="F11" s="197" t="str">
        <f t="shared" si="2"/>
        <v>6L</v>
      </c>
      <c r="G11" s="197" t="str">
        <f t="shared" si="3"/>
        <v>3L</v>
      </c>
      <c r="H11" s="248" t="str">
        <f t="shared" si="4"/>
        <v>USD6L3L9Y_Quote</v>
      </c>
      <c r="I11" s="108" t="str">
        <f t="shared" si="5"/>
        <v>UsdLiborSwapForBasisCalc9Y</v>
      </c>
      <c r="J11" s="247" t="str">
        <f t="shared" si="6"/>
        <v>USDAM3L9Y_S6L3L_Quote</v>
      </c>
      <c r="K11" s="247" t="str">
        <f>_xll.qlForwardSwapQuote(J11,I11,H11,E11,Permanent,Trigger,ObjectOverwrite)</f>
        <v>USDAM3L9Y_S6L3L_Quote#0020</v>
      </c>
      <c r="L11" s="257" t="str">
        <f>_xll.ohRangeRetrieveError(K11)</f>
        <v/>
      </c>
      <c r="M11" s="49"/>
    </row>
    <row r="12" spans="1:20" x14ac:dyDescent="0.2">
      <c r="A12" s="124"/>
      <c r="B12" s="80" t="s">
        <v>100</v>
      </c>
      <c r="C12" s="197" t="str">
        <f t="shared" si="0"/>
        <v>AM</v>
      </c>
      <c r="D12" s="197" t="str">
        <f t="shared" si="1"/>
        <v>3L</v>
      </c>
      <c r="E12" s="197" t="str">
        <f t="shared" si="7"/>
        <v>0D</v>
      </c>
      <c r="F12" s="197" t="str">
        <f t="shared" si="2"/>
        <v>6L</v>
      </c>
      <c r="G12" s="197" t="str">
        <f t="shared" si="3"/>
        <v>3L</v>
      </c>
      <c r="H12" s="248" t="str">
        <f t="shared" si="4"/>
        <v>USD6L3L10Y_Quote</v>
      </c>
      <c r="I12" s="108" t="str">
        <f t="shared" si="5"/>
        <v>UsdLiborSwapForBasisCalc10Y</v>
      </c>
      <c r="J12" s="247" t="str">
        <f t="shared" si="6"/>
        <v>USDAM3L10Y_S6L3L_Quote</v>
      </c>
      <c r="K12" s="247" t="str">
        <f>_xll.qlForwardSwapQuote(J12,I12,H12,E12,Permanent,Trigger,ObjectOverwrite)</f>
        <v>USDAM3L10Y_S6L3L_Quote#0020</v>
      </c>
      <c r="L12" s="257" t="str">
        <f>_xll.ohRangeRetrieveError(K12)</f>
        <v/>
      </c>
      <c r="M12" s="49"/>
    </row>
    <row r="13" spans="1:20" x14ac:dyDescent="0.2">
      <c r="A13" s="124"/>
      <c r="B13" s="80" t="s">
        <v>99</v>
      </c>
      <c r="C13" s="197" t="str">
        <f t="shared" si="0"/>
        <v>AM</v>
      </c>
      <c r="D13" s="197" t="str">
        <f t="shared" si="1"/>
        <v>3L</v>
      </c>
      <c r="E13" s="197" t="str">
        <f t="shared" si="7"/>
        <v>0D</v>
      </c>
      <c r="F13" s="197" t="str">
        <f t="shared" si="2"/>
        <v>6L</v>
      </c>
      <c r="G13" s="197" t="str">
        <f t="shared" si="3"/>
        <v>3L</v>
      </c>
      <c r="H13" s="248" t="str">
        <f t="shared" si="4"/>
        <v>USD6L3L11Y_Quote</v>
      </c>
      <c r="I13" s="108" t="str">
        <f t="shared" si="5"/>
        <v>UsdLiborSwapForBasisCalc11Y</v>
      </c>
      <c r="J13" s="247" t="str">
        <f t="shared" si="6"/>
        <v>USDAM3L11Y_S6L3L_Quote</v>
      </c>
      <c r="K13" s="247" t="str">
        <f>_xll.qlForwardSwapQuote(J13,I13,H13,E13,Permanent,Trigger,ObjectOverwrite)</f>
        <v>USDAM3L11Y_S6L3L_Quote#0020</v>
      </c>
      <c r="L13" s="257" t="str">
        <f>_xll.ohRangeRetrieveError(K13)</f>
        <v/>
      </c>
      <c r="M13" s="49"/>
    </row>
    <row r="14" spans="1:20" x14ac:dyDescent="0.2">
      <c r="A14" s="124"/>
      <c r="B14" s="80" t="s">
        <v>98</v>
      </c>
      <c r="C14" s="197" t="str">
        <f t="shared" si="0"/>
        <v>AM</v>
      </c>
      <c r="D14" s="197" t="str">
        <f t="shared" si="1"/>
        <v>3L</v>
      </c>
      <c r="E14" s="197" t="str">
        <f t="shared" si="7"/>
        <v>0D</v>
      </c>
      <c r="F14" s="197" t="str">
        <f t="shared" si="2"/>
        <v>6L</v>
      </c>
      <c r="G14" s="197" t="str">
        <f t="shared" si="3"/>
        <v>3L</v>
      </c>
      <c r="H14" s="248" t="str">
        <f t="shared" si="4"/>
        <v>USD6L3L12Y_Quote</v>
      </c>
      <c r="I14" s="108" t="str">
        <f t="shared" si="5"/>
        <v>UsdLiborSwapForBasisCalc12Y</v>
      </c>
      <c r="J14" s="247" t="str">
        <f t="shared" si="6"/>
        <v>USDAM3L12Y_S6L3L_Quote</v>
      </c>
      <c r="K14" s="247" t="str">
        <f>_xll.qlForwardSwapQuote(J14,I14,H14,E14,Permanent,Trigger,ObjectOverwrite)</f>
        <v>USDAM3L12Y_S6L3L_Quote#0020</v>
      </c>
      <c r="L14" s="257" t="str">
        <f>_xll.ohRangeRetrieveError(K14)</f>
        <v/>
      </c>
      <c r="M14" s="49"/>
    </row>
    <row r="15" spans="1:20" x14ac:dyDescent="0.2">
      <c r="A15" s="124"/>
      <c r="B15" s="80" t="s">
        <v>97</v>
      </c>
      <c r="C15" s="197" t="str">
        <f t="shared" si="0"/>
        <v>AM</v>
      </c>
      <c r="D15" s="197" t="str">
        <f t="shared" si="1"/>
        <v>3L</v>
      </c>
      <c r="E15" s="197" t="str">
        <f t="shared" si="7"/>
        <v>0D</v>
      </c>
      <c r="F15" s="197" t="str">
        <f t="shared" si="2"/>
        <v>6L</v>
      </c>
      <c r="G15" s="197" t="str">
        <f t="shared" si="3"/>
        <v>3L</v>
      </c>
      <c r="H15" s="248" t="str">
        <f t="shared" si="4"/>
        <v>USD6L3L13Y_Quote</v>
      </c>
      <c r="I15" s="108" t="str">
        <f t="shared" si="5"/>
        <v>UsdLiborSwapForBasisCalc13Y</v>
      </c>
      <c r="J15" s="247" t="str">
        <f t="shared" si="6"/>
        <v>USDAM3L13Y_S6L3L_Quote</v>
      </c>
      <c r="K15" s="247" t="str">
        <f>_xll.qlForwardSwapQuote(J15,I15,H15,E15,Permanent,Trigger,ObjectOverwrite)</f>
        <v>USDAM3L13Y_S6L3L_Quote#0020</v>
      </c>
      <c r="L15" s="257" t="str">
        <f>_xll.ohRangeRetrieveError(K15)</f>
        <v/>
      </c>
      <c r="M15" s="49"/>
    </row>
    <row r="16" spans="1:20" x14ac:dyDescent="0.2">
      <c r="A16" s="124"/>
      <c r="B16" s="80" t="s">
        <v>96</v>
      </c>
      <c r="C16" s="197" t="str">
        <f t="shared" si="0"/>
        <v>AM</v>
      </c>
      <c r="D16" s="197" t="str">
        <f t="shared" si="1"/>
        <v>3L</v>
      </c>
      <c r="E16" s="197" t="str">
        <f t="shared" si="7"/>
        <v>0D</v>
      </c>
      <c r="F16" s="197" t="str">
        <f t="shared" si="2"/>
        <v>6L</v>
      </c>
      <c r="G16" s="197" t="str">
        <f t="shared" si="3"/>
        <v>3L</v>
      </c>
      <c r="H16" s="248" t="str">
        <f t="shared" si="4"/>
        <v>USD6L3L14Y_Quote</v>
      </c>
      <c r="I16" s="108" t="str">
        <f t="shared" si="5"/>
        <v>UsdLiborSwapForBasisCalc14Y</v>
      </c>
      <c r="J16" s="247" t="str">
        <f t="shared" si="6"/>
        <v>USDAM3L14Y_S6L3L_Quote</v>
      </c>
      <c r="K16" s="247" t="str">
        <f>_xll.qlForwardSwapQuote(J16,I16,H16,E16,Permanent,Trigger,ObjectOverwrite)</f>
        <v>USDAM3L14Y_S6L3L_Quote#0020</v>
      </c>
      <c r="L16" s="257" t="str">
        <f>_xll.ohRangeRetrieveError(K16)</f>
        <v/>
      </c>
      <c r="M16" s="49"/>
    </row>
    <row r="17" spans="1:13" x14ac:dyDescent="0.2">
      <c r="A17" s="124"/>
      <c r="B17" s="80" t="s">
        <v>95</v>
      </c>
      <c r="C17" s="197" t="str">
        <f t="shared" si="0"/>
        <v>AM</v>
      </c>
      <c r="D17" s="197" t="str">
        <f t="shared" si="1"/>
        <v>3L</v>
      </c>
      <c r="E17" s="197" t="str">
        <f t="shared" si="7"/>
        <v>0D</v>
      </c>
      <c r="F17" s="197" t="str">
        <f t="shared" si="2"/>
        <v>6L</v>
      </c>
      <c r="G17" s="197" t="str">
        <f t="shared" si="3"/>
        <v>3L</v>
      </c>
      <c r="H17" s="248" t="str">
        <f t="shared" si="4"/>
        <v>USD6L3L15Y_Quote</v>
      </c>
      <c r="I17" s="108" t="str">
        <f t="shared" si="5"/>
        <v>UsdLiborSwapForBasisCalc15Y</v>
      </c>
      <c r="J17" s="247" t="str">
        <f t="shared" si="6"/>
        <v>USDAM3L15Y_S6L3L_Quote</v>
      </c>
      <c r="K17" s="247" t="str">
        <f>_xll.qlForwardSwapQuote(J17,I17,H17,E17,Permanent,Trigger,ObjectOverwrite)</f>
        <v>USDAM3L15Y_S6L3L_Quote#0020</v>
      </c>
      <c r="L17" s="257" t="str">
        <f>_xll.ohRangeRetrieveError(K17)</f>
        <v/>
      </c>
      <c r="M17" s="49"/>
    </row>
    <row r="18" spans="1:13" x14ac:dyDescent="0.2">
      <c r="A18" s="124"/>
      <c r="B18" s="80" t="s">
        <v>94</v>
      </c>
      <c r="C18" s="197" t="str">
        <f t="shared" si="0"/>
        <v>AM</v>
      </c>
      <c r="D18" s="197" t="str">
        <f t="shared" si="1"/>
        <v>3L</v>
      </c>
      <c r="E18" s="197" t="str">
        <f t="shared" si="7"/>
        <v>0D</v>
      </c>
      <c r="F18" s="197" t="str">
        <f t="shared" si="2"/>
        <v>6L</v>
      </c>
      <c r="G18" s="197" t="str">
        <f t="shared" si="3"/>
        <v>3L</v>
      </c>
      <c r="H18" s="248" t="str">
        <f t="shared" si="4"/>
        <v>USD6L3L16Y_Quote</v>
      </c>
      <c r="I18" s="108" t="str">
        <f t="shared" si="5"/>
        <v>UsdLiborSwapForBasisCalc16Y</v>
      </c>
      <c r="J18" s="247" t="str">
        <f t="shared" si="6"/>
        <v>USDAM3L16Y_S6L3L_Quote</v>
      </c>
      <c r="K18" s="247" t="str">
        <f>_xll.qlForwardSwapQuote(J18,I18,H18,E18,Permanent,Trigger,ObjectOverwrite)</f>
        <v>USDAM3L16Y_S6L3L_Quote#0020</v>
      </c>
      <c r="L18" s="257" t="str">
        <f>_xll.ohRangeRetrieveError(K18)</f>
        <v/>
      </c>
      <c r="M18" s="49"/>
    </row>
    <row r="19" spans="1:13" x14ac:dyDescent="0.2">
      <c r="A19" s="124"/>
      <c r="B19" s="80" t="s">
        <v>93</v>
      </c>
      <c r="C19" s="197" t="str">
        <f t="shared" si="0"/>
        <v>AM</v>
      </c>
      <c r="D19" s="197" t="str">
        <f t="shared" si="1"/>
        <v>3L</v>
      </c>
      <c r="E19" s="197" t="str">
        <f t="shared" si="7"/>
        <v>0D</v>
      </c>
      <c r="F19" s="197" t="str">
        <f t="shared" si="2"/>
        <v>6L</v>
      </c>
      <c r="G19" s="197" t="str">
        <f t="shared" si="3"/>
        <v>3L</v>
      </c>
      <c r="H19" s="248" t="str">
        <f t="shared" si="4"/>
        <v>USD6L3L17Y_Quote</v>
      </c>
      <c r="I19" s="108" t="str">
        <f t="shared" si="5"/>
        <v>UsdLiborSwapForBasisCalc17Y</v>
      </c>
      <c r="J19" s="247" t="str">
        <f t="shared" si="6"/>
        <v>USDAM3L17Y_S6L3L_Quote</v>
      </c>
      <c r="K19" s="247" t="str">
        <f>_xll.qlForwardSwapQuote(J19,I19,H19,E19,Permanent,Trigger,ObjectOverwrite)</f>
        <v>USDAM3L17Y_S6L3L_Quote#0020</v>
      </c>
      <c r="L19" s="257" t="str">
        <f>_xll.ohRangeRetrieveError(K19)</f>
        <v/>
      </c>
      <c r="M19" s="49"/>
    </row>
    <row r="20" spans="1:13" x14ac:dyDescent="0.2">
      <c r="A20" s="124"/>
      <c r="B20" s="80" t="s">
        <v>92</v>
      </c>
      <c r="C20" s="197" t="str">
        <f t="shared" si="0"/>
        <v>AM</v>
      </c>
      <c r="D20" s="197" t="str">
        <f t="shared" si="1"/>
        <v>3L</v>
      </c>
      <c r="E20" s="197" t="str">
        <f t="shared" si="7"/>
        <v>0D</v>
      </c>
      <c r="F20" s="197" t="str">
        <f t="shared" si="2"/>
        <v>6L</v>
      </c>
      <c r="G20" s="197" t="str">
        <f t="shared" si="3"/>
        <v>3L</v>
      </c>
      <c r="H20" s="248" t="str">
        <f t="shared" si="4"/>
        <v>USD6L3L18Y_Quote</v>
      </c>
      <c r="I20" s="108" t="str">
        <f t="shared" si="5"/>
        <v>UsdLiborSwapForBasisCalc18Y</v>
      </c>
      <c r="J20" s="247" t="str">
        <f t="shared" si="6"/>
        <v>USDAM3L18Y_S6L3L_Quote</v>
      </c>
      <c r="K20" s="247" t="str">
        <f>_xll.qlForwardSwapQuote(J20,I20,H20,E20,Permanent,Trigger,ObjectOverwrite)</f>
        <v>USDAM3L18Y_S6L3L_Quote#0020</v>
      </c>
      <c r="L20" s="257" t="str">
        <f>_xll.ohRangeRetrieveError(K20)</f>
        <v/>
      </c>
      <c r="M20" s="49"/>
    </row>
    <row r="21" spans="1:13" x14ac:dyDescent="0.2">
      <c r="A21" s="124"/>
      <c r="B21" s="80" t="s">
        <v>91</v>
      </c>
      <c r="C21" s="197" t="str">
        <f t="shared" si="0"/>
        <v>AM</v>
      </c>
      <c r="D21" s="197" t="str">
        <f t="shared" si="1"/>
        <v>3L</v>
      </c>
      <c r="E21" s="197" t="str">
        <f t="shared" si="7"/>
        <v>0D</v>
      </c>
      <c r="F21" s="197" t="str">
        <f t="shared" si="2"/>
        <v>6L</v>
      </c>
      <c r="G21" s="197" t="str">
        <f t="shared" si="3"/>
        <v>3L</v>
      </c>
      <c r="H21" s="248" t="str">
        <f t="shared" si="4"/>
        <v>USD6L3L19Y_Quote</v>
      </c>
      <c r="I21" s="108" t="str">
        <f t="shared" si="5"/>
        <v>UsdLiborSwapForBasisCalc19Y</v>
      </c>
      <c r="J21" s="247" t="str">
        <f t="shared" si="6"/>
        <v>USDAM3L19Y_S6L3L_Quote</v>
      </c>
      <c r="K21" s="247" t="str">
        <f>_xll.qlForwardSwapQuote(J21,I21,H21,E21,Permanent,Trigger,ObjectOverwrite)</f>
        <v>USDAM3L19Y_S6L3L_Quote#0020</v>
      </c>
      <c r="L21" s="257" t="str">
        <f>_xll.ohRangeRetrieveError(K21)</f>
        <v/>
      </c>
      <c r="M21" s="49"/>
    </row>
    <row r="22" spans="1:13" x14ac:dyDescent="0.2">
      <c r="A22" s="124"/>
      <c r="B22" s="80" t="s">
        <v>90</v>
      </c>
      <c r="C22" s="197" t="str">
        <f t="shared" si="0"/>
        <v>AM</v>
      </c>
      <c r="D22" s="197" t="str">
        <f t="shared" si="1"/>
        <v>3L</v>
      </c>
      <c r="E22" s="197" t="str">
        <f t="shared" si="7"/>
        <v>0D</v>
      </c>
      <c r="F22" s="197" t="str">
        <f t="shared" si="2"/>
        <v>6L</v>
      </c>
      <c r="G22" s="197" t="str">
        <f t="shared" si="3"/>
        <v>3L</v>
      </c>
      <c r="H22" s="248" t="str">
        <f t="shared" si="4"/>
        <v>USD6L3L20Y_Quote</v>
      </c>
      <c r="I22" s="108" t="str">
        <f t="shared" si="5"/>
        <v>UsdLiborSwapForBasisCalc20Y</v>
      </c>
      <c r="J22" s="247" t="str">
        <f t="shared" si="6"/>
        <v>USDAM3L20Y_S6L3L_Quote</v>
      </c>
      <c r="K22" s="247" t="str">
        <f>_xll.qlForwardSwapQuote(J22,I22,H22,E22,Permanent,Trigger,ObjectOverwrite)</f>
        <v>USDAM3L20Y_S6L3L_Quote#0020</v>
      </c>
      <c r="L22" s="257" t="str">
        <f>_xll.ohRangeRetrieveError(K22)</f>
        <v/>
      </c>
      <c r="M22" s="49"/>
    </row>
    <row r="23" spans="1:13" x14ac:dyDescent="0.2">
      <c r="A23" s="124"/>
      <c r="B23" s="80" t="s">
        <v>89</v>
      </c>
      <c r="C23" s="197" t="str">
        <f t="shared" si="0"/>
        <v>AM</v>
      </c>
      <c r="D23" s="197" t="str">
        <f t="shared" si="1"/>
        <v>3L</v>
      </c>
      <c r="E23" s="197" t="str">
        <f t="shared" si="7"/>
        <v>0D</v>
      </c>
      <c r="F23" s="197" t="str">
        <f t="shared" si="2"/>
        <v>6L</v>
      </c>
      <c r="G23" s="197" t="str">
        <f t="shared" si="3"/>
        <v>3L</v>
      </c>
      <c r="H23" s="248" t="str">
        <f t="shared" si="4"/>
        <v>USD6L3L21Y_Quote</v>
      </c>
      <c r="I23" s="108" t="str">
        <f t="shared" si="5"/>
        <v>UsdLiborSwapForBasisCalc21Y</v>
      </c>
      <c r="J23" s="247" t="str">
        <f t="shared" si="6"/>
        <v>USDAM3L21Y_S6L3L_Quote</v>
      </c>
      <c r="K23" s="247" t="str">
        <f>_xll.qlForwardSwapQuote(J23,I23,H23,E23,Permanent,Trigger,ObjectOverwrite)</f>
        <v>USDAM3L21Y_S6L3L_Quote#0020</v>
      </c>
      <c r="L23" s="257" t="str">
        <f>_xll.ohRangeRetrieveError(K23)</f>
        <v/>
      </c>
      <c r="M23" s="49"/>
    </row>
    <row r="24" spans="1:13" x14ac:dyDescent="0.2">
      <c r="A24" s="124"/>
      <c r="B24" s="80" t="s">
        <v>88</v>
      </c>
      <c r="C24" s="197" t="str">
        <f t="shared" si="0"/>
        <v>AM</v>
      </c>
      <c r="D24" s="197" t="str">
        <f t="shared" si="1"/>
        <v>3L</v>
      </c>
      <c r="E24" s="197" t="str">
        <f t="shared" si="7"/>
        <v>0D</v>
      </c>
      <c r="F24" s="197" t="str">
        <f t="shared" si="2"/>
        <v>6L</v>
      </c>
      <c r="G24" s="197" t="str">
        <f t="shared" si="3"/>
        <v>3L</v>
      </c>
      <c r="H24" s="248" t="str">
        <f t="shared" si="4"/>
        <v>USD6L3L22Y_Quote</v>
      </c>
      <c r="I24" s="108" t="str">
        <f t="shared" si="5"/>
        <v>UsdLiborSwapForBasisCalc22Y</v>
      </c>
      <c r="J24" s="247" t="str">
        <f t="shared" si="6"/>
        <v>USDAM3L22Y_S6L3L_Quote</v>
      </c>
      <c r="K24" s="247" t="str">
        <f>_xll.qlForwardSwapQuote(J24,I24,H24,E24,Permanent,Trigger,ObjectOverwrite)</f>
        <v>USDAM3L22Y_S6L3L_Quote#0020</v>
      </c>
      <c r="L24" s="257" t="str">
        <f>_xll.ohRangeRetrieveError(K24)</f>
        <v/>
      </c>
      <c r="M24" s="49"/>
    </row>
    <row r="25" spans="1:13" x14ac:dyDescent="0.2">
      <c r="A25" s="124"/>
      <c r="B25" s="80" t="s">
        <v>87</v>
      </c>
      <c r="C25" s="197" t="str">
        <f t="shared" si="0"/>
        <v>AM</v>
      </c>
      <c r="D25" s="197" t="str">
        <f t="shared" si="1"/>
        <v>3L</v>
      </c>
      <c r="E25" s="197" t="str">
        <f t="shared" si="7"/>
        <v>0D</v>
      </c>
      <c r="F25" s="197" t="str">
        <f t="shared" si="2"/>
        <v>6L</v>
      </c>
      <c r="G25" s="197" t="str">
        <f t="shared" si="3"/>
        <v>3L</v>
      </c>
      <c r="H25" s="248" t="str">
        <f t="shared" si="4"/>
        <v>USD6L3L23Y_Quote</v>
      </c>
      <c r="I25" s="108" t="str">
        <f t="shared" si="5"/>
        <v>UsdLiborSwapForBasisCalc23Y</v>
      </c>
      <c r="J25" s="247" t="str">
        <f t="shared" si="6"/>
        <v>USDAM3L23Y_S6L3L_Quote</v>
      </c>
      <c r="K25" s="247" t="str">
        <f>_xll.qlForwardSwapQuote(J25,I25,H25,E25,Permanent,Trigger,ObjectOverwrite)</f>
        <v>USDAM3L23Y_S6L3L_Quote#0020</v>
      </c>
      <c r="L25" s="257" t="str">
        <f>_xll.ohRangeRetrieveError(K25)</f>
        <v/>
      </c>
      <c r="M25" s="49"/>
    </row>
    <row r="26" spans="1:13" x14ac:dyDescent="0.2">
      <c r="A26" s="124"/>
      <c r="B26" s="80" t="s">
        <v>86</v>
      </c>
      <c r="C26" s="197" t="str">
        <f t="shared" si="0"/>
        <v>AM</v>
      </c>
      <c r="D26" s="197" t="str">
        <f t="shared" si="1"/>
        <v>3L</v>
      </c>
      <c r="E26" s="197" t="str">
        <f t="shared" si="7"/>
        <v>0D</v>
      </c>
      <c r="F26" s="197" t="str">
        <f t="shared" si="2"/>
        <v>6L</v>
      </c>
      <c r="G26" s="197" t="str">
        <f t="shared" si="3"/>
        <v>3L</v>
      </c>
      <c r="H26" s="248" t="str">
        <f t="shared" si="4"/>
        <v>USD6L3L24Y_Quote</v>
      </c>
      <c r="I26" s="108" t="str">
        <f t="shared" si="5"/>
        <v>UsdLiborSwapForBasisCalc24Y</v>
      </c>
      <c r="J26" s="247" t="str">
        <f t="shared" si="6"/>
        <v>USDAM3L24Y_S6L3L_Quote</v>
      </c>
      <c r="K26" s="247" t="str">
        <f>_xll.qlForwardSwapQuote(J26,I26,H26,E26,Permanent,Trigger,ObjectOverwrite)</f>
        <v>USDAM3L24Y_S6L3L_Quote#0020</v>
      </c>
      <c r="L26" s="257" t="str">
        <f>_xll.ohRangeRetrieveError(K26)</f>
        <v/>
      </c>
      <c r="M26" s="49"/>
    </row>
    <row r="27" spans="1:13" x14ac:dyDescent="0.2">
      <c r="A27" s="124"/>
      <c r="B27" s="80" t="s">
        <v>85</v>
      </c>
      <c r="C27" s="197" t="str">
        <f t="shared" si="0"/>
        <v>AM</v>
      </c>
      <c r="D27" s="197" t="str">
        <f t="shared" si="1"/>
        <v>3L</v>
      </c>
      <c r="E27" s="197" t="str">
        <f t="shared" si="7"/>
        <v>0D</v>
      </c>
      <c r="F27" s="197" t="str">
        <f t="shared" si="2"/>
        <v>6L</v>
      </c>
      <c r="G27" s="197" t="str">
        <f t="shared" si="3"/>
        <v>3L</v>
      </c>
      <c r="H27" s="248" t="str">
        <f t="shared" si="4"/>
        <v>USD6L3L25Y_Quote</v>
      </c>
      <c r="I27" s="108" t="str">
        <f t="shared" si="5"/>
        <v>UsdLiborSwapForBasisCalc25Y</v>
      </c>
      <c r="J27" s="247" t="str">
        <f t="shared" si="6"/>
        <v>USDAM3L25Y_S6L3L_Quote</v>
      </c>
      <c r="K27" s="247" t="str">
        <f>_xll.qlForwardSwapQuote(J27,I27,H27,E27,Permanent,Trigger,ObjectOverwrite)</f>
        <v>USDAM3L25Y_S6L3L_Quote#0020</v>
      </c>
      <c r="L27" s="257" t="str">
        <f>_xll.ohRangeRetrieveError(K27)</f>
        <v/>
      </c>
      <c r="M27" s="49"/>
    </row>
    <row r="28" spans="1:13" x14ac:dyDescent="0.2">
      <c r="A28" s="124"/>
      <c r="B28" s="80" t="s">
        <v>84</v>
      </c>
      <c r="C28" s="197" t="str">
        <f t="shared" si="0"/>
        <v>AM</v>
      </c>
      <c r="D28" s="197" t="str">
        <f t="shared" si="1"/>
        <v>3L</v>
      </c>
      <c r="E28" s="197" t="str">
        <f t="shared" si="7"/>
        <v>0D</v>
      </c>
      <c r="F28" s="197" t="str">
        <f t="shared" si="2"/>
        <v>6L</v>
      </c>
      <c r="G28" s="197" t="str">
        <f t="shared" si="3"/>
        <v>3L</v>
      </c>
      <c r="H28" s="248" t="str">
        <f t="shared" si="4"/>
        <v>USD6L3L26Y_Quote</v>
      </c>
      <c r="I28" s="108" t="str">
        <f t="shared" si="5"/>
        <v>UsdLiborSwapForBasisCalc26Y</v>
      </c>
      <c r="J28" s="247" t="str">
        <f t="shared" si="6"/>
        <v>USDAM3L26Y_S6L3L_Quote</v>
      </c>
      <c r="K28" s="247" t="str">
        <f>_xll.qlForwardSwapQuote(J28,I28,H28,E28,Permanent,Trigger,ObjectOverwrite)</f>
        <v>USDAM3L26Y_S6L3L_Quote#0020</v>
      </c>
      <c r="L28" s="257" t="str">
        <f>_xll.ohRangeRetrieveError(K28)</f>
        <v/>
      </c>
      <c r="M28" s="49"/>
    </row>
    <row r="29" spans="1:13" x14ac:dyDescent="0.2">
      <c r="A29" s="124"/>
      <c r="B29" s="80" t="s">
        <v>83</v>
      </c>
      <c r="C29" s="197" t="str">
        <f t="shared" si="0"/>
        <v>AM</v>
      </c>
      <c r="D29" s="197" t="str">
        <f t="shared" si="1"/>
        <v>3L</v>
      </c>
      <c r="E29" s="197" t="str">
        <f t="shared" si="7"/>
        <v>0D</v>
      </c>
      <c r="F29" s="197" t="str">
        <f t="shared" si="2"/>
        <v>6L</v>
      </c>
      <c r="G29" s="197" t="str">
        <f t="shared" si="3"/>
        <v>3L</v>
      </c>
      <c r="H29" s="248" t="str">
        <f t="shared" si="4"/>
        <v>USD6L3L27Y_Quote</v>
      </c>
      <c r="I29" s="108" t="str">
        <f t="shared" si="5"/>
        <v>UsdLiborSwapForBasisCalc27Y</v>
      </c>
      <c r="J29" s="247" t="str">
        <f t="shared" si="6"/>
        <v>USDAM3L27Y_S6L3L_Quote</v>
      </c>
      <c r="K29" s="247" t="str">
        <f>_xll.qlForwardSwapQuote(J29,I29,H29,E29,Permanent,Trigger,ObjectOverwrite)</f>
        <v>USDAM3L27Y_S6L3L_Quote#0020</v>
      </c>
      <c r="L29" s="257" t="str">
        <f>_xll.ohRangeRetrieveError(K29)</f>
        <v/>
      </c>
      <c r="M29" s="49"/>
    </row>
    <row r="30" spans="1:13" x14ac:dyDescent="0.2">
      <c r="A30" s="124"/>
      <c r="B30" s="80" t="s">
        <v>82</v>
      </c>
      <c r="C30" s="197" t="str">
        <f t="shared" si="0"/>
        <v>AM</v>
      </c>
      <c r="D30" s="197" t="str">
        <f t="shared" si="1"/>
        <v>3L</v>
      </c>
      <c r="E30" s="197" t="str">
        <f t="shared" si="7"/>
        <v>0D</v>
      </c>
      <c r="F30" s="197" t="str">
        <f t="shared" si="2"/>
        <v>6L</v>
      </c>
      <c r="G30" s="197" t="str">
        <f t="shared" si="3"/>
        <v>3L</v>
      </c>
      <c r="H30" s="248" t="str">
        <f t="shared" si="4"/>
        <v>USD6L3L28Y_Quote</v>
      </c>
      <c r="I30" s="108" t="str">
        <f t="shared" si="5"/>
        <v>UsdLiborSwapForBasisCalc28Y</v>
      </c>
      <c r="J30" s="247" t="str">
        <f t="shared" si="6"/>
        <v>USDAM3L28Y_S6L3L_Quote</v>
      </c>
      <c r="K30" s="247" t="str">
        <f>_xll.qlForwardSwapQuote(J30,I30,H30,E30,Permanent,Trigger,ObjectOverwrite)</f>
        <v>USDAM3L28Y_S6L3L_Quote#0020</v>
      </c>
      <c r="L30" s="257" t="str">
        <f>_xll.ohRangeRetrieveError(K30)</f>
        <v/>
      </c>
      <c r="M30" s="49"/>
    </row>
    <row r="31" spans="1:13" x14ac:dyDescent="0.2">
      <c r="A31" s="124"/>
      <c r="B31" s="80" t="s">
        <v>81</v>
      </c>
      <c r="C31" s="197" t="str">
        <f t="shared" si="0"/>
        <v>AM</v>
      </c>
      <c r="D31" s="197" t="str">
        <f t="shared" si="1"/>
        <v>3L</v>
      </c>
      <c r="E31" s="197" t="str">
        <f t="shared" si="7"/>
        <v>0D</v>
      </c>
      <c r="F31" s="197" t="str">
        <f t="shared" si="2"/>
        <v>6L</v>
      </c>
      <c r="G31" s="197" t="str">
        <f t="shared" si="3"/>
        <v>3L</v>
      </c>
      <c r="H31" s="248" t="str">
        <f t="shared" si="4"/>
        <v>USD6L3L29Y_Quote</v>
      </c>
      <c r="I31" s="108" t="str">
        <f t="shared" si="5"/>
        <v>UsdLiborSwapForBasisCalc29Y</v>
      </c>
      <c r="J31" s="247" t="str">
        <f t="shared" si="6"/>
        <v>USDAM3L29Y_S6L3L_Quote</v>
      </c>
      <c r="K31" s="247" t="str">
        <f>_xll.qlForwardSwapQuote(J31,I31,H31,E31,Permanent,Trigger,ObjectOverwrite)</f>
        <v>USDAM3L29Y_S6L3L_Quote#0020</v>
      </c>
      <c r="L31" s="257" t="str">
        <f>_xll.ohRangeRetrieveError(K31)</f>
        <v/>
      </c>
      <c r="M31" s="49"/>
    </row>
    <row r="32" spans="1:13" x14ac:dyDescent="0.2">
      <c r="A32" s="124"/>
      <c r="B32" s="80" t="s">
        <v>80</v>
      </c>
      <c r="C32" s="197" t="str">
        <f t="shared" si="0"/>
        <v>AM</v>
      </c>
      <c r="D32" s="197" t="str">
        <f t="shared" si="1"/>
        <v>3L</v>
      </c>
      <c r="E32" s="197" t="str">
        <f t="shared" si="7"/>
        <v>0D</v>
      </c>
      <c r="F32" s="197" t="str">
        <f t="shared" si="2"/>
        <v>6L</v>
      </c>
      <c r="G32" s="197" t="str">
        <f t="shared" si="3"/>
        <v>3L</v>
      </c>
      <c r="H32" s="248" t="str">
        <f t="shared" si="4"/>
        <v>USD6L3L30Y_Quote</v>
      </c>
      <c r="I32" s="108" t="str">
        <f t="shared" si="5"/>
        <v>UsdLiborSwapForBasisCalc30Y</v>
      </c>
      <c r="J32" s="247" t="str">
        <f t="shared" si="6"/>
        <v>USDAM3L30Y_S6L3L_Quote</v>
      </c>
      <c r="K32" s="247" t="str">
        <f>_xll.qlForwardSwapQuote(J32,I32,H32,E32,Permanent,Trigger,ObjectOverwrite)</f>
        <v>USDAM3L30Y_S6L3L_Quote#0020</v>
      </c>
      <c r="L32" s="257" t="str">
        <f>_xll.ohRangeRetrieveError(K32)</f>
        <v/>
      </c>
      <c r="M32" s="49"/>
    </row>
    <row r="33" spans="1:13" x14ac:dyDescent="0.2">
      <c r="A33" s="124"/>
      <c r="B33" s="80" t="s">
        <v>75</v>
      </c>
      <c r="C33" s="197" t="str">
        <f t="shared" si="0"/>
        <v>AM</v>
      </c>
      <c r="D33" s="197" t="str">
        <f t="shared" si="1"/>
        <v>3L</v>
      </c>
      <c r="E33" s="197" t="str">
        <f t="shared" si="7"/>
        <v>0D</v>
      </c>
      <c r="F33" s="197" t="str">
        <f t="shared" si="2"/>
        <v>6L</v>
      </c>
      <c r="G33" s="197" t="str">
        <f t="shared" si="3"/>
        <v>3L</v>
      </c>
      <c r="H33" s="248" t="str">
        <f t="shared" si="4"/>
        <v>USD6L3L35Y_Quote</v>
      </c>
      <c r="I33" s="108" t="str">
        <f t="shared" si="5"/>
        <v>UsdLiborSwapForBasisCalc35Y</v>
      </c>
      <c r="J33" s="247" t="str">
        <f t="shared" si="6"/>
        <v>USDAM3L35Y_S6L3L_Quote</v>
      </c>
      <c r="K33" s="247" t="str">
        <f>_xll.qlForwardSwapQuote(J33,I33,H33,E33,Permanent,Trigger,ObjectOverwrite)</f>
        <v>USDAM3L35Y_S6L3L_Quote#0020</v>
      </c>
      <c r="L33" s="257" t="str">
        <f>_xll.ohRangeRetrieveError(K33)</f>
        <v/>
      </c>
      <c r="M33" s="49"/>
    </row>
    <row r="34" spans="1:13" x14ac:dyDescent="0.2">
      <c r="A34" s="124"/>
      <c r="B34" s="80" t="s">
        <v>70</v>
      </c>
      <c r="C34" s="197" t="str">
        <f t="shared" si="0"/>
        <v>AM</v>
      </c>
      <c r="D34" s="197" t="str">
        <f t="shared" si="1"/>
        <v>3L</v>
      </c>
      <c r="E34" s="197" t="str">
        <f t="shared" si="7"/>
        <v>0D</v>
      </c>
      <c r="F34" s="197" t="str">
        <f t="shared" si="2"/>
        <v>6L</v>
      </c>
      <c r="G34" s="197" t="str">
        <f t="shared" si="3"/>
        <v>3L</v>
      </c>
      <c r="H34" s="248" t="str">
        <f t="shared" si="4"/>
        <v>USD6L3L40Y_Quote</v>
      </c>
      <c r="I34" s="108" t="str">
        <f t="shared" si="5"/>
        <v>UsdLiborSwapForBasisCalc40Y</v>
      </c>
      <c r="J34" s="247" t="str">
        <f t="shared" si="6"/>
        <v>USDAM3L40Y_S6L3L_Quote</v>
      </c>
      <c r="K34" s="247" t="str">
        <f>_xll.qlForwardSwapQuote(J34,I34,H34,E34,Permanent,Trigger,ObjectOverwrite)</f>
        <v>USDAM3L40Y_S6L3L_Quote#0020</v>
      </c>
      <c r="L34" s="257" t="str">
        <f>_xll.ohRangeRetrieveError(K34)</f>
        <v/>
      </c>
      <c r="M34" s="49"/>
    </row>
    <row r="35" spans="1:13" x14ac:dyDescent="0.2">
      <c r="A35" s="124"/>
      <c r="B35" s="80" t="s">
        <v>60</v>
      </c>
      <c r="C35" s="197" t="str">
        <f t="shared" si="0"/>
        <v>AM</v>
      </c>
      <c r="D35" s="197" t="str">
        <f t="shared" si="1"/>
        <v>3L</v>
      </c>
      <c r="E35" s="197" t="str">
        <f t="shared" si="7"/>
        <v>0D</v>
      </c>
      <c r="F35" s="197" t="str">
        <f t="shared" si="2"/>
        <v>6L</v>
      </c>
      <c r="G35" s="197" t="str">
        <f t="shared" si="3"/>
        <v>3L</v>
      </c>
      <c r="H35" s="248" t="str">
        <f t="shared" si="4"/>
        <v>USD6L3L50Y_Quote</v>
      </c>
      <c r="I35" s="108" t="str">
        <f t="shared" si="5"/>
        <v>UsdLiborSwapForBasisCalc50Y</v>
      </c>
      <c r="J35" s="247" t="str">
        <f t="shared" si="6"/>
        <v>USDAM3L50Y_S6L3L_Quote</v>
      </c>
      <c r="K35" s="247" t="str">
        <f>_xll.qlForwardSwapQuote(J35,I35,H35,E35,Permanent,Trigger,ObjectOverwrite)</f>
        <v>USDAM3L50Y_S6L3L_Quote#0020</v>
      </c>
      <c r="L35" s="257" t="str">
        <f>_xll.ohRangeRetrieveError(K35)</f>
        <v/>
      </c>
      <c r="M35" s="49"/>
    </row>
    <row r="36" spans="1:13" x14ac:dyDescent="0.2">
      <c r="A36" s="124"/>
      <c r="B36" s="80" t="s">
        <v>50</v>
      </c>
      <c r="C36" s="197" t="str">
        <f t="shared" si="0"/>
        <v>AM</v>
      </c>
      <c r="D36" s="197" t="str">
        <f t="shared" si="1"/>
        <v>3L</v>
      </c>
      <c r="E36" s="197" t="str">
        <f t="shared" si="7"/>
        <v>0D</v>
      </c>
      <c r="F36" s="197" t="str">
        <f t="shared" si="2"/>
        <v>6L</v>
      </c>
      <c r="G36" s="197" t="str">
        <f t="shared" si="3"/>
        <v>3L</v>
      </c>
      <c r="H36" s="248" t="str">
        <f t="shared" si="4"/>
        <v>USD6L3L60Y_Quote</v>
      </c>
      <c r="I36" s="108" t="str">
        <f t="shared" si="5"/>
        <v>UsdLiborSwapForBasisCalc60Y</v>
      </c>
      <c r="J36" s="247" t="str">
        <f t="shared" si="6"/>
        <v>USDAM3L60Y_S6L3L_Quote</v>
      </c>
      <c r="K36" s="247" t="str">
        <f>_xll.qlForwardSwapQuote(J36,I36,H36,E36,Permanent,Trigger,ObjectOverwrite)</f>
        <v>USDAM3L60Y_S6L3L_Quote#0020</v>
      </c>
      <c r="L36" s="257" t="str">
        <f>_xll.ohRangeRetrieveError(K36)</f>
        <v/>
      </c>
      <c r="M36" s="49"/>
    </row>
    <row r="37" spans="1:13" ht="12" thickBot="1" x14ac:dyDescent="0.25">
      <c r="A37" s="48"/>
      <c r="B37" s="47"/>
      <c r="C37" s="47"/>
      <c r="D37" s="47"/>
      <c r="E37" s="47"/>
      <c r="F37" s="47"/>
      <c r="G37" s="47"/>
      <c r="H37" s="47"/>
      <c r="I37" s="47"/>
      <c r="J37" s="47"/>
      <c r="K37" s="118"/>
      <c r="L37" s="118"/>
      <c r="M37" s="46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24" t="s">
        <v>229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56"/>
      <c r="M1" s="203"/>
    </row>
    <row r="2" spans="1:20" ht="22.5" x14ac:dyDescent="0.2">
      <c r="A2" s="124"/>
      <c r="B2" s="94"/>
      <c r="C2" s="94"/>
      <c r="D2" s="94"/>
      <c r="E2" s="94" t="s">
        <v>227</v>
      </c>
      <c r="F2" s="94"/>
      <c r="G2" s="94"/>
      <c r="H2" s="94" t="s">
        <v>226</v>
      </c>
      <c r="I2" s="94" t="s">
        <v>225</v>
      </c>
      <c r="J2" s="253" t="str">
        <f>Currency&amp;"_020_Sw"&amp;$C$3&amp;$D$3&amp;IF(H3=0,,"_Spr"&amp;$F3&amp;$G3)&amp;".xml"</f>
        <v>USD_020_SwAM3L_Spr12L3L.xml</v>
      </c>
      <c r="K2" s="111">
        <f ca="1">IF(Serialize,_xll.ohObjectSave(K3:K36,SerializationPath&amp;J2,FileOverwrite,Serialize),"---")</f>
        <v>34</v>
      </c>
      <c r="L2" s="76" t="str">
        <f ca="1">_xll.ohRangeRetrieveError(K2)</f>
        <v/>
      </c>
      <c r="M2" s="49"/>
      <c r="O2" s="215"/>
      <c r="P2" s="214"/>
      <c r="Q2" s="214"/>
      <c r="R2" s="214"/>
      <c r="S2" s="214"/>
      <c r="T2" s="213"/>
    </row>
    <row r="3" spans="1:20" x14ac:dyDescent="0.2">
      <c r="A3" s="124"/>
      <c r="B3" s="80" t="s">
        <v>29</v>
      </c>
      <c r="C3" s="197" t="str">
        <f t="shared" ref="C3:C36" si="0">VLOOKUP(Currency,$O$3:$T$7,2)</f>
        <v>AM</v>
      </c>
      <c r="D3" s="197" t="str">
        <f t="shared" ref="D3:D36" si="1">VLOOKUP(Currency,$O$3:$T$7,3)</f>
        <v>3L</v>
      </c>
      <c r="E3" s="260" t="s">
        <v>228</v>
      </c>
      <c r="F3" s="197" t="str">
        <f t="shared" ref="F3:F36" si="2">VLOOKUP(Currency,$O$3:$T$7,5)</f>
        <v>12L</v>
      </c>
      <c r="G3" s="197" t="str">
        <f t="shared" ref="G3:G36" si="3">VLOOKUP(Currency,$O$3:$T$7,6)</f>
        <v>3L</v>
      </c>
      <c r="H3" s="248" t="str">
        <f t="shared" ref="H3:H36" si="4">IF(F3=0,0,Currency&amp;$F3&amp;$G3&amp;$B3&amp;QuoteSuffix)</f>
        <v>USD12L3L1Y_Quote</v>
      </c>
      <c r="I3" s="251" t="str">
        <f t="shared" ref="I3:I36" si="5">PROPER(Currency)&amp;FamilyName&amp;"Swap"&amp;FixingType&amp;$B3</f>
        <v>UsdLiborSwapForBasisCalc1Y</v>
      </c>
      <c r="J3" s="247" t="str">
        <f t="shared" ref="J3:J36" si="6">Currency&amp;$C3&amp;$D3&amp;$B3&amp;IF(H3=0,,"_S"&amp;$F3&amp;$G3)&amp;QuoteSuffix</f>
        <v>USDAM3L1Y_S12L3L_Quote</v>
      </c>
      <c r="K3" s="247" t="str">
        <f>_xll.qlForwardSwapQuote(J3,I3,H3,E3,Permanent,Trigger,ObjectOverwrite)</f>
        <v>USDAM3L1Y_S12L3L_Quote#0020</v>
      </c>
      <c r="L3" s="257" t="str">
        <f>_xll.ohRangeRetrieveError(K3)</f>
        <v/>
      </c>
      <c r="M3" s="49"/>
      <c r="O3" s="87" t="s">
        <v>132</v>
      </c>
      <c r="P3" s="86" t="s">
        <v>213</v>
      </c>
      <c r="Q3" s="86" t="s">
        <v>126</v>
      </c>
      <c r="R3" s="86" t="s">
        <v>224</v>
      </c>
      <c r="S3" s="86" t="s">
        <v>126</v>
      </c>
      <c r="T3" s="85" t="s">
        <v>138</v>
      </c>
    </row>
    <row r="4" spans="1:20" x14ac:dyDescent="0.2">
      <c r="A4" s="124"/>
      <c r="B4" s="80" t="s">
        <v>108</v>
      </c>
      <c r="C4" s="197" t="str">
        <f t="shared" si="0"/>
        <v>AM</v>
      </c>
      <c r="D4" s="197" t="str">
        <f t="shared" si="1"/>
        <v>3L</v>
      </c>
      <c r="E4" s="197" t="str">
        <f t="shared" ref="E4:E36" si="7">E3</f>
        <v>0D</v>
      </c>
      <c r="F4" s="197" t="str">
        <f t="shared" si="2"/>
        <v>12L</v>
      </c>
      <c r="G4" s="197" t="str">
        <f t="shared" si="3"/>
        <v>3L</v>
      </c>
      <c r="H4" s="248" t="str">
        <f t="shared" si="4"/>
        <v>USD12L3L2Y_Quote</v>
      </c>
      <c r="I4" s="108" t="str">
        <f t="shared" si="5"/>
        <v>UsdLiborSwapForBasisCalc2Y</v>
      </c>
      <c r="J4" s="247" t="str">
        <f t="shared" si="6"/>
        <v>USDAM3L2Y_S12L3L_Quote</v>
      </c>
      <c r="K4" s="247" t="str">
        <f>_xll.qlForwardSwapQuote(J4,I4,H4,E4,Permanent,Trigger,ObjectOverwrite)</f>
        <v>USDAM3L2Y_S12L3L_Quote#0020</v>
      </c>
      <c r="L4" s="257" t="str">
        <f>_xll.ohRangeRetrieveError(K4)</f>
        <v/>
      </c>
      <c r="M4" s="49"/>
      <c r="O4" s="87" t="s">
        <v>131</v>
      </c>
      <c r="P4" s="86" t="s">
        <v>213</v>
      </c>
      <c r="Q4" s="86" t="s">
        <v>129</v>
      </c>
      <c r="R4" s="86" t="s">
        <v>224</v>
      </c>
      <c r="S4" s="86" t="s">
        <v>129</v>
      </c>
      <c r="T4" s="85" t="s">
        <v>139</v>
      </c>
    </row>
    <row r="5" spans="1:20" x14ac:dyDescent="0.2">
      <c r="A5" s="124"/>
      <c r="B5" s="80" t="s">
        <v>107</v>
      </c>
      <c r="C5" s="197" t="str">
        <f t="shared" si="0"/>
        <v>AM</v>
      </c>
      <c r="D5" s="197" t="str">
        <f t="shared" si="1"/>
        <v>3L</v>
      </c>
      <c r="E5" s="197" t="str">
        <f t="shared" si="7"/>
        <v>0D</v>
      </c>
      <c r="F5" s="197" t="str">
        <f t="shared" si="2"/>
        <v>12L</v>
      </c>
      <c r="G5" s="197" t="str">
        <f t="shared" si="3"/>
        <v>3L</v>
      </c>
      <c r="H5" s="248" t="str">
        <f t="shared" si="4"/>
        <v>USD12L3L3Y_Quote</v>
      </c>
      <c r="I5" s="108" t="str">
        <f t="shared" si="5"/>
        <v>UsdLiborSwapForBasisCalc3Y</v>
      </c>
      <c r="J5" s="247" t="str">
        <f t="shared" si="6"/>
        <v>USDAM3L3Y_S12L3L_Quote</v>
      </c>
      <c r="K5" s="247" t="str">
        <f>_xll.qlForwardSwapQuote(J5,I5,H5,E5,Permanent,Trigger,ObjectOverwrite)</f>
        <v>USDAM3L3Y_S12L3L_Quote#0020</v>
      </c>
      <c r="L5" s="257" t="str">
        <f>_xll.ohRangeRetrieveError(K5)</f>
        <v/>
      </c>
      <c r="M5" s="49"/>
      <c r="O5" s="87" t="s">
        <v>128</v>
      </c>
      <c r="P5" s="86" t="s">
        <v>212</v>
      </c>
      <c r="Q5" s="86" t="s">
        <v>126</v>
      </c>
      <c r="R5" s="86" t="s">
        <v>224</v>
      </c>
      <c r="S5" s="86" t="s">
        <v>126</v>
      </c>
      <c r="T5" s="85" t="s">
        <v>138</v>
      </c>
    </row>
    <row r="6" spans="1:20" x14ac:dyDescent="0.2">
      <c r="A6" s="124"/>
      <c r="B6" s="80" t="s">
        <v>106</v>
      </c>
      <c r="C6" s="197" t="str">
        <f t="shared" si="0"/>
        <v>AM</v>
      </c>
      <c r="D6" s="197" t="str">
        <f t="shared" si="1"/>
        <v>3L</v>
      </c>
      <c r="E6" s="197" t="str">
        <f t="shared" si="7"/>
        <v>0D</v>
      </c>
      <c r="F6" s="197" t="str">
        <f t="shared" si="2"/>
        <v>12L</v>
      </c>
      <c r="G6" s="197" t="str">
        <f t="shared" si="3"/>
        <v>3L</v>
      </c>
      <c r="H6" s="248" t="str">
        <f t="shared" si="4"/>
        <v>USD12L3L4Y_Quote</v>
      </c>
      <c r="I6" s="108" t="str">
        <f t="shared" si="5"/>
        <v>UsdLiborSwapForBasisCalc4Y</v>
      </c>
      <c r="J6" s="247" t="str">
        <f t="shared" si="6"/>
        <v>USDAM3L4Y_S12L3L_Quote</v>
      </c>
      <c r="K6" s="247" t="str">
        <f>_xll.qlForwardSwapQuote(J6,I6,H6,E6,Permanent,Trigger,ObjectOverwrite)</f>
        <v>USDAM3L4Y_S12L3L_Quote#0020</v>
      </c>
      <c r="L6" s="257" t="str">
        <f>_xll.ohRangeRetrieveError(K6)</f>
        <v/>
      </c>
      <c r="M6" s="49"/>
      <c r="O6" s="87" t="s">
        <v>127</v>
      </c>
      <c r="P6" s="86" t="s">
        <v>212</v>
      </c>
      <c r="Q6" s="86" t="s">
        <v>126</v>
      </c>
      <c r="R6" s="86" t="s">
        <v>224</v>
      </c>
      <c r="S6" s="86" t="s">
        <v>126</v>
      </c>
      <c r="T6" s="85" t="s">
        <v>138</v>
      </c>
    </row>
    <row r="7" spans="1:20" ht="12" thickBot="1" x14ac:dyDescent="0.25">
      <c r="A7" s="124"/>
      <c r="B7" s="80" t="s">
        <v>105</v>
      </c>
      <c r="C7" s="197" t="str">
        <f t="shared" si="0"/>
        <v>AM</v>
      </c>
      <c r="D7" s="197" t="str">
        <f t="shared" si="1"/>
        <v>3L</v>
      </c>
      <c r="E7" s="197" t="str">
        <f t="shared" si="7"/>
        <v>0D</v>
      </c>
      <c r="F7" s="197" t="str">
        <f t="shared" si="2"/>
        <v>12L</v>
      </c>
      <c r="G7" s="197" t="str">
        <f t="shared" si="3"/>
        <v>3L</v>
      </c>
      <c r="H7" s="248" t="str">
        <f t="shared" si="4"/>
        <v>USD12L3L5Y_Quote</v>
      </c>
      <c r="I7" s="108" t="str">
        <f t="shared" si="5"/>
        <v>UsdLiborSwapForBasisCalc5Y</v>
      </c>
      <c r="J7" s="247" t="str">
        <f t="shared" si="6"/>
        <v>USDAM3L5Y_S12L3L_Quote</v>
      </c>
      <c r="K7" s="247" t="str">
        <f>_xll.qlForwardSwapQuote(J7,I7,H7,E7,Permanent,Trigger,ObjectOverwrite)</f>
        <v>USDAM3L5Y_S12L3L_Quote#0020</v>
      </c>
      <c r="L7" s="257" t="str">
        <f>_xll.ohRangeRetrieveError(K7)</f>
        <v/>
      </c>
      <c r="M7" s="49"/>
      <c r="O7" s="84" t="s">
        <v>122</v>
      </c>
      <c r="P7" s="83" t="s">
        <v>211</v>
      </c>
      <c r="Q7" s="83" t="s">
        <v>125</v>
      </c>
      <c r="R7" s="83" t="s">
        <v>224</v>
      </c>
      <c r="S7" s="83" t="s">
        <v>138</v>
      </c>
      <c r="T7" s="82" t="s">
        <v>125</v>
      </c>
    </row>
    <row r="8" spans="1:20" x14ac:dyDescent="0.2">
      <c r="A8" s="124"/>
      <c r="B8" s="80" t="s">
        <v>104</v>
      </c>
      <c r="C8" s="197" t="str">
        <f t="shared" si="0"/>
        <v>AM</v>
      </c>
      <c r="D8" s="197" t="str">
        <f t="shared" si="1"/>
        <v>3L</v>
      </c>
      <c r="E8" s="197" t="str">
        <f t="shared" si="7"/>
        <v>0D</v>
      </c>
      <c r="F8" s="197" t="str">
        <f t="shared" si="2"/>
        <v>12L</v>
      </c>
      <c r="G8" s="197" t="str">
        <f t="shared" si="3"/>
        <v>3L</v>
      </c>
      <c r="H8" s="248" t="str">
        <f t="shared" si="4"/>
        <v>USD12L3L6Y_Quote</v>
      </c>
      <c r="I8" s="108" t="str">
        <f t="shared" si="5"/>
        <v>UsdLiborSwapForBasisCalc6Y</v>
      </c>
      <c r="J8" s="247" t="str">
        <f t="shared" si="6"/>
        <v>USDAM3L6Y_S12L3L_Quote</v>
      </c>
      <c r="K8" s="247" t="str">
        <f>_xll.qlForwardSwapQuote(J8,I8,H8,E8,Permanent,Trigger,ObjectOverwrite)</f>
        <v>USDAM3L6Y_S12L3L_Quote#0020</v>
      </c>
      <c r="L8" s="257" t="str">
        <f>_xll.ohRangeRetrieveError(K8)</f>
        <v/>
      </c>
      <c r="M8" s="49"/>
    </row>
    <row r="9" spans="1:20" x14ac:dyDescent="0.2">
      <c r="A9" s="124"/>
      <c r="B9" s="80" t="s">
        <v>103</v>
      </c>
      <c r="C9" s="197" t="str">
        <f t="shared" si="0"/>
        <v>AM</v>
      </c>
      <c r="D9" s="197" t="str">
        <f t="shared" si="1"/>
        <v>3L</v>
      </c>
      <c r="E9" s="197" t="str">
        <f t="shared" si="7"/>
        <v>0D</v>
      </c>
      <c r="F9" s="197" t="str">
        <f t="shared" si="2"/>
        <v>12L</v>
      </c>
      <c r="G9" s="197" t="str">
        <f t="shared" si="3"/>
        <v>3L</v>
      </c>
      <c r="H9" s="248" t="str">
        <f t="shared" si="4"/>
        <v>USD12L3L7Y_Quote</v>
      </c>
      <c r="I9" s="108" t="str">
        <f t="shared" si="5"/>
        <v>UsdLiborSwapForBasisCalc7Y</v>
      </c>
      <c r="J9" s="247" t="str">
        <f t="shared" si="6"/>
        <v>USDAM3L7Y_S12L3L_Quote</v>
      </c>
      <c r="K9" s="247" t="str">
        <f>_xll.qlForwardSwapQuote(J9,I9,H9,E9,Permanent,Trigger,ObjectOverwrite)</f>
        <v>USDAM3L7Y_S12L3L_Quote#0020</v>
      </c>
      <c r="L9" s="257" t="str">
        <f>_xll.ohRangeRetrieveError(K9)</f>
        <v/>
      </c>
      <c r="M9" s="49"/>
    </row>
    <row r="10" spans="1:20" x14ac:dyDescent="0.2">
      <c r="A10" s="124"/>
      <c r="B10" s="80" t="s">
        <v>102</v>
      </c>
      <c r="C10" s="197" t="str">
        <f t="shared" si="0"/>
        <v>AM</v>
      </c>
      <c r="D10" s="197" t="str">
        <f t="shared" si="1"/>
        <v>3L</v>
      </c>
      <c r="E10" s="197" t="str">
        <f t="shared" si="7"/>
        <v>0D</v>
      </c>
      <c r="F10" s="197" t="str">
        <f t="shared" si="2"/>
        <v>12L</v>
      </c>
      <c r="G10" s="197" t="str">
        <f t="shared" si="3"/>
        <v>3L</v>
      </c>
      <c r="H10" s="248" t="str">
        <f t="shared" si="4"/>
        <v>USD12L3L8Y_Quote</v>
      </c>
      <c r="I10" s="108" t="str">
        <f t="shared" si="5"/>
        <v>UsdLiborSwapForBasisCalc8Y</v>
      </c>
      <c r="J10" s="247" t="str">
        <f t="shared" si="6"/>
        <v>USDAM3L8Y_S12L3L_Quote</v>
      </c>
      <c r="K10" s="247" t="str">
        <f>_xll.qlForwardSwapQuote(J10,I10,H10,E10,Permanent,Trigger,ObjectOverwrite)</f>
        <v>USDAM3L8Y_S12L3L_Quote#0020</v>
      </c>
      <c r="L10" s="257" t="str">
        <f>_xll.ohRangeRetrieveError(K10)</f>
        <v/>
      </c>
      <c r="M10" s="49"/>
    </row>
    <row r="11" spans="1:20" x14ac:dyDescent="0.2">
      <c r="A11" s="124"/>
      <c r="B11" s="80" t="s">
        <v>101</v>
      </c>
      <c r="C11" s="197" t="str">
        <f t="shared" si="0"/>
        <v>AM</v>
      </c>
      <c r="D11" s="197" t="str">
        <f t="shared" si="1"/>
        <v>3L</v>
      </c>
      <c r="E11" s="197" t="str">
        <f t="shared" si="7"/>
        <v>0D</v>
      </c>
      <c r="F11" s="197" t="str">
        <f t="shared" si="2"/>
        <v>12L</v>
      </c>
      <c r="G11" s="197" t="str">
        <f t="shared" si="3"/>
        <v>3L</v>
      </c>
      <c r="H11" s="248" t="str">
        <f t="shared" si="4"/>
        <v>USD12L3L9Y_Quote</v>
      </c>
      <c r="I11" s="108" t="str">
        <f t="shared" si="5"/>
        <v>UsdLiborSwapForBasisCalc9Y</v>
      </c>
      <c r="J11" s="247" t="str">
        <f t="shared" si="6"/>
        <v>USDAM3L9Y_S12L3L_Quote</v>
      </c>
      <c r="K11" s="247" t="str">
        <f>_xll.qlForwardSwapQuote(J11,I11,H11,E11,Permanent,Trigger,ObjectOverwrite)</f>
        <v>USDAM3L9Y_S12L3L_Quote#0020</v>
      </c>
      <c r="L11" s="257" t="str">
        <f>_xll.ohRangeRetrieveError(K11)</f>
        <v/>
      </c>
      <c r="M11" s="49"/>
    </row>
    <row r="12" spans="1:20" x14ac:dyDescent="0.2">
      <c r="A12" s="124"/>
      <c r="B12" s="80" t="s">
        <v>100</v>
      </c>
      <c r="C12" s="197" t="str">
        <f t="shared" si="0"/>
        <v>AM</v>
      </c>
      <c r="D12" s="197" t="str">
        <f t="shared" si="1"/>
        <v>3L</v>
      </c>
      <c r="E12" s="197" t="str">
        <f t="shared" si="7"/>
        <v>0D</v>
      </c>
      <c r="F12" s="197" t="str">
        <f t="shared" si="2"/>
        <v>12L</v>
      </c>
      <c r="G12" s="197" t="str">
        <f t="shared" si="3"/>
        <v>3L</v>
      </c>
      <c r="H12" s="248" t="str">
        <f t="shared" si="4"/>
        <v>USD12L3L10Y_Quote</v>
      </c>
      <c r="I12" s="108" t="str">
        <f t="shared" si="5"/>
        <v>UsdLiborSwapForBasisCalc10Y</v>
      </c>
      <c r="J12" s="247" t="str">
        <f t="shared" si="6"/>
        <v>USDAM3L10Y_S12L3L_Quote</v>
      </c>
      <c r="K12" s="247" t="str">
        <f>_xll.qlForwardSwapQuote(J12,I12,H12,E12,Permanent,Trigger,ObjectOverwrite)</f>
        <v>USDAM3L10Y_S12L3L_Quote#0020</v>
      </c>
      <c r="L12" s="257" t="str">
        <f>_xll.ohRangeRetrieveError(K12)</f>
        <v/>
      </c>
      <c r="M12" s="49"/>
    </row>
    <row r="13" spans="1:20" x14ac:dyDescent="0.2">
      <c r="A13" s="124"/>
      <c r="B13" s="80" t="s">
        <v>99</v>
      </c>
      <c r="C13" s="197" t="str">
        <f t="shared" si="0"/>
        <v>AM</v>
      </c>
      <c r="D13" s="197" t="str">
        <f t="shared" si="1"/>
        <v>3L</v>
      </c>
      <c r="E13" s="197" t="str">
        <f t="shared" si="7"/>
        <v>0D</v>
      </c>
      <c r="F13" s="197" t="str">
        <f t="shared" si="2"/>
        <v>12L</v>
      </c>
      <c r="G13" s="197" t="str">
        <f t="shared" si="3"/>
        <v>3L</v>
      </c>
      <c r="H13" s="248" t="str">
        <f t="shared" si="4"/>
        <v>USD12L3L11Y_Quote</v>
      </c>
      <c r="I13" s="108" t="str">
        <f t="shared" si="5"/>
        <v>UsdLiborSwapForBasisCalc11Y</v>
      </c>
      <c r="J13" s="247" t="str">
        <f t="shared" si="6"/>
        <v>USDAM3L11Y_S12L3L_Quote</v>
      </c>
      <c r="K13" s="247" t="str">
        <f>_xll.qlForwardSwapQuote(J13,I13,H13,E13,Permanent,Trigger,ObjectOverwrite)</f>
        <v>USDAM3L11Y_S12L3L_Quote#0020</v>
      </c>
      <c r="L13" s="257" t="str">
        <f>_xll.ohRangeRetrieveError(K13)</f>
        <v/>
      </c>
      <c r="M13" s="49"/>
    </row>
    <row r="14" spans="1:20" x14ac:dyDescent="0.2">
      <c r="A14" s="124"/>
      <c r="B14" s="80" t="s">
        <v>98</v>
      </c>
      <c r="C14" s="197" t="str">
        <f t="shared" si="0"/>
        <v>AM</v>
      </c>
      <c r="D14" s="197" t="str">
        <f t="shared" si="1"/>
        <v>3L</v>
      </c>
      <c r="E14" s="197" t="str">
        <f t="shared" si="7"/>
        <v>0D</v>
      </c>
      <c r="F14" s="197" t="str">
        <f t="shared" si="2"/>
        <v>12L</v>
      </c>
      <c r="G14" s="197" t="str">
        <f t="shared" si="3"/>
        <v>3L</v>
      </c>
      <c r="H14" s="248" t="str">
        <f t="shared" si="4"/>
        <v>USD12L3L12Y_Quote</v>
      </c>
      <c r="I14" s="108" t="str">
        <f t="shared" si="5"/>
        <v>UsdLiborSwapForBasisCalc12Y</v>
      </c>
      <c r="J14" s="247" t="str">
        <f t="shared" si="6"/>
        <v>USDAM3L12Y_S12L3L_Quote</v>
      </c>
      <c r="K14" s="247" t="str">
        <f>_xll.qlForwardSwapQuote(J14,I14,H14,E14,Permanent,Trigger,ObjectOverwrite)</f>
        <v>USDAM3L12Y_S12L3L_Quote#0020</v>
      </c>
      <c r="L14" s="257" t="str">
        <f>_xll.ohRangeRetrieveError(K14)</f>
        <v/>
      </c>
      <c r="M14" s="49"/>
    </row>
    <row r="15" spans="1:20" x14ac:dyDescent="0.2">
      <c r="A15" s="124"/>
      <c r="B15" s="80" t="s">
        <v>97</v>
      </c>
      <c r="C15" s="197" t="str">
        <f t="shared" si="0"/>
        <v>AM</v>
      </c>
      <c r="D15" s="197" t="str">
        <f t="shared" si="1"/>
        <v>3L</v>
      </c>
      <c r="E15" s="197" t="str">
        <f t="shared" si="7"/>
        <v>0D</v>
      </c>
      <c r="F15" s="197" t="str">
        <f t="shared" si="2"/>
        <v>12L</v>
      </c>
      <c r="G15" s="197" t="str">
        <f t="shared" si="3"/>
        <v>3L</v>
      </c>
      <c r="H15" s="248" t="str">
        <f t="shared" si="4"/>
        <v>USD12L3L13Y_Quote</v>
      </c>
      <c r="I15" s="108" t="str">
        <f t="shared" si="5"/>
        <v>UsdLiborSwapForBasisCalc13Y</v>
      </c>
      <c r="J15" s="247" t="str">
        <f t="shared" si="6"/>
        <v>USDAM3L13Y_S12L3L_Quote</v>
      </c>
      <c r="K15" s="247" t="str">
        <f>_xll.qlForwardSwapQuote(J15,I15,H15,E15,Permanent,Trigger,ObjectOverwrite)</f>
        <v>USDAM3L13Y_S12L3L_Quote#0020</v>
      </c>
      <c r="L15" s="257" t="str">
        <f>_xll.ohRangeRetrieveError(K15)</f>
        <v/>
      </c>
      <c r="M15" s="49"/>
    </row>
    <row r="16" spans="1:20" x14ac:dyDescent="0.2">
      <c r="A16" s="124"/>
      <c r="B16" s="80" t="s">
        <v>96</v>
      </c>
      <c r="C16" s="197" t="str">
        <f t="shared" si="0"/>
        <v>AM</v>
      </c>
      <c r="D16" s="197" t="str">
        <f t="shared" si="1"/>
        <v>3L</v>
      </c>
      <c r="E16" s="197" t="str">
        <f t="shared" si="7"/>
        <v>0D</v>
      </c>
      <c r="F16" s="197" t="str">
        <f t="shared" si="2"/>
        <v>12L</v>
      </c>
      <c r="G16" s="197" t="str">
        <f t="shared" si="3"/>
        <v>3L</v>
      </c>
      <c r="H16" s="248" t="str">
        <f t="shared" si="4"/>
        <v>USD12L3L14Y_Quote</v>
      </c>
      <c r="I16" s="108" t="str">
        <f t="shared" si="5"/>
        <v>UsdLiborSwapForBasisCalc14Y</v>
      </c>
      <c r="J16" s="247" t="str">
        <f t="shared" si="6"/>
        <v>USDAM3L14Y_S12L3L_Quote</v>
      </c>
      <c r="K16" s="247" t="str">
        <f>_xll.qlForwardSwapQuote(J16,I16,H16,E16,Permanent,Trigger,ObjectOverwrite)</f>
        <v>USDAM3L14Y_S12L3L_Quote#0020</v>
      </c>
      <c r="L16" s="257" t="str">
        <f>_xll.ohRangeRetrieveError(K16)</f>
        <v/>
      </c>
      <c r="M16" s="49"/>
    </row>
    <row r="17" spans="1:13" x14ac:dyDescent="0.2">
      <c r="A17" s="124"/>
      <c r="B17" s="80" t="s">
        <v>95</v>
      </c>
      <c r="C17" s="197" t="str">
        <f t="shared" si="0"/>
        <v>AM</v>
      </c>
      <c r="D17" s="197" t="str">
        <f t="shared" si="1"/>
        <v>3L</v>
      </c>
      <c r="E17" s="197" t="str">
        <f t="shared" si="7"/>
        <v>0D</v>
      </c>
      <c r="F17" s="197" t="str">
        <f t="shared" si="2"/>
        <v>12L</v>
      </c>
      <c r="G17" s="197" t="str">
        <f t="shared" si="3"/>
        <v>3L</v>
      </c>
      <c r="H17" s="248" t="str">
        <f t="shared" si="4"/>
        <v>USD12L3L15Y_Quote</v>
      </c>
      <c r="I17" s="108" t="str">
        <f t="shared" si="5"/>
        <v>UsdLiborSwapForBasisCalc15Y</v>
      </c>
      <c r="J17" s="247" t="str">
        <f t="shared" si="6"/>
        <v>USDAM3L15Y_S12L3L_Quote</v>
      </c>
      <c r="K17" s="247" t="str">
        <f>_xll.qlForwardSwapQuote(J17,I17,H17,E17,Permanent,Trigger,ObjectOverwrite)</f>
        <v>USDAM3L15Y_S12L3L_Quote#0020</v>
      </c>
      <c r="L17" s="257" t="str">
        <f>_xll.ohRangeRetrieveError(K17)</f>
        <v/>
      </c>
      <c r="M17" s="49"/>
    </row>
    <row r="18" spans="1:13" x14ac:dyDescent="0.2">
      <c r="A18" s="124"/>
      <c r="B18" s="80" t="s">
        <v>94</v>
      </c>
      <c r="C18" s="197" t="str">
        <f t="shared" si="0"/>
        <v>AM</v>
      </c>
      <c r="D18" s="197" t="str">
        <f t="shared" si="1"/>
        <v>3L</v>
      </c>
      <c r="E18" s="197" t="str">
        <f t="shared" si="7"/>
        <v>0D</v>
      </c>
      <c r="F18" s="197" t="str">
        <f t="shared" si="2"/>
        <v>12L</v>
      </c>
      <c r="G18" s="197" t="str">
        <f t="shared" si="3"/>
        <v>3L</v>
      </c>
      <c r="H18" s="248" t="str">
        <f t="shared" si="4"/>
        <v>USD12L3L16Y_Quote</v>
      </c>
      <c r="I18" s="108" t="str">
        <f t="shared" si="5"/>
        <v>UsdLiborSwapForBasisCalc16Y</v>
      </c>
      <c r="J18" s="247" t="str">
        <f t="shared" si="6"/>
        <v>USDAM3L16Y_S12L3L_Quote</v>
      </c>
      <c r="K18" s="247" t="str">
        <f>_xll.qlForwardSwapQuote(J18,I18,H18,E18,Permanent,Trigger,ObjectOverwrite)</f>
        <v>USDAM3L16Y_S12L3L_Quote#0020</v>
      </c>
      <c r="L18" s="257" t="str">
        <f>_xll.ohRangeRetrieveError(K18)</f>
        <v/>
      </c>
      <c r="M18" s="49"/>
    </row>
    <row r="19" spans="1:13" x14ac:dyDescent="0.2">
      <c r="A19" s="124"/>
      <c r="B19" s="80" t="s">
        <v>93</v>
      </c>
      <c r="C19" s="197" t="str">
        <f t="shared" si="0"/>
        <v>AM</v>
      </c>
      <c r="D19" s="197" t="str">
        <f t="shared" si="1"/>
        <v>3L</v>
      </c>
      <c r="E19" s="197" t="str">
        <f t="shared" si="7"/>
        <v>0D</v>
      </c>
      <c r="F19" s="197" t="str">
        <f t="shared" si="2"/>
        <v>12L</v>
      </c>
      <c r="G19" s="197" t="str">
        <f t="shared" si="3"/>
        <v>3L</v>
      </c>
      <c r="H19" s="248" t="str">
        <f t="shared" si="4"/>
        <v>USD12L3L17Y_Quote</v>
      </c>
      <c r="I19" s="108" t="str">
        <f t="shared" si="5"/>
        <v>UsdLiborSwapForBasisCalc17Y</v>
      </c>
      <c r="J19" s="247" t="str">
        <f t="shared" si="6"/>
        <v>USDAM3L17Y_S12L3L_Quote</v>
      </c>
      <c r="K19" s="247" t="str">
        <f>_xll.qlForwardSwapQuote(J19,I19,H19,E19,Permanent,Trigger,ObjectOverwrite)</f>
        <v>USDAM3L17Y_S12L3L_Quote#0020</v>
      </c>
      <c r="L19" s="257" t="str">
        <f>_xll.ohRangeRetrieveError(K19)</f>
        <v/>
      </c>
      <c r="M19" s="49"/>
    </row>
    <row r="20" spans="1:13" x14ac:dyDescent="0.2">
      <c r="A20" s="124"/>
      <c r="B20" s="80" t="s">
        <v>92</v>
      </c>
      <c r="C20" s="197" t="str">
        <f t="shared" si="0"/>
        <v>AM</v>
      </c>
      <c r="D20" s="197" t="str">
        <f t="shared" si="1"/>
        <v>3L</v>
      </c>
      <c r="E20" s="197" t="str">
        <f t="shared" si="7"/>
        <v>0D</v>
      </c>
      <c r="F20" s="197" t="str">
        <f t="shared" si="2"/>
        <v>12L</v>
      </c>
      <c r="G20" s="197" t="str">
        <f t="shared" si="3"/>
        <v>3L</v>
      </c>
      <c r="H20" s="248" t="str">
        <f t="shared" si="4"/>
        <v>USD12L3L18Y_Quote</v>
      </c>
      <c r="I20" s="108" t="str">
        <f t="shared" si="5"/>
        <v>UsdLiborSwapForBasisCalc18Y</v>
      </c>
      <c r="J20" s="247" t="str">
        <f t="shared" si="6"/>
        <v>USDAM3L18Y_S12L3L_Quote</v>
      </c>
      <c r="K20" s="247" t="str">
        <f>_xll.qlForwardSwapQuote(J20,I20,H20,E20,Permanent,Trigger,ObjectOverwrite)</f>
        <v>USDAM3L18Y_S12L3L_Quote#0020</v>
      </c>
      <c r="L20" s="257" t="str">
        <f>_xll.ohRangeRetrieveError(K20)</f>
        <v/>
      </c>
      <c r="M20" s="49"/>
    </row>
    <row r="21" spans="1:13" x14ac:dyDescent="0.2">
      <c r="A21" s="124"/>
      <c r="B21" s="80" t="s">
        <v>91</v>
      </c>
      <c r="C21" s="197" t="str">
        <f t="shared" si="0"/>
        <v>AM</v>
      </c>
      <c r="D21" s="197" t="str">
        <f t="shared" si="1"/>
        <v>3L</v>
      </c>
      <c r="E21" s="197" t="str">
        <f t="shared" si="7"/>
        <v>0D</v>
      </c>
      <c r="F21" s="197" t="str">
        <f t="shared" si="2"/>
        <v>12L</v>
      </c>
      <c r="G21" s="197" t="str">
        <f t="shared" si="3"/>
        <v>3L</v>
      </c>
      <c r="H21" s="248" t="str">
        <f t="shared" si="4"/>
        <v>USD12L3L19Y_Quote</v>
      </c>
      <c r="I21" s="108" t="str">
        <f t="shared" si="5"/>
        <v>UsdLiborSwapForBasisCalc19Y</v>
      </c>
      <c r="J21" s="247" t="str">
        <f t="shared" si="6"/>
        <v>USDAM3L19Y_S12L3L_Quote</v>
      </c>
      <c r="K21" s="247" t="str">
        <f>_xll.qlForwardSwapQuote(J21,I21,H21,E21,Permanent,Trigger,ObjectOverwrite)</f>
        <v>USDAM3L19Y_S12L3L_Quote#0020</v>
      </c>
      <c r="L21" s="257" t="str">
        <f>_xll.ohRangeRetrieveError(K21)</f>
        <v/>
      </c>
      <c r="M21" s="49"/>
    </row>
    <row r="22" spans="1:13" x14ac:dyDescent="0.2">
      <c r="A22" s="124"/>
      <c r="B22" s="80" t="s">
        <v>90</v>
      </c>
      <c r="C22" s="197" t="str">
        <f t="shared" si="0"/>
        <v>AM</v>
      </c>
      <c r="D22" s="197" t="str">
        <f t="shared" si="1"/>
        <v>3L</v>
      </c>
      <c r="E22" s="197" t="str">
        <f t="shared" si="7"/>
        <v>0D</v>
      </c>
      <c r="F22" s="197" t="str">
        <f t="shared" si="2"/>
        <v>12L</v>
      </c>
      <c r="G22" s="197" t="str">
        <f t="shared" si="3"/>
        <v>3L</v>
      </c>
      <c r="H22" s="248" t="str">
        <f t="shared" si="4"/>
        <v>USD12L3L20Y_Quote</v>
      </c>
      <c r="I22" s="108" t="str">
        <f t="shared" si="5"/>
        <v>UsdLiborSwapForBasisCalc20Y</v>
      </c>
      <c r="J22" s="247" t="str">
        <f t="shared" si="6"/>
        <v>USDAM3L20Y_S12L3L_Quote</v>
      </c>
      <c r="K22" s="247" t="str">
        <f>_xll.qlForwardSwapQuote(J22,I22,H22,E22,Permanent,Trigger,ObjectOverwrite)</f>
        <v>USDAM3L20Y_S12L3L_Quote#0020</v>
      </c>
      <c r="L22" s="257" t="str">
        <f>_xll.ohRangeRetrieveError(K22)</f>
        <v/>
      </c>
      <c r="M22" s="49"/>
    </row>
    <row r="23" spans="1:13" x14ac:dyDescent="0.2">
      <c r="A23" s="124"/>
      <c r="B23" s="80" t="s">
        <v>89</v>
      </c>
      <c r="C23" s="197" t="str">
        <f t="shared" si="0"/>
        <v>AM</v>
      </c>
      <c r="D23" s="197" t="str">
        <f t="shared" si="1"/>
        <v>3L</v>
      </c>
      <c r="E23" s="197" t="str">
        <f t="shared" si="7"/>
        <v>0D</v>
      </c>
      <c r="F23" s="197" t="str">
        <f t="shared" si="2"/>
        <v>12L</v>
      </c>
      <c r="G23" s="197" t="str">
        <f t="shared" si="3"/>
        <v>3L</v>
      </c>
      <c r="H23" s="248" t="str">
        <f t="shared" si="4"/>
        <v>USD12L3L21Y_Quote</v>
      </c>
      <c r="I23" s="108" t="str">
        <f t="shared" si="5"/>
        <v>UsdLiborSwapForBasisCalc21Y</v>
      </c>
      <c r="J23" s="247" t="str">
        <f t="shared" si="6"/>
        <v>USDAM3L21Y_S12L3L_Quote</v>
      </c>
      <c r="K23" s="247" t="str">
        <f>_xll.qlForwardSwapQuote(J23,I23,H23,E23,Permanent,Trigger,ObjectOverwrite)</f>
        <v>USDAM3L21Y_S12L3L_Quote#0020</v>
      </c>
      <c r="L23" s="257" t="str">
        <f>_xll.ohRangeRetrieveError(K23)</f>
        <v/>
      </c>
      <c r="M23" s="49"/>
    </row>
    <row r="24" spans="1:13" x14ac:dyDescent="0.2">
      <c r="A24" s="124"/>
      <c r="B24" s="80" t="s">
        <v>88</v>
      </c>
      <c r="C24" s="197" t="str">
        <f t="shared" si="0"/>
        <v>AM</v>
      </c>
      <c r="D24" s="197" t="str">
        <f t="shared" si="1"/>
        <v>3L</v>
      </c>
      <c r="E24" s="197" t="str">
        <f t="shared" si="7"/>
        <v>0D</v>
      </c>
      <c r="F24" s="197" t="str">
        <f t="shared" si="2"/>
        <v>12L</v>
      </c>
      <c r="G24" s="197" t="str">
        <f t="shared" si="3"/>
        <v>3L</v>
      </c>
      <c r="H24" s="248" t="str">
        <f t="shared" si="4"/>
        <v>USD12L3L22Y_Quote</v>
      </c>
      <c r="I24" s="108" t="str">
        <f t="shared" si="5"/>
        <v>UsdLiborSwapForBasisCalc22Y</v>
      </c>
      <c r="J24" s="247" t="str">
        <f t="shared" si="6"/>
        <v>USDAM3L22Y_S12L3L_Quote</v>
      </c>
      <c r="K24" s="247" t="str">
        <f>_xll.qlForwardSwapQuote(J24,I24,H24,E24,Permanent,Trigger,ObjectOverwrite)</f>
        <v>USDAM3L22Y_S12L3L_Quote#0020</v>
      </c>
      <c r="L24" s="257" t="str">
        <f>_xll.ohRangeRetrieveError(K24)</f>
        <v/>
      </c>
      <c r="M24" s="49"/>
    </row>
    <row r="25" spans="1:13" x14ac:dyDescent="0.2">
      <c r="A25" s="124"/>
      <c r="B25" s="80" t="s">
        <v>87</v>
      </c>
      <c r="C25" s="197" t="str">
        <f t="shared" si="0"/>
        <v>AM</v>
      </c>
      <c r="D25" s="197" t="str">
        <f t="shared" si="1"/>
        <v>3L</v>
      </c>
      <c r="E25" s="197" t="str">
        <f t="shared" si="7"/>
        <v>0D</v>
      </c>
      <c r="F25" s="197" t="str">
        <f t="shared" si="2"/>
        <v>12L</v>
      </c>
      <c r="G25" s="197" t="str">
        <f t="shared" si="3"/>
        <v>3L</v>
      </c>
      <c r="H25" s="248" t="str">
        <f t="shared" si="4"/>
        <v>USD12L3L23Y_Quote</v>
      </c>
      <c r="I25" s="108" t="str">
        <f t="shared" si="5"/>
        <v>UsdLiborSwapForBasisCalc23Y</v>
      </c>
      <c r="J25" s="247" t="str">
        <f t="shared" si="6"/>
        <v>USDAM3L23Y_S12L3L_Quote</v>
      </c>
      <c r="K25" s="247" t="str">
        <f>_xll.qlForwardSwapQuote(J25,I25,H25,E25,Permanent,Trigger,ObjectOverwrite)</f>
        <v>USDAM3L23Y_S12L3L_Quote#0020</v>
      </c>
      <c r="L25" s="257" t="str">
        <f>_xll.ohRangeRetrieveError(K25)</f>
        <v/>
      </c>
      <c r="M25" s="49"/>
    </row>
    <row r="26" spans="1:13" x14ac:dyDescent="0.2">
      <c r="A26" s="124"/>
      <c r="B26" s="80" t="s">
        <v>86</v>
      </c>
      <c r="C26" s="197" t="str">
        <f t="shared" si="0"/>
        <v>AM</v>
      </c>
      <c r="D26" s="197" t="str">
        <f t="shared" si="1"/>
        <v>3L</v>
      </c>
      <c r="E26" s="197" t="str">
        <f t="shared" si="7"/>
        <v>0D</v>
      </c>
      <c r="F26" s="197" t="str">
        <f t="shared" si="2"/>
        <v>12L</v>
      </c>
      <c r="G26" s="197" t="str">
        <f t="shared" si="3"/>
        <v>3L</v>
      </c>
      <c r="H26" s="248" t="str">
        <f t="shared" si="4"/>
        <v>USD12L3L24Y_Quote</v>
      </c>
      <c r="I26" s="108" t="str">
        <f t="shared" si="5"/>
        <v>UsdLiborSwapForBasisCalc24Y</v>
      </c>
      <c r="J26" s="247" t="str">
        <f t="shared" si="6"/>
        <v>USDAM3L24Y_S12L3L_Quote</v>
      </c>
      <c r="K26" s="247" t="str">
        <f>_xll.qlForwardSwapQuote(J26,I26,H26,E26,Permanent,Trigger,ObjectOverwrite)</f>
        <v>USDAM3L24Y_S12L3L_Quote#0020</v>
      </c>
      <c r="L26" s="257" t="str">
        <f>_xll.ohRangeRetrieveError(K26)</f>
        <v/>
      </c>
      <c r="M26" s="49"/>
    </row>
    <row r="27" spans="1:13" x14ac:dyDescent="0.2">
      <c r="A27" s="124"/>
      <c r="B27" s="80" t="s">
        <v>85</v>
      </c>
      <c r="C27" s="197" t="str">
        <f t="shared" si="0"/>
        <v>AM</v>
      </c>
      <c r="D27" s="197" t="str">
        <f t="shared" si="1"/>
        <v>3L</v>
      </c>
      <c r="E27" s="197" t="str">
        <f t="shared" si="7"/>
        <v>0D</v>
      </c>
      <c r="F27" s="197" t="str">
        <f t="shared" si="2"/>
        <v>12L</v>
      </c>
      <c r="G27" s="197" t="str">
        <f t="shared" si="3"/>
        <v>3L</v>
      </c>
      <c r="H27" s="248" t="str">
        <f t="shared" si="4"/>
        <v>USD12L3L25Y_Quote</v>
      </c>
      <c r="I27" s="108" t="str">
        <f t="shared" si="5"/>
        <v>UsdLiborSwapForBasisCalc25Y</v>
      </c>
      <c r="J27" s="247" t="str">
        <f t="shared" si="6"/>
        <v>USDAM3L25Y_S12L3L_Quote</v>
      </c>
      <c r="K27" s="247" t="str">
        <f>_xll.qlForwardSwapQuote(J27,I27,H27,E27,Permanent,Trigger,ObjectOverwrite)</f>
        <v>USDAM3L25Y_S12L3L_Quote#0020</v>
      </c>
      <c r="L27" s="257" t="str">
        <f>_xll.ohRangeRetrieveError(K27)</f>
        <v/>
      </c>
      <c r="M27" s="49"/>
    </row>
    <row r="28" spans="1:13" x14ac:dyDescent="0.2">
      <c r="A28" s="124"/>
      <c r="B28" s="80" t="s">
        <v>84</v>
      </c>
      <c r="C28" s="197" t="str">
        <f t="shared" si="0"/>
        <v>AM</v>
      </c>
      <c r="D28" s="197" t="str">
        <f t="shared" si="1"/>
        <v>3L</v>
      </c>
      <c r="E28" s="197" t="str">
        <f t="shared" si="7"/>
        <v>0D</v>
      </c>
      <c r="F28" s="197" t="str">
        <f t="shared" si="2"/>
        <v>12L</v>
      </c>
      <c r="G28" s="197" t="str">
        <f t="shared" si="3"/>
        <v>3L</v>
      </c>
      <c r="H28" s="248" t="str">
        <f t="shared" si="4"/>
        <v>USD12L3L26Y_Quote</v>
      </c>
      <c r="I28" s="108" t="str">
        <f t="shared" si="5"/>
        <v>UsdLiborSwapForBasisCalc26Y</v>
      </c>
      <c r="J28" s="247" t="str">
        <f t="shared" si="6"/>
        <v>USDAM3L26Y_S12L3L_Quote</v>
      </c>
      <c r="K28" s="247" t="str">
        <f>_xll.qlForwardSwapQuote(J28,I28,H28,E28,Permanent,Trigger,ObjectOverwrite)</f>
        <v>USDAM3L26Y_S12L3L_Quote#0020</v>
      </c>
      <c r="L28" s="257" t="str">
        <f>_xll.ohRangeRetrieveError(K28)</f>
        <v/>
      </c>
      <c r="M28" s="49"/>
    </row>
    <row r="29" spans="1:13" x14ac:dyDescent="0.2">
      <c r="A29" s="124"/>
      <c r="B29" s="80" t="s">
        <v>83</v>
      </c>
      <c r="C29" s="197" t="str">
        <f t="shared" si="0"/>
        <v>AM</v>
      </c>
      <c r="D29" s="197" t="str">
        <f t="shared" si="1"/>
        <v>3L</v>
      </c>
      <c r="E29" s="197" t="str">
        <f t="shared" si="7"/>
        <v>0D</v>
      </c>
      <c r="F29" s="197" t="str">
        <f t="shared" si="2"/>
        <v>12L</v>
      </c>
      <c r="G29" s="197" t="str">
        <f t="shared" si="3"/>
        <v>3L</v>
      </c>
      <c r="H29" s="248" t="str">
        <f t="shared" si="4"/>
        <v>USD12L3L27Y_Quote</v>
      </c>
      <c r="I29" s="108" t="str">
        <f t="shared" si="5"/>
        <v>UsdLiborSwapForBasisCalc27Y</v>
      </c>
      <c r="J29" s="247" t="str">
        <f t="shared" si="6"/>
        <v>USDAM3L27Y_S12L3L_Quote</v>
      </c>
      <c r="K29" s="247" t="str">
        <f>_xll.qlForwardSwapQuote(J29,I29,H29,E29,Permanent,Trigger,ObjectOverwrite)</f>
        <v>USDAM3L27Y_S12L3L_Quote#0020</v>
      </c>
      <c r="L29" s="257" t="str">
        <f>_xll.ohRangeRetrieveError(K29)</f>
        <v/>
      </c>
      <c r="M29" s="49"/>
    </row>
    <row r="30" spans="1:13" x14ac:dyDescent="0.2">
      <c r="A30" s="124"/>
      <c r="B30" s="80" t="s">
        <v>82</v>
      </c>
      <c r="C30" s="197" t="str">
        <f t="shared" si="0"/>
        <v>AM</v>
      </c>
      <c r="D30" s="197" t="str">
        <f t="shared" si="1"/>
        <v>3L</v>
      </c>
      <c r="E30" s="197" t="str">
        <f t="shared" si="7"/>
        <v>0D</v>
      </c>
      <c r="F30" s="197" t="str">
        <f t="shared" si="2"/>
        <v>12L</v>
      </c>
      <c r="G30" s="197" t="str">
        <f t="shared" si="3"/>
        <v>3L</v>
      </c>
      <c r="H30" s="248" t="str">
        <f t="shared" si="4"/>
        <v>USD12L3L28Y_Quote</v>
      </c>
      <c r="I30" s="108" t="str">
        <f t="shared" si="5"/>
        <v>UsdLiborSwapForBasisCalc28Y</v>
      </c>
      <c r="J30" s="247" t="str">
        <f t="shared" si="6"/>
        <v>USDAM3L28Y_S12L3L_Quote</v>
      </c>
      <c r="K30" s="247" t="str">
        <f>_xll.qlForwardSwapQuote(J30,I30,H30,E30,Permanent,Trigger,ObjectOverwrite)</f>
        <v>USDAM3L28Y_S12L3L_Quote#0020</v>
      </c>
      <c r="L30" s="257" t="str">
        <f>_xll.ohRangeRetrieveError(K30)</f>
        <v/>
      </c>
      <c r="M30" s="49"/>
    </row>
    <row r="31" spans="1:13" x14ac:dyDescent="0.2">
      <c r="A31" s="124"/>
      <c r="B31" s="80" t="s">
        <v>81</v>
      </c>
      <c r="C31" s="197" t="str">
        <f t="shared" si="0"/>
        <v>AM</v>
      </c>
      <c r="D31" s="197" t="str">
        <f t="shared" si="1"/>
        <v>3L</v>
      </c>
      <c r="E31" s="197" t="str">
        <f t="shared" si="7"/>
        <v>0D</v>
      </c>
      <c r="F31" s="197" t="str">
        <f t="shared" si="2"/>
        <v>12L</v>
      </c>
      <c r="G31" s="197" t="str">
        <f t="shared" si="3"/>
        <v>3L</v>
      </c>
      <c r="H31" s="248" t="str">
        <f t="shared" si="4"/>
        <v>USD12L3L29Y_Quote</v>
      </c>
      <c r="I31" s="108" t="str">
        <f t="shared" si="5"/>
        <v>UsdLiborSwapForBasisCalc29Y</v>
      </c>
      <c r="J31" s="247" t="str">
        <f t="shared" si="6"/>
        <v>USDAM3L29Y_S12L3L_Quote</v>
      </c>
      <c r="K31" s="247" t="str">
        <f>_xll.qlForwardSwapQuote(J31,I31,H31,E31,Permanent,Trigger,ObjectOverwrite)</f>
        <v>USDAM3L29Y_S12L3L_Quote#0020</v>
      </c>
      <c r="L31" s="257" t="str">
        <f>_xll.ohRangeRetrieveError(K31)</f>
        <v/>
      </c>
      <c r="M31" s="49"/>
    </row>
    <row r="32" spans="1:13" x14ac:dyDescent="0.2">
      <c r="A32" s="124"/>
      <c r="B32" s="80" t="s">
        <v>80</v>
      </c>
      <c r="C32" s="197" t="str">
        <f t="shared" si="0"/>
        <v>AM</v>
      </c>
      <c r="D32" s="197" t="str">
        <f t="shared" si="1"/>
        <v>3L</v>
      </c>
      <c r="E32" s="197" t="str">
        <f t="shared" si="7"/>
        <v>0D</v>
      </c>
      <c r="F32" s="197" t="str">
        <f t="shared" si="2"/>
        <v>12L</v>
      </c>
      <c r="G32" s="197" t="str">
        <f t="shared" si="3"/>
        <v>3L</v>
      </c>
      <c r="H32" s="248" t="str">
        <f t="shared" si="4"/>
        <v>USD12L3L30Y_Quote</v>
      </c>
      <c r="I32" s="108" t="str">
        <f t="shared" si="5"/>
        <v>UsdLiborSwapForBasisCalc30Y</v>
      </c>
      <c r="J32" s="247" t="str">
        <f t="shared" si="6"/>
        <v>USDAM3L30Y_S12L3L_Quote</v>
      </c>
      <c r="K32" s="247" t="str">
        <f>_xll.qlForwardSwapQuote(J32,I32,H32,E32,Permanent,Trigger,ObjectOverwrite)</f>
        <v>USDAM3L30Y_S12L3L_Quote#0020</v>
      </c>
      <c r="L32" s="257" t="str">
        <f>_xll.ohRangeRetrieveError(K32)</f>
        <v/>
      </c>
      <c r="M32" s="49"/>
    </row>
    <row r="33" spans="1:13" x14ac:dyDescent="0.2">
      <c r="A33" s="124"/>
      <c r="B33" s="80" t="s">
        <v>75</v>
      </c>
      <c r="C33" s="197" t="str">
        <f t="shared" si="0"/>
        <v>AM</v>
      </c>
      <c r="D33" s="197" t="str">
        <f t="shared" si="1"/>
        <v>3L</v>
      </c>
      <c r="E33" s="197" t="str">
        <f t="shared" si="7"/>
        <v>0D</v>
      </c>
      <c r="F33" s="197" t="str">
        <f t="shared" si="2"/>
        <v>12L</v>
      </c>
      <c r="G33" s="197" t="str">
        <f t="shared" si="3"/>
        <v>3L</v>
      </c>
      <c r="H33" s="248" t="str">
        <f t="shared" si="4"/>
        <v>USD12L3L35Y_Quote</v>
      </c>
      <c r="I33" s="108" t="str">
        <f t="shared" si="5"/>
        <v>UsdLiborSwapForBasisCalc35Y</v>
      </c>
      <c r="J33" s="247" t="str">
        <f t="shared" si="6"/>
        <v>USDAM3L35Y_S12L3L_Quote</v>
      </c>
      <c r="K33" s="247" t="str">
        <f>_xll.qlForwardSwapQuote(J33,I33,H33,E33,Permanent,Trigger,ObjectOverwrite)</f>
        <v>USDAM3L35Y_S12L3L_Quote#0020</v>
      </c>
      <c r="L33" s="257" t="str">
        <f>_xll.ohRangeRetrieveError(K33)</f>
        <v/>
      </c>
      <c r="M33" s="49"/>
    </row>
    <row r="34" spans="1:13" x14ac:dyDescent="0.2">
      <c r="A34" s="124"/>
      <c r="B34" s="80" t="s">
        <v>70</v>
      </c>
      <c r="C34" s="197" t="str">
        <f t="shared" si="0"/>
        <v>AM</v>
      </c>
      <c r="D34" s="197" t="str">
        <f t="shared" si="1"/>
        <v>3L</v>
      </c>
      <c r="E34" s="197" t="str">
        <f t="shared" si="7"/>
        <v>0D</v>
      </c>
      <c r="F34" s="197" t="str">
        <f t="shared" si="2"/>
        <v>12L</v>
      </c>
      <c r="G34" s="197" t="str">
        <f t="shared" si="3"/>
        <v>3L</v>
      </c>
      <c r="H34" s="248" t="str">
        <f t="shared" si="4"/>
        <v>USD12L3L40Y_Quote</v>
      </c>
      <c r="I34" s="108" t="str">
        <f t="shared" si="5"/>
        <v>UsdLiborSwapForBasisCalc40Y</v>
      </c>
      <c r="J34" s="247" t="str">
        <f t="shared" si="6"/>
        <v>USDAM3L40Y_S12L3L_Quote</v>
      </c>
      <c r="K34" s="247" t="str">
        <f>_xll.qlForwardSwapQuote(J34,I34,H34,E34,Permanent,Trigger,ObjectOverwrite)</f>
        <v>USDAM3L40Y_S12L3L_Quote#0020</v>
      </c>
      <c r="L34" s="257" t="str">
        <f>_xll.ohRangeRetrieveError(K34)</f>
        <v/>
      </c>
      <c r="M34" s="49"/>
    </row>
    <row r="35" spans="1:13" x14ac:dyDescent="0.2">
      <c r="A35" s="124"/>
      <c r="B35" s="80" t="s">
        <v>60</v>
      </c>
      <c r="C35" s="197" t="str">
        <f t="shared" si="0"/>
        <v>AM</v>
      </c>
      <c r="D35" s="197" t="str">
        <f t="shared" si="1"/>
        <v>3L</v>
      </c>
      <c r="E35" s="197" t="str">
        <f t="shared" si="7"/>
        <v>0D</v>
      </c>
      <c r="F35" s="197" t="str">
        <f t="shared" si="2"/>
        <v>12L</v>
      </c>
      <c r="G35" s="197" t="str">
        <f t="shared" si="3"/>
        <v>3L</v>
      </c>
      <c r="H35" s="248" t="str">
        <f t="shared" si="4"/>
        <v>USD12L3L50Y_Quote</v>
      </c>
      <c r="I35" s="108" t="str">
        <f t="shared" si="5"/>
        <v>UsdLiborSwapForBasisCalc50Y</v>
      </c>
      <c r="J35" s="247" t="str">
        <f t="shared" si="6"/>
        <v>USDAM3L50Y_S12L3L_Quote</v>
      </c>
      <c r="K35" s="247" t="str">
        <f>_xll.qlForwardSwapQuote(J35,I35,H35,E35,Permanent,Trigger,ObjectOverwrite)</f>
        <v>USDAM3L50Y_S12L3L_Quote#0020</v>
      </c>
      <c r="L35" s="257" t="str">
        <f>_xll.ohRangeRetrieveError(K35)</f>
        <v/>
      </c>
      <c r="M35" s="49"/>
    </row>
    <row r="36" spans="1:13" x14ac:dyDescent="0.2">
      <c r="A36" s="124"/>
      <c r="B36" s="80" t="s">
        <v>50</v>
      </c>
      <c r="C36" s="197" t="str">
        <f t="shared" si="0"/>
        <v>AM</v>
      </c>
      <c r="D36" s="197" t="str">
        <f t="shared" si="1"/>
        <v>3L</v>
      </c>
      <c r="E36" s="197" t="str">
        <f t="shared" si="7"/>
        <v>0D</v>
      </c>
      <c r="F36" s="197" t="str">
        <f t="shared" si="2"/>
        <v>12L</v>
      </c>
      <c r="G36" s="197" t="str">
        <f t="shared" si="3"/>
        <v>3L</v>
      </c>
      <c r="H36" s="248" t="str">
        <f t="shared" si="4"/>
        <v>USD12L3L60Y_Quote</v>
      </c>
      <c r="I36" s="108" t="str">
        <f t="shared" si="5"/>
        <v>UsdLiborSwapForBasisCalc60Y</v>
      </c>
      <c r="J36" s="247" t="str">
        <f t="shared" si="6"/>
        <v>USDAM3L60Y_S12L3L_Quote</v>
      </c>
      <c r="K36" s="247" t="str">
        <f>_xll.qlForwardSwapQuote(J36,I36,H36,E36,Permanent,Trigger,ObjectOverwrite)</f>
        <v>USDAM3L60Y_S12L3L_Quote#0020</v>
      </c>
      <c r="L36" s="257" t="str">
        <f>_xll.ohRangeRetrieveError(K36)</f>
        <v/>
      </c>
      <c r="M36" s="49"/>
    </row>
    <row r="37" spans="1:13" ht="12" thickBot="1" x14ac:dyDescent="0.25">
      <c r="A37" s="48"/>
      <c r="B37" s="47"/>
      <c r="C37" s="47"/>
      <c r="D37" s="47"/>
      <c r="E37" s="47"/>
      <c r="F37" s="47"/>
      <c r="G37" s="47"/>
      <c r="H37" s="47"/>
      <c r="I37" s="47"/>
      <c r="J37" s="47"/>
      <c r="K37" s="118"/>
      <c r="L37" s="118"/>
      <c r="M37" s="46"/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E20"/>
  <sheetViews>
    <sheetView workbookViewId="0"/>
  </sheetViews>
  <sheetFormatPr defaultColWidth="8" defaultRowHeight="11.25" x14ac:dyDescent="0.2"/>
  <cols>
    <col min="1" max="1" width="3.28515625" style="26" customWidth="1"/>
    <col min="2" max="2" width="4.28515625" style="26" customWidth="1"/>
    <col min="3" max="3" width="15.5703125" style="26" bestFit="1" customWidth="1"/>
    <col min="4" max="4" width="98.7109375" style="26" bestFit="1" customWidth="1"/>
    <col min="5" max="5" width="3.7109375" style="26" customWidth="1"/>
    <col min="6" max="6" width="35.28515625" style="26" customWidth="1"/>
    <col min="7" max="7" width="4.28515625" style="26" customWidth="1"/>
    <col min="8" max="16384" width="8" style="26"/>
  </cols>
  <sheetData>
    <row r="1" spans="1:5" ht="13.5" thickBot="1" x14ac:dyDescent="0.25">
      <c r="A1" s="26" t="s">
        <v>229</v>
      </c>
      <c r="B1" s="69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69" t="s">
        <v>145</v>
      </c>
      <c r="C2" s="270"/>
      <c r="D2" s="270"/>
      <c r="E2" s="271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269" t="s">
        <v>144</v>
      </c>
      <c r="C12" s="270"/>
      <c r="D12" s="270"/>
      <c r="E12" s="271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49</v>
      </c>
      <c r="D15" s="15" t="s">
        <v>48</v>
      </c>
      <c r="E15" s="14"/>
    </row>
    <row r="16" spans="1:5" x14ac:dyDescent="0.2">
      <c r="B16" s="9"/>
      <c r="C16" s="16" t="s">
        <v>111</v>
      </c>
      <c r="D16" s="15" t="s">
        <v>119</v>
      </c>
      <c r="E16" s="14"/>
    </row>
    <row r="17" spans="2:5" x14ac:dyDescent="0.2">
      <c r="B17" s="9"/>
      <c r="C17" s="16" t="s">
        <v>143</v>
      </c>
      <c r="D17" s="24" t="s">
        <v>142</v>
      </c>
      <c r="E17" s="14"/>
    </row>
    <row r="18" spans="2:5" x14ac:dyDescent="0.2">
      <c r="B18" s="9"/>
      <c r="C18" s="16" t="s">
        <v>141</v>
      </c>
      <c r="D18" s="103">
        <v>1E-4</v>
      </c>
      <c r="E18" s="14"/>
    </row>
    <row r="19" spans="2:5" x14ac:dyDescent="0.2">
      <c r="B19" s="9"/>
      <c r="C19" s="16" t="s">
        <v>140</v>
      </c>
      <c r="D19" s="102">
        <v>-0.01</v>
      </c>
      <c r="E19" s="14"/>
    </row>
    <row r="20" spans="2:5" ht="12" thickBot="1" x14ac:dyDescent="0.25">
      <c r="B20" s="4"/>
      <c r="C20" s="3"/>
      <c r="D20" s="3"/>
      <c r="E20" s="2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5.42578125" style="105" bestFit="1" customWidth="1"/>
    <col min="5" max="5" width="15.85546875" style="105" bestFit="1" customWidth="1"/>
    <col min="6" max="6" width="25" style="105" bestFit="1" customWidth="1"/>
    <col min="7" max="7" width="26.42578125" style="105" bestFit="1" customWidth="1"/>
    <col min="8" max="8" width="53.140625" style="105" customWidth="1"/>
    <col min="9" max="16384" width="9.140625" style="105"/>
  </cols>
  <sheetData>
    <row r="1" spans="1:8" x14ac:dyDescent="0.2">
      <c r="A1" s="105" t="s">
        <v>233</v>
      </c>
    </row>
    <row r="2" spans="1:8" x14ac:dyDescent="0.2">
      <c r="E2" s="265" t="s">
        <v>232</v>
      </c>
      <c r="F2" s="264" t="str">
        <f>PROPER(Currency)&amp;"HW_Volatility_Quote"</f>
        <v>UsdHW_Volatility_Quote</v>
      </c>
    </row>
    <row r="3" spans="1:8" x14ac:dyDescent="0.2">
      <c r="E3" s="265" t="s">
        <v>231</v>
      </c>
      <c r="F3" s="264" t="str">
        <f>PROPER(Currency)&amp;"HW_MeanReversion_Quote"</f>
        <v>UsdHW_MeanReversion_Quote</v>
      </c>
    </row>
    <row r="4" spans="1:8" x14ac:dyDescent="0.2">
      <c r="E4" s="265" t="s">
        <v>118</v>
      </c>
      <c r="F4" s="264" t="str">
        <f>PROPER(Currency)&amp;FamilyName&amp;$G$4</f>
        <v>UsdLibor1M</v>
      </c>
      <c r="G4" s="263" t="s">
        <v>40</v>
      </c>
    </row>
    <row r="6" spans="1:8" ht="22.5" x14ac:dyDescent="0.2">
      <c r="A6" s="155"/>
      <c r="B6" s="94" t="s">
        <v>183</v>
      </c>
      <c r="C6" s="202" t="s">
        <v>182</v>
      </c>
      <c r="D6" s="202" t="s">
        <v>181</v>
      </c>
      <c r="E6" s="202" t="s">
        <v>230</v>
      </c>
      <c r="F6" s="93" t="str">
        <f>Currency&amp;"_020_Futures"&amp;G4&amp;"ConvAdj.xml"</f>
        <v>USD_020_Futures1MConvAdj.xml</v>
      </c>
      <c r="G6" s="111">
        <f ca="1">IF(Serialize,_xll.ohObjectSave(G7:G126,SerializationPath&amp;F6,FileOverwrite,Serialize),"---")</f>
        <v>120</v>
      </c>
      <c r="H6" s="76" t="str">
        <f ca="1">_xll.ohRangeRetrieveError(G6)</f>
        <v/>
      </c>
    </row>
    <row r="7" spans="1:8" x14ac:dyDescent="0.2">
      <c r="A7" s="149"/>
      <c r="B7" s="154">
        <v>1</v>
      </c>
      <c r="C7" s="152" t="b">
        <v>0</v>
      </c>
      <c r="D7" s="152" t="str">
        <f t="array" ref="D7:D126">_xll.qlIMMNextCodes(_xll.qlSettingsEvaluationDate(Trigger)-1,$C7:$C126)</f>
        <v>Z3</v>
      </c>
      <c r="E7" s="261" t="str">
        <f t="shared" ref="E7:E38" si="0">Currency&amp;"FUT"&amp;$G$4&amp;$D7&amp;QuoteSuffix</f>
        <v>USDFUT1MZ3_Quote</v>
      </c>
      <c r="F7" s="262" t="str">
        <f t="shared" ref="F7:F38" si="1">Currency&amp;"FUT"&amp;$G$4&amp;$D7&amp;"ConvAdj"&amp;QuoteSuffix</f>
        <v>USDFUT1MZ3ConvAdj_Quote</v>
      </c>
      <c r="G7" s="261" t="str">
        <f>_xll.qlFuturesConvAdjustmentQuote($F7,IborIndex,$D7,$E7,Volatility,MeanReversion,Permanent,Trigger,ObjectOverwrite)</f>
        <v>USDFUT1MZ3ConvAdj_Quote#0020</v>
      </c>
      <c r="H7" s="76" t="str">
        <f>_xll.ohRangeRetrieveError(G7)</f>
        <v/>
      </c>
    </row>
    <row r="8" spans="1:8" x14ac:dyDescent="0.2">
      <c r="A8" s="149"/>
      <c r="B8" s="148">
        <v>2</v>
      </c>
      <c r="C8" s="146" t="b">
        <v>0</v>
      </c>
      <c r="D8" s="146" t="str">
        <v>F4</v>
      </c>
      <c r="E8" s="261" t="str">
        <f t="shared" si="0"/>
        <v>USDFUT1MF4_Quote</v>
      </c>
      <c r="F8" s="262" t="str">
        <f t="shared" si="1"/>
        <v>USDFUT1MF4ConvAdj_Quote</v>
      </c>
      <c r="G8" s="261" t="str">
        <f>_xll.qlFuturesConvAdjustmentQuote($F8,IborIndex,$D8,$E8,Volatility,MeanReversion,Permanent,Trigger,ObjectOverwrite)</f>
        <v>USDFUT1MF4ConvAdj_Quote#0020</v>
      </c>
      <c r="H8" s="76" t="str">
        <f>_xll.ohRangeRetrieveError(G8)</f>
        <v/>
      </c>
    </row>
    <row r="9" spans="1:8" x14ac:dyDescent="0.2">
      <c r="A9" s="149"/>
      <c r="B9" s="148">
        <v>3</v>
      </c>
      <c r="C9" s="146" t="b">
        <v>0</v>
      </c>
      <c r="D9" s="146" t="str">
        <v>G4</v>
      </c>
      <c r="E9" s="261" t="str">
        <f t="shared" si="0"/>
        <v>USDFUT1MG4_Quote</v>
      </c>
      <c r="F9" s="262" t="str">
        <f t="shared" si="1"/>
        <v>USDFUT1MG4ConvAdj_Quote</v>
      </c>
      <c r="G9" s="261" t="str">
        <f>_xll.qlFuturesConvAdjustmentQuote($F9,IborIndex,$D9,$E9,Volatility,MeanReversion,Permanent,Trigger,ObjectOverwrite)</f>
        <v>USDFUT1MG4ConvAdj_Quote#0020</v>
      </c>
      <c r="H9" s="76" t="str">
        <f>_xll.ohRangeRetrieveError(G9)</f>
        <v/>
      </c>
    </row>
    <row r="10" spans="1:8" x14ac:dyDescent="0.2">
      <c r="A10" s="149"/>
      <c r="B10" s="148">
        <v>4</v>
      </c>
      <c r="C10" s="146" t="b">
        <v>0</v>
      </c>
      <c r="D10" s="146" t="str">
        <v>H4</v>
      </c>
      <c r="E10" s="261" t="str">
        <f t="shared" si="0"/>
        <v>USDFUT1MH4_Quote</v>
      </c>
      <c r="F10" s="262" t="str">
        <f t="shared" si="1"/>
        <v>USDFUT1MH4ConvAdj_Quote</v>
      </c>
      <c r="G10" s="261" t="str">
        <f>_xll.qlFuturesConvAdjustmentQuote($F10,IborIndex,$D10,$E10,Volatility,MeanReversion,Permanent,Trigger,ObjectOverwrite)</f>
        <v>USDFUT1MH4ConvAdj_Quote#0020</v>
      </c>
      <c r="H10" s="76" t="str">
        <f>_xll.ohRangeRetrieveError(G10)</f>
        <v/>
      </c>
    </row>
    <row r="11" spans="1:8" x14ac:dyDescent="0.2">
      <c r="A11" s="149"/>
      <c r="B11" s="148">
        <v>5</v>
      </c>
      <c r="C11" s="146" t="b">
        <v>0</v>
      </c>
      <c r="D11" s="146" t="str">
        <v>J4</v>
      </c>
      <c r="E11" s="261" t="str">
        <f t="shared" si="0"/>
        <v>USDFUT1MJ4_Quote</v>
      </c>
      <c r="F11" s="262" t="str">
        <f t="shared" si="1"/>
        <v>USDFUT1MJ4ConvAdj_Quote</v>
      </c>
      <c r="G11" s="261" t="str">
        <f>_xll.qlFuturesConvAdjustmentQuote($F11,IborIndex,$D11,$E11,Volatility,MeanReversion,Permanent,Trigger,ObjectOverwrite)</f>
        <v>USDFUT1MJ4ConvAdj_Quote#0020</v>
      </c>
      <c r="H11" s="76" t="str">
        <f>_xll.ohRangeRetrieveError(G11)</f>
        <v/>
      </c>
    </row>
    <row r="12" spans="1:8" x14ac:dyDescent="0.2">
      <c r="A12" s="149"/>
      <c r="B12" s="148">
        <v>6</v>
      </c>
      <c r="C12" s="146" t="b">
        <v>0</v>
      </c>
      <c r="D12" s="146" t="str">
        <v>K4</v>
      </c>
      <c r="E12" s="261" t="str">
        <f t="shared" si="0"/>
        <v>USDFUT1MK4_Quote</v>
      </c>
      <c r="F12" s="262" t="str">
        <f t="shared" si="1"/>
        <v>USDFUT1MK4ConvAdj_Quote</v>
      </c>
      <c r="G12" s="261" t="str">
        <f>_xll.qlFuturesConvAdjustmentQuote($F12,IborIndex,$D12,$E12,Volatility,MeanReversion,Permanent,Trigger,ObjectOverwrite)</f>
        <v>USDFUT1MK4ConvAdj_Quote#0020</v>
      </c>
      <c r="H12" s="76" t="str">
        <f>_xll.ohRangeRetrieveError(G12)</f>
        <v/>
      </c>
    </row>
    <row r="13" spans="1:8" x14ac:dyDescent="0.2">
      <c r="A13" s="149"/>
      <c r="B13" s="148">
        <v>7</v>
      </c>
      <c r="C13" s="146" t="b">
        <v>0</v>
      </c>
      <c r="D13" s="146" t="str">
        <v>M4</v>
      </c>
      <c r="E13" s="261" t="str">
        <f t="shared" si="0"/>
        <v>USDFUT1MM4_Quote</v>
      </c>
      <c r="F13" s="262" t="str">
        <f t="shared" si="1"/>
        <v>USDFUT1MM4ConvAdj_Quote</v>
      </c>
      <c r="G13" s="261" t="str">
        <f>_xll.qlFuturesConvAdjustmentQuote($F13,IborIndex,$D13,$E13,Volatility,MeanReversion,Permanent,Trigger,ObjectOverwrite)</f>
        <v>USDFUT1MM4ConvAdj_Quote#0020</v>
      </c>
      <c r="H13" s="76" t="str">
        <f>_xll.ohRangeRetrieveError(G13)</f>
        <v/>
      </c>
    </row>
    <row r="14" spans="1:8" x14ac:dyDescent="0.2">
      <c r="A14" s="149"/>
      <c r="B14" s="148">
        <v>8</v>
      </c>
      <c r="C14" s="146" t="b">
        <v>0</v>
      </c>
      <c r="D14" s="146" t="str">
        <v>N4</v>
      </c>
      <c r="E14" s="261" t="str">
        <f t="shared" si="0"/>
        <v>USDFUT1MN4_Quote</v>
      </c>
      <c r="F14" s="262" t="str">
        <f t="shared" si="1"/>
        <v>USDFUT1MN4ConvAdj_Quote</v>
      </c>
      <c r="G14" s="261" t="str">
        <f>_xll.qlFuturesConvAdjustmentQuote($F14,IborIndex,$D14,$E14,Volatility,MeanReversion,Permanent,Trigger,ObjectOverwrite)</f>
        <v>USDFUT1MN4ConvAdj_Quote#0020</v>
      </c>
      <c r="H14" s="76" t="str">
        <f>_xll.ohRangeRetrieveError(G14)</f>
        <v/>
      </c>
    </row>
    <row r="15" spans="1:8" x14ac:dyDescent="0.2">
      <c r="A15" s="149"/>
      <c r="B15" s="148">
        <v>9</v>
      </c>
      <c r="C15" s="146" t="b">
        <v>0</v>
      </c>
      <c r="D15" s="146" t="str">
        <v>Q4</v>
      </c>
      <c r="E15" s="261" t="str">
        <f t="shared" si="0"/>
        <v>USDFUT1MQ4_Quote</v>
      </c>
      <c r="F15" s="262" t="str">
        <f t="shared" si="1"/>
        <v>USDFUT1MQ4ConvAdj_Quote</v>
      </c>
      <c r="G15" s="261" t="str">
        <f>_xll.qlFuturesConvAdjustmentQuote($F15,IborIndex,$D15,$E15,Volatility,MeanReversion,Permanent,Trigger,ObjectOverwrite)</f>
        <v>USDFUT1MQ4ConvAdj_Quote#0020</v>
      </c>
      <c r="H15" s="76" t="str">
        <f>_xll.ohRangeRetrieveError(G15)</f>
        <v/>
      </c>
    </row>
    <row r="16" spans="1:8" x14ac:dyDescent="0.2">
      <c r="A16" s="149"/>
      <c r="B16" s="148">
        <v>10</v>
      </c>
      <c r="C16" s="146" t="b">
        <v>0</v>
      </c>
      <c r="D16" s="146" t="str">
        <v>U4</v>
      </c>
      <c r="E16" s="261" t="str">
        <f t="shared" si="0"/>
        <v>USDFUT1MU4_Quote</v>
      </c>
      <c r="F16" s="262" t="str">
        <f t="shared" si="1"/>
        <v>USDFUT1MU4ConvAdj_Quote</v>
      </c>
      <c r="G16" s="261" t="str">
        <f>_xll.qlFuturesConvAdjustmentQuote($F16,IborIndex,$D16,$E16,Volatility,MeanReversion,Permanent,Trigger,ObjectOverwrite)</f>
        <v>USDFUT1MU4ConvAdj_Quote#0020</v>
      </c>
      <c r="H16" s="76" t="str">
        <f>_xll.ohRangeRetrieveError(G16)</f>
        <v/>
      </c>
    </row>
    <row r="17" spans="1:8" x14ac:dyDescent="0.2">
      <c r="A17" s="149"/>
      <c r="B17" s="148">
        <v>11</v>
      </c>
      <c r="C17" s="146" t="b">
        <v>0</v>
      </c>
      <c r="D17" s="146" t="str">
        <v>V4</v>
      </c>
      <c r="E17" s="261" t="str">
        <f t="shared" si="0"/>
        <v>USDFUT1MV4_Quote</v>
      </c>
      <c r="F17" s="262" t="str">
        <f t="shared" si="1"/>
        <v>USDFUT1MV4ConvAdj_Quote</v>
      </c>
      <c r="G17" s="261" t="str">
        <f>_xll.qlFuturesConvAdjustmentQuote($F17,IborIndex,$D17,$E17,Volatility,MeanReversion,Permanent,Trigger,ObjectOverwrite)</f>
        <v>USDFUT1MV4ConvAdj_Quote#0020</v>
      </c>
      <c r="H17" s="76" t="str">
        <f>_xll.ohRangeRetrieveError(G17)</f>
        <v/>
      </c>
    </row>
    <row r="18" spans="1:8" x14ac:dyDescent="0.2">
      <c r="A18" s="149"/>
      <c r="B18" s="148">
        <v>12</v>
      </c>
      <c r="C18" s="146" t="b">
        <v>0</v>
      </c>
      <c r="D18" s="146" t="str">
        <v>X4</v>
      </c>
      <c r="E18" s="261" t="str">
        <f t="shared" si="0"/>
        <v>USDFUT1MX4_Quote</v>
      </c>
      <c r="F18" s="262" t="str">
        <f t="shared" si="1"/>
        <v>USDFUT1MX4ConvAdj_Quote</v>
      </c>
      <c r="G18" s="261" t="str">
        <f>_xll.qlFuturesConvAdjustmentQuote($F18,IborIndex,$D18,$E18,Volatility,MeanReversion,Permanent,Trigger,ObjectOverwrite)</f>
        <v>USDFUT1MX4ConvAdj_Quote#0020</v>
      </c>
      <c r="H18" s="76" t="str">
        <f>_xll.ohRangeRetrieveError(G18)</f>
        <v/>
      </c>
    </row>
    <row r="19" spans="1:8" x14ac:dyDescent="0.2">
      <c r="A19" s="149"/>
      <c r="B19" s="148">
        <v>13</v>
      </c>
      <c r="C19" s="146" t="b">
        <v>0</v>
      </c>
      <c r="D19" s="146" t="str">
        <v>Z4</v>
      </c>
      <c r="E19" s="261" t="str">
        <f t="shared" si="0"/>
        <v>USDFUT1MZ4_Quote</v>
      </c>
      <c r="F19" s="262" t="str">
        <f t="shared" si="1"/>
        <v>USDFUT1MZ4ConvAdj_Quote</v>
      </c>
      <c r="G19" s="261" t="str">
        <f>_xll.qlFuturesConvAdjustmentQuote($F19,IborIndex,$D19,$E19,Volatility,MeanReversion,Permanent,Trigger,ObjectOverwrite)</f>
        <v>USDFUT1MZ4ConvAdj_Quote#0020</v>
      </c>
      <c r="H19" s="76" t="str">
        <f>_xll.ohRangeRetrieveError(G19)</f>
        <v/>
      </c>
    </row>
    <row r="20" spans="1:8" x14ac:dyDescent="0.2">
      <c r="A20" s="149"/>
      <c r="B20" s="148">
        <v>14</v>
      </c>
      <c r="C20" s="146" t="b">
        <v>0</v>
      </c>
      <c r="D20" s="146" t="str">
        <v>F5</v>
      </c>
      <c r="E20" s="261" t="str">
        <f t="shared" si="0"/>
        <v>USDFUT1MF5_Quote</v>
      </c>
      <c r="F20" s="262" t="str">
        <f t="shared" si="1"/>
        <v>USDFUT1MF5ConvAdj_Quote</v>
      </c>
      <c r="G20" s="261" t="str">
        <f>_xll.qlFuturesConvAdjustmentQuote($F20,IborIndex,$D20,$E20,Volatility,MeanReversion,Permanent,Trigger,ObjectOverwrite)</f>
        <v>USDFUT1MF5ConvAdj_Quote#0020</v>
      </c>
      <c r="H20" s="76" t="str">
        <f>_xll.ohRangeRetrieveError(G20)</f>
        <v/>
      </c>
    </row>
    <row r="21" spans="1:8" x14ac:dyDescent="0.2">
      <c r="A21" s="149"/>
      <c r="B21" s="148">
        <v>15</v>
      </c>
      <c r="C21" s="146" t="b">
        <v>0</v>
      </c>
      <c r="D21" s="146" t="str">
        <v>G5</v>
      </c>
      <c r="E21" s="261" t="str">
        <f t="shared" si="0"/>
        <v>USDFUT1MG5_Quote</v>
      </c>
      <c r="F21" s="262" t="str">
        <f t="shared" si="1"/>
        <v>USDFUT1MG5ConvAdj_Quote</v>
      </c>
      <c r="G21" s="261" t="str">
        <f>_xll.qlFuturesConvAdjustmentQuote($F21,IborIndex,$D21,$E21,Volatility,MeanReversion,Permanent,Trigger,ObjectOverwrite)</f>
        <v>USDFUT1MG5ConvAdj_Quote#0020</v>
      </c>
      <c r="H21" s="76" t="str">
        <f>_xll.ohRangeRetrieveError(G21)</f>
        <v/>
      </c>
    </row>
    <row r="22" spans="1:8" x14ac:dyDescent="0.2">
      <c r="A22" s="149"/>
      <c r="B22" s="148">
        <v>16</v>
      </c>
      <c r="C22" s="146" t="b">
        <v>0</v>
      </c>
      <c r="D22" s="146" t="str">
        <v>H5</v>
      </c>
      <c r="E22" s="261" t="str">
        <f t="shared" si="0"/>
        <v>USDFUT1MH5_Quote</v>
      </c>
      <c r="F22" s="262" t="str">
        <f t="shared" si="1"/>
        <v>USDFUT1MH5ConvAdj_Quote</v>
      </c>
      <c r="G22" s="261" t="str">
        <f>_xll.qlFuturesConvAdjustmentQuote($F22,IborIndex,$D22,$E22,Volatility,MeanReversion,Permanent,Trigger,ObjectOverwrite)</f>
        <v>USDFUT1MH5ConvAdj_Quote#0020</v>
      </c>
      <c r="H22" s="76" t="str">
        <f>_xll.ohRangeRetrieveError(G22)</f>
        <v/>
      </c>
    </row>
    <row r="23" spans="1:8" x14ac:dyDescent="0.2">
      <c r="A23" s="149"/>
      <c r="B23" s="148">
        <v>17</v>
      </c>
      <c r="C23" s="146" t="b">
        <v>0</v>
      </c>
      <c r="D23" s="146" t="str">
        <v>J5</v>
      </c>
      <c r="E23" s="261" t="str">
        <f t="shared" si="0"/>
        <v>USDFUT1MJ5_Quote</v>
      </c>
      <c r="F23" s="262" t="str">
        <f t="shared" si="1"/>
        <v>USDFUT1MJ5ConvAdj_Quote</v>
      </c>
      <c r="G23" s="261" t="str">
        <f>_xll.qlFuturesConvAdjustmentQuote($F23,IborIndex,$D23,$E23,Volatility,MeanReversion,Permanent,Trigger,ObjectOverwrite)</f>
        <v>USDFUT1MJ5ConvAdj_Quote#0020</v>
      </c>
      <c r="H23" s="76" t="str">
        <f>_xll.ohRangeRetrieveError(G23)</f>
        <v/>
      </c>
    </row>
    <row r="24" spans="1:8" x14ac:dyDescent="0.2">
      <c r="A24" s="149"/>
      <c r="B24" s="148">
        <v>18</v>
      </c>
      <c r="C24" s="146" t="b">
        <v>0</v>
      </c>
      <c r="D24" s="146" t="str">
        <v>K5</v>
      </c>
      <c r="E24" s="261" t="str">
        <f t="shared" si="0"/>
        <v>USDFUT1MK5_Quote</v>
      </c>
      <c r="F24" s="262" t="str">
        <f t="shared" si="1"/>
        <v>USDFUT1MK5ConvAdj_Quote</v>
      </c>
      <c r="G24" s="261" t="str">
        <f>_xll.qlFuturesConvAdjustmentQuote($F24,IborIndex,$D24,$E24,Volatility,MeanReversion,Permanent,Trigger,ObjectOverwrite)</f>
        <v>USDFUT1MK5ConvAdj_Quote#0020</v>
      </c>
      <c r="H24" s="76" t="str">
        <f>_xll.ohRangeRetrieveError(G24)</f>
        <v/>
      </c>
    </row>
    <row r="25" spans="1:8" x14ac:dyDescent="0.2">
      <c r="A25" s="149"/>
      <c r="B25" s="148">
        <v>19</v>
      </c>
      <c r="C25" s="146" t="b">
        <v>0</v>
      </c>
      <c r="D25" s="146" t="str">
        <v>M5</v>
      </c>
      <c r="E25" s="261" t="str">
        <f t="shared" si="0"/>
        <v>USDFUT1MM5_Quote</v>
      </c>
      <c r="F25" s="262" t="str">
        <f t="shared" si="1"/>
        <v>USDFUT1MM5ConvAdj_Quote</v>
      </c>
      <c r="G25" s="261" t="str">
        <f>_xll.qlFuturesConvAdjustmentQuote($F25,IborIndex,$D25,$E25,Volatility,MeanReversion,Permanent,Trigger,ObjectOverwrite)</f>
        <v>USDFUT1MM5ConvAdj_Quote#0020</v>
      </c>
      <c r="H25" s="76" t="str">
        <f>_xll.ohRangeRetrieveError(G25)</f>
        <v/>
      </c>
    </row>
    <row r="26" spans="1:8" x14ac:dyDescent="0.2">
      <c r="A26" s="149"/>
      <c r="B26" s="148">
        <v>20</v>
      </c>
      <c r="C26" s="146" t="b">
        <v>0</v>
      </c>
      <c r="D26" s="146" t="str">
        <v>N5</v>
      </c>
      <c r="E26" s="261" t="str">
        <f t="shared" si="0"/>
        <v>USDFUT1MN5_Quote</v>
      </c>
      <c r="F26" s="262" t="str">
        <f t="shared" si="1"/>
        <v>USDFUT1MN5ConvAdj_Quote</v>
      </c>
      <c r="G26" s="261" t="str">
        <f>_xll.qlFuturesConvAdjustmentQuote($F26,IborIndex,$D26,$E26,Volatility,MeanReversion,Permanent,Trigger,ObjectOverwrite)</f>
        <v>USDFUT1MN5ConvAdj_Quote#0020</v>
      </c>
      <c r="H26" s="76" t="str">
        <f>_xll.ohRangeRetrieveError(G26)</f>
        <v/>
      </c>
    </row>
    <row r="27" spans="1:8" x14ac:dyDescent="0.2">
      <c r="A27" s="149"/>
      <c r="B27" s="148">
        <v>21</v>
      </c>
      <c r="C27" s="146" t="b">
        <v>0</v>
      </c>
      <c r="D27" s="146" t="str">
        <v>Q5</v>
      </c>
      <c r="E27" s="261" t="str">
        <f t="shared" si="0"/>
        <v>USDFUT1MQ5_Quote</v>
      </c>
      <c r="F27" s="262" t="str">
        <f t="shared" si="1"/>
        <v>USDFUT1MQ5ConvAdj_Quote</v>
      </c>
      <c r="G27" s="261" t="str">
        <f>_xll.qlFuturesConvAdjustmentQuote($F27,IborIndex,$D27,$E27,Volatility,MeanReversion,Permanent,Trigger,ObjectOverwrite)</f>
        <v>USDFUT1MQ5ConvAdj_Quote#0020</v>
      </c>
      <c r="H27" s="76" t="str">
        <f>_xll.ohRangeRetrieveError(G27)</f>
        <v/>
      </c>
    </row>
    <row r="28" spans="1:8" x14ac:dyDescent="0.2">
      <c r="A28" s="149"/>
      <c r="B28" s="148">
        <v>22</v>
      </c>
      <c r="C28" s="146" t="b">
        <v>0</v>
      </c>
      <c r="D28" s="146" t="str">
        <v>U5</v>
      </c>
      <c r="E28" s="261" t="str">
        <f t="shared" si="0"/>
        <v>USDFUT1MU5_Quote</v>
      </c>
      <c r="F28" s="262" t="str">
        <f t="shared" si="1"/>
        <v>USDFUT1MU5ConvAdj_Quote</v>
      </c>
      <c r="G28" s="261" t="str">
        <f>_xll.qlFuturesConvAdjustmentQuote($F28,IborIndex,$D28,$E28,Volatility,MeanReversion,Permanent,Trigger,ObjectOverwrite)</f>
        <v>USDFUT1MU5ConvAdj_Quote#0020</v>
      </c>
      <c r="H28" s="76" t="str">
        <f>_xll.ohRangeRetrieveError(G28)</f>
        <v/>
      </c>
    </row>
    <row r="29" spans="1:8" x14ac:dyDescent="0.2">
      <c r="A29" s="149"/>
      <c r="B29" s="148">
        <v>23</v>
      </c>
      <c r="C29" s="146" t="b">
        <v>0</v>
      </c>
      <c r="D29" s="146" t="str">
        <v>V5</v>
      </c>
      <c r="E29" s="261" t="str">
        <f t="shared" si="0"/>
        <v>USDFUT1MV5_Quote</v>
      </c>
      <c r="F29" s="262" t="str">
        <f t="shared" si="1"/>
        <v>USDFUT1MV5ConvAdj_Quote</v>
      </c>
      <c r="G29" s="261" t="str">
        <f>_xll.qlFuturesConvAdjustmentQuote($F29,IborIndex,$D29,$E29,Volatility,MeanReversion,Permanent,Trigger,ObjectOverwrite)</f>
        <v>USDFUT1MV5ConvAdj_Quote#0020</v>
      </c>
      <c r="H29" s="76" t="str">
        <f>_xll.ohRangeRetrieveError(G29)</f>
        <v/>
      </c>
    </row>
    <row r="30" spans="1:8" x14ac:dyDescent="0.2">
      <c r="A30" s="149"/>
      <c r="B30" s="148">
        <v>24</v>
      </c>
      <c r="C30" s="146" t="b">
        <v>0</v>
      </c>
      <c r="D30" s="146" t="str">
        <v>X5</v>
      </c>
      <c r="E30" s="261" t="str">
        <f t="shared" si="0"/>
        <v>USDFUT1MX5_Quote</v>
      </c>
      <c r="F30" s="262" t="str">
        <f t="shared" si="1"/>
        <v>USDFUT1MX5ConvAdj_Quote</v>
      </c>
      <c r="G30" s="261" t="str">
        <f>_xll.qlFuturesConvAdjustmentQuote($F30,IborIndex,$D30,$E30,Volatility,MeanReversion,Permanent,Trigger,ObjectOverwrite)</f>
        <v>USDFUT1MX5ConvAdj_Quote#0020</v>
      </c>
      <c r="H30" s="76" t="str">
        <f>_xll.ohRangeRetrieveError(G30)</f>
        <v/>
      </c>
    </row>
    <row r="31" spans="1:8" x14ac:dyDescent="0.2">
      <c r="A31" s="149"/>
      <c r="B31" s="148">
        <v>25</v>
      </c>
      <c r="C31" s="146" t="b">
        <v>0</v>
      </c>
      <c r="D31" s="146" t="str">
        <v>Z5</v>
      </c>
      <c r="E31" s="261" t="str">
        <f t="shared" si="0"/>
        <v>USDFUT1MZ5_Quote</v>
      </c>
      <c r="F31" s="262" t="str">
        <f t="shared" si="1"/>
        <v>USDFUT1MZ5ConvAdj_Quote</v>
      </c>
      <c r="G31" s="261" t="str">
        <f>_xll.qlFuturesConvAdjustmentQuote($F31,IborIndex,$D31,$E31,Volatility,MeanReversion,Permanent,Trigger,ObjectOverwrite)</f>
        <v>USDFUT1MZ5ConvAdj_Quote#0020</v>
      </c>
      <c r="H31" s="76" t="str">
        <f>_xll.ohRangeRetrieveError(G31)</f>
        <v/>
      </c>
    </row>
    <row r="32" spans="1:8" x14ac:dyDescent="0.2">
      <c r="A32" s="149"/>
      <c r="B32" s="148">
        <v>26</v>
      </c>
      <c r="C32" s="146" t="b">
        <v>0</v>
      </c>
      <c r="D32" s="146" t="str">
        <v>F6</v>
      </c>
      <c r="E32" s="261" t="str">
        <f t="shared" si="0"/>
        <v>USDFUT1MF6_Quote</v>
      </c>
      <c r="F32" s="262" t="str">
        <f t="shared" si="1"/>
        <v>USDFUT1MF6ConvAdj_Quote</v>
      </c>
      <c r="G32" s="261" t="str">
        <f>_xll.qlFuturesConvAdjustmentQuote($F32,IborIndex,$D32,$E32,Volatility,MeanReversion,Permanent,Trigger,ObjectOverwrite)</f>
        <v>USDFUT1MF6ConvAdj_Quote#0020</v>
      </c>
      <c r="H32" s="76" t="str">
        <f>_xll.ohRangeRetrieveError(G32)</f>
        <v/>
      </c>
    </row>
    <row r="33" spans="1:8" x14ac:dyDescent="0.2">
      <c r="A33" s="149"/>
      <c r="B33" s="148">
        <v>27</v>
      </c>
      <c r="C33" s="146" t="b">
        <v>0</v>
      </c>
      <c r="D33" s="146" t="str">
        <v>G6</v>
      </c>
      <c r="E33" s="261" t="str">
        <f t="shared" si="0"/>
        <v>USDFUT1MG6_Quote</v>
      </c>
      <c r="F33" s="262" t="str">
        <f t="shared" si="1"/>
        <v>USDFUT1MG6ConvAdj_Quote</v>
      </c>
      <c r="G33" s="261" t="str">
        <f>_xll.qlFuturesConvAdjustmentQuote($F33,IborIndex,$D33,$E33,Volatility,MeanReversion,Permanent,Trigger,ObjectOverwrite)</f>
        <v>USDFUT1MG6ConvAdj_Quote#0020</v>
      </c>
      <c r="H33" s="76" t="str">
        <f>_xll.ohRangeRetrieveError(G33)</f>
        <v/>
      </c>
    </row>
    <row r="34" spans="1:8" x14ac:dyDescent="0.2">
      <c r="A34" s="149"/>
      <c r="B34" s="148">
        <v>28</v>
      </c>
      <c r="C34" s="146" t="b">
        <v>0</v>
      </c>
      <c r="D34" s="146" t="str">
        <v>H6</v>
      </c>
      <c r="E34" s="261" t="str">
        <f t="shared" si="0"/>
        <v>USDFUT1MH6_Quote</v>
      </c>
      <c r="F34" s="262" t="str">
        <f t="shared" si="1"/>
        <v>USDFUT1MH6ConvAdj_Quote</v>
      </c>
      <c r="G34" s="261" t="str">
        <f>_xll.qlFuturesConvAdjustmentQuote($F34,IborIndex,$D34,$E34,Volatility,MeanReversion,Permanent,Trigger,ObjectOverwrite)</f>
        <v>USDFUT1MH6ConvAdj_Quote#0020</v>
      </c>
      <c r="H34" s="76" t="str">
        <f>_xll.ohRangeRetrieveError(G34)</f>
        <v/>
      </c>
    </row>
    <row r="35" spans="1:8" x14ac:dyDescent="0.2">
      <c r="A35" s="149"/>
      <c r="B35" s="148">
        <v>29</v>
      </c>
      <c r="C35" s="146" t="b">
        <v>0</v>
      </c>
      <c r="D35" s="146" t="str">
        <v>J6</v>
      </c>
      <c r="E35" s="261" t="str">
        <f t="shared" si="0"/>
        <v>USDFUT1MJ6_Quote</v>
      </c>
      <c r="F35" s="262" t="str">
        <f t="shared" si="1"/>
        <v>USDFUT1MJ6ConvAdj_Quote</v>
      </c>
      <c r="G35" s="261" t="str">
        <f>_xll.qlFuturesConvAdjustmentQuote($F35,IborIndex,$D35,$E35,Volatility,MeanReversion,Permanent,Trigger,ObjectOverwrite)</f>
        <v>USDFUT1MJ6ConvAdj_Quote#0020</v>
      </c>
      <c r="H35" s="76" t="str">
        <f>_xll.ohRangeRetrieveError(G35)</f>
        <v/>
      </c>
    </row>
    <row r="36" spans="1:8" x14ac:dyDescent="0.2">
      <c r="A36" s="149"/>
      <c r="B36" s="148">
        <v>30</v>
      </c>
      <c r="C36" s="146" t="b">
        <v>0</v>
      </c>
      <c r="D36" s="146" t="str">
        <v>K6</v>
      </c>
      <c r="E36" s="261" t="str">
        <f t="shared" si="0"/>
        <v>USDFUT1MK6_Quote</v>
      </c>
      <c r="F36" s="262" t="str">
        <f t="shared" si="1"/>
        <v>USDFUT1MK6ConvAdj_Quote</v>
      </c>
      <c r="G36" s="261" t="str">
        <f>_xll.qlFuturesConvAdjustmentQuote($F36,IborIndex,$D36,$E36,Volatility,MeanReversion,Permanent,Trigger,ObjectOverwrite)</f>
        <v>USDFUT1MK6ConvAdj_Quote#0020</v>
      </c>
      <c r="H36" s="76" t="str">
        <f>_xll.ohRangeRetrieveError(G36)</f>
        <v/>
      </c>
    </row>
    <row r="37" spans="1:8" x14ac:dyDescent="0.2">
      <c r="A37" s="149"/>
      <c r="B37" s="148">
        <v>31</v>
      </c>
      <c r="C37" s="146" t="b">
        <v>0</v>
      </c>
      <c r="D37" s="146" t="str">
        <v>M6</v>
      </c>
      <c r="E37" s="261" t="str">
        <f t="shared" si="0"/>
        <v>USDFUT1MM6_Quote</v>
      </c>
      <c r="F37" s="262" t="str">
        <f t="shared" si="1"/>
        <v>USDFUT1MM6ConvAdj_Quote</v>
      </c>
      <c r="G37" s="261" t="str">
        <f>_xll.qlFuturesConvAdjustmentQuote($F37,IborIndex,$D37,$E37,Volatility,MeanReversion,Permanent,Trigger,ObjectOverwrite)</f>
        <v>USDFUT1MM6ConvAdj_Quote#0020</v>
      </c>
      <c r="H37" s="76" t="str">
        <f>_xll.ohRangeRetrieveError(G37)</f>
        <v/>
      </c>
    </row>
    <row r="38" spans="1:8" x14ac:dyDescent="0.2">
      <c r="A38" s="149"/>
      <c r="B38" s="148">
        <v>32</v>
      </c>
      <c r="C38" s="146" t="b">
        <v>0</v>
      </c>
      <c r="D38" s="146" t="str">
        <v>N6</v>
      </c>
      <c r="E38" s="261" t="str">
        <f t="shared" si="0"/>
        <v>USDFUT1MN6_Quote</v>
      </c>
      <c r="F38" s="262" t="str">
        <f t="shared" si="1"/>
        <v>USDFUT1MN6ConvAdj_Quote</v>
      </c>
      <c r="G38" s="261" t="str">
        <f>_xll.qlFuturesConvAdjustmentQuote($F38,IborIndex,$D38,$E38,Volatility,MeanReversion,Permanent,Trigger,ObjectOverwrite)</f>
        <v>USDFUT1MN6ConvAdj_Quote#0020</v>
      </c>
      <c r="H38" s="76" t="str">
        <f>_xll.ohRangeRetrieveError(G38)</f>
        <v/>
      </c>
    </row>
    <row r="39" spans="1:8" x14ac:dyDescent="0.2">
      <c r="A39" s="149"/>
      <c r="B39" s="148">
        <v>33</v>
      </c>
      <c r="C39" s="146" t="b">
        <v>0</v>
      </c>
      <c r="D39" s="146" t="str">
        <v>Q6</v>
      </c>
      <c r="E39" s="261" t="str">
        <f t="shared" ref="E39:E70" si="2">Currency&amp;"FUT"&amp;$G$4&amp;$D39&amp;QuoteSuffix</f>
        <v>USDFUT1MQ6_Quote</v>
      </c>
      <c r="F39" s="262" t="str">
        <f t="shared" ref="F39:F70" si="3">Currency&amp;"FUT"&amp;$G$4&amp;$D39&amp;"ConvAdj"&amp;QuoteSuffix</f>
        <v>USDFUT1MQ6ConvAdj_Quote</v>
      </c>
      <c r="G39" s="261" t="str">
        <f>_xll.qlFuturesConvAdjustmentQuote($F39,IborIndex,$D39,$E39,Volatility,MeanReversion,Permanent,Trigger,ObjectOverwrite)</f>
        <v>USDFUT1MQ6ConvAdj_Quote#0020</v>
      </c>
      <c r="H39" s="76" t="str">
        <f>_xll.ohRangeRetrieveError(G39)</f>
        <v/>
      </c>
    </row>
    <row r="40" spans="1:8" x14ac:dyDescent="0.2">
      <c r="A40" s="149"/>
      <c r="B40" s="148">
        <v>34</v>
      </c>
      <c r="C40" s="146" t="b">
        <v>0</v>
      </c>
      <c r="D40" s="146" t="str">
        <v>U6</v>
      </c>
      <c r="E40" s="261" t="str">
        <f t="shared" si="2"/>
        <v>USDFUT1MU6_Quote</v>
      </c>
      <c r="F40" s="262" t="str">
        <f t="shared" si="3"/>
        <v>USDFUT1MU6ConvAdj_Quote</v>
      </c>
      <c r="G40" s="261" t="str">
        <f>_xll.qlFuturesConvAdjustmentQuote($F40,IborIndex,$D40,$E40,Volatility,MeanReversion,Permanent,Trigger,ObjectOverwrite)</f>
        <v>USDFUT1MU6ConvAdj_Quote#0020</v>
      </c>
      <c r="H40" s="76" t="str">
        <f>_xll.ohRangeRetrieveError(G40)</f>
        <v/>
      </c>
    </row>
    <row r="41" spans="1:8" x14ac:dyDescent="0.2">
      <c r="A41" s="149"/>
      <c r="B41" s="148">
        <v>35</v>
      </c>
      <c r="C41" s="146" t="b">
        <v>0</v>
      </c>
      <c r="D41" s="146" t="str">
        <v>V6</v>
      </c>
      <c r="E41" s="261" t="str">
        <f t="shared" si="2"/>
        <v>USDFUT1MV6_Quote</v>
      </c>
      <c r="F41" s="262" t="str">
        <f t="shared" si="3"/>
        <v>USDFUT1MV6ConvAdj_Quote</v>
      </c>
      <c r="G41" s="261" t="str">
        <f>_xll.qlFuturesConvAdjustmentQuote($F41,IborIndex,$D41,$E41,Volatility,MeanReversion,Permanent,Trigger,ObjectOverwrite)</f>
        <v>USDFUT1MV6ConvAdj_Quote#0020</v>
      </c>
      <c r="H41" s="76" t="str">
        <f>_xll.ohRangeRetrieveError(G41)</f>
        <v/>
      </c>
    </row>
    <row r="42" spans="1:8" x14ac:dyDescent="0.2">
      <c r="A42" s="149"/>
      <c r="B42" s="148">
        <v>36</v>
      </c>
      <c r="C42" s="146" t="b">
        <v>0</v>
      </c>
      <c r="D42" s="146" t="str">
        <v>X6</v>
      </c>
      <c r="E42" s="261" t="str">
        <f t="shared" si="2"/>
        <v>USDFUT1MX6_Quote</v>
      </c>
      <c r="F42" s="262" t="str">
        <f t="shared" si="3"/>
        <v>USDFUT1MX6ConvAdj_Quote</v>
      </c>
      <c r="G42" s="261" t="str">
        <f>_xll.qlFuturesConvAdjustmentQuote($F42,IborIndex,$D42,$E42,Volatility,MeanReversion,Permanent,Trigger,ObjectOverwrite)</f>
        <v>USDFUT1MX6ConvAdj_Quote#0020</v>
      </c>
      <c r="H42" s="76" t="str">
        <f>_xll.ohRangeRetrieveError(G42)</f>
        <v/>
      </c>
    </row>
    <row r="43" spans="1:8" x14ac:dyDescent="0.2">
      <c r="A43" s="149"/>
      <c r="B43" s="148">
        <v>37</v>
      </c>
      <c r="C43" s="146" t="b">
        <v>0</v>
      </c>
      <c r="D43" s="146" t="str">
        <v>Z6</v>
      </c>
      <c r="E43" s="261" t="str">
        <f t="shared" si="2"/>
        <v>USDFUT1MZ6_Quote</v>
      </c>
      <c r="F43" s="262" t="str">
        <f t="shared" si="3"/>
        <v>USDFUT1MZ6ConvAdj_Quote</v>
      </c>
      <c r="G43" s="261" t="str">
        <f>_xll.qlFuturesConvAdjustmentQuote($F43,IborIndex,$D43,$E43,Volatility,MeanReversion,Permanent,Trigger,ObjectOverwrite)</f>
        <v>USDFUT1MZ6ConvAdj_Quote#0020</v>
      </c>
      <c r="H43" s="76" t="str">
        <f>_xll.ohRangeRetrieveError(G43)</f>
        <v/>
      </c>
    </row>
    <row r="44" spans="1:8" x14ac:dyDescent="0.2">
      <c r="A44" s="149"/>
      <c r="B44" s="148">
        <v>38</v>
      </c>
      <c r="C44" s="146" t="b">
        <v>0</v>
      </c>
      <c r="D44" s="146" t="str">
        <v>F7</v>
      </c>
      <c r="E44" s="261" t="str">
        <f t="shared" si="2"/>
        <v>USDFUT1MF7_Quote</v>
      </c>
      <c r="F44" s="262" t="str">
        <f t="shared" si="3"/>
        <v>USDFUT1MF7ConvAdj_Quote</v>
      </c>
      <c r="G44" s="261" t="str">
        <f>_xll.qlFuturesConvAdjustmentQuote($F44,IborIndex,$D44,$E44,Volatility,MeanReversion,Permanent,Trigger,ObjectOverwrite)</f>
        <v>USDFUT1MF7ConvAdj_Quote#0020</v>
      </c>
      <c r="H44" s="76" t="str">
        <f>_xll.ohRangeRetrieveError(G44)</f>
        <v/>
      </c>
    </row>
    <row r="45" spans="1:8" x14ac:dyDescent="0.2">
      <c r="A45" s="149"/>
      <c r="B45" s="148">
        <v>39</v>
      </c>
      <c r="C45" s="146" t="b">
        <v>0</v>
      </c>
      <c r="D45" s="146" t="str">
        <v>G7</v>
      </c>
      <c r="E45" s="261" t="str">
        <f t="shared" si="2"/>
        <v>USDFUT1MG7_Quote</v>
      </c>
      <c r="F45" s="262" t="str">
        <f t="shared" si="3"/>
        <v>USDFUT1MG7ConvAdj_Quote</v>
      </c>
      <c r="G45" s="261" t="str">
        <f>_xll.qlFuturesConvAdjustmentQuote($F45,IborIndex,$D45,$E45,Volatility,MeanReversion,Permanent,Trigger,ObjectOverwrite)</f>
        <v>USDFUT1MG7ConvAdj_Quote#0020</v>
      </c>
      <c r="H45" s="76" t="str">
        <f>_xll.ohRangeRetrieveError(G45)</f>
        <v/>
      </c>
    </row>
    <row r="46" spans="1:8" x14ac:dyDescent="0.2">
      <c r="A46" s="149"/>
      <c r="B46" s="148">
        <v>40</v>
      </c>
      <c r="C46" s="146" t="b">
        <v>0</v>
      </c>
      <c r="D46" s="146" t="str">
        <v>H7</v>
      </c>
      <c r="E46" s="261" t="str">
        <f t="shared" si="2"/>
        <v>USDFUT1MH7_Quote</v>
      </c>
      <c r="F46" s="262" t="str">
        <f t="shared" si="3"/>
        <v>USDFUT1MH7ConvAdj_Quote</v>
      </c>
      <c r="G46" s="261" t="str">
        <f>_xll.qlFuturesConvAdjustmentQuote($F46,IborIndex,$D46,$E46,Volatility,MeanReversion,Permanent,Trigger,ObjectOverwrite)</f>
        <v>USDFUT1MH7ConvAdj_Quote#0020</v>
      </c>
      <c r="H46" s="76" t="str">
        <f>_xll.ohRangeRetrieveError(G46)</f>
        <v/>
      </c>
    </row>
    <row r="47" spans="1:8" x14ac:dyDescent="0.2">
      <c r="A47" s="149"/>
      <c r="B47" s="148">
        <v>41</v>
      </c>
      <c r="C47" s="146" t="b">
        <v>0</v>
      </c>
      <c r="D47" s="146" t="str">
        <v>J7</v>
      </c>
      <c r="E47" s="261" t="str">
        <f t="shared" si="2"/>
        <v>USDFUT1MJ7_Quote</v>
      </c>
      <c r="F47" s="262" t="str">
        <f t="shared" si="3"/>
        <v>USDFUT1MJ7ConvAdj_Quote</v>
      </c>
      <c r="G47" s="261" t="str">
        <f>_xll.qlFuturesConvAdjustmentQuote($F47,IborIndex,$D47,$E47,Volatility,MeanReversion,Permanent,Trigger,ObjectOverwrite)</f>
        <v>USDFUT1MJ7ConvAdj_Quote#0020</v>
      </c>
      <c r="H47" s="76" t="str">
        <f>_xll.ohRangeRetrieveError(G47)</f>
        <v/>
      </c>
    </row>
    <row r="48" spans="1:8" x14ac:dyDescent="0.2">
      <c r="A48" s="149"/>
      <c r="B48" s="148">
        <v>42</v>
      </c>
      <c r="C48" s="146" t="b">
        <v>0</v>
      </c>
      <c r="D48" s="146" t="str">
        <v>K7</v>
      </c>
      <c r="E48" s="261" t="str">
        <f t="shared" si="2"/>
        <v>USDFUT1MK7_Quote</v>
      </c>
      <c r="F48" s="262" t="str">
        <f t="shared" si="3"/>
        <v>USDFUT1MK7ConvAdj_Quote</v>
      </c>
      <c r="G48" s="261" t="str">
        <f>_xll.qlFuturesConvAdjustmentQuote($F48,IborIndex,$D48,$E48,Volatility,MeanReversion,Permanent,Trigger,ObjectOverwrite)</f>
        <v>USDFUT1MK7ConvAdj_Quote#0020</v>
      </c>
      <c r="H48" s="76" t="str">
        <f>_xll.ohRangeRetrieveError(G48)</f>
        <v/>
      </c>
    </row>
    <row r="49" spans="1:8" x14ac:dyDescent="0.2">
      <c r="A49" s="149"/>
      <c r="B49" s="148">
        <v>43</v>
      </c>
      <c r="C49" s="146" t="b">
        <v>0</v>
      </c>
      <c r="D49" s="146" t="str">
        <v>M7</v>
      </c>
      <c r="E49" s="261" t="str">
        <f t="shared" si="2"/>
        <v>USDFUT1MM7_Quote</v>
      </c>
      <c r="F49" s="262" t="str">
        <f t="shared" si="3"/>
        <v>USDFUT1MM7ConvAdj_Quote</v>
      </c>
      <c r="G49" s="261" t="str">
        <f>_xll.qlFuturesConvAdjustmentQuote($F49,IborIndex,$D49,$E49,Volatility,MeanReversion,Permanent,Trigger,ObjectOverwrite)</f>
        <v>USDFUT1MM7ConvAdj_Quote#0020</v>
      </c>
      <c r="H49" s="76" t="str">
        <f>_xll.ohRangeRetrieveError(G49)</f>
        <v/>
      </c>
    </row>
    <row r="50" spans="1:8" x14ac:dyDescent="0.2">
      <c r="A50" s="149"/>
      <c r="B50" s="148">
        <v>44</v>
      </c>
      <c r="C50" s="146" t="b">
        <v>0</v>
      </c>
      <c r="D50" s="146" t="str">
        <v>N7</v>
      </c>
      <c r="E50" s="261" t="str">
        <f t="shared" si="2"/>
        <v>USDFUT1MN7_Quote</v>
      </c>
      <c r="F50" s="262" t="str">
        <f t="shared" si="3"/>
        <v>USDFUT1MN7ConvAdj_Quote</v>
      </c>
      <c r="G50" s="261" t="str">
        <f>_xll.qlFuturesConvAdjustmentQuote($F50,IborIndex,$D50,$E50,Volatility,MeanReversion,Permanent,Trigger,ObjectOverwrite)</f>
        <v>USDFUT1MN7ConvAdj_Quote#0020</v>
      </c>
      <c r="H50" s="76" t="str">
        <f>_xll.ohRangeRetrieveError(G50)</f>
        <v/>
      </c>
    </row>
    <row r="51" spans="1:8" x14ac:dyDescent="0.2">
      <c r="A51" s="149"/>
      <c r="B51" s="148">
        <v>45</v>
      </c>
      <c r="C51" s="146" t="b">
        <v>0</v>
      </c>
      <c r="D51" s="146" t="str">
        <v>Q7</v>
      </c>
      <c r="E51" s="261" t="str">
        <f t="shared" si="2"/>
        <v>USDFUT1MQ7_Quote</v>
      </c>
      <c r="F51" s="262" t="str">
        <f t="shared" si="3"/>
        <v>USDFUT1MQ7ConvAdj_Quote</v>
      </c>
      <c r="G51" s="261" t="str">
        <f>_xll.qlFuturesConvAdjustmentQuote($F51,IborIndex,$D51,$E51,Volatility,MeanReversion,Permanent,Trigger,ObjectOverwrite)</f>
        <v>USDFUT1MQ7ConvAdj_Quote#0020</v>
      </c>
      <c r="H51" s="76" t="str">
        <f>_xll.ohRangeRetrieveError(G51)</f>
        <v/>
      </c>
    </row>
    <row r="52" spans="1:8" x14ac:dyDescent="0.2">
      <c r="A52" s="149"/>
      <c r="B52" s="148">
        <v>46</v>
      </c>
      <c r="C52" s="146" t="b">
        <v>0</v>
      </c>
      <c r="D52" s="146" t="str">
        <v>U7</v>
      </c>
      <c r="E52" s="261" t="str">
        <f t="shared" si="2"/>
        <v>USDFUT1MU7_Quote</v>
      </c>
      <c r="F52" s="262" t="str">
        <f t="shared" si="3"/>
        <v>USDFUT1MU7ConvAdj_Quote</v>
      </c>
      <c r="G52" s="261" t="str">
        <f>_xll.qlFuturesConvAdjustmentQuote($F52,IborIndex,$D52,$E52,Volatility,MeanReversion,Permanent,Trigger,ObjectOverwrite)</f>
        <v>USDFUT1MU7ConvAdj_Quote#0020</v>
      </c>
      <c r="H52" s="76" t="str">
        <f>_xll.ohRangeRetrieveError(G52)</f>
        <v/>
      </c>
    </row>
    <row r="53" spans="1:8" x14ac:dyDescent="0.2">
      <c r="A53" s="149"/>
      <c r="B53" s="148">
        <v>47</v>
      </c>
      <c r="C53" s="146" t="b">
        <v>0</v>
      </c>
      <c r="D53" s="146" t="str">
        <v>V7</v>
      </c>
      <c r="E53" s="261" t="str">
        <f t="shared" si="2"/>
        <v>USDFUT1MV7_Quote</v>
      </c>
      <c r="F53" s="262" t="str">
        <f t="shared" si="3"/>
        <v>USDFUT1MV7ConvAdj_Quote</v>
      </c>
      <c r="G53" s="261" t="str">
        <f>_xll.qlFuturesConvAdjustmentQuote($F53,IborIndex,$D53,$E53,Volatility,MeanReversion,Permanent,Trigger,ObjectOverwrite)</f>
        <v>USDFUT1MV7ConvAdj_Quote#0020</v>
      </c>
      <c r="H53" s="76" t="str">
        <f>_xll.ohRangeRetrieveError(G53)</f>
        <v/>
      </c>
    </row>
    <row r="54" spans="1:8" x14ac:dyDescent="0.2">
      <c r="A54" s="149"/>
      <c r="B54" s="148">
        <v>48</v>
      </c>
      <c r="C54" s="146" t="b">
        <v>0</v>
      </c>
      <c r="D54" s="146" t="str">
        <v>X7</v>
      </c>
      <c r="E54" s="261" t="str">
        <f t="shared" si="2"/>
        <v>USDFUT1MX7_Quote</v>
      </c>
      <c r="F54" s="262" t="str">
        <f t="shared" si="3"/>
        <v>USDFUT1MX7ConvAdj_Quote</v>
      </c>
      <c r="G54" s="261" t="str">
        <f>_xll.qlFuturesConvAdjustmentQuote($F54,IborIndex,$D54,$E54,Volatility,MeanReversion,Permanent,Trigger,ObjectOverwrite)</f>
        <v>USDFUT1MX7ConvAdj_Quote#0020</v>
      </c>
      <c r="H54" s="76" t="str">
        <f>_xll.ohRangeRetrieveError(G54)</f>
        <v/>
      </c>
    </row>
    <row r="55" spans="1:8" x14ac:dyDescent="0.2">
      <c r="A55" s="149"/>
      <c r="B55" s="148">
        <v>49</v>
      </c>
      <c r="C55" s="146" t="b">
        <v>0</v>
      </c>
      <c r="D55" s="146" t="str">
        <v>Z7</v>
      </c>
      <c r="E55" s="261" t="str">
        <f t="shared" si="2"/>
        <v>USDFUT1MZ7_Quote</v>
      </c>
      <c r="F55" s="262" t="str">
        <f t="shared" si="3"/>
        <v>USDFUT1MZ7ConvAdj_Quote</v>
      </c>
      <c r="G55" s="261" t="str">
        <f>_xll.qlFuturesConvAdjustmentQuote($F55,IborIndex,$D55,$E55,Volatility,MeanReversion,Permanent,Trigger,ObjectOverwrite)</f>
        <v>USDFUT1MZ7ConvAdj_Quote#0020</v>
      </c>
      <c r="H55" s="76" t="str">
        <f>_xll.ohRangeRetrieveError(G55)</f>
        <v/>
      </c>
    </row>
    <row r="56" spans="1:8" x14ac:dyDescent="0.2">
      <c r="A56" s="149"/>
      <c r="B56" s="148">
        <v>50</v>
      </c>
      <c r="C56" s="146" t="b">
        <v>0</v>
      </c>
      <c r="D56" s="146" t="str">
        <v>F8</v>
      </c>
      <c r="E56" s="261" t="str">
        <f t="shared" si="2"/>
        <v>USDFUT1MF8_Quote</v>
      </c>
      <c r="F56" s="262" t="str">
        <f t="shared" si="3"/>
        <v>USDFUT1MF8ConvAdj_Quote</v>
      </c>
      <c r="G56" s="261" t="str">
        <f>_xll.qlFuturesConvAdjustmentQuote($F56,IborIndex,$D56,$E56,Volatility,MeanReversion,Permanent,Trigger,ObjectOverwrite)</f>
        <v>USDFUT1MF8ConvAdj_Quote#0020</v>
      </c>
      <c r="H56" s="76" t="str">
        <f>_xll.ohRangeRetrieveError(G56)</f>
        <v/>
      </c>
    </row>
    <row r="57" spans="1:8" x14ac:dyDescent="0.2">
      <c r="A57" s="149"/>
      <c r="B57" s="148">
        <v>51</v>
      </c>
      <c r="C57" s="146" t="b">
        <v>0</v>
      </c>
      <c r="D57" s="146" t="str">
        <v>G8</v>
      </c>
      <c r="E57" s="261" t="str">
        <f t="shared" si="2"/>
        <v>USDFUT1MG8_Quote</v>
      </c>
      <c r="F57" s="262" t="str">
        <f t="shared" si="3"/>
        <v>USDFUT1MG8ConvAdj_Quote</v>
      </c>
      <c r="G57" s="261" t="str">
        <f>_xll.qlFuturesConvAdjustmentQuote($F57,IborIndex,$D57,$E57,Volatility,MeanReversion,Permanent,Trigger,ObjectOverwrite)</f>
        <v>USDFUT1MG8ConvAdj_Quote#0020</v>
      </c>
      <c r="H57" s="76" t="str">
        <f>_xll.ohRangeRetrieveError(G57)</f>
        <v/>
      </c>
    </row>
    <row r="58" spans="1:8" x14ac:dyDescent="0.2">
      <c r="A58" s="149"/>
      <c r="B58" s="148">
        <v>52</v>
      </c>
      <c r="C58" s="146" t="b">
        <v>0</v>
      </c>
      <c r="D58" s="146" t="str">
        <v>H8</v>
      </c>
      <c r="E58" s="261" t="str">
        <f t="shared" si="2"/>
        <v>USDFUT1MH8_Quote</v>
      </c>
      <c r="F58" s="262" t="str">
        <f t="shared" si="3"/>
        <v>USDFUT1MH8ConvAdj_Quote</v>
      </c>
      <c r="G58" s="261" t="str">
        <f>_xll.qlFuturesConvAdjustmentQuote($F58,IborIndex,$D58,$E58,Volatility,MeanReversion,Permanent,Trigger,ObjectOverwrite)</f>
        <v>USDFUT1MH8ConvAdj_Quote#0020</v>
      </c>
      <c r="H58" s="76" t="str">
        <f>_xll.ohRangeRetrieveError(G58)</f>
        <v/>
      </c>
    </row>
    <row r="59" spans="1:8" x14ac:dyDescent="0.2">
      <c r="A59" s="149"/>
      <c r="B59" s="148">
        <v>53</v>
      </c>
      <c r="C59" s="146" t="b">
        <v>0</v>
      </c>
      <c r="D59" s="146" t="str">
        <v>J8</v>
      </c>
      <c r="E59" s="261" t="str">
        <f t="shared" si="2"/>
        <v>USDFUT1MJ8_Quote</v>
      </c>
      <c r="F59" s="262" t="str">
        <f t="shared" si="3"/>
        <v>USDFUT1MJ8ConvAdj_Quote</v>
      </c>
      <c r="G59" s="261" t="str">
        <f>_xll.qlFuturesConvAdjustmentQuote($F59,IborIndex,$D59,$E59,Volatility,MeanReversion,Permanent,Trigger,ObjectOverwrite)</f>
        <v>USDFUT1MJ8ConvAdj_Quote#0020</v>
      </c>
      <c r="H59" s="76" t="str">
        <f>_xll.ohRangeRetrieveError(G59)</f>
        <v/>
      </c>
    </row>
    <row r="60" spans="1:8" x14ac:dyDescent="0.2">
      <c r="A60" s="149"/>
      <c r="B60" s="148">
        <v>54</v>
      </c>
      <c r="C60" s="146" t="b">
        <v>0</v>
      </c>
      <c r="D60" s="146" t="str">
        <v>K8</v>
      </c>
      <c r="E60" s="261" t="str">
        <f t="shared" si="2"/>
        <v>USDFUT1MK8_Quote</v>
      </c>
      <c r="F60" s="262" t="str">
        <f t="shared" si="3"/>
        <v>USDFUT1MK8ConvAdj_Quote</v>
      </c>
      <c r="G60" s="261" t="str">
        <f>_xll.qlFuturesConvAdjustmentQuote($F60,IborIndex,$D60,$E60,Volatility,MeanReversion,Permanent,Trigger,ObjectOverwrite)</f>
        <v>USDFUT1MK8ConvAdj_Quote#0020</v>
      </c>
      <c r="H60" s="76" t="str">
        <f>_xll.ohRangeRetrieveError(G60)</f>
        <v/>
      </c>
    </row>
    <row r="61" spans="1:8" x14ac:dyDescent="0.2">
      <c r="A61" s="149"/>
      <c r="B61" s="148">
        <v>55</v>
      </c>
      <c r="C61" s="146" t="b">
        <v>0</v>
      </c>
      <c r="D61" s="146" t="str">
        <v>M8</v>
      </c>
      <c r="E61" s="261" t="str">
        <f t="shared" si="2"/>
        <v>USDFUT1MM8_Quote</v>
      </c>
      <c r="F61" s="262" t="str">
        <f t="shared" si="3"/>
        <v>USDFUT1MM8ConvAdj_Quote</v>
      </c>
      <c r="G61" s="261" t="str">
        <f>_xll.qlFuturesConvAdjustmentQuote($F61,IborIndex,$D61,$E61,Volatility,MeanReversion,Permanent,Trigger,ObjectOverwrite)</f>
        <v>USDFUT1MM8ConvAdj_Quote#0020</v>
      </c>
      <c r="H61" s="76" t="str">
        <f>_xll.ohRangeRetrieveError(G61)</f>
        <v/>
      </c>
    </row>
    <row r="62" spans="1:8" x14ac:dyDescent="0.2">
      <c r="A62" s="149"/>
      <c r="B62" s="148">
        <v>56</v>
      </c>
      <c r="C62" s="146" t="b">
        <v>0</v>
      </c>
      <c r="D62" s="146" t="str">
        <v>N8</v>
      </c>
      <c r="E62" s="261" t="str">
        <f t="shared" si="2"/>
        <v>USDFUT1MN8_Quote</v>
      </c>
      <c r="F62" s="262" t="str">
        <f t="shared" si="3"/>
        <v>USDFUT1MN8ConvAdj_Quote</v>
      </c>
      <c r="G62" s="261" t="str">
        <f>_xll.qlFuturesConvAdjustmentQuote($F62,IborIndex,$D62,$E62,Volatility,MeanReversion,Permanent,Trigger,ObjectOverwrite)</f>
        <v>USDFUT1MN8ConvAdj_Quote#0020</v>
      </c>
      <c r="H62" s="76" t="str">
        <f>_xll.ohRangeRetrieveError(G62)</f>
        <v/>
      </c>
    </row>
    <row r="63" spans="1:8" x14ac:dyDescent="0.2">
      <c r="A63" s="149"/>
      <c r="B63" s="148">
        <v>57</v>
      </c>
      <c r="C63" s="146" t="b">
        <v>0</v>
      </c>
      <c r="D63" s="146" t="str">
        <v>Q8</v>
      </c>
      <c r="E63" s="261" t="str">
        <f t="shared" si="2"/>
        <v>USDFUT1MQ8_Quote</v>
      </c>
      <c r="F63" s="262" t="str">
        <f t="shared" si="3"/>
        <v>USDFUT1MQ8ConvAdj_Quote</v>
      </c>
      <c r="G63" s="261" t="str">
        <f>_xll.qlFuturesConvAdjustmentQuote($F63,IborIndex,$D63,$E63,Volatility,MeanReversion,Permanent,Trigger,ObjectOverwrite)</f>
        <v>USDFUT1MQ8ConvAdj_Quote#0020</v>
      </c>
      <c r="H63" s="76" t="str">
        <f>_xll.ohRangeRetrieveError(G63)</f>
        <v/>
      </c>
    </row>
    <row r="64" spans="1:8" x14ac:dyDescent="0.2">
      <c r="A64" s="149"/>
      <c r="B64" s="148">
        <v>58</v>
      </c>
      <c r="C64" s="146" t="b">
        <v>0</v>
      </c>
      <c r="D64" s="146" t="str">
        <v>U8</v>
      </c>
      <c r="E64" s="261" t="str">
        <f t="shared" si="2"/>
        <v>USDFUT1MU8_Quote</v>
      </c>
      <c r="F64" s="262" t="str">
        <f t="shared" si="3"/>
        <v>USDFUT1MU8ConvAdj_Quote</v>
      </c>
      <c r="G64" s="261" t="str">
        <f>_xll.qlFuturesConvAdjustmentQuote($F64,IborIndex,$D64,$E64,Volatility,MeanReversion,Permanent,Trigger,ObjectOverwrite)</f>
        <v>USDFUT1MU8ConvAdj_Quote#0020</v>
      </c>
      <c r="H64" s="76" t="str">
        <f>_xll.ohRangeRetrieveError(G64)</f>
        <v/>
      </c>
    </row>
    <row r="65" spans="1:8" x14ac:dyDescent="0.2">
      <c r="A65" s="149"/>
      <c r="B65" s="148">
        <v>59</v>
      </c>
      <c r="C65" s="146" t="b">
        <v>0</v>
      </c>
      <c r="D65" s="146" t="str">
        <v>V8</v>
      </c>
      <c r="E65" s="261" t="str">
        <f t="shared" si="2"/>
        <v>USDFUT1MV8_Quote</v>
      </c>
      <c r="F65" s="262" t="str">
        <f t="shared" si="3"/>
        <v>USDFUT1MV8ConvAdj_Quote</v>
      </c>
      <c r="G65" s="261" t="str">
        <f>_xll.qlFuturesConvAdjustmentQuote($F65,IborIndex,$D65,$E65,Volatility,MeanReversion,Permanent,Trigger,ObjectOverwrite)</f>
        <v>USDFUT1MV8ConvAdj_Quote#0020</v>
      </c>
      <c r="H65" s="76" t="str">
        <f>_xll.ohRangeRetrieveError(G65)</f>
        <v/>
      </c>
    </row>
    <row r="66" spans="1:8" x14ac:dyDescent="0.2">
      <c r="A66" s="149"/>
      <c r="B66" s="148">
        <v>60</v>
      </c>
      <c r="C66" s="146" t="b">
        <v>0</v>
      </c>
      <c r="D66" s="146" t="str">
        <v>X8</v>
      </c>
      <c r="E66" s="261" t="str">
        <f t="shared" si="2"/>
        <v>USDFUT1MX8_Quote</v>
      </c>
      <c r="F66" s="262" t="str">
        <f t="shared" si="3"/>
        <v>USDFUT1MX8ConvAdj_Quote</v>
      </c>
      <c r="G66" s="261" t="str">
        <f>_xll.qlFuturesConvAdjustmentQuote($F66,IborIndex,$D66,$E66,Volatility,MeanReversion,Permanent,Trigger,ObjectOverwrite)</f>
        <v>USDFUT1MX8ConvAdj_Quote#0020</v>
      </c>
      <c r="H66" s="76" t="str">
        <f>_xll.ohRangeRetrieveError(G66)</f>
        <v/>
      </c>
    </row>
    <row r="67" spans="1:8" x14ac:dyDescent="0.2">
      <c r="A67" s="149"/>
      <c r="B67" s="148">
        <v>61</v>
      </c>
      <c r="C67" s="146" t="b">
        <v>0</v>
      </c>
      <c r="D67" s="146" t="str">
        <v>Z8</v>
      </c>
      <c r="E67" s="261" t="str">
        <f t="shared" si="2"/>
        <v>USDFUT1MZ8_Quote</v>
      </c>
      <c r="F67" s="262" t="str">
        <f t="shared" si="3"/>
        <v>USDFUT1MZ8ConvAdj_Quote</v>
      </c>
      <c r="G67" s="261" t="str">
        <f>_xll.qlFuturesConvAdjustmentQuote($F67,IborIndex,$D67,$E67,Volatility,MeanReversion,Permanent,Trigger,ObjectOverwrite)</f>
        <v>USDFUT1MZ8ConvAdj_Quote#0020</v>
      </c>
      <c r="H67" s="76" t="str">
        <f>_xll.ohRangeRetrieveError(G67)</f>
        <v/>
      </c>
    </row>
    <row r="68" spans="1:8" x14ac:dyDescent="0.2">
      <c r="A68" s="149"/>
      <c r="B68" s="148">
        <v>62</v>
      </c>
      <c r="C68" s="146" t="b">
        <v>0</v>
      </c>
      <c r="D68" s="146" t="str">
        <v>F9</v>
      </c>
      <c r="E68" s="261" t="str">
        <f t="shared" si="2"/>
        <v>USDFUT1MF9_Quote</v>
      </c>
      <c r="F68" s="262" t="str">
        <f t="shared" si="3"/>
        <v>USDFUT1MF9ConvAdj_Quote</v>
      </c>
      <c r="G68" s="261" t="str">
        <f>_xll.qlFuturesConvAdjustmentQuote($F68,IborIndex,$D68,$E68,Volatility,MeanReversion,Permanent,Trigger,ObjectOverwrite)</f>
        <v>USDFUT1MF9ConvAdj_Quote#0020</v>
      </c>
      <c r="H68" s="76" t="str">
        <f>_xll.ohRangeRetrieveError(G68)</f>
        <v/>
      </c>
    </row>
    <row r="69" spans="1:8" x14ac:dyDescent="0.2">
      <c r="A69" s="149"/>
      <c r="B69" s="148">
        <v>63</v>
      </c>
      <c r="C69" s="146" t="b">
        <v>0</v>
      </c>
      <c r="D69" s="146" t="str">
        <v>G9</v>
      </c>
      <c r="E69" s="261" t="str">
        <f t="shared" si="2"/>
        <v>USDFUT1MG9_Quote</v>
      </c>
      <c r="F69" s="262" t="str">
        <f t="shared" si="3"/>
        <v>USDFUT1MG9ConvAdj_Quote</v>
      </c>
      <c r="G69" s="261" t="str">
        <f>_xll.qlFuturesConvAdjustmentQuote($F69,IborIndex,$D69,$E69,Volatility,MeanReversion,Permanent,Trigger,ObjectOverwrite)</f>
        <v>USDFUT1MG9ConvAdj_Quote#0020</v>
      </c>
      <c r="H69" s="76" t="str">
        <f>_xll.ohRangeRetrieveError(G69)</f>
        <v/>
      </c>
    </row>
    <row r="70" spans="1:8" x14ac:dyDescent="0.2">
      <c r="A70" s="149"/>
      <c r="B70" s="148">
        <v>64</v>
      </c>
      <c r="C70" s="146" t="b">
        <v>0</v>
      </c>
      <c r="D70" s="146" t="str">
        <v>H9</v>
      </c>
      <c r="E70" s="261" t="str">
        <f t="shared" si="2"/>
        <v>USDFUT1MH9_Quote</v>
      </c>
      <c r="F70" s="262" t="str">
        <f t="shared" si="3"/>
        <v>USDFUT1MH9ConvAdj_Quote</v>
      </c>
      <c r="G70" s="261" t="str">
        <f>_xll.qlFuturesConvAdjustmentQuote($F70,IborIndex,$D70,$E70,Volatility,MeanReversion,Permanent,Trigger,ObjectOverwrite)</f>
        <v>USDFUT1MH9ConvAdj_Quote#0020</v>
      </c>
      <c r="H70" s="76" t="str">
        <f>_xll.ohRangeRetrieveError(G70)</f>
        <v/>
      </c>
    </row>
    <row r="71" spans="1:8" x14ac:dyDescent="0.2">
      <c r="A71" s="149"/>
      <c r="B71" s="148">
        <v>65</v>
      </c>
      <c r="C71" s="146" t="b">
        <v>0</v>
      </c>
      <c r="D71" s="146" t="str">
        <v>J9</v>
      </c>
      <c r="E71" s="261" t="str">
        <f t="shared" ref="E71:E102" si="4">Currency&amp;"FUT"&amp;$G$4&amp;$D71&amp;QuoteSuffix</f>
        <v>USDFUT1MJ9_Quote</v>
      </c>
      <c r="F71" s="262" t="str">
        <f t="shared" ref="F71:F102" si="5">Currency&amp;"FUT"&amp;$G$4&amp;$D71&amp;"ConvAdj"&amp;QuoteSuffix</f>
        <v>USDFUT1MJ9ConvAdj_Quote</v>
      </c>
      <c r="G71" s="261" t="str">
        <f>_xll.qlFuturesConvAdjustmentQuote($F71,IborIndex,$D71,$E71,Volatility,MeanReversion,Permanent,Trigger,ObjectOverwrite)</f>
        <v>USDFUT1MJ9ConvAdj_Quote#0020</v>
      </c>
      <c r="H71" s="76" t="str">
        <f>_xll.ohRangeRetrieveError(G71)</f>
        <v/>
      </c>
    </row>
    <row r="72" spans="1:8" x14ac:dyDescent="0.2">
      <c r="A72" s="149"/>
      <c r="B72" s="148">
        <v>66</v>
      </c>
      <c r="C72" s="146" t="b">
        <v>0</v>
      </c>
      <c r="D72" s="146" t="str">
        <v>K9</v>
      </c>
      <c r="E72" s="261" t="str">
        <f t="shared" si="4"/>
        <v>USDFUT1MK9_Quote</v>
      </c>
      <c r="F72" s="262" t="str">
        <f t="shared" si="5"/>
        <v>USDFUT1MK9ConvAdj_Quote</v>
      </c>
      <c r="G72" s="261" t="str">
        <f>_xll.qlFuturesConvAdjustmentQuote($F72,IborIndex,$D72,$E72,Volatility,MeanReversion,Permanent,Trigger,ObjectOverwrite)</f>
        <v>USDFUT1MK9ConvAdj_Quote#0020</v>
      </c>
      <c r="H72" s="76" t="str">
        <f>_xll.ohRangeRetrieveError(G72)</f>
        <v/>
      </c>
    </row>
    <row r="73" spans="1:8" x14ac:dyDescent="0.2">
      <c r="A73" s="149"/>
      <c r="B73" s="148">
        <v>67</v>
      </c>
      <c r="C73" s="146" t="b">
        <v>0</v>
      </c>
      <c r="D73" s="146" t="str">
        <v>M9</v>
      </c>
      <c r="E73" s="261" t="str">
        <f t="shared" si="4"/>
        <v>USDFUT1MM9_Quote</v>
      </c>
      <c r="F73" s="262" t="str">
        <f t="shared" si="5"/>
        <v>USDFUT1MM9ConvAdj_Quote</v>
      </c>
      <c r="G73" s="261" t="str">
        <f>_xll.qlFuturesConvAdjustmentQuote($F73,IborIndex,$D73,$E73,Volatility,MeanReversion,Permanent,Trigger,ObjectOverwrite)</f>
        <v>USDFUT1MM9ConvAdj_Quote#0020</v>
      </c>
      <c r="H73" s="76" t="str">
        <f>_xll.ohRangeRetrieveError(G73)</f>
        <v/>
      </c>
    </row>
    <row r="74" spans="1:8" x14ac:dyDescent="0.2">
      <c r="A74" s="149"/>
      <c r="B74" s="148">
        <v>68</v>
      </c>
      <c r="C74" s="146" t="b">
        <v>0</v>
      </c>
      <c r="D74" s="146" t="str">
        <v>N9</v>
      </c>
      <c r="E74" s="261" t="str">
        <f t="shared" si="4"/>
        <v>USDFUT1MN9_Quote</v>
      </c>
      <c r="F74" s="262" t="str">
        <f t="shared" si="5"/>
        <v>USDFUT1MN9ConvAdj_Quote</v>
      </c>
      <c r="G74" s="261" t="str">
        <f>_xll.qlFuturesConvAdjustmentQuote($F74,IborIndex,$D74,$E74,Volatility,MeanReversion,Permanent,Trigger,ObjectOverwrite)</f>
        <v>USDFUT1MN9ConvAdj_Quote#0020</v>
      </c>
      <c r="H74" s="76" t="str">
        <f>_xll.ohRangeRetrieveError(G74)</f>
        <v/>
      </c>
    </row>
    <row r="75" spans="1:8" x14ac:dyDescent="0.2">
      <c r="A75" s="149"/>
      <c r="B75" s="148">
        <v>69</v>
      </c>
      <c r="C75" s="146" t="b">
        <v>0</v>
      </c>
      <c r="D75" s="146" t="str">
        <v>Q9</v>
      </c>
      <c r="E75" s="261" t="str">
        <f t="shared" si="4"/>
        <v>USDFUT1MQ9_Quote</v>
      </c>
      <c r="F75" s="262" t="str">
        <f t="shared" si="5"/>
        <v>USDFUT1MQ9ConvAdj_Quote</v>
      </c>
      <c r="G75" s="261" t="str">
        <f>_xll.qlFuturesConvAdjustmentQuote($F75,IborIndex,$D75,$E75,Volatility,MeanReversion,Permanent,Trigger,ObjectOverwrite)</f>
        <v>USDFUT1MQ9ConvAdj_Quote#0020</v>
      </c>
      <c r="H75" s="76" t="str">
        <f>_xll.ohRangeRetrieveError(G75)</f>
        <v/>
      </c>
    </row>
    <row r="76" spans="1:8" x14ac:dyDescent="0.2">
      <c r="A76" s="149"/>
      <c r="B76" s="148">
        <v>70</v>
      </c>
      <c r="C76" s="146" t="b">
        <v>0</v>
      </c>
      <c r="D76" s="146" t="str">
        <v>U9</v>
      </c>
      <c r="E76" s="261" t="str">
        <f t="shared" si="4"/>
        <v>USDFUT1MU9_Quote</v>
      </c>
      <c r="F76" s="262" t="str">
        <f t="shared" si="5"/>
        <v>USDFUT1MU9ConvAdj_Quote</v>
      </c>
      <c r="G76" s="261" t="str">
        <f>_xll.qlFuturesConvAdjustmentQuote($F76,IborIndex,$D76,$E76,Volatility,MeanReversion,Permanent,Trigger,ObjectOverwrite)</f>
        <v>USDFUT1MU9ConvAdj_Quote#0020</v>
      </c>
      <c r="H76" s="76" t="str">
        <f>_xll.ohRangeRetrieveError(G76)</f>
        <v/>
      </c>
    </row>
    <row r="77" spans="1:8" x14ac:dyDescent="0.2">
      <c r="A77" s="149"/>
      <c r="B77" s="148">
        <v>71</v>
      </c>
      <c r="C77" s="146" t="b">
        <v>0</v>
      </c>
      <c r="D77" s="146" t="str">
        <v>V9</v>
      </c>
      <c r="E77" s="261" t="str">
        <f t="shared" si="4"/>
        <v>USDFUT1MV9_Quote</v>
      </c>
      <c r="F77" s="262" t="str">
        <f t="shared" si="5"/>
        <v>USDFUT1MV9ConvAdj_Quote</v>
      </c>
      <c r="G77" s="261" t="str">
        <f>_xll.qlFuturesConvAdjustmentQuote($F77,IborIndex,$D77,$E77,Volatility,MeanReversion,Permanent,Trigger,ObjectOverwrite)</f>
        <v>USDFUT1MV9ConvAdj_Quote#0020</v>
      </c>
      <c r="H77" s="76" t="str">
        <f>_xll.ohRangeRetrieveError(G77)</f>
        <v/>
      </c>
    </row>
    <row r="78" spans="1:8" x14ac:dyDescent="0.2">
      <c r="A78" s="149"/>
      <c r="B78" s="148">
        <v>72</v>
      </c>
      <c r="C78" s="146" t="b">
        <v>0</v>
      </c>
      <c r="D78" s="146" t="str">
        <v>X9</v>
      </c>
      <c r="E78" s="261" t="str">
        <f t="shared" si="4"/>
        <v>USDFUT1MX9_Quote</v>
      </c>
      <c r="F78" s="262" t="str">
        <f t="shared" si="5"/>
        <v>USDFUT1MX9ConvAdj_Quote</v>
      </c>
      <c r="G78" s="261" t="str">
        <f>_xll.qlFuturesConvAdjustmentQuote($F78,IborIndex,$D78,$E78,Volatility,MeanReversion,Permanent,Trigger,ObjectOverwrite)</f>
        <v>USDFUT1MX9ConvAdj_Quote#0020</v>
      </c>
      <c r="H78" s="76" t="str">
        <f>_xll.ohRangeRetrieveError(G78)</f>
        <v/>
      </c>
    </row>
    <row r="79" spans="1:8" x14ac:dyDescent="0.2">
      <c r="A79" s="149"/>
      <c r="B79" s="148">
        <v>73</v>
      </c>
      <c r="C79" s="146" t="b">
        <v>0</v>
      </c>
      <c r="D79" s="146" t="str">
        <v>Z9</v>
      </c>
      <c r="E79" s="261" t="str">
        <f t="shared" si="4"/>
        <v>USDFUT1MZ9_Quote</v>
      </c>
      <c r="F79" s="262" t="str">
        <f t="shared" si="5"/>
        <v>USDFUT1MZ9ConvAdj_Quote</v>
      </c>
      <c r="G79" s="261" t="str">
        <f>_xll.qlFuturesConvAdjustmentQuote($F79,IborIndex,$D79,$E79,Volatility,MeanReversion,Permanent,Trigger,ObjectOverwrite)</f>
        <v>USDFUT1MZ9ConvAdj_Quote#0020</v>
      </c>
      <c r="H79" s="76" t="str">
        <f>_xll.ohRangeRetrieveError(G79)</f>
        <v/>
      </c>
    </row>
    <row r="80" spans="1:8" x14ac:dyDescent="0.2">
      <c r="A80" s="149"/>
      <c r="B80" s="148">
        <v>74</v>
      </c>
      <c r="C80" s="146" t="b">
        <v>0</v>
      </c>
      <c r="D80" s="146" t="str">
        <v>F0</v>
      </c>
      <c r="E80" s="261" t="str">
        <f t="shared" si="4"/>
        <v>USDFUT1MF0_Quote</v>
      </c>
      <c r="F80" s="262" t="str">
        <f t="shared" si="5"/>
        <v>USDFUT1MF0ConvAdj_Quote</v>
      </c>
      <c r="G80" s="261" t="str">
        <f>_xll.qlFuturesConvAdjustmentQuote($F80,IborIndex,$D80,$E80,Volatility,MeanReversion,Permanent,Trigger,ObjectOverwrite)</f>
        <v>USDFUT1MF0ConvAdj_Quote#0020</v>
      </c>
      <c r="H80" s="76" t="str">
        <f>_xll.ohRangeRetrieveError(G80)</f>
        <v/>
      </c>
    </row>
    <row r="81" spans="1:8" x14ac:dyDescent="0.2">
      <c r="A81" s="149"/>
      <c r="B81" s="148">
        <v>75</v>
      </c>
      <c r="C81" s="146" t="b">
        <v>0</v>
      </c>
      <c r="D81" s="146" t="str">
        <v>G0</v>
      </c>
      <c r="E81" s="261" t="str">
        <f t="shared" si="4"/>
        <v>USDFUT1MG0_Quote</v>
      </c>
      <c r="F81" s="262" t="str">
        <f t="shared" si="5"/>
        <v>USDFUT1MG0ConvAdj_Quote</v>
      </c>
      <c r="G81" s="261" t="str">
        <f>_xll.qlFuturesConvAdjustmentQuote($F81,IborIndex,$D81,$E81,Volatility,MeanReversion,Permanent,Trigger,ObjectOverwrite)</f>
        <v>USDFUT1MG0ConvAdj_Quote#0020</v>
      </c>
      <c r="H81" s="76" t="str">
        <f>_xll.ohRangeRetrieveError(G81)</f>
        <v/>
      </c>
    </row>
    <row r="82" spans="1:8" x14ac:dyDescent="0.2">
      <c r="A82" s="149"/>
      <c r="B82" s="148">
        <v>76</v>
      </c>
      <c r="C82" s="146" t="b">
        <v>0</v>
      </c>
      <c r="D82" s="146" t="str">
        <v>H0</v>
      </c>
      <c r="E82" s="261" t="str">
        <f t="shared" si="4"/>
        <v>USDFUT1MH0_Quote</v>
      </c>
      <c r="F82" s="262" t="str">
        <f t="shared" si="5"/>
        <v>USDFUT1MH0ConvAdj_Quote</v>
      </c>
      <c r="G82" s="261" t="str">
        <f>_xll.qlFuturesConvAdjustmentQuote($F82,IborIndex,$D82,$E82,Volatility,MeanReversion,Permanent,Trigger,ObjectOverwrite)</f>
        <v>USDFUT1MH0ConvAdj_Quote#0020</v>
      </c>
      <c r="H82" s="76" t="str">
        <f>_xll.ohRangeRetrieveError(G82)</f>
        <v/>
      </c>
    </row>
    <row r="83" spans="1:8" x14ac:dyDescent="0.2">
      <c r="A83" s="149"/>
      <c r="B83" s="148">
        <v>77</v>
      </c>
      <c r="C83" s="146" t="b">
        <v>0</v>
      </c>
      <c r="D83" s="146" t="str">
        <v>J0</v>
      </c>
      <c r="E83" s="261" t="str">
        <f t="shared" si="4"/>
        <v>USDFUT1MJ0_Quote</v>
      </c>
      <c r="F83" s="262" t="str">
        <f t="shared" si="5"/>
        <v>USDFUT1MJ0ConvAdj_Quote</v>
      </c>
      <c r="G83" s="261" t="str">
        <f>_xll.qlFuturesConvAdjustmentQuote($F83,IborIndex,$D83,$E83,Volatility,MeanReversion,Permanent,Trigger,ObjectOverwrite)</f>
        <v>USDFUT1MJ0ConvAdj_Quote#0020</v>
      </c>
      <c r="H83" s="76" t="str">
        <f>_xll.ohRangeRetrieveError(G83)</f>
        <v/>
      </c>
    </row>
    <row r="84" spans="1:8" x14ac:dyDescent="0.2">
      <c r="A84" s="149"/>
      <c r="B84" s="148">
        <v>78</v>
      </c>
      <c r="C84" s="146" t="b">
        <v>0</v>
      </c>
      <c r="D84" s="146" t="str">
        <v>K0</v>
      </c>
      <c r="E84" s="261" t="str">
        <f t="shared" si="4"/>
        <v>USDFUT1MK0_Quote</v>
      </c>
      <c r="F84" s="262" t="str">
        <f t="shared" si="5"/>
        <v>USDFUT1MK0ConvAdj_Quote</v>
      </c>
      <c r="G84" s="261" t="str">
        <f>_xll.qlFuturesConvAdjustmentQuote($F84,IborIndex,$D84,$E84,Volatility,MeanReversion,Permanent,Trigger,ObjectOverwrite)</f>
        <v>USDFUT1MK0ConvAdj_Quote#0020</v>
      </c>
      <c r="H84" s="76" t="str">
        <f>_xll.ohRangeRetrieveError(G84)</f>
        <v/>
      </c>
    </row>
    <row r="85" spans="1:8" x14ac:dyDescent="0.2">
      <c r="A85" s="149"/>
      <c r="B85" s="148">
        <v>79</v>
      </c>
      <c r="C85" s="146" t="b">
        <v>0</v>
      </c>
      <c r="D85" s="146" t="str">
        <v>M0</v>
      </c>
      <c r="E85" s="261" t="str">
        <f t="shared" si="4"/>
        <v>USDFUT1MM0_Quote</v>
      </c>
      <c r="F85" s="262" t="str">
        <f t="shared" si="5"/>
        <v>USDFUT1MM0ConvAdj_Quote</v>
      </c>
      <c r="G85" s="261" t="str">
        <f>_xll.qlFuturesConvAdjustmentQuote($F85,IborIndex,$D85,$E85,Volatility,MeanReversion,Permanent,Trigger,ObjectOverwrite)</f>
        <v>USDFUT1MM0ConvAdj_Quote#0020</v>
      </c>
      <c r="H85" s="76" t="str">
        <f>_xll.ohRangeRetrieveError(G85)</f>
        <v/>
      </c>
    </row>
    <row r="86" spans="1:8" x14ac:dyDescent="0.2">
      <c r="A86" s="149"/>
      <c r="B86" s="148">
        <v>80</v>
      </c>
      <c r="C86" s="146" t="b">
        <v>0</v>
      </c>
      <c r="D86" s="146" t="str">
        <v>N0</v>
      </c>
      <c r="E86" s="261" t="str">
        <f t="shared" si="4"/>
        <v>USDFUT1MN0_Quote</v>
      </c>
      <c r="F86" s="262" t="str">
        <f t="shared" si="5"/>
        <v>USDFUT1MN0ConvAdj_Quote</v>
      </c>
      <c r="G86" s="261" t="str">
        <f>_xll.qlFuturesConvAdjustmentQuote($F86,IborIndex,$D86,$E86,Volatility,MeanReversion,Permanent,Trigger,ObjectOverwrite)</f>
        <v>USDFUT1MN0ConvAdj_Quote#0020</v>
      </c>
      <c r="H86" s="76" t="str">
        <f>_xll.ohRangeRetrieveError(G86)</f>
        <v/>
      </c>
    </row>
    <row r="87" spans="1:8" x14ac:dyDescent="0.2">
      <c r="A87" s="149"/>
      <c r="B87" s="148">
        <v>81</v>
      </c>
      <c r="C87" s="146" t="b">
        <v>0</v>
      </c>
      <c r="D87" s="146" t="str">
        <v>Q0</v>
      </c>
      <c r="E87" s="261" t="str">
        <f t="shared" si="4"/>
        <v>USDFUT1MQ0_Quote</v>
      </c>
      <c r="F87" s="262" t="str">
        <f t="shared" si="5"/>
        <v>USDFUT1MQ0ConvAdj_Quote</v>
      </c>
      <c r="G87" s="261" t="str">
        <f>_xll.qlFuturesConvAdjustmentQuote($F87,IborIndex,$D87,$E87,Volatility,MeanReversion,Permanent,Trigger,ObjectOverwrite)</f>
        <v>USDFUT1MQ0ConvAdj_Quote#0020</v>
      </c>
      <c r="H87" s="76" t="str">
        <f>_xll.ohRangeRetrieveError(G87)</f>
        <v/>
      </c>
    </row>
    <row r="88" spans="1:8" x14ac:dyDescent="0.2">
      <c r="A88" s="149"/>
      <c r="B88" s="148">
        <v>82</v>
      </c>
      <c r="C88" s="146" t="b">
        <v>0</v>
      </c>
      <c r="D88" s="146" t="str">
        <v>U0</v>
      </c>
      <c r="E88" s="261" t="str">
        <f t="shared" si="4"/>
        <v>USDFUT1MU0_Quote</v>
      </c>
      <c r="F88" s="262" t="str">
        <f t="shared" si="5"/>
        <v>USDFUT1MU0ConvAdj_Quote</v>
      </c>
      <c r="G88" s="261" t="str">
        <f>_xll.qlFuturesConvAdjustmentQuote($F88,IborIndex,$D88,$E88,Volatility,MeanReversion,Permanent,Trigger,ObjectOverwrite)</f>
        <v>USDFUT1MU0ConvAdj_Quote#0020</v>
      </c>
      <c r="H88" s="76" t="str">
        <f>_xll.ohRangeRetrieveError(G88)</f>
        <v/>
      </c>
    </row>
    <row r="89" spans="1:8" x14ac:dyDescent="0.2">
      <c r="A89" s="149"/>
      <c r="B89" s="148">
        <v>83</v>
      </c>
      <c r="C89" s="146" t="b">
        <v>0</v>
      </c>
      <c r="D89" s="146" t="str">
        <v>V0</v>
      </c>
      <c r="E89" s="261" t="str">
        <f t="shared" si="4"/>
        <v>USDFUT1MV0_Quote</v>
      </c>
      <c r="F89" s="262" t="str">
        <f t="shared" si="5"/>
        <v>USDFUT1MV0ConvAdj_Quote</v>
      </c>
      <c r="G89" s="261" t="str">
        <f>_xll.qlFuturesConvAdjustmentQuote($F89,IborIndex,$D89,$E89,Volatility,MeanReversion,Permanent,Trigger,ObjectOverwrite)</f>
        <v>USDFUT1MV0ConvAdj_Quote#0020</v>
      </c>
      <c r="H89" s="76" t="str">
        <f>_xll.ohRangeRetrieveError(G89)</f>
        <v/>
      </c>
    </row>
    <row r="90" spans="1:8" x14ac:dyDescent="0.2">
      <c r="A90" s="149"/>
      <c r="B90" s="148">
        <v>84</v>
      </c>
      <c r="C90" s="146" t="b">
        <v>0</v>
      </c>
      <c r="D90" s="146" t="str">
        <v>X0</v>
      </c>
      <c r="E90" s="261" t="str">
        <f t="shared" si="4"/>
        <v>USDFUT1MX0_Quote</v>
      </c>
      <c r="F90" s="262" t="str">
        <f t="shared" si="5"/>
        <v>USDFUT1MX0ConvAdj_Quote</v>
      </c>
      <c r="G90" s="261" t="str">
        <f>_xll.qlFuturesConvAdjustmentQuote($F90,IborIndex,$D90,$E90,Volatility,MeanReversion,Permanent,Trigger,ObjectOverwrite)</f>
        <v>USDFUT1MX0ConvAdj_Quote#0020</v>
      </c>
      <c r="H90" s="76" t="str">
        <f>_xll.ohRangeRetrieveError(G90)</f>
        <v/>
      </c>
    </row>
    <row r="91" spans="1:8" x14ac:dyDescent="0.2">
      <c r="A91" s="149"/>
      <c r="B91" s="148">
        <v>85</v>
      </c>
      <c r="C91" s="146" t="b">
        <v>0</v>
      </c>
      <c r="D91" s="146" t="str">
        <v>Z0</v>
      </c>
      <c r="E91" s="261" t="str">
        <f t="shared" si="4"/>
        <v>USDFUT1MZ0_Quote</v>
      </c>
      <c r="F91" s="262" t="str">
        <f t="shared" si="5"/>
        <v>USDFUT1MZ0ConvAdj_Quote</v>
      </c>
      <c r="G91" s="261" t="str">
        <f>_xll.qlFuturesConvAdjustmentQuote($F91,IborIndex,$D91,$E91,Volatility,MeanReversion,Permanent,Trigger,ObjectOverwrite)</f>
        <v>USDFUT1MZ0ConvAdj_Quote#0020</v>
      </c>
      <c r="H91" s="76" t="str">
        <f>_xll.ohRangeRetrieveError(G91)</f>
        <v/>
      </c>
    </row>
    <row r="92" spans="1:8" x14ac:dyDescent="0.2">
      <c r="A92" s="149"/>
      <c r="B92" s="148">
        <v>86</v>
      </c>
      <c r="C92" s="146" t="b">
        <v>0</v>
      </c>
      <c r="D92" s="146" t="str">
        <v>F1</v>
      </c>
      <c r="E92" s="261" t="str">
        <f t="shared" si="4"/>
        <v>USDFUT1MF1_Quote</v>
      </c>
      <c r="F92" s="262" t="str">
        <f t="shared" si="5"/>
        <v>USDFUT1MF1ConvAdj_Quote</v>
      </c>
      <c r="G92" s="261" t="str">
        <f>_xll.qlFuturesConvAdjustmentQuote($F92,IborIndex,$D92,$E92,Volatility,MeanReversion,Permanent,Trigger,ObjectOverwrite)</f>
        <v>USDFUT1MF1ConvAdj_Quote#0020</v>
      </c>
      <c r="H92" s="76" t="str">
        <f>_xll.ohRangeRetrieveError(G92)</f>
        <v/>
      </c>
    </row>
    <row r="93" spans="1:8" x14ac:dyDescent="0.2">
      <c r="A93" s="149"/>
      <c r="B93" s="148">
        <v>87</v>
      </c>
      <c r="C93" s="146" t="b">
        <v>0</v>
      </c>
      <c r="D93" s="146" t="str">
        <v>G1</v>
      </c>
      <c r="E93" s="261" t="str">
        <f t="shared" si="4"/>
        <v>USDFUT1MG1_Quote</v>
      </c>
      <c r="F93" s="262" t="str">
        <f t="shared" si="5"/>
        <v>USDFUT1MG1ConvAdj_Quote</v>
      </c>
      <c r="G93" s="261" t="str">
        <f>_xll.qlFuturesConvAdjustmentQuote($F93,IborIndex,$D93,$E93,Volatility,MeanReversion,Permanent,Trigger,ObjectOverwrite)</f>
        <v>USDFUT1MG1ConvAdj_Quote#0020</v>
      </c>
      <c r="H93" s="76" t="str">
        <f>_xll.ohRangeRetrieveError(G93)</f>
        <v/>
      </c>
    </row>
    <row r="94" spans="1:8" x14ac:dyDescent="0.2">
      <c r="A94" s="149"/>
      <c r="B94" s="148">
        <v>88</v>
      </c>
      <c r="C94" s="146" t="b">
        <v>0</v>
      </c>
      <c r="D94" s="146" t="str">
        <v>H1</v>
      </c>
      <c r="E94" s="261" t="str">
        <f t="shared" si="4"/>
        <v>USDFUT1MH1_Quote</v>
      </c>
      <c r="F94" s="262" t="str">
        <f t="shared" si="5"/>
        <v>USDFUT1MH1ConvAdj_Quote</v>
      </c>
      <c r="G94" s="261" t="str">
        <f>_xll.qlFuturesConvAdjustmentQuote($F94,IborIndex,$D94,$E94,Volatility,MeanReversion,Permanent,Trigger,ObjectOverwrite)</f>
        <v>USDFUT1MH1ConvAdj_Quote#0020</v>
      </c>
      <c r="H94" s="76" t="str">
        <f>_xll.ohRangeRetrieveError(G94)</f>
        <v/>
      </c>
    </row>
    <row r="95" spans="1:8" x14ac:dyDescent="0.2">
      <c r="A95" s="149"/>
      <c r="B95" s="148">
        <v>89</v>
      </c>
      <c r="C95" s="146" t="b">
        <v>0</v>
      </c>
      <c r="D95" s="146" t="str">
        <v>J1</v>
      </c>
      <c r="E95" s="261" t="str">
        <f t="shared" si="4"/>
        <v>USDFUT1MJ1_Quote</v>
      </c>
      <c r="F95" s="262" t="str">
        <f t="shared" si="5"/>
        <v>USDFUT1MJ1ConvAdj_Quote</v>
      </c>
      <c r="G95" s="261" t="str">
        <f>_xll.qlFuturesConvAdjustmentQuote($F95,IborIndex,$D95,$E95,Volatility,MeanReversion,Permanent,Trigger,ObjectOverwrite)</f>
        <v>USDFUT1MJ1ConvAdj_Quote#0020</v>
      </c>
      <c r="H95" s="76" t="str">
        <f>_xll.ohRangeRetrieveError(G95)</f>
        <v/>
      </c>
    </row>
    <row r="96" spans="1:8" x14ac:dyDescent="0.2">
      <c r="A96" s="149"/>
      <c r="B96" s="148">
        <v>90</v>
      </c>
      <c r="C96" s="146" t="b">
        <v>0</v>
      </c>
      <c r="D96" s="146" t="str">
        <v>K1</v>
      </c>
      <c r="E96" s="261" t="str">
        <f t="shared" si="4"/>
        <v>USDFUT1MK1_Quote</v>
      </c>
      <c r="F96" s="262" t="str">
        <f t="shared" si="5"/>
        <v>USDFUT1MK1ConvAdj_Quote</v>
      </c>
      <c r="G96" s="261" t="str">
        <f>_xll.qlFuturesConvAdjustmentQuote($F96,IborIndex,$D96,$E96,Volatility,MeanReversion,Permanent,Trigger,ObjectOverwrite)</f>
        <v>USDFUT1MK1ConvAdj_Quote#0020</v>
      </c>
      <c r="H96" s="76" t="str">
        <f>_xll.ohRangeRetrieveError(G96)</f>
        <v/>
      </c>
    </row>
    <row r="97" spans="1:8" x14ac:dyDescent="0.2">
      <c r="A97" s="149"/>
      <c r="B97" s="148">
        <v>91</v>
      </c>
      <c r="C97" s="146" t="b">
        <v>0</v>
      </c>
      <c r="D97" s="146" t="str">
        <v>M1</v>
      </c>
      <c r="E97" s="261" t="str">
        <f t="shared" si="4"/>
        <v>USDFUT1MM1_Quote</v>
      </c>
      <c r="F97" s="262" t="str">
        <f t="shared" si="5"/>
        <v>USDFUT1MM1ConvAdj_Quote</v>
      </c>
      <c r="G97" s="261" t="str">
        <f>_xll.qlFuturesConvAdjustmentQuote($F97,IborIndex,$D97,$E97,Volatility,MeanReversion,Permanent,Trigger,ObjectOverwrite)</f>
        <v>USDFUT1MM1ConvAdj_Quote#0020</v>
      </c>
      <c r="H97" s="76" t="str">
        <f>_xll.ohRangeRetrieveError(G97)</f>
        <v/>
      </c>
    </row>
    <row r="98" spans="1:8" x14ac:dyDescent="0.2">
      <c r="A98" s="149"/>
      <c r="B98" s="148">
        <v>92</v>
      </c>
      <c r="C98" s="146" t="b">
        <v>0</v>
      </c>
      <c r="D98" s="146" t="str">
        <v>N1</v>
      </c>
      <c r="E98" s="261" t="str">
        <f t="shared" si="4"/>
        <v>USDFUT1MN1_Quote</v>
      </c>
      <c r="F98" s="262" t="str">
        <f t="shared" si="5"/>
        <v>USDFUT1MN1ConvAdj_Quote</v>
      </c>
      <c r="G98" s="261" t="str">
        <f>_xll.qlFuturesConvAdjustmentQuote($F98,IborIndex,$D98,$E98,Volatility,MeanReversion,Permanent,Trigger,ObjectOverwrite)</f>
        <v>USDFUT1MN1ConvAdj_Quote#0020</v>
      </c>
      <c r="H98" s="76" t="str">
        <f>_xll.ohRangeRetrieveError(G98)</f>
        <v/>
      </c>
    </row>
    <row r="99" spans="1:8" x14ac:dyDescent="0.2">
      <c r="A99" s="149"/>
      <c r="B99" s="148">
        <v>93</v>
      </c>
      <c r="C99" s="146" t="b">
        <v>0</v>
      </c>
      <c r="D99" s="146" t="str">
        <v>Q1</v>
      </c>
      <c r="E99" s="261" t="str">
        <f t="shared" si="4"/>
        <v>USDFUT1MQ1_Quote</v>
      </c>
      <c r="F99" s="262" t="str">
        <f t="shared" si="5"/>
        <v>USDFUT1MQ1ConvAdj_Quote</v>
      </c>
      <c r="G99" s="261" t="str">
        <f>_xll.qlFuturesConvAdjustmentQuote($F99,IborIndex,$D99,$E99,Volatility,MeanReversion,Permanent,Trigger,ObjectOverwrite)</f>
        <v>USDFUT1MQ1ConvAdj_Quote#0020</v>
      </c>
      <c r="H99" s="76" t="str">
        <f>_xll.ohRangeRetrieveError(G99)</f>
        <v/>
      </c>
    </row>
    <row r="100" spans="1:8" x14ac:dyDescent="0.2">
      <c r="A100" s="149"/>
      <c r="B100" s="148">
        <v>94</v>
      </c>
      <c r="C100" s="146" t="b">
        <v>0</v>
      </c>
      <c r="D100" s="146" t="str">
        <v>U1</v>
      </c>
      <c r="E100" s="261" t="str">
        <f t="shared" si="4"/>
        <v>USDFUT1MU1_Quote</v>
      </c>
      <c r="F100" s="262" t="str">
        <f t="shared" si="5"/>
        <v>USDFUT1MU1ConvAdj_Quote</v>
      </c>
      <c r="G100" s="261" t="str">
        <f>_xll.qlFuturesConvAdjustmentQuote($F100,IborIndex,$D100,$E100,Volatility,MeanReversion,Permanent,Trigger,ObjectOverwrite)</f>
        <v>USDFUT1MU1ConvAdj_Quote#0020</v>
      </c>
      <c r="H100" s="76" t="str">
        <f>_xll.ohRangeRetrieveError(G100)</f>
        <v/>
      </c>
    </row>
    <row r="101" spans="1:8" x14ac:dyDescent="0.2">
      <c r="A101" s="149"/>
      <c r="B101" s="148">
        <v>95</v>
      </c>
      <c r="C101" s="146" t="b">
        <v>0</v>
      </c>
      <c r="D101" s="146" t="str">
        <v>V1</v>
      </c>
      <c r="E101" s="261" t="str">
        <f t="shared" si="4"/>
        <v>USDFUT1MV1_Quote</v>
      </c>
      <c r="F101" s="262" t="str">
        <f t="shared" si="5"/>
        <v>USDFUT1MV1ConvAdj_Quote</v>
      </c>
      <c r="G101" s="261" t="str">
        <f>_xll.qlFuturesConvAdjustmentQuote($F101,IborIndex,$D101,$E101,Volatility,MeanReversion,Permanent,Trigger,ObjectOverwrite)</f>
        <v>USDFUT1MV1ConvAdj_Quote#0020</v>
      </c>
      <c r="H101" s="76" t="str">
        <f>_xll.ohRangeRetrieveError(G101)</f>
        <v/>
      </c>
    </row>
    <row r="102" spans="1:8" x14ac:dyDescent="0.2">
      <c r="A102" s="149"/>
      <c r="B102" s="148">
        <v>96</v>
      </c>
      <c r="C102" s="146" t="b">
        <v>0</v>
      </c>
      <c r="D102" s="146" t="str">
        <v>X1</v>
      </c>
      <c r="E102" s="261" t="str">
        <f t="shared" si="4"/>
        <v>USDFUT1MX1_Quote</v>
      </c>
      <c r="F102" s="262" t="str">
        <f t="shared" si="5"/>
        <v>USDFUT1MX1ConvAdj_Quote</v>
      </c>
      <c r="G102" s="261" t="str">
        <f>_xll.qlFuturesConvAdjustmentQuote($F102,IborIndex,$D102,$E102,Volatility,MeanReversion,Permanent,Trigger,ObjectOverwrite)</f>
        <v>USDFUT1MX1ConvAdj_Quote#0020</v>
      </c>
      <c r="H102" s="76" t="str">
        <f>_xll.ohRangeRetrieveError(G102)</f>
        <v/>
      </c>
    </row>
    <row r="103" spans="1:8" x14ac:dyDescent="0.2">
      <c r="A103" s="149"/>
      <c r="B103" s="148">
        <v>97</v>
      </c>
      <c r="C103" s="146" t="b">
        <v>0</v>
      </c>
      <c r="D103" s="146" t="str">
        <v>Z1</v>
      </c>
      <c r="E103" s="261" t="str">
        <f t="shared" ref="E103:E126" si="6">Currency&amp;"FUT"&amp;$G$4&amp;$D103&amp;QuoteSuffix</f>
        <v>USDFUT1MZ1_Quote</v>
      </c>
      <c r="F103" s="262" t="str">
        <f t="shared" ref="F103:F126" si="7">Currency&amp;"FUT"&amp;$G$4&amp;$D103&amp;"ConvAdj"&amp;QuoteSuffix</f>
        <v>USDFUT1MZ1ConvAdj_Quote</v>
      </c>
      <c r="G103" s="261" t="str">
        <f>_xll.qlFuturesConvAdjustmentQuote($F103,IborIndex,$D103,$E103,Volatility,MeanReversion,Permanent,Trigger,ObjectOverwrite)</f>
        <v>USDFUT1MZ1ConvAdj_Quote#0020</v>
      </c>
      <c r="H103" s="76" t="str">
        <f>_xll.ohRangeRetrieveError(G103)</f>
        <v/>
      </c>
    </row>
    <row r="104" spans="1:8" x14ac:dyDescent="0.2">
      <c r="A104" s="149"/>
      <c r="B104" s="148">
        <v>98</v>
      </c>
      <c r="C104" s="146" t="b">
        <v>0</v>
      </c>
      <c r="D104" s="146" t="str">
        <v>F2</v>
      </c>
      <c r="E104" s="261" t="str">
        <f t="shared" si="6"/>
        <v>USDFUT1MF2_Quote</v>
      </c>
      <c r="F104" s="262" t="str">
        <f t="shared" si="7"/>
        <v>USDFUT1MF2ConvAdj_Quote</v>
      </c>
      <c r="G104" s="261" t="str">
        <f>_xll.qlFuturesConvAdjustmentQuote($F104,IborIndex,$D104,$E104,Volatility,MeanReversion,Permanent,Trigger,ObjectOverwrite)</f>
        <v>USDFUT1MF2ConvAdj_Quote#0020</v>
      </c>
      <c r="H104" s="76" t="str">
        <f>_xll.ohRangeRetrieveError(G104)</f>
        <v/>
      </c>
    </row>
    <row r="105" spans="1:8" x14ac:dyDescent="0.2">
      <c r="A105" s="149"/>
      <c r="B105" s="148">
        <v>99</v>
      </c>
      <c r="C105" s="146" t="b">
        <v>0</v>
      </c>
      <c r="D105" s="146" t="str">
        <v>G2</v>
      </c>
      <c r="E105" s="261" t="str">
        <f t="shared" si="6"/>
        <v>USDFUT1MG2_Quote</v>
      </c>
      <c r="F105" s="262" t="str">
        <f t="shared" si="7"/>
        <v>USDFUT1MG2ConvAdj_Quote</v>
      </c>
      <c r="G105" s="261" t="str">
        <f>_xll.qlFuturesConvAdjustmentQuote($F105,IborIndex,$D105,$E105,Volatility,MeanReversion,Permanent,Trigger,ObjectOverwrite)</f>
        <v>USDFUT1MG2ConvAdj_Quote#0020</v>
      </c>
      <c r="H105" s="76" t="str">
        <f>_xll.ohRangeRetrieveError(G105)</f>
        <v/>
      </c>
    </row>
    <row r="106" spans="1:8" x14ac:dyDescent="0.2">
      <c r="A106" s="149"/>
      <c r="B106" s="148">
        <v>100</v>
      </c>
      <c r="C106" s="146" t="b">
        <v>0</v>
      </c>
      <c r="D106" s="146" t="str">
        <v>H2</v>
      </c>
      <c r="E106" s="261" t="str">
        <f t="shared" si="6"/>
        <v>USDFUT1MH2_Quote</v>
      </c>
      <c r="F106" s="262" t="str">
        <f t="shared" si="7"/>
        <v>USDFUT1MH2ConvAdj_Quote</v>
      </c>
      <c r="G106" s="261" t="str">
        <f>_xll.qlFuturesConvAdjustmentQuote($F106,IborIndex,$D106,$E106,Volatility,MeanReversion,Permanent,Trigger,ObjectOverwrite)</f>
        <v>USDFUT1MH2ConvAdj_Quote#0020</v>
      </c>
      <c r="H106" s="76" t="str">
        <f>_xll.ohRangeRetrieveError(G106)</f>
        <v/>
      </c>
    </row>
    <row r="107" spans="1:8" x14ac:dyDescent="0.2">
      <c r="A107" s="149"/>
      <c r="B107" s="148">
        <v>101</v>
      </c>
      <c r="C107" s="146" t="b">
        <v>0</v>
      </c>
      <c r="D107" s="146" t="str">
        <v>J2</v>
      </c>
      <c r="E107" s="261" t="str">
        <f t="shared" si="6"/>
        <v>USDFUT1MJ2_Quote</v>
      </c>
      <c r="F107" s="262" t="str">
        <f t="shared" si="7"/>
        <v>USDFUT1MJ2ConvAdj_Quote</v>
      </c>
      <c r="G107" s="261" t="str">
        <f>_xll.qlFuturesConvAdjustmentQuote($F107,IborIndex,$D107,$E107,Volatility,MeanReversion,Permanent,Trigger,ObjectOverwrite)</f>
        <v>USDFUT1MJ2ConvAdj_Quote#0020</v>
      </c>
      <c r="H107" s="76" t="str">
        <f>_xll.ohRangeRetrieveError(G107)</f>
        <v/>
      </c>
    </row>
    <row r="108" spans="1:8" x14ac:dyDescent="0.2">
      <c r="A108" s="149"/>
      <c r="B108" s="148">
        <v>102</v>
      </c>
      <c r="C108" s="146" t="b">
        <v>0</v>
      </c>
      <c r="D108" s="146" t="str">
        <v>K2</v>
      </c>
      <c r="E108" s="261" t="str">
        <f t="shared" si="6"/>
        <v>USDFUT1MK2_Quote</v>
      </c>
      <c r="F108" s="262" t="str">
        <f t="shared" si="7"/>
        <v>USDFUT1MK2ConvAdj_Quote</v>
      </c>
      <c r="G108" s="261" t="str">
        <f>_xll.qlFuturesConvAdjustmentQuote($F108,IborIndex,$D108,$E108,Volatility,MeanReversion,Permanent,Trigger,ObjectOverwrite)</f>
        <v>USDFUT1MK2ConvAdj_Quote#0020</v>
      </c>
      <c r="H108" s="76" t="str">
        <f>_xll.ohRangeRetrieveError(G108)</f>
        <v/>
      </c>
    </row>
    <row r="109" spans="1:8" x14ac:dyDescent="0.2">
      <c r="A109" s="149"/>
      <c r="B109" s="148">
        <v>103</v>
      </c>
      <c r="C109" s="146" t="b">
        <v>0</v>
      </c>
      <c r="D109" s="146" t="str">
        <v>M2</v>
      </c>
      <c r="E109" s="261" t="str">
        <f t="shared" si="6"/>
        <v>USDFUT1MM2_Quote</v>
      </c>
      <c r="F109" s="262" t="str">
        <f t="shared" si="7"/>
        <v>USDFUT1MM2ConvAdj_Quote</v>
      </c>
      <c r="G109" s="261" t="str">
        <f>_xll.qlFuturesConvAdjustmentQuote($F109,IborIndex,$D109,$E109,Volatility,MeanReversion,Permanent,Trigger,ObjectOverwrite)</f>
        <v>USDFUT1MM2ConvAdj_Quote#0020</v>
      </c>
      <c r="H109" s="76" t="str">
        <f>_xll.ohRangeRetrieveError(G109)</f>
        <v/>
      </c>
    </row>
    <row r="110" spans="1:8" x14ac:dyDescent="0.2">
      <c r="A110" s="149"/>
      <c r="B110" s="148">
        <v>104</v>
      </c>
      <c r="C110" s="146" t="b">
        <v>0</v>
      </c>
      <c r="D110" s="146" t="str">
        <v>N2</v>
      </c>
      <c r="E110" s="261" t="str">
        <f t="shared" si="6"/>
        <v>USDFUT1MN2_Quote</v>
      </c>
      <c r="F110" s="262" t="str">
        <f t="shared" si="7"/>
        <v>USDFUT1MN2ConvAdj_Quote</v>
      </c>
      <c r="G110" s="261" t="str">
        <f>_xll.qlFuturesConvAdjustmentQuote($F110,IborIndex,$D110,$E110,Volatility,MeanReversion,Permanent,Trigger,ObjectOverwrite)</f>
        <v>USDFUT1MN2ConvAdj_Quote#0020</v>
      </c>
      <c r="H110" s="76" t="str">
        <f>_xll.ohRangeRetrieveError(G110)</f>
        <v/>
      </c>
    </row>
    <row r="111" spans="1:8" x14ac:dyDescent="0.2">
      <c r="A111" s="149"/>
      <c r="B111" s="148">
        <v>105</v>
      </c>
      <c r="C111" s="146" t="b">
        <v>0</v>
      </c>
      <c r="D111" s="146" t="str">
        <v>Q2</v>
      </c>
      <c r="E111" s="261" t="str">
        <f t="shared" si="6"/>
        <v>USDFUT1MQ2_Quote</v>
      </c>
      <c r="F111" s="262" t="str">
        <f t="shared" si="7"/>
        <v>USDFUT1MQ2ConvAdj_Quote</v>
      </c>
      <c r="G111" s="261" t="str">
        <f>_xll.qlFuturesConvAdjustmentQuote($F111,IborIndex,$D111,$E111,Volatility,MeanReversion,Permanent,Trigger,ObjectOverwrite)</f>
        <v>USDFUT1MQ2ConvAdj_Quote#0020</v>
      </c>
      <c r="H111" s="76" t="str">
        <f>_xll.ohRangeRetrieveError(G111)</f>
        <v/>
      </c>
    </row>
    <row r="112" spans="1:8" x14ac:dyDescent="0.2">
      <c r="A112" s="149"/>
      <c r="B112" s="148">
        <v>106</v>
      </c>
      <c r="C112" s="146" t="b">
        <v>0</v>
      </c>
      <c r="D112" s="146" t="str">
        <v>U2</v>
      </c>
      <c r="E112" s="261" t="str">
        <f t="shared" si="6"/>
        <v>USDFUT1MU2_Quote</v>
      </c>
      <c r="F112" s="262" t="str">
        <f t="shared" si="7"/>
        <v>USDFUT1MU2ConvAdj_Quote</v>
      </c>
      <c r="G112" s="261" t="str">
        <f>_xll.qlFuturesConvAdjustmentQuote($F112,IborIndex,$D112,$E112,Volatility,MeanReversion,Permanent,Trigger,ObjectOverwrite)</f>
        <v>USDFUT1MU2ConvAdj_Quote#0020</v>
      </c>
      <c r="H112" s="76" t="str">
        <f>_xll.ohRangeRetrieveError(G112)</f>
        <v/>
      </c>
    </row>
    <row r="113" spans="1:8" x14ac:dyDescent="0.2">
      <c r="A113" s="149"/>
      <c r="B113" s="148">
        <v>107</v>
      </c>
      <c r="C113" s="146" t="b">
        <v>0</v>
      </c>
      <c r="D113" s="146" t="str">
        <v>V2</v>
      </c>
      <c r="E113" s="261" t="str">
        <f t="shared" si="6"/>
        <v>USDFUT1MV2_Quote</v>
      </c>
      <c r="F113" s="262" t="str">
        <f t="shared" si="7"/>
        <v>USDFUT1MV2ConvAdj_Quote</v>
      </c>
      <c r="G113" s="261" t="str">
        <f>_xll.qlFuturesConvAdjustmentQuote($F113,IborIndex,$D113,$E113,Volatility,MeanReversion,Permanent,Trigger,ObjectOverwrite)</f>
        <v>USDFUT1MV2ConvAdj_Quote#0020</v>
      </c>
      <c r="H113" s="76" t="str">
        <f>_xll.ohRangeRetrieveError(G113)</f>
        <v/>
      </c>
    </row>
    <row r="114" spans="1:8" x14ac:dyDescent="0.2">
      <c r="A114" s="149"/>
      <c r="B114" s="148">
        <v>108</v>
      </c>
      <c r="C114" s="146" t="b">
        <v>0</v>
      </c>
      <c r="D114" s="146" t="str">
        <v>X2</v>
      </c>
      <c r="E114" s="261" t="str">
        <f t="shared" si="6"/>
        <v>USDFUT1MX2_Quote</v>
      </c>
      <c r="F114" s="262" t="str">
        <f t="shared" si="7"/>
        <v>USDFUT1MX2ConvAdj_Quote</v>
      </c>
      <c r="G114" s="261" t="str">
        <f>_xll.qlFuturesConvAdjustmentQuote($F114,IborIndex,$D114,$E114,Volatility,MeanReversion,Permanent,Trigger,ObjectOverwrite)</f>
        <v>USDFUT1MX2ConvAdj_Quote#0020</v>
      </c>
      <c r="H114" s="76" t="str">
        <f>_xll.ohRangeRetrieveError(G114)</f>
        <v/>
      </c>
    </row>
    <row r="115" spans="1:8" x14ac:dyDescent="0.2">
      <c r="A115" s="149"/>
      <c r="B115" s="148">
        <v>109</v>
      </c>
      <c r="C115" s="146" t="b">
        <v>0</v>
      </c>
      <c r="D115" s="146" t="str">
        <v>Z2</v>
      </c>
      <c r="E115" s="261" t="str">
        <f t="shared" si="6"/>
        <v>USDFUT1MZ2_Quote</v>
      </c>
      <c r="F115" s="262" t="str">
        <f t="shared" si="7"/>
        <v>USDFUT1MZ2ConvAdj_Quote</v>
      </c>
      <c r="G115" s="261" t="str">
        <f>_xll.qlFuturesConvAdjustmentQuote($F115,IborIndex,$D115,$E115,Volatility,MeanReversion,Permanent,Trigger,ObjectOverwrite)</f>
        <v>USDFUT1MZ2ConvAdj_Quote#0020</v>
      </c>
      <c r="H115" s="76" t="str">
        <f>_xll.ohRangeRetrieveError(G115)</f>
        <v/>
      </c>
    </row>
    <row r="116" spans="1:8" x14ac:dyDescent="0.2">
      <c r="A116" s="149"/>
      <c r="B116" s="148">
        <v>110</v>
      </c>
      <c r="C116" s="146" t="b">
        <v>0</v>
      </c>
      <c r="D116" s="146" t="str">
        <v>F3</v>
      </c>
      <c r="E116" s="261" t="str">
        <f t="shared" si="6"/>
        <v>USDFUT1MF3_Quote</v>
      </c>
      <c r="F116" s="262" t="str">
        <f t="shared" si="7"/>
        <v>USDFUT1MF3ConvAdj_Quote</v>
      </c>
      <c r="G116" s="261" t="str">
        <f>_xll.qlFuturesConvAdjustmentQuote($F116,IborIndex,$D116,$E116,Volatility,MeanReversion,Permanent,Trigger,ObjectOverwrite)</f>
        <v>USDFUT1MF3ConvAdj_Quote#0020</v>
      </c>
      <c r="H116" s="76" t="str">
        <f>_xll.ohRangeRetrieveError(G116)</f>
        <v/>
      </c>
    </row>
    <row r="117" spans="1:8" x14ac:dyDescent="0.2">
      <c r="A117" s="149"/>
      <c r="B117" s="148">
        <v>111</v>
      </c>
      <c r="C117" s="146" t="b">
        <v>0</v>
      </c>
      <c r="D117" s="146" t="str">
        <v>G3</v>
      </c>
      <c r="E117" s="261" t="str">
        <f t="shared" si="6"/>
        <v>USDFUT1MG3_Quote</v>
      </c>
      <c r="F117" s="262" t="str">
        <f t="shared" si="7"/>
        <v>USDFUT1MG3ConvAdj_Quote</v>
      </c>
      <c r="G117" s="261" t="str">
        <f>_xll.qlFuturesConvAdjustmentQuote($F117,IborIndex,$D117,$E117,Volatility,MeanReversion,Permanent,Trigger,ObjectOverwrite)</f>
        <v>USDFUT1MG3ConvAdj_Quote#0020</v>
      </c>
      <c r="H117" s="76" t="str">
        <f>_xll.ohRangeRetrieveError(G117)</f>
        <v/>
      </c>
    </row>
    <row r="118" spans="1:8" x14ac:dyDescent="0.2">
      <c r="A118" s="149"/>
      <c r="B118" s="148">
        <v>112</v>
      </c>
      <c r="C118" s="146" t="b">
        <v>0</v>
      </c>
      <c r="D118" s="146" t="str">
        <v>H3</v>
      </c>
      <c r="E118" s="261" t="str">
        <f t="shared" si="6"/>
        <v>USDFUT1MH3_Quote</v>
      </c>
      <c r="F118" s="262" t="str">
        <f t="shared" si="7"/>
        <v>USDFUT1MH3ConvAdj_Quote</v>
      </c>
      <c r="G118" s="261" t="str">
        <f>_xll.qlFuturesConvAdjustmentQuote($F118,IborIndex,$D118,$E118,Volatility,MeanReversion,Permanent,Trigger,ObjectOverwrite)</f>
        <v>USDFUT1MH3ConvAdj_Quote#0020</v>
      </c>
      <c r="H118" s="76" t="str">
        <f>_xll.ohRangeRetrieveError(G118)</f>
        <v/>
      </c>
    </row>
    <row r="119" spans="1:8" x14ac:dyDescent="0.2">
      <c r="A119" s="149"/>
      <c r="B119" s="148">
        <v>113</v>
      </c>
      <c r="C119" s="146" t="b">
        <v>0</v>
      </c>
      <c r="D119" s="146" t="str">
        <v>J3</v>
      </c>
      <c r="E119" s="261" t="str">
        <f t="shared" si="6"/>
        <v>USDFUT1MJ3_Quote</v>
      </c>
      <c r="F119" s="262" t="str">
        <f t="shared" si="7"/>
        <v>USDFUT1MJ3ConvAdj_Quote</v>
      </c>
      <c r="G119" s="261" t="str">
        <f>_xll.qlFuturesConvAdjustmentQuote($F119,IborIndex,$D119,$E119,Volatility,MeanReversion,Permanent,Trigger,ObjectOverwrite)</f>
        <v>USDFUT1MJ3ConvAdj_Quote#0020</v>
      </c>
      <c r="H119" s="76" t="str">
        <f>_xll.ohRangeRetrieveError(G119)</f>
        <v/>
      </c>
    </row>
    <row r="120" spans="1:8" x14ac:dyDescent="0.2">
      <c r="A120" s="149"/>
      <c r="B120" s="148">
        <v>114</v>
      </c>
      <c r="C120" s="146" t="b">
        <v>0</v>
      </c>
      <c r="D120" s="146" t="str">
        <v>K3</v>
      </c>
      <c r="E120" s="261" t="str">
        <f t="shared" si="6"/>
        <v>USDFUT1MK3_Quote</v>
      </c>
      <c r="F120" s="262" t="str">
        <f t="shared" si="7"/>
        <v>USDFUT1MK3ConvAdj_Quote</v>
      </c>
      <c r="G120" s="261" t="str">
        <f>_xll.qlFuturesConvAdjustmentQuote($F120,IborIndex,$D120,$E120,Volatility,MeanReversion,Permanent,Trigger,ObjectOverwrite)</f>
        <v>USDFUT1MK3ConvAdj_Quote#0020</v>
      </c>
      <c r="H120" s="76" t="str">
        <f>_xll.ohRangeRetrieveError(G120)</f>
        <v/>
      </c>
    </row>
    <row r="121" spans="1:8" x14ac:dyDescent="0.2">
      <c r="A121" s="149"/>
      <c r="B121" s="148">
        <v>115</v>
      </c>
      <c r="C121" s="146" t="b">
        <v>0</v>
      </c>
      <c r="D121" s="146" t="str">
        <v>M3</v>
      </c>
      <c r="E121" s="261" t="str">
        <f t="shared" si="6"/>
        <v>USDFUT1MM3_Quote</v>
      </c>
      <c r="F121" s="262" t="str">
        <f t="shared" si="7"/>
        <v>USDFUT1MM3ConvAdj_Quote</v>
      </c>
      <c r="G121" s="261" t="str">
        <f>_xll.qlFuturesConvAdjustmentQuote($F121,IborIndex,$D121,$E121,Volatility,MeanReversion,Permanent,Trigger,ObjectOverwrite)</f>
        <v>USDFUT1MM3ConvAdj_Quote#0020</v>
      </c>
      <c r="H121" s="76" t="str">
        <f>_xll.ohRangeRetrieveError(G121)</f>
        <v/>
      </c>
    </row>
    <row r="122" spans="1:8" x14ac:dyDescent="0.2">
      <c r="A122" s="149"/>
      <c r="B122" s="148">
        <v>116</v>
      </c>
      <c r="C122" s="146" t="b">
        <v>0</v>
      </c>
      <c r="D122" s="146" t="str">
        <v>N3</v>
      </c>
      <c r="E122" s="261" t="str">
        <f t="shared" si="6"/>
        <v>USDFUT1MN3_Quote</v>
      </c>
      <c r="F122" s="262" t="str">
        <f t="shared" si="7"/>
        <v>USDFUT1MN3ConvAdj_Quote</v>
      </c>
      <c r="G122" s="261" t="str">
        <f>_xll.qlFuturesConvAdjustmentQuote($F122,IborIndex,$D122,$E122,Volatility,MeanReversion,Permanent,Trigger,ObjectOverwrite)</f>
        <v>USDFUT1MN3ConvAdj_Quote#0020</v>
      </c>
      <c r="H122" s="76" t="str">
        <f>_xll.ohRangeRetrieveError(G122)</f>
        <v/>
      </c>
    </row>
    <row r="123" spans="1:8" x14ac:dyDescent="0.2">
      <c r="A123" s="149"/>
      <c r="B123" s="148">
        <v>117</v>
      </c>
      <c r="C123" s="146" t="b">
        <v>0</v>
      </c>
      <c r="D123" s="146" t="str">
        <v>Q3</v>
      </c>
      <c r="E123" s="261" t="str">
        <f t="shared" si="6"/>
        <v>USDFUT1MQ3_Quote</v>
      </c>
      <c r="F123" s="262" t="str">
        <f t="shared" si="7"/>
        <v>USDFUT1MQ3ConvAdj_Quote</v>
      </c>
      <c r="G123" s="261" t="str">
        <f>_xll.qlFuturesConvAdjustmentQuote($F123,IborIndex,$D123,$E123,Volatility,MeanReversion,Permanent,Trigger,ObjectOverwrite)</f>
        <v>USDFUT1MQ3ConvAdj_Quote#0020</v>
      </c>
      <c r="H123" s="76" t="str">
        <f>_xll.ohRangeRetrieveError(G123)</f>
        <v/>
      </c>
    </row>
    <row r="124" spans="1:8" x14ac:dyDescent="0.2">
      <c r="A124" s="149"/>
      <c r="B124" s="148">
        <v>118</v>
      </c>
      <c r="C124" s="146" t="b">
        <v>0</v>
      </c>
      <c r="D124" s="146" t="str">
        <v>U3</v>
      </c>
      <c r="E124" s="261" t="str">
        <f t="shared" si="6"/>
        <v>USDFUT1MU3_Quote</v>
      </c>
      <c r="F124" s="262" t="str">
        <f t="shared" si="7"/>
        <v>USDFUT1MU3ConvAdj_Quote</v>
      </c>
      <c r="G124" s="261" t="str">
        <f>_xll.qlFuturesConvAdjustmentQuote($F124,IborIndex,$D124,$E124,Volatility,MeanReversion,Permanent,Trigger,ObjectOverwrite)</f>
        <v>USDFUT1MU3ConvAdj_Quote#0020</v>
      </c>
      <c r="H124" s="76" t="str">
        <f>_xll.ohRangeRetrieveError(G124)</f>
        <v/>
      </c>
    </row>
    <row r="125" spans="1:8" x14ac:dyDescent="0.2">
      <c r="A125" s="149"/>
      <c r="B125" s="148">
        <v>119</v>
      </c>
      <c r="C125" s="146" t="b">
        <v>0</v>
      </c>
      <c r="D125" s="146" t="str">
        <v>V3</v>
      </c>
      <c r="E125" s="261" t="str">
        <f t="shared" si="6"/>
        <v>USDFUT1MV3_Quote</v>
      </c>
      <c r="F125" s="262" t="str">
        <f t="shared" si="7"/>
        <v>USDFUT1MV3ConvAdj_Quote</v>
      </c>
      <c r="G125" s="261" t="str">
        <f>_xll.qlFuturesConvAdjustmentQuote($F125,IborIndex,$D125,$E125,Volatility,MeanReversion,Permanent,Trigger,ObjectOverwrite)</f>
        <v>USDFUT1MV3ConvAdj_Quote#0020</v>
      </c>
      <c r="H125" s="76" t="str">
        <f>_xll.ohRangeRetrieveError(G125)</f>
        <v/>
      </c>
    </row>
    <row r="126" spans="1:8" ht="12" thickBot="1" x14ac:dyDescent="0.25">
      <c r="A126" s="142"/>
      <c r="B126" s="148">
        <v>120</v>
      </c>
      <c r="C126" s="146" t="b">
        <v>0</v>
      </c>
      <c r="D126" s="146" t="str">
        <v>X3</v>
      </c>
      <c r="E126" s="261" t="str">
        <f t="shared" si="6"/>
        <v>USDFUT1MX3_Quote</v>
      </c>
      <c r="F126" s="262" t="str">
        <f t="shared" si="7"/>
        <v>USDFUT1MX3ConvAdj_Quote</v>
      </c>
      <c r="G126" s="261" t="str">
        <f>_xll.qlFuturesConvAdjustmentQuote($F126,IborIndex,$D126,$E126,Volatility,MeanReversion,Permanent,Trigger,ObjectOverwrite)</f>
        <v>USDFUT1MX3ConvAdj_Quote#0020</v>
      </c>
      <c r="H126" s="76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5.42578125" style="105" bestFit="1" customWidth="1"/>
    <col min="5" max="5" width="15.85546875" style="105" bestFit="1" customWidth="1"/>
    <col min="6" max="6" width="25" style="105" bestFit="1" customWidth="1"/>
    <col min="7" max="7" width="26.42578125" style="105" bestFit="1" customWidth="1"/>
    <col min="8" max="8" width="53.140625" style="105" customWidth="1"/>
    <col min="9" max="16384" width="9.140625" style="105"/>
  </cols>
  <sheetData>
    <row r="1" spans="1:8" x14ac:dyDescent="0.2">
      <c r="A1" s="105" t="s">
        <v>233</v>
      </c>
    </row>
    <row r="2" spans="1:8" x14ac:dyDescent="0.2">
      <c r="E2" s="265" t="s">
        <v>232</v>
      </c>
      <c r="F2" s="264" t="str">
        <f>PROPER(Currency)&amp;"HW_Volatility_Quote"</f>
        <v>UsdHW_Volatility_Quote</v>
      </c>
    </row>
    <row r="3" spans="1:8" x14ac:dyDescent="0.2">
      <c r="E3" s="265" t="s">
        <v>231</v>
      </c>
      <c r="F3" s="264" t="str">
        <f>PROPER(Currency)&amp;"HW_MeanReversion_Quote"</f>
        <v>UsdHW_MeanReversion_Quote</v>
      </c>
    </row>
    <row r="4" spans="1:8" x14ac:dyDescent="0.2">
      <c r="E4" s="265" t="s">
        <v>118</v>
      </c>
      <c r="F4" s="264" t="str">
        <f>PROPER(Currency)&amp;FamilyName&amp;$G$4</f>
        <v>UsdLibor3M</v>
      </c>
      <c r="G4" s="263" t="s">
        <v>38</v>
      </c>
    </row>
    <row r="6" spans="1:8" ht="22.5" x14ac:dyDescent="0.2">
      <c r="A6" s="155"/>
      <c r="B6" s="94" t="s">
        <v>183</v>
      </c>
      <c r="C6" s="202" t="s">
        <v>182</v>
      </c>
      <c r="D6" s="202" t="s">
        <v>181</v>
      </c>
      <c r="E6" s="202" t="s">
        <v>230</v>
      </c>
      <c r="F6" s="93" t="str">
        <f>Currency&amp;"_020_Futures"&amp;G4&amp;"ConvAdj.xml"</f>
        <v>USD_020_Futures3MConvAdj.xml</v>
      </c>
      <c r="G6" s="111">
        <f ca="1">IF(Serialize,_xll.ohObjectSave(G7:G126,SerializationPath&amp;F6,FileOverwrite,Serialize),"---")</f>
        <v>120</v>
      </c>
      <c r="H6" s="76" t="str">
        <f ca="1">_xll.ohRangeRetrieveError(G6)</f>
        <v/>
      </c>
    </row>
    <row r="7" spans="1:8" x14ac:dyDescent="0.2">
      <c r="A7" s="149"/>
      <c r="B7" s="154">
        <v>1</v>
      </c>
      <c r="C7" s="152" t="b">
        <v>0</v>
      </c>
      <c r="D7" s="152" t="str">
        <f t="array" ref="D7:D126">_xll.qlIMMNextCodes(_xll.qlSettingsEvaluationDate(Trigger)-1,$C7:$C126)</f>
        <v>Z3</v>
      </c>
      <c r="E7" s="261" t="str">
        <f t="shared" ref="E7:E38" si="0">Currency&amp;"FUT"&amp;$G$4&amp;$D7&amp;QuoteSuffix</f>
        <v>USDFUT3MZ3_Quote</v>
      </c>
      <c r="F7" s="262" t="str">
        <f t="shared" ref="F7:F38" si="1">Currency&amp;"FUT"&amp;$G$4&amp;$D7&amp;"ConvAdj"&amp;QuoteSuffix</f>
        <v>USDFUT3MZ3ConvAdj_Quote</v>
      </c>
      <c r="G7" s="261" t="str">
        <f>_xll.qlFuturesConvAdjustmentQuote($F7,IborIndex,$D7,$E7,Volatility,MeanReversion,Permanent,Trigger,ObjectOverwrite)</f>
        <v>USDFUT3MZ3ConvAdj_Quote#0020</v>
      </c>
      <c r="H7" s="76" t="str">
        <f>_xll.ohRangeRetrieveError(G7)</f>
        <v/>
      </c>
    </row>
    <row r="8" spans="1:8" x14ac:dyDescent="0.2">
      <c r="A8" s="149"/>
      <c r="B8" s="148">
        <v>2</v>
      </c>
      <c r="C8" s="146" t="b">
        <v>0</v>
      </c>
      <c r="D8" s="146" t="str">
        <v>F4</v>
      </c>
      <c r="E8" s="261" t="str">
        <f t="shared" si="0"/>
        <v>USDFUT3MF4_Quote</v>
      </c>
      <c r="F8" s="262" t="str">
        <f t="shared" si="1"/>
        <v>USDFUT3MF4ConvAdj_Quote</v>
      </c>
      <c r="G8" s="261" t="str">
        <f>_xll.qlFuturesConvAdjustmentQuote($F8,IborIndex,$D8,$E8,Volatility,MeanReversion,Permanent,Trigger,ObjectOverwrite)</f>
        <v>USDFUT3MF4ConvAdj_Quote#0020</v>
      </c>
      <c r="H8" s="76" t="str">
        <f>_xll.ohRangeRetrieveError(G8)</f>
        <v/>
      </c>
    </row>
    <row r="9" spans="1:8" x14ac:dyDescent="0.2">
      <c r="A9" s="149"/>
      <c r="B9" s="148">
        <v>3</v>
      </c>
      <c r="C9" s="146" t="b">
        <v>0</v>
      </c>
      <c r="D9" s="146" t="str">
        <v>G4</v>
      </c>
      <c r="E9" s="261" t="str">
        <f t="shared" si="0"/>
        <v>USDFUT3MG4_Quote</v>
      </c>
      <c r="F9" s="262" t="str">
        <f t="shared" si="1"/>
        <v>USDFUT3MG4ConvAdj_Quote</v>
      </c>
      <c r="G9" s="261" t="str">
        <f>_xll.qlFuturesConvAdjustmentQuote($F9,IborIndex,$D9,$E9,Volatility,MeanReversion,Permanent,Trigger,ObjectOverwrite)</f>
        <v>USDFUT3MG4ConvAdj_Quote#0020</v>
      </c>
      <c r="H9" s="76" t="str">
        <f>_xll.ohRangeRetrieveError(G9)</f>
        <v/>
      </c>
    </row>
    <row r="10" spans="1:8" x14ac:dyDescent="0.2">
      <c r="A10" s="149"/>
      <c r="B10" s="148">
        <v>4</v>
      </c>
      <c r="C10" s="146" t="b">
        <v>0</v>
      </c>
      <c r="D10" s="146" t="str">
        <v>H4</v>
      </c>
      <c r="E10" s="261" t="str">
        <f t="shared" si="0"/>
        <v>USDFUT3MH4_Quote</v>
      </c>
      <c r="F10" s="262" t="str">
        <f t="shared" si="1"/>
        <v>USDFUT3MH4ConvAdj_Quote</v>
      </c>
      <c r="G10" s="261" t="str">
        <f>_xll.qlFuturesConvAdjustmentQuote($F10,IborIndex,$D10,$E10,Volatility,MeanReversion,Permanent,Trigger,ObjectOverwrite)</f>
        <v>USDFUT3MH4ConvAdj_Quote#0020</v>
      </c>
      <c r="H10" s="76" t="str">
        <f>_xll.ohRangeRetrieveError(G10)</f>
        <v/>
      </c>
    </row>
    <row r="11" spans="1:8" x14ac:dyDescent="0.2">
      <c r="A11" s="149"/>
      <c r="B11" s="148">
        <v>5</v>
      </c>
      <c r="C11" s="146" t="b">
        <v>0</v>
      </c>
      <c r="D11" s="146" t="str">
        <v>J4</v>
      </c>
      <c r="E11" s="261" t="str">
        <f t="shared" si="0"/>
        <v>USDFUT3MJ4_Quote</v>
      </c>
      <c r="F11" s="262" t="str">
        <f t="shared" si="1"/>
        <v>USDFUT3MJ4ConvAdj_Quote</v>
      </c>
      <c r="G11" s="261" t="str">
        <f>_xll.qlFuturesConvAdjustmentQuote($F11,IborIndex,$D11,$E11,Volatility,MeanReversion,Permanent,Trigger,ObjectOverwrite)</f>
        <v>USDFUT3MJ4ConvAdj_Quote#0020</v>
      </c>
      <c r="H11" s="76" t="str">
        <f>_xll.ohRangeRetrieveError(G11)</f>
        <v/>
      </c>
    </row>
    <row r="12" spans="1:8" x14ac:dyDescent="0.2">
      <c r="A12" s="149"/>
      <c r="B12" s="148">
        <v>6</v>
      </c>
      <c r="C12" s="146" t="b">
        <v>0</v>
      </c>
      <c r="D12" s="146" t="str">
        <v>K4</v>
      </c>
      <c r="E12" s="261" t="str">
        <f t="shared" si="0"/>
        <v>USDFUT3MK4_Quote</v>
      </c>
      <c r="F12" s="262" t="str">
        <f t="shared" si="1"/>
        <v>USDFUT3MK4ConvAdj_Quote</v>
      </c>
      <c r="G12" s="261" t="str">
        <f>_xll.qlFuturesConvAdjustmentQuote($F12,IborIndex,$D12,$E12,Volatility,MeanReversion,Permanent,Trigger,ObjectOverwrite)</f>
        <v>USDFUT3MK4ConvAdj_Quote#0020</v>
      </c>
      <c r="H12" s="76" t="str">
        <f>_xll.ohRangeRetrieveError(G12)</f>
        <v/>
      </c>
    </row>
    <row r="13" spans="1:8" x14ac:dyDescent="0.2">
      <c r="A13" s="149"/>
      <c r="B13" s="148">
        <v>7</v>
      </c>
      <c r="C13" s="146" t="b">
        <v>0</v>
      </c>
      <c r="D13" s="146" t="str">
        <v>M4</v>
      </c>
      <c r="E13" s="261" t="str">
        <f t="shared" si="0"/>
        <v>USDFUT3MM4_Quote</v>
      </c>
      <c r="F13" s="262" t="str">
        <f t="shared" si="1"/>
        <v>USDFUT3MM4ConvAdj_Quote</v>
      </c>
      <c r="G13" s="261" t="str">
        <f>_xll.qlFuturesConvAdjustmentQuote($F13,IborIndex,$D13,$E13,Volatility,MeanReversion,Permanent,Trigger,ObjectOverwrite)</f>
        <v>USDFUT3MM4ConvAdj_Quote#0020</v>
      </c>
      <c r="H13" s="76" t="str">
        <f>_xll.ohRangeRetrieveError(G13)</f>
        <v/>
      </c>
    </row>
    <row r="14" spans="1:8" x14ac:dyDescent="0.2">
      <c r="A14" s="149"/>
      <c r="B14" s="148">
        <v>8</v>
      </c>
      <c r="C14" s="146" t="b">
        <v>0</v>
      </c>
      <c r="D14" s="146" t="str">
        <v>N4</v>
      </c>
      <c r="E14" s="261" t="str">
        <f t="shared" si="0"/>
        <v>USDFUT3MN4_Quote</v>
      </c>
      <c r="F14" s="262" t="str">
        <f t="shared" si="1"/>
        <v>USDFUT3MN4ConvAdj_Quote</v>
      </c>
      <c r="G14" s="261" t="str">
        <f>_xll.qlFuturesConvAdjustmentQuote($F14,IborIndex,$D14,$E14,Volatility,MeanReversion,Permanent,Trigger,ObjectOverwrite)</f>
        <v>USDFUT3MN4ConvAdj_Quote#0020</v>
      </c>
      <c r="H14" s="76" t="str">
        <f>_xll.ohRangeRetrieveError(G14)</f>
        <v/>
      </c>
    </row>
    <row r="15" spans="1:8" x14ac:dyDescent="0.2">
      <c r="A15" s="149"/>
      <c r="B15" s="148">
        <v>9</v>
      </c>
      <c r="C15" s="146" t="b">
        <v>0</v>
      </c>
      <c r="D15" s="146" t="str">
        <v>Q4</v>
      </c>
      <c r="E15" s="261" t="str">
        <f t="shared" si="0"/>
        <v>USDFUT3MQ4_Quote</v>
      </c>
      <c r="F15" s="262" t="str">
        <f t="shared" si="1"/>
        <v>USDFUT3MQ4ConvAdj_Quote</v>
      </c>
      <c r="G15" s="261" t="str">
        <f>_xll.qlFuturesConvAdjustmentQuote($F15,IborIndex,$D15,$E15,Volatility,MeanReversion,Permanent,Trigger,ObjectOverwrite)</f>
        <v>USDFUT3MQ4ConvAdj_Quote#0020</v>
      </c>
      <c r="H15" s="76" t="str">
        <f>_xll.ohRangeRetrieveError(G15)</f>
        <v/>
      </c>
    </row>
    <row r="16" spans="1:8" x14ac:dyDescent="0.2">
      <c r="A16" s="149"/>
      <c r="B16" s="148">
        <v>10</v>
      </c>
      <c r="C16" s="146" t="b">
        <v>0</v>
      </c>
      <c r="D16" s="146" t="str">
        <v>U4</v>
      </c>
      <c r="E16" s="261" t="str">
        <f t="shared" si="0"/>
        <v>USDFUT3MU4_Quote</v>
      </c>
      <c r="F16" s="262" t="str">
        <f t="shared" si="1"/>
        <v>USDFUT3MU4ConvAdj_Quote</v>
      </c>
      <c r="G16" s="261" t="str">
        <f>_xll.qlFuturesConvAdjustmentQuote($F16,IborIndex,$D16,$E16,Volatility,MeanReversion,Permanent,Trigger,ObjectOverwrite)</f>
        <v>USDFUT3MU4ConvAdj_Quote#0020</v>
      </c>
      <c r="H16" s="76" t="str">
        <f>_xll.ohRangeRetrieveError(G16)</f>
        <v/>
      </c>
    </row>
    <row r="17" spans="1:8" x14ac:dyDescent="0.2">
      <c r="A17" s="149"/>
      <c r="B17" s="148">
        <v>11</v>
      </c>
      <c r="C17" s="146" t="b">
        <v>0</v>
      </c>
      <c r="D17" s="146" t="str">
        <v>V4</v>
      </c>
      <c r="E17" s="261" t="str">
        <f t="shared" si="0"/>
        <v>USDFUT3MV4_Quote</v>
      </c>
      <c r="F17" s="262" t="str">
        <f t="shared" si="1"/>
        <v>USDFUT3MV4ConvAdj_Quote</v>
      </c>
      <c r="G17" s="261" t="str">
        <f>_xll.qlFuturesConvAdjustmentQuote($F17,IborIndex,$D17,$E17,Volatility,MeanReversion,Permanent,Trigger,ObjectOverwrite)</f>
        <v>USDFUT3MV4ConvAdj_Quote#0020</v>
      </c>
      <c r="H17" s="76" t="str">
        <f>_xll.ohRangeRetrieveError(G17)</f>
        <v/>
      </c>
    </row>
    <row r="18" spans="1:8" x14ac:dyDescent="0.2">
      <c r="A18" s="149"/>
      <c r="B18" s="148">
        <v>12</v>
      </c>
      <c r="C18" s="146" t="b">
        <v>0</v>
      </c>
      <c r="D18" s="146" t="str">
        <v>X4</v>
      </c>
      <c r="E18" s="261" t="str">
        <f t="shared" si="0"/>
        <v>USDFUT3MX4_Quote</v>
      </c>
      <c r="F18" s="262" t="str">
        <f t="shared" si="1"/>
        <v>USDFUT3MX4ConvAdj_Quote</v>
      </c>
      <c r="G18" s="261" t="str">
        <f>_xll.qlFuturesConvAdjustmentQuote($F18,IborIndex,$D18,$E18,Volatility,MeanReversion,Permanent,Trigger,ObjectOverwrite)</f>
        <v>USDFUT3MX4ConvAdj_Quote#0020</v>
      </c>
      <c r="H18" s="76" t="str">
        <f>_xll.ohRangeRetrieveError(G18)</f>
        <v/>
      </c>
    </row>
    <row r="19" spans="1:8" x14ac:dyDescent="0.2">
      <c r="A19" s="149"/>
      <c r="B19" s="148">
        <v>13</v>
      </c>
      <c r="C19" s="146" t="b">
        <v>0</v>
      </c>
      <c r="D19" s="146" t="str">
        <v>Z4</v>
      </c>
      <c r="E19" s="261" t="str">
        <f t="shared" si="0"/>
        <v>USDFUT3MZ4_Quote</v>
      </c>
      <c r="F19" s="262" t="str">
        <f t="shared" si="1"/>
        <v>USDFUT3MZ4ConvAdj_Quote</v>
      </c>
      <c r="G19" s="261" t="str">
        <f>_xll.qlFuturesConvAdjustmentQuote($F19,IborIndex,$D19,$E19,Volatility,MeanReversion,Permanent,Trigger,ObjectOverwrite)</f>
        <v>USDFUT3MZ4ConvAdj_Quote#0020</v>
      </c>
      <c r="H19" s="76" t="str">
        <f>_xll.ohRangeRetrieveError(G19)</f>
        <v/>
      </c>
    </row>
    <row r="20" spans="1:8" x14ac:dyDescent="0.2">
      <c r="A20" s="149"/>
      <c r="B20" s="148">
        <v>14</v>
      </c>
      <c r="C20" s="146" t="b">
        <v>0</v>
      </c>
      <c r="D20" s="146" t="str">
        <v>F5</v>
      </c>
      <c r="E20" s="261" t="str">
        <f t="shared" si="0"/>
        <v>USDFUT3MF5_Quote</v>
      </c>
      <c r="F20" s="262" t="str">
        <f t="shared" si="1"/>
        <v>USDFUT3MF5ConvAdj_Quote</v>
      </c>
      <c r="G20" s="261" t="str">
        <f>_xll.qlFuturesConvAdjustmentQuote($F20,IborIndex,$D20,$E20,Volatility,MeanReversion,Permanent,Trigger,ObjectOverwrite)</f>
        <v>USDFUT3MF5ConvAdj_Quote#0020</v>
      </c>
      <c r="H20" s="76" t="str">
        <f>_xll.ohRangeRetrieveError(G20)</f>
        <v/>
      </c>
    </row>
    <row r="21" spans="1:8" x14ac:dyDescent="0.2">
      <c r="A21" s="149"/>
      <c r="B21" s="148">
        <v>15</v>
      </c>
      <c r="C21" s="146" t="b">
        <v>0</v>
      </c>
      <c r="D21" s="146" t="str">
        <v>G5</v>
      </c>
      <c r="E21" s="261" t="str">
        <f t="shared" si="0"/>
        <v>USDFUT3MG5_Quote</v>
      </c>
      <c r="F21" s="262" t="str">
        <f t="shared" si="1"/>
        <v>USDFUT3MG5ConvAdj_Quote</v>
      </c>
      <c r="G21" s="261" t="str">
        <f>_xll.qlFuturesConvAdjustmentQuote($F21,IborIndex,$D21,$E21,Volatility,MeanReversion,Permanent,Trigger,ObjectOverwrite)</f>
        <v>USDFUT3MG5ConvAdj_Quote#0020</v>
      </c>
      <c r="H21" s="76" t="str">
        <f>_xll.ohRangeRetrieveError(G21)</f>
        <v/>
      </c>
    </row>
    <row r="22" spans="1:8" x14ac:dyDescent="0.2">
      <c r="A22" s="149"/>
      <c r="B22" s="148">
        <v>16</v>
      </c>
      <c r="C22" s="146" t="b">
        <v>0</v>
      </c>
      <c r="D22" s="146" t="str">
        <v>H5</v>
      </c>
      <c r="E22" s="261" t="str">
        <f t="shared" si="0"/>
        <v>USDFUT3MH5_Quote</v>
      </c>
      <c r="F22" s="262" t="str">
        <f t="shared" si="1"/>
        <v>USDFUT3MH5ConvAdj_Quote</v>
      </c>
      <c r="G22" s="261" t="str">
        <f>_xll.qlFuturesConvAdjustmentQuote($F22,IborIndex,$D22,$E22,Volatility,MeanReversion,Permanent,Trigger,ObjectOverwrite)</f>
        <v>USDFUT3MH5ConvAdj_Quote#0020</v>
      </c>
      <c r="H22" s="76" t="str">
        <f>_xll.ohRangeRetrieveError(G22)</f>
        <v/>
      </c>
    </row>
    <row r="23" spans="1:8" x14ac:dyDescent="0.2">
      <c r="A23" s="149"/>
      <c r="B23" s="148">
        <v>17</v>
      </c>
      <c r="C23" s="146" t="b">
        <v>0</v>
      </c>
      <c r="D23" s="146" t="str">
        <v>J5</v>
      </c>
      <c r="E23" s="261" t="str">
        <f t="shared" si="0"/>
        <v>USDFUT3MJ5_Quote</v>
      </c>
      <c r="F23" s="262" t="str">
        <f t="shared" si="1"/>
        <v>USDFUT3MJ5ConvAdj_Quote</v>
      </c>
      <c r="G23" s="261" t="str">
        <f>_xll.qlFuturesConvAdjustmentQuote($F23,IborIndex,$D23,$E23,Volatility,MeanReversion,Permanent,Trigger,ObjectOverwrite)</f>
        <v>USDFUT3MJ5ConvAdj_Quote#0020</v>
      </c>
      <c r="H23" s="76" t="str">
        <f>_xll.ohRangeRetrieveError(G23)</f>
        <v/>
      </c>
    </row>
    <row r="24" spans="1:8" x14ac:dyDescent="0.2">
      <c r="A24" s="149"/>
      <c r="B24" s="148">
        <v>18</v>
      </c>
      <c r="C24" s="146" t="b">
        <v>0</v>
      </c>
      <c r="D24" s="146" t="str">
        <v>K5</v>
      </c>
      <c r="E24" s="261" t="str">
        <f t="shared" si="0"/>
        <v>USDFUT3MK5_Quote</v>
      </c>
      <c r="F24" s="262" t="str">
        <f t="shared" si="1"/>
        <v>USDFUT3MK5ConvAdj_Quote</v>
      </c>
      <c r="G24" s="261" t="str">
        <f>_xll.qlFuturesConvAdjustmentQuote($F24,IborIndex,$D24,$E24,Volatility,MeanReversion,Permanent,Trigger,ObjectOverwrite)</f>
        <v>USDFUT3MK5ConvAdj_Quote#0020</v>
      </c>
      <c r="H24" s="76" t="str">
        <f>_xll.ohRangeRetrieveError(G24)</f>
        <v/>
      </c>
    </row>
    <row r="25" spans="1:8" x14ac:dyDescent="0.2">
      <c r="A25" s="149"/>
      <c r="B25" s="148">
        <v>19</v>
      </c>
      <c r="C25" s="146" t="b">
        <v>0</v>
      </c>
      <c r="D25" s="146" t="str">
        <v>M5</v>
      </c>
      <c r="E25" s="261" t="str">
        <f t="shared" si="0"/>
        <v>USDFUT3MM5_Quote</v>
      </c>
      <c r="F25" s="262" t="str">
        <f t="shared" si="1"/>
        <v>USDFUT3MM5ConvAdj_Quote</v>
      </c>
      <c r="G25" s="261" t="str">
        <f>_xll.qlFuturesConvAdjustmentQuote($F25,IborIndex,$D25,$E25,Volatility,MeanReversion,Permanent,Trigger,ObjectOverwrite)</f>
        <v>USDFUT3MM5ConvAdj_Quote#0020</v>
      </c>
      <c r="H25" s="76" t="str">
        <f>_xll.ohRangeRetrieveError(G25)</f>
        <v/>
      </c>
    </row>
    <row r="26" spans="1:8" x14ac:dyDescent="0.2">
      <c r="A26" s="149"/>
      <c r="B26" s="148">
        <v>20</v>
      </c>
      <c r="C26" s="146" t="b">
        <v>0</v>
      </c>
      <c r="D26" s="146" t="str">
        <v>N5</v>
      </c>
      <c r="E26" s="261" t="str">
        <f t="shared" si="0"/>
        <v>USDFUT3MN5_Quote</v>
      </c>
      <c r="F26" s="262" t="str">
        <f t="shared" si="1"/>
        <v>USDFUT3MN5ConvAdj_Quote</v>
      </c>
      <c r="G26" s="261" t="str">
        <f>_xll.qlFuturesConvAdjustmentQuote($F26,IborIndex,$D26,$E26,Volatility,MeanReversion,Permanent,Trigger,ObjectOverwrite)</f>
        <v>USDFUT3MN5ConvAdj_Quote#0020</v>
      </c>
      <c r="H26" s="76" t="str">
        <f>_xll.ohRangeRetrieveError(G26)</f>
        <v/>
      </c>
    </row>
    <row r="27" spans="1:8" x14ac:dyDescent="0.2">
      <c r="A27" s="149"/>
      <c r="B27" s="148">
        <v>21</v>
      </c>
      <c r="C27" s="146" t="b">
        <v>0</v>
      </c>
      <c r="D27" s="146" t="str">
        <v>Q5</v>
      </c>
      <c r="E27" s="261" t="str">
        <f t="shared" si="0"/>
        <v>USDFUT3MQ5_Quote</v>
      </c>
      <c r="F27" s="262" t="str">
        <f t="shared" si="1"/>
        <v>USDFUT3MQ5ConvAdj_Quote</v>
      </c>
      <c r="G27" s="261" t="str">
        <f>_xll.qlFuturesConvAdjustmentQuote($F27,IborIndex,$D27,$E27,Volatility,MeanReversion,Permanent,Trigger,ObjectOverwrite)</f>
        <v>USDFUT3MQ5ConvAdj_Quote#0020</v>
      </c>
      <c r="H27" s="76" t="str">
        <f>_xll.ohRangeRetrieveError(G27)</f>
        <v/>
      </c>
    </row>
    <row r="28" spans="1:8" x14ac:dyDescent="0.2">
      <c r="A28" s="149"/>
      <c r="B28" s="148">
        <v>22</v>
      </c>
      <c r="C28" s="146" t="b">
        <v>0</v>
      </c>
      <c r="D28" s="146" t="str">
        <v>U5</v>
      </c>
      <c r="E28" s="261" t="str">
        <f t="shared" si="0"/>
        <v>USDFUT3MU5_Quote</v>
      </c>
      <c r="F28" s="262" t="str">
        <f t="shared" si="1"/>
        <v>USDFUT3MU5ConvAdj_Quote</v>
      </c>
      <c r="G28" s="261" t="str">
        <f>_xll.qlFuturesConvAdjustmentQuote($F28,IborIndex,$D28,$E28,Volatility,MeanReversion,Permanent,Trigger,ObjectOverwrite)</f>
        <v>USDFUT3MU5ConvAdj_Quote#0020</v>
      </c>
      <c r="H28" s="76" t="str">
        <f>_xll.ohRangeRetrieveError(G28)</f>
        <v/>
      </c>
    </row>
    <row r="29" spans="1:8" x14ac:dyDescent="0.2">
      <c r="A29" s="149"/>
      <c r="B29" s="148">
        <v>23</v>
      </c>
      <c r="C29" s="146" t="b">
        <v>0</v>
      </c>
      <c r="D29" s="146" t="str">
        <v>V5</v>
      </c>
      <c r="E29" s="261" t="str">
        <f t="shared" si="0"/>
        <v>USDFUT3MV5_Quote</v>
      </c>
      <c r="F29" s="262" t="str">
        <f t="shared" si="1"/>
        <v>USDFUT3MV5ConvAdj_Quote</v>
      </c>
      <c r="G29" s="261" t="str">
        <f>_xll.qlFuturesConvAdjustmentQuote($F29,IborIndex,$D29,$E29,Volatility,MeanReversion,Permanent,Trigger,ObjectOverwrite)</f>
        <v>USDFUT3MV5ConvAdj_Quote#0020</v>
      </c>
      <c r="H29" s="76" t="str">
        <f>_xll.ohRangeRetrieveError(G29)</f>
        <v/>
      </c>
    </row>
    <row r="30" spans="1:8" x14ac:dyDescent="0.2">
      <c r="A30" s="149"/>
      <c r="B30" s="148">
        <v>24</v>
      </c>
      <c r="C30" s="146" t="b">
        <v>0</v>
      </c>
      <c r="D30" s="146" t="str">
        <v>X5</v>
      </c>
      <c r="E30" s="261" t="str">
        <f t="shared" si="0"/>
        <v>USDFUT3MX5_Quote</v>
      </c>
      <c r="F30" s="262" t="str">
        <f t="shared" si="1"/>
        <v>USDFUT3MX5ConvAdj_Quote</v>
      </c>
      <c r="G30" s="261" t="str">
        <f>_xll.qlFuturesConvAdjustmentQuote($F30,IborIndex,$D30,$E30,Volatility,MeanReversion,Permanent,Trigger,ObjectOverwrite)</f>
        <v>USDFUT3MX5ConvAdj_Quote#0020</v>
      </c>
      <c r="H30" s="76" t="str">
        <f>_xll.ohRangeRetrieveError(G30)</f>
        <v/>
      </c>
    </row>
    <row r="31" spans="1:8" x14ac:dyDescent="0.2">
      <c r="A31" s="149"/>
      <c r="B31" s="148">
        <v>25</v>
      </c>
      <c r="C31" s="146" t="b">
        <v>0</v>
      </c>
      <c r="D31" s="146" t="str">
        <v>Z5</v>
      </c>
      <c r="E31" s="261" t="str">
        <f t="shared" si="0"/>
        <v>USDFUT3MZ5_Quote</v>
      </c>
      <c r="F31" s="262" t="str">
        <f t="shared" si="1"/>
        <v>USDFUT3MZ5ConvAdj_Quote</v>
      </c>
      <c r="G31" s="261" t="str">
        <f>_xll.qlFuturesConvAdjustmentQuote($F31,IborIndex,$D31,$E31,Volatility,MeanReversion,Permanent,Trigger,ObjectOverwrite)</f>
        <v>USDFUT3MZ5ConvAdj_Quote#0020</v>
      </c>
      <c r="H31" s="76" t="str">
        <f>_xll.ohRangeRetrieveError(G31)</f>
        <v/>
      </c>
    </row>
    <row r="32" spans="1:8" x14ac:dyDescent="0.2">
      <c r="A32" s="149"/>
      <c r="B32" s="148">
        <v>26</v>
      </c>
      <c r="C32" s="146" t="b">
        <v>0</v>
      </c>
      <c r="D32" s="146" t="str">
        <v>F6</v>
      </c>
      <c r="E32" s="261" t="str">
        <f t="shared" si="0"/>
        <v>USDFUT3MF6_Quote</v>
      </c>
      <c r="F32" s="262" t="str">
        <f t="shared" si="1"/>
        <v>USDFUT3MF6ConvAdj_Quote</v>
      </c>
      <c r="G32" s="261" t="str">
        <f>_xll.qlFuturesConvAdjustmentQuote($F32,IborIndex,$D32,$E32,Volatility,MeanReversion,Permanent,Trigger,ObjectOverwrite)</f>
        <v>USDFUT3MF6ConvAdj_Quote#0020</v>
      </c>
      <c r="H32" s="76" t="str">
        <f>_xll.ohRangeRetrieveError(G32)</f>
        <v/>
      </c>
    </row>
    <row r="33" spans="1:8" x14ac:dyDescent="0.2">
      <c r="A33" s="149"/>
      <c r="B33" s="148">
        <v>27</v>
      </c>
      <c r="C33" s="146" t="b">
        <v>0</v>
      </c>
      <c r="D33" s="146" t="str">
        <v>G6</v>
      </c>
      <c r="E33" s="261" t="str">
        <f t="shared" si="0"/>
        <v>USDFUT3MG6_Quote</v>
      </c>
      <c r="F33" s="262" t="str">
        <f t="shared" si="1"/>
        <v>USDFUT3MG6ConvAdj_Quote</v>
      </c>
      <c r="G33" s="261" t="str">
        <f>_xll.qlFuturesConvAdjustmentQuote($F33,IborIndex,$D33,$E33,Volatility,MeanReversion,Permanent,Trigger,ObjectOverwrite)</f>
        <v>USDFUT3MG6ConvAdj_Quote#0020</v>
      </c>
      <c r="H33" s="76" t="str">
        <f>_xll.ohRangeRetrieveError(G33)</f>
        <v/>
      </c>
    </row>
    <row r="34" spans="1:8" x14ac:dyDescent="0.2">
      <c r="A34" s="149"/>
      <c r="B34" s="148">
        <v>28</v>
      </c>
      <c r="C34" s="146" t="b">
        <v>0</v>
      </c>
      <c r="D34" s="146" t="str">
        <v>H6</v>
      </c>
      <c r="E34" s="261" t="str">
        <f t="shared" si="0"/>
        <v>USDFUT3MH6_Quote</v>
      </c>
      <c r="F34" s="262" t="str">
        <f t="shared" si="1"/>
        <v>USDFUT3MH6ConvAdj_Quote</v>
      </c>
      <c r="G34" s="261" t="str">
        <f>_xll.qlFuturesConvAdjustmentQuote($F34,IborIndex,$D34,$E34,Volatility,MeanReversion,Permanent,Trigger,ObjectOverwrite)</f>
        <v>USDFUT3MH6ConvAdj_Quote#0020</v>
      </c>
      <c r="H34" s="76" t="str">
        <f>_xll.ohRangeRetrieveError(G34)</f>
        <v/>
      </c>
    </row>
    <row r="35" spans="1:8" x14ac:dyDescent="0.2">
      <c r="A35" s="149"/>
      <c r="B35" s="148">
        <v>29</v>
      </c>
      <c r="C35" s="146" t="b">
        <v>0</v>
      </c>
      <c r="D35" s="146" t="str">
        <v>J6</v>
      </c>
      <c r="E35" s="261" t="str">
        <f t="shared" si="0"/>
        <v>USDFUT3MJ6_Quote</v>
      </c>
      <c r="F35" s="262" t="str">
        <f t="shared" si="1"/>
        <v>USDFUT3MJ6ConvAdj_Quote</v>
      </c>
      <c r="G35" s="261" t="str">
        <f>_xll.qlFuturesConvAdjustmentQuote($F35,IborIndex,$D35,$E35,Volatility,MeanReversion,Permanent,Trigger,ObjectOverwrite)</f>
        <v>USDFUT3MJ6ConvAdj_Quote#0020</v>
      </c>
      <c r="H35" s="76" t="str">
        <f>_xll.ohRangeRetrieveError(G35)</f>
        <v/>
      </c>
    </row>
    <row r="36" spans="1:8" x14ac:dyDescent="0.2">
      <c r="A36" s="149"/>
      <c r="B36" s="148">
        <v>30</v>
      </c>
      <c r="C36" s="146" t="b">
        <v>0</v>
      </c>
      <c r="D36" s="146" t="str">
        <v>K6</v>
      </c>
      <c r="E36" s="261" t="str">
        <f t="shared" si="0"/>
        <v>USDFUT3MK6_Quote</v>
      </c>
      <c r="F36" s="262" t="str">
        <f t="shared" si="1"/>
        <v>USDFUT3MK6ConvAdj_Quote</v>
      </c>
      <c r="G36" s="261" t="str">
        <f>_xll.qlFuturesConvAdjustmentQuote($F36,IborIndex,$D36,$E36,Volatility,MeanReversion,Permanent,Trigger,ObjectOverwrite)</f>
        <v>USDFUT3MK6ConvAdj_Quote#0020</v>
      </c>
      <c r="H36" s="76" t="str">
        <f>_xll.ohRangeRetrieveError(G36)</f>
        <v/>
      </c>
    </row>
    <row r="37" spans="1:8" x14ac:dyDescent="0.2">
      <c r="A37" s="149"/>
      <c r="B37" s="148">
        <v>31</v>
      </c>
      <c r="C37" s="146" t="b">
        <v>0</v>
      </c>
      <c r="D37" s="146" t="str">
        <v>M6</v>
      </c>
      <c r="E37" s="261" t="str">
        <f t="shared" si="0"/>
        <v>USDFUT3MM6_Quote</v>
      </c>
      <c r="F37" s="262" t="str">
        <f t="shared" si="1"/>
        <v>USDFUT3MM6ConvAdj_Quote</v>
      </c>
      <c r="G37" s="261" t="str">
        <f>_xll.qlFuturesConvAdjustmentQuote($F37,IborIndex,$D37,$E37,Volatility,MeanReversion,Permanent,Trigger,ObjectOverwrite)</f>
        <v>USDFUT3MM6ConvAdj_Quote#0020</v>
      </c>
      <c r="H37" s="76" t="str">
        <f>_xll.ohRangeRetrieveError(G37)</f>
        <v/>
      </c>
    </row>
    <row r="38" spans="1:8" x14ac:dyDescent="0.2">
      <c r="A38" s="149"/>
      <c r="B38" s="148">
        <v>32</v>
      </c>
      <c r="C38" s="146" t="b">
        <v>0</v>
      </c>
      <c r="D38" s="146" t="str">
        <v>N6</v>
      </c>
      <c r="E38" s="261" t="str">
        <f t="shared" si="0"/>
        <v>USDFUT3MN6_Quote</v>
      </c>
      <c r="F38" s="262" t="str">
        <f t="shared" si="1"/>
        <v>USDFUT3MN6ConvAdj_Quote</v>
      </c>
      <c r="G38" s="261" t="str">
        <f>_xll.qlFuturesConvAdjustmentQuote($F38,IborIndex,$D38,$E38,Volatility,MeanReversion,Permanent,Trigger,ObjectOverwrite)</f>
        <v>USDFUT3MN6ConvAdj_Quote#0020</v>
      </c>
      <c r="H38" s="76" t="str">
        <f>_xll.ohRangeRetrieveError(G38)</f>
        <v/>
      </c>
    </row>
    <row r="39" spans="1:8" x14ac:dyDescent="0.2">
      <c r="A39" s="149"/>
      <c r="B39" s="148">
        <v>33</v>
      </c>
      <c r="C39" s="146" t="b">
        <v>0</v>
      </c>
      <c r="D39" s="146" t="str">
        <v>Q6</v>
      </c>
      <c r="E39" s="261" t="str">
        <f t="shared" ref="E39:E70" si="2">Currency&amp;"FUT"&amp;$G$4&amp;$D39&amp;QuoteSuffix</f>
        <v>USDFUT3MQ6_Quote</v>
      </c>
      <c r="F39" s="262" t="str">
        <f t="shared" ref="F39:F70" si="3">Currency&amp;"FUT"&amp;$G$4&amp;$D39&amp;"ConvAdj"&amp;QuoteSuffix</f>
        <v>USDFUT3MQ6ConvAdj_Quote</v>
      </c>
      <c r="G39" s="261" t="str">
        <f>_xll.qlFuturesConvAdjustmentQuote($F39,IborIndex,$D39,$E39,Volatility,MeanReversion,Permanent,Trigger,ObjectOverwrite)</f>
        <v>USDFUT3MQ6ConvAdj_Quote#0020</v>
      </c>
      <c r="H39" s="76" t="str">
        <f>_xll.ohRangeRetrieveError(G39)</f>
        <v/>
      </c>
    </row>
    <row r="40" spans="1:8" x14ac:dyDescent="0.2">
      <c r="A40" s="149"/>
      <c r="B40" s="148">
        <v>34</v>
      </c>
      <c r="C40" s="146" t="b">
        <v>0</v>
      </c>
      <c r="D40" s="146" t="str">
        <v>U6</v>
      </c>
      <c r="E40" s="261" t="str">
        <f t="shared" si="2"/>
        <v>USDFUT3MU6_Quote</v>
      </c>
      <c r="F40" s="262" t="str">
        <f t="shared" si="3"/>
        <v>USDFUT3MU6ConvAdj_Quote</v>
      </c>
      <c r="G40" s="261" t="str">
        <f>_xll.qlFuturesConvAdjustmentQuote($F40,IborIndex,$D40,$E40,Volatility,MeanReversion,Permanent,Trigger,ObjectOverwrite)</f>
        <v>USDFUT3MU6ConvAdj_Quote#0020</v>
      </c>
      <c r="H40" s="76" t="str">
        <f>_xll.ohRangeRetrieveError(G40)</f>
        <v/>
      </c>
    </row>
    <row r="41" spans="1:8" x14ac:dyDescent="0.2">
      <c r="A41" s="149"/>
      <c r="B41" s="148">
        <v>35</v>
      </c>
      <c r="C41" s="146" t="b">
        <v>0</v>
      </c>
      <c r="D41" s="146" t="str">
        <v>V6</v>
      </c>
      <c r="E41" s="261" t="str">
        <f t="shared" si="2"/>
        <v>USDFUT3MV6_Quote</v>
      </c>
      <c r="F41" s="262" t="str">
        <f t="shared" si="3"/>
        <v>USDFUT3MV6ConvAdj_Quote</v>
      </c>
      <c r="G41" s="261" t="str">
        <f>_xll.qlFuturesConvAdjustmentQuote($F41,IborIndex,$D41,$E41,Volatility,MeanReversion,Permanent,Trigger,ObjectOverwrite)</f>
        <v>USDFUT3MV6ConvAdj_Quote#0020</v>
      </c>
      <c r="H41" s="76" t="str">
        <f>_xll.ohRangeRetrieveError(G41)</f>
        <v/>
      </c>
    </row>
    <row r="42" spans="1:8" x14ac:dyDescent="0.2">
      <c r="A42" s="149"/>
      <c r="B42" s="148">
        <v>36</v>
      </c>
      <c r="C42" s="146" t="b">
        <v>0</v>
      </c>
      <c r="D42" s="146" t="str">
        <v>X6</v>
      </c>
      <c r="E42" s="261" t="str">
        <f t="shared" si="2"/>
        <v>USDFUT3MX6_Quote</v>
      </c>
      <c r="F42" s="262" t="str">
        <f t="shared" si="3"/>
        <v>USDFUT3MX6ConvAdj_Quote</v>
      </c>
      <c r="G42" s="261" t="str">
        <f>_xll.qlFuturesConvAdjustmentQuote($F42,IborIndex,$D42,$E42,Volatility,MeanReversion,Permanent,Trigger,ObjectOverwrite)</f>
        <v>USDFUT3MX6ConvAdj_Quote#0020</v>
      </c>
      <c r="H42" s="76" t="str">
        <f>_xll.ohRangeRetrieveError(G42)</f>
        <v/>
      </c>
    </row>
    <row r="43" spans="1:8" x14ac:dyDescent="0.2">
      <c r="A43" s="149"/>
      <c r="B43" s="148">
        <v>37</v>
      </c>
      <c r="C43" s="146" t="b">
        <v>0</v>
      </c>
      <c r="D43" s="146" t="str">
        <v>Z6</v>
      </c>
      <c r="E43" s="261" t="str">
        <f t="shared" si="2"/>
        <v>USDFUT3MZ6_Quote</v>
      </c>
      <c r="F43" s="262" t="str">
        <f t="shared" si="3"/>
        <v>USDFUT3MZ6ConvAdj_Quote</v>
      </c>
      <c r="G43" s="261" t="str">
        <f>_xll.qlFuturesConvAdjustmentQuote($F43,IborIndex,$D43,$E43,Volatility,MeanReversion,Permanent,Trigger,ObjectOverwrite)</f>
        <v>USDFUT3MZ6ConvAdj_Quote#0020</v>
      </c>
      <c r="H43" s="76" t="str">
        <f>_xll.ohRangeRetrieveError(G43)</f>
        <v/>
      </c>
    </row>
    <row r="44" spans="1:8" x14ac:dyDescent="0.2">
      <c r="A44" s="149"/>
      <c r="B44" s="148">
        <v>38</v>
      </c>
      <c r="C44" s="146" t="b">
        <v>0</v>
      </c>
      <c r="D44" s="146" t="str">
        <v>F7</v>
      </c>
      <c r="E44" s="261" t="str">
        <f t="shared" si="2"/>
        <v>USDFUT3MF7_Quote</v>
      </c>
      <c r="F44" s="262" t="str">
        <f t="shared" si="3"/>
        <v>USDFUT3MF7ConvAdj_Quote</v>
      </c>
      <c r="G44" s="261" t="str">
        <f>_xll.qlFuturesConvAdjustmentQuote($F44,IborIndex,$D44,$E44,Volatility,MeanReversion,Permanent,Trigger,ObjectOverwrite)</f>
        <v>USDFUT3MF7ConvAdj_Quote#0020</v>
      </c>
      <c r="H44" s="76" t="str">
        <f>_xll.ohRangeRetrieveError(G44)</f>
        <v/>
      </c>
    </row>
    <row r="45" spans="1:8" x14ac:dyDescent="0.2">
      <c r="A45" s="149"/>
      <c r="B45" s="148">
        <v>39</v>
      </c>
      <c r="C45" s="146" t="b">
        <v>0</v>
      </c>
      <c r="D45" s="146" t="str">
        <v>G7</v>
      </c>
      <c r="E45" s="261" t="str">
        <f t="shared" si="2"/>
        <v>USDFUT3MG7_Quote</v>
      </c>
      <c r="F45" s="262" t="str">
        <f t="shared" si="3"/>
        <v>USDFUT3MG7ConvAdj_Quote</v>
      </c>
      <c r="G45" s="261" t="str">
        <f>_xll.qlFuturesConvAdjustmentQuote($F45,IborIndex,$D45,$E45,Volatility,MeanReversion,Permanent,Trigger,ObjectOverwrite)</f>
        <v>USDFUT3MG7ConvAdj_Quote#0020</v>
      </c>
      <c r="H45" s="76" t="str">
        <f>_xll.ohRangeRetrieveError(G45)</f>
        <v/>
      </c>
    </row>
    <row r="46" spans="1:8" x14ac:dyDescent="0.2">
      <c r="A46" s="149"/>
      <c r="B46" s="148">
        <v>40</v>
      </c>
      <c r="C46" s="146" t="b">
        <v>0</v>
      </c>
      <c r="D46" s="146" t="str">
        <v>H7</v>
      </c>
      <c r="E46" s="261" t="str">
        <f t="shared" si="2"/>
        <v>USDFUT3MH7_Quote</v>
      </c>
      <c r="F46" s="262" t="str">
        <f t="shared" si="3"/>
        <v>USDFUT3MH7ConvAdj_Quote</v>
      </c>
      <c r="G46" s="261" t="str">
        <f>_xll.qlFuturesConvAdjustmentQuote($F46,IborIndex,$D46,$E46,Volatility,MeanReversion,Permanent,Trigger,ObjectOverwrite)</f>
        <v>USDFUT3MH7ConvAdj_Quote#0020</v>
      </c>
      <c r="H46" s="76" t="str">
        <f>_xll.ohRangeRetrieveError(G46)</f>
        <v/>
      </c>
    </row>
    <row r="47" spans="1:8" x14ac:dyDescent="0.2">
      <c r="A47" s="149"/>
      <c r="B47" s="148">
        <v>41</v>
      </c>
      <c r="C47" s="146" t="b">
        <v>0</v>
      </c>
      <c r="D47" s="146" t="str">
        <v>J7</v>
      </c>
      <c r="E47" s="261" t="str">
        <f t="shared" si="2"/>
        <v>USDFUT3MJ7_Quote</v>
      </c>
      <c r="F47" s="262" t="str">
        <f t="shared" si="3"/>
        <v>USDFUT3MJ7ConvAdj_Quote</v>
      </c>
      <c r="G47" s="261" t="str">
        <f>_xll.qlFuturesConvAdjustmentQuote($F47,IborIndex,$D47,$E47,Volatility,MeanReversion,Permanent,Trigger,ObjectOverwrite)</f>
        <v>USDFUT3MJ7ConvAdj_Quote#0020</v>
      </c>
      <c r="H47" s="76" t="str">
        <f>_xll.ohRangeRetrieveError(G47)</f>
        <v/>
      </c>
    </row>
    <row r="48" spans="1:8" x14ac:dyDescent="0.2">
      <c r="A48" s="149"/>
      <c r="B48" s="148">
        <v>42</v>
      </c>
      <c r="C48" s="146" t="b">
        <v>0</v>
      </c>
      <c r="D48" s="146" t="str">
        <v>K7</v>
      </c>
      <c r="E48" s="261" t="str">
        <f t="shared" si="2"/>
        <v>USDFUT3MK7_Quote</v>
      </c>
      <c r="F48" s="262" t="str">
        <f t="shared" si="3"/>
        <v>USDFUT3MK7ConvAdj_Quote</v>
      </c>
      <c r="G48" s="261" t="str">
        <f>_xll.qlFuturesConvAdjustmentQuote($F48,IborIndex,$D48,$E48,Volatility,MeanReversion,Permanent,Trigger,ObjectOverwrite)</f>
        <v>USDFUT3MK7ConvAdj_Quote#0020</v>
      </c>
      <c r="H48" s="76" t="str">
        <f>_xll.ohRangeRetrieveError(G48)</f>
        <v/>
      </c>
    </row>
    <row r="49" spans="1:8" x14ac:dyDescent="0.2">
      <c r="A49" s="149"/>
      <c r="B49" s="148">
        <v>43</v>
      </c>
      <c r="C49" s="146" t="b">
        <v>0</v>
      </c>
      <c r="D49" s="146" t="str">
        <v>M7</v>
      </c>
      <c r="E49" s="261" t="str">
        <f t="shared" si="2"/>
        <v>USDFUT3MM7_Quote</v>
      </c>
      <c r="F49" s="262" t="str">
        <f t="shared" si="3"/>
        <v>USDFUT3MM7ConvAdj_Quote</v>
      </c>
      <c r="G49" s="261" t="str">
        <f>_xll.qlFuturesConvAdjustmentQuote($F49,IborIndex,$D49,$E49,Volatility,MeanReversion,Permanent,Trigger,ObjectOverwrite)</f>
        <v>USDFUT3MM7ConvAdj_Quote#0020</v>
      </c>
      <c r="H49" s="76" t="str">
        <f>_xll.ohRangeRetrieveError(G49)</f>
        <v/>
      </c>
    </row>
    <row r="50" spans="1:8" x14ac:dyDescent="0.2">
      <c r="A50" s="149"/>
      <c r="B50" s="148">
        <v>44</v>
      </c>
      <c r="C50" s="146" t="b">
        <v>0</v>
      </c>
      <c r="D50" s="146" t="str">
        <v>N7</v>
      </c>
      <c r="E50" s="261" t="str">
        <f t="shared" si="2"/>
        <v>USDFUT3MN7_Quote</v>
      </c>
      <c r="F50" s="262" t="str">
        <f t="shared" si="3"/>
        <v>USDFUT3MN7ConvAdj_Quote</v>
      </c>
      <c r="G50" s="261" t="str">
        <f>_xll.qlFuturesConvAdjustmentQuote($F50,IborIndex,$D50,$E50,Volatility,MeanReversion,Permanent,Trigger,ObjectOverwrite)</f>
        <v>USDFUT3MN7ConvAdj_Quote#0020</v>
      </c>
      <c r="H50" s="76" t="str">
        <f>_xll.ohRangeRetrieveError(G50)</f>
        <v/>
      </c>
    </row>
    <row r="51" spans="1:8" x14ac:dyDescent="0.2">
      <c r="A51" s="149"/>
      <c r="B51" s="148">
        <v>45</v>
      </c>
      <c r="C51" s="146" t="b">
        <v>0</v>
      </c>
      <c r="D51" s="146" t="str">
        <v>Q7</v>
      </c>
      <c r="E51" s="261" t="str">
        <f t="shared" si="2"/>
        <v>USDFUT3MQ7_Quote</v>
      </c>
      <c r="F51" s="262" t="str">
        <f t="shared" si="3"/>
        <v>USDFUT3MQ7ConvAdj_Quote</v>
      </c>
      <c r="G51" s="261" t="str">
        <f>_xll.qlFuturesConvAdjustmentQuote($F51,IborIndex,$D51,$E51,Volatility,MeanReversion,Permanent,Trigger,ObjectOverwrite)</f>
        <v>USDFUT3MQ7ConvAdj_Quote#0020</v>
      </c>
      <c r="H51" s="76" t="str">
        <f>_xll.ohRangeRetrieveError(G51)</f>
        <v/>
      </c>
    </row>
    <row r="52" spans="1:8" x14ac:dyDescent="0.2">
      <c r="A52" s="149"/>
      <c r="B52" s="148">
        <v>46</v>
      </c>
      <c r="C52" s="146" t="b">
        <v>0</v>
      </c>
      <c r="D52" s="146" t="str">
        <v>U7</v>
      </c>
      <c r="E52" s="261" t="str">
        <f t="shared" si="2"/>
        <v>USDFUT3MU7_Quote</v>
      </c>
      <c r="F52" s="262" t="str">
        <f t="shared" si="3"/>
        <v>USDFUT3MU7ConvAdj_Quote</v>
      </c>
      <c r="G52" s="261" t="str">
        <f>_xll.qlFuturesConvAdjustmentQuote($F52,IborIndex,$D52,$E52,Volatility,MeanReversion,Permanent,Trigger,ObjectOverwrite)</f>
        <v>USDFUT3MU7ConvAdj_Quote#0020</v>
      </c>
      <c r="H52" s="76" t="str">
        <f>_xll.ohRangeRetrieveError(G52)</f>
        <v/>
      </c>
    </row>
    <row r="53" spans="1:8" x14ac:dyDescent="0.2">
      <c r="A53" s="149"/>
      <c r="B53" s="148">
        <v>47</v>
      </c>
      <c r="C53" s="146" t="b">
        <v>0</v>
      </c>
      <c r="D53" s="146" t="str">
        <v>V7</v>
      </c>
      <c r="E53" s="261" t="str">
        <f t="shared" si="2"/>
        <v>USDFUT3MV7_Quote</v>
      </c>
      <c r="F53" s="262" t="str">
        <f t="shared" si="3"/>
        <v>USDFUT3MV7ConvAdj_Quote</v>
      </c>
      <c r="G53" s="261" t="str">
        <f>_xll.qlFuturesConvAdjustmentQuote($F53,IborIndex,$D53,$E53,Volatility,MeanReversion,Permanent,Trigger,ObjectOverwrite)</f>
        <v>USDFUT3MV7ConvAdj_Quote#0020</v>
      </c>
      <c r="H53" s="76" t="str">
        <f>_xll.ohRangeRetrieveError(G53)</f>
        <v/>
      </c>
    </row>
    <row r="54" spans="1:8" x14ac:dyDescent="0.2">
      <c r="A54" s="149"/>
      <c r="B54" s="148">
        <v>48</v>
      </c>
      <c r="C54" s="146" t="b">
        <v>0</v>
      </c>
      <c r="D54" s="146" t="str">
        <v>X7</v>
      </c>
      <c r="E54" s="261" t="str">
        <f t="shared" si="2"/>
        <v>USDFUT3MX7_Quote</v>
      </c>
      <c r="F54" s="262" t="str">
        <f t="shared" si="3"/>
        <v>USDFUT3MX7ConvAdj_Quote</v>
      </c>
      <c r="G54" s="261" t="str">
        <f>_xll.qlFuturesConvAdjustmentQuote($F54,IborIndex,$D54,$E54,Volatility,MeanReversion,Permanent,Trigger,ObjectOverwrite)</f>
        <v>USDFUT3MX7ConvAdj_Quote#0020</v>
      </c>
      <c r="H54" s="76" t="str">
        <f>_xll.ohRangeRetrieveError(G54)</f>
        <v/>
      </c>
    </row>
    <row r="55" spans="1:8" x14ac:dyDescent="0.2">
      <c r="A55" s="149"/>
      <c r="B55" s="148">
        <v>49</v>
      </c>
      <c r="C55" s="146" t="b">
        <v>0</v>
      </c>
      <c r="D55" s="146" t="str">
        <v>Z7</v>
      </c>
      <c r="E55" s="261" t="str">
        <f t="shared" si="2"/>
        <v>USDFUT3MZ7_Quote</v>
      </c>
      <c r="F55" s="262" t="str">
        <f t="shared" si="3"/>
        <v>USDFUT3MZ7ConvAdj_Quote</v>
      </c>
      <c r="G55" s="261" t="str">
        <f>_xll.qlFuturesConvAdjustmentQuote($F55,IborIndex,$D55,$E55,Volatility,MeanReversion,Permanent,Trigger,ObjectOverwrite)</f>
        <v>USDFUT3MZ7ConvAdj_Quote#0020</v>
      </c>
      <c r="H55" s="76" t="str">
        <f>_xll.ohRangeRetrieveError(G55)</f>
        <v/>
      </c>
    </row>
    <row r="56" spans="1:8" x14ac:dyDescent="0.2">
      <c r="A56" s="149"/>
      <c r="B56" s="148">
        <v>50</v>
      </c>
      <c r="C56" s="146" t="b">
        <v>0</v>
      </c>
      <c r="D56" s="146" t="str">
        <v>F8</v>
      </c>
      <c r="E56" s="261" t="str">
        <f t="shared" si="2"/>
        <v>USDFUT3MF8_Quote</v>
      </c>
      <c r="F56" s="262" t="str">
        <f t="shared" si="3"/>
        <v>USDFUT3MF8ConvAdj_Quote</v>
      </c>
      <c r="G56" s="261" t="str">
        <f>_xll.qlFuturesConvAdjustmentQuote($F56,IborIndex,$D56,$E56,Volatility,MeanReversion,Permanent,Trigger,ObjectOverwrite)</f>
        <v>USDFUT3MF8ConvAdj_Quote#0020</v>
      </c>
      <c r="H56" s="76" t="str">
        <f>_xll.ohRangeRetrieveError(G56)</f>
        <v/>
      </c>
    </row>
    <row r="57" spans="1:8" x14ac:dyDescent="0.2">
      <c r="A57" s="149"/>
      <c r="B57" s="148">
        <v>51</v>
      </c>
      <c r="C57" s="146" t="b">
        <v>0</v>
      </c>
      <c r="D57" s="146" t="str">
        <v>G8</v>
      </c>
      <c r="E57" s="261" t="str">
        <f t="shared" si="2"/>
        <v>USDFUT3MG8_Quote</v>
      </c>
      <c r="F57" s="262" t="str">
        <f t="shared" si="3"/>
        <v>USDFUT3MG8ConvAdj_Quote</v>
      </c>
      <c r="G57" s="261" t="str">
        <f>_xll.qlFuturesConvAdjustmentQuote($F57,IborIndex,$D57,$E57,Volatility,MeanReversion,Permanent,Trigger,ObjectOverwrite)</f>
        <v>USDFUT3MG8ConvAdj_Quote#0020</v>
      </c>
      <c r="H57" s="76" t="str">
        <f>_xll.ohRangeRetrieveError(G57)</f>
        <v/>
      </c>
    </row>
    <row r="58" spans="1:8" x14ac:dyDescent="0.2">
      <c r="A58" s="149"/>
      <c r="B58" s="148">
        <v>52</v>
      </c>
      <c r="C58" s="146" t="b">
        <v>0</v>
      </c>
      <c r="D58" s="146" t="str">
        <v>H8</v>
      </c>
      <c r="E58" s="261" t="str">
        <f t="shared" si="2"/>
        <v>USDFUT3MH8_Quote</v>
      </c>
      <c r="F58" s="262" t="str">
        <f t="shared" si="3"/>
        <v>USDFUT3MH8ConvAdj_Quote</v>
      </c>
      <c r="G58" s="261" t="str">
        <f>_xll.qlFuturesConvAdjustmentQuote($F58,IborIndex,$D58,$E58,Volatility,MeanReversion,Permanent,Trigger,ObjectOverwrite)</f>
        <v>USDFUT3MH8ConvAdj_Quote#0020</v>
      </c>
      <c r="H58" s="76" t="str">
        <f>_xll.ohRangeRetrieveError(G58)</f>
        <v/>
      </c>
    </row>
    <row r="59" spans="1:8" x14ac:dyDescent="0.2">
      <c r="A59" s="149"/>
      <c r="B59" s="148">
        <v>53</v>
      </c>
      <c r="C59" s="146" t="b">
        <v>0</v>
      </c>
      <c r="D59" s="146" t="str">
        <v>J8</v>
      </c>
      <c r="E59" s="261" t="str">
        <f t="shared" si="2"/>
        <v>USDFUT3MJ8_Quote</v>
      </c>
      <c r="F59" s="262" t="str">
        <f t="shared" si="3"/>
        <v>USDFUT3MJ8ConvAdj_Quote</v>
      </c>
      <c r="G59" s="261" t="str">
        <f>_xll.qlFuturesConvAdjustmentQuote($F59,IborIndex,$D59,$E59,Volatility,MeanReversion,Permanent,Trigger,ObjectOverwrite)</f>
        <v>USDFUT3MJ8ConvAdj_Quote#0020</v>
      </c>
      <c r="H59" s="76" t="str">
        <f>_xll.ohRangeRetrieveError(G59)</f>
        <v/>
      </c>
    </row>
    <row r="60" spans="1:8" x14ac:dyDescent="0.2">
      <c r="A60" s="149"/>
      <c r="B60" s="148">
        <v>54</v>
      </c>
      <c r="C60" s="146" t="b">
        <v>0</v>
      </c>
      <c r="D60" s="146" t="str">
        <v>K8</v>
      </c>
      <c r="E60" s="261" t="str">
        <f t="shared" si="2"/>
        <v>USDFUT3MK8_Quote</v>
      </c>
      <c r="F60" s="262" t="str">
        <f t="shared" si="3"/>
        <v>USDFUT3MK8ConvAdj_Quote</v>
      </c>
      <c r="G60" s="261" t="str">
        <f>_xll.qlFuturesConvAdjustmentQuote($F60,IborIndex,$D60,$E60,Volatility,MeanReversion,Permanent,Trigger,ObjectOverwrite)</f>
        <v>USDFUT3MK8ConvAdj_Quote#0020</v>
      </c>
      <c r="H60" s="76" t="str">
        <f>_xll.ohRangeRetrieveError(G60)</f>
        <v/>
      </c>
    </row>
    <row r="61" spans="1:8" x14ac:dyDescent="0.2">
      <c r="A61" s="149"/>
      <c r="B61" s="148">
        <v>55</v>
      </c>
      <c r="C61" s="146" t="b">
        <v>0</v>
      </c>
      <c r="D61" s="146" t="str">
        <v>M8</v>
      </c>
      <c r="E61" s="261" t="str">
        <f t="shared" si="2"/>
        <v>USDFUT3MM8_Quote</v>
      </c>
      <c r="F61" s="262" t="str">
        <f t="shared" si="3"/>
        <v>USDFUT3MM8ConvAdj_Quote</v>
      </c>
      <c r="G61" s="261" t="str">
        <f>_xll.qlFuturesConvAdjustmentQuote($F61,IborIndex,$D61,$E61,Volatility,MeanReversion,Permanent,Trigger,ObjectOverwrite)</f>
        <v>USDFUT3MM8ConvAdj_Quote#0020</v>
      </c>
      <c r="H61" s="76" t="str">
        <f>_xll.ohRangeRetrieveError(G61)</f>
        <v/>
      </c>
    </row>
    <row r="62" spans="1:8" x14ac:dyDescent="0.2">
      <c r="A62" s="149"/>
      <c r="B62" s="148">
        <v>56</v>
      </c>
      <c r="C62" s="146" t="b">
        <v>0</v>
      </c>
      <c r="D62" s="146" t="str">
        <v>N8</v>
      </c>
      <c r="E62" s="261" t="str">
        <f t="shared" si="2"/>
        <v>USDFUT3MN8_Quote</v>
      </c>
      <c r="F62" s="262" t="str">
        <f t="shared" si="3"/>
        <v>USDFUT3MN8ConvAdj_Quote</v>
      </c>
      <c r="G62" s="261" t="str">
        <f>_xll.qlFuturesConvAdjustmentQuote($F62,IborIndex,$D62,$E62,Volatility,MeanReversion,Permanent,Trigger,ObjectOverwrite)</f>
        <v>USDFUT3MN8ConvAdj_Quote#0020</v>
      </c>
      <c r="H62" s="76" t="str">
        <f>_xll.ohRangeRetrieveError(G62)</f>
        <v/>
      </c>
    </row>
    <row r="63" spans="1:8" x14ac:dyDescent="0.2">
      <c r="A63" s="149"/>
      <c r="B63" s="148">
        <v>57</v>
      </c>
      <c r="C63" s="146" t="b">
        <v>0</v>
      </c>
      <c r="D63" s="146" t="str">
        <v>Q8</v>
      </c>
      <c r="E63" s="261" t="str">
        <f t="shared" si="2"/>
        <v>USDFUT3MQ8_Quote</v>
      </c>
      <c r="F63" s="262" t="str">
        <f t="shared" si="3"/>
        <v>USDFUT3MQ8ConvAdj_Quote</v>
      </c>
      <c r="G63" s="261" t="str">
        <f>_xll.qlFuturesConvAdjustmentQuote($F63,IborIndex,$D63,$E63,Volatility,MeanReversion,Permanent,Trigger,ObjectOverwrite)</f>
        <v>USDFUT3MQ8ConvAdj_Quote#0020</v>
      </c>
      <c r="H63" s="76" t="str">
        <f>_xll.ohRangeRetrieveError(G63)</f>
        <v/>
      </c>
    </row>
    <row r="64" spans="1:8" x14ac:dyDescent="0.2">
      <c r="A64" s="149"/>
      <c r="B64" s="148">
        <v>58</v>
      </c>
      <c r="C64" s="146" t="b">
        <v>0</v>
      </c>
      <c r="D64" s="146" t="str">
        <v>U8</v>
      </c>
      <c r="E64" s="261" t="str">
        <f t="shared" si="2"/>
        <v>USDFUT3MU8_Quote</v>
      </c>
      <c r="F64" s="262" t="str">
        <f t="shared" si="3"/>
        <v>USDFUT3MU8ConvAdj_Quote</v>
      </c>
      <c r="G64" s="261" t="str">
        <f>_xll.qlFuturesConvAdjustmentQuote($F64,IborIndex,$D64,$E64,Volatility,MeanReversion,Permanent,Trigger,ObjectOverwrite)</f>
        <v>USDFUT3MU8ConvAdj_Quote#0020</v>
      </c>
      <c r="H64" s="76" t="str">
        <f>_xll.ohRangeRetrieveError(G64)</f>
        <v/>
      </c>
    </row>
    <row r="65" spans="1:8" x14ac:dyDescent="0.2">
      <c r="A65" s="149"/>
      <c r="B65" s="148">
        <v>59</v>
      </c>
      <c r="C65" s="146" t="b">
        <v>0</v>
      </c>
      <c r="D65" s="146" t="str">
        <v>V8</v>
      </c>
      <c r="E65" s="261" t="str">
        <f t="shared" si="2"/>
        <v>USDFUT3MV8_Quote</v>
      </c>
      <c r="F65" s="262" t="str">
        <f t="shared" si="3"/>
        <v>USDFUT3MV8ConvAdj_Quote</v>
      </c>
      <c r="G65" s="261" t="str">
        <f>_xll.qlFuturesConvAdjustmentQuote($F65,IborIndex,$D65,$E65,Volatility,MeanReversion,Permanent,Trigger,ObjectOverwrite)</f>
        <v>USDFUT3MV8ConvAdj_Quote#0020</v>
      </c>
      <c r="H65" s="76" t="str">
        <f>_xll.ohRangeRetrieveError(G65)</f>
        <v/>
      </c>
    </row>
    <row r="66" spans="1:8" x14ac:dyDescent="0.2">
      <c r="A66" s="149"/>
      <c r="B66" s="148">
        <v>60</v>
      </c>
      <c r="C66" s="146" t="b">
        <v>0</v>
      </c>
      <c r="D66" s="146" t="str">
        <v>X8</v>
      </c>
      <c r="E66" s="261" t="str">
        <f t="shared" si="2"/>
        <v>USDFUT3MX8_Quote</v>
      </c>
      <c r="F66" s="262" t="str">
        <f t="shared" si="3"/>
        <v>USDFUT3MX8ConvAdj_Quote</v>
      </c>
      <c r="G66" s="261" t="str">
        <f>_xll.qlFuturesConvAdjustmentQuote($F66,IborIndex,$D66,$E66,Volatility,MeanReversion,Permanent,Trigger,ObjectOverwrite)</f>
        <v>USDFUT3MX8ConvAdj_Quote#0020</v>
      </c>
      <c r="H66" s="76" t="str">
        <f>_xll.ohRangeRetrieveError(G66)</f>
        <v/>
      </c>
    </row>
    <row r="67" spans="1:8" x14ac:dyDescent="0.2">
      <c r="A67" s="149"/>
      <c r="B67" s="148">
        <v>61</v>
      </c>
      <c r="C67" s="146" t="b">
        <v>0</v>
      </c>
      <c r="D67" s="146" t="str">
        <v>Z8</v>
      </c>
      <c r="E67" s="261" t="str">
        <f t="shared" si="2"/>
        <v>USDFUT3MZ8_Quote</v>
      </c>
      <c r="F67" s="262" t="str">
        <f t="shared" si="3"/>
        <v>USDFUT3MZ8ConvAdj_Quote</v>
      </c>
      <c r="G67" s="261" t="str">
        <f>_xll.qlFuturesConvAdjustmentQuote($F67,IborIndex,$D67,$E67,Volatility,MeanReversion,Permanent,Trigger,ObjectOverwrite)</f>
        <v>USDFUT3MZ8ConvAdj_Quote#0020</v>
      </c>
      <c r="H67" s="76" t="str">
        <f>_xll.ohRangeRetrieveError(G67)</f>
        <v/>
      </c>
    </row>
    <row r="68" spans="1:8" x14ac:dyDescent="0.2">
      <c r="A68" s="149"/>
      <c r="B68" s="148">
        <v>62</v>
      </c>
      <c r="C68" s="146" t="b">
        <v>0</v>
      </c>
      <c r="D68" s="146" t="str">
        <v>F9</v>
      </c>
      <c r="E68" s="261" t="str">
        <f t="shared" si="2"/>
        <v>USDFUT3MF9_Quote</v>
      </c>
      <c r="F68" s="262" t="str">
        <f t="shared" si="3"/>
        <v>USDFUT3MF9ConvAdj_Quote</v>
      </c>
      <c r="G68" s="261" t="str">
        <f>_xll.qlFuturesConvAdjustmentQuote($F68,IborIndex,$D68,$E68,Volatility,MeanReversion,Permanent,Trigger,ObjectOverwrite)</f>
        <v>USDFUT3MF9ConvAdj_Quote#0020</v>
      </c>
      <c r="H68" s="76" t="str">
        <f>_xll.ohRangeRetrieveError(G68)</f>
        <v/>
      </c>
    </row>
    <row r="69" spans="1:8" x14ac:dyDescent="0.2">
      <c r="A69" s="149"/>
      <c r="B69" s="148">
        <v>63</v>
      </c>
      <c r="C69" s="146" t="b">
        <v>0</v>
      </c>
      <c r="D69" s="146" t="str">
        <v>G9</v>
      </c>
      <c r="E69" s="261" t="str">
        <f t="shared" si="2"/>
        <v>USDFUT3MG9_Quote</v>
      </c>
      <c r="F69" s="262" t="str">
        <f t="shared" si="3"/>
        <v>USDFUT3MG9ConvAdj_Quote</v>
      </c>
      <c r="G69" s="261" t="str">
        <f>_xll.qlFuturesConvAdjustmentQuote($F69,IborIndex,$D69,$E69,Volatility,MeanReversion,Permanent,Trigger,ObjectOverwrite)</f>
        <v>USDFUT3MG9ConvAdj_Quote#0020</v>
      </c>
      <c r="H69" s="76" t="str">
        <f>_xll.ohRangeRetrieveError(G69)</f>
        <v/>
      </c>
    </row>
    <row r="70" spans="1:8" x14ac:dyDescent="0.2">
      <c r="A70" s="149"/>
      <c r="B70" s="148">
        <v>64</v>
      </c>
      <c r="C70" s="146" t="b">
        <v>0</v>
      </c>
      <c r="D70" s="146" t="str">
        <v>H9</v>
      </c>
      <c r="E70" s="261" t="str">
        <f t="shared" si="2"/>
        <v>USDFUT3MH9_Quote</v>
      </c>
      <c r="F70" s="262" t="str">
        <f t="shared" si="3"/>
        <v>USDFUT3MH9ConvAdj_Quote</v>
      </c>
      <c r="G70" s="261" t="str">
        <f>_xll.qlFuturesConvAdjustmentQuote($F70,IborIndex,$D70,$E70,Volatility,MeanReversion,Permanent,Trigger,ObjectOverwrite)</f>
        <v>USDFUT3MH9ConvAdj_Quote#0020</v>
      </c>
      <c r="H70" s="76" t="str">
        <f>_xll.ohRangeRetrieveError(G70)</f>
        <v/>
      </c>
    </row>
    <row r="71" spans="1:8" x14ac:dyDescent="0.2">
      <c r="A71" s="149"/>
      <c r="B71" s="148">
        <v>65</v>
      </c>
      <c r="C71" s="146" t="b">
        <v>0</v>
      </c>
      <c r="D71" s="146" t="str">
        <v>J9</v>
      </c>
      <c r="E71" s="261" t="str">
        <f t="shared" ref="E71:E102" si="4">Currency&amp;"FUT"&amp;$G$4&amp;$D71&amp;QuoteSuffix</f>
        <v>USDFUT3MJ9_Quote</v>
      </c>
      <c r="F71" s="262" t="str">
        <f t="shared" ref="F71:F102" si="5">Currency&amp;"FUT"&amp;$G$4&amp;$D71&amp;"ConvAdj"&amp;QuoteSuffix</f>
        <v>USDFUT3MJ9ConvAdj_Quote</v>
      </c>
      <c r="G71" s="261" t="str">
        <f>_xll.qlFuturesConvAdjustmentQuote($F71,IborIndex,$D71,$E71,Volatility,MeanReversion,Permanent,Trigger,ObjectOverwrite)</f>
        <v>USDFUT3MJ9ConvAdj_Quote#0020</v>
      </c>
      <c r="H71" s="76" t="str">
        <f>_xll.ohRangeRetrieveError(G71)</f>
        <v/>
      </c>
    </row>
    <row r="72" spans="1:8" x14ac:dyDescent="0.2">
      <c r="A72" s="149"/>
      <c r="B72" s="148">
        <v>66</v>
      </c>
      <c r="C72" s="146" t="b">
        <v>0</v>
      </c>
      <c r="D72" s="146" t="str">
        <v>K9</v>
      </c>
      <c r="E72" s="261" t="str">
        <f t="shared" si="4"/>
        <v>USDFUT3MK9_Quote</v>
      </c>
      <c r="F72" s="262" t="str">
        <f t="shared" si="5"/>
        <v>USDFUT3MK9ConvAdj_Quote</v>
      </c>
      <c r="G72" s="261" t="str">
        <f>_xll.qlFuturesConvAdjustmentQuote($F72,IborIndex,$D72,$E72,Volatility,MeanReversion,Permanent,Trigger,ObjectOverwrite)</f>
        <v>USDFUT3MK9ConvAdj_Quote#0020</v>
      </c>
      <c r="H72" s="76" t="str">
        <f>_xll.ohRangeRetrieveError(G72)</f>
        <v/>
      </c>
    </row>
    <row r="73" spans="1:8" x14ac:dyDescent="0.2">
      <c r="A73" s="149"/>
      <c r="B73" s="148">
        <v>67</v>
      </c>
      <c r="C73" s="146" t="b">
        <v>0</v>
      </c>
      <c r="D73" s="146" t="str">
        <v>M9</v>
      </c>
      <c r="E73" s="261" t="str">
        <f t="shared" si="4"/>
        <v>USDFUT3MM9_Quote</v>
      </c>
      <c r="F73" s="262" t="str">
        <f t="shared" si="5"/>
        <v>USDFUT3MM9ConvAdj_Quote</v>
      </c>
      <c r="G73" s="261" t="str">
        <f>_xll.qlFuturesConvAdjustmentQuote($F73,IborIndex,$D73,$E73,Volatility,MeanReversion,Permanent,Trigger,ObjectOverwrite)</f>
        <v>USDFUT3MM9ConvAdj_Quote#0020</v>
      </c>
      <c r="H73" s="76" t="str">
        <f>_xll.ohRangeRetrieveError(G73)</f>
        <v/>
      </c>
    </row>
    <row r="74" spans="1:8" x14ac:dyDescent="0.2">
      <c r="A74" s="149"/>
      <c r="B74" s="148">
        <v>68</v>
      </c>
      <c r="C74" s="146" t="b">
        <v>0</v>
      </c>
      <c r="D74" s="146" t="str">
        <v>N9</v>
      </c>
      <c r="E74" s="261" t="str">
        <f t="shared" si="4"/>
        <v>USDFUT3MN9_Quote</v>
      </c>
      <c r="F74" s="262" t="str">
        <f t="shared" si="5"/>
        <v>USDFUT3MN9ConvAdj_Quote</v>
      </c>
      <c r="G74" s="261" t="str">
        <f>_xll.qlFuturesConvAdjustmentQuote($F74,IborIndex,$D74,$E74,Volatility,MeanReversion,Permanent,Trigger,ObjectOverwrite)</f>
        <v>USDFUT3MN9ConvAdj_Quote#0020</v>
      </c>
      <c r="H74" s="76" t="str">
        <f>_xll.ohRangeRetrieveError(G74)</f>
        <v/>
      </c>
    </row>
    <row r="75" spans="1:8" x14ac:dyDescent="0.2">
      <c r="A75" s="149"/>
      <c r="B75" s="148">
        <v>69</v>
      </c>
      <c r="C75" s="146" t="b">
        <v>0</v>
      </c>
      <c r="D75" s="146" t="str">
        <v>Q9</v>
      </c>
      <c r="E75" s="261" t="str">
        <f t="shared" si="4"/>
        <v>USDFUT3MQ9_Quote</v>
      </c>
      <c r="F75" s="262" t="str">
        <f t="shared" si="5"/>
        <v>USDFUT3MQ9ConvAdj_Quote</v>
      </c>
      <c r="G75" s="261" t="str">
        <f>_xll.qlFuturesConvAdjustmentQuote($F75,IborIndex,$D75,$E75,Volatility,MeanReversion,Permanent,Trigger,ObjectOverwrite)</f>
        <v>USDFUT3MQ9ConvAdj_Quote#0020</v>
      </c>
      <c r="H75" s="76" t="str">
        <f>_xll.ohRangeRetrieveError(G75)</f>
        <v/>
      </c>
    </row>
    <row r="76" spans="1:8" x14ac:dyDescent="0.2">
      <c r="A76" s="149"/>
      <c r="B76" s="148">
        <v>70</v>
      </c>
      <c r="C76" s="146" t="b">
        <v>0</v>
      </c>
      <c r="D76" s="146" t="str">
        <v>U9</v>
      </c>
      <c r="E76" s="261" t="str">
        <f t="shared" si="4"/>
        <v>USDFUT3MU9_Quote</v>
      </c>
      <c r="F76" s="262" t="str">
        <f t="shared" si="5"/>
        <v>USDFUT3MU9ConvAdj_Quote</v>
      </c>
      <c r="G76" s="261" t="str">
        <f>_xll.qlFuturesConvAdjustmentQuote($F76,IborIndex,$D76,$E76,Volatility,MeanReversion,Permanent,Trigger,ObjectOverwrite)</f>
        <v>USDFUT3MU9ConvAdj_Quote#0020</v>
      </c>
      <c r="H76" s="76" t="str">
        <f>_xll.ohRangeRetrieveError(G76)</f>
        <v/>
      </c>
    </row>
    <row r="77" spans="1:8" x14ac:dyDescent="0.2">
      <c r="A77" s="149"/>
      <c r="B77" s="148">
        <v>71</v>
      </c>
      <c r="C77" s="146" t="b">
        <v>0</v>
      </c>
      <c r="D77" s="146" t="str">
        <v>V9</v>
      </c>
      <c r="E77" s="261" t="str">
        <f t="shared" si="4"/>
        <v>USDFUT3MV9_Quote</v>
      </c>
      <c r="F77" s="262" t="str">
        <f t="shared" si="5"/>
        <v>USDFUT3MV9ConvAdj_Quote</v>
      </c>
      <c r="G77" s="261" t="str">
        <f>_xll.qlFuturesConvAdjustmentQuote($F77,IborIndex,$D77,$E77,Volatility,MeanReversion,Permanent,Trigger,ObjectOverwrite)</f>
        <v>USDFUT3MV9ConvAdj_Quote#0020</v>
      </c>
      <c r="H77" s="76" t="str">
        <f>_xll.ohRangeRetrieveError(G77)</f>
        <v/>
      </c>
    </row>
    <row r="78" spans="1:8" x14ac:dyDescent="0.2">
      <c r="A78" s="149"/>
      <c r="B78" s="148">
        <v>72</v>
      </c>
      <c r="C78" s="146" t="b">
        <v>0</v>
      </c>
      <c r="D78" s="146" t="str">
        <v>X9</v>
      </c>
      <c r="E78" s="261" t="str">
        <f t="shared" si="4"/>
        <v>USDFUT3MX9_Quote</v>
      </c>
      <c r="F78" s="262" t="str">
        <f t="shared" si="5"/>
        <v>USDFUT3MX9ConvAdj_Quote</v>
      </c>
      <c r="G78" s="261" t="str">
        <f>_xll.qlFuturesConvAdjustmentQuote($F78,IborIndex,$D78,$E78,Volatility,MeanReversion,Permanent,Trigger,ObjectOverwrite)</f>
        <v>USDFUT3MX9ConvAdj_Quote#0020</v>
      </c>
      <c r="H78" s="76" t="str">
        <f>_xll.ohRangeRetrieveError(G78)</f>
        <v/>
      </c>
    </row>
    <row r="79" spans="1:8" x14ac:dyDescent="0.2">
      <c r="A79" s="149"/>
      <c r="B79" s="148">
        <v>73</v>
      </c>
      <c r="C79" s="146" t="b">
        <v>0</v>
      </c>
      <c r="D79" s="146" t="str">
        <v>Z9</v>
      </c>
      <c r="E79" s="261" t="str">
        <f t="shared" si="4"/>
        <v>USDFUT3MZ9_Quote</v>
      </c>
      <c r="F79" s="262" t="str">
        <f t="shared" si="5"/>
        <v>USDFUT3MZ9ConvAdj_Quote</v>
      </c>
      <c r="G79" s="261" t="str">
        <f>_xll.qlFuturesConvAdjustmentQuote($F79,IborIndex,$D79,$E79,Volatility,MeanReversion,Permanent,Trigger,ObjectOverwrite)</f>
        <v>USDFUT3MZ9ConvAdj_Quote#0020</v>
      </c>
      <c r="H79" s="76" t="str">
        <f>_xll.ohRangeRetrieveError(G79)</f>
        <v/>
      </c>
    </row>
    <row r="80" spans="1:8" x14ac:dyDescent="0.2">
      <c r="A80" s="149"/>
      <c r="B80" s="148">
        <v>74</v>
      </c>
      <c r="C80" s="146" t="b">
        <v>0</v>
      </c>
      <c r="D80" s="146" t="str">
        <v>F0</v>
      </c>
      <c r="E80" s="261" t="str">
        <f t="shared" si="4"/>
        <v>USDFUT3MF0_Quote</v>
      </c>
      <c r="F80" s="262" t="str">
        <f t="shared" si="5"/>
        <v>USDFUT3MF0ConvAdj_Quote</v>
      </c>
      <c r="G80" s="261" t="str">
        <f>_xll.qlFuturesConvAdjustmentQuote($F80,IborIndex,$D80,$E80,Volatility,MeanReversion,Permanent,Trigger,ObjectOverwrite)</f>
        <v>USDFUT3MF0ConvAdj_Quote#0020</v>
      </c>
      <c r="H80" s="76" t="str">
        <f>_xll.ohRangeRetrieveError(G80)</f>
        <v/>
      </c>
    </row>
    <row r="81" spans="1:8" x14ac:dyDescent="0.2">
      <c r="A81" s="149"/>
      <c r="B81" s="148">
        <v>75</v>
      </c>
      <c r="C81" s="146" t="b">
        <v>0</v>
      </c>
      <c r="D81" s="146" t="str">
        <v>G0</v>
      </c>
      <c r="E81" s="261" t="str">
        <f t="shared" si="4"/>
        <v>USDFUT3MG0_Quote</v>
      </c>
      <c r="F81" s="262" t="str">
        <f t="shared" si="5"/>
        <v>USDFUT3MG0ConvAdj_Quote</v>
      </c>
      <c r="G81" s="261" t="str">
        <f>_xll.qlFuturesConvAdjustmentQuote($F81,IborIndex,$D81,$E81,Volatility,MeanReversion,Permanent,Trigger,ObjectOverwrite)</f>
        <v>USDFUT3MG0ConvAdj_Quote#0020</v>
      </c>
      <c r="H81" s="76" t="str">
        <f>_xll.ohRangeRetrieveError(G81)</f>
        <v/>
      </c>
    </row>
    <row r="82" spans="1:8" x14ac:dyDescent="0.2">
      <c r="A82" s="149"/>
      <c r="B82" s="148">
        <v>76</v>
      </c>
      <c r="C82" s="146" t="b">
        <v>0</v>
      </c>
      <c r="D82" s="146" t="str">
        <v>H0</v>
      </c>
      <c r="E82" s="261" t="str">
        <f t="shared" si="4"/>
        <v>USDFUT3MH0_Quote</v>
      </c>
      <c r="F82" s="262" t="str">
        <f t="shared" si="5"/>
        <v>USDFUT3MH0ConvAdj_Quote</v>
      </c>
      <c r="G82" s="261" t="str">
        <f>_xll.qlFuturesConvAdjustmentQuote($F82,IborIndex,$D82,$E82,Volatility,MeanReversion,Permanent,Trigger,ObjectOverwrite)</f>
        <v>USDFUT3MH0ConvAdj_Quote#0020</v>
      </c>
      <c r="H82" s="76" t="str">
        <f>_xll.ohRangeRetrieveError(G82)</f>
        <v/>
      </c>
    </row>
    <row r="83" spans="1:8" x14ac:dyDescent="0.2">
      <c r="A83" s="149"/>
      <c r="B83" s="148">
        <v>77</v>
      </c>
      <c r="C83" s="146" t="b">
        <v>0</v>
      </c>
      <c r="D83" s="146" t="str">
        <v>J0</v>
      </c>
      <c r="E83" s="261" t="str">
        <f t="shared" si="4"/>
        <v>USDFUT3MJ0_Quote</v>
      </c>
      <c r="F83" s="262" t="str">
        <f t="shared" si="5"/>
        <v>USDFUT3MJ0ConvAdj_Quote</v>
      </c>
      <c r="G83" s="261" t="str">
        <f>_xll.qlFuturesConvAdjustmentQuote($F83,IborIndex,$D83,$E83,Volatility,MeanReversion,Permanent,Trigger,ObjectOverwrite)</f>
        <v>USDFUT3MJ0ConvAdj_Quote#0020</v>
      </c>
      <c r="H83" s="76" t="str">
        <f>_xll.ohRangeRetrieveError(G83)</f>
        <v/>
      </c>
    </row>
    <row r="84" spans="1:8" x14ac:dyDescent="0.2">
      <c r="A84" s="149"/>
      <c r="B84" s="148">
        <v>78</v>
      </c>
      <c r="C84" s="146" t="b">
        <v>0</v>
      </c>
      <c r="D84" s="146" t="str">
        <v>K0</v>
      </c>
      <c r="E84" s="261" t="str">
        <f t="shared" si="4"/>
        <v>USDFUT3MK0_Quote</v>
      </c>
      <c r="F84" s="262" t="str">
        <f t="shared" si="5"/>
        <v>USDFUT3MK0ConvAdj_Quote</v>
      </c>
      <c r="G84" s="261" t="str">
        <f>_xll.qlFuturesConvAdjustmentQuote($F84,IborIndex,$D84,$E84,Volatility,MeanReversion,Permanent,Trigger,ObjectOverwrite)</f>
        <v>USDFUT3MK0ConvAdj_Quote#0020</v>
      </c>
      <c r="H84" s="76" t="str">
        <f>_xll.ohRangeRetrieveError(G84)</f>
        <v/>
      </c>
    </row>
    <row r="85" spans="1:8" x14ac:dyDescent="0.2">
      <c r="A85" s="149"/>
      <c r="B85" s="148">
        <v>79</v>
      </c>
      <c r="C85" s="146" t="b">
        <v>0</v>
      </c>
      <c r="D85" s="146" t="str">
        <v>M0</v>
      </c>
      <c r="E85" s="261" t="str">
        <f t="shared" si="4"/>
        <v>USDFUT3MM0_Quote</v>
      </c>
      <c r="F85" s="262" t="str">
        <f t="shared" si="5"/>
        <v>USDFUT3MM0ConvAdj_Quote</v>
      </c>
      <c r="G85" s="261" t="str">
        <f>_xll.qlFuturesConvAdjustmentQuote($F85,IborIndex,$D85,$E85,Volatility,MeanReversion,Permanent,Trigger,ObjectOverwrite)</f>
        <v>USDFUT3MM0ConvAdj_Quote#0020</v>
      </c>
      <c r="H85" s="76" t="str">
        <f>_xll.ohRangeRetrieveError(G85)</f>
        <v/>
      </c>
    </row>
    <row r="86" spans="1:8" x14ac:dyDescent="0.2">
      <c r="A86" s="149"/>
      <c r="B86" s="148">
        <v>80</v>
      </c>
      <c r="C86" s="146" t="b">
        <v>0</v>
      </c>
      <c r="D86" s="146" t="str">
        <v>N0</v>
      </c>
      <c r="E86" s="261" t="str">
        <f t="shared" si="4"/>
        <v>USDFUT3MN0_Quote</v>
      </c>
      <c r="F86" s="262" t="str">
        <f t="shared" si="5"/>
        <v>USDFUT3MN0ConvAdj_Quote</v>
      </c>
      <c r="G86" s="261" t="str">
        <f>_xll.qlFuturesConvAdjustmentQuote($F86,IborIndex,$D86,$E86,Volatility,MeanReversion,Permanent,Trigger,ObjectOverwrite)</f>
        <v>USDFUT3MN0ConvAdj_Quote#0020</v>
      </c>
      <c r="H86" s="76" t="str">
        <f>_xll.ohRangeRetrieveError(G86)</f>
        <v/>
      </c>
    </row>
    <row r="87" spans="1:8" x14ac:dyDescent="0.2">
      <c r="A87" s="149"/>
      <c r="B87" s="148">
        <v>81</v>
      </c>
      <c r="C87" s="146" t="b">
        <v>0</v>
      </c>
      <c r="D87" s="146" t="str">
        <v>Q0</v>
      </c>
      <c r="E87" s="261" t="str">
        <f t="shared" si="4"/>
        <v>USDFUT3MQ0_Quote</v>
      </c>
      <c r="F87" s="262" t="str">
        <f t="shared" si="5"/>
        <v>USDFUT3MQ0ConvAdj_Quote</v>
      </c>
      <c r="G87" s="261" t="str">
        <f>_xll.qlFuturesConvAdjustmentQuote($F87,IborIndex,$D87,$E87,Volatility,MeanReversion,Permanent,Trigger,ObjectOverwrite)</f>
        <v>USDFUT3MQ0ConvAdj_Quote#0020</v>
      </c>
      <c r="H87" s="76" t="str">
        <f>_xll.ohRangeRetrieveError(G87)</f>
        <v/>
      </c>
    </row>
    <row r="88" spans="1:8" x14ac:dyDescent="0.2">
      <c r="A88" s="149"/>
      <c r="B88" s="148">
        <v>82</v>
      </c>
      <c r="C88" s="146" t="b">
        <v>0</v>
      </c>
      <c r="D88" s="146" t="str">
        <v>U0</v>
      </c>
      <c r="E88" s="261" t="str">
        <f t="shared" si="4"/>
        <v>USDFUT3MU0_Quote</v>
      </c>
      <c r="F88" s="262" t="str">
        <f t="shared" si="5"/>
        <v>USDFUT3MU0ConvAdj_Quote</v>
      </c>
      <c r="G88" s="261" t="str">
        <f>_xll.qlFuturesConvAdjustmentQuote($F88,IborIndex,$D88,$E88,Volatility,MeanReversion,Permanent,Trigger,ObjectOverwrite)</f>
        <v>USDFUT3MU0ConvAdj_Quote#0020</v>
      </c>
      <c r="H88" s="76" t="str">
        <f>_xll.ohRangeRetrieveError(G88)</f>
        <v/>
      </c>
    </row>
    <row r="89" spans="1:8" x14ac:dyDescent="0.2">
      <c r="A89" s="149"/>
      <c r="B89" s="148">
        <v>83</v>
      </c>
      <c r="C89" s="146" t="b">
        <v>0</v>
      </c>
      <c r="D89" s="146" t="str">
        <v>V0</v>
      </c>
      <c r="E89" s="261" t="str">
        <f t="shared" si="4"/>
        <v>USDFUT3MV0_Quote</v>
      </c>
      <c r="F89" s="262" t="str">
        <f t="shared" si="5"/>
        <v>USDFUT3MV0ConvAdj_Quote</v>
      </c>
      <c r="G89" s="261" t="str">
        <f>_xll.qlFuturesConvAdjustmentQuote($F89,IborIndex,$D89,$E89,Volatility,MeanReversion,Permanent,Trigger,ObjectOverwrite)</f>
        <v>USDFUT3MV0ConvAdj_Quote#0020</v>
      </c>
      <c r="H89" s="76" t="str">
        <f>_xll.ohRangeRetrieveError(G89)</f>
        <v/>
      </c>
    </row>
    <row r="90" spans="1:8" x14ac:dyDescent="0.2">
      <c r="A90" s="149"/>
      <c r="B90" s="148">
        <v>84</v>
      </c>
      <c r="C90" s="146" t="b">
        <v>0</v>
      </c>
      <c r="D90" s="146" t="str">
        <v>X0</v>
      </c>
      <c r="E90" s="261" t="str">
        <f t="shared" si="4"/>
        <v>USDFUT3MX0_Quote</v>
      </c>
      <c r="F90" s="262" t="str">
        <f t="shared" si="5"/>
        <v>USDFUT3MX0ConvAdj_Quote</v>
      </c>
      <c r="G90" s="261" t="str">
        <f>_xll.qlFuturesConvAdjustmentQuote($F90,IborIndex,$D90,$E90,Volatility,MeanReversion,Permanent,Trigger,ObjectOverwrite)</f>
        <v>USDFUT3MX0ConvAdj_Quote#0020</v>
      </c>
      <c r="H90" s="76" t="str">
        <f>_xll.ohRangeRetrieveError(G90)</f>
        <v/>
      </c>
    </row>
    <row r="91" spans="1:8" x14ac:dyDescent="0.2">
      <c r="A91" s="149"/>
      <c r="B91" s="148">
        <v>85</v>
      </c>
      <c r="C91" s="146" t="b">
        <v>0</v>
      </c>
      <c r="D91" s="146" t="str">
        <v>Z0</v>
      </c>
      <c r="E91" s="261" t="str">
        <f t="shared" si="4"/>
        <v>USDFUT3MZ0_Quote</v>
      </c>
      <c r="F91" s="262" t="str">
        <f t="shared" si="5"/>
        <v>USDFUT3MZ0ConvAdj_Quote</v>
      </c>
      <c r="G91" s="261" t="str">
        <f>_xll.qlFuturesConvAdjustmentQuote($F91,IborIndex,$D91,$E91,Volatility,MeanReversion,Permanent,Trigger,ObjectOverwrite)</f>
        <v>USDFUT3MZ0ConvAdj_Quote#0020</v>
      </c>
      <c r="H91" s="76" t="str">
        <f>_xll.ohRangeRetrieveError(G91)</f>
        <v/>
      </c>
    </row>
    <row r="92" spans="1:8" x14ac:dyDescent="0.2">
      <c r="A92" s="149"/>
      <c r="B92" s="148">
        <v>86</v>
      </c>
      <c r="C92" s="146" t="b">
        <v>0</v>
      </c>
      <c r="D92" s="146" t="str">
        <v>F1</v>
      </c>
      <c r="E92" s="261" t="str">
        <f t="shared" si="4"/>
        <v>USDFUT3MF1_Quote</v>
      </c>
      <c r="F92" s="262" t="str">
        <f t="shared" si="5"/>
        <v>USDFUT3MF1ConvAdj_Quote</v>
      </c>
      <c r="G92" s="261" t="str">
        <f>_xll.qlFuturesConvAdjustmentQuote($F92,IborIndex,$D92,$E92,Volatility,MeanReversion,Permanent,Trigger,ObjectOverwrite)</f>
        <v>USDFUT3MF1ConvAdj_Quote#0020</v>
      </c>
      <c r="H92" s="76" t="str">
        <f>_xll.ohRangeRetrieveError(G92)</f>
        <v/>
      </c>
    </row>
    <row r="93" spans="1:8" x14ac:dyDescent="0.2">
      <c r="A93" s="149"/>
      <c r="B93" s="148">
        <v>87</v>
      </c>
      <c r="C93" s="146" t="b">
        <v>0</v>
      </c>
      <c r="D93" s="146" t="str">
        <v>G1</v>
      </c>
      <c r="E93" s="261" t="str">
        <f t="shared" si="4"/>
        <v>USDFUT3MG1_Quote</v>
      </c>
      <c r="F93" s="262" t="str">
        <f t="shared" si="5"/>
        <v>USDFUT3MG1ConvAdj_Quote</v>
      </c>
      <c r="G93" s="261" t="str">
        <f>_xll.qlFuturesConvAdjustmentQuote($F93,IborIndex,$D93,$E93,Volatility,MeanReversion,Permanent,Trigger,ObjectOverwrite)</f>
        <v>USDFUT3MG1ConvAdj_Quote#0020</v>
      </c>
      <c r="H93" s="76" t="str">
        <f>_xll.ohRangeRetrieveError(G93)</f>
        <v/>
      </c>
    </row>
    <row r="94" spans="1:8" x14ac:dyDescent="0.2">
      <c r="A94" s="149"/>
      <c r="B94" s="148">
        <v>88</v>
      </c>
      <c r="C94" s="146" t="b">
        <v>0</v>
      </c>
      <c r="D94" s="146" t="str">
        <v>H1</v>
      </c>
      <c r="E94" s="261" t="str">
        <f t="shared" si="4"/>
        <v>USDFUT3MH1_Quote</v>
      </c>
      <c r="F94" s="262" t="str">
        <f t="shared" si="5"/>
        <v>USDFUT3MH1ConvAdj_Quote</v>
      </c>
      <c r="G94" s="261" t="str">
        <f>_xll.qlFuturesConvAdjustmentQuote($F94,IborIndex,$D94,$E94,Volatility,MeanReversion,Permanent,Trigger,ObjectOverwrite)</f>
        <v>USDFUT3MH1ConvAdj_Quote#0020</v>
      </c>
      <c r="H94" s="76" t="str">
        <f>_xll.ohRangeRetrieveError(G94)</f>
        <v/>
      </c>
    </row>
    <row r="95" spans="1:8" x14ac:dyDescent="0.2">
      <c r="A95" s="149"/>
      <c r="B95" s="148">
        <v>89</v>
      </c>
      <c r="C95" s="146" t="b">
        <v>0</v>
      </c>
      <c r="D95" s="146" t="str">
        <v>J1</v>
      </c>
      <c r="E95" s="261" t="str">
        <f t="shared" si="4"/>
        <v>USDFUT3MJ1_Quote</v>
      </c>
      <c r="F95" s="262" t="str">
        <f t="shared" si="5"/>
        <v>USDFUT3MJ1ConvAdj_Quote</v>
      </c>
      <c r="G95" s="261" t="str">
        <f>_xll.qlFuturesConvAdjustmentQuote($F95,IborIndex,$D95,$E95,Volatility,MeanReversion,Permanent,Trigger,ObjectOverwrite)</f>
        <v>USDFUT3MJ1ConvAdj_Quote#0020</v>
      </c>
      <c r="H95" s="76" t="str">
        <f>_xll.ohRangeRetrieveError(G95)</f>
        <v/>
      </c>
    </row>
    <row r="96" spans="1:8" x14ac:dyDescent="0.2">
      <c r="A96" s="149"/>
      <c r="B96" s="148">
        <v>90</v>
      </c>
      <c r="C96" s="146" t="b">
        <v>0</v>
      </c>
      <c r="D96" s="146" t="str">
        <v>K1</v>
      </c>
      <c r="E96" s="261" t="str">
        <f t="shared" si="4"/>
        <v>USDFUT3MK1_Quote</v>
      </c>
      <c r="F96" s="262" t="str">
        <f t="shared" si="5"/>
        <v>USDFUT3MK1ConvAdj_Quote</v>
      </c>
      <c r="G96" s="261" t="str">
        <f>_xll.qlFuturesConvAdjustmentQuote($F96,IborIndex,$D96,$E96,Volatility,MeanReversion,Permanent,Trigger,ObjectOverwrite)</f>
        <v>USDFUT3MK1ConvAdj_Quote#0020</v>
      </c>
      <c r="H96" s="76" t="str">
        <f>_xll.ohRangeRetrieveError(G96)</f>
        <v/>
      </c>
    </row>
    <row r="97" spans="1:8" x14ac:dyDescent="0.2">
      <c r="A97" s="149"/>
      <c r="B97" s="148">
        <v>91</v>
      </c>
      <c r="C97" s="146" t="b">
        <v>0</v>
      </c>
      <c r="D97" s="146" t="str">
        <v>M1</v>
      </c>
      <c r="E97" s="261" t="str">
        <f t="shared" si="4"/>
        <v>USDFUT3MM1_Quote</v>
      </c>
      <c r="F97" s="262" t="str">
        <f t="shared" si="5"/>
        <v>USDFUT3MM1ConvAdj_Quote</v>
      </c>
      <c r="G97" s="261" t="str">
        <f>_xll.qlFuturesConvAdjustmentQuote($F97,IborIndex,$D97,$E97,Volatility,MeanReversion,Permanent,Trigger,ObjectOverwrite)</f>
        <v>USDFUT3MM1ConvAdj_Quote#0020</v>
      </c>
      <c r="H97" s="76" t="str">
        <f>_xll.ohRangeRetrieveError(G97)</f>
        <v/>
      </c>
    </row>
    <row r="98" spans="1:8" x14ac:dyDescent="0.2">
      <c r="A98" s="149"/>
      <c r="B98" s="148">
        <v>92</v>
      </c>
      <c r="C98" s="146" t="b">
        <v>0</v>
      </c>
      <c r="D98" s="146" t="str">
        <v>N1</v>
      </c>
      <c r="E98" s="261" t="str">
        <f t="shared" si="4"/>
        <v>USDFUT3MN1_Quote</v>
      </c>
      <c r="F98" s="262" t="str">
        <f t="shared" si="5"/>
        <v>USDFUT3MN1ConvAdj_Quote</v>
      </c>
      <c r="G98" s="261" t="str">
        <f>_xll.qlFuturesConvAdjustmentQuote($F98,IborIndex,$D98,$E98,Volatility,MeanReversion,Permanent,Trigger,ObjectOverwrite)</f>
        <v>USDFUT3MN1ConvAdj_Quote#0020</v>
      </c>
      <c r="H98" s="76" t="str">
        <f>_xll.ohRangeRetrieveError(G98)</f>
        <v/>
      </c>
    </row>
    <row r="99" spans="1:8" x14ac:dyDescent="0.2">
      <c r="A99" s="149"/>
      <c r="B99" s="148">
        <v>93</v>
      </c>
      <c r="C99" s="146" t="b">
        <v>0</v>
      </c>
      <c r="D99" s="146" t="str">
        <v>Q1</v>
      </c>
      <c r="E99" s="261" t="str">
        <f t="shared" si="4"/>
        <v>USDFUT3MQ1_Quote</v>
      </c>
      <c r="F99" s="262" t="str">
        <f t="shared" si="5"/>
        <v>USDFUT3MQ1ConvAdj_Quote</v>
      </c>
      <c r="G99" s="261" t="str">
        <f>_xll.qlFuturesConvAdjustmentQuote($F99,IborIndex,$D99,$E99,Volatility,MeanReversion,Permanent,Trigger,ObjectOverwrite)</f>
        <v>USDFUT3MQ1ConvAdj_Quote#0020</v>
      </c>
      <c r="H99" s="76" t="str">
        <f>_xll.ohRangeRetrieveError(G99)</f>
        <v/>
      </c>
    </row>
    <row r="100" spans="1:8" x14ac:dyDescent="0.2">
      <c r="A100" s="149"/>
      <c r="B100" s="148">
        <v>94</v>
      </c>
      <c r="C100" s="146" t="b">
        <v>0</v>
      </c>
      <c r="D100" s="146" t="str">
        <v>U1</v>
      </c>
      <c r="E100" s="261" t="str">
        <f t="shared" si="4"/>
        <v>USDFUT3MU1_Quote</v>
      </c>
      <c r="F100" s="262" t="str">
        <f t="shared" si="5"/>
        <v>USDFUT3MU1ConvAdj_Quote</v>
      </c>
      <c r="G100" s="261" t="str">
        <f>_xll.qlFuturesConvAdjustmentQuote($F100,IborIndex,$D100,$E100,Volatility,MeanReversion,Permanent,Trigger,ObjectOverwrite)</f>
        <v>USDFUT3MU1ConvAdj_Quote#0020</v>
      </c>
      <c r="H100" s="76" t="str">
        <f>_xll.ohRangeRetrieveError(G100)</f>
        <v/>
      </c>
    </row>
    <row r="101" spans="1:8" x14ac:dyDescent="0.2">
      <c r="A101" s="149"/>
      <c r="B101" s="148">
        <v>95</v>
      </c>
      <c r="C101" s="146" t="b">
        <v>0</v>
      </c>
      <c r="D101" s="146" t="str">
        <v>V1</v>
      </c>
      <c r="E101" s="261" t="str">
        <f t="shared" si="4"/>
        <v>USDFUT3MV1_Quote</v>
      </c>
      <c r="F101" s="262" t="str">
        <f t="shared" si="5"/>
        <v>USDFUT3MV1ConvAdj_Quote</v>
      </c>
      <c r="G101" s="261" t="str">
        <f>_xll.qlFuturesConvAdjustmentQuote($F101,IborIndex,$D101,$E101,Volatility,MeanReversion,Permanent,Trigger,ObjectOverwrite)</f>
        <v>USDFUT3MV1ConvAdj_Quote#0020</v>
      </c>
      <c r="H101" s="76" t="str">
        <f>_xll.ohRangeRetrieveError(G101)</f>
        <v/>
      </c>
    </row>
    <row r="102" spans="1:8" x14ac:dyDescent="0.2">
      <c r="A102" s="149"/>
      <c r="B102" s="148">
        <v>96</v>
      </c>
      <c r="C102" s="146" t="b">
        <v>0</v>
      </c>
      <c r="D102" s="146" t="str">
        <v>X1</v>
      </c>
      <c r="E102" s="261" t="str">
        <f t="shared" si="4"/>
        <v>USDFUT3MX1_Quote</v>
      </c>
      <c r="F102" s="262" t="str">
        <f t="shared" si="5"/>
        <v>USDFUT3MX1ConvAdj_Quote</v>
      </c>
      <c r="G102" s="261" t="str">
        <f>_xll.qlFuturesConvAdjustmentQuote($F102,IborIndex,$D102,$E102,Volatility,MeanReversion,Permanent,Trigger,ObjectOverwrite)</f>
        <v>USDFUT3MX1ConvAdj_Quote#0020</v>
      </c>
      <c r="H102" s="76" t="str">
        <f>_xll.ohRangeRetrieveError(G102)</f>
        <v/>
      </c>
    </row>
    <row r="103" spans="1:8" x14ac:dyDescent="0.2">
      <c r="A103" s="149"/>
      <c r="B103" s="148">
        <v>97</v>
      </c>
      <c r="C103" s="146" t="b">
        <v>0</v>
      </c>
      <c r="D103" s="146" t="str">
        <v>Z1</v>
      </c>
      <c r="E103" s="261" t="str">
        <f t="shared" ref="E103:E126" si="6">Currency&amp;"FUT"&amp;$G$4&amp;$D103&amp;QuoteSuffix</f>
        <v>USDFUT3MZ1_Quote</v>
      </c>
      <c r="F103" s="262" t="str">
        <f t="shared" ref="F103:F126" si="7">Currency&amp;"FUT"&amp;$G$4&amp;$D103&amp;"ConvAdj"&amp;QuoteSuffix</f>
        <v>USDFUT3MZ1ConvAdj_Quote</v>
      </c>
      <c r="G103" s="261" t="str">
        <f>_xll.qlFuturesConvAdjustmentQuote($F103,IborIndex,$D103,$E103,Volatility,MeanReversion,Permanent,Trigger,ObjectOverwrite)</f>
        <v>USDFUT3MZ1ConvAdj_Quote#0020</v>
      </c>
      <c r="H103" s="76" t="str">
        <f>_xll.ohRangeRetrieveError(G103)</f>
        <v/>
      </c>
    </row>
    <row r="104" spans="1:8" x14ac:dyDescent="0.2">
      <c r="A104" s="149"/>
      <c r="B104" s="148">
        <v>98</v>
      </c>
      <c r="C104" s="146" t="b">
        <v>0</v>
      </c>
      <c r="D104" s="146" t="str">
        <v>F2</v>
      </c>
      <c r="E104" s="261" t="str">
        <f t="shared" si="6"/>
        <v>USDFUT3MF2_Quote</v>
      </c>
      <c r="F104" s="262" t="str">
        <f t="shared" si="7"/>
        <v>USDFUT3MF2ConvAdj_Quote</v>
      </c>
      <c r="G104" s="261" t="str">
        <f>_xll.qlFuturesConvAdjustmentQuote($F104,IborIndex,$D104,$E104,Volatility,MeanReversion,Permanent,Trigger,ObjectOverwrite)</f>
        <v>USDFUT3MF2ConvAdj_Quote#0020</v>
      </c>
      <c r="H104" s="76" t="str">
        <f>_xll.ohRangeRetrieveError(G104)</f>
        <v/>
      </c>
    </row>
    <row r="105" spans="1:8" x14ac:dyDescent="0.2">
      <c r="A105" s="149"/>
      <c r="B105" s="148">
        <v>99</v>
      </c>
      <c r="C105" s="146" t="b">
        <v>0</v>
      </c>
      <c r="D105" s="146" t="str">
        <v>G2</v>
      </c>
      <c r="E105" s="261" t="str">
        <f t="shared" si="6"/>
        <v>USDFUT3MG2_Quote</v>
      </c>
      <c r="F105" s="262" t="str">
        <f t="shared" si="7"/>
        <v>USDFUT3MG2ConvAdj_Quote</v>
      </c>
      <c r="G105" s="261" t="str">
        <f>_xll.qlFuturesConvAdjustmentQuote($F105,IborIndex,$D105,$E105,Volatility,MeanReversion,Permanent,Trigger,ObjectOverwrite)</f>
        <v>USDFUT3MG2ConvAdj_Quote#0020</v>
      </c>
      <c r="H105" s="76" t="str">
        <f>_xll.ohRangeRetrieveError(G105)</f>
        <v/>
      </c>
    </row>
    <row r="106" spans="1:8" x14ac:dyDescent="0.2">
      <c r="A106" s="149"/>
      <c r="B106" s="148">
        <v>100</v>
      </c>
      <c r="C106" s="146" t="b">
        <v>0</v>
      </c>
      <c r="D106" s="146" t="str">
        <v>H2</v>
      </c>
      <c r="E106" s="261" t="str">
        <f t="shared" si="6"/>
        <v>USDFUT3MH2_Quote</v>
      </c>
      <c r="F106" s="262" t="str">
        <f t="shared" si="7"/>
        <v>USDFUT3MH2ConvAdj_Quote</v>
      </c>
      <c r="G106" s="261" t="str">
        <f>_xll.qlFuturesConvAdjustmentQuote($F106,IborIndex,$D106,$E106,Volatility,MeanReversion,Permanent,Trigger,ObjectOverwrite)</f>
        <v>USDFUT3MH2ConvAdj_Quote#0020</v>
      </c>
      <c r="H106" s="76" t="str">
        <f>_xll.ohRangeRetrieveError(G106)</f>
        <v/>
      </c>
    </row>
    <row r="107" spans="1:8" x14ac:dyDescent="0.2">
      <c r="A107" s="149"/>
      <c r="B107" s="148">
        <v>101</v>
      </c>
      <c r="C107" s="146" t="b">
        <v>0</v>
      </c>
      <c r="D107" s="146" t="str">
        <v>J2</v>
      </c>
      <c r="E107" s="261" t="str">
        <f t="shared" si="6"/>
        <v>USDFUT3MJ2_Quote</v>
      </c>
      <c r="F107" s="262" t="str">
        <f t="shared" si="7"/>
        <v>USDFUT3MJ2ConvAdj_Quote</v>
      </c>
      <c r="G107" s="261" t="str">
        <f>_xll.qlFuturesConvAdjustmentQuote($F107,IborIndex,$D107,$E107,Volatility,MeanReversion,Permanent,Trigger,ObjectOverwrite)</f>
        <v>USDFUT3MJ2ConvAdj_Quote#0020</v>
      </c>
      <c r="H107" s="76" t="str">
        <f>_xll.ohRangeRetrieveError(G107)</f>
        <v/>
      </c>
    </row>
    <row r="108" spans="1:8" x14ac:dyDescent="0.2">
      <c r="A108" s="149"/>
      <c r="B108" s="148">
        <v>102</v>
      </c>
      <c r="C108" s="146" t="b">
        <v>0</v>
      </c>
      <c r="D108" s="146" t="str">
        <v>K2</v>
      </c>
      <c r="E108" s="261" t="str">
        <f t="shared" si="6"/>
        <v>USDFUT3MK2_Quote</v>
      </c>
      <c r="F108" s="262" t="str">
        <f t="shared" si="7"/>
        <v>USDFUT3MK2ConvAdj_Quote</v>
      </c>
      <c r="G108" s="261" t="str">
        <f>_xll.qlFuturesConvAdjustmentQuote($F108,IborIndex,$D108,$E108,Volatility,MeanReversion,Permanent,Trigger,ObjectOverwrite)</f>
        <v>USDFUT3MK2ConvAdj_Quote#0020</v>
      </c>
      <c r="H108" s="76" t="str">
        <f>_xll.ohRangeRetrieveError(G108)</f>
        <v/>
      </c>
    </row>
    <row r="109" spans="1:8" x14ac:dyDescent="0.2">
      <c r="A109" s="149"/>
      <c r="B109" s="148">
        <v>103</v>
      </c>
      <c r="C109" s="146" t="b">
        <v>0</v>
      </c>
      <c r="D109" s="146" t="str">
        <v>M2</v>
      </c>
      <c r="E109" s="261" t="str">
        <f t="shared" si="6"/>
        <v>USDFUT3MM2_Quote</v>
      </c>
      <c r="F109" s="262" t="str">
        <f t="shared" si="7"/>
        <v>USDFUT3MM2ConvAdj_Quote</v>
      </c>
      <c r="G109" s="261" t="str">
        <f>_xll.qlFuturesConvAdjustmentQuote($F109,IborIndex,$D109,$E109,Volatility,MeanReversion,Permanent,Trigger,ObjectOverwrite)</f>
        <v>USDFUT3MM2ConvAdj_Quote#0020</v>
      </c>
      <c r="H109" s="76" t="str">
        <f>_xll.ohRangeRetrieveError(G109)</f>
        <v/>
      </c>
    </row>
    <row r="110" spans="1:8" x14ac:dyDescent="0.2">
      <c r="A110" s="149"/>
      <c r="B110" s="148">
        <v>104</v>
      </c>
      <c r="C110" s="146" t="b">
        <v>0</v>
      </c>
      <c r="D110" s="146" t="str">
        <v>N2</v>
      </c>
      <c r="E110" s="261" t="str">
        <f t="shared" si="6"/>
        <v>USDFUT3MN2_Quote</v>
      </c>
      <c r="F110" s="262" t="str">
        <f t="shared" si="7"/>
        <v>USDFUT3MN2ConvAdj_Quote</v>
      </c>
      <c r="G110" s="261" t="str">
        <f>_xll.qlFuturesConvAdjustmentQuote($F110,IborIndex,$D110,$E110,Volatility,MeanReversion,Permanent,Trigger,ObjectOverwrite)</f>
        <v>USDFUT3MN2ConvAdj_Quote#0020</v>
      </c>
      <c r="H110" s="76" t="str">
        <f>_xll.ohRangeRetrieveError(G110)</f>
        <v/>
      </c>
    </row>
    <row r="111" spans="1:8" x14ac:dyDescent="0.2">
      <c r="A111" s="149"/>
      <c r="B111" s="148">
        <v>105</v>
      </c>
      <c r="C111" s="146" t="b">
        <v>0</v>
      </c>
      <c r="D111" s="146" t="str">
        <v>Q2</v>
      </c>
      <c r="E111" s="261" t="str">
        <f t="shared" si="6"/>
        <v>USDFUT3MQ2_Quote</v>
      </c>
      <c r="F111" s="262" t="str">
        <f t="shared" si="7"/>
        <v>USDFUT3MQ2ConvAdj_Quote</v>
      </c>
      <c r="G111" s="261" t="str">
        <f>_xll.qlFuturesConvAdjustmentQuote($F111,IborIndex,$D111,$E111,Volatility,MeanReversion,Permanent,Trigger,ObjectOverwrite)</f>
        <v>USDFUT3MQ2ConvAdj_Quote#0020</v>
      </c>
      <c r="H111" s="76" t="str">
        <f>_xll.ohRangeRetrieveError(G111)</f>
        <v/>
      </c>
    </row>
    <row r="112" spans="1:8" x14ac:dyDescent="0.2">
      <c r="A112" s="149"/>
      <c r="B112" s="148">
        <v>106</v>
      </c>
      <c r="C112" s="146" t="b">
        <v>0</v>
      </c>
      <c r="D112" s="146" t="str">
        <v>U2</v>
      </c>
      <c r="E112" s="261" t="str">
        <f t="shared" si="6"/>
        <v>USDFUT3MU2_Quote</v>
      </c>
      <c r="F112" s="262" t="str">
        <f t="shared" si="7"/>
        <v>USDFUT3MU2ConvAdj_Quote</v>
      </c>
      <c r="G112" s="261" t="str">
        <f>_xll.qlFuturesConvAdjustmentQuote($F112,IborIndex,$D112,$E112,Volatility,MeanReversion,Permanent,Trigger,ObjectOverwrite)</f>
        <v>USDFUT3MU2ConvAdj_Quote#0020</v>
      </c>
      <c r="H112" s="76" t="str">
        <f>_xll.ohRangeRetrieveError(G112)</f>
        <v/>
      </c>
    </row>
    <row r="113" spans="1:8" x14ac:dyDescent="0.2">
      <c r="A113" s="149"/>
      <c r="B113" s="148">
        <v>107</v>
      </c>
      <c r="C113" s="146" t="b">
        <v>0</v>
      </c>
      <c r="D113" s="146" t="str">
        <v>V2</v>
      </c>
      <c r="E113" s="261" t="str">
        <f t="shared" si="6"/>
        <v>USDFUT3MV2_Quote</v>
      </c>
      <c r="F113" s="262" t="str">
        <f t="shared" si="7"/>
        <v>USDFUT3MV2ConvAdj_Quote</v>
      </c>
      <c r="G113" s="261" t="str">
        <f>_xll.qlFuturesConvAdjustmentQuote($F113,IborIndex,$D113,$E113,Volatility,MeanReversion,Permanent,Trigger,ObjectOverwrite)</f>
        <v>USDFUT3MV2ConvAdj_Quote#0020</v>
      </c>
      <c r="H113" s="76" t="str">
        <f>_xll.ohRangeRetrieveError(G113)</f>
        <v/>
      </c>
    </row>
    <row r="114" spans="1:8" x14ac:dyDescent="0.2">
      <c r="A114" s="149"/>
      <c r="B114" s="148">
        <v>108</v>
      </c>
      <c r="C114" s="146" t="b">
        <v>0</v>
      </c>
      <c r="D114" s="146" t="str">
        <v>X2</v>
      </c>
      <c r="E114" s="261" t="str">
        <f t="shared" si="6"/>
        <v>USDFUT3MX2_Quote</v>
      </c>
      <c r="F114" s="262" t="str">
        <f t="shared" si="7"/>
        <v>USDFUT3MX2ConvAdj_Quote</v>
      </c>
      <c r="G114" s="261" t="str">
        <f>_xll.qlFuturesConvAdjustmentQuote($F114,IborIndex,$D114,$E114,Volatility,MeanReversion,Permanent,Trigger,ObjectOverwrite)</f>
        <v>USDFUT3MX2ConvAdj_Quote#0020</v>
      </c>
      <c r="H114" s="76" t="str">
        <f>_xll.ohRangeRetrieveError(G114)</f>
        <v/>
      </c>
    </row>
    <row r="115" spans="1:8" x14ac:dyDescent="0.2">
      <c r="A115" s="149"/>
      <c r="B115" s="148">
        <v>109</v>
      </c>
      <c r="C115" s="146" t="b">
        <v>0</v>
      </c>
      <c r="D115" s="146" t="str">
        <v>Z2</v>
      </c>
      <c r="E115" s="261" t="str">
        <f t="shared" si="6"/>
        <v>USDFUT3MZ2_Quote</v>
      </c>
      <c r="F115" s="262" t="str">
        <f t="shared" si="7"/>
        <v>USDFUT3MZ2ConvAdj_Quote</v>
      </c>
      <c r="G115" s="261" t="str">
        <f>_xll.qlFuturesConvAdjustmentQuote($F115,IborIndex,$D115,$E115,Volatility,MeanReversion,Permanent,Trigger,ObjectOverwrite)</f>
        <v>USDFUT3MZ2ConvAdj_Quote#0020</v>
      </c>
      <c r="H115" s="76" t="str">
        <f>_xll.ohRangeRetrieveError(G115)</f>
        <v/>
      </c>
    </row>
    <row r="116" spans="1:8" x14ac:dyDescent="0.2">
      <c r="A116" s="149"/>
      <c r="B116" s="148">
        <v>110</v>
      </c>
      <c r="C116" s="146" t="b">
        <v>0</v>
      </c>
      <c r="D116" s="146" t="str">
        <v>F3</v>
      </c>
      <c r="E116" s="261" t="str">
        <f t="shared" si="6"/>
        <v>USDFUT3MF3_Quote</v>
      </c>
      <c r="F116" s="262" t="str">
        <f t="shared" si="7"/>
        <v>USDFUT3MF3ConvAdj_Quote</v>
      </c>
      <c r="G116" s="261" t="str">
        <f>_xll.qlFuturesConvAdjustmentQuote($F116,IborIndex,$D116,$E116,Volatility,MeanReversion,Permanent,Trigger,ObjectOverwrite)</f>
        <v>USDFUT3MF3ConvAdj_Quote#0020</v>
      </c>
      <c r="H116" s="76" t="str">
        <f>_xll.ohRangeRetrieveError(G116)</f>
        <v/>
      </c>
    </row>
    <row r="117" spans="1:8" x14ac:dyDescent="0.2">
      <c r="A117" s="149"/>
      <c r="B117" s="148">
        <v>111</v>
      </c>
      <c r="C117" s="146" t="b">
        <v>0</v>
      </c>
      <c r="D117" s="146" t="str">
        <v>G3</v>
      </c>
      <c r="E117" s="261" t="str">
        <f t="shared" si="6"/>
        <v>USDFUT3MG3_Quote</v>
      </c>
      <c r="F117" s="262" t="str">
        <f t="shared" si="7"/>
        <v>USDFUT3MG3ConvAdj_Quote</v>
      </c>
      <c r="G117" s="261" t="str">
        <f>_xll.qlFuturesConvAdjustmentQuote($F117,IborIndex,$D117,$E117,Volatility,MeanReversion,Permanent,Trigger,ObjectOverwrite)</f>
        <v>USDFUT3MG3ConvAdj_Quote#0020</v>
      </c>
      <c r="H117" s="76" t="str">
        <f>_xll.ohRangeRetrieveError(G117)</f>
        <v/>
      </c>
    </row>
    <row r="118" spans="1:8" x14ac:dyDescent="0.2">
      <c r="A118" s="149"/>
      <c r="B118" s="148">
        <v>112</v>
      </c>
      <c r="C118" s="146" t="b">
        <v>0</v>
      </c>
      <c r="D118" s="146" t="str">
        <v>H3</v>
      </c>
      <c r="E118" s="261" t="str">
        <f t="shared" si="6"/>
        <v>USDFUT3MH3_Quote</v>
      </c>
      <c r="F118" s="262" t="str">
        <f t="shared" si="7"/>
        <v>USDFUT3MH3ConvAdj_Quote</v>
      </c>
      <c r="G118" s="261" t="str">
        <f>_xll.qlFuturesConvAdjustmentQuote($F118,IborIndex,$D118,$E118,Volatility,MeanReversion,Permanent,Trigger,ObjectOverwrite)</f>
        <v>USDFUT3MH3ConvAdj_Quote#0020</v>
      </c>
      <c r="H118" s="76" t="str">
        <f>_xll.ohRangeRetrieveError(G118)</f>
        <v/>
      </c>
    </row>
    <row r="119" spans="1:8" x14ac:dyDescent="0.2">
      <c r="A119" s="149"/>
      <c r="B119" s="148">
        <v>113</v>
      </c>
      <c r="C119" s="146" t="b">
        <v>0</v>
      </c>
      <c r="D119" s="146" t="str">
        <v>J3</v>
      </c>
      <c r="E119" s="261" t="str">
        <f t="shared" si="6"/>
        <v>USDFUT3MJ3_Quote</v>
      </c>
      <c r="F119" s="262" t="str">
        <f t="shared" si="7"/>
        <v>USDFUT3MJ3ConvAdj_Quote</v>
      </c>
      <c r="G119" s="261" t="str">
        <f>_xll.qlFuturesConvAdjustmentQuote($F119,IborIndex,$D119,$E119,Volatility,MeanReversion,Permanent,Trigger,ObjectOverwrite)</f>
        <v>USDFUT3MJ3ConvAdj_Quote#0020</v>
      </c>
      <c r="H119" s="76" t="str">
        <f>_xll.ohRangeRetrieveError(G119)</f>
        <v/>
      </c>
    </row>
    <row r="120" spans="1:8" x14ac:dyDescent="0.2">
      <c r="A120" s="149"/>
      <c r="B120" s="148">
        <v>114</v>
      </c>
      <c r="C120" s="146" t="b">
        <v>0</v>
      </c>
      <c r="D120" s="146" t="str">
        <v>K3</v>
      </c>
      <c r="E120" s="261" t="str">
        <f t="shared" si="6"/>
        <v>USDFUT3MK3_Quote</v>
      </c>
      <c r="F120" s="262" t="str">
        <f t="shared" si="7"/>
        <v>USDFUT3MK3ConvAdj_Quote</v>
      </c>
      <c r="G120" s="261" t="str">
        <f>_xll.qlFuturesConvAdjustmentQuote($F120,IborIndex,$D120,$E120,Volatility,MeanReversion,Permanent,Trigger,ObjectOverwrite)</f>
        <v>USDFUT3MK3ConvAdj_Quote#0020</v>
      </c>
      <c r="H120" s="76" t="str">
        <f>_xll.ohRangeRetrieveError(G120)</f>
        <v/>
      </c>
    </row>
    <row r="121" spans="1:8" x14ac:dyDescent="0.2">
      <c r="A121" s="149"/>
      <c r="B121" s="148">
        <v>115</v>
      </c>
      <c r="C121" s="146" t="b">
        <v>0</v>
      </c>
      <c r="D121" s="146" t="str">
        <v>M3</v>
      </c>
      <c r="E121" s="261" t="str">
        <f t="shared" si="6"/>
        <v>USDFUT3MM3_Quote</v>
      </c>
      <c r="F121" s="262" t="str">
        <f t="shared" si="7"/>
        <v>USDFUT3MM3ConvAdj_Quote</v>
      </c>
      <c r="G121" s="261" t="str">
        <f>_xll.qlFuturesConvAdjustmentQuote($F121,IborIndex,$D121,$E121,Volatility,MeanReversion,Permanent,Trigger,ObjectOverwrite)</f>
        <v>USDFUT3MM3ConvAdj_Quote#0020</v>
      </c>
      <c r="H121" s="76" t="str">
        <f>_xll.ohRangeRetrieveError(G121)</f>
        <v/>
      </c>
    </row>
    <row r="122" spans="1:8" x14ac:dyDescent="0.2">
      <c r="A122" s="149"/>
      <c r="B122" s="148">
        <v>116</v>
      </c>
      <c r="C122" s="146" t="b">
        <v>0</v>
      </c>
      <c r="D122" s="146" t="str">
        <v>N3</v>
      </c>
      <c r="E122" s="261" t="str">
        <f t="shared" si="6"/>
        <v>USDFUT3MN3_Quote</v>
      </c>
      <c r="F122" s="262" t="str">
        <f t="shared" si="7"/>
        <v>USDFUT3MN3ConvAdj_Quote</v>
      </c>
      <c r="G122" s="261" t="str">
        <f>_xll.qlFuturesConvAdjustmentQuote($F122,IborIndex,$D122,$E122,Volatility,MeanReversion,Permanent,Trigger,ObjectOverwrite)</f>
        <v>USDFUT3MN3ConvAdj_Quote#0020</v>
      </c>
      <c r="H122" s="76" t="str">
        <f>_xll.ohRangeRetrieveError(G122)</f>
        <v/>
      </c>
    </row>
    <row r="123" spans="1:8" x14ac:dyDescent="0.2">
      <c r="A123" s="149"/>
      <c r="B123" s="148">
        <v>117</v>
      </c>
      <c r="C123" s="146" t="b">
        <v>0</v>
      </c>
      <c r="D123" s="146" t="str">
        <v>Q3</v>
      </c>
      <c r="E123" s="261" t="str">
        <f t="shared" si="6"/>
        <v>USDFUT3MQ3_Quote</v>
      </c>
      <c r="F123" s="262" t="str">
        <f t="shared" si="7"/>
        <v>USDFUT3MQ3ConvAdj_Quote</v>
      </c>
      <c r="G123" s="261" t="str">
        <f>_xll.qlFuturesConvAdjustmentQuote($F123,IborIndex,$D123,$E123,Volatility,MeanReversion,Permanent,Trigger,ObjectOverwrite)</f>
        <v>USDFUT3MQ3ConvAdj_Quote#0020</v>
      </c>
      <c r="H123" s="76" t="str">
        <f>_xll.ohRangeRetrieveError(G123)</f>
        <v/>
      </c>
    </row>
    <row r="124" spans="1:8" x14ac:dyDescent="0.2">
      <c r="A124" s="149"/>
      <c r="B124" s="148">
        <v>118</v>
      </c>
      <c r="C124" s="146" t="b">
        <v>0</v>
      </c>
      <c r="D124" s="146" t="str">
        <v>U3</v>
      </c>
      <c r="E124" s="261" t="str">
        <f t="shared" si="6"/>
        <v>USDFUT3MU3_Quote</v>
      </c>
      <c r="F124" s="262" t="str">
        <f t="shared" si="7"/>
        <v>USDFUT3MU3ConvAdj_Quote</v>
      </c>
      <c r="G124" s="261" t="str">
        <f>_xll.qlFuturesConvAdjustmentQuote($F124,IborIndex,$D124,$E124,Volatility,MeanReversion,Permanent,Trigger,ObjectOverwrite)</f>
        <v>USDFUT3MU3ConvAdj_Quote#0020</v>
      </c>
      <c r="H124" s="76" t="str">
        <f>_xll.ohRangeRetrieveError(G124)</f>
        <v/>
      </c>
    </row>
    <row r="125" spans="1:8" x14ac:dyDescent="0.2">
      <c r="A125" s="149"/>
      <c r="B125" s="148">
        <v>119</v>
      </c>
      <c r="C125" s="146" t="b">
        <v>0</v>
      </c>
      <c r="D125" s="146" t="str">
        <v>V3</v>
      </c>
      <c r="E125" s="261" t="str">
        <f t="shared" si="6"/>
        <v>USDFUT3MV3_Quote</v>
      </c>
      <c r="F125" s="262" t="str">
        <f t="shared" si="7"/>
        <v>USDFUT3MV3ConvAdj_Quote</v>
      </c>
      <c r="G125" s="261" t="str">
        <f>_xll.qlFuturesConvAdjustmentQuote($F125,IborIndex,$D125,$E125,Volatility,MeanReversion,Permanent,Trigger,ObjectOverwrite)</f>
        <v>USDFUT3MV3ConvAdj_Quote#0020</v>
      </c>
      <c r="H125" s="76" t="str">
        <f>_xll.ohRangeRetrieveError(G125)</f>
        <v/>
      </c>
    </row>
    <row r="126" spans="1:8" ht="12" thickBot="1" x14ac:dyDescent="0.25">
      <c r="A126" s="142"/>
      <c r="B126" s="148">
        <v>120</v>
      </c>
      <c r="C126" s="146" t="b">
        <v>0</v>
      </c>
      <c r="D126" s="146" t="str">
        <v>X3</v>
      </c>
      <c r="E126" s="261" t="str">
        <f t="shared" si="6"/>
        <v>USDFUT3MX3_Quote</v>
      </c>
      <c r="F126" s="262" t="str">
        <f t="shared" si="7"/>
        <v>USDFUT3MX3ConvAdj_Quote</v>
      </c>
      <c r="G126" s="261" t="str">
        <f>_xll.qlFuturesConvAdjustmentQuote($F126,IborIndex,$D126,$E126,Volatility,MeanReversion,Permanent,Trigger,ObjectOverwrite)</f>
        <v>USDFUT3MX3ConvAdj_Quote#0020</v>
      </c>
      <c r="H126" s="76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E19"/>
  <sheetViews>
    <sheetView workbookViewId="0"/>
  </sheetViews>
  <sheetFormatPr defaultColWidth="8" defaultRowHeight="11.25" x14ac:dyDescent="0.2"/>
  <cols>
    <col min="1" max="1" width="6.140625" style="167" customWidth="1"/>
    <col min="2" max="2" width="4.28515625" style="167" customWidth="1"/>
    <col min="3" max="3" width="15.5703125" style="167" bestFit="1" customWidth="1"/>
    <col min="4" max="4" width="79.42578125" style="167" bestFit="1" customWidth="1"/>
    <col min="5" max="5" width="4.7109375" style="167" customWidth="1"/>
    <col min="6" max="6" width="35.28515625" style="167" customWidth="1"/>
    <col min="7" max="7" width="4.28515625" style="167" customWidth="1"/>
    <col min="8" max="16384" width="8" style="167"/>
  </cols>
  <sheetData>
    <row r="1" spans="1:5" ht="13.5" thickBot="1" x14ac:dyDescent="0.25">
      <c r="A1" s="167" t="s">
        <v>233</v>
      </c>
      <c r="B1" s="168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272" t="s">
        <v>27</v>
      </c>
      <c r="C2" s="273"/>
      <c r="D2" s="273"/>
      <c r="E2" s="274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269" t="s">
        <v>144</v>
      </c>
      <c r="C12" s="270"/>
      <c r="D12" s="270"/>
      <c r="E12" s="271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49</v>
      </c>
      <c r="D15" s="15" t="s">
        <v>48</v>
      </c>
      <c r="E15" s="14"/>
    </row>
    <row r="16" spans="1:5" x14ac:dyDescent="0.2">
      <c r="B16" s="9"/>
      <c r="C16" s="16" t="s">
        <v>143</v>
      </c>
      <c r="D16" s="24" t="s">
        <v>142</v>
      </c>
      <c r="E16" s="14"/>
    </row>
    <row r="17" spans="2:5" x14ac:dyDescent="0.2">
      <c r="B17" s="9"/>
      <c r="C17" s="16" t="s">
        <v>141</v>
      </c>
      <c r="D17" s="103">
        <v>1E-4</v>
      </c>
      <c r="E17" s="14"/>
    </row>
    <row r="18" spans="2:5" x14ac:dyDescent="0.2">
      <c r="B18" s="9"/>
      <c r="C18" s="16" t="s">
        <v>140</v>
      </c>
      <c r="D18" s="102">
        <v>-0.01</v>
      </c>
      <c r="E18" s="14"/>
    </row>
    <row r="19" spans="2:5" ht="12" thickBot="1" x14ac:dyDescent="0.25">
      <c r="B19" s="4"/>
      <c r="C19" s="3"/>
      <c r="D19" s="3"/>
      <c r="E19" s="2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B30"/>
  <sheetViews>
    <sheetView workbookViewId="0"/>
  </sheetViews>
  <sheetFormatPr defaultRowHeight="11.25" x14ac:dyDescent="0.2"/>
  <cols>
    <col min="1" max="1" width="4.28515625" style="21" customWidth="1"/>
    <col min="2" max="2" width="3.42578125" style="21" bestFit="1" customWidth="1"/>
    <col min="3" max="3" width="12.140625" style="21" bestFit="1" customWidth="1"/>
    <col min="4" max="4" width="26.28515625" style="21" bestFit="1" customWidth="1"/>
    <col min="5" max="6" width="5.7109375" style="21" bestFit="1" customWidth="1"/>
    <col min="7" max="7" width="4.28515625" style="21" customWidth="1"/>
    <col min="8" max="8" width="12.42578125" style="21" bestFit="1" customWidth="1"/>
    <col min="9" max="9" width="26.28515625" style="21" bestFit="1" customWidth="1"/>
    <col min="10" max="10" width="7.7109375" style="21" bestFit="1" customWidth="1"/>
    <col min="11" max="11" width="4.28515625" style="21" customWidth="1"/>
    <col min="12" max="12" width="2.140625" style="21" customWidth="1"/>
    <col min="13" max="13" width="9.42578125" style="21" bestFit="1" customWidth="1"/>
    <col min="14" max="15" width="7.140625" style="21" bestFit="1" customWidth="1"/>
    <col min="16" max="16" width="5.140625" style="21" bestFit="1" customWidth="1"/>
    <col min="17" max="17" width="4.85546875" style="21" bestFit="1" customWidth="1"/>
    <col min="18" max="16384" width="9.140625" style="21"/>
  </cols>
  <sheetData>
    <row r="1" spans="1:28" x14ac:dyDescent="0.2">
      <c r="A1" s="321" t="s">
        <v>315</v>
      </c>
      <c r="B1" s="206"/>
      <c r="D1" s="206"/>
      <c r="E1" s="206"/>
      <c r="F1" s="206"/>
      <c r="G1" s="206"/>
      <c r="H1" s="206"/>
      <c r="I1" s="206"/>
      <c r="J1" s="206"/>
      <c r="K1" s="203"/>
    </row>
    <row r="2" spans="1:28" x14ac:dyDescent="0.2">
      <c r="A2" s="320"/>
      <c r="B2" s="319"/>
      <c r="C2" s="146" t="s">
        <v>48</v>
      </c>
      <c r="D2" s="283"/>
      <c r="E2" s="283"/>
      <c r="F2" s="283"/>
      <c r="G2" s="283"/>
      <c r="H2" s="318" t="s">
        <v>267</v>
      </c>
      <c r="I2" s="317" t="s">
        <v>266</v>
      </c>
      <c r="J2" s="316"/>
      <c r="K2" s="49"/>
      <c r="Y2" s="21">
        <v>0</v>
      </c>
      <c r="AB2" s="21">
        <v>1</v>
      </c>
    </row>
    <row r="3" spans="1:28" x14ac:dyDescent="0.2">
      <c r="A3" s="124"/>
      <c r="B3" s="283"/>
      <c r="C3" s="283"/>
      <c r="D3" s="283"/>
      <c r="E3" s="283"/>
      <c r="F3" s="283"/>
      <c r="G3" s="283"/>
      <c r="H3" s="316"/>
      <c r="I3" s="316"/>
      <c r="J3" s="315">
        <f>_xll.ohTrigger(J5:J18)</f>
        <v>23</v>
      </c>
      <c r="K3" s="225"/>
    </row>
    <row r="4" spans="1:28" ht="27" customHeight="1" x14ac:dyDescent="0.2">
      <c r="A4" s="124"/>
      <c r="B4" s="312"/>
      <c r="C4" s="278" t="e">
        <f ca="1">_xll.RData(C8:C22,D4,,ReutersRtMode,,D8)</f>
        <v>#NAME?</v>
      </c>
      <c r="D4" s="314" t="str">
        <f>VLOOKUP(Contributor,ContributorTable,5,FALSE)</f>
        <v>LAST</v>
      </c>
      <c r="E4" s="283"/>
      <c r="F4" s="313" t="s">
        <v>265</v>
      </c>
      <c r="G4" s="283"/>
      <c r="H4" s="312" t="s">
        <v>264</v>
      </c>
      <c r="I4" s="311" t="s">
        <v>263</v>
      </c>
      <c r="J4" s="310" t="s">
        <v>262</v>
      </c>
      <c r="K4" s="225"/>
      <c r="M4" s="309" t="s">
        <v>261</v>
      </c>
      <c r="N4" s="308" t="s">
        <v>260</v>
      </c>
      <c r="O4" s="308" t="s">
        <v>259</v>
      </c>
      <c r="P4" s="308" t="s">
        <v>258</v>
      </c>
      <c r="Q4" s="307" t="s">
        <v>257</v>
      </c>
    </row>
    <row r="5" spans="1:28" x14ac:dyDescent="0.2">
      <c r="A5" s="124"/>
      <c r="B5" s="306" t="s">
        <v>221</v>
      </c>
      <c r="C5" s="305" t="str">
        <f t="array" ref="C5:C7">Currency&amp;VLOOKUP(C25,ContributorTable,2,FALSE)&amp;B5:B7&amp;VLOOKUP(C25,ContributorTable,3,FALSE)&amp;"="&amp;VLOOKUP(C25,ContributorTable,4,FALSE)</f>
        <v>USDOND=CKCC</v>
      </c>
      <c r="D5" s="304">
        <f>F28</f>
        <v>0.16</v>
      </c>
      <c r="E5" s="283"/>
      <c r="F5" s="303">
        <v>0.16</v>
      </c>
      <c r="G5" s="283"/>
      <c r="H5" s="302" t="str">
        <f t="array" ref="H5:H22">Currency&amp;B5:B22&amp;$I$2</f>
        <v>USDOND_Quote</v>
      </c>
      <c r="I5" s="301">
        <f t="array" ref="I5:I22">QuoteLive</f>
        <v>0.16</v>
      </c>
      <c r="J5" s="300" t="e">
        <f>_xll.qlSimpleQuoteSetValue($H5,$I5/100,Trigger)</f>
        <v>#N/A</v>
      </c>
      <c r="K5" s="225"/>
      <c r="M5" s="292" t="s">
        <v>256</v>
      </c>
      <c r="N5" s="86" t="s">
        <v>255</v>
      </c>
      <c r="O5" s="86" t="s">
        <v>239</v>
      </c>
      <c r="P5" s="86" t="str">
        <f>""</f>
        <v/>
      </c>
      <c r="Q5" s="291" t="s">
        <v>252</v>
      </c>
    </row>
    <row r="6" spans="1:28" x14ac:dyDescent="0.2">
      <c r="A6" s="124"/>
      <c r="B6" s="287" t="s">
        <v>254</v>
      </c>
      <c r="C6" s="286" t="str">
        <v>USDTND=CKCC</v>
      </c>
      <c r="D6" s="285">
        <f>F29</f>
        <v>0.16</v>
      </c>
      <c r="E6" s="283"/>
      <c r="F6" s="284">
        <v>0.16</v>
      </c>
      <c r="G6" s="283"/>
      <c r="H6" s="282" t="str">
        <v>USDTND_Quote</v>
      </c>
      <c r="I6" s="281">
        <v>0.16</v>
      </c>
      <c r="J6" s="280" t="e">
        <f>_xll.qlSimpleQuoteSetValue($H6,$I6/100,Trigger)</f>
        <v>#N/A</v>
      </c>
      <c r="K6" s="225"/>
      <c r="M6" s="292" t="s">
        <v>48</v>
      </c>
      <c r="N6" s="86"/>
      <c r="O6" s="86" t="s">
        <v>253</v>
      </c>
      <c r="P6" s="86"/>
      <c r="Q6" s="291" t="s">
        <v>252</v>
      </c>
    </row>
    <row r="7" spans="1:28" x14ac:dyDescent="0.2">
      <c r="A7" s="124"/>
      <c r="B7" s="299" t="s">
        <v>251</v>
      </c>
      <c r="C7" s="298" t="str">
        <v>USDSND=CKCC</v>
      </c>
      <c r="D7" s="297">
        <f>F30</f>
        <v>0.16</v>
      </c>
      <c r="E7" s="283"/>
      <c r="F7" s="296">
        <v>0.16</v>
      </c>
      <c r="G7" s="283"/>
      <c r="H7" s="295" t="str">
        <v>USDSND_Quote</v>
      </c>
      <c r="I7" s="294">
        <v>0.16</v>
      </c>
      <c r="J7" s="293" t="e">
        <f>_xll.qlSimpleQuoteSetValue($H7,$I7/100,Trigger)</f>
        <v>#N/A</v>
      </c>
      <c r="K7" s="225"/>
      <c r="M7" s="292" t="s">
        <v>250</v>
      </c>
      <c r="N7" s="86"/>
      <c r="O7" s="86" t="s">
        <v>239</v>
      </c>
      <c r="P7" s="86"/>
      <c r="Q7" s="291" t="s">
        <v>234</v>
      </c>
    </row>
    <row r="8" spans="1:28" x14ac:dyDescent="0.2">
      <c r="A8" s="124"/>
      <c r="B8" s="287" t="s">
        <v>43</v>
      </c>
      <c r="C8" s="286" t="str">
        <f t="array" ref="C8:C22">Currency&amp;VLOOKUP(Contributor,ContributorTable,2,FALSE)&amp;B8:B22&amp;VLOOKUP(Contributor,ContributorTable,3,FALSE)&amp;"="&amp;VLOOKUP(Contributor,ContributorTable,4,FALSE)</f>
        <v>USDSWFSR=</v>
      </c>
      <c r="D8" s="285">
        <v>0.1389</v>
      </c>
      <c r="E8" s="283"/>
      <c r="F8" s="284">
        <v>0.1389</v>
      </c>
      <c r="G8" s="283"/>
      <c r="H8" s="282" t="str">
        <v>USDSWD_Quote</v>
      </c>
      <c r="I8" s="281">
        <v>0.1389</v>
      </c>
      <c r="J8" s="280" t="e">
        <f>_xll.qlSimpleQuoteSetValue($H8,$I8/100,Trigger)</f>
        <v>#N/A</v>
      </c>
      <c r="K8" s="225"/>
      <c r="M8" s="292" t="s">
        <v>237</v>
      </c>
      <c r="N8" s="86"/>
      <c r="O8" s="86" t="s">
        <v>239</v>
      </c>
      <c r="P8" s="86" t="s">
        <v>249</v>
      </c>
      <c r="Q8" s="291" t="s">
        <v>234</v>
      </c>
    </row>
    <row r="9" spans="1:28" x14ac:dyDescent="0.2">
      <c r="A9" s="124"/>
      <c r="B9" s="287" t="s">
        <v>42</v>
      </c>
      <c r="C9" s="286" t="str">
        <v>USD2WFSR=</v>
      </c>
      <c r="D9" s="285">
        <v>0</v>
      </c>
      <c r="E9" s="283"/>
      <c r="F9" s="284">
        <v>0</v>
      </c>
      <c r="G9" s="283"/>
      <c r="H9" s="282" t="str">
        <v>USD2WD_Quote</v>
      </c>
      <c r="I9" s="281">
        <v>0</v>
      </c>
      <c r="J9" s="280" t="e">
        <f>_xll.qlSimpleQuoteSetValue($H9,$I9/100,Trigger)</f>
        <v>#N/A</v>
      </c>
      <c r="K9" s="225"/>
      <c r="M9" s="292" t="s">
        <v>248</v>
      </c>
      <c r="N9" s="86"/>
      <c r="O9" s="86" t="s">
        <v>239</v>
      </c>
      <c r="P9" s="86" t="s">
        <v>248</v>
      </c>
      <c r="Q9" s="291" t="s">
        <v>234</v>
      </c>
    </row>
    <row r="10" spans="1:28" x14ac:dyDescent="0.2">
      <c r="A10" s="124"/>
      <c r="B10" s="287" t="s">
        <v>41</v>
      </c>
      <c r="C10" s="286" t="str">
        <v>USD3WFSR=</v>
      </c>
      <c r="D10" s="285" t="s">
        <v>247</v>
      </c>
      <c r="E10" s="283"/>
      <c r="F10" s="284" t="s">
        <v>247</v>
      </c>
      <c r="G10" s="283"/>
      <c r="H10" s="282" t="str">
        <v>USD3WD_Quote</v>
      </c>
      <c r="I10" s="281" t="str">
        <v>The record could not be found</v>
      </c>
      <c r="J10" s="280" t="e">
        <f>_xll.qlSimpleQuoteSetValue($H10,$I10/100,Trigger)</f>
        <v>#NUM!</v>
      </c>
      <c r="K10" s="225"/>
      <c r="M10" s="292" t="s">
        <v>246</v>
      </c>
      <c r="N10" s="86"/>
      <c r="O10" s="86" t="s">
        <v>239</v>
      </c>
      <c r="P10" s="86" t="s">
        <v>245</v>
      </c>
      <c r="Q10" s="291" t="s">
        <v>234</v>
      </c>
    </row>
    <row r="11" spans="1:28" x14ac:dyDescent="0.2">
      <c r="A11" s="124"/>
      <c r="B11" s="287" t="s">
        <v>40</v>
      </c>
      <c r="C11" s="286" t="str">
        <v>USD1MFSR=</v>
      </c>
      <c r="D11" s="285">
        <v>0.17019999999999999</v>
      </c>
      <c r="E11" s="283"/>
      <c r="F11" s="284">
        <v>0.17019999999999999</v>
      </c>
      <c r="G11" s="283"/>
      <c r="H11" s="282" t="str">
        <v>USD1MD_Quote</v>
      </c>
      <c r="I11" s="281">
        <v>0.17019999999999999</v>
      </c>
      <c r="J11" s="280" t="e">
        <f>_xll.qlSimpleQuoteSetValue($H11,$I11/100,Trigger)</f>
        <v>#N/A</v>
      </c>
      <c r="K11" s="225"/>
      <c r="M11" s="292" t="s">
        <v>244</v>
      </c>
      <c r="N11" s="86"/>
      <c r="O11" s="86" t="s">
        <v>239</v>
      </c>
      <c r="P11" s="86" t="s">
        <v>243</v>
      </c>
      <c r="Q11" s="291" t="s">
        <v>234</v>
      </c>
    </row>
    <row r="12" spans="1:28" x14ac:dyDescent="0.2">
      <c r="A12" s="124"/>
      <c r="B12" s="287" t="s">
        <v>39</v>
      </c>
      <c r="C12" s="286" t="str">
        <v>USD2MFSR=</v>
      </c>
      <c r="D12" s="285">
        <v>0.20974999999999999</v>
      </c>
      <c r="E12" s="283"/>
      <c r="F12" s="284">
        <v>0.20974999999999999</v>
      </c>
      <c r="G12" s="283"/>
      <c r="H12" s="282" t="str">
        <v>USD2MD_Quote</v>
      </c>
      <c r="I12" s="281">
        <v>0.20974999999999999</v>
      </c>
      <c r="J12" s="280" t="e">
        <f>_xll.qlSimpleQuoteSetValue($H12,$I12/100,Trigger)</f>
        <v>#N/A</v>
      </c>
      <c r="K12" s="225"/>
      <c r="M12" s="292" t="s">
        <v>242</v>
      </c>
      <c r="N12" s="86"/>
      <c r="O12" s="86" t="s">
        <v>239</v>
      </c>
      <c r="P12" s="86" t="s">
        <v>241</v>
      </c>
      <c r="Q12" s="291" t="s">
        <v>234</v>
      </c>
    </row>
    <row r="13" spans="1:28" x14ac:dyDescent="0.2">
      <c r="A13" s="124"/>
      <c r="B13" s="287" t="s">
        <v>38</v>
      </c>
      <c r="C13" s="286" t="str">
        <v>USD3MFSR=</v>
      </c>
      <c r="D13" s="285">
        <v>0.23835000000000001</v>
      </c>
      <c r="E13" s="283"/>
      <c r="F13" s="284">
        <v>0.23835000000000001</v>
      </c>
      <c r="G13" s="283"/>
      <c r="H13" s="282" t="str">
        <v>USD3MD_Quote</v>
      </c>
      <c r="I13" s="281">
        <v>0.23835000000000001</v>
      </c>
      <c r="J13" s="280" t="e">
        <f>_xll.qlSimpleQuoteSetValue($H13,$I13/100,Trigger)</f>
        <v>#N/A</v>
      </c>
      <c r="K13" s="225"/>
      <c r="M13" s="290" t="s">
        <v>240</v>
      </c>
      <c r="N13" s="289"/>
      <c r="O13" s="289" t="s">
        <v>239</v>
      </c>
      <c r="P13" s="289" t="s">
        <v>238</v>
      </c>
      <c r="Q13" s="288" t="s">
        <v>234</v>
      </c>
    </row>
    <row r="14" spans="1:28" x14ac:dyDescent="0.2">
      <c r="A14" s="124"/>
      <c r="B14" s="287" t="s">
        <v>37</v>
      </c>
      <c r="C14" s="286" t="str">
        <v>USD4MFSR=</v>
      </c>
      <c r="D14" s="285">
        <v>0</v>
      </c>
      <c r="E14" s="283"/>
      <c r="F14" s="284">
        <v>0</v>
      </c>
      <c r="G14" s="283"/>
      <c r="H14" s="282" t="str">
        <v>USD4MD_Quote</v>
      </c>
      <c r="I14" s="281">
        <v>0</v>
      </c>
      <c r="J14" s="280" t="e">
        <f>_xll.qlSimpleQuoteSetValue($H14,$I14/100,Trigger)</f>
        <v>#N/A</v>
      </c>
      <c r="K14" s="225"/>
    </row>
    <row r="15" spans="1:28" x14ac:dyDescent="0.2">
      <c r="A15" s="124"/>
      <c r="B15" s="287" t="s">
        <v>36</v>
      </c>
      <c r="C15" s="286" t="str">
        <v>USD5MFSR=</v>
      </c>
      <c r="D15" s="285">
        <v>0</v>
      </c>
      <c r="E15" s="283"/>
      <c r="F15" s="284">
        <v>0</v>
      </c>
      <c r="G15" s="283"/>
      <c r="H15" s="282" t="str">
        <v>USD5MD_Quote</v>
      </c>
      <c r="I15" s="281">
        <v>0</v>
      </c>
      <c r="J15" s="280" t="e">
        <f>_xll.qlSimpleQuoteSetValue($H15,$I15/100,Trigger)</f>
        <v>#N/A</v>
      </c>
      <c r="K15" s="225"/>
    </row>
    <row r="16" spans="1:28" x14ac:dyDescent="0.2">
      <c r="A16" s="124"/>
      <c r="B16" s="287" t="s">
        <v>35</v>
      </c>
      <c r="C16" s="286" t="str">
        <v>USD6MFSR=</v>
      </c>
      <c r="D16" s="285">
        <v>0.35570000000000002</v>
      </c>
      <c r="E16" s="283"/>
      <c r="F16" s="284">
        <v>0.35570000000000002</v>
      </c>
      <c r="G16" s="283"/>
      <c r="H16" s="282" t="str">
        <v>USD6MD_Quote</v>
      </c>
      <c r="I16" s="281">
        <v>0.35570000000000002</v>
      </c>
      <c r="J16" s="280" t="e">
        <f>_xll.qlSimpleQuoteSetValue($H16,$I16/100,Trigger)</f>
        <v>#N/A</v>
      </c>
      <c r="K16" s="225"/>
    </row>
    <row r="17" spans="1:11" x14ac:dyDescent="0.2">
      <c r="A17" s="124"/>
      <c r="B17" s="287" t="s">
        <v>34</v>
      </c>
      <c r="C17" s="286" t="str">
        <v>USD7MFSR=</v>
      </c>
      <c r="D17" s="285">
        <v>0</v>
      </c>
      <c r="E17" s="283"/>
      <c r="F17" s="284">
        <v>0</v>
      </c>
      <c r="G17" s="283"/>
      <c r="H17" s="282" t="str">
        <v>USD7MD_Quote</v>
      </c>
      <c r="I17" s="281">
        <v>0</v>
      </c>
      <c r="J17" s="280" t="e">
        <f>_xll.qlSimpleQuoteSetValue($H17,$I17/100,Trigger)</f>
        <v>#N/A</v>
      </c>
      <c r="K17" s="225"/>
    </row>
    <row r="18" spans="1:11" x14ac:dyDescent="0.2">
      <c r="A18" s="124"/>
      <c r="B18" s="287" t="s">
        <v>33</v>
      </c>
      <c r="C18" s="286" t="str">
        <v>USD8MFSR=</v>
      </c>
      <c r="D18" s="285">
        <v>0</v>
      </c>
      <c r="E18" s="283"/>
      <c r="F18" s="284">
        <v>0</v>
      </c>
      <c r="G18" s="283"/>
      <c r="H18" s="282" t="str">
        <v>USD8MD_Quote</v>
      </c>
      <c r="I18" s="281">
        <v>0</v>
      </c>
      <c r="J18" s="280" t="e">
        <f>_xll.qlSimpleQuoteSetValue($H18,$I18/100,Trigger)</f>
        <v>#N/A</v>
      </c>
      <c r="K18" s="225"/>
    </row>
    <row r="19" spans="1:11" x14ac:dyDescent="0.2">
      <c r="A19" s="124"/>
      <c r="B19" s="287" t="s">
        <v>32</v>
      </c>
      <c r="C19" s="286" t="str">
        <v>USD9MFSR=</v>
      </c>
      <c r="D19" s="285">
        <v>0</v>
      </c>
      <c r="E19" s="283"/>
      <c r="F19" s="284">
        <v>0.71250000000000002</v>
      </c>
      <c r="G19" s="283"/>
      <c r="H19" s="282" t="str">
        <v>USD9MD_Quote</v>
      </c>
      <c r="I19" s="281">
        <v>0</v>
      </c>
      <c r="J19" s="280" t="e">
        <f>_xll.qlSimpleQuoteSetValue($H19,$I19/100,Trigger)</f>
        <v>#N/A</v>
      </c>
      <c r="K19" s="225"/>
    </row>
    <row r="20" spans="1:11" x14ac:dyDescent="0.2">
      <c r="A20" s="124"/>
      <c r="B20" s="287" t="s">
        <v>31</v>
      </c>
      <c r="C20" s="286" t="str">
        <v>USD10MFSR=</v>
      </c>
      <c r="D20" s="285">
        <v>0</v>
      </c>
      <c r="E20" s="283"/>
      <c r="F20" s="284">
        <v>0.76349999999999996</v>
      </c>
      <c r="G20" s="283"/>
      <c r="H20" s="282" t="str">
        <v>USD10MD_Quote</v>
      </c>
      <c r="I20" s="281">
        <v>0</v>
      </c>
      <c r="J20" s="280" t="e">
        <f>_xll.qlSimpleQuoteSetValue($H20,$I20/100,Trigger)</f>
        <v>#N/A</v>
      </c>
      <c r="K20" s="225"/>
    </row>
    <row r="21" spans="1:11" x14ac:dyDescent="0.2">
      <c r="A21" s="124"/>
      <c r="B21" s="287" t="s">
        <v>30</v>
      </c>
      <c r="C21" s="286" t="str">
        <v>USD11MFSR=</v>
      </c>
      <c r="D21" s="285">
        <v>0</v>
      </c>
      <c r="E21" s="283"/>
      <c r="F21" s="284">
        <v>0.8145</v>
      </c>
      <c r="G21" s="283"/>
      <c r="H21" s="282" t="str">
        <v>USD11MD_Quote</v>
      </c>
      <c r="I21" s="281">
        <v>0</v>
      </c>
      <c r="J21" s="280" t="e">
        <f>_xll.qlSimpleQuoteSetValue($H21,$I21/100,Trigger)</f>
        <v>#N/A</v>
      </c>
      <c r="K21" s="225"/>
    </row>
    <row r="22" spans="1:11" x14ac:dyDescent="0.2">
      <c r="A22" s="124"/>
      <c r="B22" s="287" t="s">
        <v>29</v>
      </c>
      <c r="C22" s="286" t="str">
        <v>USD1YFSR=</v>
      </c>
      <c r="D22" s="285">
        <v>0.60860000000000003</v>
      </c>
      <c r="E22" s="283"/>
      <c r="F22" s="284">
        <v>0.87150000000000005</v>
      </c>
      <c r="G22" s="283"/>
      <c r="H22" s="282" t="str">
        <v>USD1YD_Quote</v>
      </c>
      <c r="I22" s="281">
        <v>0.60860000000000003</v>
      </c>
      <c r="J22" s="280" t="e">
        <f>_xll.qlSimpleQuoteSetValue($H22,$I22/100,Trigger)</f>
        <v>#N/A</v>
      </c>
      <c r="K22" s="225"/>
    </row>
    <row r="23" spans="1:11" ht="12" thickBot="1" x14ac:dyDescent="0.25">
      <c r="A23" s="48"/>
      <c r="B23" s="279"/>
      <c r="C23" s="279"/>
      <c r="D23" s="279"/>
      <c r="E23" s="47"/>
      <c r="F23" s="279"/>
      <c r="G23" s="47"/>
      <c r="H23" s="279"/>
      <c r="I23" s="279"/>
      <c r="J23" s="279"/>
      <c r="K23" s="46"/>
    </row>
    <row r="25" spans="1:11" x14ac:dyDescent="0.2">
      <c r="C25" s="146" t="s">
        <v>237</v>
      </c>
    </row>
    <row r="26" spans="1:11" hidden="1" x14ac:dyDescent="0.2">
      <c r="A26" s="21" t="s">
        <v>236</v>
      </c>
    </row>
    <row r="27" spans="1:11" x14ac:dyDescent="0.2">
      <c r="C27" s="278" t="e">
        <f ca="1">_xll.RData(C5:C7,D27:E27,"RTFEED:IDN",ReutersRtMode,,D28)</f>
        <v>#NAME?</v>
      </c>
      <c r="D27" s="277" t="s">
        <v>235</v>
      </c>
      <c r="E27" s="276" t="s">
        <v>234</v>
      </c>
    </row>
    <row r="28" spans="1:11" x14ac:dyDescent="0.2">
      <c r="D28" s="275">
        <v>0.11</v>
      </c>
      <c r="E28" s="275">
        <v>0.21</v>
      </c>
      <c r="F28" s="275">
        <f>(D28+E28)/2</f>
        <v>0.16</v>
      </c>
    </row>
    <row r="29" spans="1:11" x14ac:dyDescent="0.2">
      <c r="D29" s="275">
        <v>0.11</v>
      </c>
      <c r="E29" s="275">
        <v>0.21</v>
      </c>
      <c r="F29" s="275">
        <f>(D29+E29)/2</f>
        <v>0.16</v>
      </c>
    </row>
    <row r="30" spans="1:11" x14ac:dyDescent="0.2">
      <c r="D30" s="275">
        <v>0.11</v>
      </c>
      <c r="E30" s="275">
        <v>0.21</v>
      </c>
      <c r="F30" s="275">
        <f>(D30+E30)/2</f>
        <v>0.16</v>
      </c>
    </row>
  </sheetData>
  <conditionalFormatting sqref="J5:J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dataValidations count="1">
    <dataValidation type="list" showInputMessage="1" showErrorMessage="1" sqref="C2 C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X20"/>
  <sheetViews>
    <sheetView workbookViewId="0"/>
  </sheetViews>
  <sheetFormatPr defaultRowHeight="11.25" x14ac:dyDescent="0.2"/>
  <cols>
    <col min="1" max="1" width="5" style="21" customWidth="1"/>
    <col min="2" max="3" width="2.7109375" style="21" bestFit="1" customWidth="1"/>
    <col min="4" max="4" width="2" style="21" bestFit="1" customWidth="1"/>
    <col min="5" max="5" width="9.140625" style="21"/>
    <col min="6" max="6" width="13.42578125" style="21" bestFit="1" customWidth="1"/>
    <col min="7" max="8" width="5.7109375" style="21" bestFit="1" customWidth="1"/>
    <col min="9" max="9" width="5.140625" style="21" bestFit="1" customWidth="1"/>
    <col min="10" max="10" width="10.28515625" style="21" customWidth="1"/>
    <col min="11" max="11" width="5.7109375" style="21" bestFit="1" customWidth="1"/>
    <col min="12" max="12" width="7.5703125" style="21" customWidth="1"/>
    <col min="13" max="13" width="5.7109375" style="21" bestFit="1" customWidth="1"/>
    <col min="14" max="14" width="7.5703125" style="21" customWidth="1"/>
    <col min="15" max="15" width="14.28515625" style="21" bestFit="1" customWidth="1"/>
    <col min="16" max="17" width="7.7109375" style="21" bestFit="1" customWidth="1"/>
    <col min="18" max="18" width="5" style="21" customWidth="1"/>
    <col min="19" max="23" width="4.28515625" style="21" customWidth="1"/>
    <col min="24" max="16384" width="9.140625" style="21"/>
  </cols>
  <sheetData>
    <row r="1" spans="1:24" x14ac:dyDescent="0.2">
      <c r="A1" s="354" t="s">
        <v>315</v>
      </c>
      <c r="B1" s="206"/>
      <c r="C1" s="206"/>
      <c r="D1" s="206"/>
      <c r="E1" s="206"/>
      <c r="F1" s="206" t="s">
        <v>272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x14ac:dyDescent="0.2">
      <c r="A2" s="320"/>
      <c r="B2" s="139"/>
      <c r="D2" s="139"/>
      <c r="E2" s="139"/>
      <c r="F2" s="146" t="str">
        <f>[0]!Contributor</f>
        <v>ICAP</v>
      </c>
      <c r="G2" s="139"/>
      <c r="H2" s="139"/>
      <c r="I2" s="139"/>
      <c r="J2" s="139"/>
      <c r="K2" s="283"/>
      <c r="L2" s="283"/>
      <c r="M2" s="283"/>
      <c r="N2" s="283"/>
      <c r="O2" s="353" t="s">
        <v>267</v>
      </c>
      <c r="P2" s="146" t="s">
        <v>142</v>
      </c>
      <c r="Q2" s="139"/>
      <c r="R2" s="49"/>
    </row>
    <row r="3" spans="1:24" x14ac:dyDescent="0.2">
      <c r="A3" s="124"/>
      <c r="B3" s="283"/>
      <c r="C3" s="139"/>
      <c r="D3" s="139"/>
      <c r="E3" s="139"/>
      <c r="F3" s="139"/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_xll.ohTrigger(Q5:Q19)</f>
        <v>22</v>
      </c>
      <c r="R3" s="225"/>
    </row>
    <row r="4" spans="1:24" ht="22.5" x14ac:dyDescent="0.2">
      <c r="A4" s="124"/>
      <c r="B4" s="352"/>
      <c r="C4" s="201"/>
      <c r="D4" s="201"/>
      <c r="E4" s="201"/>
      <c r="F4" s="278" t="e">
        <f ca="1">_xll.RData(F5:F19,G4:J4,"RTFEED:IDN",ReutersRtMode,,G5)</f>
        <v>#NAME?</v>
      </c>
      <c r="G4" s="351" t="s">
        <v>235</v>
      </c>
      <c r="H4" s="351" t="s">
        <v>234</v>
      </c>
      <c r="I4" s="351" t="s">
        <v>252</v>
      </c>
      <c r="J4" s="351" t="s">
        <v>271</v>
      </c>
      <c r="K4" s="310" t="s">
        <v>270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  <c r="X4" s="349" t="s">
        <v>269</v>
      </c>
    </row>
    <row r="5" spans="1:24" x14ac:dyDescent="0.2">
      <c r="A5" s="124"/>
      <c r="B5" s="287">
        <v>4</v>
      </c>
      <c r="C5" s="343">
        <v>1</v>
      </c>
      <c r="D5" s="343" t="s">
        <v>268</v>
      </c>
      <c r="E5" s="341" t="str">
        <f>Currency&amp;$C5&amp;$D5&amp;$B5&amp;"F"</f>
        <v>USD1X4F</v>
      </c>
      <c r="F5" s="341" t="str">
        <f t="array" ref="F5:F19">Instruments&amp;"="&amp;VLOOKUP(Contributor,ContributorTable,2,FALSE)</f>
        <v>USD1X4F=ICAP</v>
      </c>
      <c r="G5" s="342">
        <v>0.218</v>
      </c>
      <c r="H5" s="342">
        <v>0.26800000000000002</v>
      </c>
      <c r="I5" s="341">
        <v>0</v>
      </c>
      <c r="J5" s="341">
        <v>0</v>
      </c>
      <c r="K5" s="285">
        <f>_xll.qlMidSafe($G5,$H5)</f>
        <v>0.24299999999999999</v>
      </c>
      <c r="L5" s="283"/>
      <c r="M5" s="345">
        <v>0.24299999999999999</v>
      </c>
      <c r="N5" s="283"/>
      <c r="O5" s="344" t="str">
        <f>$E5&amp;$P$2</f>
        <v>USD1X4F_Quote</v>
      </c>
      <c r="P5" s="301">
        <f t="array" ref="P5:P19">QuoteLive</f>
        <v>0.24299999999999999</v>
      </c>
      <c r="Q5" s="300" t="e">
        <f>_xll.qlSimpleQuoteSetValue($O5,$P5/100,Trigger)</f>
        <v>#N/A</v>
      </c>
      <c r="R5" s="225"/>
      <c r="T5" s="323"/>
      <c r="X5" s="322">
        <f>(H5-K5)/50</f>
        <v>5.0000000000000044E-4</v>
      </c>
    </row>
    <row r="6" spans="1:24" x14ac:dyDescent="0.2">
      <c r="A6" s="124"/>
      <c r="B6" s="287">
        <v>5</v>
      </c>
      <c r="C6" s="343">
        <v>2</v>
      </c>
      <c r="D6" s="343" t="s">
        <v>268</v>
      </c>
      <c r="E6" s="341" t="str">
        <f>Currency&amp;$C6&amp;$D6&amp;$B6&amp;"F"</f>
        <v>USD2X5F</v>
      </c>
      <c r="F6" s="341" t="str">
        <v>USD2X5F=ICAP</v>
      </c>
      <c r="G6" s="342">
        <v>0.23100000000000001</v>
      </c>
      <c r="H6" s="342">
        <v>0.28100000000000003</v>
      </c>
      <c r="I6" s="341">
        <v>0</v>
      </c>
      <c r="J6" s="341">
        <v>0</v>
      </c>
      <c r="K6" s="285">
        <f>_xll.qlMidSafe($G6,$H6)</f>
        <v>0.25600000000000001</v>
      </c>
      <c r="L6" s="283"/>
      <c r="M6" s="340">
        <v>0.25600000000000001</v>
      </c>
      <c r="N6" s="283"/>
      <c r="O6" s="339" t="str">
        <f>$E6&amp;$P$2</f>
        <v>USD2X5F_Quote</v>
      </c>
      <c r="P6" s="281">
        <v>0.25600000000000001</v>
      </c>
      <c r="Q6" s="280" t="e">
        <f>_xll.qlSimpleQuoteSetValue($O6,$P6/100,Trigger)</f>
        <v>#N/A</v>
      </c>
      <c r="R6" s="225"/>
      <c r="T6" s="323"/>
      <c r="X6" s="322">
        <f>(H6-K6)/50</f>
        <v>5.0000000000000044E-4</v>
      </c>
    </row>
    <row r="7" spans="1:24" x14ac:dyDescent="0.2">
      <c r="A7" s="124"/>
      <c r="B7" s="287">
        <v>6</v>
      </c>
      <c r="C7" s="343">
        <v>3</v>
      </c>
      <c r="D7" s="343" t="s">
        <v>268</v>
      </c>
      <c r="E7" s="341" t="str">
        <f>Currency&amp;$C7&amp;$D7&amp;$B7&amp;"F"</f>
        <v>USD3X6F</v>
      </c>
      <c r="F7" s="341" t="str">
        <v>USD3X6F=ICAP</v>
      </c>
      <c r="G7" s="342">
        <v>0.24299999999999999</v>
      </c>
      <c r="H7" s="342">
        <v>0.29299999999999998</v>
      </c>
      <c r="I7" s="341">
        <v>0</v>
      </c>
      <c r="J7" s="341">
        <v>0</v>
      </c>
      <c r="K7" s="285">
        <f>_xll.qlMidSafe($G7,$H7)</f>
        <v>0.26800000000000002</v>
      </c>
      <c r="L7" s="283"/>
      <c r="M7" s="340">
        <v>0.26800000000000002</v>
      </c>
      <c r="N7" s="283"/>
      <c r="O7" s="339" t="str">
        <f>$E7&amp;$P$2</f>
        <v>USD3X6F_Quote</v>
      </c>
      <c r="P7" s="281">
        <v>0.26800000000000002</v>
      </c>
      <c r="Q7" s="280" t="e">
        <f>_xll.qlSimpleQuoteSetValue($O7,$P7/100,Trigger)</f>
        <v>#N/A</v>
      </c>
      <c r="R7" s="225"/>
      <c r="T7" s="323"/>
      <c r="X7" s="322">
        <f>(H7-K7)/50</f>
        <v>4.9999999999999936E-4</v>
      </c>
    </row>
    <row r="8" spans="1:24" x14ac:dyDescent="0.2">
      <c r="A8" s="124"/>
      <c r="B8" s="287">
        <v>7</v>
      </c>
      <c r="C8" s="343">
        <v>4</v>
      </c>
      <c r="D8" s="343" t="s">
        <v>268</v>
      </c>
      <c r="E8" s="341" t="str">
        <f>Currency&amp;$C8&amp;$D8&amp;$B8&amp;"F"</f>
        <v>USD4X7F</v>
      </c>
      <c r="F8" s="341" t="str">
        <v>USD4X7F=ICAP</v>
      </c>
      <c r="G8" s="342" t="s">
        <v>247</v>
      </c>
      <c r="H8" s="342" t="s">
        <v>247</v>
      </c>
      <c r="I8" s="341" t="s">
        <v>247</v>
      </c>
      <c r="J8" s="341" t="s">
        <v>247</v>
      </c>
      <c r="K8" s="285" t="e">
        <f>_xll.qlMidSafe($G8,$H8)</f>
        <v>#NUM!</v>
      </c>
      <c r="L8" s="283"/>
      <c r="M8" s="340" t="e">
        <v>#NUM!</v>
      </c>
      <c r="N8" s="283"/>
      <c r="O8" s="339" t="str">
        <f>$E8&amp;$P$2</f>
        <v>USD4X7F_Quote</v>
      </c>
      <c r="P8" s="281" t="e">
        <v>#NUM!</v>
      </c>
      <c r="Q8" s="280" t="e">
        <f>_xll.qlSimpleQuoteSetValue($O8,$P8/100,Trigger)</f>
        <v>#NUM!</v>
      </c>
      <c r="R8" s="225"/>
      <c r="T8" s="323"/>
      <c r="X8" s="322" t="e">
        <f>(H8-K8)/50</f>
        <v>#VALUE!</v>
      </c>
    </row>
    <row r="9" spans="1:24" x14ac:dyDescent="0.2">
      <c r="A9" s="124"/>
      <c r="B9" s="287">
        <v>8</v>
      </c>
      <c r="C9" s="343">
        <v>5</v>
      </c>
      <c r="D9" s="343" t="s">
        <v>268</v>
      </c>
      <c r="E9" s="341" t="str">
        <f>Currency&amp;$C9&amp;$D9&amp;$B9&amp;"F"</f>
        <v>USD5X8F</v>
      </c>
      <c r="F9" s="341" t="str">
        <v>USD5X8F=ICAP</v>
      </c>
      <c r="G9" s="342" t="s">
        <v>247</v>
      </c>
      <c r="H9" s="342" t="s">
        <v>247</v>
      </c>
      <c r="I9" s="341" t="s">
        <v>247</v>
      </c>
      <c r="J9" s="341" t="s">
        <v>247</v>
      </c>
      <c r="K9" s="285" t="e">
        <f>_xll.qlMidSafe($G9,$H9)</f>
        <v>#NUM!</v>
      </c>
      <c r="L9" s="283"/>
      <c r="M9" s="340" t="e">
        <v>#NUM!</v>
      </c>
      <c r="N9" s="283"/>
      <c r="O9" s="339" t="str">
        <f>$E9&amp;$P$2</f>
        <v>USD5X8F_Quote</v>
      </c>
      <c r="P9" s="281" t="e">
        <v>#NUM!</v>
      </c>
      <c r="Q9" s="280" t="e">
        <f>_xll.qlSimpleQuoteSetValue($O9,$P9/100,Trigger)</f>
        <v>#NUM!</v>
      </c>
      <c r="R9" s="225"/>
      <c r="T9" s="323"/>
      <c r="X9" s="322" t="e">
        <f>(H9-K9)/50</f>
        <v>#VALUE!</v>
      </c>
    </row>
    <row r="10" spans="1:24" x14ac:dyDescent="0.2">
      <c r="A10" s="124"/>
      <c r="B10" s="299">
        <v>9</v>
      </c>
      <c r="C10" s="338">
        <v>6</v>
      </c>
      <c r="D10" s="338" t="s">
        <v>268</v>
      </c>
      <c r="E10" s="336" t="str">
        <f>Currency&amp;$C10&amp;$D10&amp;$B10&amp;"F"</f>
        <v>USD6X9F</v>
      </c>
      <c r="F10" s="336" t="str">
        <v>USD6X9F=ICAP</v>
      </c>
      <c r="G10" s="337" t="s">
        <v>247</v>
      </c>
      <c r="H10" s="337" t="s">
        <v>247</v>
      </c>
      <c r="I10" s="336" t="s">
        <v>247</v>
      </c>
      <c r="J10" s="336" t="s">
        <v>247</v>
      </c>
      <c r="K10" s="297" t="e">
        <f>_xll.qlMidSafe($G10,$H10)</f>
        <v>#NUM!</v>
      </c>
      <c r="L10" s="283"/>
      <c r="M10" s="335" t="e">
        <v>#NUM!</v>
      </c>
      <c r="N10" s="283"/>
      <c r="O10" s="334" t="str">
        <f>$E10&amp;$P$2</f>
        <v>USD6X9F_Quote</v>
      </c>
      <c r="P10" s="294" t="e">
        <v>#NUM!</v>
      </c>
      <c r="Q10" s="293" t="e">
        <f>_xll.qlSimpleQuoteSetValue($O10,$P10/100,Trigger)</f>
        <v>#NUM!</v>
      </c>
      <c r="R10" s="225"/>
      <c r="T10" s="323"/>
      <c r="X10" s="322" t="e">
        <f>(H10-K10)/50</f>
        <v>#VALUE!</v>
      </c>
    </row>
    <row r="11" spans="1:24" x14ac:dyDescent="0.2">
      <c r="A11" s="124"/>
      <c r="B11" s="306">
        <v>7</v>
      </c>
      <c r="C11" s="348">
        <v>1</v>
      </c>
      <c r="D11" s="348" t="s">
        <v>268</v>
      </c>
      <c r="E11" s="346" t="str">
        <f>Currency&amp;$C11&amp;$D11&amp;$B11&amp;"F"</f>
        <v>USD1X7F</v>
      </c>
      <c r="F11" s="346" t="str">
        <v>USD1X7F=ICAP</v>
      </c>
      <c r="G11" s="347">
        <v>0.33500000000000002</v>
      </c>
      <c r="H11" s="347">
        <v>0.38500000000000001</v>
      </c>
      <c r="I11" s="346">
        <v>0</v>
      </c>
      <c r="J11" s="346">
        <v>0</v>
      </c>
      <c r="K11" s="304">
        <f>_xll.qlMidSafe($G11,$H11)</f>
        <v>0.36</v>
      </c>
      <c r="L11" s="283"/>
      <c r="M11" s="345">
        <v>0.36</v>
      </c>
      <c r="N11" s="283"/>
      <c r="O11" s="344" t="str">
        <f>$E11&amp;$P$2</f>
        <v>USD1X7F_Quote</v>
      </c>
      <c r="P11" s="301">
        <v>0.36</v>
      </c>
      <c r="Q11" s="300" t="e">
        <f>_xll.qlSimpleQuoteSetValue($O11,$P11/100,Trigger)</f>
        <v>#N/A</v>
      </c>
      <c r="R11" s="225"/>
      <c r="T11" s="323"/>
      <c r="X11" s="322">
        <f>(H11-K11)/50</f>
        <v>5.0000000000000044E-4</v>
      </c>
    </row>
    <row r="12" spans="1:24" x14ac:dyDescent="0.2">
      <c r="A12" s="124"/>
      <c r="B12" s="287">
        <v>8</v>
      </c>
      <c r="C12" s="343">
        <v>2</v>
      </c>
      <c r="D12" s="343" t="s">
        <v>268</v>
      </c>
      <c r="E12" s="341" t="str">
        <f>Currency&amp;$C12&amp;$D12&amp;$B12&amp;"F"</f>
        <v>USD2X8F</v>
      </c>
      <c r="F12" s="341" t="str">
        <v>USD2X8F=ICAP</v>
      </c>
      <c r="G12" s="342">
        <v>0.35099999999999998</v>
      </c>
      <c r="H12" s="342">
        <v>0.40100000000000002</v>
      </c>
      <c r="I12" s="341">
        <v>0</v>
      </c>
      <c r="J12" s="341">
        <v>0</v>
      </c>
      <c r="K12" s="285">
        <f>_xll.qlMidSafe($G12,$H12)</f>
        <v>0.376</v>
      </c>
      <c r="L12" s="283"/>
      <c r="M12" s="340">
        <v>0.376</v>
      </c>
      <c r="N12" s="283"/>
      <c r="O12" s="339" t="str">
        <f>$E12&amp;$P$2</f>
        <v>USD2X8F_Quote</v>
      </c>
      <c r="P12" s="281">
        <v>0.376</v>
      </c>
      <c r="Q12" s="280" t="e">
        <f>_xll.qlSimpleQuoteSetValue($O12,$P12/100,Trigger)</f>
        <v>#N/A</v>
      </c>
      <c r="R12" s="225"/>
      <c r="T12" s="323"/>
      <c r="X12" s="322">
        <f>(H12-K12)/50</f>
        <v>5.0000000000000044E-4</v>
      </c>
    </row>
    <row r="13" spans="1:24" x14ac:dyDescent="0.2">
      <c r="A13" s="124"/>
      <c r="B13" s="287">
        <v>9</v>
      </c>
      <c r="C13" s="343">
        <v>3</v>
      </c>
      <c r="D13" s="343" t="s">
        <v>268</v>
      </c>
      <c r="E13" s="341" t="str">
        <f>Currency&amp;$C13&amp;$D13&amp;$B13&amp;"F"</f>
        <v>USD3X9F</v>
      </c>
      <c r="F13" s="341" t="str">
        <v>USD3X9F=ICAP</v>
      </c>
      <c r="G13" s="342">
        <v>0.36499999999999999</v>
      </c>
      <c r="H13" s="342">
        <v>0.41499999999999998</v>
      </c>
      <c r="I13" s="341">
        <v>0</v>
      </c>
      <c r="J13" s="341">
        <v>0</v>
      </c>
      <c r="K13" s="285">
        <f>_xll.qlMidSafe($G13,$H13)</f>
        <v>0.39</v>
      </c>
      <c r="L13" s="283"/>
      <c r="M13" s="340">
        <v>0.39</v>
      </c>
      <c r="N13" s="283"/>
      <c r="O13" s="339" t="str">
        <f>$E13&amp;$P$2</f>
        <v>USD3X9F_Quote</v>
      </c>
      <c r="P13" s="281">
        <v>0.39</v>
      </c>
      <c r="Q13" s="280" t="e">
        <f>_xll.qlSimpleQuoteSetValue($O13,$P13/100,Trigger)</f>
        <v>#N/A</v>
      </c>
      <c r="R13" s="225"/>
      <c r="T13" s="323"/>
      <c r="X13" s="322">
        <f>(H13-K13)/50</f>
        <v>4.9999999999999936E-4</v>
      </c>
    </row>
    <row r="14" spans="1:24" x14ac:dyDescent="0.2">
      <c r="A14" s="124"/>
      <c r="B14" s="287">
        <v>10</v>
      </c>
      <c r="C14" s="343">
        <v>4</v>
      </c>
      <c r="D14" s="343" t="s">
        <v>268</v>
      </c>
      <c r="E14" s="341" t="str">
        <f>Currency&amp;$C14&amp;$D14&amp;$B14&amp;"F"</f>
        <v>USD4X10F</v>
      </c>
      <c r="F14" s="341" t="str">
        <v>USD4X10F=ICAP</v>
      </c>
      <c r="G14" s="342">
        <v>0.379</v>
      </c>
      <c r="H14" s="342">
        <v>0.42899999999999999</v>
      </c>
      <c r="I14" s="341">
        <v>0</v>
      </c>
      <c r="J14" s="341">
        <v>0</v>
      </c>
      <c r="K14" s="285">
        <f>_xll.qlMidSafe($G14,$H14)</f>
        <v>0.40400000000000003</v>
      </c>
      <c r="L14" s="283"/>
      <c r="M14" s="340">
        <v>0.40400000000000003</v>
      </c>
      <c r="N14" s="283"/>
      <c r="O14" s="339" t="str">
        <f>$E14&amp;$P$2</f>
        <v>USD4X10F_Quote</v>
      </c>
      <c r="P14" s="281">
        <v>0.40400000000000003</v>
      </c>
      <c r="Q14" s="280" t="e">
        <f>_xll.qlSimpleQuoteSetValue($O14,$P14/100,Trigger)</f>
        <v>#N/A</v>
      </c>
      <c r="R14" s="225"/>
      <c r="T14" s="323"/>
      <c r="X14" s="322">
        <f>(H14-K14)/50</f>
        <v>4.9999999999999936E-4</v>
      </c>
    </row>
    <row r="15" spans="1:24" x14ac:dyDescent="0.2">
      <c r="A15" s="124"/>
      <c r="B15" s="287">
        <v>11</v>
      </c>
      <c r="C15" s="343">
        <v>5</v>
      </c>
      <c r="D15" s="343" t="s">
        <v>268</v>
      </c>
      <c r="E15" s="341" t="str">
        <f>Currency&amp;$C15&amp;$D15&amp;$B15&amp;"F"</f>
        <v>USD5X11F</v>
      </c>
      <c r="F15" s="341" t="str">
        <v>USD5X11F=ICAP</v>
      </c>
      <c r="G15" s="342">
        <v>0.39500000000000002</v>
      </c>
      <c r="H15" s="342">
        <v>0.44500000000000001</v>
      </c>
      <c r="I15" s="341">
        <v>0</v>
      </c>
      <c r="J15" s="341">
        <v>0</v>
      </c>
      <c r="K15" s="285">
        <f>_xll.qlMidSafe($G15,$H15)</f>
        <v>0.42000000000000004</v>
      </c>
      <c r="L15" s="283"/>
      <c r="M15" s="340">
        <v>0.42000000000000004</v>
      </c>
      <c r="N15" s="283"/>
      <c r="O15" s="339" t="str">
        <f>$E15&amp;$P$2</f>
        <v>USD5X11F_Quote</v>
      </c>
      <c r="P15" s="281">
        <v>0.42000000000000004</v>
      </c>
      <c r="Q15" s="280" t="e">
        <f>_xll.qlSimpleQuoteSetValue($O15,$P15/100,Trigger)</f>
        <v>#N/A</v>
      </c>
      <c r="R15" s="225"/>
      <c r="T15" s="323"/>
      <c r="X15" s="322">
        <f>(H15-K15)/50</f>
        <v>4.9999999999999936E-4</v>
      </c>
    </row>
    <row r="16" spans="1:24" x14ac:dyDescent="0.2">
      <c r="A16" s="124"/>
      <c r="B16" s="287">
        <v>12</v>
      </c>
      <c r="C16" s="343">
        <v>6</v>
      </c>
      <c r="D16" s="343" t="s">
        <v>268</v>
      </c>
      <c r="E16" s="341" t="str">
        <f>Currency&amp;$C16&amp;$D16&amp;$B16&amp;"F"</f>
        <v>USD6X12F</v>
      </c>
      <c r="F16" s="341" t="str">
        <v>USD6X12F=ICAP</v>
      </c>
      <c r="G16" s="342">
        <v>0.41299999999999998</v>
      </c>
      <c r="H16" s="342">
        <v>0.46300000000000002</v>
      </c>
      <c r="I16" s="341">
        <v>0</v>
      </c>
      <c r="J16" s="341">
        <v>0</v>
      </c>
      <c r="K16" s="285">
        <f>_xll.qlMidSafe($G16,$H16)</f>
        <v>0.438</v>
      </c>
      <c r="L16" s="283"/>
      <c r="M16" s="340">
        <v>0.438</v>
      </c>
      <c r="N16" s="283"/>
      <c r="O16" s="339" t="str">
        <f>$E16&amp;$P$2</f>
        <v>USD6X12F_Quote</v>
      </c>
      <c r="P16" s="281">
        <v>0.438</v>
      </c>
      <c r="Q16" s="280" t="e">
        <f>_xll.qlSimpleQuoteSetValue($O16,$P16/100,Trigger)</f>
        <v>#N/A</v>
      </c>
      <c r="R16" s="225"/>
      <c r="T16" s="323"/>
      <c r="X16" s="322">
        <f>(H16-K16)/50</f>
        <v>5.0000000000000044E-4</v>
      </c>
    </row>
    <row r="17" spans="1:24" x14ac:dyDescent="0.2">
      <c r="A17" s="124"/>
      <c r="B17" s="287">
        <v>18</v>
      </c>
      <c r="C17" s="343">
        <v>12</v>
      </c>
      <c r="D17" s="343" t="s">
        <v>268</v>
      </c>
      <c r="E17" s="341" t="str">
        <f>Currency&amp;$C17&amp;$D17&amp;$B17&amp;"F"</f>
        <v>USD12X18F</v>
      </c>
      <c r="F17" s="341" t="str">
        <v>USD12X18F=ICAP</v>
      </c>
      <c r="G17" s="342" t="s">
        <v>247</v>
      </c>
      <c r="H17" s="342" t="s">
        <v>247</v>
      </c>
      <c r="I17" s="341" t="s">
        <v>247</v>
      </c>
      <c r="J17" s="341" t="s">
        <v>247</v>
      </c>
      <c r="K17" s="285" t="e">
        <f>_xll.qlMidSafe($G17,$H17)</f>
        <v>#NUM!</v>
      </c>
      <c r="L17" s="283"/>
      <c r="M17" s="340" t="e">
        <v>#NUM!</v>
      </c>
      <c r="N17" s="283"/>
      <c r="O17" s="339" t="str">
        <f>$E17&amp;$P$2</f>
        <v>USD12X18F_Quote</v>
      </c>
      <c r="P17" s="281" t="e">
        <v>#NUM!</v>
      </c>
      <c r="Q17" s="280" t="e">
        <f>_xll.qlSimpleQuoteSetValue($O17,$P17/100,Trigger)</f>
        <v>#NUM!</v>
      </c>
      <c r="R17" s="225"/>
      <c r="T17" s="323"/>
      <c r="X17" s="322" t="e">
        <f>(H17-K17)/50</f>
        <v>#VALUE!</v>
      </c>
    </row>
    <row r="18" spans="1:24" x14ac:dyDescent="0.2">
      <c r="A18" s="124"/>
      <c r="B18" s="299">
        <v>24</v>
      </c>
      <c r="C18" s="338">
        <v>18</v>
      </c>
      <c r="D18" s="338" t="s">
        <v>268</v>
      </c>
      <c r="E18" s="336" t="str">
        <f>Currency&amp;$C18&amp;$D18&amp;$B18&amp;"F"</f>
        <v>USD18X24F</v>
      </c>
      <c r="F18" s="336" t="str">
        <v>USD18X24F=ICAP</v>
      </c>
      <c r="G18" s="337" t="s">
        <v>247</v>
      </c>
      <c r="H18" s="337" t="s">
        <v>247</v>
      </c>
      <c r="I18" s="336" t="s">
        <v>247</v>
      </c>
      <c r="J18" s="336" t="s">
        <v>247</v>
      </c>
      <c r="K18" s="297" t="e">
        <f>_xll.qlMidSafe($G18,$H18)</f>
        <v>#NUM!</v>
      </c>
      <c r="L18" s="283"/>
      <c r="M18" s="335" t="e">
        <v>#NUM!</v>
      </c>
      <c r="N18" s="283"/>
      <c r="O18" s="334" t="str">
        <f>$E18&amp;$P$2</f>
        <v>USD18X24F_Quote</v>
      </c>
      <c r="P18" s="294" t="e">
        <v>#NUM!</v>
      </c>
      <c r="Q18" s="293" t="e">
        <f>_xll.qlSimpleQuoteSetValue($O18,$P18/100,Trigger)</f>
        <v>#NUM!</v>
      </c>
      <c r="R18" s="225"/>
      <c r="T18" s="323"/>
      <c r="X18" s="322" t="e">
        <f>(H18-K18)/50</f>
        <v>#VALUE!</v>
      </c>
    </row>
    <row r="19" spans="1:24" x14ac:dyDescent="0.2">
      <c r="A19" s="124"/>
      <c r="B19" s="333">
        <v>24</v>
      </c>
      <c r="C19" s="332">
        <v>12</v>
      </c>
      <c r="D19" s="332" t="s">
        <v>268</v>
      </c>
      <c r="E19" s="330" t="str">
        <f>Currency&amp;$C19&amp;$D19&amp;$B19&amp;"F"</f>
        <v>USD12X24F</v>
      </c>
      <c r="F19" s="330" t="str">
        <v>USD12X24F=ICAP</v>
      </c>
      <c r="G19" s="331" t="s">
        <v>247</v>
      </c>
      <c r="H19" s="331" t="s">
        <v>247</v>
      </c>
      <c r="I19" s="330" t="s">
        <v>247</v>
      </c>
      <c r="J19" s="330" t="s">
        <v>247</v>
      </c>
      <c r="K19" s="329" t="e">
        <f>_xll.qlMidSafe($G19,$H19)</f>
        <v>#NUM!</v>
      </c>
      <c r="L19" s="283"/>
      <c r="M19" s="328" t="e">
        <v>#NUM!</v>
      </c>
      <c r="N19" s="283"/>
      <c r="O19" s="327" t="str">
        <f>$E19&amp;$P$2</f>
        <v>USD12X24F_Quote</v>
      </c>
      <c r="P19" s="326" t="e">
        <v>#NUM!</v>
      </c>
      <c r="Q19" s="325" t="e">
        <f>_xll.qlSimpleQuoteSetValue($O19,$P19/100,Trigger)</f>
        <v>#NUM!</v>
      </c>
      <c r="R19" s="225"/>
      <c r="T19" s="323"/>
      <c r="X19" s="322" t="e">
        <f>(H19-K19)/50</f>
        <v>#VALUE!</v>
      </c>
    </row>
    <row r="20" spans="1:24" ht="12" thickBot="1" x14ac:dyDescent="0.25">
      <c r="A20" s="48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324"/>
      <c r="T20" s="323"/>
      <c r="X20" s="322"/>
    </row>
  </sheetData>
  <conditionalFormatting sqref="Q5:Q19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X18"/>
  <sheetViews>
    <sheetView workbookViewId="0"/>
  </sheetViews>
  <sheetFormatPr defaultRowHeight="11.25" x14ac:dyDescent="0.2"/>
  <cols>
    <col min="1" max="1" width="2.85546875" style="21" customWidth="1"/>
    <col min="2" max="2" width="2.7109375" style="21" bestFit="1" customWidth="1"/>
    <col min="3" max="3" width="5.7109375" style="21" customWidth="1"/>
    <col min="4" max="4" width="6.140625" style="21" bestFit="1" customWidth="1"/>
    <col min="5" max="5" width="14.28515625" style="21" bestFit="1" customWidth="1"/>
    <col min="6" max="6" width="8.85546875" style="21" bestFit="1" customWidth="1"/>
    <col min="7" max="7" width="10.5703125" style="21" bestFit="1" customWidth="1"/>
    <col min="8" max="10" width="6.5703125" style="21" bestFit="1" customWidth="1"/>
    <col min="11" max="11" width="9.7109375" style="21" customWidth="1"/>
    <col min="12" max="12" width="6.5703125" style="21" bestFit="1" customWidth="1"/>
    <col min="13" max="13" width="2.85546875" style="21" customWidth="1"/>
    <col min="14" max="14" width="6.5703125" style="21" customWidth="1"/>
    <col min="15" max="15" width="2.85546875" style="21" customWidth="1"/>
    <col min="16" max="16" width="15.85546875" style="21" bestFit="1" customWidth="1"/>
    <col min="17" max="17" width="7.7109375" style="21" bestFit="1" customWidth="1"/>
    <col min="18" max="18" width="7" style="21" bestFit="1" customWidth="1"/>
    <col min="19" max="20" width="2.85546875" style="21" customWidth="1"/>
    <col min="21" max="21" width="4.7109375" style="21" bestFit="1" customWidth="1"/>
    <col min="22" max="22" width="6" style="21" bestFit="1" customWidth="1"/>
    <col min="23" max="16384" width="9.140625" style="21"/>
  </cols>
  <sheetData>
    <row r="1" spans="1:24" ht="12.75" customHeight="1" x14ac:dyDescent="0.2">
      <c r="A1" s="321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380"/>
      <c r="N1" s="380"/>
      <c r="O1" s="206"/>
      <c r="P1" s="206"/>
      <c r="Q1" s="206"/>
      <c r="R1" s="206"/>
      <c r="S1" s="379"/>
    </row>
    <row r="2" spans="1:24" ht="12.75" customHeight="1" x14ac:dyDescent="0.2">
      <c r="A2" s="320"/>
      <c r="B2" s="139"/>
      <c r="C2" s="319"/>
      <c r="D2" s="319"/>
      <c r="E2" s="139"/>
      <c r="F2" s="139"/>
      <c r="G2" s="139"/>
      <c r="H2" s="139"/>
      <c r="I2" s="139"/>
      <c r="J2" s="139"/>
      <c r="K2" s="139"/>
      <c r="L2" s="139"/>
      <c r="M2" s="283"/>
      <c r="N2" s="283"/>
      <c r="O2" s="139"/>
      <c r="P2" s="94" t="s">
        <v>267</v>
      </c>
      <c r="Q2" s="378" t="s">
        <v>142</v>
      </c>
      <c r="R2" s="139"/>
      <c r="S2" s="377"/>
    </row>
    <row r="3" spans="1:24" ht="12.75" customHeight="1" x14ac:dyDescent="0.2">
      <c r="A3" s="320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283"/>
      <c r="N3" s="283"/>
      <c r="O3" s="139"/>
      <c r="Q3" s="139"/>
      <c r="R3" s="139"/>
      <c r="S3" s="377"/>
    </row>
    <row r="4" spans="1:24" ht="12.75" customHeight="1" thickBot="1" x14ac:dyDescent="0.25">
      <c r="A4" s="320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283"/>
      <c r="N4" s="283"/>
      <c r="O4" s="139"/>
      <c r="P4" s="139"/>
      <c r="Q4" s="139"/>
      <c r="R4" s="315">
        <f>_xll.ohTrigger(R6:R17)</f>
        <v>21</v>
      </c>
      <c r="S4" s="377"/>
    </row>
    <row r="5" spans="1:24" ht="22.5" x14ac:dyDescent="0.2">
      <c r="A5" s="320"/>
      <c r="B5" s="376" t="s">
        <v>183</v>
      </c>
      <c r="C5" s="351" t="s">
        <v>182</v>
      </c>
      <c r="D5" s="351" t="s">
        <v>181</v>
      </c>
      <c r="E5" s="351" t="s">
        <v>277</v>
      </c>
      <c r="F5" s="278" t="e">
        <f ca="1">_xll.RData(F6:F17,G5:K5,"RTFEED:IDN",ReutersRtMode,,G6)</f>
        <v>#NAME?</v>
      </c>
      <c r="G5" s="351" t="s">
        <v>276</v>
      </c>
      <c r="H5" s="351" t="s">
        <v>235</v>
      </c>
      <c r="I5" s="351" t="s">
        <v>234</v>
      </c>
      <c r="J5" s="351" t="s">
        <v>252</v>
      </c>
      <c r="K5" s="351" t="s">
        <v>271</v>
      </c>
      <c r="L5" s="310" t="s">
        <v>270</v>
      </c>
      <c r="M5" s="283"/>
      <c r="N5" s="313" t="s">
        <v>265</v>
      </c>
      <c r="O5" s="283"/>
      <c r="P5" s="312" t="s">
        <v>264</v>
      </c>
      <c r="Q5" s="351" t="s">
        <v>263</v>
      </c>
      <c r="R5" s="314" t="s">
        <v>262</v>
      </c>
      <c r="S5" s="49"/>
      <c r="U5" s="215" t="s">
        <v>275</v>
      </c>
      <c r="V5" s="213" t="s">
        <v>274</v>
      </c>
      <c r="X5" s="349" t="s">
        <v>269</v>
      </c>
    </row>
    <row r="6" spans="1:24" ht="12.75" customHeight="1" x14ac:dyDescent="0.2">
      <c r="A6" s="362"/>
      <c r="B6" s="375">
        <v>1</v>
      </c>
      <c r="C6" s="374" t="b">
        <v>0</v>
      </c>
      <c r="D6" s="301" t="str">
        <f t="array" ref="D6:D17">_xll.qlIMMcode(FuturesDates)</f>
        <v>Z3</v>
      </c>
      <c r="E6" s="373">
        <f t="array" ref="E6:E17">_xll.qlIMMNextDates(_xll.qlSettingsEvaluationDate(Trigger)-1,$C6:$C17)</f>
        <v>41626</v>
      </c>
      <c r="F6" s="301" t="str">
        <f t="array" ref="F6:F17">VLOOKUP(Currency,LiffeCodes,2)&amp;FuturesCodes</f>
        <v>EMZ3</v>
      </c>
      <c r="G6" s="372">
        <v>41596</v>
      </c>
      <c r="H6" s="301">
        <v>99.825000000000003</v>
      </c>
      <c r="I6" s="301">
        <v>99.832499999999996</v>
      </c>
      <c r="J6" s="301">
        <v>0</v>
      </c>
      <c r="K6" s="301">
        <v>99.83</v>
      </c>
      <c r="L6" s="304">
        <f>_xll.qlMidSafe($H6,$I6)</f>
        <v>99.828749999999999</v>
      </c>
      <c r="M6" s="283"/>
      <c r="N6" s="371">
        <v>99.828749999999999</v>
      </c>
      <c r="O6" s="283"/>
      <c r="P6" s="370" t="str">
        <f t="array" ref="P6:P17">Currency&amp;"FUT1M"&amp;FuturesCodes&amp;$Q$2</f>
        <v>USDFUT1MZ3_Quote</v>
      </c>
      <c r="Q6" s="301">
        <f t="array" ref="Q6:Q17">QuoteLive</f>
        <v>99.828749999999999</v>
      </c>
      <c r="R6" s="304" t="e">
        <f>_xll.qlSimpleQuoteSetValue($P6,$Q6,Trigger)</f>
        <v>#N/A</v>
      </c>
      <c r="S6" s="49"/>
      <c r="U6" s="87" t="s">
        <v>132</v>
      </c>
      <c r="V6" s="85"/>
      <c r="X6" s="322">
        <f>(I6-L6)/50</f>
        <v>7.4999999999931784E-5</v>
      </c>
    </row>
    <row r="7" spans="1:24" x14ac:dyDescent="0.2">
      <c r="A7" s="362"/>
      <c r="B7" s="368">
        <v>2</v>
      </c>
      <c r="C7" s="367" t="b">
        <v>0</v>
      </c>
      <c r="D7" s="281" t="str">
        <v>F4</v>
      </c>
      <c r="E7" s="366">
        <v>41654</v>
      </c>
      <c r="F7" s="281" t="str">
        <v>EMF4</v>
      </c>
      <c r="G7" s="365">
        <v>41624</v>
      </c>
      <c r="H7" s="281">
        <v>99.817499999999995</v>
      </c>
      <c r="I7" s="281">
        <v>99.825000000000003</v>
      </c>
      <c r="J7" s="281">
        <v>0</v>
      </c>
      <c r="K7" s="281">
        <v>99.825000000000003</v>
      </c>
      <c r="L7" s="285">
        <f>_xll.qlMidSafe($H7,$I7)</f>
        <v>99.821249999999992</v>
      </c>
      <c r="M7" s="283"/>
      <c r="N7" s="369">
        <v>99.821249999999992</v>
      </c>
      <c r="O7" s="283"/>
      <c r="P7" s="363" t="str">
        <v>USDFUT1MF4_Quote</v>
      </c>
      <c r="Q7" s="281">
        <v>99.821249999999992</v>
      </c>
      <c r="R7" s="285" t="e">
        <f>_xll.qlSimpleQuoteSetValue($P7,$Q7,Trigger)</f>
        <v>#N/A</v>
      </c>
      <c r="S7" s="49"/>
      <c r="U7" s="87" t="s">
        <v>131</v>
      </c>
      <c r="V7" s="85"/>
      <c r="X7" s="322">
        <f>(I7-L7)/50</f>
        <v>7.5000000000216007E-5</v>
      </c>
    </row>
    <row r="8" spans="1:24" x14ac:dyDescent="0.2">
      <c r="A8" s="362"/>
      <c r="B8" s="368">
        <v>3</v>
      </c>
      <c r="C8" s="367" t="b">
        <v>0</v>
      </c>
      <c r="D8" s="281" t="str">
        <v>G4</v>
      </c>
      <c r="E8" s="366">
        <v>41689</v>
      </c>
      <c r="F8" s="281" t="str">
        <v>EMG4</v>
      </c>
      <c r="G8" s="365">
        <v>41652</v>
      </c>
      <c r="H8" s="281">
        <v>99.8125</v>
      </c>
      <c r="I8" s="281">
        <v>99.825000000000003</v>
      </c>
      <c r="J8" s="281">
        <v>0</v>
      </c>
      <c r="K8" s="281">
        <v>99.817499999999995</v>
      </c>
      <c r="L8" s="285">
        <f>_xll.qlMidSafe($H8,$I8)</f>
        <v>99.818749999999994</v>
      </c>
      <c r="M8" s="283"/>
      <c r="N8" s="369">
        <v>99.818749999999994</v>
      </c>
      <c r="O8" s="283"/>
      <c r="P8" s="363" t="str">
        <v>USDFUT1MG4_Quote</v>
      </c>
      <c r="Q8" s="281">
        <v>99.818749999999994</v>
      </c>
      <c r="R8" s="285" t="e">
        <f>_xll.qlSimpleQuoteSetValue($P8,$Q8,Trigger)</f>
        <v>#N/A</v>
      </c>
      <c r="S8" s="49"/>
      <c r="U8" s="87" t="s">
        <v>128</v>
      </c>
      <c r="V8" s="85"/>
      <c r="X8" s="322">
        <f>(I8-L8)/50</f>
        <v>1.2500000000017052E-4</v>
      </c>
    </row>
    <row r="9" spans="1:24" x14ac:dyDescent="0.2">
      <c r="A9" s="362"/>
      <c r="B9" s="368">
        <v>4</v>
      </c>
      <c r="C9" s="367" t="b">
        <v>0</v>
      </c>
      <c r="D9" s="281" t="str">
        <v>H4</v>
      </c>
      <c r="E9" s="366">
        <v>41717</v>
      </c>
      <c r="F9" s="281" t="str">
        <v>EMH4</v>
      </c>
      <c r="G9" s="365">
        <v>41688</v>
      </c>
      <c r="H9" s="281">
        <v>99.805000000000007</v>
      </c>
      <c r="I9" s="281">
        <v>99.82</v>
      </c>
      <c r="J9" s="281">
        <v>0</v>
      </c>
      <c r="K9" s="281">
        <v>99.8125</v>
      </c>
      <c r="L9" s="285">
        <f>_xll.qlMidSafe($H9,$I9)</f>
        <v>99.8125</v>
      </c>
      <c r="M9" s="283"/>
      <c r="N9" s="369">
        <v>99.8125</v>
      </c>
      <c r="O9" s="283"/>
      <c r="P9" s="363" t="str">
        <v>USDFUT1MH4_Quote</v>
      </c>
      <c r="Q9" s="281">
        <v>99.8125</v>
      </c>
      <c r="R9" s="285" t="e">
        <f>_xll.qlSimpleQuoteSetValue($P9,$Q9,Trigger)</f>
        <v>#N/A</v>
      </c>
      <c r="S9" s="49"/>
      <c r="U9" s="87" t="s">
        <v>127</v>
      </c>
      <c r="V9" s="85"/>
      <c r="X9" s="322">
        <f>(I9-L9)/50</f>
        <v>1.4999999999986357E-4</v>
      </c>
    </row>
    <row r="10" spans="1:24" ht="12" thickBot="1" x14ac:dyDescent="0.25">
      <c r="A10" s="362"/>
      <c r="B10" s="368">
        <v>5</v>
      </c>
      <c r="C10" s="367" t="b">
        <v>0</v>
      </c>
      <c r="D10" s="281" t="str">
        <v>J4</v>
      </c>
      <c r="E10" s="366">
        <v>41745</v>
      </c>
      <c r="F10" s="281" t="str">
        <v>EMJ4</v>
      </c>
      <c r="G10" s="365">
        <v>41715</v>
      </c>
      <c r="H10" s="281">
        <v>99.787499999999994</v>
      </c>
      <c r="I10" s="281">
        <v>99.802499999999995</v>
      </c>
      <c r="J10" s="281">
        <v>0</v>
      </c>
      <c r="K10" s="281">
        <v>99.8</v>
      </c>
      <c r="L10" s="285">
        <f>_xll.qlMidSafe($H10,$I10)</f>
        <v>99.794999999999987</v>
      </c>
      <c r="M10" s="283"/>
      <c r="N10" s="364">
        <v>99.794999999999987</v>
      </c>
      <c r="O10" s="283"/>
      <c r="P10" s="363" t="str">
        <v>USDFUT1MJ4_Quote</v>
      </c>
      <c r="Q10" s="281">
        <v>99.794999999999987</v>
      </c>
      <c r="R10" s="285" t="e">
        <f>_xll.qlSimpleQuoteSetValue($P10,$Q10,Trigger)</f>
        <v>#N/A</v>
      </c>
      <c r="S10" s="49"/>
      <c r="U10" s="84" t="s">
        <v>122</v>
      </c>
      <c r="V10" s="82" t="s">
        <v>273</v>
      </c>
      <c r="X10" s="322">
        <f>(I10-L10)/50</f>
        <v>1.5000000000014779E-4</v>
      </c>
    </row>
    <row r="11" spans="1:24" x14ac:dyDescent="0.2">
      <c r="A11" s="362"/>
      <c r="B11" s="368">
        <v>6</v>
      </c>
      <c r="C11" s="367" t="b">
        <v>0</v>
      </c>
      <c r="D11" s="281" t="str">
        <v>K4</v>
      </c>
      <c r="E11" s="366">
        <v>41780</v>
      </c>
      <c r="F11" s="281" t="str">
        <v>EMK4</v>
      </c>
      <c r="G11" s="365">
        <v>41743</v>
      </c>
      <c r="H11" s="281">
        <v>99.78</v>
      </c>
      <c r="I11" s="281">
        <v>99.792500000000004</v>
      </c>
      <c r="J11" s="281">
        <v>0</v>
      </c>
      <c r="K11" s="281">
        <v>99.79</v>
      </c>
      <c r="L11" s="285">
        <f>_xll.qlMidSafe($H11,$I11)</f>
        <v>99.786249999999995</v>
      </c>
      <c r="M11" s="283"/>
      <c r="N11" s="364">
        <v>99.786249999999995</v>
      </c>
      <c r="O11" s="283"/>
      <c r="P11" s="363" t="str">
        <v>USDFUT1MK4_Quote</v>
      </c>
      <c r="Q11" s="281">
        <v>99.786249999999995</v>
      </c>
      <c r="R11" s="285" t="e">
        <f>_xll.qlSimpleQuoteSetValue($P11,$Q11,Trigger)</f>
        <v>#N/A</v>
      </c>
      <c r="S11" s="49"/>
      <c r="X11" s="322">
        <f>(I11-L11)/50</f>
        <v>1.2500000000017052E-4</v>
      </c>
    </row>
    <row r="12" spans="1:24" x14ac:dyDescent="0.2">
      <c r="A12" s="362"/>
      <c r="B12" s="368">
        <v>7</v>
      </c>
      <c r="C12" s="367" t="b">
        <v>0</v>
      </c>
      <c r="D12" s="281" t="str">
        <v>M4</v>
      </c>
      <c r="E12" s="366">
        <v>41808</v>
      </c>
      <c r="F12" s="281" t="str">
        <v>EMM4</v>
      </c>
      <c r="G12" s="365">
        <v>41778</v>
      </c>
      <c r="H12" s="281">
        <v>99.765000000000001</v>
      </c>
      <c r="I12" s="281">
        <v>99.782499999999999</v>
      </c>
      <c r="J12" s="281">
        <v>0</v>
      </c>
      <c r="K12" s="281">
        <v>99.78</v>
      </c>
      <c r="L12" s="285">
        <f>_xll.qlMidSafe($H12,$I12)</f>
        <v>99.773750000000007</v>
      </c>
      <c r="M12" s="283"/>
      <c r="N12" s="364">
        <v>99.773750000000007</v>
      </c>
      <c r="O12" s="283"/>
      <c r="P12" s="363" t="str">
        <v>USDFUT1MM4_Quote</v>
      </c>
      <c r="Q12" s="281">
        <v>99.773750000000007</v>
      </c>
      <c r="R12" s="285" t="e">
        <f>_xll.qlSimpleQuoteSetValue($P12,$Q12,Trigger)</f>
        <v>#N/A</v>
      </c>
      <c r="S12" s="49"/>
      <c r="X12" s="322">
        <f>(I12-L12)/50</f>
        <v>1.7499999999984084E-4</v>
      </c>
    </row>
    <row r="13" spans="1:24" x14ac:dyDescent="0.2">
      <c r="A13" s="362"/>
      <c r="B13" s="368">
        <v>8</v>
      </c>
      <c r="C13" s="367" t="b">
        <v>0</v>
      </c>
      <c r="D13" s="281" t="str">
        <v>N4</v>
      </c>
      <c r="E13" s="366">
        <v>41836</v>
      </c>
      <c r="F13" s="281" t="str">
        <v>EMN4</v>
      </c>
      <c r="G13" s="365">
        <v>41806</v>
      </c>
      <c r="H13" s="281">
        <v>99.745000000000005</v>
      </c>
      <c r="I13" s="281">
        <v>99.762500000000003</v>
      </c>
      <c r="J13" s="281">
        <v>0</v>
      </c>
      <c r="K13" s="281">
        <v>99.754999999999995</v>
      </c>
      <c r="L13" s="285">
        <f>_xll.qlMidSafe($H13,$I13)</f>
        <v>99.753749999999997</v>
      </c>
      <c r="M13" s="283"/>
      <c r="N13" s="364">
        <v>99.753749999999997</v>
      </c>
      <c r="O13" s="283"/>
      <c r="P13" s="363" t="str">
        <v>USDFUT1MN4_Quote</v>
      </c>
      <c r="Q13" s="281">
        <v>99.753749999999997</v>
      </c>
      <c r="R13" s="285" t="e">
        <f>_xll.qlSimpleQuoteSetValue($P13,$Q13,Trigger)</f>
        <v>#N/A</v>
      </c>
      <c r="S13" s="49"/>
      <c r="X13" s="322">
        <f>(I13-L13)/50</f>
        <v>1.7500000000012506E-4</v>
      </c>
    </row>
    <row r="14" spans="1:24" x14ac:dyDescent="0.2">
      <c r="A14" s="362"/>
      <c r="B14" s="368">
        <v>9</v>
      </c>
      <c r="C14" s="367" t="b">
        <v>0</v>
      </c>
      <c r="D14" s="281" t="str">
        <v>Q4</v>
      </c>
      <c r="E14" s="366">
        <v>41871</v>
      </c>
      <c r="F14" s="281" t="str">
        <v>EMQ4</v>
      </c>
      <c r="G14" s="365">
        <v>41834</v>
      </c>
      <c r="H14" s="281">
        <v>99.734999999999999</v>
      </c>
      <c r="I14" s="281">
        <v>99.752499999999998</v>
      </c>
      <c r="J14" s="281">
        <v>0</v>
      </c>
      <c r="K14" s="281">
        <v>99.747500000000002</v>
      </c>
      <c r="L14" s="285">
        <f>_xll.qlMidSafe($H14,$I14)</f>
        <v>99.743750000000006</v>
      </c>
      <c r="M14" s="283"/>
      <c r="N14" s="364">
        <v>99.743750000000006</v>
      </c>
      <c r="O14" s="283"/>
      <c r="P14" s="363" t="str">
        <v>USDFUT1MQ4_Quote</v>
      </c>
      <c r="Q14" s="281">
        <v>99.743750000000006</v>
      </c>
      <c r="R14" s="285" t="e">
        <f>_xll.qlSimpleQuoteSetValue($P14,$Q14,Trigger)</f>
        <v>#N/A</v>
      </c>
      <c r="S14" s="49"/>
      <c r="X14" s="322">
        <f>(I14-L14)/50</f>
        <v>1.7499999999984084E-4</v>
      </c>
    </row>
    <row r="15" spans="1:24" x14ac:dyDescent="0.2">
      <c r="A15" s="362"/>
      <c r="B15" s="368">
        <v>10</v>
      </c>
      <c r="C15" s="367" t="b">
        <v>0</v>
      </c>
      <c r="D15" s="281" t="str">
        <v>U4</v>
      </c>
      <c r="E15" s="366">
        <v>41899</v>
      </c>
      <c r="F15" s="281" t="str">
        <v>EMU4</v>
      </c>
      <c r="G15" s="365">
        <v>41869</v>
      </c>
      <c r="H15" s="281">
        <v>99.722499999999997</v>
      </c>
      <c r="I15" s="281">
        <v>99.737499999999997</v>
      </c>
      <c r="J15" s="281">
        <v>0</v>
      </c>
      <c r="K15" s="281">
        <v>99.734999999999999</v>
      </c>
      <c r="L15" s="285">
        <f>_xll.qlMidSafe($H15,$I15)</f>
        <v>99.72999999999999</v>
      </c>
      <c r="M15" s="283"/>
      <c r="N15" s="364">
        <v>99.72999999999999</v>
      </c>
      <c r="O15" s="283"/>
      <c r="P15" s="363" t="str">
        <v>USDFUT1MU4_Quote</v>
      </c>
      <c r="Q15" s="281">
        <v>99.72999999999999</v>
      </c>
      <c r="R15" s="285" t="e">
        <f>_xll.qlSimpleQuoteSetValue($P15,$Q15,Trigger)</f>
        <v>#N/A</v>
      </c>
      <c r="S15" s="49"/>
      <c r="X15" s="322">
        <f>(I15-L15)/50</f>
        <v>1.5000000000014779E-4</v>
      </c>
    </row>
    <row r="16" spans="1:24" x14ac:dyDescent="0.2">
      <c r="A16" s="362"/>
      <c r="B16" s="368">
        <v>11</v>
      </c>
      <c r="C16" s="367" t="b">
        <v>0</v>
      </c>
      <c r="D16" s="281" t="str">
        <v>V4</v>
      </c>
      <c r="E16" s="366">
        <v>41927</v>
      </c>
      <c r="F16" s="281" t="str">
        <v>EMV4</v>
      </c>
      <c r="G16" s="365">
        <v>41897</v>
      </c>
      <c r="H16" s="281">
        <v>99.694999999999993</v>
      </c>
      <c r="I16" s="281">
        <v>99.715000000000003</v>
      </c>
      <c r="J16" s="281">
        <v>0</v>
      </c>
      <c r="K16" s="281">
        <v>99.71</v>
      </c>
      <c r="L16" s="285">
        <f>_xll.qlMidSafe($H16,$I16)</f>
        <v>99.704999999999998</v>
      </c>
      <c r="M16" s="283"/>
      <c r="N16" s="364">
        <v>99.704999999999998</v>
      </c>
      <c r="O16" s="283"/>
      <c r="P16" s="363" t="str">
        <v>USDFUT1MV4_Quote</v>
      </c>
      <c r="Q16" s="281">
        <v>99.704999999999998</v>
      </c>
      <c r="R16" s="285" t="e">
        <f>_xll.qlSimpleQuoteSetValue($P16,$Q16,Trigger)</f>
        <v>#N/A</v>
      </c>
      <c r="S16" s="49"/>
      <c r="X16" s="322">
        <f>(I16-L16)/50</f>
        <v>2.0000000000010233E-4</v>
      </c>
    </row>
    <row r="17" spans="1:24" x14ac:dyDescent="0.2">
      <c r="A17" s="362"/>
      <c r="B17" s="361">
        <v>12</v>
      </c>
      <c r="C17" s="360" t="b">
        <v>0</v>
      </c>
      <c r="D17" s="294" t="str">
        <v>X4</v>
      </c>
      <c r="E17" s="359">
        <v>41962</v>
      </c>
      <c r="F17" s="294" t="str">
        <v>EMX4</v>
      </c>
      <c r="G17" s="358">
        <v>41926</v>
      </c>
      <c r="H17" s="294">
        <v>99.6875</v>
      </c>
      <c r="I17" s="294">
        <v>99.704999999999998</v>
      </c>
      <c r="J17" s="294">
        <v>0</v>
      </c>
      <c r="K17" s="294">
        <v>99.7</v>
      </c>
      <c r="L17" s="297">
        <f>_xll.qlMidSafe($H17,$I17)</f>
        <v>99.696249999999992</v>
      </c>
      <c r="M17" s="283"/>
      <c r="N17" s="357">
        <v>99.696249999999992</v>
      </c>
      <c r="O17" s="283"/>
      <c r="P17" s="356" t="str">
        <v>USDFUT1MX4_Quote</v>
      </c>
      <c r="Q17" s="294">
        <v>99.696249999999992</v>
      </c>
      <c r="R17" s="297" t="e">
        <f>_xll.qlSimpleQuoteSetValue($P17,$Q17,Trigger)</f>
        <v>#N/A</v>
      </c>
      <c r="S17" s="49"/>
      <c r="X17" s="322">
        <f>(I17-L17)/50</f>
        <v>1.7500000000012506E-4</v>
      </c>
    </row>
    <row r="18" spans="1:24" ht="12" thickBot="1" x14ac:dyDescent="0.25">
      <c r="A18" s="355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6"/>
    </row>
  </sheetData>
  <conditionalFormatting sqref="R6:R17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X48"/>
  <sheetViews>
    <sheetView workbookViewId="0"/>
  </sheetViews>
  <sheetFormatPr defaultRowHeight="11.25" x14ac:dyDescent="0.2"/>
  <cols>
    <col min="1" max="1" width="2.85546875" style="21" customWidth="1"/>
    <col min="2" max="2" width="2.7109375" style="21" bestFit="1" customWidth="1"/>
    <col min="3" max="3" width="5.7109375" style="21" customWidth="1"/>
    <col min="4" max="4" width="6.140625" style="21" bestFit="1" customWidth="1"/>
    <col min="5" max="5" width="14.28515625" style="21" bestFit="1" customWidth="1"/>
    <col min="6" max="6" width="8.85546875" style="21" bestFit="1" customWidth="1"/>
    <col min="7" max="7" width="9" style="21" customWidth="1"/>
    <col min="8" max="10" width="6.5703125" style="21" bestFit="1" customWidth="1"/>
    <col min="11" max="11" width="9.85546875" style="21" customWidth="1"/>
    <col min="12" max="12" width="6.5703125" style="21" bestFit="1" customWidth="1"/>
    <col min="13" max="13" width="2.85546875" style="21" customWidth="1"/>
    <col min="14" max="14" width="6.5703125" style="21" customWidth="1"/>
    <col min="15" max="15" width="2.85546875" style="21" customWidth="1"/>
    <col min="16" max="16" width="15.85546875" style="21" bestFit="1" customWidth="1"/>
    <col min="17" max="17" width="7.7109375" style="21" bestFit="1" customWidth="1"/>
    <col min="18" max="18" width="7" style="21" bestFit="1" customWidth="1"/>
    <col min="19" max="20" width="2.85546875" style="21" customWidth="1"/>
    <col min="21" max="21" width="4.7109375" style="21" bestFit="1" customWidth="1"/>
    <col min="22" max="22" width="6" style="21" bestFit="1" customWidth="1"/>
    <col min="23" max="16384" width="9.140625" style="21"/>
  </cols>
  <sheetData>
    <row r="1" spans="1:24" ht="12.75" customHeight="1" x14ac:dyDescent="0.2">
      <c r="A1" s="321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380"/>
      <c r="N1" s="380"/>
      <c r="O1" s="206"/>
      <c r="P1" s="206"/>
      <c r="Q1" s="206"/>
      <c r="R1" s="206"/>
      <c r="S1" s="379"/>
    </row>
    <row r="2" spans="1:24" ht="12.75" customHeight="1" x14ac:dyDescent="0.2">
      <c r="A2" s="320"/>
      <c r="B2" s="139"/>
      <c r="C2" s="319"/>
      <c r="D2" s="319"/>
      <c r="E2" s="139"/>
      <c r="F2" s="139"/>
      <c r="G2" s="139"/>
      <c r="H2" s="139"/>
      <c r="I2" s="139"/>
      <c r="J2" s="139"/>
      <c r="K2" s="139"/>
      <c r="L2" s="139"/>
      <c r="M2" s="283"/>
      <c r="N2" s="283"/>
      <c r="O2" s="139"/>
      <c r="P2" s="94" t="s">
        <v>267</v>
      </c>
      <c r="Q2" s="378" t="s">
        <v>142</v>
      </c>
      <c r="R2" s="139"/>
      <c r="S2" s="377"/>
    </row>
    <row r="3" spans="1:24" ht="12.75" customHeight="1" x14ac:dyDescent="0.2">
      <c r="A3" s="320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283"/>
      <c r="N3" s="283"/>
      <c r="O3" s="139"/>
      <c r="Q3" s="139"/>
      <c r="R3" s="139"/>
      <c r="S3" s="377"/>
    </row>
    <row r="4" spans="1:24" ht="12.75" customHeight="1" thickBot="1" x14ac:dyDescent="0.25">
      <c r="A4" s="320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283"/>
      <c r="N4" s="283"/>
      <c r="O4" s="139"/>
      <c r="P4" s="139"/>
      <c r="Q4" s="139"/>
      <c r="R4" s="315">
        <f>_xll.ohTrigger(R6:R47)</f>
        <v>20</v>
      </c>
      <c r="S4" s="377"/>
    </row>
    <row r="5" spans="1:24" ht="22.5" x14ac:dyDescent="0.2">
      <c r="A5" s="320"/>
      <c r="B5" s="387" t="s">
        <v>183</v>
      </c>
      <c r="C5" s="382" t="s">
        <v>182</v>
      </c>
      <c r="D5" s="382" t="s">
        <v>181</v>
      </c>
      <c r="E5" s="382" t="s">
        <v>277</v>
      </c>
      <c r="F5" s="386" t="e">
        <f ca="1">_xll.RData(F6:F47,G5:K5,"RTFEED:IDN",ReutersRtMode,,G6)</f>
        <v>#NAME?</v>
      </c>
      <c r="G5" s="382" t="s">
        <v>276</v>
      </c>
      <c r="H5" s="382" t="s">
        <v>235</v>
      </c>
      <c r="I5" s="382" t="s">
        <v>234</v>
      </c>
      <c r="J5" s="382" t="s">
        <v>252</v>
      </c>
      <c r="K5" s="382" t="s">
        <v>271</v>
      </c>
      <c r="L5" s="385" t="s">
        <v>270</v>
      </c>
      <c r="M5" s="283"/>
      <c r="N5" s="384" t="s">
        <v>265</v>
      </c>
      <c r="O5" s="283"/>
      <c r="P5" s="383" t="s">
        <v>264</v>
      </c>
      <c r="Q5" s="382" t="s">
        <v>263</v>
      </c>
      <c r="R5" s="381" t="s">
        <v>262</v>
      </c>
      <c r="S5" s="49"/>
      <c r="U5" s="215" t="s">
        <v>275</v>
      </c>
      <c r="V5" s="213" t="s">
        <v>274</v>
      </c>
      <c r="X5" s="349" t="s">
        <v>269</v>
      </c>
    </row>
    <row r="6" spans="1:24" ht="12.75" customHeight="1" x14ac:dyDescent="0.2">
      <c r="A6" s="362"/>
      <c r="B6" s="375">
        <v>1</v>
      </c>
      <c r="C6" s="374" t="b">
        <v>0</v>
      </c>
      <c r="D6" s="301" t="str">
        <f t="array" ref="D6:D47">_xll.qlIMMcode(FuturesDates)</f>
        <v>Z3</v>
      </c>
      <c r="E6" s="373">
        <f t="array" ref="E6:E47">_xll.qlIMMNextDates(_xll.qlSettingsEvaluationDate(Trigger)-1,$C6:$C47)</f>
        <v>41626</v>
      </c>
      <c r="F6" s="301" t="str">
        <f t="array" ref="F6:F47">VLOOKUP(Currency,LiffeCodes,2)&amp;FuturesCodes</f>
        <v>EDZ3</v>
      </c>
      <c r="G6" s="372">
        <v>41596</v>
      </c>
      <c r="H6" s="301">
        <v>99.757499999999993</v>
      </c>
      <c r="I6" s="301">
        <v>99.76</v>
      </c>
      <c r="J6" s="301">
        <v>99.757499999999993</v>
      </c>
      <c r="K6" s="301">
        <v>99.762500000000003</v>
      </c>
      <c r="L6" s="304">
        <f>_xll.qlMidSafe($H6,$I6)</f>
        <v>99.758749999999992</v>
      </c>
      <c r="M6" s="283"/>
      <c r="N6" s="371">
        <v>99.758749999999992</v>
      </c>
      <c r="O6" s="283"/>
      <c r="P6" s="370" t="str">
        <f t="array" ref="P6:P47">Currency&amp;"FUT3M"&amp;FuturesCodes&amp;$Q$2</f>
        <v>USDFUT3MZ3_Quote</v>
      </c>
      <c r="Q6" s="301">
        <f t="array" ref="Q6:Q47">QuoteLive</f>
        <v>99.758749999999992</v>
      </c>
      <c r="R6" s="304" t="e">
        <f>_xll.qlSimpleQuoteSetValue($P6,$Q6,Trigger)</f>
        <v>#N/A</v>
      </c>
      <c r="S6" s="49"/>
      <c r="U6" s="87" t="s">
        <v>132</v>
      </c>
      <c r="V6" s="85" t="s">
        <v>281</v>
      </c>
      <c r="X6" s="322">
        <f>(I6-L6)/50</f>
        <v>2.500000000026148E-5</v>
      </c>
    </row>
    <row r="7" spans="1:24" x14ac:dyDescent="0.2">
      <c r="A7" s="362"/>
      <c r="B7" s="368">
        <v>2</v>
      </c>
      <c r="C7" s="367" t="b">
        <v>0</v>
      </c>
      <c r="D7" s="281" t="str">
        <v>F4</v>
      </c>
      <c r="E7" s="366">
        <v>41654</v>
      </c>
      <c r="F7" s="281" t="str">
        <v>EDF4</v>
      </c>
      <c r="G7" s="365">
        <v>41624</v>
      </c>
      <c r="H7" s="281">
        <v>99.745000000000005</v>
      </c>
      <c r="I7" s="281">
        <v>99.75</v>
      </c>
      <c r="J7" s="281">
        <v>99.75</v>
      </c>
      <c r="K7" s="281">
        <v>99.75</v>
      </c>
      <c r="L7" s="285">
        <f>_xll.qlMidSafe($H7,$I7)</f>
        <v>99.747500000000002</v>
      </c>
      <c r="M7" s="283"/>
      <c r="N7" s="369">
        <v>99.747500000000002</v>
      </c>
      <c r="O7" s="283"/>
      <c r="P7" s="363" t="str">
        <v>USDFUT3MF4_Quote</v>
      </c>
      <c r="Q7" s="281">
        <v>99.747500000000002</v>
      </c>
      <c r="R7" s="285" t="e">
        <f>_xll.qlSimpleQuoteSetValue($P7,$Q7,Trigger)</f>
        <v>#N/A</v>
      </c>
      <c r="S7" s="49"/>
      <c r="U7" s="87" t="s">
        <v>131</v>
      </c>
      <c r="V7" s="85" t="s">
        <v>280</v>
      </c>
      <c r="X7" s="322">
        <f>(I7-L7)/50</f>
        <v>4.9999999999954527E-5</v>
      </c>
    </row>
    <row r="8" spans="1:24" x14ac:dyDescent="0.2">
      <c r="A8" s="362"/>
      <c r="B8" s="368">
        <v>3</v>
      </c>
      <c r="C8" s="367" t="b">
        <v>0</v>
      </c>
      <c r="D8" s="281" t="str">
        <v>G4</v>
      </c>
      <c r="E8" s="366">
        <v>41689</v>
      </c>
      <c r="F8" s="281" t="str">
        <v>EDG4</v>
      </c>
      <c r="G8" s="365">
        <v>41652</v>
      </c>
      <c r="H8" s="281">
        <v>99.734999999999999</v>
      </c>
      <c r="I8" s="281">
        <v>99.74</v>
      </c>
      <c r="J8" s="281">
        <v>99.74</v>
      </c>
      <c r="K8" s="281">
        <v>99.74</v>
      </c>
      <c r="L8" s="285">
        <f>_xll.qlMidSafe($H8,$I8)</f>
        <v>99.737499999999997</v>
      </c>
      <c r="M8" s="283"/>
      <c r="N8" s="369">
        <v>99.737499999999997</v>
      </c>
      <c r="O8" s="283"/>
      <c r="P8" s="363" t="str">
        <v>USDFUT3MG4_Quote</v>
      </c>
      <c r="Q8" s="281">
        <v>99.737499999999997</v>
      </c>
      <c r="R8" s="285" t="e">
        <f>_xll.qlSimpleQuoteSetValue($P8,$Q8,Trigger)</f>
        <v>#N/A</v>
      </c>
      <c r="S8" s="49"/>
      <c r="U8" s="87" t="s">
        <v>128</v>
      </c>
      <c r="V8" s="85" t="s">
        <v>279</v>
      </c>
      <c r="X8" s="322">
        <f>(I8-L8)/50</f>
        <v>4.9999999999954527E-5</v>
      </c>
    </row>
    <row r="9" spans="1:24" x14ac:dyDescent="0.2">
      <c r="A9" s="362"/>
      <c r="B9" s="368">
        <v>4</v>
      </c>
      <c r="C9" s="367" t="b">
        <v>0</v>
      </c>
      <c r="D9" s="281" t="str">
        <v>H4</v>
      </c>
      <c r="E9" s="366">
        <v>41717</v>
      </c>
      <c r="F9" s="281" t="str">
        <v>EDH4</v>
      </c>
      <c r="G9" s="365">
        <v>41687</v>
      </c>
      <c r="H9" s="281">
        <v>99.72</v>
      </c>
      <c r="I9" s="281">
        <v>99.734999999999999</v>
      </c>
      <c r="J9" s="281">
        <v>0</v>
      </c>
      <c r="K9" s="281">
        <v>99.724999999999994</v>
      </c>
      <c r="L9" s="285">
        <f>_xll.qlMidSafe($H9,$I9)</f>
        <v>99.727499999999992</v>
      </c>
      <c r="M9" s="283"/>
      <c r="N9" s="369">
        <v>99.727499999999992</v>
      </c>
      <c r="O9" s="283"/>
      <c r="P9" s="363" t="str">
        <v>USDFUT3MH4_Quote</v>
      </c>
      <c r="Q9" s="281">
        <v>99.727499999999992</v>
      </c>
      <c r="R9" s="285" t="e">
        <f>_xll.qlSimpleQuoteSetValue($P9,$Q9,Trigger)</f>
        <v>#N/A</v>
      </c>
      <c r="S9" s="49"/>
      <c r="U9" s="87" t="s">
        <v>127</v>
      </c>
      <c r="V9" s="85"/>
      <c r="X9" s="322">
        <f>(I9-L9)/50</f>
        <v>1.5000000000014779E-4</v>
      </c>
    </row>
    <row r="10" spans="1:24" ht="12" thickBot="1" x14ac:dyDescent="0.25">
      <c r="A10" s="362"/>
      <c r="B10" s="368">
        <v>5</v>
      </c>
      <c r="C10" s="367" t="b">
        <v>0</v>
      </c>
      <c r="D10" s="281" t="str">
        <v>J4</v>
      </c>
      <c r="E10" s="366">
        <v>41745</v>
      </c>
      <c r="F10" s="281" t="str">
        <v>EDJ4</v>
      </c>
      <c r="G10" s="365">
        <v>41715</v>
      </c>
      <c r="H10" s="281">
        <v>99.704999999999998</v>
      </c>
      <c r="I10" s="281">
        <v>99.71</v>
      </c>
      <c r="J10" s="281">
        <v>99.704999999999998</v>
      </c>
      <c r="K10" s="281">
        <v>99.71</v>
      </c>
      <c r="L10" s="285">
        <f>_xll.qlMidSafe($H10,$I10)</f>
        <v>99.707499999999996</v>
      </c>
      <c r="M10" s="283"/>
      <c r="N10" s="364">
        <v>99.707499999999996</v>
      </c>
      <c r="O10" s="283"/>
      <c r="P10" s="363" t="str">
        <v>USDFUT3MJ4_Quote</v>
      </c>
      <c r="Q10" s="281">
        <v>99.707499999999996</v>
      </c>
      <c r="R10" s="285" t="e">
        <f>_xll.qlSimpleQuoteSetValue($P10,$Q10,Trigger)</f>
        <v>#N/A</v>
      </c>
      <c r="S10" s="49"/>
      <c r="U10" s="84" t="s">
        <v>122</v>
      </c>
      <c r="V10" s="82" t="s">
        <v>278</v>
      </c>
      <c r="X10" s="322">
        <f>(I10-L10)/50</f>
        <v>4.9999999999954527E-5</v>
      </c>
    </row>
    <row r="11" spans="1:24" x14ac:dyDescent="0.2">
      <c r="A11" s="362"/>
      <c r="B11" s="368">
        <v>6</v>
      </c>
      <c r="C11" s="367" t="b">
        <v>0</v>
      </c>
      <c r="D11" s="281" t="str">
        <v>K4</v>
      </c>
      <c r="E11" s="366">
        <v>41780</v>
      </c>
      <c r="F11" s="281" t="str">
        <v>EDK4</v>
      </c>
      <c r="G11" s="365">
        <v>41743</v>
      </c>
      <c r="H11" s="281">
        <v>99.685000000000002</v>
      </c>
      <c r="I11" s="281">
        <v>99.704999999999998</v>
      </c>
      <c r="J11" s="281">
        <v>0</v>
      </c>
      <c r="K11" s="281">
        <v>99.694999999999993</v>
      </c>
      <c r="L11" s="285">
        <f>_xll.qlMidSafe($H11,$I11)</f>
        <v>99.694999999999993</v>
      </c>
      <c r="M11" s="283"/>
      <c r="N11" s="364">
        <v>99.694999999999993</v>
      </c>
      <c r="O11" s="283"/>
      <c r="P11" s="363" t="str">
        <v>USDFUT3MK4_Quote</v>
      </c>
      <c r="Q11" s="281">
        <v>99.694999999999993</v>
      </c>
      <c r="R11" s="285" t="e">
        <f>_xll.qlSimpleQuoteSetValue($P11,$Q11,Trigger)</f>
        <v>#N/A</v>
      </c>
      <c r="S11" s="49"/>
      <c r="X11" s="322">
        <f>(I11-L11)/50</f>
        <v>2.0000000000010233E-4</v>
      </c>
    </row>
    <row r="12" spans="1:24" x14ac:dyDescent="0.2">
      <c r="A12" s="362"/>
      <c r="B12" s="368">
        <v>7</v>
      </c>
      <c r="C12" s="367" t="b">
        <v>0</v>
      </c>
      <c r="D12" s="281" t="str">
        <v>M4</v>
      </c>
      <c r="E12" s="366">
        <v>41808</v>
      </c>
      <c r="F12" s="281" t="str">
        <v>EDM4</v>
      </c>
      <c r="G12" s="365" t="s">
        <v>247</v>
      </c>
      <c r="H12" s="281" t="s">
        <v>247</v>
      </c>
      <c r="I12" s="281" t="s">
        <v>247</v>
      </c>
      <c r="J12" s="281" t="s">
        <v>247</v>
      </c>
      <c r="K12" s="281" t="s">
        <v>247</v>
      </c>
      <c r="L12" s="285" t="e">
        <f>_xll.qlMidSafe($H12,$I12)</f>
        <v>#NUM!</v>
      </c>
      <c r="M12" s="283"/>
      <c r="N12" s="364" t="e">
        <v>#NUM!</v>
      </c>
      <c r="O12" s="283"/>
      <c r="P12" s="363" t="str">
        <v>USDFUT3MM4_Quote</v>
      </c>
      <c r="Q12" s="281" t="e">
        <v>#NUM!</v>
      </c>
      <c r="R12" s="285" t="e">
        <f>_xll.qlSimpleQuoteSetValue($P12,$Q12,Trigger)</f>
        <v>#NUM!</v>
      </c>
      <c r="S12" s="49"/>
      <c r="X12" s="322" t="e">
        <f>(I12-L12)/50</f>
        <v>#VALUE!</v>
      </c>
    </row>
    <row r="13" spans="1:24" x14ac:dyDescent="0.2">
      <c r="A13" s="362"/>
      <c r="B13" s="368">
        <v>8</v>
      </c>
      <c r="C13" s="367" t="b">
        <v>0</v>
      </c>
      <c r="D13" s="281" t="str">
        <v>N4</v>
      </c>
      <c r="E13" s="366">
        <v>41836</v>
      </c>
      <c r="F13" s="281" t="str">
        <v>EDN4</v>
      </c>
      <c r="G13" s="365">
        <v>41806</v>
      </c>
      <c r="H13" s="281">
        <v>99.66</v>
      </c>
      <c r="I13" s="281">
        <v>99.665000000000006</v>
      </c>
      <c r="J13" s="281">
        <v>99.665000000000006</v>
      </c>
      <c r="K13" s="281">
        <v>99.665000000000006</v>
      </c>
      <c r="L13" s="285">
        <f>_xll.qlMidSafe($H13,$I13)</f>
        <v>99.662499999999994</v>
      </c>
      <c r="M13" s="283"/>
      <c r="N13" s="364">
        <v>99.662499999999994</v>
      </c>
      <c r="O13" s="283"/>
      <c r="P13" s="363" t="str">
        <v>USDFUT3MN4_Quote</v>
      </c>
      <c r="Q13" s="281">
        <v>99.662499999999994</v>
      </c>
      <c r="R13" s="285" t="e">
        <f>_xll.qlSimpleQuoteSetValue($P13,$Q13,Trigger)</f>
        <v>#N/A</v>
      </c>
      <c r="S13" s="49"/>
      <c r="X13" s="322">
        <f>(I13-L13)/50</f>
        <v>5.0000000000238744E-5</v>
      </c>
    </row>
    <row r="14" spans="1:24" x14ac:dyDescent="0.2">
      <c r="A14" s="362"/>
      <c r="B14" s="368">
        <v>9</v>
      </c>
      <c r="C14" s="367" t="b">
        <v>0</v>
      </c>
      <c r="D14" s="281" t="str">
        <v>Q4</v>
      </c>
      <c r="E14" s="366">
        <v>41871</v>
      </c>
      <c r="F14" s="281" t="str">
        <v>EDQ4</v>
      </c>
      <c r="G14" s="365" t="s">
        <v>247</v>
      </c>
      <c r="H14" s="281" t="s">
        <v>247</v>
      </c>
      <c r="I14" s="281" t="s">
        <v>247</v>
      </c>
      <c r="J14" s="281" t="s">
        <v>247</v>
      </c>
      <c r="K14" s="281" t="s">
        <v>247</v>
      </c>
      <c r="L14" s="285" t="e">
        <f>_xll.qlMidSafe($H14,$I14)</f>
        <v>#NUM!</v>
      </c>
      <c r="M14" s="283"/>
      <c r="N14" s="364" t="e">
        <v>#NUM!</v>
      </c>
      <c r="O14" s="283"/>
      <c r="P14" s="363" t="str">
        <v>USDFUT3MQ4_Quote</v>
      </c>
      <c r="Q14" s="281" t="e">
        <v>#NUM!</v>
      </c>
      <c r="R14" s="285" t="e">
        <f>_xll.qlSimpleQuoteSetValue($P14,$Q14,Trigger)</f>
        <v>#NUM!</v>
      </c>
      <c r="S14" s="49"/>
      <c r="X14" s="322" t="e">
        <f>(I14-L14)/50</f>
        <v>#VALUE!</v>
      </c>
    </row>
    <row r="15" spans="1:24" x14ac:dyDescent="0.2">
      <c r="A15" s="362"/>
      <c r="B15" s="368">
        <v>10</v>
      </c>
      <c r="C15" s="367" t="b">
        <v>0</v>
      </c>
      <c r="D15" s="281" t="str">
        <v>U4</v>
      </c>
      <c r="E15" s="366">
        <v>41899</v>
      </c>
      <c r="F15" s="281" t="str">
        <v>EDU4</v>
      </c>
      <c r="G15" s="365" t="s">
        <v>247</v>
      </c>
      <c r="H15" s="281" t="s">
        <v>247</v>
      </c>
      <c r="I15" s="281" t="s">
        <v>247</v>
      </c>
      <c r="J15" s="281" t="s">
        <v>247</v>
      </c>
      <c r="K15" s="281" t="s">
        <v>247</v>
      </c>
      <c r="L15" s="285" t="e">
        <f>_xll.qlMidSafe($H15,$I15)</f>
        <v>#NUM!</v>
      </c>
      <c r="M15" s="283"/>
      <c r="N15" s="364" t="e">
        <v>#NUM!</v>
      </c>
      <c r="O15" s="283"/>
      <c r="P15" s="363" t="str">
        <v>USDFUT3MU4_Quote</v>
      </c>
      <c r="Q15" s="281" t="e">
        <v>#NUM!</v>
      </c>
      <c r="R15" s="285" t="e">
        <f>_xll.qlSimpleQuoteSetValue($P15,$Q15,Trigger)</f>
        <v>#NUM!</v>
      </c>
      <c r="S15" s="49"/>
      <c r="X15" s="322" t="e">
        <f>(I15-L15)/50</f>
        <v>#VALUE!</v>
      </c>
    </row>
    <row r="16" spans="1:24" x14ac:dyDescent="0.2">
      <c r="A16" s="362"/>
      <c r="B16" s="368">
        <v>11</v>
      </c>
      <c r="C16" s="367" t="b">
        <v>0</v>
      </c>
      <c r="D16" s="281" t="str">
        <v>V4</v>
      </c>
      <c r="E16" s="366">
        <v>41927</v>
      </c>
      <c r="F16" s="281" t="str">
        <v>EDV4</v>
      </c>
      <c r="G16" s="365">
        <v>41897</v>
      </c>
      <c r="H16" s="281">
        <v>99.61</v>
      </c>
      <c r="I16" s="281">
        <v>99.614999999999995</v>
      </c>
      <c r="J16" s="281">
        <v>99.61</v>
      </c>
      <c r="K16" s="281">
        <v>99.614999999999995</v>
      </c>
      <c r="L16" s="285">
        <f>_xll.qlMidSafe($H16,$I16)</f>
        <v>99.612499999999997</v>
      </c>
      <c r="M16" s="283"/>
      <c r="N16" s="364">
        <v>99.612499999999997</v>
      </c>
      <c r="O16" s="283"/>
      <c r="P16" s="363" t="str">
        <v>USDFUT3MV4_Quote</v>
      </c>
      <c r="Q16" s="281">
        <v>99.612499999999997</v>
      </c>
      <c r="R16" s="285" t="e">
        <f>_xll.qlSimpleQuoteSetValue($P16,$Q16,Trigger)</f>
        <v>#N/A</v>
      </c>
      <c r="S16" s="49"/>
      <c r="X16" s="322">
        <f>(I16-L16)/50</f>
        <v>4.9999999999954527E-5</v>
      </c>
    </row>
    <row r="17" spans="1:24" x14ac:dyDescent="0.2">
      <c r="A17" s="362"/>
      <c r="B17" s="368">
        <v>12</v>
      </c>
      <c r="C17" s="367" t="b">
        <v>0</v>
      </c>
      <c r="D17" s="281" t="str">
        <v>X4</v>
      </c>
      <c r="E17" s="366">
        <v>41962</v>
      </c>
      <c r="F17" s="281" t="str">
        <v>EDX4</v>
      </c>
      <c r="G17" s="365" t="s">
        <v>247</v>
      </c>
      <c r="H17" s="281" t="s">
        <v>247</v>
      </c>
      <c r="I17" s="281" t="s">
        <v>247</v>
      </c>
      <c r="J17" s="281" t="s">
        <v>247</v>
      </c>
      <c r="K17" s="281" t="s">
        <v>247</v>
      </c>
      <c r="L17" s="285" t="e">
        <f>_xll.qlMidSafe($H17,$I17)</f>
        <v>#NUM!</v>
      </c>
      <c r="M17" s="283"/>
      <c r="N17" s="364" t="e">
        <v>#NUM!</v>
      </c>
      <c r="O17" s="283"/>
      <c r="P17" s="363" t="str">
        <v>USDFUT3MX4_Quote</v>
      </c>
      <c r="Q17" s="281" t="e">
        <v>#NUM!</v>
      </c>
      <c r="R17" s="285" t="e">
        <f>_xll.qlSimpleQuoteSetValue($P17,$Q17,Trigger)</f>
        <v>#NUM!</v>
      </c>
      <c r="S17" s="49"/>
      <c r="X17" s="322" t="e">
        <f>(I17-L17)/50</f>
        <v>#VALUE!</v>
      </c>
    </row>
    <row r="18" spans="1:24" x14ac:dyDescent="0.2">
      <c r="A18" s="362"/>
      <c r="B18" s="368">
        <v>13</v>
      </c>
      <c r="C18" s="367" t="b">
        <v>1</v>
      </c>
      <c r="D18" s="281" t="str">
        <v>Z4</v>
      </c>
      <c r="E18" s="366">
        <v>41990</v>
      </c>
      <c r="F18" s="281" t="str">
        <v>EDZ4</v>
      </c>
      <c r="G18" s="365">
        <v>41988</v>
      </c>
      <c r="H18" s="281">
        <v>99.534999999999997</v>
      </c>
      <c r="I18" s="281">
        <v>99.54</v>
      </c>
      <c r="J18" s="281">
        <v>99.54</v>
      </c>
      <c r="K18" s="281">
        <v>99.54</v>
      </c>
      <c r="L18" s="285">
        <f>_xll.qlMidSafe($H18,$I18)</f>
        <v>99.537499999999994</v>
      </c>
      <c r="M18" s="283"/>
      <c r="N18" s="364">
        <v>99.537499999999994</v>
      </c>
      <c r="O18" s="283"/>
      <c r="P18" s="363" t="str">
        <v>USDFUT3MZ4_Quote</v>
      </c>
      <c r="Q18" s="281">
        <v>99.537499999999994</v>
      </c>
      <c r="R18" s="285" t="e">
        <f>_xll.qlSimpleQuoteSetValue($P18,$Q18,Trigger)</f>
        <v>#N/A</v>
      </c>
      <c r="S18" s="49"/>
      <c r="X18" s="322">
        <f>(I18-L18)/50</f>
        <v>5.0000000000238744E-5</v>
      </c>
    </row>
    <row r="19" spans="1:24" x14ac:dyDescent="0.2">
      <c r="A19" s="362"/>
      <c r="B19" s="368">
        <v>14</v>
      </c>
      <c r="C19" s="367" t="b">
        <v>1</v>
      </c>
      <c r="D19" s="281" t="str">
        <v>H5</v>
      </c>
      <c r="E19" s="366">
        <v>42081</v>
      </c>
      <c r="F19" s="281" t="str">
        <v>EDH5</v>
      </c>
      <c r="G19" s="365">
        <v>42079</v>
      </c>
      <c r="H19" s="281">
        <v>99.435000000000002</v>
      </c>
      <c r="I19" s="281">
        <v>99.44</v>
      </c>
      <c r="J19" s="281">
        <v>99.44</v>
      </c>
      <c r="K19" s="281">
        <v>99.444999999999993</v>
      </c>
      <c r="L19" s="285">
        <f>_xll.qlMidSafe($H19,$I19)</f>
        <v>99.4375</v>
      </c>
      <c r="M19" s="283"/>
      <c r="N19" s="364">
        <v>99.442499999999995</v>
      </c>
      <c r="O19" s="283"/>
      <c r="P19" s="363" t="str">
        <v>USDFUT3MH5_Quote</v>
      </c>
      <c r="Q19" s="281">
        <v>99.4375</v>
      </c>
      <c r="R19" s="285" t="e">
        <f>_xll.qlSimpleQuoteSetValue($P19,$Q19,Trigger)</f>
        <v>#N/A</v>
      </c>
      <c r="S19" s="49"/>
      <c r="X19" s="322">
        <f>(I19-L19)/50</f>
        <v>4.9999999999954527E-5</v>
      </c>
    </row>
    <row r="20" spans="1:24" x14ac:dyDescent="0.2">
      <c r="A20" s="362"/>
      <c r="B20" s="368">
        <v>15</v>
      </c>
      <c r="C20" s="367" t="b">
        <v>1</v>
      </c>
      <c r="D20" s="281" t="str">
        <v>M5</v>
      </c>
      <c r="E20" s="366">
        <v>42172</v>
      </c>
      <c r="F20" s="281" t="str">
        <v>EDM5</v>
      </c>
      <c r="G20" s="365">
        <v>42170</v>
      </c>
      <c r="H20" s="281">
        <v>99.314999999999998</v>
      </c>
      <c r="I20" s="281">
        <v>99.325000000000003</v>
      </c>
      <c r="J20" s="281">
        <v>99.32</v>
      </c>
      <c r="K20" s="281">
        <v>99.32</v>
      </c>
      <c r="L20" s="285">
        <f>_xll.qlMidSafe($H20,$I20)</f>
        <v>99.32</v>
      </c>
      <c r="M20" s="283"/>
      <c r="N20" s="364">
        <v>99.322499999999991</v>
      </c>
      <c r="O20" s="283"/>
      <c r="P20" s="363" t="str">
        <v>USDFUT3MM5_Quote</v>
      </c>
      <c r="Q20" s="281">
        <v>99.32</v>
      </c>
      <c r="R20" s="285" t="e">
        <f>_xll.qlSimpleQuoteSetValue($P20,$Q20,Trigger)</f>
        <v>#N/A</v>
      </c>
      <c r="S20" s="49"/>
      <c r="X20" s="322">
        <f>(I20-L20)/50</f>
        <v>1.0000000000019326E-4</v>
      </c>
    </row>
    <row r="21" spans="1:24" x14ac:dyDescent="0.2">
      <c r="A21" s="362"/>
      <c r="B21" s="368">
        <v>16</v>
      </c>
      <c r="C21" s="367" t="b">
        <v>1</v>
      </c>
      <c r="D21" s="281" t="str">
        <v>U5</v>
      </c>
      <c r="E21" s="366">
        <v>42263</v>
      </c>
      <c r="F21" s="281" t="str">
        <v>EDU5</v>
      </c>
      <c r="G21" s="365">
        <v>42261</v>
      </c>
      <c r="H21" s="281">
        <v>99.174999999999997</v>
      </c>
      <c r="I21" s="281">
        <v>99.18</v>
      </c>
      <c r="J21" s="281">
        <v>99.18</v>
      </c>
      <c r="K21" s="281">
        <v>99.165000000000006</v>
      </c>
      <c r="L21" s="285">
        <f>_xll.qlMidSafe($H21,$I21)</f>
        <v>99.177500000000009</v>
      </c>
      <c r="M21" s="283"/>
      <c r="N21" s="364">
        <v>99.182500000000005</v>
      </c>
      <c r="O21" s="283"/>
      <c r="P21" s="363" t="str">
        <v>USDFUT3MU5_Quote</v>
      </c>
      <c r="Q21" s="281">
        <v>99.177500000000009</v>
      </c>
      <c r="R21" s="285" t="e">
        <f>_xll.qlSimpleQuoteSetValue($P21,$Q21,Trigger)</f>
        <v>#N/A</v>
      </c>
      <c r="S21" s="49"/>
      <c r="X21" s="322">
        <f>(I21-L21)/50</f>
        <v>4.9999999999954527E-5</v>
      </c>
    </row>
    <row r="22" spans="1:24" x14ac:dyDescent="0.2">
      <c r="A22" s="362"/>
      <c r="B22" s="368">
        <v>17</v>
      </c>
      <c r="C22" s="367" t="b">
        <v>1</v>
      </c>
      <c r="D22" s="281" t="str">
        <v>Z5</v>
      </c>
      <c r="E22" s="366">
        <v>42354</v>
      </c>
      <c r="F22" s="281" t="str">
        <v>EDZ5</v>
      </c>
      <c r="G22" s="365">
        <v>42352</v>
      </c>
      <c r="H22" s="281">
        <v>98.99</v>
      </c>
      <c r="I22" s="281">
        <v>98.995000000000005</v>
      </c>
      <c r="J22" s="281">
        <v>98.99</v>
      </c>
      <c r="K22" s="281">
        <v>98.965000000000003</v>
      </c>
      <c r="L22" s="285">
        <f>_xll.qlMidSafe($H22,$I22)</f>
        <v>98.992500000000007</v>
      </c>
      <c r="M22" s="283"/>
      <c r="N22" s="364">
        <v>98.997500000000002</v>
      </c>
      <c r="O22" s="283"/>
      <c r="P22" s="363" t="str">
        <v>USDFUT3MZ5_Quote</v>
      </c>
      <c r="Q22" s="281">
        <v>98.992500000000007</v>
      </c>
      <c r="R22" s="285" t="e">
        <f>_xll.qlSimpleQuoteSetValue($P22,$Q22,Trigger)</f>
        <v>#N/A</v>
      </c>
      <c r="S22" s="49"/>
      <c r="X22" s="322">
        <f>(I22-L22)/50</f>
        <v>4.9999999999954527E-5</v>
      </c>
    </row>
    <row r="23" spans="1:24" x14ac:dyDescent="0.2">
      <c r="A23" s="362"/>
      <c r="B23" s="368">
        <v>18</v>
      </c>
      <c r="C23" s="367" t="b">
        <v>1</v>
      </c>
      <c r="D23" s="281" t="str">
        <v>H6</v>
      </c>
      <c r="E23" s="366">
        <v>42445</v>
      </c>
      <c r="F23" s="281" t="str">
        <v>EDH6</v>
      </c>
      <c r="G23" s="365">
        <v>42443</v>
      </c>
      <c r="H23" s="281">
        <v>98.77</v>
      </c>
      <c r="I23" s="281">
        <v>98.78</v>
      </c>
      <c r="J23" s="281">
        <v>98.775000000000006</v>
      </c>
      <c r="K23" s="281">
        <v>98.734999999999999</v>
      </c>
      <c r="L23" s="285">
        <f>_xll.qlMidSafe($H23,$I23)</f>
        <v>98.775000000000006</v>
      </c>
      <c r="M23" s="283"/>
      <c r="N23" s="364">
        <v>98.782499999999999</v>
      </c>
      <c r="O23" s="283"/>
      <c r="P23" s="363" t="str">
        <v>USDFUT3MH6_Quote</v>
      </c>
      <c r="Q23" s="281">
        <v>98.775000000000006</v>
      </c>
      <c r="R23" s="285" t="e">
        <f>_xll.qlSimpleQuoteSetValue($P23,$Q23,Trigger)</f>
        <v>#N/A</v>
      </c>
      <c r="S23" s="49"/>
      <c r="X23" s="322">
        <f>(I23-L23)/50</f>
        <v>9.9999999999909054E-5</v>
      </c>
    </row>
    <row r="24" spans="1:24" x14ac:dyDescent="0.2">
      <c r="A24" s="362"/>
      <c r="B24" s="368">
        <v>19</v>
      </c>
      <c r="C24" s="367" t="b">
        <v>1</v>
      </c>
      <c r="D24" s="281" t="str">
        <v>M6</v>
      </c>
      <c r="E24" s="366">
        <v>42536</v>
      </c>
      <c r="F24" s="281" t="str">
        <v>EDM6</v>
      </c>
      <c r="G24" s="365">
        <v>42534</v>
      </c>
      <c r="H24" s="281">
        <v>98.534999999999997</v>
      </c>
      <c r="I24" s="281">
        <v>98.54</v>
      </c>
      <c r="J24" s="281">
        <v>98.54</v>
      </c>
      <c r="K24" s="281">
        <v>98.49</v>
      </c>
      <c r="L24" s="285">
        <f>_xll.qlMidSafe($H24,$I24)</f>
        <v>98.537499999999994</v>
      </c>
      <c r="M24" s="283"/>
      <c r="N24" s="364">
        <v>98.542500000000004</v>
      </c>
      <c r="O24" s="283"/>
      <c r="P24" s="363" t="str">
        <v>USDFUT3MM6_Quote</v>
      </c>
      <c r="Q24" s="281">
        <v>98.537499999999994</v>
      </c>
      <c r="R24" s="285" t="e">
        <f>_xll.qlSimpleQuoteSetValue($P24,$Q24,Trigger)</f>
        <v>#N/A</v>
      </c>
      <c r="S24" s="49"/>
      <c r="X24" s="322">
        <f>(I24-L24)/50</f>
        <v>5.0000000000238744E-5</v>
      </c>
    </row>
    <row r="25" spans="1:24" x14ac:dyDescent="0.2">
      <c r="A25" s="362"/>
      <c r="B25" s="368">
        <v>20</v>
      </c>
      <c r="C25" s="367" t="b">
        <v>1</v>
      </c>
      <c r="D25" s="281" t="str">
        <v>U6</v>
      </c>
      <c r="E25" s="366">
        <v>42634</v>
      </c>
      <c r="F25" s="281" t="str">
        <v>EDU6</v>
      </c>
      <c r="G25" s="365">
        <v>42632</v>
      </c>
      <c r="H25" s="281">
        <v>98.275000000000006</v>
      </c>
      <c r="I25" s="281">
        <v>98.28</v>
      </c>
      <c r="J25" s="281">
        <v>98.28</v>
      </c>
      <c r="K25" s="281">
        <v>98.224999999999994</v>
      </c>
      <c r="L25" s="285">
        <f>_xll.qlMidSafe($H25,$I25)</f>
        <v>98.277500000000003</v>
      </c>
      <c r="M25" s="283"/>
      <c r="N25" s="364">
        <v>98.282499999999999</v>
      </c>
      <c r="O25" s="283"/>
      <c r="P25" s="363" t="str">
        <v>USDFUT3MU6_Quote</v>
      </c>
      <c r="Q25" s="281">
        <v>98.277500000000003</v>
      </c>
      <c r="R25" s="285" t="e">
        <f>_xll.qlSimpleQuoteSetValue($P25,$Q25,Trigger)</f>
        <v>#N/A</v>
      </c>
      <c r="S25" s="49"/>
      <c r="X25" s="322">
        <f>(I25-L25)/50</f>
        <v>4.9999999999954527E-5</v>
      </c>
    </row>
    <row r="26" spans="1:24" x14ac:dyDescent="0.2">
      <c r="A26" s="362"/>
      <c r="B26" s="368">
        <v>21</v>
      </c>
      <c r="C26" s="367" t="b">
        <v>1</v>
      </c>
      <c r="D26" s="281" t="str">
        <v>Z6</v>
      </c>
      <c r="E26" s="366">
        <v>42725</v>
      </c>
      <c r="F26" s="281" t="str">
        <v>EDZ6</v>
      </c>
      <c r="G26" s="365">
        <v>42723</v>
      </c>
      <c r="H26" s="281">
        <v>98.02</v>
      </c>
      <c r="I26" s="281">
        <v>98.025000000000006</v>
      </c>
      <c r="J26" s="281">
        <v>98.02</v>
      </c>
      <c r="K26" s="281">
        <v>97.965000000000003</v>
      </c>
      <c r="L26" s="285">
        <f>_xll.qlMidSafe($H26,$I26)</f>
        <v>98.022500000000008</v>
      </c>
      <c r="M26" s="283"/>
      <c r="N26" s="364">
        <v>98.022500000000008</v>
      </c>
      <c r="O26" s="283"/>
      <c r="P26" s="363" t="str">
        <v>USDFUT3MZ6_Quote</v>
      </c>
      <c r="Q26" s="281">
        <v>98.022500000000008</v>
      </c>
      <c r="R26" s="285" t="e">
        <f>_xll.qlSimpleQuoteSetValue($P26,$Q26,Trigger)</f>
        <v>#N/A</v>
      </c>
      <c r="S26" s="49"/>
      <c r="X26" s="322">
        <f>(I26-L26)/50</f>
        <v>4.9999999999954527E-5</v>
      </c>
    </row>
    <row r="27" spans="1:24" x14ac:dyDescent="0.2">
      <c r="A27" s="362"/>
      <c r="B27" s="368">
        <v>22</v>
      </c>
      <c r="C27" s="367" t="b">
        <v>1</v>
      </c>
      <c r="D27" s="281" t="str">
        <v>H7</v>
      </c>
      <c r="E27" s="366">
        <v>42809</v>
      </c>
      <c r="F27" s="281" t="str">
        <v>EDH7</v>
      </c>
      <c r="G27" s="365">
        <v>42807</v>
      </c>
      <c r="H27" s="281">
        <v>97.79</v>
      </c>
      <c r="I27" s="281">
        <v>97.795000000000002</v>
      </c>
      <c r="J27" s="281">
        <v>97.79</v>
      </c>
      <c r="K27" s="281">
        <v>97.734999999999999</v>
      </c>
      <c r="L27" s="285">
        <f>_xll.qlMidSafe($H27,$I27)</f>
        <v>97.792500000000004</v>
      </c>
      <c r="M27" s="283"/>
      <c r="N27" s="364">
        <v>97.797499999999999</v>
      </c>
      <c r="O27" s="283"/>
      <c r="P27" s="363" t="str">
        <v>USDFUT3MH7_Quote</v>
      </c>
      <c r="Q27" s="281">
        <v>97.792500000000004</v>
      </c>
      <c r="R27" s="285" t="e">
        <f>_xll.qlSimpleQuoteSetValue($P27,$Q27,Trigger)</f>
        <v>#N/A</v>
      </c>
      <c r="S27" s="49"/>
      <c r="X27" s="322">
        <f>(I27-L27)/50</f>
        <v>4.9999999999954527E-5</v>
      </c>
    </row>
    <row r="28" spans="1:24" x14ac:dyDescent="0.2">
      <c r="A28" s="362"/>
      <c r="B28" s="368">
        <v>23</v>
      </c>
      <c r="C28" s="367" t="b">
        <v>1</v>
      </c>
      <c r="D28" s="281" t="str">
        <v>M7</v>
      </c>
      <c r="E28" s="366">
        <v>42907</v>
      </c>
      <c r="F28" s="281" t="str">
        <v>EDM7</v>
      </c>
      <c r="G28" s="365">
        <v>42905</v>
      </c>
      <c r="H28" s="281">
        <v>97.555000000000007</v>
      </c>
      <c r="I28" s="281">
        <v>97.56</v>
      </c>
      <c r="J28" s="281">
        <v>97.555000000000007</v>
      </c>
      <c r="K28" s="281">
        <v>97.495000000000005</v>
      </c>
      <c r="L28" s="285">
        <f>_xll.qlMidSafe($H28,$I28)</f>
        <v>97.557500000000005</v>
      </c>
      <c r="M28" s="283"/>
      <c r="N28" s="364">
        <v>97.56</v>
      </c>
      <c r="O28" s="283"/>
      <c r="P28" s="363" t="str">
        <v>USDFUT3MM7_Quote</v>
      </c>
      <c r="Q28" s="281">
        <v>97.557500000000005</v>
      </c>
      <c r="R28" s="285" t="e">
        <f>_xll.qlSimpleQuoteSetValue($P28,$Q28,Trigger)</f>
        <v>#N/A</v>
      </c>
      <c r="S28" s="49"/>
      <c r="X28" s="322">
        <f>(I28-L28)/50</f>
        <v>4.9999999999954527E-5</v>
      </c>
    </row>
    <row r="29" spans="1:24" x14ac:dyDescent="0.2">
      <c r="A29" s="362"/>
      <c r="B29" s="368">
        <v>24</v>
      </c>
      <c r="C29" s="367" t="b">
        <v>1</v>
      </c>
      <c r="D29" s="281" t="str">
        <v>U7</v>
      </c>
      <c r="E29" s="366">
        <v>42998</v>
      </c>
      <c r="F29" s="281" t="str">
        <v>EDU7</v>
      </c>
      <c r="G29" s="365">
        <v>42996</v>
      </c>
      <c r="H29" s="281">
        <v>97.334999999999994</v>
      </c>
      <c r="I29" s="281">
        <v>97.34</v>
      </c>
      <c r="J29" s="281">
        <v>97.34</v>
      </c>
      <c r="K29" s="281">
        <v>97.275000000000006</v>
      </c>
      <c r="L29" s="285">
        <f>_xll.qlMidSafe($H29,$I29)</f>
        <v>97.337500000000006</v>
      </c>
      <c r="M29" s="283"/>
      <c r="N29" s="364">
        <v>97.342500000000001</v>
      </c>
      <c r="O29" s="283"/>
      <c r="P29" s="363" t="str">
        <v>USDFUT3MU7_Quote</v>
      </c>
      <c r="Q29" s="281">
        <v>97.337500000000006</v>
      </c>
      <c r="R29" s="285" t="e">
        <f>_xll.qlSimpleQuoteSetValue($P29,$Q29,Trigger)</f>
        <v>#N/A</v>
      </c>
      <c r="S29" s="49"/>
      <c r="X29" s="322">
        <f>(I29-L29)/50</f>
        <v>4.9999999999954527E-5</v>
      </c>
    </row>
    <row r="30" spans="1:24" x14ac:dyDescent="0.2">
      <c r="A30" s="362"/>
      <c r="B30" s="368">
        <v>25</v>
      </c>
      <c r="C30" s="367" t="b">
        <v>1</v>
      </c>
      <c r="D30" s="281" t="str">
        <v>Z7</v>
      </c>
      <c r="E30" s="366">
        <v>43089</v>
      </c>
      <c r="F30" s="281" t="str">
        <v>EDZ7</v>
      </c>
      <c r="G30" s="365">
        <v>43087</v>
      </c>
      <c r="H30" s="281">
        <v>97.11</v>
      </c>
      <c r="I30" s="281">
        <v>97.12</v>
      </c>
      <c r="J30" s="281">
        <v>97.114999999999995</v>
      </c>
      <c r="K30" s="281">
        <v>97.05</v>
      </c>
      <c r="L30" s="285">
        <f>_xll.qlMidSafe($H30,$I30)</f>
        <v>97.115000000000009</v>
      </c>
      <c r="M30" s="283"/>
      <c r="N30" s="364">
        <v>97.12</v>
      </c>
      <c r="O30" s="283"/>
      <c r="P30" s="363" t="str">
        <v>USDFUT3MZ7_Quote</v>
      </c>
      <c r="Q30" s="281">
        <v>97.115000000000009</v>
      </c>
      <c r="R30" s="285" t="e">
        <f>_xll.qlSimpleQuoteSetValue($P30,$Q30,Trigger)</f>
        <v>#N/A</v>
      </c>
      <c r="S30" s="49"/>
      <c r="X30" s="322">
        <f>(I30-L30)/50</f>
        <v>9.9999999999909054E-5</v>
      </c>
    </row>
    <row r="31" spans="1:24" x14ac:dyDescent="0.2">
      <c r="A31" s="362"/>
      <c r="B31" s="368">
        <v>26</v>
      </c>
      <c r="C31" s="367" t="b">
        <v>1</v>
      </c>
      <c r="D31" s="281" t="str">
        <v>H8</v>
      </c>
      <c r="E31" s="366">
        <v>43180</v>
      </c>
      <c r="F31" s="281" t="str">
        <v>EDH8</v>
      </c>
      <c r="G31" s="365">
        <v>43178</v>
      </c>
      <c r="H31" s="281">
        <v>96.924999999999997</v>
      </c>
      <c r="I31" s="281">
        <v>96.93</v>
      </c>
      <c r="J31" s="281">
        <v>96.93</v>
      </c>
      <c r="K31" s="281">
        <v>96.86</v>
      </c>
      <c r="L31" s="285">
        <f>_xll.qlMidSafe($H31,$I31)</f>
        <v>96.927500000000009</v>
      </c>
      <c r="M31" s="283"/>
      <c r="N31" s="364">
        <v>96.932500000000005</v>
      </c>
      <c r="O31" s="283"/>
      <c r="P31" s="363" t="str">
        <v>USDFUT3MH8_Quote</v>
      </c>
      <c r="Q31" s="281">
        <v>96.927500000000009</v>
      </c>
      <c r="R31" s="285" t="e">
        <f>_xll.qlSimpleQuoteSetValue($P31,$Q31,Trigger)</f>
        <v>#N/A</v>
      </c>
      <c r="S31" s="49"/>
      <c r="X31" s="322">
        <f>(I31-L31)/50</f>
        <v>4.9999999999954527E-5</v>
      </c>
    </row>
    <row r="32" spans="1:24" x14ac:dyDescent="0.2">
      <c r="A32" s="362"/>
      <c r="B32" s="368">
        <v>27</v>
      </c>
      <c r="C32" s="367" t="b">
        <v>1</v>
      </c>
      <c r="D32" s="281" t="str">
        <v>M8</v>
      </c>
      <c r="E32" s="366">
        <v>43271</v>
      </c>
      <c r="F32" s="281" t="str">
        <v>EDM8</v>
      </c>
      <c r="G32" s="365">
        <v>43269</v>
      </c>
      <c r="H32" s="281">
        <v>96.745000000000005</v>
      </c>
      <c r="I32" s="281">
        <v>96.75</v>
      </c>
      <c r="J32" s="281">
        <v>96.75</v>
      </c>
      <c r="K32" s="281">
        <v>96.68</v>
      </c>
      <c r="L32" s="285">
        <f>_xll.qlMidSafe($H32,$I32)</f>
        <v>96.747500000000002</v>
      </c>
      <c r="M32" s="283"/>
      <c r="N32" s="364">
        <v>96.752499999999998</v>
      </c>
      <c r="O32" s="283"/>
      <c r="P32" s="363" t="str">
        <v>USDFUT3MM8_Quote</v>
      </c>
      <c r="Q32" s="281">
        <v>96.747500000000002</v>
      </c>
      <c r="R32" s="285" t="e">
        <f>_xll.qlSimpleQuoteSetValue($P32,$Q32,Trigger)</f>
        <v>#N/A</v>
      </c>
      <c r="S32" s="49"/>
      <c r="X32" s="322">
        <f>(I32-L32)/50</f>
        <v>4.9999999999954527E-5</v>
      </c>
    </row>
    <row r="33" spans="1:24" x14ac:dyDescent="0.2">
      <c r="A33" s="362"/>
      <c r="B33" s="368">
        <v>28</v>
      </c>
      <c r="C33" s="367" t="b">
        <v>1</v>
      </c>
      <c r="D33" s="281" t="str">
        <v>U8</v>
      </c>
      <c r="E33" s="366">
        <v>43362</v>
      </c>
      <c r="F33" s="281" t="str">
        <v>EDU8</v>
      </c>
      <c r="G33" s="365">
        <v>43360</v>
      </c>
      <c r="H33" s="281">
        <v>96.584999999999994</v>
      </c>
      <c r="I33" s="281">
        <v>96.59</v>
      </c>
      <c r="J33" s="281">
        <v>96.59</v>
      </c>
      <c r="K33" s="281">
        <v>96.52</v>
      </c>
      <c r="L33" s="285">
        <f>_xll.qlMidSafe($H33,$I33)</f>
        <v>96.587500000000006</v>
      </c>
      <c r="M33" s="283"/>
      <c r="N33" s="364">
        <v>96.592500000000001</v>
      </c>
      <c r="O33" s="283"/>
      <c r="P33" s="363" t="str">
        <v>USDFUT3MU8_Quote</v>
      </c>
      <c r="Q33" s="281">
        <v>96.587500000000006</v>
      </c>
      <c r="R33" s="285" t="e">
        <f>_xll.qlSimpleQuoteSetValue($P33,$Q33,Trigger)</f>
        <v>#N/A</v>
      </c>
      <c r="S33" s="49"/>
      <c r="X33" s="322">
        <f>(I33-L33)/50</f>
        <v>4.9999999999954527E-5</v>
      </c>
    </row>
    <row r="34" spans="1:24" x14ac:dyDescent="0.2">
      <c r="A34" s="362"/>
      <c r="B34" s="368">
        <v>29</v>
      </c>
      <c r="C34" s="367" t="b">
        <v>1</v>
      </c>
      <c r="D34" s="281" t="str">
        <v>Z8</v>
      </c>
      <c r="E34" s="366">
        <v>43453</v>
      </c>
      <c r="F34" s="281" t="str">
        <v>EDZ8</v>
      </c>
      <c r="G34" s="365">
        <v>43451</v>
      </c>
      <c r="H34" s="281">
        <v>96.435000000000002</v>
      </c>
      <c r="I34" s="281">
        <v>96.44</v>
      </c>
      <c r="J34" s="281">
        <v>96.44</v>
      </c>
      <c r="K34" s="281">
        <v>96.37</v>
      </c>
      <c r="L34" s="285">
        <f>_xll.qlMidSafe($H34,$I34)</f>
        <v>96.4375</v>
      </c>
      <c r="M34" s="283"/>
      <c r="N34" s="364">
        <v>96.442499999999995</v>
      </c>
      <c r="O34" s="283"/>
      <c r="P34" s="363" t="str">
        <v>USDFUT3MZ8_Quote</v>
      </c>
      <c r="Q34" s="281">
        <v>96.4375</v>
      </c>
      <c r="R34" s="285" t="e">
        <f>_xll.qlSimpleQuoteSetValue($P34,$Q34,Trigger)</f>
        <v>#N/A</v>
      </c>
      <c r="S34" s="49"/>
      <c r="X34" s="322">
        <f>(I34-L34)/50</f>
        <v>4.9999999999954527E-5</v>
      </c>
    </row>
    <row r="35" spans="1:24" x14ac:dyDescent="0.2">
      <c r="A35" s="362"/>
      <c r="B35" s="368">
        <v>30</v>
      </c>
      <c r="C35" s="367" t="b">
        <v>1</v>
      </c>
      <c r="D35" s="281" t="str">
        <v>H9</v>
      </c>
      <c r="E35" s="366">
        <v>43544</v>
      </c>
      <c r="F35" s="281" t="str">
        <v>EDH9</v>
      </c>
      <c r="G35" s="365">
        <v>43542</v>
      </c>
      <c r="H35" s="281">
        <v>96.305000000000007</v>
      </c>
      <c r="I35" s="281">
        <v>96.314999999999998</v>
      </c>
      <c r="J35" s="281">
        <v>96.31</v>
      </c>
      <c r="K35" s="281">
        <v>96.245000000000005</v>
      </c>
      <c r="L35" s="285">
        <f>_xll.qlMidSafe($H35,$I35)</f>
        <v>96.31</v>
      </c>
      <c r="M35" s="283"/>
      <c r="N35" s="364">
        <v>96.3125</v>
      </c>
      <c r="O35" s="283"/>
      <c r="P35" s="363" t="str">
        <v>USDFUT3MH9_Quote</v>
      </c>
      <c r="Q35" s="281">
        <v>96.31</v>
      </c>
      <c r="R35" s="285" t="e">
        <f>_xll.qlSimpleQuoteSetValue($P35,$Q35,Trigger)</f>
        <v>#N/A</v>
      </c>
      <c r="S35" s="49"/>
      <c r="X35" s="322">
        <f>(I35-L35)/50</f>
        <v>9.9999999999909054E-5</v>
      </c>
    </row>
    <row r="36" spans="1:24" x14ac:dyDescent="0.2">
      <c r="A36" s="362"/>
      <c r="B36" s="368">
        <v>31</v>
      </c>
      <c r="C36" s="367" t="b">
        <v>1</v>
      </c>
      <c r="D36" s="281" t="str">
        <v>M9</v>
      </c>
      <c r="E36" s="366">
        <v>43635</v>
      </c>
      <c r="F36" s="281" t="str">
        <v>EDM9</v>
      </c>
      <c r="G36" s="365">
        <v>43633</v>
      </c>
      <c r="H36" s="281">
        <v>96.19</v>
      </c>
      <c r="I36" s="281">
        <v>96.194999999999993</v>
      </c>
      <c r="J36" s="281">
        <v>96.194999999999993</v>
      </c>
      <c r="K36" s="281">
        <v>96.13</v>
      </c>
      <c r="L36" s="285">
        <f>_xll.qlMidSafe($H36,$I36)</f>
        <v>96.192499999999995</v>
      </c>
      <c r="M36" s="283"/>
      <c r="N36" s="364">
        <v>96.197499999999991</v>
      </c>
      <c r="O36" s="283"/>
      <c r="P36" s="363" t="str">
        <v>USDFUT3MM9_Quote</v>
      </c>
      <c r="Q36" s="281">
        <v>96.192499999999995</v>
      </c>
      <c r="R36" s="285" t="e">
        <f>_xll.qlSimpleQuoteSetValue($P36,$Q36,Trigger)</f>
        <v>#N/A</v>
      </c>
      <c r="S36" s="49"/>
      <c r="X36" s="322">
        <f>(I36-L36)/50</f>
        <v>4.9999999999954527E-5</v>
      </c>
    </row>
    <row r="37" spans="1:24" x14ac:dyDescent="0.2">
      <c r="A37" s="362"/>
      <c r="B37" s="368">
        <v>32</v>
      </c>
      <c r="C37" s="367" t="b">
        <v>1</v>
      </c>
      <c r="D37" s="281" t="str">
        <v>U9</v>
      </c>
      <c r="E37" s="366">
        <v>43726</v>
      </c>
      <c r="F37" s="281" t="str">
        <v>EDU9</v>
      </c>
      <c r="G37" s="365">
        <v>43724</v>
      </c>
      <c r="H37" s="281">
        <v>96.08</v>
      </c>
      <c r="I37" s="281">
        <v>96.084999999999994</v>
      </c>
      <c r="J37" s="281">
        <v>96.084999999999994</v>
      </c>
      <c r="K37" s="281">
        <v>96.02</v>
      </c>
      <c r="L37" s="285">
        <f>_xll.qlMidSafe($H37,$I37)</f>
        <v>96.082499999999996</v>
      </c>
      <c r="M37" s="283"/>
      <c r="N37" s="364">
        <v>96.087500000000006</v>
      </c>
      <c r="O37" s="283"/>
      <c r="P37" s="363" t="str">
        <v>USDFUT3MU9_Quote</v>
      </c>
      <c r="Q37" s="281">
        <v>96.082499999999996</v>
      </c>
      <c r="R37" s="285" t="e">
        <f>_xll.qlSimpleQuoteSetValue($P37,$Q37,Trigger)</f>
        <v>#N/A</v>
      </c>
      <c r="S37" s="49"/>
      <c r="X37" s="322">
        <f>(I37-L37)/50</f>
        <v>4.9999999999954527E-5</v>
      </c>
    </row>
    <row r="38" spans="1:24" x14ac:dyDescent="0.2">
      <c r="A38" s="362"/>
      <c r="B38" s="368">
        <v>33</v>
      </c>
      <c r="C38" s="367" t="b">
        <v>1</v>
      </c>
      <c r="D38" s="281" t="str">
        <v>Z9</v>
      </c>
      <c r="E38" s="366">
        <v>43817</v>
      </c>
      <c r="F38" s="281" t="str">
        <v>EDZ9</v>
      </c>
      <c r="G38" s="365">
        <v>43815</v>
      </c>
      <c r="H38" s="281">
        <v>95.974999999999994</v>
      </c>
      <c r="I38" s="281">
        <v>95.984999999999999</v>
      </c>
      <c r="J38" s="281">
        <v>95.965000000000003</v>
      </c>
      <c r="K38" s="281">
        <v>95.92</v>
      </c>
      <c r="L38" s="285">
        <f>_xll.qlMidSafe($H38,$I38)</f>
        <v>95.97999999999999</v>
      </c>
      <c r="M38" s="283"/>
      <c r="N38" s="364">
        <v>95.982500000000002</v>
      </c>
      <c r="O38" s="283"/>
      <c r="P38" s="363" t="str">
        <v>USDFUT3MZ9_Quote</v>
      </c>
      <c r="Q38" s="281">
        <v>95.97999999999999</v>
      </c>
      <c r="R38" s="285" t="e">
        <f>_xll.qlSimpleQuoteSetValue($P38,$Q38,Trigger)</f>
        <v>#N/A</v>
      </c>
      <c r="S38" s="49"/>
      <c r="X38" s="322">
        <f>(I38-L38)/50</f>
        <v>1.0000000000019326E-4</v>
      </c>
    </row>
    <row r="39" spans="1:24" x14ac:dyDescent="0.2">
      <c r="A39" s="362"/>
      <c r="B39" s="368">
        <v>34</v>
      </c>
      <c r="C39" s="367" t="b">
        <v>1</v>
      </c>
      <c r="D39" s="281" t="str">
        <v>H0</v>
      </c>
      <c r="E39" s="366">
        <v>43908</v>
      </c>
      <c r="F39" s="281" t="str">
        <v>EDH0</v>
      </c>
      <c r="G39" s="365">
        <v>43906</v>
      </c>
      <c r="H39" s="281">
        <v>95.894999999999996</v>
      </c>
      <c r="I39" s="281">
        <v>95.905000000000001</v>
      </c>
      <c r="J39" s="281">
        <v>95.885000000000005</v>
      </c>
      <c r="K39" s="281">
        <v>95.844999999999999</v>
      </c>
      <c r="L39" s="285">
        <f>_xll.qlMidSafe($H39,$I39)</f>
        <v>95.9</v>
      </c>
      <c r="M39" s="283"/>
      <c r="N39" s="364">
        <v>95.905000000000001</v>
      </c>
      <c r="O39" s="283"/>
      <c r="P39" s="363" t="str">
        <v>USDFUT3MH0_Quote</v>
      </c>
      <c r="Q39" s="281">
        <v>95.9</v>
      </c>
      <c r="R39" s="285" t="e">
        <f>_xll.qlSimpleQuoteSetValue($P39,$Q39,Trigger)</f>
        <v>#N/A</v>
      </c>
      <c r="S39" s="49"/>
      <c r="X39" s="322">
        <f>(I39-L39)/50</f>
        <v>9.9999999999909054E-5</v>
      </c>
    </row>
    <row r="40" spans="1:24" x14ac:dyDescent="0.2">
      <c r="A40" s="362"/>
      <c r="B40" s="368">
        <v>35</v>
      </c>
      <c r="C40" s="367" t="b">
        <v>1</v>
      </c>
      <c r="D40" s="281" t="str">
        <v>M0</v>
      </c>
      <c r="E40" s="366">
        <v>43999</v>
      </c>
      <c r="F40" s="281" t="str">
        <v>EDM0</v>
      </c>
      <c r="G40" s="365">
        <v>43997</v>
      </c>
      <c r="H40" s="281">
        <v>95.82</v>
      </c>
      <c r="I40" s="281">
        <v>95.825000000000003</v>
      </c>
      <c r="J40" s="281">
        <v>95.82</v>
      </c>
      <c r="K40" s="281">
        <v>95.77</v>
      </c>
      <c r="L40" s="285">
        <f>_xll.qlMidSafe($H40,$I40)</f>
        <v>95.822499999999991</v>
      </c>
      <c r="M40" s="283"/>
      <c r="N40" s="364">
        <v>95.827500000000001</v>
      </c>
      <c r="O40" s="283"/>
      <c r="P40" s="363" t="str">
        <v>USDFUT3MM0_Quote</v>
      </c>
      <c r="Q40" s="281">
        <v>95.822499999999991</v>
      </c>
      <c r="R40" s="285" t="e">
        <f>_xll.qlSimpleQuoteSetValue($P40,$Q40,Trigger)</f>
        <v>#N/A</v>
      </c>
      <c r="S40" s="49"/>
      <c r="X40" s="322">
        <f>(I40-L40)/50</f>
        <v>5.0000000000238744E-5</v>
      </c>
    </row>
    <row r="41" spans="1:24" x14ac:dyDescent="0.2">
      <c r="A41" s="362"/>
      <c r="B41" s="368">
        <v>36</v>
      </c>
      <c r="C41" s="367" t="b">
        <v>1</v>
      </c>
      <c r="D41" s="281" t="str">
        <v>U0</v>
      </c>
      <c r="E41" s="366">
        <v>44090</v>
      </c>
      <c r="F41" s="281" t="str">
        <v>EDU0</v>
      </c>
      <c r="G41" s="365">
        <v>44088</v>
      </c>
      <c r="H41" s="281">
        <v>95.75</v>
      </c>
      <c r="I41" s="281">
        <v>95.76</v>
      </c>
      <c r="J41" s="281">
        <v>95.704999999999998</v>
      </c>
      <c r="K41" s="281">
        <v>95.704999999999998</v>
      </c>
      <c r="L41" s="285">
        <f>_xll.qlMidSafe($H41,$I41)</f>
        <v>95.754999999999995</v>
      </c>
      <c r="M41" s="283"/>
      <c r="N41" s="364">
        <v>95.759999999999991</v>
      </c>
      <c r="O41" s="283"/>
      <c r="P41" s="363" t="str">
        <v>USDFUT3MU0_Quote</v>
      </c>
      <c r="Q41" s="281">
        <v>95.754999999999995</v>
      </c>
      <c r="R41" s="285" t="e">
        <f>_xll.qlSimpleQuoteSetValue($P41,$Q41,Trigger)</f>
        <v>#N/A</v>
      </c>
      <c r="S41" s="49"/>
      <c r="X41" s="322">
        <f>(I41-L41)/50</f>
        <v>1.0000000000019326E-4</v>
      </c>
    </row>
    <row r="42" spans="1:24" x14ac:dyDescent="0.2">
      <c r="A42" s="362"/>
      <c r="B42" s="368">
        <v>37</v>
      </c>
      <c r="C42" s="367" t="b">
        <v>1</v>
      </c>
      <c r="D42" s="281" t="str">
        <v>Z0</v>
      </c>
      <c r="E42" s="366">
        <v>44181</v>
      </c>
      <c r="F42" s="281" t="str">
        <v>EDZ0</v>
      </c>
      <c r="G42" s="365">
        <v>44179</v>
      </c>
      <c r="H42" s="281">
        <v>95.674999999999997</v>
      </c>
      <c r="I42" s="281">
        <v>95.704999999999998</v>
      </c>
      <c r="J42" s="281">
        <v>0</v>
      </c>
      <c r="K42" s="281">
        <v>95.64</v>
      </c>
      <c r="L42" s="285">
        <f>_xll.qlMidSafe($H42,$I42)</f>
        <v>95.69</v>
      </c>
      <c r="M42" s="283"/>
      <c r="N42" s="364">
        <v>95.69</v>
      </c>
      <c r="O42" s="283"/>
      <c r="P42" s="363" t="str">
        <v>USDFUT3MZ0_Quote</v>
      </c>
      <c r="Q42" s="281">
        <v>95.69</v>
      </c>
      <c r="R42" s="285" t="e">
        <f>_xll.qlSimpleQuoteSetValue($P42,$Q42,Trigger)</f>
        <v>#N/A</v>
      </c>
      <c r="S42" s="49"/>
      <c r="X42" s="322">
        <f>(I42-L42)/50</f>
        <v>3.0000000000001136E-4</v>
      </c>
    </row>
    <row r="43" spans="1:24" x14ac:dyDescent="0.2">
      <c r="A43" s="362"/>
      <c r="B43" s="368">
        <v>38</v>
      </c>
      <c r="C43" s="367" t="b">
        <v>1</v>
      </c>
      <c r="D43" s="281" t="str">
        <v>H1</v>
      </c>
      <c r="E43" s="366">
        <v>44272</v>
      </c>
      <c r="F43" s="281" t="str">
        <v>EDH1</v>
      </c>
      <c r="G43" s="365">
        <v>44270</v>
      </c>
      <c r="H43" s="281">
        <v>95.625</v>
      </c>
      <c r="I43" s="281">
        <v>95.69</v>
      </c>
      <c r="J43" s="281">
        <v>0</v>
      </c>
      <c r="K43" s="281">
        <v>95.6</v>
      </c>
      <c r="L43" s="285">
        <f>_xll.qlMidSafe($H43,$I43)</f>
        <v>95.657499999999999</v>
      </c>
      <c r="M43" s="283"/>
      <c r="N43" s="364">
        <v>95.66</v>
      </c>
      <c r="O43" s="283"/>
      <c r="P43" s="363" t="str">
        <v>USDFUT3MH1_Quote</v>
      </c>
      <c r="Q43" s="281">
        <v>95.657499999999999</v>
      </c>
      <c r="R43" s="285" t="e">
        <f>_xll.qlSimpleQuoteSetValue($P43,$Q43,Trigger)</f>
        <v>#N/A</v>
      </c>
      <c r="S43" s="49"/>
      <c r="X43" s="322">
        <f>(I43-L43)/50</f>
        <v>6.4999999999997731E-4</v>
      </c>
    </row>
    <row r="44" spans="1:24" x14ac:dyDescent="0.2">
      <c r="A44" s="362"/>
      <c r="B44" s="368">
        <v>39</v>
      </c>
      <c r="C44" s="367" t="b">
        <v>1</v>
      </c>
      <c r="D44" s="281" t="str">
        <v>M1</v>
      </c>
      <c r="E44" s="366">
        <v>44363</v>
      </c>
      <c r="F44" s="281" t="str">
        <v>EDM1</v>
      </c>
      <c r="G44" s="365">
        <v>44361</v>
      </c>
      <c r="H44" s="281">
        <v>95.564999999999998</v>
      </c>
      <c r="I44" s="281">
        <v>95.625</v>
      </c>
      <c r="J44" s="281">
        <v>0</v>
      </c>
      <c r="K44" s="281">
        <v>95.545000000000002</v>
      </c>
      <c r="L44" s="285">
        <f>_xll.qlMidSafe($H44,$I44)</f>
        <v>95.594999999999999</v>
      </c>
      <c r="M44" s="283"/>
      <c r="N44" s="364">
        <v>95.6</v>
      </c>
      <c r="O44" s="283"/>
      <c r="P44" s="363" t="str">
        <v>USDFUT3MM1_Quote</v>
      </c>
      <c r="Q44" s="281">
        <v>95.594999999999999</v>
      </c>
      <c r="R44" s="285" t="e">
        <f>_xll.qlSimpleQuoteSetValue($P44,$Q44,Trigger)</f>
        <v>#N/A</v>
      </c>
      <c r="S44" s="49"/>
      <c r="X44" s="322">
        <f>(I44-L44)/50</f>
        <v>6.0000000000002272E-4</v>
      </c>
    </row>
    <row r="45" spans="1:24" x14ac:dyDescent="0.2">
      <c r="A45" s="362"/>
      <c r="B45" s="368">
        <v>40</v>
      </c>
      <c r="C45" s="367" t="b">
        <v>1</v>
      </c>
      <c r="D45" s="281" t="str">
        <v>U1</v>
      </c>
      <c r="E45" s="366">
        <v>44454</v>
      </c>
      <c r="F45" s="281" t="str">
        <v>EDU1</v>
      </c>
      <c r="G45" s="365">
        <v>44452</v>
      </c>
      <c r="H45" s="281">
        <v>95.52</v>
      </c>
      <c r="I45" s="281">
        <v>95.68</v>
      </c>
      <c r="J45" s="281">
        <v>0</v>
      </c>
      <c r="K45" s="281">
        <v>95.5</v>
      </c>
      <c r="L45" s="285">
        <f>_xll.qlMidSafe($H45,$I45)</f>
        <v>95.6</v>
      </c>
      <c r="M45" s="283"/>
      <c r="N45" s="364">
        <v>95.602500000000006</v>
      </c>
      <c r="O45" s="283"/>
      <c r="P45" s="363" t="str">
        <v>USDFUT3MU1_Quote</v>
      </c>
      <c r="Q45" s="281">
        <v>95.6</v>
      </c>
      <c r="R45" s="285" t="e">
        <f>_xll.qlSimpleQuoteSetValue($P45,$Q45,Trigger)</f>
        <v>#N/A</v>
      </c>
      <c r="S45" s="49"/>
      <c r="X45" s="322">
        <f>(I45-L45)/50</f>
        <v>1.6000000000002501E-3</v>
      </c>
    </row>
    <row r="46" spans="1:24" x14ac:dyDescent="0.2">
      <c r="A46" s="362"/>
      <c r="B46" s="368">
        <v>41</v>
      </c>
      <c r="C46" s="367" t="b">
        <v>1</v>
      </c>
      <c r="D46" s="281" t="str">
        <v>Z1</v>
      </c>
      <c r="E46" s="366">
        <v>44545</v>
      </c>
      <c r="F46" s="281" t="str">
        <v>EDZ1</v>
      </c>
      <c r="G46" s="365">
        <v>44543</v>
      </c>
      <c r="H46" s="281">
        <v>95.465000000000003</v>
      </c>
      <c r="I46" s="281">
        <v>95.644999999999996</v>
      </c>
      <c r="J46" s="281">
        <v>0</v>
      </c>
      <c r="K46" s="281">
        <v>95.45</v>
      </c>
      <c r="L46" s="285">
        <f>_xll.qlMidSafe($H46,$I46)</f>
        <v>95.555000000000007</v>
      </c>
      <c r="M46" s="283"/>
      <c r="N46" s="364">
        <v>95.557500000000005</v>
      </c>
      <c r="O46" s="283"/>
      <c r="P46" s="363" t="str">
        <v>USDFUT3MZ1_Quote</v>
      </c>
      <c r="Q46" s="281">
        <v>95.555000000000007</v>
      </c>
      <c r="R46" s="285" t="e">
        <f>_xll.qlSimpleQuoteSetValue($P46,$Q46,Trigger)</f>
        <v>#N/A</v>
      </c>
      <c r="S46" s="49"/>
      <c r="X46" s="322">
        <f>(I46-L46)/50</f>
        <v>1.799999999999784E-3</v>
      </c>
    </row>
    <row r="47" spans="1:24" x14ac:dyDescent="0.2">
      <c r="A47" s="362"/>
      <c r="B47" s="361">
        <v>42</v>
      </c>
      <c r="C47" s="360" t="b">
        <v>1</v>
      </c>
      <c r="D47" s="294" t="str">
        <v>H2</v>
      </c>
      <c r="E47" s="359">
        <v>44636</v>
      </c>
      <c r="F47" s="294" t="str">
        <v>EDH2</v>
      </c>
      <c r="G47" s="358">
        <v>44634</v>
      </c>
      <c r="H47" s="294">
        <v>95.42</v>
      </c>
      <c r="I47" s="294">
        <v>95.59</v>
      </c>
      <c r="J47" s="294">
        <v>0</v>
      </c>
      <c r="K47" s="294">
        <v>95.43</v>
      </c>
      <c r="L47" s="297">
        <f>_xll.qlMidSafe($H47,$I47)</f>
        <v>95.504999999999995</v>
      </c>
      <c r="M47" s="283"/>
      <c r="N47" s="357">
        <v>95.51</v>
      </c>
      <c r="O47" s="283"/>
      <c r="P47" s="356" t="str">
        <v>USDFUT3MH2_Quote</v>
      </c>
      <c r="Q47" s="294">
        <v>95.504999999999995</v>
      </c>
      <c r="R47" s="297" t="e">
        <f>_xll.qlSimpleQuoteSetValue($P47,$Q47,Trigger)</f>
        <v>#N/A</v>
      </c>
      <c r="S47" s="49"/>
      <c r="X47" s="322">
        <f>(I47-L47)/50</f>
        <v>1.7000000000001591E-3</v>
      </c>
    </row>
    <row r="48" spans="1:24" ht="12" thickBot="1" x14ac:dyDescent="0.25">
      <c r="A48" s="355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6"/>
    </row>
  </sheetData>
  <conditionalFormatting sqref="R6:R47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Q9"/>
  <sheetViews>
    <sheetView workbookViewId="0"/>
  </sheetViews>
  <sheetFormatPr defaultRowHeight="11.25" x14ac:dyDescent="0.2"/>
  <cols>
    <col min="1" max="1" width="4.28515625" style="21" customWidth="1"/>
    <col min="2" max="2" width="14.140625" style="21" customWidth="1"/>
    <col min="3" max="3" width="4.85546875" style="21" bestFit="1" customWidth="1"/>
    <col min="4" max="4" width="4.28515625" style="21" customWidth="1"/>
    <col min="5" max="5" width="11.7109375" style="21" bestFit="1" customWidth="1"/>
    <col min="6" max="6" width="6.28515625" style="21" bestFit="1" customWidth="1"/>
    <col min="7" max="7" width="4.28515625" style="21" customWidth="1"/>
    <col min="8" max="8" width="6.28515625" style="21" bestFit="1" customWidth="1"/>
    <col min="9" max="9" width="4.28515625" style="21" customWidth="1"/>
    <col min="10" max="10" width="23.42578125" style="21" bestFit="1" customWidth="1"/>
    <col min="11" max="11" width="7.7109375" style="21" bestFit="1" customWidth="1"/>
    <col min="12" max="12" width="7" style="21" bestFit="1" customWidth="1"/>
    <col min="13" max="13" width="4.28515625" style="21" customWidth="1"/>
    <col min="14" max="14" width="2.2851562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6384" width="9.140625" style="21"/>
  </cols>
  <sheetData>
    <row r="1" spans="1:17" x14ac:dyDescent="0.2">
      <c r="A1" s="321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3"/>
    </row>
    <row r="2" spans="1:17" x14ac:dyDescent="0.2">
      <c r="A2" s="320"/>
      <c r="B2" s="146" t="s">
        <v>248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49"/>
    </row>
    <row r="3" spans="1:17" x14ac:dyDescent="0.2">
      <c r="A3" s="320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315">
        <f>_xll.ohTrigger(L5:L46)</f>
        <v>21</v>
      </c>
      <c r="M3" s="49"/>
      <c r="P3" s="21" t="s">
        <v>106</v>
      </c>
    </row>
    <row r="4" spans="1:17" ht="13.5" thickBot="1" x14ac:dyDescent="0.25">
      <c r="A4" s="320"/>
      <c r="B4" s="376" t="e">
        <f ca="1">_xll.RData(B5,C4,"RTFEED:IDN",ReutersRtMode,,C5)</f>
        <v>#NAME?</v>
      </c>
      <c r="C4" s="410" t="s">
        <v>235</v>
      </c>
      <c r="D4" s="397"/>
      <c r="E4" s="409" t="s">
        <v>289</v>
      </c>
      <c r="F4" s="408"/>
      <c r="G4" s="397"/>
      <c r="H4" s="313" t="s">
        <v>265</v>
      </c>
      <c r="I4" s="395"/>
      <c r="J4" s="376" t="s">
        <v>264</v>
      </c>
      <c r="K4" s="351" t="s">
        <v>263</v>
      </c>
      <c r="L4" s="314" t="s">
        <v>262</v>
      </c>
      <c r="M4" s="49"/>
    </row>
    <row r="5" spans="1:17" x14ac:dyDescent="0.2">
      <c r="A5" s="320"/>
      <c r="B5" s="407" t="str">
        <f>VLOOKUP(Currency,$O$5:$Q$9,2)&amp;P3&amp;VLOOKUP(Currency,$O$5:$Q$9,3)&amp;"ATM="&amp;VLOOKUP(Contributor,ContributorTable,2,FALSE)</f>
        <v>US4Y3LATM=ICAP</v>
      </c>
      <c r="C5" s="406">
        <v>66.400000000000006</v>
      </c>
      <c r="D5" s="397"/>
      <c r="E5" s="405" t="s">
        <v>288</v>
      </c>
      <c r="F5" s="401">
        <f>C5/100*IF(ISNUMBER(Swap3M4Y),Swap3M4Y/100,Swap6M4Y/100)*0</f>
        <v>0</v>
      </c>
      <c r="G5" s="397"/>
      <c r="H5" s="404">
        <v>0</v>
      </c>
      <c r="I5" s="395"/>
      <c r="J5" s="403" t="str">
        <f>Currency&amp;"HW_Volatility_Quote"</f>
        <v>USDHW_Volatility_Quote</v>
      </c>
      <c r="K5" s="402">
        <f t="array" ref="K5:K6">QuoteLive</f>
        <v>0</v>
      </c>
      <c r="L5" s="401" t="e">
        <f>_xll.qlSimpleQuoteSetValue(J5,K5,Trigger)</f>
        <v>#N/A</v>
      </c>
      <c r="M5" s="49"/>
      <c r="O5" s="90" t="s">
        <v>132</v>
      </c>
      <c r="P5" s="256" t="s">
        <v>287</v>
      </c>
      <c r="Q5" s="400" t="s">
        <v>126</v>
      </c>
    </row>
    <row r="6" spans="1:17" x14ac:dyDescent="0.2">
      <c r="A6" s="320"/>
      <c r="B6" s="394"/>
      <c r="C6" s="399"/>
      <c r="D6" s="397"/>
      <c r="E6" s="398" t="s">
        <v>286</v>
      </c>
      <c r="F6" s="392">
        <v>0.03</v>
      </c>
      <c r="G6" s="397"/>
      <c r="H6" s="396">
        <v>0.03</v>
      </c>
      <c r="I6" s="395"/>
      <c r="J6" s="394" t="str">
        <f>Currency&amp;"HW_MeanReversion_Quote"</f>
        <v>USDHW_MeanReversion_Quote</v>
      </c>
      <c r="K6" s="393">
        <v>0.03</v>
      </c>
      <c r="L6" s="392" t="e">
        <f>_xll.qlSimpleQuoteSetValue(J6,K6,Trigger)</f>
        <v>#N/A</v>
      </c>
      <c r="M6" s="49"/>
      <c r="O6" s="87" t="s">
        <v>131</v>
      </c>
      <c r="P6" s="391" t="s">
        <v>285</v>
      </c>
      <c r="Q6" s="390" t="s">
        <v>126</v>
      </c>
    </row>
    <row r="7" spans="1:17" ht="12" thickBot="1" x14ac:dyDescent="0.25">
      <c r="A7" s="48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6"/>
      <c r="O7" s="87" t="s">
        <v>128</v>
      </c>
      <c r="P7" s="391" t="s">
        <v>284</v>
      </c>
      <c r="Q7" s="390" t="s">
        <v>125</v>
      </c>
    </row>
    <row r="8" spans="1:17" x14ac:dyDescent="0.2">
      <c r="O8" s="87" t="s">
        <v>127</v>
      </c>
      <c r="P8" s="391" t="s">
        <v>283</v>
      </c>
      <c r="Q8" s="390" t="s">
        <v>126</v>
      </c>
    </row>
    <row r="9" spans="1:17" ht="12" thickBot="1" x14ac:dyDescent="0.25">
      <c r="O9" s="84" t="s">
        <v>122</v>
      </c>
      <c r="P9" s="389" t="s">
        <v>282</v>
      </c>
      <c r="Q9" s="388" t="s">
        <v>125</v>
      </c>
    </row>
  </sheetData>
  <mergeCells count="1">
    <mergeCell ref="E4:F4"/>
  </mergeCells>
  <dataValidations count="1">
    <dataValidation type="list" showInputMessage="1" showErrorMessage="1" sqref="B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X19"/>
  <sheetViews>
    <sheetView workbookViewId="0"/>
  </sheetViews>
  <sheetFormatPr defaultRowHeight="12.75" x14ac:dyDescent="0.2"/>
  <cols>
    <col min="1" max="1" width="5" style="20" customWidth="1"/>
    <col min="2" max="2" width="2.28515625" style="20" customWidth="1"/>
    <col min="3" max="3" width="2.7109375" style="20" bestFit="1" customWidth="1"/>
    <col min="4" max="4" width="3.85546875" style="20" bestFit="1" customWidth="1"/>
    <col min="5" max="5" width="8.5703125" style="20" bestFit="1" customWidth="1"/>
    <col min="6" max="6" width="12.7109375" style="20" bestFit="1" customWidth="1"/>
    <col min="7" max="9" width="5.7109375" style="20" bestFit="1" customWidth="1"/>
    <col min="10" max="10" width="10" style="20" bestFit="1" customWidth="1"/>
    <col min="11" max="11" width="5.7109375" style="20" bestFit="1" customWidth="1"/>
    <col min="12" max="12" width="5" style="20" customWidth="1"/>
    <col min="13" max="13" width="5.7109375" style="20" bestFit="1" customWidth="1"/>
    <col min="14" max="14" width="5" style="20" customWidth="1"/>
    <col min="15" max="15" width="13.710937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23" width="9.140625" style="20"/>
    <col min="24" max="24" width="7" style="20" bestFit="1" customWidth="1"/>
    <col min="25" max="16384" width="9.140625" style="20"/>
  </cols>
  <sheetData>
    <row r="1" spans="1:24" ht="13.5" thickBot="1" x14ac:dyDescent="0.25">
      <c r="A1" s="354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ht="13.5" thickBot="1" x14ac:dyDescent="0.25">
      <c r="A2" s="320"/>
      <c r="B2" s="283"/>
      <c r="C2" s="283"/>
      <c r="D2" s="283"/>
      <c r="E2" s="283"/>
      <c r="F2" s="146" t="s">
        <v>248</v>
      </c>
      <c r="G2" s="283"/>
      <c r="H2" s="283"/>
      <c r="I2" s="283"/>
      <c r="J2" s="283"/>
      <c r="K2" s="139"/>
      <c r="L2" s="283"/>
      <c r="M2" s="283"/>
      <c r="N2" s="283"/>
      <c r="O2" s="413" t="s">
        <v>267</v>
      </c>
      <c r="P2" s="412" t="s">
        <v>142</v>
      </c>
      <c r="Q2" s="139"/>
      <c r="R2" s="49"/>
    </row>
    <row r="3" spans="1:24" x14ac:dyDescent="0.2">
      <c r="A3" s="124"/>
      <c r="B3" s="283"/>
      <c r="C3" s="139"/>
      <c r="D3" s="139"/>
      <c r="E3" s="139"/>
      <c r="F3" s="139"/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_xll.ohTrigger(Q5:Q15)</f>
        <v>18</v>
      </c>
      <c r="R3" s="225"/>
    </row>
    <row r="4" spans="1:24" ht="22.5" x14ac:dyDescent="0.2">
      <c r="A4" s="124"/>
      <c r="B4" s="352"/>
      <c r="C4" s="201"/>
      <c r="D4" s="201"/>
      <c r="E4" s="201"/>
      <c r="F4" s="278" t="e">
        <f ca="1">_xll.RData(F5:F18,G4:J4,"RTFEED:IDN",ReutersRtMode,,G5)</f>
        <v>#NAME?</v>
      </c>
      <c r="G4" s="351" t="s">
        <v>235</v>
      </c>
      <c r="H4" s="351" t="s">
        <v>234</v>
      </c>
      <c r="I4" s="351" t="s">
        <v>252</v>
      </c>
      <c r="J4" s="351" t="s">
        <v>271</v>
      </c>
      <c r="K4" s="310" t="s">
        <v>270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  <c r="X4" s="349" t="s">
        <v>269</v>
      </c>
    </row>
    <row r="5" spans="1:24" x14ac:dyDescent="0.2">
      <c r="A5" s="124"/>
      <c r="B5" s="282"/>
      <c r="C5" s="343">
        <v>2</v>
      </c>
      <c r="D5" s="343" t="s">
        <v>206</v>
      </c>
      <c r="E5" s="286" t="str">
        <f>Currency&amp;$C5&amp;$D5&amp;$B5</f>
        <v>USD2X1S</v>
      </c>
      <c r="F5" s="286" t="str">
        <f t="array" ref="F5:F18">Instruments&amp;"="&amp;VLOOKUP(Contributor,ContributorTable,2,FALSE)</f>
        <v>USD2X1S=ICAP</v>
      </c>
      <c r="G5" s="281">
        <v>0.14699999999999999</v>
      </c>
      <c r="H5" s="281">
        <v>0.19700000000000001</v>
      </c>
      <c r="I5" s="281">
        <v>0</v>
      </c>
      <c r="J5" s="281">
        <v>0</v>
      </c>
      <c r="K5" s="285">
        <f>_xll.qlMidSafe($G5,$H5)</f>
        <v>0.17199999999999999</v>
      </c>
      <c r="L5" s="283"/>
      <c r="M5" s="284">
        <v>0.17199999999999999</v>
      </c>
      <c r="N5" s="283"/>
      <c r="O5" s="339" t="str">
        <f>$E5&amp;$P$2</f>
        <v>USD2X1S_Quote</v>
      </c>
      <c r="P5" s="281">
        <f t="array" ref="P5:P18">QuoteLive</f>
        <v>0.17199999999999999</v>
      </c>
      <c r="Q5" s="280" t="e">
        <f>_xll.qlSimpleQuoteSetValue($O5,$P5/100,Trigger)</f>
        <v>#N/A</v>
      </c>
      <c r="R5" s="225"/>
      <c r="T5" s="411"/>
      <c r="X5" s="322">
        <f>(H5-K5)/50</f>
        <v>5.0000000000000044E-4</v>
      </c>
    </row>
    <row r="6" spans="1:24" x14ac:dyDescent="0.2">
      <c r="A6" s="124"/>
      <c r="B6" s="282"/>
      <c r="C6" s="343">
        <v>3</v>
      </c>
      <c r="D6" s="343" t="s">
        <v>206</v>
      </c>
      <c r="E6" s="286" t="str">
        <f>Currency&amp;$C6&amp;$D6&amp;$B6</f>
        <v>USD3X1S</v>
      </c>
      <c r="F6" s="286" t="str">
        <v>USD3X1S=ICAP</v>
      </c>
      <c r="G6" s="281">
        <v>0.14899999999999999</v>
      </c>
      <c r="H6" s="281">
        <v>0.19900000000000001</v>
      </c>
      <c r="I6" s="281">
        <v>0</v>
      </c>
      <c r="J6" s="281">
        <v>0</v>
      </c>
      <c r="K6" s="285">
        <f>_xll.qlMidSafe($G6,$H6)</f>
        <v>0.17399999999999999</v>
      </c>
      <c r="L6" s="283"/>
      <c r="M6" s="284">
        <v>0.17399999999999999</v>
      </c>
      <c r="N6" s="283"/>
      <c r="O6" s="339" t="str">
        <f>$E6&amp;$P$2</f>
        <v>USD3X1S_Quote</v>
      </c>
      <c r="P6" s="281">
        <v>0.17399999999999999</v>
      </c>
      <c r="Q6" s="280" t="e">
        <f>_xll.qlSimpleQuoteSetValue($O6,$P6/100,Trigger)</f>
        <v>#N/A</v>
      </c>
      <c r="R6" s="225"/>
      <c r="T6" s="411"/>
      <c r="X6" s="322">
        <f>(H6-K6)/50</f>
        <v>5.0000000000000044E-4</v>
      </c>
    </row>
    <row r="7" spans="1:24" x14ac:dyDescent="0.2">
      <c r="A7" s="124"/>
      <c r="B7" s="282"/>
      <c r="C7" s="343">
        <v>4</v>
      </c>
      <c r="D7" s="343" t="s">
        <v>206</v>
      </c>
      <c r="E7" s="286" t="str">
        <f>Currency&amp;$C7&amp;$D7&amp;$B7</f>
        <v>USD4X1S</v>
      </c>
      <c r="F7" s="286" t="str">
        <v>USD4X1S=ICAP</v>
      </c>
      <c r="G7" s="281">
        <v>0.152</v>
      </c>
      <c r="H7" s="281">
        <v>0.20200000000000001</v>
      </c>
      <c r="I7" s="281">
        <v>0</v>
      </c>
      <c r="J7" s="281">
        <v>0</v>
      </c>
      <c r="K7" s="285">
        <f>_xll.qlMidSafe($G7,$H7)</f>
        <v>0.17699999999999999</v>
      </c>
      <c r="L7" s="283"/>
      <c r="M7" s="284">
        <v>0.17699999999999999</v>
      </c>
      <c r="N7" s="283"/>
      <c r="O7" s="339" t="str">
        <f>$E7&amp;$P$2</f>
        <v>USD4X1S_Quote</v>
      </c>
      <c r="P7" s="281">
        <v>0.17699999999999999</v>
      </c>
      <c r="Q7" s="280" t="e">
        <f>_xll.qlSimpleQuoteSetValue($O7,$P7/100,Trigger)</f>
        <v>#N/A</v>
      </c>
      <c r="R7" s="225"/>
      <c r="T7" s="411"/>
      <c r="X7" s="322">
        <f>(H7-K7)/50</f>
        <v>5.0000000000000044E-4</v>
      </c>
    </row>
    <row r="8" spans="1:24" x14ac:dyDescent="0.2">
      <c r="A8" s="124"/>
      <c r="B8" s="282"/>
      <c r="C8" s="343">
        <v>5</v>
      </c>
      <c r="D8" s="343" t="s">
        <v>206</v>
      </c>
      <c r="E8" s="286" t="str">
        <f>Currency&amp;$C8&amp;$D8&amp;$B8</f>
        <v>USD5X1S</v>
      </c>
      <c r="F8" s="286" t="str">
        <v>USD5X1S=ICAP</v>
      </c>
      <c r="G8" s="281">
        <v>0.155</v>
      </c>
      <c r="H8" s="281">
        <v>0.20499999999999999</v>
      </c>
      <c r="I8" s="281">
        <v>0</v>
      </c>
      <c r="J8" s="281">
        <v>0</v>
      </c>
      <c r="K8" s="285">
        <f>_xll.qlMidSafe($G8,$H8)</f>
        <v>0.18</v>
      </c>
      <c r="L8" s="283"/>
      <c r="M8" s="284">
        <v>0.18</v>
      </c>
      <c r="N8" s="283"/>
      <c r="O8" s="339" t="str">
        <f>$E8&amp;$P$2</f>
        <v>USD5X1S_Quote</v>
      </c>
      <c r="P8" s="281">
        <v>0.18</v>
      </c>
      <c r="Q8" s="280" t="e">
        <f>_xll.qlSimpleQuoteSetValue($O8,$P8/100,Trigger)</f>
        <v>#N/A</v>
      </c>
      <c r="R8" s="225"/>
      <c r="T8" s="411"/>
      <c r="X8" s="322">
        <f>(H8-K8)/50</f>
        <v>4.999999999999999E-4</v>
      </c>
    </row>
    <row r="9" spans="1:24" x14ac:dyDescent="0.2">
      <c r="A9" s="124"/>
      <c r="B9" s="282"/>
      <c r="C9" s="343">
        <v>6</v>
      </c>
      <c r="D9" s="343" t="s">
        <v>206</v>
      </c>
      <c r="E9" s="286" t="str">
        <f>Currency&amp;$C9&amp;$D9&amp;$B9</f>
        <v>USD6X1S</v>
      </c>
      <c r="F9" s="286" t="str">
        <v>USD6X1S=ICAP</v>
      </c>
      <c r="G9" s="281">
        <v>0.159</v>
      </c>
      <c r="H9" s="281">
        <v>0.20899999999999999</v>
      </c>
      <c r="I9" s="281">
        <v>0</v>
      </c>
      <c r="J9" s="281">
        <v>0</v>
      </c>
      <c r="K9" s="285">
        <f>_xll.qlMidSafe($G9,$H9)</f>
        <v>0.184</v>
      </c>
      <c r="L9" s="283"/>
      <c r="M9" s="284">
        <v>0.185</v>
      </c>
      <c r="N9" s="283"/>
      <c r="O9" s="339" t="str">
        <f>$E9&amp;$P$2</f>
        <v>USD6X1S_Quote</v>
      </c>
      <c r="P9" s="281">
        <v>0.184</v>
      </c>
      <c r="Q9" s="280" t="e">
        <f>_xll.qlSimpleQuoteSetValue($O9,$P9/100,Trigger)</f>
        <v>#N/A</v>
      </c>
      <c r="R9" s="225"/>
      <c r="T9" s="411"/>
      <c r="X9" s="322">
        <f>(H9-K9)/50</f>
        <v>4.999999999999999E-4</v>
      </c>
    </row>
    <row r="10" spans="1:24" x14ac:dyDescent="0.2">
      <c r="A10" s="124"/>
      <c r="B10" s="282"/>
      <c r="C10" s="343">
        <v>7</v>
      </c>
      <c r="D10" s="343" t="s">
        <v>206</v>
      </c>
      <c r="E10" s="286" t="str">
        <f>Currency&amp;$C10&amp;$D10&amp;$B10</f>
        <v>USD7X1S</v>
      </c>
      <c r="F10" s="286" t="str">
        <v>USD7X1S=ICAP</v>
      </c>
      <c r="G10" s="281">
        <v>0.16500000000000001</v>
      </c>
      <c r="H10" s="281">
        <v>0.215</v>
      </c>
      <c r="I10" s="281">
        <v>0</v>
      </c>
      <c r="J10" s="281">
        <v>0</v>
      </c>
      <c r="K10" s="285">
        <f>_xll.qlMidSafe($G10,$H10)</f>
        <v>0.19</v>
      </c>
      <c r="L10" s="283"/>
      <c r="M10" s="284">
        <v>0.19</v>
      </c>
      <c r="N10" s="283"/>
      <c r="O10" s="339" t="str">
        <f>$E10&amp;$P$2</f>
        <v>USD7X1S_Quote</v>
      </c>
      <c r="P10" s="281">
        <v>0.19</v>
      </c>
      <c r="Q10" s="280" t="e">
        <f>_xll.qlSimpleQuoteSetValue($O10,$P10/100,Trigger)</f>
        <v>#N/A</v>
      </c>
      <c r="R10" s="225"/>
      <c r="T10" s="411"/>
      <c r="X10" s="322">
        <f>(H10-K10)/50</f>
        <v>4.999999999999999E-4</v>
      </c>
    </row>
    <row r="11" spans="1:24" x14ac:dyDescent="0.2">
      <c r="A11" s="124"/>
      <c r="B11" s="282"/>
      <c r="C11" s="343">
        <v>8</v>
      </c>
      <c r="D11" s="343" t="s">
        <v>206</v>
      </c>
      <c r="E11" s="286" t="str">
        <f>Currency&amp;$C11&amp;$D11&amp;$B11</f>
        <v>USD8X1S</v>
      </c>
      <c r="F11" s="286" t="str">
        <v>USD8X1S=ICAP</v>
      </c>
      <c r="G11" s="281">
        <v>0.17</v>
      </c>
      <c r="H11" s="281">
        <v>0.22</v>
      </c>
      <c r="I11" s="281">
        <v>0</v>
      </c>
      <c r="J11" s="281">
        <v>0</v>
      </c>
      <c r="K11" s="285">
        <f>_xll.qlMidSafe($G11,$H11)</f>
        <v>0.19500000000000001</v>
      </c>
      <c r="L11" s="283"/>
      <c r="M11" s="284">
        <v>0.19500000000000001</v>
      </c>
      <c r="N11" s="283"/>
      <c r="O11" s="339" t="str">
        <f>$E11&amp;$P$2</f>
        <v>USD8X1S_Quote</v>
      </c>
      <c r="P11" s="281">
        <v>0.19500000000000001</v>
      </c>
      <c r="Q11" s="280" t="e">
        <f>_xll.qlSimpleQuoteSetValue($O11,$P11/100,Trigger)</f>
        <v>#N/A</v>
      </c>
      <c r="R11" s="225"/>
      <c r="T11" s="411"/>
      <c r="X11" s="322">
        <f>(H11-K11)/50</f>
        <v>4.999999999999999E-4</v>
      </c>
    </row>
    <row r="12" spans="1:24" x14ac:dyDescent="0.2">
      <c r="A12" s="124"/>
      <c r="B12" s="282"/>
      <c r="C12" s="343">
        <v>9</v>
      </c>
      <c r="D12" s="343" t="s">
        <v>206</v>
      </c>
      <c r="E12" s="286" t="str">
        <f>Currency&amp;$C12&amp;$D12&amp;$B12</f>
        <v>USD9X1S</v>
      </c>
      <c r="F12" s="286" t="str">
        <v>USD9X1S=ICAP</v>
      </c>
      <c r="G12" s="281">
        <v>0.17599999999999999</v>
      </c>
      <c r="H12" s="281">
        <v>0.22600000000000001</v>
      </c>
      <c r="I12" s="281">
        <v>0</v>
      </c>
      <c r="J12" s="281">
        <v>0</v>
      </c>
      <c r="K12" s="285">
        <f>_xll.qlMidSafe($G12,$H12)</f>
        <v>0.20100000000000001</v>
      </c>
      <c r="L12" s="283"/>
      <c r="M12" s="284">
        <v>0.20100000000000001</v>
      </c>
      <c r="N12" s="283"/>
      <c r="O12" s="339" t="str">
        <f>$E12&amp;$P$2</f>
        <v>USD9X1S_Quote</v>
      </c>
      <c r="P12" s="281">
        <v>0.20100000000000001</v>
      </c>
      <c r="Q12" s="280" t="e">
        <f>_xll.qlSimpleQuoteSetValue($O12,$P12/100,Trigger)</f>
        <v>#N/A</v>
      </c>
      <c r="R12" s="225"/>
      <c r="T12" s="411"/>
      <c r="X12" s="322">
        <f>(H12-K12)/50</f>
        <v>4.999999999999999E-4</v>
      </c>
    </row>
    <row r="13" spans="1:24" x14ac:dyDescent="0.2">
      <c r="A13" s="124"/>
      <c r="B13" s="282"/>
      <c r="C13" s="343">
        <v>10</v>
      </c>
      <c r="D13" s="343" t="s">
        <v>206</v>
      </c>
      <c r="E13" s="286" t="str">
        <f>Currency&amp;$C13&amp;$D13&amp;$B13</f>
        <v>USD10X1S</v>
      </c>
      <c r="F13" s="286" t="str">
        <v>USD10X1S=ICAP</v>
      </c>
      <c r="G13" s="281">
        <v>0.182</v>
      </c>
      <c r="H13" s="281">
        <v>0.23200000000000001</v>
      </c>
      <c r="I13" s="281">
        <v>0</v>
      </c>
      <c r="J13" s="281">
        <v>0</v>
      </c>
      <c r="K13" s="285">
        <f>_xll.qlMidSafe($G13,$H13)</f>
        <v>0.20700000000000002</v>
      </c>
      <c r="L13" s="283"/>
      <c r="M13" s="284">
        <v>0.20700000000000002</v>
      </c>
      <c r="N13" s="283"/>
      <c r="O13" s="339" t="str">
        <f>$E13&amp;$P$2</f>
        <v>USD10X1S_Quote</v>
      </c>
      <c r="P13" s="281">
        <v>0.20700000000000002</v>
      </c>
      <c r="Q13" s="280" t="e">
        <f>_xll.qlSimpleQuoteSetValue($O13,$P13/100,Trigger)</f>
        <v>#N/A</v>
      </c>
      <c r="R13" s="225"/>
      <c r="T13" s="411"/>
      <c r="X13" s="322">
        <f>(H13-K13)/50</f>
        <v>4.999999999999999E-4</v>
      </c>
    </row>
    <row r="14" spans="1:24" x14ac:dyDescent="0.2">
      <c r="A14" s="124"/>
      <c r="B14" s="282"/>
      <c r="C14" s="343">
        <v>11</v>
      </c>
      <c r="D14" s="343" t="s">
        <v>206</v>
      </c>
      <c r="E14" s="286" t="str">
        <f>Currency&amp;$C14&amp;$D14&amp;$B14</f>
        <v>USD11X1S</v>
      </c>
      <c r="F14" s="286" t="str">
        <v>USD11X1S=ICAP</v>
      </c>
      <c r="G14" s="281">
        <v>0.188</v>
      </c>
      <c r="H14" s="281">
        <v>0.23799999999999999</v>
      </c>
      <c r="I14" s="281">
        <v>0</v>
      </c>
      <c r="J14" s="281">
        <v>0</v>
      </c>
      <c r="K14" s="285">
        <f>_xll.qlMidSafe($G14,$H14)</f>
        <v>0.21299999999999999</v>
      </c>
      <c r="L14" s="283"/>
      <c r="M14" s="284">
        <v>0.21299999999999999</v>
      </c>
      <c r="N14" s="283"/>
      <c r="O14" s="339" t="str">
        <f>$E14&amp;$P$2</f>
        <v>USD11X1S_Quote</v>
      </c>
      <c r="P14" s="281">
        <v>0.21299999999999999</v>
      </c>
      <c r="Q14" s="280" t="e">
        <f>_xll.qlSimpleQuoteSetValue($O14,$P14/100,Trigger)</f>
        <v>#N/A</v>
      </c>
      <c r="R14" s="225"/>
      <c r="T14" s="411"/>
      <c r="X14" s="322">
        <f>(H14-K14)/50</f>
        <v>4.999999999999999E-4</v>
      </c>
    </row>
    <row r="15" spans="1:24" x14ac:dyDescent="0.2">
      <c r="A15" s="124"/>
      <c r="B15" s="282"/>
      <c r="C15" s="343">
        <v>12</v>
      </c>
      <c r="D15" s="343" t="s">
        <v>206</v>
      </c>
      <c r="E15" s="286" t="str">
        <f>Currency&amp;$C15&amp;$D15&amp;$B15</f>
        <v>USD12X1S</v>
      </c>
      <c r="F15" s="286" t="str">
        <v>USD12X1S=ICAP</v>
      </c>
      <c r="G15" s="281">
        <v>0.19600000000000001</v>
      </c>
      <c r="H15" s="281">
        <v>0.246</v>
      </c>
      <c r="I15" s="281">
        <v>0</v>
      </c>
      <c r="J15" s="281">
        <v>0</v>
      </c>
      <c r="K15" s="285">
        <f>_xll.qlMidSafe($G15,$H15)</f>
        <v>0.221</v>
      </c>
      <c r="L15" s="283"/>
      <c r="M15" s="284">
        <v>0.22</v>
      </c>
      <c r="N15" s="283"/>
      <c r="O15" s="339" t="str">
        <f>$E15&amp;$P$2</f>
        <v>USD12X1S_Quote</v>
      </c>
      <c r="P15" s="281">
        <v>0.221</v>
      </c>
      <c r="Q15" s="280" t="e">
        <f>_xll.qlSimpleQuoteSetValue($O15,$P15/100,Trigger)</f>
        <v>#N/A</v>
      </c>
      <c r="R15" s="225"/>
      <c r="T15" s="411"/>
      <c r="X15" s="322">
        <f>(H15-K15)/50</f>
        <v>4.999999999999999E-4</v>
      </c>
    </row>
    <row r="16" spans="1:24" x14ac:dyDescent="0.2">
      <c r="A16" s="124"/>
      <c r="B16" s="282"/>
      <c r="C16" s="343">
        <v>15</v>
      </c>
      <c r="D16" s="343" t="s">
        <v>206</v>
      </c>
      <c r="E16" s="286" t="str">
        <f>Currency&amp;$C16&amp;$D16&amp;$B16</f>
        <v>USD15X1S</v>
      </c>
      <c r="F16" s="286" t="str">
        <v>USD15X1S=ICAP</v>
      </c>
      <c r="G16" s="281">
        <v>0.219</v>
      </c>
      <c r="H16" s="281">
        <v>0.26900000000000002</v>
      </c>
      <c r="I16" s="281">
        <v>0</v>
      </c>
      <c r="J16" s="281">
        <v>0</v>
      </c>
      <c r="K16" s="285">
        <f>_xll.qlMidSafe($G16,$H16)</f>
        <v>0.24399999999999999</v>
      </c>
      <c r="L16" s="283"/>
      <c r="M16" s="284">
        <v>0.24399999999999999</v>
      </c>
      <c r="N16" s="283"/>
      <c r="O16" s="339" t="str">
        <f>$E16&amp;$P$2</f>
        <v>USD15X1S_Quote</v>
      </c>
      <c r="P16" s="281">
        <v>0.24399999999999999</v>
      </c>
      <c r="Q16" s="280" t="e">
        <f>_xll.qlSimpleQuoteSetValue($O16,$P16/100,Trigger)</f>
        <v>#NUM!</v>
      </c>
      <c r="R16" s="225"/>
    </row>
    <row r="17" spans="1:18" x14ac:dyDescent="0.2">
      <c r="A17" s="124"/>
      <c r="B17" s="282"/>
      <c r="C17" s="343">
        <v>18</v>
      </c>
      <c r="D17" s="343" t="s">
        <v>206</v>
      </c>
      <c r="E17" s="286" t="str">
        <f>Currency&amp;$C17&amp;$D17&amp;$B17</f>
        <v>USD18X1S</v>
      </c>
      <c r="F17" s="286" t="str">
        <v>USD18X1S=ICAP</v>
      </c>
      <c r="G17" s="281">
        <v>0.248</v>
      </c>
      <c r="H17" s="281">
        <v>0.29799999999999999</v>
      </c>
      <c r="I17" s="281">
        <v>0</v>
      </c>
      <c r="J17" s="281">
        <v>0</v>
      </c>
      <c r="K17" s="285">
        <f>_xll.qlMidSafe($G17,$H17)</f>
        <v>0.27300000000000002</v>
      </c>
      <c r="L17" s="283"/>
      <c r="M17" s="284">
        <v>0.27300000000000002</v>
      </c>
      <c r="N17" s="283"/>
      <c r="O17" s="339" t="str">
        <f>$E17&amp;$P$2</f>
        <v>USD18X1S_Quote</v>
      </c>
      <c r="P17" s="281">
        <v>0.27300000000000002</v>
      </c>
      <c r="Q17" s="280" t="e">
        <f>_xll.qlSimpleQuoteSetValue($O17,$P17/100,Trigger)</f>
        <v>#NUM!</v>
      </c>
      <c r="R17" s="225"/>
    </row>
    <row r="18" spans="1:18" x14ac:dyDescent="0.2">
      <c r="A18" s="124"/>
      <c r="B18" s="282"/>
      <c r="C18" s="343">
        <v>24</v>
      </c>
      <c r="D18" s="343" t="s">
        <v>206</v>
      </c>
      <c r="E18" s="286" t="str">
        <f>Currency&amp;$C18&amp;$D18&amp;$B18</f>
        <v>USD24X1S</v>
      </c>
      <c r="F18" s="286" t="str">
        <v>USD24X1S=ICAP</v>
      </c>
      <c r="G18" s="281">
        <v>0.32700000000000001</v>
      </c>
      <c r="H18" s="281">
        <v>0.377</v>
      </c>
      <c r="I18" s="281">
        <v>0</v>
      </c>
      <c r="J18" s="281">
        <v>0</v>
      </c>
      <c r="K18" s="285">
        <f>_xll.qlMidSafe($G18,$H18)</f>
        <v>0.35199999999999998</v>
      </c>
      <c r="L18" s="283"/>
      <c r="M18" s="284">
        <v>0.35099999999999998</v>
      </c>
      <c r="N18" s="283"/>
      <c r="O18" s="339" t="str">
        <f>$E18&amp;$P$2</f>
        <v>USD24X1S_Quote</v>
      </c>
      <c r="P18" s="281">
        <v>0.35199999999999998</v>
      </c>
      <c r="Q18" s="280" t="e">
        <f>_xll.qlSimpleQuoteSetValue($O18,$P18/100,Trigger)</f>
        <v>#NUM!</v>
      </c>
      <c r="R18" s="225"/>
    </row>
    <row r="19" spans="1:18" ht="13.5" thickBot="1" x14ac:dyDescent="0.25">
      <c r="A19" s="48"/>
      <c r="B19" s="279"/>
      <c r="C19" s="279"/>
      <c r="D19" s="279"/>
      <c r="E19" s="279"/>
      <c r="F19" s="279"/>
      <c r="G19" s="279"/>
      <c r="H19" s="279"/>
      <c r="I19" s="279"/>
      <c r="J19" s="279"/>
      <c r="K19" s="279"/>
      <c r="L19" s="47"/>
      <c r="M19" s="279"/>
      <c r="N19" s="279"/>
      <c r="O19" s="279"/>
      <c r="P19" s="279"/>
      <c r="Q19" s="279"/>
      <c r="R19" s="324"/>
    </row>
  </sheetData>
  <conditionalFormatting sqref="Q5:Q18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X12"/>
  <sheetViews>
    <sheetView workbookViewId="0"/>
  </sheetViews>
  <sheetFormatPr defaultRowHeight="12.75" x14ac:dyDescent="0.2"/>
  <cols>
    <col min="1" max="1" width="5" style="20" customWidth="1"/>
    <col min="2" max="2" width="3.85546875" style="20" bestFit="1" customWidth="1"/>
    <col min="3" max="3" width="2.85546875" style="20" bestFit="1" customWidth="1"/>
    <col min="4" max="4" width="2.7109375" style="20" bestFit="1" customWidth="1"/>
    <col min="5" max="5" width="7.5703125" style="20" bestFit="1" customWidth="1"/>
    <col min="6" max="6" width="11.7109375" style="20" bestFit="1" customWidth="1"/>
    <col min="7" max="9" width="5.7109375" style="20" bestFit="1" customWidth="1"/>
    <col min="10" max="10" width="10" style="20" bestFit="1" customWidth="1"/>
    <col min="11" max="11" width="5.7109375" style="20" bestFit="1" customWidth="1"/>
    <col min="12" max="12" width="5" style="20" customWidth="1"/>
    <col min="13" max="13" width="5.7109375" style="20" bestFit="1" customWidth="1"/>
    <col min="14" max="14" width="5" style="20" customWidth="1"/>
    <col min="15" max="15" width="12.570312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23" width="9.140625" style="20"/>
    <col min="24" max="24" width="7" style="20" bestFit="1" customWidth="1"/>
    <col min="25" max="16384" width="9.140625" style="20"/>
  </cols>
  <sheetData>
    <row r="1" spans="1:24" ht="13.5" thickBot="1" x14ac:dyDescent="0.25">
      <c r="A1" s="354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ht="13.5" thickBot="1" x14ac:dyDescent="0.25">
      <c r="A2" s="320"/>
      <c r="B2" s="139"/>
      <c r="C2" s="283"/>
      <c r="D2" s="283"/>
      <c r="E2" s="283"/>
      <c r="F2" s="146" t="s">
        <v>248</v>
      </c>
      <c r="G2" s="283"/>
      <c r="H2" s="283"/>
      <c r="I2" s="283"/>
      <c r="J2" s="283"/>
      <c r="K2" s="139"/>
      <c r="L2" s="283"/>
      <c r="M2" s="283"/>
      <c r="N2" s="283"/>
      <c r="O2" s="413" t="s">
        <v>267</v>
      </c>
      <c r="P2" s="412" t="s">
        <v>142</v>
      </c>
      <c r="Q2" s="139"/>
      <c r="R2" s="49"/>
    </row>
    <row r="3" spans="1:24" x14ac:dyDescent="0.2">
      <c r="A3" s="124"/>
      <c r="B3" s="283"/>
      <c r="C3" s="139"/>
      <c r="D3" s="139"/>
      <c r="E3" s="139"/>
      <c r="F3" s="139"/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_xll.ohTrigger(Q5:Q11)</f>
        <v>17</v>
      </c>
      <c r="R3" s="225"/>
    </row>
    <row r="4" spans="1:24" ht="22.5" x14ac:dyDescent="0.2">
      <c r="A4" s="124"/>
      <c r="B4" s="352"/>
      <c r="C4" s="201"/>
      <c r="D4" s="201"/>
      <c r="E4" s="201"/>
      <c r="F4" s="278" t="e">
        <f ca="1">_xll.RData(F5:F11,G4:J4,"RTFEED:IDN",ReutersRtMode,,G5)</f>
        <v>#NAME?</v>
      </c>
      <c r="G4" s="351" t="s">
        <v>235</v>
      </c>
      <c r="H4" s="351" t="s">
        <v>234</v>
      </c>
      <c r="I4" s="351" t="s">
        <v>252</v>
      </c>
      <c r="J4" s="351" t="s">
        <v>271</v>
      </c>
      <c r="K4" s="310" t="s">
        <v>270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  <c r="X4" s="349" t="s">
        <v>269</v>
      </c>
    </row>
    <row r="5" spans="1:24" x14ac:dyDescent="0.2">
      <c r="A5" s="124"/>
      <c r="B5" s="282"/>
      <c r="C5" s="343" t="s">
        <v>207</v>
      </c>
      <c r="D5" s="343">
        <v>12</v>
      </c>
      <c r="E5" s="286" t="str">
        <f>Currency&amp;$C5&amp;$D5&amp;$B5</f>
        <v>USD1S12</v>
      </c>
      <c r="F5" s="286" t="str">
        <f t="array" ref="F5:F11">Instruments&amp;"="&amp;VLOOKUP(Contributor,ContributorTable,2,FALSE)</f>
        <v>USD1S12=ICAP</v>
      </c>
      <c r="G5" s="281">
        <v>0.29199999999999998</v>
      </c>
      <c r="H5" s="281">
        <v>0.34200000000000003</v>
      </c>
      <c r="I5" s="281">
        <v>0</v>
      </c>
      <c r="J5" s="281">
        <v>0</v>
      </c>
      <c r="K5" s="285">
        <f>_xll.qlMidSafe($G5,$H5)</f>
        <v>0.317</v>
      </c>
      <c r="L5" s="283"/>
      <c r="M5" s="284">
        <v>0.317</v>
      </c>
      <c r="N5" s="283"/>
      <c r="O5" s="339" t="str">
        <f>$E5&amp;$P$2</f>
        <v>USD1S12_Quote</v>
      </c>
      <c r="P5" s="281">
        <f t="array" ref="P5:P11">QuoteLive</f>
        <v>0.317</v>
      </c>
      <c r="Q5" s="280" t="e">
        <f>_xll.qlSimpleQuoteSetValue($O5,$P5/100,Trigger)</f>
        <v>#N/A</v>
      </c>
      <c r="R5" s="225"/>
      <c r="X5" s="322">
        <f>(H5-K5)/50</f>
        <v>5.0000000000000044E-4</v>
      </c>
    </row>
    <row r="6" spans="1:24" x14ac:dyDescent="0.2">
      <c r="A6" s="124"/>
      <c r="B6" s="282"/>
      <c r="C6" s="343" t="s">
        <v>208</v>
      </c>
      <c r="D6" s="343">
        <v>12</v>
      </c>
      <c r="E6" s="286" t="str">
        <f>Currency&amp;$C6&amp;$D6&amp;$B6</f>
        <v>USD2S12</v>
      </c>
      <c r="F6" s="286" t="str">
        <v>USD2S12=ICAP</v>
      </c>
      <c r="G6" s="281">
        <v>0.34399999999999997</v>
      </c>
      <c r="H6" s="281">
        <v>0.39400000000000002</v>
      </c>
      <c r="I6" s="281">
        <v>0</v>
      </c>
      <c r="J6" s="281">
        <v>0</v>
      </c>
      <c r="K6" s="285">
        <f>_xll.qlMidSafe($G6,$H6)</f>
        <v>0.36899999999999999</v>
      </c>
      <c r="L6" s="283"/>
      <c r="M6" s="284">
        <v>0.36899999999999999</v>
      </c>
      <c r="N6" s="283"/>
      <c r="O6" s="339" t="str">
        <f>$E6&amp;$P$2</f>
        <v>USD2S12_Quote</v>
      </c>
      <c r="P6" s="281">
        <v>0.36899999999999999</v>
      </c>
      <c r="Q6" s="280" t="e">
        <f>_xll.qlSimpleQuoteSetValue($O6,$P6/100,Trigger)</f>
        <v>#N/A</v>
      </c>
      <c r="R6" s="225"/>
      <c r="X6" s="322">
        <f>(H6-K6)/50</f>
        <v>5.0000000000000044E-4</v>
      </c>
    </row>
    <row r="7" spans="1:24" x14ac:dyDescent="0.2">
      <c r="A7" s="124"/>
      <c r="B7" s="282"/>
      <c r="C7" s="343" t="s">
        <v>210</v>
      </c>
      <c r="D7" s="343">
        <v>12</v>
      </c>
      <c r="E7" s="286" t="str">
        <f>Currency&amp;$C7&amp;$D7&amp;$B7</f>
        <v>USD3S12</v>
      </c>
      <c r="F7" s="286" t="str">
        <v>USD3S12=ICAP</v>
      </c>
      <c r="G7" s="281">
        <v>0.41099999999999998</v>
      </c>
      <c r="H7" s="281">
        <v>0.46100000000000002</v>
      </c>
      <c r="I7" s="281">
        <v>0</v>
      </c>
      <c r="J7" s="281">
        <v>0</v>
      </c>
      <c r="K7" s="285">
        <f>_xll.qlMidSafe($G7,$H7)</f>
        <v>0.436</v>
      </c>
      <c r="L7" s="283"/>
      <c r="M7" s="284">
        <v>0.434</v>
      </c>
      <c r="N7" s="283"/>
      <c r="O7" s="339" t="str">
        <f>$E7&amp;$P$2</f>
        <v>USD3S12_Quote</v>
      </c>
      <c r="P7" s="281">
        <v>0.436</v>
      </c>
      <c r="Q7" s="280" t="e">
        <f>_xll.qlSimpleQuoteSetValue($O7,$P7/100,Trigger)</f>
        <v>#N/A</v>
      </c>
      <c r="R7" s="225"/>
      <c r="X7" s="322">
        <f>(H7-K7)/50</f>
        <v>5.0000000000000044E-4</v>
      </c>
    </row>
    <row r="8" spans="1:24" x14ac:dyDescent="0.2">
      <c r="A8" s="124"/>
      <c r="B8" s="282"/>
      <c r="C8" s="343" t="s">
        <v>209</v>
      </c>
      <c r="D8" s="343">
        <v>12</v>
      </c>
      <c r="E8" s="286" t="str">
        <f>Currency&amp;$C8&amp;$D8&amp;$B8</f>
        <v>USD4S12</v>
      </c>
      <c r="F8" s="286" t="str">
        <v>USD4S12=ICAP</v>
      </c>
      <c r="G8" s="281">
        <v>0.496</v>
      </c>
      <c r="H8" s="281">
        <v>0.54600000000000004</v>
      </c>
      <c r="I8" s="281">
        <v>0</v>
      </c>
      <c r="J8" s="281">
        <v>0</v>
      </c>
      <c r="K8" s="285">
        <f>_xll.qlMidSafe($G8,$H8)</f>
        <v>0.52100000000000002</v>
      </c>
      <c r="L8" s="283"/>
      <c r="M8" s="284">
        <v>0.51900000000000002</v>
      </c>
      <c r="N8" s="283"/>
      <c r="O8" s="339" t="str">
        <f>$E8&amp;$P$2</f>
        <v>USD4S12_Quote</v>
      </c>
      <c r="P8" s="281">
        <v>0.52100000000000002</v>
      </c>
      <c r="Q8" s="280" t="e">
        <f>_xll.qlSimpleQuoteSetValue($O8,$P8/100,Trigger)</f>
        <v>#N/A</v>
      </c>
      <c r="R8" s="225"/>
      <c r="X8" s="322">
        <f>(H8-K8)/50</f>
        <v>5.0000000000000044E-4</v>
      </c>
    </row>
    <row r="9" spans="1:24" x14ac:dyDescent="0.2">
      <c r="A9" s="124"/>
      <c r="B9" s="282"/>
      <c r="C9" s="343" t="s">
        <v>207</v>
      </c>
      <c r="D9" s="343">
        <v>24</v>
      </c>
      <c r="E9" s="286" t="str">
        <f>Currency&amp;$C9&amp;$D9&amp;$B9</f>
        <v>USD1S24</v>
      </c>
      <c r="F9" s="286" t="str">
        <v>USD1S24=ICAP</v>
      </c>
      <c r="G9" s="281" t="s">
        <v>247</v>
      </c>
      <c r="H9" s="281" t="s">
        <v>247</v>
      </c>
      <c r="I9" s="281" t="s">
        <v>247</v>
      </c>
      <c r="J9" s="281" t="s">
        <v>247</v>
      </c>
      <c r="K9" s="285" t="e">
        <f>_xll.qlMidSafe($G9,$H9)</f>
        <v>#NUM!</v>
      </c>
      <c r="L9" s="283"/>
      <c r="M9" s="284" t="e">
        <v>#NUM!</v>
      </c>
      <c r="N9" s="283"/>
      <c r="O9" s="339" t="str">
        <f>$E9&amp;$P$2</f>
        <v>USD1S24_Quote</v>
      </c>
      <c r="P9" s="281" t="e">
        <v>#NUM!</v>
      </c>
      <c r="Q9" s="280" t="e">
        <f>_xll.qlSimpleQuoteSetValue($O9,$P9/100,Trigger)</f>
        <v>#NUM!</v>
      </c>
      <c r="R9" s="225"/>
      <c r="X9" s="322" t="e">
        <f>(H9-K9)/50</f>
        <v>#VALUE!</v>
      </c>
    </row>
    <row r="10" spans="1:24" x14ac:dyDescent="0.2">
      <c r="A10" s="124"/>
      <c r="B10" s="282"/>
      <c r="C10" s="343" t="s">
        <v>208</v>
      </c>
      <c r="D10" s="343">
        <v>24</v>
      </c>
      <c r="E10" s="286" t="str">
        <f>Currency&amp;$C10&amp;$D10&amp;$B10</f>
        <v>USD2S24</v>
      </c>
      <c r="F10" s="286" t="str">
        <v>USD2S24=ICAP</v>
      </c>
      <c r="G10" s="281" t="s">
        <v>247</v>
      </c>
      <c r="H10" s="281" t="s">
        <v>247</v>
      </c>
      <c r="I10" s="281" t="s">
        <v>247</v>
      </c>
      <c r="J10" s="281" t="s">
        <v>247</v>
      </c>
      <c r="K10" s="285" t="e">
        <f>_xll.qlMidSafe($G10,$H10)</f>
        <v>#NUM!</v>
      </c>
      <c r="L10" s="283"/>
      <c r="M10" s="284" t="e">
        <v>#NUM!</v>
      </c>
      <c r="N10" s="283"/>
      <c r="O10" s="339" t="str">
        <f>$E10&amp;$P$2</f>
        <v>USD2S24_Quote</v>
      </c>
      <c r="P10" s="281" t="e">
        <v>#NUM!</v>
      </c>
      <c r="Q10" s="280" t="e">
        <f>_xll.qlSimpleQuoteSetValue($O10,$P10/100,Trigger)</f>
        <v>#NUM!</v>
      </c>
      <c r="R10" s="225"/>
      <c r="X10" s="322" t="e">
        <f>(H10-K10)/50</f>
        <v>#VALUE!</v>
      </c>
    </row>
    <row r="11" spans="1:24" x14ac:dyDescent="0.2">
      <c r="A11" s="124"/>
      <c r="B11" s="295"/>
      <c r="C11" s="338" t="s">
        <v>207</v>
      </c>
      <c r="D11" s="338">
        <v>36</v>
      </c>
      <c r="E11" s="298" t="str">
        <f>Currency&amp;$C11&amp;$D11&amp;$B11</f>
        <v>USD1S36</v>
      </c>
      <c r="F11" s="298" t="str">
        <v>USD1S36=ICAP</v>
      </c>
      <c r="G11" s="294" t="s">
        <v>247</v>
      </c>
      <c r="H11" s="294" t="s">
        <v>247</v>
      </c>
      <c r="I11" s="294" t="s">
        <v>247</v>
      </c>
      <c r="J11" s="294" t="s">
        <v>247</v>
      </c>
      <c r="K11" s="297" t="e">
        <f>_xll.qlMidSafe($G11,$H11)</f>
        <v>#NUM!</v>
      </c>
      <c r="L11" s="283"/>
      <c r="M11" s="296" t="e">
        <v>#NUM!</v>
      </c>
      <c r="N11" s="283"/>
      <c r="O11" s="334" t="str">
        <f>$E11&amp;$P$2</f>
        <v>USD1S36_Quote</v>
      </c>
      <c r="P11" s="294" t="e">
        <v>#NUM!</v>
      </c>
      <c r="Q11" s="293" t="e">
        <f>_xll.qlSimpleQuoteSetValue($O11,$P11/100,Trigger)</f>
        <v>#NUM!</v>
      </c>
      <c r="R11" s="225"/>
      <c r="X11" s="322" t="e">
        <f>(H11-K11)/50</f>
        <v>#VALUE!</v>
      </c>
    </row>
    <row r="12" spans="1:24" ht="13.5" thickBot="1" x14ac:dyDescent="0.25">
      <c r="A12" s="48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324"/>
    </row>
  </sheetData>
  <conditionalFormatting sqref="Q5:Q11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X43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10.85546875" style="21" bestFit="1" customWidth="1"/>
    <col min="6" max="6" width="15.140625" style="21" bestFit="1" customWidth="1"/>
    <col min="7" max="9" width="5.7109375" style="21" bestFit="1" customWidth="1"/>
    <col min="10" max="10" width="10" style="21" bestFit="1" customWidth="1"/>
    <col min="11" max="11" width="5.7109375" style="21" bestFit="1" customWidth="1"/>
    <col min="12" max="12" width="5" style="21" customWidth="1"/>
    <col min="13" max="13" width="5.7109375" style="21" bestFit="1" customWidth="1"/>
    <col min="14" max="14" width="5" style="21" customWidth="1"/>
    <col min="15" max="15" width="16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4" style="21" bestFit="1" customWidth="1"/>
    <col min="21" max="21" width="3.28515625" style="21" bestFit="1" customWidth="1"/>
    <col min="22" max="22" width="2.7109375" style="21" bestFit="1" customWidth="1"/>
    <col min="23" max="23" width="9.140625" style="21"/>
    <col min="24" max="24" width="7.140625" style="21" bestFit="1" customWidth="1"/>
    <col min="25" max="16384" width="9.140625" style="21"/>
  </cols>
  <sheetData>
    <row r="1" spans="1:24" ht="12" thickBot="1" x14ac:dyDescent="0.25">
      <c r="A1" s="354" t="s">
        <v>315</v>
      </c>
      <c r="B1" s="206"/>
      <c r="C1" s="206"/>
      <c r="D1" s="206"/>
      <c r="E1" s="206"/>
      <c r="F1" s="206" t="s">
        <v>290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ht="15" customHeight="1" thickBot="1" x14ac:dyDescent="0.25">
      <c r="A2" s="320"/>
      <c r="B2" s="139"/>
      <c r="C2" s="283"/>
      <c r="D2" s="283"/>
      <c r="E2" s="283"/>
      <c r="F2" s="146" t="s">
        <v>248</v>
      </c>
      <c r="G2" s="283"/>
      <c r="H2" s="283"/>
      <c r="I2" s="283"/>
      <c r="J2" s="283"/>
      <c r="K2" s="139"/>
      <c r="L2" s="283"/>
      <c r="M2" s="283"/>
      <c r="N2" s="283"/>
      <c r="O2" s="413" t="s">
        <v>267</v>
      </c>
      <c r="P2" s="412" t="s">
        <v>142</v>
      </c>
      <c r="Q2" s="139"/>
      <c r="R2" s="49"/>
    </row>
    <row r="3" spans="1:24" x14ac:dyDescent="0.2">
      <c r="A3" s="124"/>
      <c r="B3" s="283"/>
      <c r="C3" s="139"/>
      <c r="D3" s="139"/>
      <c r="E3" s="139"/>
      <c r="F3" s="139"/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_xll.ohTrigger(Q5:Q42)</f>
        <v>16</v>
      </c>
      <c r="R3" s="225"/>
    </row>
    <row r="4" spans="1:24" ht="23.25" thickBot="1" x14ac:dyDescent="0.25">
      <c r="A4" s="124"/>
      <c r="B4" s="352"/>
      <c r="C4" s="201"/>
      <c r="D4" s="201"/>
      <c r="E4" s="201"/>
      <c r="F4" s="278" t="e">
        <f ca="1">_xll.RData(F5:F42,G4:J4,"RTFEED:IDN",ReutersRtMode,,G5)</f>
        <v>#NAME?</v>
      </c>
      <c r="G4" s="351" t="s">
        <v>235</v>
      </c>
      <c r="H4" s="351" t="s">
        <v>234</v>
      </c>
      <c r="I4" s="351" t="s">
        <v>252</v>
      </c>
      <c r="J4" s="351" t="s">
        <v>271</v>
      </c>
      <c r="K4" s="310" t="s">
        <v>270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  <c r="X4" s="349" t="s">
        <v>269</v>
      </c>
    </row>
    <row r="5" spans="1:24" x14ac:dyDescent="0.2">
      <c r="A5" s="124"/>
      <c r="B5" s="287" t="s">
        <v>35</v>
      </c>
      <c r="C5" s="343" t="str">
        <f t="array" ref="C5:C42">VLOOKUP(Currency,Conventions,2)</f>
        <v>AM</v>
      </c>
      <c r="D5" s="343" t="str">
        <f t="array" ref="D5:D42">VLOOKUP(Currency,Conventions,3)</f>
        <v>3L</v>
      </c>
      <c r="E5" s="341" t="str">
        <f>Currency&amp;$C5&amp;$D5&amp;$B5</f>
        <v>USDAM3L6M</v>
      </c>
      <c r="F5" s="341" t="str">
        <f t="array" ref="F5:F42">Instruments&amp;"="&amp;VLOOKUP(Contributor,ContributorTable,2,FALSE)</f>
        <v>USDAM3L6M=ICAP</v>
      </c>
      <c r="G5" s="281" t="s">
        <v>247</v>
      </c>
      <c r="H5" s="281" t="s">
        <v>247</v>
      </c>
      <c r="I5" s="281" t="s">
        <v>247</v>
      </c>
      <c r="J5" s="281" t="s">
        <v>247</v>
      </c>
      <c r="K5" s="285" t="e">
        <f>_xll.qlMidSafe($G5,$H5)</f>
        <v>#NUM!</v>
      </c>
      <c r="L5" s="283"/>
      <c r="M5" s="284" t="e">
        <v>#NUM!</v>
      </c>
      <c r="N5" s="283"/>
      <c r="O5" s="339" t="str">
        <f>$E5&amp;$P$2</f>
        <v>USDAM3L6M_Quote</v>
      </c>
      <c r="P5" s="281" t="e">
        <f t="array" ref="P5:P42">QuoteLive</f>
        <v>#NUM!</v>
      </c>
      <c r="Q5" s="280" t="e">
        <f>_xll.qlSimpleQuoteSetValue($O5,$P5/100,Trigger)</f>
        <v>#NUM!</v>
      </c>
      <c r="R5" s="225"/>
      <c r="T5" s="415" t="s">
        <v>132</v>
      </c>
      <c r="U5" s="89" t="s">
        <v>213</v>
      </c>
      <c r="V5" s="88" t="s">
        <v>125</v>
      </c>
      <c r="X5" s="322" t="e">
        <f>(H5-K5)/50</f>
        <v>#VALUE!</v>
      </c>
    </row>
    <row r="6" spans="1:24" x14ac:dyDescent="0.2">
      <c r="A6" s="124"/>
      <c r="B6" s="287" t="s">
        <v>29</v>
      </c>
      <c r="C6" s="343" t="str">
        <v>AM</v>
      </c>
      <c r="D6" s="343" t="str">
        <v>3L</v>
      </c>
      <c r="E6" s="341" t="str">
        <f>Currency&amp;$C6&amp;$D6&amp;$B6</f>
        <v>USDAM3L1Y</v>
      </c>
      <c r="F6" s="341" t="str">
        <v>USDAM3L1Y=ICAP</v>
      </c>
      <c r="G6" s="281">
        <v>0.27900000000000003</v>
      </c>
      <c r="H6" s="281">
        <v>0.309</v>
      </c>
      <c r="I6" s="281">
        <v>0</v>
      </c>
      <c r="J6" s="281">
        <v>0</v>
      </c>
      <c r="K6" s="285">
        <f>_xll.qlMidSafe($G6,$H6)</f>
        <v>0.29400000000000004</v>
      </c>
      <c r="L6" s="283"/>
      <c r="M6" s="284">
        <v>0.29400000000000004</v>
      </c>
      <c r="N6" s="283"/>
      <c r="O6" s="339" t="str">
        <f>$E6&amp;$P$2</f>
        <v>USDAM3L1Y_Quote</v>
      </c>
      <c r="P6" s="281">
        <v>0.29400000000000004</v>
      </c>
      <c r="Q6" s="280" t="e">
        <f>_xll.qlSimpleQuoteSetValue($O6,$P6/100,Trigger)</f>
        <v>#N/A</v>
      </c>
      <c r="R6" s="225"/>
      <c r="T6" s="212" t="s">
        <v>131</v>
      </c>
      <c r="U6" s="86" t="s">
        <v>213</v>
      </c>
      <c r="V6" s="85" t="s">
        <v>137</v>
      </c>
      <c r="X6" s="322">
        <f>(H6-K6)/50</f>
        <v>2.9999999999999916E-4</v>
      </c>
    </row>
    <row r="7" spans="1:24" x14ac:dyDescent="0.2">
      <c r="A7" s="124"/>
      <c r="B7" s="287" t="s">
        <v>135</v>
      </c>
      <c r="C7" s="343" t="str">
        <v>AM</v>
      </c>
      <c r="D7" s="343" t="str">
        <v>3L</v>
      </c>
      <c r="E7" s="341" t="str">
        <f>Currency&amp;$C7&amp;$D7&amp;$B7</f>
        <v>USDAM3L15M</v>
      </c>
      <c r="F7" s="341" t="str">
        <v>USDAM3L15M=ICAP</v>
      </c>
      <c r="G7" s="281" t="s">
        <v>247</v>
      </c>
      <c r="H7" s="281" t="s">
        <v>247</v>
      </c>
      <c r="I7" s="281" t="s">
        <v>247</v>
      </c>
      <c r="J7" s="281" t="s">
        <v>247</v>
      </c>
      <c r="K7" s="285" t="e">
        <f>_xll.qlMidSafe($G7,$H7)</f>
        <v>#NUM!</v>
      </c>
      <c r="L7" s="283"/>
      <c r="M7" s="284" t="e">
        <v>#NUM!</v>
      </c>
      <c r="N7" s="283"/>
      <c r="O7" s="339" t="str">
        <f>$E7&amp;$P$2</f>
        <v>USDAM3L15M_Quote</v>
      </c>
      <c r="P7" s="281" t="e">
        <v>#NUM!</v>
      </c>
      <c r="Q7" s="280" t="e">
        <f>_xll.qlSimpleQuoteSetValue($O7,$P7/100,Trigger)</f>
        <v>#NUM!</v>
      </c>
      <c r="R7" s="225"/>
      <c r="T7" s="212" t="s">
        <v>128</v>
      </c>
      <c r="U7" s="86" t="s">
        <v>211</v>
      </c>
      <c r="V7" s="85" t="s">
        <v>125</v>
      </c>
      <c r="X7" s="322" t="e">
        <f>(H7-K7)/50</f>
        <v>#VALUE!</v>
      </c>
    </row>
    <row r="8" spans="1:24" x14ac:dyDescent="0.2">
      <c r="A8" s="124"/>
      <c r="B8" s="287" t="s">
        <v>134</v>
      </c>
      <c r="C8" s="343" t="str">
        <v>AM</v>
      </c>
      <c r="D8" s="343" t="str">
        <v>3L</v>
      </c>
      <c r="E8" s="341" t="str">
        <f>Currency&amp;$C8&amp;$D8&amp;$B8</f>
        <v>USDAM3L18M</v>
      </c>
      <c r="F8" s="341" t="str">
        <v>USDAM3L18M=ICAP</v>
      </c>
      <c r="G8" s="281" t="s">
        <v>247</v>
      </c>
      <c r="H8" s="281" t="s">
        <v>247</v>
      </c>
      <c r="I8" s="281" t="s">
        <v>247</v>
      </c>
      <c r="J8" s="281" t="s">
        <v>247</v>
      </c>
      <c r="K8" s="285" t="e">
        <f>_xll.qlMidSafe($G8,$H8)</f>
        <v>#NUM!</v>
      </c>
      <c r="L8" s="283"/>
      <c r="M8" s="284" t="e">
        <v>#NUM!</v>
      </c>
      <c r="N8" s="283"/>
      <c r="O8" s="339" t="str">
        <f>$E8&amp;$P$2</f>
        <v>USDAM3L18M_Quote</v>
      </c>
      <c r="P8" s="281" t="e">
        <v>#NUM!</v>
      </c>
      <c r="Q8" s="280" t="e">
        <f>_xll.qlSimpleQuoteSetValue($O8,$P8/100,Trigger)</f>
        <v>#NUM!</v>
      </c>
      <c r="R8" s="225"/>
      <c r="T8" s="212" t="s">
        <v>127</v>
      </c>
      <c r="U8" s="86" t="s">
        <v>212</v>
      </c>
      <c r="V8" s="85" t="s">
        <v>125</v>
      </c>
      <c r="X8" s="322" t="e">
        <f>(H8-K8)/50</f>
        <v>#VALUE!</v>
      </c>
    </row>
    <row r="9" spans="1:24" ht="12" thickBot="1" x14ac:dyDescent="0.25">
      <c r="A9" s="124"/>
      <c r="B9" s="287" t="s">
        <v>133</v>
      </c>
      <c r="C9" s="343" t="str">
        <v>AM</v>
      </c>
      <c r="D9" s="343" t="str">
        <v>3L</v>
      </c>
      <c r="E9" s="341" t="str">
        <f>Currency&amp;$C9&amp;$D9&amp;$B9</f>
        <v>USDAM3L21M</v>
      </c>
      <c r="F9" s="341" t="str">
        <v>USDAM3L21M=ICAP</v>
      </c>
      <c r="G9" s="281" t="s">
        <v>247</v>
      </c>
      <c r="H9" s="281" t="s">
        <v>247</v>
      </c>
      <c r="I9" s="281" t="s">
        <v>247</v>
      </c>
      <c r="J9" s="281" t="s">
        <v>247</v>
      </c>
      <c r="K9" s="285" t="e">
        <f>_xll.qlMidSafe($G9,$H9)</f>
        <v>#NUM!</v>
      </c>
      <c r="L9" s="283"/>
      <c r="M9" s="284" t="e">
        <v>#NUM!</v>
      </c>
      <c r="N9" s="283"/>
      <c r="O9" s="339" t="str">
        <f>$E9&amp;$P$2</f>
        <v>USDAM3L21M_Quote</v>
      </c>
      <c r="P9" s="281" t="e">
        <v>#NUM!</v>
      </c>
      <c r="Q9" s="280" t="e">
        <f>_xll.qlSimpleQuoteSetValue($O9,$P9/100,Trigger)</f>
        <v>#NUM!</v>
      </c>
      <c r="R9" s="225"/>
      <c r="T9" s="211" t="s">
        <v>122</v>
      </c>
      <c r="U9" s="83" t="s">
        <v>211</v>
      </c>
      <c r="V9" s="82" t="s">
        <v>125</v>
      </c>
      <c r="X9" s="322" t="e">
        <f>(H9-K9)/50</f>
        <v>#VALUE!</v>
      </c>
    </row>
    <row r="10" spans="1:24" x14ac:dyDescent="0.2">
      <c r="A10" s="124"/>
      <c r="B10" s="287" t="s">
        <v>108</v>
      </c>
      <c r="C10" s="343" t="str">
        <v>AM</v>
      </c>
      <c r="D10" s="343" t="str">
        <v>3L</v>
      </c>
      <c r="E10" s="341" t="str">
        <f>Currency&amp;$C10&amp;$D10&amp;$B10</f>
        <v>USDAM3L2Y</v>
      </c>
      <c r="F10" s="341" t="str">
        <v>USDAM3L2Y=ICAP</v>
      </c>
      <c r="G10" s="281">
        <v>0.41299999999999998</v>
      </c>
      <c r="H10" s="281">
        <v>0.443</v>
      </c>
      <c r="I10" s="281">
        <v>0</v>
      </c>
      <c r="J10" s="281">
        <v>0</v>
      </c>
      <c r="K10" s="285">
        <f>_xll.qlMidSafe($G10,$H10)</f>
        <v>0.42799999999999999</v>
      </c>
      <c r="L10" s="283"/>
      <c r="M10" s="284">
        <v>0.42799999999999999</v>
      </c>
      <c r="N10" s="283"/>
      <c r="O10" s="339" t="str">
        <f>$E10&amp;$P$2</f>
        <v>USDAM3L2Y_Quote</v>
      </c>
      <c r="P10" s="281">
        <v>0.42799999999999999</v>
      </c>
      <c r="Q10" s="280" t="e">
        <f>_xll.qlSimpleQuoteSetValue($O10,$P10/100,Trigger)</f>
        <v>#N/A</v>
      </c>
      <c r="R10" s="225"/>
      <c r="X10" s="322">
        <f>(H10-K10)/50</f>
        <v>3.0000000000000024E-4</v>
      </c>
    </row>
    <row r="11" spans="1:24" x14ac:dyDescent="0.2">
      <c r="A11" s="124"/>
      <c r="B11" s="287" t="s">
        <v>107</v>
      </c>
      <c r="C11" s="391" t="str">
        <v>AM</v>
      </c>
      <c r="D11" s="391" t="str">
        <v>3L</v>
      </c>
      <c r="E11" s="341" t="str">
        <f>Currency&amp;$C11&amp;$D11&amp;$B11</f>
        <v>USDAM3L3Y</v>
      </c>
      <c r="F11" s="341" t="str">
        <v>USDAM3L3Y=ICAP</v>
      </c>
      <c r="G11" s="281">
        <v>0.66900000000000004</v>
      </c>
      <c r="H11" s="281">
        <v>0.69899999999999995</v>
      </c>
      <c r="I11" s="281">
        <v>0</v>
      </c>
      <c r="J11" s="281">
        <v>0</v>
      </c>
      <c r="K11" s="285">
        <f>_xll.qlMidSafe($G11,$H11)</f>
        <v>0.68399999999999994</v>
      </c>
      <c r="L11" s="283"/>
      <c r="M11" s="284">
        <v>0.68399999999999994</v>
      </c>
      <c r="N11" s="283"/>
      <c r="O11" s="339" t="str">
        <f>$E11&amp;$P$2</f>
        <v>USDAM3L3Y_Quote</v>
      </c>
      <c r="P11" s="281">
        <v>0.68399999999999994</v>
      </c>
      <c r="Q11" s="280" t="e">
        <f>_xll.qlSimpleQuoteSetValue($O11,$P11/100,Trigger)</f>
        <v>#N/A</v>
      </c>
      <c r="R11" s="225"/>
      <c r="X11" s="322">
        <f>(H11-K11)/50</f>
        <v>3.0000000000000024E-4</v>
      </c>
    </row>
    <row r="12" spans="1:24" x14ac:dyDescent="0.2">
      <c r="A12" s="124"/>
      <c r="B12" s="287" t="s">
        <v>106</v>
      </c>
      <c r="C12" s="391" t="str">
        <v>AM</v>
      </c>
      <c r="D12" s="391" t="str">
        <v>3L</v>
      </c>
      <c r="E12" s="341" t="str">
        <f>Currency&amp;$C12&amp;$D12&amp;$B12</f>
        <v>USDAM3L4Y</v>
      </c>
      <c r="F12" s="341" t="str">
        <v>USDAM3L4Y=ICAP</v>
      </c>
      <c r="G12" s="281">
        <v>1.0229999999999999</v>
      </c>
      <c r="H12" s="281">
        <v>1.0529999999999999</v>
      </c>
      <c r="I12" s="281">
        <v>0</v>
      </c>
      <c r="J12" s="281">
        <v>0</v>
      </c>
      <c r="K12" s="285">
        <f>_xll.qlMidSafe($G12,$H12)</f>
        <v>1.0379999999999998</v>
      </c>
      <c r="L12" s="283"/>
      <c r="M12" s="284">
        <v>1.0379999999999998</v>
      </c>
      <c r="N12" s="283"/>
      <c r="O12" s="339" t="str">
        <f>$E12&amp;$P$2</f>
        <v>USDAM3L4Y_Quote</v>
      </c>
      <c r="P12" s="281">
        <v>1.0379999999999998</v>
      </c>
      <c r="Q12" s="280" t="e">
        <f>_xll.qlSimpleQuoteSetValue($O12,$P12/100,Trigger)</f>
        <v>#N/A</v>
      </c>
      <c r="R12" s="225"/>
      <c r="X12" s="322">
        <f>(H12-K12)/50</f>
        <v>3.0000000000000247E-4</v>
      </c>
    </row>
    <row r="13" spans="1:24" x14ac:dyDescent="0.2">
      <c r="A13" s="124"/>
      <c r="B13" s="287" t="s">
        <v>105</v>
      </c>
      <c r="C13" s="391" t="str">
        <v>AM</v>
      </c>
      <c r="D13" s="391" t="str">
        <v>3L</v>
      </c>
      <c r="E13" s="341" t="str">
        <f>Currency&amp;$C13&amp;$D13&amp;$B13</f>
        <v>USDAM3L5Y</v>
      </c>
      <c r="F13" s="341" t="str">
        <v>USDAM3L5Y=ICAP</v>
      </c>
      <c r="G13" s="281">
        <v>1.385</v>
      </c>
      <c r="H13" s="281">
        <v>1.415</v>
      </c>
      <c r="I13" s="281">
        <v>0</v>
      </c>
      <c r="J13" s="281">
        <v>0</v>
      </c>
      <c r="K13" s="285">
        <f>_xll.qlMidSafe($G13,$H13)</f>
        <v>1.4</v>
      </c>
      <c r="L13" s="283"/>
      <c r="M13" s="284">
        <v>1.4</v>
      </c>
      <c r="N13" s="283"/>
      <c r="O13" s="339" t="str">
        <f>$E13&amp;$P$2</f>
        <v>USDAM3L5Y_Quote</v>
      </c>
      <c r="P13" s="281">
        <v>1.4</v>
      </c>
      <c r="Q13" s="280" t="e">
        <f>_xll.qlSimpleQuoteSetValue($O13,$P13/100,Trigger)</f>
        <v>#N/A</v>
      </c>
      <c r="R13" s="225"/>
      <c r="X13" s="322">
        <f>(H13-K13)/50</f>
        <v>3.0000000000000247E-4</v>
      </c>
    </row>
    <row r="14" spans="1:24" x14ac:dyDescent="0.2">
      <c r="A14" s="124"/>
      <c r="B14" s="287" t="s">
        <v>104</v>
      </c>
      <c r="C14" s="391" t="str">
        <v>AM</v>
      </c>
      <c r="D14" s="391" t="str">
        <v>3L</v>
      </c>
      <c r="E14" s="341" t="str">
        <f>Currency&amp;$C14&amp;$D14&amp;$B14</f>
        <v>USDAM3L6Y</v>
      </c>
      <c r="F14" s="341" t="str">
        <v>USDAM3L6Y=ICAP</v>
      </c>
      <c r="G14" s="281">
        <v>1.7150000000000001</v>
      </c>
      <c r="H14" s="281">
        <v>1.7450000000000001</v>
      </c>
      <c r="I14" s="281">
        <v>0</v>
      </c>
      <c r="J14" s="281">
        <v>0</v>
      </c>
      <c r="K14" s="285">
        <f>_xll.qlMidSafe($G14,$H14)</f>
        <v>1.73</v>
      </c>
      <c r="L14" s="283"/>
      <c r="M14" s="284">
        <v>1.73</v>
      </c>
      <c r="N14" s="283"/>
      <c r="O14" s="339" t="str">
        <f>$E14&amp;$P$2</f>
        <v>USDAM3L6Y_Quote</v>
      </c>
      <c r="P14" s="281">
        <v>1.73</v>
      </c>
      <c r="Q14" s="280" t="e">
        <f>_xll.qlSimpleQuoteSetValue($O14,$P14/100,Trigger)</f>
        <v>#N/A</v>
      </c>
      <c r="R14" s="225"/>
      <c r="X14" s="322">
        <f>(H14-K14)/50</f>
        <v>3.0000000000000247E-4</v>
      </c>
    </row>
    <row r="15" spans="1:24" x14ac:dyDescent="0.2">
      <c r="A15" s="124"/>
      <c r="B15" s="287" t="s">
        <v>103</v>
      </c>
      <c r="C15" s="391" t="str">
        <v>AM</v>
      </c>
      <c r="D15" s="391" t="str">
        <v>3L</v>
      </c>
      <c r="E15" s="341" t="str">
        <f>Currency&amp;$C15&amp;$D15&amp;$B15</f>
        <v>USDAM3L7Y</v>
      </c>
      <c r="F15" s="341" t="str">
        <v>USDAM3L7Y=ICAP</v>
      </c>
      <c r="G15" s="281">
        <v>1.9930000000000001</v>
      </c>
      <c r="H15" s="281">
        <v>2.0230000000000001</v>
      </c>
      <c r="I15" s="281">
        <v>0</v>
      </c>
      <c r="J15" s="281">
        <v>0</v>
      </c>
      <c r="K15" s="285">
        <f>_xll.qlMidSafe($G15,$H15)</f>
        <v>2.008</v>
      </c>
      <c r="L15" s="283"/>
      <c r="M15" s="284">
        <v>2.008</v>
      </c>
      <c r="N15" s="283"/>
      <c r="O15" s="339" t="str">
        <f>$E15&amp;$P$2</f>
        <v>USDAM3L7Y_Quote</v>
      </c>
      <c r="P15" s="281">
        <v>2.008</v>
      </c>
      <c r="Q15" s="280" t="e">
        <f>_xll.qlSimpleQuoteSetValue($O15,$P15/100,Trigger)</f>
        <v>#N/A</v>
      </c>
      <c r="R15" s="225"/>
      <c r="X15" s="322">
        <f>(H15-K15)/50</f>
        <v>3.0000000000000247E-4</v>
      </c>
    </row>
    <row r="16" spans="1:24" x14ac:dyDescent="0.2">
      <c r="A16" s="124"/>
      <c r="B16" s="287" t="s">
        <v>102</v>
      </c>
      <c r="C16" s="391" t="str">
        <v>AM</v>
      </c>
      <c r="D16" s="391" t="str">
        <v>3L</v>
      </c>
      <c r="E16" s="341" t="str">
        <f>Currency&amp;$C16&amp;$D16&amp;$B16</f>
        <v>USDAM3L8Y</v>
      </c>
      <c r="F16" s="341" t="str">
        <v>USDAM3L8Y=ICAP</v>
      </c>
      <c r="G16" s="281">
        <v>2.226</v>
      </c>
      <c r="H16" s="281">
        <v>2.2559999999999998</v>
      </c>
      <c r="I16" s="281">
        <v>0</v>
      </c>
      <c r="J16" s="281">
        <v>0</v>
      </c>
      <c r="K16" s="285">
        <f>_xll.qlMidSafe($G16,$H16)</f>
        <v>2.2409999999999997</v>
      </c>
      <c r="L16" s="283"/>
      <c r="M16" s="284">
        <v>2.2409999999999997</v>
      </c>
      <c r="N16" s="283"/>
      <c r="O16" s="339" t="str">
        <f>$E16&amp;$P$2</f>
        <v>USDAM3L8Y_Quote</v>
      </c>
      <c r="P16" s="281">
        <v>2.2409999999999997</v>
      </c>
      <c r="Q16" s="280" t="e">
        <f>_xll.qlSimpleQuoteSetValue($O16,$P16/100,Trigger)</f>
        <v>#N/A</v>
      </c>
      <c r="R16" s="225"/>
      <c r="X16" s="322">
        <f>(H16-K16)/50</f>
        <v>3.0000000000000247E-4</v>
      </c>
    </row>
    <row r="17" spans="1:24" x14ac:dyDescent="0.2">
      <c r="A17" s="124"/>
      <c r="B17" s="287" t="s">
        <v>101</v>
      </c>
      <c r="C17" s="391" t="str">
        <v>AM</v>
      </c>
      <c r="D17" s="391" t="str">
        <v>3L</v>
      </c>
      <c r="E17" s="341" t="str">
        <f>Currency&amp;$C17&amp;$D17&amp;$B17</f>
        <v>USDAM3L9Y</v>
      </c>
      <c r="F17" s="341" t="str">
        <v>USDAM3L9Y=ICAP</v>
      </c>
      <c r="G17" s="281">
        <v>2.4220000000000002</v>
      </c>
      <c r="H17" s="281">
        <v>2.452</v>
      </c>
      <c r="I17" s="281">
        <v>0</v>
      </c>
      <c r="J17" s="281">
        <v>0</v>
      </c>
      <c r="K17" s="285">
        <f>_xll.qlMidSafe($G17,$H17)</f>
        <v>2.4370000000000003</v>
      </c>
      <c r="L17" s="283"/>
      <c r="M17" s="284">
        <v>2.4370000000000003</v>
      </c>
      <c r="N17" s="283"/>
      <c r="O17" s="339" t="str">
        <f>$E17&amp;$P$2</f>
        <v>USDAM3L9Y_Quote</v>
      </c>
      <c r="P17" s="281">
        <v>2.4370000000000003</v>
      </c>
      <c r="Q17" s="280" t="e">
        <f>_xll.qlSimpleQuoteSetValue($O17,$P17/100,Trigger)</f>
        <v>#N/A</v>
      </c>
      <c r="R17" s="225"/>
      <c r="X17" s="322">
        <f>(H17-K17)/50</f>
        <v>2.9999999999999363E-4</v>
      </c>
    </row>
    <row r="18" spans="1:24" x14ac:dyDescent="0.2">
      <c r="A18" s="124"/>
      <c r="B18" s="287" t="s">
        <v>100</v>
      </c>
      <c r="C18" s="391" t="str">
        <v>AM</v>
      </c>
      <c r="D18" s="391" t="str">
        <v>3L</v>
      </c>
      <c r="E18" s="341" t="str">
        <f>Currency&amp;$C18&amp;$D18&amp;$B18</f>
        <v>USDAM3L10Y</v>
      </c>
      <c r="F18" s="341" t="str">
        <v>USDAM3L10Y=ICAP</v>
      </c>
      <c r="G18" s="281">
        <v>2.5870000000000002</v>
      </c>
      <c r="H18" s="281">
        <v>2.617</v>
      </c>
      <c r="I18" s="281">
        <v>0</v>
      </c>
      <c r="J18" s="281">
        <v>0</v>
      </c>
      <c r="K18" s="285">
        <f>_xll.qlMidSafe($G18,$H18)</f>
        <v>2.6020000000000003</v>
      </c>
      <c r="L18" s="283"/>
      <c r="M18" s="284">
        <v>2.6020000000000003</v>
      </c>
      <c r="N18" s="283"/>
      <c r="O18" s="339" t="str">
        <f>$E18&amp;$P$2</f>
        <v>USDAM3L10Y_Quote</v>
      </c>
      <c r="P18" s="281">
        <v>2.6020000000000003</v>
      </c>
      <c r="Q18" s="280" t="e">
        <f>_xll.qlSimpleQuoteSetValue($O18,$P18/100,Trigger)</f>
        <v>#N/A</v>
      </c>
      <c r="R18" s="225"/>
      <c r="X18" s="322">
        <f>(H18-K18)/50</f>
        <v>2.9999999999999363E-4</v>
      </c>
    </row>
    <row r="19" spans="1:24" x14ac:dyDescent="0.2">
      <c r="A19" s="124"/>
      <c r="B19" s="287" t="s">
        <v>99</v>
      </c>
      <c r="C19" s="391" t="str">
        <v>AM</v>
      </c>
      <c r="D19" s="391" t="str">
        <v>3L</v>
      </c>
      <c r="E19" s="341" t="str">
        <f>Currency&amp;$C19&amp;$D19&amp;$B19</f>
        <v>USDAM3L11Y</v>
      </c>
      <c r="F19" s="341" t="str">
        <v>USDAM3L11Y=ICAP</v>
      </c>
      <c r="G19" s="281" t="s">
        <v>247</v>
      </c>
      <c r="H19" s="281" t="s">
        <v>247</v>
      </c>
      <c r="I19" s="281" t="s">
        <v>247</v>
      </c>
      <c r="J19" s="281" t="s">
        <v>247</v>
      </c>
      <c r="K19" s="285" t="e">
        <f>_xll.qlMidSafe($G19,$H19)</f>
        <v>#NUM!</v>
      </c>
      <c r="L19" s="283"/>
      <c r="M19" s="284" t="e">
        <v>#NUM!</v>
      </c>
      <c r="N19" s="283"/>
      <c r="O19" s="339" t="str">
        <f>$E19&amp;$P$2</f>
        <v>USDAM3L11Y_Quote</v>
      </c>
      <c r="P19" s="281" t="e">
        <v>#NUM!</v>
      </c>
      <c r="Q19" s="280" t="e">
        <f>_xll.qlSimpleQuoteSetValue($O19,$P19/100,Trigger)</f>
        <v>#NUM!</v>
      </c>
      <c r="R19" s="225"/>
      <c r="X19" s="322" t="e">
        <f>(H19-K19)/50</f>
        <v>#VALUE!</v>
      </c>
    </row>
    <row r="20" spans="1:24" x14ac:dyDescent="0.2">
      <c r="A20" s="124"/>
      <c r="B20" s="287" t="s">
        <v>98</v>
      </c>
      <c r="C20" s="391" t="str">
        <v>AM</v>
      </c>
      <c r="D20" s="391" t="str">
        <v>3L</v>
      </c>
      <c r="E20" s="341" t="str">
        <f>Currency&amp;$C20&amp;$D20&amp;$B20</f>
        <v>USDAM3L12Y</v>
      </c>
      <c r="F20" s="341" t="str">
        <v>USDAM3L12Y=ICAP</v>
      </c>
      <c r="G20" s="281">
        <v>2.8519999999999999</v>
      </c>
      <c r="H20" s="281">
        <v>2.8820000000000001</v>
      </c>
      <c r="I20" s="281">
        <v>0</v>
      </c>
      <c r="J20" s="281">
        <v>0</v>
      </c>
      <c r="K20" s="285">
        <f>_xll.qlMidSafe($G20,$H20)</f>
        <v>2.867</v>
      </c>
      <c r="L20" s="283"/>
      <c r="M20" s="284">
        <v>2.867</v>
      </c>
      <c r="N20" s="283"/>
      <c r="O20" s="339" t="str">
        <f>$E20&amp;$P$2</f>
        <v>USDAM3L12Y_Quote</v>
      </c>
      <c r="P20" s="281">
        <v>2.867</v>
      </c>
      <c r="Q20" s="280" t="e">
        <f>_xll.qlSimpleQuoteSetValue($O20,$P20/100,Trigger)</f>
        <v>#N/A</v>
      </c>
      <c r="R20" s="225"/>
      <c r="X20" s="322">
        <f>(H20-K20)/50</f>
        <v>3.0000000000000247E-4</v>
      </c>
    </row>
    <row r="21" spans="1:24" x14ac:dyDescent="0.2">
      <c r="A21" s="124"/>
      <c r="B21" s="287" t="s">
        <v>97</v>
      </c>
      <c r="C21" s="391" t="str">
        <v>AM</v>
      </c>
      <c r="D21" s="391" t="str">
        <v>3L</v>
      </c>
      <c r="E21" s="341" t="str">
        <f>Currency&amp;$C21&amp;$D21&amp;$B21</f>
        <v>USDAM3L13Y</v>
      </c>
      <c r="F21" s="341" t="str">
        <v>USDAM3L13Y=ICAP</v>
      </c>
      <c r="G21" s="281" t="s">
        <v>247</v>
      </c>
      <c r="H21" s="281" t="s">
        <v>247</v>
      </c>
      <c r="I21" s="281" t="s">
        <v>247</v>
      </c>
      <c r="J21" s="281" t="s">
        <v>247</v>
      </c>
      <c r="K21" s="285" t="e">
        <f>_xll.qlMidSafe($G21,$H21)</f>
        <v>#NUM!</v>
      </c>
      <c r="L21" s="283"/>
      <c r="M21" s="284" t="e">
        <v>#NUM!</v>
      </c>
      <c r="N21" s="283"/>
      <c r="O21" s="339" t="str">
        <f>$E21&amp;$P$2</f>
        <v>USDAM3L13Y_Quote</v>
      </c>
      <c r="P21" s="281" t="e">
        <v>#NUM!</v>
      </c>
      <c r="Q21" s="280" t="e">
        <f>_xll.qlSimpleQuoteSetValue($O21,$P21/100,Trigger)</f>
        <v>#NUM!</v>
      </c>
      <c r="R21" s="225"/>
      <c r="X21" s="322" t="e">
        <f>(H21-K21)/50</f>
        <v>#VALUE!</v>
      </c>
    </row>
    <row r="22" spans="1:24" x14ac:dyDescent="0.2">
      <c r="A22" s="124"/>
      <c r="B22" s="287" t="s">
        <v>96</v>
      </c>
      <c r="C22" s="391" t="str">
        <v>AM</v>
      </c>
      <c r="D22" s="391" t="str">
        <v>3L</v>
      </c>
      <c r="E22" s="341" t="str">
        <f>Currency&amp;$C22&amp;$D22&amp;$B22</f>
        <v>USDAM3L14Y</v>
      </c>
      <c r="F22" s="341" t="str">
        <v>USDAM3L14Y=ICAP</v>
      </c>
      <c r="G22" s="281" t="s">
        <v>247</v>
      </c>
      <c r="H22" s="281" t="s">
        <v>247</v>
      </c>
      <c r="I22" s="281" t="s">
        <v>247</v>
      </c>
      <c r="J22" s="281" t="s">
        <v>247</v>
      </c>
      <c r="K22" s="285" t="e">
        <f>_xll.qlMidSafe($G22,$H22)</f>
        <v>#NUM!</v>
      </c>
      <c r="L22" s="283"/>
      <c r="M22" s="284" t="e">
        <v>#NUM!</v>
      </c>
      <c r="N22" s="283"/>
      <c r="O22" s="339" t="str">
        <f>$E22&amp;$P$2</f>
        <v>USDAM3L14Y_Quote</v>
      </c>
      <c r="P22" s="281" t="e">
        <v>#NUM!</v>
      </c>
      <c r="Q22" s="280" t="e">
        <f>_xll.qlSimpleQuoteSetValue($O22,$P22/100,Trigger)</f>
        <v>#NUM!</v>
      </c>
      <c r="R22" s="225"/>
      <c r="X22" s="322" t="e">
        <f>(H22-K22)/50</f>
        <v>#VALUE!</v>
      </c>
    </row>
    <row r="23" spans="1:24" x14ac:dyDescent="0.2">
      <c r="A23" s="124"/>
      <c r="B23" s="287" t="s">
        <v>95</v>
      </c>
      <c r="C23" s="391" t="str">
        <v>AM</v>
      </c>
      <c r="D23" s="391" t="str">
        <v>3L</v>
      </c>
      <c r="E23" s="341" t="str">
        <f>Currency&amp;$C23&amp;$D23&amp;$B23</f>
        <v>USDAM3L15Y</v>
      </c>
      <c r="F23" s="341" t="str">
        <v>USDAM3L15Y=ICAP</v>
      </c>
      <c r="G23" s="281">
        <v>3.1110000000000002</v>
      </c>
      <c r="H23" s="281">
        <v>3.141</v>
      </c>
      <c r="I23" s="281">
        <v>0</v>
      </c>
      <c r="J23" s="281">
        <v>0</v>
      </c>
      <c r="K23" s="285">
        <f>_xll.qlMidSafe($G23,$H23)</f>
        <v>3.1260000000000003</v>
      </c>
      <c r="L23" s="283"/>
      <c r="M23" s="284">
        <v>3.1260000000000003</v>
      </c>
      <c r="N23" s="283"/>
      <c r="O23" s="339" t="str">
        <f>$E23&amp;$P$2</f>
        <v>USDAM3L15Y_Quote</v>
      </c>
      <c r="P23" s="281">
        <v>3.1260000000000003</v>
      </c>
      <c r="Q23" s="280" t="e">
        <f>_xll.qlSimpleQuoteSetValue($O23,$P23/100,Trigger)</f>
        <v>#N/A</v>
      </c>
      <c r="R23" s="225"/>
      <c r="X23" s="322">
        <f>(H23-K23)/50</f>
        <v>2.9999999999999363E-4</v>
      </c>
    </row>
    <row r="24" spans="1:24" x14ac:dyDescent="0.2">
      <c r="A24" s="124"/>
      <c r="B24" s="287" t="s">
        <v>94</v>
      </c>
      <c r="C24" s="391" t="str">
        <v>AM</v>
      </c>
      <c r="D24" s="391" t="str">
        <v>3L</v>
      </c>
      <c r="E24" s="341" t="str">
        <f>Currency&amp;$C24&amp;$D24&amp;$B24</f>
        <v>USDAM3L16Y</v>
      </c>
      <c r="F24" s="341" t="str">
        <v>USDAM3L16Y=ICAP</v>
      </c>
      <c r="G24" s="281" t="s">
        <v>247</v>
      </c>
      <c r="H24" s="281" t="s">
        <v>247</v>
      </c>
      <c r="I24" s="281" t="s">
        <v>247</v>
      </c>
      <c r="J24" s="281" t="s">
        <v>247</v>
      </c>
      <c r="K24" s="285" t="e">
        <f>_xll.qlMidSafe($G24,$H24)</f>
        <v>#NUM!</v>
      </c>
      <c r="L24" s="283"/>
      <c r="M24" s="284" t="e">
        <v>#NUM!</v>
      </c>
      <c r="N24" s="283"/>
      <c r="O24" s="339" t="str">
        <f>$E24&amp;$P$2</f>
        <v>USDAM3L16Y_Quote</v>
      </c>
      <c r="P24" s="281" t="e">
        <v>#NUM!</v>
      </c>
      <c r="Q24" s="280" t="e">
        <f>_xll.qlSimpleQuoteSetValue($O24,$P24/100,Trigger)</f>
        <v>#NUM!</v>
      </c>
      <c r="R24" s="225"/>
      <c r="X24" s="322" t="e">
        <f>(H24-K24)/50</f>
        <v>#VALUE!</v>
      </c>
    </row>
    <row r="25" spans="1:24" x14ac:dyDescent="0.2">
      <c r="A25" s="124"/>
      <c r="B25" s="287" t="s">
        <v>93</v>
      </c>
      <c r="C25" s="391" t="str">
        <v>AM</v>
      </c>
      <c r="D25" s="391" t="str">
        <v>3L</v>
      </c>
      <c r="E25" s="341" t="str">
        <f>Currency&amp;$C25&amp;$D25&amp;$B25</f>
        <v>USDAM3L17Y</v>
      </c>
      <c r="F25" s="341" t="str">
        <v>USDAM3L17Y=ICAP</v>
      </c>
      <c r="G25" s="281" t="s">
        <v>247</v>
      </c>
      <c r="H25" s="281" t="s">
        <v>247</v>
      </c>
      <c r="I25" s="281" t="s">
        <v>247</v>
      </c>
      <c r="J25" s="281" t="s">
        <v>247</v>
      </c>
      <c r="K25" s="285" t="e">
        <f>_xll.qlMidSafe($G25,$H25)</f>
        <v>#NUM!</v>
      </c>
      <c r="L25" s="283"/>
      <c r="M25" s="284" t="e">
        <v>#NUM!</v>
      </c>
      <c r="N25" s="283"/>
      <c r="O25" s="339" t="str">
        <f>$E25&amp;$P$2</f>
        <v>USDAM3L17Y_Quote</v>
      </c>
      <c r="P25" s="281" t="e">
        <v>#NUM!</v>
      </c>
      <c r="Q25" s="280" t="e">
        <f>_xll.qlSimpleQuoteSetValue($O25,$P25/100,Trigger)</f>
        <v>#NUM!</v>
      </c>
      <c r="R25" s="225"/>
      <c r="X25" s="322" t="e">
        <f>(H25-K25)/50</f>
        <v>#VALUE!</v>
      </c>
    </row>
    <row r="26" spans="1:24" x14ac:dyDescent="0.2">
      <c r="A26" s="124"/>
      <c r="B26" s="287" t="s">
        <v>92</v>
      </c>
      <c r="C26" s="391" t="str">
        <v>AM</v>
      </c>
      <c r="D26" s="391" t="str">
        <v>3L</v>
      </c>
      <c r="E26" s="341" t="str">
        <f>Currency&amp;$C26&amp;$D26&amp;$B26</f>
        <v>USDAM3L18Y</v>
      </c>
      <c r="F26" s="341" t="str">
        <v>USDAM3L18Y=ICAP</v>
      </c>
      <c r="G26" s="281" t="s">
        <v>247</v>
      </c>
      <c r="H26" s="281" t="s">
        <v>247</v>
      </c>
      <c r="I26" s="281" t="s">
        <v>247</v>
      </c>
      <c r="J26" s="281" t="s">
        <v>247</v>
      </c>
      <c r="K26" s="285" t="e">
        <f>_xll.qlMidSafe($G26,$H26)</f>
        <v>#NUM!</v>
      </c>
      <c r="L26" s="283"/>
      <c r="M26" s="284" t="e">
        <v>#NUM!</v>
      </c>
      <c r="N26" s="283"/>
      <c r="O26" s="339" t="str">
        <f>$E26&amp;$P$2</f>
        <v>USDAM3L18Y_Quote</v>
      </c>
      <c r="P26" s="281" t="e">
        <v>#NUM!</v>
      </c>
      <c r="Q26" s="280" t="e">
        <f>_xll.qlSimpleQuoteSetValue($O26,$P26/100,Trigger)</f>
        <v>#NUM!</v>
      </c>
      <c r="R26" s="225"/>
      <c r="X26" s="322" t="e">
        <f>(H26-K26)/50</f>
        <v>#VALUE!</v>
      </c>
    </row>
    <row r="27" spans="1:24" x14ac:dyDescent="0.2">
      <c r="A27" s="124"/>
      <c r="B27" s="287" t="s">
        <v>91</v>
      </c>
      <c r="C27" s="391" t="str">
        <v>AM</v>
      </c>
      <c r="D27" s="391" t="str">
        <v>3L</v>
      </c>
      <c r="E27" s="341" t="str">
        <f>Currency&amp;$C27&amp;$D27&amp;$B27</f>
        <v>USDAM3L19Y</v>
      </c>
      <c r="F27" s="341" t="str">
        <v>USDAM3L19Y=ICAP</v>
      </c>
      <c r="G27" s="281" t="s">
        <v>247</v>
      </c>
      <c r="H27" s="281" t="s">
        <v>247</v>
      </c>
      <c r="I27" s="281" t="s">
        <v>247</v>
      </c>
      <c r="J27" s="281" t="s">
        <v>247</v>
      </c>
      <c r="K27" s="285" t="e">
        <f>_xll.qlMidSafe($G27,$H27)</f>
        <v>#NUM!</v>
      </c>
      <c r="L27" s="283"/>
      <c r="M27" s="284" t="e">
        <v>#NUM!</v>
      </c>
      <c r="N27" s="283"/>
      <c r="O27" s="339" t="str">
        <f>$E27&amp;$P$2</f>
        <v>USDAM3L19Y_Quote</v>
      </c>
      <c r="P27" s="281" t="e">
        <v>#NUM!</v>
      </c>
      <c r="Q27" s="280" t="e">
        <f>_xll.qlSimpleQuoteSetValue($O27,$P27/100,Trigger)</f>
        <v>#NUM!</v>
      </c>
      <c r="R27" s="225"/>
      <c r="X27" s="322" t="e">
        <f>(H27-K27)/50</f>
        <v>#VALUE!</v>
      </c>
    </row>
    <row r="28" spans="1:24" x14ac:dyDescent="0.2">
      <c r="A28" s="124"/>
      <c r="B28" s="287" t="s">
        <v>90</v>
      </c>
      <c r="C28" s="391" t="str">
        <v>AM</v>
      </c>
      <c r="D28" s="391" t="str">
        <v>3L</v>
      </c>
      <c r="E28" s="341" t="str">
        <f>Currency&amp;$C28&amp;$D28&amp;$B28</f>
        <v>USDAM3L20Y</v>
      </c>
      <c r="F28" s="341" t="str">
        <v>USDAM3L20Y=ICAP</v>
      </c>
      <c r="G28" s="281">
        <v>3.335</v>
      </c>
      <c r="H28" s="281">
        <v>3.3650000000000002</v>
      </c>
      <c r="I28" s="281">
        <v>0</v>
      </c>
      <c r="J28" s="281">
        <v>0</v>
      </c>
      <c r="K28" s="285">
        <f>_xll.qlMidSafe($G28,$H28)</f>
        <v>3.35</v>
      </c>
      <c r="L28" s="283"/>
      <c r="M28" s="284">
        <v>3.35</v>
      </c>
      <c r="N28" s="283"/>
      <c r="O28" s="339" t="str">
        <f>$E28&amp;$P$2</f>
        <v>USDAM3L20Y_Quote</v>
      </c>
      <c r="P28" s="281">
        <v>3.35</v>
      </c>
      <c r="Q28" s="280" t="e">
        <f>_xll.qlSimpleQuoteSetValue($O28,$P28/100,Trigger)</f>
        <v>#N/A</v>
      </c>
      <c r="R28" s="225"/>
      <c r="X28" s="322">
        <f>(H28-K28)/50</f>
        <v>3.0000000000000247E-4</v>
      </c>
    </row>
    <row r="29" spans="1:24" x14ac:dyDescent="0.2">
      <c r="A29" s="124"/>
      <c r="B29" s="287" t="s">
        <v>89</v>
      </c>
      <c r="C29" s="283" t="str">
        <v>AM</v>
      </c>
      <c r="D29" s="283" t="str">
        <v>3L</v>
      </c>
      <c r="E29" s="341" t="str">
        <f>Currency&amp;$C29&amp;$D29&amp;$B29</f>
        <v>USDAM3L21Y</v>
      </c>
      <c r="F29" s="341" t="str">
        <v>USDAM3L21Y=ICAP</v>
      </c>
      <c r="G29" s="281" t="s">
        <v>247</v>
      </c>
      <c r="H29" s="281" t="s">
        <v>247</v>
      </c>
      <c r="I29" s="281" t="s">
        <v>247</v>
      </c>
      <c r="J29" s="281" t="s">
        <v>247</v>
      </c>
      <c r="K29" s="285" t="e">
        <f>_xll.qlMidSafe($G29,$H29)</f>
        <v>#NUM!</v>
      </c>
      <c r="L29" s="283"/>
      <c r="M29" s="284" t="e">
        <v>#NUM!</v>
      </c>
      <c r="N29" s="283"/>
      <c r="O29" s="339" t="str">
        <f>$E29&amp;$P$2</f>
        <v>USDAM3L21Y_Quote</v>
      </c>
      <c r="P29" s="281" t="e">
        <v>#NUM!</v>
      </c>
      <c r="Q29" s="280" t="e">
        <f>_xll.qlSimpleQuoteSetValue($O29,$P29/100,Trigger)</f>
        <v>#NUM!</v>
      </c>
      <c r="R29" s="225"/>
      <c r="X29" s="322" t="e">
        <f>(H29-K29)/50</f>
        <v>#VALUE!</v>
      </c>
    </row>
    <row r="30" spans="1:24" x14ac:dyDescent="0.2">
      <c r="A30" s="124"/>
      <c r="B30" s="287" t="s">
        <v>88</v>
      </c>
      <c r="C30" s="391" t="str">
        <v>AM</v>
      </c>
      <c r="D30" s="391" t="str">
        <v>3L</v>
      </c>
      <c r="E30" s="341" t="str">
        <f>Currency&amp;$C30&amp;$D30&amp;$B30</f>
        <v>USDAM3L22Y</v>
      </c>
      <c r="F30" s="341" t="str">
        <v>USDAM3L22Y=ICAP</v>
      </c>
      <c r="G30" s="281" t="s">
        <v>247</v>
      </c>
      <c r="H30" s="281" t="s">
        <v>247</v>
      </c>
      <c r="I30" s="281" t="s">
        <v>247</v>
      </c>
      <c r="J30" s="281" t="s">
        <v>247</v>
      </c>
      <c r="K30" s="285" t="e">
        <f>_xll.qlMidSafe($G30,$H30)</f>
        <v>#NUM!</v>
      </c>
      <c r="L30" s="283"/>
      <c r="M30" s="284" t="e">
        <v>#NUM!</v>
      </c>
      <c r="N30" s="283"/>
      <c r="O30" s="339" t="str">
        <f>$E30&amp;$P$2</f>
        <v>USDAM3L22Y_Quote</v>
      </c>
      <c r="P30" s="281" t="e">
        <v>#NUM!</v>
      </c>
      <c r="Q30" s="280" t="e">
        <f>_xll.qlSimpleQuoteSetValue($O30,$P30/100,Trigger)</f>
        <v>#NUM!</v>
      </c>
      <c r="R30" s="225"/>
      <c r="X30" s="322" t="e">
        <f>(H30-K30)/50</f>
        <v>#VALUE!</v>
      </c>
    </row>
    <row r="31" spans="1:24" x14ac:dyDescent="0.2">
      <c r="A31" s="124"/>
      <c r="B31" s="287" t="s">
        <v>87</v>
      </c>
      <c r="C31" s="391" t="str">
        <v>AM</v>
      </c>
      <c r="D31" s="391" t="str">
        <v>3L</v>
      </c>
      <c r="E31" s="341" t="str">
        <f>Currency&amp;$C31&amp;$D31&amp;$B31</f>
        <v>USDAM3L23Y</v>
      </c>
      <c r="F31" s="341" t="str">
        <v>USDAM3L23Y=ICAP</v>
      </c>
      <c r="G31" s="281" t="s">
        <v>247</v>
      </c>
      <c r="H31" s="281" t="s">
        <v>247</v>
      </c>
      <c r="I31" s="281" t="s">
        <v>247</v>
      </c>
      <c r="J31" s="281" t="s">
        <v>247</v>
      </c>
      <c r="K31" s="285" t="e">
        <f>_xll.qlMidSafe($G31,$H31)</f>
        <v>#NUM!</v>
      </c>
      <c r="L31" s="283"/>
      <c r="M31" s="284" t="e">
        <v>#NUM!</v>
      </c>
      <c r="N31" s="283"/>
      <c r="O31" s="339" t="str">
        <f>$E31&amp;$P$2</f>
        <v>USDAM3L23Y_Quote</v>
      </c>
      <c r="P31" s="281" t="e">
        <v>#NUM!</v>
      </c>
      <c r="Q31" s="280" t="e">
        <f>_xll.qlSimpleQuoteSetValue($O31,$P31/100,Trigger)</f>
        <v>#NUM!</v>
      </c>
      <c r="R31" s="225"/>
      <c r="X31" s="322" t="e">
        <f>(H31-K31)/50</f>
        <v>#VALUE!</v>
      </c>
    </row>
    <row r="32" spans="1:24" x14ac:dyDescent="0.2">
      <c r="A32" s="124"/>
      <c r="B32" s="287" t="s">
        <v>86</v>
      </c>
      <c r="C32" s="391" t="str">
        <v>AM</v>
      </c>
      <c r="D32" s="391" t="str">
        <v>3L</v>
      </c>
      <c r="E32" s="341" t="str">
        <f>Currency&amp;$C32&amp;$D32&amp;$B32</f>
        <v>USDAM3L24Y</v>
      </c>
      <c r="F32" s="341" t="str">
        <v>USDAM3L24Y=ICAP</v>
      </c>
      <c r="G32" s="281" t="s">
        <v>247</v>
      </c>
      <c r="H32" s="281" t="s">
        <v>247</v>
      </c>
      <c r="I32" s="281" t="s">
        <v>247</v>
      </c>
      <c r="J32" s="281" t="s">
        <v>247</v>
      </c>
      <c r="K32" s="285" t="e">
        <f>_xll.qlMidSafe($G32,$H32)</f>
        <v>#NUM!</v>
      </c>
      <c r="L32" s="283"/>
      <c r="M32" s="284" t="e">
        <v>#NUM!</v>
      </c>
      <c r="N32" s="283"/>
      <c r="O32" s="339" t="str">
        <f>$E32&amp;$P$2</f>
        <v>USDAM3L24Y_Quote</v>
      </c>
      <c r="P32" s="281" t="e">
        <v>#NUM!</v>
      </c>
      <c r="Q32" s="280" t="e">
        <f>_xll.qlSimpleQuoteSetValue($O32,$P32/100,Trigger)</f>
        <v>#NUM!</v>
      </c>
      <c r="R32" s="225"/>
      <c r="X32" s="322" t="e">
        <f>(H32-K32)/50</f>
        <v>#VALUE!</v>
      </c>
    </row>
    <row r="33" spans="1:24" x14ac:dyDescent="0.2">
      <c r="A33" s="124"/>
      <c r="B33" s="287" t="s">
        <v>85</v>
      </c>
      <c r="C33" s="391" t="str">
        <v>AM</v>
      </c>
      <c r="D33" s="391" t="str">
        <v>3L</v>
      </c>
      <c r="E33" s="341" t="str">
        <f>Currency&amp;$C33&amp;$D33&amp;$B33</f>
        <v>USDAM3L25Y</v>
      </c>
      <c r="F33" s="341" t="str">
        <v>USDAM3L25Y=ICAP</v>
      </c>
      <c r="G33" s="281">
        <v>3.4470000000000001</v>
      </c>
      <c r="H33" s="281">
        <v>3.4769999999999999</v>
      </c>
      <c r="I33" s="281">
        <v>0</v>
      </c>
      <c r="J33" s="281">
        <v>0</v>
      </c>
      <c r="K33" s="285">
        <f>_xll.qlMidSafe($G33,$H33)</f>
        <v>3.4619999999999997</v>
      </c>
      <c r="L33" s="283"/>
      <c r="M33" s="284">
        <v>3.4619999999999997</v>
      </c>
      <c r="N33" s="283"/>
      <c r="O33" s="339" t="str">
        <f>$E33&amp;$P$2</f>
        <v>USDAM3L25Y_Quote</v>
      </c>
      <c r="P33" s="281">
        <v>3.4619999999999997</v>
      </c>
      <c r="Q33" s="280" t="e">
        <f>_xll.qlSimpleQuoteSetValue($O33,$P33/100,Trigger)</f>
        <v>#N/A</v>
      </c>
      <c r="R33" s="225"/>
      <c r="X33" s="322">
        <f>(H33-K33)/50</f>
        <v>3.0000000000000247E-4</v>
      </c>
    </row>
    <row r="34" spans="1:24" x14ac:dyDescent="0.2">
      <c r="A34" s="124"/>
      <c r="B34" s="287" t="s">
        <v>84</v>
      </c>
      <c r="C34" s="391" t="str">
        <v>AM</v>
      </c>
      <c r="D34" s="391" t="str">
        <v>3L</v>
      </c>
      <c r="E34" s="341" t="str">
        <f>Currency&amp;$C34&amp;$D34&amp;$B34</f>
        <v>USDAM3L26Y</v>
      </c>
      <c r="F34" s="341" t="str">
        <v>USDAM3L26Y=ICAP</v>
      </c>
      <c r="G34" s="281" t="s">
        <v>247</v>
      </c>
      <c r="H34" s="281" t="s">
        <v>247</v>
      </c>
      <c r="I34" s="281" t="s">
        <v>247</v>
      </c>
      <c r="J34" s="281" t="s">
        <v>247</v>
      </c>
      <c r="K34" s="285" t="e">
        <f>_xll.qlMidSafe($G34,$H34)</f>
        <v>#NUM!</v>
      </c>
      <c r="L34" s="283"/>
      <c r="M34" s="284" t="e">
        <v>#NUM!</v>
      </c>
      <c r="N34" s="283"/>
      <c r="O34" s="339" t="str">
        <f>$E34&amp;$P$2</f>
        <v>USDAM3L26Y_Quote</v>
      </c>
      <c r="P34" s="281" t="e">
        <v>#NUM!</v>
      </c>
      <c r="Q34" s="280" t="e">
        <f>_xll.qlSimpleQuoteSetValue($O34,$P34/100,Trigger)</f>
        <v>#NUM!</v>
      </c>
      <c r="R34" s="225"/>
      <c r="X34" s="322" t="e">
        <f>(H34-K34)/50</f>
        <v>#VALUE!</v>
      </c>
    </row>
    <row r="35" spans="1:24" x14ac:dyDescent="0.2">
      <c r="A35" s="124"/>
      <c r="B35" s="287" t="s">
        <v>83</v>
      </c>
      <c r="C35" s="391" t="str">
        <v>AM</v>
      </c>
      <c r="D35" s="391" t="str">
        <v>3L</v>
      </c>
      <c r="E35" s="341" t="str">
        <f>Currency&amp;$C35&amp;$D35&amp;$B35</f>
        <v>USDAM3L27Y</v>
      </c>
      <c r="F35" s="341" t="str">
        <v>USDAM3L27Y=ICAP</v>
      </c>
      <c r="G35" s="281" t="s">
        <v>247</v>
      </c>
      <c r="H35" s="281" t="s">
        <v>247</v>
      </c>
      <c r="I35" s="281" t="s">
        <v>247</v>
      </c>
      <c r="J35" s="281" t="s">
        <v>247</v>
      </c>
      <c r="K35" s="285" t="e">
        <f>_xll.qlMidSafe($G35,$H35)</f>
        <v>#NUM!</v>
      </c>
      <c r="L35" s="283"/>
      <c r="M35" s="284" t="e">
        <v>#NUM!</v>
      </c>
      <c r="N35" s="283"/>
      <c r="O35" s="339" t="str">
        <f>$E35&amp;$P$2</f>
        <v>USDAM3L27Y_Quote</v>
      </c>
      <c r="P35" s="281" t="e">
        <v>#NUM!</v>
      </c>
      <c r="Q35" s="280" t="e">
        <f>_xll.qlSimpleQuoteSetValue($O35,$P35/100,Trigger)</f>
        <v>#NUM!</v>
      </c>
      <c r="R35" s="225"/>
      <c r="X35" s="322" t="e">
        <f>(H35-K35)/50</f>
        <v>#VALUE!</v>
      </c>
    </row>
    <row r="36" spans="1:24" x14ac:dyDescent="0.2">
      <c r="A36" s="124"/>
      <c r="B36" s="287" t="s">
        <v>82</v>
      </c>
      <c r="C36" s="391" t="str">
        <v>AM</v>
      </c>
      <c r="D36" s="391" t="str">
        <v>3L</v>
      </c>
      <c r="E36" s="341" t="str">
        <f>Currency&amp;$C36&amp;$D36&amp;$B36</f>
        <v>USDAM3L28Y</v>
      </c>
      <c r="F36" s="341" t="str">
        <v>USDAM3L28Y=ICAP</v>
      </c>
      <c r="G36" s="281" t="s">
        <v>247</v>
      </c>
      <c r="H36" s="281" t="s">
        <v>247</v>
      </c>
      <c r="I36" s="281" t="s">
        <v>247</v>
      </c>
      <c r="J36" s="281" t="s">
        <v>247</v>
      </c>
      <c r="K36" s="285" t="e">
        <f>_xll.qlMidSafe($G36,$H36)</f>
        <v>#NUM!</v>
      </c>
      <c r="L36" s="283"/>
      <c r="M36" s="284" t="e">
        <v>#NUM!</v>
      </c>
      <c r="N36" s="283"/>
      <c r="O36" s="339" t="str">
        <f>$E36&amp;$P$2</f>
        <v>USDAM3L28Y_Quote</v>
      </c>
      <c r="P36" s="281" t="e">
        <v>#NUM!</v>
      </c>
      <c r="Q36" s="280" t="e">
        <f>_xll.qlSimpleQuoteSetValue($O36,$P36/100,Trigger)</f>
        <v>#NUM!</v>
      </c>
      <c r="R36" s="225"/>
      <c r="X36" s="322" t="e">
        <f>(H36-K36)/50</f>
        <v>#VALUE!</v>
      </c>
    </row>
    <row r="37" spans="1:24" x14ac:dyDescent="0.2">
      <c r="A37" s="124"/>
      <c r="B37" s="287" t="s">
        <v>81</v>
      </c>
      <c r="C37" s="391" t="str">
        <v>AM</v>
      </c>
      <c r="D37" s="391" t="str">
        <v>3L</v>
      </c>
      <c r="E37" s="341" t="str">
        <f>Currency&amp;$C37&amp;$D37&amp;$B37</f>
        <v>USDAM3L29Y</v>
      </c>
      <c r="F37" s="341" t="str">
        <v>USDAM3L29Y=ICAP</v>
      </c>
      <c r="G37" s="281" t="s">
        <v>247</v>
      </c>
      <c r="H37" s="281" t="s">
        <v>247</v>
      </c>
      <c r="I37" s="281" t="s">
        <v>247</v>
      </c>
      <c r="J37" s="281" t="s">
        <v>247</v>
      </c>
      <c r="K37" s="285" t="e">
        <f>_xll.qlMidSafe($G37,$H37)</f>
        <v>#NUM!</v>
      </c>
      <c r="L37" s="283"/>
      <c r="M37" s="284" t="e">
        <v>#NUM!</v>
      </c>
      <c r="N37" s="283"/>
      <c r="O37" s="339" t="str">
        <f>$E37&amp;$P$2</f>
        <v>USDAM3L29Y_Quote</v>
      </c>
      <c r="P37" s="281" t="e">
        <v>#NUM!</v>
      </c>
      <c r="Q37" s="280" t="e">
        <f>_xll.qlSimpleQuoteSetValue($O37,$P37/100,Trigger)</f>
        <v>#NUM!</v>
      </c>
      <c r="R37" s="225"/>
      <c r="X37" s="322" t="e">
        <f>(H37-K37)/50</f>
        <v>#VALUE!</v>
      </c>
    </row>
    <row r="38" spans="1:24" x14ac:dyDescent="0.2">
      <c r="A38" s="124"/>
      <c r="B38" s="287" t="s">
        <v>80</v>
      </c>
      <c r="C38" s="391" t="str">
        <v>AM</v>
      </c>
      <c r="D38" s="391" t="str">
        <v>3L</v>
      </c>
      <c r="E38" s="341" t="str">
        <f>Currency&amp;$C38&amp;$D38&amp;$B38</f>
        <v>USDAM3L30Y</v>
      </c>
      <c r="F38" s="341" t="str">
        <v>USDAM3L30Y=ICAP</v>
      </c>
      <c r="G38" s="281">
        <v>3.5070000000000001</v>
      </c>
      <c r="H38" s="281">
        <v>3.5369999999999999</v>
      </c>
      <c r="I38" s="281">
        <v>0</v>
      </c>
      <c r="J38" s="281">
        <v>0</v>
      </c>
      <c r="K38" s="285">
        <f>_xll.qlMidSafe($G38,$H38)</f>
        <v>3.5220000000000002</v>
      </c>
      <c r="L38" s="283"/>
      <c r="M38" s="284">
        <v>3.5220000000000002</v>
      </c>
      <c r="N38" s="283"/>
      <c r="O38" s="339" t="str">
        <f>$E38&amp;$P$2</f>
        <v>USDAM3L30Y_Quote</v>
      </c>
      <c r="P38" s="281">
        <v>3.5220000000000002</v>
      </c>
      <c r="Q38" s="280" t="e">
        <f>_xll.qlSimpleQuoteSetValue($O38,$P38/100,Trigger)</f>
        <v>#N/A</v>
      </c>
      <c r="R38" s="225"/>
      <c r="X38" s="322">
        <f>(H38-K38)/50</f>
        <v>2.9999999999999363E-4</v>
      </c>
    </row>
    <row r="39" spans="1:24" x14ac:dyDescent="0.2">
      <c r="A39" s="124"/>
      <c r="B39" s="287" t="s">
        <v>75</v>
      </c>
      <c r="C39" s="391" t="str">
        <v>AM</v>
      </c>
      <c r="D39" s="391" t="str">
        <v>3L</v>
      </c>
      <c r="E39" s="341" t="str">
        <f>Currency&amp;$C39&amp;$D39&amp;$B39</f>
        <v>USDAM3L35Y</v>
      </c>
      <c r="F39" s="341" t="str">
        <v>USDAM3L35Y=ICAP</v>
      </c>
      <c r="G39" s="281" t="s">
        <v>247</v>
      </c>
      <c r="H39" s="281" t="s">
        <v>247</v>
      </c>
      <c r="I39" s="281" t="s">
        <v>247</v>
      </c>
      <c r="J39" s="281" t="s">
        <v>247</v>
      </c>
      <c r="K39" s="285" t="e">
        <f>_xll.qlMidSafe($G39,$H39)</f>
        <v>#NUM!</v>
      </c>
      <c r="L39" s="283"/>
      <c r="M39" s="284" t="e">
        <v>#NUM!</v>
      </c>
      <c r="N39" s="283"/>
      <c r="O39" s="339" t="str">
        <f>$E39&amp;$P$2</f>
        <v>USDAM3L35Y_Quote</v>
      </c>
      <c r="P39" s="281" t="e">
        <v>#NUM!</v>
      </c>
      <c r="Q39" s="280" t="e">
        <f>_xll.qlSimpleQuoteSetValue($O39,$P39/100,Trigger)</f>
        <v>#NUM!</v>
      </c>
      <c r="R39" s="225"/>
      <c r="X39" s="322" t="e">
        <f>(H39-K39)/50</f>
        <v>#VALUE!</v>
      </c>
    </row>
    <row r="40" spans="1:24" x14ac:dyDescent="0.2">
      <c r="A40" s="124"/>
      <c r="B40" s="287" t="s">
        <v>70</v>
      </c>
      <c r="C40" s="391" t="str">
        <v>AM</v>
      </c>
      <c r="D40" s="391" t="str">
        <v>3L</v>
      </c>
      <c r="E40" s="341" t="str">
        <f>Currency&amp;$C40&amp;$D40&amp;$B40</f>
        <v>USDAM3L40Y</v>
      </c>
      <c r="F40" s="341" t="str">
        <v>USDAM3L40Y=ICAP</v>
      </c>
      <c r="G40" s="281">
        <v>3.5219999999999998</v>
      </c>
      <c r="H40" s="281">
        <v>3.552</v>
      </c>
      <c r="I40" s="281">
        <v>0</v>
      </c>
      <c r="J40" s="281">
        <v>0</v>
      </c>
      <c r="K40" s="285">
        <f>_xll.qlMidSafe($G40,$H40)</f>
        <v>3.5369999999999999</v>
      </c>
      <c r="L40" s="283"/>
      <c r="M40" s="284">
        <v>3.5369999999999999</v>
      </c>
      <c r="N40" s="283"/>
      <c r="O40" s="339" t="str">
        <f>$E40&amp;$P$2</f>
        <v>USDAM3L40Y_Quote</v>
      </c>
      <c r="P40" s="281">
        <v>3.5369999999999999</v>
      </c>
      <c r="Q40" s="280" t="e">
        <f>_xll.qlSimpleQuoteSetValue($O40,$P40/100,Trigger)</f>
        <v>#N/A</v>
      </c>
      <c r="R40" s="225"/>
      <c r="X40" s="322">
        <f>(H40-K40)/50</f>
        <v>3.0000000000000247E-4</v>
      </c>
    </row>
    <row r="41" spans="1:24" x14ac:dyDescent="0.2">
      <c r="A41" s="124"/>
      <c r="B41" s="287" t="s">
        <v>60</v>
      </c>
      <c r="C41" s="391" t="str">
        <v>AM</v>
      </c>
      <c r="D41" s="391" t="str">
        <v>3L</v>
      </c>
      <c r="E41" s="341" t="str">
        <f>Currency&amp;$C41&amp;$D41&amp;$B41</f>
        <v>USDAM3L50Y</v>
      </c>
      <c r="F41" s="341" t="str">
        <v>USDAM3L50Y=ICAP</v>
      </c>
      <c r="G41" s="281">
        <v>3.5089999999999999</v>
      </c>
      <c r="H41" s="281">
        <v>3.5390000000000001</v>
      </c>
      <c r="I41" s="281">
        <v>0</v>
      </c>
      <c r="J41" s="281">
        <v>0</v>
      </c>
      <c r="K41" s="285">
        <f>_xll.qlMidSafe($G41,$H41)</f>
        <v>3.524</v>
      </c>
      <c r="L41" s="283"/>
      <c r="M41" s="284">
        <v>3.524</v>
      </c>
      <c r="N41" s="283"/>
      <c r="O41" s="339" t="str">
        <f>$E41&amp;$P$2</f>
        <v>USDAM3L50Y_Quote</v>
      </c>
      <c r="P41" s="281">
        <v>3.524</v>
      </c>
      <c r="Q41" s="280" t="e">
        <f>_xll.qlSimpleQuoteSetValue($O41,$P41/100,Trigger)</f>
        <v>#N/A</v>
      </c>
      <c r="R41" s="225"/>
      <c r="X41" s="322">
        <f>(H41-K41)/50</f>
        <v>3.0000000000000247E-4</v>
      </c>
    </row>
    <row r="42" spans="1:24" x14ac:dyDescent="0.2">
      <c r="A42" s="124"/>
      <c r="B42" s="299" t="s">
        <v>50</v>
      </c>
      <c r="C42" s="414" t="str">
        <v>AM</v>
      </c>
      <c r="D42" s="414" t="str">
        <v>3L</v>
      </c>
      <c r="E42" s="336" t="str">
        <f>Currency&amp;$C42&amp;$D42&amp;$B42</f>
        <v>USDAM3L60Y</v>
      </c>
      <c r="F42" s="336" t="str">
        <v>USDAM3L60Y=ICAP</v>
      </c>
      <c r="G42" s="294" t="s">
        <v>247</v>
      </c>
      <c r="H42" s="294" t="s">
        <v>247</v>
      </c>
      <c r="I42" s="294" t="s">
        <v>247</v>
      </c>
      <c r="J42" s="294" t="s">
        <v>247</v>
      </c>
      <c r="K42" s="297" t="e">
        <f>_xll.qlMidSafe($G42,$H42)</f>
        <v>#NUM!</v>
      </c>
      <c r="L42" s="283"/>
      <c r="M42" s="296" t="e">
        <v>#NUM!</v>
      </c>
      <c r="N42" s="283"/>
      <c r="O42" s="334" t="str">
        <f>$E42&amp;$P$2</f>
        <v>USDAM3L60Y_Quote</v>
      </c>
      <c r="P42" s="294" t="e">
        <v>#NUM!</v>
      </c>
      <c r="Q42" s="293" t="e">
        <f>_xll.qlSimpleQuoteSetValue($O42,$P42/100,Trigger)</f>
        <v>#NUM!</v>
      </c>
      <c r="R42" s="225"/>
      <c r="X42" s="322" t="e">
        <f>(H42-K42)/50</f>
        <v>#VALUE!</v>
      </c>
    </row>
    <row r="43" spans="1:24" ht="12" thickBot="1" x14ac:dyDescent="0.25">
      <c r="A43" s="218"/>
      <c r="B43" s="217"/>
      <c r="C43" s="47"/>
      <c r="D43" s="47"/>
      <c r="E43" s="47"/>
      <c r="F43" s="47"/>
      <c r="G43" s="47"/>
      <c r="H43" s="47"/>
      <c r="I43" s="47"/>
      <c r="J43" s="47"/>
      <c r="K43" s="47"/>
      <c r="L43" s="217"/>
      <c r="M43" s="217"/>
      <c r="N43" s="217"/>
      <c r="O43" s="217"/>
      <c r="P43" s="217"/>
      <c r="Q43" s="217"/>
      <c r="R43" s="324"/>
    </row>
  </sheetData>
  <conditionalFormatting sqref="Q5:Q4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X43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140625" style="21" bestFit="1" customWidth="1"/>
    <col min="4" max="4" width="2.7109375" style="21" bestFit="1" customWidth="1"/>
    <col min="5" max="5" width="10.5703125" style="21" bestFit="1" customWidth="1"/>
    <col min="6" max="6" width="14.85546875" style="21" bestFit="1" customWidth="1"/>
    <col min="7" max="8" width="7.42578125" style="21" customWidth="1"/>
    <col min="9" max="9" width="5.7109375" style="21" bestFit="1" customWidth="1"/>
    <col min="10" max="10" width="10" style="21" bestFit="1" customWidth="1"/>
    <col min="11" max="11" width="5.7109375" style="21" bestFit="1" customWidth="1"/>
    <col min="12" max="12" width="5" style="21" customWidth="1"/>
    <col min="13" max="13" width="5.7109375" style="21" bestFit="1" customWidth="1"/>
    <col min="14" max="14" width="5" style="21" customWidth="1"/>
    <col min="15" max="15" width="16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4" style="21" bestFit="1" customWidth="1"/>
    <col min="21" max="21" width="3.28515625" style="21" bestFit="1" customWidth="1"/>
    <col min="22" max="22" width="2.7109375" style="21" bestFit="1" customWidth="1"/>
    <col min="23" max="23" width="9.140625" style="21"/>
    <col min="24" max="24" width="7.140625" style="21" bestFit="1" customWidth="1"/>
    <col min="25" max="16384" width="9.140625" style="21"/>
  </cols>
  <sheetData>
    <row r="1" spans="1:24" ht="12" thickBot="1" x14ac:dyDescent="0.25">
      <c r="A1" s="354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ht="12" thickBot="1" x14ac:dyDescent="0.25">
      <c r="A2" s="320"/>
      <c r="B2" s="139"/>
      <c r="C2" s="319"/>
      <c r="D2" s="319"/>
      <c r="E2" s="319"/>
      <c r="F2" s="146" t="s">
        <v>248</v>
      </c>
      <c r="G2" s="283"/>
      <c r="H2" s="283"/>
      <c r="I2" s="283"/>
      <c r="J2" s="283"/>
      <c r="K2" s="139"/>
      <c r="L2" s="283"/>
      <c r="M2" s="283"/>
      <c r="N2" s="283"/>
      <c r="O2" s="413" t="s">
        <v>267</v>
      </c>
      <c r="P2" s="412" t="s">
        <v>142</v>
      </c>
      <c r="Q2" s="139"/>
      <c r="R2" s="49"/>
    </row>
    <row r="3" spans="1:24" x14ac:dyDescent="0.2">
      <c r="A3" s="124"/>
      <c r="B3" s="283"/>
      <c r="C3" s="139"/>
      <c r="D3" s="139"/>
      <c r="E3" s="139"/>
      <c r="F3" s="139"/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_xll.ohTrigger(Q5:Q42)</f>
        <v>15</v>
      </c>
      <c r="R3" s="225"/>
    </row>
    <row r="4" spans="1:24" ht="23.25" thickBot="1" x14ac:dyDescent="0.25">
      <c r="A4" s="124"/>
      <c r="B4" s="417"/>
      <c r="C4" s="201"/>
      <c r="D4" s="201"/>
      <c r="E4" s="201"/>
      <c r="F4" s="278" t="e">
        <f ca="1">_xll.RData(F5:F42,G4:J4,"RTFEED:IDN",ReutersRtMode,,G5)</f>
        <v>#NAME?</v>
      </c>
      <c r="G4" s="351" t="s">
        <v>235</v>
      </c>
      <c r="H4" s="351" t="s">
        <v>234</v>
      </c>
      <c r="I4" s="351" t="s">
        <v>252</v>
      </c>
      <c r="J4" s="351" t="s">
        <v>271</v>
      </c>
      <c r="K4" s="310" t="s">
        <v>270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  <c r="X4" s="349" t="s">
        <v>269</v>
      </c>
    </row>
    <row r="5" spans="1:24" x14ac:dyDescent="0.2">
      <c r="A5" s="124"/>
      <c r="B5" s="287" t="s">
        <v>35</v>
      </c>
      <c r="C5" s="343" t="str">
        <f t="array" ref="C5:C42">VLOOKUP(Currency,Conventions,2)</f>
        <v>AM</v>
      </c>
      <c r="D5" s="343" t="str">
        <f t="array" ref="D5:D42">VLOOKUP(Currency,Conventions,3)</f>
        <v>6L</v>
      </c>
      <c r="E5" s="286" t="str">
        <f>Currency&amp;$C5&amp;$D5&amp;$B5</f>
        <v>USDAM6L6M</v>
      </c>
      <c r="F5" s="286" t="str">
        <f t="array" ref="F5:F42">Instruments&amp;"="&amp;VLOOKUP(Contributor,ContributorTable,2,FALSE)</f>
        <v>USDAM6L6M=ICAP</v>
      </c>
      <c r="G5" s="281" t="s">
        <v>247</v>
      </c>
      <c r="H5" s="281" t="s">
        <v>247</v>
      </c>
      <c r="I5" s="281" t="s">
        <v>247</v>
      </c>
      <c r="J5" s="281" t="s">
        <v>247</v>
      </c>
      <c r="K5" s="285" t="e">
        <f>_xll.qlMidSafe($G5,$H5)</f>
        <v>#NUM!</v>
      </c>
      <c r="L5" s="283"/>
      <c r="M5" s="284" t="e">
        <v>#NUM!</v>
      </c>
      <c r="N5" s="283"/>
      <c r="O5" s="339" t="str">
        <f>$E5&amp;$P$2</f>
        <v>USDAM6L6M_Quote</v>
      </c>
      <c r="P5" s="281" t="e">
        <f t="array" ref="P5:P42">QuoteLive</f>
        <v>#NUM!</v>
      </c>
      <c r="Q5" s="280" t="e">
        <f>_xll.qlSimpleQuoteSetValue($O5,$P5/100,Trigger)</f>
        <v>#NUM!</v>
      </c>
      <c r="R5" s="225"/>
      <c r="T5" s="415" t="s">
        <v>132</v>
      </c>
      <c r="U5" s="89" t="s">
        <v>213</v>
      </c>
      <c r="V5" s="88" t="s">
        <v>126</v>
      </c>
      <c r="X5" s="322" t="e">
        <f>(H5-K5)/50</f>
        <v>#VALUE!</v>
      </c>
    </row>
    <row r="6" spans="1:24" x14ac:dyDescent="0.2">
      <c r="A6" s="124"/>
      <c r="B6" s="287" t="s">
        <v>29</v>
      </c>
      <c r="C6" s="343" t="str">
        <v>AM</v>
      </c>
      <c r="D6" s="343" t="str">
        <v>6L</v>
      </c>
      <c r="E6" s="286" t="str">
        <f>Currency&amp;$C6&amp;$D6&amp;$B6</f>
        <v>USDAM6L1Y</v>
      </c>
      <c r="F6" s="286" t="str">
        <v>USDAM6L1Y=ICAP</v>
      </c>
      <c r="G6" s="281" t="s">
        <v>247</v>
      </c>
      <c r="H6" s="281" t="s">
        <v>247</v>
      </c>
      <c r="I6" s="281" t="s">
        <v>247</v>
      </c>
      <c r="J6" s="281" t="s">
        <v>247</v>
      </c>
      <c r="K6" s="285" t="e">
        <f>_xll.qlMidSafe($G6,$H6)</f>
        <v>#NUM!</v>
      </c>
      <c r="L6" s="283"/>
      <c r="M6" s="284" t="e">
        <v>#NUM!</v>
      </c>
      <c r="N6" s="283"/>
      <c r="O6" s="339" t="str">
        <f>$E6&amp;$P$2</f>
        <v>USDAM6L1Y_Quote</v>
      </c>
      <c r="P6" s="281" t="e">
        <v>#NUM!</v>
      </c>
      <c r="Q6" s="280" t="e">
        <f>_xll.qlSimpleQuoteSetValue($O6,$P6/100,Trigger)</f>
        <v>#NUM!</v>
      </c>
      <c r="R6" s="225"/>
      <c r="T6" s="212" t="s">
        <v>131</v>
      </c>
      <c r="U6" s="86" t="s">
        <v>213</v>
      </c>
      <c r="V6" s="85" t="s">
        <v>129</v>
      </c>
      <c r="X6" s="322" t="e">
        <f>(H6-K6)/50</f>
        <v>#VALUE!</v>
      </c>
    </row>
    <row r="7" spans="1:24" x14ac:dyDescent="0.2">
      <c r="A7" s="124"/>
      <c r="B7" s="287" t="s">
        <v>135</v>
      </c>
      <c r="C7" s="343" t="str">
        <v>AM</v>
      </c>
      <c r="D7" s="343" t="str">
        <v>6L</v>
      </c>
      <c r="E7" s="286" t="str">
        <f>Currency&amp;$C7&amp;$D7&amp;$B7</f>
        <v>USDAM6L15M</v>
      </c>
      <c r="F7" s="286" t="str">
        <v>USDAM6L15M=ICAP</v>
      </c>
      <c r="G7" s="281" t="s">
        <v>247</v>
      </c>
      <c r="H7" s="281" t="s">
        <v>247</v>
      </c>
      <c r="I7" s="281" t="s">
        <v>247</v>
      </c>
      <c r="J7" s="281" t="s">
        <v>247</v>
      </c>
      <c r="K7" s="285" t="e">
        <f>_xll.qlMidEquivalent($G7,$H7,$I7,$J7)</f>
        <v>#NUM!</v>
      </c>
      <c r="L7" s="283"/>
      <c r="M7" s="284" t="e">
        <v>#NUM!</v>
      </c>
      <c r="N7" s="283"/>
      <c r="O7" s="339" t="str">
        <f>$E7&amp;$P$2</f>
        <v>USDAM6L15M_Quote</v>
      </c>
      <c r="P7" s="281" t="e">
        <v>#NUM!</v>
      </c>
      <c r="Q7" s="280" t="e">
        <f>_xll.qlSimpleQuoteSetValue($O7,$P7/100,Trigger)</f>
        <v>#NUM!</v>
      </c>
      <c r="R7" s="225"/>
      <c r="T7" s="212" t="s">
        <v>128</v>
      </c>
      <c r="U7" s="86" t="s">
        <v>212</v>
      </c>
      <c r="V7" s="85" t="s">
        <v>126</v>
      </c>
      <c r="W7" s="416"/>
      <c r="X7" s="322" t="e">
        <f>(H7-K7)/50</f>
        <v>#VALUE!</v>
      </c>
    </row>
    <row r="8" spans="1:24" x14ac:dyDescent="0.2">
      <c r="A8" s="124"/>
      <c r="B8" s="287" t="s">
        <v>134</v>
      </c>
      <c r="C8" s="343" t="str">
        <v>AM</v>
      </c>
      <c r="D8" s="343" t="str">
        <v>6L</v>
      </c>
      <c r="E8" s="286" t="str">
        <f>Currency&amp;$C8&amp;$D8&amp;$B8</f>
        <v>USDAM6L18M</v>
      </c>
      <c r="F8" s="286" t="str">
        <v>USDAM6L18M=ICAP</v>
      </c>
      <c r="G8" s="281" t="s">
        <v>247</v>
      </c>
      <c r="H8" s="281" t="s">
        <v>247</v>
      </c>
      <c r="I8" s="281" t="s">
        <v>247</v>
      </c>
      <c r="J8" s="281" t="s">
        <v>247</v>
      </c>
      <c r="K8" s="285" t="e">
        <f>_xll.qlMidEquivalent($G8,$H8,$I8,$J8)</f>
        <v>#NUM!</v>
      </c>
      <c r="L8" s="283"/>
      <c r="M8" s="284" t="e">
        <v>#NUM!</v>
      </c>
      <c r="N8" s="283"/>
      <c r="O8" s="339" t="str">
        <f>$E8&amp;$P$2</f>
        <v>USDAM6L18M_Quote</v>
      </c>
      <c r="P8" s="281" t="e">
        <v>#NUM!</v>
      </c>
      <c r="Q8" s="280" t="e">
        <f>_xll.qlSimpleQuoteSetValue($O8,$P8/100,Trigger)</f>
        <v>#NUM!</v>
      </c>
      <c r="R8" s="225"/>
      <c r="T8" s="212" t="s">
        <v>127</v>
      </c>
      <c r="U8" s="86" t="s">
        <v>212</v>
      </c>
      <c r="V8" s="85" t="s">
        <v>126</v>
      </c>
      <c r="W8" s="416"/>
      <c r="X8" s="322" t="e">
        <f>(H8-K8)/50</f>
        <v>#VALUE!</v>
      </c>
    </row>
    <row r="9" spans="1:24" ht="12" thickBot="1" x14ac:dyDescent="0.25">
      <c r="A9" s="124"/>
      <c r="B9" s="287" t="s">
        <v>133</v>
      </c>
      <c r="C9" s="343" t="str">
        <v>AM</v>
      </c>
      <c r="D9" s="343" t="str">
        <v>6L</v>
      </c>
      <c r="E9" s="286" t="str">
        <f>Currency&amp;$C9&amp;$D9&amp;$B9</f>
        <v>USDAM6L21M</v>
      </c>
      <c r="F9" s="286" t="str">
        <v>USDAM6L21M=ICAP</v>
      </c>
      <c r="G9" s="281" t="s">
        <v>247</v>
      </c>
      <c r="H9" s="281" t="s">
        <v>247</v>
      </c>
      <c r="I9" s="281" t="s">
        <v>247</v>
      </c>
      <c r="J9" s="281" t="s">
        <v>247</v>
      </c>
      <c r="K9" s="285" t="e">
        <f>_xll.qlMidEquivalent($G9,$H9,$I9,$J9)</f>
        <v>#NUM!</v>
      </c>
      <c r="L9" s="283"/>
      <c r="M9" s="284" t="e">
        <v>#NUM!</v>
      </c>
      <c r="N9" s="283"/>
      <c r="O9" s="339" t="str">
        <f>$E9&amp;$P$2</f>
        <v>USDAM6L21M_Quote</v>
      </c>
      <c r="P9" s="281" t="e">
        <v>#NUM!</v>
      </c>
      <c r="Q9" s="280" t="e">
        <f>_xll.qlSimpleQuoteSetValue($O9,$P9/100,Trigger)</f>
        <v>#NUM!</v>
      </c>
      <c r="R9" s="225"/>
      <c r="T9" s="211" t="s">
        <v>122</v>
      </c>
      <c r="U9" s="83" t="s">
        <v>211</v>
      </c>
      <c r="V9" s="82" t="s">
        <v>126</v>
      </c>
      <c r="X9" s="322" t="e">
        <f>(H9-K9)/50</f>
        <v>#VALUE!</v>
      </c>
    </row>
    <row r="10" spans="1:24" x14ac:dyDescent="0.2">
      <c r="A10" s="124"/>
      <c r="B10" s="287" t="s">
        <v>108</v>
      </c>
      <c r="C10" s="343" t="str">
        <v>AM</v>
      </c>
      <c r="D10" s="343" t="str">
        <v>6L</v>
      </c>
      <c r="E10" s="286" t="str">
        <f>Currency&amp;$C10&amp;$D10&amp;$B10</f>
        <v>USDAM6L2Y</v>
      </c>
      <c r="F10" s="286" t="str">
        <v>USDAM6L2Y=ICAP</v>
      </c>
      <c r="G10" s="281" t="s">
        <v>247</v>
      </c>
      <c r="H10" s="281" t="s">
        <v>247</v>
      </c>
      <c r="I10" s="281" t="s">
        <v>247</v>
      </c>
      <c r="J10" s="281" t="s">
        <v>247</v>
      </c>
      <c r="K10" s="285" t="e">
        <f>_xll.qlMidEquivalent($G10,$H10,$I10,$J10)</f>
        <v>#NUM!</v>
      </c>
      <c r="L10" s="283"/>
      <c r="M10" s="284" t="e">
        <v>#NUM!</v>
      </c>
      <c r="N10" s="283"/>
      <c r="O10" s="339" t="str">
        <f>$E10&amp;$P$2</f>
        <v>USDAM6L2Y_Quote</v>
      </c>
      <c r="P10" s="281" t="e">
        <v>#NUM!</v>
      </c>
      <c r="Q10" s="280" t="e">
        <f>_xll.qlSimpleQuoteSetValue($O10,$P10/100,Trigger)</f>
        <v>#NUM!</v>
      </c>
      <c r="R10" s="225"/>
      <c r="X10" s="322" t="e">
        <f>(H10-K10)/50</f>
        <v>#VALUE!</v>
      </c>
    </row>
    <row r="11" spans="1:24" x14ac:dyDescent="0.2">
      <c r="A11" s="124"/>
      <c r="B11" s="287" t="s">
        <v>107</v>
      </c>
      <c r="C11" s="343" t="str">
        <v>AM</v>
      </c>
      <c r="D11" s="343" t="str">
        <v>6L</v>
      </c>
      <c r="E11" s="286" t="str">
        <f>Currency&amp;$C11&amp;$D11&amp;$B11</f>
        <v>USDAM6L3Y</v>
      </c>
      <c r="F11" s="286" t="str">
        <v>USDAM6L3Y=ICAP</v>
      </c>
      <c r="G11" s="281" t="s">
        <v>247</v>
      </c>
      <c r="H11" s="281" t="s">
        <v>247</v>
      </c>
      <c r="I11" s="281" t="s">
        <v>247</v>
      </c>
      <c r="J11" s="281" t="s">
        <v>247</v>
      </c>
      <c r="K11" s="285" t="e">
        <f>_xll.qlMidEquivalent($G11,$H11,$I11,$J11)</f>
        <v>#NUM!</v>
      </c>
      <c r="L11" s="283"/>
      <c r="M11" s="284" t="e">
        <v>#NUM!</v>
      </c>
      <c r="N11" s="283"/>
      <c r="O11" s="339" t="str">
        <f>$E11&amp;$P$2</f>
        <v>USDAM6L3Y_Quote</v>
      </c>
      <c r="P11" s="281" t="e">
        <v>#NUM!</v>
      </c>
      <c r="Q11" s="280" t="e">
        <f>_xll.qlSimpleQuoteSetValue($O11,$P11/100,Trigger)</f>
        <v>#NUM!</v>
      </c>
      <c r="R11" s="225"/>
      <c r="X11" s="322" t="e">
        <f>(H11-K11)/50</f>
        <v>#VALUE!</v>
      </c>
    </row>
    <row r="12" spans="1:24" x14ac:dyDescent="0.2">
      <c r="A12" s="124"/>
      <c r="B12" s="287" t="s">
        <v>106</v>
      </c>
      <c r="C12" s="343" t="str">
        <v>AM</v>
      </c>
      <c r="D12" s="343" t="str">
        <v>6L</v>
      </c>
      <c r="E12" s="286" t="str">
        <f>Currency&amp;$C12&amp;$D12&amp;$B12</f>
        <v>USDAM6L4Y</v>
      </c>
      <c r="F12" s="286" t="str">
        <v>USDAM6L4Y=ICAP</v>
      </c>
      <c r="G12" s="281" t="s">
        <v>247</v>
      </c>
      <c r="H12" s="281" t="s">
        <v>247</v>
      </c>
      <c r="I12" s="281" t="s">
        <v>247</v>
      </c>
      <c r="J12" s="281" t="s">
        <v>247</v>
      </c>
      <c r="K12" s="285" t="e">
        <f>_xll.qlMidEquivalent($G12,$H12,$I12,$J12)</f>
        <v>#NUM!</v>
      </c>
      <c r="L12" s="283"/>
      <c r="M12" s="284" t="e">
        <v>#NUM!</v>
      </c>
      <c r="N12" s="283"/>
      <c r="O12" s="339" t="str">
        <f>$E12&amp;$P$2</f>
        <v>USDAM6L4Y_Quote</v>
      </c>
      <c r="P12" s="281" t="e">
        <v>#NUM!</v>
      </c>
      <c r="Q12" s="280" t="e">
        <f>_xll.qlSimpleQuoteSetValue($O12,$P12/100,Trigger)</f>
        <v>#NUM!</v>
      </c>
      <c r="R12" s="225"/>
      <c r="X12" s="322" t="e">
        <f>(H12-K12)/50</f>
        <v>#VALUE!</v>
      </c>
    </row>
    <row r="13" spans="1:24" x14ac:dyDescent="0.2">
      <c r="A13" s="124"/>
      <c r="B13" s="287" t="s">
        <v>105</v>
      </c>
      <c r="C13" s="343" t="str">
        <v>AM</v>
      </c>
      <c r="D13" s="343" t="str">
        <v>6L</v>
      </c>
      <c r="E13" s="286" t="str">
        <f>Currency&amp;$C13&amp;$D13&amp;$B13</f>
        <v>USDAM6L5Y</v>
      </c>
      <c r="F13" s="286" t="str">
        <v>USDAM6L5Y=ICAP</v>
      </c>
      <c r="G13" s="281" t="s">
        <v>247</v>
      </c>
      <c r="H13" s="281" t="s">
        <v>247</v>
      </c>
      <c r="I13" s="281" t="s">
        <v>247</v>
      </c>
      <c r="J13" s="281" t="s">
        <v>247</v>
      </c>
      <c r="K13" s="285" t="e">
        <f>_xll.qlMidEquivalent($G13,$H13,$I13,$J13)</f>
        <v>#NUM!</v>
      </c>
      <c r="L13" s="283"/>
      <c r="M13" s="284" t="e">
        <v>#NUM!</v>
      </c>
      <c r="N13" s="283"/>
      <c r="O13" s="339" t="str">
        <f>$E13&amp;$P$2</f>
        <v>USDAM6L5Y_Quote</v>
      </c>
      <c r="P13" s="281" t="e">
        <v>#NUM!</v>
      </c>
      <c r="Q13" s="280" t="e">
        <f>_xll.qlSimpleQuoteSetValue($O13,$P13/100,Trigger)</f>
        <v>#NUM!</v>
      </c>
      <c r="R13" s="225"/>
      <c r="X13" s="322" t="e">
        <f>(H13-K13)/50</f>
        <v>#VALUE!</v>
      </c>
    </row>
    <row r="14" spans="1:24" x14ac:dyDescent="0.2">
      <c r="A14" s="124"/>
      <c r="B14" s="287" t="s">
        <v>104</v>
      </c>
      <c r="C14" s="343" t="str">
        <v>AM</v>
      </c>
      <c r="D14" s="343" t="str">
        <v>6L</v>
      </c>
      <c r="E14" s="286" t="str">
        <f>Currency&amp;$C14&amp;$D14&amp;$B14</f>
        <v>USDAM6L6Y</v>
      </c>
      <c r="F14" s="286" t="str">
        <v>USDAM6L6Y=ICAP</v>
      </c>
      <c r="G14" s="281" t="s">
        <v>247</v>
      </c>
      <c r="H14" s="281" t="s">
        <v>247</v>
      </c>
      <c r="I14" s="281" t="s">
        <v>247</v>
      </c>
      <c r="J14" s="281" t="s">
        <v>247</v>
      </c>
      <c r="K14" s="285" t="e">
        <f>_xll.qlMidEquivalent($G14,$H14,$I14,$J14)</f>
        <v>#NUM!</v>
      </c>
      <c r="L14" s="283"/>
      <c r="M14" s="284" t="e">
        <v>#NUM!</v>
      </c>
      <c r="N14" s="283"/>
      <c r="O14" s="339" t="str">
        <f>$E14&amp;$P$2</f>
        <v>USDAM6L6Y_Quote</v>
      </c>
      <c r="P14" s="281" t="e">
        <v>#NUM!</v>
      </c>
      <c r="Q14" s="280" t="e">
        <f>_xll.qlSimpleQuoteSetValue($O14,$P14/100,Trigger)</f>
        <v>#NUM!</v>
      </c>
      <c r="R14" s="225"/>
      <c r="X14" s="322" t="e">
        <f>(H14-K14)/50</f>
        <v>#VALUE!</v>
      </c>
    </row>
    <row r="15" spans="1:24" x14ac:dyDescent="0.2">
      <c r="A15" s="124"/>
      <c r="B15" s="287" t="s">
        <v>103</v>
      </c>
      <c r="C15" s="343" t="str">
        <v>AM</v>
      </c>
      <c r="D15" s="343" t="str">
        <v>6L</v>
      </c>
      <c r="E15" s="286" t="str">
        <f>Currency&amp;$C15&amp;$D15&amp;$B15</f>
        <v>USDAM6L7Y</v>
      </c>
      <c r="F15" s="286" t="str">
        <v>USDAM6L7Y=ICAP</v>
      </c>
      <c r="G15" s="281" t="s">
        <v>247</v>
      </c>
      <c r="H15" s="281" t="s">
        <v>247</v>
      </c>
      <c r="I15" s="281" t="s">
        <v>247</v>
      </c>
      <c r="J15" s="281" t="s">
        <v>247</v>
      </c>
      <c r="K15" s="285" t="e">
        <f>_xll.qlMidEquivalent($G15,$H15,$I15,$J15)</f>
        <v>#NUM!</v>
      </c>
      <c r="L15" s="283"/>
      <c r="M15" s="284" t="e">
        <v>#NUM!</v>
      </c>
      <c r="N15" s="283"/>
      <c r="O15" s="339" t="str">
        <f>$E15&amp;$P$2</f>
        <v>USDAM6L7Y_Quote</v>
      </c>
      <c r="P15" s="281" t="e">
        <v>#NUM!</v>
      </c>
      <c r="Q15" s="280" t="e">
        <f>_xll.qlSimpleQuoteSetValue($O15,$P15/100,Trigger)</f>
        <v>#NUM!</v>
      </c>
      <c r="R15" s="225"/>
      <c r="X15" s="322" t="e">
        <f>(H15-K15)/50</f>
        <v>#VALUE!</v>
      </c>
    </row>
    <row r="16" spans="1:24" x14ac:dyDescent="0.2">
      <c r="A16" s="124"/>
      <c r="B16" s="287" t="s">
        <v>102</v>
      </c>
      <c r="C16" s="343" t="str">
        <v>AM</v>
      </c>
      <c r="D16" s="343" t="str">
        <v>6L</v>
      </c>
      <c r="E16" s="286" t="str">
        <f>Currency&amp;$C16&amp;$D16&amp;$B16</f>
        <v>USDAM6L8Y</v>
      </c>
      <c r="F16" s="286" t="str">
        <v>USDAM6L8Y=ICAP</v>
      </c>
      <c r="G16" s="281" t="s">
        <v>247</v>
      </c>
      <c r="H16" s="281" t="s">
        <v>247</v>
      </c>
      <c r="I16" s="281" t="s">
        <v>247</v>
      </c>
      <c r="J16" s="281" t="s">
        <v>247</v>
      </c>
      <c r="K16" s="285" t="e">
        <f>_xll.qlMidEquivalent($G16,$H16,$I16,$J16)</f>
        <v>#NUM!</v>
      </c>
      <c r="L16" s="283"/>
      <c r="M16" s="284" t="e">
        <v>#NUM!</v>
      </c>
      <c r="N16" s="283"/>
      <c r="O16" s="339" t="str">
        <f>$E16&amp;$P$2</f>
        <v>USDAM6L8Y_Quote</v>
      </c>
      <c r="P16" s="281" t="e">
        <v>#NUM!</v>
      </c>
      <c r="Q16" s="280" t="e">
        <f>_xll.qlSimpleQuoteSetValue($O16,$P16/100,Trigger)</f>
        <v>#NUM!</v>
      </c>
      <c r="R16" s="225"/>
      <c r="X16" s="322" t="e">
        <f>(H16-K16)/50</f>
        <v>#VALUE!</v>
      </c>
    </row>
    <row r="17" spans="1:24" x14ac:dyDescent="0.2">
      <c r="A17" s="124"/>
      <c r="B17" s="287" t="s">
        <v>101</v>
      </c>
      <c r="C17" s="343" t="str">
        <v>AM</v>
      </c>
      <c r="D17" s="343" t="str">
        <v>6L</v>
      </c>
      <c r="E17" s="286" t="str">
        <f>Currency&amp;$C17&amp;$D17&amp;$B17</f>
        <v>USDAM6L9Y</v>
      </c>
      <c r="F17" s="286" t="str">
        <v>USDAM6L9Y=ICAP</v>
      </c>
      <c r="G17" s="281" t="s">
        <v>247</v>
      </c>
      <c r="H17" s="281" t="s">
        <v>247</v>
      </c>
      <c r="I17" s="281" t="s">
        <v>247</v>
      </c>
      <c r="J17" s="281" t="s">
        <v>247</v>
      </c>
      <c r="K17" s="285" t="e">
        <f>_xll.qlMidEquivalent($G17,$H17,$I17,$J17)</f>
        <v>#NUM!</v>
      </c>
      <c r="L17" s="283"/>
      <c r="M17" s="284" t="e">
        <v>#NUM!</v>
      </c>
      <c r="N17" s="283"/>
      <c r="O17" s="339" t="str">
        <f>$E17&amp;$P$2</f>
        <v>USDAM6L9Y_Quote</v>
      </c>
      <c r="P17" s="281" t="e">
        <v>#NUM!</v>
      </c>
      <c r="Q17" s="280" t="e">
        <f>_xll.qlSimpleQuoteSetValue($O17,$P17/100,Trigger)</f>
        <v>#NUM!</v>
      </c>
      <c r="R17" s="225"/>
      <c r="X17" s="322" t="e">
        <f>(H17-K17)/50</f>
        <v>#VALUE!</v>
      </c>
    </row>
    <row r="18" spans="1:24" x14ac:dyDescent="0.2">
      <c r="A18" s="124"/>
      <c r="B18" s="287" t="s">
        <v>100</v>
      </c>
      <c r="C18" s="343" t="str">
        <v>AM</v>
      </c>
      <c r="D18" s="343" t="str">
        <v>6L</v>
      </c>
      <c r="E18" s="286" t="str">
        <f>Currency&amp;$C18&amp;$D18&amp;$B18</f>
        <v>USDAM6L10Y</v>
      </c>
      <c r="F18" s="286" t="str">
        <v>USDAM6L10Y=ICAP</v>
      </c>
      <c r="G18" s="281" t="s">
        <v>247</v>
      </c>
      <c r="H18" s="281" t="s">
        <v>247</v>
      </c>
      <c r="I18" s="281" t="s">
        <v>247</v>
      </c>
      <c r="J18" s="281" t="s">
        <v>247</v>
      </c>
      <c r="K18" s="285" t="e">
        <f>_xll.qlMidEquivalent($G18,$H18,$I18,$J18)</f>
        <v>#NUM!</v>
      </c>
      <c r="L18" s="283"/>
      <c r="M18" s="284" t="e">
        <v>#NUM!</v>
      </c>
      <c r="N18" s="283"/>
      <c r="O18" s="339" t="str">
        <f>$E18&amp;$P$2</f>
        <v>USDAM6L10Y_Quote</v>
      </c>
      <c r="P18" s="281" t="e">
        <v>#NUM!</v>
      </c>
      <c r="Q18" s="280" t="e">
        <f>_xll.qlSimpleQuoteSetValue($O18,$P18/100,Trigger)</f>
        <v>#NUM!</v>
      </c>
      <c r="R18" s="225"/>
      <c r="X18" s="322" t="e">
        <f>(H18-K18)/50</f>
        <v>#VALUE!</v>
      </c>
    </row>
    <row r="19" spans="1:24" x14ac:dyDescent="0.2">
      <c r="A19" s="124"/>
      <c r="B19" s="287" t="s">
        <v>99</v>
      </c>
      <c r="C19" s="343" t="str">
        <v>AM</v>
      </c>
      <c r="D19" s="343" t="str">
        <v>6L</v>
      </c>
      <c r="E19" s="286" t="str">
        <f>Currency&amp;$C19&amp;$D19&amp;$B19</f>
        <v>USDAM6L11Y</v>
      </c>
      <c r="F19" s="286" t="str">
        <v>USDAM6L11Y=ICAP</v>
      </c>
      <c r="G19" s="281" t="s">
        <v>247</v>
      </c>
      <c r="H19" s="281" t="s">
        <v>247</v>
      </c>
      <c r="I19" s="281" t="s">
        <v>247</v>
      </c>
      <c r="J19" s="281" t="s">
        <v>247</v>
      </c>
      <c r="K19" s="285" t="e">
        <f>_xll.qlMidEquivalent($G19,$H19,$I19,$J19)</f>
        <v>#NUM!</v>
      </c>
      <c r="L19" s="283"/>
      <c r="M19" s="284" t="e">
        <v>#NUM!</v>
      </c>
      <c r="N19" s="283"/>
      <c r="O19" s="339" t="str">
        <f>$E19&amp;$P$2</f>
        <v>USDAM6L11Y_Quote</v>
      </c>
      <c r="P19" s="281" t="e">
        <v>#NUM!</v>
      </c>
      <c r="Q19" s="280" t="e">
        <f>_xll.qlSimpleQuoteSetValue($O19,$P19/100,Trigger)</f>
        <v>#NUM!</v>
      </c>
      <c r="R19" s="225"/>
      <c r="X19" s="322" t="e">
        <f>(H19-K19)/50</f>
        <v>#VALUE!</v>
      </c>
    </row>
    <row r="20" spans="1:24" x14ac:dyDescent="0.2">
      <c r="A20" s="124"/>
      <c r="B20" s="287" t="s">
        <v>98</v>
      </c>
      <c r="C20" s="343" t="str">
        <v>AM</v>
      </c>
      <c r="D20" s="343" t="str">
        <v>6L</v>
      </c>
      <c r="E20" s="286" t="str">
        <f>Currency&amp;$C20&amp;$D20&amp;$B20</f>
        <v>USDAM6L12Y</v>
      </c>
      <c r="F20" s="286" t="str">
        <v>USDAM6L12Y=ICAP</v>
      </c>
      <c r="G20" s="281" t="s">
        <v>247</v>
      </c>
      <c r="H20" s="281" t="s">
        <v>247</v>
      </c>
      <c r="I20" s="281" t="s">
        <v>247</v>
      </c>
      <c r="J20" s="281" t="s">
        <v>247</v>
      </c>
      <c r="K20" s="285" t="e">
        <f>_xll.qlMidEquivalent($G20,$H20,$I20,$J20)</f>
        <v>#NUM!</v>
      </c>
      <c r="L20" s="283"/>
      <c r="M20" s="284" t="e">
        <v>#NUM!</v>
      </c>
      <c r="N20" s="283"/>
      <c r="O20" s="339" t="str">
        <f>$E20&amp;$P$2</f>
        <v>USDAM6L12Y_Quote</v>
      </c>
      <c r="P20" s="281" t="e">
        <v>#NUM!</v>
      </c>
      <c r="Q20" s="280" t="e">
        <f>_xll.qlSimpleQuoteSetValue($O20,$P20/100,Trigger)</f>
        <v>#NUM!</v>
      </c>
      <c r="R20" s="225"/>
      <c r="X20" s="322" t="e">
        <f>(H20-K20)/50</f>
        <v>#VALUE!</v>
      </c>
    </row>
    <row r="21" spans="1:24" x14ac:dyDescent="0.2">
      <c r="A21" s="124"/>
      <c r="B21" s="287" t="s">
        <v>97</v>
      </c>
      <c r="C21" s="343" t="str">
        <v>AM</v>
      </c>
      <c r="D21" s="343" t="str">
        <v>6L</v>
      </c>
      <c r="E21" s="286" t="str">
        <f>Currency&amp;$C21&amp;$D21&amp;$B21</f>
        <v>USDAM6L13Y</v>
      </c>
      <c r="F21" s="286" t="str">
        <v>USDAM6L13Y=ICAP</v>
      </c>
      <c r="G21" s="281" t="s">
        <v>247</v>
      </c>
      <c r="H21" s="281" t="s">
        <v>247</v>
      </c>
      <c r="I21" s="281" t="s">
        <v>247</v>
      </c>
      <c r="J21" s="281" t="s">
        <v>247</v>
      </c>
      <c r="K21" s="285" t="e">
        <f>_xll.qlMidEquivalent($G21,$H21,$I21,$J21)</f>
        <v>#NUM!</v>
      </c>
      <c r="L21" s="283"/>
      <c r="M21" s="284" t="e">
        <v>#NUM!</v>
      </c>
      <c r="N21" s="283"/>
      <c r="O21" s="339" t="str">
        <f>$E21&amp;$P$2</f>
        <v>USDAM6L13Y_Quote</v>
      </c>
      <c r="P21" s="281" t="e">
        <v>#NUM!</v>
      </c>
      <c r="Q21" s="280" t="e">
        <f>_xll.qlSimpleQuoteSetValue($O21,$P21/100,Trigger)</f>
        <v>#NUM!</v>
      </c>
      <c r="R21" s="225"/>
      <c r="X21" s="322" t="e">
        <f>(H21-K21)/50</f>
        <v>#VALUE!</v>
      </c>
    </row>
    <row r="22" spans="1:24" x14ac:dyDescent="0.2">
      <c r="A22" s="124"/>
      <c r="B22" s="287" t="s">
        <v>96</v>
      </c>
      <c r="C22" s="343" t="str">
        <v>AM</v>
      </c>
      <c r="D22" s="343" t="str">
        <v>6L</v>
      </c>
      <c r="E22" s="286" t="str">
        <f>Currency&amp;$C22&amp;$D22&amp;$B22</f>
        <v>USDAM6L14Y</v>
      </c>
      <c r="F22" s="286" t="str">
        <v>USDAM6L14Y=ICAP</v>
      </c>
      <c r="G22" s="281" t="s">
        <v>247</v>
      </c>
      <c r="H22" s="281" t="s">
        <v>247</v>
      </c>
      <c r="I22" s="281" t="s">
        <v>247</v>
      </c>
      <c r="J22" s="281" t="s">
        <v>247</v>
      </c>
      <c r="K22" s="285" t="e">
        <f>_xll.qlMidEquivalent($G22,$H22,$I22,$J22)</f>
        <v>#NUM!</v>
      </c>
      <c r="L22" s="283"/>
      <c r="M22" s="284" t="e">
        <v>#NUM!</v>
      </c>
      <c r="N22" s="283"/>
      <c r="O22" s="339" t="str">
        <f>$E22&amp;$P$2</f>
        <v>USDAM6L14Y_Quote</v>
      </c>
      <c r="P22" s="281" t="e">
        <v>#NUM!</v>
      </c>
      <c r="Q22" s="280" t="e">
        <f>_xll.qlSimpleQuoteSetValue($O22,$P22/100,Trigger)</f>
        <v>#NUM!</v>
      </c>
      <c r="R22" s="225"/>
      <c r="X22" s="322" t="e">
        <f>(H22-K22)/50</f>
        <v>#VALUE!</v>
      </c>
    </row>
    <row r="23" spans="1:24" x14ac:dyDescent="0.2">
      <c r="A23" s="124"/>
      <c r="B23" s="287" t="s">
        <v>95</v>
      </c>
      <c r="C23" s="343" t="str">
        <v>AM</v>
      </c>
      <c r="D23" s="343" t="str">
        <v>6L</v>
      </c>
      <c r="E23" s="286" t="str">
        <f>Currency&amp;$C23&amp;$D23&amp;$B23</f>
        <v>USDAM6L15Y</v>
      </c>
      <c r="F23" s="286" t="str">
        <v>USDAM6L15Y=ICAP</v>
      </c>
      <c r="G23" s="281" t="s">
        <v>247</v>
      </c>
      <c r="H23" s="281" t="s">
        <v>247</v>
      </c>
      <c r="I23" s="281" t="s">
        <v>247</v>
      </c>
      <c r="J23" s="281" t="s">
        <v>247</v>
      </c>
      <c r="K23" s="285" t="e">
        <f>_xll.qlMidEquivalent($G23,$H23,$I23,$J23)</f>
        <v>#NUM!</v>
      </c>
      <c r="L23" s="283"/>
      <c r="M23" s="284" t="e">
        <v>#NUM!</v>
      </c>
      <c r="N23" s="283"/>
      <c r="O23" s="339" t="str">
        <f>$E23&amp;$P$2</f>
        <v>USDAM6L15Y_Quote</v>
      </c>
      <c r="P23" s="281" t="e">
        <v>#NUM!</v>
      </c>
      <c r="Q23" s="280" t="e">
        <f>_xll.qlSimpleQuoteSetValue($O23,$P23/100,Trigger)</f>
        <v>#NUM!</v>
      </c>
      <c r="R23" s="225"/>
      <c r="X23" s="322" t="e">
        <f>(H23-K23)/50</f>
        <v>#VALUE!</v>
      </c>
    </row>
    <row r="24" spans="1:24" x14ac:dyDescent="0.2">
      <c r="A24" s="124"/>
      <c r="B24" s="287" t="s">
        <v>94</v>
      </c>
      <c r="C24" s="343" t="str">
        <v>AM</v>
      </c>
      <c r="D24" s="343" t="str">
        <v>6L</v>
      </c>
      <c r="E24" s="286" t="str">
        <f>Currency&amp;$C24&amp;$D24&amp;$B24</f>
        <v>USDAM6L16Y</v>
      </c>
      <c r="F24" s="286" t="str">
        <v>USDAM6L16Y=ICAP</v>
      </c>
      <c r="G24" s="281" t="s">
        <v>247</v>
      </c>
      <c r="H24" s="281" t="s">
        <v>247</v>
      </c>
      <c r="I24" s="281" t="s">
        <v>247</v>
      </c>
      <c r="J24" s="281" t="s">
        <v>247</v>
      </c>
      <c r="K24" s="285" t="e">
        <f>_xll.qlMidEquivalent($G24,$H24,$I24,$J24)</f>
        <v>#NUM!</v>
      </c>
      <c r="L24" s="283"/>
      <c r="M24" s="284" t="e">
        <v>#NUM!</v>
      </c>
      <c r="N24" s="283"/>
      <c r="O24" s="339" t="str">
        <f>$E24&amp;$P$2</f>
        <v>USDAM6L16Y_Quote</v>
      </c>
      <c r="P24" s="281" t="e">
        <v>#NUM!</v>
      </c>
      <c r="Q24" s="280" t="e">
        <f>_xll.qlSimpleQuoteSetValue($O24,$P24/100,Trigger)</f>
        <v>#NUM!</v>
      </c>
      <c r="R24" s="225"/>
      <c r="X24" s="322" t="e">
        <f>(H24-K24)/50</f>
        <v>#VALUE!</v>
      </c>
    </row>
    <row r="25" spans="1:24" x14ac:dyDescent="0.2">
      <c r="A25" s="124"/>
      <c r="B25" s="287" t="s">
        <v>93</v>
      </c>
      <c r="C25" s="343" t="str">
        <v>AM</v>
      </c>
      <c r="D25" s="343" t="str">
        <v>6L</v>
      </c>
      <c r="E25" s="286" t="str">
        <f>Currency&amp;$C25&amp;$D25&amp;$B25</f>
        <v>USDAM6L17Y</v>
      </c>
      <c r="F25" s="286" t="str">
        <v>USDAM6L17Y=ICAP</v>
      </c>
      <c r="G25" s="281" t="s">
        <v>247</v>
      </c>
      <c r="H25" s="281" t="s">
        <v>247</v>
      </c>
      <c r="I25" s="281" t="s">
        <v>247</v>
      </c>
      <c r="J25" s="281" t="s">
        <v>247</v>
      </c>
      <c r="K25" s="285" t="e">
        <f>_xll.qlMidEquivalent($G25,$H25,$I25,$J25)</f>
        <v>#NUM!</v>
      </c>
      <c r="L25" s="283"/>
      <c r="M25" s="284" t="e">
        <v>#NUM!</v>
      </c>
      <c r="N25" s="283"/>
      <c r="O25" s="339" t="str">
        <f>$E25&amp;$P$2</f>
        <v>USDAM6L17Y_Quote</v>
      </c>
      <c r="P25" s="281" t="e">
        <v>#NUM!</v>
      </c>
      <c r="Q25" s="280" t="e">
        <f>_xll.qlSimpleQuoteSetValue($O25,$P25/100,Trigger)</f>
        <v>#NUM!</v>
      </c>
      <c r="R25" s="225"/>
      <c r="X25" s="322" t="e">
        <f>(H25-K25)/50</f>
        <v>#VALUE!</v>
      </c>
    </row>
    <row r="26" spans="1:24" x14ac:dyDescent="0.2">
      <c r="A26" s="124"/>
      <c r="B26" s="287" t="s">
        <v>92</v>
      </c>
      <c r="C26" s="343" t="str">
        <v>AM</v>
      </c>
      <c r="D26" s="343" t="str">
        <v>6L</v>
      </c>
      <c r="E26" s="286" t="str">
        <f>Currency&amp;$C26&amp;$D26&amp;$B26</f>
        <v>USDAM6L18Y</v>
      </c>
      <c r="F26" s="286" t="str">
        <v>USDAM6L18Y=ICAP</v>
      </c>
      <c r="G26" s="281" t="s">
        <v>247</v>
      </c>
      <c r="H26" s="281" t="s">
        <v>247</v>
      </c>
      <c r="I26" s="281" t="s">
        <v>247</v>
      </c>
      <c r="J26" s="281" t="s">
        <v>247</v>
      </c>
      <c r="K26" s="285" t="e">
        <f>_xll.qlMidEquivalent($G26,$H26,$I26,$J26)</f>
        <v>#NUM!</v>
      </c>
      <c r="L26" s="283"/>
      <c r="M26" s="284" t="e">
        <v>#NUM!</v>
      </c>
      <c r="N26" s="283"/>
      <c r="O26" s="339" t="str">
        <f>$E26&amp;$P$2</f>
        <v>USDAM6L18Y_Quote</v>
      </c>
      <c r="P26" s="281" t="e">
        <v>#NUM!</v>
      </c>
      <c r="Q26" s="280" t="e">
        <f>_xll.qlSimpleQuoteSetValue($O26,$P26/100,Trigger)</f>
        <v>#NUM!</v>
      </c>
      <c r="R26" s="225"/>
      <c r="X26" s="322" t="e">
        <f>(H26-K26)/50</f>
        <v>#VALUE!</v>
      </c>
    </row>
    <row r="27" spans="1:24" x14ac:dyDescent="0.2">
      <c r="A27" s="124"/>
      <c r="B27" s="287" t="s">
        <v>91</v>
      </c>
      <c r="C27" s="343" t="str">
        <v>AM</v>
      </c>
      <c r="D27" s="343" t="str">
        <v>6L</v>
      </c>
      <c r="E27" s="286" t="str">
        <f>Currency&amp;$C27&amp;$D27&amp;$B27</f>
        <v>USDAM6L19Y</v>
      </c>
      <c r="F27" s="286" t="str">
        <v>USDAM6L19Y=ICAP</v>
      </c>
      <c r="G27" s="281" t="s">
        <v>247</v>
      </c>
      <c r="H27" s="281" t="s">
        <v>247</v>
      </c>
      <c r="I27" s="281" t="s">
        <v>247</v>
      </c>
      <c r="J27" s="281" t="s">
        <v>247</v>
      </c>
      <c r="K27" s="285" t="e">
        <f>_xll.qlMidEquivalent($G27,$H27,$I27,$J27)</f>
        <v>#NUM!</v>
      </c>
      <c r="L27" s="283"/>
      <c r="M27" s="284" t="e">
        <v>#NUM!</v>
      </c>
      <c r="N27" s="283"/>
      <c r="O27" s="339" t="str">
        <f>$E27&amp;$P$2</f>
        <v>USDAM6L19Y_Quote</v>
      </c>
      <c r="P27" s="281" t="e">
        <v>#NUM!</v>
      </c>
      <c r="Q27" s="280" t="e">
        <f>_xll.qlSimpleQuoteSetValue($O27,$P27/100,Trigger)</f>
        <v>#NUM!</v>
      </c>
      <c r="R27" s="225"/>
      <c r="X27" s="322" t="e">
        <f>(H27-K27)/50</f>
        <v>#VALUE!</v>
      </c>
    </row>
    <row r="28" spans="1:24" x14ac:dyDescent="0.2">
      <c r="A28" s="124"/>
      <c r="B28" s="287" t="s">
        <v>90</v>
      </c>
      <c r="C28" s="343" t="str">
        <v>AM</v>
      </c>
      <c r="D28" s="343" t="str">
        <v>6L</v>
      </c>
      <c r="E28" s="286" t="str">
        <f>Currency&amp;$C28&amp;$D28&amp;$B28</f>
        <v>USDAM6L20Y</v>
      </c>
      <c r="F28" s="286" t="str">
        <v>USDAM6L20Y=ICAP</v>
      </c>
      <c r="G28" s="281" t="s">
        <v>247</v>
      </c>
      <c r="H28" s="281" t="s">
        <v>247</v>
      </c>
      <c r="I28" s="281" t="s">
        <v>247</v>
      </c>
      <c r="J28" s="281" t="s">
        <v>247</v>
      </c>
      <c r="K28" s="285" t="e">
        <f>_xll.qlMidEquivalent($G28,$H28,$I28,$J28)</f>
        <v>#NUM!</v>
      </c>
      <c r="L28" s="283"/>
      <c r="M28" s="284" t="e">
        <v>#NUM!</v>
      </c>
      <c r="N28" s="283"/>
      <c r="O28" s="339" t="str">
        <f>$E28&amp;$P$2</f>
        <v>USDAM6L20Y_Quote</v>
      </c>
      <c r="P28" s="281" t="e">
        <v>#NUM!</v>
      </c>
      <c r="Q28" s="280" t="e">
        <f>_xll.qlSimpleQuoteSetValue($O28,$P28/100,Trigger)</f>
        <v>#NUM!</v>
      </c>
      <c r="R28" s="225"/>
      <c r="X28" s="322" t="e">
        <f>(H28-K28)/50</f>
        <v>#VALUE!</v>
      </c>
    </row>
    <row r="29" spans="1:24" x14ac:dyDescent="0.2">
      <c r="A29" s="124"/>
      <c r="B29" s="287" t="s">
        <v>89</v>
      </c>
      <c r="C29" s="343" t="str">
        <v>AM</v>
      </c>
      <c r="D29" s="343" t="str">
        <v>6L</v>
      </c>
      <c r="E29" s="286" t="str">
        <f>Currency&amp;$C29&amp;$D29&amp;$B29</f>
        <v>USDAM6L21Y</v>
      </c>
      <c r="F29" s="286" t="str">
        <v>USDAM6L21Y=ICAP</v>
      </c>
      <c r="G29" s="281" t="s">
        <v>247</v>
      </c>
      <c r="H29" s="281" t="s">
        <v>247</v>
      </c>
      <c r="I29" s="281" t="s">
        <v>247</v>
      </c>
      <c r="J29" s="281" t="s">
        <v>247</v>
      </c>
      <c r="K29" s="285" t="e">
        <f>_xll.qlMidEquivalent($G29,$H29,$I29,$J29)</f>
        <v>#NUM!</v>
      </c>
      <c r="L29" s="283"/>
      <c r="M29" s="284" t="e">
        <v>#NUM!</v>
      </c>
      <c r="N29" s="283"/>
      <c r="O29" s="339" t="str">
        <f>$E29&amp;$P$2</f>
        <v>USDAM6L21Y_Quote</v>
      </c>
      <c r="P29" s="281" t="e">
        <v>#NUM!</v>
      </c>
      <c r="Q29" s="280" t="e">
        <f>_xll.qlSimpleQuoteSetValue($O29,$P29/100,Trigger)</f>
        <v>#NUM!</v>
      </c>
      <c r="R29" s="225"/>
      <c r="X29" s="322" t="e">
        <f>(H29-K29)/50</f>
        <v>#VALUE!</v>
      </c>
    </row>
    <row r="30" spans="1:24" x14ac:dyDescent="0.2">
      <c r="A30" s="124"/>
      <c r="B30" s="287" t="s">
        <v>88</v>
      </c>
      <c r="C30" s="343" t="str">
        <v>AM</v>
      </c>
      <c r="D30" s="343" t="str">
        <v>6L</v>
      </c>
      <c r="E30" s="286" t="str">
        <f>Currency&amp;$C30&amp;$D30&amp;$B30</f>
        <v>USDAM6L22Y</v>
      </c>
      <c r="F30" s="286" t="str">
        <v>USDAM6L22Y=ICAP</v>
      </c>
      <c r="G30" s="281" t="s">
        <v>247</v>
      </c>
      <c r="H30" s="281" t="s">
        <v>247</v>
      </c>
      <c r="I30" s="281" t="s">
        <v>247</v>
      </c>
      <c r="J30" s="281" t="s">
        <v>247</v>
      </c>
      <c r="K30" s="285" t="e">
        <f>_xll.qlMidEquivalent($G30,$H30,$I30,$J30)</f>
        <v>#NUM!</v>
      </c>
      <c r="L30" s="283"/>
      <c r="M30" s="284" t="e">
        <v>#NUM!</v>
      </c>
      <c r="N30" s="283"/>
      <c r="O30" s="339" t="str">
        <f>$E30&amp;$P$2</f>
        <v>USDAM6L22Y_Quote</v>
      </c>
      <c r="P30" s="281" t="e">
        <v>#NUM!</v>
      </c>
      <c r="Q30" s="280" t="e">
        <f>_xll.qlSimpleQuoteSetValue($O30,$P30/100,Trigger)</f>
        <v>#NUM!</v>
      </c>
      <c r="R30" s="225"/>
      <c r="X30" s="322" t="e">
        <f>(H30-K30)/50</f>
        <v>#VALUE!</v>
      </c>
    </row>
    <row r="31" spans="1:24" x14ac:dyDescent="0.2">
      <c r="A31" s="124"/>
      <c r="B31" s="287" t="s">
        <v>87</v>
      </c>
      <c r="C31" s="343" t="str">
        <v>AM</v>
      </c>
      <c r="D31" s="343" t="str">
        <v>6L</v>
      </c>
      <c r="E31" s="286" t="str">
        <f>Currency&amp;$C31&amp;$D31&amp;$B31</f>
        <v>USDAM6L23Y</v>
      </c>
      <c r="F31" s="286" t="str">
        <v>USDAM6L23Y=ICAP</v>
      </c>
      <c r="G31" s="281" t="s">
        <v>247</v>
      </c>
      <c r="H31" s="281" t="s">
        <v>247</v>
      </c>
      <c r="I31" s="281" t="s">
        <v>247</v>
      </c>
      <c r="J31" s="281" t="s">
        <v>247</v>
      </c>
      <c r="K31" s="285" t="e">
        <f>_xll.qlMidEquivalent($G31,$H31,$I31,$J31)</f>
        <v>#NUM!</v>
      </c>
      <c r="L31" s="283"/>
      <c r="M31" s="284" t="e">
        <v>#NUM!</v>
      </c>
      <c r="N31" s="283"/>
      <c r="O31" s="339" t="str">
        <f>$E31&amp;$P$2</f>
        <v>USDAM6L23Y_Quote</v>
      </c>
      <c r="P31" s="281" t="e">
        <v>#NUM!</v>
      </c>
      <c r="Q31" s="280" t="e">
        <f>_xll.qlSimpleQuoteSetValue($O31,$P31/100,Trigger)</f>
        <v>#NUM!</v>
      </c>
      <c r="R31" s="225"/>
      <c r="X31" s="322" t="e">
        <f>(H31-K31)/50</f>
        <v>#VALUE!</v>
      </c>
    </row>
    <row r="32" spans="1:24" x14ac:dyDescent="0.2">
      <c r="A32" s="124"/>
      <c r="B32" s="287" t="s">
        <v>86</v>
      </c>
      <c r="C32" s="343" t="str">
        <v>AM</v>
      </c>
      <c r="D32" s="343" t="str">
        <v>6L</v>
      </c>
      <c r="E32" s="286" t="str">
        <f>Currency&amp;$C32&amp;$D32&amp;$B32</f>
        <v>USDAM6L24Y</v>
      </c>
      <c r="F32" s="286" t="str">
        <v>USDAM6L24Y=ICAP</v>
      </c>
      <c r="G32" s="281" t="s">
        <v>247</v>
      </c>
      <c r="H32" s="281" t="s">
        <v>247</v>
      </c>
      <c r="I32" s="281" t="s">
        <v>247</v>
      </c>
      <c r="J32" s="281" t="s">
        <v>247</v>
      </c>
      <c r="K32" s="285" t="e">
        <f>_xll.qlMidEquivalent($G32,$H32,$I32,$J32)</f>
        <v>#NUM!</v>
      </c>
      <c r="L32" s="283"/>
      <c r="M32" s="284" t="e">
        <v>#NUM!</v>
      </c>
      <c r="N32" s="283"/>
      <c r="O32" s="339" t="str">
        <f>$E32&amp;$P$2</f>
        <v>USDAM6L24Y_Quote</v>
      </c>
      <c r="P32" s="281" t="e">
        <v>#NUM!</v>
      </c>
      <c r="Q32" s="280" t="e">
        <f>_xll.qlSimpleQuoteSetValue($O32,$P32/100,Trigger)</f>
        <v>#NUM!</v>
      </c>
      <c r="R32" s="225"/>
      <c r="X32" s="322" t="e">
        <f>(H32-K32)/50</f>
        <v>#VALUE!</v>
      </c>
    </row>
    <row r="33" spans="1:24" x14ac:dyDescent="0.2">
      <c r="A33" s="124"/>
      <c r="B33" s="287" t="s">
        <v>85</v>
      </c>
      <c r="C33" s="343" t="str">
        <v>AM</v>
      </c>
      <c r="D33" s="343" t="str">
        <v>6L</v>
      </c>
      <c r="E33" s="286" t="str">
        <f>Currency&amp;$C33&amp;$D33&amp;$B33</f>
        <v>USDAM6L25Y</v>
      </c>
      <c r="F33" s="286" t="str">
        <v>USDAM6L25Y=ICAP</v>
      </c>
      <c r="G33" s="281" t="s">
        <v>247</v>
      </c>
      <c r="H33" s="281" t="s">
        <v>247</v>
      </c>
      <c r="I33" s="281" t="s">
        <v>247</v>
      </c>
      <c r="J33" s="281" t="s">
        <v>247</v>
      </c>
      <c r="K33" s="285" t="e">
        <f>_xll.qlMidEquivalent($G33,$H33,$I33,$J33)</f>
        <v>#NUM!</v>
      </c>
      <c r="L33" s="283"/>
      <c r="M33" s="284" t="e">
        <v>#NUM!</v>
      </c>
      <c r="N33" s="283"/>
      <c r="O33" s="339" t="str">
        <f>$E33&amp;$P$2</f>
        <v>USDAM6L25Y_Quote</v>
      </c>
      <c r="P33" s="281" t="e">
        <v>#NUM!</v>
      </c>
      <c r="Q33" s="280" t="e">
        <f>_xll.qlSimpleQuoteSetValue($O33,$P33/100,Trigger)</f>
        <v>#NUM!</v>
      </c>
      <c r="R33" s="225"/>
      <c r="X33" s="322" t="e">
        <f>(H33-K33)/50</f>
        <v>#VALUE!</v>
      </c>
    </row>
    <row r="34" spans="1:24" x14ac:dyDescent="0.2">
      <c r="A34" s="124"/>
      <c r="B34" s="287" t="s">
        <v>84</v>
      </c>
      <c r="C34" s="343" t="str">
        <v>AM</v>
      </c>
      <c r="D34" s="343" t="str">
        <v>6L</v>
      </c>
      <c r="E34" s="286" t="str">
        <f>Currency&amp;$C34&amp;$D34&amp;$B34</f>
        <v>USDAM6L26Y</v>
      </c>
      <c r="F34" s="286" t="str">
        <v>USDAM6L26Y=ICAP</v>
      </c>
      <c r="G34" s="281" t="s">
        <v>247</v>
      </c>
      <c r="H34" s="281" t="s">
        <v>247</v>
      </c>
      <c r="I34" s="281" t="s">
        <v>247</v>
      </c>
      <c r="J34" s="281" t="s">
        <v>247</v>
      </c>
      <c r="K34" s="285" t="e">
        <f>_xll.qlMidEquivalent($G34,$H34,$I34,$J34)</f>
        <v>#NUM!</v>
      </c>
      <c r="L34" s="283"/>
      <c r="M34" s="284" t="e">
        <v>#NUM!</v>
      </c>
      <c r="N34" s="283"/>
      <c r="O34" s="339" t="str">
        <f>$E34&amp;$P$2</f>
        <v>USDAM6L26Y_Quote</v>
      </c>
      <c r="P34" s="281" t="e">
        <v>#NUM!</v>
      </c>
      <c r="Q34" s="280" t="e">
        <f>_xll.qlSimpleQuoteSetValue($O34,$P34/100,Trigger)</f>
        <v>#NUM!</v>
      </c>
      <c r="R34" s="225"/>
      <c r="X34" s="322" t="e">
        <f>(H34-K34)/50</f>
        <v>#VALUE!</v>
      </c>
    </row>
    <row r="35" spans="1:24" x14ac:dyDescent="0.2">
      <c r="A35" s="124"/>
      <c r="B35" s="287" t="s">
        <v>83</v>
      </c>
      <c r="C35" s="343" t="str">
        <v>AM</v>
      </c>
      <c r="D35" s="343" t="str">
        <v>6L</v>
      </c>
      <c r="E35" s="286" t="str">
        <f>Currency&amp;$C35&amp;$D35&amp;$B35</f>
        <v>USDAM6L27Y</v>
      </c>
      <c r="F35" s="286" t="str">
        <v>USDAM6L27Y=ICAP</v>
      </c>
      <c r="G35" s="281" t="s">
        <v>247</v>
      </c>
      <c r="H35" s="281" t="s">
        <v>247</v>
      </c>
      <c r="I35" s="281" t="s">
        <v>247</v>
      </c>
      <c r="J35" s="281" t="s">
        <v>247</v>
      </c>
      <c r="K35" s="285" t="e">
        <f>_xll.qlMidEquivalent($G35,$H35,$I35,$J35)</f>
        <v>#NUM!</v>
      </c>
      <c r="L35" s="283"/>
      <c r="M35" s="284" t="e">
        <v>#NUM!</v>
      </c>
      <c r="N35" s="283"/>
      <c r="O35" s="339" t="str">
        <f>$E35&amp;$P$2</f>
        <v>USDAM6L27Y_Quote</v>
      </c>
      <c r="P35" s="281" t="e">
        <v>#NUM!</v>
      </c>
      <c r="Q35" s="280" t="e">
        <f>_xll.qlSimpleQuoteSetValue($O35,$P35/100,Trigger)</f>
        <v>#NUM!</v>
      </c>
      <c r="R35" s="225"/>
      <c r="X35" s="322" t="e">
        <f>(H35-K35)/50</f>
        <v>#VALUE!</v>
      </c>
    </row>
    <row r="36" spans="1:24" x14ac:dyDescent="0.2">
      <c r="A36" s="124"/>
      <c r="B36" s="287" t="s">
        <v>82</v>
      </c>
      <c r="C36" s="343" t="str">
        <v>AM</v>
      </c>
      <c r="D36" s="343" t="str">
        <v>6L</v>
      </c>
      <c r="E36" s="286" t="str">
        <f>Currency&amp;$C36&amp;$D36&amp;$B36</f>
        <v>USDAM6L28Y</v>
      </c>
      <c r="F36" s="286" t="str">
        <v>USDAM6L28Y=ICAP</v>
      </c>
      <c r="G36" s="281" t="s">
        <v>247</v>
      </c>
      <c r="H36" s="281" t="s">
        <v>247</v>
      </c>
      <c r="I36" s="281" t="s">
        <v>247</v>
      </c>
      <c r="J36" s="281" t="s">
        <v>247</v>
      </c>
      <c r="K36" s="285" t="e">
        <f>_xll.qlMidEquivalent($G36,$H36,$I36,$J36)</f>
        <v>#NUM!</v>
      </c>
      <c r="L36" s="283"/>
      <c r="M36" s="284" t="e">
        <v>#NUM!</v>
      </c>
      <c r="N36" s="283"/>
      <c r="O36" s="339" t="str">
        <f>$E36&amp;$P$2</f>
        <v>USDAM6L28Y_Quote</v>
      </c>
      <c r="P36" s="281" t="e">
        <v>#NUM!</v>
      </c>
      <c r="Q36" s="280" t="e">
        <f>_xll.qlSimpleQuoteSetValue($O36,$P36/100,Trigger)</f>
        <v>#NUM!</v>
      </c>
      <c r="R36" s="225"/>
      <c r="X36" s="322" t="e">
        <f>(H36-K36)/50</f>
        <v>#VALUE!</v>
      </c>
    </row>
    <row r="37" spans="1:24" x14ac:dyDescent="0.2">
      <c r="A37" s="124"/>
      <c r="B37" s="287" t="s">
        <v>81</v>
      </c>
      <c r="C37" s="343" t="str">
        <v>AM</v>
      </c>
      <c r="D37" s="343" t="str">
        <v>6L</v>
      </c>
      <c r="E37" s="286" t="str">
        <f>Currency&amp;$C37&amp;$D37&amp;$B37</f>
        <v>USDAM6L29Y</v>
      </c>
      <c r="F37" s="286" t="str">
        <v>USDAM6L29Y=ICAP</v>
      </c>
      <c r="G37" s="281" t="s">
        <v>247</v>
      </c>
      <c r="H37" s="281" t="s">
        <v>247</v>
      </c>
      <c r="I37" s="281" t="s">
        <v>247</v>
      </c>
      <c r="J37" s="281" t="s">
        <v>247</v>
      </c>
      <c r="K37" s="285" t="e">
        <f>_xll.qlMidEquivalent($G37,$H37,$I37,$J37)</f>
        <v>#NUM!</v>
      </c>
      <c r="L37" s="283"/>
      <c r="M37" s="284" t="e">
        <v>#NUM!</v>
      </c>
      <c r="N37" s="283"/>
      <c r="O37" s="339" t="str">
        <f>$E37&amp;$P$2</f>
        <v>USDAM6L29Y_Quote</v>
      </c>
      <c r="P37" s="281" t="e">
        <v>#NUM!</v>
      </c>
      <c r="Q37" s="280" t="e">
        <f>_xll.qlSimpleQuoteSetValue($O37,$P37/100,Trigger)</f>
        <v>#NUM!</v>
      </c>
      <c r="R37" s="225"/>
      <c r="X37" s="322" t="e">
        <f>(H37-K37)/50</f>
        <v>#VALUE!</v>
      </c>
    </row>
    <row r="38" spans="1:24" x14ac:dyDescent="0.2">
      <c r="A38" s="124"/>
      <c r="B38" s="287" t="s">
        <v>80</v>
      </c>
      <c r="C38" s="343" t="str">
        <v>AM</v>
      </c>
      <c r="D38" s="343" t="str">
        <v>6L</v>
      </c>
      <c r="E38" s="286" t="str">
        <f>Currency&amp;$C38&amp;$D38&amp;$B38</f>
        <v>USDAM6L30Y</v>
      </c>
      <c r="F38" s="286" t="str">
        <v>USDAM6L30Y=ICAP</v>
      </c>
      <c r="G38" s="281" t="s">
        <v>247</v>
      </c>
      <c r="H38" s="281" t="s">
        <v>247</v>
      </c>
      <c r="I38" s="281" t="s">
        <v>247</v>
      </c>
      <c r="J38" s="281" t="s">
        <v>247</v>
      </c>
      <c r="K38" s="285" t="e">
        <f>_xll.qlMidEquivalent($G38,$H38,$I38,$J38)</f>
        <v>#NUM!</v>
      </c>
      <c r="L38" s="283"/>
      <c r="M38" s="284" t="e">
        <v>#NUM!</v>
      </c>
      <c r="N38" s="283"/>
      <c r="O38" s="339" t="str">
        <f>$E38&amp;$P$2</f>
        <v>USDAM6L30Y_Quote</v>
      </c>
      <c r="P38" s="281" t="e">
        <v>#NUM!</v>
      </c>
      <c r="Q38" s="280" t="e">
        <f>_xll.qlSimpleQuoteSetValue($O38,$P38/100,Trigger)</f>
        <v>#NUM!</v>
      </c>
      <c r="R38" s="225"/>
      <c r="X38" s="322" t="e">
        <f>(H38-K38)/50</f>
        <v>#VALUE!</v>
      </c>
    </row>
    <row r="39" spans="1:24" x14ac:dyDescent="0.2">
      <c r="A39" s="124"/>
      <c r="B39" s="287" t="s">
        <v>75</v>
      </c>
      <c r="C39" s="343" t="str">
        <v>AM</v>
      </c>
      <c r="D39" s="343" t="str">
        <v>6L</v>
      </c>
      <c r="E39" s="286" t="str">
        <f>Currency&amp;$C39&amp;$D39&amp;$B39</f>
        <v>USDAM6L35Y</v>
      </c>
      <c r="F39" s="286" t="str">
        <v>USDAM6L35Y=ICAP</v>
      </c>
      <c r="G39" s="281" t="s">
        <v>247</v>
      </c>
      <c r="H39" s="281" t="s">
        <v>247</v>
      </c>
      <c r="I39" s="281" t="s">
        <v>247</v>
      </c>
      <c r="J39" s="281" t="s">
        <v>247</v>
      </c>
      <c r="K39" s="285" t="e">
        <f>_xll.qlMidEquivalent($G39,$H39,$I39,$J39)</f>
        <v>#NUM!</v>
      </c>
      <c r="L39" s="283"/>
      <c r="M39" s="284" t="e">
        <v>#NUM!</v>
      </c>
      <c r="N39" s="283"/>
      <c r="O39" s="339" t="str">
        <f>$E39&amp;$P$2</f>
        <v>USDAM6L35Y_Quote</v>
      </c>
      <c r="P39" s="281" t="e">
        <v>#NUM!</v>
      </c>
      <c r="Q39" s="280" t="e">
        <f>_xll.qlSimpleQuoteSetValue($O39,$P39/100,Trigger)</f>
        <v>#NUM!</v>
      </c>
      <c r="R39" s="225"/>
      <c r="X39" s="322" t="e">
        <f>(H39-K39)/50</f>
        <v>#VALUE!</v>
      </c>
    </row>
    <row r="40" spans="1:24" x14ac:dyDescent="0.2">
      <c r="A40" s="124"/>
      <c r="B40" s="287" t="s">
        <v>70</v>
      </c>
      <c r="C40" s="343" t="str">
        <v>AM</v>
      </c>
      <c r="D40" s="343" t="str">
        <v>6L</v>
      </c>
      <c r="E40" s="286" t="str">
        <f>Currency&amp;$C40&amp;$D40&amp;$B40</f>
        <v>USDAM6L40Y</v>
      </c>
      <c r="F40" s="286" t="str">
        <v>USDAM6L40Y=ICAP</v>
      </c>
      <c r="G40" s="281" t="s">
        <v>247</v>
      </c>
      <c r="H40" s="281" t="s">
        <v>247</v>
      </c>
      <c r="I40" s="281" t="s">
        <v>247</v>
      </c>
      <c r="J40" s="281" t="s">
        <v>247</v>
      </c>
      <c r="K40" s="285" t="e">
        <f>_xll.qlMidEquivalent($G40,$H40,$I40,$J40)</f>
        <v>#NUM!</v>
      </c>
      <c r="L40" s="283"/>
      <c r="M40" s="284" t="e">
        <v>#NUM!</v>
      </c>
      <c r="N40" s="283"/>
      <c r="O40" s="339" t="str">
        <f>$E40&amp;$P$2</f>
        <v>USDAM6L40Y_Quote</v>
      </c>
      <c r="P40" s="281" t="e">
        <v>#NUM!</v>
      </c>
      <c r="Q40" s="280" t="e">
        <f>_xll.qlSimpleQuoteSetValue($O40,$P40/100,Trigger)</f>
        <v>#NUM!</v>
      </c>
      <c r="R40" s="225"/>
      <c r="X40" s="322" t="e">
        <f>(H40-K40)/50</f>
        <v>#VALUE!</v>
      </c>
    </row>
    <row r="41" spans="1:24" x14ac:dyDescent="0.2">
      <c r="A41" s="124"/>
      <c r="B41" s="287" t="s">
        <v>60</v>
      </c>
      <c r="C41" s="343" t="str">
        <v>AM</v>
      </c>
      <c r="D41" s="343" t="str">
        <v>6L</v>
      </c>
      <c r="E41" s="286" t="str">
        <f>Currency&amp;$C41&amp;$D41&amp;$B41</f>
        <v>USDAM6L50Y</v>
      </c>
      <c r="F41" s="286" t="str">
        <v>USDAM6L50Y=ICAP</v>
      </c>
      <c r="G41" s="281" t="s">
        <v>247</v>
      </c>
      <c r="H41" s="281" t="s">
        <v>247</v>
      </c>
      <c r="I41" s="281" t="s">
        <v>247</v>
      </c>
      <c r="J41" s="281" t="s">
        <v>247</v>
      </c>
      <c r="K41" s="285" t="e">
        <f>_xll.qlMidEquivalent($G41,$H41,$I41,$J41)</f>
        <v>#NUM!</v>
      </c>
      <c r="L41" s="283"/>
      <c r="M41" s="284" t="e">
        <v>#NUM!</v>
      </c>
      <c r="N41" s="283"/>
      <c r="O41" s="339" t="str">
        <f>$E41&amp;$P$2</f>
        <v>USDAM6L50Y_Quote</v>
      </c>
      <c r="P41" s="281" t="e">
        <v>#NUM!</v>
      </c>
      <c r="Q41" s="280" t="e">
        <f>_xll.qlSimpleQuoteSetValue($O41,$P41/100,Trigger)</f>
        <v>#NUM!</v>
      </c>
      <c r="R41" s="225"/>
      <c r="X41" s="322" t="e">
        <f>(H41-K41)/50</f>
        <v>#VALUE!</v>
      </c>
    </row>
    <row r="42" spans="1:24" x14ac:dyDescent="0.2">
      <c r="A42" s="124"/>
      <c r="B42" s="299" t="s">
        <v>50</v>
      </c>
      <c r="C42" s="338" t="str">
        <v>AM</v>
      </c>
      <c r="D42" s="338" t="str">
        <v>6L</v>
      </c>
      <c r="E42" s="298" t="str">
        <f>Currency&amp;$C42&amp;$D42&amp;$B42</f>
        <v>USDAM6L60Y</v>
      </c>
      <c r="F42" s="298" t="str">
        <v>USDAM6L60Y=ICAP</v>
      </c>
      <c r="G42" s="294" t="s">
        <v>247</v>
      </c>
      <c r="H42" s="294" t="s">
        <v>247</v>
      </c>
      <c r="I42" s="294" t="s">
        <v>247</v>
      </c>
      <c r="J42" s="294" t="s">
        <v>247</v>
      </c>
      <c r="K42" s="297" t="e">
        <f>_xll.qlMidEquivalent($G42,$H42,$I42,$J42)</f>
        <v>#NUM!</v>
      </c>
      <c r="L42" s="283"/>
      <c r="M42" s="296" t="e">
        <v>#NUM!</v>
      </c>
      <c r="N42" s="283"/>
      <c r="O42" s="334" t="str">
        <f>$E42&amp;$P$2</f>
        <v>USDAM6L60Y_Quote</v>
      </c>
      <c r="P42" s="294" t="e">
        <v>#NUM!</v>
      </c>
      <c r="Q42" s="293" t="e">
        <f>_xll.qlSimpleQuoteSetValue($O42,$P42/100,Trigger)</f>
        <v>#NUM!</v>
      </c>
      <c r="R42" s="225"/>
      <c r="X42" s="322" t="e">
        <f>(H42-K42)/50</f>
        <v>#VALUE!</v>
      </c>
    </row>
    <row r="43" spans="1:24" ht="12" thickBot="1" x14ac:dyDescent="0.25">
      <c r="A43" s="4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324"/>
    </row>
  </sheetData>
  <conditionalFormatting sqref="Q5:Q42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65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4" width="2.7109375" style="21" bestFit="1" customWidth="1"/>
    <col min="5" max="5" width="10.28515625" style="21" bestFit="1" customWidth="1"/>
    <col min="6" max="6" width="14.5703125" style="21" bestFit="1" customWidth="1"/>
    <col min="7" max="7" width="4.85546875" style="21" bestFit="1" customWidth="1"/>
    <col min="8" max="8" width="4.140625" style="21" bestFit="1" customWidth="1"/>
    <col min="9" max="9" width="9" style="21" bestFit="1" customWidth="1"/>
    <col min="10" max="10" width="5.7109375" style="21" bestFit="1" customWidth="1"/>
    <col min="11" max="11" width="7.140625" style="21" bestFit="1" customWidth="1"/>
    <col min="12" max="12" width="4" style="21" customWidth="1"/>
    <col min="13" max="13" width="5.28515625" style="21" bestFit="1" customWidth="1"/>
    <col min="14" max="14" width="4.140625" style="21" customWidth="1"/>
    <col min="15" max="15" width="15.425781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16384" width="9.140625" style="21"/>
  </cols>
  <sheetData>
    <row r="1" spans="1:22" x14ac:dyDescent="0.2">
      <c r="A1" s="354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2" x14ac:dyDescent="0.2">
      <c r="A2" s="320"/>
      <c r="B2" s="283"/>
      <c r="C2" s="283"/>
      <c r="D2" s="283"/>
      <c r="E2" s="283"/>
      <c r="F2" s="146" t="s">
        <v>248</v>
      </c>
      <c r="G2" s="283"/>
      <c r="H2" s="283"/>
      <c r="I2" s="283"/>
      <c r="J2" s="283"/>
      <c r="K2" s="139"/>
      <c r="L2" s="283"/>
      <c r="M2" s="283"/>
      <c r="N2" s="283"/>
      <c r="O2" s="430" t="s">
        <v>267</v>
      </c>
      <c r="P2" s="146" t="s">
        <v>142</v>
      </c>
      <c r="Q2" s="139"/>
      <c r="R2" s="49"/>
    </row>
    <row r="3" spans="1:22" x14ac:dyDescent="0.2">
      <c r="A3" s="124"/>
      <c r="B3" s="283"/>
      <c r="C3" s="139"/>
      <c r="D3" s="139"/>
      <c r="E3" s="139"/>
      <c r="F3" s="139" t="str">
        <f>_xll.qlInterpolation(,InterpolationType,_xll.ohFilter(A5:A42,J5:J42),_xll.ohFilter(I5:I42,J5:J42))</f>
        <v>obj_00530#0014</v>
      </c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_xll.ohTrigger(Q5:Q42)</f>
        <v>14</v>
      </c>
      <c r="R3" s="225"/>
    </row>
    <row r="4" spans="1:22" ht="23.25" thickBot="1" x14ac:dyDescent="0.25">
      <c r="A4" s="124"/>
      <c r="B4" s="352"/>
      <c r="C4" s="201"/>
      <c r="D4" s="201"/>
      <c r="E4" s="201"/>
      <c r="F4" s="278" t="e">
        <f ca="1">_xll.RData(F5:F42,G4:H4,"RTFEED:IDN",ReutersRtMode,,G5)</f>
        <v>#NAME?</v>
      </c>
      <c r="G4" s="351" t="s">
        <v>235</v>
      </c>
      <c r="H4" s="351" t="s">
        <v>234</v>
      </c>
      <c r="I4" s="351" t="s">
        <v>292</v>
      </c>
      <c r="J4" s="351"/>
      <c r="K4" s="310" t="s">
        <v>291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</row>
    <row r="5" spans="1:22" x14ac:dyDescent="0.2">
      <c r="A5" s="429">
        <v>0.5</v>
      </c>
      <c r="B5" s="287" t="s">
        <v>35</v>
      </c>
      <c r="C5" s="343" t="str">
        <f t="array" ref="C5:C42">VLOOKUP(Currency,Conventions,2)</f>
        <v>3L</v>
      </c>
      <c r="D5" s="343" t="str">
        <f t="array" ref="D5:D42">VLOOKUP(Currency,Conventions,3)</f>
        <v>1L</v>
      </c>
      <c r="E5" s="341" t="str">
        <f>Currency&amp;$C5&amp;$D5&amp;$B5</f>
        <v>USD3L1L6M</v>
      </c>
      <c r="F5" s="286" t="str">
        <f t="array" ref="F5:F42">Instruments&amp;"="&amp;VLOOKUP(Contributor,ContributorTable,2,FALSE)</f>
        <v>USD3L1L6M=ICAP</v>
      </c>
      <c r="G5" s="427">
        <v>6.8</v>
      </c>
      <c r="H5" s="427">
        <v>0</v>
      </c>
      <c r="I5" s="427">
        <f>_xll.qlMidEquivalent(G5,H5)</f>
        <v>6.8</v>
      </c>
      <c r="J5" s="281" t="b">
        <f>IF(ISNUMBER(I5),TRUE,FALSE)</f>
        <v>1</v>
      </c>
      <c r="K5" s="428">
        <f t="array" ref="K5:K38">_xll.qlInterpolationInterpolate(F3,A5:A42)</f>
        <v>6.8</v>
      </c>
      <c r="L5" s="283"/>
      <c r="M5" s="425">
        <v>6.7</v>
      </c>
      <c r="N5" s="283"/>
      <c r="O5" s="339" t="str">
        <f>$E5&amp;$P$2</f>
        <v>USD3L1L6M_Quote</v>
      </c>
      <c r="P5" s="424">
        <f t="array" ref="P5:P42">QuoteLive</f>
        <v>6.8</v>
      </c>
      <c r="Q5" s="280" t="e">
        <f>_xll.qlSimpleQuoteSetValue($O5,$P5/10000,Trigger)</f>
        <v>#N/A</v>
      </c>
      <c r="R5" s="225"/>
      <c r="T5" s="90" t="s">
        <v>132</v>
      </c>
      <c r="U5" s="89" t="s">
        <v>124</v>
      </c>
      <c r="V5" s="88" t="s">
        <v>126</v>
      </c>
    </row>
    <row r="6" spans="1:22" x14ac:dyDescent="0.2">
      <c r="A6" s="429">
        <v>1</v>
      </c>
      <c r="B6" s="287" t="s">
        <v>29</v>
      </c>
      <c r="C6" s="343" t="str">
        <v>3L</v>
      </c>
      <c r="D6" s="343" t="str">
        <v>1L</v>
      </c>
      <c r="E6" s="341" t="str">
        <f>Currency&amp;$C6&amp;$D6&amp;$B6</f>
        <v>USD3L1L1Y</v>
      </c>
      <c r="F6" s="286" t="str">
        <v>USD3L1L1Y=ICAP</v>
      </c>
      <c r="G6" s="427">
        <v>7.4</v>
      </c>
      <c r="H6" s="427">
        <v>0</v>
      </c>
      <c r="I6" s="427">
        <f>_xll.qlMidEquivalent(G6,H6)</f>
        <v>7.4</v>
      </c>
      <c r="J6" s="281" t="b">
        <f>IF(ISNUMBER(I6),TRUE,FALSE)</f>
        <v>1</v>
      </c>
      <c r="K6" s="428">
        <v>7.4</v>
      </c>
      <c r="L6" s="283"/>
      <c r="M6" s="425">
        <v>7.4</v>
      </c>
      <c r="N6" s="283"/>
      <c r="O6" s="339" t="str">
        <f>$E6&amp;$P$2</f>
        <v>USD3L1L1Y_Quote</v>
      </c>
      <c r="P6" s="424">
        <v>7.4</v>
      </c>
      <c r="Q6" s="280" t="e">
        <f>_xll.qlSimpleQuoteSetValue($O6,$P6/10000,Trigger)</f>
        <v>#N/A</v>
      </c>
      <c r="R6" s="225"/>
      <c r="T6" s="87" t="s">
        <v>131</v>
      </c>
      <c r="U6" s="86" t="s">
        <v>130</v>
      </c>
      <c r="V6" s="85" t="s">
        <v>129</v>
      </c>
    </row>
    <row r="7" spans="1:22" x14ac:dyDescent="0.2">
      <c r="A7" s="429">
        <v>1.25</v>
      </c>
      <c r="B7" s="287" t="s">
        <v>135</v>
      </c>
      <c r="C7" s="343" t="str">
        <v>3L</v>
      </c>
      <c r="D7" s="343" t="str">
        <v>1L</v>
      </c>
      <c r="E7" s="341" t="str">
        <f>Currency&amp;$C7&amp;$D7&amp;$B7</f>
        <v>USD3L1L15M</v>
      </c>
      <c r="F7" s="286" t="str">
        <v>USD3L1L15M=ICAP</v>
      </c>
      <c r="G7" s="427" t="s">
        <v>247</v>
      </c>
      <c r="H7" s="427" t="s">
        <v>247</v>
      </c>
      <c r="I7" s="427" t="e">
        <f>_xll.qlMidEquivalent(G7,H7)</f>
        <v>#NUM!</v>
      </c>
      <c r="J7" s="281" t="b">
        <f>IF(ISNUMBER(I7),TRUE,FALSE)</f>
        <v>0</v>
      </c>
      <c r="K7" s="428">
        <v>7.5734375000000007</v>
      </c>
      <c r="L7" s="283"/>
      <c r="M7" s="425">
        <v>7.5734375000000007</v>
      </c>
      <c r="N7" s="283"/>
      <c r="O7" s="339" t="str">
        <f>$E7&amp;$P$2</f>
        <v>USD3L1L15M_Quote</v>
      </c>
      <c r="P7" s="424">
        <v>7.5734375000000007</v>
      </c>
      <c r="Q7" s="280" t="e">
        <f>_xll.qlSimpleQuoteSetValue($O7,$P7/10000,Trigger)</f>
        <v>#N/A</v>
      </c>
      <c r="R7" s="225"/>
      <c r="T7" s="87" t="s">
        <v>128</v>
      </c>
      <c r="U7" s="86" t="s">
        <v>124</v>
      </c>
      <c r="V7" s="85" t="s">
        <v>126</v>
      </c>
    </row>
    <row r="8" spans="1:22" x14ac:dyDescent="0.2">
      <c r="A8" s="429">
        <v>1.5</v>
      </c>
      <c r="B8" s="287" t="s">
        <v>134</v>
      </c>
      <c r="C8" s="343" t="str">
        <v>3L</v>
      </c>
      <c r="D8" s="343" t="str">
        <v>1L</v>
      </c>
      <c r="E8" s="341" t="str">
        <f>Currency&amp;$C8&amp;$D8&amp;$B8</f>
        <v>USD3L1L18M</v>
      </c>
      <c r="F8" s="286" t="str">
        <v>USD3L1L18M=ICAP</v>
      </c>
      <c r="G8" s="427" t="s">
        <v>247</v>
      </c>
      <c r="H8" s="427" t="s">
        <v>247</v>
      </c>
      <c r="I8" s="427" t="e">
        <f>_xll.qlMidEquivalent(G8,H8)</f>
        <v>#NUM!</v>
      </c>
      <c r="J8" s="281" t="b">
        <f>IF(ISNUMBER(I8),TRUE,FALSE)</f>
        <v>0</v>
      </c>
      <c r="K8" s="428">
        <v>7.6625000000000005</v>
      </c>
      <c r="L8" s="283"/>
      <c r="M8" s="425">
        <v>7.6625000000000005</v>
      </c>
      <c r="N8" s="283"/>
      <c r="O8" s="339" t="str">
        <f>$E8&amp;$P$2</f>
        <v>USD3L1L18M_Quote</v>
      </c>
      <c r="P8" s="424">
        <v>7.6625000000000005</v>
      </c>
      <c r="Q8" s="280" t="e">
        <f>_xll.qlSimpleQuoteSetValue($O8,$P8/10000,Trigger)</f>
        <v>#N/A</v>
      </c>
      <c r="R8" s="225"/>
      <c r="T8" s="87" t="s">
        <v>127</v>
      </c>
      <c r="U8" s="86" t="s">
        <v>124</v>
      </c>
      <c r="V8" s="85" t="s">
        <v>126</v>
      </c>
    </row>
    <row r="9" spans="1:22" ht="12" thickBot="1" x14ac:dyDescent="0.25">
      <c r="A9" s="429">
        <v>1.75</v>
      </c>
      <c r="B9" s="287" t="s">
        <v>133</v>
      </c>
      <c r="C9" s="343" t="str">
        <v>3L</v>
      </c>
      <c r="D9" s="343" t="str">
        <v>1L</v>
      </c>
      <c r="E9" s="341" t="str">
        <f>Currency&amp;$C9&amp;$D9&amp;$B9</f>
        <v>USD3L1L21M</v>
      </c>
      <c r="F9" s="286" t="str">
        <v>USD3L1L21M=ICAP</v>
      </c>
      <c r="G9" s="427" t="s">
        <v>247</v>
      </c>
      <c r="H9" s="427" t="s">
        <v>247</v>
      </c>
      <c r="I9" s="427" t="e">
        <f>_xll.qlMidEquivalent(G9,H9)</f>
        <v>#NUM!</v>
      </c>
      <c r="J9" s="281" t="b">
        <f>IF(ISNUMBER(I9),TRUE,FALSE)</f>
        <v>0</v>
      </c>
      <c r="K9" s="428">
        <v>7.6953125</v>
      </c>
      <c r="L9" s="283"/>
      <c r="M9" s="425">
        <v>7.6953125</v>
      </c>
      <c r="N9" s="283"/>
      <c r="O9" s="339" t="str">
        <f>$E9&amp;$P$2</f>
        <v>USD3L1L21M_Quote</v>
      </c>
      <c r="P9" s="424">
        <v>7.6953125</v>
      </c>
      <c r="Q9" s="280" t="e">
        <f>_xll.qlSimpleQuoteSetValue($O9,$P9/10000,Trigger)</f>
        <v>#N/A</v>
      </c>
      <c r="R9" s="225"/>
      <c r="T9" s="84" t="s">
        <v>122</v>
      </c>
      <c r="U9" s="83" t="s">
        <v>125</v>
      </c>
      <c r="V9" s="82" t="s">
        <v>124</v>
      </c>
    </row>
    <row r="10" spans="1:22" x14ac:dyDescent="0.2">
      <c r="A10" s="124">
        <v>2</v>
      </c>
      <c r="B10" s="287" t="s">
        <v>108</v>
      </c>
      <c r="C10" s="343" t="str">
        <v>3L</v>
      </c>
      <c r="D10" s="343" t="str">
        <v>1L</v>
      </c>
      <c r="E10" s="341" t="str">
        <f>Currency&amp;$C10&amp;$D10&amp;$B10</f>
        <v>USD3L1L2Y</v>
      </c>
      <c r="F10" s="286" t="str">
        <v>USD3L1L2Y=ICAP</v>
      </c>
      <c r="G10" s="427">
        <v>7.7</v>
      </c>
      <c r="H10" s="427">
        <v>0</v>
      </c>
      <c r="I10" s="427">
        <f>_xll.qlMidEquivalent(G10,H10)</f>
        <v>7.7</v>
      </c>
      <c r="J10" s="281" t="b">
        <f>IF(ISNUMBER(I10),TRUE,FALSE)</f>
        <v>1</v>
      </c>
      <c r="K10" s="428">
        <v>7.7</v>
      </c>
      <c r="L10" s="283"/>
      <c r="M10" s="425">
        <v>7.7</v>
      </c>
      <c r="N10" s="283"/>
      <c r="O10" s="339" t="str">
        <f>$E10&amp;$P$2</f>
        <v>USD3L1L2Y_Quote</v>
      </c>
      <c r="P10" s="424">
        <v>7.7</v>
      </c>
      <c r="Q10" s="280" t="e">
        <f>_xll.qlSimpleQuoteSetValue($O10,$P10/10000,Trigger)</f>
        <v>#N/A</v>
      </c>
      <c r="R10" s="225"/>
    </row>
    <row r="11" spans="1:22" x14ac:dyDescent="0.2">
      <c r="A11" s="124">
        <v>3</v>
      </c>
      <c r="B11" s="287" t="s">
        <v>107</v>
      </c>
      <c r="C11" s="343" t="str">
        <v>3L</v>
      </c>
      <c r="D11" s="343" t="str">
        <v>1L</v>
      </c>
      <c r="E11" s="341" t="str">
        <f>Currency&amp;$C11&amp;$D11&amp;$B11</f>
        <v>USD3L1L3Y</v>
      </c>
      <c r="F11" s="286" t="str">
        <v>USD3L1L3Y=ICAP</v>
      </c>
      <c r="G11" s="427">
        <v>7.6</v>
      </c>
      <c r="H11" s="427">
        <v>0</v>
      </c>
      <c r="I11" s="427">
        <f>_xll.qlMidEquivalent(G11,H11)</f>
        <v>7.6</v>
      </c>
      <c r="J11" s="281" t="b">
        <f>IF(ISNUMBER(I11),TRUE,FALSE)</f>
        <v>1</v>
      </c>
      <c r="K11" s="428">
        <v>7.6</v>
      </c>
      <c r="L11" s="283"/>
      <c r="M11" s="425">
        <v>7.6</v>
      </c>
      <c r="N11" s="283"/>
      <c r="O11" s="339" t="str">
        <f>$E11&amp;$P$2</f>
        <v>USD3L1L3Y_Quote</v>
      </c>
      <c r="P11" s="424">
        <v>7.6</v>
      </c>
      <c r="Q11" s="280" t="e">
        <f>_xll.qlSimpleQuoteSetValue($O11,$P11/10000,Trigger)</f>
        <v>#N/A</v>
      </c>
      <c r="R11" s="225"/>
    </row>
    <row r="12" spans="1:22" x14ac:dyDescent="0.2">
      <c r="A12" s="124">
        <v>4</v>
      </c>
      <c r="B12" s="287" t="s">
        <v>106</v>
      </c>
      <c r="C12" s="343" t="str">
        <v>3L</v>
      </c>
      <c r="D12" s="343" t="str">
        <v>1L</v>
      </c>
      <c r="E12" s="341" t="str">
        <f>Currency&amp;$C12&amp;$D12&amp;$B12</f>
        <v>USD3L1L4Y</v>
      </c>
      <c r="F12" s="286" t="str">
        <v>USD3L1L4Y=ICAP</v>
      </c>
      <c r="G12" s="427">
        <v>7.5</v>
      </c>
      <c r="H12" s="427">
        <v>0</v>
      </c>
      <c r="I12" s="427">
        <f>_xll.qlMidEquivalent(G12,H12)</f>
        <v>7.5</v>
      </c>
      <c r="J12" s="281" t="b">
        <f>IF(ISNUMBER(I12),TRUE,FALSE)</f>
        <v>1</v>
      </c>
      <c r="K12" s="428">
        <v>7.5</v>
      </c>
      <c r="L12" s="283"/>
      <c r="M12" s="425">
        <v>7.5</v>
      </c>
      <c r="N12" s="283"/>
      <c r="O12" s="339" t="str">
        <f>$E12&amp;$P$2</f>
        <v>USD3L1L4Y_Quote</v>
      </c>
      <c r="P12" s="424">
        <v>7.5</v>
      </c>
      <c r="Q12" s="280" t="e">
        <f>_xll.qlSimpleQuoteSetValue($O12,$P12/10000,Trigger)</f>
        <v>#N/A</v>
      </c>
      <c r="R12" s="225"/>
    </row>
    <row r="13" spans="1:22" x14ac:dyDescent="0.2">
      <c r="A13" s="124">
        <v>5</v>
      </c>
      <c r="B13" s="287" t="s">
        <v>105</v>
      </c>
      <c r="C13" s="343" t="str">
        <v>3L</v>
      </c>
      <c r="D13" s="343" t="str">
        <v>1L</v>
      </c>
      <c r="E13" s="341" t="str">
        <f>Currency&amp;$C13&amp;$D13&amp;$B13</f>
        <v>USD3L1L5Y</v>
      </c>
      <c r="F13" s="286" t="str">
        <v>USD3L1L5Y=ICAP</v>
      </c>
      <c r="G13" s="427">
        <v>7.4</v>
      </c>
      <c r="H13" s="427">
        <v>0</v>
      </c>
      <c r="I13" s="427">
        <f>_xll.qlMidEquivalent(G13,H13)</f>
        <v>7.4</v>
      </c>
      <c r="J13" s="281" t="b">
        <f>IF(ISNUMBER(I13),TRUE,FALSE)</f>
        <v>1</v>
      </c>
      <c r="K13" s="428">
        <v>7.4</v>
      </c>
      <c r="L13" s="283"/>
      <c r="M13" s="425">
        <v>7.4</v>
      </c>
      <c r="N13" s="283"/>
      <c r="O13" s="339" t="str">
        <f>$E13&amp;$P$2</f>
        <v>USD3L1L5Y_Quote</v>
      </c>
      <c r="P13" s="424">
        <v>7.4</v>
      </c>
      <c r="Q13" s="280" t="e">
        <f>_xll.qlSimpleQuoteSetValue($O13,$P13/10000,Trigger)</f>
        <v>#N/A</v>
      </c>
      <c r="R13" s="225"/>
    </row>
    <row r="14" spans="1:22" x14ac:dyDescent="0.2">
      <c r="A14" s="124">
        <v>6</v>
      </c>
      <c r="B14" s="287" t="s">
        <v>104</v>
      </c>
      <c r="C14" s="343" t="str">
        <v>3L</v>
      </c>
      <c r="D14" s="343" t="str">
        <v>1L</v>
      </c>
      <c r="E14" s="341" t="str">
        <f>Currency&amp;$C14&amp;$D14&amp;$B14</f>
        <v>USD3L1L6Y</v>
      </c>
      <c r="F14" s="286" t="str">
        <v>USD3L1L6Y=ICAP</v>
      </c>
      <c r="G14" s="427">
        <v>7.2</v>
      </c>
      <c r="H14" s="427">
        <v>0</v>
      </c>
      <c r="I14" s="427">
        <f>_xll.qlMidEquivalent(G14,H14)</f>
        <v>7.2</v>
      </c>
      <c r="J14" s="281" t="b">
        <f>IF(ISNUMBER(I14),TRUE,FALSE)</f>
        <v>1</v>
      </c>
      <c r="K14" s="428">
        <v>7.2</v>
      </c>
      <c r="L14" s="283"/>
      <c r="M14" s="425">
        <v>7.1</v>
      </c>
      <c r="N14" s="283"/>
      <c r="O14" s="339" t="str">
        <f>$E14&amp;$P$2</f>
        <v>USD3L1L6Y_Quote</v>
      </c>
      <c r="P14" s="424">
        <v>7.2</v>
      </c>
      <c r="Q14" s="280" t="e">
        <f>_xll.qlSimpleQuoteSetValue($O14,$P14/10000,Trigger)</f>
        <v>#N/A</v>
      </c>
      <c r="R14" s="225"/>
    </row>
    <row r="15" spans="1:22" x14ac:dyDescent="0.2">
      <c r="A15" s="124">
        <v>7</v>
      </c>
      <c r="B15" s="287" t="s">
        <v>103</v>
      </c>
      <c r="C15" s="343" t="str">
        <v>3L</v>
      </c>
      <c r="D15" s="343" t="str">
        <v>1L</v>
      </c>
      <c r="E15" s="341" t="str">
        <f>Currency&amp;$C15&amp;$D15&amp;$B15</f>
        <v>USD3L1L7Y</v>
      </c>
      <c r="F15" s="286" t="str">
        <v>USD3L1L7Y=ICAP</v>
      </c>
      <c r="G15" s="427">
        <v>6.9</v>
      </c>
      <c r="H15" s="427">
        <v>0</v>
      </c>
      <c r="I15" s="427">
        <f>_xll.qlMidEquivalent(G15,H15)</f>
        <v>6.9</v>
      </c>
      <c r="J15" s="281" t="b">
        <f>IF(ISNUMBER(I15),TRUE,FALSE)</f>
        <v>1</v>
      </c>
      <c r="K15" s="428">
        <v>6.9</v>
      </c>
      <c r="L15" s="283"/>
      <c r="M15" s="425">
        <v>6.9</v>
      </c>
      <c r="N15" s="283"/>
      <c r="O15" s="339" t="str">
        <f>$E15&amp;$P$2</f>
        <v>USD3L1L7Y_Quote</v>
      </c>
      <c r="P15" s="424">
        <v>6.9</v>
      </c>
      <c r="Q15" s="280" t="e">
        <f>_xll.qlSimpleQuoteSetValue($O15,$P15/10000,Trigger)</f>
        <v>#N/A</v>
      </c>
      <c r="R15" s="225"/>
    </row>
    <row r="16" spans="1:22" x14ac:dyDescent="0.2">
      <c r="A16" s="124">
        <v>8</v>
      </c>
      <c r="B16" s="287" t="s">
        <v>102</v>
      </c>
      <c r="C16" s="343" t="str">
        <v>3L</v>
      </c>
      <c r="D16" s="343" t="str">
        <v>1L</v>
      </c>
      <c r="E16" s="341" t="str">
        <f>Currency&amp;$C16&amp;$D16&amp;$B16</f>
        <v>USD3L1L8Y</v>
      </c>
      <c r="F16" s="286" t="str">
        <v>USD3L1L8Y=ICAP</v>
      </c>
      <c r="G16" s="427">
        <v>6.5</v>
      </c>
      <c r="H16" s="427">
        <v>0</v>
      </c>
      <c r="I16" s="427">
        <f>_xll.qlMidEquivalent(G16,H16)</f>
        <v>6.5</v>
      </c>
      <c r="J16" s="281" t="b">
        <f>IF(ISNUMBER(I16),TRUE,FALSE)</f>
        <v>1</v>
      </c>
      <c r="K16" s="428">
        <v>6.5</v>
      </c>
      <c r="L16" s="283"/>
      <c r="M16" s="425">
        <v>6.5</v>
      </c>
      <c r="N16" s="283"/>
      <c r="O16" s="339" t="str">
        <f>$E16&amp;$P$2</f>
        <v>USD3L1L8Y_Quote</v>
      </c>
      <c r="P16" s="424">
        <v>6.5</v>
      </c>
      <c r="Q16" s="280" t="e">
        <f>_xll.qlSimpleQuoteSetValue($O16,$P16/10000,Trigger)</f>
        <v>#N/A</v>
      </c>
      <c r="R16" s="225"/>
    </row>
    <row r="17" spans="1:18" x14ac:dyDescent="0.2">
      <c r="A17" s="124">
        <v>9</v>
      </c>
      <c r="B17" s="287" t="s">
        <v>101</v>
      </c>
      <c r="C17" s="343" t="str">
        <v>3L</v>
      </c>
      <c r="D17" s="343" t="str">
        <v>1L</v>
      </c>
      <c r="E17" s="341" t="str">
        <f>Currency&amp;$C17&amp;$D17&amp;$B17</f>
        <v>USD3L1L9Y</v>
      </c>
      <c r="F17" s="286" t="str">
        <v>USD3L1L9Y=ICAP</v>
      </c>
      <c r="G17" s="427">
        <v>6.2</v>
      </c>
      <c r="H17" s="427">
        <v>0</v>
      </c>
      <c r="I17" s="427">
        <f>_xll.qlMidEquivalent(G17,H17)</f>
        <v>6.2</v>
      </c>
      <c r="J17" s="281" t="b">
        <f>IF(ISNUMBER(I17),TRUE,FALSE)</f>
        <v>1</v>
      </c>
      <c r="K17" s="428">
        <v>6.2</v>
      </c>
      <c r="L17" s="283"/>
      <c r="M17" s="425">
        <v>6.2</v>
      </c>
      <c r="N17" s="283"/>
      <c r="O17" s="339" t="str">
        <f>$E17&amp;$P$2</f>
        <v>USD3L1L9Y_Quote</v>
      </c>
      <c r="P17" s="424">
        <v>6.2</v>
      </c>
      <c r="Q17" s="280" t="e">
        <f>_xll.qlSimpleQuoteSetValue($O17,$P17/10000,Trigger)</f>
        <v>#N/A</v>
      </c>
      <c r="R17" s="225"/>
    </row>
    <row r="18" spans="1:18" x14ac:dyDescent="0.2">
      <c r="A18" s="124">
        <v>10</v>
      </c>
      <c r="B18" s="287" t="s">
        <v>100</v>
      </c>
      <c r="C18" s="343" t="str">
        <v>3L</v>
      </c>
      <c r="D18" s="343" t="str">
        <v>1L</v>
      </c>
      <c r="E18" s="341" t="str">
        <f>Currency&amp;$C18&amp;$D18&amp;$B18</f>
        <v>USD3L1L10Y</v>
      </c>
      <c r="F18" s="286" t="str">
        <v>USD3L1L10Y=ICAP</v>
      </c>
      <c r="G18" s="427">
        <v>5.8</v>
      </c>
      <c r="H18" s="427">
        <v>0</v>
      </c>
      <c r="I18" s="427">
        <f>_xll.qlMidEquivalent(G18,H18)</f>
        <v>5.8</v>
      </c>
      <c r="J18" s="281" t="b">
        <f>IF(ISNUMBER(I18),TRUE,FALSE)</f>
        <v>1</v>
      </c>
      <c r="K18" s="428">
        <v>5.8</v>
      </c>
      <c r="L18" s="283"/>
      <c r="M18" s="425">
        <v>5.8</v>
      </c>
      <c r="N18" s="283"/>
      <c r="O18" s="339" t="str">
        <f>$E18&amp;$P$2</f>
        <v>USD3L1L10Y_Quote</v>
      </c>
      <c r="P18" s="424">
        <v>5.8</v>
      </c>
      <c r="Q18" s="280" t="e">
        <f>_xll.qlSimpleQuoteSetValue($O18,$P18/10000,Trigger)</f>
        <v>#N/A</v>
      </c>
      <c r="R18" s="225"/>
    </row>
    <row r="19" spans="1:18" x14ac:dyDescent="0.2">
      <c r="A19" s="124">
        <v>11</v>
      </c>
      <c r="B19" s="287" t="s">
        <v>99</v>
      </c>
      <c r="C19" s="343" t="str">
        <v>3L</v>
      </c>
      <c r="D19" s="343" t="str">
        <v>1L</v>
      </c>
      <c r="E19" s="341" t="str">
        <f>Currency&amp;$C19&amp;$D19&amp;$B19</f>
        <v>USD3L1L11Y</v>
      </c>
      <c r="F19" s="286" t="str">
        <v>USD3L1L11Y=ICAP</v>
      </c>
      <c r="G19" s="427" t="s">
        <v>247</v>
      </c>
      <c r="H19" s="427" t="s">
        <v>247</v>
      </c>
      <c r="I19" s="427" t="e">
        <f>_xll.qlMidEquivalent(G19,H19)</f>
        <v>#NUM!</v>
      </c>
      <c r="J19" s="281" t="b">
        <f>IF(ISNUMBER(I19),TRUE,FALSE)</f>
        <v>0</v>
      </c>
      <c r="K19" s="428">
        <v>5.4599600912493669</v>
      </c>
      <c r="L19" s="283"/>
      <c r="M19" s="425">
        <v>5.459271628909641</v>
      </c>
      <c r="N19" s="283"/>
      <c r="O19" s="339" t="str">
        <f>$E19&amp;$P$2</f>
        <v>USD3L1L11Y_Quote</v>
      </c>
      <c r="P19" s="424">
        <v>5.4599600912493669</v>
      </c>
      <c r="Q19" s="280" t="e">
        <f>_xll.qlSimpleQuoteSetValue($O19,$P19/10000,Trigger)</f>
        <v>#N/A</v>
      </c>
      <c r="R19" s="225"/>
    </row>
    <row r="20" spans="1:18" x14ac:dyDescent="0.2">
      <c r="A20" s="124">
        <v>12</v>
      </c>
      <c r="B20" s="287" t="s">
        <v>98</v>
      </c>
      <c r="C20" s="343" t="str">
        <v>3L</v>
      </c>
      <c r="D20" s="343" t="str">
        <v>1L</v>
      </c>
      <c r="E20" s="341" t="str">
        <f>Currency&amp;$C20&amp;$D20&amp;$B20</f>
        <v>USD3L1L12Y</v>
      </c>
      <c r="F20" s="286" t="str">
        <v>USD3L1L12Y=ICAP</v>
      </c>
      <c r="G20" s="427">
        <v>5.2</v>
      </c>
      <c r="H20" s="427">
        <v>0</v>
      </c>
      <c r="I20" s="427">
        <f>_xll.qlMidEquivalent(G20,H20)</f>
        <v>5.2</v>
      </c>
      <c r="J20" s="281" t="b">
        <f>IF(ISNUMBER(I20),TRUE,FALSE)</f>
        <v>1</v>
      </c>
      <c r="K20" s="428">
        <v>5.2</v>
      </c>
      <c r="L20" s="283"/>
      <c r="M20" s="425">
        <v>5.2</v>
      </c>
      <c r="N20" s="283"/>
      <c r="O20" s="339" t="str">
        <f>$E20&amp;$P$2</f>
        <v>USD3L1L12Y_Quote</v>
      </c>
      <c r="P20" s="424">
        <v>5.2</v>
      </c>
      <c r="Q20" s="280" t="e">
        <f>_xll.qlSimpleQuoteSetValue($O20,$P20/10000,Trigger)</f>
        <v>#N/A</v>
      </c>
      <c r="R20" s="225"/>
    </row>
    <row r="21" spans="1:18" x14ac:dyDescent="0.2">
      <c r="A21" s="124">
        <v>13</v>
      </c>
      <c r="B21" s="287" t="s">
        <v>97</v>
      </c>
      <c r="C21" s="343" t="str">
        <v>3L</v>
      </c>
      <c r="D21" s="343" t="str">
        <v>1L</v>
      </c>
      <c r="E21" s="341" t="str">
        <f>Currency&amp;$C21&amp;$D21&amp;$B21</f>
        <v>USD3L1L13Y</v>
      </c>
      <c r="F21" s="286" t="str">
        <v>USD3L1L13Y=ICAP</v>
      </c>
      <c r="G21" s="427" t="s">
        <v>247</v>
      </c>
      <c r="H21" s="427" t="s">
        <v>247</v>
      </c>
      <c r="I21" s="427" t="e">
        <f>_xll.qlMidEquivalent(G21,H21)</f>
        <v>#NUM!</v>
      </c>
      <c r="J21" s="281" t="b">
        <f>IF(ISNUMBER(I21),TRUE,FALSE)</f>
        <v>0</v>
      </c>
      <c r="K21" s="428">
        <v>4.9762689728823704</v>
      </c>
      <c r="L21" s="283"/>
      <c r="M21" s="425">
        <v>4.9766154400837639</v>
      </c>
      <c r="N21" s="283"/>
      <c r="O21" s="339" t="str">
        <f>$E21&amp;$P$2</f>
        <v>USD3L1L13Y_Quote</v>
      </c>
      <c r="P21" s="424">
        <v>4.9762689728823704</v>
      </c>
      <c r="Q21" s="280" t="e">
        <f>_xll.qlSimpleQuoteSetValue($O21,$P21/10000,Trigger)</f>
        <v>#N/A</v>
      </c>
      <c r="R21" s="225"/>
    </row>
    <row r="22" spans="1:18" x14ac:dyDescent="0.2">
      <c r="A22" s="124">
        <v>14</v>
      </c>
      <c r="B22" s="287" t="s">
        <v>96</v>
      </c>
      <c r="C22" s="343" t="str">
        <v>3L</v>
      </c>
      <c r="D22" s="343" t="str">
        <v>1L</v>
      </c>
      <c r="E22" s="341" t="str">
        <f>Currency&amp;$C22&amp;$D22&amp;$B22</f>
        <v>USD3L1L14Y</v>
      </c>
      <c r="F22" s="286" t="str">
        <v>USD3L1L14Y=ICAP</v>
      </c>
      <c r="G22" s="427" t="s">
        <v>247</v>
      </c>
      <c r="H22" s="427" t="s">
        <v>247</v>
      </c>
      <c r="I22" s="427" t="e">
        <f>_xll.qlMidEquivalent(G22,H22)</f>
        <v>#NUM!</v>
      </c>
      <c r="J22" s="281" t="b">
        <f>IF(ISNUMBER(I22),TRUE,FALSE)</f>
        <v>0</v>
      </c>
      <c r="K22" s="428">
        <v>4.7773654100412521</v>
      </c>
      <c r="L22" s="283"/>
      <c r="M22" s="425">
        <v>4.7776120796248538</v>
      </c>
      <c r="N22" s="283"/>
      <c r="O22" s="339" t="str">
        <f>$E22&amp;$P$2</f>
        <v>USD3L1L14Y_Quote</v>
      </c>
      <c r="P22" s="424">
        <v>4.7773654100412521</v>
      </c>
      <c r="Q22" s="280" t="e">
        <f>_xll.qlSimpleQuoteSetValue($O22,$P22/10000,Trigger)</f>
        <v>#N/A</v>
      </c>
      <c r="R22" s="225"/>
    </row>
    <row r="23" spans="1:18" x14ac:dyDescent="0.2">
      <c r="A23" s="124">
        <v>15</v>
      </c>
      <c r="B23" s="287" t="s">
        <v>95</v>
      </c>
      <c r="C23" s="343" t="str">
        <v>3L</v>
      </c>
      <c r="D23" s="343" t="str">
        <v>1L</v>
      </c>
      <c r="E23" s="341" t="str">
        <f>Currency&amp;$C23&amp;$D23&amp;$B23</f>
        <v>USD3L1L15Y</v>
      </c>
      <c r="F23" s="286" t="str">
        <v>USD3L1L15Y=ICAP</v>
      </c>
      <c r="G23" s="427">
        <v>4.5999999999999996</v>
      </c>
      <c r="H23" s="427">
        <v>0</v>
      </c>
      <c r="I23" s="427">
        <f>_xll.qlMidEquivalent(G23,H23)</f>
        <v>4.5999999999999996</v>
      </c>
      <c r="J23" s="281" t="b">
        <f>IF(ISNUMBER(I23),TRUE,FALSE)</f>
        <v>1</v>
      </c>
      <c r="K23" s="428">
        <v>4.5999999999999996</v>
      </c>
      <c r="L23" s="283"/>
      <c r="M23" s="425">
        <v>4.5999999999999996</v>
      </c>
      <c r="N23" s="283"/>
      <c r="O23" s="339" t="str">
        <f>$E23&amp;$P$2</f>
        <v>USD3L1L15Y_Quote</v>
      </c>
      <c r="P23" s="424">
        <v>4.5999999999999996</v>
      </c>
      <c r="Q23" s="280" t="e">
        <f>_xll.qlSimpleQuoteSetValue($O23,$P23/10000,Trigger)</f>
        <v>#N/A</v>
      </c>
      <c r="R23" s="225"/>
    </row>
    <row r="24" spans="1:18" x14ac:dyDescent="0.2">
      <c r="A24" s="124">
        <v>16</v>
      </c>
      <c r="B24" s="287" t="s">
        <v>94</v>
      </c>
      <c r="C24" s="343" t="str">
        <v>3L</v>
      </c>
      <c r="D24" s="343" t="str">
        <v>1L</v>
      </c>
      <c r="E24" s="341" t="str">
        <f>Currency&amp;$C24&amp;$D24&amp;$B24</f>
        <v>USD3L1L16Y</v>
      </c>
      <c r="F24" s="286" t="str">
        <v>USD3L1L16Y=ICAP</v>
      </c>
      <c r="G24" s="427" t="s">
        <v>247</v>
      </c>
      <c r="H24" s="427" t="s">
        <v>247</v>
      </c>
      <c r="I24" s="427" t="e">
        <f>_xll.qlMidEquivalent(G24,H24)</f>
        <v>#NUM!</v>
      </c>
      <c r="J24" s="281" t="b">
        <f>IF(ISNUMBER(I24),TRUE,FALSE)</f>
        <v>0</v>
      </c>
      <c r="K24" s="428">
        <v>4.4415144765610917</v>
      </c>
      <c r="L24" s="283"/>
      <c r="M24" s="425">
        <v>4.4413639892853558</v>
      </c>
      <c r="N24" s="283"/>
      <c r="O24" s="339" t="str">
        <f>$E24&amp;$P$2</f>
        <v>USD3L1L16Y_Quote</v>
      </c>
      <c r="P24" s="424">
        <v>4.4415144765610917</v>
      </c>
      <c r="Q24" s="280" t="e">
        <f>_xll.qlSimpleQuoteSetValue($O24,$P24/10000,Trigger)</f>
        <v>#N/A</v>
      </c>
      <c r="R24" s="225"/>
    </row>
    <row r="25" spans="1:18" x14ac:dyDescent="0.2">
      <c r="A25" s="124">
        <v>17</v>
      </c>
      <c r="B25" s="287" t="s">
        <v>93</v>
      </c>
      <c r="C25" s="343" t="str">
        <v>3L</v>
      </c>
      <c r="D25" s="343" t="str">
        <v>1L</v>
      </c>
      <c r="E25" s="341" t="str">
        <f>Currency&amp;$C25&amp;$D25&amp;$B25</f>
        <v>USD3L1L17Y</v>
      </c>
      <c r="F25" s="286" t="str">
        <v>USD3L1L17Y=ICAP</v>
      </c>
      <c r="G25" s="427" t="s">
        <v>247</v>
      </c>
      <c r="H25" s="427" t="s">
        <v>247</v>
      </c>
      <c r="I25" s="427" t="e">
        <f>_xll.qlMidEquivalent(G25,H25)</f>
        <v>#NUM!</v>
      </c>
      <c r="J25" s="281" t="b">
        <f>IF(ISNUMBER(I25),TRUE,FALSE)</f>
        <v>0</v>
      </c>
      <c r="K25" s="428">
        <v>4.3017747546435201</v>
      </c>
      <c r="L25" s="283"/>
      <c r="M25" s="425">
        <v>4.3015876623547671</v>
      </c>
      <c r="N25" s="283"/>
      <c r="O25" s="339" t="str">
        <f>$E25&amp;$P$2</f>
        <v>USD3L1L17Y_Quote</v>
      </c>
      <c r="P25" s="424">
        <v>4.3017747546435201</v>
      </c>
      <c r="Q25" s="280" t="e">
        <f>_xll.qlSimpleQuoteSetValue($O25,$P25/10000,Trigger)</f>
        <v>#N/A</v>
      </c>
      <c r="R25" s="225"/>
    </row>
    <row r="26" spans="1:18" x14ac:dyDescent="0.2">
      <c r="A26" s="124">
        <v>18</v>
      </c>
      <c r="B26" s="287" t="s">
        <v>92</v>
      </c>
      <c r="C26" s="343" t="str">
        <v>3L</v>
      </c>
      <c r="D26" s="343" t="str">
        <v>1L</v>
      </c>
      <c r="E26" s="341" t="str">
        <f>Currency&amp;$C26&amp;$D26&amp;$B26</f>
        <v>USD3L1L18Y</v>
      </c>
      <c r="F26" s="286" t="str">
        <v>USD3L1L18Y=ICAP</v>
      </c>
      <c r="G26" s="427" t="s">
        <v>247</v>
      </c>
      <c r="H26" s="427" t="s">
        <v>247</v>
      </c>
      <c r="I26" s="427" t="e">
        <f>_xll.qlMidEquivalent(G26,H26)</f>
        <v>#NUM!</v>
      </c>
      <c r="J26" s="281" t="b">
        <f>IF(ISNUMBER(I26),TRUE,FALSE)</f>
        <v>0</v>
      </c>
      <c r="K26" s="428">
        <v>4.1812777944454016</v>
      </c>
      <c r="L26" s="283"/>
      <c r="M26" s="425">
        <v>4.1811293407815002</v>
      </c>
      <c r="N26" s="283"/>
      <c r="O26" s="339" t="str">
        <f>$E26&amp;$P$2</f>
        <v>USD3L1L18Y_Quote</v>
      </c>
      <c r="P26" s="424">
        <v>4.1812777944454016</v>
      </c>
      <c r="Q26" s="280" t="e">
        <f>_xll.qlSimpleQuoteSetValue($O26,$P26/10000,Trigger)</f>
        <v>#N/A</v>
      </c>
      <c r="R26" s="225"/>
    </row>
    <row r="27" spans="1:18" x14ac:dyDescent="0.2">
      <c r="A27" s="124">
        <v>19</v>
      </c>
      <c r="B27" s="287" t="s">
        <v>91</v>
      </c>
      <c r="C27" s="343" t="str">
        <v>3L</v>
      </c>
      <c r="D27" s="343" t="str">
        <v>1L</v>
      </c>
      <c r="E27" s="341" t="str">
        <f>Currency&amp;$C27&amp;$D27&amp;$B27</f>
        <v>USD3L1L19Y</v>
      </c>
      <c r="F27" s="286" t="str">
        <v>USD3L1L19Y=ICAP</v>
      </c>
      <c r="G27" s="427" t="s">
        <v>247</v>
      </c>
      <c r="H27" s="427" t="s">
        <v>247</v>
      </c>
      <c r="I27" s="427" t="e">
        <f>_xll.qlMidEquivalent(G27,H27)</f>
        <v>#NUM!</v>
      </c>
      <c r="J27" s="281" t="b">
        <f>IF(ISNUMBER(I27),TRUE,FALSE)</f>
        <v>0</v>
      </c>
      <c r="K27" s="428">
        <v>4.0805205561648554</v>
      </c>
      <c r="L27" s="283"/>
      <c r="M27" s="425">
        <v>4.080447346138822</v>
      </c>
      <c r="N27" s="283"/>
      <c r="O27" s="339" t="str">
        <f>$E27&amp;$P$2</f>
        <v>USD3L1L19Y_Quote</v>
      </c>
      <c r="P27" s="424">
        <v>4.0805205561648554</v>
      </c>
      <c r="Q27" s="280" t="e">
        <f>_xll.qlSimpleQuoteSetValue($O27,$P27/10000,Trigger)</f>
        <v>#N/A</v>
      </c>
      <c r="R27" s="225"/>
    </row>
    <row r="28" spans="1:18" x14ac:dyDescent="0.2">
      <c r="A28" s="124">
        <v>20</v>
      </c>
      <c r="B28" s="287" t="s">
        <v>90</v>
      </c>
      <c r="C28" s="343" t="str">
        <v>3L</v>
      </c>
      <c r="D28" s="343" t="str">
        <v>1L</v>
      </c>
      <c r="E28" s="341" t="str">
        <f>Currency&amp;$C28&amp;$D28&amp;$B28</f>
        <v>USD3L1L20Y</v>
      </c>
      <c r="F28" s="286" t="str">
        <v>USD3L1L20Y=ICAP</v>
      </c>
      <c r="G28" s="427">
        <v>4</v>
      </c>
      <c r="H28" s="427">
        <v>0</v>
      </c>
      <c r="I28" s="427">
        <f>_xll.qlMidEquivalent(G28,H28)</f>
        <v>4</v>
      </c>
      <c r="J28" s="281" t="b">
        <f>IF(ISNUMBER(I28),TRUE,FALSE)</f>
        <v>1</v>
      </c>
      <c r="K28" s="428">
        <v>4</v>
      </c>
      <c r="L28" s="283"/>
      <c r="M28" s="425">
        <v>4</v>
      </c>
      <c r="N28" s="283"/>
      <c r="O28" s="339" t="str">
        <f>$E28&amp;$P$2</f>
        <v>USD3L1L20Y_Quote</v>
      </c>
      <c r="P28" s="424">
        <v>4</v>
      </c>
      <c r="Q28" s="280" t="e">
        <f>_xll.qlSimpleQuoteSetValue($O28,$P28/10000,Trigger)</f>
        <v>#N/A</v>
      </c>
      <c r="R28" s="225"/>
    </row>
    <row r="29" spans="1:18" x14ac:dyDescent="0.2">
      <c r="A29" s="124">
        <v>21</v>
      </c>
      <c r="B29" s="287" t="s">
        <v>89</v>
      </c>
      <c r="C29" s="343" t="str">
        <v>3L</v>
      </c>
      <c r="D29" s="343" t="str">
        <v>1L</v>
      </c>
      <c r="E29" s="341" t="str">
        <f>Currency&amp;$C29&amp;$D29&amp;$B29</f>
        <v>USD3L1L21Y</v>
      </c>
      <c r="F29" s="286" t="str">
        <v>USD3L1L21Y=ICAP</v>
      </c>
      <c r="G29" s="427" t="s">
        <v>247</v>
      </c>
      <c r="H29" s="427" t="s">
        <v>247</v>
      </c>
      <c r="I29" s="427" t="e">
        <f>_xll.qlMidEquivalent(G29,H29)</f>
        <v>#NUM!</v>
      </c>
      <c r="J29" s="281" t="b">
        <f>IF(ISNUMBER(I29),TRUE,FALSE)</f>
        <v>0</v>
      </c>
      <c r="K29" s="428">
        <v>3.9392663576861913</v>
      </c>
      <c r="L29" s="283"/>
      <c r="M29" s="425">
        <v>3.9393070299228765</v>
      </c>
      <c r="N29" s="283"/>
      <c r="O29" s="339" t="str">
        <f>$E29&amp;$P$2</f>
        <v>USD3L1L21Y_Quote</v>
      </c>
      <c r="P29" s="424">
        <v>3.9392663576861913</v>
      </c>
      <c r="Q29" s="280" t="e">
        <f>_xll.qlSimpleQuoteSetValue($O29,$P29/10000,Trigger)</f>
        <v>#N/A</v>
      </c>
      <c r="R29" s="225"/>
    </row>
    <row r="30" spans="1:18" x14ac:dyDescent="0.2">
      <c r="A30" s="124">
        <v>22</v>
      </c>
      <c r="B30" s="287" t="s">
        <v>88</v>
      </c>
      <c r="C30" s="343" t="str">
        <v>3L</v>
      </c>
      <c r="D30" s="343" t="str">
        <v>1L</v>
      </c>
      <c r="E30" s="341" t="str">
        <f>Currency&amp;$C30&amp;$D30&amp;$B30</f>
        <v>USD3L1L22Y</v>
      </c>
      <c r="F30" s="286" t="str">
        <v>USD3L1L22Y=ICAP</v>
      </c>
      <c r="G30" s="427" t="s">
        <v>247</v>
      </c>
      <c r="H30" s="427" t="s">
        <v>247</v>
      </c>
      <c r="I30" s="427" t="e">
        <f>_xll.qlMidEquivalent(G30,H30)</f>
        <v>#NUM!</v>
      </c>
      <c r="J30" s="281" t="b">
        <f>IF(ISNUMBER(I30),TRUE,FALSE)</f>
        <v>0</v>
      </c>
      <c r="K30" s="428">
        <v>3.8940829471077389</v>
      </c>
      <c r="L30" s="283"/>
      <c r="M30" s="425">
        <v>3.8941337874035957</v>
      </c>
      <c r="N30" s="283"/>
      <c r="O30" s="339" t="str">
        <f>$E30&amp;$P$2</f>
        <v>USD3L1L22Y_Quote</v>
      </c>
      <c r="P30" s="424">
        <v>3.8940829471077389</v>
      </c>
      <c r="Q30" s="280" t="e">
        <f>_xll.qlSimpleQuoteSetValue($O30,$P30/10000,Trigger)</f>
        <v>#N/A</v>
      </c>
      <c r="R30" s="225"/>
    </row>
    <row r="31" spans="1:18" x14ac:dyDescent="0.2">
      <c r="A31" s="124">
        <v>23</v>
      </c>
      <c r="B31" s="287" t="s">
        <v>87</v>
      </c>
      <c r="C31" s="343" t="str">
        <v>3L</v>
      </c>
      <c r="D31" s="343" t="str">
        <v>1L</v>
      </c>
      <c r="E31" s="341" t="str">
        <f>Currency&amp;$C31&amp;$D31&amp;$B31</f>
        <v>USD3L1L23Y</v>
      </c>
      <c r="F31" s="286" t="str">
        <v>USD3L1L23Y=ICAP</v>
      </c>
      <c r="G31" s="427" t="s">
        <v>247</v>
      </c>
      <c r="H31" s="427" t="s">
        <v>247</v>
      </c>
      <c r="I31" s="427" t="e">
        <f>_xll.qlMidEquivalent(G31,H31)</f>
        <v>#NUM!</v>
      </c>
      <c r="J31" s="281" t="b">
        <f>IF(ISNUMBER(I31),TRUE,FALSE)</f>
        <v>0</v>
      </c>
      <c r="K31" s="428">
        <v>3.8592663576861912</v>
      </c>
      <c r="L31" s="283"/>
      <c r="M31" s="425">
        <v>3.8593070299228764</v>
      </c>
      <c r="N31" s="283"/>
      <c r="O31" s="339" t="str">
        <f>$E31&amp;$P$2</f>
        <v>USD3L1L23Y_Quote</v>
      </c>
      <c r="P31" s="424">
        <v>3.8592663576861912</v>
      </c>
      <c r="Q31" s="280" t="e">
        <f>_xll.qlSimpleQuoteSetValue($O31,$P31/10000,Trigger)</f>
        <v>#N/A</v>
      </c>
      <c r="R31" s="225"/>
    </row>
    <row r="32" spans="1:18" x14ac:dyDescent="0.2">
      <c r="A32" s="124">
        <v>24</v>
      </c>
      <c r="B32" s="287" t="s">
        <v>86</v>
      </c>
      <c r="C32" s="343" t="str">
        <v>3L</v>
      </c>
      <c r="D32" s="343" t="str">
        <v>1L</v>
      </c>
      <c r="E32" s="341" t="str">
        <f>Currency&amp;$C32&amp;$D32&amp;$B32</f>
        <v>USD3L1L24Y</v>
      </c>
      <c r="F32" s="286" t="str">
        <v>USD3L1L24Y=ICAP</v>
      </c>
      <c r="G32" s="427" t="s">
        <v>247</v>
      </c>
      <c r="H32" s="427" t="s">
        <v>247</v>
      </c>
      <c r="I32" s="427" t="e">
        <f>_xll.qlMidEquivalent(G32,H32)</f>
        <v>#NUM!</v>
      </c>
      <c r="J32" s="281" t="b">
        <f>IF(ISNUMBER(I32),TRUE,FALSE)</f>
        <v>0</v>
      </c>
      <c r="K32" s="428">
        <v>3.8296331788430953</v>
      </c>
      <c r="L32" s="283"/>
      <c r="M32" s="425">
        <v>3.8296535149614384</v>
      </c>
      <c r="N32" s="283"/>
      <c r="O32" s="339" t="str">
        <f>$E32&amp;$P$2</f>
        <v>USD3L1L24Y_Quote</v>
      </c>
      <c r="P32" s="424">
        <v>3.8296331788430953</v>
      </c>
      <c r="Q32" s="280" t="e">
        <f>_xll.qlSimpleQuoteSetValue($O32,$P32/10000,Trigger)</f>
        <v>#N/A</v>
      </c>
      <c r="R32" s="225"/>
    </row>
    <row r="33" spans="1:18" x14ac:dyDescent="0.2">
      <c r="A33" s="124">
        <v>25</v>
      </c>
      <c r="B33" s="287" t="s">
        <v>85</v>
      </c>
      <c r="C33" s="343" t="str">
        <v>3L</v>
      </c>
      <c r="D33" s="343" t="str">
        <v>1L</v>
      </c>
      <c r="E33" s="341" t="str">
        <f>Currency&amp;$C33&amp;$D33&amp;$B33</f>
        <v>USD3L1L25Y</v>
      </c>
      <c r="F33" s="286" t="str">
        <v>USD3L1L25Y=ICAP</v>
      </c>
      <c r="G33" s="427">
        <v>3.8</v>
      </c>
      <c r="H33" s="427">
        <v>0</v>
      </c>
      <c r="I33" s="427">
        <f>_xll.qlMidEquivalent(G33,H33)</f>
        <v>3.8</v>
      </c>
      <c r="J33" s="281" t="b">
        <f>IF(ISNUMBER(I33),TRUE,FALSE)</f>
        <v>1</v>
      </c>
      <c r="K33" s="428">
        <v>3.8</v>
      </c>
      <c r="L33" s="283"/>
      <c r="M33" s="425">
        <v>3.8</v>
      </c>
      <c r="N33" s="283"/>
      <c r="O33" s="339" t="str">
        <f>$E33&amp;$P$2</f>
        <v>USD3L1L25Y_Quote</v>
      </c>
      <c r="P33" s="424">
        <v>3.8</v>
      </c>
      <c r="Q33" s="280" t="e">
        <f>_xll.qlSimpleQuoteSetValue($O33,$P33/10000,Trigger)</f>
        <v>#N/A</v>
      </c>
      <c r="R33" s="225"/>
    </row>
    <row r="34" spans="1:18" x14ac:dyDescent="0.2">
      <c r="A34" s="124">
        <v>26</v>
      </c>
      <c r="B34" s="287" t="s">
        <v>84</v>
      </c>
      <c r="C34" s="343" t="str">
        <v>3L</v>
      </c>
      <c r="D34" s="343" t="str">
        <v>1L</v>
      </c>
      <c r="E34" s="341" t="str">
        <f>Currency&amp;$C34&amp;$D34&amp;$B34</f>
        <v>USD3L1L26Y</v>
      </c>
      <c r="F34" s="286" t="str">
        <v>USD3L1L26Y=ICAP</v>
      </c>
      <c r="G34" s="427" t="s">
        <v>247</v>
      </c>
      <c r="H34" s="427" t="s">
        <v>247</v>
      </c>
      <c r="I34" s="427" t="e">
        <f>_xll.qlMidEquivalent(G34,H34)</f>
        <v>#NUM!</v>
      </c>
      <c r="J34" s="281" t="b">
        <f>IF(ISNUMBER(I34),TRUE,FALSE)</f>
        <v>0</v>
      </c>
      <c r="K34" s="428">
        <v>3.7662200926941423</v>
      </c>
      <c r="L34" s="283"/>
      <c r="M34" s="425">
        <v>3.7662078910231367</v>
      </c>
      <c r="N34" s="283"/>
      <c r="O34" s="339" t="str">
        <f>$E34&amp;$P$2</f>
        <v>USD3L1L26Y_Quote</v>
      </c>
      <c r="P34" s="424">
        <v>3.7662200926941423</v>
      </c>
      <c r="Q34" s="280" t="e">
        <f>_xll.qlSimpleQuoteSetValue($O34,$P34/10000,Trigger)</f>
        <v>#N/A</v>
      </c>
      <c r="R34" s="225"/>
    </row>
    <row r="35" spans="1:18" x14ac:dyDescent="0.2">
      <c r="A35" s="124">
        <v>27</v>
      </c>
      <c r="B35" s="287" t="s">
        <v>83</v>
      </c>
      <c r="C35" s="343" t="str">
        <v>3L</v>
      </c>
      <c r="D35" s="343" t="str">
        <v>1L</v>
      </c>
      <c r="E35" s="341" t="str">
        <f>Currency&amp;$C35&amp;$D35&amp;$B35</f>
        <v>USD3L1L27Y</v>
      </c>
      <c r="F35" s="286" t="str">
        <v>USD3L1L27Y=ICAP</v>
      </c>
      <c r="G35" s="427" t="s">
        <v>247</v>
      </c>
      <c r="H35" s="427" t="s">
        <v>247</v>
      </c>
      <c r="I35" s="427" t="e">
        <f>_xll.qlMidEquivalent(G35,H35)</f>
        <v>#NUM!</v>
      </c>
      <c r="J35" s="281" t="b">
        <f>IF(ISNUMBER(I35),TRUE,FALSE)</f>
        <v>0</v>
      </c>
      <c r="K35" s="428">
        <v>3.7282934569255235</v>
      </c>
      <c r="L35" s="283"/>
      <c r="M35" s="425">
        <v>3.7282771880308494</v>
      </c>
      <c r="N35" s="283"/>
      <c r="O35" s="339" t="str">
        <f>$E35&amp;$P$2</f>
        <v>USD3L1L27Y_Quote</v>
      </c>
      <c r="P35" s="424">
        <v>3.7282934569255235</v>
      </c>
      <c r="Q35" s="280" t="e">
        <f>_xll.qlSimpleQuoteSetValue($O35,$P35/10000,Trigger)</f>
        <v>#N/A</v>
      </c>
      <c r="R35" s="225"/>
    </row>
    <row r="36" spans="1:18" x14ac:dyDescent="0.2">
      <c r="A36" s="124">
        <v>28</v>
      </c>
      <c r="B36" s="287" t="s">
        <v>82</v>
      </c>
      <c r="C36" s="343" t="str">
        <v>3L</v>
      </c>
      <c r="D36" s="343" t="str">
        <v>1L</v>
      </c>
      <c r="E36" s="341" t="str">
        <f>Currency&amp;$C36&amp;$D36&amp;$B36</f>
        <v>USD3L1L28Y</v>
      </c>
      <c r="F36" s="286" t="str">
        <v>USD3L1L28Y=ICAP</v>
      </c>
      <c r="G36" s="427" t="s">
        <v>247</v>
      </c>
      <c r="H36" s="427" t="s">
        <v>247</v>
      </c>
      <c r="I36" s="427" t="e">
        <f>_xll.qlMidEquivalent(G36,H36)</f>
        <v>#NUM!</v>
      </c>
      <c r="J36" s="281" t="b">
        <f>IF(ISNUMBER(I36),TRUE,FALSE)</f>
        <v>0</v>
      </c>
      <c r="K36" s="428">
        <v>3.6872567748098328</v>
      </c>
      <c r="L36" s="283"/>
      <c r="M36" s="425">
        <v>3.6872425395269932</v>
      </c>
      <c r="N36" s="283"/>
      <c r="O36" s="339" t="str">
        <f>$E36&amp;$P$2</f>
        <v>USD3L1L28Y_Quote</v>
      </c>
      <c r="P36" s="424">
        <v>3.6872567748098328</v>
      </c>
      <c r="Q36" s="280" t="e">
        <f>_xll.qlSimpleQuoteSetValue($O36,$P36/10000,Trigger)</f>
        <v>#N/A</v>
      </c>
      <c r="R36" s="225"/>
    </row>
    <row r="37" spans="1:18" x14ac:dyDescent="0.2">
      <c r="A37" s="124">
        <v>29</v>
      </c>
      <c r="B37" s="287" t="s">
        <v>81</v>
      </c>
      <c r="C37" s="343" t="str">
        <v>3L</v>
      </c>
      <c r="D37" s="343" t="str">
        <v>1L</v>
      </c>
      <c r="E37" s="341" t="str">
        <f>Currency&amp;$C37&amp;$D37&amp;$B37</f>
        <v>USD3L1L29Y</v>
      </c>
      <c r="F37" s="286" t="str">
        <v>USD3L1L29Y=ICAP</v>
      </c>
      <c r="G37" s="427" t="s">
        <v>247</v>
      </c>
      <c r="H37" s="427" t="s">
        <v>247</v>
      </c>
      <c r="I37" s="427" t="e">
        <f>_xll.qlMidEquivalent(G37,H37)</f>
        <v>#NUM!</v>
      </c>
      <c r="J37" s="281" t="b">
        <f>IF(ISNUMBER(I37),TRUE,FALSE)</f>
        <v>0</v>
      </c>
      <c r="K37" s="428">
        <v>3.6441467284627618</v>
      </c>
      <c r="L37" s="283"/>
      <c r="M37" s="425">
        <v>3.6441385940154247</v>
      </c>
      <c r="N37" s="283"/>
      <c r="O37" s="339" t="str">
        <f>$E37&amp;$P$2</f>
        <v>USD3L1L29Y_Quote</v>
      </c>
      <c r="P37" s="424">
        <v>3.6441467284627618</v>
      </c>
      <c r="Q37" s="280" t="e">
        <f>_xll.qlSimpleQuoteSetValue($O37,$P37/10000,Trigger)</f>
        <v>#N/A</v>
      </c>
      <c r="R37" s="225"/>
    </row>
    <row r="38" spans="1:18" x14ac:dyDescent="0.2">
      <c r="A38" s="124">
        <v>30</v>
      </c>
      <c r="B38" s="287" t="s">
        <v>80</v>
      </c>
      <c r="C38" s="343" t="str">
        <v>3L</v>
      </c>
      <c r="D38" s="343" t="str">
        <v>1L</v>
      </c>
      <c r="E38" s="341" t="str">
        <f>Currency&amp;$C38&amp;$D38&amp;$B38</f>
        <v>USD3L1L30Y</v>
      </c>
      <c r="F38" s="286" t="str">
        <v>USD3L1L30Y=ICAP</v>
      </c>
      <c r="G38" s="427">
        <v>3.6</v>
      </c>
      <c r="H38" s="427">
        <v>0</v>
      </c>
      <c r="I38" s="427">
        <f>_xll.qlMidEquivalent(G38,H38)</f>
        <v>3.6</v>
      </c>
      <c r="J38" s="281" t="b">
        <f>IF(ISNUMBER(I38),TRUE,FALSE)</f>
        <v>1</v>
      </c>
      <c r="K38" s="428">
        <v>3.6</v>
      </c>
      <c r="L38" s="283"/>
      <c r="M38" s="425">
        <v>3.6</v>
      </c>
      <c r="N38" s="283"/>
      <c r="O38" s="339" t="str">
        <f>$E38&amp;$P$2</f>
        <v>USD3L1L30Y_Quote</v>
      </c>
      <c r="P38" s="424">
        <v>3.6</v>
      </c>
      <c r="Q38" s="280" t="e">
        <f>_xll.qlSimpleQuoteSetValue($O38,$P38/10000,Trigger)</f>
        <v>#N/A</v>
      </c>
      <c r="R38" s="225"/>
    </row>
    <row r="39" spans="1:18" x14ac:dyDescent="0.2">
      <c r="A39" s="124">
        <v>35</v>
      </c>
      <c r="B39" s="287" t="s">
        <v>75</v>
      </c>
      <c r="C39" s="343" t="str">
        <v>3L</v>
      </c>
      <c r="D39" s="343" t="str">
        <v>1L</v>
      </c>
      <c r="E39" s="341" t="str">
        <f>Currency&amp;$C39&amp;$D39&amp;$B39</f>
        <v>USD3L1L35Y</v>
      </c>
      <c r="F39" s="286" t="str">
        <v>USD3L1L35Y=ICAP</v>
      </c>
      <c r="G39" s="427" t="s">
        <v>247</v>
      </c>
      <c r="H39" s="427" t="s">
        <v>247</v>
      </c>
      <c r="I39" s="427" t="e">
        <f>_xll.qlMidEquivalent(G39,H39)</f>
        <v>#NUM!</v>
      </c>
      <c r="J39" s="281" t="b">
        <f>IF(ISNUMBER(I39),TRUE,FALSE)</f>
        <v>0</v>
      </c>
      <c r="K39" s="426">
        <f>K38</f>
        <v>3.6</v>
      </c>
      <c r="L39" s="283"/>
      <c r="M39" s="425">
        <v>3.6</v>
      </c>
      <c r="N39" s="283"/>
      <c r="O39" s="339" t="str">
        <f>$E39&amp;$P$2</f>
        <v>USD3L1L35Y_Quote</v>
      </c>
      <c r="P39" s="424">
        <v>3.6</v>
      </c>
      <c r="Q39" s="280" t="e">
        <f>_xll.qlSimpleQuoteSetValue($O39,$P39/10000,Trigger)</f>
        <v>#N/A</v>
      </c>
      <c r="R39" s="225"/>
    </row>
    <row r="40" spans="1:18" x14ac:dyDescent="0.2">
      <c r="A40" s="124">
        <v>40</v>
      </c>
      <c r="B40" s="287" t="s">
        <v>70</v>
      </c>
      <c r="C40" s="343" t="str">
        <v>3L</v>
      </c>
      <c r="D40" s="343" t="str">
        <v>1L</v>
      </c>
      <c r="E40" s="341" t="str">
        <f>Currency&amp;$C40&amp;$D40&amp;$B40</f>
        <v>USD3L1L40Y</v>
      </c>
      <c r="F40" s="286" t="str">
        <v>USD3L1L40Y=ICAP</v>
      </c>
      <c r="G40" s="427" t="s">
        <v>247</v>
      </c>
      <c r="H40" s="427" t="s">
        <v>247</v>
      </c>
      <c r="I40" s="427" t="e">
        <f>_xll.qlMidEquivalent(G40,H40)</f>
        <v>#NUM!</v>
      </c>
      <c r="J40" s="281" t="b">
        <f>IF(ISNUMBER(I40),TRUE,FALSE)</f>
        <v>0</v>
      </c>
      <c r="K40" s="426">
        <f>K39</f>
        <v>3.6</v>
      </c>
      <c r="L40" s="283"/>
      <c r="M40" s="425">
        <v>3.6</v>
      </c>
      <c r="N40" s="283"/>
      <c r="O40" s="339" t="str">
        <f>$E40&amp;$P$2</f>
        <v>USD3L1L40Y_Quote</v>
      </c>
      <c r="P40" s="424">
        <v>3.6</v>
      </c>
      <c r="Q40" s="280" t="e">
        <f>_xll.qlSimpleQuoteSetValue($O40,$P40/10000,Trigger)</f>
        <v>#N/A</v>
      </c>
      <c r="R40" s="225"/>
    </row>
    <row r="41" spans="1:18" x14ac:dyDescent="0.2">
      <c r="A41" s="124">
        <v>50</v>
      </c>
      <c r="B41" s="287" t="s">
        <v>60</v>
      </c>
      <c r="C41" s="343" t="str">
        <v>3L</v>
      </c>
      <c r="D41" s="343" t="str">
        <v>1L</v>
      </c>
      <c r="E41" s="341" t="str">
        <f>Currency&amp;$C41&amp;$D41&amp;$B41</f>
        <v>USD3L1L50Y</v>
      </c>
      <c r="F41" s="286" t="str">
        <v>USD3L1L50Y=ICAP</v>
      </c>
      <c r="G41" s="427" t="s">
        <v>247</v>
      </c>
      <c r="H41" s="427" t="s">
        <v>247</v>
      </c>
      <c r="I41" s="427" t="e">
        <f>_xll.qlMidEquivalent(G41,H41)</f>
        <v>#NUM!</v>
      </c>
      <c r="J41" s="281" t="b">
        <f>IF(ISNUMBER(I41),TRUE,FALSE)</f>
        <v>0</v>
      </c>
      <c r="K41" s="426">
        <f>K40</f>
        <v>3.6</v>
      </c>
      <c r="L41" s="283"/>
      <c r="M41" s="425">
        <v>3.6</v>
      </c>
      <c r="N41" s="283"/>
      <c r="O41" s="339" t="str">
        <f>$E41&amp;$P$2</f>
        <v>USD3L1L50Y_Quote</v>
      </c>
      <c r="P41" s="424">
        <v>3.6</v>
      </c>
      <c r="Q41" s="280" t="e">
        <f>_xll.qlSimpleQuoteSetValue($O41,$P41/10000,Trigger)</f>
        <v>#N/A</v>
      </c>
      <c r="R41" s="225"/>
    </row>
    <row r="42" spans="1:18" x14ac:dyDescent="0.2">
      <c r="A42" s="124">
        <v>60</v>
      </c>
      <c r="B42" s="299" t="s">
        <v>50</v>
      </c>
      <c r="C42" s="338" t="str">
        <v>3L</v>
      </c>
      <c r="D42" s="338" t="str">
        <v>1L</v>
      </c>
      <c r="E42" s="336" t="str">
        <f>Currency&amp;$C42&amp;$D42&amp;$B42</f>
        <v>USD3L1L60Y</v>
      </c>
      <c r="F42" s="298" t="str">
        <v>USD3L1L60Y=ICAP</v>
      </c>
      <c r="G42" s="423" t="s">
        <v>247</v>
      </c>
      <c r="H42" s="423" t="s">
        <v>247</v>
      </c>
      <c r="I42" s="423" t="e">
        <f>_xll.qlMidEquivalent(G42,H42)</f>
        <v>#NUM!</v>
      </c>
      <c r="J42" s="294" t="b">
        <f>IF(ISNUMBER(I42),TRUE,FALSE)</f>
        <v>0</v>
      </c>
      <c r="K42" s="422">
        <f>K41</f>
        <v>3.6</v>
      </c>
      <c r="L42" s="283"/>
      <c r="M42" s="421">
        <v>3.6</v>
      </c>
      <c r="N42" s="283"/>
      <c r="O42" s="334" t="str">
        <f>$E42&amp;$P$2</f>
        <v>USD3L1L60Y_Quote</v>
      </c>
      <c r="P42" s="420">
        <v>3.6</v>
      </c>
      <c r="Q42" s="293" t="e">
        <f>_xll.qlSimpleQuoteSetValue($O42,$P42/10000,Trigger)</f>
        <v>#N/A</v>
      </c>
      <c r="R42" s="225"/>
    </row>
    <row r="43" spans="1:18" ht="12" thickBot="1" x14ac:dyDescent="0.25">
      <c r="A43" s="4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324"/>
    </row>
    <row r="53" spans="6:6" x14ac:dyDescent="0.2">
      <c r="F53" s="419"/>
    </row>
    <row r="54" spans="6:6" x14ac:dyDescent="0.2">
      <c r="F54" s="419"/>
    </row>
    <row r="55" spans="6:6" x14ac:dyDescent="0.2">
      <c r="F55" s="419"/>
    </row>
    <row r="56" spans="6:6" x14ac:dyDescent="0.2">
      <c r="F56" s="419"/>
    </row>
    <row r="57" spans="6:6" x14ac:dyDescent="0.2">
      <c r="F57" s="419"/>
    </row>
    <row r="58" spans="6:6" x14ac:dyDescent="0.2">
      <c r="F58" s="419"/>
    </row>
    <row r="59" spans="6:6" x14ac:dyDescent="0.2">
      <c r="F59" s="419"/>
    </row>
    <row r="60" spans="6:6" x14ac:dyDescent="0.2">
      <c r="F60" s="419"/>
    </row>
    <row r="61" spans="6:6" x14ac:dyDescent="0.2">
      <c r="F61" s="419"/>
    </row>
    <row r="62" spans="6:6" x14ac:dyDescent="0.2">
      <c r="F62" s="418"/>
    </row>
    <row r="63" spans="6:6" x14ac:dyDescent="0.2">
      <c r="F63" s="418"/>
    </row>
    <row r="64" spans="6:6" x14ac:dyDescent="0.2">
      <c r="F64" s="418"/>
    </row>
    <row r="65" spans="6:6" x14ac:dyDescent="0.2">
      <c r="F65" s="418"/>
    </row>
  </sheetData>
  <conditionalFormatting sqref="Q5:Q42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5:F52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X63"/>
  <sheetViews>
    <sheetView workbookViewId="0"/>
  </sheetViews>
  <sheetFormatPr defaultRowHeight="11.25" x14ac:dyDescent="0.2"/>
  <cols>
    <col min="1" max="1" width="4" style="21" bestFit="1" customWidth="1"/>
    <col min="2" max="2" width="3.85546875" style="21" bestFit="1" customWidth="1"/>
    <col min="3" max="4" width="2.7109375" style="21" bestFit="1" customWidth="1"/>
    <col min="5" max="5" width="10.28515625" style="21" bestFit="1" customWidth="1"/>
    <col min="6" max="6" width="15.5703125" style="21" bestFit="1" customWidth="1"/>
    <col min="7" max="7" width="8.5703125" style="21" customWidth="1"/>
    <col min="8" max="8" width="5.28515625" style="21" customWidth="1"/>
    <col min="9" max="9" width="9" style="21" bestFit="1" customWidth="1"/>
    <col min="10" max="10" width="5.7109375" style="21" bestFit="1" customWidth="1"/>
    <col min="11" max="11" width="5.28515625" style="21" bestFit="1" customWidth="1"/>
    <col min="12" max="12" width="5" style="21" customWidth="1"/>
    <col min="13" max="13" width="5.28515625" style="21" bestFit="1" customWidth="1"/>
    <col min="14" max="14" width="5" style="21" customWidth="1"/>
    <col min="15" max="15" width="15.425781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23" width="3.85546875" style="21" bestFit="1" customWidth="1"/>
    <col min="24" max="24" width="7.7109375" style="21" bestFit="1" customWidth="1"/>
    <col min="25" max="16384" width="9.140625" style="21"/>
  </cols>
  <sheetData>
    <row r="1" spans="1:24" x14ac:dyDescent="0.2">
      <c r="A1" s="354" t="s">
        <v>315</v>
      </c>
      <c r="B1" s="206"/>
      <c r="C1" s="206"/>
      <c r="D1" s="206"/>
      <c r="E1" s="206"/>
      <c r="F1" s="206" t="s">
        <v>294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x14ac:dyDescent="0.2">
      <c r="A2" s="320"/>
      <c r="B2" s="139"/>
      <c r="C2" s="283"/>
      <c r="D2" s="283"/>
      <c r="E2" s="283"/>
      <c r="F2" s="146" t="str">
        <f>[0]!Contributor</f>
        <v>ICAP</v>
      </c>
      <c r="G2" s="283"/>
      <c r="H2" s="283"/>
      <c r="I2" s="283"/>
      <c r="J2" s="283"/>
      <c r="K2" s="139"/>
      <c r="L2" s="283"/>
      <c r="M2" s="283"/>
      <c r="N2" s="283"/>
      <c r="O2" s="430" t="s">
        <v>267</v>
      </c>
      <c r="P2" s="146" t="s">
        <v>142</v>
      </c>
      <c r="Q2" s="139"/>
      <c r="R2" s="49"/>
    </row>
    <row r="3" spans="1:24" x14ac:dyDescent="0.2">
      <c r="A3" s="124"/>
      <c r="B3" s="283"/>
      <c r="C3" s="139"/>
      <c r="D3" s="139"/>
      <c r="E3" s="139"/>
      <c r="F3" s="139" t="str">
        <f>_xll.qlInterpolation(,InterpolationType,_xll.ohFilter(A5:A42,J5:J42),_xll.ohFilter(I5:I42,J5:J42))</f>
        <v>obj_00531#0013</v>
      </c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_xll.ohTrigger(Q5:Q42)</f>
        <v>13</v>
      </c>
      <c r="R3" s="225"/>
    </row>
    <row r="4" spans="1:24" ht="23.25" thickBot="1" x14ac:dyDescent="0.25">
      <c r="A4" s="124"/>
      <c r="B4" s="352"/>
      <c r="C4" s="201"/>
      <c r="D4" s="201"/>
      <c r="E4" s="201"/>
      <c r="F4" s="278" t="e">
        <f ca="1">_xll.RData(F5:F42,G4:H4,"RTFEED:IDN",ReutersRtMode,,G5)</f>
        <v>#NAME?</v>
      </c>
      <c r="G4" s="351" t="s">
        <v>235</v>
      </c>
      <c r="H4" s="351" t="s">
        <v>234</v>
      </c>
      <c r="I4" s="351" t="s">
        <v>292</v>
      </c>
      <c r="J4" s="351"/>
      <c r="K4" s="310" t="s">
        <v>291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  <c r="X4" s="349" t="s">
        <v>293</v>
      </c>
    </row>
    <row r="5" spans="1:24" x14ac:dyDescent="0.2">
      <c r="A5" s="429">
        <v>0.5</v>
      </c>
      <c r="B5" s="287" t="s">
        <v>35</v>
      </c>
      <c r="C5" s="343" t="str">
        <f t="array" ref="C5:C42">VLOOKUP(Currency,Conventions,2)</f>
        <v>6L</v>
      </c>
      <c r="D5" s="343" t="str">
        <f t="array" ref="D5:D42">VLOOKUP(Currency,Conventions,3)</f>
        <v>3L</v>
      </c>
      <c r="E5" s="341" t="str">
        <f>Currency&amp;$C5&amp;$D5&amp;$B5</f>
        <v>USD6L3L6M</v>
      </c>
      <c r="F5" s="286" t="str">
        <f t="array" ref="F5:F42">IF(UPPER(Contributor)="ICAP",Currency&amp;C5:C42&amp;D5:D42&amp;B5:B42,Currency&amp;D5:D42&amp;C5:C42&amp;B5:B42)&amp;"="&amp;VLOOKUP(Contributor,ContributorTable,2,FALSE)</f>
        <v>USD6L3L6M=ICAP</v>
      </c>
      <c r="G5" s="427">
        <v>10.3</v>
      </c>
      <c r="H5" s="427">
        <v>0</v>
      </c>
      <c r="I5" s="427">
        <f>_xll.qlMidEquivalent(G5,H5)</f>
        <v>10.3</v>
      </c>
      <c r="J5" s="281" t="b">
        <f>IF(ISNUMBER(I5),TRUE,FALSE)</f>
        <v>1</v>
      </c>
      <c r="K5" s="428">
        <f t="array" ref="K5:K38">_xll.qlInterpolationInterpolate(F3,A5:A42)</f>
        <v>10.3</v>
      </c>
      <c r="L5" s="283"/>
      <c r="M5" s="425">
        <v>10.4</v>
      </c>
      <c r="N5" s="283"/>
      <c r="O5" s="339" t="str">
        <f>$E5&amp;$P$2</f>
        <v>USD6L3L6M_Quote</v>
      </c>
      <c r="P5" s="424">
        <f t="array" ref="P5:P42">QuoteLive</f>
        <v>10.3</v>
      </c>
      <c r="Q5" s="280" t="e">
        <f>_xll.qlSimpleQuoteSetValue($O5,$P5/10000,Trigger)</f>
        <v>#N/A</v>
      </c>
      <c r="R5" s="225"/>
      <c r="T5" s="90" t="s">
        <v>132</v>
      </c>
      <c r="U5" s="89" t="s">
        <v>125</v>
      </c>
      <c r="V5" s="88" t="s">
        <v>126</v>
      </c>
      <c r="W5" s="21" t="str">
        <f>B5</f>
        <v>6M</v>
      </c>
      <c r="X5" s="418" t="e">
        <f>(('Swap6M (2)'!P5-'Swap3M (2)'!P5)*100-P5)/10000</f>
        <v>#NUM!</v>
      </c>
    </row>
    <row r="6" spans="1:24" x14ac:dyDescent="0.2">
      <c r="A6" s="429">
        <v>1</v>
      </c>
      <c r="B6" s="287" t="s">
        <v>29</v>
      </c>
      <c r="C6" s="343" t="str">
        <v>6L</v>
      </c>
      <c r="D6" s="343" t="str">
        <v>3L</v>
      </c>
      <c r="E6" s="341" t="str">
        <f>Currency&amp;$C6&amp;$D6&amp;$B6</f>
        <v>USD6L3L1Y</v>
      </c>
      <c r="F6" s="286" t="str">
        <v>USD6L3L1Y=ICAP</v>
      </c>
      <c r="G6" s="427">
        <v>10.199999999999999</v>
      </c>
      <c r="H6" s="427">
        <v>0</v>
      </c>
      <c r="I6" s="427">
        <f>_xll.qlMidEquivalent(G6,H6)</f>
        <v>10.199999999999999</v>
      </c>
      <c r="J6" s="281" t="b">
        <f>IF(ISNUMBER(I6),TRUE,FALSE)</f>
        <v>1</v>
      </c>
      <c r="K6" s="428">
        <v>10.199999999999999</v>
      </c>
      <c r="L6" s="283"/>
      <c r="M6" s="425">
        <v>10.199999999999999</v>
      </c>
      <c r="N6" s="283"/>
      <c r="O6" s="339" t="str">
        <f>$E6&amp;$P$2</f>
        <v>USD6L3L1Y_Quote</v>
      </c>
      <c r="P6" s="424">
        <v>10.199999999999999</v>
      </c>
      <c r="Q6" s="280" t="e">
        <f>_xll.qlSimpleQuoteSetValue($O6,$P6/10000,Trigger)</f>
        <v>#N/A</v>
      </c>
      <c r="R6" s="225"/>
      <c r="T6" s="87" t="s">
        <v>131</v>
      </c>
      <c r="U6" s="86" t="s">
        <v>137</v>
      </c>
      <c r="V6" s="85" t="s">
        <v>129</v>
      </c>
      <c r="W6" s="21" t="str">
        <f>B6</f>
        <v>1Y</v>
      </c>
      <c r="X6" s="418" t="e">
        <f>(('Swap6M (2)'!P6-'Swap3M (2)'!P6)*100-P6)/10000</f>
        <v>#NUM!</v>
      </c>
    </row>
    <row r="7" spans="1:24" x14ac:dyDescent="0.2">
      <c r="A7" s="429">
        <v>1.25</v>
      </c>
      <c r="B7" s="287" t="s">
        <v>135</v>
      </c>
      <c r="C7" s="343" t="str">
        <v>6L</v>
      </c>
      <c r="D7" s="343" t="str">
        <v>3L</v>
      </c>
      <c r="E7" s="341" t="str">
        <f>Currency&amp;$C7&amp;$D7&amp;$B7</f>
        <v>USD6L3L15M</v>
      </c>
      <c r="F7" s="286" t="str">
        <v>USD6L3L15M=ICAP</v>
      </c>
      <c r="G7" s="427" t="s">
        <v>247</v>
      </c>
      <c r="H7" s="427" t="s">
        <v>247</v>
      </c>
      <c r="I7" s="427" t="e">
        <f>_xll.qlMidEquivalent(G7,H7)</f>
        <v>#NUM!</v>
      </c>
      <c r="J7" s="281" t="b">
        <f>IF(ISNUMBER(I7),TRUE,FALSE)</f>
        <v>0</v>
      </c>
      <c r="K7" s="428">
        <v>10.20593130314503</v>
      </c>
      <c r="L7" s="283"/>
      <c r="M7" s="425">
        <v>10.186508208428252</v>
      </c>
      <c r="N7" s="283"/>
      <c r="O7" s="339" t="str">
        <f>$E7&amp;$P$2</f>
        <v>USD6L3L15M_Quote</v>
      </c>
      <c r="P7" s="424">
        <v>10.20593130314503</v>
      </c>
      <c r="Q7" s="280" t="e">
        <f>_xll.qlSimpleQuoteSetValue($O7,$P7/10000,Trigger)</f>
        <v>#N/A</v>
      </c>
      <c r="R7" s="225"/>
      <c r="T7" s="87" t="s">
        <v>128</v>
      </c>
      <c r="U7" s="86" t="s">
        <v>125</v>
      </c>
      <c r="V7" s="85" t="s">
        <v>126</v>
      </c>
      <c r="W7" s="21" t="str">
        <f>B7</f>
        <v>15M</v>
      </c>
      <c r="X7" s="418" t="e">
        <f>(('Swap6M (2)'!P7-'Swap3M (2)'!P7)*100-P7)/10000</f>
        <v>#NUM!</v>
      </c>
    </row>
    <row r="8" spans="1:24" x14ac:dyDescent="0.2">
      <c r="A8" s="429">
        <v>1.5</v>
      </c>
      <c r="B8" s="287" t="s">
        <v>134</v>
      </c>
      <c r="C8" s="343" t="str">
        <v>6L</v>
      </c>
      <c r="D8" s="343" t="str">
        <v>3L</v>
      </c>
      <c r="E8" s="341" t="str">
        <f>Currency&amp;$C8&amp;$D8&amp;$B8</f>
        <v>USD6L3L18M</v>
      </c>
      <c r="F8" s="286" t="str">
        <v>USD6L3L18M=ICAP</v>
      </c>
      <c r="G8" s="427" t="s">
        <v>247</v>
      </c>
      <c r="H8" s="427" t="s">
        <v>247</v>
      </c>
      <c r="I8" s="427" t="e">
        <f>_xll.qlMidEquivalent(G8,H8)</f>
        <v>#NUM!</v>
      </c>
      <c r="J8" s="281" t="b">
        <f>IF(ISNUMBER(I8),TRUE,FALSE)</f>
        <v>0</v>
      </c>
      <c r="K8" s="428">
        <v>10.249362606290063</v>
      </c>
      <c r="L8" s="283"/>
      <c r="M8" s="425">
        <v>10.229266416856504</v>
      </c>
      <c r="N8" s="283"/>
      <c r="O8" s="339" t="str">
        <f>$E8&amp;$P$2</f>
        <v>USD6L3L18M_Quote</v>
      </c>
      <c r="P8" s="424">
        <v>10.249362606290063</v>
      </c>
      <c r="Q8" s="280" t="e">
        <f>_xll.qlSimpleQuoteSetValue($O8,$P8/10000,Trigger)</f>
        <v>#N/A</v>
      </c>
      <c r="R8" s="225"/>
      <c r="T8" s="87" t="s">
        <v>127</v>
      </c>
      <c r="U8" s="86" t="s">
        <v>125</v>
      </c>
      <c r="V8" s="85" t="s">
        <v>126</v>
      </c>
      <c r="W8" s="21" t="str">
        <f>B8</f>
        <v>18M</v>
      </c>
      <c r="X8" s="418" t="e">
        <f>(('Swap6M (2)'!P8-'Swap3M (2)'!P8)*100-P8)/10000</f>
        <v>#NUM!</v>
      </c>
    </row>
    <row r="9" spans="1:24" ht="12" thickBot="1" x14ac:dyDescent="0.25">
      <c r="A9" s="429">
        <v>1.75</v>
      </c>
      <c r="B9" s="287" t="s">
        <v>133</v>
      </c>
      <c r="C9" s="343" t="str">
        <v>6L</v>
      </c>
      <c r="D9" s="343" t="str">
        <v>3L</v>
      </c>
      <c r="E9" s="341" t="str">
        <f>Currency&amp;$C9&amp;$D9&amp;$B9</f>
        <v>USD6L3L21M</v>
      </c>
      <c r="F9" s="286" t="str">
        <v>USD6L3L21M=ICAP</v>
      </c>
      <c r="G9" s="427" t="s">
        <v>247</v>
      </c>
      <c r="H9" s="427" t="s">
        <v>247</v>
      </c>
      <c r="I9" s="427" t="e">
        <f>_xll.qlMidEquivalent(G9,H9)</f>
        <v>#NUM!</v>
      </c>
      <c r="J9" s="281" t="b">
        <f>IF(ISNUMBER(I9),TRUE,FALSE)</f>
        <v>0</v>
      </c>
      <c r="K9" s="428">
        <v>10.318112606290065</v>
      </c>
      <c r="L9" s="283"/>
      <c r="M9" s="425">
        <v>10.307391416856504</v>
      </c>
      <c r="N9" s="283"/>
      <c r="O9" s="339" t="str">
        <f>$E9&amp;$P$2</f>
        <v>USD6L3L21M_Quote</v>
      </c>
      <c r="P9" s="424">
        <v>10.318112606290065</v>
      </c>
      <c r="Q9" s="280" t="e">
        <f>_xll.qlSimpleQuoteSetValue($O9,$P9/10000,Trigger)</f>
        <v>#N/A</v>
      </c>
      <c r="R9" s="225"/>
      <c r="T9" s="84" t="s">
        <v>122</v>
      </c>
      <c r="U9" s="83" t="s">
        <v>126</v>
      </c>
      <c r="V9" s="82" t="s">
        <v>125</v>
      </c>
      <c r="W9" s="21" t="str">
        <f>B9</f>
        <v>21M</v>
      </c>
      <c r="X9" s="418" t="e">
        <f>(('Swap6M (2)'!P9-'Swap3M (2)'!P9)*100-P9)/10000</f>
        <v>#NUM!</v>
      </c>
    </row>
    <row r="10" spans="1:24" x14ac:dyDescent="0.2">
      <c r="A10" s="124">
        <v>2</v>
      </c>
      <c r="B10" s="287" t="s">
        <v>108</v>
      </c>
      <c r="C10" s="343" t="str">
        <v>6L</v>
      </c>
      <c r="D10" s="343" t="str">
        <v>3L</v>
      </c>
      <c r="E10" s="341" t="str">
        <f>Currency&amp;$C10&amp;$D10&amp;$B10</f>
        <v>USD6L3L2Y</v>
      </c>
      <c r="F10" s="286" t="str">
        <v>USD6L3L2Y=ICAP</v>
      </c>
      <c r="G10" s="427">
        <v>10.4</v>
      </c>
      <c r="H10" s="427">
        <v>0</v>
      </c>
      <c r="I10" s="427">
        <f>_xll.qlMidEquivalent(G10,H10)</f>
        <v>10.4</v>
      </c>
      <c r="J10" s="281" t="b">
        <f>IF(ISNUMBER(I10),TRUE,FALSE)</f>
        <v>1</v>
      </c>
      <c r="K10" s="428">
        <v>10.4</v>
      </c>
      <c r="L10" s="283"/>
      <c r="M10" s="425">
        <v>10.4</v>
      </c>
      <c r="N10" s="283"/>
      <c r="O10" s="339" t="str">
        <f>$E10&amp;$P$2</f>
        <v>USD6L3L2Y_Quote</v>
      </c>
      <c r="P10" s="424">
        <v>10.4</v>
      </c>
      <c r="Q10" s="280" t="e">
        <f>_xll.qlSimpleQuoteSetValue($O10,$P10/10000,Trigger)</f>
        <v>#N/A</v>
      </c>
      <c r="R10" s="225"/>
      <c r="W10" s="21" t="str">
        <f>B10</f>
        <v>2Y</v>
      </c>
      <c r="X10" s="418" t="e">
        <f>(('Swap6M (2)'!P10-'Swap3M (2)'!P10)*100-P10)/10000</f>
        <v>#NUM!</v>
      </c>
    </row>
    <row r="11" spans="1:24" x14ac:dyDescent="0.2">
      <c r="A11" s="124">
        <v>3</v>
      </c>
      <c r="B11" s="287" t="s">
        <v>107</v>
      </c>
      <c r="C11" s="343" t="str">
        <v>6L</v>
      </c>
      <c r="D11" s="343" t="str">
        <v>3L</v>
      </c>
      <c r="E11" s="341" t="str">
        <f>Currency&amp;$C11&amp;$D11&amp;$B11</f>
        <v>USD6L3L3Y</v>
      </c>
      <c r="F11" s="286" t="str">
        <v>USD6L3L3Y=ICAP</v>
      </c>
      <c r="G11" s="427">
        <v>10.7</v>
      </c>
      <c r="H11" s="427">
        <v>0</v>
      </c>
      <c r="I11" s="427">
        <f>_xll.qlMidEquivalent(G11,H11)</f>
        <v>10.7</v>
      </c>
      <c r="J11" s="281" t="b">
        <f>IF(ISNUMBER(I11),TRUE,FALSE)</f>
        <v>1</v>
      </c>
      <c r="K11" s="428">
        <v>10.7</v>
      </c>
      <c r="L11" s="283"/>
      <c r="M11" s="425">
        <v>10.7</v>
      </c>
      <c r="N11" s="283"/>
      <c r="O11" s="339" t="str">
        <f>$E11&amp;$P$2</f>
        <v>USD6L3L3Y_Quote</v>
      </c>
      <c r="P11" s="424">
        <v>10.7</v>
      </c>
      <c r="Q11" s="280" t="e">
        <f>_xll.qlSimpleQuoteSetValue($O11,$P11/10000,Trigger)</f>
        <v>#N/A</v>
      </c>
      <c r="R11" s="225"/>
      <c r="W11" s="21" t="str">
        <f>B11</f>
        <v>3Y</v>
      </c>
      <c r="X11" s="418" t="e">
        <f>(('Swap6M (2)'!P11-'Swap3M (2)'!P11)*100-P11)/10000</f>
        <v>#NUM!</v>
      </c>
    </row>
    <row r="12" spans="1:24" x14ac:dyDescent="0.2">
      <c r="A12" s="124">
        <v>4</v>
      </c>
      <c r="B12" s="287" t="s">
        <v>106</v>
      </c>
      <c r="C12" s="343" t="str">
        <v>6L</v>
      </c>
      <c r="D12" s="343" t="str">
        <v>3L</v>
      </c>
      <c r="E12" s="341" t="str">
        <f>Currency&amp;$C12&amp;$D12&amp;$B12</f>
        <v>USD6L3L4Y</v>
      </c>
      <c r="F12" s="286" t="str">
        <v>USD6L3L4Y=ICAP</v>
      </c>
      <c r="G12" s="427">
        <v>10.8</v>
      </c>
      <c r="H12" s="427">
        <v>0</v>
      </c>
      <c r="I12" s="427">
        <f>_xll.qlMidEquivalent(G12,H12)</f>
        <v>10.8</v>
      </c>
      <c r="J12" s="281" t="b">
        <f>IF(ISNUMBER(I12),TRUE,FALSE)</f>
        <v>1</v>
      </c>
      <c r="K12" s="428">
        <v>10.8</v>
      </c>
      <c r="L12" s="283"/>
      <c r="M12" s="425">
        <v>10.8</v>
      </c>
      <c r="N12" s="283"/>
      <c r="O12" s="339" t="str">
        <f>$E12&amp;$P$2</f>
        <v>USD6L3L4Y_Quote</v>
      </c>
      <c r="P12" s="424">
        <v>10.8</v>
      </c>
      <c r="Q12" s="280" t="e">
        <f>_xll.qlSimpleQuoteSetValue($O12,$P12/10000,Trigger)</f>
        <v>#N/A</v>
      </c>
      <c r="R12" s="225"/>
      <c r="W12" s="21" t="str">
        <f>B12</f>
        <v>4Y</v>
      </c>
      <c r="X12" s="418" t="e">
        <f>(('Swap6M (2)'!P12-'Swap3M (2)'!P12)*100-P12)/10000</f>
        <v>#NUM!</v>
      </c>
    </row>
    <row r="13" spans="1:24" x14ac:dyDescent="0.2">
      <c r="A13" s="124">
        <v>5</v>
      </c>
      <c r="B13" s="287" t="s">
        <v>105</v>
      </c>
      <c r="C13" s="343" t="str">
        <v>6L</v>
      </c>
      <c r="D13" s="343" t="str">
        <v>3L</v>
      </c>
      <c r="E13" s="341" t="str">
        <f>Currency&amp;$C13&amp;$D13&amp;$B13</f>
        <v>USD6L3L5Y</v>
      </c>
      <c r="F13" s="286" t="str">
        <v>USD6L3L5Y=ICAP</v>
      </c>
      <c r="G13" s="427">
        <v>10.8</v>
      </c>
      <c r="H13" s="427">
        <v>0</v>
      </c>
      <c r="I13" s="427">
        <f>_xll.qlMidEquivalent(G13,H13)</f>
        <v>10.8</v>
      </c>
      <c r="J13" s="281" t="b">
        <f>IF(ISNUMBER(I13),TRUE,FALSE)</f>
        <v>1</v>
      </c>
      <c r="K13" s="428">
        <v>10.8</v>
      </c>
      <c r="L13" s="283"/>
      <c r="M13" s="425">
        <v>10.8</v>
      </c>
      <c r="N13" s="283"/>
      <c r="O13" s="339" t="str">
        <f>$E13&amp;$P$2</f>
        <v>USD6L3L5Y_Quote</v>
      </c>
      <c r="P13" s="424">
        <v>10.8</v>
      </c>
      <c r="Q13" s="280" t="e">
        <f>_xll.qlSimpleQuoteSetValue($O13,$P13/10000,Trigger)</f>
        <v>#N/A</v>
      </c>
      <c r="R13" s="225"/>
      <c r="W13" s="21" t="str">
        <f>B13</f>
        <v>5Y</v>
      </c>
      <c r="X13" s="418" t="e">
        <f>(('Swap6M (2)'!P13-'Swap3M (2)'!P13)*100-P13)/10000</f>
        <v>#NUM!</v>
      </c>
    </row>
    <row r="14" spans="1:24" x14ac:dyDescent="0.2">
      <c r="A14" s="124">
        <v>6</v>
      </c>
      <c r="B14" s="287" t="s">
        <v>104</v>
      </c>
      <c r="C14" s="343" t="str">
        <v>6L</v>
      </c>
      <c r="D14" s="343" t="str">
        <v>3L</v>
      </c>
      <c r="E14" s="341" t="str">
        <f>Currency&amp;$C14&amp;$D14&amp;$B14</f>
        <v>USD6L3L6Y</v>
      </c>
      <c r="F14" s="286" t="str">
        <v>USD6L3L6Y=ICAP</v>
      </c>
      <c r="G14" s="427">
        <v>11</v>
      </c>
      <c r="H14" s="427">
        <v>0</v>
      </c>
      <c r="I14" s="427">
        <f>_xll.qlMidEquivalent(G14,H14)</f>
        <v>11</v>
      </c>
      <c r="J14" s="281" t="b">
        <f>IF(ISNUMBER(I14),TRUE,FALSE)</f>
        <v>1</v>
      </c>
      <c r="K14" s="428">
        <v>11</v>
      </c>
      <c r="L14" s="283"/>
      <c r="M14" s="425">
        <v>11</v>
      </c>
      <c r="N14" s="283"/>
      <c r="O14" s="339" t="str">
        <f>$E14&amp;$P$2</f>
        <v>USD6L3L6Y_Quote</v>
      </c>
      <c r="P14" s="424">
        <v>11</v>
      </c>
      <c r="Q14" s="280" t="e">
        <f>_xll.qlSimpleQuoteSetValue($O14,$P14/10000,Trigger)</f>
        <v>#N/A</v>
      </c>
      <c r="R14" s="225"/>
      <c r="W14" s="21" t="str">
        <f>B14</f>
        <v>6Y</v>
      </c>
      <c r="X14" s="418" t="e">
        <f>(('Swap6M (2)'!P14-'Swap3M (2)'!P14)*100-P14)/10000</f>
        <v>#NUM!</v>
      </c>
    </row>
    <row r="15" spans="1:24" x14ac:dyDescent="0.2">
      <c r="A15" s="124">
        <v>7</v>
      </c>
      <c r="B15" s="287" t="s">
        <v>103</v>
      </c>
      <c r="C15" s="343" t="str">
        <v>6L</v>
      </c>
      <c r="D15" s="343" t="str">
        <v>3L</v>
      </c>
      <c r="E15" s="341" t="str">
        <f>Currency&amp;$C15&amp;$D15&amp;$B15</f>
        <v>USD6L3L7Y</v>
      </c>
      <c r="F15" s="286" t="str">
        <v>USD6L3L7Y=ICAP</v>
      </c>
      <c r="G15" s="427">
        <v>11.1</v>
      </c>
      <c r="H15" s="427">
        <v>0</v>
      </c>
      <c r="I15" s="427">
        <f>_xll.qlMidEquivalent(G15,H15)</f>
        <v>11.1</v>
      </c>
      <c r="J15" s="281" t="b">
        <f>IF(ISNUMBER(I15),TRUE,FALSE)</f>
        <v>1</v>
      </c>
      <c r="K15" s="428">
        <v>11.1</v>
      </c>
      <c r="L15" s="283"/>
      <c r="M15" s="425">
        <v>11.1</v>
      </c>
      <c r="N15" s="283"/>
      <c r="O15" s="339" t="str">
        <f>$E15&amp;$P$2</f>
        <v>USD6L3L7Y_Quote</v>
      </c>
      <c r="P15" s="424">
        <v>11.1</v>
      </c>
      <c r="Q15" s="280" t="e">
        <f>_xll.qlSimpleQuoteSetValue($O15,$P15/10000,Trigger)</f>
        <v>#N/A</v>
      </c>
      <c r="R15" s="225"/>
      <c r="W15" s="21" t="str">
        <f>B15</f>
        <v>7Y</v>
      </c>
      <c r="X15" s="418" t="e">
        <f>(('Swap6M (2)'!P15-'Swap3M (2)'!P15)*100-P15)/10000</f>
        <v>#NUM!</v>
      </c>
    </row>
    <row r="16" spans="1:24" x14ac:dyDescent="0.2">
      <c r="A16" s="124">
        <v>8</v>
      </c>
      <c r="B16" s="287" t="s">
        <v>102</v>
      </c>
      <c r="C16" s="343" t="str">
        <v>6L</v>
      </c>
      <c r="D16" s="343" t="str">
        <v>3L</v>
      </c>
      <c r="E16" s="341" t="str">
        <f>Currency&amp;$C16&amp;$D16&amp;$B16</f>
        <v>USD6L3L8Y</v>
      </c>
      <c r="F16" s="286" t="str">
        <v>USD6L3L8Y=ICAP</v>
      </c>
      <c r="G16" s="427">
        <v>11.2</v>
      </c>
      <c r="H16" s="427">
        <v>0</v>
      </c>
      <c r="I16" s="427">
        <f>_xll.qlMidEquivalent(G16,H16)</f>
        <v>11.2</v>
      </c>
      <c r="J16" s="281" t="b">
        <f>IF(ISNUMBER(I16),TRUE,FALSE)</f>
        <v>1</v>
      </c>
      <c r="K16" s="428">
        <v>11.2</v>
      </c>
      <c r="L16" s="283"/>
      <c r="M16" s="425">
        <v>11.2</v>
      </c>
      <c r="N16" s="283"/>
      <c r="O16" s="339" t="str">
        <f>$E16&amp;$P$2</f>
        <v>USD6L3L8Y_Quote</v>
      </c>
      <c r="P16" s="424">
        <v>11.2</v>
      </c>
      <c r="Q16" s="280" t="e">
        <f>_xll.qlSimpleQuoteSetValue($O16,$P16/10000,Trigger)</f>
        <v>#N/A</v>
      </c>
      <c r="R16" s="225"/>
      <c r="W16" s="21" t="str">
        <f>B16</f>
        <v>8Y</v>
      </c>
      <c r="X16" s="418" t="e">
        <f>(('Swap6M (2)'!P16-'Swap3M (2)'!P16)*100-P16)/10000</f>
        <v>#NUM!</v>
      </c>
    </row>
    <row r="17" spans="1:24" x14ac:dyDescent="0.2">
      <c r="A17" s="124">
        <v>9</v>
      </c>
      <c r="B17" s="287" t="s">
        <v>101</v>
      </c>
      <c r="C17" s="343" t="str">
        <v>6L</v>
      </c>
      <c r="D17" s="343" t="str">
        <v>3L</v>
      </c>
      <c r="E17" s="341" t="str">
        <f>Currency&amp;$C17&amp;$D17&amp;$B17</f>
        <v>USD6L3L9Y</v>
      </c>
      <c r="F17" s="286" t="str">
        <v>USD6L3L9Y=ICAP</v>
      </c>
      <c r="G17" s="427">
        <v>11.2</v>
      </c>
      <c r="H17" s="427">
        <v>0</v>
      </c>
      <c r="I17" s="427">
        <f>_xll.qlMidEquivalent(G17,H17)</f>
        <v>11.2</v>
      </c>
      <c r="J17" s="281" t="b">
        <f>IF(ISNUMBER(I17),TRUE,FALSE)</f>
        <v>1</v>
      </c>
      <c r="K17" s="428">
        <v>11.2</v>
      </c>
      <c r="L17" s="283"/>
      <c r="M17" s="425">
        <v>11.2</v>
      </c>
      <c r="N17" s="283"/>
      <c r="O17" s="339" t="str">
        <f>$E17&amp;$P$2</f>
        <v>USD6L3L9Y_Quote</v>
      </c>
      <c r="P17" s="424">
        <v>11.2</v>
      </c>
      <c r="Q17" s="280" t="e">
        <f>_xll.qlSimpleQuoteSetValue($O17,$P17/10000,Trigger)</f>
        <v>#N/A</v>
      </c>
      <c r="R17" s="225"/>
      <c r="W17" s="21" t="str">
        <f>B17</f>
        <v>9Y</v>
      </c>
      <c r="X17" s="418" t="e">
        <f>(('Swap6M (2)'!P17-'Swap3M (2)'!P17)*100-P17)/10000</f>
        <v>#NUM!</v>
      </c>
    </row>
    <row r="18" spans="1:24" x14ac:dyDescent="0.2">
      <c r="A18" s="124">
        <v>10</v>
      </c>
      <c r="B18" s="287" t="s">
        <v>100</v>
      </c>
      <c r="C18" s="343" t="str">
        <v>6L</v>
      </c>
      <c r="D18" s="343" t="str">
        <v>3L</v>
      </c>
      <c r="E18" s="341" t="str">
        <f>Currency&amp;$C18&amp;$D18&amp;$B18</f>
        <v>USD6L3L10Y</v>
      </c>
      <c r="F18" s="286" t="str">
        <v>USD6L3L10Y=ICAP</v>
      </c>
      <c r="G18" s="427">
        <v>11.3</v>
      </c>
      <c r="H18" s="427">
        <v>0</v>
      </c>
      <c r="I18" s="427">
        <f>_xll.qlMidEquivalent(G18,H18)</f>
        <v>11.3</v>
      </c>
      <c r="J18" s="281" t="b">
        <f>IF(ISNUMBER(I18),TRUE,FALSE)</f>
        <v>1</v>
      </c>
      <c r="K18" s="428">
        <v>11.3</v>
      </c>
      <c r="L18" s="283"/>
      <c r="M18" s="425">
        <v>11.3</v>
      </c>
      <c r="N18" s="283"/>
      <c r="O18" s="339" t="str">
        <f>$E18&amp;$P$2</f>
        <v>USD6L3L10Y_Quote</v>
      </c>
      <c r="P18" s="424">
        <v>11.3</v>
      </c>
      <c r="Q18" s="280" t="e">
        <f>_xll.qlSimpleQuoteSetValue($O18,$P18/10000,Trigger)</f>
        <v>#N/A</v>
      </c>
      <c r="R18" s="225"/>
      <c r="W18" s="21" t="str">
        <f>B18</f>
        <v>10Y</v>
      </c>
      <c r="X18" s="418" t="e">
        <f>(('Swap6M (2)'!P18-'Swap3M (2)'!P18)*100-P18)/10000</f>
        <v>#NUM!</v>
      </c>
    </row>
    <row r="19" spans="1:24" x14ac:dyDescent="0.2">
      <c r="A19" s="124">
        <v>11</v>
      </c>
      <c r="B19" s="287" t="s">
        <v>99</v>
      </c>
      <c r="C19" s="343" t="str">
        <v>6L</v>
      </c>
      <c r="D19" s="343" t="str">
        <v>3L</v>
      </c>
      <c r="E19" s="341" t="str">
        <f>Currency&amp;$C19&amp;$D19&amp;$B19</f>
        <v>USD6L3L11Y</v>
      </c>
      <c r="F19" s="286" t="str">
        <v>USD6L3L11Y=ICAP</v>
      </c>
      <c r="G19" s="427" t="s">
        <v>247</v>
      </c>
      <c r="H19" s="427" t="s">
        <v>247</v>
      </c>
      <c r="I19" s="427" t="e">
        <f>_xll.qlMidEquivalent(G19,H19)</f>
        <v>#NUM!</v>
      </c>
      <c r="J19" s="281" t="b">
        <f>IF(ISNUMBER(I19),TRUE,FALSE)</f>
        <v>0</v>
      </c>
      <c r="K19" s="428">
        <v>11.3</v>
      </c>
      <c r="L19" s="283"/>
      <c r="M19" s="425">
        <v>11.3</v>
      </c>
      <c r="N19" s="283"/>
      <c r="O19" s="339" t="str">
        <f>$E19&amp;$P$2</f>
        <v>USD6L3L11Y_Quote</v>
      </c>
      <c r="P19" s="424">
        <v>11.3</v>
      </c>
      <c r="Q19" s="280" t="e">
        <f>_xll.qlSimpleQuoteSetValue($O19,$P19/10000,Trigger)</f>
        <v>#N/A</v>
      </c>
      <c r="R19" s="225"/>
      <c r="W19" s="21" t="str">
        <f>B19</f>
        <v>11Y</v>
      </c>
      <c r="X19" s="418" t="e">
        <f>(('Swap6M (2)'!P19-'Swap3M (2)'!P19)*100-P19)/10000</f>
        <v>#NUM!</v>
      </c>
    </row>
    <row r="20" spans="1:24" x14ac:dyDescent="0.2">
      <c r="A20" s="124">
        <v>12</v>
      </c>
      <c r="B20" s="287" t="s">
        <v>98</v>
      </c>
      <c r="C20" s="343" t="str">
        <v>6L</v>
      </c>
      <c r="D20" s="343" t="str">
        <v>3L</v>
      </c>
      <c r="E20" s="341" t="str">
        <f>Currency&amp;$C20&amp;$D20&amp;$B20</f>
        <v>USD6L3L12Y</v>
      </c>
      <c r="F20" s="286" t="str">
        <v>USD6L3L12Y=ICAP</v>
      </c>
      <c r="G20" s="427">
        <v>11.3</v>
      </c>
      <c r="H20" s="427">
        <v>0</v>
      </c>
      <c r="I20" s="427">
        <f>_xll.qlMidEquivalent(G20,H20)</f>
        <v>11.3</v>
      </c>
      <c r="J20" s="281" t="b">
        <f>IF(ISNUMBER(I20),TRUE,FALSE)</f>
        <v>1</v>
      </c>
      <c r="K20" s="428">
        <v>11.3</v>
      </c>
      <c r="L20" s="283"/>
      <c r="M20" s="425">
        <v>11.3</v>
      </c>
      <c r="N20" s="283"/>
      <c r="O20" s="339" t="str">
        <f>$E20&amp;$P$2</f>
        <v>USD6L3L12Y_Quote</v>
      </c>
      <c r="P20" s="424">
        <v>11.3</v>
      </c>
      <c r="Q20" s="280" t="e">
        <f>_xll.qlSimpleQuoteSetValue($O20,$P20/10000,Trigger)</f>
        <v>#N/A</v>
      </c>
      <c r="R20" s="225"/>
      <c r="W20" s="21" t="str">
        <f>B20</f>
        <v>12Y</v>
      </c>
      <c r="X20" s="418" t="e">
        <f>(('Swap6M (2)'!P20-'Swap3M (2)'!P20)*100-P20)/10000</f>
        <v>#NUM!</v>
      </c>
    </row>
    <row r="21" spans="1:24" x14ac:dyDescent="0.2">
      <c r="A21" s="124">
        <v>13</v>
      </c>
      <c r="B21" s="287" t="s">
        <v>97</v>
      </c>
      <c r="C21" s="343" t="str">
        <v>6L</v>
      </c>
      <c r="D21" s="343" t="str">
        <v>3L</v>
      </c>
      <c r="E21" s="341" t="str">
        <f>Currency&amp;$C21&amp;$D21&amp;$B21</f>
        <v>USD6L3L13Y</v>
      </c>
      <c r="F21" s="286" t="str">
        <v>USD6L3L13Y=ICAP</v>
      </c>
      <c r="G21" s="427" t="s">
        <v>247</v>
      </c>
      <c r="H21" s="427" t="s">
        <v>247</v>
      </c>
      <c r="I21" s="427" t="e">
        <f>_xll.qlMidEquivalent(G21,H21)</f>
        <v>#NUM!</v>
      </c>
      <c r="J21" s="281" t="b">
        <f>IF(ISNUMBER(I21),TRUE,FALSE)</f>
        <v>0</v>
      </c>
      <c r="K21" s="428">
        <v>11.325925925925926</v>
      </c>
      <c r="L21" s="283"/>
      <c r="M21" s="425">
        <v>11.325925925925926</v>
      </c>
      <c r="N21" s="283"/>
      <c r="O21" s="339" t="str">
        <f>$E21&amp;$P$2</f>
        <v>USD6L3L13Y_Quote</v>
      </c>
      <c r="P21" s="424">
        <v>11.325925925925926</v>
      </c>
      <c r="Q21" s="280" t="e">
        <f>_xll.qlSimpleQuoteSetValue($O21,$P21/10000,Trigger)</f>
        <v>#N/A</v>
      </c>
      <c r="R21" s="225"/>
      <c r="W21" s="21" t="str">
        <f>B21</f>
        <v>13Y</v>
      </c>
      <c r="X21" s="418" t="e">
        <f>(('Swap6M (2)'!P21-'Swap3M (2)'!P21)*100-P21)/10000</f>
        <v>#NUM!</v>
      </c>
    </row>
    <row r="22" spans="1:24" x14ac:dyDescent="0.2">
      <c r="A22" s="124">
        <v>14</v>
      </c>
      <c r="B22" s="287" t="s">
        <v>96</v>
      </c>
      <c r="C22" s="343" t="str">
        <v>6L</v>
      </c>
      <c r="D22" s="343" t="str">
        <v>3L</v>
      </c>
      <c r="E22" s="341" t="str">
        <f>Currency&amp;$C22&amp;$D22&amp;$B22</f>
        <v>USD6L3L14Y</v>
      </c>
      <c r="F22" s="286" t="str">
        <v>USD6L3L14Y=ICAP</v>
      </c>
      <c r="G22" s="427" t="s">
        <v>247</v>
      </c>
      <c r="H22" s="427" t="s">
        <v>247</v>
      </c>
      <c r="I22" s="427" t="e">
        <f>_xll.qlMidEquivalent(G22,H22)</f>
        <v>#NUM!</v>
      </c>
      <c r="J22" s="281" t="b">
        <f>IF(ISNUMBER(I22),TRUE,FALSE)</f>
        <v>0</v>
      </c>
      <c r="K22" s="428">
        <v>11.374074074074075</v>
      </c>
      <c r="L22" s="283"/>
      <c r="M22" s="425">
        <v>11.374074074074075</v>
      </c>
      <c r="N22" s="283"/>
      <c r="O22" s="339" t="str">
        <f>$E22&amp;$P$2</f>
        <v>USD6L3L14Y_Quote</v>
      </c>
      <c r="P22" s="424">
        <v>11.374074074074075</v>
      </c>
      <c r="Q22" s="280" t="e">
        <f>_xll.qlSimpleQuoteSetValue($O22,$P22/10000,Trigger)</f>
        <v>#N/A</v>
      </c>
      <c r="R22" s="225"/>
      <c r="W22" s="21" t="str">
        <f>B22</f>
        <v>14Y</v>
      </c>
      <c r="X22" s="418" t="e">
        <f>(('Swap6M (2)'!P22-'Swap3M (2)'!P22)*100-P22)/10000</f>
        <v>#NUM!</v>
      </c>
    </row>
    <row r="23" spans="1:24" x14ac:dyDescent="0.2">
      <c r="A23" s="124">
        <v>15</v>
      </c>
      <c r="B23" s="287" t="s">
        <v>95</v>
      </c>
      <c r="C23" s="343" t="str">
        <v>6L</v>
      </c>
      <c r="D23" s="343" t="str">
        <v>3L</v>
      </c>
      <c r="E23" s="341" t="str">
        <f>Currency&amp;$C23&amp;$D23&amp;$B23</f>
        <v>USD6L3L15Y</v>
      </c>
      <c r="F23" s="286" t="str">
        <v>USD6L3L15Y=ICAP</v>
      </c>
      <c r="G23" s="427">
        <v>11.4</v>
      </c>
      <c r="H23" s="427">
        <v>0</v>
      </c>
      <c r="I23" s="427">
        <f>_xll.qlMidEquivalent(G23,H23)</f>
        <v>11.4</v>
      </c>
      <c r="J23" s="281" t="b">
        <f>IF(ISNUMBER(I23),TRUE,FALSE)</f>
        <v>1</v>
      </c>
      <c r="K23" s="428">
        <v>11.4</v>
      </c>
      <c r="L23" s="283"/>
      <c r="M23" s="425">
        <v>11.4</v>
      </c>
      <c r="N23" s="283"/>
      <c r="O23" s="339" t="str">
        <f>$E23&amp;$P$2</f>
        <v>USD6L3L15Y_Quote</v>
      </c>
      <c r="P23" s="424">
        <v>11.4</v>
      </c>
      <c r="Q23" s="280" t="e">
        <f>_xll.qlSimpleQuoteSetValue($O23,$P23/10000,Trigger)</f>
        <v>#N/A</v>
      </c>
      <c r="R23" s="225"/>
      <c r="W23" s="21" t="str">
        <f>B23</f>
        <v>15Y</v>
      </c>
      <c r="X23" s="418" t="e">
        <f>(('Swap6M (2)'!P23-'Swap3M (2)'!P23)*100-P23)/10000</f>
        <v>#NUM!</v>
      </c>
    </row>
    <row r="24" spans="1:24" x14ac:dyDescent="0.2">
      <c r="A24" s="124">
        <v>16</v>
      </c>
      <c r="B24" s="287" t="s">
        <v>94</v>
      </c>
      <c r="C24" s="343" t="str">
        <v>6L</v>
      </c>
      <c r="D24" s="343" t="str">
        <v>3L</v>
      </c>
      <c r="E24" s="341" t="str">
        <f>Currency&amp;$C24&amp;$D24&amp;$B24</f>
        <v>USD6L3L16Y</v>
      </c>
      <c r="F24" s="286" t="str">
        <v>USD6L3L16Y=ICAP</v>
      </c>
      <c r="G24" s="427" t="s">
        <v>247</v>
      </c>
      <c r="H24" s="427" t="s">
        <v>247</v>
      </c>
      <c r="I24" s="427" t="e">
        <f>_xll.qlMidEquivalent(G24,H24)</f>
        <v>#NUM!</v>
      </c>
      <c r="J24" s="281" t="b">
        <f>IF(ISNUMBER(I24),TRUE,FALSE)</f>
        <v>0</v>
      </c>
      <c r="K24" s="428">
        <v>11.4</v>
      </c>
      <c r="L24" s="283"/>
      <c r="M24" s="425">
        <v>11.4</v>
      </c>
      <c r="N24" s="283"/>
      <c r="O24" s="339" t="str">
        <f>$E24&amp;$P$2</f>
        <v>USD6L3L16Y_Quote</v>
      </c>
      <c r="P24" s="424">
        <v>11.4</v>
      </c>
      <c r="Q24" s="280" t="e">
        <f>_xll.qlSimpleQuoteSetValue($O24,$P24/10000,Trigger)</f>
        <v>#N/A</v>
      </c>
      <c r="R24" s="225"/>
      <c r="W24" s="21" t="str">
        <f>B24</f>
        <v>16Y</v>
      </c>
      <c r="X24" s="418" t="e">
        <f>(('Swap6M (2)'!P24-'Swap3M (2)'!P24)*100-P24)/10000</f>
        <v>#NUM!</v>
      </c>
    </row>
    <row r="25" spans="1:24" x14ac:dyDescent="0.2">
      <c r="A25" s="124">
        <v>17</v>
      </c>
      <c r="B25" s="287" t="s">
        <v>93</v>
      </c>
      <c r="C25" s="343" t="str">
        <v>6L</v>
      </c>
      <c r="D25" s="343" t="str">
        <v>3L</v>
      </c>
      <c r="E25" s="341" t="str">
        <f>Currency&amp;$C25&amp;$D25&amp;$B25</f>
        <v>USD6L3L17Y</v>
      </c>
      <c r="F25" s="286" t="str">
        <v>USD6L3L17Y=ICAP</v>
      </c>
      <c r="G25" s="427" t="s">
        <v>247</v>
      </c>
      <c r="H25" s="427" t="s">
        <v>247</v>
      </c>
      <c r="I25" s="427" t="e">
        <f>_xll.qlMidEquivalent(G25,H25)</f>
        <v>#NUM!</v>
      </c>
      <c r="J25" s="281" t="b">
        <f>IF(ISNUMBER(I25),TRUE,FALSE)</f>
        <v>0</v>
      </c>
      <c r="K25" s="428">
        <v>11.4</v>
      </c>
      <c r="L25" s="283"/>
      <c r="M25" s="425">
        <v>11.4</v>
      </c>
      <c r="N25" s="283"/>
      <c r="O25" s="339" t="str">
        <f>$E25&amp;$P$2</f>
        <v>USD6L3L17Y_Quote</v>
      </c>
      <c r="P25" s="424">
        <v>11.4</v>
      </c>
      <c r="Q25" s="280" t="e">
        <f>_xll.qlSimpleQuoteSetValue($O25,$P25/10000,Trigger)</f>
        <v>#N/A</v>
      </c>
      <c r="R25" s="225"/>
      <c r="W25" s="21" t="str">
        <f>B25</f>
        <v>17Y</v>
      </c>
      <c r="X25" s="418" t="e">
        <f>(('Swap6M (2)'!P25-'Swap3M (2)'!P25)*100-P25)/10000</f>
        <v>#NUM!</v>
      </c>
    </row>
    <row r="26" spans="1:24" x14ac:dyDescent="0.2">
      <c r="A26" s="124">
        <v>18</v>
      </c>
      <c r="B26" s="287" t="s">
        <v>92</v>
      </c>
      <c r="C26" s="343" t="str">
        <v>6L</v>
      </c>
      <c r="D26" s="343" t="str">
        <v>3L</v>
      </c>
      <c r="E26" s="341" t="str">
        <f>Currency&amp;$C26&amp;$D26&amp;$B26</f>
        <v>USD6L3L18Y</v>
      </c>
      <c r="F26" s="286" t="str">
        <v>USD6L3L18Y=ICAP</v>
      </c>
      <c r="G26" s="427" t="s">
        <v>247</v>
      </c>
      <c r="H26" s="427" t="s">
        <v>247</v>
      </c>
      <c r="I26" s="427" t="e">
        <f>_xll.qlMidEquivalent(G26,H26)</f>
        <v>#NUM!</v>
      </c>
      <c r="J26" s="281" t="b">
        <f>IF(ISNUMBER(I26),TRUE,FALSE)</f>
        <v>0</v>
      </c>
      <c r="K26" s="428">
        <v>11.4</v>
      </c>
      <c r="L26" s="283"/>
      <c r="M26" s="425">
        <v>11.4</v>
      </c>
      <c r="N26" s="283"/>
      <c r="O26" s="339" t="str">
        <f>$E26&amp;$P$2</f>
        <v>USD6L3L18Y_Quote</v>
      </c>
      <c r="P26" s="424">
        <v>11.4</v>
      </c>
      <c r="Q26" s="280" t="e">
        <f>_xll.qlSimpleQuoteSetValue($O26,$P26/10000,Trigger)</f>
        <v>#N/A</v>
      </c>
      <c r="R26" s="225"/>
      <c r="W26" s="21" t="str">
        <f>B26</f>
        <v>18Y</v>
      </c>
      <c r="X26" s="418" t="e">
        <f>(('Swap6M (2)'!P26-'Swap3M (2)'!P26)*100-P26)/10000</f>
        <v>#NUM!</v>
      </c>
    </row>
    <row r="27" spans="1:24" x14ac:dyDescent="0.2">
      <c r="A27" s="124">
        <v>19</v>
      </c>
      <c r="B27" s="287" t="s">
        <v>91</v>
      </c>
      <c r="C27" s="343" t="str">
        <v>6L</v>
      </c>
      <c r="D27" s="343" t="str">
        <v>3L</v>
      </c>
      <c r="E27" s="341" t="str">
        <f>Currency&amp;$C27&amp;$D27&amp;$B27</f>
        <v>USD6L3L19Y</v>
      </c>
      <c r="F27" s="286" t="str">
        <v>USD6L3L19Y=ICAP</v>
      </c>
      <c r="G27" s="427" t="s">
        <v>247</v>
      </c>
      <c r="H27" s="427" t="s">
        <v>247</v>
      </c>
      <c r="I27" s="427" t="e">
        <f>_xll.qlMidEquivalent(G27,H27)</f>
        <v>#NUM!</v>
      </c>
      <c r="J27" s="281" t="b">
        <f>IF(ISNUMBER(I27),TRUE,FALSE)</f>
        <v>0</v>
      </c>
      <c r="K27" s="428">
        <v>11.4</v>
      </c>
      <c r="L27" s="283"/>
      <c r="M27" s="425">
        <v>11.4</v>
      </c>
      <c r="N27" s="283"/>
      <c r="O27" s="339" t="str">
        <f>$E27&amp;$P$2</f>
        <v>USD6L3L19Y_Quote</v>
      </c>
      <c r="P27" s="424">
        <v>11.4</v>
      </c>
      <c r="Q27" s="280" t="e">
        <f>_xll.qlSimpleQuoteSetValue($O27,$P27/10000,Trigger)</f>
        <v>#N/A</v>
      </c>
      <c r="R27" s="225"/>
      <c r="W27" s="21" t="str">
        <f>B27</f>
        <v>19Y</v>
      </c>
      <c r="X27" s="418" t="e">
        <f>(('Swap6M (2)'!P27-'Swap3M (2)'!P27)*100-P27)/10000</f>
        <v>#NUM!</v>
      </c>
    </row>
    <row r="28" spans="1:24" x14ac:dyDescent="0.2">
      <c r="A28" s="124">
        <v>20</v>
      </c>
      <c r="B28" s="287" t="s">
        <v>90</v>
      </c>
      <c r="C28" s="343" t="str">
        <v>6L</v>
      </c>
      <c r="D28" s="343" t="str">
        <v>3L</v>
      </c>
      <c r="E28" s="341" t="str">
        <f>Currency&amp;$C28&amp;$D28&amp;$B28</f>
        <v>USD6L3L20Y</v>
      </c>
      <c r="F28" s="286" t="str">
        <v>USD6L3L20Y=ICAP</v>
      </c>
      <c r="G28" s="427">
        <v>11.4</v>
      </c>
      <c r="H28" s="427">
        <v>0</v>
      </c>
      <c r="I28" s="427">
        <f>_xll.qlMidEquivalent(G28,H28)</f>
        <v>11.4</v>
      </c>
      <c r="J28" s="281" t="b">
        <f>IF(ISNUMBER(I28),TRUE,FALSE)</f>
        <v>1</v>
      </c>
      <c r="K28" s="428">
        <v>11.4</v>
      </c>
      <c r="L28" s="283"/>
      <c r="M28" s="425">
        <v>11.4</v>
      </c>
      <c r="N28" s="283"/>
      <c r="O28" s="339" t="str">
        <f>$E28&amp;$P$2</f>
        <v>USD6L3L20Y_Quote</v>
      </c>
      <c r="P28" s="424">
        <v>11.4</v>
      </c>
      <c r="Q28" s="280" t="e">
        <f>_xll.qlSimpleQuoteSetValue($O28,$P28/10000,Trigger)</f>
        <v>#N/A</v>
      </c>
      <c r="R28" s="225"/>
      <c r="W28" s="21" t="str">
        <f>B28</f>
        <v>20Y</v>
      </c>
      <c r="X28" s="418" t="e">
        <f>(('Swap6M (2)'!P28-'Swap3M (2)'!P28)*100-P28)/10000</f>
        <v>#NUM!</v>
      </c>
    </row>
    <row r="29" spans="1:24" x14ac:dyDescent="0.2">
      <c r="A29" s="124">
        <v>21</v>
      </c>
      <c r="B29" s="287" t="s">
        <v>89</v>
      </c>
      <c r="C29" s="343" t="str">
        <v>6L</v>
      </c>
      <c r="D29" s="343" t="str">
        <v>3L</v>
      </c>
      <c r="E29" s="341" t="str">
        <f>Currency&amp;$C29&amp;$D29&amp;$B29</f>
        <v>USD6L3L21Y</v>
      </c>
      <c r="F29" s="286" t="str">
        <v>USD6L3L21Y=ICAP</v>
      </c>
      <c r="G29" s="427" t="s">
        <v>247</v>
      </c>
      <c r="H29" s="427" t="s">
        <v>247</v>
      </c>
      <c r="I29" s="427" t="e">
        <f>_xll.qlMidEquivalent(G29,H29)</f>
        <v>#NUM!</v>
      </c>
      <c r="J29" s="281" t="b">
        <f>IF(ISNUMBER(I29),TRUE,FALSE)</f>
        <v>0</v>
      </c>
      <c r="K29" s="428">
        <v>11.4</v>
      </c>
      <c r="L29" s="283"/>
      <c r="M29" s="425">
        <v>11.4</v>
      </c>
      <c r="N29" s="283"/>
      <c r="O29" s="339" t="str">
        <f>$E29&amp;$P$2</f>
        <v>USD6L3L21Y_Quote</v>
      </c>
      <c r="P29" s="424">
        <v>11.4</v>
      </c>
      <c r="Q29" s="280" t="e">
        <f>_xll.qlSimpleQuoteSetValue($O29,$P29/10000,Trigger)</f>
        <v>#N/A</v>
      </c>
      <c r="R29" s="225"/>
      <c r="W29" s="21" t="str">
        <f>B29</f>
        <v>21Y</v>
      </c>
      <c r="X29" s="418" t="e">
        <f>(('Swap6M (2)'!P29-'Swap3M (2)'!P29)*100-P29)/10000</f>
        <v>#NUM!</v>
      </c>
    </row>
    <row r="30" spans="1:24" x14ac:dyDescent="0.2">
      <c r="A30" s="124">
        <v>22</v>
      </c>
      <c r="B30" s="287" t="s">
        <v>88</v>
      </c>
      <c r="C30" s="343" t="str">
        <v>6L</v>
      </c>
      <c r="D30" s="343" t="str">
        <v>3L</v>
      </c>
      <c r="E30" s="341" t="str">
        <f>Currency&amp;$C30&amp;$D30&amp;$B30</f>
        <v>USD6L3L22Y</v>
      </c>
      <c r="F30" s="286" t="str">
        <v>USD6L3L22Y=ICAP</v>
      </c>
      <c r="G30" s="427" t="s">
        <v>247</v>
      </c>
      <c r="H30" s="427" t="s">
        <v>247</v>
      </c>
      <c r="I30" s="427" t="e">
        <f>_xll.qlMidEquivalent(G30,H30)</f>
        <v>#NUM!</v>
      </c>
      <c r="J30" s="281" t="b">
        <f>IF(ISNUMBER(I30),TRUE,FALSE)</f>
        <v>0</v>
      </c>
      <c r="K30" s="428">
        <v>11.4</v>
      </c>
      <c r="L30" s="283"/>
      <c r="M30" s="425">
        <v>11.4</v>
      </c>
      <c r="N30" s="283"/>
      <c r="O30" s="339" t="str">
        <f>$E30&amp;$P$2</f>
        <v>USD6L3L22Y_Quote</v>
      </c>
      <c r="P30" s="424">
        <v>11.4</v>
      </c>
      <c r="Q30" s="280" t="e">
        <f>_xll.qlSimpleQuoteSetValue($O30,$P30/10000,Trigger)</f>
        <v>#N/A</v>
      </c>
      <c r="R30" s="225"/>
      <c r="W30" s="21" t="str">
        <f>B30</f>
        <v>22Y</v>
      </c>
      <c r="X30" s="418" t="e">
        <f>(('Swap6M (2)'!P30-'Swap3M (2)'!P30)*100-P30)/10000</f>
        <v>#NUM!</v>
      </c>
    </row>
    <row r="31" spans="1:24" x14ac:dyDescent="0.2">
      <c r="A31" s="124">
        <v>23</v>
      </c>
      <c r="B31" s="287" t="s">
        <v>87</v>
      </c>
      <c r="C31" s="343" t="str">
        <v>6L</v>
      </c>
      <c r="D31" s="343" t="str">
        <v>3L</v>
      </c>
      <c r="E31" s="341" t="str">
        <f>Currency&amp;$C31&amp;$D31&amp;$B31</f>
        <v>USD6L3L23Y</v>
      </c>
      <c r="F31" s="286" t="str">
        <v>USD6L3L23Y=ICAP</v>
      </c>
      <c r="G31" s="427" t="s">
        <v>247</v>
      </c>
      <c r="H31" s="427" t="s">
        <v>247</v>
      </c>
      <c r="I31" s="427" t="e">
        <f>_xll.qlMidEquivalent(G31,H31)</f>
        <v>#NUM!</v>
      </c>
      <c r="J31" s="281" t="b">
        <f>IF(ISNUMBER(I31),TRUE,FALSE)</f>
        <v>0</v>
      </c>
      <c r="K31" s="428">
        <v>11.4</v>
      </c>
      <c r="L31" s="283"/>
      <c r="M31" s="425">
        <v>11.4</v>
      </c>
      <c r="N31" s="283"/>
      <c r="O31" s="339" t="str">
        <f>$E31&amp;$P$2</f>
        <v>USD6L3L23Y_Quote</v>
      </c>
      <c r="P31" s="424">
        <v>11.4</v>
      </c>
      <c r="Q31" s="280" t="e">
        <f>_xll.qlSimpleQuoteSetValue($O31,$P31/10000,Trigger)</f>
        <v>#N/A</v>
      </c>
      <c r="R31" s="225"/>
      <c r="W31" s="21" t="str">
        <f>B31</f>
        <v>23Y</v>
      </c>
      <c r="X31" s="418" t="e">
        <f>(('Swap6M (2)'!P31-'Swap3M (2)'!P31)*100-P31)/10000</f>
        <v>#NUM!</v>
      </c>
    </row>
    <row r="32" spans="1:24" x14ac:dyDescent="0.2">
      <c r="A32" s="124">
        <v>24</v>
      </c>
      <c r="B32" s="287" t="s">
        <v>86</v>
      </c>
      <c r="C32" s="343" t="str">
        <v>6L</v>
      </c>
      <c r="D32" s="343" t="str">
        <v>3L</v>
      </c>
      <c r="E32" s="341" t="str">
        <f>Currency&amp;$C32&amp;$D32&amp;$B32</f>
        <v>USD6L3L24Y</v>
      </c>
      <c r="F32" s="286" t="str">
        <v>USD6L3L24Y=ICAP</v>
      </c>
      <c r="G32" s="427" t="s">
        <v>247</v>
      </c>
      <c r="H32" s="427" t="s">
        <v>247</v>
      </c>
      <c r="I32" s="427" t="e">
        <f>_xll.qlMidEquivalent(G32,H32)</f>
        <v>#NUM!</v>
      </c>
      <c r="J32" s="281" t="b">
        <f>IF(ISNUMBER(I32),TRUE,FALSE)</f>
        <v>0</v>
      </c>
      <c r="K32" s="428">
        <v>11.4</v>
      </c>
      <c r="L32" s="283"/>
      <c r="M32" s="425">
        <v>11.4</v>
      </c>
      <c r="N32" s="283"/>
      <c r="O32" s="339" t="str">
        <f>$E32&amp;$P$2</f>
        <v>USD6L3L24Y_Quote</v>
      </c>
      <c r="P32" s="424">
        <v>11.4</v>
      </c>
      <c r="Q32" s="280" t="e">
        <f>_xll.qlSimpleQuoteSetValue($O32,$P32/10000,Trigger)</f>
        <v>#N/A</v>
      </c>
      <c r="R32" s="225"/>
      <c r="W32" s="21" t="str">
        <f>B32</f>
        <v>24Y</v>
      </c>
      <c r="X32" s="418" t="e">
        <f>(('Swap6M (2)'!P32-'Swap3M (2)'!P32)*100-P32)/10000</f>
        <v>#NUM!</v>
      </c>
    </row>
    <row r="33" spans="1:24" x14ac:dyDescent="0.2">
      <c r="A33" s="124">
        <v>25</v>
      </c>
      <c r="B33" s="287" t="s">
        <v>85</v>
      </c>
      <c r="C33" s="343" t="str">
        <v>6L</v>
      </c>
      <c r="D33" s="343" t="str">
        <v>3L</v>
      </c>
      <c r="E33" s="341" t="str">
        <f>Currency&amp;$C33&amp;$D33&amp;$B33</f>
        <v>USD6L3L25Y</v>
      </c>
      <c r="F33" s="286" t="str">
        <v>USD6L3L25Y=ICAP</v>
      </c>
      <c r="G33" s="427">
        <v>11.4</v>
      </c>
      <c r="H33" s="427">
        <v>0</v>
      </c>
      <c r="I33" s="427">
        <f>_xll.qlMidEquivalent(G33,H33)</f>
        <v>11.4</v>
      </c>
      <c r="J33" s="281" t="b">
        <f>IF(ISNUMBER(I33),TRUE,FALSE)</f>
        <v>1</v>
      </c>
      <c r="K33" s="428">
        <v>11.4</v>
      </c>
      <c r="L33" s="283"/>
      <c r="M33" s="425">
        <v>11.4</v>
      </c>
      <c r="N33" s="283"/>
      <c r="O33" s="339" t="str">
        <f>$E33&amp;$P$2</f>
        <v>USD6L3L25Y_Quote</v>
      </c>
      <c r="P33" s="424">
        <v>11.4</v>
      </c>
      <c r="Q33" s="280" t="e">
        <f>_xll.qlSimpleQuoteSetValue($O33,$P33/10000,Trigger)</f>
        <v>#N/A</v>
      </c>
      <c r="R33" s="225"/>
      <c r="W33" s="21" t="str">
        <f>B33</f>
        <v>25Y</v>
      </c>
      <c r="X33" s="418" t="e">
        <f>(('Swap6M (2)'!P33-'Swap3M (2)'!P33)*100-P33)/10000</f>
        <v>#NUM!</v>
      </c>
    </row>
    <row r="34" spans="1:24" x14ac:dyDescent="0.2">
      <c r="A34" s="124">
        <v>26</v>
      </c>
      <c r="B34" s="287" t="s">
        <v>84</v>
      </c>
      <c r="C34" s="343" t="str">
        <v>6L</v>
      </c>
      <c r="D34" s="343" t="str">
        <v>3L</v>
      </c>
      <c r="E34" s="341" t="str">
        <f>Currency&amp;$C34&amp;$D34&amp;$B34</f>
        <v>USD6L3L26Y</v>
      </c>
      <c r="F34" s="286" t="str">
        <v>USD6L3L26Y=ICAP</v>
      </c>
      <c r="G34" s="427" t="s">
        <v>247</v>
      </c>
      <c r="H34" s="427" t="s">
        <v>247</v>
      </c>
      <c r="I34" s="427" t="e">
        <f>_xll.qlMidEquivalent(G34,H34)</f>
        <v>#NUM!</v>
      </c>
      <c r="J34" s="281" t="b">
        <f>IF(ISNUMBER(I34),TRUE,FALSE)</f>
        <v>0</v>
      </c>
      <c r="K34" s="428">
        <v>11.4</v>
      </c>
      <c r="L34" s="283"/>
      <c r="M34" s="425">
        <v>11.4</v>
      </c>
      <c r="N34" s="283"/>
      <c r="O34" s="339" t="str">
        <f>$E34&amp;$P$2</f>
        <v>USD6L3L26Y_Quote</v>
      </c>
      <c r="P34" s="424">
        <v>11.4</v>
      </c>
      <c r="Q34" s="280" t="e">
        <f>_xll.qlSimpleQuoteSetValue($O34,$P34/10000,Trigger)</f>
        <v>#N/A</v>
      </c>
      <c r="R34" s="225"/>
      <c r="W34" s="21" t="str">
        <f>B34</f>
        <v>26Y</v>
      </c>
      <c r="X34" s="418" t="e">
        <f>(('Swap6M (2)'!P34-'Swap3M (2)'!P34)*100-P34)/10000</f>
        <v>#NUM!</v>
      </c>
    </row>
    <row r="35" spans="1:24" x14ac:dyDescent="0.2">
      <c r="A35" s="124">
        <v>27</v>
      </c>
      <c r="B35" s="287" t="s">
        <v>83</v>
      </c>
      <c r="C35" s="343" t="str">
        <v>6L</v>
      </c>
      <c r="D35" s="343" t="str">
        <v>3L</v>
      </c>
      <c r="E35" s="341" t="str">
        <f>Currency&amp;$C35&amp;$D35&amp;$B35</f>
        <v>USD6L3L27Y</v>
      </c>
      <c r="F35" s="286" t="str">
        <v>USD6L3L27Y=ICAP</v>
      </c>
      <c r="G35" s="427" t="s">
        <v>247</v>
      </c>
      <c r="H35" s="427" t="s">
        <v>247</v>
      </c>
      <c r="I35" s="427" t="e">
        <f>_xll.qlMidEquivalent(G35,H35)</f>
        <v>#NUM!</v>
      </c>
      <c r="J35" s="281" t="b">
        <f>IF(ISNUMBER(I35),TRUE,FALSE)</f>
        <v>0</v>
      </c>
      <c r="K35" s="428">
        <v>11.4</v>
      </c>
      <c r="L35" s="283"/>
      <c r="M35" s="425">
        <v>11.4</v>
      </c>
      <c r="N35" s="283"/>
      <c r="O35" s="339" t="str">
        <f>$E35&amp;$P$2</f>
        <v>USD6L3L27Y_Quote</v>
      </c>
      <c r="P35" s="424">
        <v>11.4</v>
      </c>
      <c r="Q35" s="280" t="e">
        <f>_xll.qlSimpleQuoteSetValue($O35,$P35/10000,Trigger)</f>
        <v>#N/A</v>
      </c>
      <c r="R35" s="225"/>
      <c r="W35" s="21" t="str">
        <f>B35</f>
        <v>27Y</v>
      </c>
      <c r="X35" s="418" t="e">
        <f>(('Swap6M (2)'!P35-'Swap3M (2)'!P35)*100-P35)/10000</f>
        <v>#NUM!</v>
      </c>
    </row>
    <row r="36" spans="1:24" x14ac:dyDescent="0.2">
      <c r="A36" s="124">
        <v>28</v>
      </c>
      <c r="B36" s="287" t="s">
        <v>82</v>
      </c>
      <c r="C36" s="343" t="str">
        <v>6L</v>
      </c>
      <c r="D36" s="343" t="str">
        <v>3L</v>
      </c>
      <c r="E36" s="341" t="str">
        <f>Currency&amp;$C36&amp;$D36&amp;$B36</f>
        <v>USD6L3L28Y</v>
      </c>
      <c r="F36" s="286" t="str">
        <v>USD6L3L28Y=ICAP</v>
      </c>
      <c r="G36" s="427" t="s">
        <v>247</v>
      </c>
      <c r="H36" s="427" t="s">
        <v>247</v>
      </c>
      <c r="I36" s="427" t="e">
        <f>_xll.qlMidEquivalent(G36,H36)</f>
        <v>#NUM!</v>
      </c>
      <c r="J36" s="281" t="b">
        <f>IF(ISNUMBER(I36),TRUE,FALSE)</f>
        <v>0</v>
      </c>
      <c r="K36" s="428">
        <v>11.4</v>
      </c>
      <c r="L36" s="283"/>
      <c r="M36" s="425">
        <v>11.4</v>
      </c>
      <c r="N36" s="283"/>
      <c r="O36" s="339" t="str">
        <f>$E36&amp;$P$2</f>
        <v>USD6L3L28Y_Quote</v>
      </c>
      <c r="P36" s="424">
        <v>11.4</v>
      </c>
      <c r="Q36" s="280" t="e">
        <f>_xll.qlSimpleQuoteSetValue($O36,$P36/10000,Trigger)</f>
        <v>#N/A</v>
      </c>
      <c r="R36" s="225"/>
      <c r="W36" s="21" t="str">
        <f>B36</f>
        <v>28Y</v>
      </c>
      <c r="X36" s="418" t="e">
        <f>(('Swap6M (2)'!P36-'Swap3M (2)'!P36)*100-P36)/10000</f>
        <v>#NUM!</v>
      </c>
    </row>
    <row r="37" spans="1:24" x14ac:dyDescent="0.2">
      <c r="A37" s="124">
        <v>29</v>
      </c>
      <c r="B37" s="287" t="s">
        <v>81</v>
      </c>
      <c r="C37" s="343" t="str">
        <v>6L</v>
      </c>
      <c r="D37" s="343" t="str">
        <v>3L</v>
      </c>
      <c r="E37" s="341" t="str">
        <f>Currency&amp;$C37&amp;$D37&amp;$B37</f>
        <v>USD6L3L29Y</v>
      </c>
      <c r="F37" s="286" t="str">
        <v>USD6L3L29Y=ICAP</v>
      </c>
      <c r="G37" s="427" t="s">
        <v>247</v>
      </c>
      <c r="H37" s="427" t="s">
        <v>247</v>
      </c>
      <c r="I37" s="427" t="e">
        <f>_xll.qlMidEquivalent(G37,H37)</f>
        <v>#NUM!</v>
      </c>
      <c r="J37" s="281" t="b">
        <f>IF(ISNUMBER(I37),TRUE,FALSE)</f>
        <v>0</v>
      </c>
      <c r="K37" s="428">
        <v>11.4</v>
      </c>
      <c r="L37" s="283"/>
      <c r="M37" s="425">
        <v>11.4</v>
      </c>
      <c r="N37" s="283"/>
      <c r="O37" s="339" t="str">
        <f>$E37&amp;$P$2</f>
        <v>USD6L3L29Y_Quote</v>
      </c>
      <c r="P37" s="424">
        <v>11.4</v>
      </c>
      <c r="Q37" s="280" t="e">
        <f>_xll.qlSimpleQuoteSetValue($O37,$P37/10000,Trigger)</f>
        <v>#N/A</v>
      </c>
      <c r="R37" s="225"/>
      <c r="W37" s="21" t="str">
        <f>B37</f>
        <v>29Y</v>
      </c>
      <c r="X37" s="418" t="e">
        <f>(('Swap6M (2)'!P37-'Swap3M (2)'!P37)*100-P37)/10000</f>
        <v>#NUM!</v>
      </c>
    </row>
    <row r="38" spans="1:24" x14ac:dyDescent="0.2">
      <c r="A38" s="124">
        <v>30</v>
      </c>
      <c r="B38" s="287" t="s">
        <v>80</v>
      </c>
      <c r="C38" s="343" t="str">
        <v>6L</v>
      </c>
      <c r="D38" s="343" t="str">
        <v>3L</v>
      </c>
      <c r="E38" s="341" t="str">
        <f>Currency&amp;$C38&amp;$D38&amp;$B38</f>
        <v>USD6L3L30Y</v>
      </c>
      <c r="F38" s="286" t="str">
        <v>USD6L3L30Y=ICAP</v>
      </c>
      <c r="G38" s="427">
        <v>11.4</v>
      </c>
      <c r="H38" s="427">
        <v>0</v>
      </c>
      <c r="I38" s="427">
        <f>_xll.qlMidEquivalent(G38,H38)</f>
        <v>11.4</v>
      </c>
      <c r="J38" s="281" t="b">
        <f>IF(ISNUMBER(I38),TRUE,FALSE)</f>
        <v>1</v>
      </c>
      <c r="K38" s="428">
        <v>11.4</v>
      </c>
      <c r="L38" s="283"/>
      <c r="M38" s="425">
        <v>11.4</v>
      </c>
      <c r="N38" s="283"/>
      <c r="O38" s="339" t="str">
        <f>$E38&amp;$P$2</f>
        <v>USD6L3L30Y_Quote</v>
      </c>
      <c r="P38" s="424">
        <v>11.4</v>
      </c>
      <c r="Q38" s="280" t="e">
        <f>_xll.qlSimpleQuoteSetValue($O38,$P38/10000,Trigger)</f>
        <v>#N/A</v>
      </c>
      <c r="R38" s="225"/>
      <c r="W38" s="21" t="str">
        <f>B38</f>
        <v>30Y</v>
      </c>
      <c r="X38" s="418" t="e">
        <f>(('Swap6M (2)'!P38-'Swap3M (2)'!P38)*100-P38)/10000</f>
        <v>#NUM!</v>
      </c>
    </row>
    <row r="39" spans="1:24" x14ac:dyDescent="0.2">
      <c r="A39" s="124">
        <v>35</v>
      </c>
      <c r="B39" s="287" t="s">
        <v>75</v>
      </c>
      <c r="C39" s="343" t="str">
        <v>6L</v>
      </c>
      <c r="D39" s="343" t="str">
        <v>3L</v>
      </c>
      <c r="E39" s="341" t="str">
        <f>Currency&amp;$C39&amp;$D39&amp;$B39</f>
        <v>USD6L3L35Y</v>
      </c>
      <c r="F39" s="286" t="str">
        <v>USD6L3L35Y=ICAP</v>
      </c>
      <c r="G39" s="427" t="s">
        <v>247</v>
      </c>
      <c r="H39" s="427" t="s">
        <v>247</v>
      </c>
      <c r="I39" s="427" t="e">
        <f>_xll.qlMidEquivalent(G39,H39)</f>
        <v>#NUM!</v>
      </c>
      <c r="J39" s="281" t="b">
        <f>IF(ISNUMBER(I39),TRUE,FALSE)</f>
        <v>0</v>
      </c>
      <c r="K39" s="426">
        <f>K38</f>
        <v>11.4</v>
      </c>
      <c r="L39" s="283"/>
      <c r="M39" s="425">
        <v>11.4</v>
      </c>
      <c r="N39" s="283"/>
      <c r="O39" s="339" t="str">
        <f>$E39&amp;$P$2</f>
        <v>USD6L3L35Y_Quote</v>
      </c>
      <c r="P39" s="424">
        <v>11.4</v>
      </c>
      <c r="Q39" s="280" t="e">
        <f>_xll.qlSimpleQuoteSetValue($O39,$P39/10000,Trigger)</f>
        <v>#N/A</v>
      </c>
      <c r="R39" s="225"/>
      <c r="W39" s="21" t="str">
        <f>B39</f>
        <v>35Y</v>
      </c>
      <c r="X39" s="418" t="e">
        <f>(('Swap6M (2)'!P39-'Swap3M (2)'!P39)*100-P39)/10000</f>
        <v>#NUM!</v>
      </c>
    </row>
    <row r="40" spans="1:24" x14ac:dyDescent="0.2">
      <c r="A40" s="124">
        <v>40</v>
      </c>
      <c r="B40" s="287" t="s">
        <v>70</v>
      </c>
      <c r="C40" s="343" t="str">
        <v>6L</v>
      </c>
      <c r="D40" s="343" t="str">
        <v>3L</v>
      </c>
      <c r="E40" s="341" t="str">
        <f>Currency&amp;$C40&amp;$D40&amp;$B40</f>
        <v>USD6L3L40Y</v>
      </c>
      <c r="F40" s="286" t="str">
        <v>USD6L3L40Y=ICAP</v>
      </c>
      <c r="G40" s="427" t="s">
        <v>247</v>
      </c>
      <c r="H40" s="427" t="s">
        <v>247</v>
      </c>
      <c r="I40" s="427" t="e">
        <f>_xll.qlMidEquivalent(G40,H40)</f>
        <v>#NUM!</v>
      </c>
      <c r="J40" s="281" t="b">
        <f>IF(ISNUMBER(I40),TRUE,FALSE)</f>
        <v>0</v>
      </c>
      <c r="K40" s="426">
        <f>K39</f>
        <v>11.4</v>
      </c>
      <c r="L40" s="283"/>
      <c r="M40" s="425">
        <v>11.4</v>
      </c>
      <c r="N40" s="283"/>
      <c r="O40" s="339" t="str">
        <f>$E40&amp;$P$2</f>
        <v>USD6L3L40Y_Quote</v>
      </c>
      <c r="P40" s="424">
        <v>11.4</v>
      </c>
      <c r="Q40" s="280" t="e">
        <f>_xll.qlSimpleQuoteSetValue($O40,$P40/10000,Trigger)</f>
        <v>#N/A</v>
      </c>
      <c r="R40" s="225"/>
      <c r="W40" s="21" t="str">
        <f>B40</f>
        <v>40Y</v>
      </c>
      <c r="X40" s="418" t="e">
        <f>(('Swap6M (2)'!P40-'Swap3M (2)'!P40)*100-P40)/10000</f>
        <v>#NUM!</v>
      </c>
    </row>
    <row r="41" spans="1:24" x14ac:dyDescent="0.2">
      <c r="A41" s="124">
        <v>50</v>
      </c>
      <c r="B41" s="287" t="s">
        <v>60</v>
      </c>
      <c r="C41" s="343" t="str">
        <v>6L</v>
      </c>
      <c r="D41" s="343" t="str">
        <v>3L</v>
      </c>
      <c r="E41" s="341" t="str">
        <f>Currency&amp;$C41&amp;$D41&amp;$B41</f>
        <v>USD6L3L50Y</v>
      </c>
      <c r="F41" s="286" t="str">
        <v>USD6L3L50Y=ICAP</v>
      </c>
      <c r="G41" s="427" t="s">
        <v>247</v>
      </c>
      <c r="H41" s="427" t="s">
        <v>247</v>
      </c>
      <c r="I41" s="427" t="e">
        <f>_xll.qlMidEquivalent(G41,H41)</f>
        <v>#NUM!</v>
      </c>
      <c r="J41" s="281" t="b">
        <f>IF(ISNUMBER(I41),TRUE,FALSE)</f>
        <v>0</v>
      </c>
      <c r="K41" s="426">
        <f>K40</f>
        <v>11.4</v>
      </c>
      <c r="L41" s="283"/>
      <c r="M41" s="425">
        <v>11.4</v>
      </c>
      <c r="N41" s="283"/>
      <c r="O41" s="339" t="str">
        <f>$E41&amp;$P$2</f>
        <v>USD6L3L50Y_Quote</v>
      </c>
      <c r="P41" s="424">
        <v>11.4</v>
      </c>
      <c r="Q41" s="280" t="e">
        <f>_xll.qlSimpleQuoteSetValue($O41,$P41/10000,Trigger)</f>
        <v>#N/A</v>
      </c>
      <c r="R41" s="225"/>
      <c r="W41" s="21" t="str">
        <f>B41</f>
        <v>50Y</v>
      </c>
      <c r="X41" s="418" t="e">
        <f>(('Swap6M (2)'!P41-'Swap3M (2)'!P41)*100-P41)/10000</f>
        <v>#NUM!</v>
      </c>
    </row>
    <row r="42" spans="1:24" x14ac:dyDescent="0.2">
      <c r="A42" s="124">
        <v>60</v>
      </c>
      <c r="B42" s="299" t="s">
        <v>50</v>
      </c>
      <c r="C42" s="338" t="str">
        <v>6L</v>
      </c>
      <c r="D42" s="338" t="str">
        <v>3L</v>
      </c>
      <c r="E42" s="341" t="str">
        <f>Currency&amp;$C42&amp;$D42&amp;$B42</f>
        <v>USD6L3L60Y</v>
      </c>
      <c r="F42" s="298" t="str">
        <v>USD6L3L60Y=ICAP</v>
      </c>
      <c r="G42" s="423" t="s">
        <v>247</v>
      </c>
      <c r="H42" s="423" t="s">
        <v>247</v>
      </c>
      <c r="I42" s="423" t="e">
        <f>_xll.qlMidEquivalent(G42,H42)</f>
        <v>#NUM!</v>
      </c>
      <c r="J42" s="294" t="b">
        <f>IF(ISNUMBER(I42),TRUE,FALSE)</f>
        <v>0</v>
      </c>
      <c r="K42" s="422">
        <f>K41</f>
        <v>11.4</v>
      </c>
      <c r="L42" s="283"/>
      <c r="M42" s="421">
        <v>11.4</v>
      </c>
      <c r="N42" s="283"/>
      <c r="O42" s="334" t="str">
        <f>$E42&amp;$P$2</f>
        <v>USD6L3L60Y_Quote</v>
      </c>
      <c r="P42" s="420">
        <v>11.4</v>
      </c>
      <c r="Q42" s="293" t="e">
        <f>_xll.qlSimpleQuoteSetValue($O42,$P42/10000,Trigger)</f>
        <v>#N/A</v>
      </c>
      <c r="R42" s="225"/>
      <c r="W42" s="21" t="str">
        <f>B42</f>
        <v>60Y</v>
      </c>
      <c r="X42" s="418" t="e">
        <f>(('Swap6M (2)'!P42-'Swap3M (2)'!P42)*100-P42)/10000</f>
        <v>#NUM!</v>
      </c>
    </row>
    <row r="43" spans="1:24" ht="12" thickBot="1" x14ac:dyDescent="0.25">
      <c r="A43" s="4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324"/>
    </row>
    <row r="47" spans="1:24" x14ac:dyDescent="0.2">
      <c r="F47" s="419"/>
    </row>
    <row r="48" spans="1:24" x14ac:dyDescent="0.2">
      <c r="F48" s="419"/>
    </row>
    <row r="49" spans="6:6" x14ac:dyDescent="0.2">
      <c r="F49" s="419"/>
    </row>
    <row r="50" spans="6:6" x14ac:dyDescent="0.2">
      <c r="F50" s="419"/>
    </row>
    <row r="51" spans="6:6" x14ac:dyDescent="0.2">
      <c r="F51" s="419"/>
    </row>
    <row r="52" spans="6:6" x14ac:dyDescent="0.2">
      <c r="F52" s="419"/>
    </row>
    <row r="53" spans="6:6" x14ac:dyDescent="0.2">
      <c r="F53" s="419"/>
    </row>
    <row r="54" spans="6:6" x14ac:dyDescent="0.2">
      <c r="F54" s="419"/>
    </row>
    <row r="55" spans="6:6" x14ac:dyDescent="0.2">
      <c r="F55" s="419"/>
    </row>
    <row r="56" spans="6:6" x14ac:dyDescent="0.2">
      <c r="F56" s="419"/>
    </row>
    <row r="57" spans="6:6" x14ac:dyDescent="0.2">
      <c r="F57" s="419"/>
    </row>
    <row r="58" spans="6:6" x14ac:dyDescent="0.2">
      <c r="F58" s="419"/>
    </row>
    <row r="59" spans="6:6" x14ac:dyDescent="0.2">
      <c r="F59" s="419"/>
    </row>
    <row r="60" spans="6:6" x14ac:dyDescent="0.2">
      <c r="F60" s="418"/>
    </row>
    <row r="61" spans="6:6" x14ac:dyDescent="0.2">
      <c r="F61" s="418"/>
    </row>
    <row r="62" spans="6:6" x14ac:dyDescent="0.2">
      <c r="F62" s="418"/>
    </row>
    <row r="63" spans="6:6" x14ac:dyDescent="0.2">
      <c r="F63" s="418"/>
    </row>
  </sheetData>
  <conditionalFormatting sqref="Q5:Q42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3:F44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X63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3" width="3.5703125" style="21" bestFit="1" customWidth="1"/>
    <col min="4" max="4" width="2.7109375" style="21" bestFit="1" customWidth="1"/>
    <col min="5" max="5" width="11.140625" style="21" bestFit="1" customWidth="1"/>
    <col min="6" max="6" width="15.42578125" style="21" bestFit="1" customWidth="1"/>
    <col min="7" max="7" width="4.85546875" style="21" bestFit="1" customWidth="1"/>
    <col min="8" max="8" width="4.140625" style="21" bestFit="1" customWidth="1"/>
    <col min="9" max="9" width="9" style="21" bestFit="1" customWidth="1"/>
    <col min="10" max="10" width="5.7109375" style="21" bestFit="1" customWidth="1"/>
    <col min="11" max="11" width="7.140625" style="21" bestFit="1" customWidth="1"/>
    <col min="12" max="12" width="5" style="21" customWidth="1"/>
    <col min="13" max="13" width="7.140625" style="21" bestFit="1" customWidth="1"/>
    <col min="14" max="14" width="5" style="21" customWidth="1"/>
    <col min="15" max="15" width="16.285156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16384" width="9.140625" style="21"/>
  </cols>
  <sheetData>
    <row r="1" spans="1:24" x14ac:dyDescent="0.2">
      <c r="A1" s="354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x14ac:dyDescent="0.2">
      <c r="A2" s="320"/>
      <c r="B2" s="139"/>
      <c r="C2" s="283"/>
      <c r="D2" s="283"/>
      <c r="E2" s="283"/>
      <c r="F2" s="146" t="s">
        <v>248</v>
      </c>
      <c r="G2" s="283"/>
      <c r="H2" s="283"/>
      <c r="I2" s="283"/>
      <c r="J2" s="283"/>
      <c r="K2" s="139"/>
      <c r="L2" s="283"/>
      <c r="M2" s="283"/>
      <c r="N2" s="283"/>
      <c r="O2" s="430" t="s">
        <v>267</v>
      </c>
      <c r="P2" s="146" t="s">
        <v>142</v>
      </c>
      <c r="Q2" s="139"/>
      <c r="R2" s="49"/>
    </row>
    <row r="3" spans="1:24" x14ac:dyDescent="0.2">
      <c r="A3" s="124"/>
      <c r="B3" s="283"/>
      <c r="C3" s="139"/>
      <c r="D3" s="139"/>
      <c r="E3" s="139"/>
      <c r="F3" s="139" t="str">
        <f>_xll.qlInterpolation(,InterpolationType,_xll.ohFilter(A5:A42,J5:J42),_xll.ohFilter(I5:I42,J5:J42))</f>
        <v>obj_00532#0012</v>
      </c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_xll.ohTrigger(Q5:Q42)</f>
        <v>12</v>
      </c>
      <c r="R3" s="225"/>
    </row>
    <row r="4" spans="1:24" ht="23.25" thickBot="1" x14ac:dyDescent="0.25">
      <c r="A4" s="124"/>
      <c r="B4" s="352"/>
      <c r="C4" s="201"/>
      <c r="D4" s="201"/>
      <c r="E4" s="201"/>
      <c r="F4" s="278" t="e">
        <f ca="1">_xll.RData(F5:F42,G4:H4,"RTFEED:IDN",ReutersRtMode,,G5)</f>
        <v>#NAME?</v>
      </c>
      <c r="G4" s="351" t="s">
        <v>235</v>
      </c>
      <c r="H4" s="351" t="s">
        <v>234</v>
      </c>
      <c r="I4" s="351" t="s">
        <v>292</v>
      </c>
      <c r="J4" s="351"/>
      <c r="K4" s="310" t="s">
        <v>291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</row>
    <row r="5" spans="1:24" x14ac:dyDescent="0.2">
      <c r="A5" s="429">
        <v>0.5</v>
      </c>
      <c r="B5" s="287" t="s">
        <v>35</v>
      </c>
      <c r="C5" s="343" t="str">
        <f t="array" ref="C5:C42">VLOOKUP(Currency,Conventions,2)</f>
        <v>12L</v>
      </c>
      <c r="D5" s="343" t="str">
        <f t="array" ref="D5:D42">VLOOKUP(Currency,Conventions,3)</f>
        <v>3L</v>
      </c>
      <c r="E5" s="341" t="str">
        <f>Currency&amp;$C5&amp;$D5&amp;$B5</f>
        <v>USD12L3L6M</v>
      </c>
      <c r="F5" s="286" t="str">
        <f t="array" ref="F5:F42">Instruments&amp;"="&amp;VLOOKUP(Contributor,ContributorTable,2,FALSE)</f>
        <v>USD12L3L6M=ICAP</v>
      </c>
      <c r="G5" s="427" t="s">
        <v>247</v>
      </c>
      <c r="H5" s="427" t="s">
        <v>247</v>
      </c>
      <c r="I5" s="427" t="e">
        <f>_xll.qlMidEquivalent(G5,H5)</f>
        <v>#NUM!</v>
      </c>
      <c r="J5" s="281" t="b">
        <f>IF(ISNUMBER(I5),TRUE,FALSE)</f>
        <v>0</v>
      </c>
      <c r="K5" s="428" t="e">
        <f t="array" ref="K5:K38">_xll.qlInterpolationInterpolate(F3,A5:A42)</f>
        <v>#NUM!</v>
      </c>
      <c r="L5" s="283"/>
      <c r="M5" s="425" t="e">
        <v>#NUM!</v>
      </c>
      <c r="N5" s="283"/>
      <c r="O5" s="339" t="str">
        <f>$E5&amp;$P$2</f>
        <v>USD12L3L6M_Quote</v>
      </c>
      <c r="P5" s="424" t="e">
        <f t="array" ref="P5:P42">QuoteLive</f>
        <v>#NUM!</v>
      </c>
      <c r="Q5" s="280" t="e">
        <f>_xll.qlSimpleQuoteSetValue($O5,$P5/10000,Trigger)</f>
        <v>#NUM!</v>
      </c>
      <c r="R5" s="225"/>
      <c r="T5" s="90" t="s">
        <v>132</v>
      </c>
      <c r="U5" s="89" t="s">
        <v>126</v>
      </c>
      <c r="V5" s="88" t="s">
        <v>138</v>
      </c>
      <c r="X5" s="349"/>
    </row>
    <row r="6" spans="1:24" x14ac:dyDescent="0.2">
      <c r="A6" s="429">
        <v>1</v>
      </c>
      <c r="B6" s="287" t="s">
        <v>29</v>
      </c>
      <c r="C6" s="343" t="str">
        <v>12L</v>
      </c>
      <c r="D6" s="343" t="str">
        <v>3L</v>
      </c>
      <c r="E6" s="341" t="str">
        <f>Currency&amp;$C6&amp;$D6&amp;$B6</f>
        <v>USD12L3L1Y</v>
      </c>
      <c r="F6" s="286" t="str">
        <v>USD12L3L1Y=ICAP</v>
      </c>
      <c r="G6" s="427">
        <v>31.4</v>
      </c>
      <c r="H6" s="427">
        <v>0</v>
      </c>
      <c r="I6" s="427">
        <f>_xll.qlMidEquivalent(G6,H6)</f>
        <v>31.4</v>
      </c>
      <c r="J6" s="281" t="b">
        <f>IF(ISNUMBER(I6),TRUE,FALSE)</f>
        <v>1</v>
      </c>
      <c r="K6" s="428">
        <v>31.4</v>
      </c>
      <c r="L6" s="283"/>
      <c r="M6" s="425">
        <v>31.4</v>
      </c>
      <c r="N6" s="283"/>
      <c r="O6" s="339" t="str">
        <f>$E6&amp;$P$2</f>
        <v>USD12L3L1Y_Quote</v>
      </c>
      <c r="P6" s="424">
        <v>31.4</v>
      </c>
      <c r="Q6" s="280" t="e">
        <f>_xll.qlSimpleQuoteSetValue($O6,$P6/10000,Trigger)</f>
        <v>#N/A</v>
      </c>
      <c r="R6" s="225"/>
      <c r="T6" s="87" t="s">
        <v>131</v>
      </c>
      <c r="U6" s="86" t="s">
        <v>129</v>
      </c>
      <c r="V6" s="85" t="s">
        <v>139</v>
      </c>
      <c r="X6" s="349"/>
    </row>
    <row r="7" spans="1:24" x14ac:dyDescent="0.2">
      <c r="A7" s="429">
        <v>1.25</v>
      </c>
      <c r="B7" s="287" t="s">
        <v>135</v>
      </c>
      <c r="C7" s="343" t="str">
        <v>12L</v>
      </c>
      <c r="D7" s="343" t="str">
        <v>3L</v>
      </c>
      <c r="E7" s="341" t="str">
        <f>Currency&amp;$C7&amp;$D7&amp;$B7</f>
        <v>USD12L3L15M</v>
      </c>
      <c r="F7" s="286" t="str">
        <v>USD12L3L15M=ICAP</v>
      </c>
      <c r="G7" s="427" t="s">
        <v>247</v>
      </c>
      <c r="H7" s="427" t="s">
        <v>247</v>
      </c>
      <c r="I7" s="427" t="e">
        <f>_xll.qlMidEquivalent(G7,H7)</f>
        <v>#NUM!</v>
      </c>
      <c r="J7" s="281" t="b">
        <f>IF(ISNUMBER(I7),TRUE,FALSE)</f>
        <v>0</v>
      </c>
      <c r="K7" s="428">
        <v>31.176530133774591</v>
      </c>
      <c r="L7" s="283"/>
      <c r="M7" s="425">
        <v>31.176530133774591</v>
      </c>
      <c r="N7" s="283"/>
      <c r="O7" s="339" t="str">
        <f>$E7&amp;$P$2</f>
        <v>USD12L3L15M_Quote</v>
      </c>
      <c r="P7" s="424">
        <v>31.176530133774591</v>
      </c>
      <c r="Q7" s="280" t="e">
        <f>_xll.qlSimpleQuoteSetValue($O7,$P7/10000,Trigger)</f>
        <v>#N/A</v>
      </c>
      <c r="R7" s="225"/>
      <c r="T7" s="87" t="s">
        <v>128</v>
      </c>
      <c r="U7" s="86" t="s">
        <v>126</v>
      </c>
      <c r="V7" s="85" t="s">
        <v>138</v>
      </c>
      <c r="X7" s="349"/>
    </row>
    <row r="8" spans="1:24" x14ac:dyDescent="0.2">
      <c r="A8" s="429">
        <v>1.5</v>
      </c>
      <c r="B8" s="287" t="s">
        <v>134</v>
      </c>
      <c r="C8" s="343" t="str">
        <v>12L</v>
      </c>
      <c r="D8" s="343" t="str">
        <v>3L</v>
      </c>
      <c r="E8" s="341" t="str">
        <f>Currency&amp;$C8&amp;$D8&amp;$B8</f>
        <v>USD12L3L18M</v>
      </c>
      <c r="F8" s="286" t="str">
        <v>USD12L3L18M=ICAP</v>
      </c>
      <c r="G8" s="427" t="s">
        <v>247</v>
      </c>
      <c r="H8" s="427" t="s">
        <v>247</v>
      </c>
      <c r="I8" s="427" t="e">
        <f>_xll.qlMidEquivalent(G8,H8)</f>
        <v>#NUM!</v>
      </c>
      <c r="J8" s="281" t="b">
        <f>IF(ISNUMBER(I8),TRUE,FALSE)</f>
        <v>0</v>
      </c>
      <c r="K8" s="428">
        <v>30.962448214039345</v>
      </c>
      <c r="L8" s="283"/>
      <c r="M8" s="425">
        <v>30.962448214039345</v>
      </c>
      <c r="N8" s="283"/>
      <c r="O8" s="339" t="str">
        <f>$E8&amp;$P$2</f>
        <v>USD12L3L18M_Quote</v>
      </c>
      <c r="P8" s="424">
        <v>30.962448214039345</v>
      </c>
      <c r="Q8" s="280" t="e">
        <f>_xll.qlSimpleQuoteSetValue($O8,$P8/10000,Trigger)</f>
        <v>#N/A</v>
      </c>
      <c r="R8" s="225"/>
      <c r="T8" s="87" t="s">
        <v>127</v>
      </c>
      <c r="U8" s="86" t="s">
        <v>126</v>
      </c>
      <c r="V8" s="85" t="s">
        <v>138</v>
      </c>
    </row>
    <row r="9" spans="1:24" ht="12" thickBot="1" x14ac:dyDescent="0.25">
      <c r="A9" s="429">
        <v>1.75</v>
      </c>
      <c r="B9" s="287" t="s">
        <v>133</v>
      </c>
      <c r="C9" s="343" t="str">
        <v>12L</v>
      </c>
      <c r="D9" s="343" t="str">
        <v>3L</v>
      </c>
      <c r="E9" s="341" t="str">
        <f>Currency&amp;$C9&amp;$D9&amp;$B9</f>
        <v>USD12L3L21M</v>
      </c>
      <c r="F9" s="286" t="str">
        <v>USD12L3L21M=ICAP</v>
      </c>
      <c r="G9" s="427" t="s">
        <v>247</v>
      </c>
      <c r="H9" s="427" t="s">
        <v>247</v>
      </c>
      <c r="I9" s="427" t="e">
        <f>_xll.qlMidEquivalent(G9,H9)</f>
        <v>#NUM!</v>
      </c>
      <c r="J9" s="281" t="b">
        <f>IF(ISNUMBER(I9),TRUE,FALSE)</f>
        <v>0</v>
      </c>
      <c r="K9" s="428">
        <v>30.767142187284428</v>
      </c>
      <c r="L9" s="283"/>
      <c r="M9" s="425">
        <v>30.767142187284428</v>
      </c>
      <c r="N9" s="283"/>
      <c r="O9" s="339" t="str">
        <f>$E9&amp;$P$2</f>
        <v>USD12L3L21M_Quote</v>
      </c>
      <c r="P9" s="424">
        <v>30.767142187284428</v>
      </c>
      <c r="Q9" s="280" t="e">
        <f>_xll.qlSimpleQuoteSetValue($O9,$P9/10000,Trigger)</f>
        <v>#N/A</v>
      </c>
      <c r="R9" s="225"/>
      <c r="T9" s="84" t="s">
        <v>122</v>
      </c>
      <c r="U9" s="83" t="s">
        <v>138</v>
      </c>
      <c r="V9" s="82" t="s">
        <v>125</v>
      </c>
    </row>
    <row r="10" spans="1:24" x14ac:dyDescent="0.2">
      <c r="A10" s="124">
        <v>2</v>
      </c>
      <c r="B10" s="287" t="s">
        <v>108</v>
      </c>
      <c r="C10" s="343" t="str">
        <v>12L</v>
      </c>
      <c r="D10" s="343" t="str">
        <v>3L</v>
      </c>
      <c r="E10" s="341" t="str">
        <f>Currency&amp;$C10&amp;$D10&amp;$B10</f>
        <v>USD12L3L2Y</v>
      </c>
      <c r="F10" s="286" t="str">
        <v>USD12L3L2Y=ICAP</v>
      </c>
      <c r="G10" s="427">
        <v>30.6</v>
      </c>
      <c r="H10" s="427">
        <v>0</v>
      </c>
      <c r="I10" s="427">
        <f>_xll.qlMidEquivalent(G10,H10)</f>
        <v>30.6</v>
      </c>
      <c r="J10" s="281" t="b">
        <f>IF(ISNUMBER(I10),TRUE,FALSE)</f>
        <v>1</v>
      </c>
      <c r="K10" s="428">
        <v>30.6</v>
      </c>
      <c r="L10" s="283"/>
      <c r="M10" s="425">
        <v>30.6</v>
      </c>
      <c r="N10" s="283"/>
      <c r="O10" s="339" t="str">
        <f>$E10&amp;$P$2</f>
        <v>USD12L3L2Y_Quote</v>
      </c>
      <c r="P10" s="424">
        <v>30.6</v>
      </c>
      <c r="Q10" s="280" t="e">
        <f>_xll.qlSimpleQuoteSetValue($O10,$P10/10000,Trigger)</f>
        <v>#N/A</v>
      </c>
      <c r="R10" s="225"/>
    </row>
    <row r="11" spans="1:24" x14ac:dyDescent="0.2">
      <c r="A11" s="124">
        <v>3</v>
      </c>
      <c r="B11" s="287" t="s">
        <v>107</v>
      </c>
      <c r="C11" s="343" t="str">
        <v>12L</v>
      </c>
      <c r="D11" s="343" t="str">
        <v>3L</v>
      </c>
      <c r="E11" s="341" t="str">
        <f>Currency&amp;$C11&amp;$D11&amp;$B11</f>
        <v>USD12L3L3Y</v>
      </c>
      <c r="F11" s="286" t="str">
        <v>USD12L3L3Y=ICAP</v>
      </c>
      <c r="G11" s="427">
        <v>30.2</v>
      </c>
      <c r="H11" s="427">
        <v>0</v>
      </c>
      <c r="I11" s="427">
        <f>_xll.qlMidEquivalent(G11,H11)</f>
        <v>30.2</v>
      </c>
      <c r="J11" s="281" t="b">
        <f>IF(ISNUMBER(I11),TRUE,FALSE)</f>
        <v>1</v>
      </c>
      <c r="K11" s="428">
        <v>30.2</v>
      </c>
      <c r="L11" s="283"/>
      <c r="M11" s="425">
        <v>30.2</v>
      </c>
      <c r="N11" s="283"/>
      <c r="O11" s="339" t="str">
        <f>$E11&amp;$P$2</f>
        <v>USD12L3L3Y_Quote</v>
      </c>
      <c r="P11" s="424">
        <v>30.2</v>
      </c>
      <c r="Q11" s="280" t="e">
        <f>_xll.qlSimpleQuoteSetValue($O11,$P11/10000,Trigger)</f>
        <v>#N/A</v>
      </c>
      <c r="R11" s="225"/>
    </row>
    <row r="12" spans="1:24" x14ac:dyDescent="0.2">
      <c r="A12" s="124">
        <v>4</v>
      </c>
      <c r="B12" s="287" t="s">
        <v>106</v>
      </c>
      <c r="C12" s="343" t="str">
        <v>12L</v>
      </c>
      <c r="D12" s="343" t="str">
        <v>3L</v>
      </c>
      <c r="E12" s="341" t="str">
        <f>Currency&amp;$C12&amp;$D12&amp;$B12</f>
        <v>USD12L3L4Y</v>
      </c>
      <c r="F12" s="286" t="str">
        <v>USD12L3L4Y=ICAP</v>
      </c>
      <c r="G12" s="427">
        <v>29.9</v>
      </c>
      <c r="H12" s="427">
        <v>0</v>
      </c>
      <c r="I12" s="427">
        <f>_xll.qlMidEquivalent(G12,H12)</f>
        <v>29.9</v>
      </c>
      <c r="J12" s="281" t="b">
        <f>IF(ISNUMBER(I12),TRUE,FALSE)</f>
        <v>1</v>
      </c>
      <c r="K12" s="428">
        <v>29.9</v>
      </c>
      <c r="L12" s="283"/>
      <c r="M12" s="425">
        <v>29.9</v>
      </c>
      <c r="N12" s="283"/>
      <c r="O12" s="339" t="str">
        <f>$E12&amp;$P$2</f>
        <v>USD12L3L4Y_Quote</v>
      </c>
      <c r="P12" s="424">
        <v>29.9</v>
      </c>
      <c r="Q12" s="280" t="e">
        <f>_xll.qlSimpleQuoteSetValue($O12,$P12/10000,Trigger)</f>
        <v>#N/A</v>
      </c>
      <c r="R12" s="225"/>
    </row>
    <row r="13" spans="1:24" x14ac:dyDescent="0.2">
      <c r="A13" s="124">
        <v>5</v>
      </c>
      <c r="B13" s="287" t="s">
        <v>105</v>
      </c>
      <c r="C13" s="343" t="str">
        <v>12L</v>
      </c>
      <c r="D13" s="343" t="str">
        <v>3L</v>
      </c>
      <c r="E13" s="341" t="str">
        <f>Currency&amp;$C13&amp;$D13&amp;$B13</f>
        <v>USD12L3L5Y</v>
      </c>
      <c r="F13" s="286" t="str">
        <v>USD12L3L5Y=ICAP</v>
      </c>
      <c r="G13" s="427">
        <v>29.6</v>
      </c>
      <c r="H13" s="427">
        <v>0</v>
      </c>
      <c r="I13" s="427">
        <f>_xll.qlMidEquivalent(G13,H13)</f>
        <v>29.6</v>
      </c>
      <c r="J13" s="281" t="b">
        <f>IF(ISNUMBER(I13),TRUE,FALSE)</f>
        <v>1</v>
      </c>
      <c r="K13" s="428">
        <v>29.6</v>
      </c>
      <c r="L13" s="283"/>
      <c r="M13" s="425">
        <v>29.6</v>
      </c>
      <c r="N13" s="283"/>
      <c r="O13" s="339" t="str">
        <f>$E13&amp;$P$2</f>
        <v>USD12L3L5Y_Quote</v>
      </c>
      <c r="P13" s="424">
        <v>29.6</v>
      </c>
      <c r="Q13" s="280" t="e">
        <f>_xll.qlSimpleQuoteSetValue($O13,$P13/10000,Trigger)</f>
        <v>#N/A</v>
      </c>
      <c r="R13" s="225"/>
    </row>
    <row r="14" spans="1:24" x14ac:dyDescent="0.2">
      <c r="A14" s="124">
        <v>6</v>
      </c>
      <c r="B14" s="287" t="s">
        <v>104</v>
      </c>
      <c r="C14" s="343" t="str">
        <v>12L</v>
      </c>
      <c r="D14" s="343" t="str">
        <v>3L</v>
      </c>
      <c r="E14" s="341" t="str">
        <f>Currency&amp;$C14&amp;$D14&amp;$B14</f>
        <v>USD12L3L6Y</v>
      </c>
      <c r="F14" s="286" t="str">
        <v>USD12L3L6Y=ICAP</v>
      </c>
      <c r="G14" s="427">
        <v>29.3</v>
      </c>
      <c r="H14" s="427">
        <v>0</v>
      </c>
      <c r="I14" s="427">
        <f>_xll.qlMidEquivalent(G14,H14)</f>
        <v>29.3</v>
      </c>
      <c r="J14" s="281" t="b">
        <f>IF(ISNUMBER(I14),TRUE,FALSE)</f>
        <v>1</v>
      </c>
      <c r="K14" s="428">
        <v>29.3</v>
      </c>
      <c r="L14" s="283"/>
      <c r="M14" s="425">
        <v>29.3</v>
      </c>
      <c r="N14" s="283"/>
      <c r="O14" s="339" t="str">
        <f>$E14&amp;$P$2</f>
        <v>USD12L3L6Y_Quote</v>
      </c>
      <c r="P14" s="424">
        <v>29.3</v>
      </c>
      <c r="Q14" s="280" t="e">
        <f>_xll.qlSimpleQuoteSetValue($O14,$P14/10000,Trigger)</f>
        <v>#N/A</v>
      </c>
      <c r="R14" s="225"/>
    </row>
    <row r="15" spans="1:24" x14ac:dyDescent="0.2">
      <c r="A15" s="124">
        <v>7</v>
      </c>
      <c r="B15" s="287" t="s">
        <v>103</v>
      </c>
      <c r="C15" s="343" t="str">
        <v>12L</v>
      </c>
      <c r="D15" s="343" t="str">
        <v>3L</v>
      </c>
      <c r="E15" s="341" t="str">
        <f>Currency&amp;$C15&amp;$D15&amp;$B15</f>
        <v>USD12L3L7Y</v>
      </c>
      <c r="F15" s="286" t="str">
        <v>USD12L3L7Y=ICAP</v>
      </c>
      <c r="G15" s="427">
        <v>29.1</v>
      </c>
      <c r="H15" s="427">
        <v>0</v>
      </c>
      <c r="I15" s="427">
        <f>_xll.qlMidEquivalent(G15,H15)</f>
        <v>29.1</v>
      </c>
      <c r="J15" s="281" t="b">
        <f>IF(ISNUMBER(I15),TRUE,FALSE)</f>
        <v>1</v>
      </c>
      <c r="K15" s="428">
        <v>29.1</v>
      </c>
      <c r="L15" s="283"/>
      <c r="M15" s="425">
        <v>29.1</v>
      </c>
      <c r="N15" s="283"/>
      <c r="O15" s="339" t="str">
        <f>$E15&amp;$P$2</f>
        <v>USD12L3L7Y_Quote</v>
      </c>
      <c r="P15" s="424">
        <v>29.1</v>
      </c>
      <c r="Q15" s="280" t="e">
        <f>_xll.qlSimpleQuoteSetValue($O15,$P15/10000,Trigger)</f>
        <v>#N/A</v>
      </c>
      <c r="R15" s="225"/>
    </row>
    <row r="16" spans="1:24" x14ac:dyDescent="0.2">
      <c r="A16" s="124">
        <v>8</v>
      </c>
      <c r="B16" s="287" t="s">
        <v>102</v>
      </c>
      <c r="C16" s="343" t="str">
        <v>12L</v>
      </c>
      <c r="D16" s="343" t="str">
        <v>3L</v>
      </c>
      <c r="E16" s="341" t="str">
        <f>Currency&amp;$C16&amp;$D16&amp;$B16</f>
        <v>USD12L3L8Y</v>
      </c>
      <c r="F16" s="286" t="str">
        <v>USD12L3L8Y=ICAP</v>
      </c>
      <c r="G16" s="427">
        <v>28.9</v>
      </c>
      <c r="H16" s="427">
        <v>0</v>
      </c>
      <c r="I16" s="427">
        <f>_xll.qlMidEquivalent(G16,H16)</f>
        <v>28.9</v>
      </c>
      <c r="J16" s="281" t="b">
        <f>IF(ISNUMBER(I16),TRUE,FALSE)</f>
        <v>1</v>
      </c>
      <c r="K16" s="428">
        <v>28.9</v>
      </c>
      <c r="L16" s="283"/>
      <c r="M16" s="425">
        <v>28.9</v>
      </c>
      <c r="N16" s="283"/>
      <c r="O16" s="339" t="str">
        <f>$E16&amp;$P$2</f>
        <v>USD12L3L8Y_Quote</v>
      </c>
      <c r="P16" s="424">
        <v>28.9</v>
      </c>
      <c r="Q16" s="280" t="e">
        <f>_xll.qlSimpleQuoteSetValue($O16,$P16/10000,Trigger)</f>
        <v>#N/A</v>
      </c>
      <c r="R16" s="225"/>
    </row>
    <row r="17" spans="1:18" x14ac:dyDescent="0.2">
      <c r="A17" s="124">
        <v>9</v>
      </c>
      <c r="B17" s="287" t="s">
        <v>101</v>
      </c>
      <c r="C17" s="343" t="str">
        <v>12L</v>
      </c>
      <c r="D17" s="343" t="str">
        <v>3L</v>
      </c>
      <c r="E17" s="341" t="str">
        <f>Currency&amp;$C17&amp;$D17&amp;$B17</f>
        <v>USD12L3L9Y</v>
      </c>
      <c r="F17" s="286" t="str">
        <v>USD12L3L9Y=ICAP</v>
      </c>
      <c r="G17" s="427">
        <v>28.7</v>
      </c>
      <c r="H17" s="427">
        <v>0</v>
      </c>
      <c r="I17" s="427">
        <f>_xll.qlMidEquivalent(G17,H17)</f>
        <v>28.7</v>
      </c>
      <c r="J17" s="281" t="b">
        <f>IF(ISNUMBER(I17),TRUE,FALSE)</f>
        <v>1</v>
      </c>
      <c r="K17" s="428">
        <v>28.7</v>
      </c>
      <c r="L17" s="283"/>
      <c r="M17" s="425">
        <v>28.7</v>
      </c>
      <c r="N17" s="283"/>
      <c r="O17" s="339" t="str">
        <f>$E17&amp;$P$2</f>
        <v>USD12L3L9Y_Quote</v>
      </c>
      <c r="P17" s="424">
        <v>28.7</v>
      </c>
      <c r="Q17" s="280" t="e">
        <f>_xll.qlSimpleQuoteSetValue($O17,$P17/10000,Trigger)</f>
        <v>#N/A</v>
      </c>
      <c r="R17" s="225"/>
    </row>
    <row r="18" spans="1:18" x14ac:dyDescent="0.2">
      <c r="A18" s="124">
        <v>10</v>
      </c>
      <c r="B18" s="287" t="s">
        <v>100</v>
      </c>
      <c r="C18" s="343" t="str">
        <v>12L</v>
      </c>
      <c r="D18" s="343" t="str">
        <v>3L</v>
      </c>
      <c r="E18" s="341" t="str">
        <f>Currency&amp;$C18&amp;$D18&amp;$B18</f>
        <v>USD12L3L10Y</v>
      </c>
      <c r="F18" s="286" t="str">
        <v>USD12L3L10Y=ICAP</v>
      </c>
      <c r="G18" s="427">
        <v>28.5</v>
      </c>
      <c r="H18" s="427">
        <v>0</v>
      </c>
      <c r="I18" s="427">
        <f>_xll.qlMidEquivalent(G18,H18)</f>
        <v>28.5</v>
      </c>
      <c r="J18" s="281" t="b">
        <f>IF(ISNUMBER(I18),TRUE,FALSE)</f>
        <v>1</v>
      </c>
      <c r="K18" s="428">
        <v>28.5</v>
      </c>
      <c r="L18" s="283"/>
      <c r="M18" s="425">
        <v>28.5</v>
      </c>
      <c r="N18" s="283"/>
      <c r="O18" s="339" t="str">
        <f>$E18&amp;$P$2</f>
        <v>USD12L3L10Y_Quote</v>
      </c>
      <c r="P18" s="424">
        <v>28.5</v>
      </c>
      <c r="Q18" s="280" t="e">
        <f>_xll.qlSimpleQuoteSetValue($O18,$P18/10000,Trigger)</f>
        <v>#N/A</v>
      </c>
      <c r="R18" s="225"/>
    </row>
    <row r="19" spans="1:18" x14ac:dyDescent="0.2">
      <c r="A19" s="124">
        <v>11</v>
      </c>
      <c r="B19" s="287" t="s">
        <v>99</v>
      </c>
      <c r="C19" s="343" t="str">
        <v>12L</v>
      </c>
      <c r="D19" s="343" t="str">
        <v>3L</v>
      </c>
      <c r="E19" s="341" t="str">
        <f>Currency&amp;$C19&amp;$D19&amp;$B19</f>
        <v>USD12L3L11Y</v>
      </c>
      <c r="F19" s="286" t="str">
        <v>USD12L3L11Y=ICAP</v>
      </c>
      <c r="G19" s="427" t="s">
        <v>247</v>
      </c>
      <c r="H19" s="427" t="s">
        <v>247</v>
      </c>
      <c r="I19" s="427" t="e">
        <f>_xll.qlMidEquivalent(G19,H19)</f>
        <v>#NUM!</v>
      </c>
      <c r="J19" s="281" t="b">
        <f>IF(ISNUMBER(I19),TRUE,FALSE)</f>
        <v>0</v>
      </c>
      <c r="K19" s="428">
        <v>28.297088844695441</v>
      </c>
      <c r="L19" s="283"/>
      <c r="M19" s="425">
        <v>28.297088844695441</v>
      </c>
      <c r="N19" s="283"/>
      <c r="O19" s="339" t="str">
        <f>$E19&amp;$P$2</f>
        <v>USD12L3L11Y_Quote</v>
      </c>
      <c r="P19" s="424">
        <v>28.297088844695441</v>
      </c>
      <c r="Q19" s="280" t="e">
        <f>_xll.qlSimpleQuoteSetValue($O19,$P19/10000,Trigger)</f>
        <v>#N/A</v>
      </c>
      <c r="R19" s="225"/>
    </row>
    <row r="20" spans="1:18" x14ac:dyDescent="0.2">
      <c r="A20" s="124">
        <v>12</v>
      </c>
      <c r="B20" s="287" t="s">
        <v>98</v>
      </c>
      <c r="C20" s="343" t="str">
        <v>12L</v>
      </c>
      <c r="D20" s="343" t="str">
        <v>3L</v>
      </c>
      <c r="E20" s="341" t="str">
        <f>Currency&amp;$C20&amp;$D20&amp;$B20</f>
        <v>USD12L3L12Y</v>
      </c>
      <c r="F20" s="286" t="str">
        <v>USD12L3L12Y=ICAP</v>
      </c>
      <c r="G20" s="427">
        <v>28.1</v>
      </c>
      <c r="H20" s="427">
        <v>0</v>
      </c>
      <c r="I20" s="427">
        <f>_xll.qlMidEquivalent(G20,H20)</f>
        <v>28.1</v>
      </c>
      <c r="J20" s="281" t="b">
        <f>IF(ISNUMBER(I20),TRUE,FALSE)</f>
        <v>1</v>
      </c>
      <c r="K20" s="428">
        <v>28.1</v>
      </c>
      <c r="L20" s="283"/>
      <c r="M20" s="425">
        <v>28.1</v>
      </c>
      <c r="N20" s="283"/>
      <c r="O20" s="339" t="str">
        <f>$E20&amp;$P$2</f>
        <v>USD12L3L12Y_Quote</v>
      </c>
      <c r="P20" s="424">
        <v>28.1</v>
      </c>
      <c r="Q20" s="280" t="e">
        <f>_xll.qlSimpleQuoteSetValue($O20,$P20/10000,Trigger)</f>
        <v>#N/A</v>
      </c>
      <c r="R20" s="225"/>
    </row>
    <row r="21" spans="1:18" x14ac:dyDescent="0.2">
      <c r="A21" s="124">
        <v>13</v>
      </c>
      <c r="B21" s="287" t="s">
        <v>97</v>
      </c>
      <c r="C21" s="343" t="str">
        <v>12L</v>
      </c>
      <c r="D21" s="343" t="str">
        <v>3L</v>
      </c>
      <c r="E21" s="341" t="str">
        <f>Currency&amp;$C21&amp;$D21&amp;$B21</f>
        <v>USD12L3L13Y</v>
      </c>
      <c r="F21" s="286" t="str">
        <v>USD12L3L13Y=ICAP</v>
      </c>
      <c r="G21" s="427" t="s">
        <v>247</v>
      </c>
      <c r="H21" s="427" t="s">
        <v>247</v>
      </c>
      <c r="I21" s="427" t="e">
        <f>_xll.qlMidEquivalent(G21,H21)</f>
        <v>#NUM!</v>
      </c>
      <c r="J21" s="281" t="b">
        <f>IF(ISNUMBER(I21),TRUE,FALSE)</f>
        <v>0</v>
      </c>
      <c r="K21" s="428">
        <v>27.91789306687464</v>
      </c>
      <c r="L21" s="283"/>
      <c r="M21" s="425">
        <v>27.91789306687464</v>
      </c>
      <c r="N21" s="283"/>
      <c r="O21" s="339" t="str">
        <f>$E21&amp;$P$2</f>
        <v>USD12L3L13Y_Quote</v>
      </c>
      <c r="P21" s="424">
        <v>27.91789306687464</v>
      </c>
      <c r="Q21" s="280" t="e">
        <f>_xll.qlSimpleQuoteSetValue($O21,$P21/10000,Trigger)</f>
        <v>#N/A</v>
      </c>
      <c r="R21" s="225"/>
    </row>
    <row r="22" spans="1:18" x14ac:dyDescent="0.2">
      <c r="A22" s="124">
        <v>14</v>
      </c>
      <c r="B22" s="287" t="s">
        <v>96</v>
      </c>
      <c r="C22" s="343" t="str">
        <v>12L</v>
      </c>
      <c r="D22" s="343" t="str">
        <v>3L</v>
      </c>
      <c r="E22" s="341" t="str">
        <f>Currency&amp;$C22&amp;$D22&amp;$B22</f>
        <v>USD12L3L14Y</v>
      </c>
      <c r="F22" s="286" t="str">
        <v>USD12L3L14Y=ICAP</v>
      </c>
      <c r="G22" s="427" t="s">
        <v>247</v>
      </c>
      <c r="H22" s="427" t="s">
        <v>247</v>
      </c>
      <c r="I22" s="427" t="e">
        <f>_xll.qlMidEquivalent(G22,H22)</f>
        <v>#NUM!</v>
      </c>
      <c r="J22" s="281" t="b">
        <f>IF(ISNUMBER(I22),TRUE,FALSE)</f>
        <v>0</v>
      </c>
      <c r="K22" s="428">
        <v>27.75163039000314</v>
      </c>
      <c r="L22" s="283"/>
      <c r="M22" s="425">
        <v>27.75163039000314</v>
      </c>
      <c r="N22" s="283"/>
      <c r="O22" s="339" t="str">
        <f>$E22&amp;$P$2</f>
        <v>USD12L3L14Y_Quote</v>
      </c>
      <c r="P22" s="424">
        <v>27.75163039000314</v>
      </c>
      <c r="Q22" s="280" t="e">
        <f>_xll.qlSimpleQuoteSetValue($O22,$P22/10000,Trigger)</f>
        <v>#N/A</v>
      </c>
      <c r="R22" s="225"/>
    </row>
    <row r="23" spans="1:18" x14ac:dyDescent="0.2">
      <c r="A23" s="124">
        <v>15</v>
      </c>
      <c r="B23" s="287" t="s">
        <v>95</v>
      </c>
      <c r="C23" s="343" t="str">
        <v>12L</v>
      </c>
      <c r="D23" s="343" t="str">
        <v>3L</v>
      </c>
      <c r="E23" s="341" t="str">
        <f>Currency&amp;$C23&amp;$D23&amp;$B23</f>
        <v>USD12L3L15Y</v>
      </c>
      <c r="F23" s="286" t="str">
        <v>USD12L3L15Y=ICAP</v>
      </c>
      <c r="G23" s="427">
        <v>27.6</v>
      </c>
      <c r="H23" s="427">
        <v>0</v>
      </c>
      <c r="I23" s="427">
        <f>_xll.qlMidEquivalent(G23,H23)</f>
        <v>27.6</v>
      </c>
      <c r="J23" s="281" t="b">
        <f>IF(ISNUMBER(I23),TRUE,FALSE)</f>
        <v>1</v>
      </c>
      <c r="K23" s="428">
        <v>27.6</v>
      </c>
      <c r="L23" s="283"/>
      <c r="M23" s="425">
        <v>27.6</v>
      </c>
      <c r="N23" s="283"/>
      <c r="O23" s="339" t="str">
        <f>$E23&amp;$P$2</f>
        <v>USD12L3L15Y_Quote</v>
      </c>
      <c r="P23" s="424">
        <v>27.6</v>
      </c>
      <c r="Q23" s="280" t="e">
        <f>_xll.qlSimpleQuoteSetValue($O23,$P23/10000,Trigger)</f>
        <v>#N/A</v>
      </c>
      <c r="R23" s="225"/>
    </row>
    <row r="24" spans="1:18" x14ac:dyDescent="0.2">
      <c r="A24" s="124">
        <v>16</v>
      </c>
      <c r="B24" s="287" t="s">
        <v>94</v>
      </c>
      <c r="C24" s="343" t="str">
        <v>12L</v>
      </c>
      <c r="D24" s="343" t="str">
        <v>3L</v>
      </c>
      <c r="E24" s="341" t="str">
        <f>Currency&amp;$C24&amp;$D24&amp;$B24</f>
        <v>USD12L3L16Y</v>
      </c>
      <c r="F24" s="286" t="str">
        <v>USD12L3L16Y=ICAP</v>
      </c>
      <c r="G24" s="427" t="s">
        <v>247</v>
      </c>
      <c r="H24" s="427" t="s">
        <v>247</v>
      </c>
      <c r="I24" s="427" t="e">
        <f>_xll.qlMidEquivalent(G24,H24)</f>
        <v>#NUM!</v>
      </c>
      <c r="J24" s="281" t="b">
        <f>IF(ISNUMBER(I24),TRUE,FALSE)</f>
        <v>0</v>
      </c>
      <c r="K24" s="428">
        <v>27.461638620083583</v>
      </c>
      <c r="L24" s="283"/>
      <c r="M24" s="425">
        <v>27.461638620083583</v>
      </c>
      <c r="N24" s="283"/>
      <c r="O24" s="339" t="str">
        <f>$E24&amp;$P$2</f>
        <v>USD12L3L16Y_Quote</v>
      </c>
      <c r="P24" s="424">
        <v>27.461638620083583</v>
      </c>
      <c r="Q24" s="280" t="e">
        <f>_xll.qlSimpleQuoteSetValue($O24,$P24/10000,Trigger)</f>
        <v>#N/A</v>
      </c>
      <c r="R24" s="225"/>
    </row>
    <row r="25" spans="1:18" x14ac:dyDescent="0.2">
      <c r="A25" s="124">
        <v>17</v>
      </c>
      <c r="B25" s="287" t="s">
        <v>93</v>
      </c>
      <c r="C25" s="343" t="str">
        <v>12L</v>
      </c>
      <c r="D25" s="343" t="str">
        <v>3L</v>
      </c>
      <c r="E25" s="341" t="str">
        <f>Currency&amp;$C25&amp;$D25&amp;$B25</f>
        <v>USD12L3L17Y</v>
      </c>
      <c r="F25" s="286" t="str">
        <v>USD12L3L17Y=ICAP</v>
      </c>
      <c r="G25" s="427" t="s">
        <v>247</v>
      </c>
      <c r="H25" s="427" t="s">
        <v>247</v>
      </c>
      <c r="I25" s="427" t="e">
        <f>_xll.qlMidEquivalent(G25,H25)</f>
        <v>#NUM!</v>
      </c>
      <c r="J25" s="281" t="b">
        <f>IF(ISNUMBER(I25),TRUE,FALSE)</f>
        <v>0</v>
      </c>
      <c r="K25" s="428">
        <v>27.334577743887696</v>
      </c>
      <c r="L25" s="283"/>
      <c r="M25" s="425">
        <v>27.334577743887696</v>
      </c>
      <c r="N25" s="283"/>
      <c r="O25" s="339" t="str">
        <f>$E25&amp;$P$2</f>
        <v>USD12L3L17Y_Quote</v>
      </c>
      <c r="P25" s="424">
        <v>27.334577743887696</v>
      </c>
      <c r="Q25" s="280" t="e">
        <f>_xll.qlSimpleQuoteSetValue($O25,$P25/10000,Trigger)</f>
        <v>#N/A</v>
      </c>
      <c r="R25" s="225"/>
    </row>
    <row r="26" spans="1:18" x14ac:dyDescent="0.2">
      <c r="A26" s="124">
        <v>18</v>
      </c>
      <c r="B26" s="287" t="s">
        <v>92</v>
      </c>
      <c r="C26" s="343" t="str">
        <v>12L</v>
      </c>
      <c r="D26" s="343" t="str">
        <v>3L</v>
      </c>
      <c r="E26" s="341" t="str">
        <f>Currency&amp;$C26&amp;$D26&amp;$B26</f>
        <v>USD12L3L18Y</v>
      </c>
      <c r="F26" s="286" t="str">
        <v>USD12L3L18Y=ICAP</v>
      </c>
      <c r="G26" s="427" t="s">
        <v>247</v>
      </c>
      <c r="H26" s="427" t="s">
        <v>247</v>
      </c>
      <c r="I26" s="427" t="e">
        <f>_xll.qlMidEquivalent(G26,H26)</f>
        <v>#NUM!</v>
      </c>
      <c r="J26" s="281" t="b">
        <f>IF(ISNUMBER(I26),TRUE,FALSE)</f>
        <v>0</v>
      </c>
      <c r="K26" s="428">
        <v>27.216697557650019</v>
      </c>
      <c r="L26" s="283"/>
      <c r="M26" s="425">
        <v>27.216697557650019</v>
      </c>
      <c r="N26" s="283"/>
      <c r="O26" s="339" t="str">
        <f>$E26&amp;$P$2</f>
        <v>USD12L3L18Y_Quote</v>
      </c>
      <c r="P26" s="424">
        <v>27.216697557650019</v>
      </c>
      <c r="Q26" s="280" t="e">
        <f>_xll.qlSimpleQuoteSetValue($O26,$P26/10000,Trigger)</f>
        <v>#N/A</v>
      </c>
      <c r="R26" s="225"/>
    </row>
    <row r="27" spans="1:18" x14ac:dyDescent="0.2">
      <c r="A27" s="124">
        <v>19</v>
      </c>
      <c r="B27" s="287" t="s">
        <v>91</v>
      </c>
      <c r="C27" s="343" t="str">
        <v>12L</v>
      </c>
      <c r="D27" s="343" t="str">
        <v>3L</v>
      </c>
      <c r="E27" s="341" t="str">
        <f>Currency&amp;$C27&amp;$D27&amp;$B27</f>
        <v>USD12L3L19Y</v>
      </c>
      <c r="F27" s="286" t="str">
        <v>USD12L3L19Y=ICAP</v>
      </c>
      <c r="G27" s="427" t="s">
        <v>247</v>
      </c>
      <c r="H27" s="427" t="s">
        <v>247</v>
      </c>
      <c r="I27" s="427" t="e">
        <f>_xll.qlMidEquivalent(G27,H27)</f>
        <v>#NUM!</v>
      </c>
      <c r="J27" s="281" t="b">
        <f>IF(ISNUMBER(I27),TRUE,FALSE)</f>
        <v>0</v>
      </c>
      <c r="K27" s="428">
        <v>27.105878247608228</v>
      </c>
      <c r="L27" s="283"/>
      <c r="M27" s="425">
        <v>27.105878247608228</v>
      </c>
      <c r="N27" s="283"/>
      <c r="O27" s="339" t="str">
        <f>$E27&amp;$P$2</f>
        <v>USD12L3L19Y_Quote</v>
      </c>
      <c r="P27" s="424">
        <v>27.105878247608228</v>
      </c>
      <c r="Q27" s="280" t="e">
        <f>_xll.qlSimpleQuoteSetValue($O27,$P27/10000,Trigger)</f>
        <v>#N/A</v>
      </c>
      <c r="R27" s="225"/>
    </row>
    <row r="28" spans="1:18" x14ac:dyDescent="0.2">
      <c r="A28" s="124">
        <v>20</v>
      </c>
      <c r="B28" s="287" t="s">
        <v>90</v>
      </c>
      <c r="C28" s="343" t="str">
        <v>12L</v>
      </c>
      <c r="D28" s="343" t="str">
        <v>3L</v>
      </c>
      <c r="E28" s="341" t="str">
        <f>Currency&amp;$C28&amp;$D28&amp;$B28</f>
        <v>USD12L3L20Y</v>
      </c>
      <c r="F28" s="286" t="str">
        <v>USD12L3L20Y=ICAP</v>
      </c>
      <c r="G28" s="427">
        <v>27</v>
      </c>
      <c r="H28" s="427">
        <v>0</v>
      </c>
      <c r="I28" s="427">
        <f>_xll.qlMidEquivalent(G28,H28)</f>
        <v>27</v>
      </c>
      <c r="J28" s="281" t="b">
        <f>IF(ISNUMBER(I28),TRUE,FALSE)</f>
        <v>1</v>
      </c>
      <c r="K28" s="428">
        <v>27</v>
      </c>
      <c r="L28" s="283"/>
      <c r="M28" s="425">
        <v>27</v>
      </c>
      <c r="N28" s="283"/>
      <c r="O28" s="339" t="str">
        <f>$E28&amp;$P$2</f>
        <v>USD12L3L20Y_Quote</v>
      </c>
      <c r="P28" s="424">
        <v>27</v>
      </c>
      <c r="Q28" s="280" t="e">
        <f>_xll.qlSimpleQuoteSetValue($O28,$P28/10000,Trigger)</f>
        <v>#N/A</v>
      </c>
      <c r="R28" s="225"/>
    </row>
    <row r="29" spans="1:18" x14ac:dyDescent="0.2">
      <c r="A29" s="124">
        <v>21</v>
      </c>
      <c r="B29" s="287" t="s">
        <v>89</v>
      </c>
      <c r="C29" s="343" t="str">
        <v>12L</v>
      </c>
      <c r="D29" s="343" t="str">
        <v>3L</v>
      </c>
      <c r="E29" s="341" t="str">
        <f>Currency&amp;$C29&amp;$D29&amp;$B29</f>
        <v>USD12L3L21Y</v>
      </c>
      <c r="F29" s="286" t="str">
        <v>USD12L3L21Y=ICAP</v>
      </c>
      <c r="G29" s="427" t="s">
        <v>247</v>
      </c>
      <c r="H29" s="427" t="s">
        <v>247</v>
      </c>
      <c r="I29" s="427" t="e">
        <f>_xll.qlMidEquivalent(G29,H29)</f>
        <v>#NUM!</v>
      </c>
      <c r="J29" s="281" t="b">
        <f>IF(ISNUMBER(I29),TRUE,FALSE)</f>
        <v>0</v>
      </c>
      <c r="K29" s="428">
        <v>26.897178751328763</v>
      </c>
      <c r="L29" s="283"/>
      <c r="M29" s="425">
        <v>26.897178751328763</v>
      </c>
      <c r="N29" s="283"/>
      <c r="O29" s="339" t="str">
        <f>$E29&amp;$P$2</f>
        <v>USD12L3L21Y_Quote</v>
      </c>
      <c r="P29" s="424">
        <v>26.897178751328763</v>
      </c>
      <c r="Q29" s="280" t="e">
        <f>_xll.qlSimpleQuoteSetValue($O29,$P29/10000,Trigger)</f>
        <v>#N/A</v>
      </c>
      <c r="R29" s="225"/>
    </row>
    <row r="30" spans="1:18" x14ac:dyDescent="0.2">
      <c r="A30" s="124">
        <v>22</v>
      </c>
      <c r="B30" s="287" t="s">
        <v>88</v>
      </c>
      <c r="C30" s="343" t="str">
        <v>12L</v>
      </c>
      <c r="D30" s="343" t="str">
        <v>3L</v>
      </c>
      <c r="E30" s="341" t="str">
        <f>Currency&amp;$C30&amp;$D30&amp;$B30</f>
        <v>USD12L3L22Y</v>
      </c>
      <c r="F30" s="286" t="str">
        <v>USD12L3L22Y=ICAP</v>
      </c>
      <c r="G30" s="427" t="s">
        <v>247</v>
      </c>
      <c r="H30" s="427" t="s">
        <v>247</v>
      </c>
      <c r="I30" s="427" t="e">
        <f>_xll.qlMidEquivalent(G30,H30)</f>
        <v>#NUM!</v>
      </c>
      <c r="J30" s="281" t="b">
        <f>IF(ISNUMBER(I30),TRUE,FALSE)</f>
        <v>0</v>
      </c>
      <c r="K30" s="428">
        <v>26.796473439160952</v>
      </c>
      <c r="L30" s="283"/>
      <c r="M30" s="425">
        <v>26.796473439160952</v>
      </c>
      <c r="N30" s="283"/>
      <c r="O30" s="339" t="str">
        <f>$E30&amp;$P$2</f>
        <v>USD12L3L22Y_Quote</v>
      </c>
      <c r="P30" s="424">
        <v>26.796473439160952</v>
      </c>
      <c r="Q30" s="280" t="e">
        <f>_xll.qlSimpleQuoteSetValue($O30,$P30/10000,Trigger)</f>
        <v>#N/A</v>
      </c>
      <c r="R30" s="225"/>
    </row>
    <row r="31" spans="1:18" x14ac:dyDescent="0.2">
      <c r="A31" s="124">
        <v>23</v>
      </c>
      <c r="B31" s="287" t="s">
        <v>87</v>
      </c>
      <c r="C31" s="343" t="str">
        <v>12L</v>
      </c>
      <c r="D31" s="343" t="str">
        <v>3L</v>
      </c>
      <c r="E31" s="341" t="str">
        <f>Currency&amp;$C31&amp;$D31&amp;$B31</f>
        <v>USD12L3L23Y</v>
      </c>
      <c r="F31" s="286" t="str">
        <v>USD12L3L23Y=ICAP</v>
      </c>
      <c r="G31" s="427" t="s">
        <v>247</v>
      </c>
      <c r="H31" s="427" t="s">
        <v>247</v>
      </c>
      <c r="I31" s="427" t="e">
        <f>_xll.qlMidEquivalent(G31,H31)</f>
        <v>#NUM!</v>
      </c>
      <c r="J31" s="281" t="b">
        <f>IF(ISNUMBER(I31),TRUE,FALSE)</f>
        <v>0</v>
      </c>
      <c r="K31" s="428">
        <v>26.69717875132876</v>
      </c>
      <c r="L31" s="283"/>
      <c r="M31" s="425">
        <v>26.69717875132876</v>
      </c>
      <c r="N31" s="283"/>
      <c r="O31" s="339" t="str">
        <f>$E31&amp;$P$2</f>
        <v>USD12L3L23Y_Quote</v>
      </c>
      <c r="P31" s="424">
        <v>26.69717875132876</v>
      </c>
      <c r="Q31" s="280" t="e">
        <f>_xll.qlSimpleQuoteSetValue($O31,$P31/10000,Trigger)</f>
        <v>#N/A</v>
      </c>
      <c r="R31" s="225"/>
    </row>
    <row r="32" spans="1:18" x14ac:dyDescent="0.2">
      <c r="A32" s="124">
        <v>24</v>
      </c>
      <c r="B32" s="287" t="s">
        <v>86</v>
      </c>
      <c r="C32" s="343" t="str">
        <v>12L</v>
      </c>
      <c r="D32" s="343" t="str">
        <v>3L</v>
      </c>
      <c r="E32" s="341" t="str">
        <f>Currency&amp;$C32&amp;$D32&amp;$B32</f>
        <v>USD12L3L24Y</v>
      </c>
      <c r="F32" s="286" t="str">
        <v>USD12L3L24Y=ICAP</v>
      </c>
      <c r="G32" s="427" t="s">
        <v>247</v>
      </c>
      <c r="H32" s="427" t="s">
        <v>247</v>
      </c>
      <c r="I32" s="427" t="e">
        <f>_xll.qlMidEquivalent(G32,H32)</f>
        <v>#NUM!</v>
      </c>
      <c r="J32" s="281" t="b">
        <f>IF(ISNUMBER(I32),TRUE,FALSE)</f>
        <v>0</v>
      </c>
      <c r="K32" s="428">
        <v>26.598589375664382</v>
      </c>
      <c r="L32" s="283"/>
      <c r="M32" s="425">
        <v>26.598589375664382</v>
      </c>
      <c r="N32" s="283"/>
      <c r="O32" s="339" t="str">
        <f>$E32&amp;$P$2</f>
        <v>USD12L3L24Y_Quote</v>
      </c>
      <c r="P32" s="424">
        <v>26.598589375664382</v>
      </c>
      <c r="Q32" s="280" t="e">
        <f>_xll.qlSimpleQuoteSetValue($O32,$P32/10000,Trigger)</f>
        <v>#N/A</v>
      </c>
      <c r="R32" s="225"/>
    </row>
    <row r="33" spans="1:18" x14ac:dyDescent="0.2">
      <c r="A33" s="124">
        <v>25</v>
      </c>
      <c r="B33" s="287" t="s">
        <v>85</v>
      </c>
      <c r="C33" s="343" t="str">
        <v>12L</v>
      </c>
      <c r="D33" s="343" t="str">
        <v>3L</v>
      </c>
      <c r="E33" s="341" t="str">
        <f>Currency&amp;$C33&amp;$D33&amp;$B33</f>
        <v>USD12L3L25Y</v>
      </c>
      <c r="F33" s="286" t="str">
        <v>USD12L3L25Y=ICAP</v>
      </c>
      <c r="G33" s="427">
        <v>26.5</v>
      </c>
      <c r="H33" s="427">
        <v>0</v>
      </c>
      <c r="I33" s="427">
        <f>_xll.qlMidEquivalent(G33,H33)</f>
        <v>26.5</v>
      </c>
      <c r="J33" s="281" t="b">
        <f>IF(ISNUMBER(I33),TRUE,FALSE)</f>
        <v>1</v>
      </c>
      <c r="K33" s="428">
        <v>26.5</v>
      </c>
      <c r="L33" s="283"/>
      <c r="M33" s="425">
        <v>26.5</v>
      </c>
      <c r="N33" s="283"/>
      <c r="O33" s="339" t="str">
        <f>$E33&amp;$P$2</f>
        <v>USD12L3L25Y_Quote</v>
      </c>
      <c r="P33" s="424">
        <v>26.5</v>
      </c>
      <c r="Q33" s="280" t="e">
        <f>_xll.qlSimpleQuoteSetValue($O33,$P33/10000,Trigger)</f>
        <v>#N/A</v>
      </c>
      <c r="R33" s="225"/>
    </row>
    <row r="34" spans="1:18" x14ac:dyDescent="0.2">
      <c r="A34" s="124">
        <v>26</v>
      </c>
      <c r="B34" s="287" t="s">
        <v>84</v>
      </c>
      <c r="C34" s="343" t="str">
        <v>12L</v>
      </c>
      <c r="D34" s="343" t="str">
        <v>3L</v>
      </c>
      <c r="E34" s="341" t="str">
        <f>Currency&amp;$C34&amp;$D34&amp;$B34</f>
        <v>USD12L3L26Y</v>
      </c>
      <c r="F34" s="286" t="str">
        <v>USD12L3L26Y=ICAP</v>
      </c>
      <c r="G34" s="427" t="s">
        <v>247</v>
      </c>
      <c r="H34" s="427" t="s">
        <v>247</v>
      </c>
      <c r="I34" s="427" t="e">
        <f>_xll.qlMidEquivalent(G34,H34)</f>
        <v>#NUM!</v>
      </c>
      <c r="J34" s="281" t="b">
        <f>IF(ISNUMBER(I34),TRUE,FALSE)</f>
        <v>0</v>
      </c>
      <c r="K34" s="428">
        <v>26.400846374601372</v>
      </c>
      <c r="L34" s="283"/>
      <c r="M34" s="425">
        <v>26.400846374601372</v>
      </c>
      <c r="N34" s="283"/>
      <c r="O34" s="339" t="str">
        <f>$E34&amp;$P$2</f>
        <v>USD12L3L26Y_Quote</v>
      </c>
      <c r="P34" s="424">
        <v>26.400846374601372</v>
      </c>
      <c r="Q34" s="280" t="e">
        <f>_xll.qlSimpleQuoteSetValue($O34,$P34/10000,Trigger)</f>
        <v>#N/A</v>
      </c>
      <c r="R34" s="225"/>
    </row>
    <row r="35" spans="1:18" x14ac:dyDescent="0.2">
      <c r="A35" s="124">
        <v>27</v>
      </c>
      <c r="B35" s="287" t="s">
        <v>83</v>
      </c>
      <c r="C35" s="343" t="str">
        <v>12L</v>
      </c>
      <c r="D35" s="343" t="str">
        <v>3L</v>
      </c>
      <c r="E35" s="341" t="str">
        <f>Currency&amp;$C35&amp;$D35&amp;$B35</f>
        <v>USD12L3L27Y</v>
      </c>
      <c r="F35" s="286" t="str">
        <v>USD12L3L27Y=ICAP</v>
      </c>
      <c r="G35" s="427" t="s">
        <v>247</v>
      </c>
      <c r="H35" s="427" t="s">
        <v>247</v>
      </c>
      <c r="I35" s="427" t="e">
        <f>_xll.qlMidEquivalent(G35,H35)</f>
        <v>#NUM!</v>
      </c>
      <c r="J35" s="281" t="b">
        <f>IF(ISNUMBER(I35),TRUE,FALSE)</f>
        <v>0</v>
      </c>
      <c r="K35" s="428">
        <v>26.301128499468497</v>
      </c>
      <c r="L35" s="283"/>
      <c r="M35" s="425">
        <v>26.301128499468497</v>
      </c>
      <c r="N35" s="283"/>
      <c r="O35" s="339" t="str">
        <f>$E35&amp;$P$2</f>
        <v>USD12L3L27Y_Quote</v>
      </c>
      <c r="P35" s="424">
        <v>26.301128499468497</v>
      </c>
      <c r="Q35" s="280" t="e">
        <f>_xll.qlSimpleQuoteSetValue($O35,$P35/10000,Trigger)</f>
        <v>#N/A</v>
      </c>
      <c r="R35" s="225"/>
    </row>
    <row r="36" spans="1:18" x14ac:dyDescent="0.2">
      <c r="A36" s="124">
        <v>28</v>
      </c>
      <c r="B36" s="287" t="s">
        <v>82</v>
      </c>
      <c r="C36" s="343" t="str">
        <v>12L</v>
      </c>
      <c r="D36" s="343" t="str">
        <v>3L</v>
      </c>
      <c r="E36" s="341" t="str">
        <f>Currency&amp;$C36&amp;$D36&amp;$B36</f>
        <v>USD12L3L28Y</v>
      </c>
      <c r="F36" s="286" t="str">
        <v>USD12L3L28Y=ICAP</v>
      </c>
      <c r="G36" s="427" t="s">
        <v>247</v>
      </c>
      <c r="H36" s="427" t="s">
        <v>247</v>
      </c>
      <c r="I36" s="427" t="e">
        <f>_xll.qlMidEquivalent(G36,H36)</f>
        <v>#NUM!</v>
      </c>
      <c r="J36" s="281" t="b">
        <f>IF(ISNUMBER(I36),TRUE,FALSE)</f>
        <v>0</v>
      </c>
      <c r="K36" s="428">
        <v>26.200987437034932</v>
      </c>
      <c r="L36" s="283"/>
      <c r="M36" s="425">
        <v>26.200987437034932</v>
      </c>
      <c r="N36" s="283"/>
      <c r="O36" s="339" t="str">
        <f>$E36&amp;$P$2</f>
        <v>USD12L3L28Y_Quote</v>
      </c>
      <c r="P36" s="424">
        <v>26.200987437034932</v>
      </c>
      <c r="Q36" s="280" t="e">
        <f>_xll.qlSimpleQuoteSetValue($O36,$P36/10000,Trigger)</f>
        <v>#N/A</v>
      </c>
      <c r="R36" s="225"/>
    </row>
    <row r="37" spans="1:18" x14ac:dyDescent="0.2">
      <c r="A37" s="124">
        <v>29</v>
      </c>
      <c r="B37" s="287" t="s">
        <v>81</v>
      </c>
      <c r="C37" s="343" t="str">
        <v>12L</v>
      </c>
      <c r="D37" s="343" t="str">
        <v>3L</v>
      </c>
      <c r="E37" s="341" t="str">
        <f>Currency&amp;$C37&amp;$D37&amp;$B37</f>
        <v>USD12L3L29Y</v>
      </c>
      <c r="F37" s="286" t="str">
        <v>USD12L3L29Y=ICAP</v>
      </c>
      <c r="G37" s="427" t="s">
        <v>247</v>
      </c>
      <c r="H37" s="427" t="s">
        <v>247</v>
      </c>
      <c r="I37" s="427" t="e">
        <f>_xll.qlMidEquivalent(G37,H37)</f>
        <v>#NUM!</v>
      </c>
      <c r="J37" s="281" t="b">
        <f>IF(ISNUMBER(I37),TRUE,FALSE)</f>
        <v>0</v>
      </c>
      <c r="K37" s="428">
        <v>26.100564249734248</v>
      </c>
      <c r="L37" s="283"/>
      <c r="M37" s="425">
        <v>26.100564249734248</v>
      </c>
      <c r="N37" s="283"/>
      <c r="O37" s="339" t="str">
        <f>$E37&amp;$P$2</f>
        <v>USD12L3L29Y_Quote</v>
      </c>
      <c r="P37" s="424">
        <v>26.100564249734248</v>
      </c>
      <c r="Q37" s="280" t="e">
        <f>_xll.qlSimpleQuoteSetValue($O37,$P37/10000,Trigger)</f>
        <v>#N/A</v>
      </c>
      <c r="R37" s="225"/>
    </row>
    <row r="38" spans="1:18" x14ac:dyDescent="0.2">
      <c r="A38" s="124">
        <v>30</v>
      </c>
      <c r="B38" s="287" t="s">
        <v>80</v>
      </c>
      <c r="C38" s="343" t="str">
        <v>12L</v>
      </c>
      <c r="D38" s="343" t="str">
        <v>3L</v>
      </c>
      <c r="E38" s="341" t="str">
        <f>Currency&amp;$C38&amp;$D38&amp;$B38</f>
        <v>USD12L3L30Y</v>
      </c>
      <c r="F38" s="286" t="str">
        <v>USD12L3L30Y=ICAP</v>
      </c>
      <c r="G38" s="427">
        <v>26</v>
      </c>
      <c r="H38" s="427">
        <v>0</v>
      </c>
      <c r="I38" s="427">
        <f>_xll.qlMidEquivalent(G38,H38)</f>
        <v>26</v>
      </c>
      <c r="J38" s="281" t="b">
        <f>IF(ISNUMBER(I38),TRUE,FALSE)</f>
        <v>1</v>
      </c>
      <c r="K38" s="428">
        <v>26</v>
      </c>
      <c r="L38" s="283"/>
      <c r="M38" s="425">
        <v>26</v>
      </c>
      <c r="N38" s="283"/>
      <c r="O38" s="339" t="str">
        <f>$E38&amp;$P$2</f>
        <v>USD12L3L30Y_Quote</v>
      </c>
      <c r="P38" s="424">
        <v>26</v>
      </c>
      <c r="Q38" s="280" t="e">
        <f>_xll.qlSimpleQuoteSetValue($O38,$P38/10000,Trigger)</f>
        <v>#N/A</v>
      </c>
      <c r="R38" s="225"/>
    </row>
    <row r="39" spans="1:18" x14ac:dyDescent="0.2">
      <c r="A39" s="124">
        <v>35</v>
      </c>
      <c r="B39" s="287" t="s">
        <v>75</v>
      </c>
      <c r="C39" s="343" t="str">
        <v>12L</v>
      </c>
      <c r="D39" s="343" t="str">
        <v>3L</v>
      </c>
      <c r="E39" s="341" t="str">
        <f>Currency&amp;$C39&amp;$D39&amp;$B39</f>
        <v>USD12L3L35Y</v>
      </c>
      <c r="F39" s="286" t="str">
        <v>USD12L3L35Y=ICAP</v>
      </c>
      <c r="G39" s="427" t="s">
        <v>247</v>
      </c>
      <c r="H39" s="427" t="s">
        <v>247</v>
      </c>
      <c r="I39" s="427" t="e">
        <f>_xll.qlMidEquivalent(G39,H39)</f>
        <v>#NUM!</v>
      </c>
      <c r="J39" s="281" t="b">
        <f>IF(ISNUMBER(I39),TRUE,FALSE)</f>
        <v>0</v>
      </c>
      <c r="K39" s="426">
        <f>K38</f>
        <v>26</v>
      </c>
      <c r="L39" s="283"/>
      <c r="M39" s="425">
        <v>26</v>
      </c>
      <c r="N39" s="283"/>
      <c r="O39" s="339" t="str">
        <f>$E39&amp;$P$2</f>
        <v>USD12L3L35Y_Quote</v>
      </c>
      <c r="P39" s="424">
        <v>26</v>
      </c>
      <c r="Q39" s="280" t="e">
        <f>_xll.qlSimpleQuoteSetValue($O39,$P39/10000,Trigger)</f>
        <v>#N/A</v>
      </c>
      <c r="R39" s="225"/>
    </row>
    <row r="40" spans="1:18" x14ac:dyDescent="0.2">
      <c r="A40" s="124">
        <v>40</v>
      </c>
      <c r="B40" s="287" t="s">
        <v>70</v>
      </c>
      <c r="C40" s="343" t="str">
        <v>12L</v>
      </c>
      <c r="D40" s="343" t="str">
        <v>3L</v>
      </c>
      <c r="E40" s="341" t="str">
        <f>Currency&amp;$C40&amp;$D40&amp;$B40</f>
        <v>USD12L3L40Y</v>
      </c>
      <c r="F40" s="286" t="str">
        <v>USD12L3L40Y=ICAP</v>
      </c>
      <c r="G40" s="427" t="s">
        <v>247</v>
      </c>
      <c r="H40" s="427" t="s">
        <v>247</v>
      </c>
      <c r="I40" s="427" t="e">
        <f>_xll.qlMidEquivalent(G40,H40)</f>
        <v>#NUM!</v>
      </c>
      <c r="J40" s="281" t="b">
        <f>IF(ISNUMBER(I40),TRUE,FALSE)</f>
        <v>0</v>
      </c>
      <c r="K40" s="426">
        <f>K39</f>
        <v>26</v>
      </c>
      <c r="L40" s="283"/>
      <c r="M40" s="425">
        <v>26</v>
      </c>
      <c r="N40" s="283"/>
      <c r="O40" s="339" t="str">
        <f>$E40&amp;$P$2</f>
        <v>USD12L3L40Y_Quote</v>
      </c>
      <c r="P40" s="424">
        <v>26</v>
      </c>
      <c r="Q40" s="280" t="e">
        <f>_xll.qlSimpleQuoteSetValue($O40,$P40/10000,Trigger)</f>
        <v>#N/A</v>
      </c>
      <c r="R40" s="225"/>
    </row>
    <row r="41" spans="1:18" x14ac:dyDescent="0.2">
      <c r="A41" s="124">
        <v>50</v>
      </c>
      <c r="B41" s="287" t="s">
        <v>60</v>
      </c>
      <c r="C41" s="343" t="str">
        <v>12L</v>
      </c>
      <c r="D41" s="343" t="str">
        <v>3L</v>
      </c>
      <c r="E41" s="341" t="str">
        <f>Currency&amp;$C41&amp;$D41&amp;$B41</f>
        <v>USD12L3L50Y</v>
      </c>
      <c r="F41" s="286" t="str">
        <v>USD12L3L50Y=ICAP</v>
      </c>
      <c r="G41" s="427" t="s">
        <v>247</v>
      </c>
      <c r="H41" s="427" t="s">
        <v>247</v>
      </c>
      <c r="I41" s="427" t="e">
        <f>_xll.qlMidEquivalent(G41,H41)</f>
        <v>#NUM!</v>
      </c>
      <c r="J41" s="281" t="b">
        <f>IF(ISNUMBER(I41),TRUE,FALSE)</f>
        <v>0</v>
      </c>
      <c r="K41" s="426">
        <f>K40</f>
        <v>26</v>
      </c>
      <c r="L41" s="283"/>
      <c r="M41" s="425">
        <v>26</v>
      </c>
      <c r="N41" s="283"/>
      <c r="O41" s="339" t="str">
        <f>$E41&amp;$P$2</f>
        <v>USD12L3L50Y_Quote</v>
      </c>
      <c r="P41" s="424">
        <v>26</v>
      </c>
      <c r="Q41" s="280" t="e">
        <f>_xll.qlSimpleQuoteSetValue($O41,$P41/10000,Trigger)</f>
        <v>#N/A</v>
      </c>
      <c r="R41" s="225"/>
    </row>
    <row r="42" spans="1:18" x14ac:dyDescent="0.2">
      <c r="A42" s="124">
        <v>60</v>
      </c>
      <c r="B42" s="299" t="s">
        <v>50</v>
      </c>
      <c r="C42" s="338" t="str">
        <v>12L</v>
      </c>
      <c r="D42" s="338" t="str">
        <v>3L</v>
      </c>
      <c r="E42" s="336" t="str">
        <f>Currency&amp;$C42&amp;$D42&amp;$B42</f>
        <v>USD12L3L60Y</v>
      </c>
      <c r="F42" s="298" t="str">
        <v>USD12L3L60Y=ICAP</v>
      </c>
      <c r="G42" s="423" t="s">
        <v>247</v>
      </c>
      <c r="H42" s="423" t="s">
        <v>247</v>
      </c>
      <c r="I42" s="423" t="e">
        <f>_xll.qlMidEquivalent(G42,H42)</f>
        <v>#NUM!</v>
      </c>
      <c r="J42" s="294" t="b">
        <f>IF(ISNUMBER(I42),TRUE,FALSE)</f>
        <v>0</v>
      </c>
      <c r="K42" s="422">
        <f>K41</f>
        <v>26</v>
      </c>
      <c r="L42" s="283"/>
      <c r="M42" s="421">
        <v>26</v>
      </c>
      <c r="N42" s="283"/>
      <c r="O42" s="334" t="str">
        <f>$E42&amp;$P$2</f>
        <v>USD12L3L60Y_Quote</v>
      </c>
      <c r="P42" s="420">
        <v>26</v>
      </c>
      <c r="Q42" s="293" t="e">
        <f>_xll.qlSimpleQuoteSetValue($O42,$P42/10000,Trigger)</f>
        <v>#N/A</v>
      </c>
      <c r="R42" s="225"/>
    </row>
    <row r="43" spans="1:18" ht="12" thickBot="1" x14ac:dyDescent="0.25">
      <c r="A43" s="4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324"/>
    </row>
    <row r="47" spans="1:18" x14ac:dyDescent="0.2">
      <c r="F47" s="419"/>
    </row>
    <row r="48" spans="1:18" x14ac:dyDescent="0.2">
      <c r="F48" s="419"/>
    </row>
    <row r="49" spans="6:6" x14ac:dyDescent="0.2">
      <c r="F49" s="419"/>
    </row>
    <row r="50" spans="6:6" x14ac:dyDescent="0.2">
      <c r="F50" s="419"/>
    </row>
    <row r="51" spans="6:6" x14ac:dyDescent="0.2">
      <c r="F51" s="419"/>
    </row>
    <row r="52" spans="6:6" x14ac:dyDescent="0.2">
      <c r="F52" s="419"/>
    </row>
    <row r="53" spans="6:6" x14ac:dyDescent="0.2">
      <c r="F53" s="419"/>
    </row>
    <row r="54" spans="6:6" x14ac:dyDescent="0.2">
      <c r="F54" s="419"/>
    </row>
    <row r="55" spans="6:6" x14ac:dyDescent="0.2">
      <c r="F55" s="419"/>
    </row>
    <row r="56" spans="6:6" x14ac:dyDescent="0.2">
      <c r="F56" s="419"/>
    </row>
    <row r="57" spans="6:6" x14ac:dyDescent="0.2">
      <c r="F57" s="419"/>
    </row>
    <row r="58" spans="6:6" x14ac:dyDescent="0.2">
      <c r="F58" s="419"/>
    </row>
    <row r="59" spans="6:6" x14ac:dyDescent="0.2">
      <c r="F59" s="419"/>
    </row>
    <row r="60" spans="6:6" x14ac:dyDescent="0.2">
      <c r="F60" s="418"/>
    </row>
    <row r="61" spans="6:6" x14ac:dyDescent="0.2">
      <c r="F61" s="418"/>
    </row>
    <row r="62" spans="6:6" x14ac:dyDescent="0.2">
      <c r="F62" s="418"/>
    </row>
    <row r="63" spans="6:6" x14ac:dyDescent="0.2">
      <c r="F63" s="418"/>
    </row>
  </sheetData>
  <conditionalFormatting sqref="Q5:Q42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3:F44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T63"/>
  <sheetViews>
    <sheetView workbookViewId="0"/>
  </sheetViews>
  <sheetFormatPr defaultRowHeight="12.75" x14ac:dyDescent="0.2"/>
  <cols>
    <col min="1" max="1" width="5" style="20" customWidth="1"/>
    <col min="2" max="2" width="3.85546875" style="20" bestFit="1" customWidth="1"/>
    <col min="3" max="3" width="2.7109375" style="20" bestFit="1" customWidth="1"/>
    <col min="4" max="4" width="4" style="20" bestFit="1" customWidth="1"/>
    <col min="5" max="5" width="9.85546875" style="20" bestFit="1" customWidth="1"/>
    <col min="6" max="6" width="1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20" x14ac:dyDescent="0.2">
      <c r="A1" s="354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0" x14ac:dyDescent="0.2">
      <c r="A2" s="320"/>
      <c r="B2" s="139"/>
      <c r="C2" s="139"/>
      <c r="D2" s="139"/>
      <c r="E2" s="139"/>
      <c r="F2" s="146" t="s">
        <v>246</v>
      </c>
      <c r="G2" s="139"/>
      <c r="H2" s="139"/>
      <c r="I2" s="139"/>
      <c r="J2" s="139"/>
      <c r="K2" s="139"/>
      <c r="L2" s="283"/>
      <c r="M2" s="283"/>
      <c r="N2" s="283"/>
      <c r="O2" s="353" t="s">
        <v>267</v>
      </c>
      <c r="P2" s="146" t="s">
        <v>142</v>
      </c>
      <c r="Q2" s="139"/>
      <c r="R2" s="49"/>
    </row>
    <row r="3" spans="1:20" x14ac:dyDescent="0.2">
      <c r="A3" s="124"/>
      <c r="B3" s="283"/>
      <c r="C3" s="139"/>
      <c r="D3" s="139"/>
      <c r="E3" s="139"/>
      <c r="F3" s="139"/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_xll.ohTrigger(Q5:Q24)</f>
        <v>11</v>
      </c>
      <c r="R3" s="225"/>
    </row>
    <row r="4" spans="1:20" ht="22.5" x14ac:dyDescent="0.2">
      <c r="A4" s="124"/>
      <c r="B4" s="432"/>
      <c r="C4" s="137"/>
      <c r="D4" s="137"/>
      <c r="E4" s="137"/>
      <c r="F4" s="386" t="e">
        <f ca="1">_xll.RData(F5:F58,G4:J4,"RTFEED:IDN",ReutersRtMode,,G5)</f>
        <v>#NAME?</v>
      </c>
      <c r="G4" s="382" t="s">
        <v>235</v>
      </c>
      <c r="H4" s="382" t="s">
        <v>234</v>
      </c>
      <c r="I4" s="382" t="s">
        <v>252</v>
      </c>
      <c r="J4" s="382" t="s">
        <v>271</v>
      </c>
      <c r="K4" s="385" t="s">
        <v>292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</row>
    <row r="5" spans="1:20" x14ac:dyDescent="0.2">
      <c r="A5" s="124"/>
      <c r="B5" s="306" t="s">
        <v>43</v>
      </c>
      <c r="C5" s="348"/>
      <c r="D5" s="348" t="s">
        <v>187</v>
      </c>
      <c r="E5" s="346" t="str">
        <f>Currency&amp;$B5&amp;$C5&amp;$D5</f>
        <v>USDSWOIS</v>
      </c>
      <c r="F5" s="346" t="str">
        <f t="array" ref="F5:F58">Instruments&amp;"="&amp;VLOOKUP(Contributor,ContributorTable,2,FALSE)</f>
        <v>USDSWOIS=TTKL</v>
      </c>
      <c r="G5" s="301">
        <v>7.4999999999999997E-2</v>
      </c>
      <c r="H5" s="301">
        <v>0.105</v>
      </c>
      <c r="I5" s="301">
        <v>0</v>
      </c>
      <c r="J5" s="301">
        <v>0</v>
      </c>
      <c r="K5" s="304">
        <f>_xll.qlMidEquivalent($G5,$H5,$I5,$J5)</f>
        <v>0.09</v>
      </c>
      <c r="L5" s="283"/>
      <c r="M5" s="303">
        <v>0.09</v>
      </c>
      <c r="N5" s="283"/>
      <c r="O5" s="339" t="str">
        <f>Currency&amp;$D5&amp;$C5&amp;$B5&amp;$P$2</f>
        <v>USDOISSW_Quote</v>
      </c>
      <c r="P5" s="301">
        <f t="array" ref="P5:P58">QuoteLive</f>
        <v>0.09</v>
      </c>
      <c r="Q5" s="300" t="e">
        <f>_xll.qlSimpleQuoteSetValue($O5,$P5/100,Trigger)</f>
        <v>#N/A</v>
      </c>
      <c r="R5" s="225"/>
    </row>
    <row r="6" spans="1:20" x14ac:dyDescent="0.2">
      <c r="A6" s="124"/>
      <c r="B6" s="287" t="s">
        <v>42</v>
      </c>
      <c r="C6" s="343"/>
      <c r="D6" s="343" t="s">
        <v>187</v>
      </c>
      <c r="E6" s="341" t="str">
        <f>Currency&amp;$B6&amp;$C6&amp;$D6</f>
        <v>USD2WOIS</v>
      </c>
      <c r="F6" s="341" t="str">
        <v>USD2WOIS=TTKL</v>
      </c>
      <c r="G6" s="281">
        <v>7.0999999999999994E-2</v>
      </c>
      <c r="H6" s="281">
        <v>0.10100000000000001</v>
      </c>
      <c r="I6" s="281">
        <v>0</v>
      </c>
      <c r="J6" s="281">
        <v>0</v>
      </c>
      <c r="K6" s="285">
        <f>_xll.qlMidEquivalent($G6,$H6,$I6,$J6)</f>
        <v>8.5999999999999993E-2</v>
      </c>
      <c r="L6" s="283"/>
      <c r="M6" s="284">
        <v>8.5999999999999993E-2</v>
      </c>
      <c r="N6" s="283"/>
      <c r="O6" s="339" t="str">
        <f>Currency&amp;$D6&amp;$C6&amp;$B6&amp;$P$2</f>
        <v>USDOIS2W_Quote</v>
      </c>
      <c r="P6" s="281">
        <v>8.5999999999999993E-2</v>
      </c>
      <c r="Q6" s="280" t="e">
        <f>_xll.qlSimpleQuoteSetValue($O6,$P6/100,Trigger)</f>
        <v>#N/A</v>
      </c>
      <c r="R6" s="225"/>
    </row>
    <row r="7" spans="1:20" x14ac:dyDescent="0.2">
      <c r="A7" s="124"/>
      <c r="B7" s="287" t="s">
        <v>41</v>
      </c>
      <c r="C7" s="343"/>
      <c r="D7" s="343" t="s">
        <v>187</v>
      </c>
      <c r="E7" s="341" t="str">
        <f>Currency&amp;$B7&amp;$C7&amp;$D7</f>
        <v>USD3WOIS</v>
      </c>
      <c r="F7" s="341" t="str">
        <v>USD3WOIS=TTKL</v>
      </c>
      <c r="G7" s="281">
        <v>7.0000000000000007E-2</v>
      </c>
      <c r="H7" s="281">
        <v>0.1</v>
      </c>
      <c r="I7" s="281">
        <v>0</v>
      </c>
      <c r="J7" s="281">
        <v>0</v>
      </c>
      <c r="K7" s="285">
        <f>_xll.qlMidEquivalent($G7,$H7,$I7,$J7)</f>
        <v>8.5000000000000006E-2</v>
      </c>
      <c r="L7" s="283"/>
      <c r="M7" s="284">
        <v>8.5000000000000006E-2</v>
      </c>
      <c r="N7" s="283"/>
      <c r="O7" s="339" t="str">
        <f>Currency&amp;$D7&amp;$C7&amp;$B7&amp;$P$2</f>
        <v>USDOIS3W_Quote</v>
      </c>
      <c r="P7" s="281">
        <v>8.5000000000000006E-2</v>
      </c>
      <c r="Q7" s="280" t="e">
        <f>_xll.qlSimpleQuoteSetValue($O7,$P7/100,Trigger)</f>
        <v>#N/A</v>
      </c>
      <c r="R7" s="225"/>
    </row>
    <row r="8" spans="1:20" x14ac:dyDescent="0.2">
      <c r="A8" s="124"/>
      <c r="B8" s="287" t="s">
        <v>40</v>
      </c>
      <c r="C8" s="343"/>
      <c r="D8" s="343" t="s">
        <v>187</v>
      </c>
      <c r="E8" s="341" t="str">
        <f>Currency&amp;$B8&amp;$C8&amp;$D8</f>
        <v>USD1MOIS</v>
      </c>
      <c r="F8" s="341" t="str">
        <v>USD1MOIS=TTKL</v>
      </c>
      <c r="G8" s="281">
        <v>6.9000000000000006E-2</v>
      </c>
      <c r="H8" s="281">
        <v>9.9000000000000005E-2</v>
      </c>
      <c r="I8" s="281">
        <v>0</v>
      </c>
      <c r="J8" s="281">
        <v>0</v>
      </c>
      <c r="K8" s="285">
        <f>_xll.qlMidEquivalent($G8,$H8,$I8,$J8)</f>
        <v>8.4000000000000005E-2</v>
      </c>
      <c r="L8" s="283"/>
      <c r="M8" s="284">
        <v>8.4000000000000005E-2</v>
      </c>
      <c r="N8" s="283"/>
      <c r="O8" s="339" t="str">
        <f>Currency&amp;$D8&amp;$C8&amp;$B8&amp;$P$2</f>
        <v>USDOIS1M_Quote</v>
      </c>
      <c r="P8" s="281">
        <v>8.4000000000000005E-2</v>
      </c>
      <c r="Q8" s="280" t="e">
        <f>_xll.qlSimpleQuoteSetValue($O8,$P8/100,Trigger)</f>
        <v>#N/A</v>
      </c>
      <c r="R8" s="225"/>
    </row>
    <row r="9" spans="1:20" x14ac:dyDescent="0.2">
      <c r="A9" s="124"/>
      <c r="B9" s="287" t="s">
        <v>39</v>
      </c>
      <c r="C9" s="343"/>
      <c r="D9" s="343" t="s">
        <v>187</v>
      </c>
      <c r="E9" s="341" t="str">
        <f>Currency&amp;$B9&amp;$C9&amp;$D9</f>
        <v>USD2MOIS</v>
      </c>
      <c r="F9" s="341" t="str">
        <v>USD2MOIS=TTKL</v>
      </c>
      <c r="G9" s="281">
        <v>6.9000000000000006E-2</v>
      </c>
      <c r="H9" s="281">
        <v>9.9000000000000005E-2</v>
      </c>
      <c r="I9" s="281">
        <v>0</v>
      </c>
      <c r="J9" s="281">
        <v>0</v>
      </c>
      <c r="K9" s="285">
        <f>_xll.qlMidEquivalent($G9,$H9,$I9,$J9)</f>
        <v>8.4000000000000005E-2</v>
      </c>
      <c r="L9" s="283"/>
      <c r="M9" s="284">
        <v>8.4000000000000005E-2</v>
      </c>
      <c r="N9" s="283"/>
      <c r="O9" s="339" t="str">
        <f>Currency&amp;$D9&amp;$C9&amp;$B9&amp;$P$2</f>
        <v>USDOIS2M_Quote</v>
      </c>
      <c r="P9" s="281">
        <v>8.4000000000000005E-2</v>
      </c>
      <c r="Q9" s="280" t="e">
        <f>_xll.qlSimpleQuoteSetValue($O9,$P9/100,Trigger)</f>
        <v>#N/A</v>
      </c>
      <c r="R9" s="225"/>
    </row>
    <row r="10" spans="1:20" x14ac:dyDescent="0.2">
      <c r="A10" s="124"/>
      <c r="B10" s="287" t="s">
        <v>38</v>
      </c>
      <c r="C10" s="343"/>
      <c r="D10" s="343" t="s">
        <v>187</v>
      </c>
      <c r="E10" s="341" t="str">
        <f>Currency&amp;$B10&amp;$C10&amp;$D10</f>
        <v>USD3MOIS</v>
      </c>
      <c r="F10" s="341" t="str">
        <v>USD3MOIS=TTKL</v>
      </c>
      <c r="G10" s="281">
        <v>6.9000000000000006E-2</v>
      </c>
      <c r="H10" s="281">
        <v>9.9000000000000005E-2</v>
      </c>
      <c r="I10" s="281">
        <v>0</v>
      </c>
      <c r="J10" s="281">
        <v>0</v>
      </c>
      <c r="K10" s="285">
        <f>_xll.qlMidEquivalent($G10,$H10,$I10,$J10)</f>
        <v>8.4000000000000005E-2</v>
      </c>
      <c r="L10" s="283"/>
      <c r="M10" s="284">
        <v>8.4000000000000005E-2</v>
      </c>
      <c r="N10" s="283"/>
      <c r="O10" s="339" t="str">
        <f>Currency&amp;$D10&amp;$C10&amp;$B10&amp;$P$2</f>
        <v>USDOIS3M_Quote</v>
      </c>
      <c r="P10" s="281">
        <v>8.4000000000000005E-2</v>
      </c>
      <c r="Q10" s="280" t="e">
        <f>_xll.qlSimpleQuoteSetValue($O10,$P10/100,Trigger)</f>
        <v>#N/A</v>
      </c>
      <c r="R10" s="225"/>
    </row>
    <row r="11" spans="1:20" x14ac:dyDescent="0.2">
      <c r="A11" s="124"/>
      <c r="B11" s="287" t="s">
        <v>37</v>
      </c>
      <c r="C11" s="343"/>
      <c r="D11" s="343" t="s">
        <v>187</v>
      </c>
      <c r="E11" s="341" t="str">
        <f>Currency&amp;$B11&amp;$C11&amp;$D11</f>
        <v>USD4MOIS</v>
      </c>
      <c r="F11" s="341" t="str">
        <v>USD4MOIS=TTKL</v>
      </c>
      <c r="G11" s="281">
        <v>7.2999999999999995E-2</v>
      </c>
      <c r="H11" s="281">
        <v>0.10299999999999999</v>
      </c>
      <c r="I11" s="281">
        <v>0</v>
      </c>
      <c r="J11" s="281">
        <v>0</v>
      </c>
      <c r="K11" s="285">
        <f>_xll.qlMidEquivalent($G11,$H11,$I11,$J11)</f>
        <v>8.7999999999999995E-2</v>
      </c>
      <c r="L11" s="283"/>
      <c r="M11" s="284">
        <v>8.7999999999999995E-2</v>
      </c>
      <c r="N11" s="283"/>
      <c r="O11" s="339" t="str">
        <f>Currency&amp;$D11&amp;$C11&amp;$B11&amp;$P$2</f>
        <v>USDOIS4M_Quote</v>
      </c>
      <c r="P11" s="281">
        <v>8.7999999999999995E-2</v>
      </c>
      <c r="Q11" s="280" t="e">
        <f>_xll.qlSimpleQuoteSetValue($O11,$P11/100,Trigger)</f>
        <v>#N/A</v>
      </c>
      <c r="R11" s="225"/>
      <c r="T11" s="431"/>
    </row>
    <row r="12" spans="1:20" x14ac:dyDescent="0.2">
      <c r="A12" s="124"/>
      <c r="B12" s="287" t="s">
        <v>36</v>
      </c>
      <c r="C12" s="343"/>
      <c r="D12" s="343" t="s">
        <v>187</v>
      </c>
      <c r="E12" s="341" t="str">
        <f>Currency&amp;$B12&amp;$C12&amp;$D12</f>
        <v>USD5MOIS</v>
      </c>
      <c r="F12" s="341" t="str">
        <v>USD5MOIS=TTKL</v>
      </c>
      <c r="G12" s="281">
        <v>7.4999999999999997E-2</v>
      </c>
      <c r="H12" s="281">
        <v>0.105</v>
      </c>
      <c r="I12" s="281">
        <v>0</v>
      </c>
      <c r="J12" s="281">
        <v>0</v>
      </c>
      <c r="K12" s="285">
        <f>_xll.qlMidEquivalent($G12,$H12,$I12,$J12)</f>
        <v>0.09</v>
      </c>
      <c r="L12" s="283"/>
      <c r="M12" s="284">
        <v>0.09</v>
      </c>
      <c r="N12" s="283"/>
      <c r="O12" s="339" t="str">
        <f>Currency&amp;$D12&amp;$C12&amp;$B12&amp;$P$2</f>
        <v>USDOIS5M_Quote</v>
      </c>
      <c r="P12" s="281">
        <v>0.09</v>
      </c>
      <c r="Q12" s="280" t="e">
        <f>_xll.qlSimpleQuoteSetValue($O12,$P12/100,Trigger)</f>
        <v>#N/A</v>
      </c>
      <c r="R12" s="225"/>
    </row>
    <row r="13" spans="1:20" x14ac:dyDescent="0.2">
      <c r="A13" s="124"/>
      <c r="B13" s="287" t="s">
        <v>35</v>
      </c>
      <c r="C13" s="343"/>
      <c r="D13" s="343" t="s">
        <v>187</v>
      </c>
      <c r="E13" s="341" t="str">
        <f>Currency&amp;$B13&amp;$C13&amp;$D13</f>
        <v>USD6MOIS</v>
      </c>
      <c r="F13" s="341" t="str">
        <v>USD6MOIS=TTKL</v>
      </c>
      <c r="G13" s="281">
        <v>7.8E-2</v>
      </c>
      <c r="H13" s="281">
        <v>0.108</v>
      </c>
      <c r="I13" s="281">
        <v>0</v>
      </c>
      <c r="J13" s="281">
        <v>0</v>
      </c>
      <c r="K13" s="285">
        <f>_xll.qlMidEquivalent($G13,$H13,$I13,$J13)</f>
        <v>9.2999999999999999E-2</v>
      </c>
      <c r="L13" s="283"/>
      <c r="M13" s="284">
        <v>9.2999999999999999E-2</v>
      </c>
      <c r="N13" s="283"/>
      <c r="O13" s="339" t="str">
        <f>Currency&amp;$D13&amp;$C13&amp;$B13&amp;$P$2</f>
        <v>USDOIS6M_Quote</v>
      </c>
      <c r="P13" s="281">
        <v>9.2999999999999999E-2</v>
      </c>
      <c r="Q13" s="280" t="e">
        <f>_xll.qlSimpleQuoteSetValue($O13,$P13/100,Trigger)</f>
        <v>#N/A</v>
      </c>
      <c r="R13" s="225"/>
    </row>
    <row r="14" spans="1:20" x14ac:dyDescent="0.2">
      <c r="A14" s="124"/>
      <c r="B14" s="287" t="s">
        <v>34</v>
      </c>
      <c r="C14" s="343"/>
      <c r="D14" s="343" t="s">
        <v>187</v>
      </c>
      <c r="E14" s="341" t="str">
        <f>Currency&amp;$B14&amp;$C14&amp;$D14</f>
        <v>USD7MOIS</v>
      </c>
      <c r="F14" s="341" t="str">
        <v>USD7MOIS=TTKL</v>
      </c>
      <c r="G14" s="281">
        <v>8.2000000000000003E-2</v>
      </c>
      <c r="H14" s="281">
        <v>0.112</v>
      </c>
      <c r="I14" s="281">
        <v>0</v>
      </c>
      <c r="J14" s="281">
        <v>0</v>
      </c>
      <c r="K14" s="285">
        <f>_xll.qlMidEquivalent($G14,$H14,$I14,$J14)</f>
        <v>9.7000000000000003E-2</v>
      </c>
      <c r="L14" s="283"/>
      <c r="M14" s="284">
        <v>9.6000000000000002E-2</v>
      </c>
      <c r="N14" s="283"/>
      <c r="O14" s="339" t="str">
        <f>Currency&amp;$D14&amp;$C14&amp;$B14&amp;$P$2</f>
        <v>USDOIS7M_Quote</v>
      </c>
      <c r="P14" s="281">
        <v>9.7000000000000003E-2</v>
      </c>
      <c r="Q14" s="280" t="e">
        <f>_xll.qlSimpleQuoteSetValue($O14,$P14/100,Trigger)</f>
        <v>#N/A</v>
      </c>
      <c r="R14" s="225"/>
    </row>
    <row r="15" spans="1:20" x14ac:dyDescent="0.2">
      <c r="A15" s="124"/>
      <c r="B15" s="287" t="s">
        <v>33</v>
      </c>
      <c r="C15" s="343"/>
      <c r="D15" s="343" t="s">
        <v>187</v>
      </c>
      <c r="E15" s="341" t="str">
        <f>Currency&amp;$B15&amp;$C15&amp;$D15</f>
        <v>USD8MOIS</v>
      </c>
      <c r="F15" s="341" t="str">
        <v>USD8MOIS=TTKL</v>
      </c>
      <c r="G15" s="281">
        <v>8.5000000000000006E-2</v>
      </c>
      <c r="H15" s="281">
        <v>0.115</v>
      </c>
      <c r="I15" s="281">
        <v>0</v>
      </c>
      <c r="J15" s="281">
        <v>0</v>
      </c>
      <c r="K15" s="285">
        <f>_xll.qlMidEquivalent($G15,$H15,$I15,$J15)</f>
        <v>0.1</v>
      </c>
      <c r="L15" s="283"/>
      <c r="M15" s="284">
        <v>0.1</v>
      </c>
      <c r="N15" s="283"/>
      <c r="O15" s="339" t="str">
        <f>Currency&amp;$D15&amp;$C15&amp;$B15&amp;$P$2</f>
        <v>USDOIS8M_Quote</v>
      </c>
      <c r="P15" s="281">
        <v>0.1</v>
      </c>
      <c r="Q15" s="280" t="e">
        <f>_xll.qlSimpleQuoteSetValue($O15,$P15/100,Trigger)</f>
        <v>#N/A</v>
      </c>
      <c r="R15" s="225"/>
    </row>
    <row r="16" spans="1:20" x14ac:dyDescent="0.2">
      <c r="A16" s="124"/>
      <c r="B16" s="287" t="s">
        <v>32</v>
      </c>
      <c r="C16" s="343"/>
      <c r="D16" s="343" t="s">
        <v>187</v>
      </c>
      <c r="E16" s="341" t="str">
        <f>Currency&amp;$B16&amp;$C16&amp;$D16</f>
        <v>USD9MOIS</v>
      </c>
      <c r="F16" s="341" t="str">
        <v>USD9MOIS=TTKL</v>
      </c>
      <c r="G16" s="281">
        <v>0.09</v>
      </c>
      <c r="H16" s="281">
        <v>0.12</v>
      </c>
      <c r="I16" s="281">
        <v>0</v>
      </c>
      <c r="J16" s="281">
        <v>0</v>
      </c>
      <c r="K16" s="285">
        <f>_xll.qlMidEquivalent($G16,$H16,$I16,$J16)</f>
        <v>0.105</v>
      </c>
      <c r="L16" s="283"/>
      <c r="M16" s="284">
        <v>0.104</v>
      </c>
      <c r="N16" s="283"/>
      <c r="O16" s="339" t="str">
        <f>Currency&amp;$D16&amp;$C16&amp;$B16&amp;$P$2</f>
        <v>USDOIS9M_Quote</v>
      </c>
      <c r="P16" s="281">
        <v>0.105</v>
      </c>
      <c r="Q16" s="280" t="e">
        <f>_xll.qlSimpleQuoteSetValue($O16,$P16/100,Trigger)</f>
        <v>#N/A</v>
      </c>
      <c r="R16" s="225"/>
    </row>
    <row r="17" spans="1:18" x14ac:dyDescent="0.2">
      <c r="A17" s="124"/>
      <c r="B17" s="287" t="s">
        <v>31</v>
      </c>
      <c r="C17" s="343"/>
      <c r="D17" s="343" t="s">
        <v>187</v>
      </c>
      <c r="E17" s="341" t="str">
        <f>Currency&amp;$B17&amp;$C17&amp;$D17</f>
        <v>USD10MOIS</v>
      </c>
      <c r="F17" s="341" t="str">
        <v>USD10MOIS=TTKL</v>
      </c>
      <c r="G17" s="281">
        <v>9.4E-2</v>
      </c>
      <c r="H17" s="281">
        <v>0.124</v>
      </c>
      <c r="I17" s="281">
        <v>0</v>
      </c>
      <c r="J17" s="281">
        <v>0</v>
      </c>
      <c r="K17" s="285">
        <f>_xll.qlMidEquivalent($G17,$H17,$I17,$J17)</f>
        <v>0.109</v>
      </c>
      <c r="L17" s="283"/>
      <c r="M17" s="284">
        <v>0.109</v>
      </c>
      <c r="N17" s="283"/>
      <c r="O17" s="339" t="str">
        <f>Currency&amp;$D17&amp;$C17&amp;$B17&amp;$P$2</f>
        <v>USDOIS10M_Quote</v>
      </c>
      <c r="P17" s="281">
        <v>0.109</v>
      </c>
      <c r="Q17" s="280" t="e">
        <f>_xll.qlSimpleQuoteSetValue($O17,$P17/100,Trigger)</f>
        <v>#N/A</v>
      </c>
      <c r="R17" s="225"/>
    </row>
    <row r="18" spans="1:18" x14ac:dyDescent="0.2">
      <c r="A18" s="124"/>
      <c r="B18" s="287" t="s">
        <v>30</v>
      </c>
      <c r="C18" s="343"/>
      <c r="D18" s="343" t="s">
        <v>187</v>
      </c>
      <c r="E18" s="341" t="str">
        <f>Currency&amp;$B18&amp;$C18&amp;$D18</f>
        <v>USD11MOIS</v>
      </c>
      <c r="F18" s="341" t="str">
        <v>USD11MOIS=TTKL</v>
      </c>
      <c r="G18" s="281">
        <v>9.9000000000000005E-2</v>
      </c>
      <c r="H18" s="281">
        <v>0.129</v>
      </c>
      <c r="I18" s="281">
        <v>0</v>
      </c>
      <c r="J18" s="281">
        <v>0</v>
      </c>
      <c r="K18" s="285">
        <f>_xll.qlMidEquivalent($G18,$H18,$I18,$J18)</f>
        <v>0.114</v>
      </c>
      <c r="L18" s="283"/>
      <c r="M18" s="284">
        <v>0.113</v>
      </c>
      <c r="N18" s="283"/>
      <c r="O18" s="339" t="str">
        <f>Currency&amp;$D18&amp;$C18&amp;$B18&amp;$P$2</f>
        <v>USDOIS11M_Quote</v>
      </c>
      <c r="P18" s="281">
        <v>0.114</v>
      </c>
      <c r="Q18" s="280" t="e">
        <f>_xll.qlSimpleQuoteSetValue($O18,$P18/100,Trigger)</f>
        <v>#N/A</v>
      </c>
      <c r="R18" s="225"/>
    </row>
    <row r="19" spans="1:18" x14ac:dyDescent="0.2">
      <c r="A19" s="124"/>
      <c r="B19" s="287" t="s">
        <v>29</v>
      </c>
      <c r="C19" s="343"/>
      <c r="D19" s="343" t="s">
        <v>187</v>
      </c>
      <c r="E19" s="341" t="str">
        <f>Currency&amp;$B19&amp;$C19&amp;$D19</f>
        <v>USD1YOIS</v>
      </c>
      <c r="F19" s="341" t="str">
        <v>USD1YOIS=TTKL</v>
      </c>
      <c r="G19" s="281">
        <v>0.104</v>
      </c>
      <c r="H19" s="281">
        <v>0.13400000000000001</v>
      </c>
      <c r="I19" s="281">
        <v>0</v>
      </c>
      <c r="J19" s="281">
        <v>0</v>
      </c>
      <c r="K19" s="285">
        <f>_xll.qlMidEquivalent($G19,$H19,$I19,$J19)</f>
        <v>0.11899999999999999</v>
      </c>
      <c r="L19" s="283"/>
      <c r="M19" s="284">
        <v>0.11899999999999999</v>
      </c>
      <c r="N19" s="283"/>
      <c r="O19" s="339" t="str">
        <f>Currency&amp;$D19&amp;$C19&amp;$B19&amp;$P$2</f>
        <v>USDOIS1Y_Quote</v>
      </c>
      <c r="P19" s="281">
        <v>0.11899999999999999</v>
      </c>
      <c r="Q19" s="280" t="e">
        <f>_xll.qlSimpleQuoteSetValue($O19,$P19/100,Trigger)</f>
        <v>#N/A</v>
      </c>
      <c r="R19" s="225"/>
    </row>
    <row r="20" spans="1:18" x14ac:dyDescent="0.2">
      <c r="A20" s="124"/>
      <c r="B20" s="287" t="s">
        <v>205</v>
      </c>
      <c r="C20" s="343"/>
      <c r="D20" s="343" t="s">
        <v>187</v>
      </c>
      <c r="E20" s="341" t="str">
        <f>Currency&amp;$B20&amp;$C20&amp;$D20</f>
        <v>USD13MOIS</v>
      </c>
      <c r="F20" s="341" t="str">
        <v>USD13MOIS=TTKL</v>
      </c>
      <c r="G20" s="281">
        <v>0.109</v>
      </c>
      <c r="H20" s="281">
        <v>0.13900000000000001</v>
      </c>
      <c r="I20" s="281">
        <v>0</v>
      </c>
      <c r="J20" s="281">
        <v>0</v>
      </c>
      <c r="K20" s="285">
        <f>_xll.qlMidEquivalent($G20,$H20,$I20,$J20)</f>
        <v>0.124</v>
      </c>
      <c r="L20" s="283"/>
      <c r="M20" s="284">
        <v>0.124</v>
      </c>
      <c r="N20" s="283"/>
      <c r="O20" s="339" t="str">
        <f>Currency&amp;$D20&amp;$C20&amp;$B20&amp;$P$2</f>
        <v>USDOIS13M_Quote</v>
      </c>
      <c r="P20" s="281">
        <v>0.124</v>
      </c>
      <c r="Q20" s="280" t="e">
        <f>_xll.qlSimpleQuoteSetValue($O20,$P20/100,Trigger)</f>
        <v>#N/A</v>
      </c>
      <c r="R20" s="225"/>
    </row>
    <row r="21" spans="1:18" x14ac:dyDescent="0.2">
      <c r="A21" s="124"/>
      <c r="B21" s="287" t="s">
        <v>204</v>
      </c>
      <c r="C21" s="343"/>
      <c r="D21" s="343" t="s">
        <v>187</v>
      </c>
      <c r="E21" s="341" t="str">
        <f>Currency&amp;$B21&amp;$C21&amp;$D21</f>
        <v>USD14MOIS</v>
      </c>
      <c r="F21" s="341" t="str">
        <v>USD14MOIS=TTKL</v>
      </c>
      <c r="G21" s="281">
        <v>0.114</v>
      </c>
      <c r="H21" s="281">
        <v>0.14399999999999999</v>
      </c>
      <c r="I21" s="281">
        <v>0</v>
      </c>
      <c r="J21" s="281">
        <v>0</v>
      </c>
      <c r="K21" s="285">
        <f>_xll.qlMidEquivalent($G21,$H21,$I21,$J21)</f>
        <v>0.129</v>
      </c>
      <c r="L21" s="283"/>
      <c r="M21" s="284">
        <v>0.129</v>
      </c>
      <c r="N21" s="283"/>
      <c r="O21" s="339" t="str">
        <f>Currency&amp;$D21&amp;$C21&amp;$B21&amp;$P$2</f>
        <v>USDOIS14M_Quote</v>
      </c>
      <c r="P21" s="281">
        <v>0.129</v>
      </c>
      <c r="Q21" s="280" t="e">
        <f>_xll.qlSimpleQuoteSetValue($O21,$P21/100,Trigger)</f>
        <v>#N/A</v>
      </c>
      <c r="R21" s="225"/>
    </row>
    <row r="22" spans="1:18" x14ac:dyDescent="0.2">
      <c r="A22" s="124"/>
      <c r="B22" s="287" t="s">
        <v>135</v>
      </c>
      <c r="C22" s="343"/>
      <c r="D22" s="343" t="s">
        <v>187</v>
      </c>
      <c r="E22" s="341" t="str">
        <f>Currency&amp;$B22&amp;$C22&amp;$D22</f>
        <v>USD15MOIS</v>
      </c>
      <c r="F22" s="341" t="str">
        <v>USD15MOIS=TTKL</v>
      </c>
      <c r="G22" s="281">
        <v>0.121</v>
      </c>
      <c r="H22" s="281">
        <v>0.151</v>
      </c>
      <c r="I22" s="281">
        <v>0</v>
      </c>
      <c r="J22" s="281">
        <v>0</v>
      </c>
      <c r="K22" s="285">
        <f>_xll.qlMidEquivalent($G22,$H22,$I22,$J22)</f>
        <v>0.13600000000000001</v>
      </c>
      <c r="L22" s="283"/>
      <c r="M22" s="284">
        <v>0.13600000000000001</v>
      </c>
      <c r="N22" s="283"/>
      <c r="O22" s="339" t="str">
        <f>Currency&amp;$D22&amp;$C22&amp;$B22&amp;$P$2</f>
        <v>USDOIS15M_Quote</v>
      </c>
      <c r="P22" s="281">
        <v>0.13600000000000001</v>
      </c>
      <c r="Q22" s="280" t="e">
        <f>_xll.qlSimpleQuoteSetValue($O22,$P22/100,Trigger)</f>
        <v>#N/A</v>
      </c>
      <c r="R22" s="225"/>
    </row>
    <row r="23" spans="1:18" x14ac:dyDescent="0.2">
      <c r="A23" s="124"/>
      <c r="B23" s="287" t="s">
        <v>203</v>
      </c>
      <c r="C23" s="343"/>
      <c r="D23" s="343" t="s">
        <v>187</v>
      </c>
      <c r="E23" s="341" t="str">
        <f>Currency&amp;$B23&amp;$C23&amp;$D23</f>
        <v>USD16MOIS</v>
      </c>
      <c r="F23" s="341" t="str">
        <v>USD16MOIS=TTKL</v>
      </c>
      <c r="G23" s="281">
        <v>0.128</v>
      </c>
      <c r="H23" s="281">
        <v>0.158</v>
      </c>
      <c r="I23" s="281">
        <v>0</v>
      </c>
      <c r="J23" s="281">
        <v>0</v>
      </c>
      <c r="K23" s="285">
        <f>_xll.qlMidEquivalent($G23,$H23,$I23,$J23)</f>
        <v>0.14300000000000002</v>
      </c>
      <c r="L23" s="283"/>
      <c r="M23" s="284">
        <v>0.14200000000000002</v>
      </c>
      <c r="N23" s="283"/>
      <c r="O23" s="339" t="str">
        <f>Currency&amp;$D23&amp;$C23&amp;$B23&amp;$P$2</f>
        <v>USDOIS16M_Quote</v>
      </c>
      <c r="P23" s="281">
        <v>0.14300000000000002</v>
      </c>
      <c r="Q23" s="280" t="e">
        <f>_xll.qlSimpleQuoteSetValue($O23,$P23/100,Trigger)</f>
        <v>#N/A</v>
      </c>
      <c r="R23" s="225"/>
    </row>
    <row r="24" spans="1:18" x14ac:dyDescent="0.2">
      <c r="A24" s="124"/>
      <c r="B24" s="287" t="s">
        <v>202</v>
      </c>
      <c r="C24" s="343"/>
      <c r="D24" s="343" t="s">
        <v>187</v>
      </c>
      <c r="E24" s="341" t="str">
        <f>Currency&amp;$B24&amp;$C24&amp;$D24</f>
        <v>USD17MOIS</v>
      </c>
      <c r="F24" s="341" t="str">
        <v>USD17MOIS=TTKL</v>
      </c>
      <c r="G24" s="281">
        <v>0.13500000000000001</v>
      </c>
      <c r="H24" s="281">
        <v>0.16500000000000001</v>
      </c>
      <c r="I24" s="281">
        <v>0</v>
      </c>
      <c r="J24" s="281">
        <v>0</v>
      </c>
      <c r="K24" s="285">
        <f>_xll.qlMidEquivalent($G24,$H24,$I24,$J24)</f>
        <v>0.15000000000000002</v>
      </c>
      <c r="L24" s="283"/>
      <c r="M24" s="284">
        <v>0.14900000000000002</v>
      </c>
      <c r="N24" s="283"/>
      <c r="O24" s="339" t="str">
        <f>Currency&amp;$D24&amp;$C24&amp;$B24&amp;$P$2</f>
        <v>USDOIS17M_Quote</v>
      </c>
      <c r="P24" s="281">
        <v>0.15000000000000002</v>
      </c>
      <c r="Q24" s="280" t="e">
        <f>_xll.qlSimpleQuoteSetValue($O24,$P24/100,Trigger)</f>
        <v>#N/A</v>
      </c>
      <c r="R24" s="225"/>
    </row>
    <row r="25" spans="1:18" x14ac:dyDescent="0.2">
      <c r="A25" s="124"/>
      <c r="B25" s="287" t="s">
        <v>134</v>
      </c>
      <c r="C25" s="343"/>
      <c r="D25" s="343" t="s">
        <v>187</v>
      </c>
      <c r="E25" s="341" t="str">
        <f>Currency&amp;$B25&amp;$C25&amp;$D25</f>
        <v>USD18MOIS</v>
      </c>
      <c r="F25" s="341" t="str">
        <v>USD18MOIS=TTKL</v>
      </c>
      <c r="G25" s="281">
        <v>0.14299999999999999</v>
      </c>
      <c r="H25" s="281">
        <v>0.17299999999999999</v>
      </c>
      <c r="I25" s="281">
        <v>0</v>
      </c>
      <c r="J25" s="281">
        <v>0</v>
      </c>
      <c r="K25" s="285">
        <f>_xll.qlMidEquivalent($G25,$H25,$I25,$J25)</f>
        <v>0.15799999999999997</v>
      </c>
      <c r="L25" s="283"/>
      <c r="M25" s="284">
        <v>0.15799999999999997</v>
      </c>
      <c r="N25" s="283"/>
      <c r="O25" s="339" t="str">
        <f>Currency&amp;$D25&amp;$C25&amp;$B25&amp;$P$2</f>
        <v>USDOIS18M_Quote</v>
      </c>
      <c r="P25" s="281">
        <v>0.15799999999999997</v>
      </c>
      <c r="Q25" s="280" t="e">
        <f>_xll.qlSimpleQuoteSetValue($O25,$P25/100,Trigger)</f>
        <v>#N/A</v>
      </c>
      <c r="R25" s="225"/>
    </row>
    <row r="26" spans="1:18" x14ac:dyDescent="0.2">
      <c r="A26" s="124"/>
      <c r="B26" s="287" t="s">
        <v>201</v>
      </c>
      <c r="C26" s="343"/>
      <c r="D26" s="343" t="s">
        <v>187</v>
      </c>
      <c r="E26" s="341" t="str">
        <f>Currency&amp;$B26&amp;$C26&amp;$D26</f>
        <v>USD19MOIS</v>
      </c>
      <c r="F26" s="341" t="str">
        <v>USD19MOIS=TTKL</v>
      </c>
      <c r="G26" s="281">
        <v>0.152</v>
      </c>
      <c r="H26" s="281">
        <v>0.182</v>
      </c>
      <c r="I26" s="281">
        <v>0</v>
      </c>
      <c r="J26" s="281">
        <v>0</v>
      </c>
      <c r="K26" s="285">
        <f>_xll.qlMidEquivalent($G26,$H26,$I26,$J26)</f>
        <v>0.16699999999999998</v>
      </c>
      <c r="L26" s="283"/>
      <c r="M26" s="284">
        <v>0.16699999999999998</v>
      </c>
      <c r="N26" s="283"/>
      <c r="O26" s="339" t="str">
        <f>Currency&amp;$D26&amp;$C26&amp;$B26&amp;$P$2</f>
        <v>USDOIS19M_Quote</v>
      </c>
      <c r="P26" s="281">
        <v>0.16699999999999998</v>
      </c>
      <c r="Q26" s="280" t="e">
        <f>_xll.qlSimpleQuoteSetValue($O26,$P26/100,Trigger)</f>
        <v>#N/A</v>
      </c>
      <c r="R26" s="225"/>
    </row>
    <row r="27" spans="1:18" x14ac:dyDescent="0.2">
      <c r="A27" s="124"/>
      <c r="B27" s="287" t="s">
        <v>200</v>
      </c>
      <c r="C27" s="343"/>
      <c r="D27" s="343" t="s">
        <v>187</v>
      </c>
      <c r="E27" s="341" t="str">
        <f>Currency&amp;$B27&amp;$C27&amp;$D27</f>
        <v>USD20MOIS</v>
      </c>
      <c r="F27" s="341" t="str">
        <v>USD20MOIS=TTKL</v>
      </c>
      <c r="G27" s="281">
        <v>0.16200000000000001</v>
      </c>
      <c r="H27" s="281">
        <v>0.192</v>
      </c>
      <c r="I27" s="281">
        <v>0</v>
      </c>
      <c r="J27" s="281">
        <v>0</v>
      </c>
      <c r="K27" s="285">
        <f>_xll.qlMidEquivalent($G27,$H27,$I27,$J27)</f>
        <v>0.17699999999999999</v>
      </c>
      <c r="L27" s="283"/>
      <c r="M27" s="284">
        <v>0.17599999999999999</v>
      </c>
      <c r="N27" s="283"/>
      <c r="O27" s="339" t="str">
        <f>Currency&amp;$D27&amp;$C27&amp;$B27&amp;$P$2</f>
        <v>USDOIS20M_Quote</v>
      </c>
      <c r="P27" s="281">
        <v>0.17699999999999999</v>
      </c>
      <c r="Q27" s="280" t="e">
        <f>_xll.qlSimpleQuoteSetValue($O27,$P27/100,Trigger)</f>
        <v>#N/A</v>
      </c>
      <c r="R27" s="225"/>
    </row>
    <row r="28" spans="1:18" x14ac:dyDescent="0.2">
      <c r="A28" s="124"/>
      <c r="B28" s="287" t="s">
        <v>133</v>
      </c>
      <c r="C28" s="343"/>
      <c r="D28" s="343" t="s">
        <v>187</v>
      </c>
      <c r="E28" s="341" t="str">
        <f>Currency&amp;$B28&amp;$C28&amp;$D28</f>
        <v>USD21MOIS</v>
      </c>
      <c r="F28" s="341" t="str">
        <v>USD21MOIS=TTKL</v>
      </c>
      <c r="G28" s="281">
        <v>0.17199999999999999</v>
      </c>
      <c r="H28" s="281">
        <v>0.20200000000000001</v>
      </c>
      <c r="I28" s="281">
        <v>0</v>
      </c>
      <c r="J28" s="281">
        <v>0</v>
      </c>
      <c r="K28" s="285">
        <f>_xll.qlMidEquivalent($G28,$H28,$I28,$J28)</f>
        <v>0.187</v>
      </c>
      <c r="L28" s="283"/>
      <c r="M28" s="284">
        <v>0.187</v>
      </c>
      <c r="N28" s="283"/>
      <c r="O28" s="339" t="str">
        <f>Currency&amp;$D28&amp;$C28&amp;$B28&amp;$P$2</f>
        <v>USDOIS21M_Quote</v>
      </c>
      <c r="P28" s="281">
        <v>0.187</v>
      </c>
      <c r="Q28" s="280" t="e">
        <f>_xll.qlSimpleQuoteSetValue($O28,$P28/100,Trigger)</f>
        <v>#N/A</v>
      </c>
      <c r="R28" s="225"/>
    </row>
    <row r="29" spans="1:18" x14ac:dyDescent="0.2">
      <c r="A29" s="124"/>
      <c r="B29" s="287" t="s">
        <v>199</v>
      </c>
      <c r="C29" s="343"/>
      <c r="D29" s="343" t="s">
        <v>187</v>
      </c>
      <c r="E29" s="341" t="str">
        <f>Currency&amp;$B29&amp;$C29&amp;$D29</f>
        <v>USD22MOIS</v>
      </c>
      <c r="F29" s="341" t="str">
        <v>USD22MOIS=TTKL</v>
      </c>
      <c r="G29" s="281">
        <v>0.183</v>
      </c>
      <c r="H29" s="281">
        <v>0.21299999999999999</v>
      </c>
      <c r="I29" s="281">
        <v>0</v>
      </c>
      <c r="J29" s="281">
        <v>0</v>
      </c>
      <c r="K29" s="285">
        <f>_xll.qlMidEquivalent($G29,$H29,$I29,$J29)</f>
        <v>0.19800000000000001</v>
      </c>
      <c r="L29" s="283"/>
      <c r="M29" s="284">
        <v>0.19700000000000001</v>
      </c>
      <c r="N29" s="283"/>
      <c r="O29" s="339" t="str">
        <f>Currency&amp;$D29&amp;$C29&amp;$B29&amp;$P$2</f>
        <v>USDOIS22M_Quote</v>
      </c>
      <c r="P29" s="281">
        <v>0.19800000000000001</v>
      </c>
      <c r="Q29" s="280" t="e">
        <f>_xll.qlSimpleQuoteSetValue($O29,$P29/100,Trigger)</f>
        <v>#N/A</v>
      </c>
      <c r="R29" s="225"/>
    </row>
    <row r="30" spans="1:18" x14ac:dyDescent="0.2">
      <c r="A30" s="124"/>
      <c r="B30" s="287" t="s">
        <v>198</v>
      </c>
      <c r="C30" s="343"/>
      <c r="D30" s="343" t="s">
        <v>187</v>
      </c>
      <c r="E30" s="341" t="str">
        <f>Currency&amp;$B30&amp;$C30&amp;$D30</f>
        <v>USD23MOIS</v>
      </c>
      <c r="F30" s="341" t="str">
        <v>USD23MOIS=TTKL</v>
      </c>
      <c r="G30" s="281">
        <v>0.19500000000000001</v>
      </c>
      <c r="H30" s="281">
        <v>0.22500000000000001</v>
      </c>
      <c r="I30" s="281">
        <v>0</v>
      </c>
      <c r="J30" s="281">
        <v>0</v>
      </c>
      <c r="K30" s="285">
        <f>_xll.qlMidEquivalent($G30,$H30,$I30,$J30)</f>
        <v>0.21000000000000002</v>
      </c>
      <c r="L30" s="283"/>
      <c r="M30" s="284">
        <v>0.20900000000000002</v>
      </c>
      <c r="N30" s="283"/>
      <c r="O30" s="339" t="str">
        <f>Currency&amp;$D30&amp;$C30&amp;$B30&amp;$P$2</f>
        <v>USDOIS23M_Quote</v>
      </c>
      <c r="P30" s="281">
        <v>0.21000000000000002</v>
      </c>
      <c r="Q30" s="280" t="e">
        <f>_xll.qlSimpleQuoteSetValue($O30,$P30/100,Trigger)</f>
        <v>#N/A</v>
      </c>
      <c r="R30" s="225"/>
    </row>
    <row r="31" spans="1:18" x14ac:dyDescent="0.2">
      <c r="A31" s="124"/>
      <c r="B31" s="287" t="s">
        <v>108</v>
      </c>
      <c r="C31" s="343"/>
      <c r="D31" s="343" t="s">
        <v>187</v>
      </c>
      <c r="E31" s="341" t="str">
        <f>Currency&amp;$B31&amp;$C31&amp;$D31</f>
        <v>USD2YOIS</v>
      </c>
      <c r="F31" s="341" t="str">
        <v>USD2YOIS=TTKL</v>
      </c>
      <c r="G31" s="281">
        <v>0.20799999999999999</v>
      </c>
      <c r="H31" s="281">
        <v>0.23799999999999999</v>
      </c>
      <c r="I31" s="281">
        <v>0</v>
      </c>
      <c r="J31" s="281">
        <v>0</v>
      </c>
      <c r="K31" s="285">
        <f>_xll.qlMidEquivalent($G31,$H31,$I31,$J31)</f>
        <v>0.22299999999999998</v>
      </c>
      <c r="L31" s="283"/>
      <c r="M31" s="284">
        <v>0.22199999999999998</v>
      </c>
      <c r="N31" s="283"/>
      <c r="O31" s="339" t="str">
        <f>Currency&amp;$D31&amp;$C31&amp;$B31&amp;$P$2</f>
        <v>USDOIS2Y_Quote</v>
      </c>
      <c r="P31" s="281">
        <v>0.22299999999999998</v>
      </c>
      <c r="Q31" s="280" t="e">
        <f>_xll.qlSimpleQuoteSetValue($O31,$P31/100,Trigger)</f>
        <v>#N/A</v>
      </c>
      <c r="R31" s="225"/>
    </row>
    <row r="32" spans="1:18" x14ac:dyDescent="0.2">
      <c r="A32" s="124"/>
      <c r="B32" s="287" t="s">
        <v>197</v>
      </c>
      <c r="C32" s="343"/>
      <c r="D32" s="343" t="s">
        <v>187</v>
      </c>
      <c r="E32" s="341" t="str">
        <f>Currency&amp;$B32&amp;$C32&amp;$D32</f>
        <v>USD27MOIS</v>
      </c>
      <c r="F32" s="341" t="str">
        <v>USD27MOIS=TTKL</v>
      </c>
      <c r="G32" s="281">
        <v>0.24099999999999999</v>
      </c>
      <c r="H32" s="281">
        <v>0.29099999999999998</v>
      </c>
      <c r="I32" s="281">
        <v>0</v>
      </c>
      <c r="J32" s="281">
        <v>0</v>
      </c>
      <c r="K32" s="285">
        <f>_xll.qlMidEquivalent($G32,$H32,$I32,$J32)</f>
        <v>0.26600000000000001</v>
      </c>
      <c r="L32" s="283"/>
      <c r="M32" s="284">
        <v>0.26500000000000001</v>
      </c>
      <c r="N32" s="283"/>
      <c r="O32" s="339" t="str">
        <f>Currency&amp;$D32&amp;$C32&amp;$B32&amp;$P$2</f>
        <v>USDOIS27M_Quote</v>
      </c>
      <c r="P32" s="281">
        <v>0.26600000000000001</v>
      </c>
      <c r="Q32" s="280" t="e">
        <f>_xll.qlSimpleQuoteSetValue($O32,$P32/100,Trigger)</f>
        <v>#N/A</v>
      </c>
      <c r="R32" s="225"/>
    </row>
    <row r="33" spans="1:18" x14ac:dyDescent="0.2">
      <c r="A33" s="124"/>
      <c r="B33" s="287" t="s">
        <v>196</v>
      </c>
      <c r="C33" s="343"/>
      <c r="D33" s="343" t="s">
        <v>187</v>
      </c>
      <c r="E33" s="341" t="str">
        <f>Currency&amp;$B33&amp;$C33&amp;$D33</f>
        <v>USD30MOIS</v>
      </c>
      <c r="F33" s="341" t="str">
        <v>USD30MOIS=TTKL</v>
      </c>
      <c r="G33" s="281">
        <v>0.29399999999999998</v>
      </c>
      <c r="H33" s="281">
        <v>0.34399999999999997</v>
      </c>
      <c r="I33" s="281">
        <v>0</v>
      </c>
      <c r="J33" s="281">
        <v>0</v>
      </c>
      <c r="K33" s="285">
        <f>_xll.qlMidEquivalent($G33,$H33,$I33,$J33)</f>
        <v>0.31899999999999995</v>
      </c>
      <c r="L33" s="283"/>
      <c r="M33" s="284">
        <v>0.317</v>
      </c>
      <c r="N33" s="283"/>
      <c r="O33" s="339" t="str">
        <f>Currency&amp;$D33&amp;$C33&amp;$B33&amp;$P$2</f>
        <v>USDOIS30M_Quote</v>
      </c>
      <c r="P33" s="281">
        <v>0.31899999999999995</v>
      </c>
      <c r="Q33" s="280" t="e">
        <f>_xll.qlSimpleQuoteSetValue($O33,$P33/100,Trigger)</f>
        <v>#N/A</v>
      </c>
      <c r="R33" s="225"/>
    </row>
    <row r="34" spans="1:18" x14ac:dyDescent="0.2">
      <c r="A34" s="124"/>
      <c r="B34" s="287" t="s">
        <v>195</v>
      </c>
      <c r="C34" s="343"/>
      <c r="D34" s="343" t="s">
        <v>187</v>
      </c>
      <c r="E34" s="341" t="str">
        <f>Currency&amp;$B34&amp;$C34&amp;$D34</f>
        <v>USD33MOIS</v>
      </c>
      <c r="F34" s="341" t="str">
        <v>USD33MOIS=TTKL</v>
      </c>
      <c r="G34" s="281">
        <v>0.35599999999999998</v>
      </c>
      <c r="H34" s="281">
        <v>0.40600000000000003</v>
      </c>
      <c r="I34" s="281">
        <v>0</v>
      </c>
      <c r="J34" s="281">
        <v>0</v>
      </c>
      <c r="K34" s="285">
        <f>_xll.qlMidEquivalent($G34,$H34,$I34,$J34)</f>
        <v>0.38100000000000001</v>
      </c>
      <c r="L34" s="283"/>
      <c r="M34" s="284">
        <v>0.379</v>
      </c>
      <c r="N34" s="283"/>
      <c r="O34" s="339" t="str">
        <f>Currency&amp;$D34&amp;$C34&amp;$B34&amp;$P$2</f>
        <v>USDOIS33M_Quote</v>
      </c>
      <c r="P34" s="281">
        <v>0.38100000000000001</v>
      </c>
      <c r="Q34" s="280" t="e">
        <f>_xll.qlSimpleQuoteSetValue($O34,$P34/100,Trigger)</f>
        <v>#N/A</v>
      </c>
      <c r="R34" s="225"/>
    </row>
    <row r="35" spans="1:18" x14ac:dyDescent="0.2">
      <c r="A35" s="124"/>
      <c r="B35" s="287" t="s">
        <v>107</v>
      </c>
      <c r="C35" s="343"/>
      <c r="D35" s="343" t="s">
        <v>187</v>
      </c>
      <c r="E35" s="341" t="str">
        <f>Currency&amp;$B35&amp;$C35&amp;$D35</f>
        <v>USD3YOIS</v>
      </c>
      <c r="F35" s="341" t="str">
        <v>USD3YOIS=TTKL</v>
      </c>
      <c r="G35" s="281">
        <v>0.42599999999999999</v>
      </c>
      <c r="H35" s="281">
        <v>0.47599999999999998</v>
      </c>
      <c r="I35" s="281">
        <v>0</v>
      </c>
      <c r="J35" s="281">
        <v>0</v>
      </c>
      <c r="K35" s="285">
        <f>_xll.qlMidEquivalent($G35,$H35,$I35,$J35)</f>
        <v>0.45099999999999996</v>
      </c>
      <c r="L35" s="283"/>
      <c r="M35" s="284">
        <v>0.44899999999999995</v>
      </c>
      <c r="N35" s="283"/>
      <c r="O35" s="339" t="str">
        <f>Currency&amp;$D35&amp;$C35&amp;$B35&amp;$P$2</f>
        <v>USDOIS3Y_Quote</v>
      </c>
      <c r="P35" s="281">
        <v>0.45099999999999996</v>
      </c>
      <c r="Q35" s="280" t="e">
        <f>_xll.qlSimpleQuoteSetValue($O35,$P35/100,Trigger)</f>
        <v>#N/A</v>
      </c>
      <c r="R35" s="225"/>
    </row>
    <row r="36" spans="1:18" x14ac:dyDescent="0.2">
      <c r="A36" s="124"/>
      <c r="B36" s="287" t="s">
        <v>194</v>
      </c>
      <c r="C36" s="343"/>
      <c r="D36" s="343" t="s">
        <v>187</v>
      </c>
      <c r="E36" s="341" t="str">
        <f>Currency&amp;$B36&amp;$C36&amp;$D36</f>
        <v>USD39MOIS</v>
      </c>
      <c r="F36" s="341" t="str">
        <v>USD39MOIS=TTKL</v>
      </c>
      <c r="G36" s="281">
        <v>0.503</v>
      </c>
      <c r="H36" s="281">
        <v>0.55300000000000005</v>
      </c>
      <c r="I36" s="281">
        <v>0</v>
      </c>
      <c r="J36" s="281">
        <v>0</v>
      </c>
      <c r="K36" s="285">
        <f>_xll.qlMidEquivalent($G36,$H36,$I36,$J36)</f>
        <v>0.52800000000000002</v>
      </c>
      <c r="L36" s="283"/>
      <c r="M36" s="284">
        <v>0.52600000000000002</v>
      </c>
      <c r="N36" s="283"/>
      <c r="O36" s="339" t="str">
        <f>Currency&amp;$D36&amp;$C36&amp;$B36&amp;$P$2</f>
        <v>USDOIS39M_Quote</v>
      </c>
      <c r="P36" s="281">
        <v>0.52800000000000002</v>
      </c>
      <c r="Q36" s="280" t="e">
        <f>_xll.qlSimpleQuoteSetValue($O36,$P36/100,Trigger)</f>
        <v>#N/A</v>
      </c>
      <c r="R36" s="225"/>
    </row>
    <row r="37" spans="1:18" x14ac:dyDescent="0.2">
      <c r="A37" s="124"/>
      <c r="B37" s="287" t="s">
        <v>193</v>
      </c>
      <c r="C37" s="343"/>
      <c r="D37" s="343" t="s">
        <v>187</v>
      </c>
      <c r="E37" s="341" t="str">
        <f>Currency&amp;$B37&amp;$C37&amp;$D37</f>
        <v>USD42MOIS</v>
      </c>
      <c r="F37" s="341" t="str">
        <v>USD42MOIS=TTKL</v>
      </c>
      <c r="G37" s="281">
        <v>0.58399999999999996</v>
      </c>
      <c r="H37" s="281">
        <v>0.63400000000000001</v>
      </c>
      <c r="I37" s="281">
        <v>0</v>
      </c>
      <c r="J37" s="281">
        <v>0</v>
      </c>
      <c r="K37" s="285">
        <f>_xll.qlMidEquivalent($G37,$H37,$I37,$J37)</f>
        <v>0.60899999999999999</v>
      </c>
      <c r="L37" s="283"/>
      <c r="M37" s="284">
        <v>0.60499999999999998</v>
      </c>
      <c r="N37" s="283"/>
      <c r="O37" s="339" t="str">
        <f>Currency&amp;$D37&amp;$C37&amp;$B37&amp;$P$2</f>
        <v>USDOIS42M_Quote</v>
      </c>
      <c r="P37" s="281">
        <v>0.60899999999999999</v>
      </c>
      <c r="Q37" s="280" t="e">
        <f>_xll.qlSimpleQuoteSetValue($O37,$P37/100,Trigger)</f>
        <v>#N/A</v>
      </c>
      <c r="R37" s="225"/>
    </row>
    <row r="38" spans="1:18" x14ac:dyDescent="0.2">
      <c r="A38" s="124"/>
      <c r="B38" s="287" t="s">
        <v>192</v>
      </c>
      <c r="C38" s="343"/>
      <c r="D38" s="343" t="s">
        <v>187</v>
      </c>
      <c r="E38" s="341" t="str">
        <f>Currency&amp;$B38&amp;$C38&amp;$D38</f>
        <v>USD45MOIS</v>
      </c>
      <c r="F38" s="341" t="str">
        <v>USD45MOIS=TTKL</v>
      </c>
      <c r="G38" s="281">
        <v>0.66600000000000004</v>
      </c>
      <c r="H38" s="281">
        <v>0.71599999999999997</v>
      </c>
      <c r="I38" s="281">
        <v>0</v>
      </c>
      <c r="J38" s="281">
        <v>0</v>
      </c>
      <c r="K38" s="285">
        <f>_xll.qlMidEquivalent($G38,$H38,$I38,$J38)</f>
        <v>0.69100000000000006</v>
      </c>
      <c r="L38" s="283"/>
      <c r="M38" s="284">
        <v>0.68799999999999994</v>
      </c>
      <c r="N38" s="283"/>
      <c r="O38" s="339" t="str">
        <f>Currency&amp;$D38&amp;$C38&amp;$B38&amp;$P$2</f>
        <v>USDOIS45M_Quote</v>
      </c>
      <c r="P38" s="281">
        <v>0.69100000000000006</v>
      </c>
      <c r="Q38" s="280" t="e">
        <f>_xll.qlSimpleQuoteSetValue($O38,$P38/100,Trigger)</f>
        <v>#N/A</v>
      </c>
      <c r="R38" s="225"/>
    </row>
    <row r="39" spans="1:18" x14ac:dyDescent="0.2">
      <c r="A39" s="124"/>
      <c r="B39" s="287" t="s">
        <v>106</v>
      </c>
      <c r="C39" s="343"/>
      <c r="D39" s="343" t="s">
        <v>187</v>
      </c>
      <c r="E39" s="341" t="str">
        <f>Currency&amp;$B39&amp;$C39&amp;$D39</f>
        <v>USD4YOIS</v>
      </c>
      <c r="F39" s="341" t="str">
        <v>USD4YOIS=TTKL</v>
      </c>
      <c r="G39" s="281">
        <v>0.754</v>
      </c>
      <c r="H39" s="281">
        <v>0.80400000000000005</v>
      </c>
      <c r="I39" s="281">
        <v>0</v>
      </c>
      <c r="J39" s="281">
        <v>0</v>
      </c>
      <c r="K39" s="285">
        <f>_xll.qlMidEquivalent($G39,$H39,$I39,$J39)</f>
        <v>0.77900000000000003</v>
      </c>
      <c r="L39" s="283"/>
      <c r="M39" s="284">
        <v>0.77600000000000002</v>
      </c>
      <c r="N39" s="283"/>
      <c r="O39" s="339" t="str">
        <f>Currency&amp;$D39&amp;$C39&amp;$B39&amp;$P$2</f>
        <v>USDOIS4Y_Quote</v>
      </c>
      <c r="P39" s="281">
        <v>0.77900000000000003</v>
      </c>
      <c r="Q39" s="280" t="e">
        <f>_xll.qlSimpleQuoteSetValue($O39,$P39/100,Trigger)</f>
        <v>#N/A</v>
      </c>
      <c r="R39" s="225"/>
    </row>
    <row r="40" spans="1:18" x14ac:dyDescent="0.2">
      <c r="A40" s="124"/>
      <c r="B40" s="287" t="s">
        <v>191</v>
      </c>
      <c r="C40" s="343"/>
      <c r="D40" s="343" t="s">
        <v>187</v>
      </c>
      <c r="E40" s="341" t="str">
        <f>Currency&amp;$B40&amp;$C40&amp;$D40</f>
        <v>USD51MOIS</v>
      </c>
      <c r="F40" s="341" t="str">
        <v>USD51MOIS=TTKL</v>
      </c>
      <c r="G40" s="281">
        <v>0.83399999999999996</v>
      </c>
      <c r="H40" s="281">
        <v>0.88400000000000001</v>
      </c>
      <c r="I40" s="281">
        <v>0</v>
      </c>
      <c r="J40" s="281">
        <v>0</v>
      </c>
      <c r="K40" s="285">
        <f>_xll.qlMidEquivalent($G40,$H40,$I40,$J40)</f>
        <v>0.85899999999999999</v>
      </c>
      <c r="L40" s="283"/>
      <c r="M40" s="284">
        <v>0.85599999999999998</v>
      </c>
      <c r="N40" s="283"/>
      <c r="O40" s="339" t="str">
        <f>Currency&amp;$D40&amp;$C40&amp;$B40&amp;$P$2</f>
        <v>USDOIS51M_Quote</v>
      </c>
      <c r="P40" s="281">
        <v>0.85899999999999999</v>
      </c>
      <c r="Q40" s="280" t="e">
        <f>_xll.qlSimpleQuoteSetValue($O40,$P40/100,Trigger)</f>
        <v>#N/A</v>
      </c>
      <c r="R40" s="225"/>
    </row>
    <row r="41" spans="1:18" x14ac:dyDescent="0.2">
      <c r="A41" s="124"/>
      <c r="B41" s="287" t="s">
        <v>190</v>
      </c>
      <c r="C41" s="343"/>
      <c r="D41" s="343" t="s">
        <v>187</v>
      </c>
      <c r="E41" s="341" t="str">
        <f>Currency&amp;$B41&amp;$C41&amp;$D41</f>
        <v>USD54MOIS</v>
      </c>
      <c r="F41" s="341" t="str">
        <v>USD54MOIS=TTKL</v>
      </c>
      <c r="G41" s="281">
        <v>0.92700000000000005</v>
      </c>
      <c r="H41" s="281">
        <v>0.97699999999999998</v>
      </c>
      <c r="I41" s="281">
        <v>0</v>
      </c>
      <c r="J41" s="281">
        <v>0</v>
      </c>
      <c r="K41" s="285">
        <f>_xll.qlMidEquivalent($G41,$H41,$I41,$J41)</f>
        <v>0.95199999999999996</v>
      </c>
      <c r="L41" s="283"/>
      <c r="M41" s="284">
        <v>0.94900000000000007</v>
      </c>
      <c r="N41" s="283"/>
      <c r="O41" s="339" t="str">
        <f>Currency&amp;$D41&amp;$C41&amp;$B41&amp;$P$2</f>
        <v>USDOIS54M_Quote</v>
      </c>
      <c r="P41" s="281">
        <v>0.95199999999999996</v>
      </c>
      <c r="Q41" s="280" t="e">
        <f>_xll.qlSimpleQuoteSetValue($O41,$P41/100,Trigger)</f>
        <v>#N/A</v>
      </c>
      <c r="R41" s="225"/>
    </row>
    <row r="42" spans="1:18" x14ac:dyDescent="0.2">
      <c r="A42" s="124"/>
      <c r="B42" s="287" t="s">
        <v>189</v>
      </c>
      <c r="C42" s="343"/>
      <c r="D42" s="343" t="s">
        <v>187</v>
      </c>
      <c r="E42" s="341" t="str">
        <f>Currency&amp;$B42&amp;$C42&amp;$D42</f>
        <v>USD57MOIS</v>
      </c>
      <c r="F42" s="341" t="str">
        <v>USD57MOIS=TTKL</v>
      </c>
      <c r="G42" s="281">
        <v>1.002</v>
      </c>
      <c r="H42" s="281">
        <v>1.052</v>
      </c>
      <c r="I42" s="281">
        <v>0</v>
      </c>
      <c r="J42" s="281">
        <v>0</v>
      </c>
      <c r="K42" s="285">
        <f>_xll.qlMidEquivalent($G42,$H42,$I42,$J42)</f>
        <v>1.0270000000000001</v>
      </c>
      <c r="L42" s="283"/>
      <c r="M42" s="284">
        <v>1.0249999999999999</v>
      </c>
      <c r="N42" s="283"/>
      <c r="O42" s="339" t="str">
        <f>Currency&amp;$D42&amp;$C42&amp;$B42&amp;$P$2</f>
        <v>USDOIS57M_Quote</v>
      </c>
      <c r="P42" s="281">
        <v>1.0270000000000001</v>
      </c>
      <c r="Q42" s="280" t="e">
        <f>_xll.qlSimpleQuoteSetValue($O42,$P42/100,Trigger)</f>
        <v>#N/A</v>
      </c>
      <c r="R42" s="225"/>
    </row>
    <row r="43" spans="1:18" x14ac:dyDescent="0.2">
      <c r="A43" s="124"/>
      <c r="B43" s="287" t="s">
        <v>105</v>
      </c>
      <c r="C43" s="343"/>
      <c r="D43" s="343" t="s">
        <v>187</v>
      </c>
      <c r="E43" s="341" t="str">
        <f>Currency&amp;$B43&amp;$C43&amp;$D43</f>
        <v>USD5YOIS</v>
      </c>
      <c r="F43" s="341" t="str">
        <v>USD5YOIS=TTKL</v>
      </c>
      <c r="G43" s="281">
        <v>1.1000000000000001</v>
      </c>
      <c r="H43" s="281">
        <v>1.1499999999999999</v>
      </c>
      <c r="I43" s="281">
        <v>0</v>
      </c>
      <c r="J43" s="281">
        <v>0</v>
      </c>
      <c r="K43" s="285">
        <f>_xll.qlMidEquivalent($G43,$H43,$I43,$J43)</f>
        <v>1.125</v>
      </c>
      <c r="L43" s="283"/>
      <c r="M43" s="284">
        <v>1.121</v>
      </c>
      <c r="N43" s="283"/>
      <c r="O43" s="339" t="str">
        <f>Currency&amp;$D43&amp;$C43&amp;$B43&amp;$P$2</f>
        <v>USDOIS5Y_Quote</v>
      </c>
      <c r="P43" s="281">
        <v>1.125</v>
      </c>
      <c r="Q43" s="280" t="e">
        <f>_xll.qlSimpleQuoteSetValue($O43,$P43/100,Trigger)</f>
        <v>#N/A</v>
      </c>
      <c r="R43" s="225"/>
    </row>
    <row r="44" spans="1:18" x14ac:dyDescent="0.2">
      <c r="A44" s="124"/>
      <c r="B44" s="287" t="s">
        <v>104</v>
      </c>
      <c r="C44" s="343"/>
      <c r="D44" s="343" t="s">
        <v>187</v>
      </c>
      <c r="E44" s="341" t="str">
        <f>Currency&amp;$B44&amp;$C44&amp;$D44</f>
        <v>USD6YOIS</v>
      </c>
      <c r="F44" s="341" t="str">
        <v>USD6YOIS=TTKL</v>
      </c>
      <c r="G44" s="281">
        <v>1.415</v>
      </c>
      <c r="H44" s="281">
        <v>1.4650000000000001</v>
      </c>
      <c r="I44" s="281">
        <v>0</v>
      </c>
      <c r="J44" s="281">
        <v>0</v>
      </c>
      <c r="K44" s="285">
        <f>_xll.qlMidEquivalent($G44,$H44,$I44,$J44)</f>
        <v>1.44</v>
      </c>
      <c r="L44" s="283"/>
      <c r="M44" s="284">
        <v>1.4350000000000001</v>
      </c>
      <c r="N44" s="283"/>
      <c r="O44" s="339" t="str">
        <f>Currency&amp;$D44&amp;$C44&amp;$B44&amp;$P$2</f>
        <v>USDOIS6Y_Quote</v>
      </c>
      <c r="P44" s="281">
        <v>1.44</v>
      </c>
      <c r="Q44" s="280" t="e">
        <f>_xll.qlSimpleQuoteSetValue($O44,$P44/100,Trigger)</f>
        <v>#N/A</v>
      </c>
      <c r="R44" s="225"/>
    </row>
    <row r="45" spans="1:18" x14ac:dyDescent="0.2">
      <c r="A45" s="124"/>
      <c r="B45" s="287" t="s">
        <v>103</v>
      </c>
      <c r="C45" s="343"/>
      <c r="D45" s="343" t="s">
        <v>187</v>
      </c>
      <c r="E45" s="341" t="str">
        <f>Currency&amp;$B45&amp;$C45&amp;$D45</f>
        <v>USD7YOIS</v>
      </c>
      <c r="F45" s="341" t="str">
        <v>USD7YOIS=TTKL</v>
      </c>
      <c r="G45" s="281">
        <v>1.6879999999999999</v>
      </c>
      <c r="H45" s="281">
        <v>1.738</v>
      </c>
      <c r="I45" s="281">
        <v>0</v>
      </c>
      <c r="J45" s="281">
        <v>0</v>
      </c>
      <c r="K45" s="285">
        <f>_xll.qlMidEquivalent($G45,$H45,$I45,$J45)</f>
        <v>1.7130000000000001</v>
      </c>
      <c r="L45" s="283"/>
      <c r="M45" s="284">
        <v>1.7080000000000002</v>
      </c>
      <c r="N45" s="283"/>
      <c r="O45" s="339" t="str">
        <f>Currency&amp;$D45&amp;$C45&amp;$B45&amp;$P$2</f>
        <v>USDOIS7Y_Quote</v>
      </c>
      <c r="P45" s="281">
        <v>1.7130000000000001</v>
      </c>
      <c r="Q45" s="280" t="e">
        <f>_xll.qlSimpleQuoteSetValue($O45,$P45/100,Trigger)</f>
        <v>#N/A</v>
      </c>
      <c r="R45" s="225"/>
    </row>
    <row r="46" spans="1:18" x14ac:dyDescent="0.2">
      <c r="A46" s="124"/>
      <c r="B46" s="287" t="s">
        <v>102</v>
      </c>
      <c r="C46" s="343"/>
      <c r="D46" s="343" t="s">
        <v>187</v>
      </c>
      <c r="E46" s="341" t="str">
        <f>Currency&amp;$B46&amp;$C46&amp;$D46</f>
        <v>USD8YOIS</v>
      </c>
      <c r="F46" s="341" t="str">
        <v>USD8YOIS=TTKL</v>
      </c>
      <c r="G46" s="281">
        <v>1.9179999999999999</v>
      </c>
      <c r="H46" s="281">
        <v>1.968</v>
      </c>
      <c r="I46" s="281">
        <v>0</v>
      </c>
      <c r="J46" s="281">
        <v>0</v>
      </c>
      <c r="K46" s="285">
        <f>_xll.qlMidEquivalent($G46,$H46,$I46,$J46)</f>
        <v>1.9430000000000001</v>
      </c>
      <c r="L46" s="283"/>
      <c r="M46" s="284">
        <v>1.9380000000000002</v>
      </c>
      <c r="N46" s="283"/>
      <c r="O46" s="339" t="str">
        <f>Currency&amp;$D46&amp;$C46&amp;$B46&amp;$P$2</f>
        <v>USDOIS8Y_Quote</v>
      </c>
      <c r="P46" s="281">
        <v>1.9430000000000001</v>
      </c>
      <c r="Q46" s="280" t="e">
        <f>_xll.qlSimpleQuoteSetValue($O46,$P46/100,Trigger)</f>
        <v>#N/A</v>
      </c>
      <c r="R46" s="225"/>
    </row>
    <row r="47" spans="1:18" x14ac:dyDescent="0.2">
      <c r="A47" s="124"/>
      <c r="B47" s="287" t="s">
        <v>101</v>
      </c>
      <c r="C47" s="343"/>
      <c r="D47" s="343" t="s">
        <v>187</v>
      </c>
      <c r="E47" s="341" t="str">
        <f>Currency&amp;$B47&amp;$C47&amp;$D47</f>
        <v>USD9YOIS</v>
      </c>
      <c r="F47" s="341" t="str">
        <v>USD9YOIS=TTKL</v>
      </c>
      <c r="G47" s="281">
        <v>2.1110000000000002</v>
      </c>
      <c r="H47" s="281">
        <v>2.161</v>
      </c>
      <c r="I47" s="281">
        <v>0</v>
      </c>
      <c r="J47" s="281">
        <v>0</v>
      </c>
      <c r="K47" s="285">
        <f>_xll.qlMidEquivalent($G47,$H47,$I47,$J47)</f>
        <v>2.1360000000000001</v>
      </c>
      <c r="L47" s="283"/>
      <c r="M47" s="284">
        <v>2.1320000000000001</v>
      </c>
      <c r="N47" s="283"/>
      <c r="O47" s="339" t="str">
        <f>Currency&amp;$D47&amp;$C47&amp;$B47&amp;$P$2</f>
        <v>USDOIS9Y_Quote</v>
      </c>
      <c r="P47" s="281">
        <v>2.1360000000000001</v>
      </c>
      <c r="Q47" s="280" t="e">
        <f>_xll.qlSimpleQuoteSetValue($O47,$P47/100,Trigger)</f>
        <v>#N/A</v>
      </c>
      <c r="R47" s="225"/>
    </row>
    <row r="48" spans="1:18" x14ac:dyDescent="0.2">
      <c r="A48" s="124"/>
      <c r="B48" s="287" t="s">
        <v>100</v>
      </c>
      <c r="C48" s="343"/>
      <c r="D48" s="343" t="s">
        <v>187</v>
      </c>
      <c r="E48" s="341" t="str">
        <f>Currency&amp;$B48&amp;$C48&amp;$D48</f>
        <v>USD10YOIS</v>
      </c>
      <c r="F48" s="341" t="str">
        <v>USD10YOIS=TTKL</v>
      </c>
      <c r="G48" s="281">
        <v>2.2770000000000001</v>
      </c>
      <c r="H48" s="281">
        <v>2.327</v>
      </c>
      <c r="I48" s="281">
        <v>0</v>
      </c>
      <c r="J48" s="281">
        <v>0</v>
      </c>
      <c r="K48" s="285">
        <f>_xll.qlMidEquivalent($G48,$H48,$I48,$J48)</f>
        <v>2.302</v>
      </c>
      <c r="L48" s="283"/>
      <c r="M48" s="284">
        <v>2.2989999999999999</v>
      </c>
      <c r="N48" s="283"/>
      <c r="O48" s="339" t="str">
        <f>Currency&amp;$D48&amp;$C48&amp;$B48&amp;$P$2</f>
        <v>USDOIS10Y_Quote</v>
      </c>
      <c r="P48" s="281">
        <v>2.302</v>
      </c>
      <c r="Q48" s="280" t="e">
        <f>_xll.qlSimpleQuoteSetValue($O48,$P48/100,Trigger)</f>
        <v>#N/A</v>
      </c>
      <c r="R48" s="225"/>
    </row>
    <row r="49" spans="1:18" x14ac:dyDescent="0.2">
      <c r="A49" s="124"/>
      <c r="B49" s="287" t="s">
        <v>98</v>
      </c>
      <c r="C49" s="343"/>
      <c r="D49" s="343" t="s">
        <v>187</v>
      </c>
      <c r="E49" s="341" t="str">
        <f>Currency&amp;$B49&amp;$C49&amp;$D49</f>
        <v>USD12YOIS</v>
      </c>
      <c r="F49" s="341" t="str">
        <v>USD12YOIS=TTKL</v>
      </c>
      <c r="G49" s="281">
        <v>2.552</v>
      </c>
      <c r="H49" s="281">
        <v>2.6019999999999999</v>
      </c>
      <c r="I49" s="281">
        <v>0</v>
      </c>
      <c r="J49" s="281">
        <v>0</v>
      </c>
      <c r="K49" s="285">
        <f>_xll.qlMidEquivalent($G49,$H49,$I49,$J49)</f>
        <v>2.577</v>
      </c>
      <c r="L49" s="283"/>
      <c r="M49" s="284">
        <v>2.573</v>
      </c>
      <c r="N49" s="283"/>
      <c r="O49" s="339" t="str">
        <f>Currency&amp;$D49&amp;$C49&amp;$B49&amp;$P$2</f>
        <v>USDOIS12Y_Quote</v>
      </c>
      <c r="P49" s="281">
        <v>2.577</v>
      </c>
      <c r="Q49" s="280" t="e">
        <f>_xll.qlSimpleQuoteSetValue($O49,$P49/100,Trigger)</f>
        <v>#N/A</v>
      </c>
      <c r="R49" s="225"/>
    </row>
    <row r="50" spans="1:18" x14ac:dyDescent="0.2">
      <c r="A50" s="124"/>
      <c r="B50" s="287" t="s">
        <v>95</v>
      </c>
      <c r="C50" s="343"/>
      <c r="D50" s="343" t="s">
        <v>187</v>
      </c>
      <c r="E50" s="341" t="str">
        <f>Currency&amp;$B50&amp;$C50&amp;$D50</f>
        <v>USD15YOIS</v>
      </c>
      <c r="F50" s="341" t="str">
        <v>USD15YOIS=TTKL</v>
      </c>
      <c r="G50" s="281">
        <v>2.8140000000000001</v>
      </c>
      <c r="H50" s="281">
        <v>2.8639999999999999</v>
      </c>
      <c r="I50" s="281">
        <v>0</v>
      </c>
      <c r="J50" s="281">
        <v>0</v>
      </c>
      <c r="K50" s="285">
        <f>_xll.qlMidEquivalent($G50,$H50,$I50,$J50)</f>
        <v>2.839</v>
      </c>
      <c r="L50" s="283"/>
      <c r="M50" s="284">
        <v>2.8360000000000003</v>
      </c>
      <c r="N50" s="283"/>
      <c r="O50" s="339" t="str">
        <f>Currency&amp;$D50&amp;$C50&amp;$B50&amp;$P$2</f>
        <v>USDOIS15Y_Quote</v>
      </c>
      <c r="P50" s="281">
        <v>2.839</v>
      </c>
      <c r="Q50" s="280" t="e">
        <f>_xll.qlSimpleQuoteSetValue($O50,$P50/100,Trigger)</f>
        <v>#N/A</v>
      </c>
      <c r="R50" s="225"/>
    </row>
    <row r="51" spans="1:18" x14ac:dyDescent="0.2">
      <c r="A51" s="124"/>
      <c r="B51" s="287" t="s">
        <v>90</v>
      </c>
      <c r="C51" s="343"/>
      <c r="D51" s="343" t="s">
        <v>187</v>
      </c>
      <c r="E51" s="341" t="str">
        <f>Currency&amp;$B51&amp;$C51&amp;$D51</f>
        <v>USD20YOIS</v>
      </c>
      <c r="F51" s="341" t="str">
        <v>USD20YOIS=TTKL</v>
      </c>
      <c r="G51" s="281">
        <v>3.04</v>
      </c>
      <c r="H51" s="281">
        <v>3.09</v>
      </c>
      <c r="I51" s="281">
        <v>0</v>
      </c>
      <c r="J51" s="281">
        <v>0</v>
      </c>
      <c r="K51" s="285">
        <f>_xll.qlMidEquivalent($G51,$H51,$I51,$J51)</f>
        <v>3.0649999999999999</v>
      </c>
      <c r="L51" s="283"/>
      <c r="M51" s="284">
        <v>3.0609999999999999</v>
      </c>
      <c r="N51" s="283"/>
      <c r="O51" s="339" t="str">
        <f>Currency&amp;$D51&amp;$C51&amp;$B51&amp;$P$2</f>
        <v>USDOIS20Y_Quote</v>
      </c>
      <c r="P51" s="281">
        <v>3.0649999999999999</v>
      </c>
      <c r="Q51" s="280" t="e">
        <f>_xll.qlSimpleQuoteSetValue($O51,$P51/100,Trigger)</f>
        <v>#N/A</v>
      </c>
      <c r="R51" s="225"/>
    </row>
    <row r="52" spans="1:18" x14ac:dyDescent="0.2">
      <c r="A52" s="124"/>
      <c r="B52" s="287" t="s">
        <v>85</v>
      </c>
      <c r="C52" s="343"/>
      <c r="D52" s="343" t="s">
        <v>187</v>
      </c>
      <c r="E52" s="341" t="str">
        <f>Currency&amp;$B52&amp;$C52&amp;$D52</f>
        <v>USD25YOIS</v>
      </c>
      <c r="F52" s="341" t="str">
        <v>USD25YOIS=TTKL</v>
      </c>
      <c r="G52" s="281">
        <v>3.1549999999999998</v>
      </c>
      <c r="H52" s="281">
        <v>3.2050000000000001</v>
      </c>
      <c r="I52" s="281">
        <v>0</v>
      </c>
      <c r="J52" s="281">
        <v>0</v>
      </c>
      <c r="K52" s="285">
        <f>_xll.qlMidEquivalent($G52,$H52,$I52,$J52)</f>
        <v>3.1799999999999997</v>
      </c>
      <c r="L52" s="283"/>
      <c r="M52" s="284">
        <v>3.177</v>
      </c>
      <c r="N52" s="283"/>
      <c r="O52" s="339" t="str">
        <f>Currency&amp;$D52&amp;$C52&amp;$B52&amp;$P$2</f>
        <v>USDOIS25Y_Quote</v>
      </c>
      <c r="P52" s="281">
        <v>3.1799999999999997</v>
      </c>
      <c r="Q52" s="280" t="e">
        <f>_xll.qlSimpleQuoteSetValue($O52,$P52/100,Trigger)</f>
        <v>#N/A</v>
      </c>
      <c r="R52" s="225"/>
    </row>
    <row r="53" spans="1:18" x14ac:dyDescent="0.2">
      <c r="A53" s="124"/>
      <c r="B53" s="287" t="s">
        <v>83</v>
      </c>
      <c r="C53" s="343"/>
      <c r="D53" s="343" t="s">
        <v>187</v>
      </c>
      <c r="E53" s="341" t="str">
        <f>Currency&amp;$B53&amp;$C53&amp;$D53</f>
        <v>USD27YOIS</v>
      </c>
      <c r="F53" s="341" t="str">
        <v>USD27YOIS=TTKL</v>
      </c>
      <c r="G53" s="281" t="s">
        <v>247</v>
      </c>
      <c r="H53" s="281" t="s">
        <v>247</v>
      </c>
      <c r="I53" s="281" t="s">
        <v>247</v>
      </c>
      <c r="J53" s="281" t="s">
        <v>247</v>
      </c>
      <c r="K53" s="285" t="e">
        <f>_xll.qlMidEquivalent($G53,$H53,$I53,$J53)</f>
        <v>#NUM!</v>
      </c>
      <c r="L53" s="283"/>
      <c r="M53" s="284" t="e">
        <v>#NUM!</v>
      </c>
      <c r="N53" s="283"/>
      <c r="O53" s="339" t="str">
        <f>Currency&amp;$D53&amp;$C53&amp;$B53&amp;$P$2</f>
        <v>USDOIS27Y_Quote</v>
      </c>
      <c r="P53" s="281" t="e">
        <v>#NUM!</v>
      </c>
      <c r="Q53" s="280" t="e">
        <f>_xll.qlSimpleQuoteSetValue($O53,$P53/100,Trigger)</f>
        <v>#NUM!</v>
      </c>
      <c r="R53" s="225"/>
    </row>
    <row r="54" spans="1:18" x14ac:dyDescent="0.2">
      <c r="A54" s="124"/>
      <c r="B54" s="287" t="s">
        <v>80</v>
      </c>
      <c r="C54" s="343"/>
      <c r="D54" s="343" t="s">
        <v>187</v>
      </c>
      <c r="E54" s="341" t="str">
        <f>Currency&amp;$B54&amp;$C54&amp;$D54</f>
        <v>USD30YOIS</v>
      </c>
      <c r="F54" s="341" t="str">
        <v>USD30YOIS=TTKL</v>
      </c>
      <c r="G54" s="281">
        <v>3.22</v>
      </c>
      <c r="H54" s="281">
        <v>3.27</v>
      </c>
      <c r="I54" s="281">
        <v>0</v>
      </c>
      <c r="J54" s="281">
        <v>0</v>
      </c>
      <c r="K54" s="285">
        <f>_xll.qlMidEquivalent($G54,$H54,$I54,$J54)</f>
        <v>3.2450000000000001</v>
      </c>
      <c r="L54" s="283"/>
      <c r="M54" s="284">
        <v>3.2429999999999999</v>
      </c>
      <c r="N54" s="283"/>
      <c r="O54" s="339" t="str">
        <f>Currency&amp;$D54&amp;$C54&amp;$B54&amp;$P$2</f>
        <v>USDOIS30Y_Quote</v>
      </c>
      <c r="P54" s="281">
        <v>3.2450000000000001</v>
      </c>
      <c r="Q54" s="280" t="e">
        <f>_xll.qlSimpleQuoteSetValue($O54,$P54/100,Trigger)</f>
        <v>#N/A</v>
      </c>
      <c r="R54" s="225"/>
    </row>
    <row r="55" spans="1:18" x14ac:dyDescent="0.2">
      <c r="A55" s="124"/>
      <c r="B55" s="287" t="s">
        <v>75</v>
      </c>
      <c r="C55" s="343"/>
      <c r="D55" s="343" t="s">
        <v>187</v>
      </c>
      <c r="E55" s="341" t="str">
        <f>Currency&amp;$B55&amp;$C55&amp;$D55</f>
        <v>USD35YOIS</v>
      </c>
      <c r="F55" s="341" t="str">
        <v>USD35YOIS=TTKL</v>
      </c>
      <c r="G55" s="281">
        <v>3.238</v>
      </c>
      <c r="H55" s="281">
        <v>3.2879999999999998</v>
      </c>
      <c r="I55" s="281">
        <v>0</v>
      </c>
      <c r="J55" s="281">
        <v>0</v>
      </c>
      <c r="K55" s="285">
        <f>_xll.qlMidEquivalent($G55,$H55,$I55,$J55)</f>
        <v>3.2629999999999999</v>
      </c>
      <c r="L55" s="283"/>
      <c r="M55" s="284">
        <v>3.26</v>
      </c>
      <c r="N55" s="283"/>
      <c r="O55" s="339" t="str">
        <f>Currency&amp;$D55&amp;$C55&amp;$B55&amp;$P$2</f>
        <v>USDOIS35Y_Quote</v>
      </c>
      <c r="P55" s="281">
        <v>3.2629999999999999</v>
      </c>
      <c r="Q55" s="280" t="e">
        <f>_xll.qlSimpleQuoteSetValue($O55,$P55/100,Trigger)</f>
        <v>#N/A</v>
      </c>
      <c r="R55" s="225"/>
    </row>
    <row r="56" spans="1:18" x14ac:dyDescent="0.2">
      <c r="A56" s="124"/>
      <c r="B56" s="287" t="s">
        <v>70</v>
      </c>
      <c r="C56" s="343"/>
      <c r="D56" s="343" t="s">
        <v>187</v>
      </c>
      <c r="E56" s="341" t="str">
        <f>Currency&amp;$B56&amp;$C56&amp;$D56</f>
        <v>USD40YOIS</v>
      </c>
      <c r="F56" s="341" t="str">
        <v>USD40YOIS=TTKL</v>
      </c>
      <c r="G56" s="281">
        <v>3.2389999999999999</v>
      </c>
      <c r="H56" s="281">
        <v>3.2890000000000001</v>
      </c>
      <c r="I56" s="281">
        <v>0</v>
      </c>
      <c r="J56" s="281">
        <v>0</v>
      </c>
      <c r="K56" s="285">
        <f>_xll.qlMidEquivalent($G56,$H56,$I56,$J56)</f>
        <v>3.2640000000000002</v>
      </c>
      <c r="L56" s="283"/>
      <c r="M56" s="284">
        <v>3.262</v>
      </c>
      <c r="N56" s="283"/>
      <c r="O56" s="339" t="str">
        <f>Currency&amp;$D56&amp;$C56&amp;$B56&amp;$P$2</f>
        <v>USDOIS40Y_Quote</v>
      </c>
      <c r="P56" s="281">
        <v>3.2640000000000002</v>
      </c>
      <c r="Q56" s="280" t="e">
        <f>_xll.qlSimpleQuoteSetValue($O56,$P56/100,Trigger)</f>
        <v>#N/A</v>
      </c>
      <c r="R56" s="225"/>
    </row>
    <row r="57" spans="1:18" x14ac:dyDescent="0.2">
      <c r="A57" s="124"/>
      <c r="B57" s="287" t="s">
        <v>65</v>
      </c>
      <c r="C57" s="343"/>
      <c r="D57" s="343" t="s">
        <v>187</v>
      </c>
      <c r="E57" s="341" t="str">
        <f>Currency&amp;$B57&amp;$C57&amp;$D57</f>
        <v>USD45YOIS</v>
      </c>
      <c r="F57" s="341" t="str">
        <v>USD45YOIS=TTKL</v>
      </c>
      <c r="G57" s="281">
        <v>3.23</v>
      </c>
      <c r="H57" s="281">
        <v>3.28</v>
      </c>
      <c r="I57" s="281">
        <v>0</v>
      </c>
      <c r="J57" s="281">
        <v>0</v>
      </c>
      <c r="K57" s="285">
        <f>_xll.qlMidEquivalent($G57,$H57,$I57,$J57)</f>
        <v>3.2549999999999999</v>
      </c>
      <c r="L57" s="283"/>
      <c r="M57" s="284">
        <v>3.2530000000000001</v>
      </c>
      <c r="N57" s="283"/>
      <c r="O57" s="339" t="str">
        <f>Currency&amp;$D57&amp;$C57&amp;$B57&amp;$P$2</f>
        <v>USDOIS45Y_Quote</v>
      </c>
      <c r="P57" s="281">
        <v>3.2549999999999999</v>
      </c>
      <c r="Q57" s="280" t="e">
        <f>_xll.qlSimpleQuoteSetValue($O57,$P57/100,Trigger)</f>
        <v>#N/A</v>
      </c>
      <c r="R57" s="225"/>
    </row>
    <row r="58" spans="1:18" x14ac:dyDescent="0.2">
      <c r="A58" s="124"/>
      <c r="B58" s="299" t="s">
        <v>60</v>
      </c>
      <c r="C58" s="338"/>
      <c r="D58" s="338" t="s">
        <v>187</v>
      </c>
      <c r="E58" s="336" t="str">
        <f>Currency&amp;$B58&amp;$C58&amp;$D58</f>
        <v>USD50YOIS</v>
      </c>
      <c r="F58" s="336" t="str">
        <v>USD50YOIS=TTKL</v>
      </c>
      <c r="G58" s="294">
        <v>3.2189999999999999</v>
      </c>
      <c r="H58" s="294">
        <v>3.2690000000000001</v>
      </c>
      <c r="I58" s="294">
        <v>0</v>
      </c>
      <c r="J58" s="294">
        <v>0</v>
      </c>
      <c r="K58" s="297">
        <f>_xll.qlMidEquivalent($G58,$H58,$I58,$J58)</f>
        <v>3.2439999999999998</v>
      </c>
      <c r="L58" s="283"/>
      <c r="M58" s="284">
        <v>3.242</v>
      </c>
      <c r="N58" s="283"/>
      <c r="O58" s="339" t="str">
        <f>Currency&amp;$D58&amp;$C58&amp;$B58&amp;$P$2</f>
        <v>USDOIS50Y_Quote</v>
      </c>
      <c r="P58" s="281">
        <v>3.2439999999999998</v>
      </c>
      <c r="Q58" s="280" t="e">
        <f>_xll.qlSimpleQuoteSetValue($O58,$P58/100,Trigger)</f>
        <v>#N/A</v>
      </c>
      <c r="R58" s="225"/>
    </row>
    <row r="59" spans="1:18" x14ac:dyDescent="0.2">
      <c r="A59" s="124"/>
      <c r="B59" s="287"/>
    </row>
    <row r="60" spans="1:18" x14ac:dyDescent="0.2">
      <c r="A60" s="124"/>
      <c r="B60" s="287"/>
    </row>
    <row r="61" spans="1:18" x14ac:dyDescent="0.2">
      <c r="A61" s="124"/>
      <c r="B61" s="287"/>
    </row>
    <row r="62" spans="1:18" x14ac:dyDescent="0.2">
      <c r="A62" s="124"/>
      <c r="B62" s="287"/>
    </row>
    <row r="63" spans="1:18" x14ac:dyDescent="0.2">
      <c r="A63" s="124"/>
      <c r="B63" s="287"/>
    </row>
  </sheetData>
  <conditionalFormatting sqref="Q5:Q5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18" x14ac:dyDescent="0.2">
      <c r="A1" s="354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18" x14ac:dyDescent="0.2">
      <c r="A2" s="320"/>
      <c r="B2" s="139"/>
      <c r="C2" s="139"/>
      <c r="D2" s="139"/>
      <c r="E2" s="139"/>
      <c r="F2" s="146" t="s">
        <v>248</v>
      </c>
      <c r="G2" s="139"/>
      <c r="H2" s="139"/>
      <c r="I2" s="139"/>
      <c r="J2" s="139"/>
      <c r="K2" s="139"/>
      <c r="L2" s="283"/>
      <c r="M2" s="283"/>
      <c r="N2" s="283"/>
      <c r="O2" s="353" t="s">
        <v>267</v>
      </c>
      <c r="P2" s="146" t="s">
        <v>142</v>
      </c>
      <c r="Q2" s="139"/>
      <c r="R2" s="49"/>
    </row>
    <row r="3" spans="1:18" x14ac:dyDescent="0.2">
      <c r="A3" s="124"/>
      <c r="B3" s="283"/>
      <c r="C3" s="139"/>
      <c r="D3" s="139"/>
      <c r="E3" s="139"/>
      <c r="F3" s="139"/>
      <c r="G3" s="139"/>
      <c r="H3" s="139"/>
      <c r="I3" s="139"/>
      <c r="J3" s="139"/>
      <c r="K3" s="139"/>
      <c r="L3" s="283"/>
      <c r="M3" s="283"/>
      <c r="N3" s="283"/>
      <c r="O3" s="139"/>
      <c r="P3" s="139"/>
      <c r="Q3" s="315">
        <f>_xll.ohTrigger(Q5:Q10)</f>
        <v>0</v>
      </c>
      <c r="R3" s="225"/>
    </row>
    <row r="4" spans="1:18" ht="22.5" x14ac:dyDescent="0.2">
      <c r="A4" s="124"/>
      <c r="B4" s="352"/>
      <c r="C4" s="201"/>
      <c r="D4" s="201"/>
      <c r="E4" s="201"/>
      <c r="F4" s="278" t="e">
        <f ca="1">_xll.RData(F5:F10,G4:J4,"RTFEED:IDN",ReutersRtMode,,G5)</f>
        <v>#NAME?</v>
      </c>
      <c r="G4" s="351" t="s">
        <v>235</v>
      </c>
      <c r="H4" s="351" t="s">
        <v>234</v>
      </c>
      <c r="I4" s="351" t="s">
        <v>252</v>
      </c>
      <c r="J4" s="351" t="s">
        <v>271</v>
      </c>
      <c r="K4" s="310" t="s">
        <v>292</v>
      </c>
      <c r="L4" s="283"/>
      <c r="M4" s="313" t="s">
        <v>265</v>
      </c>
      <c r="N4" s="283"/>
      <c r="O4" s="312" t="s">
        <v>264</v>
      </c>
      <c r="P4" s="350" t="s">
        <v>263</v>
      </c>
      <c r="Q4" s="95" t="s">
        <v>262</v>
      </c>
      <c r="R4" s="225"/>
    </row>
    <row r="5" spans="1:18" x14ac:dyDescent="0.2">
      <c r="A5" s="124"/>
      <c r="B5" s="306" t="s">
        <v>208</v>
      </c>
      <c r="C5" s="348" t="s">
        <v>296</v>
      </c>
      <c r="D5" s="348" t="s">
        <v>302</v>
      </c>
      <c r="E5" s="346" t="str">
        <f>Currency&amp;$C5&amp;$D5&amp;$B5</f>
        <v>USDE1X2S</v>
      </c>
      <c r="F5" s="346" t="str">
        <f t="array" ref="F5:F10">Instruments&amp;"="&amp;VLOOKUP(Contributor,ContributorTable,2,FALSE)</f>
        <v>USDE1X2S=ICAP</v>
      </c>
      <c r="G5" s="301" t="s">
        <v>247</v>
      </c>
      <c r="H5" s="301" t="s">
        <v>247</v>
      </c>
      <c r="I5" s="301" t="s">
        <v>247</v>
      </c>
      <c r="J5" s="301" t="s">
        <v>247</v>
      </c>
      <c r="K5" s="304" t="e">
        <f>_xll.qlMidEquivalent($G5,$H5,$I5,$J5)</f>
        <v>#NUM!</v>
      </c>
      <c r="L5" s="283"/>
      <c r="M5" s="303" t="e">
        <v>#NUM!</v>
      </c>
      <c r="N5" s="283"/>
      <c r="O5" s="344" t="str">
        <f>$E5&amp;$P$2</f>
        <v>USDE1X2S_Quote</v>
      </c>
      <c r="P5" s="301" t="e">
        <f t="array" ref="P5:P10">QuoteLive</f>
        <v>#NUM!</v>
      </c>
      <c r="Q5" s="300"/>
      <c r="R5" s="225"/>
    </row>
    <row r="6" spans="1:18" x14ac:dyDescent="0.2">
      <c r="A6" s="124"/>
      <c r="B6" s="287" t="s">
        <v>209</v>
      </c>
      <c r="C6" s="343" t="s">
        <v>296</v>
      </c>
      <c r="D6" s="343" t="s">
        <v>302</v>
      </c>
      <c r="E6" s="341" t="str">
        <f>Currency&amp;$C6&amp;$D6&amp;$B6</f>
        <v>USDE1X4S</v>
      </c>
      <c r="F6" s="341" t="str">
        <v>USDE1X4S=ICAP</v>
      </c>
      <c r="G6" s="281" t="s">
        <v>247</v>
      </c>
      <c r="H6" s="281" t="s">
        <v>247</v>
      </c>
      <c r="I6" s="281" t="s">
        <v>247</v>
      </c>
      <c r="J6" s="281" t="s">
        <v>247</v>
      </c>
      <c r="K6" s="285" t="e">
        <f>_xll.qlMidEquivalent($G6,$H6,$I6,$J6)</f>
        <v>#NUM!</v>
      </c>
      <c r="L6" s="283"/>
      <c r="M6" s="284" t="e">
        <v>#NUM!</v>
      </c>
      <c r="N6" s="283"/>
      <c r="O6" s="339" t="str">
        <f>$E6&amp;$P$2</f>
        <v>USDE1X4S_Quote</v>
      </c>
      <c r="P6" s="281" t="e">
        <v>#NUM!</v>
      </c>
      <c r="Q6" s="280"/>
      <c r="R6" s="225"/>
    </row>
    <row r="7" spans="1:18" x14ac:dyDescent="0.2">
      <c r="A7" s="124"/>
      <c r="B7" s="287" t="s">
        <v>210</v>
      </c>
      <c r="C7" s="343" t="s">
        <v>296</v>
      </c>
      <c r="D7" s="343" t="s">
        <v>300</v>
      </c>
      <c r="E7" s="341" t="str">
        <f>Currency&amp;$C7&amp;$D7&amp;$B7</f>
        <v>USDE2X3S</v>
      </c>
      <c r="F7" s="341" t="str">
        <v>USDE2X3S=ICAP</v>
      </c>
      <c r="G7" s="281" t="s">
        <v>247</v>
      </c>
      <c r="H7" s="281" t="s">
        <v>247</v>
      </c>
      <c r="I7" s="281" t="s">
        <v>247</v>
      </c>
      <c r="J7" s="281" t="s">
        <v>247</v>
      </c>
      <c r="K7" s="285" t="e">
        <f>_xll.qlMidEquivalent($G7,$H7,$I7,$J7)</f>
        <v>#NUM!</v>
      </c>
      <c r="L7" s="283"/>
      <c r="M7" s="284" t="e">
        <v>#NUM!</v>
      </c>
      <c r="N7" s="283"/>
      <c r="O7" s="339" t="str">
        <f>$E7&amp;$P$2</f>
        <v>USDE2X3S_Quote</v>
      </c>
      <c r="P7" s="281" t="e">
        <v>#NUM!</v>
      </c>
      <c r="Q7" s="280"/>
      <c r="R7" s="225"/>
    </row>
    <row r="8" spans="1:18" x14ac:dyDescent="0.2">
      <c r="A8" s="124"/>
      <c r="B8" s="287" t="s">
        <v>301</v>
      </c>
      <c r="C8" s="343" t="s">
        <v>296</v>
      </c>
      <c r="D8" s="343" t="s">
        <v>300</v>
      </c>
      <c r="E8" s="341" t="str">
        <f>Currency&amp;$C8&amp;$D8&amp;$B8</f>
        <v>USDE2X5S</v>
      </c>
      <c r="F8" s="341" t="str">
        <v>USDE2X5S=ICAP</v>
      </c>
      <c r="G8" s="281" t="s">
        <v>247</v>
      </c>
      <c r="H8" s="281" t="s">
        <v>247</v>
      </c>
      <c r="I8" s="281" t="s">
        <v>247</v>
      </c>
      <c r="J8" s="281" t="s">
        <v>247</v>
      </c>
      <c r="K8" s="285" t="e">
        <f>_xll.qlMidEquivalent($G8,$H8,$I8,$J8)</f>
        <v>#NUM!</v>
      </c>
      <c r="L8" s="283"/>
      <c r="M8" s="284" t="e">
        <v>#NUM!</v>
      </c>
      <c r="N8" s="283"/>
      <c r="O8" s="339" t="str">
        <f>$E8&amp;$P$2</f>
        <v>USDE2X5S_Quote</v>
      </c>
      <c r="P8" s="281" t="e">
        <v>#NUM!</v>
      </c>
      <c r="Q8" s="280"/>
      <c r="R8" s="225"/>
    </row>
    <row r="9" spans="1:18" x14ac:dyDescent="0.2">
      <c r="A9" s="124"/>
      <c r="B9" s="287" t="s">
        <v>299</v>
      </c>
      <c r="C9" s="343" t="s">
        <v>296</v>
      </c>
      <c r="D9" s="343" t="s">
        <v>298</v>
      </c>
      <c r="E9" s="341" t="str">
        <f>Currency&amp;$C9&amp;$D9&amp;$B9</f>
        <v>USDE3X6S</v>
      </c>
      <c r="F9" s="341" t="str">
        <v>USDE3X6S=ICAP</v>
      </c>
      <c r="G9" s="281" t="s">
        <v>247</v>
      </c>
      <c r="H9" s="281" t="s">
        <v>247</v>
      </c>
      <c r="I9" s="281" t="s">
        <v>247</v>
      </c>
      <c r="J9" s="281" t="s">
        <v>247</v>
      </c>
      <c r="K9" s="285" t="e">
        <f>_xll.qlMidEquivalent($G9,$H9,$I9,$J9)</f>
        <v>#NUM!</v>
      </c>
      <c r="L9" s="283"/>
      <c r="M9" s="284" t="e">
        <v>#NUM!</v>
      </c>
      <c r="N9" s="283"/>
      <c r="O9" s="339" t="str">
        <f>$E9&amp;$P$2</f>
        <v>USDE3X6S_Quote</v>
      </c>
      <c r="P9" s="281" t="e">
        <v>#NUM!</v>
      </c>
      <c r="Q9" s="280"/>
      <c r="R9" s="225"/>
    </row>
    <row r="10" spans="1:18" x14ac:dyDescent="0.2">
      <c r="A10" s="124"/>
      <c r="B10" s="299" t="s">
        <v>297</v>
      </c>
      <c r="C10" s="338" t="s">
        <v>296</v>
      </c>
      <c r="D10" s="338" t="s">
        <v>295</v>
      </c>
      <c r="E10" s="336" t="str">
        <f>Currency&amp;$C10&amp;$D10&amp;$B10</f>
        <v>USDE6X12S</v>
      </c>
      <c r="F10" s="336" t="str">
        <v>USDE6X12S=ICAP</v>
      </c>
      <c r="G10" s="294" t="s">
        <v>247</v>
      </c>
      <c r="H10" s="294" t="s">
        <v>247</v>
      </c>
      <c r="I10" s="294" t="s">
        <v>247</v>
      </c>
      <c r="J10" s="294" t="s">
        <v>247</v>
      </c>
      <c r="K10" s="297" t="e">
        <f>_xll.qlMidEquivalent($G10,$H10,$I10,$J10)</f>
        <v>#NUM!</v>
      </c>
      <c r="L10" s="283"/>
      <c r="M10" s="296" t="e">
        <v>#NUM!</v>
      </c>
      <c r="N10" s="283"/>
      <c r="O10" s="334" t="str">
        <f>$E10&amp;$P$2</f>
        <v>USDE6X12S_Quote</v>
      </c>
      <c r="P10" s="294" t="e">
        <v>#NUM!</v>
      </c>
      <c r="Q10" s="293"/>
      <c r="R10" s="225"/>
    </row>
    <row r="11" spans="1:18" ht="13.5" thickBot="1" x14ac:dyDescent="0.25">
      <c r="A11" s="48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324"/>
    </row>
  </sheetData>
  <conditionalFormatting sqref="Q5:Q10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63" customWidth="1"/>
    <col min="3" max="3" width="5.7109375" style="463" bestFit="1" customWidth="1"/>
    <col min="4" max="4" width="12.140625" style="463" bestFit="1" customWidth="1"/>
    <col min="5" max="5" width="12.85546875" style="463" customWidth="1"/>
    <col min="6" max="6" width="7.42578125" style="463" customWidth="1"/>
    <col min="7" max="7" width="6" style="463" bestFit="1" customWidth="1"/>
    <col min="8" max="8" width="5.5703125" style="463" bestFit="1" customWidth="1"/>
    <col min="9" max="9" width="4.28515625" style="463" customWidth="1"/>
    <col min="10" max="10" width="9.5703125" style="463" bestFit="1" customWidth="1"/>
    <col min="11" max="11" width="11.42578125" style="463" bestFit="1" customWidth="1"/>
    <col min="12" max="12" width="8.7109375" style="463" bestFit="1" customWidth="1"/>
    <col min="13" max="13" width="7.7109375" style="463" bestFit="1" customWidth="1"/>
    <col min="14" max="14" width="10" style="463" bestFit="1" customWidth="1"/>
    <col min="15" max="15" width="7.140625" style="463" hidden="1" customWidth="1"/>
    <col min="16" max="17" width="4.28515625" style="463" customWidth="1"/>
    <col min="18" max="18" width="4" style="463" bestFit="1" customWidth="1"/>
    <col min="19" max="19" width="3.85546875" style="463" bestFit="1" customWidth="1"/>
    <col min="20" max="20" width="4.42578125" style="463" bestFit="1" customWidth="1"/>
    <col min="21" max="16384" width="9.140625" style="463"/>
  </cols>
  <sheetData>
    <row r="1" spans="1:30" ht="12" thickBot="1" x14ac:dyDescent="0.25">
      <c r="A1" s="560" t="s">
        <v>342</v>
      </c>
      <c r="B1" s="464"/>
      <c r="C1" s="464"/>
      <c r="D1" s="469"/>
      <c r="E1" s="477"/>
      <c r="F1" s="523"/>
      <c r="G1" s="523"/>
      <c r="H1" s="464"/>
      <c r="I1" s="469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0" ht="22.5" customHeight="1" x14ac:dyDescent="0.4">
      <c r="A2" s="464"/>
      <c r="B2" s="522"/>
      <c r="C2" s="516"/>
      <c r="D2" s="521" t="str">
        <f>VLOOKUP(Currency,Traits,2,FALSE)</f>
        <v>FSR</v>
      </c>
      <c r="E2" s="520"/>
      <c r="F2" s="519"/>
      <c r="G2" s="519"/>
      <c r="H2" s="516"/>
      <c r="I2" s="516"/>
      <c r="J2" s="518" t="str">
        <f>VLOOKUP(Currency,Traits,3,FALSE)</f>
        <v>Libor</v>
      </c>
      <c r="K2" s="516"/>
      <c r="L2" s="516"/>
      <c r="M2" s="517">
        <f>MAX(O4:O21)</f>
        <v>0</v>
      </c>
      <c r="N2" s="516"/>
      <c r="O2" s="516"/>
      <c r="P2" s="515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0" ht="22.5" x14ac:dyDescent="0.2">
      <c r="A3" s="464"/>
      <c r="B3" s="493"/>
      <c r="C3" s="513" t="s">
        <v>47</v>
      </c>
      <c r="D3" s="512" t="e">
        <f ca="1">_xll.RData(D4:D21,E3:F3,"RTFEED:IDN",,,E4)</f>
        <v>#NAME?</v>
      </c>
      <c r="E3" s="512" t="s">
        <v>324</v>
      </c>
      <c r="F3" s="512" t="s">
        <v>252</v>
      </c>
      <c r="G3" s="512" t="s">
        <v>323</v>
      </c>
      <c r="H3" s="511" t="s">
        <v>322</v>
      </c>
      <c r="I3" s="514"/>
      <c r="J3" s="513" t="s">
        <v>264</v>
      </c>
      <c r="K3" s="512" t="s">
        <v>321</v>
      </c>
      <c r="L3" s="512" t="s">
        <v>320</v>
      </c>
      <c r="M3" s="512" t="s">
        <v>319</v>
      </c>
      <c r="N3" s="511" t="s">
        <v>318</v>
      </c>
      <c r="O3" s="510"/>
      <c r="P3" s="483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0" x14ac:dyDescent="0.2">
      <c r="A4" s="464"/>
      <c r="B4" s="493"/>
      <c r="C4" s="509" t="s">
        <v>221</v>
      </c>
      <c r="D4" s="504" t="str">
        <f>Currency&amp;$C4&amp;$D$2&amp;"="</f>
        <v>USDONFSR=</v>
      </c>
      <c r="E4" s="508">
        <v>41570</v>
      </c>
      <c r="F4" s="507">
        <v>0.1051</v>
      </c>
      <c r="G4" s="507" t="b">
        <f>IF(AND(ISNUMBER($F4),$F4&lt;&gt;0%),TRUE,FALSE)</f>
        <v>1</v>
      </c>
      <c r="H4" s="506" t="e">
        <f>IF($G4,_xll.qlIndexAddFixings($J4,$E4,$F4/100,TRUE,ISERROR($K4)),NA())</f>
        <v>#NUM!</v>
      </c>
      <c r="I4" s="488"/>
      <c r="J4" s="505" t="str">
        <f>PROPER(Currency)&amp;$J$2&amp;$C4</f>
        <v>UsdLiborON</v>
      </c>
      <c r="K4" s="504" t="e">
        <f>_xll.qlIndexFixing($J4,$E4,TRUE,$G4)</f>
        <v>#NUM!</v>
      </c>
      <c r="L4" s="504" t="e">
        <f>IF($H4,_xll.qlIndexFixing($J4,$E4,FALSE,$G4),"-")</f>
        <v>#NUM!</v>
      </c>
      <c r="M4" s="504" t="e">
        <f>K4-L4</f>
        <v>#NUM!</v>
      </c>
      <c r="N4" s="503" t="e">
        <f>_xll.qlIndexFixing($J4,$E4,TRUE,$L4)</f>
        <v>#NUM!</v>
      </c>
      <c r="O4" s="502">
        <f>IF(ISERROR(M4),0,ABS(M4))</f>
        <v>0</v>
      </c>
      <c r="P4" s="483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</row>
    <row r="5" spans="1:30" x14ac:dyDescent="0.2">
      <c r="A5" s="464"/>
      <c r="B5" s="493"/>
      <c r="C5" s="501" t="s">
        <v>254</v>
      </c>
      <c r="D5" s="496" t="str">
        <f>Currency&amp;$C5&amp;$D$2&amp;"="</f>
        <v>USDTNFSR=</v>
      </c>
      <c r="E5" s="500" t="s">
        <v>247</v>
      </c>
      <c r="F5" s="499" t="s">
        <v>247</v>
      </c>
      <c r="G5" s="499" t="b">
        <f>IF(AND(ISNUMBER($F5),$F5&lt;&gt;0%),TRUE,FALSE)</f>
        <v>0</v>
      </c>
      <c r="H5" s="498" t="e">
        <f>IF($G5,_xll.qlIndexAddFixings($J5,$E5,$F5/100,TRUE,ISERROR($K5)),NA())</f>
        <v>#N/A</v>
      </c>
      <c r="I5" s="488"/>
      <c r="J5" s="497" t="str">
        <f>PROPER(Currency)&amp;$J$2&amp;$C5</f>
        <v>UsdLiborTN</v>
      </c>
      <c r="K5" s="496" t="e">
        <f>_xll.qlIndexFixing($J5,$E5,TRUE,$G5)</f>
        <v>#NUM!</v>
      </c>
      <c r="L5" s="496" t="e">
        <f>IF($H5,_xll.qlIndexFixing($J5,$E5,FALSE,$G5),"-")</f>
        <v>#N/A</v>
      </c>
      <c r="M5" s="496" t="e">
        <f>K5-L5</f>
        <v>#NUM!</v>
      </c>
      <c r="N5" s="495" t="e">
        <f>_xll.qlIndexFixing($J5,$E5,TRUE,$L5)</f>
        <v>#NUM!</v>
      </c>
      <c r="O5" s="494"/>
      <c r="P5" s="483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</row>
    <row r="6" spans="1:30" x14ac:dyDescent="0.2">
      <c r="A6" s="464"/>
      <c r="B6" s="493"/>
      <c r="C6" s="501" t="s">
        <v>251</v>
      </c>
      <c r="D6" s="496" t="str">
        <f>Currency&amp;$C6&amp;$D$2&amp;"="</f>
        <v>USDSNFSR=</v>
      </c>
      <c r="E6" s="500" t="s">
        <v>247</v>
      </c>
      <c r="F6" s="499" t="s">
        <v>247</v>
      </c>
      <c r="G6" s="499" t="b">
        <f>IF(AND(ISNUMBER($F6),$F6&lt;&gt;0%),TRUE,FALSE)</f>
        <v>0</v>
      </c>
      <c r="H6" s="498" t="e">
        <f>IF($G6,_xll.qlIndexAddFixings($J6,$E6,$F6/100,TRUE,ISERROR($K6)),NA())</f>
        <v>#N/A</v>
      </c>
      <c r="I6" s="488"/>
      <c r="J6" s="497" t="str">
        <f>PROPER(Currency)&amp;$J$2&amp;$C6</f>
        <v>UsdLiborSN</v>
      </c>
      <c r="K6" s="496" t="e">
        <f>_xll.qlIndexFixing($J6,$E6,TRUE,$G6)</f>
        <v>#NUM!</v>
      </c>
      <c r="L6" s="496" t="e">
        <f>IF($H6,_xll.qlIndexFixing($J6,$E6,FALSE,$G6),"-")</f>
        <v>#N/A</v>
      </c>
      <c r="M6" s="496" t="e">
        <f>K6-L6</f>
        <v>#NUM!</v>
      </c>
      <c r="N6" s="495" t="e">
        <f>_xll.qlIndexFixing($J6,$E6,TRUE,$L6)</f>
        <v>#NUM!</v>
      </c>
      <c r="O6" s="494"/>
      <c r="P6" s="483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</row>
    <row r="7" spans="1:30" x14ac:dyDescent="0.2">
      <c r="A7" s="464"/>
      <c r="B7" s="493"/>
      <c r="C7" s="501" t="s">
        <v>43</v>
      </c>
      <c r="D7" s="496" t="str">
        <f>Currency&amp;$C7&amp;$D$2&amp;"="</f>
        <v>USDSWFSR=</v>
      </c>
      <c r="E7" s="500">
        <v>41570</v>
      </c>
      <c r="F7" s="499">
        <v>0.1389</v>
      </c>
      <c r="G7" s="499" t="b">
        <f>IF(AND(ISNUMBER($F7),$F7&lt;&gt;0%),TRUE,FALSE)</f>
        <v>1</v>
      </c>
      <c r="H7" s="498" t="b">
        <f>IF($G7,_xll.qlIndexAddFixings($J7,$E7,$F7/100,TRUE,ISERROR($K7)),NA())</f>
        <v>1</v>
      </c>
      <c r="I7" s="488"/>
      <c r="J7" s="497" t="str">
        <f>PROPER(Currency)&amp;$J$2&amp;$C7</f>
        <v>UsdLiborSW</v>
      </c>
      <c r="K7" s="496">
        <f>_xll.qlIndexFixing($J7,$E7,TRUE,$G7)</f>
        <v>1.389E-3</v>
      </c>
      <c r="L7" s="496">
        <f>IF($H7,_xll.qlIndexFixing($J7,$E7,FALSE,$G7),"-")</f>
        <v>1.389E-3</v>
      </c>
      <c r="M7" s="496">
        <f>K7-L7</f>
        <v>0</v>
      </c>
      <c r="N7" s="495">
        <f>_xll.qlIndexFixing($J7,$E7,TRUE,$L7)</f>
        <v>1.389E-3</v>
      </c>
      <c r="O7" s="494">
        <f>IF(ISERROR(M7),0,ABS(M7))</f>
        <v>0</v>
      </c>
      <c r="P7" s="483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</row>
    <row r="8" spans="1:30" x14ac:dyDescent="0.2">
      <c r="A8" s="464"/>
      <c r="B8" s="493"/>
      <c r="C8" s="501" t="s">
        <v>42</v>
      </c>
      <c r="D8" s="496" t="str">
        <f>Currency&amp;$C8&amp;$D$2&amp;"="</f>
        <v>USD2WFSR=</v>
      </c>
      <c r="E8" s="500">
        <v>41428</v>
      </c>
      <c r="F8" s="499">
        <v>0</v>
      </c>
      <c r="G8" s="499" t="b">
        <f>IF(AND(ISNUMBER($F8),$F8&lt;&gt;0%),TRUE,FALSE)</f>
        <v>0</v>
      </c>
      <c r="H8" s="498" t="e">
        <f>IF($G8,_xll.qlIndexAddFixings($J8,$E8,$F8/100,TRUE,ISERROR($K8)),NA())</f>
        <v>#N/A</v>
      </c>
      <c r="I8" s="488"/>
      <c r="J8" s="497" t="str">
        <f>PROPER(Currency)&amp;$J$2&amp;$C8</f>
        <v>UsdLibor2W</v>
      </c>
      <c r="K8" s="496" t="e">
        <f>_xll.qlIndexFixing($J8,$E8,TRUE,$G8)</f>
        <v>#NUM!</v>
      </c>
      <c r="L8" s="496" t="e">
        <f>IF($H8,_xll.qlIndexFixing($J8,$E8,FALSE,$G8),"-")</f>
        <v>#N/A</v>
      </c>
      <c r="M8" s="496" t="e">
        <f>K8-L8</f>
        <v>#NUM!</v>
      </c>
      <c r="N8" s="495" t="e">
        <f>_xll.qlIndexFixing($J8,$E8,TRUE,$L8)</f>
        <v>#NUM!</v>
      </c>
      <c r="O8" s="494">
        <f>IF(ISERROR(M8),0,ABS(M8))</f>
        <v>0</v>
      </c>
      <c r="P8" s="483"/>
      <c r="Q8" s="464"/>
      <c r="R8" s="464"/>
      <c r="S8" s="464"/>
      <c r="T8" s="464"/>
      <c r="U8" s="464"/>
      <c r="V8" s="464"/>
      <c r="W8" s="464"/>
      <c r="X8" s="464"/>
      <c r="Y8" s="464"/>
      <c r="Z8" s="464"/>
      <c r="AA8" s="464"/>
      <c r="AB8" s="464"/>
      <c r="AC8" s="464"/>
      <c r="AD8" s="464"/>
    </row>
    <row r="9" spans="1:30" x14ac:dyDescent="0.2">
      <c r="A9" s="464"/>
      <c r="B9" s="493"/>
      <c r="C9" s="501" t="s">
        <v>41</v>
      </c>
      <c r="D9" s="496" t="str">
        <f>Currency&amp;$C9&amp;$D$2&amp;"="</f>
        <v>USD3WFSR=</v>
      </c>
      <c r="E9" s="500" t="s">
        <v>247</v>
      </c>
      <c r="F9" s="499" t="s">
        <v>247</v>
      </c>
      <c r="G9" s="499" t="b">
        <f>IF(AND(ISNUMBER($F9),$F9&lt;&gt;0%),TRUE,FALSE)</f>
        <v>0</v>
      </c>
      <c r="H9" s="498" t="e">
        <f>IF($G9,_xll.qlIndexAddFixings($J9,$E9,$F9/100,TRUE,ISERROR($K9)),NA())</f>
        <v>#N/A</v>
      </c>
      <c r="I9" s="488"/>
      <c r="J9" s="497" t="str">
        <f>PROPER(Currency)&amp;$J$2&amp;$C9</f>
        <v>UsdLibor3W</v>
      </c>
      <c r="K9" s="496" t="e">
        <f>_xll.qlIndexFixing($J9,$E9,TRUE,$G9)</f>
        <v>#NUM!</v>
      </c>
      <c r="L9" s="496" t="e">
        <f>IF($H9,_xll.qlIndexFixing($J9,$E9,FALSE,$G9),"-")</f>
        <v>#N/A</v>
      </c>
      <c r="M9" s="496" t="e">
        <f>K9-L9</f>
        <v>#NUM!</v>
      </c>
      <c r="N9" s="495" t="e">
        <f>_xll.qlIndexFixing($J9,$E9,TRUE,$L9)</f>
        <v>#NUM!</v>
      </c>
      <c r="O9" s="494">
        <f>IF(ISERROR(M9),0,ABS(M9))</f>
        <v>0</v>
      </c>
      <c r="P9" s="483"/>
      <c r="Q9" s="464"/>
      <c r="R9" s="464"/>
      <c r="S9" s="464"/>
      <c r="T9" s="464"/>
      <c r="U9" s="464"/>
      <c r="V9" s="464"/>
      <c r="W9" s="464"/>
      <c r="X9" s="464"/>
      <c r="Y9" s="464"/>
      <c r="Z9" s="464"/>
      <c r="AA9" s="464"/>
      <c r="AB9" s="464"/>
      <c r="AC9" s="464"/>
      <c r="AD9" s="464"/>
    </row>
    <row r="10" spans="1:30" x14ac:dyDescent="0.2">
      <c r="A10" s="464"/>
      <c r="B10" s="493"/>
      <c r="C10" s="501" t="s">
        <v>40</v>
      </c>
      <c r="D10" s="496" t="str">
        <f>Currency&amp;$C10&amp;$D$2&amp;"="</f>
        <v>USD1MFSR=</v>
      </c>
      <c r="E10" s="500">
        <v>41570</v>
      </c>
      <c r="F10" s="499">
        <v>0.17019999999999999</v>
      </c>
      <c r="G10" s="499" t="b">
        <f>IF(AND(ISNUMBER($F10),$F10&lt;&gt;0%),TRUE,FALSE)</f>
        <v>1</v>
      </c>
      <c r="H10" s="498" t="b">
        <f>IF($G10,_xll.qlIndexAddFixings($J10,$E10,$F10/100,TRUE,ISERROR($K10)),NA())</f>
        <v>1</v>
      </c>
      <c r="I10" s="488"/>
      <c r="J10" s="497" t="str">
        <f>PROPER(Currency)&amp;$J$2&amp;$C10</f>
        <v>UsdLibor1M</v>
      </c>
      <c r="K10" s="496">
        <f>_xll.qlIndexFixing($J10,$E10,TRUE,$G10)</f>
        <v>1.702E-3</v>
      </c>
      <c r="L10" s="496">
        <f>IF($H10,_xll.qlIndexFixing($J10,$E10,FALSE,$G10),"-")</f>
        <v>1.702E-3</v>
      </c>
      <c r="M10" s="496">
        <f>K10-L10</f>
        <v>0</v>
      </c>
      <c r="N10" s="495">
        <f>_xll.qlIndexFixing($J10,$E10,TRUE,$L10)</f>
        <v>1.702E-3</v>
      </c>
      <c r="O10" s="494">
        <f>IF(ISERROR(M10),0,ABS(M10))</f>
        <v>0</v>
      </c>
      <c r="P10" s="483"/>
      <c r="Q10" s="464"/>
      <c r="R10" s="464"/>
      <c r="S10" s="464"/>
      <c r="T10" s="464"/>
      <c r="U10" s="464"/>
      <c r="V10" s="464"/>
      <c r="W10" s="464"/>
      <c r="X10" s="464"/>
      <c r="Y10" s="464"/>
      <c r="Z10" s="464"/>
      <c r="AA10" s="464"/>
      <c r="AB10" s="464"/>
      <c r="AC10" s="464"/>
      <c r="AD10" s="464"/>
    </row>
    <row r="11" spans="1:30" x14ac:dyDescent="0.2">
      <c r="A11" s="464"/>
      <c r="B11" s="493"/>
      <c r="C11" s="501" t="s">
        <v>39</v>
      </c>
      <c r="D11" s="496" t="str">
        <f>Currency&amp;$C11&amp;$D$2&amp;"="</f>
        <v>USD2MFSR=</v>
      </c>
      <c r="E11" s="500">
        <v>41570</v>
      </c>
      <c r="F11" s="499">
        <v>0.20974999999999999</v>
      </c>
      <c r="G11" s="499" t="b">
        <f>IF(AND(ISNUMBER($F11),$F11&lt;&gt;0%),TRUE,FALSE)</f>
        <v>1</v>
      </c>
      <c r="H11" s="498" t="b">
        <f>IF($G11,_xll.qlIndexAddFixings($J11,$E11,$F11/100,TRUE,ISERROR($K11)),NA())</f>
        <v>1</v>
      </c>
      <c r="I11" s="488"/>
      <c r="J11" s="497" t="str">
        <f>PROPER(Currency)&amp;$J$2&amp;$C11</f>
        <v>UsdLibor2M</v>
      </c>
      <c r="K11" s="496">
        <f>_xll.qlIndexFixing($J11,$E11,TRUE,$G11)</f>
        <v>2.0975E-3</v>
      </c>
      <c r="L11" s="496">
        <f>IF($H11,_xll.qlIndexFixing($J11,$E11,FALSE,$G11),"-")</f>
        <v>2.0975E-3</v>
      </c>
      <c r="M11" s="496">
        <f>K11-L11</f>
        <v>0</v>
      </c>
      <c r="N11" s="495">
        <f>_xll.qlIndexFixing($J11,$E11,TRUE,$L11)</f>
        <v>2.0975E-3</v>
      </c>
      <c r="O11" s="494">
        <f>IF(ISERROR(M11),0,ABS(M11))</f>
        <v>0</v>
      </c>
      <c r="P11" s="483"/>
      <c r="Q11" s="464"/>
      <c r="R11" s="464"/>
      <c r="S11" s="464"/>
      <c r="T11" s="464"/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</row>
    <row r="12" spans="1:30" x14ac:dyDescent="0.2">
      <c r="A12" s="464"/>
      <c r="B12" s="493"/>
      <c r="C12" s="501" t="s">
        <v>38</v>
      </c>
      <c r="D12" s="496" t="str">
        <f>Currency&amp;$C12&amp;$D$2&amp;"="</f>
        <v>USD3MFSR=</v>
      </c>
      <c r="E12" s="500">
        <v>41570</v>
      </c>
      <c r="F12" s="499">
        <v>0.23835000000000001</v>
      </c>
      <c r="G12" s="499" t="b">
        <f>IF(AND(ISNUMBER($F12),$F12&lt;&gt;0%),TRUE,FALSE)</f>
        <v>1</v>
      </c>
      <c r="H12" s="498" t="b">
        <f>IF($G12,_xll.qlIndexAddFixings($J12,$E12,$F12/100,TRUE,ISERROR($K12)),NA())</f>
        <v>1</v>
      </c>
      <c r="I12" s="488"/>
      <c r="J12" s="497" t="str">
        <f>PROPER(Currency)&amp;$J$2&amp;$C12</f>
        <v>UsdLibor3M</v>
      </c>
      <c r="K12" s="496">
        <f>_xll.qlIndexFixing($J12,$E12,TRUE,$G12)</f>
        <v>2.3835000000000002E-3</v>
      </c>
      <c r="L12" s="496">
        <f>IF($H12,_xll.qlIndexFixing($J12,$E12,FALSE,$G12),"-")</f>
        <v>2.3835000000000002E-3</v>
      </c>
      <c r="M12" s="496">
        <f>K12-L12</f>
        <v>0</v>
      </c>
      <c r="N12" s="495">
        <f>_xll.qlIndexFixing($J12,$E12,TRUE,$L12)</f>
        <v>2.3835000000000002E-3</v>
      </c>
      <c r="O12" s="494">
        <f>IF(ISERROR(M12),0,ABS(M12))</f>
        <v>0</v>
      </c>
      <c r="P12" s="483"/>
      <c r="Q12" s="464"/>
      <c r="R12" s="464"/>
      <c r="S12" s="464"/>
      <c r="T12" s="464"/>
      <c r="U12" s="464"/>
      <c r="V12" s="464"/>
      <c r="W12" s="464"/>
      <c r="X12" s="464"/>
      <c r="Y12" s="464"/>
      <c r="Z12" s="464"/>
      <c r="AA12" s="464"/>
      <c r="AB12" s="464"/>
      <c r="AC12" s="464"/>
      <c r="AD12" s="464"/>
    </row>
    <row r="13" spans="1:30" x14ac:dyDescent="0.2">
      <c r="A13" s="464"/>
      <c r="B13" s="493"/>
      <c r="C13" s="501" t="s">
        <v>37</v>
      </c>
      <c r="D13" s="496" t="str">
        <f>Currency&amp;$C13&amp;$D$2&amp;"="</f>
        <v>USD4MFSR=</v>
      </c>
      <c r="E13" s="500">
        <v>41428</v>
      </c>
      <c r="F13" s="499">
        <v>0</v>
      </c>
      <c r="G13" s="499" t="b">
        <f>IF(AND(ISNUMBER($F13),$F13&lt;&gt;0%),TRUE,FALSE)</f>
        <v>0</v>
      </c>
      <c r="H13" s="498" t="e">
        <f>IF($G13,_xll.qlIndexAddFixings($J13,$E13,$F13/100,TRUE,ISERROR($K13)),NA())</f>
        <v>#N/A</v>
      </c>
      <c r="I13" s="488"/>
      <c r="J13" s="497" t="str">
        <f>PROPER(Currency)&amp;$J$2&amp;$C13</f>
        <v>UsdLibor4M</v>
      </c>
      <c r="K13" s="496" t="e">
        <f>_xll.qlIndexFixing($J13,$E13,TRUE,$G13)</f>
        <v>#NUM!</v>
      </c>
      <c r="L13" s="496" t="e">
        <f>IF($H13,_xll.qlIndexFixing($J13,$E13,FALSE,$G13),"-")</f>
        <v>#N/A</v>
      </c>
      <c r="M13" s="496" t="e">
        <f>K13-L13</f>
        <v>#NUM!</v>
      </c>
      <c r="N13" s="495" t="e">
        <f>_xll.qlIndexFixing($J13,$E13,TRUE,$L13)</f>
        <v>#NUM!</v>
      </c>
      <c r="O13" s="494">
        <f>IF(ISERROR(M13),0,ABS(M13))</f>
        <v>0</v>
      </c>
      <c r="P13" s="483"/>
      <c r="Q13" s="464"/>
      <c r="R13" s="464"/>
      <c r="S13" s="464"/>
      <c r="T13" s="464"/>
      <c r="U13" s="464"/>
      <c r="V13" s="464"/>
      <c r="W13" s="464"/>
      <c r="X13" s="464"/>
      <c r="Y13" s="464"/>
      <c r="Z13" s="464"/>
      <c r="AA13" s="464"/>
      <c r="AB13" s="464"/>
      <c r="AC13" s="464"/>
      <c r="AD13" s="464"/>
    </row>
    <row r="14" spans="1:30" x14ac:dyDescent="0.2">
      <c r="A14" s="464"/>
      <c r="B14" s="493"/>
      <c r="C14" s="501" t="s">
        <v>36</v>
      </c>
      <c r="D14" s="496" t="str">
        <f>Currency&amp;$C14&amp;$D$2&amp;"="</f>
        <v>USD5MFSR=</v>
      </c>
      <c r="E14" s="500">
        <v>41428</v>
      </c>
      <c r="F14" s="499">
        <v>0</v>
      </c>
      <c r="G14" s="499" t="b">
        <f>IF(AND(ISNUMBER($F14),$F14&lt;&gt;0%),TRUE,FALSE)</f>
        <v>0</v>
      </c>
      <c r="H14" s="498" t="e">
        <f>IF($G14,_xll.qlIndexAddFixings($J14,$E14,$F14/100,TRUE,ISERROR($K14)),NA())</f>
        <v>#N/A</v>
      </c>
      <c r="I14" s="488"/>
      <c r="J14" s="497" t="str">
        <f>PROPER(Currency)&amp;$J$2&amp;$C14</f>
        <v>UsdLibor5M</v>
      </c>
      <c r="K14" s="496" t="e">
        <f>_xll.qlIndexFixing($J14,$E14,TRUE,$G14)</f>
        <v>#NUM!</v>
      </c>
      <c r="L14" s="496" t="e">
        <f>IF($H14,_xll.qlIndexFixing($J14,$E14,FALSE,$G14),"-")</f>
        <v>#N/A</v>
      </c>
      <c r="M14" s="496" t="e">
        <f>K14-L14</f>
        <v>#NUM!</v>
      </c>
      <c r="N14" s="495" t="e">
        <f>_xll.qlIndexFixing($J14,$E14,TRUE,$L14)</f>
        <v>#NUM!</v>
      </c>
      <c r="O14" s="494">
        <f>IF(ISERROR(M14),0,ABS(M14))</f>
        <v>0</v>
      </c>
      <c r="P14" s="483"/>
      <c r="Q14" s="464"/>
      <c r="R14" s="464"/>
      <c r="S14" s="464"/>
      <c r="T14" s="464"/>
      <c r="U14" s="464"/>
      <c r="V14" s="464"/>
      <c r="W14" s="464"/>
      <c r="X14" s="464"/>
      <c r="Y14" s="464"/>
      <c r="Z14" s="464"/>
      <c r="AA14" s="464"/>
      <c r="AB14" s="464"/>
      <c r="AC14" s="464"/>
      <c r="AD14" s="464"/>
    </row>
    <row r="15" spans="1:30" x14ac:dyDescent="0.2">
      <c r="A15" s="464"/>
      <c r="B15" s="493"/>
      <c r="C15" s="501" t="s">
        <v>35</v>
      </c>
      <c r="D15" s="496" t="str">
        <f>Currency&amp;$C15&amp;$D$2&amp;"="</f>
        <v>USD6MFSR=</v>
      </c>
      <c r="E15" s="500">
        <v>41570</v>
      </c>
      <c r="F15" s="499">
        <v>0.35570000000000002</v>
      </c>
      <c r="G15" s="499" t="b">
        <f>IF(AND(ISNUMBER($F15),$F15&lt;&gt;0%),TRUE,FALSE)</f>
        <v>1</v>
      </c>
      <c r="H15" s="498" t="b">
        <f>IF($G15,_xll.qlIndexAddFixings($J15,$E15,$F15/100,TRUE,ISERROR($K15)),NA())</f>
        <v>1</v>
      </c>
      <c r="I15" s="488"/>
      <c r="J15" s="497" t="str">
        <f>PROPER(Currency)&amp;$J$2&amp;$C15</f>
        <v>UsdLibor6M</v>
      </c>
      <c r="K15" s="496">
        <f>_xll.qlIndexFixing($J15,$E15,TRUE,$G15)</f>
        <v>3.5570000000000003E-3</v>
      </c>
      <c r="L15" s="496">
        <f>IF($H15,_xll.qlIndexFixing($J15,$E15,FALSE,$G15),"-")</f>
        <v>3.5570000000000003E-3</v>
      </c>
      <c r="M15" s="496">
        <f>K15-L15</f>
        <v>0</v>
      </c>
      <c r="N15" s="495">
        <f>_xll.qlIndexFixing($J15,$E15,TRUE,$L15)</f>
        <v>3.5570000000000003E-3</v>
      </c>
      <c r="O15" s="494">
        <f>IF(ISERROR(M15),0,ABS(M15))</f>
        <v>0</v>
      </c>
      <c r="P15" s="483"/>
      <c r="Q15" s="464"/>
      <c r="R15" s="464"/>
      <c r="S15" s="464"/>
      <c r="T15" s="464"/>
      <c r="U15" s="464"/>
      <c r="V15" s="464"/>
      <c r="W15" s="464"/>
      <c r="X15" s="464"/>
      <c r="Y15" s="464"/>
      <c r="Z15" s="464"/>
      <c r="AA15" s="464"/>
      <c r="AB15" s="464"/>
      <c r="AC15" s="464"/>
      <c r="AD15" s="464"/>
    </row>
    <row r="16" spans="1:30" x14ac:dyDescent="0.2">
      <c r="A16" s="464"/>
      <c r="B16" s="493"/>
      <c r="C16" s="501" t="s">
        <v>34</v>
      </c>
      <c r="D16" s="496" t="str">
        <f>Currency&amp;$C16&amp;$D$2&amp;"="</f>
        <v>USD7MFSR=</v>
      </c>
      <c r="E16" s="500">
        <v>41428</v>
      </c>
      <c r="F16" s="499">
        <v>0</v>
      </c>
      <c r="G16" s="499" t="b">
        <f>IF(AND(ISNUMBER($F16),$F16&lt;&gt;0%),TRUE,FALSE)</f>
        <v>0</v>
      </c>
      <c r="H16" s="498" t="e">
        <f>IF($G16,_xll.qlIndexAddFixings($J16,$E16,$F16/100,TRUE,ISERROR($K16)),NA())</f>
        <v>#N/A</v>
      </c>
      <c r="I16" s="488"/>
      <c r="J16" s="497" t="str">
        <f>PROPER(Currency)&amp;$J$2&amp;$C16</f>
        <v>UsdLibor7M</v>
      </c>
      <c r="K16" s="496" t="e">
        <f>_xll.qlIndexFixing($J16,$E16,TRUE,$G16)</f>
        <v>#NUM!</v>
      </c>
      <c r="L16" s="496" t="e">
        <f>IF($H16,_xll.qlIndexFixing($J16,$E16,FALSE,$G16),"-")</f>
        <v>#N/A</v>
      </c>
      <c r="M16" s="496" t="e">
        <f>K16-L16</f>
        <v>#NUM!</v>
      </c>
      <c r="N16" s="495" t="e">
        <f>_xll.qlIndexFixing($J16,$E16,TRUE,$L16)</f>
        <v>#NUM!</v>
      </c>
      <c r="O16" s="494">
        <f>IF(ISERROR(M16),0,ABS(M16))</f>
        <v>0</v>
      </c>
      <c r="P16" s="483"/>
      <c r="Q16" s="464"/>
      <c r="R16" s="464"/>
      <c r="S16" s="464"/>
      <c r="T16" s="464"/>
      <c r="U16" s="464"/>
      <c r="V16" s="464"/>
      <c r="W16" s="464"/>
      <c r="X16" s="464"/>
      <c r="Y16" s="464"/>
      <c r="Z16" s="464"/>
      <c r="AA16" s="464"/>
      <c r="AB16" s="464"/>
      <c r="AC16" s="464"/>
      <c r="AD16" s="464"/>
    </row>
    <row r="17" spans="1:30" x14ac:dyDescent="0.2">
      <c r="A17" s="464"/>
      <c r="B17" s="493"/>
      <c r="C17" s="501" t="s">
        <v>33</v>
      </c>
      <c r="D17" s="496" t="str">
        <f>Currency&amp;$C17&amp;$D$2&amp;"="</f>
        <v>USD8MFSR=</v>
      </c>
      <c r="E17" s="500">
        <v>41428</v>
      </c>
      <c r="F17" s="499">
        <v>0</v>
      </c>
      <c r="G17" s="499" t="b">
        <f>IF(AND(ISNUMBER($F17),$F17&lt;&gt;0%),TRUE,FALSE)</f>
        <v>0</v>
      </c>
      <c r="H17" s="498" t="e">
        <f>IF($G17,_xll.qlIndexAddFixings($J17,$E17,$F17/100,TRUE,ISERROR($K17)),NA())</f>
        <v>#N/A</v>
      </c>
      <c r="I17" s="488"/>
      <c r="J17" s="497" t="str">
        <f>PROPER(Currency)&amp;$J$2&amp;$C17</f>
        <v>UsdLibor8M</v>
      </c>
      <c r="K17" s="496" t="e">
        <f>_xll.qlIndexFixing($J17,$E17,TRUE,$G17)</f>
        <v>#NUM!</v>
      </c>
      <c r="L17" s="496" t="e">
        <f>IF($H17,_xll.qlIndexFixing($J17,$E17,FALSE,$G17),"-")</f>
        <v>#N/A</v>
      </c>
      <c r="M17" s="496" t="e">
        <f>K17-L17</f>
        <v>#NUM!</v>
      </c>
      <c r="N17" s="495" t="e">
        <f>_xll.qlIndexFixing($J17,$E17,TRUE,$L17)</f>
        <v>#NUM!</v>
      </c>
      <c r="O17" s="494">
        <f>IF(ISERROR(M17),0,ABS(M17))</f>
        <v>0</v>
      </c>
      <c r="P17" s="483"/>
      <c r="Q17" s="464"/>
      <c r="R17" s="464"/>
      <c r="S17" s="464"/>
      <c r="T17" s="464"/>
      <c r="U17" s="464"/>
      <c r="V17" s="464"/>
      <c r="W17" s="464"/>
      <c r="X17" s="464"/>
      <c r="Y17" s="464"/>
      <c r="Z17" s="464"/>
      <c r="AA17" s="464"/>
      <c r="AB17" s="464"/>
      <c r="AC17" s="464"/>
      <c r="AD17" s="464"/>
    </row>
    <row r="18" spans="1:30" x14ac:dyDescent="0.2">
      <c r="A18" s="464"/>
      <c r="B18" s="493"/>
      <c r="C18" s="501" t="s">
        <v>32</v>
      </c>
      <c r="D18" s="496" t="str">
        <f>Currency&amp;$C18&amp;$D$2&amp;"="</f>
        <v>USD9MFSR=</v>
      </c>
      <c r="E18" s="500">
        <v>41428</v>
      </c>
      <c r="F18" s="499">
        <v>0</v>
      </c>
      <c r="G18" s="499" t="b">
        <f>IF(AND(ISNUMBER($F18),$F18&lt;&gt;0%),TRUE,FALSE)</f>
        <v>0</v>
      </c>
      <c r="H18" s="498" t="e">
        <f>IF($G18,_xll.qlIndexAddFixings($J18,$E18,$F18/100,TRUE,ISERROR($K18)),NA())</f>
        <v>#N/A</v>
      </c>
      <c r="I18" s="488"/>
      <c r="J18" s="497" t="str">
        <f>PROPER(Currency)&amp;$J$2&amp;$C18</f>
        <v>UsdLibor9M</v>
      </c>
      <c r="K18" s="496" t="e">
        <f>_xll.qlIndexFixing($J18,$E18,TRUE,$G18)</f>
        <v>#NUM!</v>
      </c>
      <c r="L18" s="496" t="e">
        <f>IF($H18,_xll.qlIndexFixing($J18,$E18,FALSE,$G18),"-")</f>
        <v>#N/A</v>
      </c>
      <c r="M18" s="496" t="e">
        <f>K18-L18</f>
        <v>#NUM!</v>
      </c>
      <c r="N18" s="495" t="e">
        <f>_xll.qlIndexFixing($J18,$E18,TRUE,$L18)</f>
        <v>#NUM!</v>
      </c>
      <c r="O18" s="494">
        <f>IF(ISERROR(M18),0,ABS(M18))</f>
        <v>0</v>
      </c>
      <c r="P18" s="483"/>
      <c r="Q18" s="464"/>
      <c r="R18" s="464"/>
      <c r="S18" s="464"/>
      <c r="T18" s="464"/>
      <c r="U18" s="464"/>
      <c r="V18" s="464"/>
      <c r="W18" s="464"/>
      <c r="X18" s="464"/>
      <c r="Y18" s="464"/>
      <c r="Z18" s="464"/>
      <c r="AA18" s="464"/>
      <c r="AB18" s="464"/>
      <c r="AC18" s="464"/>
      <c r="AD18" s="464"/>
    </row>
    <row r="19" spans="1:30" x14ac:dyDescent="0.2">
      <c r="A19" s="464"/>
      <c r="B19" s="493"/>
      <c r="C19" s="501" t="s">
        <v>31</v>
      </c>
      <c r="D19" s="496" t="str">
        <f>Currency&amp;$C19&amp;$D$2&amp;"="</f>
        <v>USD10MFSR=</v>
      </c>
      <c r="E19" s="500">
        <v>41428</v>
      </c>
      <c r="F19" s="499">
        <v>0</v>
      </c>
      <c r="G19" s="499" t="b">
        <f>IF(AND(ISNUMBER($F19),$F19&lt;&gt;0%),TRUE,FALSE)</f>
        <v>0</v>
      </c>
      <c r="H19" s="498" t="e">
        <f>IF($G19,_xll.qlIndexAddFixings($J19,$E19,$F19/100,TRUE,ISERROR($K19)),NA())</f>
        <v>#N/A</v>
      </c>
      <c r="I19" s="488"/>
      <c r="J19" s="497" t="str">
        <f>PROPER(Currency)&amp;$J$2&amp;$C19</f>
        <v>UsdLibor10M</v>
      </c>
      <c r="K19" s="496" t="e">
        <f>_xll.qlIndexFixing($J19,$E19,TRUE,$G19)</f>
        <v>#NUM!</v>
      </c>
      <c r="L19" s="496" t="e">
        <f>IF($H19,_xll.qlIndexFixing($J19,$E19,FALSE,$G19),"-")</f>
        <v>#N/A</v>
      </c>
      <c r="M19" s="496" t="e">
        <f>K19-L19</f>
        <v>#NUM!</v>
      </c>
      <c r="N19" s="495" t="e">
        <f>_xll.qlIndexFixing($J19,$E19,TRUE,$L19)</f>
        <v>#NUM!</v>
      </c>
      <c r="O19" s="494">
        <f>IF(ISERROR(M19),0,ABS(M19))</f>
        <v>0</v>
      </c>
      <c r="P19" s="483"/>
      <c r="Q19" s="464"/>
      <c r="R19" s="464"/>
      <c r="S19" s="464"/>
      <c r="T19" s="464"/>
      <c r="U19" s="464"/>
      <c r="V19" s="464"/>
      <c r="W19" s="464"/>
      <c r="X19" s="464"/>
      <c r="Y19" s="464"/>
      <c r="Z19" s="464"/>
      <c r="AA19" s="464"/>
      <c r="AB19" s="464"/>
      <c r="AC19" s="464"/>
      <c r="AD19" s="464"/>
    </row>
    <row r="20" spans="1:30" x14ac:dyDescent="0.2">
      <c r="A20" s="464"/>
      <c r="B20" s="493"/>
      <c r="C20" s="501" t="s">
        <v>30</v>
      </c>
      <c r="D20" s="496" t="str">
        <f>Currency&amp;$C20&amp;$D$2&amp;"="</f>
        <v>USD11MFSR=</v>
      </c>
      <c r="E20" s="500">
        <v>41428</v>
      </c>
      <c r="F20" s="499">
        <v>0</v>
      </c>
      <c r="G20" s="499" t="b">
        <f>IF(AND(ISNUMBER($F20),$F20&lt;&gt;0%),TRUE,FALSE)</f>
        <v>0</v>
      </c>
      <c r="H20" s="498" t="e">
        <f>IF($G20,_xll.qlIndexAddFixings($J20,$E20,$F20/100,TRUE,ISERROR($K20)),NA())</f>
        <v>#N/A</v>
      </c>
      <c r="I20" s="488"/>
      <c r="J20" s="497" t="str">
        <f>PROPER(Currency)&amp;$J$2&amp;$C20</f>
        <v>UsdLibor11M</v>
      </c>
      <c r="K20" s="496" t="e">
        <f>_xll.qlIndexFixing($J20,$E20,TRUE,$G20)</f>
        <v>#NUM!</v>
      </c>
      <c r="L20" s="496" t="e">
        <f>IF($H20,_xll.qlIndexFixing($J20,$E20,FALSE,$G20),"-")</f>
        <v>#N/A</v>
      </c>
      <c r="M20" s="496" t="e">
        <f>K20-L20</f>
        <v>#NUM!</v>
      </c>
      <c r="N20" s="495" t="e">
        <f>_xll.qlIndexFixing($J20,$E20,TRUE,$L20)</f>
        <v>#NUM!</v>
      </c>
      <c r="O20" s="494">
        <f>IF(ISERROR(M20),0,ABS(M20))</f>
        <v>0</v>
      </c>
      <c r="P20" s="483"/>
      <c r="Q20" s="464"/>
      <c r="R20" s="464"/>
      <c r="S20" s="464"/>
      <c r="T20" s="464"/>
      <c r="U20" s="464"/>
      <c r="V20" s="464"/>
      <c r="W20" s="464"/>
      <c r="X20" s="464"/>
      <c r="Y20" s="464"/>
      <c r="Z20" s="464"/>
      <c r="AA20" s="464"/>
      <c r="AB20" s="464"/>
      <c r="AC20" s="464"/>
      <c r="AD20" s="464"/>
    </row>
    <row r="21" spans="1:30" x14ac:dyDescent="0.2">
      <c r="A21" s="464"/>
      <c r="B21" s="493"/>
      <c r="C21" s="492" t="s">
        <v>29</v>
      </c>
      <c r="D21" s="486" t="str">
        <f>Currency&amp;$C21&amp;$D$2&amp;"="</f>
        <v>USD1YFSR=</v>
      </c>
      <c r="E21" s="491">
        <v>41570</v>
      </c>
      <c r="F21" s="490">
        <v>0.60860000000000003</v>
      </c>
      <c r="G21" s="490" t="b">
        <f>IF(AND(ISNUMBER($F21),$F21&lt;&gt;0%),TRUE,FALSE)</f>
        <v>1</v>
      </c>
      <c r="H21" s="489" t="b">
        <f>IF($G21,_xll.qlIndexAddFixings($J21,$E21,$F21/100,TRUE,ISERROR($K21)),NA())</f>
        <v>1</v>
      </c>
      <c r="I21" s="488"/>
      <c r="J21" s="487" t="str">
        <f>PROPER(Currency)&amp;$J$2&amp;$C21</f>
        <v>UsdLibor1Y</v>
      </c>
      <c r="K21" s="486">
        <f>_xll.qlIndexFixing($J21,$E21,TRUE,$G21)</f>
        <v>6.0860000000000003E-3</v>
      </c>
      <c r="L21" s="486">
        <f>IF($H21,_xll.qlIndexFixing($J21,$E21,FALSE,$G21),"-")</f>
        <v>6.0860000000000003E-3</v>
      </c>
      <c r="M21" s="486">
        <f>K21-L21</f>
        <v>0</v>
      </c>
      <c r="N21" s="485">
        <f>_xll.qlIndexFixing($J21,$E21,TRUE,$L21)</f>
        <v>6.0860000000000003E-3</v>
      </c>
      <c r="O21" s="484">
        <f>IF(ISERROR(M21),0,ABS(M21))</f>
        <v>0</v>
      </c>
      <c r="P21" s="483"/>
      <c r="Q21" s="464"/>
      <c r="R21" s="464"/>
      <c r="S21" s="464"/>
      <c r="T21" s="464"/>
      <c r="U21" s="464"/>
      <c r="V21" s="464"/>
      <c r="W21" s="464"/>
      <c r="X21" s="464"/>
      <c r="Y21" s="464"/>
      <c r="Z21" s="464"/>
      <c r="AA21" s="464"/>
      <c r="AB21" s="464"/>
      <c r="AC21" s="464"/>
      <c r="AD21" s="464"/>
    </row>
    <row r="22" spans="1:30" ht="12" thickBot="1" x14ac:dyDescent="0.25">
      <c r="A22" s="464"/>
      <c r="B22" s="482"/>
      <c r="C22" s="479"/>
      <c r="D22" s="479"/>
      <c r="E22" s="481"/>
      <c r="F22" s="480"/>
      <c r="G22" s="480"/>
      <c r="H22" s="479"/>
      <c r="I22" s="479"/>
      <c r="J22" s="479"/>
      <c r="K22" s="479"/>
      <c r="L22" s="479"/>
      <c r="M22" s="479"/>
      <c r="N22" s="479"/>
      <c r="O22" s="479"/>
      <c r="P22" s="478"/>
      <c r="Q22" s="464"/>
      <c r="R22" s="464"/>
      <c r="S22" s="464"/>
      <c r="T22" s="464"/>
      <c r="U22" s="464"/>
      <c r="V22" s="464"/>
      <c r="W22" s="464"/>
      <c r="X22" s="464"/>
      <c r="Y22" s="464"/>
      <c r="Z22" s="464"/>
      <c r="AA22" s="464"/>
      <c r="AB22" s="464"/>
      <c r="AC22" s="464"/>
      <c r="AD22" s="464"/>
    </row>
    <row r="23" spans="1:30" ht="12" thickBot="1" x14ac:dyDescent="0.25">
      <c r="A23" s="464"/>
      <c r="B23" s="464"/>
      <c r="C23" s="464"/>
      <c r="D23" s="464"/>
      <c r="E23" s="477"/>
      <c r="F23" s="476"/>
      <c r="G23" s="476"/>
      <c r="H23" s="464"/>
      <c r="I23" s="464"/>
      <c r="J23" s="464"/>
      <c r="K23" s="464"/>
      <c r="L23" s="464"/>
      <c r="M23" s="464"/>
      <c r="N23" s="464"/>
      <c r="O23" s="464"/>
      <c r="P23" s="464"/>
      <c r="Q23" s="464"/>
      <c r="R23" s="464"/>
      <c r="S23" s="464"/>
      <c r="T23" s="464"/>
      <c r="U23" s="464"/>
      <c r="V23" s="464"/>
      <c r="W23" s="464"/>
      <c r="X23" s="464"/>
      <c r="Y23" s="464"/>
      <c r="Z23" s="464"/>
      <c r="AA23" s="464"/>
      <c r="AB23" s="464"/>
      <c r="AC23" s="464"/>
      <c r="AD23" s="464"/>
    </row>
    <row r="24" spans="1:30" s="464" customFormat="1" x14ac:dyDescent="0.2">
      <c r="C24" s="475" t="s">
        <v>132</v>
      </c>
      <c r="D24" s="474" t="s">
        <v>253</v>
      </c>
      <c r="E24" s="473" t="s">
        <v>48</v>
      </c>
      <c r="F24" s="472"/>
    </row>
    <row r="25" spans="1:30" s="464" customFormat="1" x14ac:dyDescent="0.2">
      <c r="C25" s="470" t="s">
        <v>131</v>
      </c>
      <c r="D25" s="469" t="s">
        <v>253</v>
      </c>
      <c r="E25" s="468" t="s">
        <v>48</v>
      </c>
      <c r="J25" s="471"/>
    </row>
    <row r="26" spans="1:30" s="464" customFormat="1" x14ac:dyDescent="0.2">
      <c r="C26" s="470" t="s">
        <v>317</v>
      </c>
      <c r="D26" s="469" t="s">
        <v>253</v>
      </c>
      <c r="E26" s="468" t="s">
        <v>48</v>
      </c>
      <c r="J26" s="471"/>
    </row>
    <row r="27" spans="1:30" s="464" customFormat="1" x14ac:dyDescent="0.2">
      <c r="C27" s="470" t="s">
        <v>316</v>
      </c>
      <c r="D27" s="469" t="s">
        <v>253</v>
      </c>
      <c r="E27" s="468" t="s">
        <v>48</v>
      </c>
      <c r="J27" s="471"/>
    </row>
    <row r="28" spans="1:30" s="464" customFormat="1" x14ac:dyDescent="0.2">
      <c r="C28" s="470" t="s">
        <v>128</v>
      </c>
      <c r="D28" s="469" t="s">
        <v>253</v>
      </c>
      <c r="E28" s="468" t="s">
        <v>48</v>
      </c>
    </row>
    <row r="29" spans="1:30" s="464" customFormat="1" x14ac:dyDescent="0.2">
      <c r="C29" s="470" t="s">
        <v>127</v>
      </c>
      <c r="D29" s="469" t="s">
        <v>253</v>
      </c>
      <c r="E29" s="468" t="s">
        <v>48</v>
      </c>
    </row>
    <row r="30" spans="1:30" s="464" customFormat="1" ht="12" thickBot="1" x14ac:dyDescent="0.25">
      <c r="C30" s="467" t="s">
        <v>122</v>
      </c>
      <c r="D30" s="466" t="s">
        <v>253</v>
      </c>
      <c r="E30" s="465" t="s">
        <v>48</v>
      </c>
    </row>
    <row r="31" spans="1:30" s="464" customFormat="1" x14ac:dyDescent="0.2"/>
    <row r="32" spans="1:30" s="464" customFormat="1" x14ac:dyDescent="0.2"/>
    <row r="33" s="464" customFormat="1" x14ac:dyDescent="0.2"/>
    <row r="34" s="464" customFormat="1" x14ac:dyDescent="0.2"/>
    <row r="35" s="464" customFormat="1" x14ac:dyDescent="0.2"/>
    <row r="36" s="464" customFormat="1" x14ac:dyDescent="0.2"/>
    <row r="37" s="464" customFormat="1" x14ac:dyDescent="0.2"/>
    <row r="38" s="464" customFormat="1" x14ac:dyDescent="0.2"/>
    <row r="39" s="464" customFormat="1" x14ac:dyDescent="0.2"/>
    <row r="40" s="464" customFormat="1" x14ac:dyDescent="0.2"/>
    <row r="41" s="464" customFormat="1" x14ac:dyDescent="0.2"/>
  </sheetData>
  <conditionalFormatting sqref="M4:M21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63" customWidth="1"/>
    <col min="3" max="3" width="5.7109375" style="463" bestFit="1" customWidth="1"/>
    <col min="4" max="4" width="10.85546875" style="463" bestFit="1" customWidth="1"/>
    <col min="5" max="5" width="16" style="463" bestFit="1" customWidth="1"/>
    <col min="6" max="6" width="9.85546875" style="463" customWidth="1"/>
    <col min="7" max="7" width="6" style="463" bestFit="1" customWidth="1"/>
    <col min="8" max="8" width="5.5703125" style="463" bestFit="1" customWidth="1"/>
    <col min="9" max="9" width="3.5703125" style="463" customWidth="1"/>
    <col min="10" max="10" width="22.5703125" style="463" bestFit="1" customWidth="1"/>
    <col min="11" max="11" width="11.42578125" style="463" bestFit="1" customWidth="1"/>
    <col min="12" max="12" width="8.7109375" style="463" bestFit="1" customWidth="1"/>
    <col min="13" max="13" width="7.7109375" style="463" bestFit="1" customWidth="1"/>
    <col min="14" max="14" width="10" style="463" bestFit="1" customWidth="1"/>
    <col min="15" max="15" width="7.140625" style="463" bestFit="1" customWidth="1"/>
    <col min="16" max="17" width="3.5703125" style="463" customWidth="1"/>
    <col min="18" max="18" width="4" style="463" bestFit="1" customWidth="1"/>
    <col min="19" max="19" width="5.28515625" style="463" bestFit="1" customWidth="1"/>
    <col min="20" max="20" width="16" style="463" bestFit="1" customWidth="1"/>
    <col min="21" max="16384" width="9.140625" style="463"/>
  </cols>
  <sheetData>
    <row r="1" spans="1:30" ht="12" thickBot="1" x14ac:dyDescent="0.25">
      <c r="A1" s="560" t="s">
        <v>342</v>
      </c>
      <c r="B1" s="464"/>
      <c r="C1" s="464"/>
      <c r="D1" s="469"/>
      <c r="E1" s="477"/>
      <c r="F1" s="523"/>
      <c r="G1" s="523"/>
      <c r="H1" s="464"/>
      <c r="I1" s="469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0" ht="19.5" x14ac:dyDescent="0.4">
      <c r="A2" s="464"/>
      <c r="B2" s="522"/>
      <c r="C2" s="516"/>
      <c r="D2" s="521" t="str">
        <f>VLOOKUP(Currency,Traits,2,FALSE)</f>
        <v>SFIX</v>
      </c>
      <c r="E2" s="520"/>
      <c r="F2" s="519"/>
      <c r="G2" s="519"/>
      <c r="H2" s="516"/>
      <c r="I2" s="516"/>
      <c r="J2" s="518" t="str">
        <f>VLOOKUP(Currency,Traits,3,FALSE)</f>
        <v>LiborSwapIsdaFixAm</v>
      </c>
      <c r="K2" s="516"/>
      <c r="L2" s="516"/>
      <c r="M2" s="517">
        <f>MAX(O4:O19)</f>
        <v>0</v>
      </c>
      <c r="N2" s="516"/>
      <c r="O2" s="516"/>
      <c r="P2" s="515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0" ht="22.5" x14ac:dyDescent="0.2">
      <c r="A3" s="464"/>
      <c r="B3" s="493"/>
      <c r="C3" s="513" t="s">
        <v>47</v>
      </c>
      <c r="D3" s="512" t="e">
        <f ca="1">_xll.RData(D4:D18,E3:F3,"RTFEED:IDN",,,E4)</f>
        <v>#NAME?</v>
      </c>
      <c r="E3" s="512" t="s">
        <v>324</v>
      </c>
      <c r="F3" s="512" t="s">
        <v>330</v>
      </c>
      <c r="G3" s="512" t="s">
        <v>323</v>
      </c>
      <c r="H3" s="511" t="s">
        <v>322</v>
      </c>
      <c r="I3" s="514"/>
      <c r="J3" s="513" t="s">
        <v>264</v>
      </c>
      <c r="K3" s="512" t="s">
        <v>321</v>
      </c>
      <c r="L3" s="512" t="s">
        <v>320</v>
      </c>
      <c r="M3" s="512" t="s">
        <v>319</v>
      </c>
      <c r="N3" s="511" t="s">
        <v>318</v>
      </c>
      <c r="O3" s="510"/>
      <c r="P3" s="483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0" x14ac:dyDescent="0.2">
      <c r="A4" s="464"/>
      <c r="B4" s="493"/>
      <c r="C4" s="509" t="s">
        <v>29</v>
      </c>
      <c r="D4" s="504" t="str">
        <f>Currency&amp;$D$2&amp;$C4&amp;"="</f>
        <v>USDSFIX1Y=</v>
      </c>
      <c r="E4" s="508">
        <v>41570</v>
      </c>
      <c r="F4" s="507">
        <v>0.29699999999999999</v>
      </c>
      <c r="G4" s="507" t="b">
        <f>IF(AND(ISNUMBER($F4),$F4&lt;&gt;0%),TRUE,FALSE)</f>
        <v>1</v>
      </c>
      <c r="H4" s="506" t="b">
        <f>IF($G4,_xll.qlIndexAddFixings($J4,$E4,$F4/100,TRUE,ISERROR($K4)),NA())</f>
        <v>1</v>
      </c>
      <c r="I4" s="488"/>
      <c r="J4" s="505" t="str">
        <f>PROPER(Currency)&amp;$J$2&amp;$C4</f>
        <v>UsdLiborSwapIsdaFixAm1Y</v>
      </c>
      <c r="K4" s="504">
        <f>_xll.qlIndexFixing($J4,$E4,TRUE,$G4)</f>
        <v>2.97E-3</v>
      </c>
      <c r="L4" s="504">
        <f>IF($H4,_xll.qlIndexFixing($J4,$E4,FALSE,$G4),"-")</f>
        <v>2.97E-3</v>
      </c>
      <c r="M4" s="504">
        <f>K4-L4</f>
        <v>0</v>
      </c>
      <c r="N4" s="503">
        <f>_xll.qlIndexFixing($J4,$E4,TRUE,$L4)</f>
        <v>2.97E-3</v>
      </c>
      <c r="O4" s="527">
        <f>IF(ISERROR(M4),0,ABS(M4))</f>
        <v>0</v>
      </c>
      <c r="P4" s="483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</row>
    <row r="5" spans="1:30" x14ac:dyDescent="0.2">
      <c r="A5" s="464"/>
      <c r="B5" s="493"/>
      <c r="C5" s="501" t="s">
        <v>108</v>
      </c>
      <c r="D5" s="496" t="str">
        <f>Currency&amp;$D$2&amp;$C5&amp;"="</f>
        <v>USDSFIX2Y=</v>
      </c>
      <c r="E5" s="500">
        <v>41570</v>
      </c>
      <c r="F5" s="499">
        <v>0.42899999999999999</v>
      </c>
      <c r="G5" s="499" t="b">
        <f>IF(AND(ISNUMBER($F5),$F5&lt;&gt;0%),TRUE,FALSE)</f>
        <v>1</v>
      </c>
      <c r="H5" s="498" t="b">
        <f>IF($G5,_xll.qlIndexAddFixings($J5,$E5,$F5/100,TRUE,ISERROR($K5)),NA())</f>
        <v>1</v>
      </c>
      <c r="I5" s="488"/>
      <c r="J5" s="497" t="str">
        <f>PROPER(Currency)&amp;$J$2&amp;$C5</f>
        <v>UsdLiborSwapIsdaFixAm2Y</v>
      </c>
      <c r="K5" s="496">
        <f>_xll.qlIndexFixing($J5,$E5,TRUE,$G5)</f>
        <v>4.2899999999999995E-3</v>
      </c>
      <c r="L5" s="496">
        <f>IF($H5,_xll.qlIndexFixing($J5,$E5,FALSE,$G5),"-")</f>
        <v>4.2899999999999995E-3</v>
      </c>
      <c r="M5" s="496">
        <f>K5-L5</f>
        <v>0</v>
      </c>
      <c r="N5" s="495">
        <f>_xll.qlIndexFixing($J5,$E5,TRUE,$L5)</f>
        <v>4.2899999999999995E-3</v>
      </c>
      <c r="O5" s="527">
        <f>IF(ISERROR(M5),0,ABS(M5))</f>
        <v>0</v>
      </c>
      <c r="P5" s="483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</row>
    <row r="6" spans="1:30" x14ac:dyDescent="0.2">
      <c r="A6" s="464"/>
      <c r="B6" s="493"/>
      <c r="C6" s="501" t="s">
        <v>107</v>
      </c>
      <c r="D6" s="496" t="str">
        <f>Currency&amp;$D$2&amp;$C6&amp;"="</f>
        <v>USDSFIX3Y=</v>
      </c>
      <c r="E6" s="500">
        <v>41570</v>
      </c>
      <c r="F6" s="499">
        <v>0.68799999999999994</v>
      </c>
      <c r="G6" s="499" t="b">
        <f>IF(AND(ISNUMBER($F6),$F6&lt;&gt;0%),TRUE,FALSE)</f>
        <v>1</v>
      </c>
      <c r="H6" s="498" t="b">
        <f>IF($G6,_xll.qlIndexAddFixings($J6,$E6,$F6/100,TRUE,ISERROR($K6)),NA())</f>
        <v>1</v>
      </c>
      <c r="I6" s="488"/>
      <c r="J6" s="497" t="str">
        <f>PROPER(Currency)&amp;$J$2&amp;$C6</f>
        <v>UsdLiborSwapIsdaFixAm3Y</v>
      </c>
      <c r="K6" s="496">
        <f>_xll.qlIndexFixing($J6,$E6,TRUE,$G6)</f>
        <v>6.8799999999999998E-3</v>
      </c>
      <c r="L6" s="496">
        <f>IF($H6,_xll.qlIndexFixing($J6,$E6,FALSE,$G6),"-")</f>
        <v>6.8799999999999998E-3</v>
      </c>
      <c r="M6" s="496">
        <f>K6-L6</f>
        <v>0</v>
      </c>
      <c r="N6" s="495">
        <f>_xll.qlIndexFixing($J6,$E6,TRUE,$L6)</f>
        <v>6.8799999999999998E-3</v>
      </c>
      <c r="O6" s="527">
        <f>IF(ISERROR(M6),0,ABS(M6))</f>
        <v>0</v>
      </c>
      <c r="P6" s="483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</row>
    <row r="7" spans="1:30" x14ac:dyDescent="0.2">
      <c r="A7" s="464"/>
      <c r="B7" s="493"/>
      <c r="C7" s="501" t="s">
        <v>106</v>
      </c>
      <c r="D7" s="496" t="str">
        <f>Currency&amp;$D$2&amp;$C7&amp;"="</f>
        <v>USDSFIX4Y=</v>
      </c>
      <c r="E7" s="500">
        <v>41570</v>
      </c>
      <c r="F7" s="499">
        <v>1.0469999999999999</v>
      </c>
      <c r="G7" s="499" t="b">
        <f>IF(AND(ISNUMBER($F7),$F7&lt;&gt;0%),TRUE,FALSE)</f>
        <v>1</v>
      </c>
      <c r="H7" s="498" t="b">
        <f>IF($G7,_xll.qlIndexAddFixings($J7,$E7,$F7/100,TRUE,ISERROR($K7)),NA())</f>
        <v>1</v>
      </c>
      <c r="I7" s="488"/>
      <c r="J7" s="497" t="str">
        <f>PROPER(Currency)&amp;$J$2&amp;$C7</f>
        <v>UsdLiborSwapIsdaFixAm4Y</v>
      </c>
      <c r="K7" s="496">
        <f>_xll.qlIndexFixing($J7,$E7,TRUE,$G7)</f>
        <v>1.047E-2</v>
      </c>
      <c r="L7" s="496">
        <f>IF($H7,_xll.qlIndexFixing($J7,$E7,FALSE,$G7),"-")</f>
        <v>1.047E-2</v>
      </c>
      <c r="M7" s="496">
        <f>K7-L7</f>
        <v>0</v>
      </c>
      <c r="N7" s="495">
        <f>_xll.qlIndexFixing($J7,$E7,TRUE,$L7)</f>
        <v>1.047E-2</v>
      </c>
      <c r="O7" s="527">
        <f>IF(ISERROR(M7),0,ABS(M7))</f>
        <v>0</v>
      </c>
      <c r="P7" s="483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</row>
    <row r="8" spans="1:30" x14ac:dyDescent="0.2">
      <c r="A8" s="464"/>
      <c r="B8" s="493"/>
      <c r="C8" s="501" t="s">
        <v>105</v>
      </c>
      <c r="D8" s="496" t="str">
        <f>Currency&amp;$D$2&amp;$C8&amp;"="</f>
        <v>USDSFIX5Y=</v>
      </c>
      <c r="E8" s="500">
        <v>41570</v>
      </c>
      <c r="F8" s="499">
        <v>1.4159999999999999</v>
      </c>
      <c r="G8" s="499" t="b">
        <f>IF(AND(ISNUMBER($F8),$F8&lt;&gt;0%),TRUE,FALSE)</f>
        <v>1</v>
      </c>
      <c r="H8" s="498" t="b">
        <f>IF($G8,_xll.qlIndexAddFixings($J8,$E8,$F8/100,TRUE,ISERROR($K8)),NA())</f>
        <v>1</v>
      </c>
      <c r="I8" s="488"/>
      <c r="J8" s="497" t="str">
        <f>PROPER(Currency)&amp;$J$2&amp;$C8</f>
        <v>UsdLiborSwapIsdaFixAm5Y</v>
      </c>
      <c r="K8" s="496">
        <f>_xll.qlIndexFixing($J8,$E8,TRUE,$G8)</f>
        <v>1.4159999999999999E-2</v>
      </c>
      <c r="L8" s="496">
        <f>IF($H8,_xll.qlIndexFixing($J8,$E8,FALSE,$G8),"-")</f>
        <v>1.4159999999999999E-2</v>
      </c>
      <c r="M8" s="496">
        <f>K8-L8</f>
        <v>0</v>
      </c>
      <c r="N8" s="495">
        <f>_xll.qlIndexFixing($J8,$E8,TRUE,$L8)</f>
        <v>1.4159999999999999E-2</v>
      </c>
      <c r="O8" s="527">
        <f>IF(ISERROR(M8),0,ABS(M8))</f>
        <v>0</v>
      </c>
      <c r="P8" s="483"/>
      <c r="Q8" s="464"/>
      <c r="R8" s="464"/>
      <c r="S8" s="464"/>
      <c r="T8" s="464"/>
      <c r="U8" s="464"/>
      <c r="V8" s="464"/>
      <c r="W8" s="464"/>
      <c r="X8" s="464"/>
      <c r="Y8" s="464"/>
      <c r="Z8" s="464"/>
      <c r="AA8" s="464"/>
      <c r="AB8" s="464"/>
      <c r="AC8" s="464"/>
      <c r="AD8" s="464"/>
    </row>
    <row r="9" spans="1:30" x14ac:dyDescent="0.2">
      <c r="A9" s="464"/>
      <c r="B9" s="493"/>
      <c r="C9" s="501" t="s">
        <v>104</v>
      </c>
      <c r="D9" s="496" t="str">
        <f>Currency&amp;$D$2&amp;$C9&amp;"="</f>
        <v>USDSFIX6Y=</v>
      </c>
      <c r="E9" s="500">
        <v>41570</v>
      </c>
      <c r="F9" s="499">
        <v>1.748</v>
      </c>
      <c r="G9" s="499" t="b">
        <f>IF(AND(ISNUMBER($F9),$F9&lt;&gt;0%),TRUE,FALSE)</f>
        <v>1</v>
      </c>
      <c r="H9" s="498" t="b">
        <f>IF($G9,_xll.qlIndexAddFixings($J9,$E9,$F9/100,TRUE,ISERROR($K9)),NA())</f>
        <v>1</v>
      </c>
      <c r="I9" s="488"/>
      <c r="J9" s="497" t="str">
        <f>PROPER(Currency)&amp;$J$2&amp;$C9</f>
        <v>UsdLiborSwapIsdaFixAm6Y</v>
      </c>
      <c r="K9" s="496">
        <f>_xll.qlIndexFixing($J9,$E9,TRUE,$G9)</f>
        <v>1.7479999999999999E-2</v>
      </c>
      <c r="L9" s="496">
        <f>IF($H9,_xll.qlIndexFixing($J9,$E9,FALSE,$G9),"-")</f>
        <v>1.7479999999999999E-2</v>
      </c>
      <c r="M9" s="496">
        <f>K9-L9</f>
        <v>0</v>
      </c>
      <c r="N9" s="495">
        <f>_xll.qlIndexFixing($J9,$E9,TRUE,$L9)</f>
        <v>1.7479999999999999E-2</v>
      </c>
      <c r="O9" s="527">
        <f>IF(ISERROR(M9),0,ABS(M9))</f>
        <v>0</v>
      </c>
      <c r="P9" s="483"/>
      <c r="Q9" s="464"/>
      <c r="R9" s="464"/>
      <c r="S9" s="464"/>
      <c r="T9" s="464"/>
      <c r="U9" s="464"/>
      <c r="V9" s="464"/>
      <c r="W9" s="464"/>
      <c r="X9" s="464"/>
      <c r="Y9" s="464"/>
      <c r="Z9" s="464"/>
      <c r="AA9" s="464"/>
      <c r="AB9" s="464"/>
      <c r="AC9" s="464"/>
      <c r="AD9" s="464"/>
    </row>
    <row r="10" spans="1:30" x14ac:dyDescent="0.2">
      <c r="A10" s="464"/>
      <c r="B10" s="493"/>
      <c r="C10" s="501" t="s">
        <v>103</v>
      </c>
      <c r="D10" s="496" t="str">
        <f>Currency&amp;$D$2&amp;$C10&amp;"="</f>
        <v>USDSFIX7Y=</v>
      </c>
      <c r="E10" s="500">
        <v>41570</v>
      </c>
      <c r="F10" s="499">
        <v>2.0310000000000001</v>
      </c>
      <c r="G10" s="499" t="b">
        <f>IF(AND(ISNUMBER($F10),$F10&lt;&gt;0%),TRUE,FALSE)</f>
        <v>1</v>
      </c>
      <c r="H10" s="498" t="b">
        <f>IF($G10,_xll.qlIndexAddFixings($J10,$E10,$F10/100,TRUE,ISERROR($K10)),NA())</f>
        <v>1</v>
      </c>
      <c r="I10" s="488"/>
      <c r="J10" s="497" t="str">
        <f>PROPER(Currency)&amp;$J$2&amp;$C10</f>
        <v>UsdLiborSwapIsdaFixAm7Y</v>
      </c>
      <c r="K10" s="496">
        <f>_xll.qlIndexFixing($J10,$E10,TRUE,$G10)</f>
        <v>2.0310000000000002E-2</v>
      </c>
      <c r="L10" s="496">
        <f>IF($H10,_xll.qlIndexFixing($J10,$E10,FALSE,$G10),"-")</f>
        <v>2.0310000000000002E-2</v>
      </c>
      <c r="M10" s="496">
        <f>K10-L10</f>
        <v>0</v>
      </c>
      <c r="N10" s="495">
        <f>_xll.qlIndexFixing($J10,$E10,TRUE,$L10)</f>
        <v>2.0310000000000002E-2</v>
      </c>
      <c r="O10" s="527">
        <f>IF(ISERROR(M10),0,ABS(M10))</f>
        <v>0</v>
      </c>
      <c r="P10" s="483"/>
      <c r="Q10" s="464"/>
      <c r="R10" s="464"/>
      <c r="S10" s="464"/>
      <c r="T10" s="464"/>
      <c r="U10" s="464"/>
      <c r="V10" s="464"/>
      <c r="W10" s="464"/>
      <c r="X10" s="464"/>
      <c r="Y10" s="464"/>
      <c r="Z10" s="464"/>
      <c r="AA10" s="464"/>
      <c r="AB10" s="464"/>
      <c r="AC10" s="464"/>
      <c r="AD10" s="464"/>
    </row>
    <row r="11" spans="1:30" x14ac:dyDescent="0.2">
      <c r="A11" s="464"/>
      <c r="B11" s="493"/>
      <c r="C11" s="501" t="s">
        <v>102</v>
      </c>
      <c r="D11" s="496" t="str">
        <f>Currency&amp;$D$2&amp;$C11&amp;"="</f>
        <v>USDSFIX8Y=</v>
      </c>
      <c r="E11" s="500">
        <v>41570</v>
      </c>
      <c r="F11" s="499">
        <v>2.2650000000000001</v>
      </c>
      <c r="G11" s="499" t="b">
        <f>IF(AND(ISNUMBER($F11),$F11&lt;&gt;0%),TRUE,FALSE)</f>
        <v>1</v>
      </c>
      <c r="H11" s="498" t="b">
        <f>IF($G11,_xll.qlIndexAddFixings($J11,$E11,$F11/100,TRUE,ISERROR($K11)),NA())</f>
        <v>1</v>
      </c>
      <c r="I11" s="488"/>
      <c r="J11" s="497" t="str">
        <f>PROPER(Currency)&amp;$J$2&amp;$C11</f>
        <v>UsdLiborSwapIsdaFixAm8Y</v>
      </c>
      <c r="K11" s="496">
        <f>_xll.qlIndexFixing($J11,$E11,TRUE,$G11)</f>
        <v>2.265E-2</v>
      </c>
      <c r="L11" s="496">
        <f>IF($H11,_xll.qlIndexFixing($J11,$E11,FALSE,$G11),"-")</f>
        <v>2.265E-2</v>
      </c>
      <c r="M11" s="496">
        <f>K11-L11</f>
        <v>0</v>
      </c>
      <c r="N11" s="495">
        <f>_xll.qlIndexFixing($J11,$E11,TRUE,$L11)</f>
        <v>2.265E-2</v>
      </c>
      <c r="O11" s="527">
        <f>IF(ISERROR(M11),0,ABS(M11))</f>
        <v>0</v>
      </c>
      <c r="P11" s="483"/>
      <c r="Q11" s="464"/>
      <c r="R11" s="464"/>
      <c r="S11" s="464"/>
      <c r="T11" s="464"/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</row>
    <row r="12" spans="1:30" x14ac:dyDescent="0.2">
      <c r="A12" s="464"/>
      <c r="B12" s="493"/>
      <c r="C12" s="501" t="s">
        <v>101</v>
      </c>
      <c r="D12" s="496" t="str">
        <f>Currency&amp;$D$2&amp;$C12&amp;"="</f>
        <v>USDSFIX9Y=</v>
      </c>
      <c r="E12" s="500">
        <v>41570</v>
      </c>
      <c r="F12" s="499">
        <v>2.4620000000000002</v>
      </c>
      <c r="G12" s="499" t="b">
        <f>IF(AND(ISNUMBER($F12),$F12&lt;&gt;0%),TRUE,FALSE)</f>
        <v>1</v>
      </c>
      <c r="H12" s="498" t="b">
        <f>IF($G12,_xll.qlIndexAddFixings($J12,$E12,$F12/100,TRUE,ISERROR($K12)),NA())</f>
        <v>1</v>
      </c>
      <c r="I12" s="488"/>
      <c r="J12" s="497" t="str">
        <f>PROPER(Currency)&amp;$J$2&amp;$C12</f>
        <v>UsdLiborSwapIsdaFixAm9Y</v>
      </c>
      <c r="K12" s="496">
        <f>_xll.qlIndexFixing($J12,$E12,TRUE,$G12)</f>
        <v>2.4620000000000003E-2</v>
      </c>
      <c r="L12" s="496">
        <f>IF($H12,_xll.qlIndexFixing($J12,$E12,FALSE,$G12),"-")</f>
        <v>2.4620000000000003E-2</v>
      </c>
      <c r="M12" s="496">
        <f>K12-L12</f>
        <v>0</v>
      </c>
      <c r="N12" s="495">
        <f>_xll.qlIndexFixing($J12,$E12,TRUE,$L12)</f>
        <v>2.4620000000000003E-2</v>
      </c>
      <c r="O12" s="527">
        <f>IF(ISERROR(M12),0,ABS(M12))</f>
        <v>0</v>
      </c>
      <c r="P12" s="483"/>
      <c r="Q12" s="464"/>
      <c r="R12" s="464"/>
      <c r="S12" s="464"/>
      <c r="T12" s="464"/>
      <c r="U12" s="464"/>
      <c r="V12" s="464"/>
      <c r="W12" s="464"/>
      <c r="X12" s="464"/>
      <c r="Y12" s="464"/>
      <c r="Z12" s="464"/>
      <c r="AA12" s="464"/>
      <c r="AB12" s="464"/>
      <c r="AC12" s="464"/>
      <c r="AD12" s="464"/>
    </row>
    <row r="13" spans="1:30" x14ac:dyDescent="0.2">
      <c r="A13" s="464"/>
      <c r="B13" s="493"/>
      <c r="C13" s="501" t="s">
        <v>100</v>
      </c>
      <c r="D13" s="496" t="str">
        <f>Currency&amp;$D$2&amp;$C13&amp;"="</f>
        <v>USDSFIX10Y=</v>
      </c>
      <c r="E13" s="500">
        <v>41570</v>
      </c>
      <c r="F13" s="499">
        <v>2.63</v>
      </c>
      <c r="G13" s="499" t="b">
        <f>IF(AND(ISNUMBER($F13),$F13&lt;&gt;0%),TRUE,FALSE)</f>
        <v>1</v>
      </c>
      <c r="H13" s="498" t="b">
        <f>IF($G13,_xll.qlIndexAddFixings($J13,$E13,$F13/100,TRUE,ISERROR($K13)),NA())</f>
        <v>1</v>
      </c>
      <c r="I13" s="488"/>
      <c r="J13" s="497" t="str">
        <f>PROPER(Currency)&amp;$J$2&amp;$C13</f>
        <v>UsdLiborSwapIsdaFixAm10Y</v>
      </c>
      <c r="K13" s="496">
        <f>_xll.qlIndexFixing($J13,$E13,TRUE,$G13)</f>
        <v>2.63E-2</v>
      </c>
      <c r="L13" s="496">
        <f>IF($H13,_xll.qlIndexFixing($J13,$E13,FALSE,$G13),"-")</f>
        <v>2.63E-2</v>
      </c>
      <c r="M13" s="496">
        <f>K13-L13</f>
        <v>0</v>
      </c>
      <c r="N13" s="495">
        <f>_xll.qlIndexFixing($J13,$E13,TRUE,$L13)</f>
        <v>2.63E-2</v>
      </c>
      <c r="O13" s="527">
        <f>IF(ISERROR(M13),0,ABS(M13))</f>
        <v>0</v>
      </c>
      <c r="P13" s="483"/>
      <c r="Q13" s="464"/>
      <c r="R13" s="464"/>
      <c r="S13" s="464"/>
      <c r="T13" s="464"/>
      <c r="U13" s="464"/>
      <c r="V13" s="464"/>
      <c r="W13" s="464"/>
      <c r="X13" s="464"/>
      <c r="Y13" s="464"/>
      <c r="Z13" s="464"/>
      <c r="AA13" s="464"/>
      <c r="AB13" s="464"/>
      <c r="AC13" s="464"/>
      <c r="AD13" s="464"/>
    </row>
    <row r="14" spans="1:30" x14ac:dyDescent="0.2">
      <c r="A14" s="464"/>
      <c r="B14" s="493"/>
      <c r="C14" s="501" t="s">
        <v>98</v>
      </c>
      <c r="D14" s="496" t="str">
        <f>Currency&amp;$D$2&amp;$C14&amp;"="</f>
        <v>USDSFIX12Y=</v>
      </c>
      <c r="E14" s="500" t="s">
        <v>247</v>
      </c>
      <c r="F14" s="499" t="s">
        <v>247</v>
      </c>
      <c r="G14" s="499" t="b">
        <f>IF(AND(ISNUMBER($F14),$F14&lt;&gt;0%),TRUE,FALSE)</f>
        <v>0</v>
      </c>
      <c r="H14" s="498" t="e">
        <f>IF($G14,_xll.qlIndexAddFixings($J14,$E14,$F14/100,TRUE,ISERROR($K14)),NA())</f>
        <v>#N/A</v>
      </c>
      <c r="I14" s="488"/>
      <c r="J14" s="497" t="str">
        <f>PROPER(Currency)&amp;$J$2&amp;$C14</f>
        <v>UsdLiborSwapIsdaFixAm12Y</v>
      </c>
      <c r="K14" s="496" t="e">
        <f>_xll.qlIndexFixing($J14,$E14,TRUE,$G14)</f>
        <v>#NUM!</v>
      </c>
      <c r="L14" s="496" t="e">
        <f>IF($H14,_xll.qlIndexFixing($J14,$E14,FALSE,$G14),"-")</f>
        <v>#N/A</v>
      </c>
      <c r="M14" s="496" t="e">
        <f>K14-L14</f>
        <v>#NUM!</v>
      </c>
      <c r="N14" s="495" t="e">
        <f>_xll.qlIndexFixing($J14,$E14,TRUE,$L14)</f>
        <v>#NUM!</v>
      </c>
      <c r="O14" s="527">
        <f>IF(ISERROR(M14),0,ABS(M14))</f>
        <v>0</v>
      </c>
      <c r="P14" s="483"/>
      <c r="Q14" s="464"/>
      <c r="R14" s="464"/>
      <c r="S14" s="464"/>
      <c r="T14" s="464"/>
      <c r="U14" s="464"/>
      <c r="V14" s="464"/>
      <c r="W14" s="464"/>
      <c r="X14" s="464"/>
      <c r="Y14" s="464"/>
      <c r="Z14" s="464"/>
      <c r="AA14" s="464"/>
      <c r="AB14" s="464"/>
      <c r="AC14" s="464"/>
      <c r="AD14" s="464"/>
    </row>
    <row r="15" spans="1:30" x14ac:dyDescent="0.2">
      <c r="A15" s="464"/>
      <c r="B15" s="493"/>
      <c r="C15" s="501" t="s">
        <v>95</v>
      </c>
      <c r="D15" s="496" t="str">
        <f>Currency&amp;$D$2&amp;$C15&amp;"="</f>
        <v>USDSFIX15Y=</v>
      </c>
      <c r="E15" s="500">
        <v>41570</v>
      </c>
      <c r="F15" s="499">
        <v>3.1549999999999998</v>
      </c>
      <c r="G15" s="499" t="b">
        <f>IF(AND(ISNUMBER($F15),$F15&lt;&gt;0%),TRUE,FALSE)</f>
        <v>1</v>
      </c>
      <c r="H15" s="498" t="b">
        <f>IF($G15,_xll.qlIndexAddFixings($J15,$E15,$F15/100,TRUE,ISERROR($K15)),NA())</f>
        <v>1</v>
      </c>
      <c r="I15" s="488"/>
      <c r="J15" s="497" t="str">
        <f>PROPER(Currency)&amp;$J$2&amp;$C15</f>
        <v>UsdLiborSwapIsdaFixAm15Y</v>
      </c>
      <c r="K15" s="496">
        <f>_xll.qlIndexFixing($J15,$E15,TRUE,$G15)</f>
        <v>3.1549999999999995E-2</v>
      </c>
      <c r="L15" s="496">
        <f>IF($H15,_xll.qlIndexFixing($J15,$E15,FALSE,$G15),"-")</f>
        <v>3.1549999999999995E-2</v>
      </c>
      <c r="M15" s="496">
        <f>K15-L15</f>
        <v>0</v>
      </c>
      <c r="N15" s="495">
        <f>_xll.qlIndexFixing($J15,$E15,TRUE,$L15)</f>
        <v>3.1549999999999995E-2</v>
      </c>
      <c r="O15" s="527">
        <f>IF(ISERROR(M15),0,ABS(M15))</f>
        <v>0</v>
      </c>
      <c r="P15" s="483"/>
      <c r="Q15" s="464"/>
      <c r="R15" s="464"/>
      <c r="S15" s="464"/>
      <c r="T15" s="464"/>
      <c r="U15" s="464"/>
      <c r="V15" s="464"/>
      <c r="W15" s="464"/>
      <c r="X15" s="464"/>
      <c r="Y15" s="464"/>
      <c r="Z15" s="464"/>
      <c r="AA15" s="464"/>
      <c r="AB15" s="464"/>
      <c r="AC15" s="464"/>
      <c r="AD15" s="464"/>
    </row>
    <row r="16" spans="1:30" x14ac:dyDescent="0.2">
      <c r="A16" s="464"/>
      <c r="B16" s="493"/>
      <c r="C16" s="501" t="s">
        <v>90</v>
      </c>
      <c r="D16" s="496" t="str">
        <f>Currency&amp;$D$2&amp;$C16&amp;"="</f>
        <v>USDSFIX20Y=</v>
      </c>
      <c r="E16" s="500">
        <v>41570</v>
      </c>
      <c r="F16" s="499">
        <v>3.3809999999999998</v>
      </c>
      <c r="G16" s="499" t="b">
        <f>IF(AND(ISNUMBER($F16),$F16&lt;&gt;0%),TRUE,FALSE)</f>
        <v>1</v>
      </c>
      <c r="H16" s="498" t="b">
        <f>IF($G16,_xll.qlIndexAddFixings($J16,$E16,$F16/100,TRUE,ISERROR($K16)),NA())</f>
        <v>1</v>
      </c>
      <c r="I16" s="488"/>
      <c r="J16" s="497" t="str">
        <f>PROPER(Currency)&amp;$J$2&amp;$C16</f>
        <v>UsdLiborSwapIsdaFixAm20Y</v>
      </c>
      <c r="K16" s="496">
        <f>_xll.qlIndexFixing($J16,$E16,TRUE,$G16)</f>
        <v>3.381E-2</v>
      </c>
      <c r="L16" s="496">
        <f>IF($H16,_xll.qlIndexFixing($J16,$E16,FALSE,$G16),"-")</f>
        <v>3.381E-2</v>
      </c>
      <c r="M16" s="496">
        <f>K16-L16</f>
        <v>0</v>
      </c>
      <c r="N16" s="495">
        <f>_xll.qlIndexFixing($J16,$E16,TRUE,$L16)</f>
        <v>3.381E-2</v>
      </c>
      <c r="O16" s="527">
        <f>IF(ISERROR(M16),0,ABS(M16))</f>
        <v>0</v>
      </c>
      <c r="P16" s="483"/>
      <c r="Q16" s="464"/>
      <c r="R16" s="464"/>
      <c r="S16" s="464"/>
      <c r="T16" s="464"/>
      <c r="U16" s="464"/>
      <c r="V16" s="464"/>
      <c r="W16" s="464"/>
      <c r="X16" s="464"/>
      <c r="Y16" s="464"/>
      <c r="Z16" s="464"/>
      <c r="AA16" s="464"/>
      <c r="AB16" s="464"/>
      <c r="AC16" s="464"/>
      <c r="AD16" s="464"/>
    </row>
    <row r="17" spans="1:30" x14ac:dyDescent="0.2">
      <c r="A17" s="464"/>
      <c r="B17" s="493"/>
      <c r="C17" s="501" t="s">
        <v>85</v>
      </c>
      <c r="D17" s="496" t="str">
        <f>Currency&amp;$D$2&amp;$C17&amp;"="</f>
        <v>USDSFIX25Y=</v>
      </c>
      <c r="E17" s="500">
        <v>40340</v>
      </c>
      <c r="F17" s="499">
        <v>0</v>
      </c>
      <c r="G17" s="499" t="b">
        <f>IF(AND(ISNUMBER($F17),$F17&lt;&gt;0%),TRUE,FALSE)</f>
        <v>0</v>
      </c>
      <c r="H17" s="498" t="e">
        <f>IF($G17,_xll.qlIndexAddFixings($J17,$E17,$F17/100,TRUE,ISERROR($K17)),NA())</f>
        <v>#N/A</v>
      </c>
      <c r="I17" s="488"/>
      <c r="J17" s="497" t="str">
        <f>PROPER(Currency)&amp;$J$2&amp;$C17</f>
        <v>UsdLiborSwapIsdaFixAm25Y</v>
      </c>
      <c r="K17" s="496" t="e">
        <f>_xll.qlIndexFixing($J17,$E17,TRUE,$G17)</f>
        <v>#NUM!</v>
      </c>
      <c r="L17" s="496" t="e">
        <f>IF($H17,_xll.qlIndexFixing($J17,$E17,FALSE,$G17),"-")</f>
        <v>#N/A</v>
      </c>
      <c r="M17" s="496" t="e">
        <f>K17-L17</f>
        <v>#NUM!</v>
      </c>
      <c r="N17" s="495" t="e">
        <f>_xll.qlIndexFixing($J17,$E17,TRUE,$L17)</f>
        <v>#NUM!</v>
      </c>
      <c r="O17" s="527">
        <f>IF(ISERROR(M17),0,ABS(M17))</f>
        <v>0</v>
      </c>
      <c r="P17" s="483"/>
      <c r="Q17" s="464"/>
      <c r="R17" s="464"/>
      <c r="S17" s="464"/>
      <c r="T17" s="464"/>
      <c r="U17" s="464"/>
      <c r="V17" s="464"/>
      <c r="W17" s="464"/>
      <c r="X17" s="464"/>
      <c r="Y17" s="464"/>
      <c r="Z17" s="464"/>
      <c r="AA17" s="464"/>
      <c r="AB17" s="464"/>
      <c r="AC17" s="464"/>
      <c r="AD17" s="464"/>
    </row>
    <row r="18" spans="1:30" x14ac:dyDescent="0.2">
      <c r="A18" s="464"/>
      <c r="B18" s="493"/>
      <c r="C18" s="492" t="s">
        <v>80</v>
      </c>
      <c r="D18" s="486" t="str">
        <f>Currency&amp;$D$2&amp;$C18&amp;"="</f>
        <v>USDSFIX30Y=</v>
      </c>
      <c r="E18" s="491">
        <v>41570</v>
      </c>
      <c r="F18" s="490">
        <v>3.5529999999999999</v>
      </c>
      <c r="G18" s="490" t="b">
        <f>IF(AND(ISNUMBER($F18),$F18&lt;&gt;0%),TRUE,FALSE)</f>
        <v>1</v>
      </c>
      <c r="H18" s="489" t="b">
        <f>IF($G18,_xll.qlIndexAddFixings($J18,$E18,$F18/100,TRUE,ISERROR($K18)),NA())</f>
        <v>1</v>
      </c>
      <c r="I18" s="488"/>
      <c r="J18" s="487" t="str">
        <f>PROPER(Currency)&amp;$J$2&amp;$C18</f>
        <v>UsdLiborSwapIsdaFixAm30Y</v>
      </c>
      <c r="K18" s="486">
        <f>_xll.qlIndexFixing($J18,$E18,TRUE,$G18)</f>
        <v>3.5529999999999999E-2</v>
      </c>
      <c r="L18" s="486">
        <f>IF($H18,_xll.qlIndexFixing($J18,$E18,FALSE,$G18),"-")</f>
        <v>3.5529999999999999E-2</v>
      </c>
      <c r="M18" s="486">
        <f>K18-L18</f>
        <v>0</v>
      </c>
      <c r="N18" s="485">
        <f>_xll.qlIndexFixing($J18,$E18,TRUE,$L18)</f>
        <v>3.5529999999999999E-2</v>
      </c>
      <c r="O18" s="526">
        <f>IF(ISERROR(M18),0,ABS(M18))</f>
        <v>0</v>
      </c>
      <c r="P18" s="483"/>
      <c r="Q18" s="464"/>
      <c r="R18" s="464"/>
      <c r="S18" s="464"/>
      <c r="T18" s="464"/>
      <c r="U18" s="464"/>
      <c r="V18" s="464"/>
      <c r="W18" s="464"/>
      <c r="X18" s="464"/>
      <c r="Y18" s="464"/>
      <c r="Z18" s="464"/>
      <c r="AA18" s="464"/>
      <c r="AB18" s="464"/>
      <c r="AC18" s="464"/>
      <c r="AD18" s="464"/>
    </row>
    <row r="19" spans="1:30" ht="12" thickBot="1" x14ac:dyDescent="0.25">
      <c r="A19" s="464"/>
      <c r="B19" s="482"/>
      <c r="C19" s="480"/>
      <c r="D19" s="480"/>
      <c r="E19" s="480"/>
      <c r="F19" s="480"/>
      <c r="G19" s="480"/>
      <c r="H19" s="480"/>
      <c r="I19" s="479"/>
      <c r="J19" s="479"/>
      <c r="K19" s="479"/>
      <c r="L19" s="479"/>
      <c r="M19" s="479"/>
      <c r="N19" s="479"/>
      <c r="O19" s="479"/>
      <c r="P19" s="478"/>
      <c r="Q19" s="464"/>
      <c r="R19" s="464"/>
      <c r="S19" s="464"/>
      <c r="T19" s="464"/>
      <c r="U19" s="464"/>
      <c r="V19" s="464"/>
      <c r="W19" s="464"/>
      <c r="X19" s="464"/>
      <c r="Y19" s="464"/>
      <c r="Z19" s="464"/>
      <c r="AA19" s="464"/>
      <c r="AB19" s="464"/>
      <c r="AC19" s="464"/>
      <c r="AD19" s="464"/>
    </row>
    <row r="20" spans="1:30" ht="12" thickBot="1" x14ac:dyDescent="0.25">
      <c r="A20" s="464"/>
      <c r="B20" s="464"/>
      <c r="C20" s="464"/>
      <c r="D20" s="464"/>
      <c r="E20" s="477"/>
      <c r="F20" s="476"/>
      <c r="G20" s="476"/>
      <c r="H20" s="464"/>
      <c r="I20" s="464"/>
      <c r="J20" s="464"/>
      <c r="K20" s="464"/>
      <c r="L20" s="464"/>
      <c r="M20" s="464"/>
      <c r="N20" s="464"/>
      <c r="O20" s="464"/>
      <c r="P20" s="464"/>
      <c r="Q20" s="464"/>
      <c r="R20" s="464"/>
      <c r="S20" s="464"/>
      <c r="T20" s="464"/>
      <c r="U20" s="464"/>
      <c r="V20" s="464"/>
      <c r="W20" s="464"/>
      <c r="X20" s="464"/>
      <c r="Y20" s="464"/>
      <c r="Z20" s="464"/>
      <c r="AA20" s="464"/>
      <c r="AB20" s="464"/>
      <c r="AC20" s="464"/>
      <c r="AD20" s="464"/>
    </row>
    <row r="21" spans="1:30" s="464" customFormat="1" x14ac:dyDescent="0.2">
      <c r="C21" s="475" t="s">
        <v>132</v>
      </c>
      <c r="D21" s="474" t="s">
        <v>326</v>
      </c>
      <c r="E21" s="473" t="s">
        <v>327</v>
      </c>
    </row>
    <row r="22" spans="1:30" s="464" customFormat="1" x14ac:dyDescent="0.2">
      <c r="C22" s="470" t="s">
        <v>131</v>
      </c>
      <c r="D22" s="469" t="s">
        <v>329</v>
      </c>
      <c r="E22" s="468" t="s">
        <v>328</v>
      </c>
    </row>
    <row r="23" spans="1:30" s="464" customFormat="1" x14ac:dyDescent="0.2">
      <c r="C23" s="470" t="s">
        <v>317</v>
      </c>
      <c r="D23" s="469" t="s">
        <v>326</v>
      </c>
      <c r="E23" s="468" t="s">
        <v>325</v>
      </c>
    </row>
    <row r="24" spans="1:30" s="464" customFormat="1" x14ac:dyDescent="0.2">
      <c r="C24" s="470" t="s">
        <v>316</v>
      </c>
      <c r="D24" s="469" t="s">
        <v>326</v>
      </c>
      <c r="E24" s="468" t="s">
        <v>327</v>
      </c>
    </row>
    <row r="25" spans="1:30" s="464" customFormat="1" x14ac:dyDescent="0.2">
      <c r="C25" s="470" t="s">
        <v>128</v>
      </c>
      <c r="D25" s="469" t="s">
        <v>326</v>
      </c>
      <c r="E25" s="468" t="s">
        <v>327</v>
      </c>
    </row>
    <row r="26" spans="1:30" s="464" customFormat="1" x14ac:dyDescent="0.2">
      <c r="C26" s="470" t="s">
        <v>127</v>
      </c>
      <c r="D26" s="469" t="s">
        <v>326</v>
      </c>
      <c r="E26" s="468" t="s">
        <v>325</v>
      </c>
    </row>
    <row r="27" spans="1:30" s="464" customFormat="1" ht="12" thickBot="1" x14ac:dyDescent="0.25">
      <c r="C27" s="467" t="s">
        <v>122</v>
      </c>
      <c r="D27" s="525" t="s">
        <v>326</v>
      </c>
      <c r="E27" s="524" t="s">
        <v>325</v>
      </c>
    </row>
    <row r="28" spans="1:30" s="464" customFormat="1" x14ac:dyDescent="0.2"/>
    <row r="29" spans="1:30" s="464" customFormat="1" x14ac:dyDescent="0.2"/>
    <row r="30" spans="1:30" s="464" customFormat="1" x14ac:dyDescent="0.2"/>
    <row r="31" spans="1:30" s="464" customFormat="1" x14ac:dyDescent="0.2"/>
    <row r="32" spans="1:30" s="464" customFormat="1" x14ac:dyDescent="0.2"/>
    <row r="33" s="464" customFormat="1" x14ac:dyDescent="0.2"/>
    <row r="34" s="464" customFormat="1" x14ac:dyDescent="0.2"/>
    <row r="35" s="464" customFormat="1" x14ac:dyDescent="0.2"/>
    <row r="36" s="464" customFormat="1" x14ac:dyDescent="0.2"/>
    <row r="37" s="464" customFormat="1" x14ac:dyDescent="0.2"/>
    <row r="38" s="464" customFormat="1" x14ac:dyDescent="0.2"/>
  </sheetData>
  <conditionalFormatting sqref="M4:M18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63" customWidth="1"/>
    <col min="3" max="3" width="5.7109375" style="463" bestFit="1" customWidth="1"/>
    <col min="4" max="4" width="9.28515625" style="463" bestFit="1" customWidth="1"/>
    <col min="5" max="5" width="26.42578125" style="463" bestFit="1" customWidth="1"/>
    <col min="6" max="6" width="9.85546875" style="463" customWidth="1"/>
    <col min="7" max="7" width="6" style="463" bestFit="1" customWidth="1"/>
    <col min="8" max="8" width="5.5703125" style="463" bestFit="1" customWidth="1"/>
    <col min="9" max="9" width="3.5703125" style="463" customWidth="1"/>
    <col min="10" max="10" width="7.85546875" style="463" bestFit="1" customWidth="1"/>
    <col min="11" max="11" width="11.42578125" style="463" bestFit="1" customWidth="1"/>
    <col min="12" max="12" width="8.7109375" style="463" bestFit="1" customWidth="1"/>
    <col min="13" max="13" width="7.7109375" style="463" bestFit="1" customWidth="1"/>
    <col min="14" max="14" width="10" style="463" bestFit="1" customWidth="1"/>
    <col min="15" max="15" width="7.140625" style="463" bestFit="1" customWidth="1"/>
    <col min="16" max="17" width="3.5703125" style="463" customWidth="1"/>
    <col min="18" max="18" width="4" style="463" bestFit="1" customWidth="1"/>
    <col min="19" max="19" width="6.140625" style="463" bestFit="1" customWidth="1"/>
    <col min="20" max="20" width="16" style="463" bestFit="1" customWidth="1"/>
    <col min="21" max="16384" width="9.140625" style="463"/>
  </cols>
  <sheetData>
    <row r="1" spans="1:30" ht="12" thickBot="1" x14ac:dyDescent="0.25">
      <c r="A1" s="560" t="s">
        <v>342</v>
      </c>
      <c r="B1" s="464"/>
      <c r="C1" s="464"/>
      <c r="D1" s="469"/>
      <c r="E1" s="477"/>
      <c r="F1" s="523"/>
      <c r="G1" s="523"/>
      <c r="H1" s="464"/>
      <c r="I1" s="469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0" ht="19.5" x14ac:dyDescent="0.4">
      <c r="A2" s="464"/>
      <c r="B2" s="522"/>
      <c r="C2" s="516"/>
      <c r="D2" s="521" t="str">
        <f>VLOOKUP(Currency,Traits,2,FALSE)</f>
        <v>SFIXP</v>
      </c>
      <c r="E2" s="520"/>
      <c r="F2" s="519"/>
      <c r="G2" s="519"/>
      <c r="H2" s="516"/>
      <c r="I2" s="516"/>
      <c r="J2" s="518" t="str">
        <f>VLOOKUP(Currency,Traits,3,FALSE)</f>
        <v>LiborSwapIsdaFixPm</v>
      </c>
      <c r="K2" s="516"/>
      <c r="L2" s="516"/>
      <c r="M2" s="517">
        <f>MAX(O4:O19)</f>
        <v>0</v>
      </c>
      <c r="N2" s="516"/>
      <c r="O2" s="516"/>
      <c r="P2" s="515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0" ht="22.5" x14ac:dyDescent="0.2">
      <c r="A3" s="464"/>
      <c r="B3" s="493"/>
      <c r="C3" s="513" t="s">
        <v>47</v>
      </c>
      <c r="D3" s="512" t="e">
        <f ca="1">_xll.RData(D4:D18,E3:F3,"RTFEED:IDN",,,E4)</f>
        <v>#NAME?</v>
      </c>
      <c r="E3" s="512" t="s">
        <v>324</v>
      </c>
      <c r="F3" s="512" t="s">
        <v>330</v>
      </c>
      <c r="G3" s="512" t="s">
        <v>323</v>
      </c>
      <c r="H3" s="511" t="s">
        <v>322</v>
      </c>
      <c r="I3" s="514"/>
      <c r="J3" s="513" t="s">
        <v>264</v>
      </c>
      <c r="K3" s="512" t="s">
        <v>321</v>
      </c>
      <c r="L3" s="512" t="s">
        <v>320</v>
      </c>
      <c r="M3" s="512" t="s">
        <v>319</v>
      </c>
      <c r="N3" s="511" t="s">
        <v>318</v>
      </c>
      <c r="O3" s="510"/>
      <c r="P3" s="483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0" x14ac:dyDescent="0.2">
      <c r="A4" s="464"/>
      <c r="B4" s="493"/>
      <c r="C4" s="509" t="s">
        <v>29</v>
      </c>
      <c r="D4" s="504" t="str">
        <f>Currency&amp;$D$2&amp;$C4&amp;"="</f>
        <v>USDSFIXP1Y=</v>
      </c>
      <c r="E4" s="508">
        <v>41570</v>
      </c>
      <c r="F4" s="507">
        <v>0</v>
      </c>
      <c r="G4" s="507" t="b">
        <f>IF(AND(ISNUMBER($F4),$F4&lt;&gt;0%),TRUE,FALSE)</f>
        <v>0</v>
      </c>
      <c r="H4" s="506" t="e">
        <f>IF($G4,_xll.qlIndexAddFixings($J4,$E4,$F4/100,TRUE,ISERROR($K4)),NA())</f>
        <v>#N/A</v>
      </c>
      <c r="I4" s="488"/>
      <c r="J4" s="505" t="str">
        <f>PROPER(Currency)&amp;$J$2&amp;$C4</f>
        <v>UsdLiborSwapIsdaFixPm1Y</v>
      </c>
      <c r="K4" s="504" t="e">
        <f>_xll.qlIndexFixing($J4,$E4,TRUE,$G4)</f>
        <v>#NUM!</v>
      </c>
      <c r="L4" s="504" t="e">
        <f>IF($H4,_xll.qlIndexFixing($J4,$E4,FALSE,$G4),"-")</f>
        <v>#N/A</v>
      </c>
      <c r="M4" s="504" t="e">
        <f>K4-L4</f>
        <v>#NUM!</v>
      </c>
      <c r="N4" s="503" t="e">
        <f>_xll.qlIndexFixing($J4,$E4,TRUE,$L4)</f>
        <v>#NUM!</v>
      </c>
      <c r="O4" s="527">
        <f>IF(ISERROR(M4),0,ABS(M4))</f>
        <v>0</v>
      </c>
      <c r="P4" s="483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</row>
    <row r="5" spans="1:30" x14ac:dyDescent="0.2">
      <c r="A5" s="464"/>
      <c r="B5" s="493"/>
      <c r="C5" s="501" t="s">
        <v>108</v>
      </c>
      <c r="D5" s="496" t="str">
        <f>Currency&amp;$D$2&amp;$C5&amp;"="</f>
        <v>USDSFIXP2Y=</v>
      </c>
      <c r="E5" s="500" t="s">
        <v>247</v>
      </c>
      <c r="F5" s="499" t="s">
        <v>247</v>
      </c>
      <c r="G5" s="499" t="b">
        <f>IF(AND(ISNUMBER($F5),$F5&lt;&gt;0%),TRUE,FALSE)</f>
        <v>0</v>
      </c>
      <c r="H5" s="498" t="e">
        <f>IF($G5,_xll.qlIndexAddFixings($J5,$E5,$F5/100,TRUE,ISERROR($K5)),NA())</f>
        <v>#N/A</v>
      </c>
      <c r="I5" s="488"/>
      <c r="J5" s="497" t="str">
        <f>PROPER(Currency)&amp;$J$2&amp;$C5</f>
        <v>UsdLiborSwapIsdaFixPm2Y</v>
      </c>
      <c r="K5" s="496" t="e">
        <f>_xll.qlIndexFixing($J5,$E5,TRUE,$G5)</f>
        <v>#NUM!</v>
      </c>
      <c r="L5" s="496" t="e">
        <f>IF($H5,_xll.qlIndexFixing($J5,$E5,FALSE,$G5),"-")</f>
        <v>#N/A</v>
      </c>
      <c r="M5" s="496" t="e">
        <f>K5-L5</f>
        <v>#NUM!</v>
      </c>
      <c r="N5" s="495" t="e">
        <f>_xll.qlIndexFixing($J5,$E5,TRUE,$L5)</f>
        <v>#NUM!</v>
      </c>
      <c r="O5" s="527">
        <f>IF(ISERROR(M5),0,ABS(M5))</f>
        <v>0</v>
      </c>
      <c r="P5" s="483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</row>
    <row r="6" spans="1:30" x14ac:dyDescent="0.2">
      <c r="A6" s="464"/>
      <c r="B6" s="493"/>
      <c r="C6" s="501" t="s">
        <v>107</v>
      </c>
      <c r="D6" s="496" t="str">
        <f>Currency&amp;$D$2&amp;$C6&amp;"="</f>
        <v>USDSFIXP3Y=</v>
      </c>
      <c r="E6" s="500" t="s">
        <v>247</v>
      </c>
      <c r="F6" s="499" t="s">
        <v>247</v>
      </c>
      <c r="G6" s="499" t="b">
        <f>IF(AND(ISNUMBER($F6),$F6&lt;&gt;0%),TRUE,FALSE)</f>
        <v>0</v>
      </c>
      <c r="H6" s="498" t="e">
        <f>IF($G6,_xll.qlIndexAddFixings($J6,$E6,$F6/100,TRUE,ISERROR($K6)),NA())</f>
        <v>#N/A</v>
      </c>
      <c r="I6" s="488"/>
      <c r="J6" s="497" t="str">
        <f>PROPER(Currency)&amp;$J$2&amp;$C6</f>
        <v>UsdLiborSwapIsdaFixPm3Y</v>
      </c>
      <c r="K6" s="496" t="e">
        <f>_xll.qlIndexFixing($J6,$E6,TRUE,$G6)</f>
        <v>#NUM!</v>
      </c>
      <c r="L6" s="496" t="e">
        <f>IF($H6,_xll.qlIndexFixing($J6,$E6,FALSE,$G6),"-")</f>
        <v>#N/A</v>
      </c>
      <c r="M6" s="496" t="e">
        <f>K6-L6</f>
        <v>#NUM!</v>
      </c>
      <c r="N6" s="495" t="e">
        <f>_xll.qlIndexFixing($J6,$E6,TRUE,$L6)</f>
        <v>#NUM!</v>
      </c>
      <c r="O6" s="527">
        <f>IF(ISERROR(M6),0,ABS(M6))</f>
        <v>0</v>
      </c>
      <c r="P6" s="483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</row>
    <row r="7" spans="1:30" x14ac:dyDescent="0.2">
      <c r="A7" s="464"/>
      <c r="B7" s="493"/>
      <c r="C7" s="501" t="s">
        <v>106</v>
      </c>
      <c r="D7" s="496" t="str">
        <f>Currency&amp;$D$2&amp;$C7&amp;"="</f>
        <v>USDSFIXP4Y=</v>
      </c>
      <c r="E7" s="500" t="s">
        <v>247</v>
      </c>
      <c r="F7" s="499" t="s">
        <v>247</v>
      </c>
      <c r="G7" s="499" t="b">
        <f>IF(AND(ISNUMBER($F7),$F7&lt;&gt;0%),TRUE,FALSE)</f>
        <v>0</v>
      </c>
      <c r="H7" s="498" t="e">
        <f>IF($G7,_xll.qlIndexAddFixings($J7,$E7,$F7/100,TRUE,ISERROR($K7)),NA())</f>
        <v>#N/A</v>
      </c>
      <c r="I7" s="488"/>
      <c r="J7" s="497" t="str">
        <f>PROPER(Currency)&amp;$J$2&amp;$C7</f>
        <v>UsdLiborSwapIsdaFixPm4Y</v>
      </c>
      <c r="K7" s="496" t="e">
        <f>_xll.qlIndexFixing($J7,$E7,TRUE,$G7)</f>
        <v>#NUM!</v>
      </c>
      <c r="L7" s="496" t="e">
        <f>IF($H7,_xll.qlIndexFixing($J7,$E7,FALSE,$G7),"-")</f>
        <v>#N/A</v>
      </c>
      <c r="M7" s="496" t="e">
        <f>K7-L7</f>
        <v>#NUM!</v>
      </c>
      <c r="N7" s="495" t="e">
        <f>_xll.qlIndexFixing($J7,$E7,TRUE,$L7)</f>
        <v>#NUM!</v>
      </c>
      <c r="O7" s="527">
        <f>IF(ISERROR(M7),0,ABS(M7))</f>
        <v>0</v>
      </c>
      <c r="P7" s="483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</row>
    <row r="8" spans="1:30" x14ac:dyDescent="0.2">
      <c r="A8" s="464"/>
      <c r="B8" s="493"/>
      <c r="C8" s="501" t="s">
        <v>105</v>
      </c>
      <c r="D8" s="496" t="str">
        <f>Currency&amp;$D$2&amp;$C8&amp;"="</f>
        <v>USDSFIXP5Y=</v>
      </c>
      <c r="E8" s="500" t="s">
        <v>247</v>
      </c>
      <c r="F8" s="499" t="s">
        <v>247</v>
      </c>
      <c r="G8" s="499" t="b">
        <f>IF(AND(ISNUMBER($F8),$F8&lt;&gt;0%),TRUE,FALSE)</f>
        <v>0</v>
      </c>
      <c r="H8" s="498" t="e">
        <f>IF($G8,_xll.qlIndexAddFixings($J8,$E8,$F8/100,TRUE,ISERROR($K8)),NA())</f>
        <v>#N/A</v>
      </c>
      <c r="I8" s="488"/>
      <c r="J8" s="497" t="str">
        <f>PROPER(Currency)&amp;$J$2&amp;$C8</f>
        <v>UsdLiborSwapIsdaFixPm5Y</v>
      </c>
      <c r="K8" s="496" t="e">
        <f>_xll.qlIndexFixing($J8,$E8,TRUE,$G8)</f>
        <v>#NUM!</v>
      </c>
      <c r="L8" s="496" t="e">
        <f>IF($H8,_xll.qlIndexFixing($J8,$E8,FALSE,$G8),"-")</f>
        <v>#N/A</v>
      </c>
      <c r="M8" s="496" t="e">
        <f>K8-L8</f>
        <v>#NUM!</v>
      </c>
      <c r="N8" s="495" t="e">
        <f>_xll.qlIndexFixing($J8,$E8,TRUE,$L8)</f>
        <v>#NUM!</v>
      </c>
      <c r="O8" s="527">
        <f>IF(ISERROR(M8),0,ABS(M8))</f>
        <v>0</v>
      </c>
      <c r="P8" s="483"/>
      <c r="Q8" s="464"/>
      <c r="R8" s="464"/>
      <c r="S8" s="464"/>
      <c r="T8" s="464"/>
      <c r="U8" s="464"/>
      <c r="V8" s="464"/>
      <c r="W8" s="464"/>
      <c r="X8" s="464"/>
      <c r="Y8" s="464"/>
      <c r="Z8" s="464"/>
      <c r="AA8" s="464"/>
      <c r="AB8" s="464"/>
      <c r="AC8" s="464"/>
      <c r="AD8" s="464"/>
    </row>
    <row r="9" spans="1:30" x14ac:dyDescent="0.2">
      <c r="A9" s="464"/>
      <c r="B9" s="493"/>
      <c r="C9" s="501" t="s">
        <v>104</v>
      </c>
      <c r="D9" s="496" t="str">
        <f>Currency&amp;$D$2&amp;$C9&amp;"="</f>
        <v>USDSFIXP6Y=</v>
      </c>
      <c r="E9" s="500" t="s">
        <v>247</v>
      </c>
      <c r="F9" s="499" t="s">
        <v>247</v>
      </c>
      <c r="G9" s="499" t="b">
        <f>IF(AND(ISNUMBER($F9),$F9&lt;&gt;0%),TRUE,FALSE)</f>
        <v>0</v>
      </c>
      <c r="H9" s="498" t="e">
        <f>IF($G9,_xll.qlIndexAddFixings($J9,$E9,$F9/100,TRUE,ISERROR($K9)),NA())</f>
        <v>#N/A</v>
      </c>
      <c r="I9" s="488"/>
      <c r="J9" s="497" t="str">
        <f>PROPER(Currency)&amp;$J$2&amp;$C9</f>
        <v>UsdLiborSwapIsdaFixPm6Y</v>
      </c>
      <c r="K9" s="496" t="e">
        <f>_xll.qlIndexFixing($J9,$E9,TRUE,$G9)</f>
        <v>#NUM!</v>
      </c>
      <c r="L9" s="496" t="e">
        <f>IF($H9,_xll.qlIndexFixing($J9,$E9,FALSE,$G9),"-")</f>
        <v>#N/A</v>
      </c>
      <c r="M9" s="496" t="e">
        <f>K9-L9</f>
        <v>#NUM!</v>
      </c>
      <c r="N9" s="495" t="e">
        <f>_xll.qlIndexFixing($J9,$E9,TRUE,$L9)</f>
        <v>#NUM!</v>
      </c>
      <c r="O9" s="527">
        <f>IF(ISERROR(M9),0,ABS(M9))</f>
        <v>0</v>
      </c>
      <c r="P9" s="483"/>
      <c r="Q9" s="464"/>
      <c r="R9" s="464"/>
      <c r="S9" s="464"/>
      <c r="T9" s="464"/>
      <c r="U9" s="464"/>
      <c r="V9" s="464"/>
      <c r="W9" s="464"/>
      <c r="X9" s="464"/>
      <c r="Y9" s="464"/>
      <c r="Z9" s="464"/>
      <c r="AA9" s="464"/>
      <c r="AB9" s="464"/>
      <c r="AC9" s="464"/>
      <c r="AD9" s="464"/>
    </row>
    <row r="10" spans="1:30" x14ac:dyDescent="0.2">
      <c r="A10" s="464"/>
      <c r="B10" s="493"/>
      <c r="C10" s="501" t="s">
        <v>103</v>
      </c>
      <c r="D10" s="496" t="str">
        <f>Currency&amp;$D$2&amp;$C10&amp;"="</f>
        <v>USDSFIXP7Y=</v>
      </c>
      <c r="E10" s="500" t="s">
        <v>247</v>
      </c>
      <c r="F10" s="499" t="s">
        <v>247</v>
      </c>
      <c r="G10" s="499" t="b">
        <f>IF(AND(ISNUMBER($F10),$F10&lt;&gt;0%),TRUE,FALSE)</f>
        <v>0</v>
      </c>
      <c r="H10" s="498" t="e">
        <f>IF($G10,_xll.qlIndexAddFixings($J10,$E10,$F10/100,TRUE,ISERROR($K10)),NA())</f>
        <v>#N/A</v>
      </c>
      <c r="I10" s="488"/>
      <c r="J10" s="497" t="str">
        <f>PROPER(Currency)&amp;$J$2&amp;$C10</f>
        <v>UsdLiborSwapIsdaFixPm7Y</v>
      </c>
      <c r="K10" s="496" t="e">
        <f>_xll.qlIndexFixing($J10,$E10,TRUE,$G10)</f>
        <v>#NUM!</v>
      </c>
      <c r="L10" s="496" t="e">
        <f>IF($H10,_xll.qlIndexFixing($J10,$E10,FALSE,$G10),"-")</f>
        <v>#N/A</v>
      </c>
      <c r="M10" s="496" t="e">
        <f>K10-L10</f>
        <v>#NUM!</v>
      </c>
      <c r="N10" s="495" t="e">
        <f>_xll.qlIndexFixing($J10,$E10,TRUE,$L10)</f>
        <v>#NUM!</v>
      </c>
      <c r="O10" s="527">
        <f>IF(ISERROR(M10),0,ABS(M10))</f>
        <v>0</v>
      </c>
      <c r="P10" s="483"/>
      <c r="Q10" s="464"/>
      <c r="R10" s="464"/>
      <c r="S10" s="464"/>
      <c r="T10" s="464"/>
      <c r="U10" s="464"/>
      <c r="V10" s="464"/>
      <c r="W10" s="464"/>
      <c r="X10" s="464"/>
      <c r="Y10" s="464"/>
      <c r="Z10" s="464"/>
      <c r="AA10" s="464"/>
      <c r="AB10" s="464"/>
      <c r="AC10" s="464"/>
      <c r="AD10" s="464"/>
    </row>
    <row r="11" spans="1:30" x14ac:dyDescent="0.2">
      <c r="A11" s="464"/>
      <c r="B11" s="493"/>
      <c r="C11" s="501" t="s">
        <v>102</v>
      </c>
      <c r="D11" s="496" t="str">
        <f>Currency&amp;$D$2&amp;$C11&amp;"="</f>
        <v>USDSFIXP8Y=</v>
      </c>
      <c r="E11" s="500" t="s">
        <v>247</v>
      </c>
      <c r="F11" s="499" t="s">
        <v>247</v>
      </c>
      <c r="G11" s="499" t="b">
        <f>IF(AND(ISNUMBER($F11),$F11&lt;&gt;0%),TRUE,FALSE)</f>
        <v>0</v>
      </c>
      <c r="H11" s="498" t="e">
        <f>IF($G11,_xll.qlIndexAddFixings($J11,$E11,$F11/100,TRUE,ISERROR($K11)),NA())</f>
        <v>#N/A</v>
      </c>
      <c r="I11" s="488"/>
      <c r="J11" s="497" t="str">
        <f>PROPER(Currency)&amp;$J$2&amp;$C11</f>
        <v>UsdLiborSwapIsdaFixPm8Y</v>
      </c>
      <c r="K11" s="496" t="e">
        <f>_xll.qlIndexFixing($J11,$E11,TRUE,$G11)</f>
        <v>#NUM!</v>
      </c>
      <c r="L11" s="496" t="e">
        <f>IF($H11,_xll.qlIndexFixing($J11,$E11,FALSE,$G11),"-")</f>
        <v>#N/A</v>
      </c>
      <c r="M11" s="496" t="e">
        <f>K11-L11</f>
        <v>#NUM!</v>
      </c>
      <c r="N11" s="495" t="e">
        <f>_xll.qlIndexFixing($J11,$E11,TRUE,$L11)</f>
        <v>#NUM!</v>
      </c>
      <c r="O11" s="527">
        <f>IF(ISERROR(M11),0,ABS(M11))</f>
        <v>0</v>
      </c>
      <c r="P11" s="483"/>
      <c r="Q11" s="464"/>
      <c r="R11" s="464"/>
      <c r="S11" s="464"/>
      <c r="T11" s="464"/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</row>
    <row r="12" spans="1:30" x14ac:dyDescent="0.2">
      <c r="A12" s="464"/>
      <c r="B12" s="493"/>
      <c r="C12" s="501" t="s">
        <v>101</v>
      </c>
      <c r="D12" s="496" t="str">
        <f>Currency&amp;$D$2&amp;$C12&amp;"="</f>
        <v>USDSFIXP9Y=</v>
      </c>
      <c r="E12" s="500" t="s">
        <v>247</v>
      </c>
      <c r="F12" s="499" t="s">
        <v>247</v>
      </c>
      <c r="G12" s="499" t="b">
        <f>IF(AND(ISNUMBER($F12),$F12&lt;&gt;0%),TRUE,FALSE)</f>
        <v>0</v>
      </c>
      <c r="H12" s="498" t="e">
        <f>IF($G12,_xll.qlIndexAddFixings($J12,$E12,$F12/100,TRUE,ISERROR($K12)),NA())</f>
        <v>#N/A</v>
      </c>
      <c r="I12" s="488"/>
      <c r="J12" s="497" t="str">
        <f>PROPER(Currency)&amp;$J$2&amp;$C12</f>
        <v>UsdLiborSwapIsdaFixPm9Y</v>
      </c>
      <c r="K12" s="496" t="e">
        <f>_xll.qlIndexFixing($J12,$E12,TRUE,$G12)</f>
        <v>#NUM!</v>
      </c>
      <c r="L12" s="496" t="e">
        <f>IF($H12,_xll.qlIndexFixing($J12,$E12,FALSE,$G12),"-")</f>
        <v>#N/A</v>
      </c>
      <c r="M12" s="496" t="e">
        <f>K12-L12</f>
        <v>#NUM!</v>
      </c>
      <c r="N12" s="495" t="e">
        <f>_xll.qlIndexFixing($J12,$E12,TRUE,$L12)</f>
        <v>#NUM!</v>
      </c>
      <c r="O12" s="527">
        <f>IF(ISERROR(M12),0,ABS(M12))</f>
        <v>0</v>
      </c>
      <c r="P12" s="483"/>
      <c r="Q12" s="464"/>
      <c r="R12" s="464"/>
      <c r="S12" s="464"/>
      <c r="T12" s="464"/>
      <c r="U12" s="464"/>
      <c r="V12" s="464"/>
      <c r="W12" s="464"/>
      <c r="X12" s="464"/>
      <c r="Y12" s="464"/>
      <c r="Z12" s="464"/>
      <c r="AA12" s="464"/>
      <c r="AB12" s="464"/>
      <c r="AC12" s="464"/>
      <c r="AD12" s="464"/>
    </row>
    <row r="13" spans="1:30" x14ac:dyDescent="0.2">
      <c r="A13" s="464"/>
      <c r="B13" s="493"/>
      <c r="C13" s="501" t="s">
        <v>100</v>
      </c>
      <c r="D13" s="496" t="str">
        <f>Currency&amp;$D$2&amp;$C13&amp;"="</f>
        <v>USDSFIXP10Y=</v>
      </c>
      <c r="E13" s="500" t="s">
        <v>247</v>
      </c>
      <c r="F13" s="499" t="s">
        <v>247</v>
      </c>
      <c r="G13" s="499" t="b">
        <f>IF(AND(ISNUMBER($F13),$F13&lt;&gt;0%),TRUE,FALSE)</f>
        <v>0</v>
      </c>
      <c r="H13" s="498" t="e">
        <f>IF($G13,_xll.qlIndexAddFixings($J13,$E13,$F13/100,TRUE,ISERROR($K13)),NA())</f>
        <v>#N/A</v>
      </c>
      <c r="I13" s="488"/>
      <c r="J13" s="497" t="str">
        <f>PROPER(Currency)&amp;$J$2&amp;$C13</f>
        <v>UsdLiborSwapIsdaFixPm10Y</v>
      </c>
      <c r="K13" s="496" t="e">
        <f>_xll.qlIndexFixing($J13,$E13,TRUE,$G13)</f>
        <v>#NUM!</v>
      </c>
      <c r="L13" s="496" t="e">
        <f>IF($H13,_xll.qlIndexFixing($J13,$E13,FALSE,$G13),"-")</f>
        <v>#N/A</v>
      </c>
      <c r="M13" s="496" t="e">
        <f>K13-L13</f>
        <v>#NUM!</v>
      </c>
      <c r="N13" s="495" t="e">
        <f>_xll.qlIndexFixing($J13,$E13,TRUE,$L13)</f>
        <v>#NUM!</v>
      </c>
      <c r="O13" s="527">
        <f>IF(ISERROR(M13),0,ABS(M13))</f>
        <v>0</v>
      </c>
      <c r="P13" s="483"/>
      <c r="Q13" s="464"/>
      <c r="R13" s="464"/>
      <c r="S13" s="464"/>
      <c r="T13" s="464"/>
      <c r="U13" s="464"/>
      <c r="V13" s="464"/>
      <c r="W13" s="464"/>
      <c r="X13" s="464"/>
      <c r="Y13" s="464"/>
      <c r="Z13" s="464"/>
      <c r="AA13" s="464"/>
      <c r="AB13" s="464"/>
      <c r="AC13" s="464"/>
      <c r="AD13" s="464"/>
    </row>
    <row r="14" spans="1:30" x14ac:dyDescent="0.2">
      <c r="A14" s="464"/>
      <c r="B14" s="493"/>
      <c r="C14" s="501" t="s">
        <v>98</v>
      </c>
      <c r="D14" s="496" t="str">
        <f>Currency&amp;$D$2&amp;$C14&amp;"="</f>
        <v>USDSFIXP12Y=</v>
      </c>
      <c r="E14" s="500" t="s">
        <v>247</v>
      </c>
      <c r="F14" s="499" t="s">
        <v>247</v>
      </c>
      <c r="G14" s="499" t="b">
        <f>IF(AND(ISNUMBER($F14),$F14&lt;&gt;0%),TRUE,FALSE)</f>
        <v>0</v>
      </c>
      <c r="H14" s="498" t="e">
        <f>IF($G14,_xll.qlIndexAddFixings($J14,$E14,$F14/100,TRUE,ISERROR($K14)),NA())</f>
        <v>#N/A</v>
      </c>
      <c r="I14" s="488"/>
      <c r="J14" s="497" t="str">
        <f>PROPER(Currency)&amp;$J$2&amp;$C14</f>
        <v>UsdLiborSwapIsdaFixPm12Y</v>
      </c>
      <c r="K14" s="496" t="e">
        <f>_xll.qlIndexFixing($J14,$E14,TRUE,$G14)</f>
        <v>#NUM!</v>
      </c>
      <c r="L14" s="496" t="e">
        <f>IF($H14,_xll.qlIndexFixing($J14,$E14,FALSE,$G14),"-")</f>
        <v>#N/A</v>
      </c>
      <c r="M14" s="496" t="e">
        <f>K14-L14</f>
        <v>#NUM!</v>
      </c>
      <c r="N14" s="495" t="e">
        <f>_xll.qlIndexFixing($J14,$E14,TRUE,$L14)</f>
        <v>#NUM!</v>
      </c>
      <c r="O14" s="527">
        <f>IF(ISERROR(M14),0,ABS(M14))</f>
        <v>0</v>
      </c>
      <c r="P14" s="483"/>
      <c r="Q14" s="464"/>
      <c r="R14" s="464"/>
      <c r="S14" s="464"/>
      <c r="T14" s="464"/>
      <c r="U14" s="464"/>
      <c r="V14" s="464"/>
      <c r="W14" s="464"/>
      <c r="X14" s="464"/>
      <c r="Y14" s="464"/>
      <c r="Z14" s="464"/>
      <c r="AA14" s="464"/>
      <c r="AB14" s="464"/>
      <c r="AC14" s="464"/>
      <c r="AD14" s="464"/>
    </row>
    <row r="15" spans="1:30" x14ac:dyDescent="0.2">
      <c r="A15" s="464"/>
      <c r="B15" s="493"/>
      <c r="C15" s="501" t="s">
        <v>95</v>
      </c>
      <c r="D15" s="496" t="str">
        <f>Currency&amp;$D$2&amp;$C15&amp;"="</f>
        <v>USDSFIXP15Y=</v>
      </c>
      <c r="E15" s="500" t="s">
        <v>247</v>
      </c>
      <c r="F15" s="499" t="s">
        <v>247</v>
      </c>
      <c r="G15" s="499" t="b">
        <f>IF(AND(ISNUMBER($F15),$F15&lt;&gt;0%),TRUE,FALSE)</f>
        <v>0</v>
      </c>
      <c r="H15" s="498" t="e">
        <f>IF($G15,_xll.qlIndexAddFixings($J15,$E15,$F15/100,TRUE,ISERROR($K15)),NA())</f>
        <v>#N/A</v>
      </c>
      <c r="I15" s="488"/>
      <c r="J15" s="497" t="str">
        <f>PROPER(Currency)&amp;$J$2&amp;$C15</f>
        <v>UsdLiborSwapIsdaFixPm15Y</v>
      </c>
      <c r="K15" s="496" t="e">
        <f>_xll.qlIndexFixing($J15,$E15,TRUE,$G15)</f>
        <v>#NUM!</v>
      </c>
      <c r="L15" s="496" t="e">
        <f>IF($H15,_xll.qlIndexFixing($J15,$E15,FALSE,$G15),"-")</f>
        <v>#N/A</v>
      </c>
      <c r="M15" s="496" t="e">
        <f>K15-L15</f>
        <v>#NUM!</v>
      </c>
      <c r="N15" s="495" t="e">
        <f>_xll.qlIndexFixing($J15,$E15,TRUE,$L15)</f>
        <v>#NUM!</v>
      </c>
      <c r="O15" s="527">
        <f>IF(ISERROR(M15),0,ABS(M15))</f>
        <v>0</v>
      </c>
      <c r="P15" s="483"/>
      <c r="Q15" s="464"/>
      <c r="R15" s="464"/>
      <c r="S15" s="464"/>
      <c r="T15" s="464"/>
      <c r="U15" s="464"/>
      <c r="V15" s="464"/>
      <c r="W15" s="464"/>
      <c r="X15" s="464"/>
      <c r="Y15" s="464"/>
      <c r="Z15" s="464"/>
      <c r="AA15" s="464"/>
      <c r="AB15" s="464"/>
      <c r="AC15" s="464"/>
      <c r="AD15" s="464"/>
    </row>
    <row r="16" spans="1:30" x14ac:dyDescent="0.2">
      <c r="A16" s="464"/>
      <c r="B16" s="493"/>
      <c r="C16" s="501" t="s">
        <v>90</v>
      </c>
      <c r="D16" s="496" t="str">
        <f>Currency&amp;$D$2&amp;$C16&amp;"="</f>
        <v>USDSFIXP20Y=</v>
      </c>
      <c r="E16" s="500" t="s">
        <v>247</v>
      </c>
      <c r="F16" s="499" t="s">
        <v>247</v>
      </c>
      <c r="G16" s="499" t="b">
        <f>IF(AND(ISNUMBER($F16),$F16&lt;&gt;0%),TRUE,FALSE)</f>
        <v>0</v>
      </c>
      <c r="H16" s="498" t="e">
        <f>IF($G16,_xll.qlIndexAddFixings($J16,$E16,$F16/100,TRUE,ISERROR($K16)),NA())</f>
        <v>#N/A</v>
      </c>
      <c r="I16" s="488"/>
      <c r="J16" s="497" t="str">
        <f>PROPER(Currency)&amp;$J$2&amp;$C16</f>
        <v>UsdLiborSwapIsdaFixPm20Y</v>
      </c>
      <c r="K16" s="496" t="e">
        <f>_xll.qlIndexFixing($J16,$E16,TRUE,$G16)</f>
        <v>#NUM!</v>
      </c>
      <c r="L16" s="496" t="e">
        <f>IF($H16,_xll.qlIndexFixing($J16,$E16,FALSE,$G16),"-")</f>
        <v>#N/A</v>
      </c>
      <c r="M16" s="496" t="e">
        <f>K16-L16</f>
        <v>#NUM!</v>
      </c>
      <c r="N16" s="495" t="e">
        <f>_xll.qlIndexFixing($J16,$E16,TRUE,$L16)</f>
        <v>#NUM!</v>
      </c>
      <c r="O16" s="527">
        <f>IF(ISERROR(M16),0,ABS(M16))</f>
        <v>0</v>
      </c>
      <c r="P16" s="483"/>
      <c r="Q16" s="464"/>
      <c r="R16" s="464"/>
      <c r="S16" s="464"/>
      <c r="T16" s="464"/>
      <c r="U16" s="464"/>
      <c r="V16" s="464"/>
      <c r="W16" s="464"/>
      <c r="X16" s="464"/>
      <c r="Y16" s="464"/>
      <c r="Z16" s="464"/>
      <c r="AA16" s="464"/>
      <c r="AB16" s="464"/>
      <c r="AC16" s="464"/>
      <c r="AD16" s="464"/>
    </row>
    <row r="17" spans="1:30" x14ac:dyDescent="0.2">
      <c r="A17" s="464"/>
      <c r="B17" s="493"/>
      <c r="C17" s="501" t="s">
        <v>85</v>
      </c>
      <c r="D17" s="496" t="str">
        <f>Currency&amp;$D$2&amp;$C17&amp;"="</f>
        <v>USDSFIXP25Y=</v>
      </c>
      <c r="E17" s="500" t="s">
        <v>247</v>
      </c>
      <c r="F17" s="499" t="s">
        <v>247</v>
      </c>
      <c r="G17" s="499" t="b">
        <f>IF(AND(ISNUMBER($F17),$F17&lt;&gt;0%),TRUE,FALSE)</f>
        <v>0</v>
      </c>
      <c r="H17" s="498" t="e">
        <f>IF($G17,_xll.qlIndexAddFixings($J17,$E17,$F17/100,TRUE,ISERROR($K17)),NA())</f>
        <v>#N/A</v>
      </c>
      <c r="I17" s="488"/>
      <c r="J17" s="497" t="str">
        <f>PROPER(Currency)&amp;$J$2&amp;$C17</f>
        <v>UsdLiborSwapIsdaFixPm25Y</v>
      </c>
      <c r="K17" s="496" t="e">
        <f>_xll.qlIndexFixing($J17,$E17,TRUE,$G17)</f>
        <v>#NUM!</v>
      </c>
      <c r="L17" s="496" t="e">
        <f>IF($H17,_xll.qlIndexFixing($J17,$E17,FALSE,$G17),"-")</f>
        <v>#N/A</v>
      </c>
      <c r="M17" s="496" t="e">
        <f>K17-L17</f>
        <v>#NUM!</v>
      </c>
      <c r="N17" s="495" t="e">
        <f>_xll.qlIndexFixing($J17,$E17,TRUE,$L17)</f>
        <v>#NUM!</v>
      </c>
      <c r="O17" s="527">
        <f>IF(ISERROR(M17),0,ABS(M17))</f>
        <v>0</v>
      </c>
      <c r="P17" s="483"/>
      <c r="Q17" s="464"/>
      <c r="R17" s="464"/>
      <c r="S17" s="464"/>
      <c r="T17" s="464"/>
      <c r="U17" s="464"/>
      <c r="V17" s="464"/>
      <c r="W17" s="464"/>
      <c r="X17" s="464"/>
      <c r="Y17" s="464"/>
      <c r="Z17" s="464"/>
      <c r="AA17" s="464"/>
      <c r="AB17" s="464"/>
      <c r="AC17" s="464"/>
      <c r="AD17" s="464"/>
    </row>
    <row r="18" spans="1:30" x14ac:dyDescent="0.2">
      <c r="A18" s="464"/>
      <c r="B18" s="493"/>
      <c r="C18" s="492" t="s">
        <v>80</v>
      </c>
      <c r="D18" s="486" t="str">
        <f>Currency&amp;$D$2&amp;$C18&amp;"="</f>
        <v>USDSFIXP30Y=</v>
      </c>
      <c r="E18" s="491" t="s">
        <v>247</v>
      </c>
      <c r="F18" s="490" t="s">
        <v>247</v>
      </c>
      <c r="G18" s="490" t="b">
        <f>IF(AND(ISNUMBER($F18),$F18&lt;&gt;0%),TRUE,FALSE)</f>
        <v>0</v>
      </c>
      <c r="H18" s="489" t="e">
        <f>IF($G18,_xll.qlIndexAddFixings($J18,$E18,$F18/100,TRUE,ISERROR($K18)),NA())</f>
        <v>#N/A</v>
      </c>
      <c r="I18" s="488"/>
      <c r="J18" s="487" t="str">
        <f>PROPER(Currency)&amp;$J$2&amp;$C18</f>
        <v>UsdLiborSwapIsdaFixPm30Y</v>
      </c>
      <c r="K18" s="486" t="e">
        <f>_xll.qlIndexFixing($J18,$E18,TRUE,$G18)</f>
        <v>#NUM!</v>
      </c>
      <c r="L18" s="486" t="e">
        <f>IF($H18,_xll.qlIndexFixing($J18,$E18,FALSE,$G18),"-")</f>
        <v>#N/A</v>
      </c>
      <c r="M18" s="486" t="e">
        <f>K18-L18</f>
        <v>#NUM!</v>
      </c>
      <c r="N18" s="485" t="e">
        <f>_xll.qlIndexFixing($J18,$E18,TRUE,$L18)</f>
        <v>#NUM!</v>
      </c>
      <c r="O18" s="526">
        <f>IF(ISERROR(M18),0,ABS(M18))</f>
        <v>0</v>
      </c>
      <c r="P18" s="483"/>
      <c r="Q18" s="464"/>
      <c r="R18" s="464"/>
      <c r="S18" s="464"/>
      <c r="T18" s="464"/>
      <c r="U18" s="464"/>
      <c r="V18" s="464"/>
      <c r="W18" s="464"/>
      <c r="X18" s="464"/>
      <c r="Y18" s="464"/>
      <c r="Z18" s="464"/>
      <c r="AA18" s="464"/>
      <c r="AB18" s="464"/>
      <c r="AC18" s="464"/>
      <c r="AD18" s="464"/>
    </row>
    <row r="19" spans="1:30" ht="12" thickBot="1" x14ac:dyDescent="0.25">
      <c r="A19" s="464"/>
      <c r="B19" s="482"/>
      <c r="C19" s="480"/>
      <c r="D19" s="480"/>
      <c r="E19" s="480"/>
      <c r="F19" s="480"/>
      <c r="G19" s="480"/>
      <c r="H19" s="480"/>
      <c r="I19" s="479"/>
      <c r="J19" s="479"/>
      <c r="K19" s="479"/>
      <c r="L19" s="479"/>
      <c r="M19" s="479"/>
      <c r="N19" s="479"/>
      <c r="O19" s="479"/>
      <c r="P19" s="478"/>
      <c r="Q19" s="464"/>
      <c r="R19" s="464"/>
      <c r="S19" s="464"/>
      <c r="T19" s="464"/>
      <c r="U19" s="464"/>
      <c r="V19" s="464"/>
      <c r="W19" s="464"/>
      <c r="X19" s="464"/>
      <c r="Y19" s="464"/>
      <c r="Z19" s="464"/>
      <c r="AA19" s="464"/>
      <c r="AB19" s="464"/>
      <c r="AC19" s="464"/>
      <c r="AD19" s="464"/>
    </row>
    <row r="20" spans="1:30" ht="12" thickBot="1" x14ac:dyDescent="0.25">
      <c r="A20" s="464"/>
      <c r="B20" s="464"/>
      <c r="C20" s="464"/>
      <c r="D20" s="464"/>
      <c r="E20" s="477"/>
      <c r="F20" s="476"/>
      <c r="G20" s="476"/>
      <c r="H20" s="464"/>
      <c r="I20" s="464"/>
      <c r="J20" s="464"/>
      <c r="K20" s="464"/>
      <c r="L20" s="464"/>
      <c r="M20" s="464"/>
      <c r="N20" s="464"/>
      <c r="O20" s="464"/>
      <c r="P20" s="464"/>
      <c r="Q20" s="464"/>
      <c r="R20" s="464"/>
      <c r="S20" s="464"/>
      <c r="T20" s="464"/>
      <c r="U20" s="464"/>
      <c r="V20" s="464"/>
      <c r="W20" s="464"/>
      <c r="X20" s="464"/>
      <c r="Y20" s="464"/>
      <c r="Z20" s="464"/>
      <c r="AA20" s="464"/>
      <c r="AB20" s="464"/>
      <c r="AC20" s="464"/>
      <c r="AD20" s="464"/>
    </row>
    <row r="21" spans="1:30" s="464" customFormat="1" x14ac:dyDescent="0.2">
      <c r="C21" s="475" t="s">
        <v>132</v>
      </c>
      <c r="D21" s="531" t="s">
        <v>333</v>
      </c>
      <c r="E21" s="530" t="s">
        <v>333</v>
      </c>
    </row>
    <row r="22" spans="1:30" s="464" customFormat="1" x14ac:dyDescent="0.2">
      <c r="C22" s="470" t="s">
        <v>131</v>
      </c>
      <c r="D22" s="469" t="s">
        <v>335</v>
      </c>
      <c r="E22" s="468" t="s">
        <v>334</v>
      </c>
    </row>
    <row r="23" spans="1:30" s="464" customFormat="1" x14ac:dyDescent="0.2">
      <c r="C23" s="470" t="s">
        <v>317</v>
      </c>
      <c r="D23" s="469" t="s">
        <v>332</v>
      </c>
      <c r="E23" s="468" t="s">
        <v>331</v>
      </c>
    </row>
    <row r="24" spans="1:30" s="464" customFormat="1" x14ac:dyDescent="0.2">
      <c r="C24" s="470" t="s">
        <v>316</v>
      </c>
      <c r="D24" s="529" t="s">
        <v>333</v>
      </c>
      <c r="E24" s="528" t="s">
        <v>333</v>
      </c>
    </row>
    <row r="25" spans="1:30" s="464" customFormat="1" x14ac:dyDescent="0.2">
      <c r="C25" s="470" t="s">
        <v>128</v>
      </c>
      <c r="D25" s="529" t="s">
        <v>333</v>
      </c>
      <c r="E25" s="528" t="s">
        <v>333</v>
      </c>
    </row>
    <row r="26" spans="1:30" s="464" customFormat="1" x14ac:dyDescent="0.2">
      <c r="C26" s="470" t="s">
        <v>127</v>
      </c>
      <c r="D26" s="469" t="s">
        <v>332</v>
      </c>
      <c r="E26" s="468" t="s">
        <v>331</v>
      </c>
    </row>
    <row r="27" spans="1:30" s="464" customFormat="1" ht="12" thickBot="1" x14ac:dyDescent="0.25">
      <c r="C27" s="467" t="s">
        <v>122</v>
      </c>
      <c r="D27" s="525" t="s">
        <v>332</v>
      </c>
      <c r="E27" s="524" t="s">
        <v>331</v>
      </c>
    </row>
    <row r="28" spans="1:30" s="464" customFormat="1" x14ac:dyDescent="0.2"/>
    <row r="29" spans="1:30" s="464" customFormat="1" x14ac:dyDescent="0.2"/>
    <row r="30" spans="1:30" s="464" customFormat="1" x14ac:dyDescent="0.2"/>
    <row r="31" spans="1:30" s="464" customFormat="1" x14ac:dyDescent="0.2"/>
    <row r="32" spans="1:30" s="464" customFormat="1" x14ac:dyDescent="0.2"/>
    <row r="33" s="464" customFormat="1" x14ac:dyDescent="0.2"/>
    <row r="34" s="464" customFormat="1" x14ac:dyDescent="0.2"/>
    <row r="35" s="464" customFormat="1" x14ac:dyDescent="0.2"/>
    <row r="36" s="464" customFormat="1" x14ac:dyDescent="0.2"/>
    <row r="37" s="464" customFormat="1" x14ac:dyDescent="0.2"/>
    <row r="38" s="464" customFormat="1" x14ac:dyDescent="0.2"/>
  </sheetData>
  <conditionalFormatting sqref="M4:M18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63" customWidth="1"/>
    <col min="3" max="3" width="5.7109375" style="463" bestFit="1" customWidth="1"/>
    <col min="4" max="4" width="9.28515625" style="463" bestFit="1" customWidth="1"/>
    <col min="5" max="5" width="26.42578125" style="463" bestFit="1" customWidth="1"/>
    <col min="6" max="6" width="9.85546875" style="463" customWidth="1"/>
    <col min="7" max="7" width="6" style="463" bestFit="1" customWidth="1"/>
    <col min="8" max="8" width="5.5703125" style="463" bestFit="1" customWidth="1"/>
    <col min="9" max="9" width="3.5703125" style="463" customWidth="1"/>
    <col min="10" max="10" width="7.85546875" style="463" bestFit="1" customWidth="1"/>
    <col min="11" max="11" width="11.42578125" style="463" bestFit="1" customWidth="1"/>
    <col min="12" max="12" width="8.7109375" style="463" bestFit="1" customWidth="1"/>
    <col min="13" max="13" width="7.140625" style="463" bestFit="1" customWidth="1"/>
    <col min="14" max="14" width="10" style="463" bestFit="1" customWidth="1"/>
    <col min="15" max="15" width="7.140625" style="463" bestFit="1" customWidth="1"/>
    <col min="16" max="17" width="3.5703125" style="463" customWidth="1"/>
    <col min="18" max="18" width="4" style="463" bestFit="1" customWidth="1"/>
    <col min="19" max="19" width="5.28515625" style="463" bestFit="1" customWidth="1"/>
    <col min="20" max="20" width="16" style="463" bestFit="1" customWidth="1"/>
    <col min="21" max="16384" width="9.140625" style="463"/>
  </cols>
  <sheetData>
    <row r="1" spans="1:30" ht="12" thickBot="1" x14ac:dyDescent="0.25">
      <c r="A1" s="560" t="s">
        <v>342</v>
      </c>
      <c r="B1" s="464"/>
      <c r="C1" s="464"/>
      <c r="D1" s="469"/>
      <c r="E1" s="477"/>
      <c r="F1" s="523"/>
      <c r="G1" s="523"/>
      <c r="H1" s="464"/>
      <c r="I1" s="469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0" ht="19.5" x14ac:dyDescent="0.4">
      <c r="A2" s="464"/>
      <c r="B2" s="522"/>
      <c r="C2" s="516"/>
      <c r="D2" s="521" t="str">
        <f>VLOOKUP(Currency,Traits,2,FALSE)</f>
        <v>-</v>
      </c>
      <c r="E2" s="520"/>
      <c r="F2" s="519"/>
      <c r="G2" s="519"/>
      <c r="H2" s="516"/>
      <c r="I2" s="516"/>
      <c r="J2" s="518" t="str">
        <f>VLOOKUP(Currency,Traits,3,FALSE)</f>
        <v>-</v>
      </c>
      <c r="K2" s="516"/>
      <c r="L2" s="516"/>
      <c r="M2" s="517">
        <f>MAX(O4:O19)</f>
        <v>0</v>
      </c>
      <c r="N2" s="516"/>
      <c r="O2" s="516"/>
      <c r="P2" s="515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0" ht="22.5" x14ac:dyDescent="0.2">
      <c r="A3" s="464"/>
      <c r="B3" s="493"/>
      <c r="C3" s="513" t="s">
        <v>47</v>
      </c>
      <c r="D3" s="512" t="e">
        <f ca="1">_xll.RData(D4:D18,E3:F3,"RTFEED:IDN",,,E4)</f>
        <v>#NAME?</v>
      </c>
      <c r="E3" s="512" t="s">
        <v>324</v>
      </c>
      <c r="F3" s="512" t="s">
        <v>330</v>
      </c>
      <c r="G3" s="512" t="s">
        <v>323</v>
      </c>
      <c r="H3" s="511" t="s">
        <v>322</v>
      </c>
      <c r="I3" s="514"/>
      <c r="J3" s="513" t="s">
        <v>264</v>
      </c>
      <c r="K3" s="512" t="s">
        <v>321</v>
      </c>
      <c r="L3" s="512" t="s">
        <v>320</v>
      </c>
      <c r="M3" s="512" t="s">
        <v>319</v>
      </c>
      <c r="N3" s="511" t="s">
        <v>318</v>
      </c>
      <c r="O3" s="510" t="s">
        <v>338</v>
      </c>
      <c r="P3" s="483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0" x14ac:dyDescent="0.2">
      <c r="A4" s="464"/>
      <c r="B4" s="493"/>
      <c r="C4" s="509" t="s">
        <v>29</v>
      </c>
      <c r="D4" s="504" t="str">
        <f>Currency&amp;$D$2&amp;$C4&amp;"="</f>
        <v>USD-1Y=</v>
      </c>
      <c r="E4" s="508" t="s">
        <v>247</v>
      </c>
      <c r="F4" s="507" t="s">
        <v>247</v>
      </c>
      <c r="G4" s="507" t="b">
        <f>IF(AND(ISNUMBER($F4),$F4&lt;&gt;0%),TRUE,FALSE)</f>
        <v>0</v>
      </c>
      <c r="H4" s="506" t="e">
        <f>IF($G4,_xll.qlIndexAddFixings($J4,$E4,$F4/100,TRUE,ISERROR($K4)),NA())</f>
        <v>#N/A</v>
      </c>
      <c r="I4" s="488"/>
      <c r="J4" s="505" t="str">
        <f>PROPER(Currency)&amp;$J$2&amp;$C4</f>
        <v>Usd-1Y</v>
      </c>
      <c r="K4" s="504" t="e">
        <f>_xll.qlIndexFixing($J4,$E4,TRUE,$G4)</f>
        <v>#NUM!</v>
      </c>
      <c r="L4" s="504" t="e">
        <f>IF($H4,_xll.qlIndexFixing($J4,$E4,FALSE,$G4),"-")</f>
        <v>#N/A</v>
      </c>
      <c r="M4" s="504" t="e">
        <f>K4-L4</f>
        <v>#NUM!</v>
      </c>
      <c r="N4" s="503" t="e">
        <f>_xll.qlIndexFixing($J4,$E4,TRUE,$L4)</f>
        <v>#NUM!</v>
      </c>
      <c r="O4" s="527">
        <f>IF(ISERROR(M4),0,ABS(M4))</f>
        <v>0</v>
      </c>
      <c r="P4" s="483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</row>
    <row r="5" spans="1:30" x14ac:dyDescent="0.2">
      <c r="A5" s="464"/>
      <c r="B5" s="493"/>
      <c r="C5" s="501" t="s">
        <v>108</v>
      </c>
      <c r="D5" s="496" t="str">
        <f>Currency&amp;$D$2&amp;$C5&amp;"="</f>
        <v>USD-2Y=</v>
      </c>
      <c r="E5" s="500" t="s">
        <v>247</v>
      </c>
      <c r="F5" s="499" t="s">
        <v>247</v>
      </c>
      <c r="G5" s="499" t="b">
        <f>IF(AND(ISNUMBER($F5),$F5&lt;&gt;0%),TRUE,FALSE)</f>
        <v>0</v>
      </c>
      <c r="H5" s="498" t="e">
        <f>IF($G5,_xll.qlIndexAddFixings($J5,$E5,$F5/100,TRUE,ISERROR($K5)),NA())</f>
        <v>#N/A</v>
      </c>
      <c r="I5" s="488"/>
      <c r="J5" s="497" t="str">
        <f>PROPER(Currency)&amp;$J$2&amp;$C5</f>
        <v>Usd-2Y</v>
      </c>
      <c r="K5" s="496" t="e">
        <f>_xll.qlIndexFixing($J5,$E5,TRUE,$G5)</f>
        <v>#NUM!</v>
      </c>
      <c r="L5" s="496" t="e">
        <f>IF($H5,_xll.qlIndexFixing($J5,$E5,FALSE,$G5),"-")</f>
        <v>#N/A</v>
      </c>
      <c r="M5" s="496" t="e">
        <f>K5-L5</f>
        <v>#NUM!</v>
      </c>
      <c r="N5" s="495" t="e">
        <f>_xll.qlIndexFixing($J5,$E5,TRUE,$L5)</f>
        <v>#NUM!</v>
      </c>
      <c r="O5" s="527">
        <f>IF(ISERROR(M5),0,ABS(M5))</f>
        <v>0</v>
      </c>
      <c r="P5" s="483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</row>
    <row r="6" spans="1:30" x14ac:dyDescent="0.2">
      <c r="A6" s="464"/>
      <c r="B6" s="493"/>
      <c r="C6" s="501" t="s">
        <v>107</v>
      </c>
      <c r="D6" s="496" t="str">
        <f>Currency&amp;$D$2&amp;$C6&amp;"="</f>
        <v>USD-3Y=</v>
      </c>
      <c r="E6" s="500" t="s">
        <v>247</v>
      </c>
      <c r="F6" s="499" t="s">
        <v>247</v>
      </c>
      <c r="G6" s="499" t="b">
        <f>IF(AND(ISNUMBER($F6),$F6&lt;&gt;0%),TRUE,FALSE)</f>
        <v>0</v>
      </c>
      <c r="H6" s="498" t="e">
        <f>IF($G6,_xll.qlIndexAddFixings($J6,$E6,$F6/100,TRUE,ISERROR($K6)),NA())</f>
        <v>#N/A</v>
      </c>
      <c r="I6" s="488"/>
      <c r="J6" s="497" t="str">
        <f>PROPER(Currency)&amp;$J$2&amp;$C6</f>
        <v>Usd-3Y</v>
      </c>
      <c r="K6" s="496" t="e">
        <f>_xll.qlIndexFixing($J6,$E6,TRUE,$G6)</f>
        <v>#NUM!</v>
      </c>
      <c r="L6" s="496" t="e">
        <f>IF($H6,_xll.qlIndexFixing($J6,$E6,FALSE,$G6),"-")</f>
        <v>#N/A</v>
      </c>
      <c r="M6" s="496" t="e">
        <f>K6-L6</f>
        <v>#NUM!</v>
      </c>
      <c r="N6" s="495" t="e">
        <f>_xll.qlIndexFixing($J6,$E6,TRUE,$L6)</f>
        <v>#NUM!</v>
      </c>
      <c r="O6" s="527">
        <f>IF(ISERROR(M6),0,ABS(M6))</f>
        <v>0</v>
      </c>
      <c r="P6" s="483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</row>
    <row r="7" spans="1:30" x14ac:dyDescent="0.2">
      <c r="A7" s="464"/>
      <c r="B7" s="493"/>
      <c r="C7" s="501" t="s">
        <v>106</v>
      </c>
      <c r="D7" s="496" t="str">
        <f>Currency&amp;$D$2&amp;$C7&amp;"="</f>
        <v>USD-4Y=</v>
      </c>
      <c r="E7" s="500" t="s">
        <v>247</v>
      </c>
      <c r="F7" s="499" t="s">
        <v>247</v>
      </c>
      <c r="G7" s="499" t="b">
        <f>IF(AND(ISNUMBER($F7),$F7&lt;&gt;0%),TRUE,FALSE)</f>
        <v>0</v>
      </c>
      <c r="H7" s="498" t="e">
        <f>IF($G7,_xll.qlIndexAddFixings($J7,$E7,$F7/100,TRUE,ISERROR($K7)),NA())</f>
        <v>#N/A</v>
      </c>
      <c r="I7" s="488"/>
      <c r="J7" s="497" t="str">
        <f>PROPER(Currency)&amp;$J$2&amp;$C7</f>
        <v>Usd-4Y</v>
      </c>
      <c r="K7" s="496" t="e">
        <f>_xll.qlIndexFixing($J7,$E7,TRUE,$G7)</f>
        <v>#NUM!</v>
      </c>
      <c r="L7" s="496" t="e">
        <f>IF($H7,_xll.qlIndexFixing($J7,$E7,FALSE,$G7),"-")</f>
        <v>#N/A</v>
      </c>
      <c r="M7" s="496" t="e">
        <f>K7-L7</f>
        <v>#NUM!</v>
      </c>
      <c r="N7" s="495" t="e">
        <f>_xll.qlIndexFixing($J7,$E7,TRUE,$L7)</f>
        <v>#NUM!</v>
      </c>
      <c r="O7" s="527">
        <f>IF(ISERROR(M7),0,ABS(M7))</f>
        <v>0</v>
      </c>
      <c r="P7" s="483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</row>
    <row r="8" spans="1:30" x14ac:dyDescent="0.2">
      <c r="A8" s="464"/>
      <c r="B8" s="493"/>
      <c r="C8" s="501" t="s">
        <v>105</v>
      </c>
      <c r="D8" s="496" t="str">
        <f>Currency&amp;$D$2&amp;$C8&amp;"="</f>
        <v>USD-5Y=</v>
      </c>
      <c r="E8" s="500" t="s">
        <v>247</v>
      </c>
      <c r="F8" s="499" t="s">
        <v>247</v>
      </c>
      <c r="G8" s="499" t="b">
        <f>IF(AND(ISNUMBER($F8),$F8&lt;&gt;0%),TRUE,FALSE)</f>
        <v>0</v>
      </c>
      <c r="H8" s="498" t="e">
        <f>IF($G8,_xll.qlIndexAddFixings($J8,$E8,$F8/100,TRUE,ISERROR($K8)),NA())</f>
        <v>#N/A</v>
      </c>
      <c r="I8" s="488"/>
      <c r="J8" s="497" t="str">
        <f>PROPER(Currency)&amp;$J$2&amp;$C8</f>
        <v>Usd-5Y</v>
      </c>
      <c r="K8" s="496" t="e">
        <f>_xll.qlIndexFixing($J8,$E8,TRUE,$G8)</f>
        <v>#NUM!</v>
      </c>
      <c r="L8" s="496" t="e">
        <f>IF($H8,_xll.qlIndexFixing($J8,$E8,FALSE,$G8),"-")</f>
        <v>#N/A</v>
      </c>
      <c r="M8" s="496" t="e">
        <f>K8-L8</f>
        <v>#NUM!</v>
      </c>
      <c r="N8" s="495" t="e">
        <f>_xll.qlIndexFixing($J8,$E8,TRUE,$L8)</f>
        <v>#NUM!</v>
      </c>
      <c r="O8" s="527">
        <f>IF(ISERROR(M8),0,ABS(M8))</f>
        <v>0</v>
      </c>
      <c r="P8" s="483"/>
      <c r="Q8" s="464"/>
      <c r="R8" s="464"/>
      <c r="S8" s="464"/>
      <c r="T8" s="464"/>
      <c r="U8" s="464"/>
      <c r="V8" s="464"/>
      <c r="W8" s="464"/>
      <c r="X8" s="464"/>
      <c r="Y8" s="464"/>
      <c r="Z8" s="464"/>
      <c r="AA8" s="464"/>
      <c r="AB8" s="464"/>
      <c r="AC8" s="464"/>
      <c r="AD8" s="464"/>
    </row>
    <row r="9" spans="1:30" x14ac:dyDescent="0.2">
      <c r="A9" s="464"/>
      <c r="B9" s="493"/>
      <c r="C9" s="501" t="s">
        <v>104</v>
      </c>
      <c r="D9" s="496" t="str">
        <f>Currency&amp;$D$2&amp;$C9&amp;"="</f>
        <v>USD-6Y=</v>
      </c>
      <c r="E9" s="500" t="s">
        <v>247</v>
      </c>
      <c r="F9" s="499" t="s">
        <v>247</v>
      </c>
      <c r="G9" s="499" t="b">
        <f>IF(AND(ISNUMBER($F9),$F9&lt;&gt;0%),TRUE,FALSE)</f>
        <v>0</v>
      </c>
      <c r="H9" s="498" t="e">
        <f>IF($G9,_xll.qlIndexAddFixings($J9,$E9,$F9/100,TRUE,ISERROR($K9)),NA())</f>
        <v>#N/A</v>
      </c>
      <c r="I9" s="488"/>
      <c r="J9" s="497" t="str">
        <f>PROPER(Currency)&amp;$J$2&amp;$C9</f>
        <v>Usd-6Y</v>
      </c>
      <c r="K9" s="496" t="e">
        <f>_xll.qlIndexFixing($J9,$E9,TRUE,$G9)</f>
        <v>#NUM!</v>
      </c>
      <c r="L9" s="496" t="e">
        <f>IF($H9,_xll.qlIndexFixing($J9,$E9,FALSE,$G9),"-")</f>
        <v>#N/A</v>
      </c>
      <c r="M9" s="496" t="e">
        <f>K9-L9</f>
        <v>#NUM!</v>
      </c>
      <c r="N9" s="495" t="e">
        <f>_xll.qlIndexFixing($J9,$E9,TRUE,$L9)</f>
        <v>#NUM!</v>
      </c>
      <c r="O9" s="527">
        <f>IF(ISERROR(M9),0,ABS(M9))</f>
        <v>0</v>
      </c>
      <c r="P9" s="483"/>
      <c r="Q9" s="464"/>
      <c r="R9" s="464"/>
      <c r="S9" s="464"/>
      <c r="T9" s="464"/>
      <c r="U9" s="464"/>
      <c r="V9" s="464"/>
      <c r="W9" s="464"/>
      <c r="X9" s="464"/>
      <c r="Y9" s="464"/>
      <c r="Z9" s="464"/>
      <c r="AA9" s="464"/>
      <c r="AB9" s="464"/>
      <c r="AC9" s="464"/>
      <c r="AD9" s="464"/>
    </row>
    <row r="10" spans="1:30" x14ac:dyDescent="0.2">
      <c r="A10" s="464"/>
      <c r="B10" s="493"/>
      <c r="C10" s="501" t="s">
        <v>103</v>
      </c>
      <c r="D10" s="496" t="str">
        <f>Currency&amp;$D$2&amp;$C10&amp;"="</f>
        <v>USD-7Y=</v>
      </c>
      <c r="E10" s="500" t="s">
        <v>247</v>
      </c>
      <c r="F10" s="499" t="s">
        <v>247</v>
      </c>
      <c r="G10" s="499" t="b">
        <f>IF(AND(ISNUMBER($F10),$F10&lt;&gt;0%),TRUE,FALSE)</f>
        <v>0</v>
      </c>
      <c r="H10" s="498" t="e">
        <f>IF($G10,_xll.qlIndexAddFixings($J10,$E10,$F10/100,TRUE,ISERROR($K10)),NA())</f>
        <v>#N/A</v>
      </c>
      <c r="I10" s="488"/>
      <c r="J10" s="497" t="str">
        <f>PROPER(Currency)&amp;$J$2&amp;$C10</f>
        <v>Usd-7Y</v>
      </c>
      <c r="K10" s="496" t="e">
        <f>_xll.qlIndexFixing($J10,$E10,TRUE,$G10)</f>
        <v>#NUM!</v>
      </c>
      <c r="L10" s="496" t="e">
        <f>IF($H10,_xll.qlIndexFixing($J10,$E10,FALSE,$G10),"-")</f>
        <v>#N/A</v>
      </c>
      <c r="M10" s="496" t="e">
        <f>K10-L10</f>
        <v>#NUM!</v>
      </c>
      <c r="N10" s="495" t="e">
        <f>_xll.qlIndexFixing($J10,$E10,TRUE,$L10)</f>
        <v>#NUM!</v>
      </c>
      <c r="O10" s="527">
        <f>IF(ISERROR(M10),0,ABS(M10))</f>
        <v>0</v>
      </c>
      <c r="P10" s="483"/>
      <c r="Q10" s="464"/>
      <c r="R10" s="464"/>
      <c r="S10" s="464"/>
      <c r="T10" s="464"/>
      <c r="U10" s="464"/>
      <c r="V10" s="464"/>
      <c r="W10" s="464"/>
      <c r="X10" s="464"/>
      <c r="Y10" s="464"/>
      <c r="Z10" s="464"/>
      <c r="AA10" s="464"/>
      <c r="AB10" s="464"/>
      <c r="AC10" s="464"/>
      <c r="AD10" s="464"/>
    </row>
    <row r="11" spans="1:30" x14ac:dyDescent="0.2">
      <c r="A11" s="464"/>
      <c r="B11" s="493"/>
      <c r="C11" s="501" t="s">
        <v>102</v>
      </c>
      <c r="D11" s="496" t="str">
        <f>Currency&amp;$D$2&amp;$C11&amp;"="</f>
        <v>USD-8Y=</v>
      </c>
      <c r="E11" s="500" t="s">
        <v>247</v>
      </c>
      <c r="F11" s="499" t="s">
        <v>247</v>
      </c>
      <c r="G11" s="499" t="b">
        <f>IF(AND(ISNUMBER($F11),$F11&lt;&gt;0%),TRUE,FALSE)</f>
        <v>0</v>
      </c>
      <c r="H11" s="498" t="e">
        <f>IF($G11,_xll.qlIndexAddFixings($J11,$E11,$F11/100,TRUE,ISERROR($K11)),NA())</f>
        <v>#N/A</v>
      </c>
      <c r="I11" s="488"/>
      <c r="J11" s="497" t="str">
        <f>PROPER(Currency)&amp;$J$2&amp;$C11</f>
        <v>Usd-8Y</v>
      </c>
      <c r="K11" s="496" t="e">
        <f>_xll.qlIndexFixing($J11,$E11,TRUE,$G11)</f>
        <v>#NUM!</v>
      </c>
      <c r="L11" s="496" t="e">
        <f>IF($H11,_xll.qlIndexFixing($J11,$E11,FALSE,$G11),"-")</f>
        <v>#N/A</v>
      </c>
      <c r="M11" s="496" t="e">
        <f>K11-L11</f>
        <v>#NUM!</v>
      </c>
      <c r="N11" s="495" t="e">
        <f>_xll.qlIndexFixing($J11,$E11,TRUE,$L11)</f>
        <v>#NUM!</v>
      </c>
      <c r="O11" s="527">
        <f>IF(ISERROR(M11),0,ABS(M11))</f>
        <v>0</v>
      </c>
      <c r="P11" s="483"/>
      <c r="Q11" s="464"/>
      <c r="R11" s="464"/>
      <c r="S11" s="464"/>
      <c r="T11" s="464"/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</row>
    <row r="12" spans="1:30" x14ac:dyDescent="0.2">
      <c r="A12" s="464"/>
      <c r="B12" s="493"/>
      <c r="C12" s="501" t="s">
        <v>101</v>
      </c>
      <c r="D12" s="496" t="str">
        <f>Currency&amp;$D$2&amp;$C12&amp;"="</f>
        <v>USD-9Y=</v>
      </c>
      <c r="E12" s="500" t="s">
        <v>247</v>
      </c>
      <c r="F12" s="499" t="s">
        <v>247</v>
      </c>
      <c r="G12" s="499" t="b">
        <f>IF(AND(ISNUMBER($F12),$F12&lt;&gt;0%),TRUE,FALSE)</f>
        <v>0</v>
      </c>
      <c r="H12" s="498" t="e">
        <f>IF($G12,_xll.qlIndexAddFixings($J12,$E12,$F12/100,TRUE,ISERROR($K12)),NA())</f>
        <v>#N/A</v>
      </c>
      <c r="I12" s="488"/>
      <c r="J12" s="497" t="str">
        <f>PROPER(Currency)&amp;$J$2&amp;$C12</f>
        <v>Usd-9Y</v>
      </c>
      <c r="K12" s="496" t="e">
        <f>_xll.qlIndexFixing($J12,$E12,TRUE,$G12)</f>
        <v>#NUM!</v>
      </c>
      <c r="L12" s="496" t="e">
        <f>IF($H12,_xll.qlIndexFixing($J12,$E12,FALSE,$G12),"-")</f>
        <v>#N/A</v>
      </c>
      <c r="M12" s="496" t="e">
        <f>K12-L12</f>
        <v>#NUM!</v>
      </c>
      <c r="N12" s="495" t="e">
        <f>_xll.qlIndexFixing($J12,$E12,TRUE,$L12)</f>
        <v>#NUM!</v>
      </c>
      <c r="O12" s="527">
        <f>IF(ISERROR(M12),0,ABS(M12))</f>
        <v>0</v>
      </c>
      <c r="P12" s="483"/>
      <c r="Q12" s="464"/>
      <c r="R12" s="464"/>
      <c r="S12" s="464"/>
      <c r="T12" s="464"/>
      <c r="U12" s="464"/>
      <c r="V12" s="464"/>
      <c r="W12" s="464"/>
      <c r="X12" s="464"/>
      <c r="Y12" s="464"/>
      <c r="Z12" s="464"/>
      <c r="AA12" s="464"/>
      <c r="AB12" s="464"/>
      <c r="AC12" s="464"/>
      <c r="AD12" s="464"/>
    </row>
    <row r="13" spans="1:30" x14ac:dyDescent="0.2">
      <c r="A13" s="464"/>
      <c r="B13" s="493"/>
      <c r="C13" s="501" t="s">
        <v>100</v>
      </c>
      <c r="D13" s="496" t="str">
        <f>Currency&amp;$D$2&amp;$C13&amp;"="</f>
        <v>USD-10Y=</v>
      </c>
      <c r="E13" s="500" t="s">
        <v>247</v>
      </c>
      <c r="F13" s="499" t="s">
        <v>247</v>
      </c>
      <c r="G13" s="499" t="b">
        <f>IF(AND(ISNUMBER($F13),$F13&lt;&gt;0%),TRUE,FALSE)</f>
        <v>0</v>
      </c>
      <c r="H13" s="498" t="e">
        <f>IF($G13,_xll.qlIndexAddFixings($J13,$E13,$F13/100,TRUE,ISERROR($K13)),NA())</f>
        <v>#N/A</v>
      </c>
      <c r="I13" s="488"/>
      <c r="J13" s="497" t="str">
        <f>PROPER(Currency)&amp;$J$2&amp;$C13</f>
        <v>Usd-10Y</v>
      </c>
      <c r="K13" s="496" t="e">
        <f>_xll.qlIndexFixing($J13,$E13,TRUE,$G13)</f>
        <v>#NUM!</v>
      </c>
      <c r="L13" s="496" t="e">
        <f>IF($H13,_xll.qlIndexFixing($J13,$E13,FALSE,$G13),"-")</f>
        <v>#N/A</v>
      </c>
      <c r="M13" s="496" t="e">
        <f>K13-L13</f>
        <v>#NUM!</v>
      </c>
      <c r="N13" s="495" t="e">
        <f>_xll.qlIndexFixing($J13,$E13,TRUE,$L13)</f>
        <v>#NUM!</v>
      </c>
      <c r="O13" s="527">
        <f>IF(ISERROR(M13),0,ABS(M13))</f>
        <v>0</v>
      </c>
      <c r="P13" s="483"/>
      <c r="Q13" s="464"/>
      <c r="R13" s="464"/>
      <c r="S13" s="464"/>
      <c r="T13" s="464"/>
      <c r="U13" s="464"/>
      <c r="V13" s="464"/>
      <c r="W13" s="464"/>
      <c r="X13" s="464"/>
      <c r="Y13" s="464"/>
      <c r="Z13" s="464"/>
      <c r="AA13" s="464"/>
      <c r="AB13" s="464"/>
      <c r="AC13" s="464"/>
      <c r="AD13" s="464"/>
    </row>
    <row r="14" spans="1:30" x14ac:dyDescent="0.2">
      <c r="A14" s="464"/>
      <c r="B14" s="493"/>
      <c r="C14" s="501" t="s">
        <v>98</v>
      </c>
      <c r="D14" s="496" t="str">
        <f>Currency&amp;$D$2&amp;$C14&amp;"="</f>
        <v>USD-12Y=</v>
      </c>
      <c r="E14" s="500" t="s">
        <v>247</v>
      </c>
      <c r="F14" s="499" t="s">
        <v>247</v>
      </c>
      <c r="G14" s="499" t="b">
        <f>IF(AND(ISNUMBER($F14),$F14&lt;&gt;0%),TRUE,FALSE)</f>
        <v>0</v>
      </c>
      <c r="H14" s="498" t="e">
        <f>IF($G14,_xll.qlIndexAddFixings($J14,$E14,$F14/100,TRUE,ISERROR($K14)),NA())</f>
        <v>#N/A</v>
      </c>
      <c r="I14" s="488"/>
      <c r="J14" s="497" t="str">
        <f>PROPER(Currency)&amp;$J$2&amp;$C14</f>
        <v>Usd-12Y</v>
      </c>
      <c r="K14" s="496" t="e">
        <f>_xll.qlIndexFixing($J14,$E14,TRUE,$G14)</f>
        <v>#NUM!</v>
      </c>
      <c r="L14" s="496" t="e">
        <f>IF($H14,_xll.qlIndexFixing($J14,$E14,FALSE,$G14),"-")</f>
        <v>#N/A</v>
      </c>
      <c r="M14" s="496" t="e">
        <f>K14-L14</f>
        <v>#NUM!</v>
      </c>
      <c r="N14" s="495" t="e">
        <f>_xll.qlIndexFixing($J14,$E14,TRUE,$L14)</f>
        <v>#NUM!</v>
      </c>
      <c r="O14" s="527">
        <f>IF(ISERROR(M14),0,ABS(M14))</f>
        <v>0</v>
      </c>
      <c r="P14" s="483"/>
      <c r="Q14" s="464"/>
      <c r="R14" s="464"/>
      <c r="S14" s="464"/>
      <c r="T14" s="464"/>
      <c r="U14" s="464"/>
      <c r="V14" s="464"/>
      <c r="W14" s="464"/>
      <c r="X14" s="464"/>
      <c r="Y14" s="464"/>
      <c r="Z14" s="464"/>
      <c r="AA14" s="464"/>
      <c r="AB14" s="464"/>
      <c r="AC14" s="464"/>
      <c r="AD14" s="464"/>
    </row>
    <row r="15" spans="1:30" x14ac:dyDescent="0.2">
      <c r="A15" s="464"/>
      <c r="B15" s="493"/>
      <c r="C15" s="501" t="s">
        <v>95</v>
      </c>
      <c r="D15" s="496" t="str">
        <f>Currency&amp;$D$2&amp;$C15&amp;"="</f>
        <v>USD-15Y=</v>
      </c>
      <c r="E15" s="500" t="s">
        <v>247</v>
      </c>
      <c r="F15" s="499" t="s">
        <v>247</v>
      </c>
      <c r="G15" s="499" t="b">
        <f>IF(AND(ISNUMBER($F15),$F15&lt;&gt;0%),TRUE,FALSE)</f>
        <v>0</v>
      </c>
      <c r="H15" s="498" t="e">
        <f>IF($G15,_xll.qlIndexAddFixings($J15,$E15,$F15/100,TRUE,ISERROR($K15)),NA())</f>
        <v>#N/A</v>
      </c>
      <c r="I15" s="488"/>
      <c r="J15" s="497" t="str">
        <f>PROPER(Currency)&amp;$J$2&amp;$C15</f>
        <v>Usd-15Y</v>
      </c>
      <c r="K15" s="496" t="e">
        <f>_xll.qlIndexFixing($J15,$E15,TRUE,$G15)</f>
        <v>#NUM!</v>
      </c>
      <c r="L15" s="496" t="e">
        <f>IF($H15,_xll.qlIndexFixing($J15,$E15,FALSE,$G15),"-")</f>
        <v>#N/A</v>
      </c>
      <c r="M15" s="496" t="e">
        <f>K15-L15</f>
        <v>#NUM!</v>
      </c>
      <c r="N15" s="495" t="e">
        <f>_xll.qlIndexFixing($J15,$E15,TRUE,$L15)</f>
        <v>#NUM!</v>
      </c>
      <c r="O15" s="527">
        <f>IF(ISERROR(M15),0,ABS(M15))</f>
        <v>0</v>
      </c>
      <c r="P15" s="483"/>
      <c r="Q15" s="464"/>
      <c r="R15" s="464"/>
      <c r="S15" s="464"/>
      <c r="T15" s="464"/>
      <c r="U15" s="464"/>
      <c r="V15" s="464"/>
      <c r="W15" s="464"/>
      <c r="X15" s="464"/>
      <c r="Y15" s="464"/>
      <c r="Z15" s="464"/>
      <c r="AA15" s="464"/>
      <c r="AB15" s="464"/>
      <c r="AC15" s="464"/>
      <c r="AD15" s="464"/>
    </row>
    <row r="16" spans="1:30" x14ac:dyDescent="0.2">
      <c r="A16" s="464"/>
      <c r="B16" s="493"/>
      <c r="C16" s="501" t="s">
        <v>90</v>
      </c>
      <c r="D16" s="496" t="str">
        <f>Currency&amp;$D$2&amp;$C16&amp;"="</f>
        <v>USD-20Y=</v>
      </c>
      <c r="E16" s="500" t="s">
        <v>247</v>
      </c>
      <c r="F16" s="499" t="s">
        <v>247</v>
      </c>
      <c r="G16" s="499" t="b">
        <f>IF(AND(ISNUMBER($F16),$F16&lt;&gt;0%),TRUE,FALSE)</f>
        <v>0</v>
      </c>
      <c r="H16" s="498" t="e">
        <f>IF($G16,_xll.qlIndexAddFixings($J16,$E16,$F16/100,TRUE,ISERROR($K16)),NA())</f>
        <v>#N/A</v>
      </c>
      <c r="I16" s="488"/>
      <c r="J16" s="497" t="str">
        <f>PROPER(Currency)&amp;$J$2&amp;$C16</f>
        <v>Usd-20Y</v>
      </c>
      <c r="K16" s="496" t="e">
        <f>_xll.qlIndexFixing($J16,$E16,TRUE,$G16)</f>
        <v>#NUM!</v>
      </c>
      <c r="L16" s="496" t="e">
        <f>IF($H16,_xll.qlIndexFixing($J16,$E16,FALSE,$G16),"-")</f>
        <v>#N/A</v>
      </c>
      <c r="M16" s="496" t="e">
        <f>K16-L16</f>
        <v>#NUM!</v>
      </c>
      <c r="N16" s="495" t="e">
        <f>_xll.qlIndexFixing($J16,$E16,TRUE,$L16)</f>
        <v>#NUM!</v>
      </c>
      <c r="O16" s="527">
        <f>IF(ISERROR(M16),0,ABS(M16))</f>
        <v>0</v>
      </c>
      <c r="P16" s="483"/>
      <c r="Q16" s="464"/>
      <c r="R16" s="464"/>
      <c r="S16" s="464"/>
      <c r="T16" s="464"/>
      <c r="U16" s="464"/>
      <c r="V16" s="464"/>
      <c r="W16" s="464"/>
      <c r="X16" s="464"/>
      <c r="Y16" s="464"/>
      <c r="Z16" s="464"/>
      <c r="AA16" s="464"/>
      <c r="AB16" s="464"/>
      <c r="AC16" s="464"/>
      <c r="AD16" s="464"/>
    </row>
    <row r="17" spans="1:30" x14ac:dyDescent="0.2">
      <c r="A17" s="464"/>
      <c r="B17" s="493"/>
      <c r="C17" s="501" t="s">
        <v>85</v>
      </c>
      <c r="D17" s="496" t="str">
        <f>Currency&amp;$D$2&amp;$C17&amp;"="</f>
        <v>USD-25Y=</v>
      </c>
      <c r="E17" s="500" t="s">
        <v>247</v>
      </c>
      <c r="F17" s="499" t="s">
        <v>247</v>
      </c>
      <c r="G17" s="499" t="b">
        <f>IF(AND(ISNUMBER($F17),$F17&lt;&gt;0%),TRUE,FALSE)</f>
        <v>0</v>
      </c>
      <c r="H17" s="498" t="e">
        <f>IF($G17,_xll.qlIndexAddFixings($J17,$E17,$F17/100,TRUE,ISERROR($K17)),NA())</f>
        <v>#N/A</v>
      </c>
      <c r="I17" s="488"/>
      <c r="J17" s="497" t="str">
        <f>PROPER(Currency)&amp;$J$2&amp;$C17</f>
        <v>Usd-25Y</v>
      </c>
      <c r="K17" s="496" t="e">
        <f>_xll.qlIndexFixing($J17,$E17,TRUE,$G17)</f>
        <v>#NUM!</v>
      </c>
      <c r="L17" s="496" t="e">
        <f>IF($H17,_xll.qlIndexFixing($J17,$E17,FALSE,$G17),"-")</f>
        <v>#N/A</v>
      </c>
      <c r="M17" s="496" t="e">
        <f>K17-L17</f>
        <v>#NUM!</v>
      </c>
      <c r="N17" s="495" t="e">
        <f>_xll.qlIndexFixing($J17,$E17,TRUE,$L17)</f>
        <v>#NUM!</v>
      </c>
      <c r="O17" s="527">
        <f>IF(ISERROR(M17),0,ABS(M17))</f>
        <v>0</v>
      </c>
      <c r="P17" s="483"/>
      <c r="Q17" s="464"/>
      <c r="R17" s="464"/>
      <c r="S17" s="464"/>
      <c r="T17" s="464"/>
      <c r="U17" s="464"/>
      <c r="V17" s="464"/>
      <c r="W17" s="464"/>
      <c r="X17" s="464"/>
      <c r="Y17" s="464"/>
      <c r="Z17" s="464"/>
      <c r="AA17" s="464"/>
      <c r="AB17" s="464"/>
      <c r="AC17" s="464"/>
      <c r="AD17" s="464"/>
    </row>
    <row r="18" spans="1:30" x14ac:dyDescent="0.2">
      <c r="A18" s="464"/>
      <c r="B18" s="493"/>
      <c r="C18" s="492" t="s">
        <v>80</v>
      </c>
      <c r="D18" s="486" t="str">
        <f>Currency&amp;$D$2&amp;$C18&amp;"="</f>
        <v>USD-30Y=</v>
      </c>
      <c r="E18" s="491" t="s">
        <v>247</v>
      </c>
      <c r="F18" s="490" t="s">
        <v>247</v>
      </c>
      <c r="G18" s="490" t="b">
        <f>IF(AND(ISNUMBER($F18),$F18&lt;&gt;0%),TRUE,FALSE)</f>
        <v>0</v>
      </c>
      <c r="H18" s="489" t="e">
        <f>IF($G18,_xll.qlIndexAddFixings($J18,$E18,$F18/100,TRUE,ISERROR($K18)),NA())</f>
        <v>#N/A</v>
      </c>
      <c r="I18" s="488"/>
      <c r="J18" s="487" t="str">
        <f>PROPER(Currency)&amp;$J$2&amp;$C18</f>
        <v>Usd-30Y</v>
      </c>
      <c r="K18" s="486" t="e">
        <f>_xll.qlIndexFixing($J18,$E18,TRUE,$G18)</f>
        <v>#NUM!</v>
      </c>
      <c r="L18" s="486" t="e">
        <f>IF($H18,_xll.qlIndexFixing($J18,$E18,FALSE,$G18),"-")</f>
        <v>#N/A</v>
      </c>
      <c r="M18" s="486" t="e">
        <f>K18-L18</f>
        <v>#NUM!</v>
      </c>
      <c r="N18" s="485" t="e">
        <f>_xll.qlIndexFixing($J18,$E18,TRUE,$L18)</f>
        <v>#NUM!</v>
      </c>
      <c r="O18" s="526">
        <f>IF(ISERROR(M18),0,ABS(M18))</f>
        <v>0</v>
      </c>
      <c r="P18" s="483"/>
      <c r="Q18" s="464"/>
      <c r="R18" s="464"/>
      <c r="S18" s="464"/>
      <c r="T18" s="464"/>
      <c r="U18" s="464"/>
      <c r="V18" s="464"/>
      <c r="W18" s="464"/>
      <c r="X18" s="464"/>
      <c r="Y18" s="464"/>
      <c r="Z18" s="464"/>
      <c r="AA18" s="464"/>
      <c r="AB18" s="464"/>
      <c r="AC18" s="464"/>
      <c r="AD18" s="464"/>
    </row>
    <row r="19" spans="1:30" ht="12" thickBot="1" x14ac:dyDescent="0.25">
      <c r="A19" s="464"/>
      <c r="B19" s="482"/>
      <c r="C19" s="480"/>
      <c r="D19" s="480"/>
      <c r="E19" s="480"/>
      <c r="F19" s="480"/>
      <c r="G19" s="480"/>
      <c r="H19" s="480"/>
      <c r="I19" s="479"/>
      <c r="J19" s="479"/>
      <c r="K19" s="479"/>
      <c r="L19" s="479"/>
      <c r="M19" s="479"/>
      <c r="N19" s="479"/>
      <c r="O19" s="479"/>
      <c r="P19" s="478"/>
      <c r="Q19" s="464"/>
      <c r="R19" s="464"/>
      <c r="S19" s="464"/>
      <c r="T19" s="464"/>
      <c r="U19" s="464"/>
      <c r="V19" s="464"/>
      <c r="W19" s="464"/>
      <c r="X19" s="464"/>
      <c r="Y19" s="464"/>
      <c r="Z19" s="464"/>
      <c r="AA19" s="464"/>
      <c r="AB19" s="464"/>
      <c r="AC19" s="464"/>
      <c r="AD19" s="464"/>
    </row>
    <row r="20" spans="1:30" ht="12" thickBot="1" x14ac:dyDescent="0.25">
      <c r="A20" s="464"/>
      <c r="B20" s="464"/>
      <c r="C20" s="464"/>
      <c r="D20" s="464"/>
      <c r="E20" s="477"/>
      <c r="F20" s="476"/>
      <c r="G20" s="476"/>
      <c r="H20" s="464"/>
      <c r="I20" s="464"/>
      <c r="J20" s="464"/>
      <c r="K20" s="464"/>
      <c r="L20" s="464"/>
      <c r="M20" s="464"/>
      <c r="N20" s="464"/>
      <c r="O20" s="464"/>
      <c r="P20" s="464"/>
      <c r="Q20" s="464"/>
      <c r="R20" s="464"/>
      <c r="S20" s="464"/>
      <c r="T20" s="464"/>
      <c r="U20" s="464"/>
      <c r="V20" s="464"/>
      <c r="W20" s="464"/>
      <c r="X20" s="464"/>
      <c r="Y20" s="464"/>
      <c r="Z20" s="464"/>
      <c r="AA20" s="464"/>
      <c r="AB20" s="464"/>
      <c r="AC20" s="464"/>
      <c r="AD20" s="464"/>
    </row>
    <row r="21" spans="1:30" s="464" customFormat="1" x14ac:dyDescent="0.2">
      <c r="C21" s="475" t="s">
        <v>132</v>
      </c>
      <c r="D21" s="474" t="s">
        <v>333</v>
      </c>
      <c r="E21" s="473" t="s">
        <v>333</v>
      </c>
    </row>
    <row r="22" spans="1:30" s="464" customFormat="1" x14ac:dyDescent="0.2">
      <c r="C22" s="470" t="s">
        <v>131</v>
      </c>
      <c r="D22" s="469" t="s">
        <v>337</v>
      </c>
      <c r="E22" s="468" t="s">
        <v>336</v>
      </c>
    </row>
    <row r="23" spans="1:30" s="464" customFormat="1" x14ac:dyDescent="0.2">
      <c r="C23" s="470" t="s">
        <v>317</v>
      </c>
      <c r="D23" s="469" t="s">
        <v>333</v>
      </c>
      <c r="E23" s="468" t="s">
        <v>333</v>
      </c>
    </row>
    <row r="24" spans="1:30" s="464" customFormat="1" x14ac:dyDescent="0.2">
      <c r="C24" s="470" t="s">
        <v>316</v>
      </c>
      <c r="D24" s="469" t="s">
        <v>333</v>
      </c>
      <c r="E24" s="468" t="s">
        <v>333</v>
      </c>
    </row>
    <row r="25" spans="1:30" s="464" customFormat="1" x14ac:dyDescent="0.2">
      <c r="C25" s="470" t="s">
        <v>128</v>
      </c>
      <c r="D25" s="469" t="s">
        <v>333</v>
      </c>
      <c r="E25" s="468" t="s">
        <v>333</v>
      </c>
    </row>
    <row r="26" spans="1:30" s="464" customFormat="1" x14ac:dyDescent="0.2">
      <c r="C26" s="470" t="s">
        <v>127</v>
      </c>
      <c r="D26" s="469" t="s">
        <v>333</v>
      </c>
      <c r="E26" s="468" t="s">
        <v>333</v>
      </c>
    </row>
    <row r="27" spans="1:30" s="464" customFormat="1" ht="12" thickBot="1" x14ac:dyDescent="0.25">
      <c r="C27" s="467" t="s">
        <v>122</v>
      </c>
      <c r="D27" s="525" t="s">
        <v>333</v>
      </c>
      <c r="E27" s="524" t="s">
        <v>333</v>
      </c>
    </row>
    <row r="28" spans="1:30" s="464" customFormat="1" x14ac:dyDescent="0.2"/>
    <row r="29" spans="1:30" s="464" customFormat="1" x14ac:dyDescent="0.2"/>
    <row r="30" spans="1:30" s="464" customFormat="1" x14ac:dyDescent="0.2"/>
    <row r="31" spans="1:30" s="464" customFormat="1" x14ac:dyDescent="0.2"/>
    <row r="32" spans="1:30" s="464" customFormat="1" x14ac:dyDescent="0.2"/>
    <row r="33" s="464" customFormat="1" x14ac:dyDescent="0.2"/>
    <row r="34" s="464" customFormat="1" x14ac:dyDescent="0.2"/>
    <row r="35" s="464" customFormat="1" x14ac:dyDescent="0.2"/>
    <row r="36" s="464" customFormat="1" x14ac:dyDescent="0.2"/>
    <row r="37" s="464" customFormat="1" x14ac:dyDescent="0.2"/>
    <row r="38" s="464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63" customWidth="1"/>
    <col min="3" max="3" width="5.7109375" style="463" bestFit="1" customWidth="1"/>
    <col min="4" max="4" width="12.140625" style="463" bestFit="1" customWidth="1"/>
    <col min="5" max="5" width="12.85546875" style="463" customWidth="1"/>
    <col min="6" max="6" width="7.42578125" style="463" customWidth="1"/>
    <col min="7" max="7" width="6" style="463" bestFit="1" customWidth="1"/>
    <col min="8" max="8" width="5.5703125" style="463" bestFit="1" customWidth="1"/>
    <col min="9" max="9" width="4.28515625" style="463" customWidth="1"/>
    <col min="10" max="10" width="12" style="463" bestFit="1" customWidth="1"/>
    <col min="11" max="11" width="11.42578125" style="463" bestFit="1" customWidth="1"/>
    <col min="12" max="12" width="8.7109375" style="463" bestFit="1" customWidth="1"/>
    <col min="13" max="13" width="7.7109375" style="463" bestFit="1" customWidth="1"/>
    <col min="14" max="14" width="10" style="463" bestFit="1" customWidth="1"/>
    <col min="15" max="15" width="7.140625" style="463" hidden="1" customWidth="1"/>
    <col min="16" max="17" width="4.28515625" style="463" customWidth="1"/>
    <col min="18" max="18" width="4" style="463" bestFit="1" customWidth="1"/>
    <col min="19" max="19" width="4.85546875" style="463" bestFit="1" customWidth="1"/>
    <col min="20" max="20" width="6.140625" style="463" bestFit="1" customWidth="1"/>
    <col min="21" max="16384" width="9.140625" style="463"/>
  </cols>
  <sheetData>
    <row r="1" spans="1:30" ht="12" thickBot="1" x14ac:dyDescent="0.25">
      <c r="A1" s="560" t="s">
        <v>342</v>
      </c>
      <c r="B1" s="464"/>
      <c r="C1" s="464"/>
      <c r="D1" s="469"/>
      <c r="E1" s="477"/>
      <c r="F1" s="523"/>
      <c r="G1" s="523"/>
      <c r="H1" s="464"/>
      <c r="I1" s="469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0" ht="22.5" customHeight="1" x14ac:dyDescent="0.4">
      <c r="A2" s="464"/>
      <c r="B2" s="522"/>
      <c r="C2" s="516"/>
      <c r="D2" s="521" t="str">
        <f>VLOOKUP(Currency,Traits,2,FALSE)</f>
        <v>-</v>
      </c>
      <c r="E2" s="520"/>
      <c r="F2" s="519"/>
      <c r="G2" s="519"/>
      <c r="H2" s="516"/>
      <c r="I2" s="516"/>
      <c r="J2" s="518" t="str">
        <f>VLOOKUP(Currency,Traits,3,FALSE)</f>
        <v>-</v>
      </c>
      <c r="K2" s="516"/>
      <c r="L2" s="516"/>
      <c r="M2" s="517">
        <f>MAX(O4:O21)</f>
        <v>0</v>
      </c>
      <c r="N2" s="516"/>
      <c r="O2" s="516"/>
      <c r="P2" s="515"/>
      <c r="Q2" s="464"/>
      <c r="R2" s="464"/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0" ht="22.5" x14ac:dyDescent="0.2">
      <c r="A3" s="464"/>
      <c r="B3" s="493"/>
      <c r="C3" s="513" t="s">
        <v>47</v>
      </c>
      <c r="D3" s="512" t="e">
        <f ca="1">_xll.RData(D4:D21,E3:F3,"RTFEED:IDN",,,E4)</f>
        <v>#NAME?</v>
      </c>
      <c r="E3" s="512" t="s">
        <v>324</v>
      </c>
      <c r="F3" s="512" t="s">
        <v>252</v>
      </c>
      <c r="G3" s="512" t="s">
        <v>323</v>
      </c>
      <c r="H3" s="511" t="s">
        <v>322</v>
      </c>
      <c r="I3" s="514"/>
      <c r="J3" s="513" t="s">
        <v>264</v>
      </c>
      <c r="K3" s="512" t="s">
        <v>321</v>
      </c>
      <c r="L3" s="512" t="s">
        <v>320</v>
      </c>
      <c r="M3" s="512" t="s">
        <v>319</v>
      </c>
      <c r="N3" s="511" t="s">
        <v>318</v>
      </c>
      <c r="O3" s="510"/>
      <c r="P3" s="483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0" x14ac:dyDescent="0.2">
      <c r="A4" s="464"/>
      <c r="B4" s="493"/>
      <c r="C4" s="509" t="s">
        <v>221</v>
      </c>
      <c r="D4" s="504" t="str">
        <f>Currency&amp;$D$2&amp;$C4&amp;"D="</f>
        <v>USD-OND=</v>
      </c>
      <c r="E4" s="508" t="s">
        <v>247</v>
      </c>
      <c r="F4" s="533" t="s">
        <v>247</v>
      </c>
      <c r="G4" s="507" t="b">
        <f>IF(AND(ISNUMBER($F4),$F4&lt;&gt;0%),TRUE,FALSE)</f>
        <v>0</v>
      </c>
      <c r="H4" s="506" t="e">
        <f>IF($G4,_xll.qlIndexAddFixings($J4,$E4,$F4/100,TRUE,ISERROR($K4)),NA())</f>
        <v>#N/A</v>
      </c>
      <c r="I4" s="488"/>
      <c r="J4" s="505" t="str">
        <f>PROPER(Currency)&amp;$J$2&amp;$C4</f>
        <v>Usd-ON</v>
      </c>
      <c r="K4" s="504" t="e">
        <f>_xll.qlIndexFixing($J4,$E4,TRUE,$G4)</f>
        <v>#NUM!</v>
      </c>
      <c r="L4" s="504" t="e">
        <f>IF($H4,_xll.qlIndexFixing($J4,$E4,FALSE,$G4),"-")</f>
        <v>#N/A</v>
      </c>
      <c r="M4" s="504" t="e">
        <f>K4-L4</f>
        <v>#NUM!</v>
      </c>
      <c r="N4" s="503" t="e">
        <f>_xll.qlIndexFixing($J4,$E4,TRUE,$L4)</f>
        <v>#NUM!</v>
      </c>
      <c r="O4" s="502">
        <f>IF(ISERROR(M4),0,ABS(M4))</f>
        <v>0</v>
      </c>
      <c r="P4" s="483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</row>
    <row r="5" spans="1:30" x14ac:dyDescent="0.2">
      <c r="A5" s="464"/>
      <c r="B5" s="493"/>
      <c r="C5" s="501" t="s">
        <v>254</v>
      </c>
      <c r="D5" s="496" t="str">
        <f>Currency&amp;$D$2&amp;$C5&amp;"D="</f>
        <v>USD-TND=</v>
      </c>
      <c r="E5" s="500" t="s">
        <v>247</v>
      </c>
      <c r="F5" s="532" t="s">
        <v>247</v>
      </c>
      <c r="G5" s="499" t="b">
        <f>IF(AND(ISNUMBER($F5),$F5&lt;&gt;0%),TRUE,FALSE)</f>
        <v>0</v>
      </c>
      <c r="H5" s="498" t="e">
        <f>IF($G5,_xll.qlIndexAddFixings($J5,$E5,$F5/100,TRUE,ISERROR($K5)),NA())</f>
        <v>#N/A</v>
      </c>
      <c r="I5" s="488"/>
      <c r="J5" s="497" t="str">
        <f>PROPER(Currency)&amp;$J$2&amp;$C5</f>
        <v>Usd-TN</v>
      </c>
      <c r="K5" s="496" t="e">
        <f>_xll.qlIndexFixing($J5,$E5,TRUE,$G5)</f>
        <v>#NUM!</v>
      </c>
      <c r="L5" s="496" t="e">
        <f>IF($H5,_xll.qlIndexFixing($J5,$E5,FALSE,$G5),"-")</f>
        <v>#N/A</v>
      </c>
      <c r="M5" s="496" t="e">
        <f>K5-L5</f>
        <v>#NUM!</v>
      </c>
      <c r="N5" s="495" t="e">
        <f>_xll.qlIndexFixing($J5,$E5,TRUE,$L5)</f>
        <v>#NUM!</v>
      </c>
      <c r="O5" s="494"/>
      <c r="P5" s="483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</row>
    <row r="6" spans="1:30" x14ac:dyDescent="0.2">
      <c r="A6" s="464"/>
      <c r="B6" s="493"/>
      <c r="C6" s="501" t="s">
        <v>251</v>
      </c>
      <c r="D6" s="496" t="str">
        <f>Currency&amp;$D$2&amp;$C6&amp;"D="</f>
        <v>USD-SND=</v>
      </c>
      <c r="E6" s="500" t="s">
        <v>247</v>
      </c>
      <c r="F6" s="532" t="s">
        <v>247</v>
      </c>
      <c r="G6" s="499" t="b">
        <f>IF(AND(ISNUMBER($F6),$F6&lt;&gt;0%),TRUE,FALSE)</f>
        <v>0</v>
      </c>
      <c r="H6" s="498" t="e">
        <f>IF($G6,_xll.qlIndexAddFixings($J6,$E6,$F6/100,TRUE,ISERROR($K6)),NA())</f>
        <v>#N/A</v>
      </c>
      <c r="I6" s="488"/>
      <c r="J6" s="497" t="str">
        <f>PROPER(Currency)&amp;$J$2&amp;$C6</f>
        <v>Usd-SN</v>
      </c>
      <c r="K6" s="496" t="e">
        <f>_xll.qlIndexFixing($J6,$E6,TRUE,$G6)</f>
        <v>#NUM!</v>
      </c>
      <c r="L6" s="496" t="e">
        <f>IF($H6,_xll.qlIndexFixing($J6,$E6,FALSE,$G6),"-")</f>
        <v>#N/A</v>
      </c>
      <c r="M6" s="496" t="e">
        <f>K6-L6</f>
        <v>#NUM!</v>
      </c>
      <c r="N6" s="495" t="e">
        <f>_xll.qlIndexFixing($J6,$E6,TRUE,$L6)</f>
        <v>#NUM!</v>
      </c>
      <c r="O6" s="494"/>
      <c r="P6" s="483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</row>
    <row r="7" spans="1:30" x14ac:dyDescent="0.2">
      <c r="A7" s="464"/>
      <c r="B7" s="493"/>
      <c r="C7" s="501" t="s">
        <v>43</v>
      </c>
      <c r="D7" s="496" t="str">
        <f>Currency&amp;$D$2&amp;$C7&amp;"D="</f>
        <v>USD-SWD=</v>
      </c>
      <c r="E7" s="500" t="s">
        <v>247</v>
      </c>
      <c r="F7" s="499" t="s">
        <v>247</v>
      </c>
      <c r="G7" s="499" t="b">
        <f>IF(AND(ISNUMBER($F7),$F7&lt;&gt;0%),TRUE,FALSE)</f>
        <v>0</v>
      </c>
      <c r="H7" s="498" t="e">
        <f>IF($G7,_xll.qlIndexAddFixings($J7,$E7,$F7/100,TRUE,ISERROR($K7)),NA())</f>
        <v>#N/A</v>
      </c>
      <c r="I7" s="488"/>
      <c r="J7" s="497" t="str">
        <f>PROPER(Currency)&amp;$J$2&amp;$C7</f>
        <v>Usd-SW</v>
      </c>
      <c r="K7" s="496" t="e">
        <f>_xll.qlIndexFixing($J7,$E7,TRUE,$G7)</f>
        <v>#NUM!</v>
      </c>
      <c r="L7" s="496" t="e">
        <f>IF($H7,_xll.qlIndexFixing($J7,$E7,FALSE,$G7),"-")</f>
        <v>#N/A</v>
      </c>
      <c r="M7" s="496" t="e">
        <f>K7-L7</f>
        <v>#NUM!</v>
      </c>
      <c r="N7" s="495" t="e">
        <f>_xll.qlIndexFixing($J7,$E7,TRUE,$L7)</f>
        <v>#NUM!</v>
      </c>
      <c r="O7" s="494">
        <f>IF(ISERROR(M7),0,ABS(M7))</f>
        <v>0</v>
      </c>
      <c r="P7" s="483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</row>
    <row r="8" spans="1:30" x14ac:dyDescent="0.2">
      <c r="A8" s="464"/>
      <c r="B8" s="493"/>
      <c r="C8" s="501" t="s">
        <v>42</v>
      </c>
      <c r="D8" s="496" t="str">
        <f>Currency&amp;$D$2&amp;$C8&amp;"D="</f>
        <v>USD-2WD=</v>
      </c>
      <c r="E8" s="500" t="s">
        <v>247</v>
      </c>
      <c r="F8" s="499" t="s">
        <v>247</v>
      </c>
      <c r="G8" s="499" t="b">
        <f>IF(AND(ISNUMBER($F8),$F8&lt;&gt;0%),TRUE,FALSE)</f>
        <v>0</v>
      </c>
      <c r="H8" s="498" t="e">
        <f>IF($G8,_xll.qlIndexAddFixings($J8,$E8,$F8/100,TRUE,ISERROR($K8)),NA())</f>
        <v>#N/A</v>
      </c>
      <c r="I8" s="488"/>
      <c r="J8" s="497" t="str">
        <f>PROPER(Currency)&amp;$J$2&amp;$C8</f>
        <v>Usd-2W</v>
      </c>
      <c r="K8" s="496" t="e">
        <f>_xll.qlIndexFixing($J8,$E8,TRUE,$G8)</f>
        <v>#NUM!</v>
      </c>
      <c r="L8" s="496" t="e">
        <f>IF($H8,_xll.qlIndexFixing($J8,$E8,FALSE,$G8),"-")</f>
        <v>#N/A</v>
      </c>
      <c r="M8" s="496" t="e">
        <f>K8-L8</f>
        <v>#NUM!</v>
      </c>
      <c r="N8" s="495" t="e">
        <f>_xll.qlIndexFixing($J8,$E8,TRUE,$L8)</f>
        <v>#NUM!</v>
      </c>
      <c r="O8" s="494">
        <f>IF(ISERROR(M8),0,ABS(M8))</f>
        <v>0</v>
      </c>
      <c r="P8" s="483"/>
      <c r="Q8" s="464"/>
      <c r="R8" s="464"/>
      <c r="S8" s="464"/>
      <c r="T8" s="464"/>
      <c r="U8" s="464"/>
      <c r="V8" s="464"/>
      <c r="W8" s="464"/>
      <c r="X8" s="464"/>
      <c r="Y8" s="464"/>
      <c r="Z8" s="464"/>
      <c r="AA8" s="464"/>
      <c r="AB8" s="464"/>
      <c r="AC8" s="464"/>
      <c r="AD8" s="464"/>
    </row>
    <row r="9" spans="1:30" x14ac:dyDescent="0.2">
      <c r="A9" s="464"/>
      <c r="B9" s="493"/>
      <c r="C9" s="501" t="s">
        <v>41</v>
      </c>
      <c r="D9" s="496" t="str">
        <f>Currency&amp;$D$2&amp;$C9&amp;"D="</f>
        <v>USD-3WD=</v>
      </c>
      <c r="E9" s="500" t="s">
        <v>247</v>
      </c>
      <c r="F9" s="499" t="s">
        <v>247</v>
      </c>
      <c r="G9" s="499" t="b">
        <f>IF(AND(ISNUMBER($F9),$F9&lt;&gt;0%),TRUE,FALSE)</f>
        <v>0</v>
      </c>
      <c r="H9" s="498" t="e">
        <f>IF($G9,_xll.qlIndexAddFixings($J9,$E9,$F9/100,TRUE,ISERROR($K9)),NA())</f>
        <v>#N/A</v>
      </c>
      <c r="I9" s="488"/>
      <c r="J9" s="497" t="str">
        <f>PROPER(Currency)&amp;$J$2&amp;$C9</f>
        <v>Usd-3W</v>
      </c>
      <c r="K9" s="496" t="e">
        <f>_xll.qlIndexFixing($J9,$E9,TRUE,$G9)</f>
        <v>#NUM!</v>
      </c>
      <c r="L9" s="496" t="e">
        <f>IF($H9,_xll.qlIndexFixing($J9,$E9,FALSE,$G9),"-")</f>
        <v>#N/A</v>
      </c>
      <c r="M9" s="496" t="e">
        <f>K9-L9</f>
        <v>#NUM!</v>
      </c>
      <c r="N9" s="495" t="e">
        <f>_xll.qlIndexFixing($J9,$E9,TRUE,$L9)</f>
        <v>#NUM!</v>
      </c>
      <c r="O9" s="494">
        <f>IF(ISERROR(M9),0,ABS(M9))</f>
        <v>0</v>
      </c>
      <c r="P9" s="483"/>
      <c r="Q9" s="464"/>
      <c r="R9" s="464"/>
      <c r="S9" s="464"/>
      <c r="T9" s="464"/>
      <c r="U9" s="464"/>
      <c r="V9" s="464"/>
      <c r="W9" s="464"/>
      <c r="X9" s="464"/>
      <c r="Y9" s="464"/>
      <c r="Z9" s="464"/>
      <c r="AA9" s="464"/>
      <c r="AB9" s="464"/>
      <c r="AC9" s="464"/>
      <c r="AD9" s="464"/>
    </row>
    <row r="10" spans="1:30" x14ac:dyDescent="0.2">
      <c r="A10" s="464"/>
      <c r="B10" s="493"/>
      <c r="C10" s="501" t="s">
        <v>40</v>
      </c>
      <c r="D10" s="496" t="str">
        <f>Currency&amp;$D$2&amp;$C10&amp;"D="</f>
        <v>USD-1MD=</v>
      </c>
      <c r="E10" s="500" t="s">
        <v>247</v>
      </c>
      <c r="F10" s="499" t="s">
        <v>247</v>
      </c>
      <c r="G10" s="499" t="b">
        <f>IF(AND(ISNUMBER($F10),$F10&lt;&gt;0%),TRUE,FALSE)</f>
        <v>0</v>
      </c>
      <c r="H10" s="498" t="e">
        <f>IF($G10,_xll.qlIndexAddFixings($J10,$E10,$F10/100,TRUE,ISERROR($K10)),NA())</f>
        <v>#N/A</v>
      </c>
      <c r="I10" s="488"/>
      <c r="J10" s="497" t="str">
        <f>PROPER(Currency)&amp;$J$2&amp;$C10</f>
        <v>Usd-1M</v>
      </c>
      <c r="K10" s="496" t="e">
        <f>_xll.qlIndexFixing($J10,$E10,TRUE,$G10)</f>
        <v>#NUM!</v>
      </c>
      <c r="L10" s="496" t="e">
        <f>IF($H10,_xll.qlIndexFixing($J10,$E10,FALSE,$G10),"-")</f>
        <v>#N/A</v>
      </c>
      <c r="M10" s="496" t="e">
        <f>K10-L10</f>
        <v>#NUM!</v>
      </c>
      <c r="N10" s="495" t="e">
        <f>_xll.qlIndexFixing($J10,$E10,TRUE,$L10)</f>
        <v>#NUM!</v>
      </c>
      <c r="O10" s="494">
        <f>IF(ISERROR(M10),0,ABS(M10))</f>
        <v>0</v>
      </c>
      <c r="P10" s="483"/>
      <c r="Q10" s="464"/>
      <c r="R10" s="464"/>
      <c r="S10" s="464"/>
      <c r="T10" s="464"/>
      <c r="U10" s="464"/>
      <c r="V10" s="464"/>
      <c r="W10" s="464"/>
      <c r="X10" s="464"/>
      <c r="Y10" s="464"/>
      <c r="Z10" s="464"/>
      <c r="AA10" s="464"/>
      <c r="AB10" s="464"/>
      <c r="AC10" s="464"/>
      <c r="AD10" s="464"/>
    </row>
    <row r="11" spans="1:30" x14ac:dyDescent="0.2">
      <c r="A11" s="464"/>
      <c r="B11" s="493"/>
      <c r="C11" s="501" t="s">
        <v>39</v>
      </c>
      <c r="D11" s="496" t="str">
        <f>Currency&amp;$D$2&amp;$C11&amp;"D="</f>
        <v>USD-2MD=</v>
      </c>
      <c r="E11" s="500" t="s">
        <v>247</v>
      </c>
      <c r="F11" s="499" t="s">
        <v>247</v>
      </c>
      <c r="G11" s="499" t="b">
        <f>IF(AND(ISNUMBER($F11),$F11&lt;&gt;0%),TRUE,FALSE)</f>
        <v>0</v>
      </c>
      <c r="H11" s="498" t="e">
        <f>IF($G11,_xll.qlIndexAddFixings($J11,$E11,$F11/100,TRUE,ISERROR($K11)),NA())</f>
        <v>#N/A</v>
      </c>
      <c r="I11" s="488"/>
      <c r="J11" s="497" t="str">
        <f>PROPER(Currency)&amp;$J$2&amp;$C11</f>
        <v>Usd-2M</v>
      </c>
      <c r="K11" s="496" t="e">
        <f>_xll.qlIndexFixing($J11,$E11,TRUE,$G11)</f>
        <v>#NUM!</v>
      </c>
      <c r="L11" s="496" t="e">
        <f>IF($H11,_xll.qlIndexFixing($J11,$E11,FALSE,$G11),"-")</f>
        <v>#N/A</v>
      </c>
      <c r="M11" s="496" t="e">
        <f>K11-L11</f>
        <v>#NUM!</v>
      </c>
      <c r="N11" s="495" t="e">
        <f>_xll.qlIndexFixing($J11,$E11,TRUE,$L11)</f>
        <v>#NUM!</v>
      </c>
      <c r="O11" s="494">
        <f>IF(ISERROR(M11),0,ABS(M11))</f>
        <v>0</v>
      </c>
      <c r="P11" s="483"/>
      <c r="Q11" s="464"/>
      <c r="R11" s="464"/>
      <c r="S11" s="464"/>
      <c r="T11" s="464"/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</row>
    <row r="12" spans="1:30" x14ac:dyDescent="0.2">
      <c r="A12" s="464"/>
      <c r="B12" s="493"/>
      <c r="C12" s="501" t="s">
        <v>38</v>
      </c>
      <c r="D12" s="496" t="str">
        <f>Currency&amp;$D$2&amp;$C12&amp;"D="</f>
        <v>USD-3MD=</v>
      </c>
      <c r="E12" s="500" t="s">
        <v>247</v>
      </c>
      <c r="F12" s="499" t="s">
        <v>247</v>
      </c>
      <c r="G12" s="499" t="b">
        <f>IF(AND(ISNUMBER($F12),$F12&lt;&gt;0%),TRUE,FALSE)</f>
        <v>0</v>
      </c>
      <c r="H12" s="498" t="e">
        <f>IF($G12,_xll.qlIndexAddFixings($J12,$E12,$F12/100,TRUE,ISERROR($K12)),NA())</f>
        <v>#N/A</v>
      </c>
      <c r="I12" s="488"/>
      <c r="J12" s="497" t="str">
        <f>PROPER(Currency)&amp;$J$2&amp;$C12</f>
        <v>Usd-3M</v>
      </c>
      <c r="K12" s="496" t="e">
        <f>_xll.qlIndexFixing($J12,$E12,TRUE,$G12)</f>
        <v>#NUM!</v>
      </c>
      <c r="L12" s="496" t="e">
        <f>IF($H12,_xll.qlIndexFixing($J12,$E12,FALSE,$G12),"-")</f>
        <v>#N/A</v>
      </c>
      <c r="M12" s="496" t="e">
        <f>K12-L12</f>
        <v>#NUM!</v>
      </c>
      <c r="N12" s="495" t="e">
        <f>_xll.qlIndexFixing($J12,$E12,TRUE,$L12)</f>
        <v>#NUM!</v>
      </c>
      <c r="O12" s="494">
        <f>IF(ISERROR(M12),0,ABS(M12))</f>
        <v>0</v>
      </c>
      <c r="P12" s="483"/>
      <c r="Q12" s="464"/>
      <c r="R12" s="464"/>
      <c r="S12" s="464"/>
      <c r="T12" s="464"/>
      <c r="U12" s="464"/>
      <c r="V12" s="464"/>
      <c r="W12" s="464"/>
      <c r="X12" s="464"/>
      <c r="Y12" s="464"/>
      <c r="Z12" s="464"/>
      <c r="AA12" s="464"/>
      <c r="AB12" s="464"/>
      <c r="AC12" s="464"/>
      <c r="AD12" s="464"/>
    </row>
    <row r="13" spans="1:30" x14ac:dyDescent="0.2">
      <c r="A13" s="464"/>
      <c r="B13" s="493"/>
      <c r="C13" s="501" t="s">
        <v>37</v>
      </c>
      <c r="D13" s="496" t="str">
        <f>Currency&amp;$D$2&amp;$C13&amp;"D="</f>
        <v>USD-4MD=</v>
      </c>
      <c r="E13" s="500" t="s">
        <v>247</v>
      </c>
      <c r="F13" s="499" t="s">
        <v>247</v>
      </c>
      <c r="G13" s="499" t="b">
        <f>IF(AND(ISNUMBER($F13),$F13&lt;&gt;0%),TRUE,FALSE)</f>
        <v>0</v>
      </c>
      <c r="H13" s="498" t="e">
        <f>IF($G13,_xll.qlIndexAddFixings($J13,$E13,$F13/100,TRUE,ISERROR($K13)),NA())</f>
        <v>#N/A</v>
      </c>
      <c r="I13" s="488"/>
      <c r="J13" s="497" t="str">
        <f>PROPER(Currency)&amp;$J$2&amp;$C13</f>
        <v>Usd-4M</v>
      </c>
      <c r="K13" s="496" t="e">
        <f>_xll.qlIndexFixing($J13,$E13,TRUE,$G13)</f>
        <v>#NUM!</v>
      </c>
      <c r="L13" s="496" t="e">
        <f>IF($H13,_xll.qlIndexFixing($J13,$E13,FALSE,$G13),"-")</f>
        <v>#N/A</v>
      </c>
      <c r="M13" s="496" t="e">
        <f>K13-L13</f>
        <v>#NUM!</v>
      </c>
      <c r="N13" s="495" t="e">
        <f>_xll.qlIndexFixing($J13,$E13,TRUE,$L13)</f>
        <v>#NUM!</v>
      </c>
      <c r="O13" s="494">
        <f>IF(ISERROR(M13),0,ABS(M13))</f>
        <v>0</v>
      </c>
      <c r="P13" s="483"/>
      <c r="Q13" s="464"/>
      <c r="R13" s="464"/>
      <c r="S13" s="464"/>
      <c r="T13" s="464"/>
      <c r="U13" s="464"/>
      <c r="V13" s="464"/>
      <c r="W13" s="464"/>
      <c r="X13" s="464"/>
      <c r="Y13" s="464"/>
      <c r="Z13" s="464"/>
      <c r="AA13" s="464"/>
      <c r="AB13" s="464"/>
      <c r="AC13" s="464"/>
      <c r="AD13" s="464"/>
    </row>
    <row r="14" spans="1:30" x14ac:dyDescent="0.2">
      <c r="A14" s="464"/>
      <c r="B14" s="493"/>
      <c r="C14" s="501" t="s">
        <v>36</v>
      </c>
      <c r="D14" s="496" t="str">
        <f>Currency&amp;$D$2&amp;$C14&amp;"D="</f>
        <v>USD-5MD=</v>
      </c>
      <c r="E14" s="500" t="s">
        <v>247</v>
      </c>
      <c r="F14" s="499" t="s">
        <v>247</v>
      </c>
      <c r="G14" s="499" t="b">
        <f>IF(AND(ISNUMBER($F14),$F14&lt;&gt;0%),TRUE,FALSE)</f>
        <v>0</v>
      </c>
      <c r="H14" s="498" t="e">
        <f>IF($G14,_xll.qlIndexAddFixings($J14,$E14,$F14/100,TRUE,ISERROR($K14)),NA())</f>
        <v>#N/A</v>
      </c>
      <c r="I14" s="488"/>
      <c r="J14" s="497" t="str">
        <f>PROPER(Currency)&amp;$J$2&amp;$C14</f>
        <v>Usd-5M</v>
      </c>
      <c r="K14" s="496" t="e">
        <f>_xll.qlIndexFixing($J14,$E14,TRUE,$G14)</f>
        <v>#NUM!</v>
      </c>
      <c r="L14" s="496" t="e">
        <f>IF($H14,_xll.qlIndexFixing($J14,$E14,FALSE,$G14),"-")</f>
        <v>#N/A</v>
      </c>
      <c r="M14" s="496" t="e">
        <f>K14-L14</f>
        <v>#NUM!</v>
      </c>
      <c r="N14" s="495" t="e">
        <f>_xll.qlIndexFixing($J14,$E14,TRUE,$L14)</f>
        <v>#NUM!</v>
      </c>
      <c r="O14" s="494">
        <f>IF(ISERROR(M14),0,ABS(M14))</f>
        <v>0</v>
      </c>
      <c r="P14" s="483"/>
      <c r="Q14" s="464"/>
      <c r="R14" s="464"/>
      <c r="S14" s="464"/>
      <c r="T14" s="464"/>
      <c r="U14" s="464"/>
      <c r="V14" s="464"/>
      <c r="W14" s="464"/>
      <c r="X14" s="464"/>
      <c r="Y14" s="464"/>
      <c r="Z14" s="464"/>
      <c r="AA14" s="464"/>
      <c r="AB14" s="464"/>
      <c r="AC14" s="464"/>
      <c r="AD14" s="464"/>
    </row>
    <row r="15" spans="1:30" x14ac:dyDescent="0.2">
      <c r="A15" s="464"/>
      <c r="B15" s="493"/>
      <c r="C15" s="501" t="s">
        <v>35</v>
      </c>
      <c r="D15" s="496" t="str">
        <f>Currency&amp;$D$2&amp;$C15&amp;"D="</f>
        <v>USD-6MD=</v>
      </c>
      <c r="E15" s="500" t="s">
        <v>247</v>
      </c>
      <c r="F15" s="499" t="s">
        <v>247</v>
      </c>
      <c r="G15" s="499" t="b">
        <f>IF(AND(ISNUMBER($F15),$F15&lt;&gt;0%),TRUE,FALSE)</f>
        <v>0</v>
      </c>
      <c r="H15" s="498" t="e">
        <f>IF($G15,_xll.qlIndexAddFixings($J15,$E15,$F15/100,TRUE,ISERROR($K15)),NA())</f>
        <v>#N/A</v>
      </c>
      <c r="I15" s="488"/>
      <c r="J15" s="497" t="str">
        <f>PROPER(Currency)&amp;$J$2&amp;$C15</f>
        <v>Usd-6M</v>
      </c>
      <c r="K15" s="496" t="e">
        <f>_xll.qlIndexFixing($J15,$E15,TRUE,$G15)</f>
        <v>#NUM!</v>
      </c>
      <c r="L15" s="496" t="e">
        <f>IF($H15,_xll.qlIndexFixing($J15,$E15,FALSE,$G15),"-")</f>
        <v>#N/A</v>
      </c>
      <c r="M15" s="496" t="e">
        <f>K15-L15</f>
        <v>#NUM!</v>
      </c>
      <c r="N15" s="495" t="e">
        <f>_xll.qlIndexFixing($J15,$E15,TRUE,$L15)</f>
        <v>#NUM!</v>
      </c>
      <c r="O15" s="494">
        <f>IF(ISERROR(M15),0,ABS(M15))</f>
        <v>0</v>
      </c>
      <c r="P15" s="483"/>
      <c r="Q15" s="464"/>
      <c r="R15" s="464"/>
      <c r="S15" s="464"/>
      <c r="T15" s="464"/>
      <c r="U15" s="464"/>
      <c r="V15" s="464"/>
      <c r="W15" s="464"/>
      <c r="X15" s="464"/>
      <c r="Y15" s="464"/>
      <c r="Z15" s="464"/>
      <c r="AA15" s="464"/>
      <c r="AB15" s="464"/>
      <c r="AC15" s="464"/>
      <c r="AD15" s="464"/>
    </row>
    <row r="16" spans="1:30" x14ac:dyDescent="0.2">
      <c r="A16" s="464"/>
      <c r="B16" s="493"/>
      <c r="C16" s="501" t="s">
        <v>34</v>
      </c>
      <c r="D16" s="496" t="str">
        <f>Currency&amp;$D$2&amp;$C16&amp;"D="</f>
        <v>USD-7MD=</v>
      </c>
      <c r="E16" s="500" t="s">
        <v>247</v>
      </c>
      <c r="F16" s="499" t="s">
        <v>247</v>
      </c>
      <c r="G16" s="499" t="b">
        <f>IF(AND(ISNUMBER($F16),$F16&lt;&gt;0%),TRUE,FALSE)</f>
        <v>0</v>
      </c>
      <c r="H16" s="498" t="e">
        <f>IF($G16,_xll.qlIndexAddFixings($J16,$E16,$F16/100,TRUE,ISERROR($K16)),NA())</f>
        <v>#N/A</v>
      </c>
      <c r="I16" s="488"/>
      <c r="J16" s="497" t="str">
        <f>PROPER(Currency)&amp;$J$2&amp;$C16</f>
        <v>Usd-7M</v>
      </c>
      <c r="K16" s="496" t="e">
        <f>_xll.qlIndexFixing($J16,$E16,TRUE,$G16)</f>
        <v>#NUM!</v>
      </c>
      <c r="L16" s="496" t="e">
        <f>IF($H16,_xll.qlIndexFixing($J16,$E16,FALSE,$G16),"-")</f>
        <v>#N/A</v>
      </c>
      <c r="M16" s="496" t="e">
        <f>K16-L16</f>
        <v>#NUM!</v>
      </c>
      <c r="N16" s="495" t="e">
        <f>_xll.qlIndexFixing($J16,$E16,TRUE,$L16)</f>
        <v>#NUM!</v>
      </c>
      <c r="O16" s="494">
        <f>IF(ISERROR(M16),0,ABS(M16))</f>
        <v>0</v>
      </c>
      <c r="P16" s="483"/>
      <c r="Q16" s="464"/>
      <c r="R16" s="464"/>
      <c r="S16" s="464"/>
      <c r="T16" s="464"/>
      <c r="U16" s="464"/>
      <c r="V16" s="464"/>
      <c r="W16" s="464"/>
      <c r="X16" s="464"/>
      <c r="Y16" s="464"/>
      <c r="Z16" s="464"/>
      <c r="AA16" s="464"/>
      <c r="AB16" s="464"/>
      <c r="AC16" s="464"/>
      <c r="AD16" s="464"/>
    </row>
    <row r="17" spans="1:30" x14ac:dyDescent="0.2">
      <c r="A17" s="464"/>
      <c r="B17" s="493"/>
      <c r="C17" s="501" t="s">
        <v>33</v>
      </c>
      <c r="D17" s="496" t="str">
        <f>Currency&amp;$D$2&amp;$C17&amp;"D="</f>
        <v>USD-8MD=</v>
      </c>
      <c r="E17" s="500" t="s">
        <v>247</v>
      </c>
      <c r="F17" s="499" t="s">
        <v>247</v>
      </c>
      <c r="G17" s="499" t="b">
        <f>IF(AND(ISNUMBER($F17),$F17&lt;&gt;0%),TRUE,FALSE)</f>
        <v>0</v>
      </c>
      <c r="H17" s="498" t="e">
        <f>IF($G17,_xll.qlIndexAddFixings($J17,$E17,$F17/100,TRUE,ISERROR($K17)),NA())</f>
        <v>#N/A</v>
      </c>
      <c r="I17" s="488"/>
      <c r="J17" s="497" t="str">
        <f>PROPER(Currency)&amp;$J$2&amp;$C17</f>
        <v>Usd-8M</v>
      </c>
      <c r="K17" s="496" t="e">
        <f>_xll.qlIndexFixing($J17,$E17,TRUE,$G17)</f>
        <v>#NUM!</v>
      </c>
      <c r="L17" s="496" t="e">
        <f>IF($H17,_xll.qlIndexFixing($J17,$E17,FALSE,$G17),"-")</f>
        <v>#N/A</v>
      </c>
      <c r="M17" s="496" t="e">
        <f>K17-L17</f>
        <v>#NUM!</v>
      </c>
      <c r="N17" s="495" t="e">
        <f>_xll.qlIndexFixing($J17,$E17,TRUE,$L17)</f>
        <v>#NUM!</v>
      </c>
      <c r="O17" s="494">
        <f>IF(ISERROR(M17),0,ABS(M17))</f>
        <v>0</v>
      </c>
      <c r="P17" s="483"/>
      <c r="Q17" s="464"/>
      <c r="R17" s="464"/>
      <c r="S17" s="464"/>
      <c r="T17" s="464"/>
      <c r="U17" s="464"/>
      <c r="V17" s="464"/>
      <c r="W17" s="464"/>
      <c r="X17" s="464"/>
      <c r="Y17" s="464"/>
      <c r="Z17" s="464"/>
      <c r="AA17" s="464"/>
      <c r="AB17" s="464"/>
      <c r="AC17" s="464"/>
      <c r="AD17" s="464"/>
    </row>
    <row r="18" spans="1:30" x14ac:dyDescent="0.2">
      <c r="A18" s="464"/>
      <c r="B18" s="493"/>
      <c r="C18" s="501" t="s">
        <v>32</v>
      </c>
      <c r="D18" s="496" t="str">
        <f>Currency&amp;$D$2&amp;$C18&amp;"D="</f>
        <v>USD-9MD=</v>
      </c>
      <c r="E18" s="500" t="s">
        <v>247</v>
      </c>
      <c r="F18" s="499" t="s">
        <v>247</v>
      </c>
      <c r="G18" s="499" t="b">
        <f>IF(AND(ISNUMBER($F18),$F18&lt;&gt;0%),TRUE,FALSE)</f>
        <v>0</v>
      </c>
      <c r="H18" s="498" t="e">
        <f>IF($G18,_xll.qlIndexAddFixings($J18,$E18,$F18/100,TRUE,ISERROR($K18)),NA())</f>
        <v>#N/A</v>
      </c>
      <c r="I18" s="488"/>
      <c r="J18" s="497" t="str">
        <f>PROPER(Currency)&amp;$J$2&amp;$C18</f>
        <v>Usd-9M</v>
      </c>
      <c r="K18" s="496" t="e">
        <f>_xll.qlIndexFixing($J18,$E18,TRUE,$G18)</f>
        <v>#NUM!</v>
      </c>
      <c r="L18" s="496" t="e">
        <f>IF($H18,_xll.qlIndexFixing($J18,$E18,FALSE,$G18),"-")</f>
        <v>#N/A</v>
      </c>
      <c r="M18" s="496" t="e">
        <f>K18-L18</f>
        <v>#NUM!</v>
      </c>
      <c r="N18" s="495" t="e">
        <f>_xll.qlIndexFixing($J18,$E18,TRUE,$L18)</f>
        <v>#NUM!</v>
      </c>
      <c r="O18" s="494">
        <f>IF(ISERROR(M18),0,ABS(M18))</f>
        <v>0</v>
      </c>
      <c r="P18" s="483"/>
      <c r="Q18" s="464"/>
      <c r="R18" s="464"/>
      <c r="S18" s="464"/>
      <c r="T18" s="464"/>
      <c r="U18" s="464"/>
      <c r="V18" s="464"/>
      <c r="W18" s="464"/>
      <c r="X18" s="464"/>
      <c r="Y18" s="464"/>
      <c r="Z18" s="464"/>
      <c r="AA18" s="464"/>
      <c r="AB18" s="464"/>
      <c r="AC18" s="464"/>
      <c r="AD18" s="464"/>
    </row>
    <row r="19" spans="1:30" x14ac:dyDescent="0.2">
      <c r="A19" s="464"/>
      <c r="B19" s="493"/>
      <c r="C19" s="501" t="s">
        <v>31</v>
      </c>
      <c r="D19" s="496" t="str">
        <f>Currency&amp;$D$2&amp;$C19&amp;"D="</f>
        <v>USD-10MD=</v>
      </c>
      <c r="E19" s="500" t="s">
        <v>247</v>
      </c>
      <c r="F19" s="499" t="s">
        <v>247</v>
      </c>
      <c r="G19" s="499" t="b">
        <f>IF(AND(ISNUMBER($F19),$F19&lt;&gt;0%),TRUE,FALSE)</f>
        <v>0</v>
      </c>
      <c r="H19" s="498" t="e">
        <f>IF($G19,_xll.qlIndexAddFixings($J19,$E19,$F19/100,TRUE,ISERROR($K19)),NA())</f>
        <v>#N/A</v>
      </c>
      <c r="I19" s="488"/>
      <c r="J19" s="497" t="str">
        <f>PROPER(Currency)&amp;$J$2&amp;$C19</f>
        <v>Usd-10M</v>
      </c>
      <c r="K19" s="496" t="e">
        <f>_xll.qlIndexFixing($J19,$E19,TRUE,$G19)</f>
        <v>#NUM!</v>
      </c>
      <c r="L19" s="496" t="e">
        <f>IF($H19,_xll.qlIndexFixing($J19,$E19,FALSE,$G19),"-")</f>
        <v>#N/A</v>
      </c>
      <c r="M19" s="496" t="e">
        <f>K19-L19</f>
        <v>#NUM!</v>
      </c>
      <c r="N19" s="495" t="e">
        <f>_xll.qlIndexFixing($J19,$E19,TRUE,$L19)</f>
        <v>#NUM!</v>
      </c>
      <c r="O19" s="494">
        <f>IF(ISERROR(M19),0,ABS(M19))</f>
        <v>0</v>
      </c>
      <c r="P19" s="483"/>
      <c r="Q19" s="464"/>
      <c r="R19" s="464"/>
      <c r="S19" s="464"/>
      <c r="T19" s="464"/>
      <c r="U19" s="464"/>
      <c r="V19" s="464"/>
      <c r="W19" s="464"/>
      <c r="X19" s="464"/>
      <c r="Y19" s="464"/>
      <c r="Z19" s="464"/>
      <c r="AA19" s="464"/>
      <c r="AB19" s="464"/>
      <c r="AC19" s="464"/>
      <c r="AD19" s="464"/>
    </row>
    <row r="20" spans="1:30" x14ac:dyDescent="0.2">
      <c r="A20" s="464"/>
      <c r="B20" s="493"/>
      <c r="C20" s="501" t="s">
        <v>30</v>
      </c>
      <c r="D20" s="496" t="str">
        <f>Currency&amp;$D$2&amp;$C20&amp;"D="</f>
        <v>USD-11MD=</v>
      </c>
      <c r="E20" s="500" t="s">
        <v>247</v>
      </c>
      <c r="F20" s="499" t="s">
        <v>247</v>
      </c>
      <c r="G20" s="499" t="b">
        <f>IF(AND(ISNUMBER($F20),$F20&lt;&gt;0%),TRUE,FALSE)</f>
        <v>0</v>
      </c>
      <c r="H20" s="498" t="e">
        <f>IF($G20,_xll.qlIndexAddFixings($J20,$E20,$F20/100,TRUE,ISERROR($K20)),NA())</f>
        <v>#N/A</v>
      </c>
      <c r="I20" s="488"/>
      <c r="J20" s="497" t="str">
        <f>PROPER(Currency)&amp;$J$2&amp;$C20</f>
        <v>Usd-11M</v>
      </c>
      <c r="K20" s="496" t="e">
        <f>_xll.qlIndexFixing($J20,$E20,TRUE,$G20)</f>
        <v>#NUM!</v>
      </c>
      <c r="L20" s="496" t="e">
        <f>IF($H20,_xll.qlIndexFixing($J20,$E20,FALSE,$G20),"-")</f>
        <v>#N/A</v>
      </c>
      <c r="M20" s="496" t="e">
        <f>K20-L20</f>
        <v>#NUM!</v>
      </c>
      <c r="N20" s="495" t="e">
        <f>_xll.qlIndexFixing($J20,$E20,TRUE,$L20)</f>
        <v>#NUM!</v>
      </c>
      <c r="O20" s="494">
        <f>IF(ISERROR(M20),0,ABS(M20))</f>
        <v>0</v>
      </c>
      <c r="P20" s="483"/>
      <c r="Q20" s="464"/>
      <c r="R20" s="464"/>
      <c r="S20" s="464"/>
      <c r="T20" s="464"/>
      <c r="U20" s="464"/>
      <c r="V20" s="464"/>
      <c r="W20" s="464"/>
      <c r="X20" s="464"/>
      <c r="Y20" s="464"/>
      <c r="Z20" s="464"/>
      <c r="AA20" s="464"/>
      <c r="AB20" s="464"/>
      <c r="AC20" s="464"/>
      <c r="AD20" s="464"/>
    </row>
    <row r="21" spans="1:30" x14ac:dyDescent="0.2">
      <c r="A21" s="464"/>
      <c r="B21" s="493"/>
      <c r="C21" s="492" t="s">
        <v>29</v>
      </c>
      <c r="D21" s="486" t="str">
        <f>Currency&amp;$D$2&amp;$C21&amp;"D="</f>
        <v>USD-1YD=</v>
      </c>
      <c r="E21" s="491" t="s">
        <v>247</v>
      </c>
      <c r="F21" s="490" t="s">
        <v>247</v>
      </c>
      <c r="G21" s="490" t="b">
        <f>IF(AND(ISNUMBER($F21),$F21&lt;&gt;0%),TRUE,FALSE)</f>
        <v>0</v>
      </c>
      <c r="H21" s="489" t="e">
        <f>IF($G21,_xll.qlIndexAddFixings($J21,$E21,$F21/100,TRUE,ISERROR($K21)),NA())</f>
        <v>#N/A</v>
      </c>
      <c r="I21" s="488"/>
      <c r="J21" s="487" t="str">
        <f>PROPER(Currency)&amp;$J$2&amp;$C21</f>
        <v>Usd-1Y</v>
      </c>
      <c r="K21" s="486" t="e">
        <f>_xll.qlIndexFixing($J21,$E21,TRUE,$G21)</f>
        <v>#NUM!</v>
      </c>
      <c r="L21" s="486" t="e">
        <f>IF($H21,_xll.qlIndexFixing($J21,$E21,FALSE,$G21),"-")</f>
        <v>#N/A</v>
      </c>
      <c r="M21" s="486" t="e">
        <f>K21-L21</f>
        <v>#NUM!</v>
      </c>
      <c r="N21" s="485" t="e">
        <f>_xll.qlIndexFixing($J21,$E21,TRUE,$L21)</f>
        <v>#NUM!</v>
      </c>
      <c r="O21" s="484">
        <f>IF(ISERROR(M21),0,ABS(M21))</f>
        <v>0</v>
      </c>
      <c r="P21" s="483"/>
      <c r="Q21" s="464"/>
      <c r="R21" s="464"/>
      <c r="S21" s="464"/>
      <c r="T21" s="464"/>
      <c r="U21" s="464"/>
      <c r="V21" s="464"/>
      <c r="W21" s="464"/>
      <c r="X21" s="464"/>
      <c r="Y21" s="464"/>
      <c r="Z21" s="464"/>
      <c r="AA21" s="464"/>
      <c r="AB21" s="464"/>
      <c r="AC21" s="464"/>
      <c r="AD21" s="464"/>
    </row>
    <row r="22" spans="1:30" ht="12" thickBot="1" x14ac:dyDescent="0.25">
      <c r="A22" s="464"/>
      <c r="B22" s="482"/>
      <c r="C22" s="479"/>
      <c r="D22" s="479"/>
      <c r="E22" s="481"/>
      <c r="F22" s="480"/>
      <c r="G22" s="480"/>
      <c r="H22" s="479"/>
      <c r="I22" s="479"/>
      <c r="J22" s="479"/>
      <c r="K22" s="479"/>
      <c r="L22" s="479"/>
      <c r="M22" s="479"/>
      <c r="N22" s="479"/>
      <c r="O22" s="479"/>
      <c r="P22" s="478"/>
      <c r="Q22" s="464"/>
      <c r="R22" s="464"/>
      <c r="S22" s="464"/>
      <c r="T22" s="464"/>
      <c r="U22" s="464"/>
      <c r="V22" s="464"/>
      <c r="W22" s="464"/>
      <c r="X22" s="464"/>
      <c r="Y22" s="464"/>
      <c r="Z22" s="464"/>
      <c r="AA22" s="464"/>
      <c r="AB22" s="464"/>
      <c r="AC22" s="464"/>
      <c r="AD22" s="464"/>
    </row>
    <row r="23" spans="1:30" ht="12" thickBot="1" x14ac:dyDescent="0.25">
      <c r="A23" s="464"/>
      <c r="B23" s="464"/>
      <c r="C23" s="464"/>
      <c r="D23" s="464"/>
      <c r="E23" s="477"/>
      <c r="F23" s="476"/>
      <c r="G23" s="476"/>
      <c r="H23" s="464"/>
      <c r="I23" s="464"/>
      <c r="J23" s="464"/>
      <c r="K23" s="464"/>
      <c r="L23" s="464"/>
      <c r="M23" s="464"/>
      <c r="N23" s="464"/>
      <c r="O23" s="464"/>
      <c r="P23" s="464"/>
      <c r="Q23" s="464"/>
      <c r="R23" s="464"/>
      <c r="S23" s="464"/>
      <c r="T23" s="464"/>
      <c r="U23" s="464"/>
      <c r="V23" s="464"/>
      <c r="W23" s="464"/>
      <c r="X23" s="464"/>
      <c r="Y23" s="464"/>
      <c r="Z23" s="464"/>
      <c r="AA23" s="464"/>
      <c r="AB23" s="464"/>
      <c r="AC23" s="464"/>
      <c r="AD23" s="464"/>
    </row>
    <row r="24" spans="1:30" s="464" customFormat="1" x14ac:dyDescent="0.2">
      <c r="C24" s="475" t="s">
        <v>132</v>
      </c>
      <c r="D24" s="474" t="s">
        <v>333</v>
      </c>
      <c r="E24" s="473" t="s">
        <v>333</v>
      </c>
      <c r="F24" s="472"/>
    </row>
    <row r="25" spans="1:30" s="464" customFormat="1" x14ac:dyDescent="0.2">
      <c r="C25" s="470" t="s">
        <v>131</v>
      </c>
      <c r="D25" s="469" t="s">
        <v>340</v>
      </c>
      <c r="E25" s="468" t="s">
        <v>339</v>
      </c>
      <c r="J25" s="471"/>
    </row>
    <row r="26" spans="1:30" s="464" customFormat="1" x14ac:dyDescent="0.2">
      <c r="C26" s="470" t="s">
        <v>317</v>
      </c>
      <c r="D26" s="469" t="s">
        <v>333</v>
      </c>
      <c r="E26" s="468" t="s">
        <v>333</v>
      </c>
      <c r="J26" s="471"/>
    </row>
    <row r="27" spans="1:30" s="464" customFormat="1" x14ac:dyDescent="0.2">
      <c r="C27" s="470" t="s">
        <v>316</v>
      </c>
      <c r="D27" s="469" t="s">
        <v>333</v>
      </c>
      <c r="E27" s="468" t="s">
        <v>333</v>
      </c>
      <c r="J27" s="471"/>
    </row>
    <row r="28" spans="1:30" s="464" customFormat="1" x14ac:dyDescent="0.2">
      <c r="C28" s="470" t="s">
        <v>128</v>
      </c>
      <c r="D28" s="469" t="s">
        <v>333</v>
      </c>
      <c r="E28" s="468" t="s">
        <v>333</v>
      </c>
    </row>
    <row r="29" spans="1:30" s="464" customFormat="1" x14ac:dyDescent="0.2">
      <c r="C29" s="470" t="s">
        <v>127</v>
      </c>
      <c r="D29" s="469" t="s">
        <v>333</v>
      </c>
      <c r="E29" s="468" t="s">
        <v>333</v>
      </c>
    </row>
    <row r="30" spans="1:30" s="464" customFormat="1" ht="12" thickBot="1" x14ac:dyDescent="0.25">
      <c r="C30" s="467" t="s">
        <v>122</v>
      </c>
      <c r="D30" s="466" t="s">
        <v>333</v>
      </c>
      <c r="E30" s="465" t="s">
        <v>333</v>
      </c>
    </row>
    <row r="31" spans="1:30" s="464" customFormat="1" x14ac:dyDescent="0.2"/>
    <row r="32" spans="1:30" s="464" customFormat="1" x14ac:dyDescent="0.2"/>
    <row r="33" s="464" customFormat="1" x14ac:dyDescent="0.2"/>
    <row r="34" s="464" customFormat="1" x14ac:dyDescent="0.2"/>
    <row r="35" s="464" customFormat="1" x14ac:dyDescent="0.2"/>
    <row r="36" s="464" customFormat="1" x14ac:dyDescent="0.2"/>
    <row r="37" s="464" customFormat="1" x14ac:dyDescent="0.2"/>
    <row r="38" s="464" customFormat="1" x14ac:dyDescent="0.2"/>
    <row r="39" s="464" customFormat="1" x14ac:dyDescent="0.2"/>
    <row r="40" s="464" customFormat="1" x14ac:dyDescent="0.2"/>
    <row r="41" s="464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63" customWidth="1"/>
    <col min="3" max="3" width="5.7109375" style="463" bestFit="1" customWidth="1"/>
    <col min="4" max="4" width="12.140625" style="463" bestFit="1" customWidth="1"/>
    <col min="5" max="5" width="12.85546875" style="463" customWidth="1"/>
    <col min="6" max="6" width="7.42578125" style="463" customWidth="1"/>
    <col min="7" max="7" width="6" style="463" bestFit="1" customWidth="1"/>
    <col min="8" max="8" width="5.5703125" style="463" bestFit="1" customWidth="1"/>
    <col min="9" max="9" width="4.28515625" style="463" customWidth="1"/>
    <col min="10" max="10" width="9.5703125" style="463" bestFit="1" customWidth="1"/>
    <col min="11" max="11" width="11.42578125" style="463" bestFit="1" customWidth="1"/>
    <col min="12" max="12" width="8.7109375" style="463" bestFit="1" customWidth="1"/>
    <col min="13" max="13" width="7.7109375" style="463" bestFit="1" customWidth="1"/>
    <col min="14" max="14" width="10" style="463" bestFit="1" customWidth="1"/>
    <col min="15" max="15" width="7.140625" style="463" hidden="1" customWidth="1"/>
    <col min="16" max="17" width="4.28515625" style="463" customWidth="1"/>
    <col min="18" max="18" width="12.85546875" style="463" bestFit="1" customWidth="1"/>
    <col min="19" max="19" width="7.140625" style="463" bestFit="1" customWidth="1"/>
    <col min="20" max="20" width="6" style="463" bestFit="1" customWidth="1"/>
    <col min="21" max="16384" width="9.140625" style="463"/>
  </cols>
  <sheetData>
    <row r="1" spans="1:30" ht="12" thickBot="1" x14ac:dyDescent="0.25">
      <c r="A1" s="560" t="s">
        <v>342</v>
      </c>
      <c r="B1" s="464"/>
      <c r="C1" s="464"/>
      <c r="D1" s="469"/>
      <c r="E1" s="477"/>
      <c r="F1" s="523"/>
      <c r="G1" s="523"/>
      <c r="H1" s="464"/>
      <c r="I1" s="469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</row>
    <row r="2" spans="1:30" ht="22.5" customHeight="1" x14ac:dyDescent="0.4">
      <c r="A2" s="464"/>
      <c r="B2" s="522"/>
      <c r="C2" s="516"/>
      <c r="D2" s="521" t="str">
        <f>VLOOKUP(Currency,Traits,2,FALSE)</f>
        <v>-</v>
      </c>
      <c r="E2" s="520"/>
      <c r="F2" s="519"/>
      <c r="G2" s="519"/>
      <c r="H2" s="516"/>
      <c r="I2" s="516"/>
      <c r="J2" s="518" t="str">
        <f>VLOOKUP(Currency,Traits,3,FALSE)</f>
        <v>-</v>
      </c>
      <c r="K2" s="516"/>
      <c r="L2" s="516"/>
      <c r="M2" s="517">
        <f>MAX(O4:O21)</f>
        <v>0</v>
      </c>
      <c r="N2" s="516"/>
      <c r="O2" s="516"/>
      <c r="P2" s="515"/>
      <c r="Q2" s="464"/>
      <c r="R2" s="464" t="s">
        <v>142</v>
      </c>
      <c r="S2" s="464"/>
      <c r="T2" s="464"/>
      <c r="U2" s="464"/>
      <c r="V2" s="464"/>
      <c r="W2" s="464"/>
      <c r="X2" s="464"/>
      <c r="Y2" s="464"/>
      <c r="Z2" s="464"/>
      <c r="AA2" s="464"/>
      <c r="AB2" s="464"/>
      <c r="AC2" s="464"/>
      <c r="AD2" s="464"/>
    </row>
    <row r="3" spans="1:30" ht="22.5" x14ac:dyDescent="0.2">
      <c r="A3" s="464"/>
      <c r="B3" s="493"/>
      <c r="C3" s="513" t="s">
        <v>47</v>
      </c>
      <c r="D3" s="512" t="e">
        <f ca="1">_xll.RData(D4:D21,E3:F3,"RTFEED:IDN",,,E4)</f>
        <v>#NAME?</v>
      </c>
      <c r="E3" s="512" t="s">
        <v>324</v>
      </c>
      <c r="F3" s="512" t="s">
        <v>252</v>
      </c>
      <c r="G3" s="512" t="s">
        <v>323</v>
      </c>
      <c r="H3" s="511" t="s">
        <v>322</v>
      </c>
      <c r="I3" s="514"/>
      <c r="J3" s="513" t="s">
        <v>264</v>
      </c>
      <c r="K3" s="512" t="s">
        <v>321</v>
      </c>
      <c r="L3" s="512" t="s">
        <v>320</v>
      </c>
      <c r="M3" s="512" t="s">
        <v>319</v>
      </c>
      <c r="N3" s="511" t="s">
        <v>318</v>
      </c>
      <c r="O3" s="510"/>
      <c r="P3" s="483"/>
      <c r="Q3" s="464"/>
      <c r="R3" s="464"/>
      <c r="S3" s="464"/>
      <c r="T3" s="464"/>
      <c r="U3" s="464"/>
      <c r="V3" s="464"/>
      <c r="W3" s="464"/>
      <c r="X3" s="464"/>
      <c r="Y3" s="464"/>
      <c r="Z3" s="464"/>
      <c r="AA3" s="464"/>
      <c r="AB3" s="464"/>
      <c r="AC3" s="464"/>
      <c r="AD3" s="464"/>
    </row>
    <row r="4" spans="1:30" ht="15" x14ac:dyDescent="0.25">
      <c r="A4" s="464"/>
      <c r="B4" s="493"/>
      <c r="C4" s="509" t="s">
        <v>221</v>
      </c>
      <c r="D4" s="504" t="str">
        <f>Currency&amp;$D$2&amp;$C4&amp;"D="</f>
        <v>USD-OND=</v>
      </c>
      <c r="E4" s="508" t="s">
        <v>247</v>
      </c>
      <c r="F4" s="533" t="s">
        <v>247</v>
      </c>
      <c r="G4" s="507" t="b">
        <f>IF(AND(ISNUMBER($F4),$F4&lt;&gt;0%),TRUE,FALSE)</f>
        <v>0</v>
      </c>
      <c r="H4" s="506" t="e">
        <f>IF($G4,_xll.qlIndexAddFixings($J4,$E4,$F4/100,TRUE,ISERROR($K4)),NA())</f>
        <v>#N/A</v>
      </c>
      <c r="I4" s="488"/>
      <c r="J4" s="505" t="str">
        <f>PROPER(Currency)&amp;$J$2&amp;$C4</f>
        <v>Usd-ON</v>
      </c>
      <c r="K4" s="504" t="e">
        <f>_xll.qlIndexFixing($J4,$E4,TRUE,$G4)</f>
        <v>#NUM!</v>
      </c>
      <c r="L4" s="504" t="e">
        <f>IF($H4,_xll.qlIndexFixing($J4,$E4,FALSE,$G4),"-")</f>
        <v>#N/A</v>
      </c>
      <c r="M4" s="504" t="e">
        <f>K4-L4</f>
        <v>#NUM!</v>
      </c>
      <c r="N4" s="503" t="e">
        <f>_xll.qlIndexFixing($J4,$E4,TRUE,$L4)</f>
        <v>#NUM!</v>
      </c>
      <c r="O4" s="502">
        <f>IF(ISERROR(M4),0,ABS(M4))</f>
        <v>0</v>
      </c>
      <c r="P4" s="483"/>
      <c r="Q4" s="464"/>
      <c r="R4" s="464" t="str">
        <f>Currency&amp;$C4&amp;"D"&amp;$R$2</f>
        <v>USDOND_Quote</v>
      </c>
      <c r="S4" s="535" t="e">
        <f>_xll.qlQuoteValue(R4,ISERROR(H4))</f>
        <v>#NUM!</v>
      </c>
      <c r="T4" s="534" t="e">
        <f>IF(E4=EvaluationDate,S4-F4/100,NA())</f>
        <v>#N/A</v>
      </c>
      <c r="U4" s="464"/>
      <c r="V4" s="464"/>
      <c r="W4" s="464"/>
      <c r="X4" s="464"/>
      <c r="Y4" s="464"/>
      <c r="Z4" s="464"/>
      <c r="AA4" s="464"/>
      <c r="AB4" s="464"/>
      <c r="AC4" s="464"/>
      <c r="AD4" s="464"/>
    </row>
    <row r="5" spans="1:30" ht="15" x14ac:dyDescent="0.25">
      <c r="A5" s="464"/>
      <c r="B5" s="493"/>
      <c r="C5" s="501" t="s">
        <v>254</v>
      </c>
      <c r="D5" s="496" t="str">
        <f>Currency&amp;$D$2&amp;$C5&amp;"D="</f>
        <v>USD-TND=</v>
      </c>
      <c r="E5" s="500" t="s">
        <v>247</v>
      </c>
      <c r="F5" s="532" t="s">
        <v>247</v>
      </c>
      <c r="G5" s="499" t="b">
        <f>IF(AND(ISNUMBER($F5),$F5&lt;&gt;0%),TRUE,FALSE)</f>
        <v>0</v>
      </c>
      <c r="H5" s="498" t="e">
        <f>IF($G5,_xll.qlIndexAddFixings($J5,$E5,$F5/100,TRUE,ISERROR($K5)),NA())</f>
        <v>#N/A</v>
      </c>
      <c r="I5" s="488"/>
      <c r="J5" s="497" t="str">
        <f>PROPER(Currency)&amp;$J$2&amp;$C5</f>
        <v>Usd-TN</v>
      </c>
      <c r="K5" s="496" t="e">
        <f>_xll.qlIndexFixing($J5,$E5,TRUE,$G5)</f>
        <v>#NUM!</v>
      </c>
      <c r="L5" s="496" t="e">
        <f>IF($H5,_xll.qlIndexFixing($J5,$E5,FALSE,$G5),"-")</f>
        <v>#N/A</v>
      </c>
      <c r="M5" s="496" t="e">
        <f>K5-L5</f>
        <v>#NUM!</v>
      </c>
      <c r="N5" s="495" t="e">
        <f>_xll.qlIndexFixing($J5,$E5,TRUE,$L5)</f>
        <v>#NUM!</v>
      </c>
      <c r="O5" s="494"/>
      <c r="P5" s="483"/>
      <c r="Q5" s="464"/>
      <c r="R5" s="464"/>
      <c r="S5" s="535"/>
      <c r="T5" s="534"/>
      <c r="U5" s="464"/>
      <c r="V5" s="464"/>
      <c r="W5" s="464"/>
      <c r="X5" s="464"/>
      <c r="Y5" s="464"/>
      <c r="Z5" s="464"/>
      <c r="AA5" s="464"/>
      <c r="AB5" s="464"/>
      <c r="AC5" s="464"/>
      <c r="AD5" s="464"/>
    </row>
    <row r="6" spans="1:30" ht="15" x14ac:dyDescent="0.25">
      <c r="A6" s="464"/>
      <c r="B6" s="493"/>
      <c r="C6" s="501" t="s">
        <v>251</v>
      </c>
      <c r="D6" s="496" t="str">
        <f>Currency&amp;$D$2&amp;$C6&amp;"D="</f>
        <v>USD-SND=</v>
      </c>
      <c r="E6" s="500" t="s">
        <v>247</v>
      </c>
      <c r="F6" s="532" t="s">
        <v>247</v>
      </c>
      <c r="G6" s="499" t="b">
        <f>IF(AND(ISNUMBER($F6),$F6&lt;&gt;0%),TRUE,FALSE)</f>
        <v>0</v>
      </c>
      <c r="H6" s="498" t="e">
        <f>IF($G6,_xll.qlIndexAddFixings($J6,$E6,$F6/100,TRUE,ISERROR($K6)),NA())</f>
        <v>#N/A</v>
      </c>
      <c r="I6" s="488"/>
      <c r="J6" s="497" t="str">
        <f>PROPER(Currency)&amp;$J$2&amp;$C6</f>
        <v>Usd-SN</v>
      </c>
      <c r="K6" s="496" t="e">
        <f>_xll.qlIndexFixing($J6,$E6,TRUE,$G6)</f>
        <v>#NUM!</v>
      </c>
      <c r="L6" s="496" t="e">
        <f>IF($H6,_xll.qlIndexFixing($J6,$E6,FALSE,$G6),"-")</f>
        <v>#N/A</v>
      </c>
      <c r="M6" s="496" t="e">
        <f>K6-L6</f>
        <v>#NUM!</v>
      </c>
      <c r="N6" s="495" t="e">
        <f>_xll.qlIndexFixing($J6,$E6,TRUE,$L6)</f>
        <v>#NUM!</v>
      </c>
      <c r="O6" s="494"/>
      <c r="P6" s="483"/>
      <c r="Q6" s="464"/>
      <c r="R6" s="464"/>
      <c r="S6" s="535"/>
      <c r="T6" s="534"/>
      <c r="U6" s="464"/>
      <c r="V6" s="464"/>
      <c r="W6" s="464"/>
      <c r="X6" s="464"/>
      <c r="Y6" s="464"/>
      <c r="Z6" s="464"/>
      <c r="AA6" s="464"/>
      <c r="AB6" s="464"/>
      <c r="AC6" s="464"/>
      <c r="AD6" s="464"/>
    </row>
    <row r="7" spans="1:30" ht="15" x14ac:dyDescent="0.25">
      <c r="A7" s="464"/>
      <c r="B7" s="493"/>
      <c r="C7" s="501" t="s">
        <v>43</v>
      </c>
      <c r="D7" s="496" t="str">
        <f>Currency&amp;$D$2&amp;$C7&amp;"D="</f>
        <v>USD-SWD=</v>
      </c>
      <c r="E7" s="500" t="s">
        <v>247</v>
      </c>
      <c r="F7" s="499" t="s">
        <v>247</v>
      </c>
      <c r="G7" s="499" t="b">
        <f>IF(AND(ISNUMBER($F7),$F7&lt;&gt;0%),TRUE,FALSE)</f>
        <v>0</v>
      </c>
      <c r="H7" s="498" t="e">
        <f>IF($G7,_xll.qlIndexAddFixings($J7,$E7,$F7/100,TRUE,ISERROR($K7)),NA())</f>
        <v>#N/A</v>
      </c>
      <c r="I7" s="488"/>
      <c r="J7" s="497" t="str">
        <f>PROPER(Currency)&amp;$J$2&amp;$C7</f>
        <v>Usd-SW</v>
      </c>
      <c r="K7" s="496" t="e">
        <f>_xll.qlIndexFixing($J7,$E7,TRUE,$G7)</f>
        <v>#NUM!</v>
      </c>
      <c r="L7" s="496" t="e">
        <f>IF($H7,_xll.qlIndexFixing($J7,$E7,FALSE,$G7),"-")</f>
        <v>#N/A</v>
      </c>
      <c r="M7" s="496" t="e">
        <f>K7-L7</f>
        <v>#NUM!</v>
      </c>
      <c r="N7" s="495" t="e">
        <f>_xll.qlIndexFixing($J7,$E7,TRUE,$L7)</f>
        <v>#NUM!</v>
      </c>
      <c r="O7" s="494">
        <f>IF(ISERROR(M7),0,ABS(M7))</f>
        <v>0</v>
      </c>
      <c r="P7" s="483"/>
      <c r="Q7" s="464"/>
      <c r="R7" s="464" t="str">
        <f>Currency&amp;$C7&amp;"D"&amp;$R$2</f>
        <v>USDSWD_Quote</v>
      </c>
      <c r="S7" s="535" t="e">
        <f>_xll.qlQuoteValue(R7,ISERROR(H7))</f>
        <v>#NUM!</v>
      </c>
      <c r="T7" s="534" t="e">
        <f>IF(E7=EvaluationDate,S7-F7/100,NA())</f>
        <v>#N/A</v>
      </c>
      <c r="U7" s="464"/>
      <c r="V7" s="464"/>
      <c r="W7" s="464"/>
      <c r="X7" s="464"/>
      <c r="Y7" s="464"/>
      <c r="Z7" s="464"/>
      <c r="AA7" s="464"/>
      <c r="AB7" s="464"/>
      <c r="AC7" s="464"/>
      <c r="AD7" s="464"/>
    </row>
    <row r="8" spans="1:30" ht="15" x14ac:dyDescent="0.25">
      <c r="A8" s="464"/>
      <c r="B8" s="493"/>
      <c r="C8" s="501" t="s">
        <v>42</v>
      </c>
      <c r="D8" s="496" t="str">
        <f>Currency&amp;$D$2&amp;$C8&amp;"D="</f>
        <v>USD-2WD=</v>
      </c>
      <c r="E8" s="500" t="s">
        <v>247</v>
      </c>
      <c r="F8" s="499" t="s">
        <v>247</v>
      </c>
      <c r="G8" s="499" t="b">
        <f>IF(AND(ISNUMBER($F8),$F8&lt;&gt;0%),TRUE,FALSE)</f>
        <v>0</v>
      </c>
      <c r="H8" s="498" t="e">
        <f>IF($G8,_xll.qlIndexAddFixings($J8,$E8,$F8/100,TRUE,ISERROR($K8)),NA())</f>
        <v>#N/A</v>
      </c>
      <c r="I8" s="488"/>
      <c r="J8" s="497" t="str">
        <f>PROPER(Currency)&amp;$J$2&amp;$C8</f>
        <v>Usd-2W</v>
      </c>
      <c r="K8" s="496" t="e">
        <f>_xll.qlIndexFixing($J8,$E8,TRUE,$G8)</f>
        <v>#NUM!</v>
      </c>
      <c r="L8" s="496" t="e">
        <f>IF($H8,_xll.qlIndexFixing($J8,$E8,FALSE,$G8),"-")</f>
        <v>#N/A</v>
      </c>
      <c r="M8" s="496" t="e">
        <f>K8-L8</f>
        <v>#NUM!</v>
      </c>
      <c r="N8" s="495" t="e">
        <f>_xll.qlIndexFixing($J8,$E8,TRUE,$L8)</f>
        <v>#NUM!</v>
      </c>
      <c r="O8" s="494">
        <f>IF(ISERROR(M8),0,ABS(M8))</f>
        <v>0</v>
      </c>
      <c r="P8" s="483"/>
      <c r="Q8" s="464"/>
      <c r="R8" s="464" t="str">
        <f>Currency&amp;$C8&amp;"D"&amp;$R$2</f>
        <v>USD2WD_Quote</v>
      </c>
      <c r="S8" s="535" t="e">
        <f>_xll.qlQuoteValue(R8,ISERROR(H8))</f>
        <v>#NUM!</v>
      </c>
      <c r="T8" s="534" t="e">
        <f>IF(E8=EvaluationDate,S8-F8/100,NA())</f>
        <v>#N/A</v>
      </c>
      <c r="U8" s="464"/>
      <c r="V8" s="464"/>
      <c r="W8" s="464"/>
      <c r="X8" s="464"/>
      <c r="Y8" s="464"/>
      <c r="Z8" s="464"/>
      <c r="AA8" s="464"/>
      <c r="AB8" s="464"/>
      <c r="AC8" s="464"/>
      <c r="AD8" s="464"/>
    </row>
    <row r="9" spans="1:30" ht="15" x14ac:dyDescent="0.25">
      <c r="A9" s="464"/>
      <c r="B9" s="493"/>
      <c r="C9" s="501" t="s">
        <v>41</v>
      </c>
      <c r="D9" s="496" t="str">
        <f>Currency&amp;$D$2&amp;$C9&amp;"D="</f>
        <v>USD-3WD=</v>
      </c>
      <c r="E9" s="500" t="s">
        <v>247</v>
      </c>
      <c r="F9" s="499" t="s">
        <v>247</v>
      </c>
      <c r="G9" s="499" t="b">
        <f>IF(AND(ISNUMBER($F9),$F9&lt;&gt;0%),TRUE,FALSE)</f>
        <v>0</v>
      </c>
      <c r="H9" s="498" t="e">
        <f>IF($G9,_xll.qlIndexAddFixings($J9,$E9,$F9/100,TRUE,ISERROR($K9)),NA())</f>
        <v>#N/A</v>
      </c>
      <c r="I9" s="488"/>
      <c r="J9" s="497" t="str">
        <f>PROPER(Currency)&amp;$J$2&amp;$C9</f>
        <v>Usd-3W</v>
      </c>
      <c r="K9" s="496" t="e">
        <f>_xll.qlIndexFixing($J9,$E9,TRUE,$G9)</f>
        <v>#NUM!</v>
      </c>
      <c r="L9" s="496" t="e">
        <f>IF($H9,_xll.qlIndexFixing($J9,$E9,FALSE,$G9),"-")</f>
        <v>#N/A</v>
      </c>
      <c r="M9" s="496" t="e">
        <f>K9-L9</f>
        <v>#NUM!</v>
      </c>
      <c r="N9" s="495" t="e">
        <f>_xll.qlIndexFixing($J9,$E9,TRUE,$L9)</f>
        <v>#NUM!</v>
      </c>
      <c r="O9" s="494">
        <f>IF(ISERROR(M9),0,ABS(M9))</f>
        <v>0</v>
      </c>
      <c r="P9" s="483"/>
      <c r="Q9" s="464"/>
      <c r="R9" s="464" t="str">
        <f>Currency&amp;$C9&amp;"D"&amp;$R$2</f>
        <v>USD3WD_Quote</v>
      </c>
      <c r="S9" s="535" t="e">
        <f>_xll.qlQuoteValue(R9,ISERROR(H9))</f>
        <v>#NUM!</v>
      </c>
      <c r="T9" s="534" t="e">
        <f>IF(E9=EvaluationDate,S9-F9/100,NA())</f>
        <v>#N/A</v>
      </c>
      <c r="U9" s="464"/>
      <c r="V9" s="464"/>
      <c r="W9" s="464"/>
      <c r="X9" s="464"/>
      <c r="Y9" s="464"/>
      <c r="Z9" s="464"/>
      <c r="AA9" s="464"/>
      <c r="AB9" s="464"/>
      <c r="AC9" s="464"/>
      <c r="AD9" s="464"/>
    </row>
    <row r="10" spans="1:30" ht="15" x14ac:dyDescent="0.25">
      <c r="A10" s="464"/>
      <c r="B10" s="493"/>
      <c r="C10" s="501" t="s">
        <v>40</v>
      </c>
      <c r="D10" s="496" t="str">
        <f>Currency&amp;$D$2&amp;$C10&amp;"D="</f>
        <v>USD-1MD=</v>
      </c>
      <c r="E10" s="500" t="s">
        <v>247</v>
      </c>
      <c r="F10" s="499" t="s">
        <v>247</v>
      </c>
      <c r="G10" s="499" t="b">
        <f>IF(AND(ISNUMBER($F10),$F10&lt;&gt;0%),TRUE,FALSE)</f>
        <v>0</v>
      </c>
      <c r="H10" s="498" t="e">
        <f>IF($G10,_xll.qlIndexAddFixings($J10,$E10,$F10/100,TRUE,ISERROR($K10)),NA())</f>
        <v>#N/A</v>
      </c>
      <c r="I10" s="488"/>
      <c r="J10" s="497" t="str">
        <f>PROPER(Currency)&amp;$J$2&amp;$C10</f>
        <v>Usd-1M</v>
      </c>
      <c r="K10" s="496" t="e">
        <f>_xll.qlIndexFixing($J10,$E10,TRUE,$G10)</f>
        <v>#NUM!</v>
      </c>
      <c r="L10" s="496" t="e">
        <f>IF($H10,_xll.qlIndexFixing($J10,$E10,FALSE,$G10),"-")</f>
        <v>#N/A</v>
      </c>
      <c r="M10" s="496" t="e">
        <f>K10-L10</f>
        <v>#NUM!</v>
      </c>
      <c r="N10" s="495" t="e">
        <f>_xll.qlIndexFixing($J10,$E10,TRUE,$L10)</f>
        <v>#NUM!</v>
      </c>
      <c r="O10" s="494">
        <f>IF(ISERROR(M10),0,ABS(M10))</f>
        <v>0</v>
      </c>
      <c r="P10" s="483"/>
      <c r="Q10" s="464"/>
      <c r="R10" s="464" t="str">
        <f>Currency&amp;$C10&amp;"D"&amp;$R$2</f>
        <v>USD1MD_Quote</v>
      </c>
      <c r="S10" s="535" t="e">
        <f>_xll.qlQuoteValue(R10,ISERROR(H10))</f>
        <v>#NUM!</v>
      </c>
      <c r="T10" s="534" t="e">
        <f>IF(E10=EvaluationDate,S10-F10/100,NA())</f>
        <v>#N/A</v>
      </c>
      <c r="U10" s="464"/>
      <c r="V10" s="464"/>
      <c r="W10" s="464"/>
      <c r="X10" s="464"/>
      <c r="Y10" s="464"/>
      <c r="Z10" s="464"/>
      <c r="AA10" s="464"/>
      <c r="AB10" s="464"/>
      <c r="AC10" s="464"/>
      <c r="AD10" s="464"/>
    </row>
    <row r="11" spans="1:30" ht="15" x14ac:dyDescent="0.25">
      <c r="A11" s="464"/>
      <c r="B11" s="493"/>
      <c r="C11" s="501" t="s">
        <v>39</v>
      </c>
      <c r="D11" s="496" t="str">
        <f>Currency&amp;$D$2&amp;$C11&amp;"D="</f>
        <v>USD-2MD=</v>
      </c>
      <c r="E11" s="500" t="s">
        <v>247</v>
      </c>
      <c r="F11" s="499" t="s">
        <v>247</v>
      </c>
      <c r="G11" s="499" t="b">
        <f>IF(AND(ISNUMBER($F11),$F11&lt;&gt;0%),TRUE,FALSE)</f>
        <v>0</v>
      </c>
      <c r="H11" s="498" t="e">
        <f>IF($G11,_xll.qlIndexAddFixings($J11,$E11,$F11/100,TRUE,ISERROR($K11)),NA())</f>
        <v>#N/A</v>
      </c>
      <c r="I11" s="488"/>
      <c r="J11" s="497" t="str">
        <f>PROPER(Currency)&amp;$J$2&amp;$C11</f>
        <v>Usd-2M</v>
      </c>
      <c r="K11" s="496" t="e">
        <f>_xll.qlIndexFixing($J11,$E11,TRUE,$G11)</f>
        <v>#NUM!</v>
      </c>
      <c r="L11" s="496" t="e">
        <f>IF($H11,_xll.qlIndexFixing($J11,$E11,FALSE,$G11),"-")</f>
        <v>#N/A</v>
      </c>
      <c r="M11" s="496" t="e">
        <f>K11-L11</f>
        <v>#NUM!</v>
      </c>
      <c r="N11" s="495" t="e">
        <f>_xll.qlIndexFixing($J11,$E11,TRUE,$L11)</f>
        <v>#NUM!</v>
      </c>
      <c r="O11" s="494">
        <f>IF(ISERROR(M11),0,ABS(M11))</f>
        <v>0</v>
      </c>
      <c r="P11" s="483"/>
      <c r="Q11" s="464"/>
      <c r="R11" s="464" t="str">
        <f>Currency&amp;$C11&amp;"D"&amp;$R$2</f>
        <v>USD2MD_Quote</v>
      </c>
      <c r="S11" s="535" t="e">
        <f>_xll.qlQuoteValue(R11,ISERROR(H11))</f>
        <v>#NUM!</v>
      </c>
      <c r="T11" s="534" t="e">
        <f>IF(E11=EvaluationDate,S11-F11/100,NA())</f>
        <v>#N/A</v>
      </c>
      <c r="U11" s="464"/>
      <c r="V11" s="464"/>
      <c r="W11" s="464"/>
      <c r="X11" s="464"/>
      <c r="Y11" s="464"/>
      <c r="Z11" s="464"/>
      <c r="AA11" s="464"/>
      <c r="AB11" s="464"/>
      <c r="AC11" s="464"/>
      <c r="AD11" s="464"/>
    </row>
    <row r="12" spans="1:30" ht="15" x14ac:dyDescent="0.25">
      <c r="A12" s="464"/>
      <c r="B12" s="493"/>
      <c r="C12" s="501" t="s">
        <v>38</v>
      </c>
      <c r="D12" s="496" t="str">
        <f>Currency&amp;$D$2&amp;$C12&amp;"D="</f>
        <v>USD-3MD=</v>
      </c>
      <c r="E12" s="500" t="s">
        <v>247</v>
      </c>
      <c r="F12" s="499" t="s">
        <v>247</v>
      </c>
      <c r="G12" s="499" t="b">
        <f>IF(AND(ISNUMBER($F12),$F12&lt;&gt;0%),TRUE,FALSE)</f>
        <v>0</v>
      </c>
      <c r="H12" s="498" t="e">
        <f>IF($G12,_xll.qlIndexAddFixings($J12,$E12,$F12/100,TRUE,ISERROR($K12)),NA())</f>
        <v>#N/A</v>
      </c>
      <c r="I12" s="488"/>
      <c r="J12" s="497" t="str">
        <f>PROPER(Currency)&amp;$J$2&amp;$C12</f>
        <v>Usd-3M</v>
      </c>
      <c r="K12" s="496" t="e">
        <f>_xll.qlIndexFixing($J12,$E12,TRUE,$G12)</f>
        <v>#NUM!</v>
      </c>
      <c r="L12" s="496" t="e">
        <f>IF($H12,_xll.qlIndexFixing($J12,$E12,FALSE,$G12),"-")</f>
        <v>#N/A</v>
      </c>
      <c r="M12" s="496" t="e">
        <f>K12-L12</f>
        <v>#NUM!</v>
      </c>
      <c r="N12" s="495" t="e">
        <f>_xll.qlIndexFixing($J12,$E12,TRUE,$L12)</f>
        <v>#NUM!</v>
      </c>
      <c r="O12" s="494">
        <f>IF(ISERROR(M12),0,ABS(M12))</f>
        <v>0</v>
      </c>
      <c r="P12" s="483"/>
      <c r="Q12" s="464"/>
      <c r="R12" s="464" t="str">
        <f>Currency&amp;$C12&amp;"D"&amp;$R$2</f>
        <v>USD3MD_Quote</v>
      </c>
      <c r="S12" s="535" t="e">
        <f>_xll.qlQuoteValue(R12,ISERROR(H12))</f>
        <v>#NUM!</v>
      </c>
      <c r="T12" s="534" t="e">
        <f>IF(E12=EvaluationDate,S12-F12/100,NA())</f>
        <v>#N/A</v>
      </c>
      <c r="U12" s="464"/>
      <c r="V12" s="464"/>
      <c r="W12" s="464"/>
      <c r="X12" s="464"/>
      <c r="Y12" s="464"/>
      <c r="Z12" s="464"/>
      <c r="AA12" s="464"/>
      <c r="AB12" s="464"/>
      <c r="AC12" s="464"/>
      <c r="AD12" s="464"/>
    </row>
    <row r="13" spans="1:30" ht="15" x14ac:dyDescent="0.25">
      <c r="A13" s="464"/>
      <c r="B13" s="493"/>
      <c r="C13" s="501" t="s">
        <v>37</v>
      </c>
      <c r="D13" s="496" t="str">
        <f>Currency&amp;$D$2&amp;$C13&amp;"D="</f>
        <v>USD-4MD=</v>
      </c>
      <c r="E13" s="500" t="s">
        <v>247</v>
      </c>
      <c r="F13" s="499" t="s">
        <v>247</v>
      </c>
      <c r="G13" s="499" t="b">
        <f>IF(AND(ISNUMBER($F13),$F13&lt;&gt;0%),TRUE,FALSE)</f>
        <v>0</v>
      </c>
      <c r="H13" s="498" t="e">
        <f>IF($G13,_xll.qlIndexAddFixings($J13,$E13,$F13/100,TRUE,ISERROR($K13)),NA())</f>
        <v>#N/A</v>
      </c>
      <c r="I13" s="488"/>
      <c r="J13" s="497" t="str">
        <f>PROPER(Currency)&amp;$J$2&amp;$C13</f>
        <v>Usd-4M</v>
      </c>
      <c r="K13" s="496" t="e">
        <f>_xll.qlIndexFixing($J13,$E13,TRUE,$G13)</f>
        <v>#NUM!</v>
      </c>
      <c r="L13" s="496" t="e">
        <f>IF($H13,_xll.qlIndexFixing($J13,$E13,FALSE,$G13),"-")</f>
        <v>#N/A</v>
      </c>
      <c r="M13" s="496" t="e">
        <f>K13-L13</f>
        <v>#NUM!</v>
      </c>
      <c r="N13" s="495" t="e">
        <f>_xll.qlIndexFixing($J13,$E13,TRUE,$L13)</f>
        <v>#NUM!</v>
      </c>
      <c r="O13" s="494">
        <f>IF(ISERROR(M13),0,ABS(M13))</f>
        <v>0</v>
      </c>
      <c r="P13" s="483"/>
      <c r="Q13" s="464"/>
      <c r="R13" s="464" t="str">
        <f>Currency&amp;$C13&amp;"D"&amp;$R$2</f>
        <v>USD4MD_Quote</v>
      </c>
      <c r="S13" s="535" t="e">
        <f>_xll.qlQuoteValue(R13,ISERROR(H13))</f>
        <v>#NUM!</v>
      </c>
      <c r="T13" s="534" t="e">
        <f>IF(E13=EvaluationDate,S13-F13/100,NA())</f>
        <v>#N/A</v>
      </c>
      <c r="U13" s="464"/>
      <c r="V13" s="464"/>
      <c r="W13" s="464"/>
      <c r="X13" s="464"/>
      <c r="Y13" s="464"/>
      <c r="Z13" s="464"/>
      <c r="AA13" s="464"/>
      <c r="AB13" s="464"/>
      <c r="AC13" s="464"/>
      <c r="AD13" s="464"/>
    </row>
    <row r="14" spans="1:30" ht="15" x14ac:dyDescent="0.25">
      <c r="A14" s="464"/>
      <c r="B14" s="493"/>
      <c r="C14" s="501" t="s">
        <v>36</v>
      </c>
      <c r="D14" s="496" t="str">
        <f>Currency&amp;$D$2&amp;$C14&amp;"D="</f>
        <v>USD-5MD=</v>
      </c>
      <c r="E14" s="500" t="s">
        <v>247</v>
      </c>
      <c r="F14" s="499" t="s">
        <v>247</v>
      </c>
      <c r="G14" s="499" t="b">
        <f>IF(AND(ISNUMBER($F14),$F14&lt;&gt;0%),TRUE,FALSE)</f>
        <v>0</v>
      </c>
      <c r="H14" s="498" t="e">
        <f>IF($G14,_xll.qlIndexAddFixings($J14,$E14,$F14/100,TRUE,ISERROR($K14)),NA())</f>
        <v>#N/A</v>
      </c>
      <c r="I14" s="488"/>
      <c r="J14" s="497" t="str">
        <f>PROPER(Currency)&amp;$J$2&amp;$C14</f>
        <v>Usd-5M</v>
      </c>
      <c r="K14" s="496" t="e">
        <f>_xll.qlIndexFixing($J14,$E14,TRUE,$G14)</f>
        <v>#NUM!</v>
      </c>
      <c r="L14" s="496" t="e">
        <f>IF($H14,_xll.qlIndexFixing($J14,$E14,FALSE,$G14),"-")</f>
        <v>#N/A</v>
      </c>
      <c r="M14" s="496" t="e">
        <f>K14-L14</f>
        <v>#NUM!</v>
      </c>
      <c r="N14" s="495" t="e">
        <f>_xll.qlIndexFixing($J14,$E14,TRUE,$L14)</f>
        <v>#NUM!</v>
      </c>
      <c r="O14" s="494">
        <f>IF(ISERROR(M14),0,ABS(M14))</f>
        <v>0</v>
      </c>
      <c r="P14" s="483"/>
      <c r="Q14" s="464"/>
      <c r="R14" s="464" t="str">
        <f>Currency&amp;$C14&amp;"D"&amp;$R$2</f>
        <v>USD5MD_Quote</v>
      </c>
      <c r="S14" s="535" t="e">
        <f>_xll.qlQuoteValue(R14,ISERROR(H14))</f>
        <v>#NUM!</v>
      </c>
      <c r="T14" s="534" t="e">
        <f>IF(E14=EvaluationDate,S14-F14/100,NA())</f>
        <v>#N/A</v>
      </c>
      <c r="U14" s="464"/>
      <c r="V14" s="464"/>
      <c r="W14" s="464"/>
      <c r="X14" s="464"/>
      <c r="Y14" s="464"/>
      <c r="Z14" s="464"/>
      <c r="AA14" s="464"/>
      <c r="AB14" s="464"/>
      <c r="AC14" s="464"/>
      <c r="AD14" s="464"/>
    </row>
    <row r="15" spans="1:30" ht="15" x14ac:dyDescent="0.25">
      <c r="A15" s="464"/>
      <c r="B15" s="493"/>
      <c r="C15" s="501" t="s">
        <v>35</v>
      </c>
      <c r="D15" s="496" t="str">
        <f>Currency&amp;$D$2&amp;$C15&amp;"D="</f>
        <v>USD-6MD=</v>
      </c>
      <c r="E15" s="500" t="s">
        <v>247</v>
      </c>
      <c r="F15" s="499" t="s">
        <v>247</v>
      </c>
      <c r="G15" s="499" t="b">
        <f>IF(AND(ISNUMBER($F15),$F15&lt;&gt;0%),TRUE,FALSE)</f>
        <v>0</v>
      </c>
      <c r="H15" s="498" t="e">
        <f>IF($G15,_xll.qlIndexAddFixings($J15,$E15,$F15/100,TRUE,ISERROR($K15)),NA())</f>
        <v>#N/A</v>
      </c>
      <c r="I15" s="488"/>
      <c r="J15" s="497" t="str">
        <f>PROPER(Currency)&amp;$J$2&amp;$C15</f>
        <v>Usd-6M</v>
      </c>
      <c r="K15" s="496" t="e">
        <f>_xll.qlIndexFixing($J15,$E15,TRUE,$G15)</f>
        <v>#NUM!</v>
      </c>
      <c r="L15" s="496" t="e">
        <f>IF($H15,_xll.qlIndexFixing($J15,$E15,FALSE,$G15),"-")</f>
        <v>#N/A</v>
      </c>
      <c r="M15" s="496" t="e">
        <f>K15-L15</f>
        <v>#NUM!</v>
      </c>
      <c r="N15" s="495" t="e">
        <f>_xll.qlIndexFixing($J15,$E15,TRUE,$L15)</f>
        <v>#NUM!</v>
      </c>
      <c r="O15" s="494">
        <f>IF(ISERROR(M15),0,ABS(M15))</f>
        <v>0</v>
      </c>
      <c r="P15" s="483"/>
      <c r="Q15" s="464"/>
      <c r="R15" s="464" t="str">
        <f>Currency&amp;$C15&amp;"D"&amp;$R$2</f>
        <v>USD6MD_Quote</v>
      </c>
      <c r="S15" s="535" t="e">
        <f>_xll.qlQuoteValue(R15,ISERROR(H15))</f>
        <v>#NUM!</v>
      </c>
      <c r="T15" s="534" t="e">
        <f>IF(E15=EvaluationDate,S15-F15/100,NA())</f>
        <v>#N/A</v>
      </c>
      <c r="U15" s="464"/>
      <c r="V15" s="464"/>
      <c r="W15" s="464"/>
      <c r="X15" s="464"/>
      <c r="Y15" s="464"/>
      <c r="Z15" s="464"/>
      <c r="AA15" s="464"/>
      <c r="AB15" s="464"/>
      <c r="AC15" s="464"/>
      <c r="AD15" s="464"/>
    </row>
    <row r="16" spans="1:30" ht="15" x14ac:dyDescent="0.25">
      <c r="A16" s="464"/>
      <c r="B16" s="493"/>
      <c r="C16" s="501" t="s">
        <v>34</v>
      </c>
      <c r="D16" s="496" t="str">
        <f>Currency&amp;$D$2&amp;$C16&amp;"D="</f>
        <v>USD-7MD=</v>
      </c>
      <c r="E16" s="500" t="s">
        <v>247</v>
      </c>
      <c r="F16" s="499" t="s">
        <v>247</v>
      </c>
      <c r="G16" s="499" t="b">
        <f>IF(AND(ISNUMBER($F16),$F16&lt;&gt;0%),TRUE,FALSE)</f>
        <v>0</v>
      </c>
      <c r="H16" s="498" t="e">
        <f>IF($G16,_xll.qlIndexAddFixings($J16,$E16,$F16/100,TRUE,ISERROR($K16)),NA())</f>
        <v>#N/A</v>
      </c>
      <c r="I16" s="488"/>
      <c r="J16" s="497" t="str">
        <f>PROPER(Currency)&amp;$J$2&amp;$C16</f>
        <v>Usd-7M</v>
      </c>
      <c r="K16" s="496" t="e">
        <f>_xll.qlIndexFixing($J16,$E16,TRUE,$G16)</f>
        <v>#NUM!</v>
      </c>
      <c r="L16" s="496" t="e">
        <f>IF($H16,_xll.qlIndexFixing($J16,$E16,FALSE,$G16),"-")</f>
        <v>#N/A</v>
      </c>
      <c r="M16" s="496" t="e">
        <f>K16-L16</f>
        <v>#NUM!</v>
      </c>
      <c r="N16" s="495" t="e">
        <f>_xll.qlIndexFixing($J16,$E16,TRUE,$L16)</f>
        <v>#NUM!</v>
      </c>
      <c r="O16" s="494">
        <f>IF(ISERROR(M16),0,ABS(M16))</f>
        <v>0</v>
      </c>
      <c r="P16" s="483"/>
      <c r="Q16" s="464"/>
      <c r="R16" s="464" t="str">
        <f>Currency&amp;$C16&amp;"D"&amp;$R$2</f>
        <v>USD7MD_Quote</v>
      </c>
      <c r="S16" s="535" t="e">
        <f>_xll.qlQuoteValue(R16,ISERROR(H16))</f>
        <v>#NUM!</v>
      </c>
      <c r="T16" s="534" t="e">
        <f>IF(E16=EvaluationDate,S16-F16/100,NA())</f>
        <v>#N/A</v>
      </c>
      <c r="U16" s="464"/>
      <c r="V16" s="464"/>
      <c r="W16" s="464"/>
      <c r="X16" s="464"/>
      <c r="Y16" s="464"/>
      <c r="Z16" s="464"/>
      <c r="AA16" s="464"/>
      <c r="AB16" s="464"/>
      <c r="AC16" s="464"/>
      <c r="AD16" s="464"/>
    </row>
    <row r="17" spans="1:30" ht="15" x14ac:dyDescent="0.25">
      <c r="A17" s="464"/>
      <c r="B17" s="493"/>
      <c r="C17" s="501" t="s">
        <v>33</v>
      </c>
      <c r="D17" s="496" t="str">
        <f>Currency&amp;$D$2&amp;$C17&amp;"D="</f>
        <v>USD-8MD=</v>
      </c>
      <c r="E17" s="500" t="s">
        <v>247</v>
      </c>
      <c r="F17" s="499" t="s">
        <v>247</v>
      </c>
      <c r="G17" s="499" t="b">
        <f>IF(AND(ISNUMBER($F17),$F17&lt;&gt;0%),TRUE,FALSE)</f>
        <v>0</v>
      </c>
      <c r="H17" s="498" t="e">
        <f>IF($G17,_xll.qlIndexAddFixings($J17,$E17,$F17/100,TRUE,ISERROR($K17)),NA())</f>
        <v>#N/A</v>
      </c>
      <c r="I17" s="488"/>
      <c r="J17" s="497" t="str">
        <f>PROPER(Currency)&amp;$J$2&amp;$C17</f>
        <v>Usd-8M</v>
      </c>
      <c r="K17" s="496" t="e">
        <f>_xll.qlIndexFixing($J17,$E17,TRUE,$G17)</f>
        <v>#NUM!</v>
      </c>
      <c r="L17" s="496" t="e">
        <f>IF($H17,_xll.qlIndexFixing($J17,$E17,FALSE,$G17),"-")</f>
        <v>#N/A</v>
      </c>
      <c r="M17" s="496" t="e">
        <f>K17-L17</f>
        <v>#NUM!</v>
      </c>
      <c r="N17" s="495" t="e">
        <f>_xll.qlIndexFixing($J17,$E17,TRUE,$L17)</f>
        <v>#NUM!</v>
      </c>
      <c r="O17" s="494">
        <f>IF(ISERROR(M17),0,ABS(M17))</f>
        <v>0</v>
      </c>
      <c r="P17" s="483"/>
      <c r="Q17" s="464"/>
      <c r="R17" s="464" t="str">
        <f>Currency&amp;$C17&amp;"D"&amp;$R$2</f>
        <v>USD8MD_Quote</v>
      </c>
      <c r="S17" s="535" t="e">
        <f>_xll.qlQuoteValue(R17,ISERROR(H17))</f>
        <v>#NUM!</v>
      </c>
      <c r="T17" s="534" t="e">
        <f>IF(E17=EvaluationDate,S17-F17/100,NA())</f>
        <v>#N/A</v>
      </c>
      <c r="U17" s="464"/>
      <c r="V17" s="464"/>
      <c r="W17" s="464"/>
      <c r="X17" s="464"/>
      <c r="Y17" s="464"/>
      <c r="Z17" s="464"/>
      <c r="AA17" s="464"/>
      <c r="AB17" s="464"/>
      <c r="AC17" s="464"/>
      <c r="AD17" s="464"/>
    </row>
    <row r="18" spans="1:30" ht="15" x14ac:dyDescent="0.25">
      <c r="A18" s="464"/>
      <c r="B18" s="493"/>
      <c r="C18" s="501" t="s">
        <v>32</v>
      </c>
      <c r="D18" s="496" t="str">
        <f>Currency&amp;$D$2&amp;$C18&amp;"D="</f>
        <v>USD-9MD=</v>
      </c>
      <c r="E18" s="500" t="s">
        <v>247</v>
      </c>
      <c r="F18" s="499" t="s">
        <v>247</v>
      </c>
      <c r="G18" s="499" t="b">
        <f>IF(AND(ISNUMBER($F18),$F18&lt;&gt;0%),TRUE,FALSE)</f>
        <v>0</v>
      </c>
      <c r="H18" s="498" t="e">
        <f>IF($G18,_xll.qlIndexAddFixings($J18,$E18,$F18/100,TRUE,ISERROR($K18)),NA())</f>
        <v>#N/A</v>
      </c>
      <c r="I18" s="488"/>
      <c r="J18" s="497" t="str">
        <f>PROPER(Currency)&amp;$J$2&amp;$C18</f>
        <v>Usd-9M</v>
      </c>
      <c r="K18" s="496" t="e">
        <f>_xll.qlIndexFixing($J18,$E18,TRUE,$G18)</f>
        <v>#NUM!</v>
      </c>
      <c r="L18" s="496" t="e">
        <f>IF($H18,_xll.qlIndexFixing($J18,$E18,FALSE,$G18),"-")</f>
        <v>#N/A</v>
      </c>
      <c r="M18" s="496" t="e">
        <f>K18-L18</f>
        <v>#NUM!</v>
      </c>
      <c r="N18" s="495" t="e">
        <f>_xll.qlIndexFixing($J18,$E18,TRUE,$L18)</f>
        <v>#NUM!</v>
      </c>
      <c r="O18" s="494">
        <f>IF(ISERROR(M18),0,ABS(M18))</f>
        <v>0</v>
      </c>
      <c r="P18" s="483"/>
      <c r="Q18" s="464"/>
      <c r="R18" s="464" t="str">
        <f>Currency&amp;$C18&amp;"D"&amp;$R$2</f>
        <v>USD9MD_Quote</v>
      </c>
      <c r="S18" s="535" t="e">
        <f>_xll.qlQuoteValue(R18,ISERROR(H18))</f>
        <v>#NUM!</v>
      </c>
      <c r="T18" s="534" t="e">
        <f>IF(E18=EvaluationDate,S18-F18/100,NA())</f>
        <v>#N/A</v>
      </c>
      <c r="U18" s="464"/>
      <c r="V18" s="464"/>
      <c r="W18" s="464"/>
      <c r="X18" s="464"/>
      <c r="Y18" s="464"/>
      <c r="Z18" s="464"/>
      <c r="AA18" s="464"/>
      <c r="AB18" s="464"/>
      <c r="AC18" s="464"/>
      <c r="AD18" s="464"/>
    </row>
    <row r="19" spans="1:30" ht="15" x14ac:dyDescent="0.25">
      <c r="A19" s="464"/>
      <c r="B19" s="493"/>
      <c r="C19" s="501" t="s">
        <v>31</v>
      </c>
      <c r="D19" s="496" t="str">
        <f>Currency&amp;$D$2&amp;$C19&amp;"D="</f>
        <v>USD-10MD=</v>
      </c>
      <c r="E19" s="500" t="s">
        <v>247</v>
      </c>
      <c r="F19" s="499" t="s">
        <v>247</v>
      </c>
      <c r="G19" s="499" t="b">
        <f>IF(AND(ISNUMBER($F19),$F19&lt;&gt;0%),TRUE,FALSE)</f>
        <v>0</v>
      </c>
      <c r="H19" s="498" t="e">
        <f>IF($G19,_xll.qlIndexAddFixings($J19,$E19,$F19/100,TRUE,ISERROR($K19)),NA())</f>
        <v>#N/A</v>
      </c>
      <c r="I19" s="488"/>
      <c r="J19" s="497" t="str">
        <f>PROPER(Currency)&amp;$J$2&amp;$C19</f>
        <v>Usd-10M</v>
      </c>
      <c r="K19" s="496" t="e">
        <f>_xll.qlIndexFixing($J19,$E19,TRUE,$G19)</f>
        <v>#NUM!</v>
      </c>
      <c r="L19" s="496" t="e">
        <f>IF($H19,_xll.qlIndexFixing($J19,$E19,FALSE,$G19),"-")</f>
        <v>#N/A</v>
      </c>
      <c r="M19" s="496" t="e">
        <f>K19-L19</f>
        <v>#NUM!</v>
      </c>
      <c r="N19" s="495" t="e">
        <f>_xll.qlIndexFixing($J19,$E19,TRUE,$L19)</f>
        <v>#NUM!</v>
      </c>
      <c r="O19" s="494">
        <f>IF(ISERROR(M19),0,ABS(M19))</f>
        <v>0</v>
      </c>
      <c r="P19" s="483"/>
      <c r="Q19" s="464"/>
      <c r="R19" s="464" t="str">
        <f>Currency&amp;$C19&amp;"D"&amp;$R$2</f>
        <v>USD10MD_Quote</v>
      </c>
      <c r="S19" s="535" t="e">
        <f>_xll.qlQuoteValue(R19,ISERROR(H19))</f>
        <v>#NUM!</v>
      </c>
      <c r="T19" s="534" t="e">
        <f>IF(E19=EvaluationDate,S19-F19/100,NA())</f>
        <v>#N/A</v>
      </c>
      <c r="U19" s="464"/>
      <c r="V19" s="464"/>
      <c r="W19" s="464"/>
      <c r="X19" s="464"/>
      <c r="Y19" s="464"/>
      <c r="Z19" s="464"/>
      <c r="AA19" s="464"/>
      <c r="AB19" s="464"/>
      <c r="AC19" s="464"/>
      <c r="AD19" s="464"/>
    </row>
    <row r="20" spans="1:30" ht="15" x14ac:dyDescent="0.25">
      <c r="A20" s="464"/>
      <c r="B20" s="493"/>
      <c r="C20" s="501" t="s">
        <v>30</v>
      </c>
      <c r="D20" s="496" t="str">
        <f>Currency&amp;$D$2&amp;$C20&amp;"D="</f>
        <v>USD-11MD=</v>
      </c>
      <c r="E20" s="500" t="s">
        <v>247</v>
      </c>
      <c r="F20" s="499" t="s">
        <v>247</v>
      </c>
      <c r="G20" s="499" t="b">
        <f>IF(AND(ISNUMBER($F20),$F20&lt;&gt;0%),TRUE,FALSE)</f>
        <v>0</v>
      </c>
      <c r="H20" s="498" t="e">
        <f>IF($G20,_xll.qlIndexAddFixings($J20,$E20,$F20/100,TRUE,ISERROR($K20)),NA())</f>
        <v>#N/A</v>
      </c>
      <c r="I20" s="488"/>
      <c r="J20" s="497" t="str">
        <f>PROPER(Currency)&amp;$J$2&amp;$C20</f>
        <v>Usd-11M</v>
      </c>
      <c r="K20" s="496" t="e">
        <f>_xll.qlIndexFixing($J20,$E20,TRUE,$G20)</f>
        <v>#NUM!</v>
      </c>
      <c r="L20" s="496" t="e">
        <f>IF($H20,_xll.qlIndexFixing($J20,$E20,FALSE,$G20),"-")</f>
        <v>#N/A</v>
      </c>
      <c r="M20" s="496" t="e">
        <f>K20-L20</f>
        <v>#NUM!</v>
      </c>
      <c r="N20" s="495" t="e">
        <f>_xll.qlIndexFixing($J20,$E20,TRUE,$L20)</f>
        <v>#NUM!</v>
      </c>
      <c r="O20" s="494">
        <f>IF(ISERROR(M20),0,ABS(M20))</f>
        <v>0</v>
      </c>
      <c r="P20" s="483"/>
      <c r="Q20" s="464"/>
      <c r="R20" s="464" t="str">
        <f>Currency&amp;$C20&amp;"D"&amp;$R$2</f>
        <v>USD11MD_Quote</v>
      </c>
      <c r="S20" s="535" t="e">
        <f>_xll.qlQuoteValue(R20,ISERROR(H20))</f>
        <v>#NUM!</v>
      </c>
      <c r="T20" s="534" t="e">
        <f>IF(E20=EvaluationDate,S20-F20/100,NA())</f>
        <v>#N/A</v>
      </c>
      <c r="U20" s="464"/>
      <c r="V20" s="464"/>
      <c r="W20" s="464"/>
      <c r="X20" s="464"/>
      <c r="Y20" s="464"/>
      <c r="Z20" s="464"/>
      <c r="AA20" s="464"/>
      <c r="AB20" s="464"/>
      <c r="AC20" s="464"/>
      <c r="AD20" s="464"/>
    </row>
    <row r="21" spans="1:30" ht="15" x14ac:dyDescent="0.25">
      <c r="A21" s="464"/>
      <c r="B21" s="493"/>
      <c r="C21" s="492" t="s">
        <v>29</v>
      </c>
      <c r="D21" s="486" t="str">
        <f>Currency&amp;$D$2&amp;$C21&amp;"D="</f>
        <v>USD-1YD=</v>
      </c>
      <c r="E21" s="491" t="s">
        <v>247</v>
      </c>
      <c r="F21" s="490" t="s">
        <v>247</v>
      </c>
      <c r="G21" s="490" t="b">
        <f>IF(AND(ISNUMBER($F21),$F21&lt;&gt;0%),TRUE,FALSE)</f>
        <v>0</v>
      </c>
      <c r="H21" s="489" t="e">
        <f>IF($G21,_xll.qlIndexAddFixings($J21,$E21,$F21/100,TRUE,ISERROR($K21)),NA())</f>
        <v>#N/A</v>
      </c>
      <c r="I21" s="488"/>
      <c r="J21" s="487" t="str">
        <f>PROPER(Currency)&amp;$J$2&amp;$C21</f>
        <v>Usd-1Y</v>
      </c>
      <c r="K21" s="486" t="e">
        <f>_xll.qlIndexFixing($J21,$E21,TRUE,$G21)</f>
        <v>#NUM!</v>
      </c>
      <c r="L21" s="486" t="e">
        <f>IF($H21,_xll.qlIndexFixing($J21,$E21,FALSE,$G21),"-")</f>
        <v>#N/A</v>
      </c>
      <c r="M21" s="486" t="e">
        <f>K21-L21</f>
        <v>#NUM!</v>
      </c>
      <c r="N21" s="485" t="e">
        <f>_xll.qlIndexFixing($J21,$E21,TRUE,$L21)</f>
        <v>#NUM!</v>
      </c>
      <c r="O21" s="484">
        <f>IF(ISERROR(M21),0,ABS(M21))</f>
        <v>0</v>
      </c>
      <c r="P21" s="483"/>
      <c r="Q21" s="464"/>
      <c r="R21" s="464" t="str">
        <f>Currency&amp;$C21&amp;"D"&amp;$R$2</f>
        <v>USD1YD_Quote</v>
      </c>
      <c r="S21" s="535" t="e">
        <f>_xll.qlQuoteValue(R21,ISERROR(H21))</f>
        <v>#NUM!</v>
      </c>
      <c r="T21" s="534" t="e">
        <f>IF(E21=EvaluationDate,S21-F21/100,NA())</f>
        <v>#N/A</v>
      </c>
      <c r="U21" s="464"/>
      <c r="V21" s="464"/>
      <c r="W21" s="464"/>
      <c r="X21" s="464"/>
      <c r="Y21" s="464"/>
      <c r="Z21" s="464"/>
      <c r="AA21" s="464"/>
      <c r="AB21" s="464"/>
      <c r="AC21" s="464"/>
      <c r="AD21" s="464"/>
    </row>
    <row r="22" spans="1:30" ht="12" thickBot="1" x14ac:dyDescent="0.25">
      <c r="A22" s="464"/>
      <c r="B22" s="482"/>
      <c r="C22" s="479"/>
      <c r="D22" s="479"/>
      <c r="E22" s="481"/>
      <c r="F22" s="480"/>
      <c r="G22" s="480"/>
      <c r="H22" s="479"/>
      <c r="I22" s="479"/>
      <c r="J22" s="479"/>
      <c r="K22" s="479"/>
      <c r="L22" s="479"/>
      <c r="M22" s="479"/>
      <c r="N22" s="479"/>
      <c r="O22" s="479"/>
      <c r="P22" s="478"/>
      <c r="Q22" s="464"/>
      <c r="R22" s="464"/>
      <c r="S22" s="464"/>
      <c r="T22" s="464"/>
      <c r="U22" s="464"/>
      <c r="V22" s="464"/>
      <c r="W22" s="464"/>
      <c r="X22" s="464"/>
      <c r="Y22" s="464"/>
      <c r="Z22" s="464"/>
      <c r="AA22" s="464"/>
      <c r="AB22" s="464"/>
      <c r="AC22" s="464"/>
      <c r="AD22" s="464"/>
    </row>
    <row r="23" spans="1:30" ht="12" thickBot="1" x14ac:dyDescent="0.25">
      <c r="A23" s="464"/>
      <c r="B23" s="464"/>
      <c r="C23" s="464"/>
      <c r="D23" s="464"/>
      <c r="E23" s="477"/>
      <c r="F23" s="476"/>
      <c r="G23" s="476"/>
      <c r="H23" s="464"/>
      <c r="I23" s="464"/>
      <c r="J23" s="464"/>
      <c r="K23" s="464"/>
      <c r="L23" s="464"/>
      <c r="M23" s="464"/>
      <c r="N23" s="464"/>
      <c r="O23" s="464"/>
      <c r="P23" s="464"/>
      <c r="Q23" s="464"/>
      <c r="R23" s="464"/>
      <c r="S23" s="464"/>
      <c r="T23" s="464"/>
      <c r="U23" s="464"/>
      <c r="V23" s="464"/>
      <c r="W23" s="464"/>
      <c r="X23" s="464"/>
      <c r="Y23" s="464"/>
      <c r="Z23" s="464"/>
      <c r="AA23" s="464"/>
      <c r="AB23" s="464"/>
      <c r="AC23" s="464"/>
      <c r="AD23" s="464"/>
    </row>
    <row r="24" spans="1:30" s="464" customFormat="1" x14ac:dyDescent="0.2">
      <c r="C24" s="475" t="s">
        <v>132</v>
      </c>
      <c r="D24" s="474" t="s">
        <v>333</v>
      </c>
      <c r="E24" s="473" t="s">
        <v>333</v>
      </c>
      <c r="F24" s="472"/>
    </row>
    <row r="25" spans="1:30" s="464" customFormat="1" x14ac:dyDescent="0.2">
      <c r="C25" s="470" t="s">
        <v>131</v>
      </c>
      <c r="D25" s="469" t="s">
        <v>255</v>
      </c>
      <c r="E25" s="468" t="s">
        <v>256</v>
      </c>
      <c r="J25" s="471"/>
    </row>
    <row r="26" spans="1:30" s="464" customFormat="1" x14ac:dyDescent="0.2">
      <c r="C26" s="470" t="s">
        <v>317</v>
      </c>
      <c r="D26" s="469" t="s">
        <v>333</v>
      </c>
      <c r="E26" s="468" t="s">
        <v>333</v>
      </c>
      <c r="J26" s="471"/>
    </row>
    <row r="27" spans="1:30" s="464" customFormat="1" x14ac:dyDescent="0.2">
      <c r="C27" s="470" t="s">
        <v>316</v>
      </c>
      <c r="D27" s="469" t="s">
        <v>333</v>
      </c>
      <c r="E27" s="468" t="s">
        <v>333</v>
      </c>
      <c r="J27" s="471"/>
    </row>
    <row r="28" spans="1:30" s="464" customFormat="1" x14ac:dyDescent="0.2">
      <c r="C28" s="470" t="s">
        <v>128</v>
      </c>
      <c r="D28" s="469" t="s">
        <v>333</v>
      </c>
      <c r="E28" s="468" t="s">
        <v>333</v>
      </c>
    </row>
    <row r="29" spans="1:30" s="464" customFormat="1" x14ac:dyDescent="0.2">
      <c r="C29" s="470" t="s">
        <v>127</v>
      </c>
      <c r="D29" s="469" t="s">
        <v>333</v>
      </c>
      <c r="E29" s="468" t="s">
        <v>333</v>
      </c>
    </row>
    <row r="30" spans="1:30" s="464" customFormat="1" ht="12" thickBot="1" x14ac:dyDescent="0.25">
      <c r="C30" s="467" t="s">
        <v>122</v>
      </c>
      <c r="D30" s="466" t="s">
        <v>333</v>
      </c>
      <c r="E30" s="465" t="s">
        <v>333</v>
      </c>
    </row>
    <row r="31" spans="1:30" s="464" customFormat="1" x14ac:dyDescent="0.2"/>
    <row r="32" spans="1:30" s="464" customFormat="1" x14ac:dyDescent="0.2"/>
    <row r="33" s="464" customFormat="1" x14ac:dyDescent="0.2"/>
    <row r="34" s="464" customFormat="1" x14ac:dyDescent="0.2"/>
    <row r="35" s="464" customFormat="1" x14ac:dyDescent="0.2"/>
    <row r="36" s="464" customFormat="1" x14ac:dyDescent="0.2"/>
    <row r="37" s="464" customFormat="1" x14ac:dyDescent="0.2"/>
    <row r="38" s="464" customFormat="1" x14ac:dyDescent="0.2"/>
    <row r="39" s="464" customFormat="1" x14ac:dyDescent="0.2"/>
    <row r="40" s="464" customFormat="1" x14ac:dyDescent="0.2"/>
    <row r="41" s="464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K38"/>
  <sheetViews>
    <sheetView tabSelected="1" workbookViewId="0"/>
  </sheetViews>
  <sheetFormatPr defaultRowHeight="11.25" x14ac:dyDescent="0.2"/>
  <cols>
    <col min="1" max="1" width="3" style="536" customWidth="1"/>
    <col min="2" max="2" width="5.140625" style="536" customWidth="1"/>
    <col min="3" max="3" width="11.42578125" style="536" bestFit="1" customWidth="1"/>
    <col min="4" max="4" width="20.28515625" style="536" bestFit="1" customWidth="1"/>
    <col min="5" max="5" width="6.28515625" style="536" customWidth="1"/>
    <col min="6" max="16384" width="9.140625" style="536"/>
  </cols>
  <sheetData>
    <row r="1" spans="1:167" s="537" customFormat="1" ht="13.5" thickBot="1" x14ac:dyDescent="0.25">
      <c r="A1" s="559" t="s">
        <v>342</v>
      </c>
      <c r="B1" s="558" t="str">
        <f>_xll.qlxlVersion(TRUE,Trigger)</f>
        <v>QuantLibXL 1.3.0 - MS VC++ 9.0 - Multithreaded Static Runtime library - Release Configuration - Dec  5 2013 11:03:51</v>
      </c>
    </row>
    <row r="2" spans="1:167" s="537" customFormat="1" ht="15.75" x14ac:dyDescent="0.25">
      <c r="B2" s="557" t="s">
        <v>314</v>
      </c>
      <c r="C2" s="556"/>
      <c r="D2" s="556"/>
      <c r="E2" s="555"/>
    </row>
    <row r="3" spans="1:167" s="539" customFormat="1" ht="12.75" x14ac:dyDescent="0.2">
      <c r="A3" s="537"/>
      <c r="B3" s="554"/>
      <c r="C3" s="553"/>
      <c r="D3" s="553"/>
      <c r="E3" s="552"/>
      <c r="F3" s="537"/>
      <c r="G3" s="537"/>
      <c r="H3" s="537"/>
      <c r="I3" s="537"/>
      <c r="J3" s="537"/>
      <c r="K3" s="537"/>
      <c r="L3" s="537"/>
      <c r="M3" s="537"/>
      <c r="N3" s="537"/>
      <c r="O3" s="537"/>
      <c r="P3" s="537"/>
      <c r="Q3" s="537"/>
      <c r="R3" s="537"/>
      <c r="S3" s="537"/>
      <c r="T3" s="537"/>
      <c r="U3" s="537"/>
      <c r="V3" s="537"/>
      <c r="W3" s="537"/>
      <c r="X3" s="537"/>
      <c r="Y3" s="537"/>
      <c r="Z3" s="537"/>
      <c r="AA3" s="537"/>
      <c r="AB3" s="537"/>
      <c r="AC3" s="537"/>
      <c r="AD3" s="537"/>
      <c r="AE3" s="537"/>
      <c r="AF3" s="537"/>
      <c r="AG3" s="537"/>
      <c r="AH3" s="537"/>
      <c r="AI3" s="537"/>
      <c r="AJ3" s="537"/>
      <c r="AK3" s="537"/>
      <c r="AL3" s="537"/>
      <c r="AM3" s="537"/>
      <c r="AN3" s="537"/>
      <c r="AO3" s="537"/>
      <c r="AP3" s="537"/>
      <c r="AQ3" s="537"/>
      <c r="AR3" s="537"/>
      <c r="AS3" s="537"/>
      <c r="AT3" s="537"/>
      <c r="AU3" s="537"/>
      <c r="AV3" s="537"/>
      <c r="AW3" s="537"/>
      <c r="AX3" s="537"/>
      <c r="AY3" s="537"/>
      <c r="AZ3" s="537"/>
      <c r="BA3" s="537"/>
      <c r="BB3" s="537"/>
      <c r="BC3" s="537"/>
      <c r="BD3" s="537"/>
      <c r="BE3" s="537"/>
      <c r="BF3" s="537"/>
      <c r="BG3" s="537"/>
      <c r="BH3" s="537"/>
      <c r="BI3" s="537"/>
      <c r="BJ3" s="537"/>
      <c r="BK3" s="537"/>
      <c r="BL3" s="537"/>
      <c r="BM3" s="537"/>
      <c r="BN3" s="537"/>
      <c r="BO3" s="537"/>
      <c r="BP3" s="537"/>
      <c r="BQ3" s="537"/>
      <c r="BR3" s="537"/>
      <c r="BS3" s="537"/>
      <c r="BT3" s="537"/>
      <c r="BU3" s="537"/>
      <c r="BV3" s="537"/>
      <c r="BW3" s="537"/>
      <c r="BX3" s="537"/>
      <c r="BY3" s="537"/>
      <c r="BZ3" s="537"/>
      <c r="CA3" s="537"/>
      <c r="CB3" s="537"/>
      <c r="CC3" s="537"/>
      <c r="CD3" s="537"/>
      <c r="CE3" s="537"/>
      <c r="CF3" s="537"/>
      <c r="CG3" s="537"/>
      <c r="CH3" s="537"/>
      <c r="CI3" s="537"/>
      <c r="CJ3" s="537"/>
      <c r="CK3" s="537"/>
      <c r="CL3" s="537"/>
      <c r="CM3" s="537"/>
      <c r="CN3" s="537"/>
      <c r="CO3" s="537"/>
      <c r="CP3" s="537"/>
      <c r="CQ3" s="537"/>
      <c r="CR3" s="537"/>
      <c r="CS3" s="537"/>
      <c r="CT3" s="537"/>
      <c r="CU3" s="537"/>
      <c r="CV3" s="537"/>
      <c r="CW3" s="537"/>
      <c r="CX3" s="537"/>
      <c r="CY3" s="537"/>
      <c r="CZ3" s="537"/>
      <c r="DA3" s="537"/>
      <c r="DB3" s="537"/>
      <c r="DC3" s="537"/>
      <c r="DD3" s="537"/>
      <c r="DE3" s="537"/>
      <c r="DF3" s="537"/>
      <c r="DG3" s="537"/>
      <c r="DH3" s="537"/>
      <c r="DI3" s="537"/>
      <c r="DJ3" s="537"/>
      <c r="DK3" s="537"/>
      <c r="DL3" s="537"/>
      <c r="DM3" s="537"/>
      <c r="DN3" s="537"/>
      <c r="DO3" s="537"/>
      <c r="DP3" s="537"/>
      <c r="DQ3" s="537"/>
      <c r="DR3" s="537"/>
      <c r="DS3" s="537"/>
      <c r="DT3" s="537"/>
      <c r="DU3" s="537"/>
      <c r="DV3" s="537"/>
      <c r="DW3" s="537"/>
      <c r="DX3" s="537"/>
      <c r="DY3" s="537"/>
      <c r="DZ3" s="537"/>
      <c r="EA3" s="537"/>
      <c r="EB3" s="537"/>
      <c r="EC3" s="537"/>
      <c r="ED3" s="537"/>
      <c r="EE3" s="537"/>
      <c r="EF3" s="537"/>
      <c r="EG3" s="537"/>
      <c r="EH3" s="537"/>
      <c r="EI3" s="537"/>
      <c r="EJ3" s="537"/>
      <c r="EK3" s="537"/>
      <c r="EL3" s="537"/>
      <c r="EM3" s="537"/>
      <c r="EN3" s="537"/>
      <c r="EO3" s="537"/>
      <c r="EP3" s="537"/>
      <c r="EQ3" s="537"/>
      <c r="ER3" s="537"/>
      <c r="ES3" s="537"/>
      <c r="ET3" s="537"/>
      <c r="EU3" s="537"/>
      <c r="EV3" s="537"/>
      <c r="EW3" s="537"/>
      <c r="EX3" s="537"/>
      <c r="EY3" s="537"/>
      <c r="EZ3" s="537"/>
      <c r="FA3" s="537"/>
      <c r="FB3" s="537"/>
      <c r="FC3" s="537"/>
      <c r="FD3" s="537"/>
      <c r="FE3" s="537"/>
      <c r="FF3" s="537"/>
      <c r="FG3" s="537"/>
      <c r="FH3" s="537"/>
      <c r="FI3" s="537"/>
      <c r="FJ3" s="537"/>
      <c r="FK3" s="537"/>
    </row>
    <row r="4" spans="1:167" s="539" customFormat="1" ht="12.75" x14ac:dyDescent="0.2">
      <c r="A4" s="537"/>
      <c r="B4" s="546"/>
      <c r="C4" s="551" t="s">
        <v>20</v>
      </c>
      <c r="D4" s="550" t="s">
        <v>122</v>
      </c>
      <c r="E4" s="543"/>
      <c r="F4" s="537"/>
      <c r="G4" s="537"/>
      <c r="H4" s="537"/>
      <c r="I4" s="537"/>
      <c r="J4" s="537"/>
      <c r="K4" s="537"/>
      <c r="L4" s="537"/>
      <c r="M4" s="537"/>
      <c r="N4" s="537"/>
      <c r="O4" s="537"/>
      <c r="P4" s="537"/>
      <c r="Q4" s="537"/>
      <c r="R4" s="537"/>
      <c r="S4" s="537"/>
      <c r="T4" s="537"/>
      <c r="U4" s="537"/>
      <c r="V4" s="537"/>
      <c r="W4" s="537"/>
      <c r="X4" s="537"/>
      <c r="Y4" s="537"/>
      <c r="Z4" s="537"/>
      <c r="AA4" s="537"/>
      <c r="AB4" s="537"/>
      <c r="AC4" s="537"/>
      <c r="AD4" s="537"/>
      <c r="AE4" s="537"/>
      <c r="AF4" s="537"/>
      <c r="AG4" s="537"/>
      <c r="AH4" s="537"/>
      <c r="AI4" s="537"/>
      <c r="AJ4" s="537"/>
      <c r="AK4" s="537"/>
      <c r="AL4" s="537"/>
      <c r="AM4" s="537"/>
      <c r="AN4" s="537"/>
      <c r="AO4" s="537"/>
      <c r="AP4" s="537"/>
      <c r="AQ4" s="537"/>
      <c r="AR4" s="537"/>
      <c r="AS4" s="537"/>
      <c r="AT4" s="537"/>
      <c r="AU4" s="537"/>
      <c r="AV4" s="537"/>
      <c r="AW4" s="537"/>
      <c r="AX4" s="537"/>
      <c r="AY4" s="537"/>
      <c r="AZ4" s="537"/>
      <c r="BA4" s="537"/>
      <c r="BB4" s="537"/>
      <c r="BC4" s="537"/>
      <c r="BD4" s="537"/>
      <c r="BE4" s="537"/>
      <c r="BF4" s="537"/>
      <c r="BG4" s="537"/>
      <c r="BH4" s="537"/>
      <c r="BI4" s="537"/>
      <c r="BJ4" s="537"/>
      <c r="BK4" s="537"/>
      <c r="BL4" s="537"/>
      <c r="BM4" s="537"/>
      <c r="BN4" s="537"/>
      <c r="BO4" s="537"/>
      <c r="BP4" s="537"/>
      <c r="BQ4" s="537"/>
      <c r="BR4" s="537"/>
      <c r="BS4" s="537"/>
      <c r="BT4" s="537"/>
      <c r="BU4" s="537"/>
      <c r="BV4" s="537"/>
      <c r="BW4" s="537"/>
      <c r="BX4" s="537"/>
      <c r="BY4" s="537"/>
      <c r="BZ4" s="537"/>
      <c r="CA4" s="537"/>
      <c r="CB4" s="537"/>
      <c r="CC4" s="537"/>
      <c r="CD4" s="537"/>
      <c r="CE4" s="537"/>
      <c r="CF4" s="537"/>
      <c r="CG4" s="537"/>
      <c r="CH4" s="537"/>
      <c r="CI4" s="537"/>
      <c r="CJ4" s="537"/>
      <c r="CK4" s="537"/>
      <c r="CL4" s="537"/>
      <c r="CM4" s="537"/>
      <c r="CN4" s="537"/>
      <c r="CO4" s="537"/>
      <c r="CP4" s="537"/>
      <c r="CQ4" s="537"/>
      <c r="CR4" s="537"/>
      <c r="CS4" s="537"/>
      <c r="CT4" s="537"/>
      <c r="CU4" s="537"/>
      <c r="CV4" s="537"/>
      <c r="CW4" s="537"/>
      <c r="CX4" s="537"/>
      <c r="CY4" s="537"/>
      <c r="CZ4" s="537"/>
      <c r="DA4" s="537"/>
      <c r="DB4" s="537"/>
      <c r="DC4" s="537"/>
      <c r="DD4" s="537"/>
      <c r="DE4" s="537"/>
      <c r="DF4" s="537"/>
      <c r="DG4" s="537"/>
      <c r="DH4" s="537"/>
      <c r="DI4" s="537"/>
      <c r="DJ4" s="537"/>
      <c r="DK4" s="537"/>
      <c r="DL4" s="537"/>
      <c r="DM4" s="537"/>
      <c r="DN4" s="537"/>
      <c r="DO4" s="537"/>
      <c r="DP4" s="537"/>
      <c r="DQ4" s="537"/>
      <c r="DR4" s="537"/>
      <c r="DS4" s="537"/>
      <c r="DT4" s="537"/>
      <c r="DU4" s="537"/>
      <c r="DV4" s="537"/>
      <c r="DW4" s="537"/>
      <c r="DX4" s="537"/>
      <c r="DY4" s="537"/>
      <c r="DZ4" s="537"/>
      <c r="EA4" s="537"/>
      <c r="EB4" s="537"/>
      <c r="EC4" s="537"/>
      <c r="ED4" s="537"/>
      <c r="EE4" s="537"/>
      <c r="EF4" s="537"/>
      <c r="EG4" s="537"/>
      <c r="EH4" s="537"/>
      <c r="EI4" s="537"/>
      <c r="EJ4" s="537"/>
      <c r="EK4" s="537"/>
      <c r="EL4" s="537"/>
      <c r="EM4" s="537"/>
      <c r="EN4" s="537"/>
      <c r="EO4" s="537"/>
      <c r="EP4" s="537"/>
      <c r="EQ4" s="537"/>
      <c r="ER4" s="537"/>
      <c r="ES4" s="537"/>
      <c r="ET4" s="537"/>
      <c r="EU4" s="537"/>
      <c r="EV4" s="537"/>
      <c r="EW4" s="537"/>
      <c r="EX4" s="537"/>
      <c r="EY4" s="537"/>
      <c r="EZ4" s="537"/>
      <c r="FA4" s="537"/>
      <c r="FB4" s="537"/>
      <c r="FC4" s="537"/>
      <c r="FD4" s="537"/>
      <c r="FE4" s="537"/>
      <c r="FF4" s="537"/>
      <c r="FG4" s="537"/>
      <c r="FH4" s="537"/>
      <c r="FI4" s="537"/>
      <c r="FJ4" s="537"/>
      <c r="FK4" s="537"/>
    </row>
    <row r="5" spans="1:167" s="539" customFormat="1" ht="12.75" x14ac:dyDescent="0.2">
      <c r="A5" s="537"/>
      <c r="B5" s="546"/>
      <c r="C5" s="548" t="s">
        <v>341</v>
      </c>
      <c r="D5" s="549">
        <f>_xll.qlSettingsEvaluationDate(Trigger)</f>
        <v>41620</v>
      </c>
      <c r="E5" s="543"/>
      <c r="F5" s="537"/>
      <c r="G5" s="537"/>
      <c r="H5" s="537"/>
      <c r="I5" s="537"/>
      <c r="J5" s="537"/>
      <c r="K5" s="537"/>
      <c r="L5" s="537"/>
      <c r="M5" s="537"/>
      <c r="N5" s="537"/>
      <c r="O5" s="537"/>
      <c r="P5" s="537"/>
      <c r="Q5" s="537"/>
      <c r="R5" s="537"/>
      <c r="S5" s="537"/>
      <c r="T5" s="537"/>
      <c r="U5" s="537"/>
      <c r="V5" s="537"/>
      <c r="W5" s="537"/>
      <c r="X5" s="537"/>
      <c r="Y5" s="537"/>
      <c r="Z5" s="537"/>
      <c r="AA5" s="537"/>
      <c r="AB5" s="537"/>
      <c r="AC5" s="537"/>
      <c r="AD5" s="537"/>
      <c r="AE5" s="537"/>
      <c r="AF5" s="537"/>
      <c r="AG5" s="537"/>
      <c r="AH5" s="537"/>
      <c r="AI5" s="537"/>
      <c r="AJ5" s="537"/>
      <c r="AK5" s="537"/>
      <c r="AL5" s="537"/>
      <c r="AM5" s="537"/>
      <c r="AN5" s="537"/>
      <c r="AO5" s="537"/>
      <c r="AP5" s="537"/>
      <c r="AQ5" s="537"/>
      <c r="AR5" s="537"/>
      <c r="AS5" s="537"/>
      <c r="AT5" s="537"/>
      <c r="AU5" s="537"/>
      <c r="AV5" s="537"/>
      <c r="AW5" s="537"/>
      <c r="AX5" s="537"/>
      <c r="AY5" s="537"/>
      <c r="AZ5" s="537"/>
      <c r="BA5" s="537"/>
      <c r="BB5" s="537"/>
      <c r="BC5" s="537"/>
      <c r="BD5" s="537"/>
      <c r="BE5" s="537"/>
      <c r="BF5" s="537"/>
      <c r="BG5" s="537"/>
      <c r="BH5" s="537"/>
      <c r="BI5" s="537"/>
      <c r="BJ5" s="537"/>
      <c r="BK5" s="537"/>
      <c r="BL5" s="537"/>
      <c r="BM5" s="537"/>
      <c r="BN5" s="537"/>
      <c r="BO5" s="537"/>
      <c r="BP5" s="537"/>
      <c r="BQ5" s="537"/>
      <c r="BR5" s="537"/>
      <c r="BS5" s="537"/>
      <c r="BT5" s="537"/>
      <c r="BU5" s="537"/>
      <c r="BV5" s="537"/>
      <c r="BW5" s="537"/>
      <c r="BX5" s="537"/>
      <c r="BY5" s="537"/>
      <c r="BZ5" s="537"/>
      <c r="CA5" s="537"/>
      <c r="CB5" s="537"/>
      <c r="CC5" s="537"/>
      <c r="CD5" s="537"/>
      <c r="CE5" s="537"/>
      <c r="CF5" s="537"/>
      <c r="CG5" s="537"/>
      <c r="CH5" s="537"/>
      <c r="CI5" s="537"/>
      <c r="CJ5" s="537"/>
      <c r="CK5" s="537"/>
      <c r="CL5" s="537"/>
      <c r="CM5" s="537"/>
      <c r="CN5" s="537"/>
      <c r="CO5" s="537"/>
      <c r="CP5" s="537"/>
      <c r="CQ5" s="537"/>
      <c r="CR5" s="537"/>
      <c r="CS5" s="537"/>
      <c r="CT5" s="537"/>
      <c r="CU5" s="537"/>
      <c r="CV5" s="537"/>
      <c r="CW5" s="537"/>
      <c r="CX5" s="537"/>
      <c r="CY5" s="537"/>
      <c r="CZ5" s="537"/>
      <c r="DA5" s="537"/>
      <c r="DB5" s="537"/>
      <c r="DC5" s="537"/>
      <c r="DD5" s="537"/>
      <c r="DE5" s="537"/>
      <c r="DF5" s="537"/>
      <c r="DG5" s="537"/>
      <c r="DH5" s="537"/>
      <c r="DI5" s="537"/>
      <c r="DJ5" s="537"/>
      <c r="DK5" s="537"/>
      <c r="DL5" s="537"/>
      <c r="DM5" s="537"/>
      <c r="DN5" s="537"/>
      <c r="DO5" s="537"/>
      <c r="DP5" s="537"/>
      <c r="DQ5" s="537"/>
      <c r="DR5" s="537"/>
      <c r="DS5" s="537"/>
      <c r="DT5" s="537"/>
      <c r="DU5" s="537"/>
      <c r="DV5" s="537"/>
      <c r="DW5" s="537"/>
      <c r="DX5" s="537"/>
      <c r="DY5" s="537"/>
      <c r="DZ5" s="537"/>
      <c r="EA5" s="537"/>
      <c r="EB5" s="537"/>
      <c r="EC5" s="537"/>
      <c r="ED5" s="537"/>
      <c r="EE5" s="537"/>
      <c r="EF5" s="537"/>
      <c r="EG5" s="537"/>
      <c r="EH5" s="537"/>
      <c r="EI5" s="537"/>
      <c r="EJ5" s="537"/>
      <c r="EK5" s="537"/>
      <c r="EL5" s="537"/>
      <c r="EM5" s="537"/>
      <c r="EN5" s="537"/>
      <c r="EO5" s="537"/>
      <c r="EP5" s="537"/>
      <c r="EQ5" s="537"/>
      <c r="ER5" s="537"/>
      <c r="ES5" s="537"/>
      <c r="ET5" s="537"/>
      <c r="EU5" s="537"/>
      <c r="EV5" s="537"/>
      <c r="EW5" s="537"/>
      <c r="EX5" s="537"/>
      <c r="EY5" s="537"/>
      <c r="EZ5" s="537"/>
      <c r="FA5" s="537"/>
      <c r="FB5" s="537"/>
      <c r="FC5" s="537"/>
      <c r="FD5" s="537"/>
      <c r="FE5" s="537"/>
      <c r="FF5" s="537"/>
      <c r="FG5" s="537"/>
      <c r="FH5" s="537"/>
      <c r="FI5" s="537"/>
      <c r="FJ5" s="537"/>
      <c r="FK5" s="537"/>
    </row>
    <row r="6" spans="1:167" s="539" customFormat="1" ht="12.75" x14ac:dyDescent="0.2">
      <c r="A6" s="537"/>
      <c r="B6" s="546"/>
      <c r="C6" s="548" t="s">
        <v>26</v>
      </c>
      <c r="D6" s="547">
        <v>41570.816828703704</v>
      </c>
      <c r="E6" s="543"/>
      <c r="F6" s="537"/>
      <c r="G6" s="537"/>
      <c r="H6" s="537"/>
      <c r="I6" s="537"/>
      <c r="J6" s="537"/>
      <c r="K6" s="537"/>
      <c r="L6" s="537"/>
      <c r="M6" s="537"/>
      <c r="N6" s="537"/>
      <c r="O6" s="537"/>
      <c r="P6" s="537"/>
      <c r="Q6" s="537"/>
      <c r="R6" s="537"/>
      <c r="S6" s="537"/>
      <c r="T6" s="537"/>
      <c r="U6" s="537"/>
      <c r="V6" s="537"/>
      <c r="W6" s="537"/>
      <c r="X6" s="537"/>
      <c r="Y6" s="537"/>
      <c r="Z6" s="537"/>
      <c r="AA6" s="537"/>
      <c r="AB6" s="537"/>
      <c r="AC6" s="537"/>
      <c r="AD6" s="537"/>
      <c r="AE6" s="537"/>
      <c r="AF6" s="537"/>
      <c r="AG6" s="537"/>
      <c r="AH6" s="537"/>
      <c r="AI6" s="537"/>
      <c r="AJ6" s="537"/>
      <c r="AK6" s="537"/>
      <c r="AL6" s="537"/>
      <c r="AM6" s="537"/>
      <c r="AN6" s="537"/>
      <c r="AO6" s="537"/>
      <c r="AP6" s="537"/>
      <c r="AQ6" s="537"/>
      <c r="AR6" s="537"/>
      <c r="AS6" s="537"/>
      <c r="AT6" s="537"/>
      <c r="AU6" s="537"/>
      <c r="AV6" s="537"/>
      <c r="AW6" s="537"/>
      <c r="AX6" s="537"/>
      <c r="AY6" s="537"/>
      <c r="AZ6" s="537"/>
      <c r="BA6" s="537"/>
      <c r="BB6" s="537"/>
      <c r="BC6" s="537"/>
      <c r="BD6" s="537"/>
      <c r="BE6" s="537"/>
      <c r="BF6" s="537"/>
      <c r="BG6" s="537"/>
      <c r="BH6" s="537"/>
      <c r="BI6" s="537"/>
      <c r="BJ6" s="537"/>
      <c r="BK6" s="537"/>
      <c r="BL6" s="537"/>
      <c r="BM6" s="537"/>
      <c r="BN6" s="537"/>
      <c r="BO6" s="537"/>
      <c r="BP6" s="537"/>
      <c r="BQ6" s="537"/>
      <c r="BR6" s="537"/>
      <c r="BS6" s="537"/>
      <c r="BT6" s="537"/>
      <c r="BU6" s="537"/>
      <c r="BV6" s="537"/>
      <c r="BW6" s="537"/>
      <c r="BX6" s="537"/>
      <c r="BY6" s="537"/>
      <c r="BZ6" s="537"/>
      <c r="CA6" s="537"/>
      <c r="CB6" s="537"/>
      <c r="CC6" s="537"/>
      <c r="CD6" s="537"/>
      <c r="CE6" s="537"/>
      <c r="CF6" s="537"/>
      <c r="CG6" s="537"/>
      <c r="CH6" s="537"/>
      <c r="CI6" s="537"/>
      <c r="CJ6" s="537"/>
      <c r="CK6" s="537"/>
      <c r="CL6" s="537"/>
      <c r="CM6" s="537"/>
      <c r="CN6" s="537"/>
      <c r="CO6" s="537"/>
      <c r="CP6" s="537"/>
      <c r="CQ6" s="537"/>
      <c r="CR6" s="537"/>
      <c r="CS6" s="537"/>
      <c r="CT6" s="537"/>
      <c r="CU6" s="537"/>
      <c r="CV6" s="537"/>
      <c r="CW6" s="537"/>
      <c r="CX6" s="537"/>
      <c r="CY6" s="537"/>
      <c r="CZ6" s="537"/>
      <c r="DA6" s="537"/>
      <c r="DB6" s="537"/>
      <c r="DC6" s="537"/>
      <c r="DD6" s="537"/>
      <c r="DE6" s="537"/>
      <c r="DF6" s="537"/>
      <c r="DG6" s="537"/>
      <c r="DH6" s="537"/>
      <c r="DI6" s="537"/>
      <c r="DJ6" s="537"/>
      <c r="DK6" s="537"/>
      <c r="DL6" s="537"/>
      <c r="DM6" s="537"/>
      <c r="DN6" s="537"/>
      <c r="DO6" s="537"/>
      <c r="DP6" s="537"/>
      <c r="DQ6" s="537"/>
      <c r="DR6" s="537"/>
      <c r="DS6" s="537"/>
      <c r="DT6" s="537"/>
      <c r="DU6" s="537"/>
      <c r="DV6" s="537"/>
      <c r="DW6" s="537"/>
      <c r="DX6" s="537"/>
      <c r="DY6" s="537"/>
      <c r="DZ6" s="537"/>
      <c r="EA6" s="537"/>
      <c r="EB6" s="537"/>
      <c r="EC6" s="537"/>
      <c r="ED6" s="537"/>
      <c r="EE6" s="537"/>
      <c r="EF6" s="537"/>
      <c r="EG6" s="537"/>
      <c r="EH6" s="537"/>
      <c r="EI6" s="537"/>
      <c r="EJ6" s="537"/>
      <c r="EK6" s="537"/>
      <c r="EL6" s="537"/>
      <c r="EM6" s="537"/>
      <c r="EN6" s="537"/>
      <c r="EO6" s="537"/>
      <c r="EP6" s="537"/>
      <c r="EQ6" s="537"/>
      <c r="ER6" s="537"/>
      <c r="ES6" s="537"/>
      <c r="ET6" s="537"/>
      <c r="EU6" s="537"/>
      <c r="EV6" s="537"/>
      <c r="EW6" s="537"/>
      <c r="EX6" s="537"/>
      <c r="EY6" s="537"/>
      <c r="EZ6" s="537"/>
      <c r="FA6" s="537"/>
      <c r="FB6" s="537"/>
      <c r="FC6" s="537"/>
      <c r="FD6" s="537"/>
      <c r="FE6" s="537"/>
      <c r="FF6" s="537"/>
      <c r="FG6" s="537"/>
      <c r="FH6" s="537"/>
      <c r="FI6" s="537"/>
      <c r="FJ6" s="537"/>
      <c r="FK6" s="537"/>
    </row>
    <row r="7" spans="1:167" s="539" customFormat="1" ht="12.75" x14ac:dyDescent="0.2">
      <c r="A7" s="537"/>
      <c r="B7" s="546"/>
      <c r="C7" s="545" t="s">
        <v>311</v>
      </c>
      <c r="D7" s="544">
        <f>_xll.ohTrigger(IBOR!H4:H21,'IB365'!H4:H21,'LIBOR (2)'!H4:H21,SFIX1!H4:H18,SFIX2!H4:H18,SFIX3!H4:H18)</f>
        <v>1</v>
      </c>
      <c r="E7" s="543"/>
      <c r="F7" s="537"/>
      <c r="G7" s="537"/>
      <c r="H7" s="537"/>
      <c r="I7" s="537"/>
      <c r="J7" s="537"/>
      <c r="K7" s="537"/>
      <c r="L7" s="537"/>
      <c r="M7" s="537"/>
      <c r="N7" s="537"/>
      <c r="O7" s="537"/>
      <c r="P7" s="537"/>
      <c r="Q7" s="537"/>
      <c r="R7" s="537"/>
      <c r="S7" s="537"/>
      <c r="T7" s="537"/>
      <c r="U7" s="537"/>
      <c r="V7" s="537"/>
      <c r="W7" s="537"/>
      <c r="X7" s="537"/>
      <c r="Y7" s="537"/>
      <c r="Z7" s="537"/>
      <c r="AA7" s="537"/>
      <c r="AB7" s="537"/>
      <c r="AC7" s="537"/>
      <c r="AD7" s="537"/>
      <c r="AE7" s="537"/>
      <c r="AF7" s="537"/>
      <c r="AG7" s="537"/>
      <c r="AH7" s="537"/>
      <c r="AI7" s="537"/>
      <c r="AJ7" s="537"/>
      <c r="AK7" s="537"/>
      <c r="AL7" s="537"/>
      <c r="AM7" s="537"/>
      <c r="AN7" s="537"/>
      <c r="AO7" s="537"/>
      <c r="AP7" s="537"/>
      <c r="AQ7" s="537"/>
      <c r="AR7" s="537"/>
      <c r="AS7" s="537"/>
      <c r="AT7" s="537"/>
      <c r="AU7" s="537"/>
      <c r="AV7" s="537"/>
      <c r="AW7" s="537"/>
      <c r="AX7" s="537"/>
      <c r="AY7" s="537"/>
      <c r="AZ7" s="537"/>
      <c r="BA7" s="537"/>
      <c r="BB7" s="537"/>
      <c r="BC7" s="537"/>
      <c r="BD7" s="537"/>
      <c r="BE7" s="537"/>
      <c r="BF7" s="537"/>
      <c r="BG7" s="537"/>
      <c r="BH7" s="537"/>
      <c r="BI7" s="537"/>
      <c r="BJ7" s="537"/>
      <c r="BK7" s="537"/>
      <c r="BL7" s="537"/>
      <c r="BM7" s="537"/>
      <c r="BN7" s="537"/>
      <c r="BO7" s="537"/>
      <c r="BP7" s="537"/>
      <c r="BQ7" s="537"/>
      <c r="BR7" s="537"/>
      <c r="BS7" s="537"/>
      <c r="BT7" s="537"/>
      <c r="BU7" s="537"/>
      <c r="BV7" s="537"/>
      <c r="BW7" s="537"/>
      <c r="BX7" s="537"/>
      <c r="BY7" s="537"/>
      <c r="BZ7" s="537"/>
      <c r="CA7" s="537"/>
      <c r="CB7" s="537"/>
      <c r="CC7" s="537"/>
      <c r="CD7" s="537"/>
      <c r="CE7" s="537"/>
      <c r="CF7" s="537"/>
      <c r="CG7" s="537"/>
      <c r="CH7" s="537"/>
      <c r="CI7" s="537"/>
      <c r="CJ7" s="537"/>
      <c r="CK7" s="537"/>
      <c r="CL7" s="537"/>
      <c r="CM7" s="537"/>
      <c r="CN7" s="537"/>
      <c r="CO7" s="537"/>
      <c r="CP7" s="537"/>
      <c r="CQ7" s="537"/>
      <c r="CR7" s="537"/>
      <c r="CS7" s="537"/>
      <c r="CT7" s="537"/>
      <c r="CU7" s="537"/>
      <c r="CV7" s="537"/>
      <c r="CW7" s="537"/>
      <c r="CX7" s="537"/>
      <c r="CY7" s="537"/>
      <c r="CZ7" s="537"/>
      <c r="DA7" s="537"/>
      <c r="DB7" s="537"/>
      <c r="DC7" s="537"/>
      <c r="DD7" s="537"/>
      <c r="DE7" s="537"/>
      <c r="DF7" s="537"/>
      <c r="DG7" s="537"/>
      <c r="DH7" s="537"/>
      <c r="DI7" s="537"/>
      <c r="DJ7" s="537"/>
      <c r="DK7" s="537"/>
      <c r="DL7" s="537"/>
      <c r="DM7" s="537"/>
      <c r="DN7" s="537"/>
      <c r="DO7" s="537"/>
      <c r="DP7" s="537"/>
      <c r="DQ7" s="537"/>
      <c r="DR7" s="537"/>
      <c r="DS7" s="537"/>
      <c r="DT7" s="537"/>
      <c r="DU7" s="537"/>
      <c r="DV7" s="537"/>
      <c r="DW7" s="537"/>
      <c r="DX7" s="537"/>
      <c r="DY7" s="537"/>
      <c r="DZ7" s="537"/>
      <c r="EA7" s="537"/>
      <c r="EB7" s="537"/>
      <c r="EC7" s="537"/>
      <c r="ED7" s="537"/>
      <c r="EE7" s="537"/>
      <c r="EF7" s="537"/>
      <c r="EG7" s="537"/>
      <c r="EH7" s="537"/>
      <c r="EI7" s="537"/>
      <c r="EJ7" s="537"/>
      <c r="EK7" s="537"/>
      <c r="EL7" s="537"/>
      <c r="EM7" s="537"/>
      <c r="EN7" s="537"/>
      <c r="EO7" s="537"/>
      <c r="EP7" s="537"/>
      <c r="EQ7" s="537"/>
      <c r="ER7" s="537"/>
      <c r="ES7" s="537"/>
      <c r="ET7" s="537"/>
      <c r="EU7" s="537"/>
      <c r="EV7" s="537"/>
      <c r="EW7" s="537"/>
      <c r="EX7" s="537"/>
      <c r="EY7" s="537"/>
      <c r="EZ7" s="537"/>
      <c r="FA7" s="537"/>
      <c r="FB7" s="537"/>
      <c r="FC7" s="537"/>
      <c r="FD7" s="537"/>
      <c r="FE7" s="537"/>
      <c r="FF7" s="537"/>
      <c r="FG7" s="537"/>
      <c r="FH7" s="537"/>
      <c r="FI7" s="537"/>
      <c r="FJ7" s="537"/>
      <c r="FK7" s="537"/>
    </row>
    <row r="8" spans="1:167" s="539" customFormat="1" ht="13.5" thickBot="1" x14ac:dyDescent="0.25">
      <c r="A8" s="537"/>
      <c r="B8" s="542"/>
      <c r="C8" s="541"/>
      <c r="D8" s="541"/>
      <c r="E8" s="540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7"/>
      <c r="AE8" s="537"/>
      <c r="AF8" s="537"/>
      <c r="AG8" s="537"/>
      <c r="AH8" s="537"/>
      <c r="AI8" s="537"/>
      <c r="AJ8" s="537"/>
      <c r="AK8" s="537"/>
      <c r="AL8" s="537"/>
      <c r="AM8" s="537"/>
      <c r="AN8" s="537"/>
      <c r="AO8" s="537"/>
      <c r="AP8" s="537"/>
      <c r="AQ8" s="537"/>
      <c r="AR8" s="537"/>
      <c r="AS8" s="537"/>
      <c r="AT8" s="537"/>
      <c r="AU8" s="537"/>
      <c r="AV8" s="537"/>
      <c r="AW8" s="537"/>
      <c r="AX8" s="537"/>
      <c r="AY8" s="537"/>
      <c r="AZ8" s="537"/>
      <c r="BA8" s="537"/>
      <c r="BB8" s="537"/>
      <c r="BC8" s="537"/>
      <c r="BD8" s="537"/>
      <c r="BE8" s="537"/>
      <c r="BF8" s="537"/>
      <c r="BG8" s="537"/>
      <c r="BH8" s="537"/>
      <c r="BI8" s="537"/>
      <c r="BJ8" s="537"/>
      <c r="BK8" s="537"/>
      <c r="BL8" s="537"/>
      <c r="BM8" s="537"/>
      <c r="BN8" s="537"/>
      <c r="BO8" s="537"/>
      <c r="BP8" s="537"/>
      <c r="BQ8" s="537"/>
      <c r="BR8" s="537"/>
      <c r="BS8" s="537"/>
      <c r="BT8" s="537"/>
      <c r="BU8" s="537"/>
      <c r="BV8" s="537"/>
      <c r="BW8" s="537"/>
      <c r="BX8" s="537"/>
      <c r="BY8" s="537"/>
      <c r="BZ8" s="537"/>
      <c r="CA8" s="537"/>
      <c r="CB8" s="537"/>
      <c r="CC8" s="537"/>
      <c r="CD8" s="537"/>
      <c r="CE8" s="537"/>
      <c r="CF8" s="537"/>
      <c r="CG8" s="537"/>
      <c r="CH8" s="537"/>
      <c r="CI8" s="537"/>
      <c r="CJ8" s="537"/>
      <c r="CK8" s="537"/>
      <c r="CL8" s="537"/>
      <c r="CM8" s="537"/>
      <c r="CN8" s="537"/>
      <c r="CO8" s="537"/>
      <c r="CP8" s="537"/>
      <c r="CQ8" s="537"/>
      <c r="CR8" s="537"/>
      <c r="CS8" s="537"/>
      <c r="CT8" s="537"/>
      <c r="CU8" s="537"/>
      <c r="CV8" s="537"/>
      <c r="CW8" s="537"/>
      <c r="CX8" s="537"/>
      <c r="CY8" s="537"/>
      <c r="CZ8" s="537"/>
      <c r="DA8" s="537"/>
      <c r="DB8" s="537"/>
      <c r="DC8" s="537"/>
      <c r="DD8" s="537"/>
      <c r="DE8" s="537"/>
      <c r="DF8" s="537"/>
      <c r="DG8" s="537"/>
      <c r="DH8" s="537"/>
      <c r="DI8" s="537"/>
      <c r="DJ8" s="537"/>
      <c r="DK8" s="537"/>
      <c r="DL8" s="537"/>
      <c r="DM8" s="537"/>
      <c r="DN8" s="537"/>
      <c r="DO8" s="537"/>
      <c r="DP8" s="537"/>
      <c r="DQ8" s="537"/>
      <c r="DR8" s="537"/>
      <c r="DS8" s="537"/>
      <c r="DT8" s="537"/>
      <c r="DU8" s="537"/>
      <c r="DV8" s="537"/>
      <c r="DW8" s="537"/>
      <c r="DX8" s="537"/>
      <c r="DY8" s="537"/>
      <c r="DZ8" s="537"/>
      <c r="EA8" s="537"/>
      <c r="EB8" s="537"/>
      <c r="EC8" s="537"/>
      <c r="ED8" s="537"/>
      <c r="EE8" s="537"/>
      <c r="EF8" s="537"/>
      <c r="EG8" s="537"/>
      <c r="EH8" s="537"/>
      <c r="EI8" s="537"/>
      <c r="EJ8" s="537"/>
      <c r="EK8" s="537"/>
      <c r="EL8" s="537"/>
      <c r="EM8" s="537"/>
      <c r="EN8" s="537"/>
      <c r="EO8" s="537"/>
      <c r="EP8" s="537"/>
      <c r="EQ8" s="537"/>
      <c r="ER8" s="537"/>
      <c r="ES8" s="537"/>
      <c r="ET8" s="537"/>
      <c r="EU8" s="537"/>
      <c r="EV8" s="537"/>
      <c r="EW8" s="537"/>
      <c r="EX8" s="537"/>
      <c r="EY8" s="537"/>
      <c r="EZ8" s="537"/>
      <c r="FA8" s="537"/>
      <c r="FB8" s="537"/>
      <c r="FC8" s="537"/>
      <c r="FD8" s="537"/>
      <c r="FE8" s="537"/>
      <c r="FF8" s="537"/>
      <c r="FG8" s="537"/>
      <c r="FH8" s="537"/>
      <c r="FI8" s="537"/>
      <c r="FJ8" s="537"/>
      <c r="FK8" s="537"/>
    </row>
    <row r="9" spans="1:167" s="539" customFormat="1" x14ac:dyDescent="0.2">
      <c r="A9" s="537"/>
      <c r="B9" s="538"/>
      <c r="C9" s="538"/>
      <c r="D9" s="538"/>
      <c r="E9" s="538"/>
      <c r="F9" s="537"/>
      <c r="G9" s="537"/>
      <c r="H9" s="537"/>
      <c r="I9" s="537"/>
      <c r="J9" s="537"/>
      <c r="K9" s="537"/>
      <c r="L9" s="537"/>
      <c r="M9" s="537"/>
      <c r="N9" s="537"/>
      <c r="O9" s="537"/>
      <c r="P9" s="537"/>
      <c r="Q9" s="537"/>
      <c r="R9" s="537"/>
      <c r="S9" s="537"/>
      <c r="T9" s="537"/>
      <c r="U9" s="537"/>
      <c r="V9" s="537"/>
      <c r="W9" s="537"/>
      <c r="X9" s="537"/>
      <c r="Y9" s="537"/>
      <c r="Z9" s="537"/>
      <c r="AA9" s="537"/>
      <c r="AB9" s="537"/>
      <c r="AC9" s="537"/>
      <c r="AD9" s="537"/>
      <c r="AE9" s="537"/>
      <c r="AF9" s="537"/>
      <c r="AG9" s="537"/>
      <c r="AH9" s="537"/>
      <c r="AI9" s="537"/>
      <c r="AJ9" s="537"/>
      <c r="AK9" s="537"/>
      <c r="AL9" s="537"/>
      <c r="AM9" s="537"/>
      <c r="AN9" s="537"/>
      <c r="AO9" s="537"/>
      <c r="AP9" s="537"/>
      <c r="AQ9" s="537"/>
      <c r="AR9" s="537"/>
      <c r="AS9" s="537"/>
      <c r="AT9" s="537"/>
      <c r="AU9" s="537"/>
      <c r="AV9" s="537"/>
      <c r="AW9" s="537"/>
      <c r="AX9" s="537"/>
      <c r="AY9" s="537"/>
      <c r="AZ9" s="537"/>
      <c r="BA9" s="537"/>
      <c r="BB9" s="537"/>
      <c r="BC9" s="537"/>
      <c r="BD9" s="537"/>
      <c r="BE9" s="537"/>
      <c r="BF9" s="537"/>
      <c r="BG9" s="537"/>
      <c r="BH9" s="537"/>
      <c r="BI9" s="537"/>
      <c r="BJ9" s="537"/>
      <c r="BK9" s="537"/>
      <c r="BL9" s="537"/>
      <c r="BM9" s="537"/>
      <c r="BN9" s="537"/>
      <c r="BO9" s="537"/>
      <c r="BP9" s="537"/>
      <c r="BQ9" s="537"/>
      <c r="BR9" s="537"/>
      <c r="BS9" s="537"/>
      <c r="BT9" s="537"/>
      <c r="BU9" s="537"/>
      <c r="BV9" s="537"/>
      <c r="BW9" s="537"/>
      <c r="BX9" s="537"/>
      <c r="BY9" s="537"/>
      <c r="BZ9" s="537"/>
      <c r="CA9" s="537"/>
      <c r="CB9" s="537"/>
      <c r="CC9" s="537"/>
      <c r="CD9" s="537"/>
      <c r="CE9" s="537"/>
      <c r="CF9" s="537"/>
      <c r="CG9" s="537"/>
      <c r="CH9" s="537"/>
      <c r="CI9" s="537"/>
      <c r="CJ9" s="537"/>
      <c r="CK9" s="537"/>
      <c r="CL9" s="537"/>
      <c r="CM9" s="537"/>
      <c r="CN9" s="537"/>
      <c r="CO9" s="537"/>
      <c r="CP9" s="537"/>
      <c r="CQ9" s="537"/>
      <c r="CR9" s="537"/>
      <c r="CS9" s="537"/>
      <c r="CT9" s="537"/>
      <c r="CU9" s="537"/>
      <c r="CV9" s="537"/>
      <c r="CW9" s="537"/>
      <c r="CX9" s="537"/>
      <c r="CY9" s="537"/>
      <c r="CZ9" s="537"/>
      <c r="DA9" s="537"/>
      <c r="DB9" s="537"/>
      <c r="DC9" s="537"/>
      <c r="DD9" s="537"/>
      <c r="DE9" s="537"/>
      <c r="DF9" s="537"/>
      <c r="DG9" s="537"/>
      <c r="DH9" s="537"/>
      <c r="DI9" s="537"/>
      <c r="DJ9" s="537"/>
      <c r="DK9" s="537"/>
      <c r="DL9" s="537"/>
      <c r="DM9" s="537"/>
      <c r="DN9" s="537"/>
      <c r="DO9" s="537"/>
      <c r="DP9" s="537"/>
      <c r="DQ9" s="537"/>
      <c r="DR9" s="537"/>
      <c r="DS9" s="537"/>
      <c r="DT9" s="537"/>
      <c r="DU9" s="537"/>
      <c r="DV9" s="537"/>
      <c r="DW9" s="537"/>
      <c r="DX9" s="537"/>
      <c r="DY9" s="537"/>
      <c r="DZ9" s="537"/>
      <c r="EA9" s="537"/>
      <c r="EB9" s="537"/>
      <c r="EC9" s="537"/>
      <c r="ED9" s="537"/>
      <c r="EE9" s="537"/>
      <c r="EF9" s="537"/>
      <c r="EG9" s="537"/>
      <c r="EH9" s="537"/>
      <c r="EI9" s="537"/>
      <c r="EJ9" s="537"/>
      <c r="EK9" s="537"/>
      <c r="EL9" s="537"/>
      <c r="EM9" s="537"/>
      <c r="EN9" s="537"/>
      <c r="EO9" s="537"/>
      <c r="EP9" s="537"/>
      <c r="EQ9" s="537"/>
      <c r="ER9" s="537"/>
      <c r="ES9" s="537"/>
      <c r="ET9" s="537"/>
      <c r="EU9" s="537"/>
      <c r="EV9" s="537"/>
      <c r="EW9" s="537"/>
      <c r="EX9" s="537"/>
      <c r="EY9" s="537"/>
      <c r="EZ9" s="537"/>
      <c r="FA9" s="537"/>
      <c r="FB9" s="537"/>
      <c r="FC9" s="537"/>
      <c r="FD9" s="537"/>
      <c r="FE9" s="537"/>
      <c r="FF9" s="537"/>
      <c r="FG9" s="537"/>
      <c r="FH9" s="537"/>
      <c r="FI9" s="537"/>
      <c r="FJ9" s="537"/>
      <c r="FK9" s="537"/>
    </row>
    <row r="10" spans="1:167" s="537" customFormat="1" x14ac:dyDescent="0.2">
      <c r="C10" s="538"/>
      <c r="D10" s="538"/>
      <c r="E10" s="538"/>
    </row>
    <row r="11" spans="1:167" s="537" customFormat="1" x14ac:dyDescent="0.2">
      <c r="C11" s="538"/>
      <c r="D11" s="538"/>
      <c r="E11" s="538"/>
    </row>
    <row r="12" spans="1:167" s="537" customFormat="1" x14ac:dyDescent="0.2">
      <c r="C12" s="538"/>
      <c r="D12" s="538"/>
      <c r="E12" s="538"/>
    </row>
    <row r="13" spans="1:167" s="537" customFormat="1" x14ac:dyDescent="0.2">
      <c r="C13" s="538"/>
      <c r="D13" s="538"/>
      <c r="E13" s="538"/>
    </row>
    <row r="14" spans="1:167" s="537" customFormat="1" x14ac:dyDescent="0.2">
      <c r="E14" s="538"/>
    </row>
    <row r="15" spans="1:167" s="537" customFormat="1" x14ac:dyDescent="0.2"/>
    <row r="16" spans="1:167" s="537" customFormat="1" x14ac:dyDescent="0.2"/>
    <row r="17" s="537" customFormat="1" x14ac:dyDescent="0.2"/>
    <row r="18" s="537" customFormat="1" x14ac:dyDescent="0.2"/>
    <row r="19" s="537" customFormat="1" x14ac:dyDescent="0.2"/>
    <row r="20" s="537" customFormat="1" x14ac:dyDescent="0.2"/>
    <row r="21" s="537" customFormat="1" x14ac:dyDescent="0.2"/>
    <row r="22" s="537" customFormat="1" x14ac:dyDescent="0.2"/>
    <row r="23" s="537" customFormat="1" x14ac:dyDescent="0.2"/>
    <row r="24" s="537" customFormat="1" x14ac:dyDescent="0.2"/>
    <row r="25" s="537" customFormat="1" x14ac:dyDescent="0.2"/>
    <row r="26" s="537" customFormat="1" x14ac:dyDescent="0.2"/>
    <row r="27" s="537" customFormat="1" x14ac:dyDescent="0.2"/>
    <row r="28" s="537" customFormat="1" x14ac:dyDescent="0.2"/>
    <row r="29" s="537" customFormat="1" x14ac:dyDescent="0.2"/>
    <row r="30" s="537" customFormat="1" x14ac:dyDescent="0.2"/>
    <row r="31" s="537" customFormat="1" x14ac:dyDescent="0.2"/>
    <row r="32" s="537" customFormat="1" x14ac:dyDescent="0.2"/>
    <row r="33" s="537" customFormat="1" x14ac:dyDescent="0.2"/>
    <row r="34" s="537" customFormat="1" x14ac:dyDescent="0.2"/>
    <row r="35" s="537" customFormat="1" x14ac:dyDescent="0.2"/>
    <row r="36" s="537" customFormat="1" x14ac:dyDescent="0.2"/>
    <row r="37" s="537" customFormat="1" x14ac:dyDescent="0.2"/>
    <row r="38" s="537" customFormat="1" x14ac:dyDescent="0.2"/>
  </sheetData>
  <mergeCells count="1">
    <mergeCell ref="B2:E2"/>
  </mergeCells>
  <dataValidations count="1">
    <dataValidation type="list" allowBlank="1" showInputMessage="1" showErrorMessage="1" sqref="D4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510</vt:i4>
      </vt:variant>
    </vt:vector>
  </HeadingPairs>
  <TitlesOfParts>
    <vt:vector size="570" baseType="lpstr">
      <vt:lpstr>General Settings</vt:lpstr>
      <vt:lpstr>USD</vt:lpstr>
      <vt:lpstr>RelinkableHandles</vt:lpstr>
      <vt:lpstr>Libor</vt:lpstr>
      <vt:lpstr>LiborSwapIsdaFixAm</vt:lpstr>
      <vt:lpstr>LiborSwapIsdaFixPm</vt:lpstr>
      <vt:lpstr>LiborSwapForBasisCalc</vt:lpstr>
      <vt:lpstr>UsdLibor</vt:lpstr>
      <vt:lpstr>BasisSwap1MxM</vt:lpstr>
      <vt:lpstr>BasisSwap3M6M</vt:lpstr>
      <vt:lpstr>BasisSwapxM12M</vt:lpstr>
      <vt:lpstr>USD_010_BasisSwapQuotes</vt:lpstr>
      <vt:lpstr>Deposits</vt:lpstr>
      <vt:lpstr>FRA</vt:lpstr>
      <vt:lpstr>Futures1M</vt:lpstr>
      <vt:lpstr>Futures3M</vt:lpstr>
      <vt:lpstr>ImmFra6M </vt:lpstr>
      <vt:lpstr>FuturesHWConvAdj</vt:lpstr>
      <vt:lpstr>USD_010_DepoFRAFuturesQuotes</vt:lpstr>
      <vt:lpstr>OIS</vt:lpstr>
      <vt:lpstr>Swaps1M</vt:lpstr>
      <vt:lpstr>SwapsIMMDated</vt:lpstr>
      <vt:lpstr>Swap3M</vt:lpstr>
      <vt:lpstr>Swap6M</vt:lpstr>
      <vt:lpstr>USD_010_SwapQuotes</vt:lpstr>
      <vt:lpstr>ON</vt:lpstr>
      <vt:lpstr>1M</vt:lpstr>
      <vt:lpstr>3M</vt:lpstr>
      <vt:lpstr>6M</vt:lpstr>
      <vt:lpstr>1Y</vt:lpstr>
      <vt:lpstr>USD_015_SyntheticQuotes</vt:lpstr>
      <vt:lpstr>1M (2)</vt:lpstr>
      <vt:lpstr>3M (2)</vt:lpstr>
      <vt:lpstr>6M (2)</vt:lpstr>
      <vt:lpstr>1Y (2)</vt:lpstr>
      <vt:lpstr>USD_020_ForwardSwapQuotes</vt:lpstr>
      <vt:lpstr>1M (3)</vt:lpstr>
      <vt:lpstr>3M (3)</vt:lpstr>
      <vt:lpstr>USD_020_FuturesConvAdjQuotes</vt:lpstr>
      <vt:lpstr>Deposits (2)</vt:lpstr>
      <vt:lpstr>FRA (2)</vt:lpstr>
      <vt:lpstr>Futures1M (2)</vt:lpstr>
      <vt:lpstr>Futures3M (2)</vt:lpstr>
      <vt:lpstr>FuturesConvexityAdjustment</vt:lpstr>
      <vt:lpstr>Swap1M</vt:lpstr>
      <vt:lpstr>SwapIMMDated</vt:lpstr>
      <vt:lpstr>Swap3M (2)</vt:lpstr>
      <vt:lpstr>Swap6M (2)</vt:lpstr>
      <vt:lpstr>BasisSwap1MXM (2)</vt:lpstr>
      <vt:lpstr>BasisSwap3M6M (2)</vt:lpstr>
      <vt:lpstr>BasisSwapXM12M (2)</vt:lpstr>
      <vt:lpstr>EONIAOIS</vt:lpstr>
      <vt:lpstr>FwdEONIAOIS</vt:lpstr>
      <vt:lpstr>LIBOR (2)</vt:lpstr>
      <vt:lpstr>SFIX1</vt:lpstr>
      <vt:lpstr>SFIX2</vt:lpstr>
      <vt:lpstr>SFIX3</vt:lpstr>
      <vt:lpstr>IB365</vt:lpstr>
      <vt:lpstr>IBOR</vt:lpstr>
      <vt:lpstr>USD_MMIndicesAddLastFixing</vt:lpstr>
      <vt:lpstr>'BasisSwap1MXM (2)'!Contributor</vt:lpstr>
      <vt:lpstr>'BasisSwap3M6M (2)'!Contributor</vt:lpstr>
      <vt:lpstr>'BasisSwapXM12M (2)'!Contributor</vt:lpstr>
      <vt:lpstr>'Deposits (2)'!Contributor</vt:lpstr>
      <vt:lpstr>EONIAOIS!Contributor</vt:lpstr>
      <vt:lpstr>'FRA (2)'!Contributor</vt:lpstr>
      <vt:lpstr>FuturesConvexityAdjustment!Contributor</vt:lpstr>
      <vt:lpstr>FwdEONIAOIS!Contributor</vt:lpstr>
      <vt:lpstr>Swap1M!Contributor</vt:lpstr>
      <vt:lpstr>'Swap3M (2)'!Contributor</vt:lpstr>
      <vt:lpstr>'Swap6M (2)'!Contributor</vt:lpstr>
      <vt:lpstr>SwapIMMDated!Contributor</vt:lpstr>
      <vt:lpstr>Contributor</vt:lpstr>
      <vt:lpstr>'Deposits (2)'!Contributors</vt:lpstr>
      <vt:lpstr>Contributors</vt:lpstr>
      <vt:lpstr>'Deposits (2)'!ContributorTable</vt:lpstr>
      <vt:lpstr>ContributorTable</vt:lpstr>
      <vt:lpstr>'BasisSwap1MXM (2)'!Conventions</vt:lpstr>
      <vt:lpstr>'BasisSwap3M6M (2)'!Conventions</vt:lpstr>
      <vt:lpstr>'BasisSwapXM12M (2)'!Conventions</vt:lpstr>
      <vt:lpstr>'Swap3M (2)'!Conventions</vt:lpstr>
      <vt:lpstr>'Swap6M (2)'!Conventions</vt:lpstr>
      <vt:lpstr>'BasisSwap1MXM (2)'!Counter</vt:lpstr>
      <vt:lpstr>'BasisSwap3M6M (2)'!Counter</vt:lpstr>
      <vt:lpstr>'BasisSwapXM12M (2)'!Counter</vt:lpstr>
      <vt:lpstr>'Deposits (2)'!Counter</vt:lpstr>
      <vt:lpstr>EONIAOIS!Counter</vt:lpstr>
      <vt:lpstr>'FRA (2)'!Counter</vt:lpstr>
      <vt:lpstr>'Futures1M (2)'!Counter</vt:lpstr>
      <vt:lpstr>'Futures3M (2)'!Counter</vt:lpstr>
      <vt:lpstr>FuturesConvexityAdjustment!Counter</vt:lpstr>
      <vt:lpstr>FwdEONIAOIS!Counter</vt:lpstr>
      <vt:lpstr>Swap1M!Counter</vt:lpstr>
      <vt:lpstr>'Swap3M (2)'!Counter</vt:lpstr>
      <vt:lpstr>'Swap6M (2)'!Counter</vt:lpstr>
      <vt:lpstr>SwapIMMDated!Counter</vt:lpstr>
      <vt:lpstr>Counter</vt:lpstr>
      <vt:lpstr>'1M'!Currency</vt:lpstr>
      <vt:lpstr>'1M (2)'!Currency</vt:lpstr>
      <vt:lpstr>'1M (3)'!Currency</vt:lpstr>
      <vt:lpstr>'1Y'!Currency</vt:lpstr>
      <vt:lpstr>'1Y (2)'!Currency</vt:lpstr>
      <vt:lpstr>'3M'!Currency</vt:lpstr>
      <vt:lpstr>'3M (2)'!Currency</vt:lpstr>
      <vt:lpstr>'3M (3)'!Currency</vt:lpstr>
      <vt:lpstr>'6M'!Currency</vt:lpstr>
      <vt:lpstr>'6M (2)'!Currency</vt:lpstr>
      <vt:lpstr>BasisSwap1MxM!Currency</vt:lpstr>
      <vt:lpstr>'BasisSwap1MXM (2)'!Currency</vt:lpstr>
      <vt:lpstr>BasisSwap3M6M!Currency</vt:lpstr>
      <vt:lpstr>'BasisSwap3M6M (2)'!Currency</vt:lpstr>
      <vt:lpstr>BasisSwapxM12M!Currency</vt:lpstr>
      <vt:lpstr>'BasisSwapXM12M (2)'!Currency</vt:lpstr>
      <vt:lpstr>Deposits!Currency</vt:lpstr>
      <vt:lpstr>'Deposits (2)'!Currency</vt:lpstr>
      <vt:lpstr>EONIAOIS!Currency</vt:lpstr>
      <vt:lpstr>FRA!Currency</vt:lpstr>
      <vt:lpstr>'FRA (2)'!Currency</vt:lpstr>
      <vt:lpstr>Futures1M!Currency</vt:lpstr>
      <vt:lpstr>'Futures1M (2)'!Currency</vt:lpstr>
      <vt:lpstr>Futures3M!Currency</vt:lpstr>
      <vt:lpstr>'Futures3M (2)'!Currency</vt:lpstr>
      <vt:lpstr>FuturesConvexityAdjustment!Currency</vt:lpstr>
      <vt:lpstr>FuturesHWConvAdj!Currency</vt:lpstr>
      <vt:lpstr>FwdEONIAOIS!Currency</vt:lpstr>
      <vt:lpstr>'General Settings'!Currency</vt:lpstr>
      <vt:lpstr>'IB365'!Currency</vt:lpstr>
      <vt:lpstr>IBOR!Currency</vt:lpstr>
      <vt:lpstr>'ImmFra6M '!Currency</vt:lpstr>
      <vt:lpstr>'LIBOR (2)'!Currency</vt:lpstr>
      <vt:lpstr>OIS!Currency</vt:lpstr>
      <vt:lpstr>ON!Currency</vt:lpstr>
      <vt:lpstr>SFIX1!Currency</vt:lpstr>
      <vt:lpstr>SFIX2!Currency</vt:lpstr>
      <vt:lpstr>SFIX3!Currency</vt:lpstr>
      <vt:lpstr>Swap1M!Currency</vt:lpstr>
      <vt:lpstr>Swap3M!Currency</vt:lpstr>
      <vt:lpstr>'Swap3M (2)'!Currency</vt:lpstr>
      <vt:lpstr>Swap6M!Currency</vt:lpstr>
      <vt:lpstr>'Swap6M (2)'!Currency</vt:lpstr>
      <vt:lpstr>SwapIMMDated!Currency</vt:lpstr>
      <vt:lpstr>Swaps1M!Currency</vt:lpstr>
      <vt:lpstr>SwapsIMMDated!Currency</vt:lpstr>
      <vt:lpstr>USD!Currency</vt:lpstr>
      <vt:lpstr>USD_010_BasisSwapQuotes!Currency</vt:lpstr>
      <vt:lpstr>USD_010_DepoFRAFuturesQuotes!Currency</vt:lpstr>
      <vt:lpstr>USD_010_SwapQuotes!Currency</vt:lpstr>
      <vt:lpstr>USD_015_SyntheticQuotes!Currency</vt:lpstr>
      <vt:lpstr>USD_020_ForwardSwapQuotes!Currency</vt:lpstr>
      <vt:lpstr>USD_020_FuturesConvAdjQuotes!Currency</vt:lpstr>
      <vt:lpstr>USD_MMIndicesAddLastFixing!Currency</vt:lpstr>
      <vt:lpstr>Currency</vt:lpstr>
      <vt:lpstr>Discounting</vt:lpstr>
      <vt:lpstr>Discounting2</vt:lpstr>
      <vt:lpstr>EvaluationDate</vt:lpstr>
      <vt:lpstr>'1M (3)'!FamilyName</vt:lpstr>
      <vt:lpstr>'3M (3)'!FamilyName</vt:lpstr>
      <vt:lpstr>Libor!FamilyName</vt:lpstr>
      <vt:lpstr>LiborSwapForBasisCalc!FamilyName</vt:lpstr>
      <vt:lpstr>LiborSwapIsdaFixAm!FamilyName</vt:lpstr>
      <vt:lpstr>LiborSwapIsdaFixPm!FamilyName</vt:lpstr>
      <vt:lpstr>USD_020_FuturesConvAdjQuotes!FamilyName</vt:lpstr>
      <vt:lpstr>FamilyName</vt:lpstr>
      <vt:lpstr>Libor!FileName</vt:lpstr>
      <vt:lpstr>LiborSwapForBasisCalc!FileName</vt:lpstr>
      <vt:lpstr>LiborSwapIsdaFixAm!FileName</vt:lpstr>
      <vt:lpstr>LiborSwapIsdaFixPm!FileName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'3M'!FileOverwrite</vt:lpstr>
      <vt:lpstr>'3M (2)'!FileOverwrite</vt:lpstr>
      <vt:lpstr>'3M (3)'!FileOverwrite</vt:lpstr>
      <vt:lpstr>'6M'!FileOverwrite</vt:lpstr>
      <vt:lpstr>'6M (2)'!FileOverwrite</vt:lpstr>
      <vt:lpstr>BasisSwap1MxM!FileOverwrite</vt:lpstr>
      <vt:lpstr>BasisSwap3M6M!FileOverwrite</vt:lpstr>
      <vt:lpstr>BasisSwapxM12M!FileOverwrite</vt:lpstr>
      <vt:lpstr>Deposits!FileOverwrite</vt:lpstr>
      <vt:lpstr>FRA!FileOverwrite</vt:lpstr>
      <vt:lpstr>Futures1M!FileOverwrite</vt:lpstr>
      <vt:lpstr>Futures3M!FileOverwrite</vt:lpstr>
      <vt:lpstr>FuturesHWConvAdj!FileOverwrite</vt:lpstr>
      <vt:lpstr>'ImmFra6M '!FileOverwrite</vt:lpstr>
      <vt:lpstr>Libor!FileOverwrite</vt:lpstr>
      <vt:lpstr>LiborSwapForBasisCalc!FileOverwrite</vt:lpstr>
      <vt:lpstr>LiborSwapIsdaFixAm!FileOverwrite</vt:lpstr>
      <vt:lpstr>LiborSwapIsdaFixPm!FileOverwrite</vt:lpstr>
      <vt:lpstr>OIS!FileOverwrite</vt:lpstr>
      <vt:lpstr>ON!FileOverwrite</vt:lpstr>
      <vt:lpstr>Swap3M!FileOverwrite</vt:lpstr>
      <vt:lpstr>Swap6M!FileOverwrite</vt:lpstr>
      <vt:lpstr>Swaps1M!FileOverwrite</vt:lpstr>
      <vt:lpstr>SwapsIMMDated!FileOverwrite</vt:lpstr>
      <vt:lpstr>USD_010_BasisSwapQuotes!FileOverwrite</vt:lpstr>
      <vt:lpstr>USD_010_DepoFRAFuturesQuotes!FileOverwrite</vt:lpstr>
      <vt:lpstr>USD_010_SwapQuotes!FileOverwrite</vt:lpstr>
      <vt:lpstr>USD_015_SyntheticQuotes!FileOverwrite</vt:lpstr>
      <vt:lpstr>USD_020_ForwardSwapQuotes!FileOverwrite</vt:lpstr>
      <vt:lpstr>USD_020_FuturesConvAdjQuotes!FileOverwrite</vt:lpstr>
      <vt:lpstr>UsdLibor!FileOverwrite</vt:lpstr>
      <vt:lpstr>FileOverwrite</vt:lpstr>
      <vt:lpstr>LiborSwapForBasisCalc!FixingType</vt:lpstr>
      <vt:lpstr>LiborSwapIsdaFixAm!FixingType</vt:lpstr>
      <vt:lpstr>LiborSwapIsdaFixPm!FixingType</vt:lpstr>
      <vt:lpstr>FixingType</vt:lpstr>
      <vt:lpstr>'Futures1M (2)'!FuturesCodes</vt:lpstr>
      <vt:lpstr>'Futures3M (2)'!FuturesCodes</vt:lpstr>
      <vt:lpstr>'Futures1M (2)'!FuturesDates</vt:lpstr>
      <vt:lpstr>'Futures3M (2)'!FuturesDates</vt:lpstr>
      <vt:lpstr>USD_MMIndicesAddLastFixing!GENERAL_SETTINGS</vt:lpstr>
      <vt:lpstr>GENERAL_SETTINGS</vt:lpstr>
      <vt:lpstr>'1M (3)'!IborIndex</vt:lpstr>
      <vt:lpstr>'3M (3)'!IborIndex</vt:lpstr>
      <vt:lpstr>'BasisSwap1MXM (2)'!Instruments</vt:lpstr>
      <vt:lpstr>'BasisSwap3M6M (2)'!Instruments</vt:lpstr>
      <vt:lpstr>'BasisSwapXM12M (2)'!Instruments</vt:lpstr>
      <vt:lpstr>'Deposits (2)'!Instruments</vt:lpstr>
      <vt:lpstr>EONIAOIS!Instruments</vt:lpstr>
      <vt:lpstr>'FRA (2)'!Instruments</vt:lpstr>
      <vt:lpstr>'Futures1M (2)'!Instruments</vt:lpstr>
      <vt:lpstr>FwdEONIAOIS!Instruments</vt:lpstr>
      <vt:lpstr>Swap1M!Instruments</vt:lpstr>
      <vt:lpstr>'Swap3M (2)'!Instruments</vt:lpstr>
      <vt:lpstr>'Swap6M (2)'!Instruments</vt:lpstr>
      <vt:lpstr>SwapIMMDated!Instruments</vt:lpstr>
      <vt:lpstr>InterpolationType</vt:lpstr>
      <vt:lpstr>LastUpdate</vt:lpstr>
      <vt:lpstr>'Futures1M (2)'!LiffeCodes</vt:lpstr>
      <vt:lpstr>'Futures3M (2)'!LiffeCodes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'3M'!ObjectOverwrite</vt:lpstr>
      <vt:lpstr>'3M (2)'!ObjectOverwrite</vt:lpstr>
      <vt:lpstr>'3M (3)'!ObjectOverwrite</vt:lpstr>
      <vt:lpstr>'6M'!ObjectOverwrite</vt:lpstr>
      <vt:lpstr>'6M (2)'!ObjectOverwrite</vt:lpstr>
      <vt:lpstr>BasisSwap1MxM!ObjectOverwrite</vt:lpstr>
      <vt:lpstr>BasisSwap3M6M!ObjectOverwrite</vt:lpstr>
      <vt:lpstr>BasisSwapxM12M!ObjectOverwrite</vt:lpstr>
      <vt:lpstr>Deposits!ObjectOverwrite</vt:lpstr>
      <vt:lpstr>FRA!ObjectOverwrite</vt:lpstr>
      <vt:lpstr>Futures1M!ObjectOverwrite</vt:lpstr>
      <vt:lpstr>Futures3M!ObjectOverwrite</vt:lpstr>
      <vt:lpstr>FuturesHWConvAdj!ObjectOverwrite</vt:lpstr>
      <vt:lpstr>'ImmFra6M '!ObjectOverwrite</vt:lpstr>
      <vt:lpstr>Libor!ObjectOverwrite</vt:lpstr>
      <vt:lpstr>LiborSwapForBasisCalc!ObjectOverwrite</vt:lpstr>
      <vt:lpstr>LiborSwapIsdaFixAm!ObjectOverwrite</vt:lpstr>
      <vt:lpstr>LiborSwapIsdaFixPm!ObjectOverwrite</vt:lpstr>
      <vt:lpstr>OIS!ObjectOverwrite</vt:lpstr>
      <vt:lpstr>ON!ObjectOverwrite</vt:lpstr>
      <vt:lpstr>Swap3M!ObjectOverwrite</vt:lpstr>
      <vt:lpstr>Swap6M!ObjectOverwrite</vt:lpstr>
      <vt:lpstr>Swaps1M!ObjectOverwrite</vt:lpstr>
      <vt:lpstr>SwapsIMMDated!ObjectOverwrite</vt:lpstr>
      <vt:lpstr>USD_010_BasisSwapQuotes!ObjectOverwrite</vt:lpstr>
      <vt:lpstr>USD_010_DepoFRAFuturesQuotes!ObjectOverwrite</vt:lpstr>
      <vt:lpstr>USD_010_SwapQuotes!ObjectOverwrite</vt:lpstr>
      <vt:lpstr>USD_015_SyntheticQuotes!ObjectOverwrite</vt:lpstr>
      <vt:lpstr>USD_020_ForwardSwapQuotes!ObjectOverwrite</vt:lpstr>
      <vt:lpstr>USD_020_FuturesConvAdjQuotes!ObjectOverwrite</vt:lpstr>
      <vt:lpstr>UsdLibor!ObjectOverwrite</vt:lpstr>
      <vt:lpstr>ObjectOverwrite</vt:lpstr>
      <vt:lpstr>'1M'!Permanent</vt:lpstr>
      <vt:lpstr>'1M (2)'!Permanent</vt:lpstr>
      <vt:lpstr>'1M (3)'!Permanent</vt:lpstr>
      <vt:lpstr>'1Y'!Permanent</vt:lpstr>
      <vt:lpstr>'1Y (2)'!Permanent</vt:lpstr>
      <vt:lpstr>'3M'!Permanent</vt:lpstr>
      <vt:lpstr>'3M (2)'!Permanent</vt:lpstr>
      <vt:lpstr>'3M (3)'!Permanent</vt:lpstr>
      <vt:lpstr>'6M'!Permanent</vt:lpstr>
      <vt:lpstr>'6M (2)'!Permanent</vt:lpstr>
      <vt:lpstr>BasisSwap1MxM!Permanent</vt:lpstr>
      <vt:lpstr>BasisSwap3M6M!Permanent</vt:lpstr>
      <vt:lpstr>BasisSwapxM12M!Permanent</vt:lpstr>
      <vt:lpstr>Deposits!Permanent</vt:lpstr>
      <vt:lpstr>FRA!Permanent</vt:lpstr>
      <vt:lpstr>Futures1M!Permanent</vt:lpstr>
      <vt:lpstr>Futures3M!Permanent</vt:lpstr>
      <vt:lpstr>FuturesHWConvAdj!Permanent</vt:lpstr>
      <vt:lpstr>'ImmFra6M '!Permanent</vt:lpstr>
      <vt:lpstr>Libor!Permanent</vt:lpstr>
      <vt:lpstr>LiborSwapForBasisCalc!Permanent</vt:lpstr>
      <vt:lpstr>LiborSwapIsdaFixAm!Permanent</vt:lpstr>
      <vt:lpstr>LiborSwapIsdaFixPm!Permanent</vt:lpstr>
      <vt:lpstr>OIS!Permanent</vt:lpstr>
      <vt:lpstr>ON!Permanent</vt:lpstr>
      <vt:lpstr>Swap3M!Permanent</vt:lpstr>
      <vt:lpstr>Swap6M!Permanent</vt:lpstr>
      <vt:lpstr>Swaps1M!Permanent</vt:lpstr>
      <vt:lpstr>SwapsIMMDated!Permanent</vt:lpstr>
      <vt:lpstr>USD_010_BasisSwapQuotes!Permanent</vt:lpstr>
      <vt:lpstr>USD_010_DepoFRAFuturesQuotes!Permanent</vt:lpstr>
      <vt:lpstr>USD_010_SwapQuotes!Permanent</vt:lpstr>
      <vt:lpstr>USD_015_SyntheticQuotes!Permanent</vt:lpstr>
      <vt:lpstr>USD_020_ForwardSwapQuotes!Permanent</vt:lpstr>
      <vt:lpstr>USD_020_FuturesConvAdjQuotes!Permanent</vt:lpstr>
      <vt:lpstr>UsdLibor!Permanent</vt:lpstr>
      <vt:lpstr>Permanent</vt:lpstr>
      <vt:lpstr>Deposits!PriceTickValue</vt:lpstr>
      <vt:lpstr>FRA!PriceTickValue</vt:lpstr>
      <vt:lpstr>Futures1M!PriceTickValue</vt:lpstr>
      <vt:lpstr>Futures3M!PriceTickValue</vt:lpstr>
      <vt:lpstr>FuturesHWConvAdj!PriceTickValue</vt:lpstr>
      <vt:lpstr>'ImmFra6M '!PriceTickValue</vt:lpstr>
      <vt:lpstr>USD_010_DepoFRAFuturesQuotes!PriceTickValue</vt:lpstr>
      <vt:lpstr>USD_010_SwapQuotes!PriceTickValue</vt:lpstr>
      <vt:lpstr>USD_020_ForwardSwapQuotes!PriceTickValue</vt:lpstr>
      <vt:lpstr>USD_020_FuturesConvAdjQuotes!PriceTickValue</vt:lpstr>
      <vt:lpstr>PriceTickValue</vt:lpstr>
      <vt:lpstr>'BasisSwap1MXM (2)'!Quote</vt:lpstr>
      <vt:lpstr>'BasisSwap3M6M (2)'!Quote</vt:lpstr>
      <vt:lpstr>'BasisSwapXM12M (2)'!Quote</vt:lpstr>
      <vt:lpstr>'Deposits (2)'!Quote</vt:lpstr>
      <vt:lpstr>EONIAOIS!Quote</vt:lpstr>
      <vt:lpstr>'FRA (2)'!Quote</vt:lpstr>
      <vt:lpstr>'Futures1M (2)'!Quote</vt:lpstr>
      <vt:lpstr>'Futures3M (2)'!Quote</vt:lpstr>
      <vt:lpstr>FuturesConvexityAdjustment!Quote</vt:lpstr>
      <vt:lpstr>FwdEONIAOIS!Quote</vt:lpstr>
      <vt:lpstr>Swap1M!Quote</vt:lpstr>
      <vt:lpstr>'Swap3M (2)'!Quote</vt:lpstr>
      <vt:lpstr>'Swap6M (2)'!Quote</vt:lpstr>
      <vt:lpstr>SwapIMMDated!Quote</vt:lpstr>
      <vt:lpstr>'BasisSwap1MXM (2)'!QuoteLive</vt:lpstr>
      <vt:lpstr>'BasisSwap3M6M (2)'!QuoteLive</vt:lpstr>
      <vt:lpstr>'BasisSwapXM12M (2)'!QuoteLive</vt:lpstr>
      <vt:lpstr>'Deposits (2)'!QuoteLive</vt:lpstr>
      <vt:lpstr>EONIAOIS!QuoteLive</vt:lpstr>
      <vt:lpstr>'FRA (2)'!QuoteLive</vt:lpstr>
      <vt:lpstr>'Futures1M (2)'!QuoteLive</vt:lpstr>
      <vt:lpstr>'Futures3M (2)'!QuoteLive</vt:lpstr>
      <vt:lpstr>FuturesConvexityAdjustment!QuoteLive</vt:lpstr>
      <vt:lpstr>FwdEONIAOIS!QuoteLive</vt:lpstr>
      <vt:lpstr>Swap1M!QuoteLive</vt:lpstr>
      <vt:lpstr>'Swap3M (2)'!QuoteLive</vt:lpstr>
      <vt:lpstr>'Swap6M (2)'!QuoteLive</vt:lpstr>
      <vt:lpstr>SwapIMMDated!QuoteLive</vt:lpstr>
      <vt:lpstr>'BasisSwap1MXM (2)'!QuoteStatic</vt:lpstr>
      <vt:lpstr>'BasisSwap3M6M (2)'!QuoteStatic</vt:lpstr>
      <vt:lpstr>'BasisSwapXM12M (2)'!QuoteStatic</vt:lpstr>
      <vt:lpstr>'Deposits (2)'!QuoteStatic</vt:lpstr>
      <vt:lpstr>EONIAOIS!QuoteStatic</vt:lpstr>
      <vt:lpstr>'FRA (2)'!QuoteStatic</vt:lpstr>
      <vt:lpstr>'Futures1M (2)'!QuoteStatic</vt:lpstr>
      <vt:lpstr>'Futures3M (2)'!QuoteStatic</vt:lpstr>
      <vt:lpstr>FuturesConvexityAdjustment!QuoteStatic</vt:lpstr>
      <vt:lpstr>FwdEONIAOIS!QuoteStatic</vt:lpstr>
      <vt:lpstr>Swap1M!QuoteStatic</vt:lpstr>
      <vt:lpstr>'Swap3M (2)'!QuoteStatic</vt:lpstr>
      <vt:lpstr>'Swap6M (2)'!QuoteStatic</vt:lpstr>
      <vt:lpstr>SwapIMMDated!QuoteStatic</vt:lpstr>
      <vt:lpstr>'1M'!QuoteSuffix</vt:lpstr>
      <vt:lpstr>'1M (2)'!QuoteSuffix</vt:lpstr>
      <vt:lpstr>'1M (3)'!QuoteSuffix</vt:lpstr>
      <vt:lpstr>'1Y'!QuoteSuffix</vt:lpstr>
      <vt:lpstr>'1Y (2)'!QuoteSuffix</vt:lpstr>
      <vt:lpstr>'3M'!QuoteSuffix</vt:lpstr>
      <vt:lpstr>'3M (2)'!QuoteSuffix</vt:lpstr>
      <vt:lpstr>'3M (3)'!QuoteSuffix</vt:lpstr>
      <vt:lpstr>'6M'!QuoteSuffix</vt:lpstr>
      <vt:lpstr>'6M (2)'!QuoteSuffix</vt:lpstr>
      <vt:lpstr>Deposits!QuoteSuffix</vt:lpstr>
      <vt:lpstr>FRA!QuoteSuffix</vt:lpstr>
      <vt:lpstr>Futures1M!QuoteSuffix</vt:lpstr>
      <vt:lpstr>Futures3M!QuoteSuffix</vt:lpstr>
      <vt:lpstr>FuturesHWConvAdj!QuoteSuffix</vt:lpstr>
      <vt:lpstr>'ImmFra6M '!QuoteSuffix</vt:lpstr>
      <vt:lpstr>OIS!QuoteSuffix</vt:lpstr>
      <vt:lpstr>ON!QuoteSuffix</vt:lpstr>
      <vt:lpstr>Swap3M!QuoteSuffix</vt:lpstr>
      <vt:lpstr>Swap6M!QuoteSuffix</vt:lpstr>
      <vt:lpstr>Swaps1M!QuoteSuffix</vt:lpstr>
      <vt:lpstr>SwapsIMMDated!QuoteSuffix</vt:lpstr>
      <vt:lpstr>USD_010_DepoFRAFuturesQuotes!QuoteSuffix</vt:lpstr>
      <vt:lpstr>USD_010_SwapQuotes!QuoteSuffix</vt:lpstr>
      <vt:lpstr>USD_015_SyntheticQuotes!QuoteSuffix</vt:lpstr>
      <vt:lpstr>USD_020_ForwardSwapQuotes!QuoteSuffix</vt:lpstr>
      <vt:lpstr>USD_020_FuturesConvAdjQuotes!QuoteSuffix</vt:lpstr>
      <vt:lpstr>QuoteSuffix</vt:lpstr>
      <vt:lpstr>'1M'!RateTickValue</vt:lpstr>
      <vt:lpstr>'1Y'!RateTickValue</vt:lpstr>
      <vt:lpstr>'3M'!RateTickValue</vt:lpstr>
      <vt:lpstr>'6M'!RateTickValue</vt:lpstr>
      <vt:lpstr>Deposits!RateTickValue</vt:lpstr>
      <vt:lpstr>FRA!RateTickValue</vt:lpstr>
      <vt:lpstr>Futures1M!RateTickValue</vt:lpstr>
      <vt:lpstr>Futures3M!RateTickValue</vt:lpstr>
      <vt:lpstr>FuturesHWConvAdj!RateTickValue</vt:lpstr>
      <vt:lpstr>'ImmFra6M '!RateTickValue</vt:lpstr>
      <vt:lpstr>OIS!RateTickValue</vt:lpstr>
      <vt:lpstr>ON!RateTickValue</vt:lpstr>
      <vt:lpstr>Swap3M!RateTickValue</vt:lpstr>
      <vt:lpstr>Swap6M!RateTickValue</vt:lpstr>
      <vt:lpstr>Swaps1M!RateTickValue</vt:lpstr>
      <vt:lpstr>SwapsIMMDated!RateTickValue</vt:lpstr>
      <vt:lpstr>USD_010_DepoFRAFuturesQuotes!RateTickValue</vt:lpstr>
      <vt:lpstr>USD_010_SwapQuotes!RateTickValue</vt:lpstr>
      <vt:lpstr>USD_015_SyntheticQuotes!RateTickValue</vt:lpstr>
      <vt:lpstr>USD_020_ForwardSwapQuotes!RateTickValue</vt:lpstr>
      <vt:lpstr>USD_020_FuturesConvAdjQuotes!RateTickValue</vt:lpstr>
      <vt:lpstr>RateTickValue</vt:lpstr>
      <vt:lpstr>ReutersRtMode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'3M'!SerializationPath</vt:lpstr>
      <vt:lpstr>'3M (2)'!SerializationPath</vt:lpstr>
      <vt:lpstr>'3M (3)'!SerializationPath</vt:lpstr>
      <vt:lpstr>'6M'!SerializationPath</vt:lpstr>
      <vt:lpstr>'6M (2)'!SerializationPath</vt:lpstr>
      <vt:lpstr>BasisSwap1MxM!SerializationPath</vt:lpstr>
      <vt:lpstr>BasisSwap3M6M!SerializationPath</vt:lpstr>
      <vt:lpstr>BasisSwapxM12M!SerializationPath</vt:lpstr>
      <vt:lpstr>Deposits!SerializationPath</vt:lpstr>
      <vt:lpstr>FRA!SerializationPath</vt:lpstr>
      <vt:lpstr>Futures1M!SerializationPath</vt:lpstr>
      <vt:lpstr>Futures3M!SerializationPath</vt:lpstr>
      <vt:lpstr>FuturesHWConvAdj!SerializationPath</vt:lpstr>
      <vt:lpstr>'ImmFra6M '!SerializationPath</vt:lpstr>
      <vt:lpstr>Libor!SerializationPath</vt:lpstr>
      <vt:lpstr>LiborSwapForBasisCalc!SerializationPath</vt:lpstr>
      <vt:lpstr>LiborSwapIsdaFixAm!SerializationPath</vt:lpstr>
      <vt:lpstr>LiborSwapIsdaFixPm!SerializationPath</vt:lpstr>
      <vt:lpstr>OIS!SerializationPath</vt:lpstr>
      <vt:lpstr>ON!SerializationPath</vt:lpstr>
      <vt:lpstr>Swap3M!SerializationPath</vt:lpstr>
      <vt:lpstr>Swap6M!SerializationPath</vt:lpstr>
      <vt:lpstr>Swaps1M!SerializationPath</vt:lpstr>
      <vt:lpstr>SwapsIMMDated!SerializationPath</vt:lpstr>
      <vt:lpstr>USD_010_BasisSwapQuotes!SerializationPath</vt:lpstr>
      <vt:lpstr>USD_010_DepoFRAFuturesQuotes!SerializationPath</vt:lpstr>
      <vt:lpstr>USD_010_SwapQuotes!SerializationPath</vt:lpstr>
      <vt:lpstr>USD_015_SyntheticQuotes!SerializationPath</vt:lpstr>
      <vt:lpstr>USD_020_ForwardSwapQuotes!SerializationPath</vt:lpstr>
      <vt:lpstr>USD_020_FuturesConvAdjQuotes!SerializationPath</vt:lpstr>
      <vt:lpstr>UsdLibor!SerializationPath</vt:lpstr>
      <vt:lpstr>SerializationPath</vt:lpstr>
      <vt:lpstr>'1M'!Serialize</vt:lpstr>
      <vt:lpstr>'1M (2)'!Serialize</vt:lpstr>
      <vt:lpstr>'1M (3)'!Serialize</vt:lpstr>
      <vt:lpstr>'1Y'!Serialize</vt:lpstr>
      <vt:lpstr>'1Y (2)'!Serialize</vt:lpstr>
      <vt:lpstr>'3M'!Serialize</vt:lpstr>
      <vt:lpstr>'3M (2)'!Serialize</vt:lpstr>
      <vt:lpstr>'3M (3)'!Serialize</vt:lpstr>
      <vt:lpstr>'6M'!Serialize</vt:lpstr>
      <vt:lpstr>'6M (2)'!Serialize</vt:lpstr>
      <vt:lpstr>BasisSwap1MxM!Serialize</vt:lpstr>
      <vt:lpstr>BasisSwap3M6M!Serialize</vt:lpstr>
      <vt:lpstr>BasisSwapxM12M!Serialize</vt:lpstr>
      <vt:lpstr>Deposits!Serialize</vt:lpstr>
      <vt:lpstr>FRA!Serialize</vt:lpstr>
      <vt:lpstr>Futures1M!Serialize</vt:lpstr>
      <vt:lpstr>Futures3M!Serialize</vt:lpstr>
      <vt:lpstr>FuturesHWConvAdj!Serialize</vt:lpstr>
      <vt:lpstr>'ImmFra6M '!Serialize</vt:lpstr>
      <vt:lpstr>Libor!Serialize</vt:lpstr>
      <vt:lpstr>LiborSwapForBasisCalc!Serialize</vt:lpstr>
      <vt:lpstr>LiborSwapIsdaFixAm!Serialize</vt:lpstr>
      <vt:lpstr>LiborSwapIsdaFixPm!Serialize</vt:lpstr>
      <vt:lpstr>OIS!Serialize</vt:lpstr>
      <vt:lpstr>ON!Serialize</vt:lpstr>
      <vt:lpstr>Swap3M!Serialize</vt:lpstr>
      <vt:lpstr>Swap6M!Serialize</vt:lpstr>
      <vt:lpstr>Swaps1M!Serialize</vt:lpstr>
      <vt:lpstr>SwapsIMMDated!Serialize</vt:lpstr>
      <vt:lpstr>USD_010_BasisSwapQuotes!Serialize</vt:lpstr>
      <vt:lpstr>USD_010_DepoFRAFuturesQuotes!Serialize</vt:lpstr>
      <vt:lpstr>USD_010_SwapQuotes!Serialize</vt:lpstr>
      <vt:lpstr>USD_015_SyntheticQuotes!Serialize</vt:lpstr>
      <vt:lpstr>USD_020_ForwardSwapQuotes!Serialize</vt:lpstr>
      <vt:lpstr>USD_020_FuturesConvAdjQuotes!Serialize</vt:lpstr>
      <vt:lpstr>UsdLibor!Serialize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'LIBOR (2)'!Traits</vt:lpstr>
      <vt:lpstr>SFIX1!Traits</vt:lpstr>
      <vt:lpstr>SFIX2!Traits</vt:lpstr>
      <vt:lpstr>SFIX3!Traits</vt:lpstr>
      <vt:lpstr>'1M'!Trigger</vt:lpstr>
      <vt:lpstr>'1M (2)'!Trigger</vt:lpstr>
      <vt:lpstr>'1M (3)'!Trigger</vt:lpstr>
      <vt:lpstr>'1Y'!Trigger</vt:lpstr>
      <vt:lpstr>'1Y (2)'!Trigger</vt:lpstr>
      <vt:lpstr>'3M'!Trigger</vt:lpstr>
      <vt:lpstr>'3M (2)'!Trigger</vt:lpstr>
      <vt:lpstr>'3M (3)'!Trigger</vt:lpstr>
      <vt:lpstr>'6M'!Trigger</vt:lpstr>
      <vt:lpstr>'6M (2)'!Trigger</vt:lpstr>
      <vt:lpstr>BasisSwap1MxM!Trigger</vt:lpstr>
      <vt:lpstr>'BasisSwap1MXM (2)'!Trigger</vt:lpstr>
      <vt:lpstr>BasisSwap3M6M!Trigger</vt:lpstr>
      <vt:lpstr>'BasisSwap3M6M (2)'!Trigger</vt:lpstr>
      <vt:lpstr>BasisSwapxM12M!Trigger</vt:lpstr>
      <vt:lpstr>'BasisSwapXM12M (2)'!Trigger</vt:lpstr>
      <vt:lpstr>Deposits!Trigger</vt:lpstr>
      <vt:lpstr>'Deposits (2)'!Trigger</vt:lpstr>
      <vt:lpstr>EONIAOIS!Trigger</vt:lpstr>
      <vt:lpstr>FRA!Trigger</vt:lpstr>
      <vt:lpstr>'FRA (2)'!Trigger</vt:lpstr>
      <vt:lpstr>Futures1M!Trigger</vt:lpstr>
      <vt:lpstr>'Futures1M (2)'!Trigger</vt:lpstr>
      <vt:lpstr>Futures3M!Trigger</vt:lpstr>
      <vt:lpstr>'Futures3M (2)'!Trigger</vt:lpstr>
      <vt:lpstr>FuturesConvexityAdjustment!Trigger</vt:lpstr>
      <vt:lpstr>FuturesHWConvAdj!Trigger</vt:lpstr>
      <vt:lpstr>FwdEONIAOIS!Trigger</vt:lpstr>
      <vt:lpstr>'General Settings'!Trigger</vt:lpstr>
      <vt:lpstr>'IB365'!Trigger</vt:lpstr>
      <vt:lpstr>IBOR!Trigger</vt:lpstr>
      <vt:lpstr>'ImmFra6M '!Trigger</vt:lpstr>
      <vt:lpstr>Libor!Trigger</vt:lpstr>
      <vt:lpstr>'LIBOR (2)'!Trigger</vt:lpstr>
      <vt:lpstr>LiborSwapForBasisCalc!Trigger</vt:lpstr>
      <vt:lpstr>LiborSwapIsdaFixAm!Trigger</vt:lpstr>
      <vt:lpstr>LiborSwapIsdaFixPm!Trigger</vt:lpstr>
      <vt:lpstr>OIS!Trigger</vt:lpstr>
      <vt:lpstr>ON!Trigger</vt:lpstr>
      <vt:lpstr>SFIX1!Trigger</vt:lpstr>
      <vt:lpstr>SFIX2!Trigger</vt:lpstr>
      <vt:lpstr>SFIX3!Trigger</vt:lpstr>
      <vt:lpstr>Swap1M!Trigger</vt:lpstr>
      <vt:lpstr>Swap3M!Trigger</vt:lpstr>
      <vt:lpstr>'Swap3M (2)'!Trigger</vt:lpstr>
      <vt:lpstr>Swap6M!Trigger</vt:lpstr>
      <vt:lpstr>'Swap6M (2)'!Trigger</vt:lpstr>
      <vt:lpstr>SwapIMMDated!Trigger</vt:lpstr>
      <vt:lpstr>Swaps1M!Trigger</vt:lpstr>
      <vt:lpstr>SwapsIMMDated!Trigger</vt:lpstr>
      <vt:lpstr>USD_010_BasisSwapQuotes!Trigger</vt:lpstr>
      <vt:lpstr>USD_010_DepoFRAFuturesQuotes!Trigger</vt:lpstr>
      <vt:lpstr>USD_010_SwapQuotes!Trigger</vt:lpstr>
      <vt:lpstr>USD_015_SyntheticQuotes!Trigger</vt:lpstr>
      <vt:lpstr>USD_020_ForwardSwapQuotes!Trigger</vt:lpstr>
      <vt:lpstr>USD_020_FuturesConvAdjQuotes!Trigger</vt:lpstr>
      <vt:lpstr>USD_MMIndicesAddLastFixing!Trigger</vt:lpstr>
      <vt:lpstr>UsdLibor!Trigger</vt:lpstr>
      <vt:lpstr>Trigger</vt:lpstr>
      <vt:lpstr>USD_MMIndicesAddLastFixing!TriggerCounter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2013-12-12T22:18:47Z</dcterms:modified>
</cp:coreProperties>
</file>
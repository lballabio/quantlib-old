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793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_2" sheetId="36" r:id="rId33"/>
    <sheet name="1Y (2)" sheetId="37" r:id="rId34"/>
    <sheet name="FwdEONIAOIS" sheetId="55" r:id="rId35"/>
    <sheet name="SFIX3" sheetId="60" r:id="rId36"/>
    <sheet name="IB365" sheetId="61" r:id="rId37"/>
    <sheet name="IBOR" sheetId="62" r:id="rId38"/>
  </sheets>
  <externalReferences>
    <externalReference r:id="rId39"/>
  </externalReferences>
  <definedNames>
    <definedName name="Contributor" localSheetId="34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BasisSwap3M6M!$AF$5:$AH$9</definedName>
    <definedName name="Conventions" localSheetId="13">BasisSwapxM12M!$AF$5:$AH$9</definedName>
    <definedName name="Conventions" localSheetId="23">Swap3M!$AF$5:$AH$9</definedName>
    <definedName name="Conventions" localSheetId="24">Swap6M!$AF$5:$AH$9</definedName>
    <definedName name="Counter" localSheetId="34">FwdEONIAOIS!$Q$3</definedName>
    <definedName name="Counter">Futures1M!$Z$4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16">Futures1M!$AM$4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4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Futures1M!$AC$6:$AD$10</definedName>
    <definedName name="LiffeCodes" localSheetId="17">Futures3M!$AC$6:$AD$10</definedName>
    <definedName name="LiveDataFeed">'General Settings'!$E$23</definedName>
    <definedName name="MeanReversion" localSheetId="16">Futures1M!$AM$3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26">'1M'!$N$5:$N$9</definedName>
    <definedName name="Quote" localSheetId="27">'3M'!$N$5:$N$11</definedName>
    <definedName name="Quote" localSheetId="28">'6M'!$N$5:$N$14</definedName>
    <definedName name="Quote" localSheetId="11">BasisSwap1MxM!$AB$5:$AB$42</definedName>
    <definedName name="Quote" localSheetId="12">BasisSwap3M6M!$AB$5:$AB$42</definedName>
    <definedName name="Quote" localSheetId="13">BasisSwapxM12M!$AB$5:$AB$42</definedName>
    <definedName name="Quote" localSheetId="14">Deposits!$O$5:$O$22</definedName>
    <definedName name="Quote" localSheetId="15">FRA!$W$7:$W$21</definedName>
    <definedName name="Quote" localSheetId="16">Futures1M!$Y$6:$Y$17</definedName>
    <definedName name="Quote" localSheetId="17">Futures3M!$Y$6:$Y$47</definedName>
    <definedName name="Quote" localSheetId="19">FuturesHWConvAdj!$P$5:$P$6</definedName>
    <definedName name="Quote" localSheetId="34">FwdEONIAOIS!$P$5:$P$10</definedName>
    <definedName name="Quote" localSheetId="20">OIS!$X$5:$X$58</definedName>
    <definedName name="Quote" localSheetId="23">Swap3M!$AB$5:$AB$42</definedName>
    <definedName name="Quote" localSheetId="21">Swaps1M!$X$5:$X$18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4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2">BasisSwap3M6M!$Z$5:$Z$42</definedName>
    <definedName name="QuoteStatic" localSheetId="13">BasisSwapxM12M!$Z$5:$Z$42</definedName>
    <definedName name="QuoteStatic" localSheetId="14">Deposits!$M$5:$M$22</definedName>
    <definedName name="QuoteStatic" localSheetId="15">FRA!$U$7:$U$21</definedName>
    <definedName name="QuoteStatic" localSheetId="16">Futures1M!$W$6:$W$17</definedName>
    <definedName name="QuoteStatic" localSheetId="17">Futures3M!$W$6:$W$47</definedName>
    <definedName name="QuoteStatic" localSheetId="19">FuturesHWConvAdj!$N$5:$N$6</definedName>
    <definedName name="QuoteStatic" localSheetId="34">FwdEONIAOIS!$M$5:$M$10</definedName>
    <definedName name="QuoteStatic" localSheetId="20">OIS!$V$5:$V$58</definedName>
    <definedName name="QuoteStatic" localSheetId="23">Swap3M!$Z$5:$Z$42</definedName>
    <definedName name="QuoteStatic" localSheetId="24">Swap6M!$Z$5:$Z$42</definedName>
    <definedName name="QuoteStatic" localSheetId="21">Swaps1M!$V$5:$V$18</definedName>
    <definedName name="QuoteStatic" localSheetId="22">SwapsIMMDated!$V$5:$V$11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Swap6M!$AB$12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6">'IB365'!$C$24:$E$30</definedName>
    <definedName name="Traits" localSheetId="37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5">SFIX3!$C$21:$E$27</definedName>
    <definedName name="Trigger">'General Settings'!$J$4</definedName>
    <definedName name="TriggerCounter">'General Settings'!$D$7</definedName>
    <definedName name="Volatility" localSheetId="16">Futures1M!$AM$2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P5" i="55" l="1" a="1"/>
  <c r="P10" i="55" s="1"/>
  <c r="P5" i="55"/>
  <c r="P6" i="55"/>
  <c r="P7" i="55"/>
  <c r="P8" i="55"/>
  <c r="P9" i="55"/>
  <c r="N5" i="31" a="1"/>
  <c r="N11" i="31" s="1"/>
  <c r="N5" i="31"/>
  <c r="N6" i="31"/>
  <c r="N7" i="31"/>
  <c r="N8" i="31"/>
  <c r="N9" i="31"/>
  <c r="N10" i="31"/>
  <c r="N12" i="31"/>
  <c r="N13" i="31"/>
  <c r="N14" i="31"/>
  <c r="N5" i="30" a="1"/>
  <c r="N11" i="30" s="1"/>
  <c r="N5" i="30"/>
  <c r="N6" i="30"/>
  <c r="N7" i="30"/>
  <c r="N5" i="29" a="1"/>
  <c r="N8" i="29" s="1"/>
  <c r="N5" i="29"/>
  <c r="N6" i="29"/>
  <c r="N7" i="29"/>
  <c r="AB5" i="25" a="1"/>
  <c r="AB10" i="25" s="1"/>
  <c r="AB5" i="25"/>
  <c r="AB6" i="25"/>
  <c r="AB7" i="25"/>
  <c r="AB8" i="25"/>
  <c r="AB9" i="25"/>
  <c r="AB12" i="25"/>
  <c r="AB13" i="25"/>
  <c r="AB14" i="25"/>
  <c r="AB15" i="25"/>
  <c r="AB16" i="25"/>
  <c r="AB17" i="25"/>
  <c r="AB20" i="25"/>
  <c r="AB21" i="25"/>
  <c r="AB22" i="25"/>
  <c r="AB23" i="25"/>
  <c r="AB24" i="25"/>
  <c r="AB25" i="25"/>
  <c r="AB28" i="25"/>
  <c r="AB29" i="25"/>
  <c r="AB30" i="25"/>
  <c r="AB31" i="25"/>
  <c r="AB32" i="25"/>
  <c r="AB33" i="25"/>
  <c r="AB36" i="25"/>
  <c r="AB37" i="25"/>
  <c r="AB38" i="25"/>
  <c r="AB39" i="25"/>
  <c r="AB40" i="25"/>
  <c r="AB41" i="25"/>
  <c r="X5" i="23" a="1"/>
  <c r="X11" i="23" s="1"/>
  <c r="X5" i="23"/>
  <c r="X6" i="23"/>
  <c r="X7" i="23"/>
  <c r="X8" i="23"/>
  <c r="X9" i="23"/>
  <c r="X10" i="23"/>
  <c r="X12" i="23"/>
  <c r="X13" i="23"/>
  <c r="X14" i="23"/>
  <c r="X15" i="23"/>
  <c r="X16" i="23"/>
  <c r="X17" i="23"/>
  <c r="X18" i="23"/>
  <c r="X5" i="22" a="1"/>
  <c r="X5" i="22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P5" i="20" a="1"/>
  <c r="Y6" i="18" a="1"/>
  <c r="Y11" i="18" s="1"/>
  <c r="Y6" i="18"/>
  <c r="Y7" i="18"/>
  <c r="Y8" i="18"/>
  <c r="Y9" i="18"/>
  <c r="Y10" i="18"/>
  <c r="Y13" i="18"/>
  <c r="Y14" i="18"/>
  <c r="Y15" i="18"/>
  <c r="Y16" i="18"/>
  <c r="Y17" i="18"/>
  <c r="Y18" i="18"/>
  <c r="Y21" i="18"/>
  <c r="Y22" i="18"/>
  <c r="Y23" i="18"/>
  <c r="Y24" i="18"/>
  <c r="Y25" i="18"/>
  <c r="Y26" i="18"/>
  <c r="Y29" i="18"/>
  <c r="Y30" i="18"/>
  <c r="Y31" i="18"/>
  <c r="Y32" i="18"/>
  <c r="Y33" i="18"/>
  <c r="Y34" i="18"/>
  <c r="Y37" i="18"/>
  <c r="Y38" i="18"/>
  <c r="Y39" i="18"/>
  <c r="Y40" i="18"/>
  <c r="Y41" i="18"/>
  <c r="Y42" i="18"/>
  <c r="Y45" i="18"/>
  <c r="Y46" i="18"/>
  <c r="Y47" i="18"/>
  <c r="Y6" i="17" a="1"/>
  <c r="Y7" i="17" s="1"/>
  <c r="Y6" i="17"/>
  <c r="W7" i="16" a="1"/>
  <c r="W14" i="16" s="1"/>
  <c r="W8" i="16"/>
  <c r="W9" i="16"/>
  <c r="W10" i="16"/>
  <c r="W11" i="16"/>
  <c r="W16" i="16"/>
  <c r="W17" i="16"/>
  <c r="W18" i="16"/>
  <c r="W19" i="16"/>
  <c r="O5" i="15" a="1"/>
  <c r="O5" i="15" s="1"/>
  <c r="O6" i="15"/>
  <c r="O7" i="15"/>
  <c r="O8" i="15"/>
  <c r="O9" i="15"/>
  <c r="O14" i="15"/>
  <c r="O15" i="15"/>
  <c r="O16" i="15"/>
  <c r="O17" i="15"/>
  <c r="O22" i="15"/>
  <c r="AB5" i="13" a="1"/>
  <c r="AB5" i="13"/>
  <c r="AB6" i="13"/>
  <c r="AB12" i="13"/>
  <c r="AB13" i="13"/>
  <c r="AB14" i="13"/>
  <c r="AB19" i="13"/>
  <c r="AB20" i="13"/>
  <c r="AB21" i="13"/>
  <c r="AB22" i="13"/>
  <c r="AB28" i="13"/>
  <c r="AB29" i="13"/>
  <c r="AB30" i="13"/>
  <c r="AB35" i="13"/>
  <c r="AB36" i="13"/>
  <c r="AB37" i="13"/>
  <c r="AB38" i="13"/>
  <c r="AB5" i="12" a="1"/>
  <c r="AB5" i="12"/>
  <c r="AB6" i="12"/>
  <c r="AB7" i="12"/>
  <c r="AB12" i="12"/>
  <c r="AB13" i="12"/>
  <c r="AB14" i="12"/>
  <c r="AB15" i="12"/>
  <c r="AB20" i="12"/>
  <c r="AB21" i="12"/>
  <c r="AB22" i="12"/>
  <c r="AB23" i="12"/>
  <c r="AB28" i="12"/>
  <c r="AB29" i="12"/>
  <c r="AB30" i="12"/>
  <c r="AB31" i="12"/>
  <c r="AB36" i="12"/>
  <c r="AB37" i="12"/>
  <c r="AB38" i="12"/>
  <c r="AB39" i="12"/>
  <c r="AB5" i="11" a="1"/>
  <c r="AB9" i="11" s="1"/>
  <c r="AB5" i="11"/>
  <c r="AB6" i="11"/>
  <c r="AB7" i="11"/>
  <c r="AB8" i="11"/>
  <c r="AB12" i="11"/>
  <c r="AB13" i="11"/>
  <c r="AB14" i="11"/>
  <c r="AB15" i="11"/>
  <c r="AB16" i="11"/>
  <c r="AB20" i="11"/>
  <c r="AB21" i="11"/>
  <c r="AB22" i="11"/>
  <c r="AB23" i="11"/>
  <c r="AB24" i="11"/>
  <c r="AB27" i="11"/>
  <c r="AB28" i="11"/>
  <c r="AB29" i="11"/>
  <c r="AB30" i="11"/>
  <c r="AB31" i="11"/>
  <c r="AB32" i="11"/>
  <c r="AB35" i="11"/>
  <c r="AB36" i="11"/>
  <c r="AB37" i="11"/>
  <c r="AB38" i="11"/>
  <c r="AB39" i="11"/>
  <c r="AB40" i="11"/>
  <c r="Y13" i="17" l="1"/>
  <c r="AB10" i="13"/>
  <c r="AB18" i="13"/>
  <c r="AB26" i="13"/>
  <c r="AB34" i="13"/>
  <c r="AB42" i="13"/>
  <c r="AB7" i="13"/>
  <c r="AB15" i="13"/>
  <c r="AB23" i="13"/>
  <c r="AB31" i="13"/>
  <c r="AB39" i="13"/>
  <c r="AB8" i="13"/>
  <c r="AB16" i="13"/>
  <c r="AB24" i="13"/>
  <c r="AB32" i="13"/>
  <c r="AB40" i="13"/>
  <c r="AB9" i="13"/>
  <c r="AB17" i="13"/>
  <c r="AB25" i="13"/>
  <c r="AB33" i="13"/>
  <c r="AB41" i="13"/>
  <c r="Y10" i="17"/>
  <c r="Y11" i="17"/>
  <c r="Y8" i="17"/>
  <c r="Y16" i="17"/>
  <c r="Y9" i="17"/>
  <c r="Y17" i="17"/>
  <c r="Y15" i="17"/>
  <c r="P5" i="20"/>
  <c r="P6" i="20"/>
  <c r="AB11" i="12"/>
  <c r="AB19" i="12"/>
  <c r="AB27" i="12"/>
  <c r="AB35" i="12"/>
  <c r="AB8" i="12"/>
  <c r="AB16" i="12"/>
  <c r="AB24" i="12"/>
  <c r="AB32" i="12"/>
  <c r="AB40" i="12"/>
  <c r="AB9" i="12"/>
  <c r="AB17" i="12"/>
  <c r="AB25" i="12"/>
  <c r="AB33" i="12"/>
  <c r="AB41" i="12"/>
  <c r="AB10" i="12"/>
  <c r="AB18" i="12"/>
  <c r="AB26" i="12"/>
  <c r="AB34" i="12"/>
  <c r="AB42" i="12"/>
  <c r="AB27" i="13"/>
  <c r="AB11" i="13"/>
  <c r="Y14" i="17"/>
  <c r="Y12" i="17"/>
  <c r="AB19" i="11"/>
  <c r="AB11" i="11"/>
  <c r="O20" i="15"/>
  <c r="O12" i="15"/>
  <c r="N10" i="30"/>
  <c r="AB42" i="11"/>
  <c r="AB34" i="11"/>
  <c r="AB26" i="11"/>
  <c r="AB18" i="11"/>
  <c r="AB10" i="11"/>
  <c r="O19" i="15"/>
  <c r="O11" i="15"/>
  <c r="W21" i="16"/>
  <c r="W13" i="16"/>
  <c r="Y44" i="18"/>
  <c r="Y36" i="18"/>
  <c r="Y28" i="18"/>
  <c r="Y20" i="18"/>
  <c r="Y12" i="18"/>
  <c r="AB35" i="25"/>
  <c r="AB27" i="25"/>
  <c r="AB19" i="25"/>
  <c r="AB11" i="25"/>
  <c r="N9" i="29"/>
  <c r="N9" i="30"/>
  <c r="AB41" i="11"/>
  <c r="AB33" i="11"/>
  <c r="AB25" i="11"/>
  <c r="AB17" i="11"/>
  <c r="O18" i="15"/>
  <c r="O10" i="15"/>
  <c r="W20" i="16"/>
  <c r="W12" i="16"/>
  <c r="Y43" i="18"/>
  <c r="Y35" i="18"/>
  <c r="Y27" i="18"/>
  <c r="Y19" i="18"/>
  <c r="AB42" i="25"/>
  <c r="AB34" i="25"/>
  <c r="AB26" i="25"/>
  <c r="AB18" i="25"/>
  <c r="N8" i="30"/>
  <c r="O21" i="15"/>
  <c r="O13" i="15"/>
  <c r="W15" i="16"/>
  <c r="W7" i="16"/>
  <c r="J14" i="31"/>
  <c r="J13" i="31"/>
  <c r="J12" i="31"/>
  <c r="J11" i="31"/>
  <c r="J10" i="31"/>
  <c r="J9" i="31"/>
  <c r="J8" i="31"/>
  <c r="J7" i="31"/>
  <c r="J6" i="31"/>
  <c r="J5" i="31"/>
  <c r="J11" i="30"/>
  <c r="J10" i="30"/>
  <c r="J9" i="30"/>
  <c r="J8" i="30"/>
  <c r="J7" i="30"/>
  <c r="J6" i="30"/>
  <c r="J5" i="30"/>
  <c r="J9" i="29"/>
  <c r="J8" i="29"/>
  <c r="J7" i="29"/>
  <c r="J6" i="29"/>
  <c r="J5" i="29"/>
  <c r="AM2" i="17" l="1"/>
  <c r="AM3" i="17"/>
  <c r="AM4" i="17"/>
  <c r="AM6" i="17"/>
  <c r="AK7" i="17" a="1"/>
  <c r="AK7" i="17" l="1"/>
  <c r="AK15" i="17"/>
  <c r="AK8" i="17"/>
  <c r="AM8" i="17" s="1"/>
  <c r="AK16" i="17"/>
  <c r="AK11" i="17"/>
  <c r="AK12" i="17"/>
  <c r="AK13" i="17"/>
  <c r="AK14" i="17"/>
  <c r="AK9" i="17"/>
  <c r="AK17" i="17"/>
  <c r="AK10" i="17"/>
  <c r="AK18" i="17"/>
  <c r="AL8" i="17" l="1"/>
  <c r="AL7" i="17"/>
  <c r="AM7" i="17"/>
  <c r="AL9" i="17"/>
  <c r="AM9" i="17"/>
  <c r="AL10" i="17"/>
  <c r="AM10" i="17"/>
  <c r="AL11" i="17"/>
  <c r="AN9" i="17"/>
  <c r="AN7" i="17"/>
  <c r="AN8" i="17"/>
  <c r="AN10" i="17"/>
  <c r="AM11" i="17" l="1"/>
  <c r="AL12" i="17"/>
  <c r="AM12" i="17"/>
  <c r="AL13" i="17"/>
  <c r="AN11" i="17"/>
  <c r="AN12" i="17"/>
  <c r="AO7" i="17"/>
  <c r="AO8" i="17"/>
  <c r="AO9" i="17"/>
  <c r="AO10" i="17"/>
  <c r="AM13" i="17" l="1"/>
  <c r="AL14" i="17"/>
  <c r="AM14" i="17"/>
  <c r="AL15" i="17"/>
  <c r="AN14" i="17"/>
  <c r="AN13" i="17"/>
  <c r="AO12" i="17"/>
  <c r="AO11" i="17"/>
  <c r="AM15" i="17" l="1"/>
  <c r="AL16" i="17"/>
  <c r="AM16" i="17"/>
  <c r="AL17" i="17"/>
  <c r="AM17" i="17"/>
  <c r="AL18" i="17"/>
  <c r="AN16" i="17"/>
  <c r="AN17" i="17"/>
  <c r="AN15" i="17"/>
  <c r="AO13" i="17"/>
  <c r="AO14" i="17"/>
  <c r="AM18" i="17" l="1"/>
  <c r="AL5" i="18"/>
  <c r="AK6" i="18" a="1"/>
  <c r="AN18" i="17"/>
  <c r="D6" i="17" a="1"/>
  <c r="AO17" i="17"/>
  <c r="AO16" i="17"/>
  <c r="AO15" i="17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 s="1"/>
  <c r="AK27" i="18"/>
  <c r="AO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 s="1"/>
  <c r="AK37" i="18"/>
  <c r="AK38" i="18"/>
  <c r="AK39" i="18"/>
  <c r="AL39" i="18" s="1"/>
  <c r="AK40" i="18"/>
  <c r="AL40" i="18" s="1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 s="1"/>
  <c r="AL37" i="18" l="1"/>
  <c r="AL42" i="18"/>
  <c r="AL46" i="18"/>
  <c r="AL38" i="18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Y17" i="23"/>
  <c r="Y18" i="23"/>
  <c r="Y16" i="23"/>
  <c r="D5" i="64" l="1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7" i="64"/>
  <c r="E19" i="64"/>
  <c r="E14" i="64"/>
  <c r="E9" i="64"/>
  <c r="E6" i="64"/>
  <c r="E21" i="64"/>
  <c r="E18" i="64"/>
  <c r="E15" i="64"/>
  <c r="E17" i="64"/>
  <c r="E16" i="64"/>
  <c r="E20" i="64"/>
  <c r="E11" i="64"/>
  <c r="E12" i="64"/>
  <c r="E13" i="64"/>
  <c r="E10" i="64"/>
  <c r="E22" i="64"/>
  <c r="E8" i="64"/>
  <c r="M5" i="8" l="1"/>
  <c r="M7" i="8" s="1"/>
  <c r="S5" i="8"/>
  <c r="S7" i="8" s="1"/>
  <c r="P7" i="8"/>
  <c r="Q7" i="8" s="1"/>
  <c r="U7" i="8" s="1"/>
  <c r="P8" i="8"/>
  <c r="Q8" i="8" s="1"/>
  <c r="W7" i="8"/>
  <c r="T7" i="8"/>
  <c r="F13" i="64"/>
  <c r="F15" i="64"/>
  <c r="F14" i="64"/>
  <c r="F18" i="64"/>
  <c r="F10" i="64"/>
  <c r="I7" i="64"/>
  <c r="F16" i="64"/>
  <c r="F12" i="64"/>
  <c r="F7" i="64"/>
  <c r="F19" i="64"/>
  <c r="I6" i="64"/>
  <c r="F11" i="64"/>
  <c r="F6" i="64"/>
  <c r="F22" i="64"/>
  <c r="F17" i="64"/>
  <c r="F20" i="64"/>
  <c r="F21" i="64"/>
  <c r="F9" i="64"/>
  <c r="F8" i="64"/>
  <c r="M6" i="8"/>
  <c r="M8" i="8" l="1"/>
  <c r="V7" i="8"/>
  <c r="X7" i="8" s="1"/>
  <c r="S8" i="8"/>
  <c r="U8" i="8"/>
  <c r="M9" i="8"/>
  <c r="P9" i="8"/>
  <c r="Q9" i="8" s="1"/>
  <c r="S9" i="8"/>
  <c r="W8" i="8"/>
  <c r="T8" i="8"/>
  <c r="T9" i="8"/>
  <c r="V8" i="8" l="1"/>
  <c r="X8" i="8" s="1"/>
  <c r="U9" i="8"/>
  <c r="V9" i="8" s="1"/>
  <c r="X9" i="8" s="1"/>
  <c r="M10" i="8"/>
  <c r="P10" i="8"/>
  <c r="Q10" i="8" s="1"/>
  <c r="S10" i="8"/>
  <c r="W9" i="8"/>
  <c r="T10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W15" i="8"/>
  <c r="T20" i="8"/>
  <c r="W16" i="8"/>
  <c r="T19" i="8"/>
  <c r="T13" i="8"/>
  <c r="W12" i="8"/>
  <c r="T12" i="8"/>
  <c r="T21" i="8"/>
  <c r="T14" i="8"/>
  <c r="W11" i="8"/>
  <c r="W20" i="8"/>
  <c r="T15" i="8"/>
  <c r="W13" i="8"/>
  <c r="T16" i="8"/>
  <c r="T7" i="7"/>
  <c r="W10" i="8"/>
  <c r="T18" i="8"/>
  <c r="W18" i="8"/>
  <c r="W14" i="8"/>
  <c r="W19" i="8"/>
  <c r="T17" i="8"/>
  <c r="T11" i="8"/>
  <c r="W21" i="8"/>
  <c r="W17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T8" i="7"/>
  <c r="Q7" i="7"/>
  <c r="V5" i="8" l="1"/>
  <c r="S9" i="7"/>
  <c r="M10" i="7"/>
  <c r="P10" i="7"/>
  <c r="U7" i="7"/>
  <c r="Q8" i="7"/>
  <c r="T9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X5" i="26"/>
  <c r="T20" i="7"/>
  <c r="T13" i="7"/>
  <c r="T18" i="7"/>
  <c r="T17" i="7"/>
  <c r="Q9" i="7"/>
  <c r="W20" i="7"/>
  <c r="W7" i="7"/>
  <c r="T10" i="7"/>
  <c r="T21" i="7"/>
  <c r="T11" i="7"/>
  <c r="T14" i="7"/>
  <c r="T15" i="7"/>
  <c r="W17" i="7"/>
  <c r="U8" i="7"/>
  <c r="T19" i="7"/>
  <c r="T12" i="7"/>
  <c r="T16" i="7"/>
  <c r="S4" i="26"/>
  <c r="V8" i="7" l="1"/>
  <c r="X8" i="7" s="1"/>
  <c r="V20" i="7"/>
  <c r="X20" i="7" s="1"/>
  <c r="V17" i="7"/>
  <c r="X17" i="7" s="1"/>
  <c r="R5" i="26"/>
  <c r="AJ5" i="26"/>
  <c r="P6" i="26"/>
  <c r="Q6" i="26"/>
  <c r="X6" i="26"/>
  <c r="Q15" i="7"/>
  <c r="Q14" i="7"/>
  <c r="U9" i="7"/>
  <c r="W8" i="7"/>
  <c r="Q19" i="7"/>
  <c r="Q18" i="7"/>
  <c r="Q11" i="7"/>
  <c r="Q16" i="7"/>
  <c r="Q12" i="7"/>
  <c r="Q13" i="7"/>
  <c r="Q10" i="7"/>
  <c r="Q21" i="7"/>
  <c r="V9" i="7" l="1"/>
  <c r="X9" i="7" s="1"/>
  <c r="R6" i="26"/>
  <c r="AJ6" i="26"/>
  <c r="P7" i="26"/>
  <c r="Q7" i="26"/>
  <c r="X7" i="26"/>
  <c r="U15" i="7"/>
  <c r="U18" i="7"/>
  <c r="U11" i="7"/>
  <c r="U19" i="7"/>
  <c r="U14" i="7"/>
  <c r="W9" i="7"/>
  <c r="U21" i="7"/>
  <c r="U16" i="7"/>
  <c r="U12" i="7"/>
  <c r="U10" i="7"/>
  <c r="U13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J7" i="26"/>
  <c r="P8" i="26"/>
  <c r="Q8" i="26"/>
  <c r="X8" i="26"/>
  <c r="W18" i="7"/>
  <c r="W10" i="7"/>
  <c r="W16" i="7"/>
  <c r="W11" i="7"/>
  <c r="W12" i="7"/>
  <c r="W19" i="7"/>
  <c r="W21" i="7"/>
  <c r="W13" i="7"/>
  <c r="W15" i="7"/>
  <c r="W14" i="7"/>
  <c r="V5" i="7" l="1"/>
  <c r="R8" i="26"/>
  <c r="AJ8" i="26"/>
  <c r="P9" i="26"/>
  <c r="Q9" i="26"/>
  <c r="X9" i="26"/>
  <c r="R9" i="26" l="1"/>
  <c r="AJ9" i="26"/>
  <c r="P10" i="26"/>
  <c r="Q10" i="26"/>
  <c r="X10" i="26"/>
  <c r="R10" i="26" l="1"/>
  <c r="AJ10" i="26"/>
  <c r="P11" i="26"/>
  <c r="Q11" i="26"/>
  <c r="X11" i="26"/>
  <c r="R11" i="26" l="1"/>
  <c r="AJ11" i="26"/>
  <c r="P12" i="26"/>
  <c r="Q12" i="26"/>
  <c r="X12" i="26"/>
  <c r="R12" i="26" l="1"/>
  <c r="AJ12" i="26"/>
  <c r="P13" i="26"/>
  <c r="Q13" i="26"/>
  <c r="X13" i="26"/>
  <c r="R13" i="26" l="1"/>
  <c r="AJ13" i="26"/>
  <c r="P14" i="26"/>
  <c r="Q14" i="26"/>
  <c r="X14" i="26"/>
  <c r="R14" i="26" l="1"/>
  <c r="AJ14" i="26"/>
  <c r="P15" i="26"/>
  <c r="Q15" i="26"/>
  <c r="X15" i="26"/>
  <c r="R15" i="26" l="1"/>
  <c r="AJ15" i="26"/>
  <c r="P16" i="26"/>
  <c r="Q16" i="26"/>
  <c r="X16" i="26"/>
  <c r="R16" i="26" l="1"/>
  <c r="AJ16" i="26"/>
  <c r="P17" i="26"/>
  <c r="Q17" i="26"/>
  <c r="X17" i="26"/>
  <c r="R17" i="26" l="1"/>
  <c r="AJ17" i="26"/>
  <c r="P18" i="26"/>
  <c r="Q18" i="26"/>
  <c r="X18" i="26"/>
  <c r="R18" i="26" l="1"/>
  <c r="AJ18" i="26"/>
  <c r="P19" i="26"/>
  <c r="Q19" i="26"/>
  <c r="X19" i="26"/>
  <c r="R19" i="26" l="1"/>
  <c r="AJ19" i="26"/>
  <c r="P20" i="26"/>
  <c r="Q20" i="26"/>
  <c r="X20" i="26"/>
  <c r="R20" i="26" l="1"/>
  <c r="AJ20" i="26"/>
  <c r="P21" i="26"/>
  <c r="Q21" i="26"/>
  <c r="X21" i="26"/>
  <c r="R21" i="26" l="1"/>
  <c r="AJ21" i="26"/>
  <c r="P22" i="26"/>
  <c r="Q22" i="26"/>
  <c r="X22" i="26"/>
  <c r="R22" i="26" l="1"/>
  <c r="AJ22" i="26"/>
  <c r="P23" i="26"/>
  <c r="Q23" i="26"/>
  <c r="X23" i="26"/>
  <c r="R23" i="26" l="1"/>
  <c r="AJ23" i="26"/>
  <c r="P24" i="26"/>
  <c r="Q24" i="26"/>
  <c r="X24" i="26"/>
  <c r="R24" i="26" l="1"/>
  <c r="AJ24" i="26"/>
  <c r="P25" i="26"/>
  <c r="Q25" i="26"/>
  <c r="X25" i="26"/>
  <c r="R25" i="26" l="1"/>
  <c r="AJ25" i="26"/>
  <c r="P26" i="26"/>
  <c r="Q26" i="26"/>
  <c r="X26" i="26"/>
  <c r="R26" i="26" l="1"/>
  <c r="AJ26" i="26"/>
  <c r="P27" i="26"/>
  <c r="Q27" i="26"/>
  <c r="R27" i="26"/>
  <c r="X27" i="26"/>
  <c r="AJ27" i="26" l="1"/>
  <c r="P28" i="26"/>
  <c r="Q28" i="26"/>
  <c r="X28" i="26"/>
  <c r="R28" i="26" l="1"/>
  <c r="AJ28" i="26"/>
  <c r="P29" i="26"/>
  <c r="Q29" i="26"/>
  <c r="R29" i="26"/>
  <c r="X29" i="26"/>
  <c r="AJ29" i="26" l="1"/>
  <c r="P30" i="26"/>
  <c r="Q30" i="26"/>
  <c r="X30" i="26"/>
  <c r="R30" i="26" l="1"/>
  <c r="AJ30" i="26"/>
  <c r="P31" i="26"/>
  <c r="Q31" i="26"/>
  <c r="X31" i="26"/>
  <c r="R31" i="26" l="1"/>
  <c r="AJ31" i="26"/>
  <c r="P32" i="26"/>
  <c r="Q32" i="26"/>
  <c r="X32" i="26"/>
  <c r="R32" i="26" l="1"/>
  <c r="AJ32" i="26"/>
  <c r="P33" i="26"/>
  <c r="Q33" i="26"/>
  <c r="X33" i="26"/>
  <c r="R33" i="26" l="1"/>
  <c r="AJ33" i="26"/>
  <c r="P34" i="26"/>
  <c r="Q34" i="26"/>
  <c r="X34" i="26"/>
  <c r="R34" i="26" l="1"/>
  <c r="AJ34" i="26"/>
  <c r="P35" i="26"/>
  <c r="Q35" i="26"/>
  <c r="R35" i="26"/>
  <c r="X35" i="26"/>
  <c r="AJ35" i="26" l="1"/>
  <c r="P36" i="26"/>
  <c r="Q36" i="26"/>
  <c r="X36" i="26"/>
  <c r="R36" i="26" l="1"/>
  <c r="AJ36" i="26"/>
  <c r="P37" i="26"/>
  <c r="Q37" i="26"/>
  <c r="R37" i="26"/>
  <c r="X37" i="26"/>
  <c r="AJ37" i="26" l="1"/>
  <c r="P38" i="26"/>
  <c r="Q38" i="26"/>
  <c r="X38" i="26"/>
  <c r="R38" i="26" l="1"/>
  <c r="AJ38" i="26"/>
  <c r="P39" i="26"/>
  <c r="Q39" i="26"/>
  <c r="R39" i="26"/>
  <c r="X39" i="26"/>
  <c r="AJ39" i="26" l="1"/>
  <c r="P40" i="26"/>
  <c r="Q40" i="26"/>
  <c r="R40" i="26"/>
  <c r="X40" i="26"/>
  <c r="AJ40" i="26" l="1"/>
  <c r="P41" i="26"/>
  <c r="Q41" i="26"/>
  <c r="X41" i="26"/>
  <c r="R41" i="26" l="1"/>
  <c r="AJ41" i="26"/>
  <c r="P42" i="26"/>
  <c r="Q42" i="26"/>
  <c r="X42" i="26"/>
  <c r="R42" i="26" l="1"/>
  <c r="S5" i="26" a="1"/>
  <c r="S42" i="26" s="1"/>
  <c r="AB5" i="26" a="1"/>
  <c r="AB42" i="26" s="1"/>
  <c r="S34" i="26" l="1"/>
  <c r="S18" i="26"/>
  <c r="S33" i="26"/>
  <c r="S17" i="26"/>
  <c r="S32" i="26"/>
  <c r="S16" i="26"/>
  <c r="S31" i="26"/>
  <c r="S15" i="26"/>
  <c r="S30" i="26"/>
  <c r="S14" i="26"/>
  <c r="S29" i="26"/>
  <c r="S13" i="26"/>
  <c r="S28" i="26"/>
  <c r="S12" i="26"/>
  <c r="S27" i="26"/>
  <c r="S11" i="26"/>
  <c r="S26" i="26"/>
  <c r="S10" i="26"/>
  <c r="S41" i="26"/>
  <c r="S25" i="26"/>
  <c r="S9" i="26"/>
  <c r="S40" i="26"/>
  <c r="S24" i="26"/>
  <c r="S8" i="26"/>
  <c r="S39" i="26"/>
  <c r="S23" i="26"/>
  <c r="S7" i="26"/>
  <c r="S38" i="26"/>
  <c r="S22" i="26"/>
  <c r="S6" i="26"/>
  <c r="S37" i="26"/>
  <c r="S21" i="26"/>
  <c r="S5" i="26"/>
  <c r="S36" i="26"/>
  <c r="S20" i="26"/>
  <c r="S35" i="26"/>
  <c r="S19" i="26"/>
  <c r="AB5" i="26"/>
  <c r="AB6" i="26"/>
  <c r="AB7" i="26"/>
  <c r="AB8" i="26"/>
  <c r="AB9" i="26"/>
  <c r="AB10" i="26"/>
  <c r="AB11" i="26"/>
  <c r="AB12" i="26"/>
  <c r="AB13" i="26"/>
  <c r="AB14" i="26"/>
  <c r="AB15" i="26"/>
  <c r="AB16" i="26"/>
  <c r="AB17" i="26"/>
  <c r="AB18" i="26"/>
  <c r="AB19" i="26"/>
  <c r="AB20" i="26"/>
  <c r="AB21" i="26"/>
  <c r="AB22" i="26"/>
  <c r="AB23" i="26"/>
  <c r="AB24" i="26"/>
  <c r="AB25" i="26"/>
  <c r="AB26" i="26"/>
  <c r="AB27" i="26"/>
  <c r="AB28" i="26"/>
  <c r="AB29" i="26"/>
  <c r="AB30" i="26"/>
  <c r="AB31" i="26"/>
  <c r="AB32" i="26"/>
  <c r="AB33" i="26"/>
  <c r="AB34" i="26"/>
  <c r="AB35" i="26"/>
  <c r="AB36" i="26"/>
  <c r="AB37" i="26"/>
  <c r="AB38" i="26"/>
  <c r="AB39" i="26"/>
  <c r="AB40" i="26"/>
  <c r="AB41" i="26"/>
  <c r="AJ42" i="26"/>
  <c r="P5" i="25" a="1"/>
  <c r="P5" i="25" s="1"/>
  <c r="Q5" i="25" a="1"/>
  <c r="Q5" i="25" s="1"/>
  <c r="X5" i="25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Q38" i="25"/>
  <c r="X38" i="25"/>
  <c r="R38" i="25" l="1"/>
  <c r="AJ38" i="25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38" i="18"/>
  <c r="U42" i="18"/>
  <c r="U16" i="18"/>
  <c r="U20" i="18"/>
  <c r="U9" i="18"/>
  <c r="U33" i="18"/>
  <c r="U40" i="18"/>
  <c r="U35" i="18"/>
  <c r="U47" i="18"/>
  <c r="U23" i="18"/>
  <c r="U37" i="18"/>
  <c r="U45" i="18"/>
  <c r="U14" i="18"/>
  <c r="U15" i="18"/>
  <c r="U10" i="18"/>
  <c r="U7" i="18"/>
  <c r="U11" i="18"/>
  <c r="U26" i="18"/>
  <c r="U25" i="18"/>
  <c r="U19" i="18"/>
  <c r="U36" i="18"/>
  <c r="U27" i="18"/>
  <c r="U28" i="18"/>
  <c r="U41" i="18"/>
  <c r="U44" i="18"/>
  <c r="U8" i="18"/>
  <c r="U30" i="18"/>
  <c r="U21" i="18"/>
  <c r="U13" i="18"/>
  <c r="U12" i="18"/>
  <c r="U18" i="18"/>
  <c r="U6" i="18"/>
  <c r="U17" i="18"/>
  <c r="U46" i="18"/>
  <c r="U43" i="18"/>
  <c r="U39" i="18"/>
  <c r="U24" i="18"/>
  <c r="U29" i="18"/>
  <c r="U22" i="18"/>
  <c r="U34" i="18"/>
  <c r="U32" i="18"/>
  <c r="U31" i="18"/>
  <c r="N6" i="18" a="1"/>
  <c r="H4" i="20"/>
  <c r="O5" i="18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AF47" i="18" l="1"/>
  <c r="U10" i="17"/>
  <c r="U17" i="17"/>
  <c r="U14" i="17"/>
  <c r="U8" i="17"/>
  <c r="U15" i="17"/>
  <c r="U9" i="17"/>
  <c r="U11" i="17"/>
  <c r="U13" i="17"/>
  <c r="U7" i="17"/>
  <c r="U16" i="17"/>
  <c r="U6" i="17"/>
  <c r="U12" i="17"/>
  <c r="N6" i="17" a="1"/>
  <c r="O5" i="17"/>
  <c r="AF7" i="17" l="1"/>
  <c r="AF16" i="17"/>
  <c r="AF12" i="17"/>
  <c r="AF8" i="17"/>
  <c r="AF15" i="17"/>
  <c r="AF6" i="17"/>
  <c r="AF11" i="17"/>
  <c r="AF14" i="17"/>
  <c r="AF10" i="17"/>
  <c r="AF13" i="17"/>
  <c r="AF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AF17" i="17" l="1"/>
  <c r="N4" i="16"/>
  <c r="M7" i="16"/>
  <c r="M8" i="16"/>
  <c r="S7" i="16"/>
  <c r="S8" i="16"/>
  <c r="N6" i="16"/>
  <c r="AA5" i="16" l="1"/>
  <c r="AA6" i="16"/>
  <c r="M9" i="16"/>
  <c r="S9" i="16"/>
  <c r="AA7" i="16" l="1"/>
  <c r="M10" i="16"/>
  <c r="S10" i="16"/>
  <c r="AA8" i="16" l="1"/>
  <c r="M11" i="16"/>
  <c r="S11" i="16"/>
  <c r="AA9" i="16" l="1"/>
  <c r="M12" i="16"/>
  <c r="S12" i="16"/>
  <c r="AA10" i="16" l="1"/>
  <c r="M13" i="16"/>
  <c r="S13" i="16"/>
  <c r="AA11" i="16" l="1"/>
  <c r="M14" i="16"/>
  <c r="S14" i="16"/>
  <c r="AA12" i="16" l="1"/>
  <c r="M15" i="16"/>
  <c r="S15" i="16"/>
  <c r="AA13" i="16" l="1"/>
  <c r="M16" i="16"/>
  <c r="S16" i="16"/>
  <c r="AA14" i="16" l="1"/>
  <c r="M17" i="16"/>
  <c r="S17" i="16"/>
  <c r="AA15" i="16" l="1"/>
  <c r="M18" i="16"/>
  <c r="S18" i="16"/>
  <c r="AA16" i="16" l="1"/>
  <c r="M19" i="16"/>
  <c r="S19" i="16"/>
  <c r="AA17" i="16" l="1"/>
  <c r="M20" i="16"/>
  <c r="S20" i="16"/>
  <c r="AA18" i="16" l="1"/>
  <c r="M21" i="16"/>
  <c r="N7" i="16" s="1" a="1"/>
  <c r="N21" i="16" s="1"/>
  <c r="S21" i="16"/>
  <c r="N7" i="16" l="1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AA19" i="16" l="1"/>
  <c r="K4" i="15"/>
  <c r="J5" i="15" a="1"/>
  <c r="J6" i="15" s="1"/>
  <c r="V5" i="15"/>
  <c r="J8" i="15" a="1"/>
  <c r="J10" i="15" s="1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N6" i="24"/>
  <c r="T5" i="24"/>
  <c r="T6" i="24"/>
  <c r="AB5" i="24" l="1"/>
  <c r="AB6" i="24"/>
  <c r="N7" i="24"/>
  <c r="T7" i="24"/>
  <c r="AB7" i="24" l="1"/>
  <c r="N8" i="24"/>
  <c r="T8" i="24"/>
  <c r="AB8" i="24" l="1"/>
  <c r="N9" i="24"/>
  <c r="T9" i="24"/>
  <c r="AB9" i="24" l="1"/>
  <c r="N10" i="24"/>
  <c r="T10" i="24"/>
  <c r="AB10" i="24" l="1"/>
  <c r="N11" i="24"/>
  <c r="O5" i="24" s="1" a="1"/>
  <c r="T11" i="24"/>
  <c r="X5" i="24" l="1" a="1"/>
  <c r="X11" i="24" s="1"/>
  <c r="O5" i="24"/>
  <c r="O6" i="24"/>
  <c r="O7" i="24"/>
  <c r="O8" i="24"/>
  <c r="O9" i="24"/>
  <c r="O10" i="24"/>
  <c r="O11" i="24"/>
  <c r="X5" i="24" l="1"/>
  <c r="X6" i="24"/>
  <c r="X7" i="24"/>
  <c r="X8" i="24"/>
  <c r="X9" i="24"/>
  <c r="X10" i="24"/>
  <c r="AB11" i="24"/>
  <c r="P5" i="11" a="1"/>
  <c r="P5" i="11" s="1"/>
  <c r="Q5" i="11" a="1"/>
  <c r="Q5" i="11" s="1"/>
  <c r="V5" i="11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W5" i="12"/>
  <c r="AI5" i="12"/>
  <c r="P6" i="12"/>
  <c r="Q6" i="12"/>
  <c r="R6" i="12" s="1"/>
  <c r="V6" i="12"/>
  <c r="W6" i="12" l="1"/>
  <c r="AI6" i="12"/>
  <c r="P7" i="12"/>
  <c r="Q7" i="12"/>
  <c r="R7" i="12"/>
  <c r="V7" i="12"/>
  <c r="W7" i="12" l="1"/>
  <c r="AI7" i="12"/>
  <c r="P8" i="12"/>
  <c r="Q8" i="12"/>
  <c r="V8" i="12"/>
  <c r="R8" i="12" l="1"/>
  <c r="W8" i="12"/>
  <c r="AI8" i="12"/>
  <c r="P9" i="12"/>
  <c r="Q9" i="12"/>
  <c r="R9" i="12"/>
  <c r="V9" i="12"/>
  <c r="W9" i="12" l="1"/>
  <c r="AI9" i="12"/>
  <c r="P10" i="12"/>
  <c r="Q10" i="12"/>
  <c r="R10" i="12"/>
  <c r="V10" i="12"/>
  <c r="W10" i="12" l="1"/>
  <c r="AI10" i="12"/>
  <c r="P11" i="12"/>
  <c r="Q11" i="12"/>
  <c r="V11" i="12"/>
  <c r="R11" i="12" l="1"/>
  <c r="W11" i="12"/>
  <c r="AI11" i="12"/>
  <c r="P12" i="12"/>
  <c r="Q12" i="12"/>
  <c r="V12" i="12"/>
  <c r="R12" i="12" l="1"/>
  <c r="W12" i="12"/>
  <c r="AI12" i="12"/>
  <c r="P13" i="12"/>
  <c r="Q13" i="12"/>
  <c r="R13" i="12"/>
  <c r="V13" i="12"/>
  <c r="W13" i="12" l="1"/>
  <c r="AI13" i="12"/>
  <c r="P14" i="12"/>
  <c r="Q14" i="12"/>
  <c r="R14" i="12"/>
  <c r="V14" i="12"/>
  <c r="W14" i="12" l="1"/>
  <c r="AI14" i="12"/>
  <c r="P15" i="12"/>
  <c r="Q15" i="12"/>
  <c r="R15" i="12"/>
  <c r="V15" i="12"/>
  <c r="W15" i="12" l="1"/>
  <c r="AI15" i="12"/>
  <c r="P16" i="12"/>
  <c r="Q16" i="12"/>
  <c r="V16" i="12"/>
  <c r="R16" i="12" l="1"/>
  <c r="W16" i="12"/>
  <c r="AI16" i="12"/>
  <c r="P17" i="12"/>
  <c r="Q17" i="12"/>
  <c r="V17" i="12"/>
  <c r="R17" i="12" l="1"/>
  <c r="W17" i="12"/>
  <c r="AI17" i="12"/>
  <c r="P18" i="12"/>
  <c r="Q18" i="12"/>
  <c r="V18" i="12"/>
  <c r="R18" i="12" l="1"/>
  <c r="W18" i="12"/>
  <c r="AI18" i="12"/>
  <c r="P19" i="12"/>
  <c r="Q19" i="12"/>
  <c r="V19" i="12"/>
  <c r="R19" i="12" l="1"/>
  <c r="W19" i="12"/>
  <c r="AI19" i="12"/>
  <c r="P20" i="12"/>
  <c r="Q20" i="12"/>
  <c r="R20" i="12"/>
  <c r="V20" i="12"/>
  <c r="W20" i="12" l="1"/>
  <c r="AI20" i="12"/>
  <c r="P21" i="12"/>
  <c r="Q21" i="12"/>
  <c r="R21" i="12"/>
  <c r="V21" i="12"/>
  <c r="W21" i="12" l="1"/>
  <c r="AI21" i="12"/>
  <c r="P22" i="12"/>
  <c r="Q22" i="12"/>
  <c r="R22" i="12"/>
  <c r="V22" i="12"/>
  <c r="W22" i="12" l="1"/>
  <c r="AI22" i="12"/>
  <c r="P23" i="12"/>
  <c r="Q23" i="12"/>
  <c r="R23" i="12"/>
  <c r="V23" i="12"/>
  <c r="W23" i="12" l="1"/>
  <c r="AI23" i="12"/>
  <c r="P24" i="12"/>
  <c r="Q24" i="12"/>
  <c r="R24" i="12"/>
  <c r="V24" i="12"/>
  <c r="W24" i="12" l="1"/>
  <c r="AI24" i="12"/>
  <c r="P25" i="12"/>
  <c r="R25" i="12" s="1"/>
  <c r="Q25" i="12"/>
  <c r="V25" i="12"/>
  <c r="W25" i="12" l="1"/>
  <c r="AI25" i="12"/>
  <c r="P26" i="12"/>
  <c r="Q26" i="12"/>
  <c r="V26" i="12"/>
  <c r="R26" i="12" l="1"/>
  <c r="W26" i="12"/>
  <c r="AI26" i="12"/>
  <c r="P27" i="12"/>
  <c r="Q27" i="12"/>
  <c r="R27" i="12"/>
  <c r="V27" i="12"/>
  <c r="W27" i="12" l="1"/>
  <c r="AI27" i="12"/>
  <c r="P28" i="12"/>
  <c r="Q28" i="12"/>
  <c r="R28" i="12"/>
  <c r="V28" i="12"/>
  <c r="W28" i="12" l="1"/>
  <c r="AI28" i="12"/>
  <c r="P29" i="12"/>
  <c r="Q29" i="12"/>
  <c r="V29" i="12"/>
  <c r="R29" i="12" l="1"/>
  <c r="W29" i="12"/>
  <c r="AI29" i="12"/>
  <c r="P30" i="12"/>
  <c r="Q30" i="12"/>
  <c r="V30" i="12"/>
  <c r="R30" i="12" l="1"/>
  <c r="W30" i="12"/>
  <c r="AI30" i="12"/>
  <c r="P31" i="12"/>
  <c r="Q31" i="12"/>
  <c r="V31" i="12"/>
  <c r="R31" i="12" l="1"/>
  <c r="W31" i="12"/>
  <c r="AI31" i="12"/>
  <c r="P32" i="12"/>
  <c r="Q32" i="12"/>
  <c r="V32" i="12"/>
  <c r="R32" i="12" l="1"/>
  <c r="W32" i="12"/>
  <c r="AI32" i="12"/>
  <c r="P33" i="12"/>
  <c r="Q33" i="12"/>
  <c r="V33" i="12"/>
  <c r="R33" i="12" l="1"/>
  <c r="W33" i="12"/>
  <c r="AI33" i="12"/>
  <c r="P34" i="12"/>
  <c r="Q34" i="12"/>
  <c r="R34" i="12"/>
  <c r="V34" i="12"/>
  <c r="W34" i="12" l="1"/>
  <c r="AI34" i="12"/>
  <c r="P35" i="12"/>
  <c r="Q35" i="12"/>
  <c r="R35" i="12"/>
  <c r="V35" i="12"/>
  <c r="W35" i="12" l="1"/>
  <c r="AI35" i="12"/>
  <c r="P36" i="12"/>
  <c r="Q36" i="12"/>
  <c r="R36" i="12"/>
  <c r="V36" i="12"/>
  <c r="W36" i="12" l="1"/>
  <c r="AI36" i="12"/>
  <c r="P37" i="12"/>
  <c r="Q37" i="12"/>
  <c r="R37" i="12"/>
  <c r="V37" i="12"/>
  <c r="W37" i="12" l="1"/>
  <c r="AI37" i="12"/>
  <c r="P38" i="12"/>
  <c r="Q38" i="12"/>
  <c r="R38" i="12"/>
  <c r="V38" i="12"/>
  <c r="W38" i="12" l="1"/>
  <c r="AI38" i="12"/>
  <c r="P39" i="12"/>
  <c r="Q39" i="12"/>
  <c r="R39" i="12"/>
  <c r="V39" i="12"/>
  <c r="W39" i="12" l="1"/>
  <c r="AI39" i="12"/>
  <c r="P40" i="12"/>
  <c r="Q40" i="12"/>
  <c r="R40" i="12"/>
  <c r="V40" i="12"/>
  <c r="W40" i="12" l="1"/>
  <c r="AI40" i="12"/>
  <c r="P41" i="12"/>
  <c r="Q41" i="12"/>
  <c r="V41" i="12"/>
  <c r="R41" i="12" l="1"/>
  <c r="W41" i="12"/>
  <c r="AI41" i="12"/>
  <c r="P42" i="12"/>
  <c r="S5" i="12" s="1" a="1"/>
  <c r="S42" i="12" s="1"/>
  <c r="Q42" i="12"/>
  <c r="V42" i="12"/>
  <c r="R42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I42" i="12"/>
  <c r="P5" i="13" a="1"/>
  <c r="P5" i="13" s="1"/>
  <c r="Q5" i="13" a="1"/>
  <c r="Q5" i="13" s="1"/>
  <c r="V5" i="13"/>
  <c r="S4" i="13"/>
  <c r="R5" i="13" l="1"/>
  <c r="W5" i="13"/>
  <c r="P6" i="13"/>
  <c r="Q6" i="13"/>
  <c r="R6" i="13"/>
  <c r="V6" i="13"/>
  <c r="W6" i="13" l="1"/>
  <c r="P7" i="13"/>
  <c r="Q7" i="13"/>
  <c r="R7" i="13"/>
  <c r="V7" i="13"/>
  <c r="W7" i="13" l="1"/>
  <c r="P8" i="13"/>
  <c r="Q8" i="13"/>
  <c r="R8" i="13"/>
  <c r="V8" i="13"/>
  <c r="W8" i="13" l="1"/>
  <c r="P9" i="13"/>
  <c r="Q9" i="13"/>
  <c r="R9" i="13"/>
  <c r="V9" i="13"/>
  <c r="W9" i="13" l="1"/>
  <c r="P10" i="13"/>
  <c r="Q10" i="13"/>
  <c r="R10" i="13"/>
  <c r="V10" i="13"/>
  <c r="W10" i="13" l="1"/>
  <c r="P11" i="13"/>
  <c r="Q11" i="13"/>
  <c r="R11" i="13"/>
  <c r="V11" i="13"/>
  <c r="W11" i="13" l="1"/>
  <c r="P12" i="13"/>
  <c r="Q12" i="13"/>
  <c r="R12" i="13"/>
  <c r="V12" i="13"/>
  <c r="W12" i="13" l="1"/>
  <c r="P13" i="13"/>
  <c r="Q13" i="13"/>
  <c r="R13" i="13"/>
  <c r="V13" i="13"/>
  <c r="W13" i="13" l="1"/>
  <c r="P14" i="13"/>
  <c r="Q14" i="13"/>
  <c r="R14" i="13"/>
  <c r="V14" i="13"/>
  <c r="W14" i="13" l="1"/>
  <c r="P15" i="13"/>
  <c r="Q15" i="13"/>
  <c r="R15" i="13"/>
  <c r="V15" i="13"/>
  <c r="W15" i="13" l="1"/>
  <c r="P16" i="13"/>
  <c r="Q16" i="13"/>
  <c r="R16" i="13"/>
  <c r="V16" i="13"/>
  <c r="W16" i="13" l="1"/>
  <c r="P17" i="13"/>
  <c r="Q17" i="13"/>
  <c r="R17" i="13"/>
  <c r="V17" i="13"/>
  <c r="W17" i="13" l="1"/>
  <c r="P18" i="13"/>
  <c r="Q18" i="13"/>
  <c r="R18" i="13"/>
  <c r="V18" i="13"/>
  <c r="W18" i="13" l="1"/>
  <c r="P19" i="13"/>
  <c r="Q19" i="13"/>
  <c r="R19" i="13"/>
  <c r="V19" i="13"/>
  <c r="W19" i="13" l="1"/>
  <c r="P20" i="13"/>
  <c r="Q20" i="13"/>
  <c r="V20" i="13"/>
  <c r="R20" i="13" l="1"/>
  <c r="W20" i="13"/>
  <c r="P21" i="13"/>
  <c r="Q21" i="13"/>
  <c r="V21" i="13"/>
  <c r="R21" i="13" l="1"/>
  <c r="W21" i="13"/>
  <c r="P22" i="13"/>
  <c r="Q22" i="13"/>
  <c r="R22" i="13"/>
  <c r="V22" i="13"/>
  <c r="W22" i="13" l="1"/>
  <c r="P23" i="13"/>
  <c r="Q23" i="13"/>
  <c r="R23" i="13"/>
  <c r="V23" i="13"/>
  <c r="W23" i="13" l="1"/>
  <c r="P24" i="13"/>
  <c r="Q24" i="13"/>
  <c r="V24" i="13"/>
  <c r="R24" i="13" l="1"/>
  <c r="W24" i="13"/>
  <c r="P25" i="13"/>
  <c r="Q25" i="13"/>
  <c r="V25" i="13"/>
  <c r="R25" i="13" l="1"/>
  <c r="W25" i="13"/>
  <c r="P26" i="13"/>
  <c r="Q26" i="13"/>
  <c r="R26" i="13"/>
  <c r="V26" i="13"/>
  <c r="W26" i="13" l="1"/>
  <c r="P27" i="13"/>
  <c r="Q27" i="13"/>
  <c r="R27" i="13"/>
  <c r="V27" i="13"/>
  <c r="W27" i="13" l="1"/>
  <c r="P28" i="13"/>
  <c r="Q28" i="13"/>
  <c r="R28" i="13"/>
  <c r="V28" i="13"/>
  <c r="W28" i="13" l="1"/>
  <c r="P29" i="13"/>
  <c r="Q29" i="13"/>
  <c r="V29" i="13"/>
  <c r="R29" i="13" l="1"/>
  <c r="W29" i="13"/>
  <c r="P30" i="13"/>
  <c r="Q30" i="13"/>
  <c r="V30" i="13"/>
  <c r="R30" i="13" l="1"/>
  <c r="W30" i="13"/>
  <c r="P31" i="13"/>
  <c r="Q31" i="13"/>
  <c r="V31" i="13"/>
  <c r="R31" i="13" l="1"/>
  <c r="W31" i="13"/>
  <c r="P32" i="13"/>
  <c r="Q32" i="13"/>
  <c r="R32" i="13"/>
  <c r="V32" i="13"/>
  <c r="W32" i="13" l="1"/>
  <c r="P33" i="13"/>
  <c r="Q33" i="13"/>
  <c r="R33" i="13"/>
  <c r="V33" i="13"/>
  <c r="W33" i="13" l="1"/>
  <c r="P34" i="13"/>
  <c r="Q34" i="13"/>
  <c r="R34" i="13"/>
  <c r="V34" i="13"/>
  <c r="W34" i="13" l="1"/>
  <c r="P35" i="13"/>
  <c r="Q35" i="13"/>
  <c r="R35" i="13"/>
  <c r="V35" i="13"/>
  <c r="W35" i="13" l="1"/>
  <c r="P36" i="13"/>
  <c r="Q36" i="13"/>
  <c r="R36" i="13"/>
  <c r="V36" i="13"/>
  <c r="W36" i="13" l="1"/>
  <c r="P37" i="13"/>
  <c r="Q37" i="13"/>
  <c r="V37" i="13"/>
  <c r="R37" i="13" l="1"/>
  <c r="W37" i="13"/>
  <c r="P38" i="13"/>
  <c r="Q38" i="13"/>
  <c r="V38" i="13"/>
  <c r="R38" i="13" l="1"/>
  <c r="W38" i="13"/>
  <c r="P39" i="13"/>
  <c r="Q39" i="13"/>
  <c r="V39" i="13"/>
  <c r="R39" i="13" l="1"/>
  <c r="W39" i="13"/>
  <c r="P40" i="13"/>
  <c r="Q40" i="13"/>
  <c r="R40" i="13"/>
  <c r="V40" i="13"/>
  <c r="W40" i="13" l="1"/>
  <c r="P41" i="13"/>
  <c r="Q41" i="13"/>
  <c r="R41" i="13"/>
  <c r="V41" i="13"/>
  <c r="W41" i="13" l="1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O5" i="22" l="1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3" i="6" l="1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O9" i="6"/>
  <c r="R9" i="6"/>
  <c r="S9" i="6" s="1"/>
  <c r="Y6" i="6"/>
  <c r="V6" i="6"/>
  <c r="V7" i="6"/>
  <c r="S5" i="6"/>
  <c r="Y7" i="6"/>
  <c r="X6" i="6" l="1"/>
  <c r="X7" i="6"/>
  <c r="W5" i="6"/>
  <c r="W9" i="6"/>
  <c r="O10" i="6"/>
  <c r="R10" i="6"/>
  <c r="S10" i="6" s="1"/>
  <c r="Y5" i="6"/>
  <c r="X5" i="6" l="1"/>
  <c r="Z5" i="6" s="1"/>
  <c r="W10" i="6"/>
  <c r="O11" i="6"/>
  <c r="R11" i="6"/>
  <c r="O12" i="6"/>
  <c r="R12" i="6"/>
  <c r="O13" i="6"/>
  <c r="R13" i="6"/>
  <c r="O14" i="6"/>
  <c r="R14" i="6"/>
  <c r="S14" i="6" s="1"/>
  <c r="W14" i="6" s="1"/>
  <c r="O15" i="6"/>
  <c r="R15" i="6"/>
  <c r="S15" i="6" s="1"/>
  <c r="W15" i="6" s="1"/>
  <c r="O16" i="6"/>
  <c r="R16" i="6"/>
  <c r="O17" i="6"/>
  <c r="R17" i="6"/>
  <c r="S17" i="6" s="1"/>
  <c r="W17" i="6" s="1"/>
  <c r="O18" i="6"/>
  <c r="R18" i="6"/>
  <c r="S18" i="6" s="1"/>
  <c r="W18" i="6" s="1"/>
  <c r="O19" i="6"/>
  <c r="R19" i="6"/>
  <c r="S19" i="6" s="1"/>
  <c r="W19" i="6" s="1"/>
  <c r="O20" i="6"/>
  <c r="R20" i="6"/>
  <c r="S20" i="6" s="1"/>
  <c r="W20" i="6" s="1"/>
  <c r="O21" i="6"/>
  <c r="R21" i="6"/>
  <c r="S21" i="6" s="1"/>
  <c r="W21" i="6" s="1"/>
  <c r="O22" i="6"/>
  <c r="R22" i="6"/>
  <c r="J8" i="56" l="1"/>
  <c r="AN6" i="17"/>
  <c r="J12" i="56" l="1"/>
  <c r="J13" i="56"/>
  <c r="J14" i="56"/>
  <c r="AO6" i="17"/>
  <c r="E5" i="64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28" i="71"/>
  <c r="E26" i="71"/>
  <c r="E33" i="71"/>
  <c r="E24" i="71"/>
  <c r="E9" i="71"/>
  <c r="E32" i="71"/>
  <c r="E6" i="71"/>
  <c r="E16" i="71"/>
  <c r="E31" i="71"/>
  <c r="E17" i="71"/>
  <c r="E14" i="71"/>
  <c r="E27" i="71"/>
  <c r="E12" i="71"/>
  <c r="E29" i="71"/>
  <c r="E13" i="71"/>
  <c r="E10" i="71"/>
  <c r="E20" i="71"/>
  <c r="E30" i="71"/>
  <c r="E21" i="71"/>
  <c r="E15" i="71"/>
  <c r="E8" i="71"/>
  <c r="E7" i="71"/>
  <c r="E11" i="71"/>
  <c r="E25" i="71"/>
  <c r="F5" i="64"/>
  <c r="E23" i="71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K6" i="71"/>
  <c r="F8" i="71"/>
  <c r="G23" i="68"/>
  <c r="G46" i="67"/>
  <c r="G12" i="66"/>
  <c r="F6" i="71"/>
  <c r="G19" i="66"/>
  <c r="F32" i="71"/>
  <c r="G52" i="67"/>
  <c r="G27" i="68"/>
  <c r="G59" i="66"/>
  <c r="I14" i="64"/>
  <c r="G58" i="67"/>
  <c r="G37" i="68"/>
  <c r="G60" i="68"/>
  <c r="G15" i="67"/>
  <c r="F8" i="65"/>
  <c r="G31" i="67"/>
  <c r="G48" i="68"/>
  <c r="G31" i="66"/>
  <c r="F21" i="71"/>
  <c r="G24" i="67"/>
  <c r="G50" i="67"/>
  <c r="F13" i="71"/>
  <c r="G52" i="68"/>
  <c r="G34" i="68"/>
  <c r="F6" i="65"/>
  <c r="G46" i="68"/>
  <c r="F10" i="65"/>
  <c r="G15" i="68"/>
  <c r="G21" i="67"/>
  <c r="G65" i="67"/>
  <c r="G25" i="67"/>
  <c r="F11" i="65"/>
  <c r="I16" i="64"/>
  <c r="G42" i="67"/>
  <c r="G61" i="66"/>
  <c r="F20" i="65"/>
  <c r="G46" i="66"/>
  <c r="G17" i="67"/>
  <c r="F12" i="71"/>
  <c r="G33" i="68"/>
  <c r="G24" i="66"/>
  <c r="F33" i="71"/>
  <c r="G50" i="66"/>
  <c r="G9" i="68"/>
  <c r="G11" i="68"/>
  <c r="G66" i="68"/>
  <c r="G20" i="67"/>
  <c r="I12" i="64"/>
  <c r="G32" i="66"/>
  <c r="G16" i="67"/>
  <c r="G25" i="66"/>
  <c r="G49" i="66"/>
  <c r="G44" i="66"/>
  <c r="G7" i="66"/>
  <c r="G11" i="66"/>
  <c r="G38" i="66"/>
  <c r="G18" i="68"/>
  <c r="L6" i="71"/>
  <c r="G57" i="68"/>
  <c r="G55" i="66"/>
  <c r="G39" i="67"/>
  <c r="G12" i="67"/>
  <c r="F31" i="71"/>
  <c r="G45" i="68"/>
  <c r="G33" i="67"/>
  <c r="G12" i="68"/>
  <c r="G30" i="66"/>
  <c r="G39" i="66"/>
  <c r="F16" i="65"/>
  <c r="G19" i="68"/>
  <c r="G32" i="68"/>
  <c r="I15" i="64"/>
  <c r="G48" i="66"/>
  <c r="G60" i="66"/>
  <c r="F7" i="65"/>
  <c r="G52" i="66"/>
  <c r="F9" i="71"/>
  <c r="G17" i="68"/>
  <c r="G66" i="67"/>
  <c r="G26" i="68"/>
  <c r="G30" i="67"/>
  <c r="G41" i="67"/>
  <c r="G35" i="67"/>
  <c r="G27" i="66"/>
  <c r="G63" i="66"/>
  <c r="G10" i="66"/>
  <c r="G7" i="67"/>
  <c r="G36" i="68"/>
  <c r="G62" i="66"/>
  <c r="G28" i="68"/>
  <c r="G9" i="66"/>
  <c r="G13" i="67"/>
  <c r="G56" i="68"/>
  <c r="G65" i="68"/>
  <c r="I8" i="64"/>
  <c r="G44" i="68"/>
  <c r="G10" i="67"/>
  <c r="G63" i="68"/>
  <c r="G8" i="68"/>
  <c r="G21" i="68"/>
  <c r="G50" i="68"/>
  <c r="G45" i="66"/>
  <c r="G66" i="66"/>
  <c r="G41" i="68"/>
  <c r="G51" i="67"/>
  <c r="I19" i="64"/>
  <c r="G35" i="68"/>
  <c r="G56" i="66"/>
  <c r="F18" i="65"/>
  <c r="F28" i="71"/>
  <c r="G47" i="66"/>
  <c r="G58" i="66"/>
  <c r="I10" i="64"/>
  <c r="G16" i="68"/>
  <c r="G45" i="67"/>
  <c r="G65" i="66"/>
  <c r="G36" i="67"/>
  <c r="G59" i="67"/>
  <c r="F9" i="65"/>
  <c r="G22" i="68"/>
  <c r="G35" i="66"/>
  <c r="G26" i="66"/>
  <c r="G59" i="68"/>
  <c r="G15" i="66"/>
  <c r="F25" i="71"/>
  <c r="I13" i="64"/>
  <c r="G29" i="68"/>
  <c r="G16" i="66"/>
  <c r="F14" i="71"/>
  <c r="G22" i="67"/>
  <c r="G40" i="67"/>
  <c r="G58" i="68"/>
  <c r="G14" i="68"/>
  <c r="F30" i="71"/>
  <c r="F17" i="65"/>
  <c r="F15" i="65"/>
  <c r="G41" i="66"/>
  <c r="G55" i="68"/>
  <c r="G9" i="67"/>
  <c r="F19" i="65"/>
  <c r="G34" i="67"/>
  <c r="G57" i="66"/>
  <c r="G43" i="67"/>
  <c r="F29" i="71"/>
  <c r="G57" i="67"/>
  <c r="G64" i="66"/>
  <c r="G54" i="68"/>
  <c r="G13" i="66"/>
  <c r="F17" i="71"/>
  <c r="G53" i="66"/>
  <c r="G53" i="68"/>
  <c r="G27" i="67"/>
  <c r="J7" i="64"/>
  <c r="I17" i="64"/>
  <c r="G14" i="67"/>
  <c r="G54" i="67"/>
  <c r="G51" i="66"/>
  <c r="F16" i="71"/>
  <c r="G19" i="67"/>
  <c r="G13" i="68"/>
  <c r="G54" i="66"/>
  <c r="G32" i="67"/>
  <c r="G62" i="67"/>
  <c r="I9" i="64"/>
  <c r="G29" i="67"/>
  <c r="I22" i="64"/>
  <c r="I21" i="64"/>
  <c r="G44" i="67"/>
  <c r="G30" i="68"/>
  <c r="G43" i="66"/>
  <c r="F11" i="71"/>
  <c r="G47" i="68"/>
  <c r="G64" i="67"/>
  <c r="G11" i="67"/>
  <c r="G8" i="67"/>
  <c r="F13" i="65"/>
  <c r="G17" i="66"/>
  <c r="G24" i="68"/>
  <c r="G53" i="67"/>
  <c r="G42" i="68"/>
  <c r="G36" i="66"/>
  <c r="F15" i="71"/>
  <c r="G23" i="66"/>
  <c r="G20" i="68"/>
  <c r="G39" i="68"/>
  <c r="G14" i="66"/>
  <c r="G7" i="68"/>
  <c r="G31" i="68"/>
  <c r="F27" i="71"/>
  <c r="G62" i="68"/>
  <c r="G22" i="66"/>
  <c r="G8" i="66"/>
  <c r="G40" i="68"/>
  <c r="F7" i="71"/>
  <c r="G10" i="68"/>
  <c r="G20" i="66"/>
  <c r="G37" i="66"/>
  <c r="G51" i="68"/>
  <c r="G37" i="67"/>
  <c r="G33" i="66"/>
  <c r="G34" i="66"/>
  <c r="F24" i="71"/>
  <c r="G61" i="68"/>
  <c r="G42" i="66"/>
  <c r="G29" i="66"/>
  <c r="F26" i="71"/>
  <c r="F14" i="65"/>
  <c r="G49" i="67"/>
  <c r="G18" i="67"/>
  <c r="G21" i="66"/>
  <c r="G55" i="67"/>
  <c r="G48" i="67"/>
  <c r="I11" i="64"/>
  <c r="G40" i="66"/>
  <c r="F12" i="65"/>
  <c r="G47" i="67"/>
  <c r="G64" i="68"/>
  <c r="F20" i="71"/>
  <c r="I18" i="64"/>
  <c r="I20" i="64"/>
  <c r="G25" i="68"/>
  <c r="G43" i="68"/>
  <c r="G63" i="67"/>
  <c r="G28" i="66"/>
  <c r="G28" i="67"/>
  <c r="G38" i="67"/>
  <c r="G18" i="66"/>
  <c r="G26" i="67"/>
  <c r="G61" i="67"/>
  <c r="G23" i="67"/>
  <c r="G56" i="67"/>
  <c r="F10" i="71"/>
  <c r="G49" i="68"/>
  <c r="G60" i="67"/>
  <c r="G38" i="68"/>
  <c r="E5" i="71"/>
  <c r="F23" i="71"/>
  <c r="E19" i="71"/>
  <c r="G6" i="66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11" i="67"/>
  <c r="H62" i="67"/>
  <c r="H17" i="67"/>
  <c r="H40" i="68"/>
  <c r="K15" i="64"/>
  <c r="K20" i="64"/>
  <c r="H45" i="68"/>
  <c r="H51" i="66"/>
  <c r="K7" i="64"/>
  <c r="K19" i="64"/>
  <c r="H8" i="67"/>
  <c r="K18" i="64"/>
  <c r="H43" i="68"/>
  <c r="H34" i="67"/>
  <c r="H53" i="68"/>
  <c r="H34" i="66"/>
  <c r="H49" i="67"/>
  <c r="G6" i="65"/>
  <c r="H10" i="68"/>
  <c r="H23" i="68"/>
  <c r="H22" i="66"/>
  <c r="H55" i="68"/>
  <c r="J8" i="64"/>
  <c r="K22" i="64"/>
  <c r="G14" i="65"/>
  <c r="H14" i="66"/>
  <c r="H62" i="66"/>
  <c r="H33" i="67"/>
  <c r="H16" i="66"/>
  <c r="H7" i="68"/>
  <c r="H36" i="66"/>
  <c r="H55" i="67"/>
  <c r="H23" i="67"/>
  <c r="K21" i="64"/>
  <c r="H63" i="66"/>
  <c r="H19" i="66"/>
  <c r="H18" i="66"/>
  <c r="G11" i="65"/>
  <c r="J22" i="64"/>
  <c r="K8" i="64"/>
  <c r="H58" i="68"/>
  <c r="H52" i="67"/>
  <c r="H62" i="68"/>
  <c r="H46" i="68"/>
  <c r="H45" i="66"/>
  <c r="K13" i="64"/>
  <c r="H12" i="67"/>
  <c r="H35" i="67"/>
  <c r="H19" i="67"/>
  <c r="H38" i="67"/>
  <c r="H50" i="66"/>
  <c r="H35" i="66"/>
  <c r="G16" i="65"/>
  <c r="H56" i="66"/>
  <c r="H58" i="66"/>
  <c r="H30" i="66"/>
  <c r="H66" i="68"/>
  <c r="J13" i="64"/>
  <c r="H51" i="67"/>
  <c r="H16" i="67"/>
  <c r="H17" i="68"/>
  <c r="J10" i="64"/>
  <c r="H41" i="68"/>
  <c r="H27" i="66"/>
  <c r="H13" i="67"/>
  <c r="H28" i="67"/>
  <c r="K11" i="64"/>
  <c r="H53" i="66"/>
  <c r="H36" i="67"/>
  <c r="H39" i="66"/>
  <c r="H40" i="67"/>
  <c r="H48" i="68"/>
  <c r="H33" i="66"/>
  <c r="H24" i="66"/>
  <c r="H57" i="66"/>
  <c r="H46" i="66"/>
  <c r="H48" i="66"/>
  <c r="H19" i="68"/>
  <c r="H49" i="66"/>
  <c r="H30" i="68"/>
  <c r="H12" i="66"/>
  <c r="G18" i="65"/>
  <c r="H21" i="68"/>
  <c r="H35" i="68"/>
  <c r="H57" i="68"/>
  <c r="H9" i="67"/>
  <c r="H20" i="66"/>
  <c r="G15" i="65"/>
  <c r="H14" i="67"/>
  <c r="H51" i="68"/>
  <c r="H28" i="66"/>
  <c r="H32" i="67"/>
  <c r="H47" i="66"/>
  <c r="K14" i="64"/>
  <c r="J11" i="64"/>
  <c r="H24" i="67"/>
  <c r="J14" i="64"/>
  <c r="H65" i="66"/>
  <c r="H21" i="66"/>
  <c r="H15" i="66"/>
  <c r="G19" i="65"/>
  <c r="G17" i="65"/>
  <c r="H42" i="68"/>
  <c r="H18" i="67"/>
  <c r="J19" i="64"/>
  <c r="H31" i="66"/>
  <c r="H23" i="66"/>
  <c r="H38" i="68"/>
  <c r="H39" i="68"/>
  <c r="G10" i="65"/>
  <c r="G8" i="65"/>
  <c r="H57" i="67"/>
  <c r="H42" i="67"/>
  <c r="H63" i="67"/>
  <c r="L7" i="64"/>
  <c r="H60" i="66"/>
  <c r="H31" i="68"/>
  <c r="G7" i="65"/>
  <c r="H46" i="67"/>
  <c r="H64" i="66"/>
  <c r="H48" i="67"/>
  <c r="H50" i="68"/>
  <c r="H66" i="66"/>
  <c r="K17" i="64"/>
  <c r="H54" i="68"/>
  <c r="H39" i="67"/>
  <c r="H65" i="68"/>
  <c r="H54" i="67"/>
  <c r="H37" i="68"/>
  <c r="K16" i="64"/>
  <c r="H14" i="68"/>
  <c r="H49" i="68"/>
  <c r="H12" i="68"/>
  <c r="H61" i="68"/>
  <c r="H9" i="68"/>
  <c r="H64" i="67"/>
  <c r="H59" i="67"/>
  <c r="H60" i="68"/>
  <c r="G9" i="65"/>
  <c r="H37" i="66"/>
  <c r="H44" i="67"/>
  <c r="J17" i="64"/>
  <c r="H33" i="68"/>
  <c r="H27" i="67"/>
  <c r="H58" i="67"/>
  <c r="H37" i="67"/>
  <c r="H59" i="68"/>
  <c r="H47" i="67"/>
  <c r="H34" i="68"/>
  <c r="J12" i="64"/>
  <c r="H8" i="66"/>
  <c r="H45" i="67"/>
  <c r="H32" i="68"/>
  <c r="H47" i="68"/>
  <c r="H29" i="67"/>
  <c r="J15" i="64"/>
  <c r="H41" i="67"/>
  <c r="G20" i="65"/>
  <c r="K10" i="64"/>
  <c r="H52" i="66"/>
  <c r="H56" i="68"/>
  <c r="H26" i="68"/>
  <c r="H54" i="66"/>
  <c r="H64" i="68"/>
  <c r="H29" i="68"/>
  <c r="H40" i="66"/>
  <c r="H25" i="68"/>
  <c r="G12" i="65"/>
  <c r="H27" i="68"/>
  <c r="J18" i="64"/>
  <c r="G13" i="65"/>
  <c r="K9" i="64"/>
  <c r="H13" i="66"/>
  <c r="H13" i="68"/>
  <c r="H18" i="68"/>
  <c r="H63" i="68"/>
  <c r="H21" i="67"/>
  <c r="H10" i="67"/>
  <c r="H8" i="68"/>
  <c r="H52" i="68"/>
  <c r="H30" i="67"/>
  <c r="H22" i="67"/>
  <c r="H31" i="67"/>
  <c r="H50" i="67"/>
  <c r="J20" i="64"/>
  <c r="H16" i="68"/>
  <c r="K6" i="64"/>
  <c r="H20" i="68"/>
  <c r="H7" i="67"/>
  <c r="H26" i="67"/>
  <c r="H7" i="66"/>
  <c r="H65" i="67"/>
  <c r="K12" i="64"/>
  <c r="H59" i="66"/>
  <c r="H44" i="66"/>
  <c r="H61" i="66"/>
  <c r="H10" i="66"/>
  <c r="H11" i="68"/>
  <c r="H9" i="66"/>
  <c r="H61" i="67"/>
  <c r="J9" i="64"/>
  <c r="H17" i="66"/>
  <c r="J16" i="64"/>
  <c r="H25" i="67"/>
  <c r="H42" i="66"/>
  <c r="H24" i="68"/>
  <c r="H22" i="68"/>
  <c r="H20" i="67"/>
  <c r="H43" i="67"/>
  <c r="H53" i="67"/>
  <c r="H26" i="66"/>
  <c r="H60" i="67"/>
  <c r="H28" i="68"/>
  <c r="H41" i="66"/>
  <c r="H11" i="66"/>
  <c r="H25" i="66"/>
  <c r="H15" i="68"/>
  <c r="H44" i="68"/>
  <c r="H38" i="66"/>
  <c r="H15" i="67"/>
  <c r="H55" i="66"/>
  <c r="H56" i="67"/>
  <c r="H66" i="67"/>
  <c r="H32" i="66"/>
  <c r="H43" i="66"/>
  <c r="H36" i="68"/>
  <c r="J21" i="64"/>
  <c r="H29" i="66"/>
  <c r="H6" i="66"/>
  <c r="D3" i="61"/>
  <c r="I5" i="64"/>
  <c r="D3" i="62"/>
  <c r="G6" i="67"/>
  <c r="F5" i="71"/>
  <c r="F19" i="71"/>
  <c r="F5" i="65"/>
  <c r="G6" i="68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4" i="62"/>
  <c r="N6" i="61"/>
  <c r="S16" i="62"/>
  <c r="K4" i="61"/>
  <c r="K19" i="62"/>
  <c r="K20" i="61"/>
  <c r="K8" i="62"/>
  <c r="N20" i="62"/>
  <c r="N17" i="61"/>
  <c r="N20" i="61"/>
  <c r="K16" i="61"/>
  <c r="N4" i="62"/>
  <c r="S21" i="62"/>
  <c r="N10" i="62"/>
  <c r="K12" i="61"/>
  <c r="N7" i="61"/>
  <c r="S18" i="62"/>
  <c r="N9" i="62"/>
  <c r="K18" i="61"/>
  <c r="K15" i="62"/>
  <c r="K10" i="62"/>
  <c r="S7" i="62"/>
  <c r="N8" i="61"/>
  <c r="S20" i="62"/>
  <c r="N21" i="61"/>
  <c r="S13" i="62"/>
  <c r="K15" i="61"/>
  <c r="K10" i="61"/>
  <c r="N8" i="62"/>
  <c r="N11" i="62"/>
  <c r="N7" i="62"/>
  <c r="N16" i="61"/>
  <c r="K9" i="62"/>
  <c r="N12" i="62"/>
  <c r="N21" i="62"/>
  <c r="K14" i="62"/>
  <c r="K16" i="62"/>
  <c r="K14" i="61"/>
  <c r="S17" i="62"/>
  <c r="N12" i="61"/>
  <c r="K12" i="62"/>
  <c r="N5" i="61"/>
  <c r="N13" i="62"/>
  <c r="S15" i="62"/>
  <c r="N4" i="61"/>
  <c r="N18" i="61"/>
  <c r="K11" i="62"/>
  <c r="K11" i="61"/>
  <c r="K13" i="62"/>
  <c r="K5" i="62"/>
  <c r="N17" i="62"/>
  <c r="N5" i="62"/>
  <c r="S10" i="62"/>
  <c r="K18" i="62"/>
  <c r="S9" i="62"/>
  <c r="K20" i="62"/>
  <c r="K7" i="61"/>
  <c r="N9" i="61"/>
  <c r="K17" i="61"/>
  <c r="K6" i="61"/>
  <c r="K21" i="61"/>
  <c r="S8" i="62"/>
  <c r="N13" i="61"/>
  <c r="K9" i="61"/>
  <c r="N16" i="62"/>
  <c r="S4" i="62"/>
  <c r="N18" i="62"/>
  <c r="K21" i="62"/>
  <c r="N15" i="62"/>
  <c r="N14" i="62"/>
  <c r="N19" i="62"/>
  <c r="N14" i="61"/>
  <c r="S19" i="62"/>
  <c r="S11" i="62"/>
  <c r="N10" i="61"/>
  <c r="S12" i="62"/>
  <c r="K7" i="62"/>
  <c r="K19" i="61"/>
  <c r="K17" i="62"/>
  <c r="K13" i="61"/>
  <c r="K8" i="61"/>
  <c r="N11" i="61"/>
  <c r="N19" i="61"/>
  <c r="S14" i="62"/>
  <c r="N15" i="61"/>
  <c r="K5" i="61"/>
  <c r="L19" i="64"/>
  <c r="L12" i="64"/>
  <c r="L22" i="64"/>
  <c r="L18" i="64"/>
  <c r="L13" i="64"/>
  <c r="L16" i="64"/>
  <c r="L14" i="64"/>
  <c r="L11" i="64"/>
  <c r="L8" i="64"/>
  <c r="L9" i="64"/>
  <c r="L15" i="64"/>
  <c r="L10" i="64"/>
  <c r="L21" i="64"/>
  <c r="L20" i="64"/>
  <c r="L17" i="64"/>
  <c r="D3" i="60"/>
  <c r="G5" i="65"/>
  <c r="K5" i="64"/>
  <c r="H6" i="68"/>
  <c r="H6" i="67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N13" i="60"/>
  <c r="K4" i="60"/>
  <c r="N18" i="60"/>
  <c r="N17" i="60"/>
  <c r="N16" i="60"/>
  <c r="N12" i="60"/>
  <c r="N14" i="60"/>
  <c r="N8" i="60"/>
  <c r="K15" i="60"/>
  <c r="N6" i="60"/>
  <c r="N4" i="60"/>
  <c r="N7" i="60"/>
  <c r="K17" i="60"/>
  <c r="N5" i="60"/>
  <c r="K7" i="60"/>
  <c r="K9" i="60"/>
  <c r="K8" i="60"/>
  <c r="N10" i="60"/>
  <c r="K12" i="60"/>
  <c r="K18" i="60"/>
  <c r="N11" i="60"/>
  <c r="K5" i="60"/>
  <c r="N9" i="60"/>
  <c r="K14" i="60"/>
  <c r="K10" i="60"/>
  <c r="K11" i="60"/>
  <c r="K16" i="60"/>
  <c r="N15" i="60"/>
  <c r="K6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8" i="55"/>
  <c r="K9" i="55"/>
  <c r="K7" i="55"/>
  <c r="K10" i="55"/>
  <c r="Q3" i="55"/>
  <c r="K5" i="55"/>
  <c r="K6" i="55"/>
  <c r="B1" i="56"/>
  <c r="F4" i="55"/>
  <c r="F5" i="55" l="1" a="1"/>
  <c r="F7" i="55" l="1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C5" i="36"/>
  <c r="D5" i="36"/>
  <c r="F5" i="36"/>
  <c r="G5" i="36"/>
  <c r="C6" i="36"/>
  <c r="D6" i="36"/>
  <c r="F6" i="36"/>
  <c r="G6" i="36"/>
  <c r="C7" i="36"/>
  <c r="D7" i="36"/>
  <c r="F7" i="36"/>
  <c r="G7" i="36"/>
  <c r="C8" i="36"/>
  <c r="D8" i="36"/>
  <c r="F8" i="36"/>
  <c r="G8" i="36"/>
  <c r="C9" i="36"/>
  <c r="D9" i="36"/>
  <c r="F9" i="36"/>
  <c r="G9" i="36"/>
  <c r="C10" i="36"/>
  <c r="D10" i="36"/>
  <c r="F10" i="36"/>
  <c r="G10" i="36"/>
  <c r="C11" i="36"/>
  <c r="D11" i="36"/>
  <c r="F11" i="36"/>
  <c r="G11" i="36"/>
  <c r="C12" i="36"/>
  <c r="D12" i="36"/>
  <c r="F12" i="36"/>
  <c r="G12" i="36"/>
  <c r="C13" i="36"/>
  <c r="D13" i="36"/>
  <c r="F13" i="36"/>
  <c r="G13" i="36"/>
  <c r="C14" i="36"/>
  <c r="D14" i="36"/>
  <c r="F14" i="36"/>
  <c r="G14" i="36"/>
  <c r="C15" i="36"/>
  <c r="D15" i="36"/>
  <c r="F15" i="36"/>
  <c r="G15" i="36"/>
  <c r="C16" i="36"/>
  <c r="D16" i="36"/>
  <c r="F16" i="36"/>
  <c r="G16" i="36"/>
  <c r="C17" i="36"/>
  <c r="D17" i="36"/>
  <c r="F17" i="36"/>
  <c r="G17" i="36"/>
  <c r="C18" i="36"/>
  <c r="D18" i="36"/>
  <c r="F18" i="36"/>
  <c r="G18" i="36"/>
  <c r="C19" i="36"/>
  <c r="D19" i="36"/>
  <c r="F19" i="36"/>
  <c r="G19" i="36"/>
  <c r="C20" i="36"/>
  <c r="D20" i="36"/>
  <c r="F20" i="36"/>
  <c r="G20" i="36"/>
  <c r="C21" i="36"/>
  <c r="D21" i="36"/>
  <c r="F21" i="36"/>
  <c r="G21" i="36"/>
  <c r="C22" i="36"/>
  <c r="D22" i="36"/>
  <c r="F22" i="36"/>
  <c r="G22" i="36"/>
  <c r="C23" i="36"/>
  <c r="D23" i="36"/>
  <c r="F23" i="36"/>
  <c r="G23" i="36"/>
  <c r="C24" i="36"/>
  <c r="D24" i="36"/>
  <c r="F24" i="36"/>
  <c r="G24" i="36"/>
  <c r="C25" i="36"/>
  <c r="D25" i="36"/>
  <c r="F25" i="36"/>
  <c r="G25" i="36"/>
  <c r="C26" i="36"/>
  <c r="D26" i="36"/>
  <c r="F26" i="36"/>
  <c r="G26" i="36"/>
  <c r="C27" i="36"/>
  <c r="D27" i="36"/>
  <c r="F27" i="36"/>
  <c r="G27" i="36"/>
  <c r="C28" i="36"/>
  <c r="D28" i="36"/>
  <c r="F28" i="36"/>
  <c r="G28" i="36"/>
  <c r="C29" i="36"/>
  <c r="D29" i="36"/>
  <c r="F29" i="36"/>
  <c r="G29" i="36"/>
  <c r="C30" i="36"/>
  <c r="D30" i="36"/>
  <c r="F30" i="36"/>
  <c r="G30" i="36"/>
  <c r="C31" i="36"/>
  <c r="D31" i="36"/>
  <c r="F31" i="36"/>
  <c r="G31" i="36"/>
  <c r="C32" i="36"/>
  <c r="D32" i="36"/>
  <c r="F32" i="36"/>
  <c r="G32" i="36"/>
  <c r="C33" i="36"/>
  <c r="D33" i="36"/>
  <c r="F33" i="36"/>
  <c r="G33" i="36"/>
  <c r="C34" i="36"/>
  <c r="D34" i="36"/>
  <c r="F34" i="36"/>
  <c r="G34" i="36"/>
  <c r="C35" i="36"/>
  <c r="D35" i="36"/>
  <c r="F35" i="36"/>
  <c r="G35" i="36"/>
  <c r="C36" i="36"/>
  <c r="D36" i="36"/>
  <c r="F36" i="36"/>
  <c r="G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24" i="34"/>
  <c r="L6" i="34"/>
  <c r="L25" i="35"/>
  <c r="L34" i="35"/>
  <c r="L32" i="35"/>
  <c r="L35" i="35"/>
  <c r="L28" i="35"/>
  <c r="L26" i="34"/>
  <c r="L3" i="35"/>
  <c r="L29" i="34"/>
  <c r="L14" i="34"/>
  <c r="L29" i="35"/>
  <c r="L30" i="35"/>
  <c r="L19" i="34"/>
  <c r="L17" i="34"/>
  <c r="L4" i="34"/>
  <c r="L12" i="35"/>
  <c r="L5" i="34"/>
  <c r="L3" i="34"/>
  <c r="L6" i="35"/>
  <c r="L22" i="35"/>
  <c r="L28" i="34"/>
  <c r="L19" i="35"/>
  <c r="L21" i="34"/>
  <c r="L5" i="35"/>
  <c r="L32" i="34"/>
  <c r="L11" i="35"/>
  <c r="L27" i="35"/>
  <c r="L8" i="35"/>
  <c r="L17" i="35"/>
  <c r="L20" i="35"/>
  <c r="L20" i="34"/>
  <c r="L35" i="34"/>
  <c r="L8" i="34"/>
  <c r="L25" i="34"/>
  <c r="L12" i="34"/>
  <c r="L33" i="34"/>
  <c r="L10" i="34"/>
  <c r="L34" i="34"/>
  <c r="L24" i="35"/>
  <c r="L7" i="34"/>
  <c r="L15" i="34"/>
  <c r="L9" i="34"/>
  <c r="L21" i="35"/>
  <c r="L26" i="35"/>
  <c r="L13" i="35"/>
  <c r="L15" i="35"/>
  <c r="L30" i="34"/>
  <c r="L16" i="34"/>
  <c r="L18" i="34"/>
  <c r="L27" i="34"/>
  <c r="L16" i="35"/>
  <c r="L11" i="34"/>
  <c r="L14" i="35"/>
  <c r="L31" i="34"/>
  <c r="L7" i="35"/>
  <c r="L23" i="35"/>
  <c r="L31" i="35"/>
  <c r="L22" i="34"/>
  <c r="L10" i="35"/>
  <c r="L18" i="35"/>
  <c r="L36" i="35"/>
  <c r="L13" i="34"/>
  <c r="L33" i="35"/>
  <c r="L9" i="35"/>
  <c r="L36" i="34"/>
  <c r="L4" i="35"/>
  <c r="L23" i="34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V4" i="36"/>
  <c r="K17" i="37"/>
  <c r="K11" i="37"/>
  <c r="K22" i="37"/>
  <c r="K24" i="37"/>
  <c r="K20" i="37"/>
  <c r="K31" i="37"/>
  <c r="K3" i="37"/>
  <c r="K29" i="37"/>
  <c r="K10" i="37"/>
  <c r="K23" i="37"/>
  <c r="K7" i="37"/>
  <c r="K25" i="37"/>
  <c r="K12" i="37"/>
  <c r="K26" i="37"/>
  <c r="K6" i="37"/>
  <c r="K19" i="37"/>
  <c r="K35" i="37"/>
  <c r="K30" i="37"/>
  <c r="K5" i="37"/>
  <c r="K16" i="37"/>
  <c r="K9" i="37"/>
  <c r="K14" i="37"/>
  <c r="K13" i="37"/>
  <c r="K18" i="37"/>
  <c r="K21" i="37"/>
  <c r="K28" i="37"/>
  <c r="K27" i="37"/>
  <c r="K32" i="37"/>
  <c r="K33" i="37"/>
  <c r="K8" i="37"/>
  <c r="K4" i="37"/>
  <c r="K15" i="37"/>
  <c r="K34" i="37"/>
  <c r="K36" i="37"/>
  <c r="K2" i="35"/>
  <c r="K2" i="34"/>
  <c r="J4" i="36" l="1"/>
  <c r="J2" i="36"/>
  <c r="J2" i="37"/>
  <c r="C1" i="32"/>
  <c r="L25" i="37"/>
  <c r="L11" i="37"/>
  <c r="L21" i="37"/>
  <c r="L26" i="37"/>
  <c r="L27" i="37"/>
  <c r="L10" i="37"/>
  <c r="L4" i="37"/>
  <c r="L33" i="37"/>
  <c r="L20" i="37"/>
  <c r="L16" i="37"/>
  <c r="L32" i="37"/>
  <c r="L12" i="37"/>
  <c r="L30" i="37"/>
  <c r="L15" i="37"/>
  <c r="L5" i="37"/>
  <c r="L22" i="37"/>
  <c r="L18" i="37"/>
  <c r="L3" i="37"/>
  <c r="L19" i="37"/>
  <c r="L36" i="37"/>
  <c r="L6" i="37"/>
  <c r="L29" i="37"/>
  <c r="L2" i="35"/>
  <c r="L7" i="37"/>
  <c r="L28" i="37"/>
  <c r="L9" i="37"/>
  <c r="L24" i="37"/>
  <c r="L8" i="37"/>
  <c r="L34" i="37"/>
  <c r="K2" i="37"/>
  <c r="L17" i="37"/>
  <c r="L31" i="37"/>
  <c r="L23" i="37"/>
  <c r="L35" i="37"/>
  <c r="L14" i="37"/>
  <c r="L2" i="34"/>
  <c r="L13" i="37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38" i="32"/>
  <c r="D26" i="32"/>
  <c r="D52" i="32"/>
  <c r="D20" i="32"/>
  <c r="D51" i="32"/>
  <c r="D50" i="32"/>
  <c r="D11" i="32"/>
  <c r="D32" i="32"/>
  <c r="D48" i="32"/>
  <c r="D58" i="32"/>
  <c r="D37" i="32"/>
  <c r="D18" i="32"/>
  <c r="D3" i="32"/>
  <c r="D6" i="32"/>
  <c r="D14" i="32"/>
  <c r="D44" i="32"/>
  <c r="D61" i="32"/>
  <c r="D13" i="32"/>
  <c r="D46" i="32"/>
  <c r="D7" i="32"/>
  <c r="D15" i="32"/>
  <c r="D16" i="32"/>
  <c r="D33" i="32"/>
  <c r="D56" i="32"/>
  <c r="D36" i="32"/>
  <c r="D30" i="32"/>
  <c r="D12" i="32"/>
  <c r="D35" i="32"/>
  <c r="D39" i="32"/>
  <c r="D8" i="32"/>
  <c r="D41" i="32"/>
  <c r="D43" i="32"/>
  <c r="D10" i="32"/>
  <c r="D42" i="32"/>
  <c r="D27" i="32"/>
  <c r="D45" i="32"/>
  <c r="D62" i="32"/>
  <c r="D24" i="32"/>
  <c r="D64" i="32"/>
  <c r="D4" i="32"/>
  <c r="D23" i="32"/>
  <c r="D31" i="32"/>
  <c r="D55" i="32"/>
  <c r="D19" i="32"/>
  <c r="D57" i="32"/>
  <c r="D49" i="32"/>
  <c r="D21" i="32"/>
  <c r="D47" i="32"/>
  <c r="D53" i="32"/>
  <c r="D34" i="32"/>
  <c r="D17" i="32"/>
  <c r="D40" i="32"/>
  <c r="D59" i="32"/>
  <c r="D60" i="32"/>
  <c r="D28" i="32"/>
  <c r="D5" i="32"/>
  <c r="D29" i="32"/>
  <c r="D22" i="32"/>
  <c r="D63" i="32"/>
  <c r="D54" i="32"/>
  <c r="D25" i="32"/>
  <c r="D9" i="32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41" i="32"/>
  <c r="E28" i="32"/>
  <c r="E40" i="32"/>
  <c r="E10" i="32"/>
  <c r="D16" i="31"/>
  <c r="E47" i="32"/>
  <c r="E24" i="32"/>
  <c r="D9" i="31"/>
  <c r="E37" i="32"/>
  <c r="E34" i="32"/>
  <c r="E43" i="32"/>
  <c r="E16" i="32"/>
  <c r="E63" i="32"/>
  <c r="E11" i="32"/>
  <c r="E5" i="32"/>
  <c r="E44" i="32"/>
  <c r="D14" i="31"/>
  <c r="D5" i="31"/>
  <c r="D11" i="31"/>
  <c r="E29" i="32"/>
  <c r="E39" i="32"/>
  <c r="E58" i="32"/>
  <c r="E8" i="32"/>
  <c r="E4" i="32"/>
  <c r="E7" i="32"/>
  <c r="E64" i="32"/>
  <c r="E17" i="32"/>
  <c r="D15" i="31"/>
  <c r="E36" i="32"/>
  <c r="E33" i="32"/>
  <c r="E19" i="32"/>
  <c r="E9" i="32"/>
  <c r="E13" i="32"/>
  <c r="E48" i="32"/>
  <c r="E32" i="32"/>
  <c r="E51" i="32"/>
  <c r="E38" i="32"/>
  <c r="E54" i="32"/>
  <c r="D3" i="31"/>
  <c r="E55" i="32"/>
  <c r="E14" i="32"/>
  <c r="E25" i="32"/>
  <c r="D8" i="31"/>
  <c r="E56" i="32"/>
  <c r="E3" i="32"/>
  <c r="E61" i="32"/>
  <c r="E23" i="32"/>
  <c r="E52" i="32"/>
  <c r="E31" i="32"/>
  <c r="D4" i="31"/>
  <c r="E50" i="32"/>
  <c r="E62" i="32"/>
  <c r="D13" i="31"/>
  <c r="E6" i="32"/>
  <c r="E46" i="32"/>
  <c r="D10" i="31"/>
  <c r="E49" i="32"/>
  <c r="E21" i="32"/>
  <c r="E35" i="32"/>
  <c r="E26" i="32"/>
  <c r="E22" i="32"/>
  <c r="E57" i="32"/>
  <c r="E59" i="32"/>
  <c r="E15" i="32"/>
  <c r="E45" i="32"/>
  <c r="E30" i="32"/>
  <c r="E20" i="32"/>
  <c r="E53" i="32"/>
  <c r="D7" i="31"/>
  <c r="E18" i="32"/>
  <c r="E12" i="32"/>
  <c r="D6" i="31"/>
  <c r="E27" i="32"/>
  <c r="E42" i="32"/>
  <c r="D12" i="31"/>
  <c r="E60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E7" i="31"/>
  <c r="E13" i="31"/>
  <c r="E16" i="31"/>
  <c r="E4" i="31"/>
  <c r="E15" i="31"/>
  <c r="D6" i="30"/>
  <c r="E6" i="31"/>
  <c r="D13" i="30"/>
  <c r="E11" i="31"/>
  <c r="D5" i="30"/>
  <c r="E8" i="31"/>
  <c r="E12" i="31"/>
  <c r="E9" i="31"/>
  <c r="D7" i="30"/>
  <c r="E3" i="31"/>
  <c r="D8" i="30"/>
  <c r="E14" i="31"/>
  <c r="D3" i="30"/>
  <c r="D9" i="30"/>
  <c r="D11" i="30"/>
  <c r="D4" i="30"/>
  <c r="D12" i="30"/>
  <c r="E5" i="31"/>
  <c r="E10" i="31"/>
  <c r="D10" i="30"/>
  <c r="O13" i="31"/>
  <c r="O9" i="31"/>
  <c r="O6" i="31"/>
  <c r="O10" i="31"/>
  <c r="O14" i="31"/>
  <c r="O8" i="31"/>
  <c r="O7" i="31"/>
  <c r="O5" i="31"/>
  <c r="O12" i="31"/>
  <c r="O11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4" i="30"/>
  <c r="D7" i="29"/>
  <c r="D4" i="28"/>
  <c r="D11" i="29"/>
  <c r="D8" i="29"/>
  <c r="D10" i="29"/>
  <c r="E8" i="30"/>
  <c r="E12" i="30"/>
  <c r="E10" i="30"/>
  <c r="D4" i="29"/>
  <c r="E5" i="30"/>
  <c r="E9" i="30"/>
  <c r="E7" i="30"/>
  <c r="E6" i="30"/>
  <c r="D9" i="29"/>
  <c r="D5" i="29"/>
  <c r="D3" i="29"/>
  <c r="E11" i="30"/>
  <c r="D6" i="29"/>
  <c r="E13" i="30"/>
  <c r="E3" i="30"/>
  <c r="D3" i="28"/>
  <c r="O5" i="30"/>
  <c r="O11" i="30"/>
  <c r="O7" i="30"/>
  <c r="O10" i="30"/>
  <c r="O9" i="30"/>
  <c r="O6" i="30"/>
  <c r="O8" i="30"/>
  <c r="D2" i="30"/>
  <c r="D2" i="31"/>
  <c r="D2" i="28"/>
  <c r="D2" i="29"/>
  <c r="D2" i="32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26" i="22"/>
  <c r="F15" i="22"/>
  <c r="F10" i="23"/>
  <c r="F42" i="22"/>
  <c r="F34" i="22"/>
  <c r="F16" i="22"/>
  <c r="E5" i="29"/>
  <c r="E4" i="29"/>
  <c r="F55" i="22"/>
  <c r="F11" i="23"/>
  <c r="E6" i="29"/>
  <c r="E3" i="29"/>
  <c r="F31" i="22"/>
  <c r="F18" i="22"/>
  <c r="F29" i="22"/>
  <c r="F12" i="23"/>
  <c r="F43" i="22"/>
  <c r="F10" i="24"/>
  <c r="F9" i="22"/>
  <c r="F7" i="22"/>
  <c r="F37" i="22"/>
  <c r="F27" i="22"/>
  <c r="F36" i="22"/>
  <c r="F9" i="23"/>
  <c r="F22" i="22"/>
  <c r="F28" i="22"/>
  <c r="E4" i="28"/>
  <c r="F51" i="22"/>
  <c r="F8" i="24"/>
  <c r="F21" i="22"/>
  <c r="E8" i="29"/>
  <c r="F19" i="22"/>
  <c r="E11" i="29"/>
  <c r="F40" i="22"/>
  <c r="F5" i="22"/>
  <c r="F5" i="24"/>
  <c r="F13" i="23"/>
  <c r="F13" i="22"/>
  <c r="F11" i="24"/>
  <c r="F5" i="23"/>
  <c r="F56" i="22"/>
  <c r="F23" i="22"/>
  <c r="F25" i="22"/>
  <c r="F35" i="22"/>
  <c r="F52" i="22"/>
  <c r="F20" i="22"/>
  <c r="F49" i="22"/>
  <c r="E3" i="28"/>
  <c r="F6" i="24"/>
  <c r="F41" i="22"/>
  <c r="F58" i="22"/>
  <c r="F32" i="22"/>
  <c r="E10" i="29"/>
  <c r="F10" i="22"/>
  <c r="F8" i="23"/>
  <c r="F6" i="22"/>
  <c r="F47" i="22"/>
  <c r="F14" i="22"/>
  <c r="F53" i="22"/>
  <c r="F14" i="23"/>
  <c r="F38" i="22"/>
  <c r="F57" i="22"/>
  <c r="F7" i="24"/>
  <c r="E7" i="29"/>
  <c r="F54" i="22"/>
  <c r="F48" i="22"/>
  <c r="F24" i="22"/>
  <c r="F30" i="22"/>
  <c r="F15" i="23"/>
  <c r="F12" i="22"/>
  <c r="F39" i="22"/>
  <c r="E9" i="29"/>
  <c r="F44" i="22"/>
  <c r="F33" i="22"/>
  <c r="F50" i="22"/>
  <c r="F6" i="23"/>
  <c r="F8" i="22"/>
  <c r="F7" i="23"/>
  <c r="F45" i="22"/>
  <c r="F17" i="22"/>
  <c r="D60" i="22"/>
  <c r="F46" i="22"/>
  <c r="F11" i="22"/>
  <c r="F9" i="24"/>
  <c r="O7" i="29"/>
  <c r="O8" i="29"/>
  <c r="O6" i="29"/>
  <c r="O5" i="29"/>
  <c r="O9" i="29"/>
  <c r="E2" i="29"/>
  <c r="E2" i="32"/>
  <c r="E2" i="31"/>
  <c r="E2" i="30"/>
  <c r="E2" i="28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G48" i="22"/>
  <c r="Y7" i="24"/>
  <c r="G51" i="22"/>
  <c r="F29" i="25"/>
  <c r="G7" i="24"/>
  <c r="G29" i="22"/>
  <c r="G9" i="24"/>
  <c r="G14" i="23"/>
  <c r="G36" i="22"/>
  <c r="G11" i="23"/>
  <c r="G57" i="22"/>
  <c r="G33" i="22"/>
  <c r="G8" i="22"/>
  <c r="G28" i="22"/>
  <c r="G20" i="22"/>
  <c r="G10" i="23"/>
  <c r="G41" i="22"/>
  <c r="G50" i="22"/>
  <c r="G7" i="23"/>
  <c r="G37" i="22"/>
  <c r="G14" i="22"/>
  <c r="G12" i="23"/>
  <c r="G12" i="22"/>
  <c r="G23" i="22"/>
  <c r="G11" i="24"/>
  <c r="G18" i="22"/>
  <c r="F8" i="26"/>
  <c r="G49" i="22"/>
  <c r="G6" i="24"/>
  <c r="F8" i="25"/>
  <c r="G8" i="23"/>
  <c r="F21" i="25"/>
  <c r="G6" i="22"/>
  <c r="F13" i="25"/>
  <c r="F27" i="26"/>
  <c r="Y10" i="24"/>
  <c r="F24" i="25"/>
  <c r="G13" i="22"/>
  <c r="D61" i="22"/>
  <c r="F32" i="26"/>
  <c r="G10" i="24"/>
  <c r="G47" i="22"/>
  <c r="F37" i="25"/>
  <c r="G32" i="22"/>
  <c r="G24" i="22"/>
  <c r="G21" i="22"/>
  <c r="G27" i="22"/>
  <c r="G45" i="22"/>
  <c r="G16" i="22"/>
  <c r="G56" i="22"/>
  <c r="F29" i="26"/>
  <c r="G5" i="23"/>
  <c r="Y8" i="24"/>
  <c r="G43" i="22"/>
  <c r="G25" i="22"/>
  <c r="G10" i="22"/>
  <c r="F19" i="25"/>
  <c r="G38" i="22"/>
  <c r="G19" i="22"/>
  <c r="G5" i="22"/>
  <c r="G15" i="22"/>
  <c r="G9" i="23"/>
  <c r="G11" i="22"/>
  <c r="G42" i="22"/>
  <c r="G52" i="22"/>
  <c r="G7" i="22"/>
  <c r="Y5" i="24"/>
  <c r="G39" i="22"/>
  <c r="Y11" i="24"/>
  <c r="F40" i="26"/>
  <c r="G34" i="22"/>
  <c r="G35" i="22"/>
  <c r="G6" i="23"/>
  <c r="F11" i="26"/>
  <c r="G55" i="22"/>
  <c r="G54" i="22"/>
  <c r="F24" i="26"/>
  <c r="G30" i="22"/>
  <c r="F12" i="25"/>
  <c r="F19" i="26"/>
  <c r="G26" i="22"/>
  <c r="G40" i="22"/>
  <c r="G17" i="22"/>
  <c r="F16" i="25"/>
  <c r="G53" i="22"/>
  <c r="F11" i="25"/>
  <c r="Y6" i="24"/>
  <c r="G8" i="24"/>
  <c r="G44" i="22"/>
  <c r="G58" i="22"/>
  <c r="F60" i="22"/>
  <c r="G5" i="24"/>
  <c r="G13" i="23"/>
  <c r="G31" i="22"/>
  <c r="F35" i="26"/>
  <c r="F16" i="26"/>
  <c r="G22" i="22"/>
  <c r="G46" i="22"/>
  <c r="G9" i="22"/>
  <c r="G15" i="23"/>
  <c r="Y9" i="24"/>
  <c r="Y48" i="22"/>
  <c r="Y36" i="22"/>
  <c r="Y33" i="22"/>
  <c r="Y10" i="22"/>
  <c r="Y29" i="22"/>
  <c r="Y8" i="23"/>
  <c r="Y18" i="22"/>
  <c r="Y21" i="22"/>
  <c r="Y42" i="22"/>
  <c r="Y5" i="22"/>
  <c r="Y11" i="22"/>
  <c r="Y15" i="23"/>
  <c r="Y19" i="22"/>
  <c r="Y6" i="22"/>
  <c r="Y27" i="22"/>
  <c r="Y43" i="22"/>
  <c r="Y25" i="22"/>
  <c r="Y35" i="22"/>
  <c r="Y7" i="23"/>
  <c r="Y24" i="22"/>
  <c r="Y26" i="22"/>
  <c r="Y23" i="22"/>
  <c r="Y54" i="22"/>
  <c r="Y11" i="23"/>
  <c r="Y39" i="22"/>
  <c r="Y55" i="22"/>
  <c r="Y57" i="22"/>
  <c r="Y47" i="22"/>
  <c r="Y5" i="23"/>
  <c r="Y16" i="22"/>
  <c r="Y9" i="22"/>
  <c r="Y8" i="22"/>
  <c r="Y38" i="22"/>
  <c r="Y58" i="22"/>
  <c r="Y53" i="22"/>
  <c r="Y13" i="22"/>
  <c r="Y12" i="22"/>
  <c r="Y20" i="22"/>
  <c r="Y17" i="22"/>
  <c r="Y45" i="22"/>
  <c r="Y32" i="22"/>
  <c r="Y28" i="22"/>
  <c r="Y6" i="23"/>
  <c r="Y14" i="22"/>
  <c r="Y37" i="22"/>
  <c r="Y13" i="23"/>
  <c r="Y56" i="22"/>
  <c r="Y52" i="22"/>
  <c r="Y46" i="22"/>
  <c r="Y7" i="22"/>
  <c r="Y10" i="23"/>
  <c r="Y14" i="23"/>
  <c r="Y22" i="22"/>
  <c r="Y30" i="22"/>
  <c r="Y34" i="22"/>
  <c r="Y51" i="22"/>
  <c r="Y31" i="22"/>
  <c r="Y44" i="22"/>
  <c r="Y9" i="23"/>
  <c r="Y12" i="23"/>
  <c r="Y50" i="22"/>
  <c r="Y15" i="22"/>
  <c r="Y41" i="22"/>
  <c r="Y49" i="22"/>
  <c r="Y40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F30" i="26"/>
  <c r="F26" i="26"/>
  <c r="G16" i="25"/>
  <c r="G60" i="22"/>
  <c r="F21" i="26"/>
  <c r="F28" i="26"/>
  <c r="F27" i="25"/>
  <c r="G32" i="26"/>
  <c r="D62" i="22"/>
  <c r="F41" i="25"/>
  <c r="F41" i="26"/>
  <c r="F7" i="26"/>
  <c r="F42" i="26"/>
  <c r="F23" i="25"/>
  <c r="F30" i="25"/>
  <c r="G24" i="26"/>
  <c r="F14" i="26"/>
  <c r="F33" i="25"/>
  <c r="F31" i="25"/>
  <c r="G29" i="25"/>
  <c r="F38" i="26"/>
  <c r="F25" i="25"/>
  <c r="F37" i="26"/>
  <c r="F10" i="26"/>
  <c r="F22" i="26"/>
  <c r="G37" i="25"/>
  <c r="G24" i="25"/>
  <c r="G19" i="26"/>
  <c r="F39" i="26"/>
  <c r="G11" i="26"/>
  <c r="F7" i="25"/>
  <c r="F36" i="25"/>
  <c r="G21" i="25"/>
  <c r="G19" i="25"/>
  <c r="G8" i="25"/>
  <c r="F14" i="25"/>
  <c r="F17" i="26"/>
  <c r="F40" i="25"/>
  <c r="G40" i="26"/>
  <c r="F10" i="25"/>
  <c r="F26" i="25"/>
  <c r="F17" i="25"/>
  <c r="F38" i="25"/>
  <c r="AC16" i="26"/>
  <c r="G16" i="26"/>
  <c r="F36" i="26"/>
  <c r="F6" i="25"/>
  <c r="F25" i="26"/>
  <c r="AC19" i="26"/>
  <c r="AC24" i="26"/>
  <c r="F9" i="26"/>
  <c r="AC29" i="26"/>
  <c r="F42" i="25"/>
  <c r="F18" i="25"/>
  <c r="G35" i="26"/>
  <c r="G13" i="25"/>
  <c r="G29" i="26"/>
  <c r="F18" i="26"/>
  <c r="F23" i="26"/>
  <c r="AC40" i="26"/>
  <c r="F39" i="25"/>
  <c r="G11" i="25"/>
  <c r="F20" i="26"/>
  <c r="F22" i="25"/>
  <c r="F35" i="25"/>
  <c r="F61" i="22"/>
  <c r="G12" i="25"/>
  <c r="F12" i="26"/>
  <c r="F15" i="26"/>
  <c r="F34" i="25"/>
  <c r="AC32" i="26"/>
  <c r="F9" i="25"/>
  <c r="F15" i="25"/>
  <c r="F33" i="26"/>
  <c r="F6" i="26"/>
  <c r="G8" i="26"/>
  <c r="AC27" i="26"/>
  <c r="G27" i="26"/>
  <c r="F20" i="25"/>
  <c r="AC8" i="26"/>
  <c r="AC35" i="26"/>
  <c r="F13" i="26"/>
  <c r="F31" i="26"/>
  <c r="F34" i="26"/>
  <c r="AC11" i="26"/>
  <c r="F32" i="25"/>
  <c r="F28" i="25"/>
  <c r="AC29" i="25"/>
  <c r="AC13" i="25"/>
  <c r="AC19" i="25"/>
  <c r="AC8" i="25"/>
  <c r="AC24" i="25"/>
  <c r="AC16" i="25"/>
  <c r="AC11" i="25"/>
  <c r="AC12" i="25"/>
  <c r="AC21" i="25"/>
  <c r="AC37" i="25"/>
  <c r="E62" i="22" l="1"/>
  <c r="G32" i="25"/>
  <c r="G18" i="25"/>
  <c r="G38" i="25"/>
  <c r="AC23" i="26"/>
  <c r="G41" i="26"/>
  <c r="G30" i="26"/>
  <c r="AC30" i="26"/>
  <c r="G9" i="25"/>
  <c r="G37" i="26"/>
  <c r="AC36" i="26"/>
  <c r="AC22" i="26"/>
  <c r="AC25" i="26"/>
  <c r="G31" i="25"/>
  <c r="G23" i="25"/>
  <c r="G20" i="25"/>
  <c r="AC39" i="26"/>
  <c r="AC21" i="26"/>
  <c r="G26" i="25"/>
  <c r="G39" i="26"/>
  <c r="AC26" i="26"/>
  <c r="G27" i="25"/>
  <c r="G28" i="25"/>
  <c r="AC18" i="26"/>
  <c r="G42" i="25"/>
  <c r="G26" i="26"/>
  <c r="G13" i="26"/>
  <c r="G25" i="25"/>
  <c r="G33" i="26"/>
  <c r="G12" i="26"/>
  <c r="G10" i="26"/>
  <c r="AC12" i="26"/>
  <c r="AC17" i="26"/>
  <c r="G41" i="25"/>
  <c r="G9" i="26"/>
  <c r="G36" i="26"/>
  <c r="G34" i="25"/>
  <c r="AC33" i="26"/>
  <c r="AC6" i="26"/>
  <c r="G7" i="26"/>
  <c r="G23" i="26"/>
  <c r="F62" i="22"/>
  <c r="G30" i="25"/>
  <c r="G17" i="26"/>
  <c r="G22" i="25"/>
  <c r="G18" i="26"/>
  <c r="D63" i="22"/>
  <c r="AC37" i="26"/>
  <c r="AC31" i="26"/>
  <c r="AC42" i="26"/>
  <c r="G15" i="25"/>
  <c r="G15" i="26"/>
  <c r="G6" i="26"/>
  <c r="AC38" i="26"/>
  <c r="G42" i="26"/>
  <c r="G35" i="25"/>
  <c r="G33" i="25"/>
  <c r="G36" i="25"/>
  <c r="AC9" i="26"/>
  <c r="AC20" i="26"/>
  <c r="AC15" i="26"/>
  <c r="G20" i="26"/>
  <c r="G39" i="25"/>
  <c r="AC7" i="26"/>
  <c r="G61" i="22"/>
  <c r="G21" i="26"/>
  <c r="G31" i="26"/>
  <c r="AC10" i="26"/>
  <c r="G25" i="26"/>
  <c r="G17" i="25"/>
  <c r="G22" i="26"/>
  <c r="AC34" i="26"/>
  <c r="G28" i="26"/>
  <c r="AC14" i="26"/>
  <c r="G14" i="26"/>
  <c r="G40" i="25"/>
  <c r="G6" i="25"/>
  <c r="G38" i="26"/>
  <c r="AC41" i="26"/>
  <c r="G14" i="25"/>
  <c r="G7" i="25"/>
  <c r="AC13" i="26"/>
  <c r="G34" i="26"/>
  <c r="G10" i="25"/>
  <c r="AC28" i="26"/>
  <c r="AC15" i="25"/>
  <c r="AC33" i="25"/>
  <c r="AC42" i="25"/>
  <c r="AC27" i="25"/>
  <c r="AC7" i="25"/>
  <c r="AC34" i="25"/>
  <c r="AC20" i="25"/>
  <c r="AC6" i="25"/>
  <c r="AC30" i="25"/>
  <c r="AC40" i="25"/>
  <c r="AC17" i="25"/>
  <c r="AC32" i="25"/>
  <c r="AC28" i="25"/>
  <c r="AC25" i="25"/>
  <c r="AC18" i="25"/>
  <c r="AC22" i="25"/>
  <c r="AC23" i="25"/>
  <c r="AC36" i="25"/>
  <c r="AC10" i="25"/>
  <c r="AC39" i="25"/>
  <c r="AC35" i="25"/>
  <c r="AC14" i="25"/>
  <c r="AC38" i="25"/>
  <c r="AC26" i="25"/>
  <c r="AC31" i="25"/>
  <c r="AC9" i="25"/>
  <c r="AC41" i="25"/>
  <c r="E63" i="22" l="1"/>
  <c r="G62" i="22"/>
  <c r="F63" i="22"/>
  <c r="D64" i="22"/>
  <c r="E64" i="22" l="1"/>
  <c r="D65" i="22"/>
  <c r="G63" i="22"/>
  <c r="F64" i="22"/>
  <c r="E65" i="22" l="1"/>
  <c r="F65" i="22"/>
  <c r="G64" i="22"/>
  <c r="D66" i="22"/>
  <c r="E66" i="22" l="1"/>
  <c r="D67" i="22"/>
  <c r="G65" i="22"/>
  <c r="F66" i="22"/>
  <c r="E67" i="22" l="1"/>
  <c r="F67" i="22"/>
  <c r="D68" i="22"/>
  <c r="G66" i="22"/>
  <c r="E68" i="22" l="1"/>
  <c r="D69" i="22"/>
  <c r="G67" i="22"/>
  <c r="D70" i="22"/>
  <c r="F68" i="22"/>
  <c r="E69" i="22" l="1"/>
  <c r="E70" i="22"/>
  <c r="F69" i="22"/>
  <c r="D71" i="22"/>
  <c r="G69" i="22"/>
  <c r="G68" i="22"/>
  <c r="F70" i="22"/>
  <c r="E71" i="22" l="1"/>
  <c r="F71" i="22"/>
  <c r="G70" i="22"/>
  <c r="D72" i="22"/>
  <c r="E72" i="22" l="1"/>
  <c r="D73" i="22"/>
  <c r="F72" i="22"/>
  <c r="G72" i="22"/>
  <c r="G71" i="22"/>
  <c r="E73" i="22" l="1"/>
  <c r="F73" i="22"/>
  <c r="D74" i="22"/>
  <c r="G73" i="22"/>
  <c r="E74" i="22" l="1"/>
  <c r="F74" i="22"/>
  <c r="D75" i="22"/>
  <c r="G74" i="22"/>
  <c r="E75" i="22" l="1"/>
  <c r="D76" i="22"/>
  <c r="F75" i="22"/>
  <c r="G75" i="22"/>
  <c r="E76" i="22" l="1"/>
  <c r="F76" i="22"/>
  <c r="D77" i="22"/>
  <c r="G76" i="22"/>
  <c r="E77" i="22" l="1"/>
  <c r="F77" i="22"/>
  <c r="D78" i="22"/>
  <c r="G77" i="22"/>
  <c r="E78" i="22" l="1"/>
  <c r="F78" i="22"/>
  <c r="D79" i="22"/>
  <c r="G78" i="22"/>
  <c r="E79" i="22" l="1"/>
  <c r="D80" i="22"/>
  <c r="D81" i="22"/>
  <c r="F79" i="22"/>
  <c r="F4" i="23"/>
  <c r="F5" i="26"/>
  <c r="F4" i="24"/>
  <c r="F5" i="25"/>
  <c r="G79" i="22"/>
  <c r="E80" i="22" l="1"/>
  <c r="E81" i="22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C13" i="16"/>
  <c r="D13" i="16" s="1"/>
  <c r="C14" i="16"/>
  <c r="D14" i="16" s="1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D21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D8" i="15"/>
  <c r="D16" i="15"/>
  <c r="D20" i="15"/>
  <c r="D18" i="15"/>
  <c r="D3" i="19" a="1"/>
  <c r="D13" i="15"/>
  <c r="F81" i="22"/>
  <c r="E15" i="16"/>
  <c r="D12" i="15"/>
  <c r="D21" i="15"/>
  <c r="E17" i="16"/>
  <c r="E10" i="16"/>
  <c r="E11" i="16"/>
  <c r="E6" i="16"/>
  <c r="C5" i="20"/>
  <c r="E14" i="16"/>
  <c r="D82" i="22"/>
  <c r="E21" i="16"/>
  <c r="E9" i="16"/>
  <c r="D19" i="15"/>
  <c r="E3" i="16"/>
  <c r="D10" i="15"/>
  <c r="D17" i="15"/>
  <c r="E4" i="16"/>
  <c r="D5" i="15"/>
  <c r="E20" i="16"/>
  <c r="E16" i="16"/>
  <c r="D11" i="15"/>
  <c r="E5" i="16"/>
  <c r="F80" i="22"/>
  <c r="D7" i="15"/>
  <c r="E13" i="16"/>
  <c r="E8" i="16"/>
  <c r="D15" i="15"/>
  <c r="E18" i="16"/>
  <c r="E12" i="16"/>
  <c r="C6" i="20"/>
  <c r="E19" i="16"/>
  <c r="D14" i="15"/>
  <c r="D9" i="15"/>
  <c r="D6" i="15"/>
  <c r="E7" i="16"/>
  <c r="D22" i="15"/>
  <c r="AC5" i="25"/>
  <c r="G5" i="26"/>
  <c r="G81" i="22"/>
  <c r="G80" i="22"/>
  <c r="G4" i="24"/>
  <c r="G4" i="23"/>
  <c r="AC5" i="26"/>
  <c r="G5" i="25"/>
  <c r="E82" i="22" l="1"/>
  <c r="AM2" i="18"/>
  <c r="AM3" i="18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F68" i="19"/>
  <c r="E21" i="15"/>
  <c r="F31" i="19"/>
  <c r="F109" i="19"/>
  <c r="D6" i="20"/>
  <c r="F47" i="18"/>
  <c r="F22" i="19"/>
  <c r="F19" i="19"/>
  <c r="F44" i="18"/>
  <c r="F76" i="19"/>
  <c r="F48" i="19"/>
  <c r="F106" i="19"/>
  <c r="E14" i="15"/>
  <c r="F35" i="18"/>
  <c r="F25" i="19"/>
  <c r="F17" i="16"/>
  <c r="F33" i="19"/>
  <c r="F15" i="18"/>
  <c r="F43" i="19"/>
  <c r="F28" i="18"/>
  <c r="F39" i="18"/>
  <c r="F88" i="19"/>
  <c r="F120" i="19"/>
  <c r="F116" i="19"/>
  <c r="F82" i="19"/>
  <c r="F90" i="19"/>
  <c r="F122" i="19"/>
  <c r="F11" i="18"/>
  <c r="F114" i="19"/>
  <c r="F121" i="19"/>
  <c r="F15" i="19"/>
  <c r="F19" i="18"/>
  <c r="E6" i="15"/>
  <c r="F82" i="22"/>
  <c r="F52" i="19"/>
  <c r="F34" i="18"/>
  <c r="F22" i="18"/>
  <c r="F18" i="19"/>
  <c r="F9" i="17"/>
  <c r="F91" i="19"/>
  <c r="F7" i="19"/>
  <c r="F16" i="16"/>
  <c r="F94" i="19"/>
  <c r="E17" i="15"/>
  <c r="F61" i="19"/>
  <c r="F111" i="19"/>
  <c r="F100" i="19"/>
  <c r="F21" i="19"/>
  <c r="F26" i="18"/>
  <c r="F10" i="19"/>
  <c r="F40" i="18"/>
  <c r="F86" i="19"/>
  <c r="F37" i="18"/>
  <c r="F93" i="19"/>
  <c r="F9" i="16"/>
  <c r="F13" i="17"/>
  <c r="F108" i="19"/>
  <c r="F5" i="16"/>
  <c r="F64" i="19"/>
  <c r="F14" i="18"/>
  <c r="F84" i="19"/>
  <c r="F30" i="19"/>
  <c r="F27" i="19"/>
  <c r="E12" i="15"/>
  <c r="F46" i="19"/>
  <c r="F62" i="19"/>
  <c r="F104" i="19"/>
  <c r="F66" i="19"/>
  <c r="F11" i="17"/>
  <c r="F25" i="18"/>
  <c r="F23" i="18"/>
  <c r="F79" i="19"/>
  <c r="F9" i="19"/>
  <c r="F21" i="16"/>
  <c r="F16" i="17"/>
  <c r="F107" i="19"/>
  <c r="F28" i="19"/>
  <c r="F13" i="18"/>
  <c r="F72" i="19"/>
  <c r="F8" i="18"/>
  <c r="F6" i="19"/>
  <c r="F36" i="18"/>
  <c r="F20" i="19"/>
  <c r="F31" i="18"/>
  <c r="F45" i="19"/>
  <c r="F42" i="19"/>
  <c r="F44" i="19"/>
  <c r="F6" i="17"/>
  <c r="F26" i="19"/>
  <c r="F51" i="19"/>
  <c r="F77" i="19"/>
  <c r="F3" i="19"/>
  <c r="F98" i="19"/>
  <c r="E9" i="15"/>
  <c r="E13" i="15"/>
  <c r="E22" i="15"/>
  <c r="F85" i="19"/>
  <c r="F73" i="19"/>
  <c r="F87" i="19"/>
  <c r="F7" i="17"/>
  <c r="F24" i="19"/>
  <c r="F15" i="17"/>
  <c r="F36" i="19"/>
  <c r="F83" i="19"/>
  <c r="F32" i="19"/>
  <c r="D26" i="15"/>
  <c r="F102" i="19"/>
  <c r="D5" i="20"/>
  <c r="E15" i="15"/>
  <c r="F92" i="19"/>
  <c r="E11" i="15"/>
  <c r="F38" i="18"/>
  <c r="F24" i="18"/>
  <c r="F19" i="16"/>
  <c r="F110" i="19"/>
  <c r="F78" i="19"/>
  <c r="F9" i="18"/>
  <c r="E8" i="15"/>
  <c r="F6" i="16"/>
  <c r="F5" i="19"/>
  <c r="F17" i="19"/>
  <c r="F101" i="19"/>
  <c r="F12" i="17"/>
  <c r="F12" i="16"/>
  <c r="F32" i="18"/>
  <c r="E19" i="15"/>
  <c r="F21" i="18"/>
  <c r="F4" i="16"/>
  <c r="F14" i="17"/>
  <c r="F13" i="19"/>
  <c r="F57" i="19"/>
  <c r="F41" i="19"/>
  <c r="F119" i="19"/>
  <c r="F23" i="19"/>
  <c r="F103" i="19"/>
  <c r="F35" i="19"/>
  <c r="F75" i="19"/>
  <c r="E16" i="15"/>
  <c r="F15" i="16"/>
  <c r="F67" i="19"/>
  <c r="F27" i="18"/>
  <c r="F10" i="16"/>
  <c r="F41" i="18"/>
  <c r="D83" i="22"/>
  <c r="F45" i="18"/>
  <c r="F47" i="19"/>
  <c r="F7" i="18"/>
  <c r="F46" i="18"/>
  <c r="F8" i="16"/>
  <c r="F112" i="19"/>
  <c r="F69" i="19"/>
  <c r="F17" i="18"/>
  <c r="F20" i="16"/>
  <c r="F80" i="19"/>
  <c r="F118" i="19"/>
  <c r="F3" i="16"/>
  <c r="F10" i="17"/>
  <c r="F56" i="19"/>
  <c r="E18" i="15"/>
  <c r="E7" i="15"/>
  <c r="F53" i="19"/>
  <c r="F54" i="19"/>
  <c r="F50" i="19"/>
  <c r="F113" i="19"/>
  <c r="F71" i="19"/>
  <c r="F42" i="18"/>
  <c r="F96" i="19"/>
  <c r="F43" i="18"/>
  <c r="F11" i="16"/>
  <c r="F117" i="19"/>
  <c r="F10" i="18"/>
  <c r="F40" i="19"/>
  <c r="F18" i="18"/>
  <c r="F4" i="19"/>
  <c r="F60" i="19"/>
  <c r="F8" i="17"/>
  <c r="F17" i="17"/>
  <c r="F7" i="16"/>
  <c r="F12" i="19"/>
  <c r="F81" i="19"/>
  <c r="F13" i="16"/>
  <c r="F16" i="18"/>
  <c r="F39" i="19"/>
  <c r="F11" i="19"/>
  <c r="F14" i="19"/>
  <c r="E5" i="15"/>
  <c r="F30" i="18"/>
  <c r="F65" i="19"/>
  <c r="F55" i="19"/>
  <c r="F99" i="19"/>
  <c r="F37" i="19"/>
  <c r="F95" i="19"/>
  <c r="F16" i="19"/>
  <c r="F14" i="16"/>
  <c r="E10" i="15"/>
  <c r="F20" i="18"/>
  <c r="F18" i="16"/>
  <c r="F38" i="19"/>
  <c r="F6" i="18"/>
  <c r="F58" i="19"/>
  <c r="F8" i="19"/>
  <c r="F29" i="19"/>
  <c r="F115" i="19"/>
  <c r="F63" i="19"/>
  <c r="F70" i="19"/>
  <c r="F97" i="19"/>
  <c r="F89" i="19"/>
  <c r="F34" i="19"/>
  <c r="F105" i="19"/>
  <c r="F74" i="19"/>
  <c r="F12" i="18"/>
  <c r="F29" i="18"/>
  <c r="F49" i="19"/>
  <c r="F33" i="18"/>
  <c r="E20" i="15"/>
  <c r="F59" i="19"/>
  <c r="Q6" i="20"/>
  <c r="Q5" i="20"/>
  <c r="Z11" i="17"/>
  <c r="Z17" i="17"/>
  <c r="Z6" i="17"/>
  <c r="P10" i="15"/>
  <c r="Z13" i="17"/>
  <c r="Z15" i="17"/>
  <c r="Z10" i="17"/>
  <c r="Z12" i="17"/>
  <c r="X12" i="16"/>
  <c r="X13" i="16"/>
  <c r="P11" i="15"/>
  <c r="P21" i="15"/>
  <c r="P6" i="15"/>
  <c r="P14" i="15"/>
  <c r="X20" i="16"/>
  <c r="Z14" i="17"/>
  <c r="P15" i="15"/>
  <c r="Z16" i="17"/>
  <c r="X16" i="16"/>
  <c r="X7" i="16"/>
  <c r="X14" i="16"/>
  <c r="X11" i="16"/>
  <c r="X10" i="16"/>
  <c r="X9" i="16"/>
  <c r="P8" i="15"/>
  <c r="P16" i="15"/>
  <c r="P19" i="15"/>
  <c r="Z9" i="17"/>
  <c r="Z7" i="17"/>
  <c r="X18" i="16"/>
  <c r="P13" i="15"/>
  <c r="P22" i="15"/>
  <c r="X15" i="16"/>
  <c r="X21" i="16"/>
  <c r="X8" i="16"/>
  <c r="X17" i="16"/>
  <c r="P18" i="15"/>
  <c r="P7" i="15"/>
  <c r="P9" i="15"/>
  <c r="P5" i="15"/>
  <c r="P17" i="15"/>
  <c r="P12" i="15"/>
  <c r="Z8" i="17"/>
  <c r="P20" i="15"/>
  <c r="X19" i="16"/>
  <c r="F5" i="18"/>
  <c r="F5" i="17"/>
  <c r="D4" i="15"/>
  <c r="C4" i="20"/>
  <c r="G82" i="22"/>
  <c r="F2" i="19"/>
  <c r="E2" i="16"/>
  <c r="E83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109" i="19"/>
  <c r="G34" i="19"/>
  <c r="G118" i="19"/>
  <c r="G46" i="18"/>
  <c r="G76" i="19"/>
  <c r="G7" i="18"/>
  <c r="G55" i="19"/>
  <c r="G59" i="19"/>
  <c r="G95" i="19"/>
  <c r="G24" i="18"/>
  <c r="G6" i="17"/>
  <c r="G120" i="19"/>
  <c r="G86" i="19"/>
  <c r="G54" i="19"/>
  <c r="G41" i="19"/>
  <c r="G28" i="18"/>
  <c r="G6" i="19"/>
  <c r="G72" i="19"/>
  <c r="G47" i="18"/>
  <c r="G11" i="19"/>
  <c r="G41" i="18"/>
  <c r="G52" i="19"/>
  <c r="G32" i="18"/>
  <c r="G104" i="19"/>
  <c r="G75" i="19"/>
  <c r="G16" i="19"/>
  <c r="G110" i="19"/>
  <c r="G32" i="19"/>
  <c r="G81" i="19"/>
  <c r="G56" i="19"/>
  <c r="G20" i="19"/>
  <c r="G36" i="18"/>
  <c r="G43" i="18"/>
  <c r="G29" i="19"/>
  <c r="G34" i="18"/>
  <c r="G23" i="18"/>
  <c r="G27" i="18"/>
  <c r="G19" i="19"/>
  <c r="G70" i="19"/>
  <c r="G53" i="19"/>
  <c r="G12" i="17"/>
  <c r="G25" i="18"/>
  <c r="G15" i="17"/>
  <c r="G121" i="19"/>
  <c r="G11" i="18"/>
  <c r="G84" i="19"/>
  <c r="G90" i="19"/>
  <c r="G42" i="18"/>
  <c r="G13" i="17"/>
  <c r="G39" i="18"/>
  <c r="G33" i="18"/>
  <c r="G25" i="19"/>
  <c r="G63" i="19"/>
  <c r="G67" i="19"/>
  <c r="G46" i="19"/>
  <c r="G100" i="19"/>
  <c r="G116" i="19"/>
  <c r="G19" i="18"/>
  <c r="G74" i="19"/>
  <c r="G108" i="19"/>
  <c r="G20" i="18"/>
  <c r="G44" i="18"/>
  <c r="G92" i="19"/>
  <c r="G45" i="19"/>
  <c r="G69" i="19"/>
  <c r="G7" i="17"/>
  <c r="G3" i="19"/>
  <c r="G31" i="18"/>
  <c r="G38" i="19"/>
  <c r="G82" i="19"/>
  <c r="G27" i="19"/>
  <c r="G10" i="18"/>
  <c r="G5" i="19"/>
  <c r="G35" i="18"/>
  <c r="G10" i="19"/>
  <c r="G12" i="18"/>
  <c r="D84" i="22"/>
  <c r="G112" i="19"/>
  <c r="G50" i="19"/>
  <c r="G9" i="19"/>
  <c r="G16" i="17"/>
  <c r="G13" i="18"/>
  <c r="G21" i="18"/>
  <c r="G9" i="17"/>
  <c r="G73" i="19"/>
  <c r="G37" i="19"/>
  <c r="G102" i="19"/>
  <c r="G37" i="18"/>
  <c r="G96" i="19"/>
  <c r="G8" i="18"/>
  <c r="G68" i="19"/>
  <c r="G12" i="19"/>
  <c r="G11" i="17"/>
  <c r="G60" i="19"/>
  <c r="G36" i="19"/>
  <c r="G22" i="19"/>
  <c r="G66" i="19"/>
  <c r="G93" i="19"/>
  <c r="G49" i="19"/>
  <c r="G89" i="19"/>
  <c r="G78" i="19"/>
  <c r="G98" i="19"/>
  <c r="G91" i="19"/>
  <c r="G4" i="19"/>
  <c r="G106" i="19"/>
  <c r="G88" i="19"/>
  <c r="G31" i="19"/>
  <c r="G107" i="19"/>
  <c r="G6" i="18"/>
  <c r="G111" i="19"/>
  <c r="G15" i="18"/>
  <c r="G24" i="19"/>
  <c r="G14" i="18"/>
  <c r="G18" i="18"/>
  <c r="G29" i="18"/>
  <c r="G18" i="19"/>
  <c r="G14" i="17"/>
  <c r="G47" i="19"/>
  <c r="G30" i="18"/>
  <c r="G9" i="18"/>
  <c r="G65" i="19"/>
  <c r="G30" i="19"/>
  <c r="G7" i="19"/>
  <c r="G113" i="19"/>
  <c r="G40" i="18"/>
  <c r="G17" i="17"/>
  <c r="G35" i="19"/>
  <c r="G99" i="19"/>
  <c r="G119" i="19"/>
  <c r="G57" i="19"/>
  <c r="G22" i="18"/>
  <c r="G77" i="19"/>
  <c r="G48" i="19"/>
  <c r="G87" i="19"/>
  <c r="G62" i="19"/>
  <c r="G58" i="19"/>
  <c r="G17" i="19"/>
  <c r="G28" i="19"/>
  <c r="G44" i="19"/>
  <c r="G38" i="18"/>
  <c r="G14" i="19"/>
  <c r="G17" i="18"/>
  <c r="G39" i="19"/>
  <c r="G21" i="19"/>
  <c r="G42" i="19"/>
  <c r="G83" i="19"/>
  <c r="G43" i="19"/>
  <c r="G97" i="19"/>
  <c r="G33" i="19"/>
  <c r="G61" i="19"/>
  <c r="G23" i="19"/>
  <c r="G51" i="19"/>
  <c r="G94" i="19"/>
  <c r="G15" i="19"/>
  <c r="G115" i="19"/>
  <c r="G71" i="19"/>
  <c r="G79" i="19"/>
  <c r="G13" i="19"/>
  <c r="G114" i="19"/>
  <c r="G40" i="19"/>
  <c r="G8" i="17"/>
  <c r="G101" i="19"/>
  <c r="G26" i="19"/>
  <c r="G64" i="19"/>
  <c r="G103" i="19"/>
  <c r="G10" i="17"/>
  <c r="G105" i="19"/>
  <c r="G26" i="18"/>
  <c r="G80" i="19"/>
  <c r="G45" i="18"/>
  <c r="G85" i="19"/>
  <c r="G122" i="19"/>
  <c r="G16" i="18"/>
  <c r="G8" i="19"/>
  <c r="G117" i="19"/>
  <c r="F83" i="22"/>
  <c r="Z23" i="18"/>
  <c r="Z9" i="18"/>
  <c r="Z33" i="18"/>
  <c r="Z6" i="18"/>
  <c r="Z45" i="18"/>
  <c r="Q3" i="20"/>
  <c r="Z44" i="18"/>
  <c r="Z25" i="18"/>
  <c r="Z26" i="18"/>
  <c r="Z17" i="18"/>
  <c r="Z35" i="18"/>
  <c r="Z42" i="18"/>
  <c r="Z27" i="18"/>
  <c r="Z20" i="18"/>
  <c r="Z22" i="18"/>
  <c r="Z32" i="18"/>
  <c r="Z30" i="18"/>
  <c r="Z19" i="18"/>
  <c r="Z16" i="18"/>
  <c r="Z12" i="18"/>
  <c r="Z18" i="18"/>
  <c r="Z13" i="18"/>
  <c r="Z7" i="18"/>
  <c r="Z47" i="18"/>
  <c r="Z41" i="18"/>
  <c r="Z39" i="18"/>
  <c r="Z43" i="18"/>
  <c r="Z37" i="18"/>
  <c r="Z8" i="18"/>
  <c r="Z38" i="18"/>
  <c r="Z24" i="18"/>
  <c r="Z34" i="18"/>
  <c r="Z40" i="18"/>
  <c r="Z11" i="18"/>
  <c r="Z29" i="18"/>
  <c r="Z10" i="18"/>
  <c r="Z28" i="18"/>
  <c r="Z21" i="18"/>
  <c r="Z36" i="18"/>
  <c r="Z46" i="18"/>
  <c r="Z15" i="18"/>
  <c r="Z14" i="18"/>
  <c r="Z31" i="18"/>
  <c r="E4" i="15"/>
  <c r="G83" i="22"/>
  <c r="G5" i="17"/>
  <c r="D4" i="20"/>
  <c r="G2" i="19"/>
  <c r="G5" i="18"/>
  <c r="F2" i="16"/>
  <c r="E84" i="22" l="1"/>
  <c r="E5" i="13"/>
  <c r="E5" i="11"/>
  <c r="E5" i="12"/>
  <c r="C6" i="13"/>
  <c r="C6" i="12"/>
  <c r="C6" i="11"/>
  <c r="F5" i="11"/>
  <c r="F84" i="22"/>
  <c r="F5" i="12"/>
  <c r="D85" i="22"/>
  <c r="F5" i="13"/>
  <c r="G84" i="22"/>
  <c r="E85" i="22" l="1"/>
  <c r="C7" i="13"/>
  <c r="E6" i="13"/>
  <c r="E4" i="12"/>
  <c r="C7" i="12"/>
  <c r="E6" i="12"/>
  <c r="E4" i="11"/>
  <c r="C7" i="11"/>
  <c r="E6" i="11"/>
  <c r="G5" i="13"/>
  <c r="F6" i="13"/>
  <c r="D86" i="22"/>
  <c r="F85" i="22"/>
  <c r="F6" i="12"/>
  <c r="F6" i="11"/>
  <c r="G5" i="11"/>
  <c r="G5" i="12"/>
  <c r="AC5" i="11"/>
  <c r="G85" i="22"/>
  <c r="E86" i="22" l="1"/>
  <c r="C8" i="13"/>
  <c r="E7" i="13"/>
  <c r="E7" i="12"/>
  <c r="C8" i="12"/>
  <c r="E7" i="11"/>
  <c r="C8" i="11"/>
  <c r="G6" i="11"/>
  <c r="F86" i="22"/>
  <c r="F7" i="11"/>
  <c r="G6" i="13"/>
  <c r="F7" i="12"/>
  <c r="F7" i="13"/>
  <c r="G6" i="12"/>
  <c r="D87" i="22"/>
  <c r="D88" i="22" s="1"/>
  <c r="D89" i="22" s="1"/>
  <c r="AC6" i="11"/>
  <c r="G86" i="22"/>
  <c r="E88" i="22" l="1"/>
  <c r="E87" i="22"/>
  <c r="E89" i="22"/>
  <c r="E8" i="13"/>
  <c r="C9" i="13"/>
  <c r="C9" i="12"/>
  <c r="E8" i="12"/>
  <c r="E8" i="11"/>
  <c r="C9" i="11"/>
  <c r="G7" i="12"/>
  <c r="F89" i="22"/>
  <c r="F87" i="22"/>
  <c r="D90" i="22"/>
  <c r="G7" i="13"/>
  <c r="F8" i="12"/>
  <c r="F88" i="22"/>
  <c r="F8" i="13"/>
  <c r="G7" i="11"/>
  <c r="F8" i="11"/>
  <c r="AC7" i="11"/>
  <c r="G88" i="22"/>
  <c r="G87" i="22"/>
  <c r="G89" i="22"/>
  <c r="E90" i="22" l="1"/>
  <c r="E4" i="13"/>
  <c r="C10" i="13"/>
  <c r="E9" i="13"/>
  <c r="E9" i="12"/>
  <c r="C10" i="12"/>
  <c r="C10" i="11"/>
  <c r="E9" i="11"/>
  <c r="D91" i="22"/>
  <c r="G8" i="11"/>
  <c r="F9" i="11"/>
  <c r="F9" i="12"/>
  <c r="G8" i="12"/>
  <c r="G8" i="13"/>
  <c r="D92" i="22"/>
  <c r="F9" i="13"/>
  <c r="F90" i="22"/>
  <c r="AC8" i="11"/>
  <c r="G90" i="22"/>
  <c r="E91" i="22" l="1"/>
  <c r="E92" i="22"/>
  <c r="E10" i="13"/>
  <c r="C11" i="13"/>
  <c r="E10" i="12"/>
  <c r="C11" i="12"/>
  <c r="E10" i="11"/>
  <c r="C11" i="11"/>
  <c r="G9" i="13"/>
  <c r="G9" i="12"/>
  <c r="F10" i="11"/>
  <c r="F10" i="13"/>
  <c r="G9" i="11"/>
  <c r="F91" i="22"/>
  <c r="G91" i="22" s="1"/>
  <c r="F10" i="12"/>
  <c r="F92" i="22"/>
  <c r="D93" i="22"/>
  <c r="AC9" i="11"/>
  <c r="G92" i="22"/>
  <c r="E93" i="22" l="1"/>
  <c r="E11" i="13"/>
  <c r="C12" i="13"/>
  <c r="E11" i="12"/>
  <c r="C12" i="12"/>
  <c r="C12" i="11"/>
  <c r="E11" i="11"/>
  <c r="D94" i="22"/>
  <c r="F11" i="11"/>
  <c r="G10" i="13"/>
  <c r="F93" i="22"/>
  <c r="F11" i="12"/>
  <c r="F11" i="13"/>
  <c r="G10" i="12"/>
  <c r="G10" i="11"/>
  <c r="AC10" i="11"/>
  <c r="G93" i="22"/>
  <c r="E94" i="22" l="1"/>
  <c r="E12" i="13"/>
  <c r="C13" i="13"/>
  <c r="E12" i="12"/>
  <c r="C13" i="12"/>
  <c r="E12" i="11"/>
  <c r="C13" i="11"/>
  <c r="G11" i="11"/>
  <c r="F94" i="22"/>
  <c r="F12" i="12"/>
  <c r="G11" i="12"/>
  <c r="F12" i="13"/>
  <c r="G11" i="13"/>
  <c r="D95" i="22"/>
  <c r="F12" i="11"/>
  <c r="AC11" i="11"/>
  <c r="G94" i="22"/>
  <c r="E95" i="22" l="1"/>
  <c r="E13" i="13"/>
  <c r="C14" i="13"/>
  <c r="E13" i="12"/>
  <c r="C14" i="12"/>
  <c r="E13" i="11"/>
  <c r="C14" i="11"/>
  <c r="G12" i="11"/>
  <c r="G12" i="13"/>
  <c r="F13" i="11"/>
  <c r="F13" i="12"/>
  <c r="F95" i="22"/>
  <c r="G12" i="12"/>
  <c r="F13" i="13"/>
  <c r="AC12" i="11"/>
  <c r="F4" i="22"/>
  <c r="G95" i="22"/>
  <c r="C15" i="13" l="1"/>
  <c r="E14" i="13"/>
  <c r="C15" i="12"/>
  <c r="E14" i="12"/>
  <c r="C15" i="11"/>
  <c r="E14" i="11"/>
  <c r="F14" i="11"/>
  <c r="G13" i="13"/>
  <c r="F14" i="12"/>
  <c r="G13" i="11"/>
  <c r="F14" i="13"/>
  <c r="G13" i="12"/>
  <c r="AC13" i="11"/>
  <c r="G4" i="22"/>
  <c r="C16" i="13" l="1"/>
  <c r="E15" i="13"/>
  <c r="E15" i="12"/>
  <c r="C16" i="12"/>
  <c r="E15" i="11"/>
  <c r="C16" i="11"/>
  <c r="G14" i="12"/>
  <c r="G14" i="11"/>
  <c r="F15" i="11"/>
  <c r="F15" i="13"/>
  <c r="F15" i="12"/>
  <c r="G14" i="13"/>
  <c r="AC14" i="11"/>
  <c r="E16" i="13" l="1"/>
  <c r="C17" i="13"/>
  <c r="C17" i="12"/>
  <c r="E16" i="12"/>
  <c r="E16" i="11"/>
  <c r="C17" i="11"/>
  <c r="F16" i="13"/>
  <c r="F16" i="12"/>
  <c r="G15" i="11"/>
  <c r="G15" i="13"/>
  <c r="G15" i="12"/>
  <c r="F16" i="11"/>
  <c r="AC15" i="11"/>
  <c r="E17" i="13" l="1"/>
  <c r="C18" i="13"/>
  <c r="C18" i="12"/>
  <c r="E17" i="12"/>
  <c r="C18" i="11"/>
  <c r="E17" i="11"/>
  <c r="F17" i="12"/>
  <c r="G16" i="12"/>
  <c r="G16" i="13"/>
  <c r="F17" i="11"/>
  <c r="G16" i="11"/>
  <c r="F17" i="13"/>
  <c r="AC16" i="11"/>
  <c r="C19" i="13" l="1"/>
  <c r="E18" i="13"/>
  <c r="E18" i="12"/>
  <c r="C19" i="12"/>
  <c r="E18" i="11"/>
  <c r="C19" i="11"/>
  <c r="F18" i="12"/>
  <c r="G17" i="11"/>
  <c r="F18" i="11"/>
  <c r="F18" i="13"/>
  <c r="G17" i="12"/>
  <c r="G17" i="13"/>
  <c r="AC17" i="11"/>
  <c r="E19" i="13" l="1"/>
  <c r="C20" i="13"/>
  <c r="C20" i="12"/>
  <c r="E19" i="12"/>
  <c r="C20" i="11"/>
  <c r="E19" i="11"/>
  <c r="G18" i="13"/>
  <c r="G18" i="12"/>
  <c r="F19" i="12"/>
  <c r="G18" i="11"/>
  <c r="F19" i="11"/>
  <c r="F19" i="13"/>
  <c r="AC18" i="11"/>
  <c r="E20" i="13" l="1"/>
  <c r="C21" i="13"/>
  <c r="C21" i="12"/>
  <c r="E20" i="12"/>
  <c r="E20" i="11"/>
  <c r="C21" i="11"/>
  <c r="F20" i="13"/>
  <c r="G19" i="13"/>
  <c r="G19" i="12"/>
  <c r="F20" i="12"/>
  <c r="G19" i="11"/>
  <c r="F20" i="11"/>
  <c r="AC19" i="11"/>
  <c r="E21" i="13" l="1"/>
  <c r="C22" i="13"/>
  <c r="E21" i="12"/>
  <c r="C22" i="12"/>
  <c r="E21" i="11"/>
  <c r="C22" i="11"/>
  <c r="F21" i="13"/>
  <c r="G20" i="11"/>
  <c r="G20" i="12"/>
  <c r="F21" i="11"/>
  <c r="G20" i="13"/>
  <c r="F21" i="12"/>
  <c r="AC20" i="11"/>
  <c r="C23" i="13" l="1"/>
  <c r="E22" i="13"/>
  <c r="C23" i="12"/>
  <c r="E22" i="12"/>
  <c r="C23" i="11"/>
  <c r="E22" i="11"/>
  <c r="G21" i="13"/>
  <c r="F22" i="11"/>
  <c r="G21" i="12"/>
  <c r="G21" i="11"/>
  <c r="F22" i="13"/>
  <c r="F22" i="12"/>
  <c r="AC21" i="11"/>
  <c r="C24" i="13" l="1"/>
  <c r="E23" i="13"/>
  <c r="E23" i="12"/>
  <c r="C24" i="12"/>
  <c r="E23" i="11"/>
  <c r="C24" i="11"/>
  <c r="F23" i="11"/>
  <c r="G22" i="12"/>
  <c r="G22" i="13"/>
  <c r="F23" i="12"/>
  <c r="G22" i="11"/>
  <c r="F23" i="13"/>
  <c r="AC22" i="11"/>
  <c r="E24" i="13" l="1"/>
  <c r="C25" i="13"/>
  <c r="E24" i="12"/>
  <c r="C25" i="12"/>
  <c r="E24" i="11"/>
  <c r="C25" i="11"/>
  <c r="G23" i="12"/>
  <c r="F24" i="11"/>
  <c r="F24" i="12"/>
  <c r="G23" i="13"/>
  <c r="F24" i="13"/>
  <c r="G23" i="11"/>
  <c r="AC23" i="11"/>
  <c r="E25" i="13" l="1"/>
  <c r="C26" i="13"/>
  <c r="C26" i="12"/>
  <c r="E25" i="12"/>
  <c r="C26" i="11"/>
  <c r="E25" i="11"/>
  <c r="G24" i="13"/>
  <c r="G24" i="12"/>
  <c r="G24" i="11"/>
  <c r="F25" i="12"/>
  <c r="F25" i="11"/>
  <c r="F25" i="13"/>
  <c r="AC24" i="11"/>
  <c r="C27" i="13" l="1"/>
  <c r="E26" i="13"/>
  <c r="E26" i="12"/>
  <c r="C27" i="12"/>
  <c r="E26" i="11"/>
  <c r="C27" i="11"/>
  <c r="G25" i="13"/>
  <c r="G25" i="12"/>
  <c r="F26" i="12"/>
  <c r="F26" i="13"/>
  <c r="G25" i="11"/>
  <c r="F26" i="11"/>
  <c r="AC25" i="11"/>
  <c r="E27" i="13" l="1"/>
  <c r="C28" i="13"/>
  <c r="C28" i="12"/>
  <c r="E27" i="12"/>
  <c r="C28" i="11"/>
  <c r="E27" i="11"/>
  <c r="F27" i="13"/>
  <c r="F27" i="11"/>
  <c r="F27" i="12"/>
  <c r="G26" i="12"/>
  <c r="G26" i="13"/>
  <c r="G26" i="11"/>
  <c r="AC26" i="11"/>
  <c r="C29" i="13" l="1"/>
  <c r="E28" i="13"/>
  <c r="E28" i="12"/>
  <c r="C29" i="12"/>
  <c r="C29" i="11"/>
  <c r="E28" i="11"/>
  <c r="G27" i="12"/>
  <c r="G27" i="13"/>
  <c r="G27" i="11"/>
  <c r="F28" i="11"/>
  <c r="F28" i="13"/>
  <c r="F28" i="12"/>
  <c r="AC27" i="11"/>
  <c r="E29" i="13" l="1"/>
  <c r="C30" i="13"/>
  <c r="E29" i="12"/>
  <c r="C30" i="12"/>
  <c r="E29" i="11"/>
  <c r="C30" i="11"/>
  <c r="F29" i="12"/>
  <c r="F29" i="11"/>
  <c r="G28" i="13"/>
  <c r="G28" i="12"/>
  <c r="G28" i="11"/>
  <c r="F29" i="13"/>
  <c r="AC28" i="11"/>
  <c r="C31" i="13" l="1"/>
  <c r="E30" i="13"/>
  <c r="C31" i="12"/>
  <c r="E30" i="12"/>
  <c r="C31" i="11"/>
  <c r="E30" i="11"/>
  <c r="G29" i="12"/>
  <c r="F30" i="11"/>
  <c r="G29" i="13"/>
  <c r="G29" i="11"/>
  <c r="F30" i="12"/>
  <c r="F30" i="13"/>
  <c r="AC29" i="11"/>
  <c r="C32" i="13" l="1"/>
  <c r="E31" i="13"/>
  <c r="E31" i="12"/>
  <c r="C32" i="12"/>
  <c r="E31" i="11"/>
  <c r="C32" i="11"/>
  <c r="G30" i="12"/>
  <c r="G30" i="11"/>
  <c r="F31" i="11"/>
  <c r="F31" i="12"/>
  <c r="F31" i="13"/>
  <c r="G30" i="13"/>
  <c r="AC30" i="11"/>
  <c r="E32" i="13" l="1"/>
  <c r="C33" i="13"/>
  <c r="E32" i="12"/>
  <c r="C33" i="12"/>
  <c r="E32" i="11"/>
  <c r="C33" i="11"/>
  <c r="G31" i="11"/>
  <c r="G31" i="13"/>
  <c r="F32" i="13"/>
  <c r="F32" i="11"/>
  <c r="G31" i="12"/>
  <c r="F32" i="12"/>
  <c r="AC31" i="11"/>
  <c r="E33" i="13" l="1"/>
  <c r="C34" i="13"/>
  <c r="C34" i="12"/>
  <c r="E33" i="12"/>
  <c r="C34" i="11"/>
  <c r="E33" i="11"/>
  <c r="G32" i="11"/>
  <c r="G32" i="12"/>
  <c r="F33" i="13"/>
  <c r="F33" i="11"/>
  <c r="G32" i="13"/>
  <c r="F33" i="12"/>
  <c r="AC32" i="11"/>
  <c r="C35" i="13" l="1"/>
  <c r="E34" i="13"/>
  <c r="E34" i="12"/>
  <c r="C35" i="12"/>
  <c r="E34" i="11"/>
  <c r="C35" i="11"/>
  <c r="G33" i="11"/>
  <c r="F34" i="12"/>
  <c r="F34" i="13"/>
  <c r="G33" i="13"/>
  <c r="F34" i="11"/>
  <c r="G33" i="12"/>
  <c r="AC33" i="11"/>
  <c r="E35" i="13" l="1"/>
  <c r="C36" i="13"/>
  <c r="C36" i="12"/>
  <c r="E35" i="12"/>
  <c r="C36" i="11"/>
  <c r="E35" i="11"/>
  <c r="G34" i="11"/>
  <c r="F35" i="12"/>
  <c r="G34" i="12"/>
  <c r="F35" i="13"/>
  <c r="G34" i="13"/>
  <c r="F35" i="11"/>
  <c r="AC34" i="11"/>
  <c r="E36" i="13" l="1"/>
  <c r="C37" i="13"/>
  <c r="E36" i="12"/>
  <c r="C37" i="12"/>
  <c r="E36" i="11"/>
  <c r="C37" i="11"/>
  <c r="F36" i="11"/>
  <c r="G35" i="11"/>
  <c r="G35" i="12"/>
  <c r="G35" i="13"/>
  <c r="F36" i="13"/>
  <c r="F36" i="12"/>
  <c r="AC35" i="11"/>
  <c r="E37" i="13" l="1"/>
  <c r="C38" i="13"/>
  <c r="E37" i="12"/>
  <c r="C38" i="12"/>
  <c r="E37" i="11"/>
  <c r="C38" i="11"/>
  <c r="G36" i="13"/>
  <c r="G36" i="12"/>
  <c r="F37" i="11"/>
  <c r="F37" i="12"/>
  <c r="F37" i="13"/>
  <c r="G36" i="11"/>
  <c r="AC36" i="11"/>
  <c r="C39" i="13" l="1"/>
  <c r="E38" i="13"/>
  <c r="C39" i="12"/>
  <c r="E38" i="12"/>
  <c r="C39" i="11"/>
  <c r="E38" i="11"/>
  <c r="F38" i="13"/>
  <c r="G37" i="11"/>
  <c r="F38" i="11"/>
  <c r="G37" i="12"/>
  <c r="G37" i="13"/>
  <c r="F38" i="12"/>
  <c r="AC37" i="11"/>
  <c r="C40" i="13" l="1"/>
  <c r="E39" i="13"/>
  <c r="C40" i="12"/>
  <c r="E39" i="12"/>
  <c r="E39" i="11"/>
  <c r="C40" i="11"/>
  <c r="F39" i="11"/>
  <c r="G38" i="13"/>
  <c r="G38" i="12"/>
  <c r="F39" i="12"/>
  <c r="G38" i="11"/>
  <c r="F39" i="13"/>
  <c r="AC38" i="11"/>
  <c r="E40" i="13" l="1"/>
  <c r="C41" i="13"/>
  <c r="E40" i="12"/>
  <c r="C41" i="12"/>
  <c r="E40" i="11"/>
  <c r="C41" i="11"/>
  <c r="F40" i="12"/>
  <c r="F40" i="11"/>
  <c r="F40" i="13"/>
  <c r="G39" i="11"/>
  <c r="G39" i="13"/>
  <c r="G39" i="12"/>
  <c r="AC39" i="11"/>
  <c r="E41" i="13" l="1"/>
  <c r="C42" i="13"/>
  <c r="E42" i="13" s="1"/>
  <c r="C42" i="12"/>
  <c r="E42" i="12" s="1"/>
  <c r="E41" i="12"/>
  <c r="C42" i="11"/>
  <c r="E42" i="11" s="1"/>
  <c r="E41" i="11"/>
  <c r="F42" i="13"/>
  <c r="F42" i="11"/>
  <c r="F42" i="12"/>
  <c r="F41" i="13"/>
  <c r="G40" i="12"/>
  <c r="F41" i="12"/>
  <c r="F41" i="11"/>
  <c r="G40" i="11"/>
  <c r="G40" i="13"/>
  <c r="AC40" i="11"/>
  <c r="F4" i="13"/>
  <c r="F4" i="12"/>
  <c r="F4" i="11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63" i="8"/>
  <c r="F56" i="7"/>
  <c r="F61" i="8"/>
  <c r="F44" i="8"/>
  <c r="F50" i="7"/>
  <c r="F29" i="7"/>
  <c r="F47" i="8"/>
  <c r="F8" i="6"/>
  <c r="F11" i="6"/>
  <c r="F37" i="7"/>
  <c r="F17" i="8"/>
  <c r="F24" i="8"/>
  <c r="F54" i="8"/>
  <c r="F11" i="7"/>
  <c r="F17" i="7"/>
  <c r="F40" i="8"/>
  <c r="F38" i="8"/>
  <c r="G42" i="12"/>
  <c r="F17" i="6"/>
  <c r="F22" i="6"/>
  <c r="F26" i="7"/>
  <c r="F63" i="7"/>
  <c r="F47" i="7"/>
  <c r="F51" i="7"/>
  <c r="F53" i="7"/>
  <c r="F66" i="7"/>
  <c r="F39" i="8"/>
  <c r="F41" i="7"/>
  <c r="F20" i="7"/>
  <c r="F31" i="8"/>
  <c r="F43" i="8"/>
  <c r="F62" i="7"/>
  <c r="F59" i="7"/>
  <c r="F20" i="6"/>
  <c r="F52" i="8"/>
  <c r="F66" i="8"/>
  <c r="F55" i="8"/>
  <c r="F14" i="8"/>
  <c r="F43" i="7"/>
  <c r="F58" i="8"/>
  <c r="G42" i="11"/>
  <c r="F65" i="8"/>
  <c r="F48" i="8"/>
  <c r="F45" i="8"/>
  <c r="F16" i="8"/>
  <c r="F65" i="7"/>
  <c r="F7" i="6"/>
  <c r="F12" i="8"/>
  <c r="F34" i="8"/>
  <c r="F52" i="7"/>
  <c r="G41" i="11"/>
  <c r="F53" i="8"/>
  <c r="F11" i="8"/>
  <c r="F40" i="7"/>
  <c r="F35" i="8"/>
  <c r="F12" i="6"/>
  <c r="F36" i="8"/>
  <c r="F21" i="7"/>
  <c r="F7" i="7"/>
  <c r="F9" i="6"/>
  <c r="F54" i="7"/>
  <c r="F49" i="8"/>
  <c r="F29" i="8"/>
  <c r="F6" i="6"/>
  <c r="F51" i="8"/>
  <c r="F50" i="8"/>
  <c r="F27" i="8"/>
  <c r="F64" i="7"/>
  <c r="F22" i="7"/>
  <c r="F60" i="8"/>
  <c r="F28" i="8"/>
  <c r="F10" i="8"/>
  <c r="F9" i="7"/>
  <c r="F30" i="7"/>
  <c r="F15" i="6"/>
  <c r="F46" i="8"/>
  <c r="F36" i="7"/>
  <c r="F21" i="8"/>
  <c r="F62" i="8"/>
  <c r="F19" i="7"/>
  <c r="F26" i="8"/>
  <c r="F28" i="7"/>
  <c r="F42" i="8"/>
  <c r="F27" i="7"/>
  <c r="F31" i="7"/>
  <c r="F39" i="7"/>
  <c r="F16" i="7"/>
  <c r="F7" i="8"/>
  <c r="F25" i="7"/>
  <c r="F57" i="7"/>
  <c r="F37" i="8"/>
  <c r="F45" i="7"/>
  <c r="F20" i="8"/>
  <c r="F48" i="7"/>
  <c r="F12" i="7"/>
  <c r="F25" i="8"/>
  <c r="F22" i="8"/>
  <c r="F16" i="6"/>
  <c r="F15" i="7"/>
  <c r="F33" i="7"/>
  <c r="F30" i="8"/>
  <c r="F23" i="7"/>
  <c r="F10" i="7"/>
  <c r="F19" i="6"/>
  <c r="F18" i="7"/>
  <c r="F61" i="7"/>
  <c r="F59" i="8"/>
  <c r="F13" i="7"/>
  <c r="F38" i="7"/>
  <c r="F10" i="6"/>
  <c r="F49" i="7"/>
  <c r="F58" i="7"/>
  <c r="F14" i="6"/>
  <c r="F41" i="8"/>
  <c r="F35" i="7"/>
  <c r="F23" i="8"/>
  <c r="F34" i="7"/>
  <c r="F33" i="8"/>
  <c r="G41" i="13"/>
  <c r="F15" i="8"/>
  <c r="F18" i="6"/>
  <c r="G41" i="12"/>
  <c r="F55" i="7"/>
  <c r="F57" i="8"/>
  <c r="F13" i="6"/>
  <c r="F60" i="7"/>
  <c r="F14" i="7"/>
  <c r="F8" i="8"/>
  <c r="F46" i="7"/>
  <c r="F9" i="8"/>
  <c r="F19" i="8"/>
  <c r="F64" i="8"/>
  <c r="F13" i="8"/>
  <c r="G42" i="13"/>
  <c r="F18" i="8"/>
  <c r="F32" i="7"/>
  <c r="F56" i="8"/>
  <c r="F8" i="7"/>
  <c r="F44" i="7"/>
  <c r="F32" i="8"/>
  <c r="F24" i="7"/>
  <c r="F21" i="6"/>
  <c r="F42" i="7"/>
  <c r="AC42" i="11"/>
  <c r="AC41" i="11"/>
  <c r="G4" i="12"/>
  <c r="G4" i="11"/>
  <c r="G4" i="13"/>
  <c r="F5" i="9" l="1"/>
  <c r="U16" i="6"/>
  <c r="U17" i="6"/>
  <c r="U13" i="6"/>
  <c r="U21" i="6"/>
  <c r="U18" i="6"/>
  <c r="U9" i="6"/>
  <c r="U15" i="6"/>
  <c r="U8" i="6"/>
  <c r="U19" i="6"/>
  <c r="U20" i="6"/>
  <c r="U14" i="6"/>
  <c r="U12" i="6"/>
  <c r="U22" i="6"/>
  <c r="U11" i="6"/>
  <c r="U10" i="6"/>
  <c r="AM4" i="18"/>
  <c r="F7" i="9"/>
  <c r="S3" i="13"/>
  <c r="S3" i="12"/>
  <c r="G18" i="6"/>
  <c r="Y15" i="6"/>
  <c r="G53" i="7"/>
  <c r="G54" i="7"/>
  <c r="G23" i="7"/>
  <c r="H10" i="6"/>
  <c r="H8" i="6"/>
  <c r="G18" i="7"/>
  <c r="G44" i="8"/>
  <c r="G42" i="8"/>
  <c r="F67" i="9"/>
  <c r="G22" i="6"/>
  <c r="G23" i="8"/>
  <c r="G61" i="8"/>
  <c r="G28" i="7"/>
  <c r="G9" i="8"/>
  <c r="G28" i="8"/>
  <c r="G64" i="7"/>
  <c r="V10" i="6"/>
  <c r="G16" i="8"/>
  <c r="G58" i="8"/>
  <c r="G42" i="7"/>
  <c r="G26" i="8"/>
  <c r="G30" i="8"/>
  <c r="V8" i="6"/>
  <c r="G63" i="8"/>
  <c r="F51" i="9"/>
  <c r="G38" i="7"/>
  <c r="G58" i="7"/>
  <c r="F66" i="9"/>
  <c r="F25" i="9"/>
  <c r="V17" i="6"/>
  <c r="F31" i="9"/>
  <c r="G59" i="8"/>
  <c r="H6" i="6"/>
  <c r="G8" i="6"/>
  <c r="G13" i="8"/>
  <c r="G66" i="7"/>
  <c r="G54" i="8"/>
  <c r="F52" i="9"/>
  <c r="Y20" i="6"/>
  <c r="G10" i="7"/>
  <c r="F65" i="9"/>
  <c r="F40" i="9"/>
  <c r="V16" i="6"/>
  <c r="G13" i="7"/>
  <c r="H15" i="6"/>
  <c r="G29" i="7"/>
  <c r="G17" i="7"/>
  <c r="G11" i="7"/>
  <c r="G24" i="8"/>
  <c r="G47" i="8"/>
  <c r="F69" i="9"/>
  <c r="G11" i="8"/>
  <c r="G50" i="8"/>
  <c r="G65" i="8"/>
  <c r="F39" i="9"/>
  <c r="G19" i="7"/>
  <c r="G62" i="7"/>
  <c r="F34" i="9"/>
  <c r="G44" i="7"/>
  <c r="G12" i="8"/>
  <c r="G19" i="6"/>
  <c r="G15" i="6"/>
  <c r="F22" i="9"/>
  <c r="H16" i="6"/>
  <c r="Y14" i="6"/>
  <c r="G57" i="8"/>
  <c r="G64" i="8"/>
  <c r="G12" i="7"/>
  <c r="G59" i="7"/>
  <c r="Y19" i="6"/>
  <c r="G31" i="8"/>
  <c r="F12" i="9"/>
  <c r="F48" i="9"/>
  <c r="F68" i="9"/>
  <c r="H14" i="6"/>
  <c r="F26" i="9"/>
  <c r="G60" i="7"/>
  <c r="Y9" i="6"/>
  <c r="F62" i="9"/>
  <c r="G49" i="7"/>
  <c r="G34" i="8"/>
  <c r="H12" i="6"/>
  <c r="V12" i="6"/>
  <c r="F17" i="9"/>
  <c r="G17" i="8"/>
  <c r="V22" i="6"/>
  <c r="G39" i="7"/>
  <c r="G15" i="7"/>
  <c r="F33" i="9"/>
  <c r="G20" i="7"/>
  <c r="G8" i="7"/>
  <c r="H20" i="6"/>
  <c r="F58" i="9"/>
  <c r="F23" i="9"/>
  <c r="G7" i="8"/>
  <c r="G45" i="8"/>
  <c r="F41" i="9"/>
  <c r="G43" i="7"/>
  <c r="F36" i="9"/>
  <c r="G56" i="8"/>
  <c r="F56" i="9"/>
  <c r="G53" i="8"/>
  <c r="G20" i="8"/>
  <c r="G16" i="6"/>
  <c r="G56" i="7"/>
  <c r="G57" i="7"/>
  <c r="F47" i="9"/>
  <c r="G31" i="7"/>
  <c r="V20" i="6"/>
  <c r="H13" i="6"/>
  <c r="G34" i="7"/>
  <c r="F20" i="9"/>
  <c r="G9" i="7"/>
  <c r="G9" i="6"/>
  <c r="G21" i="8"/>
  <c r="G24" i="7"/>
  <c r="F28" i="9"/>
  <c r="G38" i="8"/>
  <c r="F61" i="9"/>
  <c r="G17" i="6"/>
  <c r="G8" i="8"/>
  <c r="F44" i="9"/>
  <c r="V14" i="6"/>
  <c r="G37" i="7"/>
  <c r="G16" i="7"/>
  <c r="Y17" i="6"/>
  <c r="G10" i="8"/>
  <c r="G29" i="8"/>
  <c r="G55" i="8"/>
  <c r="F50" i="9"/>
  <c r="G32" i="8"/>
  <c r="H11" i="6"/>
  <c r="F43" i="9"/>
  <c r="G50" i="7"/>
  <c r="G63" i="7"/>
  <c r="F15" i="9"/>
  <c r="F57" i="9"/>
  <c r="V18" i="6"/>
  <c r="H7" i="6"/>
  <c r="G21" i="6"/>
  <c r="Y18" i="6"/>
  <c r="G25" i="8"/>
  <c r="G33" i="7"/>
  <c r="V19" i="6"/>
  <c r="F24" i="9"/>
  <c r="G52" i="7"/>
  <c r="G47" i="7"/>
  <c r="G62" i="8"/>
  <c r="G14" i="7"/>
  <c r="F27" i="9"/>
  <c r="V21" i="6"/>
  <c r="G66" i="8"/>
  <c r="G41" i="8"/>
  <c r="F54" i="9"/>
  <c r="H18" i="6"/>
  <c r="G52" i="8"/>
  <c r="G48" i="8"/>
  <c r="G51" i="8"/>
  <c r="G45" i="7"/>
  <c r="G26" i="7"/>
  <c r="V15" i="6"/>
  <c r="G27" i="8"/>
  <c r="H17" i="6"/>
  <c r="G46" i="8"/>
  <c r="H21" i="6"/>
  <c r="G25" i="7"/>
  <c r="F21" i="9"/>
  <c r="G10" i="6"/>
  <c r="F16" i="9"/>
  <c r="F13" i="9"/>
  <c r="V9" i="6"/>
  <c r="G49" i="8"/>
  <c r="G35" i="7"/>
  <c r="G7" i="7"/>
  <c r="G43" i="8"/>
  <c r="G36" i="7"/>
  <c r="F45" i="9"/>
  <c r="G61" i="7"/>
  <c r="G20" i="6"/>
  <c r="G15" i="8"/>
  <c r="F55" i="9"/>
  <c r="G30" i="7"/>
  <c r="F38" i="9"/>
  <c r="Y21" i="6"/>
  <c r="F35" i="9"/>
  <c r="F11" i="9"/>
  <c r="H22" i="6"/>
  <c r="G60" i="8"/>
  <c r="G13" i="6"/>
  <c r="G33" i="8"/>
  <c r="G19" i="8"/>
  <c r="G51" i="7"/>
  <c r="V13" i="6"/>
  <c r="G18" i="8"/>
  <c r="H19" i="6"/>
  <c r="G7" i="6"/>
  <c r="F37" i="9"/>
  <c r="G55" i="7"/>
  <c r="F10" i="9"/>
  <c r="G65" i="7"/>
  <c r="F18" i="9"/>
  <c r="G21" i="7"/>
  <c r="G14" i="8"/>
  <c r="G48" i="7"/>
  <c r="F60" i="9"/>
  <c r="G36" i="8"/>
  <c r="F49" i="9"/>
  <c r="H9" i="6"/>
  <c r="G37" i="8"/>
  <c r="F46" i="9"/>
  <c r="F30" i="9"/>
  <c r="V11" i="6"/>
  <c r="G35" i="8"/>
  <c r="G12" i="6"/>
  <c r="G27" i="7"/>
  <c r="F59" i="9"/>
  <c r="F19" i="9"/>
  <c r="G46" i="7"/>
  <c r="F29" i="9"/>
  <c r="G40" i="7"/>
  <c r="G11" i="6"/>
  <c r="G22" i="8"/>
  <c r="G40" i="8"/>
  <c r="F53" i="9"/>
  <c r="G39" i="8"/>
  <c r="G22" i="7"/>
  <c r="F42" i="9"/>
  <c r="Y10" i="6"/>
  <c r="F14" i="9"/>
  <c r="G14" i="6"/>
  <c r="G32" i="7"/>
  <c r="F32" i="9"/>
  <c r="F63" i="9"/>
  <c r="G41" i="7"/>
  <c r="F64" i="9"/>
  <c r="AM26" i="18"/>
  <c r="AM16" i="18"/>
  <c r="AM32" i="18"/>
  <c r="AM35" i="18"/>
  <c r="AM13" i="18"/>
  <c r="AM46" i="18"/>
  <c r="AM36" i="18"/>
  <c r="AM47" i="18"/>
  <c r="AM12" i="18"/>
  <c r="AM27" i="18"/>
  <c r="AM8" i="18"/>
  <c r="AM25" i="18"/>
  <c r="AM45" i="18"/>
  <c r="Y3" i="22"/>
  <c r="AM33" i="18"/>
  <c r="AM10" i="18"/>
  <c r="AM44" i="18"/>
  <c r="AM14" i="18"/>
  <c r="AM40" i="18"/>
  <c r="AM29" i="18"/>
  <c r="AM23" i="18"/>
  <c r="AM28" i="18"/>
  <c r="AM19" i="18"/>
  <c r="AM6" i="18"/>
  <c r="AM20" i="18"/>
  <c r="AM34" i="18"/>
  <c r="AM9" i="18"/>
  <c r="AM37" i="18"/>
  <c r="AM41" i="18"/>
  <c r="AM43" i="18"/>
  <c r="AM17" i="18"/>
  <c r="AM39" i="18"/>
  <c r="AM21" i="18"/>
  <c r="AM38" i="18"/>
  <c r="AM24" i="18"/>
  <c r="AM7" i="18"/>
  <c r="AM30" i="18"/>
  <c r="AM15" i="18"/>
  <c r="AM22" i="18"/>
  <c r="AM42" i="18"/>
  <c r="AM11" i="18"/>
  <c r="AM18" i="18"/>
  <c r="AM31" i="18"/>
  <c r="F6" i="8"/>
  <c r="F5" i="6"/>
  <c r="F6" i="7"/>
  <c r="F9" i="9"/>
  <c r="I32" i="36" l="1"/>
  <c r="I21" i="36"/>
  <c r="I11" i="36"/>
  <c r="I34" i="36"/>
  <c r="I28" i="36"/>
  <c r="I20" i="36"/>
  <c r="I33" i="36"/>
  <c r="I5" i="36"/>
  <c r="I8" i="36"/>
  <c r="I22" i="36"/>
  <c r="I29" i="36"/>
  <c r="I10" i="36"/>
  <c r="I6" i="36"/>
  <c r="I17" i="36"/>
  <c r="I4" i="36"/>
  <c r="I35" i="36"/>
  <c r="I26" i="36"/>
  <c r="I7" i="36"/>
  <c r="I9" i="36"/>
  <c r="I19" i="36"/>
  <c r="I3" i="36"/>
  <c r="I15" i="36"/>
  <c r="I23" i="36"/>
  <c r="I13" i="36"/>
  <c r="I30" i="36"/>
  <c r="I25" i="36"/>
  <c r="I27" i="36"/>
  <c r="I14" i="36"/>
  <c r="I12" i="36"/>
  <c r="I18" i="36"/>
  <c r="I36" i="36"/>
  <c r="I24" i="36"/>
  <c r="I16" i="36"/>
  <c r="I31" i="36"/>
  <c r="X15" i="6"/>
  <c r="Z15" i="6" s="1"/>
  <c r="X9" i="6"/>
  <c r="Z9" i="6" s="1"/>
  <c r="X18" i="6"/>
  <c r="Z18" i="6" s="1"/>
  <c r="X21" i="6"/>
  <c r="Z21" i="6" s="1"/>
  <c r="X19" i="6"/>
  <c r="Z19" i="6" s="1"/>
  <c r="X17" i="6"/>
  <c r="Z17" i="6" s="1"/>
  <c r="X14" i="6"/>
  <c r="Z14" i="6" s="1"/>
  <c r="X20" i="6"/>
  <c r="Z20" i="6" s="1"/>
  <c r="X10" i="6"/>
  <c r="Z10" i="6" s="1"/>
  <c r="X5" i="13" a="1"/>
  <c r="X5" i="12" a="1"/>
  <c r="K9" i="36"/>
  <c r="K29" i="36"/>
  <c r="G16" i="9"/>
  <c r="G67" i="9"/>
  <c r="G39" i="9"/>
  <c r="G43" i="9"/>
  <c r="K30" i="36"/>
  <c r="G57" i="9"/>
  <c r="G44" i="9"/>
  <c r="S12" i="6"/>
  <c r="G25" i="9"/>
  <c r="I18" i="6"/>
  <c r="K23" i="36"/>
  <c r="G47" i="9"/>
  <c r="G17" i="9"/>
  <c r="G60" i="9"/>
  <c r="G40" i="9"/>
  <c r="K15" i="36"/>
  <c r="G37" i="9"/>
  <c r="G11" i="9"/>
  <c r="G15" i="9"/>
  <c r="K36" i="36"/>
  <c r="G50" i="9"/>
  <c r="S13" i="6"/>
  <c r="G65" i="9"/>
  <c r="I13" i="6"/>
  <c r="K18" i="36"/>
  <c r="G21" i="9"/>
  <c r="G45" i="9"/>
  <c r="I21" i="6"/>
  <c r="G24" i="9"/>
  <c r="K33" i="36"/>
  <c r="G64" i="9"/>
  <c r="S22" i="6"/>
  <c r="G26" i="9"/>
  <c r="I11" i="6"/>
  <c r="I20" i="6"/>
  <c r="G66" i="9"/>
  <c r="K16" i="36"/>
  <c r="K25" i="36"/>
  <c r="K8" i="36"/>
  <c r="I7" i="6"/>
  <c r="G14" i="9"/>
  <c r="I14" i="6"/>
  <c r="G58" i="9"/>
  <c r="G69" i="9"/>
  <c r="K22" i="36"/>
  <c r="K19" i="36"/>
  <c r="K24" i="36"/>
  <c r="K34" i="36"/>
  <c r="S8" i="6"/>
  <c r="G28" i="9"/>
  <c r="K17" i="36"/>
  <c r="G26" i="6"/>
  <c r="K28" i="36"/>
  <c r="G56" i="9"/>
  <c r="K13" i="36"/>
  <c r="G12" i="9"/>
  <c r="S11" i="6"/>
  <c r="K6" i="36"/>
  <c r="G52" i="9"/>
  <c r="K27" i="36"/>
  <c r="I22" i="6"/>
  <c r="G53" i="9"/>
  <c r="G46" i="9"/>
  <c r="G54" i="9"/>
  <c r="G30" i="9"/>
  <c r="I19" i="6"/>
  <c r="G38" i="9"/>
  <c r="S16" i="6"/>
  <c r="G63" i="9"/>
  <c r="I8" i="6"/>
  <c r="G19" i="9"/>
  <c r="G36" i="9"/>
  <c r="K26" i="36"/>
  <c r="G68" i="9"/>
  <c r="G59" i="9"/>
  <c r="G49" i="9"/>
  <c r="G22" i="9"/>
  <c r="G18" i="9"/>
  <c r="I15" i="6"/>
  <c r="G29" i="9"/>
  <c r="G31" i="9"/>
  <c r="G13" i="9"/>
  <c r="G48" i="9"/>
  <c r="G34" i="9"/>
  <c r="K31" i="36"/>
  <c r="G23" i="9"/>
  <c r="G35" i="9"/>
  <c r="K21" i="36"/>
  <c r="G51" i="9"/>
  <c r="K12" i="36"/>
  <c r="K11" i="36"/>
  <c r="G32" i="9"/>
  <c r="G20" i="9"/>
  <c r="I9" i="6"/>
  <c r="K35" i="36"/>
  <c r="G10" i="9"/>
  <c r="K7" i="36"/>
  <c r="K14" i="36"/>
  <c r="G62" i="9"/>
  <c r="K20" i="36"/>
  <c r="K4" i="36"/>
  <c r="L4" i="36" s="1"/>
  <c r="G41" i="9"/>
  <c r="I16" i="6"/>
  <c r="K32" i="36"/>
  <c r="G27" i="9"/>
  <c r="K3" i="36"/>
  <c r="G55" i="9"/>
  <c r="I10" i="6"/>
  <c r="G42" i="9"/>
  <c r="K5" i="36"/>
  <c r="G61" i="9"/>
  <c r="G33" i="9"/>
  <c r="I17" i="6"/>
  <c r="I12" i="6"/>
  <c r="K10" i="36"/>
  <c r="AN9" i="18"/>
  <c r="AN10" i="18"/>
  <c r="AN38" i="18"/>
  <c r="AN34" i="18"/>
  <c r="AN31" i="18"/>
  <c r="AN14" i="18"/>
  <c r="AN28" i="18"/>
  <c r="AN39" i="18"/>
  <c r="AN6" i="18"/>
  <c r="AN40" i="18"/>
  <c r="AN30" i="18"/>
  <c r="AN22" i="18"/>
  <c r="AN13" i="18"/>
  <c r="AN36" i="18"/>
  <c r="AN25" i="18"/>
  <c r="AQ6" i="18"/>
  <c r="AN32" i="18"/>
  <c r="AN46" i="18"/>
  <c r="AN23" i="18"/>
  <c r="AN8" i="18"/>
  <c r="AN17" i="18"/>
  <c r="AN24" i="18"/>
  <c r="AN12" i="18"/>
  <c r="AN18" i="18"/>
  <c r="AN27" i="18"/>
  <c r="AN16" i="18"/>
  <c r="AN20" i="18"/>
  <c r="AN41" i="18"/>
  <c r="AN7" i="18"/>
  <c r="AN47" i="18"/>
  <c r="AN44" i="18"/>
  <c r="AN15" i="18"/>
  <c r="AN21" i="18"/>
  <c r="AN19" i="18"/>
  <c r="AN45" i="18"/>
  <c r="AN29" i="18"/>
  <c r="AN43" i="18"/>
  <c r="AN35" i="18"/>
  <c r="AN26" i="18"/>
  <c r="AN33" i="18"/>
  <c r="AN42" i="18"/>
  <c r="AN37" i="18"/>
  <c r="AN11" i="18"/>
  <c r="G9" i="9"/>
  <c r="G6" i="7"/>
  <c r="H5" i="6"/>
  <c r="G6" i="8"/>
  <c r="X20" i="13" l="1"/>
  <c r="X28" i="13"/>
  <c r="X24" i="13"/>
  <c r="X33" i="13"/>
  <c r="X14" i="13"/>
  <c r="X17" i="13"/>
  <c r="X10" i="13"/>
  <c r="X34" i="13"/>
  <c r="X21" i="13"/>
  <c r="X23" i="13"/>
  <c r="X26" i="13"/>
  <c r="X11" i="13"/>
  <c r="X27" i="13"/>
  <c r="X31" i="13"/>
  <c r="X22" i="13"/>
  <c r="X9" i="13"/>
  <c r="X7" i="13"/>
  <c r="X38" i="13"/>
  <c r="X39" i="13" s="1"/>
  <c r="X40" i="13" s="1"/>
  <c r="X41" i="13" s="1"/>
  <c r="X42" i="13" s="1"/>
  <c r="X37" i="13"/>
  <c r="X15" i="13"/>
  <c r="X8" i="13"/>
  <c r="X5" i="13"/>
  <c r="X6" i="13"/>
  <c r="X32" i="13"/>
  <c r="X19" i="13"/>
  <c r="X29" i="13"/>
  <c r="X12" i="13"/>
  <c r="X13" i="13"/>
  <c r="X35" i="13"/>
  <c r="X36" i="13"/>
  <c r="X16" i="13"/>
  <c r="X25" i="13"/>
  <c r="X30" i="13"/>
  <c r="X18" i="13"/>
  <c r="X6" i="12"/>
  <c r="X7" i="12"/>
  <c r="X8" i="12"/>
  <c r="X5" i="12"/>
  <c r="X9" i="12"/>
  <c r="L5" i="36"/>
  <c r="L9" i="36"/>
  <c r="L20" i="36"/>
  <c r="L32" i="36"/>
  <c r="L6" i="36"/>
  <c r="W22" i="6"/>
  <c r="L28" i="36"/>
  <c r="L16" i="36"/>
  <c r="L29" i="36"/>
  <c r="L8" i="36"/>
  <c r="L12" i="36"/>
  <c r="L22" i="36"/>
  <c r="W8" i="6"/>
  <c r="W11" i="6"/>
  <c r="L23" i="36"/>
  <c r="L14" i="36"/>
  <c r="L36" i="36"/>
  <c r="L3" i="36"/>
  <c r="L33" i="36"/>
  <c r="L24" i="36"/>
  <c r="L17" i="36"/>
  <c r="L27" i="36"/>
  <c r="L25" i="36"/>
  <c r="W13" i="6"/>
  <c r="L19" i="36"/>
  <c r="L10" i="36"/>
  <c r="L26" i="36"/>
  <c r="L7" i="36"/>
  <c r="W4" i="36"/>
  <c r="L11" i="36"/>
  <c r="L21" i="36"/>
  <c r="L18" i="36"/>
  <c r="L31" i="36"/>
  <c r="L35" i="36"/>
  <c r="W16" i="6"/>
  <c r="L34" i="36"/>
  <c r="L30" i="36"/>
  <c r="L15" i="36"/>
  <c r="L13" i="36"/>
  <c r="W12" i="6"/>
  <c r="X13" i="6" l="1"/>
  <c r="Z13" i="6" s="1"/>
  <c r="X8" i="6"/>
  <c r="Z8" i="6" s="1"/>
  <c r="X12" i="6"/>
  <c r="Z12" i="6" s="1"/>
  <c r="X16" i="6"/>
  <c r="Z16" i="6" s="1"/>
  <c r="X11" i="6"/>
  <c r="Z11" i="6" s="1"/>
  <c r="X22" i="6"/>
  <c r="Z22" i="6" s="1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Y11" i="6"/>
  <c r="Y22" i="6"/>
  <c r="Y8" i="6"/>
  <c r="Y16" i="6"/>
  <c r="Y12" i="6"/>
  <c r="Y13" i="6"/>
  <c r="AC42" i="13"/>
  <c r="X3" i="6" l="1"/>
  <c r="AC19" i="13"/>
  <c r="AC38" i="13"/>
  <c r="AC20" i="13"/>
  <c r="AC24" i="13"/>
  <c r="AC26" i="13"/>
  <c r="AC36" i="13"/>
  <c r="AC16" i="13"/>
  <c r="AC31" i="13"/>
  <c r="AC42" i="12"/>
  <c r="AC30" i="13"/>
  <c r="AC15" i="13"/>
  <c r="AC11" i="13"/>
  <c r="AC9" i="13"/>
  <c r="AC25" i="13"/>
  <c r="AC35" i="13"/>
  <c r="AC13" i="13"/>
  <c r="AC7" i="13"/>
  <c r="AC33" i="13"/>
  <c r="AC40" i="13"/>
  <c r="AC6" i="13"/>
  <c r="AC12" i="13"/>
  <c r="AC23" i="13"/>
  <c r="AC32" i="13"/>
  <c r="AC10" i="13"/>
  <c r="AC34" i="13"/>
  <c r="AC41" i="13"/>
  <c r="AC17" i="13"/>
  <c r="AC39" i="13"/>
  <c r="AC37" i="13"/>
  <c r="AC21" i="13"/>
  <c r="AC27" i="13"/>
  <c r="AC5" i="13"/>
  <c r="AC18" i="13"/>
  <c r="AC14" i="13"/>
  <c r="AC8" i="13"/>
  <c r="AC29" i="13"/>
  <c r="AC22" i="13"/>
  <c r="AC28" i="13"/>
  <c r="AJ42" i="12" l="1"/>
  <c r="S3" i="11"/>
  <c r="AC7" i="12"/>
  <c r="AC13" i="12"/>
  <c r="AC15" i="12"/>
  <c r="AC20" i="12"/>
  <c r="AC14" i="12"/>
  <c r="AC29" i="12"/>
  <c r="AC11" i="12"/>
  <c r="AC39" i="12"/>
  <c r="AC8" i="12"/>
  <c r="AC23" i="12"/>
  <c r="AC10" i="12"/>
  <c r="AC12" i="12"/>
  <c r="AC35" i="12"/>
  <c r="AC34" i="12"/>
  <c r="AC27" i="12"/>
  <c r="AC5" i="12"/>
  <c r="AC6" i="12"/>
  <c r="AC18" i="12"/>
  <c r="AC21" i="12"/>
  <c r="AC40" i="12"/>
  <c r="AC32" i="12"/>
  <c r="AC33" i="12"/>
  <c r="AC9" i="12"/>
  <c r="AC3" i="13"/>
  <c r="AC41" i="12"/>
  <c r="AC22" i="12"/>
  <c r="AC37" i="12"/>
  <c r="AC17" i="12"/>
  <c r="AC31" i="12"/>
  <c r="AC25" i="12"/>
  <c r="AC19" i="12"/>
  <c r="AC30" i="12"/>
  <c r="AC36" i="12"/>
  <c r="AC28" i="12"/>
  <c r="AC16" i="12"/>
  <c r="AC26" i="12"/>
  <c r="AC38" i="12"/>
  <c r="AC24" i="12"/>
  <c r="AJ33" i="12" l="1"/>
  <c r="AJ25" i="12"/>
  <c r="AJ11" i="12"/>
  <c r="AJ5" i="12"/>
  <c r="AJ19" i="12"/>
  <c r="AJ10" i="12"/>
  <c r="AJ13" i="12"/>
  <c r="AJ38" i="12"/>
  <c r="AJ35" i="12"/>
  <c r="AJ32" i="12"/>
  <c r="AJ18" i="12"/>
  <c r="AJ27" i="12"/>
  <c r="AJ14" i="12"/>
  <c r="AJ16" i="12"/>
  <c r="AJ41" i="12"/>
  <c r="AJ30" i="12"/>
  <c r="AJ40" i="12"/>
  <c r="AJ9" i="12"/>
  <c r="AJ34" i="12"/>
  <c r="AJ7" i="12"/>
  <c r="AJ21" i="12"/>
  <c r="AJ15" i="12"/>
  <c r="AJ26" i="12"/>
  <c r="AJ12" i="12"/>
  <c r="AJ29" i="12"/>
  <c r="AJ23" i="12"/>
  <c r="AJ28" i="12"/>
  <c r="AJ20" i="12"/>
  <c r="AJ37" i="12"/>
  <c r="AJ31" i="12"/>
  <c r="AJ36" i="12"/>
  <c r="AJ6" i="12"/>
  <c r="AJ39" i="12"/>
  <c r="AJ17" i="12"/>
  <c r="AJ8" i="12"/>
  <c r="AJ22" i="12"/>
  <c r="AJ24" i="12"/>
  <c r="X5" i="11" a="1"/>
  <c r="AC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Y3" i="24"/>
  <c r="M6" i="17" a="1"/>
  <c r="P3" i="15"/>
  <c r="X5" i="16"/>
  <c r="Y3" i="23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O6" i="17" l="1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M6" i="18" a="1"/>
  <c r="M7" i="18" l="1"/>
  <c r="M6" i="18"/>
  <c r="M8" i="18"/>
  <c r="M9" i="18"/>
  <c r="Z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3" i="29"/>
  <c r="Z4" i="18"/>
  <c r="O3" i="30"/>
  <c r="O3" i="31"/>
  <c r="AC3" i="26"/>
  <c r="K2" i="36"/>
  <c r="AM5" i="18"/>
  <c r="AN5" i="18" s="1"/>
  <c r="AC3" i="25"/>
  <c r="D7" i="56" s="1"/>
  <c r="L2" i="36" l="1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<sst xmlns="http://schemas.openxmlformats.org/spreadsheetml/2006/main" count="3607" uniqueCount="354">
  <si>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</si>
  <si>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</si>
  <si>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</si>
  <si>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</si>
  <si>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</si>
  <si>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</si>
  <si>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</si>
  <si>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</si>
  <si>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</si>
  <si>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</si>
  <si>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</si>
  <si>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</si>
  <si>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</si>
  <si>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</si>
  <si>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</si>
  <si>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</si>
  <si>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</si>
  <si>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</si>
  <si>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</si>
  <si>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</si>
  <si>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</si>
  <si>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</si>
  <si>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</si>
  <si>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</si>
  <si>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</si>
  <si>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</si>
  <si>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</si>
  <si>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</si>
  <si>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</si>
  <si>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</si>
  <si>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</si>
  <si>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</si>
  <si>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</si>
  <si>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</si>
  <si>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</si>
  <si>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</si>
  <si>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</si>
  <si>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</si>
  <si>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</si>
  <si>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</si>
  <si>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</si>
  <si>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</si>
  <si>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</si>
  <si>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</si>
  <si>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</si>
  <si>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</si>
  <si>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</si>
  <si>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</si>
  <si>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</si>
  <si>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</si>
  <si>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</si>
  <si>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</si>
  <si>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</si>
  <si>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</si>
  <si>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</si>
  <si>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</si>
  <si>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</si>
  <si>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</si>
  <si>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</si>
  <si>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</si>
  <si>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</si>
  <si>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</si>
  <si>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</si>
  <si>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</si>
  <si>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</si>
  <si>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</si>
  <si>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</si>
  <si>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</si>
  <si>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</si>
  <si>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</si>
  <si>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</si>
  <si>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</si>
  <si>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</si>
  <si>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</si>
  <si>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</si>
  <si>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</si>
  <si>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</si>
  <si>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</si>
  <si>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</si>
  <si>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</si>
  <si>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</si>
  <si>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</si>
  <si>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</si>
  <si>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</si>
  <si>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</si>
  <si>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</si>
  <si>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</si>
  <si>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</si>
  <si>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</si>
  <si>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</si>
  <si>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</si>
  <si>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</si>
  <si>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</si>
  <si>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</si>
  <si>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</si>
  <si>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</si>
  <si>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</si>
  <si>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</si>
  <si>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</si>
  <si>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</si>
  <si>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</si>
  <si>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</si>
  <si>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</si>
  <si>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</si>
  <si>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</si>
  <si>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</si>
  <si>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</si>
  <si>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</si>
  <si>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</si>
  <si>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</si>
  <si>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</si>
  <si>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</si>
  <si>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</si>
  <si>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</si>
  <si>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</si>
  <si>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</si>
  <si>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</si>
  <si>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</si>
  <si>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</si>
  <si>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</si>
  <si>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</si>
  <si>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</si>
  <si>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</si>
  <si>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</si>
  <si>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</si>
  <si>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</si>
  <si>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</si>
  <si>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</si>
  <si>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</si>
  <si>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</si>
  <si>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</si>
  <si>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</si>
  <si>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</si>
  <si>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</si>
  <si>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</si>
  <si>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</si>
  <si>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</si>
  <si>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</si>
  <si>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</si>
  <si>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</si>
  <si>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</si>
  <si>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</si>
  <si>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</si>
  <si>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</si>
  <si>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</si>
  <si>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</si>
  <si>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</si>
  <si>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</si>
  <si>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</si>
  <si>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</si>
  <si>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</si>
  <si>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</si>
  <si>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</si>
  <si>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</si>
  <si>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</si>
  <si>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</si>
  <si>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</si>
  <si>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</si>
  <si>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</si>
  <si>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</si>
  <si>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</si>
  <si>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</si>
  <si>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</si>
  <si>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</si>
  <si>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</si>
  <si>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</si>
  <si>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</si>
  <si>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</si>
  <si>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</si>
  <si>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</si>
  <si>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</si>
  <si>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</si>
  <si>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</si>
  <si>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</si>
  <si>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</si>
  <si>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</si>
  <si>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</si>
  <si>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</si>
  <si>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</si>
  <si>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</si>
  <si>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</si>
  <si>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</si>
  <si>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</si>
  <si>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</si>
  <si>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</si>
  <si>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</si>
  <si>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</si>
  <si>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</si>
  <si>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</si>
  <si>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</si>
  <si>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</si>
  <si>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</si>
  <si>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</si>
  <si>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</si>
  <si>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</si>
  <si>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</si>
  <si>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</si>
  <si>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</si>
  <si>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</si>
  <si>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</si>
  <si>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</si>
  <si>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</si>
  <si>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</si>
  <si>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</si>
  <si>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</si>
  <si>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</si>
  <si>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</si>
  <si>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</si>
  <si>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</si>
  <si>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</si>
  <si>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</si>
  <si>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</si>
  <si>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</si>
  <si>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</si>
  <si>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</si>
  <si>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</si>
  <si>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</si>
  <si>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</si>
  <si>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</si>
  <si>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</si>
  <si>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</si>
  <si>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</si>
  <si>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</si>
  <si>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</si>
  <si>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</si>
  <si>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</si>
  <si>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</si>
  <si>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</si>
  <si>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</si>
  <si>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</si>
  <si>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</si>
  <si>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</si>
  <si>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</si>
  <si>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</si>
  <si>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</si>
  <si>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</si>
  <si>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</si>
  <si>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</si>
  <si>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</si>
  <si>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</si>
  <si>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</si>
  <si>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</si>
  <si>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</si>
  <si>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</si>
  <si>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</si>
  <si>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</si>
  <si>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</si>
  <si>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</si>
  <si>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</si>
  <si>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</si>
  <si>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</si>
  <si>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</si>
  <si>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</si>
  <si>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</si>
  <si>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</si>
  <si>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</si>
  <si>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</si>
  <si>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</si>
  <si>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</si>
  <si>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</si>
  <si>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</si>
  <si>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</si>
  <si>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</si>
  <si>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</si>
  <si>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</si>
  <si>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</si>
  <si>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</si>
  <si>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</si>
  <si>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</si>
  <si>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</si>
  <si>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</si>
  <si>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</si>
  <si>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</si>
  <si>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</si>
  <si>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</si>
  <si>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</si>
  <si>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</si>
  <si>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</si>
  <si>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</si>
  <si>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</si>
  <si>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</si>
  <si>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</si>
  <si>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</si>
  <si>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</si>
  <si>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</si>
  <si>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</si>
  <si>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</si>
  <si>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</si>
  <si>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</si>
  <si>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</si>
  <si>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</si>
  <si>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</si>
  <si>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</si>
  <si>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</si>
  <si>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</si>
  <si>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</si>
  <si>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</si>
  <si>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</si>
  <si>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</si>
  <si>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</si>
  <si>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</si>
  <si>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</si>
  <si>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</si>
  <si>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</si>
  <si>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</si>
  <si>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</si>
  <si>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</si>
  <si>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</si>
  <si>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</si>
  <si>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</si>
  <si>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</si>
  <si>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</si>
  <si>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</si>
  <si>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</si>
  <si>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</si>
  <si>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</si>
  <si>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</si>
  <si>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</si>
  <si>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</si>
  <si>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</si>
  <si>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</si>
  <si>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</si>
  <si>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</si>
  <si>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</si>
  <si>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</si>
  <si>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</si>
  <si>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</si>
  <si>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</si>
  <si>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</si>
  <si>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</si>
  <si>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</si>
  <si>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</si>
  <si>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</si>
  <si>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</si>
  <si>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</si>
  <si>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</si>
  <si>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</si>
  <si>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</si>
  <si>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</si>
  <si>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</si>
  <si>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</si>
  <si>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</si>
  <si>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</si>
  <si>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</si>
  <si>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</si>
  <si>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</si>
  <si>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</si>
  <si>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</si>
  <si>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</si>
  <si>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</si>
  <si>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</si>
  <si>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</si>
  <si>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/>
  </si>
  <si>
    <t>USD_InterestRateQuotesFeed!EONIAOIS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</si>
</sst>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3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69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0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0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  <xf numFmtId="170" fontId="5" fillId="10" borderId="24" xfId="12" applyNumberFormat="1" applyFont="1" applyFill="1" applyBorder="1" applyAlignment="1"/>
    <xf numFmtId="170" fontId="5" fillId="10" borderId="21" xfId="12" applyNumberFormat="1" applyFont="1" applyFill="1" applyBorder="1" applyAlignment="1"/>
    <xf numFmtId="169" fontId="5" fillId="0" borderId="16" xfId="4" applyNumberFormat="1" applyFont="1" applyFill="1" applyBorder="1" applyAlignment="1">
      <alignment horizontal="center"/>
    </xf>
    <xf numFmtId="0" fontId="1" fillId="11" borderId="0" xfId="1" applyFill="1"/>
    <xf numFmtId="169" fontId="10" fillId="0" borderId="16" xfId="4" applyNumberFormat="1" applyFont="1" applyFill="1" applyBorder="1" applyAlignment="1">
      <alignment horizontal="center" vertical="center" wrapText="1"/>
    </xf>
    <xf numFmtId="170" fontId="19" fillId="0" borderId="20" xfId="13" quotePrefix="1" applyNumberFormat="1" applyFont="1" applyFill="1" applyBorder="1" applyAlignment="1"/>
    <xf numFmtId="170" fontId="19" fillId="0" borderId="15" xfId="13" quotePrefix="1" applyNumberFormat="1" applyFont="1" applyFill="1" applyBorder="1" applyAlignment="1"/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  <xf numFmtId="0" fontId="1" fillId="12" borderId="0" xfId="1" applyFill="1"/>
    <xf numFmtId="0" fontId="5" fillId="12" borderId="0" xfId="1" applyFont="1" applyFill="1" applyBorder="1"/>
    <xf numFmtId="0" fontId="5" fillId="12" borderId="0" xfId="2" applyFill="1"/>
    <xf numFmtId="0" fontId="7" fillId="6" borderId="31" xfId="1" applyFont="1" applyFill="1" applyBorder="1" applyAlignment="1">
      <alignment horizontal="center"/>
    </xf>
    <xf numFmtId="0" fontId="7" fillId="6" borderId="32" xfId="1" applyFont="1" applyFill="1" applyBorder="1" applyAlignment="1">
      <alignment horizontal="center"/>
    </xf>
    <xf numFmtId="0" fontId="7" fillId="6" borderId="33" xfId="1" applyFont="1" applyFill="1" applyBorder="1" applyAlignment="1">
      <alignment horizontal="center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40"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014336"/>
        <c:axId val="310016256"/>
      </c:scatterChart>
      <c:valAx>
        <c:axId val="310014336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0016256"/>
        <c:crosses val="autoZero"/>
        <c:crossBetween val="midCat"/>
      </c:valAx>
      <c:valAx>
        <c:axId val="310016256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0014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SynthDepoQuotesFe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Triggers"/>
      <sheetName val="Calculation"/>
    </sheetNames>
    <sheetDataSet>
      <sheetData sheetId="0"/>
      <sheetData sheetId="1"/>
      <sheetData sheetId="2">
        <row r="34">
          <cell r="G34" t="e">
            <v>#NUM!</v>
          </cell>
          <cell r="H34" t="e">
            <v>#NUM!</v>
          </cell>
          <cell r="I34" t="e">
            <v>#NUM!</v>
          </cell>
        </row>
        <row r="35">
          <cell r="G35" t="e">
            <v>#NUM!</v>
          </cell>
          <cell r="H35" t="e">
            <v>#NUM!</v>
          </cell>
          <cell r="I35" t="e">
            <v>#NUM!</v>
          </cell>
        </row>
        <row r="36">
          <cell r="G36" t="e">
            <v>#NUM!</v>
          </cell>
          <cell r="H36" t="e">
            <v>#NUM!</v>
          </cell>
          <cell r="I36" t="e">
            <v>#NUM!</v>
          </cell>
        </row>
        <row r="37">
          <cell r="G37" t="e">
            <v>#NUM!</v>
          </cell>
          <cell r="H37" t="e">
            <v>#NUM!</v>
          </cell>
          <cell r="I37" t="e">
            <v>#NUM!</v>
          </cell>
        </row>
        <row r="38">
          <cell r="G38" t="e">
            <v>#NUM!</v>
          </cell>
          <cell r="H38" t="e">
            <v>#NUM!</v>
          </cell>
          <cell r="I38" t="e">
            <v>#NUM!</v>
          </cell>
        </row>
        <row r="39">
          <cell r="H39" t="e">
            <v>#NUM!</v>
          </cell>
          <cell r="I39" t="e">
            <v>#NUM!</v>
          </cell>
        </row>
        <row r="40">
          <cell r="H40" t="e">
            <v>#NUM!</v>
          </cell>
          <cell r="I40" t="e">
            <v>#NUM!</v>
          </cell>
        </row>
        <row r="41">
          <cell r="I41" t="e">
            <v>#NUM!</v>
          </cell>
        </row>
        <row r="42">
          <cell r="I42" t="e">
            <v>#NUM!</v>
          </cell>
        </row>
        <row r="43">
          <cell r="I43" t="e">
            <v>#NUM!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tabSelected="1" workbookViewId="0"/>
  </sheetViews>
  <sheetFormatPr defaultRowHeight="12.75" x14ac:dyDescent="0.2"/>
  <cols>
    <col min="1" max="2" width="2.7109375" style="563" customWidth="1"/>
    <col min="3" max="3" width="14.85546875" style="563" bestFit="1" customWidth="1"/>
    <col min="4" max="4" width="21.42578125" style="563" bestFit="1" customWidth="1"/>
    <col min="5" max="5" width="20.7109375" style="563" bestFit="1" customWidth="1"/>
    <col min="6" max="8" width="2.7109375" style="563" customWidth="1"/>
    <col min="9" max="9" width="12.140625" style="563" bestFit="1" customWidth="1"/>
    <col min="10" max="10" width="53.7109375" style="563" bestFit="1" customWidth="1"/>
    <col min="11" max="11" width="2.7109375" style="563" customWidth="1"/>
    <col min="12" max="16384" width="9.140625" style="563"/>
  </cols>
  <sheetData>
    <row r="1" spans="1:11" ht="13.5" thickBot="1" x14ac:dyDescent="0.25">
      <c r="A1" s="563" t="s">
        <v>307</v>
      </c>
      <c r="B1" s="563" t="str">
        <f>_xll.qlxlVersion(TRUE,Trigger)</f>
        <v>QuantLibXL 1.4.0 - MS VC++ 9.0 - Multithreaded Dynamic Runtime library - Release Configuration - Feb  7 2014 15:33:58</v>
      </c>
    </row>
    <row r="2" spans="1:11" ht="16.5" thickBot="1" x14ac:dyDescent="0.3">
      <c r="B2" s="566" t="s">
        <v>306</v>
      </c>
      <c r="C2" s="567"/>
      <c r="D2" s="567"/>
      <c r="E2" s="567"/>
      <c r="F2" s="568"/>
      <c r="H2" s="566" t="s">
        <v>27</v>
      </c>
      <c r="I2" s="567"/>
      <c r="J2" s="567"/>
      <c r="K2" s="568"/>
    </row>
    <row r="3" spans="1:11" x14ac:dyDescent="0.2">
      <c r="B3" s="397"/>
      <c r="C3" s="419"/>
      <c r="D3" s="419"/>
      <c r="E3" s="419"/>
      <c r="F3" s="418"/>
      <c r="H3" s="9"/>
      <c r="I3" s="13"/>
      <c r="J3" s="13"/>
      <c r="K3" s="5"/>
    </row>
    <row r="4" spans="1:11" x14ac:dyDescent="0.2">
      <c r="B4" s="397"/>
      <c r="C4" s="417" t="s">
        <v>20</v>
      </c>
      <c r="D4" s="416" t="s">
        <v>121</v>
      </c>
      <c r="E4" s="407"/>
      <c r="F4" s="399"/>
      <c r="H4" s="9"/>
      <c r="I4" s="16" t="s">
        <v>26</v>
      </c>
      <c r="J4" s="503">
        <v>41684.590543981481</v>
      </c>
      <c r="K4" s="14"/>
    </row>
    <row r="5" spans="1:11" x14ac:dyDescent="0.2">
      <c r="B5" s="397"/>
      <c r="C5" s="413" t="s">
        <v>26</v>
      </c>
      <c r="D5" s="415">
        <v>41621.603217592594</v>
      </c>
      <c r="E5" s="407"/>
      <c r="F5" s="399"/>
      <c r="H5" s="9"/>
      <c r="I5" s="16" t="s">
        <v>25</v>
      </c>
      <c r="J5" s="503" t="b">
        <v>1</v>
      </c>
      <c r="K5" s="14"/>
    </row>
    <row r="6" spans="1:11" x14ac:dyDescent="0.2">
      <c r="B6" s="397"/>
      <c r="C6" s="413" t="s">
        <v>305</v>
      </c>
      <c r="D6" s="414" t="s">
        <v>304</v>
      </c>
      <c r="E6" s="407"/>
      <c r="F6" s="399"/>
      <c r="H6" s="9"/>
      <c r="I6" s="16" t="s">
        <v>24</v>
      </c>
      <c r="J6" s="503" t="b">
        <v>0</v>
      </c>
      <c r="K6" s="14"/>
    </row>
    <row r="7" spans="1:11" x14ac:dyDescent="0.2">
      <c r="B7" s="397"/>
      <c r="C7" s="413" t="s">
        <v>303</v>
      </c>
      <c r="D7" s="412">
        <f ca="1">_xll.ohTrigger(Deposits!P3,FRA!X5,Futures3M!Z4,FuturesHWConvAdj!Q3,Swaps1M!Y3,Swap3M!AC3,SwapsIMMDated!Y3,Swap6M!AC3,BasisSwap1MxM!AC3,BasisSwap3M6M!AC3,BasisSwapxM12M!AC3,OIS!Y3)</f>
        <v>33</v>
      </c>
      <c r="E7" s="407"/>
      <c r="F7" s="399"/>
      <c r="H7" s="9"/>
      <c r="I7" s="16" t="s">
        <v>23</v>
      </c>
      <c r="J7" s="503" t="b">
        <v>1</v>
      </c>
      <c r="K7" s="14"/>
    </row>
    <row r="8" spans="1:11" x14ac:dyDescent="0.2">
      <c r="B8" s="397"/>
      <c r="C8" s="411" t="s">
        <v>302</v>
      </c>
      <c r="D8" s="410" t="s">
        <v>301</v>
      </c>
      <c r="E8" s="407"/>
      <c r="F8" s="399"/>
      <c r="H8" s="9"/>
      <c r="I8" s="16" t="s">
        <v>22</v>
      </c>
      <c r="J8" s="504" t="str">
        <f ca="1">SUBSTITUTE(LEFT(CELL("filename",A1),FIND("[",CELL("filename",A1),1)-1),"\XLS\","\XML\")</f>
        <v>C:\Users\erik\Documents\repos\quantlib\QuantLibXL\Data2\XML\</v>
      </c>
      <c r="K8" s="14"/>
    </row>
    <row r="9" spans="1:11" x14ac:dyDescent="0.2">
      <c r="B9" s="397"/>
      <c r="C9" s="407"/>
      <c r="D9" s="365"/>
      <c r="E9" s="407"/>
      <c r="F9" s="399"/>
      <c r="H9" s="9"/>
      <c r="I9" s="16" t="s">
        <v>21</v>
      </c>
      <c r="J9" s="505" t="b">
        <v>1</v>
      </c>
      <c r="K9" s="14"/>
    </row>
    <row r="10" spans="1:11" x14ac:dyDescent="0.2">
      <c r="B10" s="397"/>
      <c r="C10" s="409" t="s">
        <v>254</v>
      </c>
      <c r="D10" s="408" t="s">
        <v>300</v>
      </c>
      <c r="E10" s="407"/>
      <c r="F10" s="399"/>
      <c r="H10" s="9"/>
      <c r="I10" s="16" t="s">
        <v>20</v>
      </c>
      <c r="J10" s="10" t="s">
        <v>121</v>
      </c>
      <c r="K10" s="14"/>
    </row>
    <row r="11" spans="1:11" x14ac:dyDescent="0.2">
      <c r="B11" s="397"/>
      <c r="C11" s="406" t="s">
        <v>243</v>
      </c>
      <c r="D11" s="405" t="str">
        <f>""</f>
        <v/>
      </c>
      <c r="E11" s="407"/>
      <c r="F11" s="399"/>
      <c r="H11" s="9"/>
      <c r="I11" s="16" t="s">
        <v>20</v>
      </c>
      <c r="J11" s="10" t="s">
        <v>130</v>
      </c>
      <c r="K11" s="14"/>
    </row>
    <row r="12" spans="1:11" x14ac:dyDescent="0.2">
      <c r="B12" s="397"/>
      <c r="C12" s="406" t="s">
        <v>230</v>
      </c>
      <c r="D12" s="405" t="s">
        <v>242</v>
      </c>
      <c r="E12" s="402"/>
      <c r="F12" s="399"/>
      <c r="H12" s="9"/>
      <c r="I12" s="16" t="s">
        <v>120</v>
      </c>
      <c r="J12" s="503" t="str">
        <f>Currency&amp;"YC"</f>
        <v>USDYC</v>
      </c>
      <c r="K12" s="14"/>
    </row>
    <row r="13" spans="1:11" x14ac:dyDescent="0.2">
      <c r="B13" s="397"/>
      <c r="C13" s="406" t="s">
        <v>241</v>
      </c>
      <c r="D13" s="405" t="s">
        <v>241</v>
      </c>
      <c r="E13" s="402"/>
      <c r="F13" s="399"/>
      <c r="H13" s="9"/>
      <c r="I13" s="16" t="s">
        <v>119</v>
      </c>
      <c r="J13" s="503" t="str">
        <f>Currency&amp;"YCSTD"</f>
        <v>USDYCSTD</v>
      </c>
      <c r="K13" s="14"/>
    </row>
    <row r="14" spans="1:11" x14ac:dyDescent="0.2">
      <c r="B14" s="397"/>
      <c r="C14" s="406" t="s">
        <v>239</v>
      </c>
      <c r="D14" s="405" t="s">
        <v>238</v>
      </c>
      <c r="E14" s="402"/>
      <c r="F14" s="399"/>
      <c r="H14" s="494"/>
      <c r="I14" s="506" t="s">
        <v>333</v>
      </c>
      <c r="J14" s="507">
        <f>_xll.qlSettingsEvaluationDate(Trigger)</f>
        <v>41684</v>
      </c>
      <c r="K14" s="493"/>
    </row>
    <row r="15" spans="1:11" ht="13.5" thickBot="1" x14ac:dyDescent="0.25">
      <c r="B15" s="397"/>
      <c r="C15" s="406" t="s">
        <v>237</v>
      </c>
      <c r="D15" s="405" t="s">
        <v>236</v>
      </c>
      <c r="E15" s="402"/>
      <c r="F15" s="399"/>
      <c r="H15" s="4"/>
      <c r="I15" s="3"/>
      <c r="J15" s="3"/>
      <c r="K15" s="2"/>
    </row>
    <row r="16" spans="1:11" ht="13.5" thickBot="1" x14ac:dyDescent="0.25">
      <c r="B16" s="397"/>
      <c r="C16" s="406" t="s">
        <v>235</v>
      </c>
      <c r="D16" s="405" t="s">
        <v>299</v>
      </c>
      <c r="E16" s="402"/>
      <c r="F16" s="399"/>
      <c r="H16" s="565"/>
      <c r="I16" s="565"/>
      <c r="J16" s="565"/>
      <c r="K16" s="565"/>
    </row>
    <row r="17" spans="2:11" ht="16.5" thickBot="1" x14ac:dyDescent="0.3">
      <c r="B17" s="397"/>
      <c r="C17" s="404" t="s">
        <v>298</v>
      </c>
      <c r="D17" s="403" t="s">
        <v>297</v>
      </c>
      <c r="E17" s="402"/>
      <c r="F17" s="399"/>
      <c r="H17" s="566" t="s">
        <v>143</v>
      </c>
      <c r="I17" s="567"/>
      <c r="J17" s="567"/>
      <c r="K17" s="568"/>
    </row>
    <row r="18" spans="2:11" x14ac:dyDescent="0.2">
      <c r="B18" s="397"/>
      <c r="C18" s="396"/>
      <c r="D18" s="396"/>
      <c r="E18" s="396"/>
      <c r="F18" s="399"/>
      <c r="H18" s="9"/>
      <c r="I18" s="13"/>
      <c r="J18" s="13"/>
      <c r="K18" s="5"/>
    </row>
    <row r="19" spans="2:11" x14ac:dyDescent="0.2">
      <c r="B19" s="397"/>
      <c r="C19" s="396"/>
      <c r="D19" s="396"/>
      <c r="E19" s="396"/>
      <c r="F19" s="399"/>
      <c r="H19" s="9"/>
      <c r="I19" s="16" t="s">
        <v>142</v>
      </c>
      <c r="J19" s="23" t="s">
        <v>141</v>
      </c>
      <c r="K19" s="14"/>
    </row>
    <row r="20" spans="2:11" x14ac:dyDescent="0.2">
      <c r="B20" s="397"/>
      <c r="C20" s="396"/>
      <c r="D20" s="395" t="s">
        <v>296</v>
      </c>
      <c r="E20" s="401">
        <v>41570.838356481479</v>
      </c>
      <c r="F20" s="47"/>
      <c r="H20" s="9"/>
      <c r="I20" s="16" t="s">
        <v>140</v>
      </c>
      <c r="J20" s="100">
        <v>1E-4</v>
      </c>
      <c r="K20" s="14"/>
    </row>
    <row r="21" spans="2:11" x14ac:dyDescent="0.2">
      <c r="B21" s="397"/>
      <c r="C21" s="396"/>
      <c r="D21" s="400"/>
      <c r="E21" s="398"/>
      <c r="F21" s="399"/>
      <c r="H21" s="9"/>
      <c r="I21" s="16" t="s">
        <v>139</v>
      </c>
      <c r="J21" s="99">
        <v>-0.01</v>
      </c>
      <c r="K21" s="14"/>
    </row>
    <row r="22" spans="2:11" x14ac:dyDescent="0.2">
      <c r="B22" s="397"/>
      <c r="C22" s="396"/>
      <c r="D22" s="395"/>
      <c r="E22" s="398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397"/>
      <c r="C23" s="396"/>
      <c r="D23" s="395" t="s">
        <v>295</v>
      </c>
      <c r="E23" s="394" t="b">
        <v>0</v>
      </c>
      <c r="F23" s="47"/>
      <c r="H23" s="9"/>
      <c r="I23" s="16" t="s">
        <v>111</v>
      </c>
      <c r="J23" s="15" t="s">
        <v>118</v>
      </c>
      <c r="K23" s="14"/>
    </row>
    <row r="24" spans="2:11" ht="11.25" customHeight="1" thickBot="1" x14ac:dyDescent="0.25">
      <c r="B24" s="393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64"/>
      <c r="D25" s="564"/>
      <c r="E25" s="564"/>
      <c r="F25" s="564"/>
    </row>
    <row r="26" spans="2:11" x14ac:dyDescent="0.2">
      <c r="C26" s="564"/>
      <c r="D26" s="564"/>
      <c r="E26" s="564"/>
      <c r="F26" s="564"/>
    </row>
    <row r="27" spans="2:11" x14ac:dyDescent="0.2">
      <c r="C27" s="564"/>
      <c r="D27" s="564"/>
      <c r="E27" s="564"/>
      <c r="F27" s="564"/>
    </row>
    <row r="28" spans="2:11" x14ac:dyDescent="0.2">
      <c r="C28" s="564"/>
      <c r="D28" s="564"/>
      <c r="E28" s="564"/>
      <c r="F28" s="564"/>
    </row>
    <row r="29" spans="2:11" x14ac:dyDescent="0.2">
      <c r="C29" s="564"/>
      <c r="D29" s="564"/>
      <c r="E29" s="564"/>
      <c r="F29" s="564"/>
    </row>
    <row r="30" spans="2:11" x14ac:dyDescent="0.2">
      <c r="C30" s="564"/>
      <c r="D30" s="564"/>
      <c r="E30" s="564"/>
      <c r="F30" s="564"/>
    </row>
  </sheetData>
  <mergeCells count="3">
    <mergeCell ref="H17:K17"/>
    <mergeCell ref="B2:F2"/>
    <mergeCell ref="H2:K2"/>
  </mergeCells>
  <conditionalFormatting sqref="E23">
    <cfRule type="cellIs" dxfId="0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4"/>
  <sheetViews>
    <sheetView workbookViewId="0">
      <selection activeCell="L6" sqref="L6"/>
    </sheetView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12" ht="13.5" thickBot="1" x14ac:dyDescent="0.25">
      <c r="A1" s="1" t="s">
        <v>28</v>
      </c>
    </row>
    <row r="2" spans="1:12" x14ac:dyDescent="0.2">
      <c r="B2" s="19"/>
      <c r="C2" s="18"/>
      <c r="D2" s="18"/>
      <c r="E2" s="18"/>
      <c r="F2" s="18"/>
      <c r="G2" s="17"/>
    </row>
    <row r="3" spans="1:12" x14ac:dyDescent="0.2">
      <c r="B3" s="9"/>
      <c r="C3" s="13"/>
      <c r="D3" s="16" t="s">
        <v>20</v>
      </c>
      <c r="E3" s="15" t="s">
        <v>19</v>
      </c>
      <c r="F3" s="13"/>
      <c r="G3" s="5"/>
    </row>
    <row r="4" spans="1:12" x14ac:dyDescent="0.2">
      <c r="B4" s="9"/>
      <c r="C4" s="13"/>
      <c r="D4" s="13"/>
      <c r="E4" s="13"/>
      <c r="F4" s="13"/>
      <c r="G4" s="5"/>
    </row>
    <row r="5" spans="1:12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12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UsdYC#0001</v>
      </c>
      <c r="F6" s="6" t="str">
        <f>_xll.ohRangeRetrieveError(E6)</f>
        <v/>
      </c>
      <c r="G6" s="5"/>
      <c r="K6" s="557" t="str">
        <f>_xll.qlHandleCurrentLink(E6)</f>
        <v/>
      </c>
      <c r="L6" s="1" t="b">
        <f>_xll.qlRelinkableHandleLinkTo(E6,"_usdyc")</f>
        <v>1</v>
      </c>
    </row>
    <row r="7" spans="1:12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UsdYCSTD#0001</v>
      </c>
      <c r="F7" s="6" t="str">
        <f>_xll.ohRangeRetrieveError(E7)</f>
        <v/>
      </c>
      <c r="G7" s="5"/>
    </row>
    <row r="8" spans="1:12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UsdLiborYCON#0001</v>
      </c>
      <c r="F8" s="6" t="str">
        <f>_xll.ohRangeRetrieveError(E8)</f>
        <v/>
      </c>
      <c r="G8" s="5"/>
    </row>
    <row r="9" spans="1:12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UsdLiborYC1M#0001</v>
      </c>
      <c r="F9" s="6" t="str">
        <f>_xll.ohRangeRetrieveError(E9)</f>
        <v/>
      </c>
      <c r="G9" s="5"/>
    </row>
    <row r="10" spans="1:12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UsdLiborYC3M#0001</v>
      </c>
      <c r="F10" s="6" t="str">
        <f>_xll.ohRangeRetrieveError(E10)</f>
        <v/>
      </c>
      <c r="G10" s="5"/>
    </row>
    <row r="11" spans="1:12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UsdLiborYC6M#0001</v>
      </c>
      <c r="F11" s="6" t="str">
        <f>_xll.ohRangeRetrieveError(E11)</f>
        <v/>
      </c>
      <c r="G11" s="5"/>
    </row>
    <row r="12" spans="1:12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UsdLiborYC1Y#0001</v>
      </c>
      <c r="F12" s="6" t="str">
        <f>_xll.ohRangeRetrieveError(E12)</f>
        <v/>
      </c>
      <c r="G12" s="5"/>
    </row>
    <row r="13" spans="1:12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UsdLiborYCON-Mx#0001</v>
      </c>
      <c r="F13" s="6" t="str">
        <f>_xll.ohRangeRetrieveError(E13)</f>
        <v/>
      </c>
      <c r="G13" s="5"/>
    </row>
    <row r="14" spans="1:12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UsdLiborYC1M-Mx#0001</v>
      </c>
      <c r="F14" s="6" t="str">
        <f>_xll.ohRangeRetrieveError(E14)</f>
        <v/>
      </c>
      <c r="G14" s="5"/>
    </row>
    <row r="15" spans="1:12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UsdLiborYC3M-Mx#0001</v>
      </c>
      <c r="F15" s="6" t="str">
        <f>_xll.ohRangeRetrieveError(E15)</f>
        <v/>
      </c>
      <c r="G15" s="5"/>
    </row>
    <row r="16" spans="1:12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UsdLiborYC6M-Mx#0001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UsdLiborYC1Y-Mx#0001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UsdSwaptionATMVol#0001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UsdSwaptionVol#0001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Usd3MFutOptionVol#0001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Usd1MCapletVol#0001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Usd3MCapletVol#0001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Usd6MCapletVol#0001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Usd1YCapletVol#0001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Usd3MFutOptionVolEx#0001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Usd1MCapletVolEx#0001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Usd3MCapletVolEx#0001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Usd6MCapletVolEx#0001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Usd1YCapletVolEx#0001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348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348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349</v>
      </c>
      <c r="F3" s="13"/>
      <c r="G3" s="37"/>
      <c r="H3" s="16" t="s">
        <v>49</v>
      </c>
      <c r="I3" s="32" t="s">
        <v>249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496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EURYC#0001</v>
      </c>
      <c r="F6" s="6" t="str">
        <f>_xll.ohRangeRetrieveError(E6)</f>
        <v/>
      </c>
      <c r="G6" s="28" t="s">
        <v>341</v>
      </c>
      <c r="H6" s="26"/>
      <c r="I6" s="25" t="str">
        <f>_xll.qlEonia(G6,E6,Permanent,Trigger,ObjectOverwrite)</f>
        <v>Eonia2#0001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EURYCSTD#0001</v>
      </c>
      <c r="F7" s="6" t="str">
        <f>_xll.ohRangeRetrieveError(E7)</f>
        <v/>
      </c>
      <c r="G7" s="28" t="s">
        <v>340</v>
      </c>
      <c r="H7" s="26" t="s">
        <v>340</v>
      </c>
      <c r="I7" s="25" t="str">
        <f>_xll.qlEonia(G7,E8,Permanent,Trigger,ObjectOverwrite)</f>
        <v>Eonia#0001</v>
      </c>
      <c r="J7" s="25" t="str">
        <f>_xll.qlLastFixingQuote(H7&amp;"LastFixing_Quote",I7,Permanent,Trigger,ObjectOverwrite)</f>
        <v>EoniaLastFixing_Quote#0001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339</v>
      </c>
      <c r="D8" s="8" t="str">
        <f t="shared" si="0"/>
        <v>EURiborYCON</v>
      </c>
      <c r="E8" s="7" t="str">
        <f>_xll.qlRelinkableHandleYieldTermStructure(D8,,Permanent,Trigger,ObjectOverwrite)</f>
        <v>EURiborYCON#0001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EuriborSW#0001</v>
      </c>
      <c r="J8" s="25" t="str">
        <f>_xll.qlLastFixingQuote(H8&amp;"LastFixing_Quote",I8,Permanent,Trigger,ObjectOverwrite)</f>
        <v>EuriborSWLastFixing_Quote#0001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338</v>
      </c>
      <c r="D9" s="8" t="str">
        <f t="shared" si="0"/>
        <v>EURiborYC1M</v>
      </c>
      <c r="E9" s="7" t="str">
        <f>_xll.qlRelinkableHandleYieldTermStructure(D9,,Permanent,Trigger,ObjectOverwrite)</f>
        <v>EURiborYC1M#0001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Euribor2W#0001</v>
      </c>
      <c r="J9" s="25" t="str">
        <f>_xll.qlLastFixingQuote(H9&amp;"LastFixing_Quote",I9,Permanent,Trigger,ObjectOverwrite)</f>
        <v>Euribor2WLastFixing_Quote#0001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337</v>
      </c>
      <c r="D10" s="8" t="str">
        <f t="shared" si="0"/>
        <v>EURiborYC3M</v>
      </c>
      <c r="E10" s="7" t="str">
        <f>_xll.qlRelinkableHandleYieldTermStructure(D10,,Permanent,Trigger,ObjectOverwrite)</f>
        <v>EURiborYC3M#0001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Euribor3W#0001</v>
      </c>
      <c r="J10" s="25" t="str">
        <f>_xll.qlLastFixingQuote(H10&amp;"LastFixing_Quote",I10,Permanent,Trigger,ObjectOverwrite)</f>
        <v>Euribor3WLastFixing_Quote#0001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336</v>
      </c>
      <c r="D11" s="8" t="str">
        <f t="shared" si="0"/>
        <v>EURiborYC6M</v>
      </c>
      <c r="E11" s="7" t="str">
        <f>_xll.qlRelinkableHandleYieldTermStructure(D11,,Permanent,Trigger,ObjectOverwrite)</f>
        <v>EURiborYC6M#0001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Euribor1M#0001</v>
      </c>
      <c r="J11" s="25" t="str">
        <f>_xll.qlLastFixingQuote(H11&amp;"LastFixing_Quote",I11,Permanent,Trigger,ObjectOverwrite)</f>
        <v>Euribor1MLastFixing_Quote#0001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335</v>
      </c>
      <c r="D12" s="8" t="str">
        <f t="shared" si="0"/>
        <v>EURiborYC1Y</v>
      </c>
      <c r="E12" s="7" t="str">
        <f>_xll.qlRelinkableHandleYieldTermStructure(D12,,Permanent,Trigger,ObjectOverwrite)</f>
        <v>EURiborYC1Y#0001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Euribor2M#0001</v>
      </c>
      <c r="J12" s="25" t="str">
        <f>_xll.qlLastFixingQuote(H12&amp;"LastFixing_Quote",I12,Permanent,Trigger,ObjectOverwrite)</f>
        <v>Euribor2MLastFixing_Quote#0001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EURiborYCON-Mx#0001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Euribor3M#0001</v>
      </c>
      <c r="J13" s="25" t="str">
        <f>_xll.qlLastFixingQuote(H13&amp;"LastFixing_Quote",I13,Permanent,Trigger,ObjectOverwrite)</f>
        <v>Euribor3MLastFixing_Quote#0001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EURiborYC1M-Mx#0001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Euribor4M#0001</v>
      </c>
      <c r="J14" s="25" t="str">
        <f>_xll.qlLastFixingQuote(H14&amp;"LastFixing_Quote",I14,Permanent,Trigger,ObjectOverwrite)</f>
        <v>Euribor4MLastFixing_Quote#0001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EURiborYC3M-Mx#0001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Euribor5M#0001</v>
      </c>
      <c r="J15" s="25" t="str">
        <f>_xll.qlLastFixingQuote(H15&amp;"LastFixing_Quote",I15,Permanent,Trigger,ObjectOverwrite)</f>
        <v>Euribor5MLastFixing_Quote#0001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EURiborYC6M-Mx#0001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Euribor6M#0001</v>
      </c>
      <c r="J16" s="25" t="str">
        <f>_xll.qlLastFixingQuote(H16&amp;"LastFixing_Quote",I16,Permanent,Trigger,ObjectOverwrite)</f>
        <v>Euribor6MLastFixing_Quote#0001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EURiborYC1Y-Mx#0001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Euribor7M#0001</v>
      </c>
      <c r="J17" s="25" t="str">
        <f>_xll.qlLastFixingQuote(H17&amp;"LastFixing_Quote",I17,Permanent,Trigger,ObjectOverwrite)</f>
        <v>Euribor7MLastFixing_Quote#0001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EURLiborYCON#0001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Euribor8M#0001</v>
      </c>
      <c r="J18" s="25" t="str">
        <f>_xll.qlLastFixingQuote(H18&amp;"LastFixing_Quote",I18,Permanent,Trigger,ObjectOverwrite)</f>
        <v>Euribor8MLastFixing_Quote#0001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EURLiborYC1M#0001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Euribor9M#0001</v>
      </c>
      <c r="J19" s="25" t="str">
        <f>_xll.qlLastFixingQuote(H19&amp;"LastFixing_Quote",I19,Permanent,Trigger,ObjectOverwrite)</f>
        <v>Euribor9MLastFixing_Quote#0001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EURLiborYC3M#0001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Euribor10M#0001</v>
      </c>
      <c r="J20" s="25" t="str">
        <f>_xll.qlLastFixingQuote(H20&amp;"LastFixing_Quote",I20,Permanent,Trigger,ObjectOverwrite)</f>
        <v>Euribor10MLastFixing_Quote#0001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EURLiborYC6M#0001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Euribor11M#0001</v>
      </c>
      <c r="J21" s="25" t="str">
        <f>_xll.qlLastFixingQuote(H21&amp;"LastFixing_Quote",I21,Permanent,Trigger,ObjectOverwrite)</f>
        <v>Euribor11MLastFixing_Quote#0001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EURLiborYC1Y#0001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Euribor1Y#0001</v>
      </c>
      <c r="J22" s="25" t="str">
        <f>_xll.qlLastFixingQuote(H22&amp;"LastFixing_Quote",I22,Permanent,Trigger,ObjectOverwrite)</f>
        <v>Euribor1YLastFixing_Quote#0001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348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331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342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498" t="s">
        <v>43</v>
      </c>
      <c r="D6" s="51" t="s">
        <v>339</v>
      </c>
      <c r="E6" s="497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Euribor365SW#0001</v>
      </c>
      <c r="G6" s="7" t="str">
        <f>_xll.ohRangeRetrieveError(F6)</f>
        <v/>
      </c>
      <c r="H6" s="5"/>
    </row>
    <row r="7" spans="1:8" s="24" customFormat="1" x14ac:dyDescent="0.2">
      <c r="B7" s="29"/>
      <c r="C7" s="498" t="s">
        <v>42</v>
      </c>
      <c r="D7" s="51" t="s">
        <v>339</v>
      </c>
      <c r="E7" s="497" t="str">
        <f t="shared" si="0"/>
        <v>Euribor3652W</v>
      </c>
      <c r="F7" s="25" t="str">
        <f>_xll.qlEuribor365($E7,$C7,Currency&amp;$D7,Permanent,Trigger,ObjectOverwrite)</f>
        <v>Euribor3652W#0001</v>
      </c>
      <c r="G7" s="7" t="str">
        <f>_xll.ohRangeRetrieveError(F7)</f>
        <v/>
      </c>
      <c r="H7" s="5"/>
    </row>
    <row r="8" spans="1:8" s="24" customFormat="1" x14ac:dyDescent="0.2">
      <c r="B8" s="29"/>
      <c r="C8" s="498" t="s">
        <v>41</v>
      </c>
      <c r="D8" s="51" t="s">
        <v>338</v>
      </c>
      <c r="E8" s="497" t="str">
        <f t="shared" si="0"/>
        <v>Euribor3653W</v>
      </c>
      <c r="F8" s="25" t="str">
        <f>_xll.qlEuribor365($E8,$C8,Currency&amp;$D8,Permanent,Trigger,ObjectOverwrite)</f>
        <v>Euribor3653W#0001</v>
      </c>
      <c r="G8" s="7" t="str">
        <f>_xll.ohRangeRetrieveError(F8)</f>
        <v/>
      </c>
      <c r="H8" s="5"/>
    </row>
    <row r="9" spans="1:8" s="24" customFormat="1" x14ac:dyDescent="0.2">
      <c r="B9" s="29"/>
      <c r="C9" s="498" t="s">
        <v>40</v>
      </c>
      <c r="D9" s="51" t="s">
        <v>338</v>
      </c>
      <c r="E9" s="497" t="str">
        <f t="shared" si="0"/>
        <v>Euribor3651M</v>
      </c>
      <c r="F9" s="25" t="str">
        <f>_xll.qlEuribor365($E9,$C9,Currency&amp;$D9,Permanent,Trigger,ObjectOverwrite)</f>
        <v>Euribor3651M#0001</v>
      </c>
      <c r="G9" s="7" t="str">
        <f>_xll.ohRangeRetrieveError(F9)</f>
        <v/>
      </c>
      <c r="H9" s="5"/>
    </row>
    <row r="10" spans="1:8" s="24" customFormat="1" x14ac:dyDescent="0.2">
      <c r="B10" s="29"/>
      <c r="C10" s="498" t="s">
        <v>39</v>
      </c>
      <c r="D10" s="51" t="s">
        <v>337</v>
      </c>
      <c r="E10" s="497" t="str">
        <f t="shared" si="0"/>
        <v>Euribor3652M</v>
      </c>
      <c r="F10" s="25" t="str">
        <f>_xll.qlEuribor365($E10,$C10,Currency&amp;$D10,Permanent,Trigger,ObjectOverwrite)</f>
        <v>Euribor3652M#0001</v>
      </c>
      <c r="G10" s="7" t="str">
        <f>_xll.ohRangeRetrieveError(F10)</f>
        <v/>
      </c>
      <c r="H10" s="5"/>
    </row>
    <row r="11" spans="1:8" s="24" customFormat="1" x14ac:dyDescent="0.2">
      <c r="B11" s="29"/>
      <c r="C11" s="498" t="s">
        <v>38</v>
      </c>
      <c r="D11" s="51" t="s">
        <v>337</v>
      </c>
      <c r="E11" s="497" t="str">
        <f t="shared" si="0"/>
        <v>Euribor3653M</v>
      </c>
      <c r="F11" s="25" t="str">
        <f>_xll.qlEuribor365($E11,$C11,Currency&amp;$D11,Permanent,Trigger,ObjectOverwrite)</f>
        <v>Euribor3653M#0001</v>
      </c>
      <c r="G11" s="7" t="str">
        <f>_xll.ohRangeRetrieveError(F11)</f>
        <v/>
      </c>
      <c r="H11" s="5"/>
    </row>
    <row r="12" spans="1:8" s="24" customFormat="1" x14ac:dyDescent="0.2">
      <c r="B12" s="29"/>
      <c r="C12" s="498" t="s">
        <v>37</v>
      </c>
      <c r="D12" s="51" t="s">
        <v>337</v>
      </c>
      <c r="E12" s="497" t="str">
        <f t="shared" si="0"/>
        <v>Euribor3654M</v>
      </c>
      <c r="F12" s="25" t="str">
        <f>_xll.qlEuribor365($E12,$C12,Currency&amp;$D12,Permanent,Trigger,ObjectOverwrite)</f>
        <v>Euribor3654M#0001</v>
      </c>
      <c r="G12" s="7" t="str">
        <f>_xll.ohRangeRetrieveError(F12)</f>
        <v/>
      </c>
      <c r="H12" s="5"/>
    </row>
    <row r="13" spans="1:8" s="24" customFormat="1" x14ac:dyDescent="0.2">
      <c r="B13" s="29"/>
      <c r="C13" s="498" t="s">
        <v>36</v>
      </c>
      <c r="D13" s="51" t="s">
        <v>336</v>
      </c>
      <c r="E13" s="497" t="str">
        <f t="shared" si="0"/>
        <v>Euribor3655M</v>
      </c>
      <c r="F13" s="25" t="str">
        <f>_xll.qlEuribor365($E13,$C13,Currency&amp;$D13,Permanent,Trigger,ObjectOverwrite)</f>
        <v>Euribor3655M#0001</v>
      </c>
      <c r="G13" s="7" t="str">
        <f>_xll.ohRangeRetrieveError(F13)</f>
        <v/>
      </c>
      <c r="H13" s="5"/>
    </row>
    <row r="14" spans="1:8" s="24" customFormat="1" x14ac:dyDescent="0.2">
      <c r="B14" s="29"/>
      <c r="C14" s="498" t="s">
        <v>35</v>
      </c>
      <c r="D14" s="51" t="s">
        <v>336</v>
      </c>
      <c r="E14" s="497" t="str">
        <f t="shared" si="0"/>
        <v>Euribor3656M</v>
      </c>
      <c r="F14" s="25" t="str">
        <f>_xll.qlEuribor365($E14,$C14,Currency&amp;$D14,Permanent,Trigger,ObjectOverwrite)</f>
        <v>Euribor3656M#0001</v>
      </c>
      <c r="G14" s="7" t="str">
        <f>_xll.ohRangeRetrieveError(F14)</f>
        <v/>
      </c>
      <c r="H14" s="5"/>
    </row>
    <row r="15" spans="1:8" s="24" customFormat="1" x14ac:dyDescent="0.2">
      <c r="B15" s="29"/>
      <c r="C15" s="498" t="s">
        <v>34</v>
      </c>
      <c r="D15" s="51" t="s">
        <v>336</v>
      </c>
      <c r="E15" s="497" t="str">
        <f t="shared" si="0"/>
        <v>Euribor3657M</v>
      </c>
      <c r="F15" s="25" t="str">
        <f>_xll.qlEuribor365($E15,$C15,Currency&amp;$D15,Permanent,Trigger,ObjectOverwrite)</f>
        <v>Euribor3657M#0001</v>
      </c>
      <c r="G15" s="7" t="str">
        <f>_xll.ohRangeRetrieveError(F15)</f>
        <v/>
      </c>
      <c r="H15" s="5"/>
    </row>
    <row r="16" spans="1:8" s="24" customFormat="1" x14ac:dyDescent="0.2">
      <c r="B16" s="29"/>
      <c r="C16" s="498" t="s">
        <v>33</v>
      </c>
      <c r="D16" s="51" t="s">
        <v>336</v>
      </c>
      <c r="E16" s="497" t="str">
        <f t="shared" si="0"/>
        <v>Euribor3658M</v>
      </c>
      <c r="F16" s="25" t="str">
        <f>_xll.qlEuribor365($E16,$C16,Currency&amp;$D16,Permanent,Trigger,ObjectOverwrite)</f>
        <v>Euribor3658M#0001</v>
      </c>
      <c r="G16" s="7" t="str">
        <f>_xll.ohRangeRetrieveError(F16)</f>
        <v/>
      </c>
      <c r="H16" s="5"/>
    </row>
    <row r="17" spans="2:8" s="24" customFormat="1" x14ac:dyDescent="0.2">
      <c r="B17" s="29"/>
      <c r="C17" s="498" t="s">
        <v>32</v>
      </c>
      <c r="D17" s="51" t="s">
        <v>335</v>
      </c>
      <c r="E17" s="497" t="str">
        <f t="shared" si="0"/>
        <v>Euribor3659M</v>
      </c>
      <c r="F17" s="25" t="str">
        <f>_xll.qlEuribor365($E17,$C17,Currency&amp;$D17,Permanent,Trigger,ObjectOverwrite)</f>
        <v>Euribor3659M#0001</v>
      </c>
      <c r="G17" s="7" t="str">
        <f>_xll.ohRangeRetrieveError(F17)</f>
        <v/>
      </c>
      <c r="H17" s="5"/>
    </row>
    <row r="18" spans="2:8" s="24" customFormat="1" x14ac:dyDescent="0.2">
      <c r="B18" s="29"/>
      <c r="C18" s="498" t="s">
        <v>31</v>
      </c>
      <c r="D18" s="51" t="s">
        <v>335</v>
      </c>
      <c r="E18" s="497" t="str">
        <f t="shared" si="0"/>
        <v>Euribor36510M</v>
      </c>
      <c r="F18" s="25" t="str">
        <f>_xll.qlEuribor365($E18,$C18,Currency&amp;$D18,Permanent,Trigger,ObjectOverwrite)</f>
        <v>Euribor36510M#0001</v>
      </c>
      <c r="G18" s="7" t="str">
        <f>_xll.ohRangeRetrieveError(F18)</f>
        <v/>
      </c>
      <c r="H18" s="5"/>
    </row>
    <row r="19" spans="2:8" s="24" customFormat="1" x14ac:dyDescent="0.2">
      <c r="B19" s="29"/>
      <c r="C19" s="498" t="s">
        <v>30</v>
      </c>
      <c r="D19" s="51" t="s">
        <v>335</v>
      </c>
      <c r="E19" s="497" t="str">
        <f t="shared" si="0"/>
        <v>Euribor36511M</v>
      </c>
      <c r="F19" s="25" t="str">
        <f>_xll.qlEuribor365($E19,$C19,Currency&amp;$D19,Permanent,Trigger,ObjectOverwrite)</f>
        <v>Euribor36511M#0001</v>
      </c>
      <c r="G19" s="7" t="str">
        <f>_xll.ohRangeRetrieveError(F19)</f>
        <v/>
      </c>
      <c r="H19" s="5"/>
    </row>
    <row r="20" spans="2:8" s="24" customFormat="1" x14ac:dyDescent="0.2">
      <c r="B20" s="29"/>
      <c r="C20" s="498" t="s">
        <v>29</v>
      </c>
      <c r="D20" s="51" t="s">
        <v>335</v>
      </c>
      <c r="E20" s="497" t="str">
        <f t="shared" si="0"/>
        <v>Euribor3651Y</v>
      </c>
      <c r="F20" s="25" t="str">
        <f>_xll.qlEuribor365($E20,$C20,Currency&amp;$D20,Permanent,Trigger,ObjectOverwrite)</f>
        <v>Euribor3651Y#0001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344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02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EuriborSwapIsdaFixA1Y#0001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EuriborSwapIsdaFixA2Y#0001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EuriborSwapIsdaFixA3Y#0001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EuriborSwapIsdaFixA4Y#0001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EuriborSwapIsdaFixA5Y#0001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EuriborSwapIsdaFixA6Y#0001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EuriborSwapIsdaFixA7Y#0001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EuriborSwapIsdaFixA8Y#0001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EuriborSwapIsdaFixA9Y#0001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EuriborSwapIsdaFixA10Y#0001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EuriborSwapIsdaFixA11Y#0001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EuriborSwapIsdaFixA12Y#0001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EuriborSwapIsdaFixA13Y#0001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EuriborSwapIsdaFixA14Y#0001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EuriborSwapIsdaFixA15Y#0001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EuriborSwapIsdaFixA16Y#0001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EuriborSwapIsdaFixA17Y#0001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EuriborSwapIsdaFixA18Y#0001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EuriborSwapIsdaFixA19Y#0001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EuriborSwapIsdaFixA20Y#0001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EuriborSwapIsdaFixA21Y#0001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EuriborSwapIsdaFixA22Y#0001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EuriborSwapIsdaFixA23Y#0001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EuriborSwapIsdaFixA24Y#0001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EuriborSwapIsdaFixA25Y#0001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EuriborSwapIsdaFixA26Y#0001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EuriborSwapIsdaFixA27Y#0001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EuriborSwapIsdaFixA28Y#0001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EuriborSwapIsdaFixA29Y#0001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EuriborSwapIsdaFixA30Y#0001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EuriborSwapIsdaFixA31Y#0001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EuriborSwapIsdaFixA32Y#0001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EuriborSwapIsdaFixA33Y#0001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EuriborSwapIsdaFixA34Y#0001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EuriborSwapIsdaFixA35Y#0001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EuriborSwapIsdaFixA36Y#0001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EuriborSwapIsdaFixA37Y#0001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EuriborSwapIsdaFixA38Y#0001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EuriborSwapIsdaFixA39Y#0001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EuriborSwapIsdaFixA40Y#0001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EuriborSwapIsdaFixA41Y#0001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EuriborSwapIsdaFixA42Y#0001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EuriborSwapIsdaFixA43Y#0001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EuriborSwapIsdaFixA44Y#0001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EuriborSwapIsdaFixA45Y#0001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EuriborSwapIsdaFixA46Y#0001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EuriborSwapIsdaFixA47Y#0001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EuriborSwapIsdaFixA48Y#0001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EuriborSwapIsdaFixA49Y#0001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EuriborSwapIsdaFixA50Y#0001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EuriborSwapIsdaFixA51Y#0001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EuriborSwapIsdaFixA52Y#0001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EuriborSwapIsdaFixA53Y#0001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EuriborSwapIsdaFixA54Y#0001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EuriborSwapIsdaFixA55Y#0001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EuriborSwapIsdaFixA56Y#0001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EuriborSwapIsdaFixA57Y#0001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EuriborSwapIsdaFixA58Y#0001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EuriborSwapIsdaFixA59Y#0001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EuriborSwapIsdaFixA60Y#0001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346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EuriborSwapIsdaFixB1Y#0001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EuriborSwapIsdaFixB2Y#0001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EuriborSwapIsdaFixB3Y#0001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EuriborSwapIsdaFixB4Y#0001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EuriborSwapIsdaFixB5Y#0001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EuriborSwapIsdaFixB6Y#0001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EuriborSwapIsdaFixB7Y#0001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EuriborSwapIsdaFixB8Y#0001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EuriborSwapIsdaFixB9Y#0001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EuriborSwapIsdaFixB10Y#0001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EuriborSwapIsdaFixB11Y#0001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EuriborSwapIsdaFixB12Y#0001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EuriborSwapIsdaFixB13Y#0001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EuriborSwapIsdaFixB14Y#0001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EuriborSwapIsdaFixB15Y#0001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EuriborSwapIsdaFixB16Y#0001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EuriborSwapIsdaFixB17Y#0001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EuriborSwapIsdaFixB18Y#0001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EuriborSwapIsdaFixB19Y#0001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EuriborSwapIsdaFixB20Y#0001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EuriborSwapIsdaFixB21Y#0001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EuriborSwapIsdaFixB22Y#0001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EuriborSwapIsdaFixB23Y#0001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EuriborSwapIsdaFixB24Y#0001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EuriborSwapIsdaFixB25Y#0001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EuriborSwapIsdaFixB26Y#0001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EuriborSwapIsdaFixB27Y#0001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EuriborSwapIsdaFixB28Y#0001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EuriborSwapIsdaFixB29Y#0001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EuriborSwapIsdaFixB30Y#0001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EuriborSwapIsdaFixB31Y#0001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EuriborSwapIsdaFixB32Y#0001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EuriborSwapIsdaFixB33Y#0001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EuriborSwapIsdaFixB34Y#0001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EuriborSwapIsdaFixB35Y#0001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EuriborSwapIsdaFixB36Y#0001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EuriborSwapIsdaFixB37Y#0001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EuriborSwapIsdaFixB38Y#0001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EuriborSwapIsdaFixB39Y#0001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EuriborSwapIsdaFixB40Y#0001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EuriborSwapIsdaFixB41Y#0001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EuriborSwapIsdaFixB42Y#0001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EuriborSwapIsdaFixB43Y#0001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EuriborSwapIsdaFixB44Y#0001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EuriborSwapIsdaFixB45Y#0001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EuriborSwapIsdaFixB46Y#0001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EuriborSwapIsdaFixB47Y#0001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EuriborSwapIsdaFixB48Y#0001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EuriborSwapIsdaFixB49Y#0001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EuriborSwapIsdaFixB50Y#0001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EuriborSwapIsdaFixB51Y#0001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EuriborSwapIsdaFixB52Y#0001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EuriborSwapIsdaFixB53Y#0001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EuriborSwapIsdaFixB54Y#0001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EuriborSwapIsdaFixB55Y#0001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EuriborSwapIsdaFixB56Y#0001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EuriborSwapIsdaFixB57Y#0001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EuriborSwapIsdaFixB58Y#0001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EuriborSwapIsdaFixB59Y#0001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EuriborSwapIsdaFixB60Y#0001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347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EuriborSwapIfrFix1Y#0001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EuriborSwapIfrFix2Y#0001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EuriborSwapIfrFix3Y#0001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EuriborSwapIfrFix4Y#0001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EuriborSwapIfrFix5Y#0001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EuriborSwapIfrFix6Y#0001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EuriborSwapIfrFix7Y#0001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EuriborSwapIfrFix8Y#0001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EuriborSwapIfrFix9Y#0001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EuriborSwapIfrFix10Y#0001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EuriborSwapIfrFix11Y#0001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EuriborSwapIfrFix12Y#0001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EuriborSwapIfrFix13Y#0001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EuriborSwapIfrFix14Y#0001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EuriborSwapIfrFix15Y#0001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EuriborSwapIfrFix16Y#0001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EuriborSwapIfrFix17Y#0001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EuriborSwapIfrFix18Y#0001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EuriborSwapIfrFix19Y#0001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EuriborSwapIfrFix20Y#0001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EuriborSwapIfrFix21Y#0001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EuriborSwapIfrFix22Y#0001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EuriborSwapIfrFix23Y#0001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EuriborSwapIfrFix24Y#0001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EuriborSwapIfrFix25Y#0001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EuriborSwapIfrFix26Y#0001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EuriborSwapIfrFix27Y#0001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EuriborSwapIfrFix28Y#0001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EuriborSwapIfrFix29Y#0001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EuriborSwapIfrFix30Y#0001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EuriborSwapIfrFix31Y#0001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EuriborSwapIfrFix32Y#0001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EuriborSwapIfrFix33Y#0001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EuriborSwapIfrFix34Y#0001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EuriborSwapIfrFix35Y#0001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EuriborSwapIfrFix36Y#0001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EuriborSwapIfrFix37Y#0001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EuriborSwapIfrFix38Y#0001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EuriborSwapIfrFix39Y#0001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EuriborSwapIfrFix40Y#0001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EuriborSwapIfrFix41Y#0001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EuriborSwapIfrFix42Y#0001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EuriborSwapIfrFix43Y#0001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EuriborSwapIfrFix44Y#0001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EuriborSwapIfrFix45Y#0001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EuriborSwapIfrFix46Y#0001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EuriborSwapIfrFix47Y#0001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EuriborSwapIfrFix48Y#0001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EuriborSwapIfrFix49Y#0001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EuriborSwapIfrFix50Y#0001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EuriborSwapIfrFix51Y#0001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EuriborSwapIfrFix52Y#0001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EuriborSwapIfrFix53Y#0001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EuriborSwapIfrFix54Y#0001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EuriborSwapIfrFix55Y#0001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EuriborSwapIfrFix56Y#0001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EuriborSwapIfrFix57Y#0001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EuriborSwapIfrFix58Y#0001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EuriborSwapIfrFix59Y#0001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EuriborSwapIfrFix60Y#0001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15.7109375" style="1" customWidth="1"/>
    <col min="10" max="13" width="2.7109375" style="1" customWidth="1"/>
    <col min="14" max="14" width="9.140625" style="1"/>
    <col min="15" max="15" width="10.5703125" style="1" bestFit="1" customWidth="1"/>
    <col min="16" max="16" width="22.28515625" style="1" bestFit="1" customWidth="1"/>
    <col min="17" max="19" width="9.140625" style="1"/>
    <col min="20" max="20" width="2.7109375" style="1" customWidth="1"/>
    <col min="21" max="21" width="14" style="1" bestFit="1" customWidth="1"/>
    <col min="22" max="22" width="10.5703125" style="1" customWidth="1"/>
    <col min="23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122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495" t="s">
        <v>334</v>
      </c>
      <c r="M2" s="421"/>
      <c r="N2" s="421"/>
      <c r="O2" s="426"/>
      <c r="P2" s="434"/>
      <c r="Q2" s="480"/>
      <c r="R2" s="480"/>
      <c r="S2" s="421"/>
      <c r="T2" s="426"/>
      <c r="U2" s="421"/>
      <c r="V2" s="421"/>
      <c r="W2" s="421"/>
      <c r="X2" s="421"/>
      <c r="Y2" s="421"/>
      <c r="Z2" s="421"/>
      <c r="AA2" s="421"/>
      <c r="AB2" s="421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21"/>
      <c r="M3" s="479"/>
      <c r="N3" s="473"/>
      <c r="O3" s="478" t="str">
        <f>VLOOKUP(Currency,Traits,2,FALSE)</f>
        <v>FSR</v>
      </c>
      <c r="P3" s="477"/>
      <c r="Q3" s="476"/>
      <c r="R3" s="476"/>
      <c r="S3" s="473"/>
      <c r="T3" s="473"/>
      <c r="U3" s="475" t="str">
        <f>VLOOKUP(Currency,Traits,3,FALSE)</f>
        <v>Libor</v>
      </c>
      <c r="V3" s="473"/>
      <c r="W3" s="473"/>
      <c r="X3" s="474">
        <f>MAX(Z5:Z22)</f>
        <v>0</v>
      </c>
      <c r="Y3" s="473"/>
      <c r="Z3" s="473"/>
      <c r="AA3" s="472"/>
      <c r="AB3" s="421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21"/>
      <c r="M4" s="450"/>
      <c r="N4" s="470" t="s">
        <v>47</v>
      </c>
      <c r="O4" s="469" t="e">
        <f ca="1">_xll.RData(O5:O22,P4:Q4,"RTFEED:IDN",,,P5)</f>
        <v>#NAME?</v>
      </c>
      <c r="P4" s="469" t="s">
        <v>316</v>
      </c>
      <c r="Q4" s="469" t="s">
        <v>245</v>
      </c>
      <c r="R4" s="469" t="s">
        <v>315</v>
      </c>
      <c r="S4" s="468" t="s">
        <v>314</v>
      </c>
      <c r="T4" s="471"/>
      <c r="U4" s="470" t="s">
        <v>257</v>
      </c>
      <c r="V4" s="469" t="s">
        <v>313</v>
      </c>
      <c r="W4" s="469" t="s">
        <v>312</v>
      </c>
      <c r="X4" s="469" t="s">
        <v>311</v>
      </c>
      <c r="Y4" s="468" t="s">
        <v>310</v>
      </c>
      <c r="Z4" s="467"/>
      <c r="AA4" s="440"/>
      <c r="AB4" s="421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21"/>
      <c r="M5" s="450"/>
      <c r="N5" s="466" t="s">
        <v>215</v>
      </c>
      <c r="O5" s="461" t="str">
        <f t="shared" ref="O5:O22" si="0">Currency&amp;$N5&amp;$O$3&amp;"="</f>
        <v>USDONFSR=</v>
      </c>
      <c r="P5" s="465">
        <v>41570</v>
      </c>
      <c r="Q5" s="464">
        <v>0.1051</v>
      </c>
      <c r="R5" s="464" t="b">
        <f t="shared" ref="R5:R22" si="1">IF(AND(ISNUMBER($Q5),$Q5&lt;&gt;0%),TRUE,FALSE)</f>
        <v>1</v>
      </c>
      <c r="S5" s="463" t="e">
        <f>IF($R5,_xll.qlIndexAddFixings($U5,$P5,$Q5/100,TRUE,ISERROR($V5)),NA())</f>
        <v>#NUM!</v>
      </c>
      <c r="T5" s="445"/>
      <c r="U5" s="554" t="str">
        <f t="shared" ref="U5:U7" si="2">PROPER(Currency)&amp;$U$3&amp;$N5</f>
        <v>UsdLiborON</v>
      </c>
      <c r="V5" s="461" t="e">
        <f>_xll.qlIndexFixing($U5,$P5,TRUE,$R5)</f>
        <v>#NUM!</v>
      </c>
      <c r="W5" s="461" t="e">
        <f>IF($S5,_xll.qlIndexFixing($U5,$P5,FALSE,$R5),"-")</f>
        <v>#NUM!</v>
      </c>
      <c r="X5" s="461" t="e">
        <f t="shared" ref="X5:X22" si="3">V5-W5</f>
        <v>#NUM!</v>
      </c>
      <c r="Y5" s="460" t="e">
        <f>_xll.qlIndexFixing($U5,$P5,TRUE,$W5)</f>
        <v>#NUM!</v>
      </c>
      <c r="Z5" s="459">
        <f>IF(ISERROR(X5),0,ABS(X5))</f>
        <v>0</v>
      </c>
      <c r="AA5" s="440"/>
      <c r="AB5" s="421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FedFund2#0001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21"/>
      <c r="M6" s="450"/>
      <c r="N6" s="458" t="s">
        <v>247</v>
      </c>
      <c r="O6" s="453" t="str">
        <f t="shared" si="0"/>
        <v>USDTNFSR=</v>
      </c>
      <c r="P6" s="457" t="s">
        <v>240</v>
      </c>
      <c r="Q6" s="456" t="s">
        <v>240</v>
      </c>
      <c r="R6" s="456" t="b">
        <f t="shared" si="1"/>
        <v>0</v>
      </c>
      <c r="S6" s="455" t="e">
        <f>IF($R6,_xll.qlIndexAddFixings($U6,$P6,$Q6/100,TRUE,ISERROR($V6)),NA())</f>
        <v>#N/A</v>
      </c>
      <c r="T6" s="445"/>
      <c r="U6" s="555" t="str">
        <f t="shared" si="2"/>
        <v>UsdLiborTN</v>
      </c>
      <c r="V6" s="453" t="e">
        <f>_xll.qlIndexFixing($U6,$P6,TRUE,$R6)</f>
        <v>#NUM!</v>
      </c>
      <c r="W6" s="453" t="e">
        <f>IF($S6,_xll.qlIndexFixing($U6,$P6,FALSE,$R6),"-")</f>
        <v>#N/A</v>
      </c>
      <c r="X6" s="453" t="e">
        <f t="shared" si="3"/>
        <v>#NUM!</v>
      </c>
      <c r="Y6" s="452" t="e">
        <f>_xll.qlIndexFixing($U6,$P6,TRUE,$W6)</f>
        <v>#NUM!</v>
      </c>
      <c r="Z6" s="451"/>
      <c r="AA6" s="440"/>
      <c r="AB6" s="421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FedFund#0001</v>
      </c>
      <c r="G7" s="25" t="str">
        <f>_xll.qlLastFixingQuote(E7&amp;"LastFixing_Quote",F7,Permanent,Trigger,ObjectOverwrite)</f>
        <v>FedFundLastFixing_Quote#0001</v>
      </c>
      <c r="H7" s="7" t="str">
        <f>_xll.ohRangeRetrieveError(F7)</f>
        <v/>
      </c>
      <c r="I7" s="7" t="str">
        <f>_xll.ohRangeRetrieveError(G7)</f>
        <v/>
      </c>
      <c r="J7" s="5"/>
      <c r="L7" s="421"/>
      <c r="M7" s="450"/>
      <c r="N7" s="458" t="s">
        <v>244</v>
      </c>
      <c r="O7" s="453" t="str">
        <f t="shared" si="0"/>
        <v>USDSNFSR=</v>
      </c>
      <c r="P7" s="457" t="s">
        <v>240</v>
      </c>
      <c r="Q7" s="456" t="s">
        <v>240</v>
      </c>
      <c r="R7" s="456" t="b">
        <f t="shared" si="1"/>
        <v>0</v>
      </c>
      <c r="S7" s="455" t="e">
        <f>IF($R7,_xll.qlIndexAddFixings($U7,$P7,$Q7/100,TRUE,ISERROR($V7)),NA())</f>
        <v>#N/A</v>
      </c>
      <c r="T7" s="445"/>
      <c r="U7" s="555" t="str">
        <f t="shared" si="2"/>
        <v>UsdLiborSN</v>
      </c>
      <c r="V7" s="453" t="e">
        <f>_xll.qlIndexFixing($U7,$P7,TRUE,$R7)</f>
        <v>#NUM!</v>
      </c>
      <c r="W7" s="453" t="e">
        <f>IF($S7,_xll.qlIndexFixing($U7,$P7,FALSE,$R7),"-")</f>
        <v>#N/A</v>
      </c>
      <c r="X7" s="453" t="e">
        <f t="shared" si="3"/>
        <v>#NUM!</v>
      </c>
      <c r="Y7" s="452" t="e">
        <f>_xll.qlIndexFixing($U7,$P7,TRUE,$W7)</f>
        <v>#NUM!</v>
      </c>
      <c r="Z7" s="451"/>
      <c r="AA7" s="440"/>
      <c r="AB7" s="421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UsdLiborSW#0001</v>
      </c>
      <c r="G8" s="25" t="str">
        <f>_xll.qlLastFixingQuote(E8&amp;"LastFixing_Quote",F8,Permanent,Trigger,ObjectOverwrite)</f>
        <v>UsdLiborSWLastFixing_Quote#0001</v>
      </c>
      <c r="H8" s="7" t="str">
        <f>_xll.ohRangeRetrieveError(F8)</f>
        <v/>
      </c>
      <c r="I8" s="7" t="str">
        <f>_xll.ohRangeRetrieveError(G8)</f>
        <v/>
      </c>
      <c r="J8" s="5"/>
      <c r="L8" s="421"/>
      <c r="M8" s="450"/>
      <c r="N8" s="458" t="s">
        <v>43</v>
      </c>
      <c r="O8" s="453" t="str">
        <f t="shared" si="0"/>
        <v>USDSWFSR=</v>
      </c>
      <c r="P8" s="457">
        <v>41570</v>
      </c>
      <c r="Q8" s="456">
        <v>0.1389</v>
      </c>
      <c r="R8" s="456" t="b">
        <f t="shared" si="1"/>
        <v>1</v>
      </c>
      <c r="S8" s="455" t="b">
        <f>IF($R8,_xll.qlIndexAddFixings($U8,$P8,$Q8/100,TRUE,ISERROR($V8)),NA())</f>
        <v>1</v>
      </c>
      <c r="T8" s="445"/>
      <c r="U8" s="454" t="str">
        <f>F8</f>
        <v>UsdLiborSW#0001</v>
      </c>
      <c r="V8" s="453">
        <f>_xll.qlIndexFixing($U8,$P8,TRUE,$R8)</f>
        <v>1.389E-3</v>
      </c>
      <c r="W8" s="453">
        <f>IF($S8,_xll.qlIndexFixing($U8,$P8,FALSE,$R8),"-")</f>
        <v>1.389E-3</v>
      </c>
      <c r="X8" s="453">
        <f t="shared" si="3"/>
        <v>0</v>
      </c>
      <c r="Y8" s="452">
        <f>_xll.qlIndexFixing($U8,$P8,TRUE,$W8)</f>
        <v>1.389E-3</v>
      </c>
      <c r="Z8" s="451">
        <f t="shared" ref="Z8:Z22" si="5">IF(ISERROR(X8),0,ABS(X8))</f>
        <v>0</v>
      </c>
      <c r="AA8" s="440"/>
      <c r="AB8" s="421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UsdLibor2W#0001</v>
      </c>
      <c r="G9" s="25" t="str">
        <f>_xll.qlLastFixingQuote(E9&amp;"LastFixing_Quote",F9,Permanent,Trigger,ObjectOverwrite)</f>
        <v>UsdLibor2WLastFixing_Quote#0001</v>
      </c>
      <c r="H9" s="7" t="str">
        <f>_xll.ohRangeRetrieveError(F9)</f>
        <v/>
      </c>
      <c r="I9" s="7" t="str">
        <f>_xll.ohRangeRetrieveError(G9)</f>
        <v/>
      </c>
      <c r="J9" s="5"/>
      <c r="L9" s="421"/>
      <c r="M9" s="450"/>
      <c r="N9" s="458" t="s">
        <v>42</v>
      </c>
      <c r="O9" s="453" t="str">
        <f t="shared" si="0"/>
        <v>USD2WFSR=</v>
      </c>
      <c r="P9" s="457">
        <v>41428</v>
      </c>
      <c r="Q9" s="456">
        <v>0</v>
      </c>
      <c r="R9" s="456" t="b">
        <f t="shared" si="1"/>
        <v>0</v>
      </c>
      <c r="S9" s="455" t="e">
        <f>IF($R9,_xll.qlIndexAddFixings($U9,$P9,$Q9/100,TRUE,ISERROR($V9)),NA())</f>
        <v>#N/A</v>
      </c>
      <c r="T9" s="445"/>
      <c r="U9" s="454" t="str">
        <f t="shared" ref="U9:U22" si="6">F9</f>
        <v>UsdLibor2W#0001</v>
      </c>
      <c r="V9" s="453" t="e">
        <f>_xll.qlIndexFixing($U9,$P9,TRUE,$R9)</f>
        <v>#NUM!</v>
      </c>
      <c r="W9" s="453" t="e">
        <f>IF($S9,_xll.qlIndexFixing($U9,$P9,FALSE,$R9),"-")</f>
        <v>#N/A</v>
      </c>
      <c r="X9" s="453" t="e">
        <f t="shared" si="3"/>
        <v>#NUM!</v>
      </c>
      <c r="Y9" s="452" t="e">
        <f>_xll.qlIndexFixing($U9,$P9,TRUE,$W9)</f>
        <v>#NUM!</v>
      </c>
      <c r="Z9" s="451">
        <f t="shared" si="5"/>
        <v>0</v>
      </c>
      <c r="AA9" s="440"/>
      <c r="AB9" s="421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UsdLibor3W#0001</v>
      </c>
      <c r="G10" s="25" t="str">
        <f>_xll.qlLastFixingQuote(E10&amp;"LastFixing_Quote",F10,Permanent,Trigger,ObjectOverwrite)</f>
        <v>UsdLibor3WLastFixing_Quote#0001</v>
      </c>
      <c r="H10" s="7" t="str">
        <f>_xll.ohRangeRetrieveError(F10)</f>
        <v/>
      </c>
      <c r="I10" s="7" t="str">
        <f>_xll.ohRangeRetrieveError(G10)</f>
        <v/>
      </c>
      <c r="J10" s="5"/>
      <c r="L10" s="421"/>
      <c r="M10" s="450"/>
      <c r="N10" s="458" t="s">
        <v>41</v>
      </c>
      <c r="O10" s="453" t="str">
        <f t="shared" si="0"/>
        <v>USD3WFSR=</v>
      </c>
      <c r="P10" s="457" t="s">
        <v>240</v>
      </c>
      <c r="Q10" s="456" t="s">
        <v>240</v>
      </c>
      <c r="R10" s="456" t="b">
        <f t="shared" si="1"/>
        <v>0</v>
      </c>
      <c r="S10" s="455" t="e">
        <f>IF($R10,_xll.qlIndexAddFixings($U10,$P10,$Q10/100,TRUE,ISERROR($V10)),NA())</f>
        <v>#N/A</v>
      </c>
      <c r="T10" s="445"/>
      <c r="U10" s="454" t="str">
        <f t="shared" si="6"/>
        <v>UsdLibor3W#0001</v>
      </c>
      <c r="V10" s="453" t="e">
        <f>_xll.qlIndexFixing($U10,$P10,TRUE,$R10)</f>
        <v>#NUM!</v>
      </c>
      <c r="W10" s="453" t="e">
        <f>IF($S10,_xll.qlIndexFixing($U10,$P10,FALSE,$R10),"-")</f>
        <v>#N/A</v>
      </c>
      <c r="X10" s="453" t="e">
        <f t="shared" si="3"/>
        <v>#NUM!</v>
      </c>
      <c r="Y10" s="452" t="e">
        <f>_xll.qlIndexFixing($U10,$P10,TRUE,$W10)</f>
        <v>#NUM!</v>
      </c>
      <c r="Z10" s="451">
        <f t="shared" si="5"/>
        <v>0</v>
      </c>
      <c r="AA10" s="440"/>
      <c r="AB10" s="421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UsdLibor1M#0001</v>
      </c>
      <c r="G11" s="25" t="str">
        <f>_xll.qlLastFixingQuote(E11&amp;"LastFixing_Quote",F11,Permanent,Trigger,ObjectOverwrite)</f>
        <v>UsdLibor1MLastFixing_Quote#0001</v>
      </c>
      <c r="H11" s="7" t="str">
        <f>_xll.ohRangeRetrieveError(F11)</f>
        <v/>
      </c>
      <c r="I11" s="7" t="str">
        <f>_xll.ohRangeRetrieveError(G11)</f>
        <v/>
      </c>
      <c r="J11" s="5"/>
      <c r="L11" s="421"/>
      <c r="M11" s="450"/>
      <c r="N11" s="458" t="s">
        <v>40</v>
      </c>
      <c r="O11" s="453" t="str">
        <f t="shared" si="0"/>
        <v>USD1MFSR=</v>
      </c>
      <c r="P11" s="457">
        <v>41570</v>
      </c>
      <c r="Q11" s="456">
        <v>0.17019999999999999</v>
      </c>
      <c r="R11" s="456" t="b">
        <f t="shared" si="1"/>
        <v>1</v>
      </c>
      <c r="S11" s="455" t="b">
        <f>IF($R11,_xll.qlIndexAddFixings($U11,$P11,$Q11/100,TRUE,ISERROR($V11)),NA())</f>
        <v>1</v>
      </c>
      <c r="T11" s="445"/>
      <c r="U11" s="454" t="str">
        <f t="shared" si="6"/>
        <v>UsdLibor1M#0001</v>
      </c>
      <c r="V11" s="453">
        <f>_xll.qlIndexFixing($U11,$P11,TRUE,$R11)</f>
        <v>1.702E-3</v>
      </c>
      <c r="W11" s="453">
        <f>IF($S11,_xll.qlIndexFixing($U11,$P11,FALSE,$R11),"-")</f>
        <v>1.702E-3</v>
      </c>
      <c r="X11" s="453">
        <f t="shared" si="3"/>
        <v>0</v>
      </c>
      <c r="Y11" s="452">
        <f>_xll.qlIndexFixing($U11,$P11,TRUE,$W11)</f>
        <v>1.702E-3</v>
      </c>
      <c r="Z11" s="451">
        <f t="shared" si="5"/>
        <v>0</v>
      </c>
      <c r="AA11" s="440"/>
      <c r="AB11" s="421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UsdLibor2M#0001</v>
      </c>
      <c r="G12" s="25" t="str">
        <f>_xll.qlLastFixingQuote(E12&amp;"LastFixing_Quote",F12,Permanent,Trigger,ObjectOverwrite)</f>
        <v>UsdLibor2MLastFixing_Quote#0001</v>
      </c>
      <c r="H12" s="7" t="str">
        <f>_xll.ohRangeRetrieveError(F12)</f>
        <v/>
      </c>
      <c r="I12" s="7" t="str">
        <f>_xll.ohRangeRetrieveError(G12)</f>
        <v/>
      </c>
      <c r="J12" s="5"/>
      <c r="L12" s="421"/>
      <c r="M12" s="450"/>
      <c r="N12" s="458" t="s">
        <v>39</v>
      </c>
      <c r="O12" s="453" t="str">
        <f t="shared" si="0"/>
        <v>USD2MFSR=</v>
      </c>
      <c r="P12" s="457">
        <v>41570</v>
      </c>
      <c r="Q12" s="456">
        <v>0.20974999999999999</v>
      </c>
      <c r="R12" s="456" t="b">
        <f t="shared" si="1"/>
        <v>1</v>
      </c>
      <c r="S12" s="455" t="b">
        <f>IF($R12,_xll.qlIndexAddFixings($U12,$P12,$Q12/100,TRUE,ISERROR($V12)),NA())</f>
        <v>1</v>
      </c>
      <c r="T12" s="445"/>
      <c r="U12" s="454" t="str">
        <f t="shared" si="6"/>
        <v>UsdLibor2M#0001</v>
      </c>
      <c r="V12" s="453">
        <f>_xll.qlIndexFixing($U12,$P12,TRUE,$R12)</f>
        <v>2.0975E-3</v>
      </c>
      <c r="W12" s="453">
        <f>IF($S12,_xll.qlIndexFixing($U12,$P12,FALSE,$R12),"-")</f>
        <v>2.0975E-3</v>
      </c>
      <c r="X12" s="453">
        <f t="shared" si="3"/>
        <v>0</v>
      </c>
      <c r="Y12" s="452">
        <f>_xll.qlIndexFixing($U12,$P12,TRUE,$W12)</f>
        <v>2.0975E-3</v>
      </c>
      <c r="Z12" s="451">
        <f t="shared" si="5"/>
        <v>0</v>
      </c>
      <c r="AA12" s="440"/>
      <c r="AB12" s="421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UsdLibor3M#0001</v>
      </c>
      <c r="G13" s="25" t="str">
        <f>_xll.qlLastFixingQuote(E13&amp;"LastFixing_Quote",F13,Permanent,Trigger,ObjectOverwrite)</f>
        <v>UsdLibor3MLastFixing_Quote#0001</v>
      </c>
      <c r="H13" s="7" t="str">
        <f>_xll.ohRangeRetrieveError(F13)</f>
        <v/>
      </c>
      <c r="I13" s="7" t="str">
        <f>_xll.ohRangeRetrieveError(G13)</f>
        <v/>
      </c>
      <c r="J13" s="5"/>
      <c r="L13" s="421"/>
      <c r="M13" s="450"/>
      <c r="N13" s="458" t="s">
        <v>38</v>
      </c>
      <c r="O13" s="453" t="str">
        <f t="shared" si="0"/>
        <v>USD3MFSR=</v>
      </c>
      <c r="P13" s="457">
        <v>41570</v>
      </c>
      <c r="Q13" s="456">
        <v>0.23835000000000001</v>
      </c>
      <c r="R13" s="456" t="b">
        <f t="shared" si="1"/>
        <v>1</v>
      </c>
      <c r="S13" s="455" t="b">
        <f>IF($R13,_xll.qlIndexAddFixings($U13,$P13,$Q13/100,TRUE,ISERROR($V13)),NA())</f>
        <v>1</v>
      </c>
      <c r="T13" s="445"/>
      <c r="U13" s="454" t="str">
        <f t="shared" si="6"/>
        <v>UsdLibor3M#0001</v>
      </c>
      <c r="V13" s="453">
        <f>_xll.qlIndexFixing($U13,$P13,TRUE,$R13)</f>
        <v>2.3835000000000002E-3</v>
      </c>
      <c r="W13" s="453">
        <f>IF($S13,_xll.qlIndexFixing($U13,$P13,FALSE,$R13),"-")</f>
        <v>2.3835000000000002E-3</v>
      </c>
      <c r="X13" s="453">
        <f t="shared" si="3"/>
        <v>0</v>
      </c>
      <c r="Y13" s="452">
        <f>_xll.qlIndexFixing($U13,$P13,TRUE,$W13)</f>
        <v>2.3835000000000002E-3</v>
      </c>
      <c r="Z13" s="451">
        <f t="shared" si="5"/>
        <v>0</v>
      </c>
      <c r="AA13" s="440"/>
      <c r="AB13" s="421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UsdLibor4M#0001</v>
      </c>
      <c r="G14" s="25" t="str">
        <f>_xll.qlLastFixingQuote(E14&amp;"LastFixing_Quote",F14,Permanent,Trigger,ObjectOverwrite)</f>
        <v>UsdLibor4MLastFixing_Quote#0001</v>
      </c>
      <c r="H14" s="7" t="str">
        <f>_xll.ohRangeRetrieveError(F14)</f>
        <v/>
      </c>
      <c r="I14" s="7" t="str">
        <f>_xll.ohRangeRetrieveError(G14)</f>
        <v/>
      </c>
      <c r="J14" s="5"/>
      <c r="L14" s="421"/>
      <c r="M14" s="450"/>
      <c r="N14" s="458" t="s">
        <v>37</v>
      </c>
      <c r="O14" s="453" t="str">
        <f t="shared" si="0"/>
        <v>USD4MFSR=</v>
      </c>
      <c r="P14" s="457">
        <v>41428</v>
      </c>
      <c r="Q14" s="456">
        <v>0</v>
      </c>
      <c r="R14" s="456" t="b">
        <f t="shared" si="1"/>
        <v>0</v>
      </c>
      <c r="S14" s="455" t="e">
        <f>IF($R14,_xll.qlIndexAddFixings($U14,$P14,$Q14/100,TRUE,ISERROR($V14)),NA())</f>
        <v>#N/A</v>
      </c>
      <c r="T14" s="445"/>
      <c r="U14" s="454" t="str">
        <f t="shared" si="6"/>
        <v>UsdLibor4M#0001</v>
      </c>
      <c r="V14" s="453" t="e">
        <f>_xll.qlIndexFixing($U14,$P14,TRUE,$R14)</f>
        <v>#NUM!</v>
      </c>
      <c r="W14" s="453" t="e">
        <f>IF($S14,_xll.qlIndexFixing($U14,$P14,FALSE,$R14),"-")</f>
        <v>#N/A</v>
      </c>
      <c r="X14" s="453" t="e">
        <f t="shared" si="3"/>
        <v>#NUM!</v>
      </c>
      <c r="Y14" s="452" t="e">
        <f>_xll.qlIndexFixing($U14,$P14,TRUE,$W14)</f>
        <v>#NUM!</v>
      </c>
      <c r="Z14" s="451">
        <f t="shared" si="5"/>
        <v>0</v>
      </c>
      <c r="AA14" s="440"/>
      <c r="AB14" s="421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UsdLibor5M#0001</v>
      </c>
      <c r="G15" s="25" t="str">
        <f>_xll.qlLastFixingQuote(E15&amp;"LastFixing_Quote",F15,Permanent,Trigger,ObjectOverwrite)</f>
        <v>UsdLibor5MLastFixing_Quote#0001</v>
      </c>
      <c r="H15" s="7" t="str">
        <f>_xll.ohRangeRetrieveError(F15)</f>
        <v/>
      </c>
      <c r="I15" s="7" t="str">
        <f>_xll.ohRangeRetrieveError(G15)</f>
        <v/>
      </c>
      <c r="J15" s="5"/>
      <c r="L15" s="421"/>
      <c r="M15" s="450"/>
      <c r="N15" s="458" t="s">
        <v>36</v>
      </c>
      <c r="O15" s="453" t="str">
        <f t="shared" si="0"/>
        <v>USD5MFSR=</v>
      </c>
      <c r="P15" s="457">
        <v>41428</v>
      </c>
      <c r="Q15" s="456">
        <v>0</v>
      </c>
      <c r="R15" s="456" t="b">
        <f t="shared" si="1"/>
        <v>0</v>
      </c>
      <c r="S15" s="455" t="e">
        <f>IF($R15,_xll.qlIndexAddFixings($U15,$P15,$Q15/100,TRUE,ISERROR($V15)),NA())</f>
        <v>#N/A</v>
      </c>
      <c r="T15" s="445"/>
      <c r="U15" s="454" t="str">
        <f t="shared" si="6"/>
        <v>UsdLibor5M#0001</v>
      </c>
      <c r="V15" s="453" t="e">
        <f>_xll.qlIndexFixing($U15,$P15,TRUE,$R15)</f>
        <v>#NUM!</v>
      </c>
      <c r="W15" s="453" t="e">
        <f>IF($S15,_xll.qlIndexFixing($U15,$P15,FALSE,$R15),"-")</f>
        <v>#N/A</v>
      </c>
      <c r="X15" s="453" t="e">
        <f t="shared" si="3"/>
        <v>#NUM!</v>
      </c>
      <c r="Y15" s="452" t="e">
        <f>_xll.qlIndexFixing($U15,$P15,TRUE,$W15)</f>
        <v>#NUM!</v>
      </c>
      <c r="Z15" s="451">
        <f t="shared" si="5"/>
        <v>0</v>
      </c>
      <c r="AA15" s="440"/>
      <c r="AB15" s="421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UsdLibor6M#0001</v>
      </c>
      <c r="G16" s="25" t="str">
        <f>_xll.qlLastFixingQuote(E16&amp;"LastFixing_Quote",F16,Permanent,Trigger,ObjectOverwrite)</f>
        <v>UsdLibor6MLastFixing_Quote#0001</v>
      </c>
      <c r="H16" s="7" t="str">
        <f>_xll.ohRangeRetrieveError(F16)</f>
        <v/>
      </c>
      <c r="I16" s="7" t="str">
        <f>_xll.ohRangeRetrieveError(G16)</f>
        <v/>
      </c>
      <c r="J16" s="5"/>
      <c r="L16" s="421"/>
      <c r="M16" s="450"/>
      <c r="N16" s="458" t="s">
        <v>35</v>
      </c>
      <c r="O16" s="453" t="str">
        <f t="shared" si="0"/>
        <v>USD6MFSR=</v>
      </c>
      <c r="P16" s="457">
        <v>41570</v>
      </c>
      <c r="Q16" s="456">
        <v>0.35570000000000002</v>
      </c>
      <c r="R16" s="456" t="b">
        <f t="shared" si="1"/>
        <v>1</v>
      </c>
      <c r="S16" s="455" t="b">
        <f>IF($R16,_xll.qlIndexAddFixings($U16,$P16,$Q16/100,TRUE,ISERROR($V16)),NA())</f>
        <v>1</v>
      </c>
      <c r="T16" s="445"/>
      <c r="U16" s="454" t="str">
        <f t="shared" si="6"/>
        <v>UsdLibor6M#0001</v>
      </c>
      <c r="V16" s="453">
        <f>_xll.qlIndexFixing($U16,$P16,TRUE,$R16)</f>
        <v>3.5570000000000003E-3</v>
      </c>
      <c r="W16" s="453">
        <f>IF($S16,_xll.qlIndexFixing($U16,$P16,FALSE,$R16),"-")</f>
        <v>3.5570000000000003E-3</v>
      </c>
      <c r="X16" s="453">
        <f t="shared" si="3"/>
        <v>0</v>
      </c>
      <c r="Y16" s="452">
        <f>_xll.qlIndexFixing($U16,$P16,TRUE,$W16)</f>
        <v>3.5570000000000003E-3</v>
      </c>
      <c r="Z16" s="451">
        <f t="shared" si="5"/>
        <v>0</v>
      </c>
      <c r="AA16" s="440"/>
      <c r="AB16" s="421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UsdLibor7M#0001</v>
      </c>
      <c r="G17" s="25" t="str">
        <f>_xll.qlLastFixingQuote(E17&amp;"LastFixing_Quote",F17,Permanent,Trigger,ObjectOverwrite)</f>
        <v>UsdLibor7MLastFixing_Quote#0001</v>
      </c>
      <c r="H17" s="7" t="str">
        <f>_xll.ohRangeRetrieveError(F17)</f>
        <v/>
      </c>
      <c r="I17" s="7" t="str">
        <f>_xll.ohRangeRetrieveError(G17)</f>
        <v/>
      </c>
      <c r="J17" s="5"/>
      <c r="L17" s="421"/>
      <c r="M17" s="450"/>
      <c r="N17" s="458" t="s">
        <v>34</v>
      </c>
      <c r="O17" s="453" t="str">
        <f t="shared" si="0"/>
        <v>USD7MFSR=</v>
      </c>
      <c r="P17" s="457">
        <v>41428</v>
      </c>
      <c r="Q17" s="456">
        <v>0</v>
      </c>
      <c r="R17" s="456" t="b">
        <f t="shared" si="1"/>
        <v>0</v>
      </c>
      <c r="S17" s="455" t="e">
        <f>IF($R17,_xll.qlIndexAddFixings($U17,$P17,$Q17/100,TRUE,ISERROR($V17)),NA())</f>
        <v>#N/A</v>
      </c>
      <c r="T17" s="445"/>
      <c r="U17" s="454" t="str">
        <f t="shared" si="6"/>
        <v>UsdLibor7M#0001</v>
      </c>
      <c r="V17" s="453" t="e">
        <f>_xll.qlIndexFixing($U17,$P17,TRUE,$R17)</f>
        <v>#NUM!</v>
      </c>
      <c r="W17" s="453" t="e">
        <f>IF($S17,_xll.qlIndexFixing($U17,$P17,FALSE,$R17),"-")</f>
        <v>#N/A</v>
      </c>
      <c r="X17" s="453" t="e">
        <f t="shared" si="3"/>
        <v>#NUM!</v>
      </c>
      <c r="Y17" s="452" t="e">
        <f>_xll.qlIndexFixing($U17,$P17,TRUE,$W17)</f>
        <v>#NUM!</v>
      </c>
      <c r="Z17" s="451">
        <f t="shared" si="5"/>
        <v>0</v>
      </c>
      <c r="AA17" s="440"/>
      <c r="AB17" s="421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UsdLibor8M#0001</v>
      </c>
      <c r="G18" s="25" t="str">
        <f>_xll.qlLastFixingQuote(E18&amp;"LastFixing_Quote",F18,Permanent,Trigger,ObjectOverwrite)</f>
        <v>UsdLibor8MLastFixing_Quote#0001</v>
      </c>
      <c r="H18" s="7" t="str">
        <f>_xll.ohRangeRetrieveError(F18)</f>
        <v/>
      </c>
      <c r="I18" s="7" t="str">
        <f>_xll.ohRangeRetrieveError(G18)</f>
        <v/>
      </c>
      <c r="J18" s="5"/>
      <c r="L18" s="421"/>
      <c r="M18" s="450"/>
      <c r="N18" s="458" t="s">
        <v>33</v>
      </c>
      <c r="O18" s="453" t="str">
        <f t="shared" si="0"/>
        <v>USD8MFSR=</v>
      </c>
      <c r="P18" s="457">
        <v>41428</v>
      </c>
      <c r="Q18" s="456">
        <v>0</v>
      </c>
      <c r="R18" s="456" t="b">
        <f t="shared" si="1"/>
        <v>0</v>
      </c>
      <c r="S18" s="455" t="e">
        <f>IF($R18,_xll.qlIndexAddFixings($U18,$P18,$Q18/100,TRUE,ISERROR($V18)),NA())</f>
        <v>#N/A</v>
      </c>
      <c r="T18" s="445"/>
      <c r="U18" s="454" t="str">
        <f t="shared" si="6"/>
        <v>UsdLibor8M#0001</v>
      </c>
      <c r="V18" s="453" t="e">
        <f>_xll.qlIndexFixing($U18,$P18,TRUE,$R18)</f>
        <v>#NUM!</v>
      </c>
      <c r="W18" s="453" t="e">
        <f>IF($S18,_xll.qlIndexFixing($U18,$P18,FALSE,$R18),"-")</f>
        <v>#N/A</v>
      </c>
      <c r="X18" s="453" t="e">
        <f t="shared" si="3"/>
        <v>#NUM!</v>
      </c>
      <c r="Y18" s="452" t="e">
        <f>_xll.qlIndexFixing($U18,$P18,TRUE,$W18)</f>
        <v>#NUM!</v>
      </c>
      <c r="Z18" s="451">
        <f t="shared" si="5"/>
        <v>0</v>
      </c>
      <c r="AA18" s="440"/>
      <c r="AB18" s="421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UsdLibor9M#0001</v>
      </c>
      <c r="G19" s="25" t="str">
        <f>_xll.qlLastFixingQuote(E19&amp;"LastFixing_Quote",F19,Permanent,Trigger,ObjectOverwrite)</f>
        <v>UsdLibor9MLastFixing_Quote#0001</v>
      </c>
      <c r="H19" s="7" t="str">
        <f>_xll.ohRangeRetrieveError(F19)</f>
        <v/>
      </c>
      <c r="I19" s="7" t="str">
        <f>_xll.ohRangeRetrieveError(G19)</f>
        <v/>
      </c>
      <c r="J19" s="5"/>
      <c r="L19" s="421"/>
      <c r="M19" s="450"/>
      <c r="N19" s="458" t="s">
        <v>32</v>
      </c>
      <c r="O19" s="453" t="str">
        <f t="shared" si="0"/>
        <v>USD9MFSR=</v>
      </c>
      <c r="P19" s="457">
        <v>41428</v>
      </c>
      <c r="Q19" s="456">
        <v>0</v>
      </c>
      <c r="R19" s="456" t="b">
        <f t="shared" si="1"/>
        <v>0</v>
      </c>
      <c r="S19" s="455" t="e">
        <f>IF($R19,_xll.qlIndexAddFixings($U19,$P19,$Q19/100,TRUE,ISERROR($V19)),NA())</f>
        <v>#N/A</v>
      </c>
      <c r="T19" s="445"/>
      <c r="U19" s="454" t="str">
        <f t="shared" si="6"/>
        <v>UsdLibor9M#0001</v>
      </c>
      <c r="V19" s="453" t="e">
        <f>_xll.qlIndexFixing($U19,$P19,TRUE,$R19)</f>
        <v>#NUM!</v>
      </c>
      <c r="W19" s="453" t="e">
        <f>IF($S19,_xll.qlIndexFixing($U19,$P19,FALSE,$R19),"-")</f>
        <v>#N/A</v>
      </c>
      <c r="X19" s="453" t="e">
        <f t="shared" si="3"/>
        <v>#NUM!</v>
      </c>
      <c r="Y19" s="452" t="e">
        <f>_xll.qlIndexFixing($U19,$P19,TRUE,$W19)</f>
        <v>#NUM!</v>
      </c>
      <c r="Z19" s="451">
        <f t="shared" si="5"/>
        <v>0</v>
      </c>
      <c r="AA19" s="440"/>
      <c r="AB19" s="421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UsdLibor10M#0001</v>
      </c>
      <c r="G20" s="25" t="str">
        <f>_xll.qlLastFixingQuote(E20&amp;"LastFixing_Quote",F20,Permanent,Trigger,ObjectOverwrite)</f>
        <v>UsdLibor10MLastFixing_Quote#0001</v>
      </c>
      <c r="H20" s="7" t="str">
        <f>_xll.ohRangeRetrieveError(F20)</f>
        <v/>
      </c>
      <c r="I20" s="7" t="str">
        <f>_xll.ohRangeRetrieveError(G20)</f>
        <v/>
      </c>
      <c r="J20" s="5"/>
      <c r="L20" s="421"/>
      <c r="M20" s="450"/>
      <c r="N20" s="458" t="s">
        <v>31</v>
      </c>
      <c r="O20" s="453" t="str">
        <f t="shared" si="0"/>
        <v>USD10MFSR=</v>
      </c>
      <c r="P20" s="457">
        <v>41428</v>
      </c>
      <c r="Q20" s="456">
        <v>0</v>
      </c>
      <c r="R20" s="456" t="b">
        <f t="shared" si="1"/>
        <v>0</v>
      </c>
      <c r="S20" s="455" t="e">
        <f>IF($R20,_xll.qlIndexAddFixings($U20,$P20,$Q20/100,TRUE,ISERROR($V20)),NA())</f>
        <v>#N/A</v>
      </c>
      <c r="T20" s="445"/>
      <c r="U20" s="454" t="str">
        <f t="shared" si="6"/>
        <v>UsdLibor10M#0001</v>
      </c>
      <c r="V20" s="453" t="e">
        <f>_xll.qlIndexFixing($U20,$P20,TRUE,$R20)</f>
        <v>#NUM!</v>
      </c>
      <c r="W20" s="453" t="e">
        <f>IF($S20,_xll.qlIndexFixing($U20,$P20,FALSE,$R20),"-")</f>
        <v>#N/A</v>
      </c>
      <c r="X20" s="453" t="e">
        <f t="shared" si="3"/>
        <v>#NUM!</v>
      </c>
      <c r="Y20" s="452" t="e">
        <f>_xll.qlIndexFixing($U20,$P20,TRUE,$W20)</f>
        <v>#NUM!</v>
      </c>
      <c r="Z20" s="451">
        <f t="shared" si="5"/>
        <v>0</v>
      </c>
      <c r="AA20" s="440"/>
      <c r="AB20" s="421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UsdLibor11M#0001</v>
      </c>
      <c r="G21" s="25" t="str">
        <f>_xll.qlLastFixingQuote(E21&amp;"LastFixing_Quote",F21,Permanent,Trigger,ObjectOverwrite)</f>
        <v>UsdLibor11MLastFixing_Quote#0001</v>
      </c>
      <c r="H21" s="7" t="str">
        <f>_xll.ohRangeRetrieveError(F21)</f>
        <v/>
      </c>
      <c r="I21" s="7" t="str">
        <f>_xll.ohRangeRetrieveError(G21)</f>
        <v/>
      </c>
      <c r="J21" s="5"/>
      <c r="L21" s="421"/>
      <c r="M21" s="450"/>
      <c r="N21" s="458" t="s">
        <v>30</v>
      </c>
      <c r="O21" s="453" t="str">
        <f t="shared" si="0"/>
        <v>USD11MFSR=</v>
      </c>
      <c r="P21" s="457">
        <v>41428</v>
      </c>
      <c r="Q21" s="456">
        <v>0</v>
      </c>
      <c r="R21" s="456" t="b">
        <f t="shared" si="1"/>
        <v>0</v>
      </c>
      <c r="S21" s="455" t="e">
        <f>IF($R21,_xll.qlIndexAddFixings($U21,$P21,$Q21/100,TRUE,ISERROR($V21)),NA())</f>
        <v>#N/A</v>
      </c>
      <c r="T21" s="445"/>
      <c r="U21" s="454" t="str">
        <f t="shared" si="6"/>
        <v>UsdLibor11M#0001</v>
      </c>
      <c r="V21" s="453" t="e">
        <f>_xll.qlIndexFixing($U21,$P21,TRUE,$R21)</f>
        <v>#NUM!</v>
      </c>
      <c r="W21" s="453" t="e">
        <f>IF($S21,_xll.qlIndexFixing($U21,$P21,FALSE,$R21),"-")</f>
        <v>#N/A</v>
      </c>
      <c r="X21" s="453" t="e">
        <f t="shared" si="3"/>
        <v>#NUM!</v>
      </c>
      <c r="Y21" s="452" t="e">
        <f>_xll.qlIndexFixing($U21,$P21,TRUE,$W21)</f>
        <v>#NUM!</v>
      </c>
      <c r="Z21" s="451">
        <f t="shared" si="5"/>
        <v>0</v>
      </c>
      <c r="AA21" s="440"/>
      <c r="AB21" s="421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UsdLibor1Y#0001</v>
      </c>
      <c r="G22" s="25" t="str">
        <f>_xll.qlLastFixingQuote(E22&amp;"LastFixing_Quote",F22,Permanent,Trigger,ObjectOverwrite)</f>
        <v>UsdLibor1YLastFixing_Quote#0001</v>
      </c>
      <c r="H22" s="7" t="str">
        <f>_xll.ohRangeRetrieveError(F22)</f>
        <v/>
      </c>
      <c r="I22" s="7" t="str">
        <f>_xll.ohRangeRetrieveError(G22)</f>
        <v/>
      </c>
      <c r="J22" s="5"/>
      <c r="L22" s="421"/>
      <c r="M22" s="450"/>
      <c r="N22" s="449" t="s">
        <v>29</v>
      </c>
      <c r="O22" s="443" t="str">
        <f t="shared" si="0"/>
        <v>USD1YFSR=</v>
      </c>
      <c r="P22" s="448">
        <v>41570</v>
      </c>
      <c r="Q22" s="447">
        <v>0.60860000000000003</v>
      </c>
      <c r="R22" s="447" t="b">
        <f t="shared" si="1"/>
        <v>1</v>
      </c>
      <c r="S22" s="446" t="b">
        <f>IF($R22,_xll.qlIndexAddFixings($U22,$P22,$Q22/100,TRUE,ISERROR($V22)),NA())</f>
        <v>1</v>
      </c>
      <c r="T22" s="445"/>
      <c r="U22" s="444" t="str">
        <f t="shared" si="6"/>
        <v>UsdLibor1Y#0001</v>
      </c>
      <c r="V22" s="443">
        <f>_xll.qlIndexFixing($U22,$P22,TRUE,$R22)</f>
        <v>6.0860000000000003E-3</v>
      </c>
      <c r="W22" s="443">
        <f>IF($S22,_xll.qlIndexFixing($U22,$P22,FALSE,$R22),"-")</f>
        <v>6.0860000000000003E-3</v>
      </c>
      <c r="X22" s="443">
        <f t="shared" si="3"/>
        <v>0</v>
      </c>
      <c r="Y22" s="442">
        <f>_xll.qlIndexFixing($U22,$P22,TRUE,$W22)</f>
        <v>6.0860000000000003E-3</v>
      </c>
      <c r="Z22" s="441">
        <f t="shared" si="5"/>
        <v>0</v>
      </c>
      <c r="AA22" s="440"/>
      <c r="AB22" s="421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21"/>
      <c r="M23" s="439"/>
      <c r="N23" s="436"/>
      <c r="O23" s="436"/>
      <c r="P23" s="438"/>
      <c r="Q23" s="437"/>
      <c r="R23" s="437"/>
      <c r="S23" s="436"/>
      <c r="T23" s="436"/>
      <c r="U23" s="436"/>
      <c r="V23" s="436"/>
      <c r="W23" s="436"/>
      <c r="X23" s="436"/>
      <c r="Y23" s="436"/>
      <c r="Z23" s="436"/>
      <c r="AA23" s="435"/>
      <c r="AB23" s="421"/>
    </row>
    <row r="24" spans="2:28" s="24" customFormat="1" ht="12" thickBot="1" x14ac:dyDescent="0.25">
      <c r="L24" s="421"/>
      <c r="M24" s="421"/>
      <c r="N24" s="421"/>
      <c r="O24" s="421"/>
      <c r="P24" s="434"/>
      <c r="Q24" s="433"/>
      <c r="R24" s="433"/>
      <c r="S24" s="421"/>
      <c r="T24" s="421"/>
      <c r="U24" s="421"/>
      <c r="V24" s="421"/>
      <c r="W24" s="421"/>
      <c r="X24" s="421"/>
      <c r="Y24" s="421"/>
      <c r="Z24" s="421"/>
      <c r="AA24" s="421"/>
      <c r="AB24" s="421"/>
    </row>
    <row r="25" spans="2:28" x14ac:dyDescent="0.2">
      <c r="L25" s="421"/>
      <c r="M25" s="421"/>
      <c r="N25" s="432" t="s">
        <v>131</v>
      </c>
      <c r="O25" s="431" t="s">
        <v>246</v>
      </c>
      <c r="P25" s="430" t="s">
        <v>48</v>
      </c>
      <c r="Q25" s="429"/>
      <c r="R25" s="421"/>
      <c r="S25" s="421"/>
      <c r="T25" s="421"/>
      <c r="U25" s="421"/>
      <c r="V25" s="421"/>
      <c r="W25" s="421"/>
      <c r="X25" s="421"/>
      <c r="Y25" s="421"/>
      <c r="Z25" s="421"/>
      <c r="AA25" s="421"/>
      <c r="AB25" s="421"/>
    </row>
    <row r="26" spans="2:28" x14ac:dyDescent="0.2">
      <c r="G26" s="1">
        <f>_xll.qlQuoteValue(G8)</f>
        <v>1.389E-3</v>
      </c>
      <c r="L26" s="421"/>
      <c r="M26" s="421"/>
      <c r="N26" s="427" t="s">
        <v>130</v>
      </c>
      <c r="O26" s="426" t="s">
        <v>246</v>
      </c>
      <c r="P26" s="425" t="s">
        <v>48</v>
      </c>
      <c r="Q26" s="421"/>
      <c r="R26" s="421"/>
      <c r="S26" s="421"/>
      <c r="T26" s="421"/>
      <c r="U26" s="428"/>
      <c r="V26" s="421"/>
      <c r="W26" s="421"/>
      <c r="X26" s="421"/>
      <c r="Y26" s="421"/>
      <c r="Z26" s="421"/>
      <c r="AA26" s="421"/>
      <c r="AB26" s="421"/>
    </row>
    <row r="27" spans="2:28" x14ac:dyDescent="0.2">
      <c r="L27" s="421"/>
      <c r="M27" s="421"/>
      <c r="N27" s="427" t="s">
        <v>309</v>
      </c>
      <c r="O27" s="426" t="s">
        <v>246</v>
      </c>
      <c r="P27" s="425" t="s">
        <v>48</v>
      </c>
      <c r="Q27" s="421"/>
      <c r="R27" s="421"/>
      <c r="S27" s="421"/>
      <c r="T27" s="421"/>
      <c r="U27" s="428"/>
      <c r="V27" s="421"/>
      <c r="W27" s="421"/>
      <c r="X27" s="421"/>
      <c r="Y27" s="421"/>
      <c r="Z27" s="421"/>
      <c r="AA27" s="421"/>
      <c r="AB27" s="421"/>
    </row>
    <row r="28" spans="2:28" x14ac:dyDescent="0.2">
      <c r="L28" s="421"/>
      <c r="M28" s="421"/>
      <c r="N28" s="427" t="s">
        <v>308</v>
      </c>
      <c r="O28" s="426" t="s">
        <v>246</v>
      </c>
      <c r="P28" s="425" t="s">
        <v>48</v>
      </c>
      <c r="Q28" s="421"/>
      <c r="R28" s="421"/>
      <c r="S28" s="421"/>
      <c r="T28" s="421"/>
      <c r="U28" s="428"/>
      <c r="V28" s="421"/>
      <c r="W28" s="421"/>
      <c r="X28" s="421"/>
      <c r="Y28" s="421"/>
      <c r="Z28" s="421"/>
      <c r="AA28" s="421"/>
      <c r="AB28" s="421"/>
    </row>
    <row r="29" spans="2:28" x14ac:dyDescent="0.2">
      <c r="L29" s="421"/>
      <c r="M29" s="421"/>
      <c r="N29" s="427" t="s">
        <v>127</v>
      </c>
      <c r="O29" s="426" t="s">
        <v>246</v>
      </c>
      <c r="P29" s="425" t="s">
        <v>48</v>
      </c>
      <c r="Q29" s="421"/>
      <c r="R29" s="421"/>
      <c r="S29" s="421"/>
      <c r="T29" s="421"/>
      <c r="U29" s="421"/>
      <c r="V29" s="421"/>
      <c r="W29" s="421"/>
      <c r="X29" s="421"/>
      <c r="Y29" s="421"/>
      <c r="Z29" s="421"/>
      <c r="AA29" s="421"/>
      <c r="AB29" s="421"/>
    </row>
    <row r="30" spans="2:28" x14ac:dyDescent="0.2">
      <c r="L30" s="421"/>
      <c r="M30" s="421"/>
      <c r="N30" s="427" t="s">
        <v>126</v>
      </c>
      <c r="O30" s="426" t="s">
        <v>246</v>
      </c>
      <c r="P30" s="425" t="s">
        <v>48</v>
      </c>
      <c r="Q30" s="421"/>
      <c r="R30" s="421"/>
      <c r="S30" s="421"/>
      <c r="T30" s="421"/>
      <c r="U30" s="421"/>
      <c r="V30" s="421"/>
      <c r="W30" s="421"/>
      <c r="X30" s="421"/>
      <c r="Y30" s="421"/>
      <c r="Z30" s="421"/>
      <c r="AA30" s="421"/>
      <c r="AB30" s="421"/>
    </row>
    <row r="31" spans="2:28" ht="13.5" thickBot="1" x14ac:dyDescent="0.25">
      <c r="L31" s="421"/>
      <c r="M31" s="421"/>
      <c r="N31" s="424" t="s">
        <v>121</v>
      </c>
      <c r="O31" s="423" t="s">
        <v>246</v>
      </c>
      <c r="P31" s="422" t="s">
        <v>48</v>
      </c>
      <c r="Q31" s="421"/>
      <c r="R31" s="421"/>
      <c r="S31" s="421"/>
      <c r="T31" s="421"/>
      <c r="U31" s="421"/>
      <c r="V31" s="421"/>
      <c r="W31" s="421"/>
      <c r="X31" s="421"/>
      <c r="Y31" s="421"/>
      <c r="Z31" s="421"/>
      <c r="AA31" s="421"/>
      <c r="AB31" s="421"/>
    </row>
    <row r="32" spans="2:28" x14ac:dyDescent="0.2">
      <c r="L32" s="421"/>
      <c r="M32" s="421"/>
      <c r="N32" s="421"/>
      <c r="O32" s="421"/>
      <c r="P32" s="421"/>
      <c r="Q32" s="421"/>
      <c r="R32" s="421"/>
      <c r="S32" s="421"/>
      <c r="T32" s="421"/>
      <c r="U32" s="421"/>
      <c r="V32" s="421"/>
      <c r="W32" s="421"/>
      <c r="X32" s="421"/>
      <c r="Y32" s="421"/>
      <c r="Z32" s="421"/>
      <c r="AA32" s="421"/>
      <c r="AB32" s="421"/>
    </row>
  </sheetData>
  <conditionalFormatting sqref="X5:X22">
    <cfRule type="cellIs" dxfId="38" priority="1" stopIfTrue="1" operator="greaterThan">
      <formula>0</formula>
    </cfRule>
    <cfRule type="cellIs" dxfId="37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495" t="s">
        <v>334</v>
      </c>
      <c r="K4" s="421"/>
      <c r="L4" s="421"/>
      <c r="M4" s="426"/>
      <c r="N4" s="434"/>
      <c r="O4" s="480"/>
      <c r="P4" s="480"/>
      <c r="Q4" s="421"/>
      <c r="R4" s="426"/>
      <c r="S4" s="421"/>
      <c r="T4" s="421"/>
      <c r="U4" s="421"/>
      <c r="V4" s="421"/>
      <c r="W4" s="421"/>
      <c r="X4" s="421"/>
      <c r="Y4" s="42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1"/>
      <c r="K5" s="479"/>
      <c r="L5" s="473"/>
      <c r="M5" s="478" t="str">
        <f>VLOOKUP(Currency,Traits,2,FALSE)</f>
        <v>SFIX</v>
      </c>
      <c r="N5" s="477"/>
      <c r="O5" s="476"/>
      <c r="P5" s="476"/>
      <c r="Q5" s="473"/>
      <c r="R5" s="473"/>
      <c r="S5" s="475" t="str">
        <f>VLOOKUP(Currency,Traits,3,FALSE)</f>
        <v>LiborSwapIsdaFixAm</v>
      </c>
      <c r="T5" s="473"/>
      <c r="U5" s="473"/>
      <c r="V5" s="474">
        <f>MAX(X7:X22)</f>
        <v>0</v>
      </c>
      <c r="W5" s="473"/>
      <c r="X5" s="473"/>
      <c r="Y5" s="47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1"/>
      <c r="K6" s="450"/>
      <c r="L6" s="470" t="s">
        <v>47</v>
      </c>
      <c r="M6" s="469" t="e">
        <f ca="1">_xll.RData(M7:M21,N6:O6,"RTFEED:IDN",,,N7)</f>
        <v>#NAME?</v>
      </c>
      <c r="N6" s="469" t="s">
        <v>316</v>
      </c>
      <c r="O6" s="469" t="s">
        <v>322</v>
      </c>
      <c r="P6" s="469" t="s">
        <v>315</v>
      </c>
      <c r="Q6" s="468" t="s">
        <v>314</v>
      </c>
      <c r="R6" s="471"/>
      <c r="S6" s="470" t="s">
        <v>257</v>
      </c>
      <c r="T6" s="469" t="s">
        <v>313</v>
      </c>
      <c r="U6" s="469" t="s">
        <v>312</v>
      </c>
      <c r="V6" s="469" t="s">
        <v>311</v>
      </c>
      <c r="W6" s="468" t="s">
        <v>310</v>
      </c>
      <c r="X6" s="467"/>
      <c r="Y6" s="440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UsdLiborSwapIsdaFixAm1Y#0001</v>
      </c>
      <c r="G7" s="48" t="str">
        <f>_xll.ohRangeRetrieveError(F7)</f>
        <v/>
      </c>
      <c r="H7" s="47"/>
      <c r="J7" s="421"/>
      <c r="K7" s="450"/>
      <c r="L7" s="466" t="s">
        <v>29</v>
      </c>
      <c r="M7" s="461" t="str">
        <f t="shared" ref="M7:M21" si="1">Currency&amp;$M$5&amp;$L7&amp;"="</f>
        <v>USDSFIX1Y=</v>
      </c>
      <c r="N7" s="465">
        <v>41570</v>
      </c>
      <c r="O7" s="464">
        <v>0.29699999999999999</v>
      </c>
      <c r="P7" s="464" t="b">
        <f t="shared" ref="P7:P21" si="2">IF(AND(ISNUMBER($O7),$O7&lt;&gt;0%),TRUE,FALSE)</f>
        <v>1</v>
      </c>
      <c r="Q7" s="463" t="b">
        <f>IF($P7,_xll.qlIndexAddFixings($S7,$N7,$O7/100,TRUE,ISERROR($T7)),NA())</f>
        <v>1</v>
      </c>
      <c r="R7" s="445"/>
      <c r="S7" s="462" t="str">
        <f t="shared" ref="S7:S21" si="3">PROPER(Currency)&amp;$S$5&amp;$L7</f>
        <v>UsdLiborSwapIsdaFixAm1Y</v>
      </c>
      <c r="T7" s="461" t="e">
        <f>_xll.qlIndexFixing($S7,$N7,TRUE,$P7)</f>
        <v>#NUM!</v>
      </c>
      <c r="U7" s="461">
        <f>IF($Q7,_xll.qlIndexFixing($S7,$N7,FALSE,$P7),"-")</f>
        <v>2.97E-3</v>
      </c>
      <c r="V7" s="461" t="e">
        <f t="shared" ref="V7:V21" si="4">T7-U7</f>
        <v>#NUM!</v>
      </c>
      <c r="W7" s="460">
        <f>_xll.qlIndexFixing($S7,$N7,TRUE,$U7)</f>
        <v>2.97E-3</v>
      </c>
      <c r="X7" s="484">
        <f t="shared" ref="X7:X21" si="5">IF(ISERROR(V7),0,ABS(V7))</f>
        <v>0</v>
      </c>
      <c r="Y7" s="440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UsdLiborSwapIsdaFixAm2Y#0001</v>
      </c>
      <c r="G8" s="48" t="str">
        <f>_xll.ohRangeRetrieveError(F8)</f>
        <v/>
      </c>
      <c r="H8" s="47"/>
      <c r="J8" s="421"/>
      <c r="K8" s="450"/>
      <c r="L8" s="458" t="s">
        <v>108</v>
      </c>
      <c r="M8" s="453" t="str">
        <f t="shared" si="1"/>
        <v>USDSFIX2Y=</v>
      </c>
      <c r="N8" s="457">
        <v>41570</v>
      </c>
      <c r="O8" s="456">
        <v>0.42899999999999999</v>
      </c>
      <c r="P8" s="456" t="b">
        <f t="shared" si="2"/>
        <v>1</v>
      </c>
      <c r="Q8" s="455" t="b">
        <f>IF($P8,_xll.qlIndexAddFixings($S8,$N8,$O8/100,TRUE,ISERROR($T8)),NA())</f>
        <v>1</v>
      </c>
      <c r="R8" s="445"/>
      <c r="S8" s="454" t="str">
        <f t="shared" si="3"/>
        <v>UsdLiborSwapIsdaFixAm2Y</v>
      </c>
      <c r="T8" s="453" t="e">
        <f>_xll.qlIndexFixing($S8,$N8,TRUE,$P8)</f>
        <v>#NUM!</v>
      </c>
      <c r="U8" s="453">
        <f>IF($Q8,_xll.qlIndexFixing($S8,$N8,FALSE,$P8),"-")</f>
        <v>4.2899999999999995E-3</v>
      </c>
      <c r="V8" s="453" t="e">
        <f t="shared" si="4"/>
        <v>#NUM!</v>
      </c>
      <c r="W8" s="452">
        <f>_xll.qlIndexFixing($S8,$N8,TRUE,$U8)</f>
        <v>4.2899999999999995E-3</v>
      </c>
      <c r="X8" s="484">
        <f t="shared" si="5"/>
        <v>0</v>
      </c>
      <c r="Y8" s="440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UsdLiborSwapIsdaFixAm3Y#0001</v>
      </c>
      <c r="G9" s="48" t="str">
        <f>_xll.ohRangeRetrieveError(F9)</f>
        <v/>
      </c>
      <c r="H9" s="47"/>
      <c r="J9" s="421"/>
      <c r="K9" s="450"/>
      <c r="L9" s="458" t="s">
        <v>107</v>
      </c>
      <c r="M9" s="453" t="str">
        <f t="shared" si="1"/>
        <v>USDSFIX3Y=</v>
      </c>
      <c r="N9" s="457">
        <v>41570</v>
      </c>
      <c r="O9" s="456">
        <v>0.68799999999999994</v>
      </c>
      <c r="P9" s="456" t="b">
        <f t="shared" si="2"/>
        <v>1</v>
      </c>
      <c r="Q9" s="455" t="b">
        <f>IF($P9,_xll.qlIndexAddFixings($S9,$N9,$O9/100,TRUE,ISERROR($T9)),NA())</f>
        <v>1</v>
      </c>
      <c r="R9" s="445"/>
      <c r="S9" s="454" t="str">
        <f t="shared" si="3"/>
        <v>UsdLiborSwapIsdaFixAm3Y</v>
      </c>
      <c r="T9" s="453" t="e">
        <f>_xll.qlIndexFixing($S9,$N9,TRUE,$P9)</f>
        <v>#NUM!</v>
      </c>
      <c r="U9" s="453">
        <f>IF($Q9,_xll.qlIndexFixing($S9,$N9,FALSE,$P9),"-")</f>
        <v>6.8799999999999998E-3</v>
      </c>
      <c r="V9" s="453" t="e">
        <f t="shared" si="4"/>
        <v>#NUM!</v>
      </c>
      <c r="W9" s="452">
        <f>_xll.qlIndexFixing($S9,$N9,TRUE,$U9)</f>
        <v>6.8799999999999998E-3</v>
      </c>
      <c r="X9" s="484">
        <f t="shared" si="5"/>
        <v>0</v>
      </c>
      <c r="Y9" s="440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UsdLiborSwapIsdaFixAm4Y#0001</v>
      </c>
      <c r="G10" s="48" t="str">
        <f>_xll.ohRangeRetrieveError(F10)</f>
        <v/>
      </c>
      <c r="H10" s="47"/>
      <c r="J10" s="421"/>
      <c r="K10" s="450"/>
      <c r="L10" s="458" t="s">
        <v>106</v>
      </c>
      <c r="M10" s="453" t="str">
        <f t="shared" si="1"/>
        <v>USDSFIX4Y=</v>
      </c>
      <c r="N10" s="457">
        <v>41570</v>
      </c>
      <c r="O10" s="456">
        <v>1.0469999999999999</v>
      </c>
      <c r="P10" s="456" t="b">
        <f t="shared" si="2"/>
        <v>1</v>
      </c>
      <c r="Q10" s="455" t="b">
        <f>IF($P10,_xll.qlIndexAddFixings($S10,$N10,$O10/100,TRUE,ISERROR($T10)),NA())</f>
        <v>1</v>
      </c>
      <c r="R10" s="445"/>
      <c r="S10" s="454" t="str">
        <f t="shared" si="3"/>
        <v>UsdLiborSwapIsdaFixAm4Y</v>
      </c>
      <c r="T10" s="453" t="e">
        <f>_xll.qlIndexFixing($S10,$N10,TRUE,$P10)</f>
        <v>#NUM!</v>
      </c>
      <c r="U10" s="453">
        <f>IF($Q10,_xll.qlIndexFixing($S10,$N10,FALSE,$P10),"-")</f>
        <v>1.047E-2</v>
      </c>
      <c r="V10" s="453" t="e">
        <f t="shared" si="4"/>
        <v>#NUM!</v>
      </c>
      <c r="W10" s="452">
        <f>_xll.qlIndexFixing($S10,$N10,TRUE,$U10)</f>
        <v>1.047E-2</v>
      </c>
      <c r="X10" s="484">
        <f t="shared" si="5"/>
        <v>0</v>
      </c>
      <c r="Y10" s="440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UsdLiborSwapIsdaFixAm5Y#0001</v>
      </c>
      <c r="G11" s="48" t="str">
        <f>_xll.ohRangeRetrieveError(F11)</f>
        <v/>
      </c>
      <c r="H11" s="47"/>
      <c r="J11" s="421"/>
      <c r="K11" s="450"/>
      <c r="L11" s="458" t="s">
        <v>105</v>
      </c>
      <c r="M11" s="453" t="str">
        <f t="shared" si="1"/>
        <v>USDSFIX5Y=</v>
      </c>
      <c r="N11" s="457">
        <v>41570</v>
      </c>
      <c r="O11" s="456">
        <v>1.4159999999999999</v>
      </c>
      <c r="P11" s="456" t="b">
        <f t="shared" si="2"/>
        <v>1</v>
      </c>
      <c r="Q11" s="455" t="b">
        <f>IF($P11,_xll.qlIndexAddFixings($S11,$N11,$O11/100,TRUE,ISERROR($T11)),NA())</f>
        <v>1</v>
      </c>
      <c r="R11" s="445"/>
      <c r="S11" s="454" t="str">
        <f t="shared" si="3"/>
        <v>UsdLiborSwapIsdaFixAm5Y</v>
      </c>
      <c r="T11" s="453" t="e">
        <f>_xll.qlIndexFixing($S11,$N11,TRUE,$P11)</f>
        <v>#NUM!</v>
      </c>
      <c r="U11" s="453">
        <f>IF($Q11,_xll.qlIndexFixing($S11,$N11,FALSE,$P11),"-")</f>
        <v>1.4159999999999999E-2</v>
      </c>
      <c r="V11" s="453" t="e">
        <f t="shared" si="4"/>
        <v>#NUM!</v>
      </c>
      <c r="W11" s="452">
        <f>_xll.qlIndexFixing($S11,$N11,TRUE,$U11)</f>
        <v>1.4159999999999999E-2</v>
      </c>
      <c r="X11" s="484">
        <f t="shared" si="5"/>
        <v>0</v>
      </c>
      <c r="Y11" s="440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UsdLiborSwapIsdaFixAm6Y#0001</v>
      </c>
      <c r="G12" s="48" t="str">
        <f>_xll.ohRangeRetrieveError(F12)</f>
        <v/>
      </c>
      <c r="H12" s="47"/>
      <c r="J12" s="421"/>
      <c r="K12" s="450"/>
      <c r="L12" s="458" t="s">
        <v>104</v>
      </c>
      <c r="M12" s="453" t="str">
        <f t="shared" si="1"/>
        <v>USDSFIX6Y=</v>
      </c>
      <c r="N12" s="457">
        <v>41570</v>
      </c>
      <c r="O12" s="456">
        <v>1.748</v>
      </c>
      <c r="P12" s="456" t="b">
        <f t="shared" si="2"/>
        <v>1</v>
      </c>
      <c r="Q12" s="455" t="b">
        <f>IF($P12,_xll.qlIndexAddFixings($S12,$N12,$O12/100,TRUE,ISERROR($T12)),NA())</f>
        <v>1</v>
      </c>
      <c r="R12" s="445"/>
      <c r="S12" s="454" t="str">
        <f t="shared" si="3"/>
        <v>UsdLiborSwapIsdaFixAm6Y</v>
      </c>
      <c r="T12" s="453" t="e">
        <f>_xll.qlIndexFixing($S12,$N12,TRUE,$P12)</f>
        <v>#NUM!</v>
      </c>
      <c r="U12" s="453">
        <f>IF($Q12,_xll.qlIndexFixing($S12,$N12,FALSE,$P12),"-")</f>
        <v>1.7479999999999999E-2</v>
      </c>
      <c r="V12" s="453" t="e">
        <f t="shared" si="4"/>
        <v>#NUM!</v>
      </c>
      <c r="W12" s="452">
        <f>_xll.qlIndexFixing($S12,$N12,TRUE,$U12)</f>
        <v>1.7479999999999999E-2</v>
      </c>
      <c r="X12" s="484">
        <f t="shared" si="5"/>
        <v>0</v>
      </c>
      <c r="Y12" s="440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UsdLiborSwapIsdaFixAm7Y#0001</v>
      </c>
      <c r="G13" s="48" t="str">
        <f>_xll.ohRangeRetrieveError(F13)</f>
        <v/>
      </c>
      <c r="H13" s="47"/>
      <c r="J13" s="421"/>
      <c r="K13" s="450"/>
      <c r="L13" s="458" t="s">
        <v>103</v>
      </c>
      <c r="M13" s="453" t="str">
        <f t="shared" si="1"/>
        <v>USDSFIX7Y=</v>
      </c>
      <c r="N13" s="457">
        <v>41570</v>
      </c>
      <c r="O13" s="456">
        <v>2.0310000000000001</v>
      </c>
      <c r="P13" s="456" t="b">
        <f t="shared" si="2"/>
        <v>1</v>
      </c>
      <c r="Q13" s="455" t="b">
        <f>IF($P13,_xll.qlIndexAddFixings($S13,$N13,$O13/100,TRUE,ISERROR($T13)),NA())</f>
        <v>1</v>
      </c>
      <c r="R13" s="445"/>
      <c r="S13" s="454" t="str">
        <f t="shared" si="3"/>
        <v>UsdLiborSwapIsdaFixAm7Y</v>
      </c>
      <c r="T13" s="453" t="e">
        <f>_xll.qlIndexFixing($S13,$N13,TRUE,$P13)</f>
        <v>#NUM!</v>
      </c>
      <c r="U13" s="453">
        <f>IF($Q13,_xll.qlIndexFixing($S13,$N13,FALSE,$P13),"-")</f>
        <v>2.0310000000000002E-2</v>
      </c>
      <c r="V13" s="453" t="e">
        <f t="shared" si="4"/>
        <v>#NUM!</v>
      </c>
      <c r="W13" s="452">
        <f>_xll.qlIndexFixing($S13,$N13,TRUE,$U13)</f>
        <v>2.0310000000000002E-2</v>
      </c>
      <c r="X13" s="484">
        <f t="shared" si="5"/>
        <v>0</v>
      </c>
      <c r="Y13" s="440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UsdLiborSwapIsdaFixAm8Y#0001</v>
      </c>
      <c r="G14" s="48" t="str">
        <f>_xll.ohRangeRetrieveError(F14)</f>
        <v/>
      </c>
      <c r="H14" s="47"/>
      <c r="J14" s="421"/>
      <c r="K14" s="450"/>
      <c r="L14" s="458" t="s">
        <v>102</v>
      </c>
      <c r="M14" s="453" t="str">
        <f t="shared" si="1"/>
        <v>USDSFIX8Y=</v>
      </c>
      <c r="N14" s="457">
        <v>41570</v>
      </c>
      <c r="O14" s="456">
        <v>2.2650000000000001</v>
      </c>
      <c r="P14" s="456" t="b">
        <f t="shared" si="2"/>
        <v>1</v>
      </c>
      <c r="Q14" s="455" t="b">
        <f>IF($P14,_xll.qlIndexAddFixings($S14,$N14,$O14/100,TRUE,ISERROR($T14)),NA())</f>
        <v>1</v>
      </c>
      <c r="R14" s="445"/>
      <c r="S14" s="454" t="str">
        <f t="shared" si="3"/>
        <v>UsdLiborSwapIsdaFixAm8Y</v>
      </c>
      <c r="T14" s="453" t="e">
        <f>_xll.qlIndexFixing($S14,$N14,TRUE,$P14)</f>
        <v>#NUM!</v>
      </c>
      <c r="U14" s="453">
        <f>IF($Q14,_xll.qlIndexFixing($S14,$N14,FALSE,$P14),"-")</f>
        <v>2.265E-2</v>
      </c>
      <c r="V14" s="453" t="e">
        <f t="shared" si="4"/>
        <v>#NUM!</v>
      </c>
      <c r="W14" s="452">
        <f>_xll.qlIndexFixing($S14,$N14,TRUE,$U14)</f>
        <v>2.265E-2</v>
      </c>
      <c r="X14" s="484">
        <f t="shared" si="5"/>
        <v>0</v>
      </c>
      <c r="Y14" s="440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UsdLiborSwapIsdaFixAm9Y#0001</v>
      </c>
      <c r="G15" s="48" t="str">
        <f>_xll.ohRangeRetrieveError(F15)</f>
        <v/>
      </c>
      <c r="H15" s="47"/>
      <c r="J15" s="421"/>
      <c r="K15" s="450"/>
      <c r="L15" s="458" t="s">
        <v>101</v>
      </c>
      <c r="M15" s="453" t="str">
        <f t="shared" si="1"/>
        <v>USDSFIX9Y=</v>
      </c>
      <c r="N15" s="457">
        <v>41570</v>
      </c>
      <c r="O15" s="456">
        <v>2.4620000000000002</v>
      </c>
      <c r="P15" s="456" t="b">
        <f t="shared" si="2"/>
        <v>1</v>
      </c>
      <c r="Q15" s="455" t="b">
        <f>IF($P15,_xll.qlIndexAddFixings($S15,$N15,$O15/100,TRUE,ISERROR($T15)),NA())</f>
        <v>1</v>
      </c>
      <c r="R15" s="445"/>
      <c r="S15" s="454" t="str">
        <f t="shared" si="3"/>
        <v>UsdLiborSwapIsdaFixAm9Y</v>
      </c>
      <c r="T15" s="453" t="e">
        <f>_xll.qlIndexFixing($S15,$N15,TRUE,$P15)</f>
        <v>#NUM!</v>
      </c>
      <c r="U15" s="453">
        <f>IF($Q15,_xll.qlIndexFixing($S15,$N15,FALSE,$P15),"-")</f>
        <v>2.4620000000000003E-2</v>
      </c>
      <c r="V15" s="453" t="e">
        <f t="shared" si="4"/>
        <v>#NUM!</v>
      </c>
      <c r="W15" s="452">
        <f>_xll.qlIndexFixing($S15,$N15,TRUE,$U15)</f>
        <v>2.4620000000000003E-2</v>
      </c>
      <c r="X15" s="484">
        <f t="shared" si="5"/>
        <v>0</v>
      </c>
      <c r="Y15" s="440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UsdLiborSwapIsdaFixAm10Y#0001</v>
      </c>
      <c r="G16" s="48" t="str">
        <f>_xll.ohRangeRetrieveError(F16)</f>
        <v/>
      </c>
      <c r="H16" s="47"/>
      <c r="J16" s="421"/>
      <c r="K16" s="450"/>
      <c r="L16" s="458" t="s">
        <v>100</v>
      </c>
      <c r="M16" s="453" t="str">
        <f t="shared" si="1"/>
        <v>USDSFIX10Y=</v>
      </c>
      <c r="N16" s="457">
        <v>41570</v>
      </c>
      <c r="O16" s="456">
        <v>2.63</v>
      </c>
      <c r="P16" s="456" t="b">
        <f t="shared" si="2"/>
        <v>1</v>
      </c>
      <c r="Q16" s="455" t="b">
        <f>IF($P16,_xll.qlIndexAddFixings($S16,$N16,$O16/100,TRUE,ISERROR($T16)),NA())</f>
        <v>1</v>
      </c>
      <c r="R16" s="445"/>
      <c r="S16" s="454" t="str">
        <f t="shared" si="3"/>
        <v>UsdLiborSwapIsdaFixAm10Y</v>
      </c>
      <c r="T16" s="453" t="e">
        <f>_xll.qlIndexFixing($S16,$N16,TRUE,$P16)</f>
        <v>#NUM!</v>
      </c>
      <c r="U16" s="453">
        <f>IF($Q16,_xll.qlIndexFixing($S16,$N16,FALSE,$P16),"-")</f>
        <v>2.63E-2</v>
      </c>
      <c r="V16" s="453" t="e">
        <f t="shared" si="4"/>
        <v>#NUM!</v>
      </c>
      <c r="W16" s="452">
        <f>_xll.qlIndexFixing($S16,$N16,TRUE,$U16)</f>
        <v>2.63E-2</v>
      </c>
      <c r="X16" s="484">
        <f t="shared" si="5"/>
        <v>0</v>
      </c>
      <c r="Y16" s="440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UsdLiborSwapIsdaFixAm11Y#0001</v>
      </c>
      <c r="G17" s="48" t="str">
        <f>_xll.ohRangeRetrieveError(F17)</f>
        <v/>
      </c>
      <c r="H17" s="47"/>
      <c r="J17" s="421"/>
      <c r="K17" s="450"/>
      <c r="L17" s="458" t="s">
        <v>98</v>
      </c>
      <c r="M17" s="453" t="str">
        <f t="shared" si="1"/>
        <v>USDSFIX12Y=</v>
      </c>
      <c r="N17" s="457" t="s">
        <v>240</v>
      </c>
      <c r="O17" s="456" t="s">
        <v>240</v>
      </c>
      <c r="P17" s="456" t="b">
        <f t="shared" si="2"/>
        <v>0</v>
      </c>
      <c r="Q17" s="455" t="e">
        <f>IF($P17,_xll.qlIndexAddFixings($S17,$N17,$O17/100,TRUE,ISERROR($T17)),NA())</f>
        <v>#N/A</v>
      </c>
      <c r="R17" s="445"/>
      <c r="S17" s="454" t="str">
        <f t="shared" si="3"/>
        <v>UsdLiborSwapIsdaFixAm12Y</v>
      </c>
      <c r="T17" s="453" t="e">
        <f>_xll.qlIndexFixing($S17,$N17,TRUE,$P17)</f>
        <v>#NUM!</v>
      </c>
      <c r="U17" s="453" t="e">
        <f>IF($Q17,_xll.qlIndexFixing($S17,$N17,FALSE,$P17),"-")</f>
        <v>#N/A</v>
      </c>
      <c r="V17" s="453" t="e">
        <f t="shared" si="4"/>
        <v>#NUM!</v>
      </c>
      <c r="W17" s="452" t="e">
        <f>_xll.qlIndexFixing($S17,$N17,TRUE,$U17)</f>
        <v>#NUM!</v>
      </c>
      <c r="X17" s="484">
        <f t="shared" si="5"/>
        <v>0</v>
      </c>
      <c r="Y17" s="440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UsdLiborSwapIsdaFixAm12Y#0001</v>
      </c>
      <c r="G18" s="48" t="str">
        <f>_xll.ohRangeRetrieveError(F18)</f>
        <v/>
      </c>
      <c r="H18" s="47"/>
      <c r="J18" s="421"/>
      <c r="K18" s="450"/>
      <c r="L18" s="458" t="s">
        <v>95</v>
      </c>
      <c r="M18" s="453" t="str">
        <f t="shared" si="1"/>
        <v>USDSFIX15Y=</v>
      </c>
      <c r="N18" s="457">
        <v>41570</v>
      </c>
      <c r="O18" s="456">
        <v>3.1549999999999998</v>
      </c>
      <c r="P18" s="456" t="b">
        <f t="shared" si="2"/>
        <v>1</v>
      </c>
      <c r="Q18" s="455" t="b">
        <f>IF($P18,_xll.qlIndexAddFixings($S18,$N18,$O18/100,TRUE,ISERROR($T18)),NA())</f>
        <v>1</v>
      </c>
      <c r="R18" s="445"/>
      <c r="S18" s="454" t="str">
        <f t="shared" si="3"/>
        <v>UsdLiborSwapIsdaFixAm15Y</v>
      </c>
      <c r="T18" s="453" t="e">
        <f>_xll.qlIndexFixing($S18,$N18,TRUE,$P18)</f>
        <v>#NUM!</v>
      </c>
      <c r="U18" s="453">
        <f>IF($Q18,_xll.qlIndexFixing($S18,$N18,FALSE,$P18),"-")</f>
        <v>3.1549999999999995E-2</v>
      </c>
      <c r="V18" s="453" t="e">
        <f t="shared" si="4"/>
        <v>#NUM!</v>
      </c>
      <c r="W18" s="452">
        <f>_xll.qlIndexFixing($S18,$N18,TRUE,$U18)</f>
        <v>3.1549999999999995E-2</v>
      </c>
      <c r="X18" s="484">
        <f t="shared" si="5"/>
        <v>0</v>
      </c>
      <c r="Y18" s="440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UsdLiborSwapIsdaFixAm13Y#0001</v>
      </c>
      <c r="G19" s="48" t="str">
        <f>_xll.ohRangeRetrieveError(F19)</f>
        <v/>
      </c>
      <c r="H19" s="47"/>
      <c r="J19" s="421"/>
      <c r="K19" s="450"/>
      <c r="L19" s="458" t="s">
        <v>90</v>
      </c>
      <c r="M19" s="453" t="str">
        <f t="shared" si="1"/>
        <v>USDSFIX20Y=</v>
      </c>
      <c r="N19" s="457">
        <v>41570</v>
      </c>
      <c r="O19" s="456">
        <v>3.3809999999999998</v>
      </c>
      <c r="P19" s="456" t="b">
        <f t="shared" si="2"/>
        <v>1</v>
      </c>
      <c r="Q19" s="455" t="b">
        <f>IF($P19,_xll.qlIndexAddFixings($S19,$N19,$O19/100,TRUE,ISERROR($T19)),NA())</f>
        <v>1</v>
      </c>
      <c r="R19" s="445"/>
      <c r="S19" s="454" t="str">
        <f t="shared" si="3"/>
        <v>UsdLiborSwapIsdaFixAm20Y</v>
      </c>
      <c r="T19" s="453" t="e">
        <f>_xll.qlIndexFixing($S19,$N19,TRUE,$P19)</f>
        <v>#NUM!</v>
      </c>
      <c r="U19" s="453">
        <f>IF($Q19,_xll.qlIndexFixing($S19,$N19,FALSE,$P19),"-")</f>
        <v>3.381E-2</v>
      </c>
      <c r="V19" s="453" t="e">
        <f t="shared" si="4"/>
        <v>#NUM!</v>
      </c>
      <c r="W19" s="452">
        <f>_xll.qlIndexFixing($S19,$N19,TRUE,$U19)</f>
        <v>3.381E-2</v>
      </c>
      <c r="X19" s="484">
        <f t="shared" si="5"/>
        <v>0</v>
      </c>
      <c r="Y19" s="440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UsdLiborSwapIsdaFixAm14Y#0001</v>
      </c>
      <c r="G20" s="48" t="str">
        <f>_xll.ohRangeRetrieveError(F20)</f>
        <v/>
      </c>
      <c r="H20" s="47"/>
      <c r="J20" s="421"/>
      <c r="K20" s="450"/>
      <c r="L20" s="458" t="s">
        <v>85</v>
      </c>
      <c r="M20" s="453" t="str">
        <f t="shared" si="1"/>
        <v>USDSFIX25Y=</v>
      </c>
      <c r="N20" s="457">
        <v>40340</v>
      </c>
      <c r="O20" s="456">
        <v>0</v>
      </c>
      <c r="P20" s="456" t="b">
        <f t="shared" si="2"/>
        <v>0</v>
      </c>
      <c r="Q20" s="455" t="e">
        <f>IF($P20,_xll.qlIndexAddFixings($S20,$N20,$O20/100,TRUE,ISERROR($T20)),NA())</f>
        <v>#N/A</v>
      </c>
      <c r="R20" s="445"/>
      <c r="S20" s="454" t="str">
        <f t="shared" si="3"/>
        <v>UsdLiborSwapIsdaFixAm25Y</v>
      </c>
      <c r="T20" s="453" t="e">
        <f>_xll.qlIndexFixing($S20,$N20,TRUE,$P20)</f>
        <v>#NUM!</v>
      </c>
      <c r="U20" s="453" t="e">
        <f>IF($Q20,_xll.qlIndexFixing($S20,$N20,FALSE,$P20),"-")</f>
        <v>#N/A</v>
      </c>
      <c r="V20" s="453" t="e">
        <f t="shared" si="4"/>
        <v>#NUM!</v>
      </c>
      <c r="W20" s="452" t="e">
        <f>_xll.qlIndexFixing($S20,$N20,TRUE,$U20)</f>
        <v>#NUM!</v>
      </c>
      <c r="X20" s="484">
        <f t="shared" si="5"/>
        <v>0</v>
      </c>
      <c r="Y20" s="440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UsdLiborSwapIsdaFixAm15Y#0001</v>
      </c>
      <c r="G21" s="48" t="str">
        <f>_xll.ohRangeRetrieveError(F21)</f>
        <v/>
      </c>
      <c r="H21" s="47"/>
      <c r="J21" s="421"/>
      <c r="K21" s="450"/>
      <c r="L21" s="449" t="s">
        <v>80</v>
      </c>
      <c r="M21" s="443" t="str">
        <f t="shared" si="1"/>
        <v>USDSFIX30Y=</v>
      </c>
      <c r="N21" s="448">
        <v>41570</v>
      </c>
      <c r="O21" s="447">
        <v>3.5529999999999999</v>
      </c>
      <c r="P21" s="447" t="b">
        <f t="shared" si="2"/>
        <v>1</v>
      </c>
      <c r="Q21" s="446" t="b">
        <f>IF($P21,_xll.qlIndexAddFixings($S21,$N21,$O21/100,TRUE,ISERROR($T21)),NA())</f>
        <v>1</v>
      </c>
      <c r="R21" s="445"/>
      <c r="S21" s="444" t="str">
        <f t="shared" si="3"/>
        <v>UsdLiborSwapIsdaFixAm30Y</v>
      </c>
      <c r="T21" s="443" t="e">
        <f>_xll.qlIndexFixing($S21,$N21,TRUE,$P21)</f>
        <v>#NUM!</v>
      </c>
      <c r="U21" s="443">
        <f>IF($Q21,_xll.qlIndexFixing($S21,$N21,FALSE,$P21),"-")</f>
        <v>3.5529999999999999E-2</v>
      </c>
      <c r="V21" s="443" t="e">
        <f t="shared" si="4"/>
        <v>#NUM!</v>
      </c>
      <c r="W21" s="442">
        <f>_xll.qlIndexFixing($S21,$N21,TRUE,$U21)</f>
        <v>3.5529999999999999E-2</v>
      </c>
      <c r="X21" s="483">
        <f t="shared" si="5"/>
        <v>0</v>
      </c>
      <c r="Y21" s="440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UsdLiborSwapIsdaFixAm16Y#0001</v>
      </c>
      <c r="G22" s="48" t="str">
        <f>_xll.ohRangeRetrieveError(F22)</f>
        <v/>
      </c>
      <c r="H22" s="47"/>
      <c r="J22" s="421"/>
      <c r="K22" s="439"/>
      <c r="L22" s="437"/>
      <c r="M22" s="437"/>
      <c r="N22" s="437"/>
      <c r="O22" s="437"/>
      <c r="P22" s="437"/>
      <c r="Q22" s="437"/>
      <c r="R22" s="436"/>
      <c r="S22" s="436"/>
      <c r="T22" s="436"/>
      <c r="U22" s="436"/>
      <c r="V22" s="436"/>
      <c r="W22" s="436"/>
      <c r="X22" s="436"/>
      <c r="Y22" s="435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UsdLiborSwapIsdaFixAm17Y#0001</v>
      </c>
      <c r="G23" s="48" t="str">
        <f>_xll.ohRangeRetrieveError(F23)</f>
        <v/>
      </c>
      <c r="H23" s="47"/>
      <c r="J23" s="421"/>
      <c r="K23" s="421"/>
      <c r="L23" s="421"/>
      <c r="M23" s="421"/>
      <c r="N23" s="434"/>
      <c r="O23" s="433"/>
      <c r="P23" s="433"/>
      <c r="Q23" s="421"/>
      <c r="R23" s="421"/>
      <c r="S23" s="421"/>
      <c r="T23" s="421"/>
      <c r="U23" s="421"/>
      <c r="V23" s="421"/>
      <c r="W23" s="421"/>
      <c r="X23" s="421"/>
      <c r="Y23" s="421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UsdLiborSwapIsdaFixAm18Y#0001</v>
      </c>
      <c r="G24" s="48" t="str">
        <f>_xll.ohRangeRetrieveError(F24)</f>
        <v/>
      </c>
      <c r="H24" s="47"/>
      <c r="J24" s="421"/>
      <c r="K24" s="421"/>
      <c r="L24" s="432" t="s">
        <v>131</v>
      </c>
      <c r="M24" s="431" t="s">
        <v>318</v>
      </c>
      <c r="N24" s="430" t="s">
        <v>319</v>
      </c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UsdLiborSwapIsdaFixAm19Y#0001</v>
      </c>
      <c r="G25" s="48" t="str">
        <f>_xll.ohRangeRetrieveError(F25)</f>
        <v/>
      </c>
      <c r="H25" s="47"/>
      <c r="J25" s="421"/>
      <c r="K25" s="421"/>
      <c r="L25" s="427" t="s">
        <v>130</v>
      </c>
      <c r="M25" s="426" t="s">
        <v>321</v>
      </c>
      <c r="N25" s="425" t="s">
        <v>320</v>
      </c>
      <c r="O25" s="421"/>
      <c r="P25" s="421"/>
      <c r="Q25" s="421"/>
      <c r="R25" s="421"/>
      <c r="S25" s="421"/>
      <c r="T25" s="421"/>
      <c r="U25" s="421"/>
      <c r="V25" s="421"/>
      <c r="W25" s="421"/>
      <c r="X25" s="421"/>
      <c r="Y25" s="421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UsdLiborSwapIsdaFixAm20Y#0001</v>
      </c>
      <c r="G26" s="48" t="str">
        <f>_xll.ohRangeRetrieveError(F26)</f>
        <v/>
      </c>
      <c r="H26" s="47"/>
      <c r="J26" s="421"/>
      <c r="K26" s="421"/>
      <c r="L26" s="427" t="s">
        <v>309</v>
      </c>
      <c r="M26" s="426" t="s">
        <v>318</v>
      </c>
      <c r="N26" s="425" t="s">
        <v>317</v>
      </c>
      <c r="O26" s="421"/>
      <c r="P26" s="421"/>
      <c r="Q26" s="421"/>
      <c r="R26" s="421"/>
      <c r="S26" s="421"/>
      <c r="T26" s="421"/>
      <c r="U26" s="421"/>
      <c r="V26" s="421"/>
      <c r="W26" s="421"/>
      <c r="X26" s="421"/>
      <c r="Y26" s="421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UsdLiborSwapIsdaFixAm21Y#0001</v>
      </c>
      <c r="G27" s="48" t="str">
        <f>_xll.ohRangeRetrieveError(F27)</f>
        <v/>
      </c>
      <c r="H27" s="47"/>
      <c r="J27" s="421"/>
      <c r="K27" s="421"/>
      <c r="L27" s="427" t="s">
        <v>308</v>
      </c>
      <c r="M27" s="426" t="s">
        <v>318</v>
      </c>
      <c r="N27" s="425" t="s">
        <v>319</v>
      </c>
      <c r="O27" s="421"/>
      <c r="P27" s="421"/>
      <c r="Q27" s="421"/>
      <c r="R27" s="421"/>
      <c r="S27" s="421"/>
      <c r="T27" s="421"/>
      <c r="U27" s="421"/>
      <c r="V27" s="421"/>
      <c r="W27" s="421"/>
      <c r="X27" s="421"/>
      <c r="Y27" s="421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UsdLiborSwapIsdaFixAm22Y#0001</v>
      </c>
      <c r="G28" s="48" t="str">
        <f>_xll.ohRangeRetrieveError(F28)</f>
        <v/>
      </c>
      <c r="H28" s="47"/>
      <c r="J28" s="421"/>
      <c r="K28" s="421"/>
      <c r="L28" s="427" t="s">
        <v>127</v>
      </c>
      <c r="M28" s="426" t="s">
        <v>318</v>
      </c>
      <c r="N28" s="425" t="s">
        <v>319</v>
      </c>
      <c r="O28" s="421"/>
      <c r="P28" s="421"/>
      <c r="Q28" s="421"/>
      <c r="R28" s="421"/>
      <c r="S28" s="421"/>
      <c r="T28" s="421"/>
      <c r="U28" s="421"/>
      <c r="V28" s="421"/>
      <c r="W28" s="421"/>
      <c r="X28" s="421"/>
      <c r="Y28" s="421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UsdLiborSwapIsdaFixAm23Y#0001</v>
      </c>
      <c r="G29" s="48" t="str">
        <f>_xll.ohRangeRetrieveError(F29)</f>
        <v/>
      </c>
      <c r="H29" s="47"/>
      <c r="J29" s="421"/>
      <c r="K29" s="421"/>
      <c r="L29" s="427" t="s">
        <v>126</v>
      </c>
      <c r="M29" s="426" t="s">
        <v>318</v>
      </c>
      <c r="N29" s="425" t="s">
        <v>317</v>
      </c>
      <c r="O29" s="421"/>
      <c r="P29" s="421"/>
      <c r="Q29" s="421"/>
      <c r="R29" s="421"/>
      <c r="S29" s="421"/>
      <c r="T29" s="421"/>
      <c r="U29" s="421"/>
      <c r="V29" s="421"/>
      <c r="W29" s="421"/>
      <c r="X29" s="421"/>
      <c r="Y29" s="421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UsdLiborSwapIsdaFixAm24Y#0001</v>
      </c>
      <c r="G30" s="48" t="str">
        <f>_xll.ohRangeRetrieveError(F30)</f>
        <v/>
      </c>
      <c r="H30" s="47"/>
      <c r="J30" s="421"/>
      <c r="K30" s="421"/>
      <c r="L30" s="424" t="s">
        <v>121</v>
      </c>
      <c r="M30" s="482" t="s">
        <v>318</v>
      </c>
      <c r="N30" s="481" t="s">
        <v>317</v>
      </c>
      <c r="O30" s="421"/>
      <c r="P30" s="421"/>
      <c r="Q30" s="421"/>
      <c r="R30" s="421"/>
      <c r="S30" s="421"/>
      <c r="T30" s="421"/>
      <c r="U30" s="421"/>
      <c r="V30" s="421"/>
      <c r="W30" s="421"/>
      <c r="X30" s="421"/>
      <c r="Y30" s="421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UsdLiborSwapIsdaFixAm25Y#0001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UsdLiborSwapIsdaFixAm26Y#0001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UsdLiborSwapIsdaFixAm27Y#0001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UsdLiborSwapIsdaFixAm28Y#0001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UsdLiborSwapIsdaFixAm29Y#0001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UsdLiborSwapIsdaFixAm30Y#0001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UsdLiborSwapIsdaFixAm31Y#0001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UsdLiborSwapIsdaFixAm32Y#0001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UsdLiborSwapIsdaFixAm33Y#0001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UsdLiborSwapIsdaFixAm34Y#0001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UsdLiborSwapIsdaFixAm35Y#0001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UsdLiborSwapIsdaFixAm36Y#0001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UsdLiborSwapIsdaFixAm37Y#0001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UsdLiborSwapIsdaFixAm38Y#0001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UsdLiborSwapIsdaFixAm39Y#0001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UsdLiborSwapIsdaFixAm40Y#0001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UsdLiborSwapIsdaFixAm41Y#0001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UsdLiborSwapIsdaFixAm42Y#0001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UsdLiborSwapIsdaFixAm43Y#0001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UsdLiborSwapIsdaFixAm44Y#0001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UsdLiborSwapIsdaFixAm45Y#0001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UsdLiborSwapIsdaFixAm46Y#0001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UsdLiborSwapIsdaFixAm47Y#0001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UsdLiborSwapIsdaFixAm48Y#0001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UsdLiborSwapIsdaFixAm49Y#0001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UsdLiborSwapIsdaFixAm50Y#0001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UsdLiborSwapIsdaFixAm51Y#0001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UsdLiborSwapIsdaFixAm52Y#0001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UsdLiborSwapIsdaFixAm53Y#0001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UsdLiborSwapIsdaFixAm54Y#0001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UsdLiborSwapIsdaFixAm55Y#0001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UsdLiborSwapIsdaFixAm56Y#0001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UsdLiborSwapIsdaFixAm57Y#0001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UsdLiborSwapIsdaFixAm58Y#0001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UsdLiborSwapIsdaFixAm59Y#0001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UsdLiborSwapIsdaFixAm60Y#0001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6" priority="1" stopIfTrue="1" operator="greaterThan">
      <formula>0</formula>
    </cfRule>
    <cfRule type="cellIs" dxfId="35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495" t="s">
        <v>334</v>
      </c>
      <c r="K4" s="421"/>
      <c r="L4" s="421"/>
      <c r="M4" s="426"/>
      <c r="N4" s="434"/>
      <c r="O4" s="480"/>
      <c r="P4" s="480"/>
      <c r="Q4" s="421"/>
      <c r="R4" s="426"/>
      <c r="S4" s="421"/>
      <c r="T4" s="421"/>
      <c r="U4" s="421"/>
      <c r="V4" s="421"/>
      <c r="W4" s="421"/>
      <c r="X4" s="421"/>
      <c r="Y4" s="42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1"/>
      <c r="K5" s="479"/>
      <c r="L5" s="473"/>
      <c r="M5" s="478" t="str">
        <f>VLOOKUP(Currency,Traits,2,FALSE)</f>
        <v>SFIXP</v>
      </c>
      <c r="N5" s="477"/>
      <c r="O5" s="476"/>
      <c r="P5" s="476"/>
      <c r="Q5" s="473"/>
      <c r="R5" s="473"/>
      <c r="S5" s="475" t="str">
        <f>VLOOKUP(Currency,Traits,3,FALSE)</f>
        <v>LiborSwapIsdaFixPm</v>
      </c>
      <c r="T5" s="473"/>
      <c r="U5" s="473"/>
      <c r="V5" s="474">
        <f>MAX(X7:X22)</f>
        <v>0</v>
      </c>
      <c r="W5" s="473"/>
      <c r="X5" s="473"/>
      <c r="Y5" s="47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1"/>
      <c r="K6" s="450"/>
      <c r="L6" s="470" t="s">
        <v>47</v>
      </c>
      <c r="M6" s="469" t="e">
        <f ca="1">_xll.RData(M7:M21,N6:O6,"RTFEED:IDN",,,N7)</f>
        <v>#NAME?</v>
      </c>
      <c r="N6" s="469" t="s">
        <v>316</v>
      </c>
      <c r="O6" s="469" t="s">
        <v>322</v>
      </c>
      <c r="P6" s="469" t="s">
        <v>315</v>
      </c>
      <c r="Q6" s="468" t="s">
        <v>314</v>
      </c>
      <c r="R6" s="471"/>
      <c r="S6" s="470" t="s">
        <v>257</v>
      </c>
      <c r="T6" s="469" t="s">
        <v>313</v>
      </c>
      <c r="U6" s="469" t="s">
        <v>312</v>
      </c>
      <c r="V6" s="469" t="s">
        <v>311</v>
      </c>
      <c r="W6" s="468" t="s">
        <v>310</v>
      </c>
      <c r="X6" s="467"/>
      <c r="Y6" s="440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UsdLiborSwapIsdaFixPm1Y#0001</v>
      </c>
      <c r="G7" s="48" t="str">
        <f>_xll.ohRangeRetrieveError(F7)</f>
        <v/>
      </c>
      <c r="H7" s="47"/>
      <c r="J7" s="421"/>
      <c r="K7" s="450"/>
      <c r="L7" s="466" t="s">
        <v>29</v>
      </c>
      <c r="M7" s="461" t="str">
        <f t="shared" ref="M7:M21" si="1">Currency&amp;$M$5&amp;$L7&amp;"="</f>
        <v>USDSFIXP1Y=</v>
      </c>
      <c r="N7" s="465">
        <v>41570</v>
      </c>
      <c r="O7" s="464">
        <v>0</v>
      </c>
      <c r="P7" s="464" t="b">
        <f t="shared" ref="P7:P21" si="2">IF(AND(ISNUMBER($O7),$O7&lt;&gt;0%),TRUE,FALSE)</f>
        <v>0</v>
      </c>
      <c r="Q7" s="463" t="e">
        <f>IF($P7,_xll.qlIndexAddFixings($S7,$N7,$O7/100,TRUE,ISERROR($T7)),NA())</f>
        <v>#N/A</v>
      </c>
      <c r="R7" s="445"/>
      <c r="S7" s="462" t="str">
        <f t="shared" ref="S7:S21" si="3">PROPER(Currency)&amp;$S$5&amp;$L7</f>
        <v>UsdLiborSwapIsdaFixPm1Y</v>
      </c>
      <c r="T7" s="461" t="e">
        <f>_xll.qlIndexFixing($S7,$N7,TRUE,$P7)</f>
        <v>#NUM!</v>
      </c>
      <c r="U7" s="461" t="e">
        <f>IF($Q7,_xll.qlIndexFixing($S7,$N7,FALSE,$P7),"-")</f>
        <v>#N/A</v>
      </c>
      <c r="V7" s="461" t="e">
        <f t="shared" ref="V7:V21" si="4">T7-U7</f>
        <v>#NUM!</v>
      </c>
      <c r="W7" s="460" t="e">
        <f>_xll.qlIndexFixing($S7,$N7,TRUE,$U7)</f>
        <v>#NUM!</v>
      </c>
      <c r="X7" s="484">
        <f t="shared" ref="X7:X21" si="5">IF(ISERROR(V7),0,ABS(V7))</f>
        <v>0</v>
      </c>
      <c r="Y7" s="440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UsdLiborSwapIsdaFixPm2Y#0001</v>
      </c>
      <c r="G8" s="48" t="str">
        <f>_xll.ohRangeRetrieveError(F8)</f>
        <v/>
      </c>
      <c r="H8" s="47"/>
      <c r="J8" s="421"/>
      <c r="K8" s="450"/>
      <c r="L8" s="458" t="s">
        <v>108</v>
      </c>
      <c r="M8" s="453" t="str">
        <f t="shared" si="1"/>
        <v>USDSFIXP2Y=</v>
      </c>
      <c r="N8" s="457" t="s">
        <v>240</v>
      </c>
      <c r="O8" s="456" t="s">
        <v>240</v>
      </c>
      <c r="P8" s="456" t="b">
        <f t="shared" si="2"/>
        <v>0</v>
      </c>
      <c r="Q8" s="455" t="e">
        <f>IF($P8,_xll.qlIndexAddFixings($S8,$N8,$O8/100,TRUE,ISERROR($T8)),NA())</f>
        <v>#N/A</v>
      </c>
      <c r="R8" s="445"/>
      <c r="S8" s="454" t="str">
        <f t="shared" si="3"/>
        <v>UsdLiborSwapIsdaFixPm2Y</v>
      </c>
      <c r="T8" s="453" t="e">
        <f>_xll.qlIndexFixing($S8,$N8,TRUE,$P8)</f>
        <v>#NUM!</v>
      </c>
      <c r="U8" s="453" t="e">
        <f>IF($Q8,_xll.qlIndexFixing($S8,$N8,FALSE,$P8),"-")</f>
        <v>#N/A</v>
      </c>
      <c r="V8" s="453" t="e">
        <f t="shared" si="4"/>
        <v>#NUM!</v>
      </c>
      <c r="W8" s="452" t="e">
        <f>_xll.qlIndexFixing($S8,$N8,TRUE,$U8)</f>
        <v>#NUM!</v>
      </c>
      <c r="X8" s="484">
        <f t="shared" si="5"/>
        <v>0</v>
      </c>
      <c r="Y8" s="440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UsdLiborSwapIsdaFixPm3Y#0001</v>
      </c>
      <c r="G9" s="48" t="str">
        <f>_xll.ohRangeRetrieveError(F9)</f>
        <v/>
      </c>
      <c r="H9" s="47"/>
      <c r="J9" s="421"/>
      <c r="K9" s="450"/>
      <c r="L9" s="458" t="s">
        <v>107</v>
      </c>
      <c r="M9" s="453" t="str">
        <f t="shared" si="1"/>
        <v>USDSFIXP3Y=</v>
      </c>
      <c r="N9" s="457" t="s">
        <v>240</v>
      </c>
      <c r="O9" s="456" t="s">
        <v>240</v>
      </c>
      <c r="P9" s="456" t="b">
        <f t="shared" si="2"/>
        <v>0</v>
      </c>
      <c r="Q9" s="455" t="e">
        <f>IF($P9,_xll.qlIndexAddFixings($S9,$N9,$O9/100,TRUE,ISERROR($T9)),NA())</f>
        <v>#N/A</v>
      </c>
      <c r="R9" s="445"/>
      <c r="S9" s="454" t="str">
        <f t="shared" si="3"/>
        <v>UsdLiborSwapIsdaFixPm3Y</v>
      </c>
      <c r="T9" s="453" t="e">
        <f>_xll.qlIndexFixing($S9,$N9,TRUE,$P9)</f>
        <v>#NUM!</v>
      </c>
      <c r="U9" s="453" t="e">
        <f>IF($Q9,_xll.qlIndexFixing($S9,$N9,FALSE,$P9),"-")</f>
        <v>#N/A</v>
      </c>
      <c r="V9" s="453" t="e">
        <f t="shared" si="4"/>
        <v>#NUM!</v>
      </c>
      <c r="W9" s="452" t="e">
        <f>_xll.qlIndexFixing($S9,$N9,TRUE,$U9)</f>
        <v>#NUM!</v>
      </c>
      <c r="X9" s="484">
        <f t="shared" si="5"/>
        <v>0</v>
      </c>
      <c r="Y9" s="440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UsdLiborSwapIsdaFixPm4Y#0001</v>
      </c>
      <c r="G10" s="48" t="str">
        <f>_xll.ohRangeRetrieveError(F10)</f>
        <v/>
      </c>
      <c r="H10" s="47"/>
      <c r="J10" s="421"/>
      <c r="K10" s="450"/>
      <c r="L10" s="458" t="s">
        <v>106</v>
      </c>
      <c r="M10" s="453" t="str">
        <f t="shared" si="1"/>
        <v>USDSFIXP4Y=</v>
      </c>
      <c r="N10" s="457" t="s">
        <v>240</v>
      </c>
      <c r="O10" s="456" t="s">
        <v>240</v>
      </c>
      <c r="P10" s="456" t="b">
        <f t="shared" si="2"/>
        <v>0</v>
      </c>
      <c r="Q10" s="455" t="e">
        <f>IF($P10,_xll.qlIndexAddFixings($S10,$N10,$O10/100,TRUE,ISERROR($T10)),NA())</f>
        <v>#N/A</v>
      </c>
      <c r="R10" s="445"/>
      <c r="S10" s="454" t="str">
        <f t="shared" si="3"/>
        <v>UsdLiborSwapIsdaFixPm4Y</v>
      </c>
      <c r="T10" s="453" t="e">
        <f>_xll.qlIndexFixing($S10,$N10,TRUE,$P10)</f>
        <v>#NUM!</v>
      </c>
      <c r="U10" s="453" t="e">
        <f>IF($Q10,_xll.qlIndexFixing($S10,$N10,FALSE,$P10),"-")</f>
        <v>#N/A</v>
      </c>
      <c r="V10" s="453" t="e">
        <f t="shared" si="4"/>
        <v>#NUM!</v>
      </c>
      <c r="W10" s="452" t="e">
        <f>_xll.qlIndexFixing($S10,$N10,TRUE,$U10)</f>
        <v>#NUM!</v>
      </c>
      <c r="X10" s="484">
        <f t="shared" si="5"/>
        <v>0</v>
      </c>
      <c r="Y10" s="440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UsdLiborSwapIsdaFixPm5Y#0001</v>
      </c>
      <c r="G11" s="48" t="str">
        <f>_xll.ohRangeRetrieveError(F11)</f>
        <v/>
      </c>
      <c r="H11" s="47"/>
      <c r="J11" s="421"/>
      <c r="K11" s="450"/>
      <c r="L11" s="458" t="s">
        <v>105</v>
      </c>
      <c r="M11" s="453" t="str">
        <f t="shared" si="1"/>
        <v>USDSFIXP5Y=</v>
      </c>
      <c r="N11" s="457" t="s">
        <v>240</v>
      </c>
      <c r="O11" s="456" t="s">
        <v>240</v>
      </c>
      <c r="P11" s="456" t="b">
        <f t="shared" si="2"/>
        <v>0</v>
      </c>
      <c r="Q11" s="455" t="e">
        <f>IF($P11,_xll.qlIndexAddFixings($S11,$N11,$O11/100,TRUE,ISERROR($T11)),NA())</f>
        <v>#N/A</v>
      </c>
      <c r="R11" s="445"/>
      <c r="S11" s="454" t="str">
        <f t="shared" si="3"/>
        <v>UsdLiborSwapIsdaFixPm5Y</v>
      </c>
      <c r="T11" s="453" t="e">
        <f>_xll.qlIndexFixing($S11,$N11,TRUE,$P11)</f>
        <v>#NUM!</v>
      </c>
      <c r="U11" s="453" t="e">
        <f>IF($Q11,_xll.qlIndexFixing($S11,$N11,FALSE,$P11),"-")</f>
        <v>#N/A</v>
      </c>
      <c r="V11" s="453" t="e">
        <f t="shared" si="4"/>
        <v>#NUM!</v>
      </c>
      <c r="W11" s="452" t="e">
        <f>_xll.qlIndexFixing($S11,$N11,TRUE,$U11)</f>
        <v>#NUM!</v>
      </c>
      <c r="X11" s="484">
        <f t="shared" si="5"/>
        <v>0</v>
      </c>
      <c r="Y11" s="440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UsdLiborSwapIsdaFixPm6Y#0001</v>
      </c>
      <c r="G12" s="48" t="str">
        <f>_xll.ohRangeRetrieveError(F12)</f>
        <v/>
      </c>
      <c r="H12" s="47"/>
      <c r="J12" s="421"/>
      <c r="K12" s="450"/>
      <c r="L12" s="458" t="s">
        <v>104</v>
      </c>
      <c r="M12" s="453" t="str">
        <f t="shared" si="1"/>
        <v>USDSFIXP6Y=</v>
      </c>
      <c r="N12" s="457" t="s">
        <v>240</v>
      </c>
      <c r="O12" s="456" t="s">
        <v>240</v>
      </c>
      <c r="P12" s="456" t="b">
        <f t="shared" si="2"/>
        <v>0</v>
      </c>
      <c r="Q12" s="455" t="e">
        <f>IF($P12,_xll.qlIndexAddFixings($S12,$N12,$O12/100,TRUE,ISERROR($T12)),NA())</f>
        <v>#N/A</v>
      </c>
      <c r="R12" s="445"/>
      <c r="S12" s="454" t="str">
        <f t="shared" si="3"/>
        <v>UsdLiborSwapIsdaFixPm6Y</v>
      </c>
      <c r="T12" s="453" t="e">
        <f>_xll.qlIndexFixing($S12,$N12,TRUE,$P12)</f>
        <v>#NUM!</v>
      </c>
      <c r="U12" s="453" t="e">
        <f>IF($Q12,_xll.qlIndexFixing($S12,$N12,FALSE,$P12),"-")</f>
        <v>#N/A</v>
      </c>
      <c r="V12" s="453" t="e">
        <f t="shared" si="4"/>
        <v>#NUM!</v>
      </c>
      <c r="W12" s="452" t="e">
        <f>_xll.qlIndexFixing($S12,$N12,TRUE,$U12)</f>
        <v>#NUM!</v>
      </c>
      <c r="X12" s="484">
        <f t="shared" si="5"/>
        <v>0</v>
      </c>
      <c r="Y12" s="440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UsdLiborSwapIsdaFixPm7Y#0001</v>
      </c>
      <c r="G13" s="48" t="str">
        <f>_xll.ohRangeRetrieveError(F13)</f>
        <v/>
      </c>
      <c r="H13" s="47"/>
      <c r="J13" s="421"/>
      <c r="K13" s="450"/>
      <c r="L13" s="458" t="s">
        <v>103</v>
      </c>
      <c r="M13" s="453" t="str">
        <f t="shared" si="1"/>
        <v>USDSFIXP7Y=</v>
      </c>
      <c r="N13" s="457" t="s">
        <v>240</v>
      </c>
      <c r="O13" s="456" t="s">
        <v>240</v>
      </c>
      <c r="P13" s="456" t="b">
        <f t="shared" si="2"/>
        <v>0</v>
      </c>
      <c r="Q13" s="455" t="e">
        <f>IF($P13,_xll.qlIndexAddFixings($S13,$N13,$O13/100,TRUE,ISERROR($T13)),NA())</f>
        <v>#N/A</v>
      </c>
      <c r="R13" s="445"/>
      <c r="S13" s="454" t="str">
        <f t="shared" si="3"/>
        <v>UsdLiborSwapIsdaFixPm7Y</v>
      </c>
      <c r="T13" s="453" t="e">
        <f>_xll.qlIndexFixing($S13,$N13,TRUE,$P13)</f>
        <v>#NUM!</v>
      </c>
      <c r="U13" s="453" t="e">
        <f>IF($Q13,_xll.qlIndexFixing($S13,$N13,FALSE,$P13),"-")</f>
        <v>#N/A</v>
      </c>
      <c r="V13" s="453" t="e">
        <f t="shared" si="4"/>
        <v>#NUM!</v>
      </c>
      <c r="W13" s="452" t="e">
        <f>_xll.qlIndexFixing($S13,$N13,TRUE,$U13)</f>
        <v>#NUM!</v>
      </c>
      <c r="X13" s="484">
        <f t="shared" si="5"/>
        <v>0</v>
      </c>
      <c r="Y13" s="440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UsdLiborSwapIsdaFixPm8Y#0001</v>
      </c>
      <c r="G14" s="48" t="str">
        <f>_xll.ohRangeRetrieveError(F14)</f>
        <v/>
      </c>
      <c r="H14" s="47"/>
      <c r="J14" s="421"/>
      <c r="K14" s="450"/>
      <c r="L14" s="458" t="s">
        <v>102</v>
      </c>
      <c r="M14" s="453" t="str">
        <f t="shared" si="1"/>
        <v>USDSFIXP8Y=</v>
      </c>
      <c r="N14" s="457" t="s">
        <v>240</v>
      </c>
      <c r="O14" s="456" t="s">
        <v>240</v>
      </c>
      <c r="P14" s="456" t="b">
        <f t="shared" si="2"/>
        <v>0</v>
      </c>
      <c r="Q14" s="455" t="e">
        <f>IF($P14,_xll.qlIndexAddFixings($S14,$N14,$O14/100,TRUE,ISERROR($T14)),NA())</f>
        <v>#N/A</v>
      </c>
      <c r="R14" s="445"/>
      <c r="S14" s="454" t="str">
        <f t="shared" si="3"/>
        <v>UsdLiborSwapIsdaFixPm8Y</v>
      </c>
      <c r="T14" s="453" t="e">
        <f>_xll.qlIndexFixing($S14,$N14,TRUE,$P14)</f>
        <v>#NUM!</v>
      </c>
      <c r="U14" s="453" t="e">
        <f>IF($Q14,_xll.qlIndexFixing($S14,$N14,FALSE,$P14),"-")</f>
        <v>#N/A</v>
      </c>
      <c r="V14" s="453" t="e">
        <f t="shared" si="4"/>
        <v>#NUM!</v>
      </c>
      <c r="W14" s="452" t="e">
        <f>_xll.qlIndexFixing($S14,$N14,TRUE,$U14)</f>
        <v>#NUM!</v>
      </c>
      <c r="X14" s="484">
        <f t="shared" si="5"/>
        <v>0</v>
      </c>
      <c r="Y14" s="440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UsdLiborSwapIsdaFixPm9Y#0001</v>
      </c>
      <c r="G15" s="48" t="str">
        <f>_xll.ohRangeRetrieveError(F15)</f>
        <v/>
      </c>
      <c r="H15" s="47"/>
      <c r="J15" s="421"/>
      <c r="K15" s="450"/>
      <c r="L15" s="458" t="s">
        <v>101</v>
      </c>
      <c r="M15" s="453" t="str">
        <f t="shared" si="1"/>
        <v>USDSFIXP9Y=</v>
      </c>
      <c r="N15" s="457" t="s">
        <v>240</v>
      </c>
      <c r="O15" s="456" t="s">
        <v>240</v>
      </c>
      <c r="P15" s="456" t="b">
        <f t="shared" si="2"/>
        <v>0</v>
      </c>
      <c r="Q15" s="455" t="e">
        <f>IF($P15,_xll.qlIndexAddFixings($S15,$N15,$O15/100,TRUE,ISERROR($T15)),NA())</f>
        <v>#N/A</v>
      </c>
      <c r="R15" s="445"/>
      <c r="S15" s="454" t="str">
        <f t="shared" si="3"/>
        <v>UsdLiborSwapIsdaFixPm9Y</v>
      </c>
      <c r="T15" s="453" t="e">
        <f>_xll.qlIndexFixing($S15,$N15,TRUE,$P15)</f>
        <v>#NUM!</v>
      </c>
      <c r="U15" s="453" t="e">
        <f>IF($Q15,_xll.qlIndexFixing($S15,$N15,FALSE,$P15),"-")</f>
        <v>#N/A</v>
      </c>
      <c r="V15" s="453" t="e">
        <f t="shared" si="4"/>
        <v>#NUM!</v>
      </c>
      <c r="W15" s="452" t="e">
        <f>_xll.qlIndexFixing($S15,$N15,TRUE,$U15)</f>
        <v>#NUM!</v>
      </c>
      <c r="X15" s="484">
        <f t="shared" si="5"/>
        <v>0</v>
      </c>
      <c r="Y15" s="440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UsdLiborSwapIsdaFixPm10Y#0001</v>
      </c>
      <c r="G16" s="48" t="str">
        <f>_xll.ohRangeRetrieveError(F16)</f>
        <v/>
      </c>
      <c r="H16" s="47"/>
      <c r="J16" s="421"/>
      <c r="K16" s="450"/>
      <c r="L16" s="458" t="s">
        <v>100</v>
      </c>
      <c r="M16" s="453" t="str">
        <f t="shared" si="1"/>
        <v>USDSFIXP10Y=</v>
      </c>
      <c r="N16" s="457" t="s">
        <v>240</v>
      </c>
      <c r="O16" s="456" t="s">
        <v>240</v>
      </c>
      <c r="P16" s="456" t="b">
        <f t="shared" si="2"/>
        <v>0</v>
      </c>
      <c r="Q16" s="455" t="e">
        <f>IF($P16,_xll.qlIndexAddFixings($S16,$N16,$O16/100,TRUE,ISERROR($T16)),NA())</f>
        <v>#N/A</v>
      </c>
      <c r="R16" s="445"/>
      <c r="S16" s="454" t="str">
        <f t="shared" si="3"/>
        <v>UsdLiborSwapIsdaFixPm10Y</v>
      </c>
      <c r="T16" s="453" t="e">
        <f>_xll.qlIndexFixing($S16,$N16,TRUE,$P16)</f>
        <v>#NUM!</v>
      </c>
      <c r="U16" s="453" t="e">
        <f>IF($Q16,_xll.qlIndexFixing($S16,$N16,FALSE,$P16),"-")</f>
        <v>#N/A</v>
      </c>
      <c r="V16" s="453" t="e">
        <f t="shared" si="4"/>
        <v>#NUM!</v>
      </c>
      <c r="W16" s="452" t="e">
        <f>_xll.qlIndexFixing($S16,$N16,TRUE,$U16)</f>
        <v>#NUM!</v>
      </c>
      <c r="X16" s="484">
        <f t="shared" si="5"/>
        <v>0</v>
      </c>
      <c r="Y16" s="440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UsdLiborSwapIsdaFixPm11Y#0001</v>
      </c>
      <c r="G17" s="48" t="str">
        <f>_xll.ohRangeRetrieveError(F17)</f>
        <v/>
      </c>
      <c r="H17" s="47"/>
      <c r="J17" s="421"/>
      <c r="K17" s="450"/>
      <c r="L17" s="458" t="s">
        <v>98</v>
      </c>
      <c r="M17" s="453" t="str">
        <f t="shared" si="1"/>
        <v>USDSFIXP12Y=</v>
      </c>
      <c r="N17" s="457" t="s">
        <v>240</v>
      </c>
      <c r="O17" s="456" t="s">
        <v>240</v>
      </c>
      <c r="P17" s="456" t="b">
        <f t="shared" si="2"/>
        <v>0</v>
      </c>
      <c r="Q17" s="455" t="e">
        <f>IF($P17,_xll.qlIndexAddFixings($S17,$N17,$O17/100,TRUE,ISERROR($T17)),NA())</f>
        <v>#N/A</v>
      </c>
      <c r="R17" s="445"/>
      <c r="S17" s="454" t="str">
        <f t="shared" si="3"/>
        <v>UsdLiborSwapIsdaFixPm12Y</v>
      </c>
      <c r="T17" s="453" t="e">
        <f>_xll.qlIndexFixing($S17,$N17,TRUE,$P17)</f>
        <v>#NUM!</v>
      </c>
      <c r="U17" s="453" t="e">
        <f>IF($Q17,_xll.qlIndexFixing($S17,$N17,FALSE,$P17),"-")</f>
        <v>#N/A</v>
      </c>
      <c r="V17" s="453" t="e">
        <f t="shared" si="4"/>
        <v>#NUM!</v>
      </c>
      <c r="W17" s="452" t="e">
        <f>_xll.qlIndexFixing($S17,$N17,TRUE,$U17)</f>
        <v>#NUM!</v>
      </c>
      <c r="X17" s="484">
        <f t="shared" si="5"/>
        <v>0</v>
      </c>
      <c r="Y17" s="440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UsdLiborSwapIsdaFixPm12Y#0001</v>
      </c>
      <c r="G18" s="48" t="str">
        <f>_xll.ohRangeRetrieveError(F18)</f>
        <v/>
      </c>
      <c r="H18" s="47"/>
      <c r="J18" s="421"/>
      <c r="K18" s="450"/>
      <c r="L18" s="458" t="s">
        <v>95</v>
      </c>
      <c r="M18" s="453" t="str">
        <f t="shared" si="1"/>
        <v>USDSFIXP15Y=</v>
      </c>
      <c r="N18" s="457" t="s">
        <v>240</v>
      </c>
      <c r="O18" s="456" t="s">
        <v>240</v>
      </c>
      <c r="P18" s="456" t="b">
        <f t="shared" si="2"/>
        <v>0</v>
      </c>
      <c r="Q18" s="455" t="e">
        <f>IF($P18,_xll.qlIndexAddFixings($S18,$N18,$O18/100,TRUE,ISERROR($T18)),NA())</f>
        <v>#N/A</v>
      </c>
      <c r="R18" s="445"/>
      <c r="S18" s="454" t="str">
        <f t="shared" si="3"/>
        <v>UsdLiborSwapIsdaFixPm15Y</v>
      </c>
      <c r="T18" s="453" t="e">
        <f>_xll.qlIndexFixing($S18,$N18,TRUE,$P18)</f>
        <v>#NUM!</v>
      </c>
      <c r="U18" s="453" t="e">
        <f>IF($Q18,_xll.qlIndexFixing($S18,$N18,FALSE,$P18),"-")</f>
        <v>#N/A</v>
      </c>
      <c r="V18" s="453" t="e">
        <f t="shared" si="4"/>
        <v>#NUM!</v>
      </c>
      <c r="W18" s="452" t="e">
        <f>_xll.qlIndexFixing($S18,$N18,TRUE,$U18)</f>
        <v>#NUM!</v>
      </c>
      <c r="X18" s="484">
        <f t="shared" si="5"/>
        <v>0</v>
      </c>
      <c r="Y18" s="440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UsdLiborSwapIsdaFixPm13Y#0001</v>
      </c>
      <c r="G19" s="48" t="str">
        <f>_xll.ohRangeRetrieveError(F19)</f>
        <v/>
      </c>
      <c r="H19" s="47"/>
      <c r="J19" s="421"/>
      <c r="K19" s="450"/>
      <c r="L19" s="458" t="s">
        <v>90</v>
      </c>
      <c r="M19" s="453" t="str">
        <f t="shared" si="1"/>
        <v>USDSFIXP20Y=</v>
      </c>
      <c r="N19" s="457" t="s">
        <v>240</v>
      </c>
      <c r="O19" s="456" t="s">
        <v>240</v>
      </c>
      <c r="P19" s="456" t="b">
        <f t="shared" si="2"/>
        <v>0</v>
      </c>
      <c r="Q19" s="455" t="e">
        <f>IF($P19,_xll.qlIndexAddFixings($S19,$N19,$O19/100,TRUE,ISERROR($T19)),NA())</f>
        <v>#N/A</v>
      </c>
      <c r="R19" s="445"/>
      <c r="S19" s="454" t="str">
        <f t="shared" si="3"/>
        <v>UsdLiborSwapIsdaFixPm20Y</v>
      </c>
      <c r="T19" s="453" t="e">
        <f>_xll.qlIndexFixing($S19,$N19,TRUE,$P19)</f>
        <v>#NUM!</v>
      </c>
      <c r="U19" s="453" t="e">
        <f>IF($Q19,_xll.qlIndexFixing($S19,$N19,FALSE,$P19),"-")</f>
        <v>#N/A</v>
      </c>
      <c r="V19" s="453" t="e">
        <f t="shared" si="4"/>
        <v>#NUM!</v>
      </c>
      <c r="W19" s="452" t="e">
        <f>_xll.qlIndexFixing($S19,$N19,TRUE,$U19)</f>
        <v>#NUM!</v>
      </c>
      <c r="X19" s="484">
        <f t="shared" si="5"/>
        <v>0</v>
      </c>
      <c r="Y19" s="440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UsdLiborSwapIsdaFixPm14Y#0001</v>
      </c>
      <c r="G20" s="48" t="str">
        <f>_xll.ohRangeRetrieveError(F20)</f>
        <v/>
      </c>
      <c r="H20" s="47"/>
      <c r="J20" s="421"/>
      <c r="K20" s="450"/>
      <c r="L20" s="458" t="s">
        <v>85</v>
      </c>
      <c r="M20" s="453" t="str">
        <f t="shared" si="1"/>
        <v>USDSFIXP25Y=</v>
      </c>
      <c r="N20" s="457" t="s">
        <v>240</v>
      </c>
      <c r="O20" s="456" t="s">
        <v>240</v>
      </c>
      <c r="P20" s="456" t="b">
        <f t="shared" si="2"/>
        <v>0</v>
      </c>
      <c r="Q20" s="455" t="e">
        <f>IF($P20,_xll.qlIndexAddFixings($S20,$N20,$O20/100,TRUE,ISERROR($T20)),NA())</f>
        <v>#N/A</v>
      </c>
      <c r="R20" s="445"/>
      <c r="S20" s="454" t="str">
        <f t="shared" si="3"/>
        <v>UsdLiborSwapIsdaFixPm25Y</v>
      </c>
      <c r="T20" s="453" t="e">
        <f>_xll.qlIndexFixing($S20,$N20,TRUE,$P20)</f>
        <v>#NUM!</v>
      </c>
      <c r="U20" s="453" t="e">
        <f>IF($Q20,_xll.qlIndexFixing($S20,$N20,FALSE,$P20),"-")</f>
        <v>#N/A</v>
      </c>
      <c r="V20" s="453" t="e">
        <f t="shared" si="4"/>
        <v>#NUM!</v>
      </c>
      <c r="W20" s="452" t="e">
        <f>_xll.qlIndexFixing($S20,$N20,TRUE,$U20)</f>
        <v>#NUM!</v>
      </c>
      <c r="X20" s="484">
        <f t="shared" si="5"/>
        <v>0</v>
      </c>
      <c r="Y20" s="440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UsdLiborSwapIsdaFixPm15Y#0001</v>
      </c>
      <c r="G21" s="48" t="str">
        <f>_xll.ohRangeRetrieveError(F21)</f>
        <v/>
      </c>
      <c r="H21" s="47"/>
      <c r="J21" s="421"/>
      <c r="K21" s="450"/>
      <c r="L21" s="449" t="s">
        <v>80</v>
      </c>
      <c r="M21" s="443" t="str">
        <f t="shared" si="1"/>
        <v>USDSFIXP30Y=</v>
      </c>
      <c r="N21" s="448" t="s">
        <v>240</v>
      </c>
      <c r="O21" s="447" t="s">
        <v>240</v>
      </c>
      <c r="P21" s="447" t="b">
        <f t="shared" si="2"/>
        <v>0</v>
      </c>
      <c r="Q21" s="446" t="e">
        <f>IF($P21,_xll.qlIndexAddFixings($S21,$N21,$O21/100,TRUE,ISERROR($T21)),NA())</f>
        <v>#N/A</v>
      </c>
      <c r="R21" s="445"/>
      <c r="S21" s="444" t="str">
        <f t="shared" si="3"/>
        <v>UsdLiborSwapIsdaFixPm30Y</v>
      </c>
      <c r="T21" s="443" t="e">
        <f>_xll.qlIndexFixing($S21,$N21,TRUE,$P21)</f>
        <v>#NUM!</v>
      </c>
      <c r="U21" s="443" t="e">
        <f>IF($Q21,_xll.qlIndexFixing($S21,$N21,FALSE,$P21),"-")</f>
        <v>#N/A</v>
      </c>
      <c r="V21" s="443" t="e">
        <f t="shared" si="4"/>
        <v>#NUM!</v>
      </c>
      <c r="W21" s="442" t="e">
        <f>_xll.qlIndexFixing($S21,$N21,TRUE,$U21)</f>
        <v>#NUM!</v>
      </c>
      <c r="X21" s="483">
        <f t="shared" si="5"/>
        <v>0</v>
      </c>
      <c r="Y21" s="440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UsdLiborSwapIsdaFixPm16Y#0001</v>
      </c>
      <c r="G22" s="48" t="str">
        <f>_xll.ohRangeRetrieveError(F22)</f>
        <v/>
      </c>
      <c r="H22" s="47"/>
      <c r="J22" s="421"/>
      <c r="K22" s="439"/>
      <c r="L22" s="437"/>
      <c r="M22" s="437"/>
      <c r="N22" s="437"/>
      <c r="O22" s="437"/>
      <c r="P22" s="437"/>
      <c r="Q22" s="437"/>
      <c r="R22" s="436"/>
      <c r="S22" s="436"/>
      <c r="T22" s="436"/>
      <c r="U22" s="436"/>
      <c r="V22" s="436"/>
      <c r="W22" s="436"/>
      <c r="X22" s="436"/>
      <c r="Y22" s="435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UsdLiborSwapIsdaFixPm17Y#0001</v>
      </c>
      <c r="G23" s="48" t="str">
        <f>_xll.ohRangeRetrieveError(F23)</f>
        <v/>
      </c>
      <c r="H23" s="47"/>
      <c r="J23" s="421"/>
      <c r="K23" s="421"/>
      <c r="L23" s="421"/>
      <c r="M23" s="421"/>
      <c r="N23" s="434"/>
      <c r="O23" s="433"/>
      <c r="P23" s="433"/>
      <c r="Q23" s="421"/>
      <c r="R23" s="421"/>
      <c r="S23" s="421"/>
      <c r="T23" s="421"/>
      <c r="U23" s="421"/>
      <c r="V23" s="421"/>
      <c r="W23" s="421"/>
      <c r="X23" s="421"/>
      <c r="Y23" s="421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UsdLiborSwapIsdaFixPm18Y#0001</v>
      </c>
      <c r="G24" s="48" t="str">
        <f>_xll.ohRangeRetrieveError(F24)</f>
        <v/>
      </c>
      <c r="H24" s="47"/>
      <c r="J24" s="421"/>
      <c r="K24" s="421"/>
      <c r="L24" s="432" t="s">
        <v>131</v>
      </c>
      <c r="M24" s="488" t="s">
        <v>325</v>
      </c>
      <c r="N24" s="487" t="s">
        <v>325</v>
      </c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UsdLiborSwapIsdaFixPm19Y#0001</v>
      </c>
      <c r="G25" s="48" t="str">
        <f>_xll.ohRangeRetrieveError(F25)</f>
        <v/>
      </c>
      <c r="H25" s="47"/>
      <c r="J25" s="421"/>
      <c r="K25" s="421"/>
      <c r="L25" s="427" t="s">
        <v>130</v>
      </c>
      <c r="M25" s="426" t="s">
        <v>327</v>
      </c>
      <c r="N25" s="425" t="s">
        <v>326</v>
      </c>
      <c r="O25" s="421"/>
      <c r="P25" s="421"/>
      <c r="Q25" s="421"/>
      <c r="R25" s="421"/>
      <c r="S25" s="421"/>
      <c r="T25" s="421"/>
      <c r="U25" s="421"/>
      <c r="V25" s="421"/>
      <c r="W25" s="421"/>
      <c r="X25" s="421"/>
      <c r="Y25" s="421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UsdLiborSwapIsdaFixPm20Y#0001</v>
      </c>
      <c r="G26" s="48" t="str">
        <f>_xll.ohRangeRetrieveError(F26)</f>
        <v/>
      </c>
      <c r="H26" s="47"/>
      <c r="J26" s="421"/>
      <c r="K26" s="421"/>
      <c r="L26" s="427" t="s">
        <v>309</v>
      </c>
      <c r="M26" s="426" t="s">
        <v>324</v>
      </c>
      <c r="N26" s="425" t="s">
        <v>323</v>
      </c>
      <c r="O26" s="421"/>
      <c r="P26" s="421"/>
      <c r="Q26" s="421"/>
      <c r="R26" s="421"/>
      <c r="S26" s="421"/>
      <c r="T26" s="421"/>
      <c r="U26" s="421"/>
      <c r="V26" s="421"/>
      <c r="W26" s="421"/>
      <c r="X26" s="421"/>
      <c r="Y26" s="421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UsdLiborSwapIsdaFixPm21Y#0001</v>
      </c>
      <c r="G27" s="48" t="str">
        <f>_xll.ohRangeRetrieveError(F27)</f>
        <v/>
      </c>
      <c r="H27" s="47"/>
      <c r="J27" s="421"/>
      <c r="K27" s="421"/>
      <c r="L27" s="427" t="s">
        <v>308</v>
      </c>
      <c r="M27" s="486" t="s">
        <v>325</v>
      </c>
      <c r="N27" s="485" t="s">
        <v>325</v>
      </c>
      <c r="O27" s="421"/>
      <c r="P27" s="421"/>
      <c r="Q27" s="421"/>
      <c r="R27" s="421"/>
      <c r="S27" s="421"/>
      <c r="T27" s="421"/>
      <c r="U27" s="421"/>
      <c r="V27" s="421"/>
      <c r="W27" s="421"/>
      <c r="X27" s="421"/>
      <c r="Y27" s="421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UsdLiborSwapIsdaFixPm22Y#0001</v>
      </c>
      <c r="G28" s="48" t="str">
        <f>_xll.ohRangeRetrieveError(F28)</f>
        <v/>
      </c>
      <c r="H28" s="47"/>
      <c r="J28" s="421"/>
      <c r="K28" s="421"/>
      <c r="L28" s="427" t="s">
        <v>127</v>
      </c>
      <c r="M28" s="486" t="s">
        <v>325</v>
      </c>
      <c r="N28" s="485" t="s">
        <v>325</v>
      </c>
      <c r="O28" s="421"/>
      <c r="P28" s="421"/>
      <c r="Q28" s="421"/>
      <c r="R28" s="421"/>
      <c r="S28" s="421"/>
      <c r="T28" s="421"/>
      <c r="U28" s="421"/>
      <c r="V28" s="421"/>
      <c r="W28" s="421"/>
      <c r="X28" s="421"/>
      <c r="Y28" s="421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UsdLiborSwapIsdaFixPm23Y#0001</v>
      </c>
      <c r="G29" s="48" t="str">
        <f>_xll.ohRangeRetrieveError(F29)</f>
        <v/>
      </c>
      <c r="H29" s="47"/>
      <c r="J29" s="421"/>
      <c r="K29" s="421"/>
      <c r="L29" s="427" t="s">
        <v>126</v>
      </c>
      <c r="M29" s="426" t="s">
        <v>324</v>
      </c>
      <c r="N29" s="425" t="s">
        <v>323</v>
      </c>
      <c r="O29" s="421"/>
      <c r="P29" s="421"/>
      <c r="Q29" s="421"/>
      <c r="R29" s="421"/>
      <c r="S29" s="421"/>
      <c r="T29" s="421"/>
      <c r="U29" s="421"/>
      <c r="V29" s="421"/>
      <c r="W29" s="421"/>
      <c r="X29" s="421"/>
      <c r="Y29" s="421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UsdLiborSwapIsdaFixPm24Y#0001</v>
      </c>
      <c r="G30" s="48" t="str">
        <f>_xll.ohRangeRetrieveError(F30)</f>
        <v/>
      </c>
      <c r="H30" s="47"/>
      <c r="J30" s="421"/>
      <c r="K30" s="421"/>
      <c r="L30" s="424" t="s">
        <v>121</v>
      </c>
      <c r="M30" s="482" t="s">
        <v>324</v>
      </c>
      <c r="N30" s="481" t="s">
        <v>323</v>
      </c>
      <c r="O30" s="421"/>
      <c r="P30" s="421"/>
      <c r="Q30" s="421"/>
      <c r="R30" s="421"/>
      <c r="S30" s="421"/>
      <c r="T30" s="421"/>
      <c r="U30" s="421"/>
      <c r="V30" s="421"/>
      <c r="W30" s="421"/>
      <c r="X30" s="421"/>
      <c r="Y30" s="421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UsdLiborSwapIsdaFixPm25Y#0001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UsdLiborSwapIsdaFixPm26Y#0001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UsdLiborSwapIsdaFixPm27Y#0001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UsdLiborSwapIsdaFixPm28Y#0001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UsdLiborSwapIsdaFixPm29Y#0001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UsdLiborSwapIsdaFixPm30Y#0001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UsdLiborSwapIsdaFixPm31Y#0001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UsdLiborSwapIsdaFixPm32Y#0001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UsdLiborSwapIsdaFixPm33Y#0001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UsdLiborSwapIsdaFixPm34Y#0001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UsdLiborSwapIsdaFixPm35Y#0001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UsdLiborSwapIsdaFixPm36Y#0001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UsdLiborSwapIsdaFixPm37Y#0001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UsdLiborSwapIsdaFixPm38Y#0001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UsdLiborSwapIsdaFixPm39Y#0001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UsdLiborSwapIsdaFixPm40Y#0001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UsdLiborSwapIsdaFixPm41Y#0001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UsdLiborSwapIsdaFixPm42Y#0001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UsdLiborSwapIsdaFixPm43Y#0001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UsdLiborSwapIsdaFixPm44Y#0001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UsdLiborSwapIsdaFixPm45Y#0001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UsdLiborSwapIsdaFixPm46Y#0001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UsdLiborSwapIsdaFixPm47Y#0001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UsdLiborSwapIsdaFixPm48Y#0001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UsdLiborSwapIsdaFixPm49Y#0001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UsdLiborSwapIsdaFixPm50Y#0001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UsdLiborSwapIsdaFixPm51Y#0001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UsdLiborSwapIsdaFixPm52Y#0001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UsdLiborSwapIsdaFixPm53Y#0001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UsdLiborSwapIsdaFixPm54Y#0001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UsdLiborSwapIsdaFixPm55Y#0001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UsdLiborSwapIsdaFixPm56Y#0001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UsdLiborSwapIsdaFixPm57Y#0001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UsdLiborSwapIsdaFixPm58Y#0001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UsdLiborSwapIsdaFixPm59Y#0001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UsdLiborSwapIsdaFixPm60Y#0001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4" priority="1" stopIfTrue="1" operator="greaterThan">
      <formula>0</formula>
    </cfRule>
    <cfRule type="cellIs" dxfId="33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122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118</v>
      </c>
      <c r="G4" s="58"/>
      <c r="H4" s="54"/>
    </row>
    <row r="5" spans="1:8" s="43" customFormat="1" x14ac:dyDescent="0.2">
      <c r="B5" s="53"/>
      <c r="C5" s="58"/>
      <c r="D5" s="58"/>
      <c r="E5" s="59" t="s">
        <v>117</v>
      </c>
      <c r="F5" s="66" t="str">
        <f>Libor!F13</f>
        <v>UsdLibor3M#0001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UsdLiborSwapForBasisCalc1Y#0001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UsdLiborSwapForBasisCalc2Y#0001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UsdLiborSwapForBasisCalc3Y#0001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UsdLiborSwapForBasisCalc4Y#0001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UsdLiborSwapForBasisCalc5Y#0001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UsdLiborSwapForBasisCalc6Y#0001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UsdLiborSwapForBasisCalc7Y#0001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UsdLiborSwapForBasisCalc8Y#0001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UsdLiborSwapForBasisCalc9Y#0001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UsdLiborSwapForBasisCalc10Y#0001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UsdLiborSwapForBasisCalc11Y#0001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UsdLiborSwapForBasisCalc12Y#0001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UsdLiborSwapForBasisCalc13Y#0001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UsdLiborSwapForBasisCalc14Y#0001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UsdLiborSwapForBasisCalc15Y#0001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UsdLiborSwapForBasisCalc16Y#0001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UsdLiborSwapForBasisCalc17Y#0001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UsdLiborSwapForBasisCalc18Y#0001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UsdLiborSwapForBasisCalc19Y#0001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UsdLiborSwapForBasisCalc20Y#0001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UsdLiborSwapForBasisCalc21Y#0001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UsdLiborSwapForBasisCalc22Y#0001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UsdLiborSwapForBasisCalc23Y#0001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UsdLiborSwapForBasisCalc24Y#0001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UsdLiborSwapForBasisCalc25Y#0001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UsdLiborSwapForBasisCalc26Y#0001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UsdLiborSwapForBasisCalc27Y#0001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UsdLiborSwapForBasisCalc28Y#0001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UsdLiborSwapForBasisCalc29Y#0001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UsdLiborSwapForBasisCalc30Y#0001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UsdLiborSwapForBasisCalc31Y#0001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UsdLiborSwapForBasisCalc32Y#0001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UsdLiborSwapForBasisCalc33Y#0001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UsdLiborSwapForBasisCalc34Y#0001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UsdLiborSwapForBasisCalc35Y#0001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UsdLiborSwapForBasisCalc36Y#0001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UsdLiborSwapForBasisCalc37Y#0001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UsdLiborSwapForBasisCalc38Y#0001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UsdLiborSwapForBasisCalc39Y#0001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UsdLiborSwapForBasisCalc40Y#0001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UsdLiborSwapForBasisCalc41Y#0001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UsdLiborSwapForBasisCalc42Y#0001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UsdLiborSwapForBasisCalc43Y#0001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UsdLiborSwapForBasisCalc44Y#0001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UsdLiborSwapForBasisCalc45Y#0001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UsdLiborSwapForBasisCalc46Y#0001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UsdLiborSwapForBasisCalc47Y#0001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UsdLiborSwapForBasisCalc48Y#0001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UsdLiborSwapForBasisCalc49Y#0001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UsdLiborSwapForBasisCalc50Y#0001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UsdLiborSwapForBasisCalc51Y#0001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UsdLiborSwapForBasisCalc52Y#0001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UsdLiborSwapForBasisCalc53Y#0001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UsdLiborSwapForBasisCalc54Y#0001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UsdLiborSwapForBasisCalc55Y#0001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UsdLiborSwapForBasisCalc56Y#0001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UsdLiborSwapForBasisCalc57Y#0001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UsdLiborSwapForBasisCalc58Y#0001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UsdLiborSwapForBasisCalc59Y#0001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UsdLiborSwapForBasisCalc60Y#0001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>
      <selection activeCell="AB5" sqref="AB5:AB42"/>
    </sheetView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299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144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obj_005bd#0000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3</v>
      </c>
      <c r="AD3" s="220"/>
    </row>
    <row r="4" spans="1:34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08" t="s">
        <v>256</v>
      </c>
      <c r="AC4" s="92" t="s">
        <v>255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USD3L1L6M_Quote#0002</v>
      </c>
      <c r="G5" s="73" t="str">
        <f>_xll.ohRangeRetrieveError(F5)</f>
        <v/>
      </c>
      <c r="H5" s="72"/>
      <c r="I5" s="21"/>
      <c r="J5" s="21"/>
      <c r="K5" s="21"/>
      <c r="L5" s="21"/>
      <c r="N5" s="391">
        <v>0.5</v>
      </c>
      <c r="O5" s="270" t="s">
        <v>35</v>
      </c>
      <c r="P5" s="319" t="str">
        <f t="array" ref="P5:P42">VLOOKUP(Currency,Conventions,2)</f>
        <v>3L</v>
      </c>
      <c r="Q5" s="319" t="str">
        <f t="array" ref="Q5:Q42">VLOOKUP(Currency,Conventions,3)</f>
        <v>1L</v>
      </c>
      <c r="R5" s="317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89">
        <v>6.8</v>
      </c>
      <c r="U5" s="389">
        <v>0</v>
      </c>
      <c r="V5" s="389">
        <f>_xll.qlMidEquivalent(T5,U5)</f>
        <v>6.8</v>
      </c>
      <c r="W5" s="264" t="b">
        <f t="shared" ref="W5:W42" si="2">IF(ISNUMBER(V5),TRUE,FALSE)</f>
        <v>1</v>
      </c>
      <c r="X5" s="390">
        <f t="array" ref="X5:X38">_xll.qlInterpolationInterpolate(S3,N5:N42)</f>
        <v>6.8</v>
      </c>
      <c r="Y5" s="266"/>
      <c r="Z5" s="387">
        <v>6.7</v>
      </c>
      <c r="AA5" s="266"/>
      <c r="AB5" s="540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131</v>
      </c>
      <c r="AG5" s="86" t="s">
        <v>123</v>
      </c>
      <c r="AH5" s="85" t="s">
        <v>125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USD3L1L1Y_Quote#0002</v>
      </c>
      <c r="G6" s="73" t="str">
        <f>_xll.ohRangeRetrieveError(F6)</f>
        <v/>
      </c>
      <c r="H6" s="72"/>
      <c r="I6" s="21"/>
      <c r="J6" s="21"/>
      <c r="K6" s="21"/>
      <c r="L6" s="21"/>
      <c r="N6" s="391">
        <v>1</v>
      </c>
      <c r="O6" s="270" t="s">
        <v>29</v>
      </c>
      <c r="P6" s="319" t="str">
        <v>3L</v>
      </c>
      <c r="Q6" s="319" t="str">
        <v>1L</v>
      </c>
      <c r="R6" s="317" t="str">
        <f t="shared" si="1"/>
        <v>USD3L1L1Y</v>
      </c>
      <c r="S6" s="269" t="str">
        <v>USD3L1L1Y=ICAP</v>
      </c>
      <c r="T6" s="389">
        <v>7.4</v>
      </c>
      <c r="U6" s="389">
        <v>0</v>
      </c>
      <c r="V6" s="389">
        <f>_xll.qlMidEquivalent(T6,U6)</f>
        <v>7.4</v>
      </c>
      <c r="W6" s="264" t="b">
        <f t="shared" si="2"/>
        <v>1</v>
      </c>
      <c r="X6" s="390">
        <v>7.4</v>
      </c>
      <c r="Y6" s="266"/>
      <c r="Z6" s="387">
        <v>7.4</v>
      </c>
      <c r="AA6" s="266"/>
      <c r="AB6" s="540">
        <v>7.4</v>
      </c>
      <c r="AC6" s="263" t="e">
        <f>_xll.qlSimpleQuoteSetValue(F6,AB6/10000,Trigger)</f>
        <v>#N/A</v>
      </c>
      <c r="AD6" s="220"/>
      <c r="AE6" s="21"/>
      <c r="AF6" s="84" t="s">
        <v>130</v>
      </c>
      <c r="AG6" s="83" t="s">
        <v>129</v>
      </c>
      <c r="AH6" s="82" t="s">
        <v>128</v>
      </c>
    </row>
    <row r="7" spans="1:34" s="20" customFormat="1" ht="12.75" x14ac:dyDescent="0.2">
      <c r="A7" s="78"/>
      <c r="B7" s="88" t="s">
        <v>134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USD3L1L15M_Quote#0002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3L</v>
      </c>
      <c r="Q7" s="319" t="str">
        <v>1L</v>
      </c>
      <c r="R7" s="317" t="str">
        <f t="shared" si="1"/>
        <v>USD3L1L15M</v>
      </c>
      <c r="S7" s="269" t="str">
        <v>USD3L1L15M=ICAP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7.5734375000000007</v>
      </c>
      <c r="Y7" s="266"/>
      <c r="Z7" s="387">
        <v>7.5734375000000007</v>
      </c>
      <c r="AA7" s="266"/>
      <c r="AB7" s="540">
        <v>7.5734375000000007</v>
      </c>
      <c r="AC7" s="263" t="e">
        <f>_xll.qlSimpleQuoteSetValue(F7,AB7/10000,Trigger)</f>
        <v>#N/A</v>
      </c>
      <c r="AD7" s="220"/>
      <c r="AE7" s="21"/>
      <c r="AF7" s="84" t="s">
        <v>127</v>
      </c>
      <c r="AG7" s="83" t="s">
        <v>123</v>
      </c>
      <c r="AH7" s="82" t="s">
        <v>125</v>
      </c>
    </row>
    <row r="8" spans="1:34" ht="12.75" x14ac:dyDescent="0.2">
      <c r="A8" s="78"/>
      <c r="B8" s="88" t="s">
        <v>133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USD3L1L18M_Quote#0002</v>
      </c>
      <c r="G8" s="73" t="str">
        <f>_xll.ohRangeRetrieveError(F8)</f>
        <v/>
      </c>
      <c r="H8" s="72"/>
      <c r="I8" s="20"/>
      <c r="J8" s="20"/>
      <c r="K8" s="20"/>
      <c r="L8" s="20"/>
      <c r="N8" s="391">
        <v>1.5</v>
      </c>
      <c r="O8" s="270" t="s">
        <v>133</v>
      </c>
      <c r="P8" s="319" t="str">
        <v>3L</v>
      </c>
      <c r="Q8" s="319" t="str">
        <v>1L</v>
      </c>
      <c r="R8" s="317" t="str">
        <f t="shared" si="1"/>
        <v>USD3L1L18M</v>
      </c>
      <c r="S8" s="269" t="str">
        <v>USD3L1L18M=ICAP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7.6625000000000005</v>
      </c>
      <c r="Y8" s="266"/>
      <c r="Z8" s="387">
        <v>7.6625000000000005</v>
      </c>
      <c r="AA8" s="266"/>
      <c r="AB8" s="540">
        <v>7.6625000000000005</v>
      </c>
      <c r="AC8" s="263" t="e">
        <f>_xll.qlSimpleQuoteSetValue(F8,AB8/10000,Trigger)</f>
        <v>#N/A</v>
      </c>
      <c r="AD8" s="220"/>
      <c r="AF8" s="84" t="s">
        <v>126</v>
      </c>
      <c r="AG8" s="83" t="s">
        <v>123</v>
      </c>
      <c r="AH8" s="82" t="s">
        <v>125</v>
      </c>
    </row>
    <row r="9" spans="1:34" ht="13.5" thickBot="1" x14ac:dyDescent="0.25">
      <c r="A9" s="78"/>
      <c r="B9" s="88" t="s">
        <v>132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USD3L1L21M_Quote#0002</v>
      </c>
      <c r="G9" s="73" t="str">
        <f>_xll.ohRangeRetrieveError(F9)</f>
        <v/>
      </c>
      <c r="H9" s="72"/>
      <c r="I9" s="20"/>
      <c r="J9" s="20"/>
      <c r="K9" s="20"/>
      <c r="L9" s="20"/>
      <c r="N9" s="391">
        <v>1.75</v>
      </c>
      <c r="O9" s="270" t="s">
        <v>132</v>
      </c>
      <c r="P9" s="319" t="str">
        <v>3L</v>
      </c>
      <c r="Q9" s="319" t="str">
        <v>1L</v>
      </c>
      <c r="R9" s="317" t="str">
        <f t="shared" si="1"/>
        <v>USD3L1L21M</v>
      </c>
      <c r="S9" s="269" t="str">
        <v>USD3L1L21M=ICAP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7.6953125</v>
      </c>
      <c r="Y9" s="266"/>
      <c r="Z9" s="387">
        <v>7.6953125</v>
      </c>
      <c r="AA9" s="266"/>
      <c r="AB9" s="540">
        <v>7.6953125</v>
      </c>
      <c r="AC9" s="263" t="e">
        <f>_xll.qlSimpleQuoteSetValue(F9,AB9/10000,Trigger)</f>
        <v>#N/A</v>
      </c>
      <c r="AD9" s="220"/>
      <c r="AF9" s="81" t="s">
        <v>121</v>
      </c>
      <c r="AG9" s="80" t="s">
        <v>124</v>
      </c>
      <c r="AH9" s="79" t="s">
        <v>123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USD3L1L2Y_Quote#0002</v>
      </c>
      <c r="G10" s="73" t="str">
        <f>_xll.ohRangeRetrieveError(F10)</f>
        <v/>
      </c>
      <c r="H10" s="72"/>
      <c r="J10" s="87" t="s">
        <v>131</v>
      </c>
      <c r="K10" s="86" t="s">
        <v>123</v>
      </c>
      <c r="L10" s="85" t="s">
        <v>125</v>
      </c>
      <c r="N10" s="121">
        <v>2</v>
      </c>
      <c r="O10" s="270" t="s">
        <v>108</v>
      </c>
      <c r="P10" s="319" t="str">
        <v>3L</v>
      </c>
      <c r="Q10" s="319" t="str">
        <v>1L</v>
      </c>
      <c r="R10" s="317" t="str">
        <f t="shared" si="1"/>
        <v>USD3L1L2Y</v>
      </c>
      <c r="S10" s="269" t="str">
        <v>USD3L1L2Y=ICAP</v>
      </c>
      <c r="T10" s="389">
        <v>7.7</v>
      </c>
      <c r="U10" s="389">
        <v>0</v>
      </c>
      <c r="V10" s="389">
        <f>_xll.qlMidEquivalent(T10,U10)</f>
        <v>7.7</v>
      </c>
      <c r="W10" s="264" t="b">
        <f t="shared" si="2"/>
        <v>1</v>
      </c>
      <c r="X10" s="390">
        <v>7.7</v>
      </c>
      <c r="Y10" s="266"/>
      <c r="Z10" s="387">
        <v>7.7</v>
      </c>
      <c r="AA10" s="266"/>
      <c r="AB10" s="540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USD3L1L3Y_Quote#0002</v>
      </c>
      <c r="G11" s="73" t="str">
        <f>_xll.ohRangeRetrieveError(F11)</f>
        <v/>
      </c>
      <c r="H11" s="72"/>
      <c r="J11" s="84" t="s">
        <v>130</v>
      </c>
      <c r="K11" s="83" t="s">
        <v>129</v>
      </c>
      <c r="L11" s="82" t="s">
        <v>128</v>
      </c>
      <c r="N11" s="121">
        <v>3</v>
      </c>
      <c r="O11" s="270" t="s">
        <v>107</v>
      </c>
      <c r="P11" s="319" t="str">
        <v>3L</v>
      </c>
      <c r="Q11" s="319" t="str">
        <v>1L</v>
      </c>
      <c r="R11" s="317" t="str">
        <f t="shared" si="1"/>
        <v>USD3L1L3Y</v>
      </c>
      <c r="S11" s="269" t="str">
        <v>USD3L1L3Y=ICAP</v>
      </c>
      <c r="T11" s="389">
        <v>7.6</v>
      </c>
      <c r="U11" s="389">
        <v>0</v>
      </c>
      <c r="V11" s="389">
        <f>_xll.qlMidEquivalent(T11,U11)</f>
        <v>7.6</v>
      </c>
      <c r="W11" s="264" t="b">
        <f t="shared" si="2"/>
        <v>1</v>
      </c>
      <c r="X11" s="390">
        <v>7.6</v>
      </c>
      <c r="Y11" s="266"/>
      <c r="Z11" s="387">
        <v>7.6</v>
      </c>
      <c r="AA11" s="266"/>
      <c r="AB11" s="540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USD3L1L4Y_Quote#0002</v>
      </c>
      <c r="G12" s="73" t="str">
        <f>_xll.ohRangeRetrieveError(F12)</f>
        <v/>
      </c>
      <c r="H12" s="72"/>
      <c r="J12" s="84" t="s">
        <v>127</v>
      </c>
      <c r="K12" s="83" t="s">
        <v>123</v>
      </c>
      <c r="L12" s="82" t="s">
        <v>125</v>
      </c>
      <c r="N12" s="121">
        <v>4</v>
      </c>
      <c r="O12" s="270" t="s">
        <v>106</v>
      </c>
      <c r="P12" s="319" t="str">
        <v>3L</v>
      </c>
      <c r="Q12" s="319" t="str">
        <v>1L</v>
      </c>
      <c r="R12" s="317" t="str">
        <f t="shared" si="1"/>
        <v>USD3L1L4Y</v>
      </c>
      <c r="S12" s="269" t="str">
        <v>USD3L1L4Y=ICAP</v>
      </c>
      <c r="T12" s="389">
        <v>7.5</v>
      </c>
      <c r="U12" s="389">
        <v>0</v>
      </c>
      <c r="V12" s="389">
        <f>_xll.qlMidEquivalent(T12,U12)</f>
        <v>7.5</v>
      </c>
      <c r="W12" s="264" t="b">
        <f t="shared" si="2"/>
        <v>1</v>
      </c>
      <c r="X12" s="390">
        <v>7.5</v>
      </c>
      <c r="Y12" s="266"/>
      <c r="Z12" s="387">
        <v>7.5</v>
      </c>
      <c r="AA12" s="266"/>
      <c r="AB12" s="540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USD3L1L5Y_Quote#0002</v>
      </c>
      <c r="G13" s="73" t="str">
        <f>_xll.ohRangeRetrieveError(F13)</f>
        <v/>
      </c>
      <c r="H13" s="72"/>
      <c r="J13" s="84" t="s">
        <v>126</v>
      </c>
      <c r="K13" s="83" t="s">
        <v>123</v>
      </c>
      <c r="L13" s="82" t="s">
        <v>125</v>
      </c>
      <c r="N13" s="121">
        <v>5</v>
      </c>
      <c r="O13" s="270" t="s">
        <v>105</v>
      </c>
      <c r="P13" s="319" t="str">
        <v>3L</v>
      </c>
      <c r="Q13" s="319" t="str">
        <v>1L</v>
      </c>
      <c r="R13" s="317" t="str">
        <f t="shared" si="1"/>
        <v>USD3L1L5Y</v>
      </c>
      <c r="S13" s="269" t="str">
        <v>USD3L1L5Y=ICAP</v>
      </c>
      <c r="T13" s="389">
        <v>7.4</v>
      </c>
      <c r="U13" s="389">
        <v>0</v>
      </c>
      <c r="V13" s="389">
        <f>_xll.qlMidEquivalent(T13,U13)</f>
        <v>7.4</v>
      </c>
      <c r="W13" s="264" t="b">
        <f t="shared" si="2"/>
        <v>1</v>
      </c>
      <c r="X13" s="390">
        <v>7.4</v>
      </c>
      <c r="Y13" s="266"/>
      <c r="Z13" s="387">
        <v>7.4</v>
      </c>
      <c r="AA13" s="266"/>
      <c r="AB13" s="540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USD3L1L6Y_Quote#0002</v>
      </c>
      <c r="G14" s="73" t="str">
        <f>_xll.ohRangeRetrieveError(F14)</f>
        <v/>
      </c>
      <c r="H14" s="72"/>
      <c r="J14" s="81" t="s">
        <v>121</v>
      </c>
      <c r="K14" s="80" t="s">
        <v>124</v>
      </c>
      <c r="L14" s="79" t="s">
        <v>123</v>
      </c>
      <c r="N14" s="121">
        <v>6</v>
      </c>
      <c r="O14" s="270" t="s">
        <v>104</v>
      </c>
      <c r="P14" s="319" t="str">
        <v>3L</v>
      </c>
      <c r="Q14" s="319" t="str">
        <v>1L</v>
      </c>
      <c r="R14" s="317" t="str">
        <f t="shared" si="1"/>
        <v>USD3L1L6Y</v>
      </c>
      <c r="S14" s="269" t="str">
        <v>USD3L1L6Y=ICAP</v>
      </c>
      <c r="T14" s="389">
        <v>7.2</v>
      </c>
      <c r="U14" s="389">
        <v>0</v>
      </c>
      <c r="V14" s="389">
        <f>_xll.qlMidEquivalent(T14,U14)</f>
        <v>7.2</v>
      </c>
      <c r="W14" s="264" t="b">
        <f t="shared" si="2"/>
        <v>1</v>
      </c>
      <c r="X14" s="390">
        <v>7.2</v>
      </c>
      <c r="Y14" s="266"/>
      <c r="Z14" s="387">
        <v>7.1</v>
      </c>
      <c r="AA14" s="266"/>
      <c r="AB14" s="540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3L</v>
      </c>
      <c r="Q15" s="319" t="str">
        <v>1L</v>
      </c>
      <c r="R15" s="317" t="str">
        <f t="shared" si="1"/>
        <v>USD3L1L7Y</v>
      </c>
      <c r="S15" s="269" t="str">
        <v>USD3L1L7Y=ICAP</v>
      </c>
      <c r="T15" s="389">
        <v>6.9</v>
      </c>
      <c r="U15" s="389">
        <v>0</v>
      </c>
      <c r="V15" s="389">
        <f>_xll.qlMidEquivalent(T15,U15)</f>
        <v>6.9</v>
      </c>
      <c r="W15" s="264" t="b">
        <f t="shared" si="2"/>
        <v>1</v>
      </c>
      <c r="X15" s="390">
        <v>6.9</v>
      </c>
      <c r="Y15" s="266"/>
      <c r="Z15" s="387">
        <v>6.9</v>
      </c>
      <c r="AA15" s="266"/>
      <c r="AB15" s="540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3L</v>
      </c>
      <c r="Q16" s="319" t="str">
        <v>1L</v>
      </c>
      <c r="R16" s="317" t="str">
        <f t="shared" si="1"/>
        <v>USD3L1L8Y</v>
      </c>
      <c r="S16" s="269" t="str">
        <v>USD3L1L8Y=ICAP</v>
      </c>
      <c r="T16" s="389">
        <v>6.5</v>
      </c>
      <c r="U16" s="389">
        <v>0</v>
      </c>
      <c r="V16" s="389">
        <f>_xll.qlMidEquivalent(T16,U16)</f>
        <v>6.5</v>
      </c>
      <c r="W16" s="264" t="b">
        <f t="shared" si="2"/>
        <v>1</v>
      </c>
      <c r="X16" s="390">
        <v>6.5</v>
      </c>
      <c r="Y16" s="266"/>
      <c r="Z16" s="387">
        <v>6.5</v>
      </c>
      <c r="AA16" s="266"/>
      <c r="AB16" s="540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3L</v>
      </c>
      <c r="Q17" s="319" t="str">
        <v>1L</v>
      </c>
      <c r="R17" s="317" t="str">
        <f t="shared" si="1"/>
        <v>USD3L1L9Y</v>
      </c>
      <c r="S17" s="269" t="str">
        <v>USD3L1L9Y=ICAP</v>
      </c>
      <c r="T17" s="389">
        <v>6.2</v>
      </c>
      <c r="U17" s="389">
        <v>0</v>
      </c>
      <c r="V17" s="389">
        <f>_xll.qlMidEquivalent(T17,U17)</f>
        <v>6.2</v>
      </c>
      <c r="W17" s="264" t="b">
        <f t="shared" si="2"/>
        <v>1</v>
      </c>
      <c r="X17" s="390">
        <v>6.2</v>
      </c>
      <c r="Y17" s="266"/>
      <c r="Z17" s="387">
        <v>6.2</v>
      </c>
      <c r="AA17" s="266"/>
      <c r="AB17" s="540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3L</v>
      </c>
      <c r="Q18" s="319" t="str">
        <v>1L</v>
      </c>
      <c r="R18" s="317" t="str">
        <f t="shared" si="1"/>
        <v>USD3L1L10Y</v>
      </c>
      <c r="S18" s="269" t="str">
        <v>USD3L1L10Y=ICAP</v>
      </c>
      <c r="T18" s="389">
        <v>5.8</v>
      </c>
      <c r="U18" s="389">
        <v>0</v>
      </c>
      <c r="V18" s="389">
        <f>_xll.qlMidEquivalent(T18,U18)</f>
        <v>5.8</v>
      </c>
      <c r="W18" s="264" t="b">
        <f t="shared" si="2"/>
        <v>1</v>
      </c>
      <c r="X18" s="390">
        <v>5.8</v>
      </c>
      <c r="Y18" s="266"/>
      <c r="Z18" s="387">
        <v>5.8</v>
      </c>
      <c r="AA18" s="266"/>
      <c r="AB18" s="540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3L</v>
      </c>
      <c r="Q19" s="319" t="str">
        <v>1L</v>
      </c>
      <c r="R19" s="317" t="str">
        <f t="shared" si="1"/>
        <v>USD3L1L11Y</v>
      </c>
      <c r="S19" s="269" t="str">
        <v>USD3L1L11Y=ICAP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5.4599600912493669</v>
      </c>
      <c r="Y19" s="266"/>
      <c r="Z19" s="387">
        <v>5.459271628909641</v>
      </c>
      <c r="AA19" s="266"/>
      <c r="AB19" s="540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3L</v>
      </c>
      <c r="Q20" s="319" t="str">
        <v>1L</v>
      </c>
      <c r="R20" s="317" t="str">
        <f t="shared" si="1"/>
        <v>USD3L1L12Y</v>
      </c>
      <c r="S20" s="269" t="str">
        <v>USD3L1L12Y=ICAP</v>
      </c>
      <c r="T20" s="389">
        <v>5.2</v>
      </c>
      <c r="U20" s="389">
        <v>0</v>
      </c>
      <c r="V20" s="389">
        <f>_xll.qlMidEquivalent(T20,U20)</f>
        <v>5.2</v>
      </c>
      <c r="W20" s="264" t="b">
        <f t="shared" si="2"/>
        <v>1</v>
      </c>
      <c r="X20" s="390">
        <v>5.2</v>
      </c>
      <c r="Y20" s="266"/>
      <c r="Z20" s="387">
        <v>5.2</v>
      </c>
      <c r="AA20" s="266"/>
      <c r="AB20" s="540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3L</v>
      </c>
      <c r="Q21" s="319" t="str">
        <v>1L</v>
      </c>
      <c r="R21" s="317" t="str">
        <f t="shared" si="1"/>
        <v>USD3L1L13Y</v>
      </c>
      <c r="S21" s="269" t="str">
        <v>USD3L1L13Y=ICAP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4.9762689728823704</v>
      </c>
      <c r="Y21" s="266"/>
      <c r="Z21" s="387">
        <v>4.9766154400837639</v>
      </c>
      <c r="AA21" s="266"/>
      <c r="AB21" s="540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3L</v>
      </c>
      <c r="Q22" s="319" t="str">
        <v>1L</v>
      </c>
      <c r="R22" s="317" t="str">
        <f t="shared" si="1"/>
        <v>USD3L1L14Y</v>
      </c>
      <c r="S22" s="269" t="str">
        <v>USD3L1L14Y=ICAP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4.7773654100412521</v>
      </c>
      <c r="Y22" s="266"/>
      <c r="Z22" s="387">
        <v>4.7776120796248538</v>
      </c>
      <c r="AA22" s="266"/>
      <c r="AB22" s="540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3L</v>
      </c>
      <c r="Q23" s="319" t="str">
        <v>1L</v>
      </c>
      <c r="R23" s="317" t="str">
        <f t="shared" si="1"/>
        <v>USD3L1L15Y</v>
      </c>
      <c r="S23" s="269" t="str">
        <v>USD3L1L15Y=ICAP</v>
      </c>
      <c r="T23" s="389">
        <v>4.5999999999999996</v>
      </c>
      <c r="U23" s="389">
        <v>0</v>
      </c>
      <c r="V23" s="389">
        <f>_xll.qlMidEquivalent(T23,U23)</f>
        <v>4.5999999999999996</v>
      </c>
      <c r="W23" s="264" t="b">
        <f t="shared" si="2"/>
        <v>1</v>
      </c>
      <c r="X23" s="390">
        <v>4.5999999999999996</v>
      </c>
      <c r="Y23" s="266"/>
      <c r="Z23" s="387">
        <v>4.5999999999999996</v>
      </c>
      <c r="AA23" s="266"/>
      <c r="AB23" s="540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3L</v>
      </c>
      <c r="Q24" s="319" t="str">
        <v>1L</v>
      </c>
      <c r="R24" s="317" t="str">
        <f t="shared" si="1"/>
        <v>USD3L1L16Y</v>
      </c>
      <c r="S24" s="269" t="str">
        <v>USD3L1L16Y=ICAP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4.4415144765610917</v>
      </c>
      <c r="Y24" s="266"/>
      <c r="Z24" s="387">
        <v>4.4413639892853558</v>
      </c>
      <c r="AA24" s="266"/>
      <c r="AB24" s="540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3L</v>
      </c>
      <c r="Q25" s="319" t="str">
        <v>1L</v>
      </c>
      <c r="R25" s="317" t="str">
        <f t="shared" si="1"/>
        <v>USD3L1L17Y</v>
      </c>
      <c r="S25" s="269" t="str">
        <v>USD3L1L17Y=ICAP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4.3017747546435201</v>
      </c>
      <c r="Y25" s="266"/>
      <c r="Z25" s="387">
        <v>4.3015876623547671</v>
      </c>
      <c r="AA25" s="266"/>
      <c r="AB25" s="540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3L</v>
      </c>
      <c r="Q26" s="319" t="str">
        <v>1L</v>
      </c>
      <c r="R26" s="317" t="str">
        <f t="shared" si="1"/>
        <v>USD3L1L18Y</v>
      </c>
      <c r="S26" s="269" t="str">
        <v>USD3L1L18Y=ICAP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4.1812777944454016</v>
      </c>
      <c r="Y26" s="266"/>
      <c r="Z26" s="387">
        <v>4.1811293407815002</v>
      </c>
      <c r="AA26" s="266"/>
      <c r="AB26" s="540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3L</v>
      </c>
      <c r="Q27" s="319" t="str">
        <v>1L</v>
      </c>
      <c r="R27" s="317" t="str">
        <f t="shared" si="1"/>
        <v>USD3L1L19Y</v>
      </c>
      <c r="S27" s="269" t="str">
        <v>USD3L1L19Y=ICAP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4.0805205561648554</v>
      </c>
      <c r="Y27" s="266"/>
      <c r="Z27" s="387">
        <v>4.080447346138822</v>
      </c>
      <c r="AA27" s="266"/>
      <c r="AB27" s="540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3L</v>
      </c>
      <c r="Q28" s="319" t="str">
        <v>1L</v>
      </c>
      <c r="R28" s="317" t="str">
        <f t="shared" si="1"/>
        <v>USD3L1L20Y</v>
      </c>
      <c r="S28" s="269" t="str">
        <v>USD3L1L20Y=ICAP</v>
      </c>
      <c r="T28" s="389">
        <v>4</v>
      </c>
      <c r="U28" s="389">
        <v>0</v>
      </c>
      <c r="V28" s="389">
        <f>_xll.qlMidEquivalent(T28,U28)</f>
        <v>4</v>
      </c>
      <c r="W28" s="264" t="b">
        <f t="shared" si="2"/>
        <v>1</v>
      </c>
      <c r="X28" s="390">
        <v>4</v>
      </c>
      <c r="Y28" s="266"/>
      <c r="Z28" s="387">
        <v>4</v>
      </c>
      <c r="AA28" s="266"/>
      <c r="AB28" s="540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3L</v>
      </c>
      <c r="Q29" s="319" t="str">
        <v>1L</v>
      </c>
      <c r="R29" s="317" t="str">
        <f t="shared" si="1"/>
        <v>USD3L1L21Y</v>
      </c>
      <c r="S29" s="269" t="str">
        <v>USD3L1L21Y=ICAP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3.9392663576861913</v>
      </c>
      <c r="Y29" s="266"/>
      <c r="Z29" s="387">
        <v>3.9393070299228765</v>
      </c>
      <c r="AA29" s="266"/>
      <c r="AB29" s="540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3L</v>
      </c>
      <c r="Q30" s="319" t="str">
        <v>1L</v>
      </c>
      <c r="R30" s="317" t="str">
        <f t="shared" si="1"/>
        <v>USD3L1L22Y</v>
      </c>
      <c r="S30" s="269" t="str">
        <v>USD3L1L22Y=ICAP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3.8940829471077389</v>
      </c>
      <c r="Y30" s="266"/>
      <c r="Z30" s="387">
        <v>3.8941337874035957</v>
      </c>
      <c r="AA30" s="266"/>
      <c r="AB30" s="540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3L</v>
      </c>
      <c r="Q31" s="319" t="str">
        <v>1L</v>
      </c>
      <c r="R31" s="317" t="str">
        <f t="shared" si="1"/>
        <v>USD3L1L23Y</v>
      </c>
      <c r="S31" s="269" t="str">
        <v>USD3L1L23Y=ICAP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3.8592663576861912</v>
      </c>
      <c r="Y31" s="266"/>
      <c r="Z31" s="387">
        <v>3.8593070299228764</v>
      </c>
      <c r="AA31" s="266"/>
      <c r="AB31" s="540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3L</v>
      </c>
      <c r="Q32" s="319" t="str">
        <v>1L</v>
      </c>
      <c r="R32" s="317" t="str">
        <f t="shared" si="1"/>
        <v>USD3L1L24Y</v>
      </c>
      <c r="S32" s="269" t="str">
        <v>USD3L1L24Y=ICAP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3.8296331788430953</v>
      </c>
      <c r="Y32" s="266"/>
      <c r="Z32" s="387">
        <v>3.8296535149614384</v>
      </c>
      <c r="AA32" s="266"/>
      <c r="AB32" s="540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3L</v>
      </c>
      <c r="Q33" s="319" t="str">
        <v>1L</v>
      </c>
      <c r="R33" s="317" t="str">
        <f t="shared" si="1"/>
        <v>USD3L1L25Y</v>
      </c>
      <c r="S33" s="269" t="str">
        <v>USD3L1L25Y=ICAP</v>
      </c>
      <c r="T33" s="389">
        <v>3.8</v>
      </c>
      <c r="U33" s="389">
        <v>0</v>
      </c>
      <c r="V33" s="389">
        <f>_xll.qlMidEquivalent(T33,U33)</f>
        <v>3.8</v>
      </c>
      <c r="W33" s="264" t="b">
        <f t="shared" si="2"/>
        <v>1</v>
      </c>
      <c r="X33" s="390">
        <v>3.8</v>
      </c>
      <c r="Y33" s="266"/>
      <c r="Z33" s="387">
        <v>3.8</v>
      </c>
      <c r="AA33" s="266"/>
      <c r="AB33" s="540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3L</v>
      </c>
      <c r="Q34" s="319" t="str">
        <v>1L</v>
      </c>
      <c r="R34" s="317" t="str">
        <f t="shared" si="1"/>
        <v>USD3L1L26Y</v>
      </c>
      <c r="S34" s="269" t="str">
        <v>USD3L1L26Y=ICAP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3.7662200926941423</v>
      </c>
      <c r="Y34" s="266"/>
      <c r="Z34" s="387">
        <v>3.7662078910231367</v>
      </c>
      <c r="AA34" s="266"/>
      <c r="AB34" s="540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3L</v>
      </c>
      <c r="Q35" s="319" t="str">
        <v>1L</v>
      </c>
      <c r="R35" s="317" t="str">
        <f t="shared" si="1"/>
        <v>USD3L1L27Y</v>
      </c>
      <c r="S35" s="269" t="str">
        <v>USD3L1L27Y=ICAP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3.7282934569255235</v>
      </c>
      <c r="Y35" s="266"/>
      <c r="Z35" s="387">
        <v>3.7282771880308494</v>
      </c>
      <c r="AA35" s="266"/>
      <c r="AB35" s="540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3L</v>
      </c>
      <c r="Q36" s="319" t="str">
        <v>1L</v>
      </c>
      <c r="R36" s="317" t="str">
        <f t="shared" si="1"/>
        <v>USD3L1L28Y</v>
      </c>
      <c r="S36" s="269" t="str">
        <v>USD3L1L28Y=ICAP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3.6872567748098328</v>
      </c>
      <c r="Y36" s="266"/>
      <c r="Z36" s="387">
        <v>3.6872425395269932</v>
      </c>
      <c r="AA36" s="266"/>
      <c r="AB36" s="540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3L</v>
      </c>
      <c r="Q37" s="319" t="str">
        <v>1L</v>
      </c>
      <c r="R37" s="317" t="str">
        <f t="shared" si="1"/>
        <v>USD3L1L29Y</v>
      </c>
      <c r="S37" s="269" t="str">
        <v>USD3L1L29Y=ICAP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3.6441467284627618</v>
      </c>
      <c r="Y37" s="266"/>
      <c r="Z37" s="387">
        <v>3.6441385940154247</v>
      </c>
      <c r="AA37" s="266"/>
      <c r="AB37" s="540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3L</v>
      </c>
      <c r="Q38" s="319" t="str">
        <v>1L</v>
      </c>
      <c r="R38" s="317" t="str">
        <f t="shared" si="1"/>
        <v>USD3L1L30Y</v>
      </c>
      <c r="S38" s="269" t="str">
        <v>USD3L1L30Y=ICAP</v>
      </c>
      <c r="T38" s="389">
        <v>3.6</v>
      </c>
      <c r="U38" s="389">
        <v>0</v>
      </c>
      <c r="V38" s="389">
        <f>_xll.qlMidEquivalent(T38,U38)</f>
        <v>3.6</v>
      </c>
      <c r="W38" s="264" t="b">
        <f t="shared" si="2"/>
        <v>1</v>
      </c>
      <c r="X38" s="390">
        <v>3.6</v>
      </c>
      <c r="Y38" s="266"/>
      <c r="Z38" s="387">
        <v>3.6</v>
      </c>
      <c r="AA38" s="266"/>
      <c r="AB38" s="540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3L</v>
      </c>
      <c r="Q39" s="319" t="str">
        <v>1L</v>
      </c>
      <c r="R39" s="317" t="str">
        <f t="shared" si="1"/>
        <v>USD3L1L35Y</v>
      </c>
      <c r="S39" s="269" t="str">
        <v>USD3L1L35Y=ICAP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3.6</v>
      </c>
      <c r="Y39" s="266"/>
      <c r="Z39" s="387">
        <v>3.6</v>
      </c>
      <c r="AA39" s="266"/>
      <c r="AB39" s="540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3L</v>
      </c>
      <c r="Q40" s="319" t="str">
        <v>1L</v>
      </c>
      <c r="R40" s="317" t="str">
        <f t="shared" si="1"/>
        <v>USD3L1L40Y</v>
      </c>
      <c r="S40" s="269" t="str">
        <v>USD3L1L40Y=ICAP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3.6</v>
      </c>
      <c r="Y40" s="266"/>
      <c r="Z40" s="387">
        <v>3.6</v>
      </c>
      <c r="AA40" s="266"/>
      <c r="AB40" s="540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3L</v>
      </c>
      <c r="Q41" s="319" t="str">
        <v>1L</v>
      </c>
      <c r="R41" s="317" t="str">
        <f t="shared" si="1"/>
        <v>USD3L1L50Y</v>
      </c>
      <c r="S41" s="269" t="str">
        <v>USD3L1L50Y=ICAP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3.6</v>
      </c>
      <c r="Y41" s="266"/>
      <c r="Z41" s="387">
        <v>3.6</v>
      </c>
      <c r="AA41" s="266"/>
      <c r="AB41" s="540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3L</v>
      </c>
      <c r="Q42" s="314" t="str">
        <v>1L</v>
      </c>
      <c r="R42" s="312" t="str">
        <f t="shared" si="1"/>
        <v>USD3L1L60Y</v>
      </c>
      <c r="S42" s="281" t="str">
        <v>USD3L1L60Y=ICAP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3.6</v>
      </c>
      <c r="Y42" s="266"/>
      <c r="Z42" s="384">
        <v>3.6</v>
      </c>
      <c r="AA42" s="266"/>
      <c r="AB42" s="541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</row>
  </sheetData>
  <conditionalFormatting sqref="AC5:AC42">
    <cfRule type="cellIs" dxfId="32" priority="1" stopIfTrue="1" operator="greaterThan">
      <formula>0</formula>
    </cfRule>
    <cfRule type="cellIs" dxfId="31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17" width="9.140625" style="20"/>
    <col min="18" max="18" width="10.28515625" style="20" bestFit="1" customWidth="1"/>
    <col min="19" max="19" width="14.5703125" style="20" bestFit="1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0" t="s">
        <v>307</v>
      </c>
      <c r="O1" s="201"/>
      <c r="P1" s="201"/>
      <c r="Q1" s="201"/>
      <c r="R1" s="201"/>
      <c r="S1" s="201" t="s">
        <v>286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299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obj_005bc#0000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3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08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285</v>
      </c>
    </row>
    <row r="5" spans="1:36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USD6L3L6M_Quote#0002</v>
      </c>
      <c r="G5" s="73" t="str">
        <f>_xll.ohRangeRetrieveError(F5)</f>
        <v/>
      </c>
      <c r="H5" s="72"/>
      <c r="N5" s="391">
        <v>0.5</v>
      </c>
      <c r="O5" s="270" t="s">
        <v>35</v>
      </c>
      <c r="P5" s="319" t="str">
        <f t="array" ref="P5:P42">VLOOKUP(Currency,Conventions,2)</f>
        <v>6L</v>
      </c>
      <c r="Q5" s="319" t="str">
        <f t="array" ref="Q5:Q42">VLOOKUP(Currency,Conventions,3)</f>
        <v>3L</v>
      </c>
      <c r="R5" s="317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89">
        <v>10.3</v>
      </c>
      <c r="U5" s="389">
        <v>0</v>
      </c>
      <c r="V5" s="389">
        <f>_xll.qlMidEquivalent(T5,U5)</f>
        <v>10.3</v>
      </c>
      <c r="W5" s="264" t="b">
        <f t="shared" ref="W5:W42" si="2">IF(ISNUMBER(V5),TRUE,FALSE)</f>
        <v>1</v>
      </c>
      <c r="X5" s="390">
        <f t="array" ref="X5:X38">_xll.qlInterpolationInterpolate(S3,N5:N42)</f>
        <v>10.3</v>
      </c>
      <c r="Y5" s="266"/>
      <c r="Z5" s="387">
        <v>10.4</v>
      </c>
      <c r="AA5" s="266"/>
      <c r="AB5" s="540">
        <f t="array" ref="AB5:AB42">QuoteStatic</f>
        <v>10.4</v>
      </c>
      <c r="AC5" s="263" t="e">
        <f>_xll.qlSimpleQuoteSetValue(F5,AB5/10000,Trigger)</f>
        <v>#N/A</v>
      </c>
      <c r="AD5" s="220"/>
      <c r="AE5" s="21"/>
      <c r="AF5" s="87" t="s">
        <v>131</v>
      </c>
      <c r="AG5" s="86" t="s">
        <v>124</v>
      </c>
      <c r="AH5" s="85" t="s">
        <v>125</v>
      </c>
      <c r="AI5" s="21" t="str">
        <f t="shared" ref="AI5:AI42" si="3">O5</f>
        <v>6M</v>
      </c>
      <c r="AJ5" s="383" t="e">
        <f>((Swap6M!AB5-Swap3M!AB5)*100-AB5)/10000</f>
        <v>#NUM!</v>
      </c>
    </row>
    <row r="6" spans="1:36" x14ac:dyDescent="0.2">
      <c r="A6" s="78"/>
      <c r="B6" s="88" t="s">
        <v>29</v>
      </c>
      <c r="C6" s="76" t="str">
        <f t="shared" ref="C6:C42" si="4">C5</f>
        <v>6L</v>
      </c>
      <c r="D6" s="75" t="str">
        <f t="shared" ref="D6:D42" si="5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USD6L3L1Y_Quote#0002</v>
      </c>
      <c r="G6" s="73" t="str">
        <f>_xll.ohRangeRetrieveError(F6)</f>
        <v/>
      </c>
      <c r="H6" s="72"/>
      <c r="N6" s="391">
        <v>1</v>
      </c>
      <c r="O6" s="270" t="s">
        <v>29</v>
      </c>
      <c r="P6" s="319" t="str">
        <v>6L</v>
      </c>
      <c r="Q6" s="319" t="str">
        <v>3L</v>
      </c>
      <c r="R6" s="317" t="str">
        <f t="shared" si="1"/>
        <v>USD6L3L1Y</v>
      </c>
      <c r="S6" s="269" t="str">
        <v>USD6L3L1Y=ICAP</v>
      </c>
      <c r="T6" s="389">
        <v>10.199999999999999</v>
      </c>
      <c r="U6" s="389">
        <v>0</v>
      </c>
      <c r="V6" s="389">
        <f>_xll.qlMidEquivalent(T6,U6)</f>
        <v>10.199999999999999</v>
      </c>
      <c r="W6" s="264" t="b">
        <f t="shared" si="2"/>
        <v>1</v>
      </c>
      <c r="X6" s="390">
        <v>10.199999999999999</v>
      </c>
      <c r="Y6" s="266"/>
      <c r="Z6" s="387">
        <v>10.199999999999999</v>
      </c>
      <c r="AA6" s="266"/>
      <c r="AB6" s="540">
        <v>10.199999999999999</v>
      </c>
      <c r="AC6" s="263" t="e">
        <f>_xll.qlSimpleQuoteSetValue(F6,AB6/10000,Trigger)</f>
        <v>#N/A</v>
      </c>
      <c r="AD6" s="220"/>
      <c r="AE6" s="21"/>
      <c r="AF6" s="84" t="s">
        <v>130</v>
      </c>
      <c r="AG6" s="83" t="s">
        <v>136</v>
      </c>
      <c r="AH6" s="82" t="s">
        <v>128</v>
      </c>
      <c r="AI6" s="21" t="str">
        <f t="shared" si="3"/>
        <v>1Y</v>
      </c>
      <c r="AJ6" s="383" t="e">
        <f>((Swap6M!AB6-Swap3M!AB6)*100-AB6)/10000</f>
        <v>#NUM!</v>
      </c>
    </row>
    <row r="7" spans="1:36" x14ac:dyDescent="0.2">
      <c r="A7" s="78"/>
      <c r="B7" s="88" t="s">
        <v>134</v>
      </c>
      <c r="C7" s="76" t="str">
        <f t="shared" si="4"/>
        <v>6L</v>
      </c>
      <c r="D7" s="75" t="str">
        <f t="shared" si="5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USD6L3L15M_Quote#0002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6L</v>
      </c>
      <c r="Q7" s="319" t="str">
        <v>3L</v>
      </c>
      <c r="R7" s="317" t="str">
        <f t="shared" si="1"/>
        <v>USD6L3L15M</v>
      </c>
      <c r="S7" s="269" t="str">
        <v>USD6L3L15M=ICAP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10.20593130314503</v>
      </c>
      <c r="Y7" s="266"/>
      <c r="Z7" s="387">
        <v>10.186508208428252</v>
      </c>
      <c r="AA7" s="266"/>
      <c r="AB7" s="540">
        <v>10.186508208428252</v>
      </c>
      <c r="AC7" s="263" t="e">
        <f>_xll.qlSimpleQuoteSetValue(F7,AB7/10000,Trigger)</f>
        <v>#N/A</v>
      </c>
      <c r="AD7" s="220"/>
      <c r="AE7" s="21"/>
      <c r="AF7" s="84" t="s">
        <v>127</v>
      </c>
      <c r="AG7" s="83" t="s">
        <v>124</v>
      </c>
      <c r="AH7" s="82" t="s">
        <v>125</v>
      </c>
      <c r="AI7" s="21" t="str">
        <f t="shared" si="3"/>
        <v>15M</v>
      </c>
      <c r="AJ7" s="383" t="e">
        <f>((Swap6M!AB7-Swap3M!AB7)*100-AB7)/10000</f>
        <v>#NUM!</v>
      </c>
    </row>
    <row r="8" spans="1:36" x14ac:dyDescent="0.2">
      <c r="A8" s="78"/>
      <c r="B8" s="88" t="s">
        <v>133</v>
      </c>
      <c r="C8" s="76" t="str">
        <f t="shared" si="4"/>
        <v>6L</v>
      </c>
      <c r="D8" s="75" t="str">
        <f t="shared" si="5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USD6L3L18M_Quote#0002</v>
      </c>
      <c r="G8" s="73" t="str">
        <f>_xll.ohRangeRetrieveError(F8)</f>
        <v/>
      </c>
      <c r="H8" s="72"/>
      <c r="N8" s="391">
        <v>1.5</v>
      </c>
      <c r="O8" s="270" t="s">
        <v>133</v>
      </c>
      <c r="P8" s="319" t="str">
        <v>6L</v>
      </c>
      <c r="Q8" s="319" t="str">
        <v>3L</v>
      </c>
      <c r="R8" s="317" t="str">
        <f t="shared" si="1"/>
        <v>USD6L3L18M</v>
      </c>
      <c r="S8" s="269" t="str">
        <v>USD6L3L18M=ICAP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10.249362606290063</v>
      </c>
      <c r="Y8" s="266"/>
      <c r="Z8" s="387">
        <v>10.229266416856504</v>
      </c>
      <c r="AA8" s="266"/>
      <c r="AB8" s="540">
        <v>10.229266416856504</v>
      </c>
      <c r="AC8" s="263" t="e">
        <f>_xll.qlSimpleQuoteSetValue(F8,AB8/10000,Trigger)</f>
        <v>#N/A</v>
      </c>
      <c r="AD8" s="220"/>
      <c r="AE8" s="21"/>
      <c r="AF8" s="84" t="s">
        <v>126</v>
      </c>
      <c r="AG8" s="83" t="s">
        <v>124</v>
      </c>
      <c r="AH8" s="82" t="s">
        <v>125</v>
      </c>
      <c r="AI8" s="21" t="str">
        <f t="shared" si="3"/>
        <v>18M</v>
      </c>
      <c r="AJ8" s="383" t="e">
        <f>((Swap6M!AB8-Swap3M!AB8)*100-AB8)/10000</f>
        <v>#NUM!</v>
      </c>
    </row>
    <row r="9" spans="1:36" ht="13.5" thickBot="1" x14ac:dyDescent="0.25">
      <c r="A9" s="78"/>
      <c r="B9" s="88" t="s">
        <v>132</v>
      </c>
      <c r="C9" s="76" t="str">
        <f t="shared" si="4"/>
        <v>6L</v>
      </c>
      <c r="D9" s="75" t="str">
        <f t="shared" si="5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USD6L3L21M_Quote#0002</v>
      </c>
      <c r="G9" s="73" t="str">
        <f>_xll.ohRangeRetrieveError(F9)</f>
        <v/>
      </c>
      <c r="H9" s="72"/>
      <c r="N9" s="391">
        <v>1.75</v>
      </c>
      <c r="O9" s="270" t="s">
        <v>132</v>
      </c>
      <c r="P9" s="319" t="str">
        <v>6L</v>
      </c>
      <c r="Q9" s="319" t="str">
        <v>3L</v>
      </c>
      <c r="R9" s="317" t="str">
        <f t="shared" si="1"/>
        <v>USD6L3L21M</v>
      </c>
      <c r="S9" s="269" t="str">
        <v>USD6L3L21M=ICAP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10.318112606290065</v>
      </c>
      <c r="Y9" s="266"/>
      <c r="Z9" s="387">
        <v>10.307391416856504</v>
      </c>
      <c r="AA9" s="266"/>
      <c r="AB9" s="540">
        <v>10.307391416856504</v>
      </c>
      <c r="AC9" s="263" t="e">
        <f>_xll.qlSimpleQuoteSetValue(F9,AB9/10000,Trigger)</f>
        <v>#N/A</v>
      </c>
      <c r="AD9" s="220"/>
      <c r="AE9" s="21"/>
      <c r="AF9" s="81" t="s">
        <v>121</v>
      </c>
      <c r="AG9" s="80" t="s">
        <v>125</v>
      </c>
      <c r="AH9" s="79" t="s">
        <v>124</v>
      </c>
      <c r="AI9" s="21" t="str">
        <f t="shared" si="3"/>
        <v>21M</v>
      </c>
      <c r="AJ9" s="383" t="e">
        <f>((Swap6M!AB9-Swap3M!AB9)*100-AB9)/10000</f>
        <v>#NUM!</v>
      </c>
    </row>
    <row r="10" spans="1:36" x14ac:dyDescent="0.2">
      <c r="A10" s="78"/>
      <c r="B10" s="77" t="s">
        <v>108</v>
      </c>
      <c r="C10" s="76" t="str">
        <f t="shared" si="4"/>
        <v>6L</v>
      </c>
      <c r="D10" s="75" t="str">
        <f t="shared" si="5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USD6L3L2Y_Quote#0002</v>
      </c>
      <c r="G10" s="73" t="str">
        <f>_xll.ohRangeRetrieveError(F10)</f>
        <v/>
      </c>
      <c r="H10" s="72"/>
      <c r="J10" s="87" t="s">
        <v>131</v>
      </c>
      <c r="K10" s="86" t="s">
        <v>124</v>
      </c>
      <c r="L10" s="85" t="s">
        <v>125</v>
      </c>
      <c r="N10" s="121">
        <v>2</v>
      </c>
      <c r="O10" s="270" t="s">
        <v>108</v>
      </c>
      <c r="P10" s="319" t="str">
        <v>6L</v>
      </c>
      <c r="Q10" s="319" t="str">
        <v>3L</v>
      </c>
      <c r="R10" s="317" t="str">
        <f t="shared" si="1"/>
        <v>USD6L3L2Y</v>
      </c>
      <c r="S10" s="269" t="str">
        <v>USD6L3L2Y=ICAP</v>
      </c>
      <c r="T10" s="389">
        <v>10.4</v>
      </c>
      <c r="U10" s="389">
        <v>0</v>
      </c>
      <c r="V10" s="389">
        <f>_xll.qlMidEquivalent(T10,U10)</f>
        <v>10.4</v>
      </c>
      <c r="W10" s="264" t="b">
        <f t="shared" si="2"/>
        <v>1</v>
      </c>
      <c r="X10" s="390">
        <v>10.4</v>
      </c>
      <c r="Y10" s="266"/>
      <c r="Z10" s="387">
        <v>10.4</v>
      </c>
      <c r="AA10" s="266"/>
      <c r="AB10" s="540">
        <v>10.4</v>
      </c>
      <c r="AC10" s="263" t="e">
        <f>_xll.qlSimpleQuoteSetValue(F10,AB10/10000,Trigger)</f>
        <v>#N/A</v>
      </c>
      <c r="AD10" s="220"/>
      <c r="AE10" s="21"/>
      <c r="AF10" s="21"/>
      <c r="AG10" s="21"/>
      <c r="AH10" s="21"/>
      <c r="AI10" s="21" t="str">
        <f t="shared" si="3"/>
        <v>2Y</v>
      </c>
      <c r="AJ10" s="383" t="e">
        <f>((Swap6M!AB10-Swap3M!AB10)*100-AB10)/10000</f>
        <v>#NUM!</v>
      </c>
    </row>
    <row r="11" spans="1:36" x14ac:dyDescent="0.2">
      <c r="A11" s="78"/>
      <c r="B11" s="77" t="s">
        <v>107</v>
      </c>
      <c r="C11" s="76" t="str">
        <f t="shared" si="4"/>
        <v>6L</v>
      </c>
      <c r="D11" s="75" t="str">
        <f t="shared" si="5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USD6L3L3Y_Quote#0002</v>
      </c>
      <c r="G11" s="73" t="str">
        <f>_xll.ohRangeRetrieveError(F11)</f>
        <v/>
      </c>
      <c r="H11" s="72"/>
      <c r="J11" s="84" t="s">
        <v>130</v>
      </c>
      <c r="K11" s="83" t="s">
        <v>136</v>
      </c>
      <c r="L11" s="82" t="s">
        <v>128</v>
      </c>
      <c r="N11" s="121">
        <v>3</v>
      </c>
      <c r="O11" s="270" t="s">
        <v>107</v>
      </c>
      <c r="P11" s="319" t="str">
        <v>6L</v>
      </c>
      <c r="Q11" s="319" t="str">
        <v>3L</v>
      </c>
      <c r="R11" s="317" t="str">
        <f t="shared" si="1"/>
        <v>USD6L3L3Y</v>
      </c>
      <c r="S11" s="269" t="str">
        <v>USD6L3L3Y=ICAP</v>
      </c>
      <c r="T11" s="389">
        <v>10.7</v>
      </c>
      <c r="U11" s="389">
        <v>0</v>
      </c>
      <c r="V11" s="389">
        <f>_xll.qlMidEquivalent(T11,U11)</f>
        <v>10.7</v>
      </c>
      <c r="W11" s="264" t="b">
        <f t="shared" si="2"/>
        <v>1</v>
      </c>
      <c r="X11" s="390">
        <v>10.7</v>
      </c>
      <c r="Y11" s="266"/>
      <c r="Z11" s="387">
        <v>10.7</v>
      </c>
      <c r="AA11" s="266"/>
      <c r="AB11" s="540">
        <v>10.7</v>
      </c>
      <c r="AC11" s="263" t="e">
        <f>_xll.qlSimpleQuoteSetValue(F11,AB11/10000,Trigger)</f>
        <v>#N/A</v>
      </c>
      <c r="AD11" s="220"/>
      <c r="AE11" s="21"/>
      <c r="AF11" s="21"/>
      <c r="AG11" s="21"/>
      <c r="AH11" s="21"/>
      <c r="AI11" s="21" t="str">
        <f t="shared" si="3"/>
        <v>3Y</v>
      </c>
      <c r="AJ11" s="383" t="e">
        <f>((Swap6M!AB11-Swap3M!AB11)*100-AB11)/10000</f>
        <v>#NUM!</v>
      </c>
    </row>
    <row r="12" spans="1:36" x14ac:dyDescent="0.2">
      <c r="A12" s="78"/>
      <c r="B12" s="77" t="s">
        <v>106</v>
      </c>
      <c r="C12" s="76" t="str">
        <f t="shared" si="4"/>
        <v>6L</v>
      </c>
      <c r="D12" s="75" t="str">
        <f t="shared" si="5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USD6L3L4Y_Quote#0002</v>
      </c>
      <c r="G12" s="73" t="str">
        <f>_xll.ohRangeRetrieveError(F12)</f>
        <v/>
      </c>
      <c r="H12" s="72"/>
      <c r="J12" s="84" t="s">
        <v>127</v>
      </c>
      <c r="K12" s="83" t="s">
        <v>124</v>
      </c>
      <c r="L12" s="82" t="s">
        <v>125</v>
      </c>
      <c r="N12" s="121">
        <v>4</v>
      </c>
      <c r="O12" s="270" t="s">
        <v>106</v>
      </c>
      <c r="P12" s="319" t="str">
        <v>6L</v>
      </c>
      <c r="Q12" s="319" t="str">
        <v>3L</v>
      </c>
      <c r="R12" s="317" t="str">
        <f t="shared" si="1"/>
        <v>USD6L3L4Y</v>
      </c>
      <c r="S12" s="269" t="str">
        <v>USD6L3L4Y=ICAP</v>
      </c>
      <c r="T12" s="389">
        <v>10.8</v>
      </c>
      <c r="U12" s="389">
        <v>0</v>
      </c>
      <c r="V12" s="389">
        <f>_xll.qlMidEquivalent(T12,U12)</f>
        <v>10.8</v>
      </c>
      <c r="W12" s="264" t="b">
        <f t="shared" si="2"/>
        <v>1</v>
      </c>
      <c r="X12" s="390">
        <v>10.8</v>
      </c>
      <c r="Y12" s="266"/>
      <c r="Z12" s="387">
        <v>10.8</v>
      </c>
      <c r="AA12" s="266"/>
      <c r="AB12" s="540">
        <v>10.8</v>
      </c>
      <c r="AC12" s="263" t="e">
        <f>_xll.qlSimpleQuoteSetValue(F12,AB12/10000,Trigger)</f>
        <v>#N/A</v>
      </c>
      <c r="AD12" s="220"/>
      <c r="AE12" s="21"/>
      <c r="AF12" s="21"/>
      <c r="AG12" s="21"/>
      <c r="AH12" s="21"/>
      <c r="AI12" s="21" t="str">
        <f t="shared" si="3"/>
        <v>4Y</v>
      </c>
      <c r="AJ12" s="383" t="e">
        <f>((Swap6M!AB12-Swap3M!AB12)*100-AB12)/10000</f>
        <v>#NUM!</v>
      </c>
    </row>
    <row r="13" spans="1:36" x14ac:dyDescent="0.2">
      <c r="A13" s="78"/>
      <c r="B13" s="77" t="s">
        <v>105</v>
      </c>
      <c r="C13" s="76" t="str">
        <f t="shared" si="4"/>
        <v>6L</v>
      </c>
      <c r="D13" s="75" t="str">
        <f t="shared" si="5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USD6L3L5Y_Quote#0002</v>
      </c>
      <c r="G13" s="73" t="str">
        <f>_xll.ohRangeRetrieveError(F13)</f>
        <v/>
      </c>
      <c r="H13" s="72"/>
      <c r="J13" s="84" t="s">
        <v>126</v>
      </c>
      <c r="K13" s="83" t="s">
        <v>124</v>
      </c>
      <c r="L13" s="82" t="s">
        <v>125</v>
      </c>
      <c r="N13" s="121">
        <v>5</v>
      </c>
      <c r="O13" s="270" t="s">
        <v>105</v>
      </c>
      <c r="P13" s="319" t="str">
        <v>6L</v>
      </c>
      <c r="Q13" s="319" t="str">
        <v>3L</v>
      </c>
      <c r="R13" s="317" t="str">
        <f t="shared" si="1"/>
        <v>USD6L3L5Y</v>
      </c>
      <c r="S13" s="269" t="str">
        <v>USD6L3L5Y=ICAP</v>
      </c>
      <c r="T13" s="389">
        <v>10.8</v>
      </c>
      <c r="U13" s="389">
        <v>0</v>
      </c>
      <c r="V13" s="389">
        <f>_xll.qlMidEquivalent(T13,U13)</f>
        <v>10.8</v>
      </c>
      <c r="W13" s="264" t="b">
        <f t="shared" si="2"/>
        <v>1</v>
      </c>
      <c r="X13" s="390">
        <v>10.8</v>
      </c>
      <c r="Y13" s="266"/>
      <c r="Z13" s="387">
        <v>10.8</v>
      </c>
      <c r="AA13" s="266"/>
      <c r="AB13" s="540">
        <v>10.8</v>
      </c>
      <c r="AC13" s="263" t="e">
        <f>_xll.qlSimpleQuoteSetValue(F13,AB13/10000,Trigger)</f>
        <v>#N/A</v>
      </c>
      <c r="AD13" s="220"/>
      <c r="AE13" s="21"/>
      <c r="AF13" s="21"/>
      <c r="AG13" s="21"/>
      <c r="AH13" s="21"/>
      <c r="AI13" s="21" t="str">
        <f t="shared" si="3"/>
        <v>5Y</v>
      </c>
      <c r="AJ13" s="383" t="e">
        <f>((Swap6M!AB13-Swap3M!AB13)*100-AB13)/10000</f>
        <v>#NUM!</v>
      </c>
    </row>
    <row r="14" spans="1:36" ht="13.5" thickBot="1" x14ac:dyDescent="0.25">
      <c r="A14" s="78"/>
      <c r="B14" s="77" t="s">
        <v>104</v>
      </c>
      <c r="C14" s="76" t="str">
        <f t="shared" si="4"/>
        <v>6L</v>
      </c>
      <c r="D14" s="75" t="str">
        <f t="shared" si="5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USD6L3L6Y_Quote#0002</v>
      </c>
      <c r="G14" s="73" t="str">
        <f>_xll.ohRangeRetrieveError(F14)</f>
        <v/>
      </c>
      <c r="H14" s="72"/>
      <c r="J14" s="81" t="s">
        <v>121</v>
      </c>
      <c r="K14" s="80" t="s">
        <v>125</v>
      </c>
      <c r="L14" s="79" t="s">
        <v>124</v>
      </c>
      <c r="N14" s="121">
        <v>6</v>
      </c>
      <c r="O14" s="270" t="s">
        <v>104</v>
      </c>
      <c r="P14" s="319" t="str">
        <v>6L</v>
      </c>
      <c r="Q14" s="319" t="str">
        <v>3L</v>
      </c>
      <c r="R14" s="317" t="str">
        <f t="shared" si="1"/>
        <v>USD6L3L6Y</v>
      </c>
      <c r="S14" s="269" t="str">
        <v>USD6L3L6Y=ICAP</v>
      </c>
      <c r="T14" s="389">
        <v>11</v>
      </c>
      <c r="U14" s="389">
        <v>0</v>
      </c>
      <c r="V14" s="389">
        <f>_xll.qlMidEquivalent(T14,U14)</f>
        <v>11</v>
      </c>
      <c r="W14" s="264" t="b">
        <f t="shared" si="2"/>
        <v>1</v>
      </c>
      <c r="X14" s="390">
        <v>11</v>
      </c>
      <c r="Y14" s="266"/>
      <c r="Z14" s="387">
        <v>11</v>
      </c>
      <c r="AA14" s="266"/>
      <c r="AB14" s="540">
        <v>11</v>
      </c>
      <c r="AC14" s="263" t="e">
        <f>_xll.qlSimpleQuoteSetValue(F14,AB14/10000,Trigger)</f>
        <v>#N/A</v>
      </c>
      <c r="AD14" s="220"/>
      <c r="AE14" s="21"/>
      <c r="AF14" s="21"/>
      <c r="AG14" s="21"/>
      <c r="AH14" s="21"/>
      <c r="AI14" s="21" t="str">
        <f t="shared" si="3"/>
        <v>6Y</v>
      </c>
      <c r="AJ14" s="383" t="e">
        <f>((Swap6M!AB14-Swap3M!AB14)*100-AB14)/10000</f>
        <v>#NUM!</v>
      </c>
    </row>
    <row r="15" spans="1:36" x14ac:dyDescent="0.2">
      <c r="A15" s="78"/>
      <c r="B15" s="77" t="s">
        <v>103</v>
      </c>
      <c r="C15" s="76" t="str">
        <f t="shared" si="4"/>
        <v>6L</v>
      </c>
      <c r="D15" s="75" t="str">
        <f t="shared" si="5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6L</v>
      </c>
      <c r="Q15" s="319" t="str">
        <v>3L</v>
      </c>
      <c r="R15" s="317" t="str">
        <f t="shared" si="1"/>
        <v>USD6L3L7Y</v>
      </c>
      <c r="S15" s="269" t="str">
        <v>USD6L3L7Y=ICAP</v>
      </c>
      <c r="T15" s="389">
        <v>11.1</v>
      </c>
      <c r="U15" s="389">
        <v>0</v>
      </c>
      <c r="V15" s="389">
        <f>_xll.qlMidEquivalent(T15,U15)</f>
        <v>11.1</v>
      </c>
      <c r="W15" s="264" t="b">
        <f t="shared" si="2"/>
        <v>1</v>
      </c>
      <c r="X15" s="390">
        <v>11.1</v>
      </c>
      <c r="Y15" s="266"/>
      <c r="Z15" s="387">
        <v>11.1</v>
      </c>
      <c r="AA15" s="266"/>
      <c r="AB15" s="540">
        <v>11.1</v>
      </c>
      <c r="AC15" s="263" t="e">
        <f>_xll.qlSimpleQuoteSetValue(F15,AB15/10000,Trigger)</f>
        <v>#N/A</v>
      </c>
      <c r="AD15" s="220"/>
      <c r="AE15" s="21"/>
      <c r="AF15" s="21"/>
      <c r="AG15" s="21"/>
      <c r="AH15" s="21"/>
      <c r="AI15" s="21" t="str">
        <f t="shared" si="3"/>
        <v>7Y</v>
      </c>
      <c r="AJ15" s="383" t="e">
        <f>((Swap6M!AB15-Swap3M!AB15)*100-AB15)/10000</f>
        <v>#NUM!</v>
      </c>
    </row>
    <row r="16" spans="1:36" x14ac:dyDescent="0.2">
      <c r="A16" s="78"/>
      <c r="B16" s="77" t="s">
        <v>102</v>
      </c>
      <c r="C16" s="76" t="str">
        <f t="shared" si="4"/>
        <v>6L</v>
      </c>
      <c r="D16" s="75" t="str">
        <f t="shared" si="5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6L</v>
      </c>
      <c r="Q16" s="319" t="str">
        <v>3L</v>
      </c>
      <c r="R16" s="317" t="str">
        <f t="shared" si="1"/>
        <v>USD6L3L8Y</v>
      </c>
      <c r="S16" s="269" t="str">
        <v>USD6L3L8Y=ICAP</v>
      </c>
      <c r="T16" s="389">
        <v>11.2</v>
      </c>
      <c r="U16" s="389">
        <v>0</v>
      </c>
      <c r="V16" s="389">
        <f>_xll.qlMidEquivalent(T16,U16)</f>
        <v>11.2</v>
      </c>
      <c r="W16" s="264" t="b">
        <f t="shared" si="2"/>
        <v>1</v>
      </c>
      <c r="X16" s="390">
        <v>11.2</v>
      </c>
      <c r="Y16" s="266"/>
      <c r="Z16" s="387">
        <v>11.2</v>
      </c>
      <c r="AA16" s="266"/>
      <c r="AB16" s="540">
        <v>11.2</v>
      </c>
      <c r="AC16" s="263" t="e">
        <f>_xll.qlSimpleQuoteSetValue(F16,AB16/10000,Trigger)</f>
        <v>#N/A</v>
      </c>
      <c r="AD16" s="220"/>
      <c r="AE16" s="21"/>
      <c r="AF16" s="21"/>
      <c r="AG16" s="21"/>
      <c r="AH16" s="21"/>
      <c r="AI16" s="21" t="str">
        <f t="shared" si="3"/>
        <v>8Y</v>
      </c>
      <c r="AJ16" s="383" t="e">
        <f>((Swap6M!AB16-Swap3M!AB16)*100-AB16)/10000</f>
        <v>#NUM!</v>
      </c>
    </row>
    <row r="17" spans="1:36" x14ac:dyDescent="0.2">
      <c r="A17" s="78"/>
      <c r="B17" s="77" t="s">
        <v>101</v>
      </c>
      <c r="C17" s="76" t="str">
        <f t="shared" si="4"/>
        <v>6L</v>
      </c>
      <c r="D17" s="75" t="str">
        <f t="shared" si="5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6L</v>
      </c>
      <c r="Q17" s="319" t="str">
        <v>3L</v>
      </c>
      <c r="R17" s="317" t="str">
        <f t="shared" si="1"/>
        <v>USD6L3L9Y</v>
      </c>
      <c r="S17" s="269" t="str">
        <v>USD6L3L9Y=ICAP</v>
      </c>
      <c r="T17" s="389">
        <v>11.2</v>
      </c>
      <c r="U17" s="389">
        <v>0</v>
      </c>
      <c r="V17" s="389">
        <f>_xll.qlMidEquivalent(T17,U17)</f>
        <v>11.2</v>
      </c>
      <c r="W17" s="264" t="b">
        <f t="shared" si="2"/>
        <v>1</v>
      </c>
      <c r="X17" s="390">
        <v>11.2</v>
      </c>
      <c r="Y17" s="266"/>
      <c r="Z17" s="387">
        <v>11.2</v>
      </c>
      <c r="AA17" s="266"/>
      <c r="AB17" s="540">
        <v>11.2</v>
      </c>
      <c r="AC17" s="263" t="e">
        <f>_xll.qlSimpleQuoteSetValue(F17,AB17/10000,Trigger)</f>
        <v>#N/A</v>
      </c>
      <c r="AD17" s="220"/>
      <c r="AE17" s="21"/>
      <c r="AF17" s="21"/>
      <c r="AG17" s="21"/>
      <c r="AH17" s="21"/>
      <c r="AI17" s="21" t="str">
        <f t="shared" si="3"/>
        <v>9Y</v>
      </c>
      <c r="AJ17" s="383" t="e">
        <f>((Swap6M!AB17-Swap3M!AB17)*100-AB17)/10000</f>
        <v>#NUM!</v>
      </c>
    </row>
    <row r="18" spans="1:36" x14ac:dyDescent="0.2">
      <c r="A18" s="78"/>
      <c r="B18" s="77" t="s">
        <v>100</v>
      </c>
      <c r="C18" s="76" t="str">
        <f t="shared" si="4"/>
        <v>6L</v>
      </c>
      <c r="D18" s="75" t="str">
        <f t="shared" si="5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6L</v>
      </c>
      <c r="Q18" s="319" t="str">
        <v>3L</v>
      </c>
      <c r="R18" s="317" t="str">
        <f t="shared" si="1"/>
        <v>USD6L3L10Y</v>
      </c>
      <c r="S18" s="269" t="str">
        <v>USD6L3L10Y=ICAP</v>
      </c>
      <c r="T18" s="389">
        <v>11.3</v>
      </c>
      <c r="U18" s="389">
        <v>0</v>
      </c>
      <c r="V18" s="389">
        <f>_xll.qlMidEquivalent(T18,U18)</f>
        <v>11.3</v>
      </c>
      <c r="W18" s="264" t="b">
        <f t="shared" si="2"/>
        <v>1</v>
      </c>
      <c r="X18" s="390">
        <v>11.3</v>
      </c>
      <c r="Y18" s="266"/>
      <c r="Z18" s="387">
        <v>11.3</v>
      </c>
      <c r="AA18" s="266"/>
      <c r="AB18" s="540">
        <v>11.3</v>
      </c>
      <c r="AC18" s="263" t="e">
        <f>_xll.qlSimpleQuoteSetValue(F18,AB18/10000,Trigger)</f>
        <v>#N/A</v>
      </c>
      <c r="AD18" s="220"/>
      <c r="AE18" s="21"/>
      <c r="AF18" s="21"/>
      <c r="AG18" s="21"/>
      <c r="AH18" s="21"/>
      <c r="AI18" s="21" t="str">
        <f t="shared" si="3"/>
        <v>10Y</v>
      </c>
      <c r="AJ18" s="383" t="e">
        <f>((Swap6M!AB18-Swap3M!AB18)*100-AB18)/10000</f>
        <v>#NUM!</v>
      </c>
    </row>
    <row r="19" spans="1:36" x14ac:dyDescent="0.2">
      <c r="A19" s="78"/>
      <c r="B19" s="77" t="s">
        <v>99</v>
      </c>
      <c r="C19" s="76" t="str">
        <f t="shared" si="4"/>
        <v>6L</v>
      </c>
      <c r="D19" s="75" t="str">
        <f t="shared" si="5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6L</v>
      </c>
      <c r="Q19" s="319" t="str">
        <v>3L</v>
      </c>
      <c r="R19" s="317" t="str">
        <f t="shared" si="1"/>
        <v>USD6L3L11Y</v>
      </c>
      <c r="S19" s="269" t="str">
        <v>USD6L3L11Y=ICAP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11.3</v>
      </c>
      <c r="Y19" s="266"/>
      <c r="Z19" s="387">
        <v>11.3</v>
      </c>
      <c r="AA19" s="266"/>
      <c r="AB19" s="540">
        <v>11.3</v>
      </c>
      <c r="AC19" s="263" t="e">
        <f>_xll.qlSimpleQuoteSetValue(F19,AB19/10000,Trigger)</f>
        <v>#N/A</v>
      </c>
      <c r="AD19" s="220"/>
      <c r="AE19" s="21"/>
      <c r="AF19" s="21"/>
      <c r="AG19" s="21"/>
      <c r="AH19" s="21"/>
      <c r="AI19" s="21" t="str">
        <f t="shared" si="3"/>
        <v>11Y</v>
      </c>
      <c r="AJ19" s="383" t="e">
        <f>((Swap6M!AB19-Swap3M!AB19)*100-AB19)/10000</f>
        <v>#NUM!</v>
      </c>
    </row>
    <row r="20" spans="1:36" x14ac:dyDescent="0.2">
      <c r="A20" s="78"/>
      <c r="B20" s="77" t="s">
        <v>98</v>
      </c>
      <c r="C20" s="76" t="str">
        <f t="shared" si="4"/>
        <v>6L</v>
      </c>
      <c r="D20" s="75" t="str">
        <f t="shared" si="5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6L</v>
      </c>
      <c r="Q20" s="319" t="str">
        <v>3L</v>
      </c>
      <c r="R20" s="317" t="str">
        <f t="shared" si="1"/>
        <v>USD6L3L12Y</v>
      </c>
      <c r="S20" s="269" t="str">
        <v>USD6L3L12Y=ICAP</v>
      </c>
      <c r="T20" s="389">
        <v>11.3</v>
      </c>
      <c r="U20" s="389">
        <v>0</v>
      </c>
      <c r="V20" s="389">
        <f>_xll.qlMidEquivalent(T20,U20)</f>
        <v>11.3</v>
      </c>
      <c r="W20" s="264" t="b">
        <f t="shared" si="2"/>
        <v>1</v>
      </c>
      <c r="X20" s="390">
        <v>11.3</v>
      </c>
      <c r="Y20" s="266"/>
      <c r="Z20" s="387">
        <v>11.3</v>
      </c>
      <c r="AA20" s="266"/>
      <c r="AB20" s="540">
        <v>11.3</v>
      </c>
      <c r="AC20" s="263" t="e">
        <f>_xll.qlSimpleQuoteSetValue(F20,AB20/10000,Trigger)</f>
        <v>#N/A</v>
      </c>
      <c r="AD20" s="220"/>
      <c r="AE20" s="21"/>
      <c r="AF20" s="21"/>
      <c r="AG20" s="21"/>
      <c r="AH20" s="21"/>
      <c r="AI20" s="21" t="str">
        <f t="shared" si="3"/>
        <v>12Y</v>
      </c>
      <c r="AJ20" s="383" t="e">
        <f>((Swap6M!AB20-Swap3M!AB20)*100-AB20)/10000</f>
        <v>#NUM!</v>
      </c>
    </row>
    <row r="21" spans="1:36" x14ac:dyDescent="0.2">
      <c r="A21" s="78"/>
      <c r="B21" s="77" t="s">
        <v>97</v>
      </c>
      <c r="C21" s="76" t="str">
        <f t="shared" si="4"/>
        <v>6L</v>
      </c>
      <c r="D21" s="75" t="str">
        <f t="shared" si="5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6L</v>
      </c>
      <c r="Q21" s="319" t="str">
        <v>3L</v>
      </c>
      <c r="R21" s="317" t="str">
        <f t="shared" si="1"/>
        <v>USD6L3L13Y</v>
      </c>
      <c r="S21" s="269" t="str">
        <v>USD6L3L13Y=ICAP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11.325925925925926</v>
      </c>
      <c r="Y21" s="266"/>
      <c r="Z21" s="387">
        <v>11.325925925925926</v>
      </c>
      <c r="AA21" s="266"/>
      <c r="AB21" s="540">
        <v>11.325925925925926</v>
      </c>
      <c r="AC21" s="263" t="e">
        <f>_xll.qlSimpleQuoteSetValue(F21,AB21/10000,Trigger)</f>
        <v>#N/A</v>
      </c>
      <c r="AD21" s="220"/>
      <c r="AE21" s="21"/>
      <c r="AF21" s="21"/>
      <c r="AG21" s="21"/>
      <c r="AH21" s="21"/>
      <c r="AI21" s="21" t="str">
        <f t="shared" si="3"/>
        <v>13Y</v>
      </c>
      <c r="AJ21" s="383" t="e">
        <f>((Swap6M!AB21-Swap3M!AB21)*100-AB21)/10000</f>
        <v>#NUM!</v>
      </c>
    </row>
    <row r="22" spans="1:36" x14ac:dyDescent="0.2">
      <c r="A22" s="78"/>
      <c r="B22" s="77" t="s">
        <v>96</v>
      </c>
      <c r="C22" s="76" t="str">
        <f t="shared" si="4"/>
        <v>6L</v>
      </c>
      <c r="D22" s="75" t="str">
        <f t="shared" si="5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6L</v>
      </c>
      <c r="Q22" s="319" t="str">
        <v>3L</v>
      </c>
      <c r="R22" s="317" t="str">
        <f t="shared" si="1"/>
        <v>USD6L3L14Y</v>
      </c>
      <c r="S22" s="269" t="str">
        <v>USD6L3L14Y=ICAP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11.374074074074075</v>
      </c>
      <c r="Y22" s="266"/>
      <c r="Z22" s="387">
        <v>11.374074074074075</v>
      </c>
      <c r="AA22" s="266"/>
      <c r="AB22" s="540">
        <v>11.374074074074075</v>
      </c>
      <c r="AC22" s="263" t="e">
        <f>_xll.qlSimpleQuoteSetValue(F22,AB22/10000,Trigger)</f>
        <v>#N/A</v>
      </c>
      <c r="AD22" s="220"/>
      <c r="AE22" s="21"/>
      <c r="AF22" s="21"/>
      <c r="AG22" s="21"/>
      <c r="AH22" s="21"/>
      <c r="AI22" s="21" t="str">
        <f t="shared" si="3"/>
        <v>14Y</v>
      </c>
      <c r="AJ22" s="383" t="e">
        <f>((Swap6M!AB22-Swap3M!AB22)*100-AB22)/10000</f>
        <v>#NUM!</v>
      </c>
    </row>
    <row r="23" spans="1:36" x14ac:dyDescent="0.2">
      <c r="A23" s="78"/>
      <c r="B23" s="77" t="s">
        <v>95</v>
      </c>
      <c r="C23" s="76" t="str">
        <f t="shared" si="4"/>
        <v>6L</v>
      </c>
      <c r="D23" s="75" t="str">
        <f t="shared" si="5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6L</v>
      </c>
      <c r="Q23" s="319" t="str">
        <v>3L</v>
      </c>
      <c r="R23" s="317" t="str">
        <f t="shared" si="1"/>
        <v>USD6L3L15Y</v>
      </c>
      <c r="S23" s="269" t="str">
        <v>USD6L3L15Y=ICAP</v>
      </c>
      <c r="T23" s="389">
        <v>11.4</v>
      </c>
      <c r="U23" s="389">
        <v>0</v>
      </c>
      <c r="V23" s="389">
        <f>_xll.qlMidEquivalent(T23,U23)</f>
        <v>11.4</v>
      </c>
      <c r="W23" s="264" t="b">
        <f t="shared" si="2"/>
        <v>1</v>
      </c>
      <c r="X23" s="390">
        <v>11.4</v>
      </c>
      <c r="Y23" s="266"/>
      <c r="Z23" s="387">
        <v>11.4</v>
      </c>
      <c r="AA23" s="266"/>
      <c r="AB23" s="540">
        <v>11.4</v>
      </c>
      <c r="AC23" s="263" t="e">
        <f>_xll.qlSimpleQuoteSetValue(F23,AB23/10000,Trigger)</f>
        <v>#N/A</v>
      </c>
      <c r="AD23" s="220"/>
      <c r="AE23" s="21"/>
      <c r="AF23" s="21"/>
      <c r="AG23" s="21"/>
      <c r="AH23" s="21"/>
      <c r="AI23" s="21" t="str">
        <f t="shared" si="3"/>
        <v>15Y</v>
      </c>
      <c r="AJ23" s="383" t="e">
        <f>((Swap6M!AB23-Swap3M!AB23)*100-AB23)/10000</f>
        <v>#NUM!</v>
      </c>
    </row>
    <row r="24" spans="1:36" x14ac:dyDescent="0.2">
      <c r="A24" s="78"/>
      <c r="B24" s="77" t="s">
        <v>94</v>
      </c>
      <c r="C24" s="76" t="str">
        <f t="shared" si="4"/>
        <v>6L</v>
      </c>
      <c r="D24" s="75" t="str">
        <f t="shared" si="5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6L</v>
      </c>
      <c r="Q24" s="319" t="str">
        <v>3L</v>
      </c>
      <c r="R24" s="317" t="str">
        <f t="shared" si="1"/>
        <v>USD6L3L16Y</v>
      </c>
      <c r="S24" s="269" t="str">
        <v>USD6L3L16Y=ICAP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11.4</v>
      </c>
      <c r="Y24" s="266"/>
      <c r="Z24" s="387">
        <v>11.4</v>
      </c>
      <c r="AA24" s="266"/>
      <c r="AB24" s="540">
        <v>11.4</v>
      </c>
      <c r="AC24" s="263" t="e">
        <f>_xll.qlSimpleQuoteSetValue(F24,AB24/10000,Trigger)</f>
        <v>#N/A</v>
      </c>
      <c r="AD24" s="220"/>
      <c r="AE24" s="21"/>
      <c r="AF24" s="21"/>
      <c r="AG24" s="21"/>
      <c r="AH24" s="21"/>
      <c r="AI24" s="21" t="str">
        <f t="shared" si="3"/>
        <v>16Y</v>
      </c>
      <c r="AJ24" s="383" t="e">
        <f>((Swap6M!AB24-Swap3M!AB24)*100-AB24)/10000</f>
        <v>#NUM!</v>
      </c>
    </row>
    <row r="25" spans="1:36" x14ac:dyDescent="0.2">
      <c r="A25" s="78"/>
      <c r="B25" s="77" t="s">
        <v>93</v>
      </c>
      <c r="C25" s="76" t="str">
        <f t="shared" si="4"/>
        <v>6L</v>
      </c>
      <c r="D25" s="75" t="str">
        <f t="shared" si="5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6L</v>
      </c>
      <c r="Q25" s="319" t="str">
        <v>3L</v>
      </c>
      <c r="R25" s="317" t="str">
        <f t="shared" si="1"/>
        <v>USD6L3L17Y</v>
      </c>
      <c r="S25" s="269" t="str">
        <v>USD6L3L17Y=ICAP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11.4</v>
      </c>
      <c r="Y25" s="266"/>
      <c r="Z25" s="387">
        <v>11.4</v>
      </c>
      <c r="AA25" s="266"/>
      <c r="AB25" s="540">
        <v>11.4</v>
      </c>
      <c r="AC25" s="263" t="e">
        <f>_xll.qlSimpleQuoteSetValue(F25,AB25/10000,Trigger)</f>
        <v>#N/A</v>
      </c>
      <c r="AD25" s="220"/>
      <c r="AE25" s="21"/>
      <c r="AF25" s="21"/>
      <c r="AG25" s="21"/>
      <c r="AH25" s="21"/>
      <c r="AI25" s="21" t="str">
        <f t="shared" si="3"/>
        <v>17Y</v>
      </c>
      <c r="AJ25" s="383" t="e">
        <f>((Swap6M!AB25-Swap3M!AB25)*100-AB25)/10000</f>
        <v>#NUM!</v>
      </c>
    </row>
    <row r="26" spans="1:36" x14ac:dyDescent="0.2">
      <c r="A26" s="78"/>
      <c r="B26" s="77" t="s">
        <v>92</v>
      </c>
      <c r="C26" s="76" t="str">
        <f t="shared" si="4"/>
        <v>6L</v>
      </c>
      <c r="D26" s="75" t="str">
        <f t="shared" si="5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6L</v>
      </c>
      <c r="Q26" s="319" t="str">
        <v>3L</v>
      </c>
      <c r="R26" s="317" t="str">
        <f t="shared" si="1"/>
        <v>USD6L3L18Y</v>
      </c>
      <c r="S26" s="269" t="str">
        <v>USD6L3L18Y=ICAP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11.4</v>
      </c>
      <c r="Y26" s="266"/>
      <c r="Z26" s="387">
        <v>11.4</v>
      </c>
      <c r="AA26" s="266"/>
      <c r="AB26" s="540">
        <v>11.4</v>
      </c>
      <c r="AC26" s="263" t="e">
        <f>_xll.qlSimpleQuoteSetValue(F26,AB26/10000,Trigger)</f>
        <v>#N/A</v>
      </c>
      <c r="AD26" s="220"/>
      <c r="AE26" s="21"/>
      <c r="AF26" s="21"/>
      <c r="AG26" s="21"/>
      <c r="AH26" s="21"/>
      <c r="AI26" s="21" t="str">
        <f t="shared" si="3"/>
        <v>18Y</v>
      </c>
      <c r="AJ26" s="383" t="e">
        <f>((Swap6M!AB26-Swap3M!AB26)*100-AB26)/10000</f>
        <v>#NUM!</v>
      </c>
    </row>
    <row r="27" spans="1:36" x14ac:dyDescent="0.2">
      <c r="A27" s="78"/>
      <c r="B27" s="77" t="s">
        <v>91</v>
      </c>
      <c r="C27" s="76" t="str">
        <f t="shared" si="4"/>
        <v>6L</v>
      </c>
      <c r="D27" s="75" t="str">
        <f t="shared" si="5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6L</v>
      </c>
      <c r="Q27" s="319" t="str">
        <v>3L</v>
      </c>
      <c r="R27" s="317" t="str">
        <f t="shared" si="1"/>
        <v>USD6L3L19Y</v>
      </c>
      <c r="S27" s="269" t="str">
        <v>USD6L3L19Y=ICAP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11.4</v>
      </c>
      <c r="Y27" s="266"/>
      <c r="Z27" s="387">
        <v>11.4</v>
      </c>
      <c r="AA27" s="266"/>
      <c r="AB27" s="540">
        <v>11.4</v>
      </c>
      <c r="AC27" s="263" t="e">
        <f>_xll.qlSimpleQuoteSetValue(F27,AB27/10000,Trigger)</f>
        <v>#N/A</v>
      </c>
      <c r="AD27" s="220"/>
      <c r="AE27" s="21"/>
      <c r="AF27" s="21"/>
      <c r="AG27" s="21"/>
      <c r="AH27" s="21"/>
      <c r="AI27" s="21" t="str">
        <f t="shared" si="3"/>
        <v>19Y</v>
      </c>
      <c r="AJ27" s="383" t="e">
        <f>((Swap6M!AB27-Swap3M!AB27)*100-AB27)/10000</f>
        <v>#NUM!</v>
      </c>
    </row>
    <row r="28" spans="1:36" x14ac:dyDescent="0.2">
      <c r="A28" s="78"/>
      <c r="B28" s="77" t="s">
        <v>90</v>
      </c>
      <c r="C28" s="76" t="str">
        <f t="shared" si="4"/>
        <v>6L</v>
      </c>
      <c r="D28" s="75" t="str">
        <f t="shared" si="5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6L</v>
      </c>
      <c r="Q28" s="319" t="str">
        <v>3L</v>
      </c>
      <c r="R28" s="317" t="str">
        <f t="shared" si="1"/>
        <v>USD6L3L20Y</v>
      </c>
      <c r="S28" s="269" t="str">
        <v>USD6L3L20Y=ICAP</v>
      </c>
      <c r="T28" s="389">
        <v>11.4</v>
      </c>
      <c r="U28" s="389">
        <v>0</v>
      </c>
      <c r="V28" s="389">
        <f>_xll.qlMidEquivalent(T28,U28)</f>
        <v>11.4</v>
      </c>
      <c r="W28" s="264" t="b">
        <f t="shared" si="2"/>
        <v>1</v>
      </c>
      <c r="X28" s="390">
        <v>11.4</v>
      </c>
      <c r="Y28" s="266"/>
      <c r="Z28" s="387">
        <v>11.4</v>
      </c>
      <c r="AA28" s="266"/>
      <c r="AB28" s="540">
        <v>11.4</v>
      </c>
      <c r="AC28" s="263" t="e">
        <f>_xll.qlSimpleQuoteSetValue(F28,AB28/10000,Trigger)</f>
        <v>#N/A</v>
      </c>
      <c r="AD28" s="220"/>
      <c r="AE28" s="21"/>
      <c r="AF28" s="21"/>
      <c r="AG28" s="21"/>
      <c r="AH28" s="21"/>
      <c r="AI28" s="21" t="str">
        <f t="shared" si="3"/>
        <v>20Y</v>
      </c>
      <c r="AJ28" s="383" t="e">
        <f>((Swap6M!AB28-Swap3M!AB28)*100-AB28)/10000</f>
        <v>#NUM!</v>
      </c>
    </row>
    <row r="29" spans="1:36" x14ac:dyDescent="0.2">
      <c r="A29" s="78"/>
      <c r="B29" s="77" t="s">
        <v>89</v>
      </c>
      <c r="C29" s="76" t="str">
        <f t="shared" si="4"/>
        <v>6L</v>
      </c>
      <c r="D29" s="75" t="str">
        <f t="shared" si="5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6L</v>
      </c>
      <c r="Q29" s="319" t="str">
        <v>3L</v>
      </c>
      <c r="R29" s="317" t="str">
        <f t="shared" si="1"/>
        <v>USD6L3L21Y</v>
      </c>
      <c r="S29" s="269" t="str">
        <v>USD6L3L21Y=ICAP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11.4</v>
      </c>
      <c r="Y29" s="266"/>
      <c r="Z29" s="387">
        <v>11.4</v>
      </c>
      <c r="AA29" s="266"/>
      <c r="AB29" s="540">
        <v>11.4</v>
      </c>
      <c r="AC29" s="263" t="e">
        <f>_xll.qlSimpleQuoteSetValue(F29,AB29/10000,Trigger)</f>
        <v>#N/A</v>
      </c>
      <c r="AD29" s="220"/>
      <c r="AE29" s="21"/>
      <c r="AF29" s="21"/>
      <c r="AG29" s="21"/>
      <c r="AH29" s="21"/>
      <c r="AI29" s="21" t="str">
        <f t="shared" si="3"/>
        <v>21Y</v>
      </c>
      <c r="AJ29" s="383" t="e">
        <f>((Swap6M!AB29-Swap3M!AB29)*100-AB29)/10000</f>
        <v>#NUM!</v>
      </c>
    </row>
    <row r="30" spans="1:36" x14ac:dyDescent="0.2">
      <c r="A30" s="78"/>
      <c r="B30" s="77" t="s">
        <v>88</v>
      </c>
      <c r="C30" s="76" t="str">
        <f t="shared" si="4"/>
        <v>6L</v>
      </c>
      <c r="D30" s="75" t="str">
        <f t="shared" si="5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6L</v>
      </c>
      <c r="Q30" s="319" t="str">
        <v>3L</v>
      </c>
      <c r="R30" s="317" t="str">
        <f t="shared" si="1"/>
        <v>USD6L3L22Y</v>
      </c>
      <c r="S30" s="269" t="str">
        <v>USD6L3L22Y=ICAP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11.4</v>
      </c>
      <c r="Y30" s="266"/>
      <c r="Z30" s="387">
        <v>11.4</v>
      </c>
      <c r="AA30" s="266"/>
      <c r="AB30" s="540">
        <v>11.4</v>
      </c>
      <c r="AC30" s="263" t="e">
        <f>_xll.qlSimpleQuoteSetValue(F30,AB30/10000,Trigger)</f>
        <v>#N/A</v>
      </c>
      <c r="AD30" s="220"/>
      <c r="AE30" s="21"/>
      <c r="AF30" s="21"/>
      <c r="AG30" s="21"/>
      <c r="AH30" s="21"/>
      <c r="AI30" s="21" t="str">
        <f t="shared" si="3"/>
        <v>22Y</v>
      </c>
      <c r="AJ30" s="383" t="e">
        <f>((Swap6M!AB30-Swap3M!AB30)*100-AB30)/10000</f>
        <v>#NUM!</v>
      </c>
    </row>
    <row r="31" spans="1:36" x14ac:dyDescent="0.2">
      <c r="A31" s="78"/>
      <c r="B31" s="77" t="s">
        <v>87</v>
      </c>
      <c r="C31" s="76" t="str">
        <f t="shared" si="4"/>
        <v>6L</v>
      </c>
      <c r="D31" s="75" t="str">
        <f t="shared" si="5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6L</v>
      </c>
      <c r="Q31" s="319" t="str">
        <v>3L</v>
      </c>
      <c r="R31" s="317" t="str">
        <f t="shared" si="1"/>
        <v>USD6L3L23Y</v>
      </c>
      <c r="S31" s="269" t="str">
        <v>USD6L3L23Y=ICAP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11.4</v>
      </c>
      <c r="Y31" s="266"/>
      <c r="Z31" s="387">
        <v>11.4</v>
      </c>
      <c r="AA31" s="266"/>
      <c r="AB31" s="540">
        <v>11.4</v>
      </c>
      <c r="AC31" s="263" t="e">
        <f>_xll.qlSimpleQuoteSetValue(F31,AB31/10000,Trigger)</f>
        <v>#N/A</v>
      </c>
      <c r="AD31" s="220"/>
      <c r="AE31" s="21"/>
      <c r="AF31" s="21"/>
      <c r="AG31" s="21"/>
      <c r="AH31" s="21"/>
      <c r="AI31" s="21" t="str">
        <f t="shared" si="3"/>
        <v>23Y</v>
      </c>
      <c r="AJ31" s="383" t="e">
        <f>((Swap6M!AB31-Swap3M!AB31)*100-AB31)/10000</f>
        <v>#NUM!</v>
      </c>
    </row>
    <row r="32" spans="1:36" x14ac:dyDescent="0.2">
      <c r="A32" s="78"/>
      <c r="B32" s="77" t="s">
        <v>86</v>
      </c>
      <c r="C32" s="76" t="str">
        <f t="shared" si="4"/>
        <v>6L</v>
      </c>
      <c r="D32" s="75" t="str">
        <f t="shared" si="5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6L</v>
      </c>
      <c r="Q32" s="319" t="str">
        <v>3L</v>
      </c>
      <c r="R32" s="317" t="str">
        <f t="shared" si="1"/>
        <v>USD6L3L24Y</v>
      </c>
      <c r="S32" s="269" t="str">
        <v>USD6L3L24Y=ICAP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11.4</v>
      </c>
      <c r="Y32" s="266"/>
      <c r="Z32" s="387">
        <v>11.4</v>
      </c>
      <c r="AA32" s="266"/>
      <c r="AB32" s="540">
        <v>11.4</v>
      </c>
      <c r="AC32" s="263" t="e">
        <f>_xll.qlSimpleQuoteSetValue(F32,AB32/10000,Trigger)</f>
        <v>#N/A</v>
      </c>
      <c r="AD32" s="220"/>
      <c r="AE32" s="21"/>
      <c r="AF32" s="21"/>
      <c r="AG32" s="21"/>
      <c r="AH32" s="21"/>
      <c r="AI32" s="21" t="str">
        <f t="shared" si="3"/>
        <v>24Y</v>
      </c>
      <c r="AJ32" s="383" t="e">
        <f>((Swap6M!AB32-Swap3M!AB32)*100-AB32)/10000</f>
        <v>#NUM!</v>
      </c>
    </row>
    <row r="33" spans="1:36" x14ac:dyDescent="0.2">
      <c r="A33" s="78"/>
      <c r="B33" s="77" t="s">
        <v>85</v>
      </c>
      <c r="C33" s="76" t="str">
        <f t="shared" si="4"/>
        <v>6L</v>
      </c>
      <c r="D33" s="75" t="str">
        <f t="shared" si="5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6L</v>
      </c>
      <c r="Q33" s="319" t="str">
        <v>3L</v>
      </c>
      <c r="R33" s="317" t="str">
        <f t="shared" si="1"/>
        <v>USD6L3L25Y</v>
      </c>
      <c r="S33" s="269" t="str">
        <v>USD6L3L25Y=ICAP</v>
      </c>
      <c r="T33" s="389">
        <v>11.4</v>
      </c>
      <c r="U33" s="389">
        <v>0</v>
      </c>
      <c r="V33" s="389">
        <f>_xll.qlMidEquivalent(T33,U33)</f>
        <v>11.4</v>
      </c>
      <c r="W33" s="264" t="b">
        <f t="shared" si="2"/>
        <v>1</v>
      </c>
      <c r="X33" s="390">
        <v>11.4</v>
      </c>
      <c r="Y33" s="266"/>
      <c r="Z33" s="387">
        <v>11.4</v>
      </c>
      <c r="AA33" s="266"/>
      <c r="AB33" s="540">
        <v>11.4</v>
      </c>
      <c r="AC33" s="263" t="e">
        <f>_xll.qlSimpleQuoteSetValue(F33,AB33/10000,Trigger)</f>
        <v>#N/A</v>
      </c>
      <c r="AD33" s="220"/>
      <c r="AE33" s="21"/>
      <c r="AF33" s="21"/>
      <c r="AG33" s="21"/>
      <c r="AH33" s="21"/>
      <c r="AI33" s="21" t="str">
        <f t="shared" si="3"/>
        <v>25Y</v>
      </c>
      <c r="AJ33" s="383" t="e">
        <f>((Swap6M!AB33-Swap3M!AB33)*100-AB33)/10000</f>
        <v>#NUM!</v>
      </c>
    </row>
    <row r="34" spans="1:36" x14ac:dyDescent="0.2">
      <c r="A34" s="78"/>
      <c r="B34" s="77" t="s">
        <v>84</v>
      </c>
      <c r="C34" s="76" t="str">
        <f t="shared" si="4"/>
        <v>6L</v>
      </c>
      <c r="D34" s="75" t="str">
        <f t="shared" si="5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6L</v>
      </c>
      <c r="Q34" s="319" t="str">
        <v>3L</v>
      </c>
      <c r="R34" s="317" t="str">
        <f t="shared" si="1"/>
        <v>USD6L3L26Y</v>
      </c>
      <c r="S34" s="269" t="str">
        <v>USD6L3L26Y=ICAP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11.4</v>
      </c>
      <c r="Y34" s="266"/>
      <c r="Z34" s="387">
        <v>11.4</v>
      </c>
      <c r="AA34" s="266"/>
      <c r="AB34" s="540">
        <v>11.4</v>
      </c>
      <c r="AC34" s="263" t="e">
        <f>_xll.qlSimpleQuoteSetValue(F34,AB34/10000,Trigger)</f>
        <v>#N/A</v>
      </c>
      <c r="AD34" s="220"/>
      <c r="AE34" s="21"/>
      <c r="AF34" s="21"/>
      <c r="AG34" s="21"/>
      <c r="AH34" s="21"/>
      <c r="AI34" s="21" t="str">
        <f t="shared" si="3"/>
        <v>26Y</v>
      </c>
      <c r="AJ34" s="383" t="e">
        <f>((Swap6M!AB34-Swap3M!AB34)*100-AB34)/10000</f>
        <v>#NUM!</v>
      </c>
    </row>
    <row r="35" spans="1:36" x14ac:dyDescent="0.2">
      <c r="A35" s="78"/>
      <c r="B35" s="77" t="s">
        <v>83</v>
      </c>
      <c r="C35" s="76" t="str">
        <f t="shared" si="4"/>
        <v>6L</v>
      </c>
      <c r="D35" s="75" t="str">
        <f t="shared" si="5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6L</v>
      </c>
      <c r="Q35" s="319" t="str">
        <v>3L</v>
      </c>
      <c r="R35" s="317" t="str">
        <f t="shared" si="1"/>
        <v>USD6L3L27Y</v>
      </c>
      <c r="S35" s="269" t="str">
        <v>USD6L3L27Y=ICAP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11.4</v>
      </c>
      <c r="Y35" s="266"/>
      <c r="Z35" s="387">
        <v>11.4</v>
      </c>
      <c r="AA35" s="266"/>
      <c r="AB35" s="540">
        <v>11.4</v>
      </c>
      <c r="AC35" s="263" t="e">
        <f>_xll.qlSimpleQuoteSetValue(F35,AB35/10000,Trigger)</f>
        <v>#N/A</v>
      </c>
      <c r="AD35" s="220"/>
      <c r="AE35" s="21"/>
      <c r="AF35" s="21"/>
      <c r="AG35" s="21"/>
      <c r="AH35" s="21"/>
      <c r="AI35" s="21" t="str">
        <f t="shared" si="3"/>
        <v>27Y</v>
      </c>
      <c r="AJ35" s="383" t="e">
        <f>((Swap6M!AB35-Swap3M!AB35)*100-AB35)/10000</f>
        <v>#NUM!</v>
      </c>
    </row>
    <row r="36" spans="1:36" x14ac:dyDescent="0.2">
      <c r="A36" s="78"/>
      <c r="B36" s="77" t="s">
        <v>82</v>
      </c>
      <c r="C36" s="76" t="str">
        <f t="shared" si="4"/>
        <v>6L</v>
      </c>
      <c r="D36" s="75" t="str">
        <f t="shared" si="5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6L</v>
      </c>
      <c r="Q36" s="319" t="str">
        <v>3L</v>
      </c>
      <c r="R36" s="317" t="str">
        <f t="shared" si="1"/>
        <v>USD6L3L28Y</v>
      </c>
      <c r="S36" s="269" t="str">
        <v>USD6L3L28Y=ICAP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11.4</v>
      </c>
      <c r="Y36" s="266"/>
      <c r="Z36" s="387">
        <v>11.4</v>
      </c>
      <c r="AA36" s="266"/>
      <c r="AB36" s="540">
        <v>11.4</v>
      </c>
      <c r="AC36" s="263" t="e">
        <f>_xll.qlSimpleQuoteSetValue(F36,AB36/10000,Trigger)</f>
        <v>#N/A</v>
      </c>
      <c r="AD36" s="220"/>
      <c r="AE36" s="21"/>
      <c r="AF36" s="21"/>
      <c r="AG36" s="21"/>
      <c r="AH36" s="21"/>
      <c r="AI36" s="21" t="str">
        <f t="shared" si="3"/>
        <v>28Y</v>
      </c>
      <c r="AJ36" s="383" t="e">
        <f>((Swap6M!AB36-Swap3M!AB36)*100-AB36)/10000</f>
        <v>#NUM!</v>
      </c>
    </row>
    <row r="37" spans="1:36" x14ac:dyDescent="0.2">
      <c r="A37" s="78"/>
      <c r="B37" s="77" t="s">
        <v>81</v>
      </c>
      <c r="C37" s="76" t="str">
        <f t="shared" si="4"/>
        <v>6L</v>
      </c>
      <c r="D37" s="75" t="str">
        <f t="shared" si="5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6L</v>
      </c>
      <c r="Q37" s="319" t="str">
        <v>3L</v>
      </c>
      <c r="R37" s="317" t="str">
        <f t="shared" si="1"/>
        <v>USD6L3L29Y</v>
      </c>
      <c r="S37" s="269" t="str">
        <v>USD6L3L29Y=ICAP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11.4</v>
      </c>
      <c r="Y37" s="266"/>
      <c r="Z37" s="387">
        <v>11.4</v>
      </c>
      <c r="AA37" s="266"/>
      <c r="AB37" s="540">
        <v>11.4</v>
      </c>
      <c r="AC37" s="263" t="e">
        <f>_xll.qlSimpleQuoteSetValue(F37,AB37/10000,Trigger)</f>
        <v>#N/A</v>
      </c>
      <c r="AD37" s="220"/>
      <c r="AE37" s="21"/>
      <c r="AF37" s="21"/>
      <c r="AG37" s="21"/>
      <c r="AH37" s="21"/>
      <c r="AI37" s="21" t="str">
        <f t="shared" si="3"/>
        <v>29Y</v>
      </c>
      <c r="AJ37" s="383" t="e">
        <f>((Swap6M!AB37-Swap3M!AB37)*100-AB37)/10000</f>
        <v>#NUM!</v>
      </c>
    </row>
    <row r="38" spans="1:36" x14ac:dyDescent="0.2">
      <c r="A38" s="78"/>
      <c r="B38" s="77" t="s">
        <v>80</v>
      </c>
      <c r="C38" s="76" t="str">
        <f t="shared" si="4"/>
        <v>6L</v>
      </c>
      <c r="D38" s="75" t="str">
        <f t="shared" si="5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6L</v>
      </c>
      <c r="Q38" s="319" t="str">
        <v>3L</v>
      </c>
      <c r="R38" s="317" t="str">
        <f t="shared" si="1"/>
        <v>USD6L3L30Y</v>
      </c>
      <c r="S38" s="269" t="str">
        <v>USD6L3L30Y=ICAP</v>
      </c>
      <c r="T38" s="389">
        <v>11.4</v>
      </c>
      <c r="U38" s="389">
        <v>0</v>
      </c>
      <c r="V38" s="389">
        <f>_xll.qlMidEquivalent(T38,U38)</f>
        <v>11.4</v>
      </c>
      <c r="W38" s="264" t="b">
        <f t="shared" si="2"/>
        <v>1</v>
      </c>
      <c r="X38" s="390">
        <v>11.4</v>
      </c>
      <c r="Y38" s="266"/>
      <c r="Z38" s="387">
        <v>11.4</v>
      </c>
      <c r="AA38" s="266"/>
      <c r="AB38" s="540">
        <v>11.4</v>
      </c>
      <c r="AC38" s="263" t="e">
        <f>_xll.qlSimpleQuoteSetValue(F38,AB38/10000,Trigger)</f>
        <v>#N/A</v>
      </c>
      <c r="AD38" s="220"/>
      <c r="AE38" s="21"/>
      <c r="AF38" s="21"/>
      <c r="AG38" s="21"/>
      <c r="AH38" s="21"/>
      <c r="AI38" s="21" t="str">
        <f t="shared" si="3"/>
        <v>30Y</v>
      </c>
      <c r="AJ38" s="383" t="e">
        <f>((Swap6M!AB38-Swap3M!AB38)*100-AB38)/10000</f>
        <v>#NUM!</v>
      </c>
    </row>
    <row r="39" spans="1:36" x14ac:dyDescent="0.2">
      <c r="A39" s="78"/>
      <c r="B39" s="77" t="s">
        <v>75</v>
      </c>
      <c r="C39" s="76" t="str">
        <f t="shared" si="4"/>
        <v>6L</v>
      </c>
      <c r="D39" s="75" t="str">
        <f t="shared" si="5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6L</v>
      </c>
      <c r="Q39" s="319" t="str">
        <v>3L</v>
      </c>
      <c r="R39" s="317" t="str">
        <f t="shared" si="1"/>
        <v>USD6L3L35Y</v>
      </c>
      <c r="S39" s="269" t="str">
        <v>USD6L3L35Y=ICAP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11.4</v>
      </c>
      <c r="Y39" s="266"/>
      <c r="Z39" s="387">
        <v>11.4</v>
      </c>
      <c r="AA39" s="266"/>
      <c r="AB39" s="540">
        <v>11.4</v>
      </c>
      <c r="AC39" s="263" t="e">
        <f>_xll.qlSimpleQuoteSetValue(F39,AB39/10000,Trigger)</f>
        <v>#N/A</v>
      </c>
      <c r="AD39" s="220"/>
      <c r="AE39" s="21"/>
      <c r="AF39" s="21"/>
      <c r="AG39" s="21"/>
      <c r="AH39" s="21"/>
      <c r="AI39" s="21" t="str">
        <f t="shared" si="3"/>
        <v>35Y</v>
      </c>
      <c r="AJ39" s="383" t="e">
        <f>((Swap6M!AB39-Swap3M!AB39)*100-AB39)/10000</f>
        <v>#NUM!</v>
      </c>
    </row>
    <row r="40" spans="1:36" x14ac:dyDescent="0.2">
      <c r="A40" s="78"/>
      <c r="B40" s="77" t="s">
        <v>70</v>
      </c>
      <c r="C40" s="76" t="str">
        <f t="shared" si="4"/>
        <v>6L</v>
      </c>
      <c r="D40" s="75" t="str">
        <f t="shared" si="5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6L</v>
      </c>
      <c r="Q40" s="319" t="str">
        <v>3L</v>
      </c>
      <c r="R40" s="317" t="str">
        <f t="shared" si="1"/>
        <v>USD6L3L40Y</v>
      </c>
      <c r="S40" s="269" t="str">
        <v>USD6L3L40Y=ICAP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11.4</v>
      </c>
      <c r="Y40" s="266"/>
      <c r="Z40" s="387">
        <v>11.4</v>
      </c>
      <c r="AA40" s="266"/>
      <c r="AB40" s="540">
        <v>11.4</v>
      </c>
      <c r="AC40" s="263" t="e">
        <f>_xll.qlSimpleQuoteSetValue(F40,AB40/10000,Trigger)</f>
        <v>#N/A</v>
      </c>
      <c r="AD40" s="220"/>
      <c r="AE40" s="21"/>
      <c r="AF40" s="21"/>
      <c r="AG40" s="21"/>
      <c r="AH40" s="21"/>
      <c r="AI40" s="21" t="str">
        <f t="shared" si="3"/>
        <v>40Y</v>
      </c>
      <c r="AJ40" s="383" t="e">
        <f>((Swap6M!AB40-Swap3M!AB40)*100-AB40)/10000</f>
        <v>#NUM!</v>
      </c>
    </row>
    <row r="41" spans="1:36" x14ac:dyDescent="0.2">
      <c r="A41" s="78"/>
      <c r="B41" s="77" t="s">
        <v>60</v>
      </c>
      <c r="C41" s="76" t="str">
        <f t="shared" si="4"/>
        <v>6L</v>
      </c>
      <c r="D41" s="75" t="str">
        <f t="shared" si="5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6L</v>
      </c>
      <c r="Q41" s="319" t="str">
        <v>3L</v>
      </c>
      <c r="R41" s="317" t="str">
        <f t="shared" si="1"/>
        <v>USD6L3L50Y</v>
      </c>
      <c r="S41" s="269" t="str">
        <v>USD6L3L50Y=ICAP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11.4</v>
      </c>
      <c r="Y41" s="266"/>
      <c r="Z41" s="387">
        <v>11.4</v>
      </c>
      <c r="AA41" s="266"/>
      <c r="AB41" s="540">
        <v>11.4</v>
      </c>
      <c r="AC41" s="263" t="e">
        <f>_xll.qlSimpleQuoteSetValue(F41,AB41/10000,Trigger)</f>
        <v>#N/A</v>
      </c>
      <c r="AD41" s="220"/>
      <c r="AE41" s="21"/>
      <c r="AF41" s="21"/>
      <c r="AG41" s="21"/>
      <c r="AH41" s="21"/>
      <c r="AI41" s="21" t="str">
        <f t="shared" si="3"/>
        <v>50Y</v>
      </c>
      <c r="AJ41" s="383" t="e">
        <f>((Swap6M!AB41-Swap3M!AB41)*100-AB41)/10000</f>
        <v>#NUM!</v>
      </c>
    </row>
    <row r="42" spans="1:36" x14ac:dyDescent="0.2">
      <c r="A42" s="78"/>
      <c r="B42" s="77" t="s">
        <v>50</v>
      </c>
      <c r="C42" s="76" t="str">
        <f t="shared" si="4"/>
        <v>6L</v>
      </c>
      <c r="D42" s="75" t="str">
        <f t="shared" si="5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6L</v>
      </c>
      <c r="Q42" s="314" t="str">
        <v>3L</v>
      </c>
      <c r="R42" s="317" t="str">
        <f t="shared" si="1"/>
        <v>USD6L3L60Y</v>
      </c>
      <c r="S42" s="281" t="str">
        <v>USD6L3L60Y=ICAP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11.4</v>
      </c>
      <c r="Y42" s="266"/>
      <c r="Z42" s="384">
        <v>11.4</v>
      </c>
      <c r="AA42" s="266"/>
      <c r="AB42" s="541">
        <v>11.4</v>
      </c>
      <c r="AC42" s="276" t="e">
        <f>_xll.qlSimpleQuoteSetValue(F42,AB42/10000,Trigger)</f>
        <v>#N/A</v>
      </c>
      <c r="AD42" s="220"/>
      <c r="AE42" s="21"/>
      <c r="AF42" s="21"/>
      <c r="AG42" s="21"/>
      <c r="AH42" s="21"/>
      <c r="AI42" s="21" t="str">
        <f t="shared" si="3"/>
        <v>60Y</v>
      </c>
      <c r="AJ42" s="383" t="e">
        <f>((Swap6M!AB42-Swap3M!AB42)*100-AB42)/10000</f>
        <v>#NUM!</v>
      </c>
    </row>
    <row r="43" spans="1:36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30" priority="1" stopIfTrue="1" operator="greaterThan">
      <formula>0</formula>
    </cfRule>
    <cfRule type="cellIs" dxfId="29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4" x14ac:dyDescent="0.2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</row>
    <row r="2" spans="1:34" x14ac:dyDescent="0.2">
      <c r="N2" s="299"/>
      <c r="O2" s="13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</row>
    <row r="3" spans="1:34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obj_005bb#0000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3</v>
      </c>
      <c r="AD3" s="220"/>
      <c r="AE3" s="21"/>
      <c r="AF3" s="21"/>
      <c r="AG3" s="21"/>
      <c r="AH3" s="21"/>
    </row>
    <row r="4" spans="1:34" ht="23.25" thickBot="1" x14ac:dyDescent="0.25">
      <c r="A4" s="78"/>
      <c r="B4" s="91" t="s">
        <v>135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08" t="s">
        <v>256</v>
      </c>
      <c r="AC4" s="92" t="s">
        <v>255</v>
      </c>
      <c r="AD4" s="220"/>
      <c r="AE4" s="21"/>
      <c r="AF4" s="21"/>
      <c r="AG4" s="21"/>
      <c r="AH4" s="21"/>
    </row>
    <row r="5" spans="1:34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USD12L3L6M_Quote#0002</v>
      </c>
      <c r="G5" s="73" t="str">
        <f>_xll.ohRangeRetrieveError(F5)</f>
        <v/>
      </c>
      <c r="H5" s="72"/>
      <c r="N5" s="391">
        <v>0.5</v>
      </c>
      <c r="O5" s="270" t="s">
        <v>35</v>
      </c>
      <c r="P5" s="319" t="str">
        <f t="array" ref="P5:P42">VLOOKUP(Currency,Conventions,2)</f>
        <v>12L</v>
      </c>
      <c r="Q5" s="319" t="str">
        <f t="array" ref="Q5:Q42">VLOOKUP(Currency,Conventions,3)</f>
        <v>3L</v>
      </c>
      <c r="R5" s="317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89" t="s">
        <v>240</v>
      </c>
      <c r="U5" s="389" t="s">
        <v>240</v>
      </c>
      <c r="V5" s="389" t="e">
        <f>_xll.qlMidEquivalent(T5,U5)</f>
        <v>#NUM!</v>
      </c>
      <c r="W5" s="264" t="b">
        <f t="shared" ref="W5:W42" si="2">IF(ISNUMBER(V5),TRUE,FALSE)</f>
        <v>0</v>
      </c>
      <c r="X5" s="390" t="e">
        <f t="array" ref="X5:X38">_xll.qlInterpolationInterpolate(S3,N5:N42)</f>
        <v>#NUM!</v>
      </c>
      <c r="Y5" s="266"/>
      <c r="Z5" s="387" t="e">
        <v>#NUM!</v>
      </c>
      <c r="AA5" s="266"/>
      <c r="AB5" s="540" t="e">
        <f t="array" ref="AB5:AB42">QuoteStatic</f>
        <v>#NUM!</v>
      </c>
      <c r="AC5" s="263" t="e">
        <f>_xll.qlSimpleQuoteSetValue(F5,AB5/10000,Trigger)</f>
        <v>#NUM!</v>
      </c>
      <c r="AD5" s="220"/>
      <c r="AE5" s="21"/>
      <c r="AF5" s="87" t="s">
        <v>131</v>
      </c>
      <c r="AG5" s="86" t="s">
        <v>125</v>
      </c>
      <c r="AH5" s="85" t="s">
        <v>137</v>
      </c>
    </row>
    <row r="6" spans="1:34" x14ac:dyDescent="0.2">
      <c r="A6" s="78"/>
      <c r="B6" s="88" t="s">
        <v>29</v>
      </c>
      <c r="C6" s="76" t="str">
        <f t="shared" ref="C6:C42" si="3">C5</f>
        <v>12L</v>
      </c>
      <c r="D6" s="75" t="str">
        <f t="shared" ref="D6:D42" si="4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USD12L3L1Y_Quote#0002</v>
      </c>
      <c r="G6" s="73" t="str">
        <f>_xll.ohRangeRetrieveError(F6)</f>
        <v/>
      </c>
      <c r="H6" s="72"/>
      <c r="N6" s="391">
        <v>1</v>
      </c>
      <c r="O6" s="270" t="s">
        <v>29</v>
      </c>
      <c r="P6" s="319" t="str">
        <v>12L</v>
      </c>
      <c r="Q6" s="319" t="str">
        <v>3L</v>
      </c>
      <c r="R6" s="317" t="str">
        <f t="shared" si="1"/>
        <v>USD12L3L1Y</v>
      </c>
      <c r="S6" s="269" t="str">
        <v>USD12L3L1Y=ICAP</v>
      </c>
      <c r="T6" s="389">
        <v>31.4</v>
      </c>
      <c r="U6" s="389">
        <v>0</v>
      </c>
      <c r="V6" s="389">
        <f>_xll.qlMidEquivalent(T6,U6)</f>
        <v>31.4</v>
      </c>
      <c r="W6" s="264" t="b">
        <f t="shared" si="2"/>
        <v>1</v>
      </c>
      <c r="X6" s="390">
        <v>31.4</v>
      </c>
      <c r="Y6" s="266"/>
      <c r="Z6" s="387">
        <v>31.4</v>
      </c>
      <c r="AA6" s="266"/>
      <c r="AB6" s="540">
        <v>31.4</v>
      </c>
      <c r="AC6" s="263" t="e">
        <f>_xll.qlSimpleQuoteSetValue(F6,AB6/10000,Trigger)</f>
        <v>#N/A</v>
      </c>
      <c r="AD6" s="220"/>
      <c r="AE6" s="21"/>
      <c r="AF6" s="84" t="s">
        <v>130</v>
      </c>
      <c r="AG6" s="83" t="s">
        <v>128</v>
      </c>
      <c r="AH6" s="82" t="s">
        <v>138</v>
      </c>
    </row>
    <row r="7" spans="1:34" x14ac:dyDescent="0.2">
      <c r="A7" s="78"/>
      <c r="B7" s="88" t="s">
        <v>134</v>
      </c>
      <c r="C7" s="76" t="str">
        <f t="shared" si="3"/>
        <v>12L</v>
      </c>
      <c r="D7" s="75" t="str">
        <f t="shared" si="4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USD12L3L15M_Quote#0002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12L</v>
      </c>
      <c r="Q7" s="319" t="str">
        <v>3L</v>
      </c>
      <c r="R7" s="317" t="str">
        <f t="shared" si="1"/>
        <v>USD12L3L15M</v>
      </c>
      <c r="S7" s="269" t="str">
        <v>USD12L3L15M=ICAP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31.176530133774591</v>
      </c>
      <c r="Y7" s="266"/>
      <c r="Z7" s="387">
        <v>31.176530133774591</v>
      </c>
      <c r="AA7" s="266"/>
      <c r="AB7" s="540">
        <v>31.176530133774591</v>
      </c>
      <c r="AC7" s="263" t="e">
        <f>_xll.qlSimpleQuoteSetValue(F7,AB7/10000,Trigger)</f>
        <v>#N/A</v>
      </c>
      <c r="AD7" s="220"/>
      <c r="AE7" s="21"/>
      <c r="AF7" s="84" t="s">
        <v>127</v>
      </c>
      <c r="AG7" s="83" t="s">
        <v>125</v>
      </c>
      <c r="AH7" s="82" t="s">
        <v>137</v>
      </c>
    </row>
    <row r="8" spans="1:34" x14ac:dyDescent="0.2">
      <c r="A8" s="78"/>
      <c r="B8" s="88" t="s">
        <v>133</v>
      </c>
      <c r="C8" s="76" t="str">
        <f t="shared" si="3"/>
        <v>12L</v>
      </c>
      <c r="D8" s="75" t="str">
        <f t="shared" si="4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USD12L3L18M_Quote#0002</v>
      </c>
      <c r="G8" s="73" t="str">
        <f>_xll.ohRangeRetrieveError(F8)</f>
        <v/>
      </c>
      <c r="H8" s="72"/>
      <c r="N8" s="391">
        <v>1.5</v>
      </c>
      <c r="O8" s="270" t="s">
        <v>133</v>
      </c>
      <c r="P8" s="319" t="str">
        <v>12L</v>
      </c>
      <c r="Q8" s="319" t="str">
        <v>3L</v>
      </c>
      <c r="R8" s="317" t="str">
        <f t="shared" si="1"/>
        <v>USD12L3L18M</v>
      </c>
      <c r="S8" s="269" t="str">
        <v>USD12L3L18M=ICAP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30.962448214039345</v>
      </c>
      <c r="Y8" s="266"/>
      <c r="Z8" s="387">
        <v>30.962448214039345</v>
      </c>
      <c r="AA8" s="266"/>
      <c r="AB8" s="540">
        <v>30.962448214039345</v>
      </c>
      <c r="AC8" s="263" t="e">
        <f>_xll.qlSimpleQuoteSetValue(F8,AB8/10000,Trigger)</f>
        <v>#N/A</v>
      </c>
      <c r="AD8" s="220"/>
      <c r="AE8" s="21"/>
      <c r="AF8" s="84" t="s">
        <v>126</v>
      </c>
      <c r="AG8" s="83" t="s">
        <v>125</v>
      </c>
      <c r="AH8" s="82" t="s">
        <v>137</v>
      </c>
    </row>
    <row r="9" spans="1:34" ht="13.5" thickBot="1" x14ac:dyDescent="0.25">
      <c r="A9" s="78"/>
      <c r="B9" s="88" t="s">
        <v>132</v>
      </c>
      <c r="C9" s="76" t="str">
        <f t="shared" si="3"/>
        <v>12L</v>
      </c>
      <c r="D9" s="75" t="str">
        <f t="shared" si="4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USD12L3L21M_Quote#0002</v>
      </c>
      <c r="G9" s="73" t="str">
        <f>_xll.ohRangeRetrieveError(F9)</f>
        <v/>
      </c>
      <c r="H9" s="72"/>
      <c r="N9" s="391">
        <v>1.75</v>
      </c>
      <c r="O9" s="270" t="s">
        <v>132</v>
      </c>
      <c r="P9" s="319" t="str">
        <v>12L</v>
      </c>
      <c r="Q9" s="319" t="str">
        <v>3L</v>
      </c>
      <c r="R9" s="317" t="str">
        <f t="shared" si="1"/>
        <v>USD12L3L21M</v>
      </c>
      <c r="S9" s="269" t="str">
        <v>USD12L3L21M=ICAP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30.767142187284428</v>
      </c>
      <c r="Y9" s="266"/>
      <c r="Z9" s="387">
        <v>30.767142187284428</v>
      </c>
      <c r="AA9" s="266"/>
      <c r="AB9" s="540">
        <v>30.767142187284428</v>
      </c>
      <c r="AC9" s="263" t="e">
        <f>_xll.qlSimpleQuoteSetValue(F9,AB9/10000,Trigger)</f>
        <v>#N/A</v>
      </c>
      <c r="AD9" s="220"/>
      <c r="AE9" s="21"/>
      <c r="AF9" s="81" t="s">
        <v>121</v>
      </c>
      <c r="AG9" s="80" t="s">
        <v>137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12L</v>
      </c>
      <c r="D10" s="75" t="str">
        <f t="shared" si="4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USD12L3L2Y_Quote#0002</v>
      </c>
      <c r="G10" s="73" t="str">
        <f>_xll.ohRangeRetrieveError(F10)</f>
        <v/>
      </c>
      <c r="H10" s="72"/>
      <c r="J10" s="87" t="s">
        <v>131</v>
      </c>
      <c r="K10" s="86" t="s">
        <v>125</v>
      </c>
      <c r="L10" s="85" t="s">
        <v>137</v>
      </c>
      <c r="N10" s="121">
        <v>2</v>
      </c>
      <c r="O10" s="270" t="s">
        <v>108</v>
      </c>
      <c r="P10" s="319" t="str">
        <v>12L</v>
      </c>
      <c r="Q10" s="319" t="str">
        <v>3L</v>
      </c>
      <c r="R10" s="317" t="str">
        <f t="shared" si="1"/>
        <v>USD12L3L2Y</v>
      </c>
      <c r="S10" s="269" t="str">
        <v>USD12L3L2Y=ICAP</v>
      </c>
      <c r="T10" s="389">
        <v>30.6</v>
      </c>
      <c r="U10" s="389">
        <v>0</v>
      </c>
      <c r="V10" s="389">
        <f>_xll.qlMidEquivalent(T10,U10)</f>
        <v>30.6</v>
      </c>
      <c r="W10" s="264" t="b">
        <f t="shared" si="2"/>
        <v>1</v>
      </c>
      <c r="X10" s="390">
        <v>30.6</v>
      </c>
      <c r="Y10" s="266"/>
      <c r="Z10" s="387">
        <v>30.6</v>
      </c>
      <c r="AA10" s="266"/>
      <c r="AB10" s="540">
        <v>30.6</v>
      </c>
      <c r="AC10" s="263" t="e">
        <f>_xll.qlSimpleQuoteSetValue(F10,AB10/10000,Trigger)</f>
        <v>#N/A</v>
      </c>
      <c r="AD10" s="220"/>
      <c r="AE10" s="21"/>
      <c r="AF10" s="21"/>
      <c r="AG10" s="21"/>
      <c r="AH10" s="21"/>
    </row>
    <row r="11" spans="1:34" x14ac:dyDescent="0.2">
      <c r="A11" s="78"/>
      <c r="B11" s="77" t="s">
        <v>107</v>
      </c>
      <c r="C11" s="76" t="str">
        <f t="shared" si="3"/>
        <v>12L</v>
      </c>
      <c r="D11" s="75" t="str">
        <f t="shared" si="4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USD12L3L3Y_Quote#0002</v>
      </c>
      <c r="G11" s="73" t="str">
        <f>_xll.ohRangeRetrieveError(F11)</f>
        <v/>
      </c>
      <c r="H11" s="72"/>
      <c r="J11" s="84" t="s">
        <v>130</v>
      </c>
      <c r="K11" s="83" t="s">
        <v>128</v>
      </c>
      <c r="L11" s="82" t="s">
        <v>138</v>
      </c>
      <c r="N11" s="121">
        <v>3</v>
      </c>
      <c r="O11" s="270" t="s">
        <v>107</v>
      </c>
      <c r="P11" s="319" t="str">
        <v>12L</v>
      </c>
      <c r="Q11" s="319" t="str">
        <v>3L</v>
      </c>
      <c r="R11" s="317" t="str">
        <f t="shared" si="1"/>
        <v>USD12L3L3Y</v>
      </c>
      <c r="S11" s="269" t="str">
        <v>USD12L3L3Y=ICAP</v>
      </c>
      <c r="T11" s="389">
        <v>30.2</v>
      </c>
      <c r="U11" s="389">
        <v>0</v>
      </c>
      <c r="V11" s="389">
        <f>_xll.qlMidEquivalent(T11,U11)</f>
        <v>30.2</v>
      </c>
      <c r="W11" s="264" t="b">
        <f t="shared" si="2"/>
        <v>1</v>
      </c>
      <c r="X11" s="390">
        <v>30.2</v>
      </c>
      <c r="Y11" s="266"/>
      <c r="Z11" s="387">
        <v>30.2</v>
      </c>
      <c r="AA11" s="266"/>
      <c r="AB11" s="540">
        <v>30.2</v>
      </c>
      <c r="AC11" s="263" t="e">
        <f>_xll.qlSimpleQuoteSetValue(F11,AB11/10000,Trigger)</f>
        <v>#N/A</v>
      </c>
      <c r="AD11" s="220"/>
      <c r="AE11" s="21"/>
      <c r="AF11" s="21"/>
      <c r="AG11" s="21"/>
      <c r="AH11" s="21"/>
    </row>
    <row r="12" spans="1:34" x14ac:dyDescent="0.2">
      <c r="A12" s="78"/>
      <c r="B12" s="77" t="s">
        <v>106</v>
      </c>
      <c r="C12" s="76" t="str">
        <f t="shared" si="3"/>
        <v>12L</v>
      </c>
      <c r="D12" s="75" t="str">
        <f t="shared" si="4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USD12L3L4Y_Quote#0002</v>
      </c>
      <c r="G12" s="73" t="str">
        <f>_xll.ohRangeRetrieveError(F12)</f>
        <v/>
      </c>
      <c r="H12" s="72"/>
      <c r="J12" s="84" t="s">
        <v>127</v>
      </c>
      <c r="K12" s="83" t="s">
        <v>125</v>
      </c>
      <c r="L12" s="82" t="s">
        <v>137</v>
      </c>
      <c r="N12" s="121">
        <v>4</v>
      </c>
      <c r="O12" s="270" t="s">
        <v>106</v>
      </c>
      <c r="P12" s="319" t="str">
        <v>12L</v>
      </c>
      <c r="Q12" s="319" t="str">
        <v>3L</v>
      </c>
      <c r="R12" s="317" t="str">
        <f t="shared" si="1"/>
        <v>USD12L3L4Y</v>
      </c>
      <c r="S12" s="269" t="str">
        <v>USD12L3L4Y=ICAP</v>
      </c>
      <c r="T12" s="389">
        <v>29.9</v>
      </c>
      <c r="U12" s="389">
        <v>0</v>
      </c>
      <c r="V12" s="389">
        <f>_xll.qlMidEquivalent(T12,U12)</f>
        <v>29.9</v>
      </c>
      <c r="W12" s="264" t="b">
        <f t="shared" si="2"/>
        <v>1</v>
      </c>
      <c r="X12" s="390">
        <v>29.9</v>
      </c>
      <c r="Y12" s="266"/>
      <c r="Z12" s="387">
        <v>29.9</v>
      </c>
      <c r="AA12" s="266"/>
      <c r="AB12" s="540">
        <v>29.9</v>
      </c>
      <c r="AC12" s="263" t="e">
        <f>_xll.qlSimpleQuoteSetValue(F12,AB12/10000,Trigger)</f>
        <v>#N/A</v>
      </c>
      <c r="AD12" s="220"/>
      <c r="AE12" s="21"/>
      <c r="AF12" s="21"/>
      <c r="AG12" s="21"/>
      <c r="AH12" s="21"/>
    </row>
    <row r="13" spans="1:34" x14ac:dyDescent="0.2">
      <c r="A13" s="78"/>
      <c r="B13" s="77" t="s">
        <v>105</v>
      </c>
      <c r="C13" s="76" t="str">
        <f t="shared" si="3"/>
        <v>12L</v>
      </c>
      <c r="D13" s="75" t="str">
        <f t="shared" si="4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USD12L3L5Y_Quote#0002</v>
      </c>
      <c r="G13" s="73" t="str">
        <f>_xll.ohRangeRetrieveError(F13)</f>
        <v/>
      </c>
      <c r="H13" s="72"/>
      <c r="J13" s="84" t="s">
        <v>126</v>
      </c>
      <c r="K13" s="83" t="s">
        <v>125</v>
      </c>
      <c r="L13" s="82" t="s">
        <v>137</v>
      </c>
      <c r="N13" s="121">
        <v>5</v>
      </c>
      <c r="O13" s="270" t="s">
        <v>105</v>
      </c>
      <c r="P13" s="319" t="str">
        <v>12L</v>
      </c>
      <c r="Q13" s="319" t="str">
        <v>3L</v>
      </c>
      <c r="R13" s="317" t="str">
        <f t="shared" si="1"/>
        <v>USD12L3L5Y</v>
      </c>
      <c r="S13" s="269" t="str">
        <v>USD12L3L5Y=ICAP</v>
      </c>
      <c r="T13" s="389">
        <v>29.6</v>
      </c>
      <c r="U13" s="389">
        <v>0</v>
      </c>
      <c r="V13" s="389">
        <f>_xll.qlMidEquivalent(T13,U13)</f>
        <v>29.6</v>
      </c>
      <c r="W13" s="264" t="b">
        <f t="shared" si="2"/>
        <v>1</v>
      </c>
      <c r="X13" s="390">
        <v>29.6</v>
      </c>
      <c r="Y13" s="266"/>
      <c r="Z13" s="387">
        <v>29.6</v>
      </c>
      <c r="AA13" s="266"/>
      <c r="AB13" s="540">
        <v>29.6</v>
      </c>
      <c r="AC13" s="263" t="e">
        <f>_xll.qlSimpleQuoteSetValue(F13,AB13/10000,Trigger)</f>
        <v>#N/A</v>
      </c>
      <c r="AD13" s="220"/>
      <c r="AE13" s="21"/>
      <c r="AF13" s="21"/>
      <c r="AG13" s="21"/>
      <c r="AH13" s="21"/>
    </row>
    <row r="14" spans="1:34" ht="13.5" thickBot="1" x14ac:dyDescent="0.25">
      <c r="A14" s="78"/>
      <c r="B14" s="77" t="s">
        <v>104</v>
      </c>
      <c r="C14" s="76" t="str">
        <f t="shared" si="3"/>
        <v>12L</v>
      </c>
      <c r="D14" s="75" t="str">
        <f t="shared" si="4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USD12L3L6Y_Quote#0002</v>
      </c>
      <c r="G14" s="73" t="str">
        <f>_xll.ohRangeRetrieveError(F14)</f>
        <v/>
      </c>
      <c r="H14" s="72"/>
      <c r="J14" s="81" t="s">
        <v>121</v>
      </c>
      <c r="K14" s="80" t="s">
        <v>137</v>
      </c>
      <c r="L14" s="79" t="s">
        <v>124</v>
      </c>
      <c r="N14" s="121">
        <v>6</v>
      </c>
      <c r="O14" s="270" t="s">
        <v>104</v>
      </c>
      <c r="P14" s="319" t="str">
        <v>12L</v>
      </c>
      <c r="Q14" s="319" t="str">
        <v>3L</v>
      </c>
      <c r="R14" s="317" t="str">
        <f t="shared" si="1"/>
        <v>USD12L3L6Y</v>
      </c>
      <c r="S14" s="269" t="str">
        <v>USD12L3L6Y=ICAP</v>
      </c>
      <c r="T14" s="389">
        <v>29.3</v>
      </c>
      <c r="U14" s="389">
        <v>0</v>
      </c>
      <c r="V14" s="389">
        <f>_xll.qlMidEquivalent(T14,U14)</f>
        <v>29.3</v>
      </c>
      <c r="W14" s="264" t="b">
        <f t="shared" si="2"/>
        <v>1</v>
      </c>
      <c r="X14" s="390">
        <v>29.3</v>
      </c>
      <c r="Y14" s="266"/>
      <c r="Z14" s="387">
        <v>29.3</v>
      </c>
      <c r="AA14" s="266"/>
      <c r="AB14" s="540">
        <v>29.3</v>
      </c>
      <c r="AC14" s="263" t="e">
        <f>_xll.qlSimpleQuoteSetValue(F14,AB14/10000,Trigger)</f>
        <v>#N/A</v>
      </c>
      <c r="AD14" s="220"/>
      <c r="AE14" s="21"/>
      <c r="AF14" s="21"/>
      <c r="AG14" s="21"/>
      <c r="AH14" s="21"/>
    </row>
    <row r="15" spans="1:34" x14ac:dyDescent="0.2">
      <c r="A15" s="78"/>
      <c r="B15" s="77" t="s">
        <v>103</v>
      </c>
      <c r="C15" s="76" t="str">
        <f t="shared" si="3"/>
        <v>12L</v>
      </c>
      <c r="D15" s="75" t="str">
        <f t="shared" si="4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12L</v>
      </c>
      <c r="Q15" s="319" t="str">
        <v>3L</v>
      </c>
      <c r="R15" s="317" t="str">
        <f t="shared" si="1"/>
        <v>USD12L3L7Y</v>
      </c>
      <c r="S15" s="269" t="str">
        <v>USD12L3L7Y=ICAP</v>
      </c>
      <c r="T15" s="389">
        <v>29.1</v>
      </c>
      <c r="U15" s="389">
        <v>0</v>
      </c>
      <c r="V15" s="389">
        <f>_xll.qlMidEquivalent(T15,U15)</f>
        <v>29.1</v>
      </c>
      <c r="W15" s="264" t="b">
        <f t="shared" si="2"/>
        <v>1</v>
      </c>
      <c r="X15" s="390">
        <v>29.1</v>
      </c>
      <c r="Y15" s="266"/>
      <c r="Z15" s="387">
        <v>29.1</v>
      </c>
      <c r="AA15" s="266"/>
      <c r="AB15" s="540">
        <v>29.1</v>
      </c>
      <c r="AC15" s="263" t="e">
        <f>_xll.qlSimpleQuoteSetValue(F15,AB15/10000,Trigger)</f>
        <v>#N/A</v>
      </c>
      <c r="AD15" s="220"/>
      <c r="AE15" s="21"/>
      <c r="AF15" s="21"/>
      <c r="AG15" s="21"/>
      <c r="AH15" s="21"/>
    </row>
    <row r="16" spans="1:34" x14ac:dyDescent="0.2">
      <c r="A16" s="78"/>
      <c r="B16" s="77" t="s">
        <v>102</v>
      </c>
      <c r="C16" s="76" t="str">
        <f t="shared" si="3"/>
        <v>12L</v>
      </c>
      <c r="D16" s="75" t="str">
        <f t="shared" si="4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12L</v>
      </c>
      <c r="Q16" s="319" t="str">
        <v>3L</v>
      </c>
      <c r="R16" s="317" t="str">
        <f t="shared" si="1"/>
        <v>USD12L3L8Y</v>
      </c>
      <c r="S16" s="269" t="str">
        <v>USD12L3L8Y=ICAP</v>
      </c>
      <c r="T16" s="389">
        <v>28.9</v>
      </c>
      <c r="U16" s="389">
        <v>0</v>
      </c>
      <c r="V16" s="389">
        <f>_xll.qlMidEquivalent(T16,U16)</f>
        <v>28.9</v>
      </c>
      <c r="W16" s="264" t="b">
        <f t="shared" si="2"/>
        <v>1</v>
      </c>
      <c r="X16" s="390">
        <v>28.9</v>
      </c>
      <c r="Y16" s="266"/>
      <c r="Z16" s="387">
        <v>28.9</v>
      </c>
      <c r="AA16" s="266"/>
      <c r="AB16" s="540">
        <v>28.9</v>
      </c>
      <c r="AC16" s="263" t="e">
        <f>_xll.qlSimpleQuoteSetValue(F16,AB16/10000,Trigger)</f>
        <v>#N/A</v>
      </c>
      <c r="AD16" s="220"/>
      <c r="AE16" s="21"/>
      <c r="AF16" s="21"/>
      <c r="AG16" s="21"/>
      <c r="AH16" s="21"/>
    </row>
    <row r="17" spans="1:34" x14ac:dyDescent="0.2">
      <c r="A17" s="78"/>
      <c r="B17" s="77" t="s">
        <v>101</v>
      </c>
      <c r="C17" s="76" t="str">
        <f t="shared" si="3"/>
        <v>12L</v>
      </c>
      <c r="D17" s="75" t="str">
        <f t="shared" si="4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12L</v>
      </c>
      <c r="Q17" s="319" t="str">
        <v>3L</v>
      </c>
      <c r="R17" s="317" t="str">
        <f t="shared" si="1"/>
        <v>USD12L3L9Y</v>
      </c>
      <c r="S17" s="269" t="str">
        <v>USD12L3L9Y=ICAP</v>
      </c>
      <c r="T17" s="389">
        <v>28.7</v>
      </c>
      <c r="U17" s="389">
        <v>0</v>
      </c>
      <c r="V17" s="389">
        <f>_xll.qlMidEquivalent(T17,U17)</f>
        <v>28.7</v>
      </c>
      <c r="W17" s="264" t="b">
        <f t="shared" si="2"/>
        <v>1</v>
      </c>
      <c r="X17" s="390">
        <v>28.7</v>
      </c>
      <c r="Y17" s="266"/>
      <c r="Z17" s="387">
        <v>28.7</v>
      </c>
      <c r="AA17" s="266"/>
      <c r="AB17" s="540">
        <v>28.7</v>
      </c>
      <c r="AC17" s="263" t="e">
        <f>_xll.qlSimpleQuoteSetValue(F17,AB17/10000,Trigger)</f>
        <v>#N/A</v>
      </c>
      <c r="AD17" s="220"/>
      <c r="AE17" s="21"/>
      <c r="AF17" s="21"/>
      <c r="AG17" s="21"/>
      <c r="AH17" s="21"/>
    </row>
    <row r="18" spans="1:34" x14ac:dyDescent="0.2">
      <c r="A18" s="78"/>
      <c r="B18" s="77" t="s">
        <v>100</v>
      </c>
      <c r="C18" s="76" t="str">
        <f t="shared" si="3"/>
        <v>12L</v>
      </c>
      <c r="D18" s="75" t="str">
        <f t="shared" si="4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12L</v>
      </c>
      <c r="Q18" s="319" t="str">
        <v>3L</v>
      </c>
      <c r="R18" s="317" t="str">
        <f t="shared" si="1"/>
        <v>USD12L3L10Y</v>
      </c>
      <c r="S18" s="269" t="str">
        <v>USD12L3L10Y=ICAP</v>
      </c>
      <c r="T18" s="389">
        <v>28.5</v>
      </c>
      <c r="U18" s="389">
        <v>0</v>
      </c>
      <c r="V18" s="389">
        <f>_xll.qlMidEquivalent(T18,U18)</f>
        <v>28.5</v>
      </c>
      <c r="W18" s="264" t="b">
        <f t="shared" si="2"/>
        <v>1</v>
      </c>
      <c r="X18" s="390">
        <v>28.5</v>
      </c>
      <c r="Y18" s="266"/>
      <c r="Z18" s="387">
        <v>28.5</v>
      </c>
      <c r="AA18" s="266"/>
      <c r="AB18" s="540">
        <v>28.5</v>
      </c>
      <c r="AC18" s="263" t="e">
        <f>_xll.qlSimpleQuoteSetValue(F18,AB18/10000,Trigger)</f>
        <v>#N/A</v>
      </c>
      <c r="AD18" s="220"/>
      <c r="AE18" s="21"/>
      <c r="AF18" s="21"/>
      <c r="AG18" s="21"/>
      <c r="AH18" s="21"/>
    </row>
    <row r="19" spans="1:34" x14ac:dyDescent="0.2">
      <c r="A19" s="78"/>
      <c r="B19" s="77" t="s">
        <v>99</v>
      </c>
      <c r="C19" s="76" t="str">
        <f t="shared" si="3"/>
        <v>12L</v>
      </c>
      <c r="D19" s="75" t="str">
        <f t="shared" si="4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12L</v>
      </c>
      <c r="Q19" s="319" t="str">
        <v>3L</v>
      </c>
      <c r="R19" s="317" t="str">
        <f t="shared" si="1"/>
        <v>USD12L3L11Y</v>
      </c>
      <c r="S19" s="269" t="str">
        <v>USD12L3L11Y=ICAP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28.297088844695441</v>
      </c>
      <c r="Y19" s="266"/>
      <c r="Z19" s="387">
        <v>28.297088844695441</v>
      </c>
      <c r="AA19" s="266"/>
      <c r="AB19" s="540">
        <v>28.297088844695441</v>
      </c>
      <c r="AC19" s="263" t="e">
        <f>_xll.qlSimpleQuoteSetValue(F19,AB19/10000,Trigger)</f>
        <v>#N/A</v>
      </c>
      <c r="AD19" s="220"/>
      <c r="AE19" s="21"/>
      <c r="AF19" s="21"/>
      <c r="AG19" s="21"/>
      <c r="AH19" s="21"/>
    </row>
    <row r="20" spans="1:34" x14ac:dyDescent="0.2">
      <c r="A20" s="78"/>
      <c r="B20" s="77" t="s">
        <v>98</v>
      </c>
      <c r="C20" s="76" t="str">
        <f t="shared" si="3"/>
        <v>12L</v>
      </c>
      <c r="D20" s="75" t="str">
        <f t="shared" si="4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12L</v>
      </c>
      <c r="Q20" s="319" t="str">
        <v>3L</v>
      </c>
      <c r="R20" s="317" t="str">
        <f t="shared" si="1"/>
        <v>USD12L3L12Y</v>
      </c>
      <c r="S20" s="269" t="str">
        <v>USD12L3L12Y=ICAP</v>
      </c>
      <c r="T20" s="389">
        <v>28.1</v>
      </c>
      <c r="U20" s="389">
        <v>0</v>
      </c>
      <c r="V20" s="389">
        <f>_xll.qlMidEquivalent(T20,U20)</f>
        <v>28.1</v>
      </c>
      <c r="W20" s="264" t="b">
        <f t="shared" si="2"/>
        <v>1</v>
      </c>
      <c r="X20" s="390">
        <v>28.1</v>
      </c>
      <c r="Y20" s="266"/>
      <c r="Z20" s="387">
        <v>28.1</v>
      </c>
      <c r="AA20" s="266"/>
      <c r="AB20" s="540">
        <v>28.1</v>
      </c>
      <c r="AC20" s="263" t="e">
        <f>_xll.qlSimpleQuoteSetValue(F20,AB20/10000,Trigger)</f>
        <v>#N/A</v>
      </c>
      <c r="AD20" s="220"/>
      <c r="AE20" s="21"/>
      <c r="AF20" s="21"/>
      <c r="AG20" s="21"/>
      <c r="AH20" s="21"/>
    </row>
    <row r="21" spans="1:34" x14ac:dyDescent="0.2">
      <c r="A21" s="78"/>
      <c r="B21" s="77" t="s">
        <v>97</v>
      </c>
      <c r="C21" s="76" t="str">
        <f t="shared" si="3"/>
        <v>12L</v>
      </c>
      <c r="D21" s="75" t="str">
        <f t="shared" si="4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12L</v>
      </c>
      <c r="Q21" s="319" t="str">
        <v>3L</v>
      </c>
      <c r="R21" s="317" t="str">
        <f t="shared" si="1"/>
        <v>USD12L3L13Y</v>
      </c>
      <c r="S21" s="269" t="str">
        <v>USD12L3L13Y=ICAP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27.91789306687464</v>
      </c>
      <c r="Y21" s="266"/>
      <c r="Z21" s="387">
        <v>27.91789306687464</v>
      </c>
      <c r="AA21" s="266"/>
      <c r="AB21" s="540">
        <v>27.91789306687464</v>
      </c>
      <c r="AC21" s="263" t="e">
        <f>_xll.qlSimpleQuoteSetValue(F21,AB21/10000,Trigger)</f>
        <v>#N/A</v>
      </c>
      <c r="AD21" s="220"/>
      <c r="AE21" s="21"/>
      <c r="AF21" s="21"/>
      <c r="AG21" s="21"/>
      <c r="AH21" s="21"/>
    </row>
    <row r="22" spans="1:34" x14ac:dyDescent="0.2">
      <c r="A22" s="78"/>
      <c r="B22" s="77" t="s">
        <v>96</v>
      </c>
      <c r="C22" s="76" t="str">
        <f t="shared" si="3"/>
        <v>12L</v>
      </c>
      <c r="D22" s="75" t="str">
        <f t="shared" si="4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12L</v>
      </c>
      <c r="Q22" s="319" t="str">
        <v>3L</v>
      </c>
      <c r="R22" s="317" t="str">
        <f t="shared" si="1"/>
        <v>USD12L3L14Y</v>
      </c>
      <c r="S22" s="269" t="str">
        <v>USD12L3L14Y=ICAP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27.75163039000314</v>
      </c>
      <c r="Y22" s="266"/>
      <c r="Z22" s="387">
        <v>27.75163039000314</v>
      </c>
      <c r="AA22" s="266"/>
      <c r="AB22" s="540">
        <v>27.75163039000314</v>
      </c>
      <c r="AC22" s="263" t="e">
        <f>_xll.qlSimpleQuoteSetValue(F22,AB22/10000,Trigger)</f>
        <v>#N/A</v>
      </c>
      <c r="AD22" s="220"/>
      <c r="AE22" s="21"/>
      <c r="AF22" s="21"/>
      <c r="AG22" s="21"/>
      <c r="AH22" s="21"/>
    </row>
    <row r="23" spans="1:34" x14ac:dyDescent="0.2">
      <c r="A23" s="78"/>
      <c r="B23" s="77" t="s">
        <v>95</v>
      </c>
      <c r="C23" s="76" t="str">
        <f t="shared" si="3"/>
        <v>12L</v>
      </c>
      <c r="D23" s="75" t="str">
        <f t="shared" si="4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12L</v>
      </c>
      <c r="Q23" s="319" t="str">
        <v>3L</v>
      </c>
      <c r="R23" s="317" t="str">
        <f t="shared" si="1"/>
        <v>USD12L3L15Y</v>
      </c>
      <c r="S23" s="269" t="str">
        <v>USD12L3L15Y=ICAP</v>
      </c>
      <c r="T23" s="389">
        <v>27.6</v>
      </c>
      <c r="U23" s="389">
        <v>0</v>
      </c>
      <c r="V23" s="389">
        <f>_xll.qlMidEquivalent(T23,U23)</f>
        <v>27.6</v>
      </c>
      <c r="W23" s="264" t="b">
        <f t="shared" si="2"/>
        <v>1</v>
      </c>
      <c r="X23" s="390">
        <v>27.6</v>
      </c>
      <c r="Y23" s="266"/>
      <c r="Z23" s="387">
        <v>27.6</v>
      </c>
      <c r="AA23" s="266"/>
      <c r="AB23" s="540">
        <v>27.6</v>
      </c>
      <c r="AC23" s="263" t="e">
        <f>_xll.qlSimpleQuoteSetValue(F23,AB23/10000,Trigger)</f>
        <v>#N/A</v>
      </c>
      <c r="AD23" s="220"/>
      <c r="AE23" s="21"/>
      <c r="AF23" s="21"/>
      <c r="AG23" s="21"/>
      <c r="AH23" s="21"/>
    </row>
    <row r="24" spans="1:34" x14ac:dyDescent="0.2">
      <c r="A24" s="78"/>
      <c r="B24" s="77" t="s">
        <v>94</v>
      </c>
      <c r="C24" s="76" t="str">
        <f t="shared" si="3"/>
        <v>12L</v>
      </c>
      <c r="D24" s="75" t="str">
        <f t="shared" si="4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12L</v>
      </c>
      <c r="Q24" s="319" t="str">
        <v>3L</v>
      </c>
      <c r="R24" s="317" t="str">
        <f t="shared" si="1"/>
        <v>USD12L3L16Y</v>
      </c>
      <c r="S24" s="269" t="str">
        <v>USD12L3L16Y=ICAP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27.461638620083583</v>
      </c>
      <c r="Y24" s="266"/>
      <c r="Z24" s="387">
        <v>27.461638620083583</v>
      </c>
      <c r="AA24" s="266"/>
      <c r="AB24" s="540">
        <v>27.461638620083583</v>
      </c>
      <c r="AC24" s="263" t="e">
        <f>_xll.qlSimpleQuoteSetValue(F24,AB24/10000,Trigger)</f>
        <v>#N/A</v>
      </c>
      <c r="AD24" s="220"/>
      <c r="AE24" s="21"/>
      <c r="AF24" s="21"/>
      <c r="AG24" s="21"/>
      <c r="AH24" s="21"/>
    </row>
    <row r="25" spans="1:34" x14ac:dyDescent="0.2">
      <c r="A25" s="78"/>
      <c r="B25" s="77" t="s">
        <v>93</v>
      </c>
      <c r="C25" s="76" t="str">
        <f t="shared" si="3"/>
        <v>12L</v>
      </c>
      <c r="D25" s="75" t="str">
        <f t="shared" si="4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12L</v>
      </c>
      <c r="Q25" s="319" t="str">
        <v>3L</v>
      </c>
      <c r="R25" s="317" t="str">
        <f t="shared" si="1"/>
        <v>USD12L3L17Y</v>
      </c>
      <c r="S25" s="269" t="str">
        <v>USD12L3L17Y=ICAP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27.334577743887696</v>
      </c>
      <c r="Y25" s="266"/>
      <c r="Z25" s="387">
        <v>27.334577743887696</v>
      </c>
      <c r="AA25" s="266"/>
      <c r="AB25" s="540">
        <v>27.334577743887696</v>
      </c>
      <c r="AC25" s="263" t="e">
        <f>_xll.qlSimpleQuoteSetValue(F25,AB25/10000,Trigger)</f>
        <v>#N/A</v>
      </c>
      <c r="AD25" s="220"/>
      <c r="AE25" s="21"/>
      <c r="AF25" s="21"/>
      <c r="AG25" s="21"/>
      <c r="AH25" s="21"/>
    </row>
    <row r="26" spans="1:34" x14ac:dyDescent="0.2">
      <c r="A26" s="78"/>
      <c r="B26" s="77" t="s">
        <v>92</v>
      </c>
      <c r="C26" s="76" t="str">
        <f t="shared" si="3"/>
        <v>12L</v>
      </c>
      <c r="D26" s="75" t="str">
        <f t="shared" si="4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12L</v>
      </c>
      <c r="Q26" s="319" t="str">
        <v>3L</v>
      </c>
      <c r="R26" s="317" t="str">
        <f t="shared" si="1"/>
        <v>USD12L3L18Y</v>
      </c>
      <c r="S26" s="269" t="str">
        <v>USD12L3L18Y=ICAP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27.216697557650019</v>
      </c>
      <c r="Y26" s="266"/>
      <c r="Z26" s="387">
        <v>27.216697557650019</v>
      </c>
      <c r="AA26" s="266"/>
      <c r="AB26" s="540">
        <v>27.216697557650019</v>
      </c>
      <c r="AC26" s="263" t="e">
        <f>_xll.qlSimpleQuoteSetValue(F26,AB26/10000,Trigger)</f>
        <v>#N/A</v>
      </c>
      <c r="AD26" s="220"/>
      <c r="AE26" s="21"/>
      <c r="AF26" s="21"/>
      <c r="AG26" s="21"/>
      <c r="AH26" s="21"/>
    </row>
    <row r="27" spans="1:34" x14ac:dyDescent="0.2">
      <c r="A27" s="78"/>
      <c r="B27" s="77" t="s">
        <v>91</v>
      </c>
      <c r="C27" s="76" t="str">
        <f t="shared" si="3"/>
        <v>12L</v>
      </c>
      <c r="D27" s="75" t="str">
        <f t="shared" si="4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12L</v>
      </c>
      <c r="Q27" s="319" t="str">
        <v>3L</v>
      </c>
      <c r="R27" s="317" t="str">
        <f t="shared" si="1"/>
        <v>USD12L3L19Y</v>
      </c>
      <c r="S27" s="269" t="str">
        <v>USD12L3L19Y=ICAP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27.105878247608228</v>
      </c>
      <c r="Y27" s="266"/>
      <c r="Z27" s="387">
        <v>27.105878247608228</v>
      </c>
      <c r="AA27" s="266"/>
      <c r="AB27" s="540">
        <v>27.105878247608228</v>
      </c>
      <c r="AC27" s="263" t="e">
        <f>_xll.qlSimpleQuoteSetValue(F27,AB27/10000,Trigger)</f>
        <v>#N/A</v>
      </c>
      <c r="AD27" s="220"/>
      <c r="AE27" s="21"/>
      <c r="AF27" s="21"/>
      <c r="AG27" s="21"/>
      <c r="AH27" s="21"/>
    </row>
    <row r="28" spans="1:34" x14ac:dyDescent="0.2">
      <c r="A28" s="78"/>
      <c r="B28" s="77" t="s">
        <v>90</v>
      </c>
      <c r="C28" s="76" t="str">
        <f t="shared" si="3"/>
        <v>12L</v>
      </c>
      <c r="D28" s="75" t="str">
        <f t="shared" si="4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12L</v>
      </c>
      <c r="Q28" s="319" t="str">
        <v>3L</v>
      </c>
      <c r="R28" s="317" t="str">
        <f t="shared" si="1"/>
        <v>USD12L3L20Y</v>
      </c>
      <c r="S28" s="269" t="str">
        <v>USD12L3L20Y=ICAP</v>
      </c>
      <c r="T28" s="389">
        <v>27</v>
      </c>
      <c r="U28" s="389">
        <v>0</v>
      </c>
      <c r="V28" s="389">
        <f>_xll.qlMidEquivalent(T28,U28)</f>
        <v>27</v>
      </c>
      <c r="W28" s="264" t="b">
        <f t="shared" si="2"/>
        <v>1</v>
      </c>
      <c r="X28" s="390">
        <v>27</v>
      </c>
      <c r="Y28" s="266"/>
      <c r="Z28" s="387">
        <v>27</v>
      </c>
      <c r="AA28" s="266"/>
      <c r="AB28" s="540">
        <v>27</v>
      </c>
      <c r="AC28" s="263" t="e">
        <f>_xll.qlSimpleQuoteSetValue(F28,AB28/10000,Trigger)</f>
        <v>#N/A</v>
      </c>
      <c r="AD28" s="220"/>
      <c r="AE28" s="21"/>
      <c r="AF28" s="21"/>
      <c r="AG28" s="21"/>
      <c r="AH28" s="21"/>
    </row>
    <row r="29" spans="1:34" x14ac:dyDescent="0.2">
      <c r="A29" s="78"/>
      <c r="B29" s="77" t="s">
        <v>89</v>
      </c>
      <c r="C29" s="76" t="str">
        <f t="shared" si="3"/>
        <v>12L</v>
      </c>
      <c r="D29" s="75" t="str">
        <f t="shared" si="4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12L</v>
      </c>
      <c r="Q29" s="319" t="str">
        <v>3L</v>
      </c>
      <c r="R29" s="317" t="str">
        <f t="shared" si="1"/>
        <v>USD12L3L21Y</v>
      </c>
      <c r="S29" s="269" t="str">
        <v>USD12L3L21Y=ICAP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26.897178751328763</v>
      </c>
      <c r="Y29" s="266"/>
      <c r="Z29" s="387">
        <v>26.897178751328763</v>
      </c>
      <c r="AA29" s="266"/>
      <c r="AB29" s="540">
        <v>26.897178751328763</v>
      </c>
      <c r="AC29" s="263" t="e">
        <f>_xll.qlSimpleQuoteSetValue(F29,AB29/10000,Trigger)</f>
        <v>#N/A</v>
      </c>
      <c r="AD29" s="220"/>
      <c r="AE29" s="21"/>
      <c r="AF29" s="21"/>
      <c r="AG29" s="21"/>
      <c r="AH29" s="21"/>
    </row>
    <row r="30" spans="1:34" x14ac:dyDescent="0.2">
      <c r="A30" s="78"/>
      <c r="B30" s="77" t="s">
        <v>88</v>
      </c>
      <c r="C30" s="76" t="str">
        <f t="shared" si="3"/>
        <v>12L</v>
      </c>
      <c r="D30" s="75" t="str">
        <f t="shared" si="4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12L</v>
      </c>
      <c r="Q30" s="319" t="str">
        <v>3L</v>
      </c>
      <c r="R30" s="317" t="str">
        <f t="shared" si="1"/>
        <v>USD12L3L22Y</v>
      </c>
      <c r="S30" s="269" t="str">
        <v>USD12L3L22Y=ICAP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26.796473439160952</v>
      </c>
      <c r="Y30" s="266"/>
      <c r="Z30" s="387">
        <v>26.796473439160952</v>
      </c>
      <c r="AA30" s="266"/>
      <c r="AB30" s="540">
        <v>26.796473439160952</v>
      </c>
      <c r="AC30" s="263" t="e">
        <f>_xll.qlSimpleQuoteSetValue(F30,AB30/10000,Trigger)</f>
        <v>#N/A</v>
      </c>
      <c r="AD30" s="220"/>
      <c r="AE30" s="21"/>
      <c r="AF30" s="21"/>
      <c r="AG30" s="21"/>
      <c r="AH30" s="21"/>
    </row>
    <row r="31" spans="1:34" x14ac:dyDescent="0.2">
      <c r="A31" s="78"/>
      <c r="B31" s="77" t="s">
        <v>87</v>
      </c>
      <c r="C31" s="76" t="str">
        <f t="shared" si="3"/>
        <v>12L</v>
      </c>
      <c r="D31" s="75" t="str">
        <f t="shared" si="4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12L</v>
      </c>
      <c r="Q31" s="319" t="str">
        <v>3L</v>
      </c>
      <c r="R31" s="317" t="str">
        <f t="shared" si="1"/>
        <v>USD12L3L23Y</v>
      </c>
      <c r="S31" s="269" t="str">
        <v>USD12L3L23Y=ICAP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26.69717875132876</v>
      </c>
      <c r="Y31" s="266"/>
      <c r="Z31" s="387">
        <v>26.69717875132876</v>
      </c>
      <c r="AA31" s="266"/>
      <c r="AB31" s="540">
        <v>26.69717875132876</v>
      </c>
      <c r="AC31" s="263" t="e">
        <f>_xll.qlSimpleQuoteSetValue(F31,AB31/10000,Trigger)</f>
        <v>#N/A</v>
      </c>
      <c r="AD31" s="220"/>
      <c r="AE31" s="21"/>
      <c r="AF31" s="21"/>
      <c r="AG31" s="21"/>
      <c r="AH31" s="21"/>
    </row>
    <row r="32" spans="1:34" x14ac:dyDescent="0.2">
      <c r="A32" s="78"/>
      <c r="B32" s="77" t="s">
        <v>86</v>
      </c>
      <c r="C32" s="76" t="str">
        <f t="shared" si="3"/>
        <v>12L</v>
      </c>
      <c r="D32" s="75" t="str">
        <f t="shared" si="4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12L</v>
      </c>
      <c r="Q32" s="319" t="str">
        <v>3L</v>
      </c>
      <c r="R32" s="317" t="str">
        <f t="shared" si="1"/>
        <v>USD12L3L24Y</v>
      </c>
      <c r="S32" s="269" t="str">
        <v>USD12L3L24Y=ICAP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26.598589375664382</v>
      </c>
      <c r="Y32" s="266"/>
      <c r="Z32" s="387">
        <v>26.598589375664382</v>
      </c>
      <c r="AA32" s="266"/>
      <c r="AB32" s="540">
        <v>26.598589375664382</v>
      </c>
      <c r="AC32" s="263" t="e">
        <f>_xll.qlSimpleQuoteSetValue(F32,AB32/10000,Trigger)</f>
        <v>#N/A</v>
      </c>
      <c r="AD32" s="220"/>
      <c r="AE32" s="21"/>
      <c r="AF32" s="21"/>
      <c r="AG32" s="21"/>
      <c r="AH32" s="21"/>
    </row>
    <row r="33" spans="1:34" x14ac:dyDescent="0.2">
      <c r="A33" s="78"/>
      <c r="B33" s="77" t="s">
        <v>85</v>
      </c>
      <c r="C33" s="76" t="str">
        <f t="shared" si="3"/>
        <v>12L</v>
      </c>
      <c r="D33" s="75" t="str">
        <f t="shared" si="4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12L</v>
      </c>
      <c r="Q33" s="319" t="str">
        <v>3L</v>
      </c>
      <c r="R33" s="317" t="str">
        <f t="shared" si="1"/>
        <v>USD12L3L25Y</v>
      </c>
      <c r="S33" s="269" t="str">
        <v>USD12L3L25Y=ICAP</v>
      </c>
      <c r="T33" s="389">
        <v>26.5</v>
      </c>
      <c r="U33" s="389">
        <v>0</v>
      </c>
      <c r="V33" s="389">
        <f>_xll.qlMidEquivalent(T33,U33)</f>
        <v>26.5</v>
      </c>
      <c r="W33" s="264" t="b">
        <f t="shared" si="2"/>
        <v>1</v>
      </c>
      <c r="X33" s="390">
        <v>26.5</v>
      </c>
      <c r="Y33" s="266"/>
      <c r="Z33" s="387">
        <v>26.5</v>
      </c>
      <c r="AA33" s="266"/>
      <c r="AB33" s="540">
        <v>26.5</v>
      </c>
      <c r="AC33" s="263" t="e">
        <f>_xll.qlSimpleQuoteSetValue(F33,AB33/10000,Trigger)</f>
        <v>#N/A</v>
      </c>
      <c r="AD33" s="220"/>
      <c r="AE33" s="21"/>
      <c r="AF33" s="21"/>
      <c r="AG33" s="21"/>
      <c r="AH33" s="21"/>
    </row>
    <row r="34" spans="1:34" x14ac:dyDescent="0.2">
      <c r="A34" s="78"/>
      <c r="B34" s="77" t="s">
        <v>84</v>
      </c>
      <c r="C34" s="76" t="str">
        <f t="shared" si="3"/>
        <v>12L</v>
      </c>
      <c r="D34" s="75" t="str">
        <f t="shared" si="4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12L</v>
      </c>
      <c r="Q34" s="319" t="str">
        <v>3L</v>
      </c>
      <c r="R34" s="317" t="str">
        <f t="shared" si="1"/>
        <v>USD12L3L26Y</v>
      </c>
      <c r="S34" s="269" t="str">
        <v>USD12L3L26Y=ICAP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26.400846374601372</v>
      </c>
      <c r="Y34" s="266"/>
      <c r="Z34" s="387">
        <v>26.400846374601372</v>
      </c>
      <c r="AA34" s="266"/>
      <c r="AB34" s="540">
        <v>26.400846374601372</v>
      </c>
      <c r="AC34" s="263" t="e">
        <f>_xll.qlSimpleQuoteSetValue(F34,AB34/10000,Trigger)</f>
        <v>#N/A</v>
      </c>
      <c r="AD34" s="220"/>
      <c r="AE34" s="21"/>
      <c r="AF34" s="21"/>
      <c r="AG34" s="21"/>
      <c r="AH34" s="21"/>
    </row>
    <row r="35" spans="1:34" x14ac:dyDescent="0.2">
      <c r="A35" s="78"/>
      <c r="B35" s="77" t="s">
        <v>83</v>
      </c>
      <c r="C35" s="76" t="str">
        <f t="shared" si="3"/>
        <v>12L</v>
      </c>
      <c r="D35" s="75" t="str">
        <f t="shared" si="4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12L</v>
      </c>
      <c r="Q35" s="319" t="str">
        <v>3L</v>
      </c>
      <c r="R35" s="317" t="str">
        <f t="shared" si="1"/>
        <v>USD12L3L27Y</v>
      </c>
      <c r="S35" s="269" t="str">
        <v>USD12L3L27Y=ICAP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26.301128499468497</v>
      </c>
      <c r="Y35" s="266"/>
      <c r="Z35" s="387">
        <v>26.301128499468497</v>
      </c>
      <c r="AA35" s="266"/>
      <c r="AB35" s="540">
        <v>26.301128499468497</v>
      </c>
      <c r="AC35" s="263" t="e">
        <f>_xll.qlSimpleQuoteSetValue(F35,AB35/10000,Trigger)</f>
        <v>#N/A</v>
      </c>
      <c r="AD35" s="220"/>
      <c r="AE35" s="21"/>
      <c r="AF35" s="21"/>
      <c r="AG35" s="21"/>
      <c r="AH35" s="21"/>
    </row>
    <row r="36" spans="1:34" x14ac:dyDescent="0.2">
      <c r="A36" s="78"/>
      <c r="B36" s="77" t="s">
        <v>82</v>
      </c>
      <c r="C36" s="76" t="str">
        <f t="shared" si="3"/>
        <v>12L</v>
      </c>
      <c r="D36" s="75" t="str">
        <f t="shared" si="4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12L</v>
      </c>
      <c r="Q36" s="319" t="str">
        <v>3L</v>
      </c>
      <c r="R36" s="317" t="str">
        <f t="shared" si="1"/>
        <v>USD12L3L28Y</v>
      </c>
      <c r="S36" s="269" t="str">
        <v>USD12L3L28Y=ICAP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26.200987437034932</v>
      </c>
      <c r="Y36" s="266"/>
      <c r="Z36" s="387">
        <v>26.200987437034932</v>
      </c>
      <c r="AA36" s="266"/>
      <c r="AB36" s="540">
        <v>26.200987437034932</v>
      </c>
      <c r="AC36" s="263" t="e">
        <f>_xll.qlSimpleQuoteSetValue(F36,AB36/10000,Trigger)</f>
        <v>#N/A</v>
      </c>
      <c r="AD36" s="220"/>
      <c r="AE36" s="21"/>
      <c r="AF36" s="21"/>
      <c r="AG36" s="21"/>
      <c r="AH36" s="21"/>
    </row>
    <row r="37" spans="1:34" x14ac:dyDescent="0.2">
      <c r="A37" s="78"/>
      <c r="B37" s="77" t="s">
        <v>81</v>
      </c>
      <c r="C37" s="76" t="str">
        <f t="shared" si="3"/>
        <v>12L</v>
      </c>
      <c r="D37" s="75" t="str">
        <f t="shared" si="4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12L</v>
      </c>
      <c r="Q37" s="319" t="str">
        <v>3L</v>
      </c>
      <c r="R37" s="317" t="str">
        <f t="shared" si="1"/>
        <v>USD12L3L29Y</v>
      </c>
      <c r="S37" s="269" t="str">
        <v>USD12L3L29Y=ICAP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26.100564249734248</v>
      </c>
      <c r="Y37" s="266"/>
      <c r="Z37" s="387">
        <v>26.100564249734248</v>
      </c>
      <c r="AA37" s="266"/>
      <c r="AB37" s="540">
        <v>26.100564249734248</v>
      </c>
      <c r="AC37" s="263" t="e">
        <f>_xll.qlSimpleQuoteSetValue(F37,AB37/10000,Trigger)</f>
        <v>#N/A</v>
      </c>
      <c r="AD37" s="220"/>
      <c r="AE37" s="21"/>
      <c r="AF37" s="21"/>
      <c r="AG37" s="21"/>
      <c r="AH37" s="21"/>
    </row>
    <row r="38" spans="1:34" x14ac:dyDescent="0.2">
      <c r="A38" s="78"/>
      <c r="B38" s="77" t="s">
        <v>80</v>
      </c>
      <c r="C38" s="76" t="str">
        <f t="shared" si="3"/>
        <v>12L</v>
      </c>
      <c r="D38" s="75" t="str">
        <f t="shared" si="4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12L</v>
      </c>
      <c r="Q38" s="319" t="str">
        <v>3L</v>
      </c>
      <c r="R38" s="317" t="str">
        <f t="shared" si="1"/>
        <v>USD12L3L30Y</v>
      </c>
      <c r="S38" s="269" t="str">
        <v>USD12L3L30Y=ICAP</v>
      </c>
      <c r="T38" s="389">
        <v>26</v>
      </c>
      <c r="U38" s="389">
        <v>0</v>
      </c>
      <c r="V38" s="389">
        <f>_xll.qlMidEquivalent(T38,U38)</f>
        <v>26</v>
      </c>
      <c r="W38" s="264" t="b">
        <f t="shared" si="2"/>
        <v>1</v>
      </c>
      <c r="X38" s="390">
        <v>26</v>
      </c>
      <c r="Y38" s="266"/>
      <c r="Z38" s="387">
        <v>26</v>
      </c>
      <c r="AA38" s="266"/>
      <c r="AB38" s="540">
        <v>26</v>
      </c>
      <c r="AC38" s="263" t="e">
        <f>_xll.qlSimpleQuoteSetValue(F38,AB38/10000,Trigger)</f>
        <v>#N/A</v>
      </c>
      <c r="AD38" s="220"/>
      <c r="AE38" s="21"/>
      <c r="AF38" s="21"/>
      <c r="AG38" s="21"/>
      <c r="AH38" s="21"/>
    </row>
    <row r="39" spans="1:34" x14ac:dyDescent="0.2">
      <c r="A39" s="78"/>
      <c r="B39" s="77" t="s">
        <v>75</v>
      </c>
      <c r="C39" s="76" t="str">
        <f t="shared" si="3"/>
        <v>12L</v>
      </c>
      <c r="D39" s="75" t="str">
        <f t="shared" si="4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12L</v>
      </c>
      <c r="Q39" s="319" t="str">
        <v>3L</v>
      </c>
      <c r="R39" s="317" t="str">
        <f t="shared" si="1"/>
        <v>USD12L3L35Y</v>
      </c>
      <c r="S39" s="269" t="str">
        <v>USD12L3L35Y=ICAP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26</v>
      </c>
      <c r="Y39" s="266"/>
      <c r="Z39" s="387">
        <v>26</v>
      </c>
      <c r="AA39" s="266"/>
      <c r="AB39" s="540">
        <v>26</v>
      </c>
      <c r="AC39" s="263" t="e">
        <f>_xll.qlSimpleQuoteSetValue(F39,AB39/10000,Trigger)</f>
        <v>#N/A</v>
      </c>
      <c r="AD39" s="220"/>
      <c r="AE39" s="21"/>
      <c r="AF39" s="21"/>
      <c r="AG39" s="21"/>
      <c r="AH39" s="21"/>
    </row>
    <row r="40" spans="1:34" x14ac:dyDescent="0.2">
      <c r="A40" s="78"/>
      <c r="B40" s="77" t="s">
        <v>70</v>
      </c>
      <c r="C40" s="76" t="str">
        <f t="shared" si="3"/>
        <v>12L</v>
      </c>
      <c r="D40" s="75" t="str">
        <f t="shared" si="4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12L</v>
      </c>
      <c r="Q40" s="319" t="str">
        <v>3L</v>
      </c>
      <c r="R40" s="317" t="str">
        <f t="shared" si="1"/>
        <v>USD12L3L40Y</v>
      </c>
      <c r="S40" s="269" t="str">
        <v>USD12L3L40Y=ICAP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26</v>
      </c>
      <c r="Y40" s="266"/>
      <c r="Z40" s="387">
        <v>26</v>
      </c>
      <c r="AA40" s="266"/>
      <c r="AB40" s="540">
        <v>26</v>
      </c>
      <c r="AC40" s="263" t="e">
        <f>_xll.qlSimpleQuoteSetValue(F40,AB40/10000,Trigger)</f>
        <v>#N/A</v>
      </c>
      <c r="AD40" s="220"/>
      <c r="AE40" s="21"/>
      <c r="AF40" s="21"/>
      <c r="AG40" s="21"/>
      <c r="AH40" s="21"/>
    </row>
    <row r="41" spans="1:34" x14ac:dyDescent="0.2">
      <c r="A41" s="78"/>
      <c r="B41" s="77" t="s">
        <v>60</v>
      </c>
      <c r="C41" s="76" t="str">
        <f t="shared" si="3"/>
        <v>12L</v>
      </c>
      <c r="D41" s="75" t="str">
        <f t="shared" si="4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12L</v>
      </c>
      <c r="Q41" s="319" t="str">
        <v>3L</v>
      </c>
      <c r="R41" s="317" t="str">
        <f t="shared" si="1"/>
        <v>USD12L3L50Y</v>
      </c>
      <c r="S41" s="269" t="str">
        <v>USD12L3L50Y=ICAP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26</v>
      </c>
      <c r="Y41" s="266"/>
      <c r="Z41" s="387">
        <v>26</v>
      </c>
      <c r="AA41" s="266"/>
      <c r="AB41" s="540">
        <v>26</v>
      </c>
      <c r="AC41" s="263" t="e">
        <f>_xll.qlSimpleQuoteSetValue(F41,AB41/10000,Trigger)</f>
        <v>#N/A</v>
      </c>
      <c r="AD41" s="220"/>
      <c r="AE41" s="21"/>
      <c r="AF41" s="21"/>
      <c r="AG41" s="21"/>
      <c r="AH41" s="21"/>
    </row>
    <row r="42" spans="1:34" x14ac:dyDescent="0.2">
      <c r="A42" s="78"/>
      <c r="B42" s="77" t="s">
        <v>50</v>
      </c>
      <c r="C42" s="76" t="str">
        <f t="shared" si="3"/>
        <v>12L</v>
      </c>
      <c r="D42" s="75" t="str">
        <f t="shared" si="4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12L</v>
      </c>
      <c r="Q42" s="314" t="str">
        <v>3L</v>
      </c>
      <c r="R42" s="312" t="str">
        <f t="shared" si="1"/>
        <v>USD12L3L60Y</v>
      </c>
      <c r="S42" s="281" t="str">
        <v>USD12L3L60Y=ICAP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26</v>
      </c>
      <c r="Y42" s="266"/>
      <c r="Z42" s="384">
        <v>26</v>
      </c>
      <c r="AA42" s="266"/>
      <c r="AB42" s="541">
        <v>26</v>
      </c>
      <c r="AC42" s="276" t="e">
        <f>_xll.qlSimpleQuoteSetValue(F42,AB42/10000,Trigger)</f>
        <v>#N/A</v>
      </c>
      <c r="AD42" s="220"/>
      <c r="AE42" s="21"/>
      <c r="AF42" s="21"/>
      <c r="AG42" s="21"/>
      <c r="AH42" s="21"/>
    </row>
    <row r="43" spans="1:34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</row>
  </sheetData>
  <conditionalFormatting sqref="AC5:AC42">
    <cfRule type="cellIs" dxfId="28" priority="1" stopIfTrue="1" operator="greaterThan">
      <formula>0</formula>
    </cfRule>
    <cfRule type="cellIs" dxfId="27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0" t="s">
        <v>307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299"/>
      <c r="I2" s="298"/>
      <c r="J2" s="143" t="s">
        <v>48</v>
      </c>
      <c r="K2" s="266"/>
      <c r="L2" s="266"/>
      <c r="M2" s="266"/>
      <c r="N2" s="266"/>
      <c r="O2" s="266"/>
      <c r="P2" s="266"/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180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3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258</v>
      </c>
      <c r="N4" s="266"/>
      <c r="O4" s="293" t="s">
        <v>256</v>
      </c>
      <c r="P4" s="292" t="s">
        <v>255</v>
      </c>
      <c r="Q4" s="220"/>
      <c r="R4" s="21"/>
      <c r="S4" s="291" t="s">
        <v>254</v>
      </c>
      <c r="T4" s="290" t="s">
        <v>253</v>
      </c>
      <c r="U4" s="290" t="s">
        <v>252</v>
      </c>
      <c r="V4" s="290" t="s">
        <v>251</v>
      </c>
      <c r="W4" s="289" t="s">
        <v>250</v>
      </c>
    </row>
    <row r="5" spans="1:23" x14ac:dyDescent="0.2">
      <c r="A5" s="78"/>
      <c r="B5" s="106" t="s">
        <v>162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USDOND_Quote#0002</v>
      </c>
      <c r="E5" s="104" t="str">
        <f>_xll.ohRangeRetrieveError(D5)</f>
        <v/>
      </c>
      <c r="F5" s="103"/>
      <c r="H5" s="121"/>
      <c r="I5" s="288" t="s">
        <v>215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0.15</v>
      </c>
      <c r="N5" s="266"/>
      <c r="O5" s="346">
        <f t="array" ref="O5:O22">QuoteStatic</f>
        <v>0.15</v>
      </c>
      <c r="P5" s="283" t="e">
        <f>_xll.qlSimpleQuoteSetValue(D5,O5/100,Trigger)</f>
        <v>#N/A</v>
      </c>
      <c r="Q5" s="220"/>
      <c r="R5" s="21"/>
      <c r="S5" s="275" t="s">
        <v>249</v>
      </c>
      <c r="T5" s="83" t="s">
        <v>248</v>
      </c>
      <c r="U5" s="83" t="s">
        <v>232</v>
      </c>
      <c r="V5" s="83" t="str">
        <f>""</f>
        <v/>
      </c>
      <c r="W5" s="274" t="s">
        <v>245</v>
      </c>
    </row>
    <row r="6" spans="1:23" x14ac:dyDescent="0.2">
      <c r="A6" s="78"/>
      <c r="B6" s="106" t="s">
        <v>161</v>
      </c>
      <c r="C6" s="105" t="str">
        <f t="shared" si="0"/>
        <v>USDTND_Quote</v>
      </c>
      <c r="D6" s="105" t="str">
        <f>_xll.qlSimpleQuote(C6,,RateTickValue,Permanent,Trigger,ObjectOverwrite)</f>
        <v>USDTND_Quote#0002</v>
      </c>
      <c r="E6" s="104" t="str">
        <f>_xll.ohRangeRetrieveError(D6)</f>
        <v/>
      </c>
      <c r="F6" s="103"/>
      <c r="H6" s="121"/>
      <c r="I6" s="270" t="s">
        <v>247</v>
      </c>
      <c r="J6" s="269" t="e">
        <v>#REF!</v>
      </c>
      <c r="K6" s="268">
        <f>X29</f>
        <v>0.16</v>
      </c>
      <c r="L6" s="266"/>
      <c r="M6" s="267">
        <v>0.15</v>
      </c>
      <c r="N6" s="266"/>
      <c r="O6" s="339">
        <v>0.15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246</v>
      </c>
      <c r="V6" s="83"/>
      <c r="W6" s="274" t="s">
        <v>245</v>
      </c>
    </row>
    <row r="7" spans="1:23" x14ac:dyDescent="0.2">
      <c r="A7" s="78"/>
      <c r="B7" s="106" t="s">
        <v>160</v>
      </c>
      <c r="C7" s="105" t="str">
        <f t="shared" si="0"/>
        <v>USDSND_Quote</v>
      </c>
      <c r="D7" s="105" t="str">
        <f>_xll.qlSimpleQuote(C7,,RateTickValue,Permanent,Trigger,ObjectOverwrite)</f>
        <v>USDSND_Quote#0002</v>
      </c>
      <c r="E7" s="104" t="str">
        <f>_xll.ohRangeRetrieveError(D7)</f>
        <v/>
      </c>
      <c r="F7" s="103"/>
      <c r="H7" s="121"/>
      <c r="I7" s="282" t="s">
        <v>244</v>
      </c>
      <c r="J7" s="281" t="e">
        <v>#REF!</v>
      </c>
      <c r="K7" s="280">
        <f>X30</f>
        <v>0.16</v>
      </c>
      <c r="L7" s="266"/>
      <c r="M7" s="279">
        <v>0.15</v>
      </c>
      <c r="N7" s="266"/>
      <c r="O7" s="332">
        <v>0.15</v>
      </c>
      <c r="P7" s="276" t="e">
        <f>_xll.qlSimpleQuoteSetValue(D7,O7/100,Trigger)</f>
        <v>#N/A</v>
      </c>
      <c r="Q7" s="220"/>
      <c r="R7" s="21"/>
      <c r="S7" s="275" t="s">
        <v>243</v>
      </c>
      <c r="T7" s="83"/>
      <c r="U7" s="83" t="s">
        <v>232</v>
      </c>
      <c r="V7" s="83"/>
      <c r="W7" s="274" t="s">
        <v>227</v>
      </c>
    </row>
    <row r="8" spans="1:23" x14ac:dyDescent="0.2">
      <c r="A8" s="78"/>
      <c r="B8" s="106" t="s">
        <v>159</v>
      </c>
      <c r="C8" s="105" t="str">
        <f t="shared" si="0"/>
        <v>USDSWD_Quote</v>
      </c>
      <c r="D8" s="105" t="str">
        <f>_xll.qlSimpleQuote(C8,,RateTickValue,Permanent,Trigger,ObjectOverwrite)</f>
        <v>USDSWD_Quote#0002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0.1193</v>
      </c>
      <c r="N8" s="266"/>
      <c r="O8" s="339">
        <v>0.1193</v>
      </c>
      <c r="P8" s="263" t="e">
        <f>_xll.qlSimpleQuoteSetValue(D8,O8/100,Trigger)</f>
        <v>#N/A</v>
      </c>
      <c r="Q8" s="220"/>
      <c r="R8" s="21"/>
      <c r="S8" s="275" t="s">
        <v>230</v>
      </c>
      <c r="T8" s="83"/>
      <c r="U8" s="83" t="s">
        <v>232</v>
      </c>
      <c r="V8" s="83" t="s">
        <v>242</v>
      </c>
      <c r="W8" s="274" t="s">
        <v>227</v>
      </c>
    </row>
    <row r="9" spans="1:23" x14ac:dyDescent="0.2">
      <c r="A9" s="78"/>
      <c r="B9" s="106" t="s">
        <v>158</v>
      </c>
      <c r="C9" s="105" t="str">
        <f t="shared" si="0"/>
        <v>USD2WD_Quote</v>
      </c>
      <c r="D9" s="105" t="str">
        <f>_xll.qlSimpleQuote(C9,,RateTickValue,Permanent,Trigger,ObjectOverwrite)</f>
        <v>USD2WD_Quote#0002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39">
        <v>0</v>
      </c>
      <c r="P9" s="263" t="e">
        <f>_xll.qlSimpleQuoteSetValue(D9,O9/100,Trigger)</f>
        <v>#N/A</v>
      </c>
      <c r="Q9" s="220"/>
      <c r="R9" s="21"/>
      <c r="S9" s="275" t="s">
        <v>241</v>
      </c>
      <c r="T9" s="83"/>
      <c r="U9" s="83" t="s">
        <v>232</v>
      </c>
      <c r="V9" s="83" t="s">
        <v>241</v>
      </c>
      <c r="W9" s="274" t="s">
        <v>227</v>
      </c>
    </row>
    <row r="10" spans="1:23" x14ac:dyDescent="0.2">
      <c r="A10" s="78"/>
      <c r="B10" s="106" t="s">
        <v>157</v>
      </c>
      <c r="C10" s="105" t="str">
        <f t="shared" si="0"/>
        <v>USD3WD_Quote</v>
      </c>
      <c r="D10" s="105" t="str">
        <f>_xll.qlSimpleQuote(C10,,RateTickValue,Permanent,Trigger,ObjectOverwrite)</f>
        <v>USD3WD_Quote#0002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240</v>
      </c>
      <c r="L10" s="266"/>
      <c r="M10" s="267" t="s">
        <v>240</v>
      </c>
      <c r="N10" s="266"/>
      <c r="O10" s="339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239</v>
      </c>
      <c r="T10" s="83"/>
      <c r="U10" s="83" t="s">
        <v>232</v>
      </c>
      <c r="V10" s="83" t="s">
        <v>238</v>
      </c>
      <c r="W10" s="274" t="s">
        <v>227</v>
      </c>
    </row>
    <row r="11" spans="1:23" x14ac:dyDescent="0.2">
      <c r="A11" s="78"/>
      <c r="B11" s="106" t="s">
        <v>156</v>
      </c>
      <c r="C11" s="105" t="str">
        <f t="shared" si="0"/>
        <v>USD1MD_Quote</v>
      </c>
      <c r="D11" s="105" t="str">
        <f>_xll.qlSimpleQuote(C11,,RateTickValue,Permanent,Trigger,ObjectOverwrite)</f>
        <v>USD1MD_Quote#0002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0.15870000000000001</v>
      </c>
      <c r="N11" s="266"/>
      <c r="O11" s="339">
        <v>0.15870000000000001</v>
      </c>
      <c r="P11" s="263" t="e">
        <f>_xll.qlSimpleQuoteSetValue(D11,O11/100,Trigger)</f>
        <v>#N/A</v>
      </c>
      <c r="Q11" s="220"/>
      <c r="R11" s="21"/>
      <c r="S11" s="275" t="s">
        <v>237</v>
      </c>
      <c r="T11" s="83"/>
      <c r="U11" s="83" t="s">
        <v>232</v>
      </c>
      <c r="V11" s="83" t="s">
        <v>236</v>
      </c>
      <c r="W11" s="274" t="s">
        <v>227</v>
      </c>
    </row>
    <row r="12" spans="1:23" x14ac:dyDescent="0.2">
      <c r="A12" s="78"/>
      <c r="B12" s="106" t="s">
        <v>155</v>
      </c>
      <c r="C12" s="105" t="str">
        <f t="shared" si="0"/>
        <v>USD2MD_Quote</v>
      </c>
      <c r="D12" s="105" t="str">
        <f>_xll.qlSimpleQuote(C12,,RateTickValue,Permanent,Trigger,ObjectOverwrite)</f>
        <v>USD2MD_Quote#0002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0.20300000000000001</v>
      </c>
      <c r="N12" s="266"/>
      <c r="O12" s="339">
        <v>0.20300000000000001</v>
      </c>
      <c r="P12" s="263" t="e">
        <f>_xll.qlSimpleQuoteSetValue(D12,O12/100,Trigger)</f>
        <v>#N/A</v>
      </c>
      <c r="Q12" s="220"/>
      <c r="R12" s="21"/>
      <c r="S12" s="275" t="s">
        <v>235</v>
      </c>
      <c r="T12" s="83"/>
      <c r="U12" s="83" t="s">
        <v>232</v>
      </c>
      <c r="V12" s="83" t="s">
        <v>234</v>
      </c>
      <c r="W12" s="274" t="s">
        <v>227</v>
      </c>
    </row>
    <row r="13" spans="1:23" x14ac:dyDescent="0.2">
      <c r="A13" s="78"/>
      <c r="B13" s="106" t="s">
        <v>154</v>
      </c>
      <c r="C13" s="105" t="str">
        <f t="shared" si="0"/>
        <v>USD3MD_Quote</v>
      </c>
      <c r="D13" s="105" t="str">
        <f>_xll.qlSimpleQuote(C13,,RateTickValue,Permanent,Trigger,ObjectOverwrite)</f>
        <v>USD3MD_Quote#0002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0.2379</v>
      </c>
      <c r="N13" s="266"/>
      <c r="O13" s="339">
        <v>0.2379</v>
      </c>
      <c r="P13" s="263" t="e">
        <f>_xll.qlSimpleQuoteSetValue(D13,O13/100,Trigger)</f>
        <v>#N/A</v>
      </c>
      <c r="Q13" s="220"/>
      <c r="R13" s="21"/>
      <c r="S13" s="273" t="s">
        <v>233</v>
      </c>
      <c r="T13" s="272"/>
      <c r="U13" s="272" t="s">
        <v>232</v>
      </c>
      <c r="V13" s="272" t="s">
        <v>231</v>
      </c>
      <c r="W13" s="271" t="s">
        <v>227</v>
      </c>
    </row>
    <row r="14" spans="1:23" x14ac:dyDescent="0.2">
      <c r="A14" s="78"/>
      <c r="B14" s="106" t="s">
        <v>153</v>
      </c>
      <c r="C14" s="105" t="str">
        <f t="shared" si="0"/>
        <v>USD4MD_Quote</v>
      </c>
      <c r="D14" s="105" t="str">
        <f>_xll.qlSimpleQuote(C14,,RateTickValue,Permanent,Trigger,ObjectOverwrite)</f>
        <v>USD4MD_Quote#0002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39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152</v>
      </c>
      <c r="C15" s="105" t="str">
        <f t="shared" si="0"/>
        <v>USD5MD_Quote</v>
      </c>
      <c r="D15" s="105" t="str">
        <f>_xll.qlSimpleQuote(C15,,RateTickValue,Permanent,Trigger,ObjectOverwrite)</f>
        <v>USD5MD_Quote#0002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39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151</v>
      </c>
      <c r="C16" s="105" t="str">
        <f t="shared" si="0"/>
        <v>USD6MD_Quote</v>
      </c>
      <c r="D16" s="105" t="str">
        <f>_xll.qlSimpleQuote(C16,,RateTickValue,Permanent,Trigger,ObjectOverwrite)</f>
        <v>USD6MD_Quote#0002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0.33560000000000001</v>
      </c>
      <c r="N16" s="266"/>
      <c r="O16" s="339">
        <v>0.33560000000000001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150</v>
      </c>
      <c r="C17" s="105" t="str">
        <f t="shared" si="0"/>
        <v>USD7MD_Quote</v>
      </c>
      <c r="D17" s="105" t="str">
        <f>_xll.qlSimpleQuote(C17,,RateTickValue,Permanent,Trigger,ObjectOverwrite)</f>
        <v>USD7MD_Quote#0002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39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149</v>
      </c>
      <c r="C18" s="105" t="str">
        <f t="shared" si="0"/>
        <v>USD8MD_Quote</v>
      </c>
      <c r="D18" s="105" t="str">
        <f>_xll.qlSimpleQuote(C18,,RateTickValue,Permanent,Trigger,ObjectOverwrite)</f>
        <v>USD8MD_Quote#0002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39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148</v>
      </c>
      <c r="C19" s="105" t="str">
        <f t="shared" si="0"/>
        <v>USD9MD_Quote</v>
      </c>
      <c r="D19" s="105" t="str">
        <f>_xll.qlSimpleQuote(C19,,RateTickValue,Permanent,Trigger,ObjectOverwrite)</f>
        <v>USD9MD_Quote#0002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39">
        <v>0.71250000000000002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147</v>
      </c>
      <c r="C20" s="105" t="str">
        <f t="shared" si="0"/>
        <v>USD10MD_Quote</v>
      </c>
      <c r="D20" s="105" t="str">
        <f>_xll.qlSimpleQuote(C20,,RateTickValue,Permanent,Trigger,ObjectOverwrite)</f>
        <v>USD10MD_Quote#0002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39">
        <v>0.76349999999999996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146</v>
      </c>
      <c r="C21" s="105" t="str">
        <f t="shared" si="0"/>
        <v>USD11MD_Quote</v>
      </c>
      <c r="D21" s="105" t="str">
        <f>_xll.qlSimpleQuote(C21,,RateTickValue,Permanent,Trigger,ObjectOverwrite)</f>
        <v>USD11MD_Quote#0002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39">
        <v>0.8145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145</v>
      </c>
      <c r="C22" s="105" t="str">
        <f t="shared" si="0"/>
        <v>USD1YD_Quote</v>
      </c>
      <c r="D22" s="105" t="str">
        <f>_xll.qlSimpleQuote(C22,,RateTickValue,Permanent,Trigger,ObjectOverwrite)</f>
        <v>USD1YD_Quote#0002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2">
        <v>0.87150000000000005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230</v>
      </c>
      <c r="V25" s="21"/>
      <c r="W25" s="21"/>
      <c r="X25" s="21"/>
    </row>
    <row r="26" spans="1:24" x14ac:dyDescent="0.2">
      <c r="D26" s="102" t="e">
        <f>_xll.qlQuoteValue(D5)</f>
        <v>#NUM!</v>
      </c>
      <c r="N26" s="21"/>
      <c r="O26" s="21"/>
      <c r="P26" s="21"/>
      <c r="Q26" s="21"/>
      <c r="R26" s="21"/>
      <c r="S26" s="21" t="s">
        <v>229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228</v>
      </c>
      <c r="W27" s="259" t="s">
        <v>227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6" priority="1" stopIfTrue="1" operator="greaterThan">
      <formula>0</formula>
    </cfRule>
    <cfRule type="cellIs" dxfId="25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22"/>
  <sheetViews>
    <sheetView workbookViewId="0">
      <selection activeCell="W7" sqref="W7:W21"/>
    </sheetView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2" width="9.140625" style="20"/>
    <col min="13" max="13" width="9.28515625" style="20" bestFit="1" customWidth="1"/>
    <col min="14" max="14" width="13.5703125" style="20" bestFit="1" customWidth="1"/>
    <col min="15" max="17" width="9.140625" style="20"/>
    <col min="18" max="18" width="10.42578125" style="20" customWidth="1"/>
    <col min="19" max="19" width="9.140625" style="20"/>
    <col min="20" max="20" width="2.7109375" style="20" customWidth="1"/>
    <col min="21" max="21" width="9.140625" style="20"/>
    <col min="22" max="22" width="2.7109375" style="20" customWidth="1"/>
    <col min="23" max="24" width="9.140625" style="20"/>
    <col min="25" max="25" width="2.7109375" style="20" customWidth="1"/>
    <col min="26" max="16384" width="9.140625" style="20"/>
  </cols>
  <sheetData>
    <row r="1" spans="1:27" x14ac:dyDescent="0.2">
      <c r="A1" s="164" t="s">
        <v>180</v>
      </c>
      <c r="B1" s="136"/>
      <c r="C1" s="136"/>
      <c r="D1" s="20"/>
      <c r="E1" s="113"/>
      <c r="F1" s="20"/>
      <c r="G1" s="47"/>
      <c r="Z1" s="21"/>
      <c r="AA1" s="21"/>
    </row>
    <row r="2" spans="1:27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IF(Serialize,_xll.ohObjectSave(E3:E21,SerializationPath&amp;D2,FileOverwrite,Serialize),"---")</f>
        <v>19</v>
      </c>
      <c r="F2" s="131" t="str">
        <f ca="1">_xll.ohRangeRetrieveError(E2)</f>
        <v/>
      </c>
      <c r="G2" s="47"/>
      <c r="Z2" s="21"/>
      <c r="AA2" s="21"/>
    </row>
    <row r="3" spans="1:27" x14ac:dyDescent="0.2">
      <c r="A3" s="121"/>
      <c r="B3" s="125" t="s">
        <v>174</v>
      </c>
      <c r="C3" s="126" t="s">
        <v>164</v>
      </c>
      <c r="D3" s="125" t="str">
        <f t="shared" ref="D3:D21" si="0">Currency&amp;$B3&amp;$C3&amp;QuoteSuffix</f>
        <v>USDT1F1_Quote</v>
      </c>
      <c r="E3" s="124" t="str">
        <f>_xll.qlSimpleQuote(D3,,RateTickValue,Permanent,Trigger,ObjectOverwrite)</f>
        <v>USDT1F1_Quote#0002</v>
      </c>
      <c r="F3" s="123" t="str">
        <f>_xll.ohRangeRetrieveError(E3)</f>
        <v/>
      </c>
      <c r="G3" s="47"/>
      <c r="I3" s="330" t="s">
        <v>307</v>
      </c>
      <c r="J3" s="201"/>
      <c r="K3" s="201"/>
      <c r="L3" s="201"/>
      <c r="M3" s="201"/>
      <c r="N3" s="201" t="s">
        <v>264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198"/>
      <c r="Z3" s="21"/>
      <c r="AA3" s="21"/>
    </row>
    <row r="4" spans="1:27" x14ac:dyDescent="0.2">
      <c r="A4" s="121"/>
      <c r="B4" s="118" t="s">
        <v>173</v>
      </c>
      <c r="C4" s="122" t="s">
        <v>164</v>
      </c>
      <c r="D4" s="118" t="str">
        <f t="shared" si="0"/>
        <v>USDTOM1F1_Quote</v>
      </c>
      <c r="E4" s="117" t="str">
        <f>_xll.qlSimpleQuote(D4,,RateTickValue,Permanent,Trigger,ObjectOverwrite)</f>
        <v>USDTOM1F1_Quote#0002</v>
      </c>
      <c r="F4" s="116" t="str">
        <f>_xll.ohRangeRetrieveError(E4)</f>
        <v/>
      </c>
      <c r="G4" s="47"/>
      <c r="I4" s="299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266"/>
      <c r="X4" s="136"/>
      <c r="Y4" s="47"/>
      <c r="Z4" s="21"/>
      <c r="AA4" s="325" t="s">
        <v>261</v>
      </c>
    </row>
    <row r="5" spans="1:27" x14ac:dyDescent="0.2">
      <c r="A5" s="121"/>
      <c r="B5" s="125" t="s">
        <v>172</v>
      </c>
      <c r="C5" s="126" t="s">
        <v>164</v>
      </c>
      <c r="D5" s="125" t="str">
        <f t="shared" si="0"/>
        <v>USDT3F1_Quote</v>
      </c>
      <c r="E5" s="124" t="str">
        <f>_xll.qlSimpleQuote(D5,,RateTickValue,Permanent,Trigger,ObjectOverwrite)</f>
        <v>USDT3F1_Quote#0002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296">
        <f>_xll.ohTrigger(X7:X21)</f>
        <v>3</v>
      </c>
      <c r="Y5" s="220"/>
      <c r="Z5" s="21"/>
      <c r="AA5" s="301">
        <f t="shared" ref="AA5:AA19" si="1">(P7-S7)/50</f>
        <v>5.0000000000000044E-4</v>
      </c>
    </row>
    <row r="6" spans="1:27" ht="22.5" x14ac:dyDescent="0.2">
      <c r="A6" s="121"/>
      <c r="B6" s="118" t="s">
        <v>171</v>
      </c>
      <c r="C6" s="122" t="s">
        <v>164</v>
      </c>
      <c r="D6" s="118" t="str">
        <f t="shared" si="0"/>
        <v>USDTOM3F1_Quote</v>
      </c>
      <c r="E6" s="117" t="str">
        <f>_xll.qlSimpleQuote(D6,,RateTickValue,Permanent,Trigger,ObjectOverwrite)</f>
        <v>USDTOM3F1_Quote#0002</v>
      </c>
      <c r="F6" s="116" t="str">
        <f>_xll.ohRangeRetrieveError(E6)</f>
        <v/>
      </c>
      <c r="G6" s="47"/>
      <c r="I6" s="121"/>
      <c r="J6" s="328"/>
      <c r="K6" s="196"/>
      <c r="L6" s="196"/>
      <c r="M6" s="196"/>
      <c r="N6" s="261" t="e">
        <f ca="1">_xll.RData(N7:N21,O6:R6,"RTFEED:IDN",ReutersRtMode,,O7)</f>
        <v>#NAME?</v>
      </c>
      <c r="O6" s="327" t="s">
        <v>228</v>
      </c>
      <c r="P6" s="327" t="s">
        <v>227</v>
      </c>
      <c r="Q6" s="327" t="s">
        <v>245</v>
      </c>
      <c r="R6" s="327" t="s">
        <v>263</v>
      </c>
      <c r="S6" s="292" t="s">
        <v>262</v>
      </c>
      <c r="T6" s="266"/>
      <c r="U6" s="294" t="s">
        <v>258</v>
      </c>
      <c r="V6" s="266"/>
      <c r="W6" s="508" t="s">
        <v>256</v>
      </c>
      <c r="X6" s="92" t="s">
        <v>255</v>
      </c>
      <c r="Y6" s="220"/>
      <c r="Z6" s="21"/>
      <c r="AA6" s="301">
        <f t="shared" si="1"/>
        <v>5.0000000000000044E-4</v>
      </c>
    </row>
    <row r="7" spans="1:27" x14ac:dyDescent="0.2">
      <c r="A7" s="121"/>
      <c r="B7" s="125">
        <v>1</v>
      </c>
      <c r="C7" s="126" t="s">
        <v>170</v>
      </c>
      <c r="D7" s="125" t="str">
        <f t="shared" si="0"/>
        <v>USD1x4F_Quote</v>
      </c>
      <c r="E7" s="124" t="str">
        <f>_xll.qlSimpleQuote(D7,,RateTickValue,Permanent,Trigger,ObjectOverwrite)</f>
        <v>USD1x4F_Quote#0002</v>
      </c>
      <c r="F7" s="123" t="str">
        <f>_xll.ohRangeRetrieveError(E7)</f>
        <v/>
      </c>
      <c r="G7" s="47"/>
      <c r="I7" s="121"/>
      <c r="J7" s="270">
        <v>4</v>
      </c>
      <c r="K7" s="319">
        <v>1</v>
      </c>
      <c r="L7" s="319" t="s">
        <v>260</v>
      </c>
      <c r="M7" s="317" t="str">
        <f t="shared" ref="M7:M21" si="2">Currency&amp;$K7&amp;$L7&amp;$J7&amp;"F"</f>
        <v>USD1X4F</v>
      </c>
      <c r="N7" s="317" t="str">
        <f t="array" ref="N7:N21">Instruments&amp;"="&amp;VLOOKUP(Contributor,ContributorTable,2,FALSE)</f>
        <v>USD1X4F=ICAP</v>
      </c>
      <c r="O7" s="318">
        <v>0.218</v>
      </c>
      <c r="P7" s="318">
        <v>0.26800000000000002</v>
      </c>
      <c r="Q7" s="317">
        <v>0</v>
      </c>
      <c r="R7" s="317">
        <v>0</v>
      </c>
      <c r="S7" s="268">
        <f>_xll.qlMidSafe($O7,$P7)</f>
        <v>0.24299999999999999</v>
      </c>
      <c r="T7" s="266"/>
      <c r="U7" s="321">
        <v>0.245</v>
      </c>
      <c r="V7" s="266"/>
      <c r="W7" s="346">
        <f t="array" ref="W7:W21">QuoteStatic</f>
        <v>0.245</v>
      </c>
      <c r="X7" s="283" t="e">
        <f>_xll.qlSimpleQuoteSetValue(E7,W7/100,Trigger)</f>
        <v>#N/A</v>
      </c>
      <c r="Y7" s="220"/>
      <c r="Z7" s="21"/>
      <c r="AA7" s="301">
        <f t="shared" si="1"/>
        <v>4.9999999999999936E-4</v>
      </c>
    </row>
    <row r="8" spans="1:27" x14ac:dyDescent="0.2">
      <c r="A8" s="121"/>
      <c r="B8" s="129">
        <v>2</v>
      </c>
      <c r="C8" s="130" t="s">
        <v>169</v>
      </c>
      <c r="D8" s="129" t="str">
        <f t="shared" si="0"/>
        <v>USD2x5F_Quote</v>
      </c>
      <c r="E8" s="128" t="str">
        <f>_xll.qlSimpleQuote(D8,,RateTickValue,Permanent,Trigger,ObjectOverwrite)</f>
        <v>USD2x5F_Quote#0002</v>
      </c>
      <c r="F8" s="127" t="str">
        <f>_xll.ohRangeRetrieveError(E8)</f>
        <v/>
      </c>
      <c r="G8" s="47"/>
      <c r="I8" s="121"/>
      <c r="J8" s="270">
        <v>5</v>
      </c>
      <c r="K8" s="319">
        <v>2</v>
      </c>
      <c r="L8" s="319" t="s">
        <v>260</v>
      </c>
      <c r="M8" s="317" t="str">
        <f t="shared" si="2"/>
        <v>USD2X5F</v>
      </c>
      <c r="N8" s="317" t="str">
        <v>USD2X5F=ICAP</v>
      </c>
      <c r="O8" s="318">
        <v>0.23100000000000001</v>
      </c>
      <c r="P8" s="318">
        <v>0.28100000000000003</v>
      </c>
      <c r="Q8" s="317">
        <v>0</v>
      </c>
      <c r="R8" s="317">
        <v>0</v>
      </c>
      <c r="S8" s="268">
        <f>_xll.qlMidSafe($O8,$P8)</f>
        <v>0.25600000000000001</v>
      </c>
      <c r="T8" s="266"/>
      <c r="U8" s="316">
        <v>0.252</v>
      </c>
      <c r="V8" s="266"/>
      <c r="W8" s="339">
        <v>0.252</v>
      </c>
      <c r="X8" s="263" t="e">
        <f>_xll.qlSimpleQuoteSetValue(E8,W8/100,Trigger)</f>
        <v>#N/A</v>
      </c>
      <c r="Y8" s="220"/>
      <c r="Z8" s="21"/>
      <c r="AA8" s="301" t="e">
        <f t="shared" si="1"/>
        <v>#VALUE!</v>
      </c>
    </row>
    <row r="9" spans="1:27" x14ac:dyDescent="0.2">
      <c r="A9" s="121"/>
      <c r="B9" s="129">
        <v>3</v>
      </c>
      <c r="C9" s="130" t="s">
        <v>168</v>
      </c>
      <c r="D9" s="129" t="str">
        <f t="shared" si="0"/>
        <v>USD3x6F_Quote</v>
      </c>
      <c r="E9" s="128" t="str">
        <f>_xll.qlSimpleQuote(D9,,RateTickValue,Permanent,Trigger,ObjectOverwrite)</f>
        <v>USD3x6F_Quote#0002</v>
      </c>
      <c r="F9" s="127" t="str">
        <f>_xll.ohRangeRetrieveError(E9)</f>
        <v/>
      </c>
      <c r="G9" s="47"/>
      <c r="I9" s="121"/>
      <c r="J9" s="270">
        <v>6</v>
      </c>
      <c r="K9" s="319">
        <v>3</v>
      </c>
      <c r="L9" s="319" t="s">
        <v>260</v>
      </c>
      <c r="M9" s="317" t="str">
        <f t="shared" si="2"/>
        <v>USD3X6F</v>
      </c>
      <c r="N9" s="317" t="str">
        <v>USD3X6F=ICAP</v>
      </c>
      <c r="O9" s="318">
        <v>0.24299999999999999</v>
      </c>
      <c r="P9" s="318">
        <v>0.29299999999999998</v>
      </c>
      <c r="Q9" s="317">
        <v>0</v>
      </c>
      <c r="R9" s="317">
        <v>0</v>
      </c>
      <c r="S9" s="268">
        <f>_xll.qlMidSafe($O9,$P9)</f>
        <v>0.26800000000000002</v>
      </c>
      <c r="T9" s="266"/>
      <c r="U9" s="316">
        <v>0.26600000000000001</v>
      </c>
      <c r="V9" s="266"/>
      <c r="W9" s="339">
        <v>0.26600000000000001</v>
      </c>
      <c r="X9" s="263" t="e">
        <f>_xll.qlSimpleQuoteSetValue(E9,W9/100,Trigger)</f>
        <v>#N/A</v>
      </c>
      <c r="Y9" s="220"/>
      <c r="Z9" s="21"/>
      <c r="AA9" s="301" t="e">
        <f t="shared" si="1"/>
        <v>#VALUE!</v>
      </c>
    </row>
    <row r="10" spans="1:27" x14ac:dyDescent="0.2">
      <c r="A10" s="121"/>
      <c r="B10" s="129">
        <v>4</v>
      </c>
      <c r="C10" s="130" t="s">
        <v>167</v>
      </c>
      <c r="D10" s="129" t="str">
        <f t="shared" si="0"/>
        <v>USD4x7F_Quote</v>
      </c>
      <c r="E10" s="128" t="str">
        <f>_xll.qlSimpleQuote(D10,,RateTickValue,Permanent,Trigger,ObjectOverwrite)</f>
        <v>USD4x7F_Quote#0002</v>
      </c>
      <c r="F10" s="127" t="str">
        <f>_xll.ohRangeRetrieveError(E10)</f>
        <v/>
      </c>
      <c r="G10" s="47"/>
      <c r="I10" s="121"/>
      <c r="J10" s="270">
        <v>7</v>
      </c>
      <c r="K10" s="319">
        <v>4</v>
      </c>
      <c r="L10" s="319" t="s">
        <v>260</v>
      </c>
      <c r="M10" s="317" t="str">
        <f t="shared" si="2"/>
        <v>USD4X7F</v>
      </c>
      <c r="N10" s="317" t="str">
        <v>USD4X7F=ICAP</v>
      </c>
      <c r="O10" s="318" t="s">
        <v>240</v>
      </c>
      <c r="P10" s="318" t="s">
        <v>240</v>
      </c>
      <c r="Q10" s="317" t="s">
        <v>240</v>
      </c>
      <c r="R10" s="317" t="s">
        <v>240</v>
      </c>
      <c r="S10" s="268" t="e">
        <f>_xll.qlMidSafe($O10,$P10)</f>
        <v>#NUM!</v>
      </c>
      <c r="T10" s="266"/>
      <c r="U10" s="316" t="e">
        <v>#NUM!</v>
      </c>
      <c r="V10" s="266"/>
      <c r="W10" s="339" t="e">
        <v>#NUM!</v>
      </c>
      <c r="X10" s="263" t="e">
        <f>_xll.qlSimpleQuoteSetValue(E10,W10/100,Trigger)</f>
        <v>#NUM!</v>
      </c>
      <c r="Y10" s="220"/>
      <c r="Z10" s="21"/>
      <c r="AA10" s="301" t="e">
        <f t="shared" si="1"/>
        <v>#VALUE!</v>
      </c>
    </row>
    <row r="11" spans="1:27" x14ac:dyDescent="0.2">
      <c r="A11" s="121"/>
      <c r="B11" s="129">
        <v>5</v>
      </c>
      <c r="C11" s="130" t="s">
        <v>166</v>
      </c>
      <c r="D11" s="129" t="str">
        <f t="shared" si="0"/>
        <v>USD5x8F_Quote</v>
      </c>
      <c r="E11" s="128" t="str">
        <f>_xll.qlSimpleQuote(D11,,RateTickValue,Permanent,Trigger,ObjectOverwrite)</f>
        <v>USD5x8F_Quote#0002</v>
      </c>
      <c r="F11" s="127" t="str">
        <f>_xll.ohRangeRetrieveError(E11)</f>
        <v/>
      </c>
      <c r="G11" s="47"/>
      <c r="I11" s="121"/>
      <c r="J11" s="270">
        <v>8</v>
      </c>
      <c r="K11" s="319">
        <v>5</v>
      </c>
      <c r="L11" s="319" t="s">
        <v>260</v>
      </c>
      <c r="M11" s="317" t="str">
        <f t="shared" si="2"/>
        <v>USD5X8F</v>
      </c>
      <c r="N11" s="317" t="str">
        <v>USD5X8F=ICAP</v>
      </c>
      <c r="O11" s="318" t="s">
        <v>240</v>
      </c>
      <c r="P11" s="318" t="s">
        <v>240</v>
      </c>
      <c r="Q11" s="317" t="s">
        <v>240</v>
      </c>
      <c r="R11" s="317" t="s">
        <v>240</v>
      </c>
      <c r="S11" s="268" t="e">
        <f>_xll.qlMidSafe($O11,$P11)</f>
        <v>#NUM!</v>
      </c>
      <c r="T11" s="266"/>
      <c r="U11" s="316" t="e">
        <v>#NUM!</v>
      </c>
      <c r="V11" s="266"/>
      <c r="W11" s="339" t="e">
        <v>#NUM!</v>
      </c>
      <c r="X11" s="263" t="e">
        <f>_xll.qlSimpleQuoteSetValue(E11,W11/100,Trigger)</f>
        <v>#NUM!</v>
      </c>
      <c r="Y11" s="220"/>
      <c r="Z11" s="21"/>
      <c r="AA11" s="301">
        <f t="shared" si="1"/>
        <v>5.0000000000000044E-4</v>
      </c>
    </row>
    <row r="12" spans="1:27" x14ac:dyDescent="0.2">
      <c r="A12" s="121"/>
      <c r="B12" s="118">
        <v>6</v>
      </c>
      <c r="C12" s="122" t="s">
        <v>165</v>
      </c>
      <c r="D12" s="118" t="str">
        <f t="shared" si="0"/>
        <v>USD6x9F_Quote</v>
      </c>
      <c r="E12" s="117" t="str">
        <f>_xll.qlSimpleQuote(D12,,RateTickValue,Permanent,Trigger,ObjectOverwrite)</f>
        <v>USD6x9F_Quote#0002</v>
      </c>
      <c r="F12" s="116" t="str">
        <f>_xll.ohRangeRetrieveError(E12)</f>
        <v/>
      </c>
      <c r="G12" s="47"/>
      <c r="I12" s="121"/>
      <c r="J12" s="282">
        <v>9</v>
      </c>
      <c r="K12" s="314">
        <v>6</v>
      </c>
      <c r="L12" s="314" t="s">
        <v>260</v>
      </c>
      <c r="M12" s="312" t="str">
        <f t="shared" si="2"/>
        <v>USD6X9F</v>
      </c>
      <c r="N12" s="312" t="str">
        <v>USD6X9F=ICAP</v>
      </c>
      <c r="O12" s="313" t="s">
        <v>240</v>
      </c>
      <c r="P12" s="313" t="s">
        <v>240</v>
      </c>
      <c r="Q12" s="312" t="s">
        <v>240</v>
      </c>
      <c r="R12" s="312" t="s">
        <v>240</v>
      </c>
      <c r="S12" s="280" t="e">
        <f>_xll.qlMidSafe($O12,$P12)</f>
        <v>#NUM!</v>
      </c>
      <c r="T12" s="266"/>
      <c r="U12" s="311" t="e">
        <v>#NUM!</v>
      </c>
      <c r="V12" s="266"/>
      <c r="W12" s="332" t="e">
        <v>#NUM!</v>
      </c>
      <c r="X12" s="276" t="e">
        <f>_xll.qlSimpleQuoteSetValue(E12,W12/100,Trigger)</f>
        <v>#NUM!</v>
      </c>
      <c r="Y12" s="220"/>
      <c r="Z12" s="21"/>
      <c r="AA12" s="301">
        <f t="shared" si="1"/>
        <v>5.0000000000000044E-4</v>
      </c>
    </row>
    <row r="13" spans="1:27" x14ac:dyDescent="0.2">
      <c r="A13" s="121"/>
      <c r="B13" s="125">
        <v>1</v>
      </c>
      <c r="C13" s="126" t="str">
        <f t="shared" ref="C13:C20" si="3">"x"&amp;B13+6&amp;"F"</f>
        <v>x7F</v>
      </c>
      <c r="D13" s="125" t="str">
        <f t="shared" si="0"/>
        <v>USD1x7F_Quote</v>
      </c>
      <c r="E13" s="124" t="str">
        <f>_xll.qlSimpleQuote(D13,,RateTickValue,Permanent,Trigger,ObjectOverwrite)</f>
        <v>USD1x7F_Quote#0002</v>
      </c>
      <c r="F13" s="123" t="str">
        <f>_xll.ohRangeRetrieveError(E13)</f>
        <v/>
      </c>
      <c r="G13" s="47"/>
      <c r="I13" s="121"/>
      <c r="J13" s="288">
        <v>7</v>
      </c>
      <c r="K13" s="324">
        <v>1</v>
      </c>
      <c r="L13" s="324" t="s">
        <v>260</v>
      </c>
      <c r="M13" s="322" t="str">
        <f t="shared" si="2"/>
        <v>USD1X7F</v>
      </c>
      <c r="N13" s="322" t="str">
        <v>USD1X7F=ICAP</v>
      </c>
      <c r="O13" s="323">
        <v>0.33500000000000002</v>
      </c>
      <c r="P13" s="323">
        <v>0.38500000000000001</v>
      </c>
      <c r="Q13" s="322">
        <v>0</v>
      </c>
      <c r="R13" s="322">
        <v>0</v>
      </c>
      <c r="S13" s="286">
        <f>_xll.qlMidSafe($O13,$P13)</f>
        <v>0.36</v>
      </c>
      <c r="T13" s="266"/>
      <c r="U13" s="321">
        <v>0.34699999999999998</v>
      </c>
      <c r="V13" s="266"/>
      <c r="W13" s="346">
        <v>0.34699999999999998</v>
      </c>
      <c r="X13" s="283" t="e">
        <f>_xll.qlSimpleQuoteSetValue(E13,W13/100,Trigger)</f>
        <v>#N/A</v>
      </c>
      <c r="Y13" s="220"/>
      <c r="Z13" s="21"/>
      <c r="AA13" s="301">
        <f t="shared" si="1"/>
        <v>4.9999999999999936E-4</v>
      </c>
    </row>
    <row r="14" spans="1:27" x14ac:dyDescent="0.2">
      <c r="A14" s="121"/>
      <c r="B14" s="129">
        <v>2</v>
      </c>
      <c r="C14" s="130" t="str">
        <f t="shared" si="3"/>
        <v>x8F</v>
      </c>
      <c r="D14" s="129" t="str">
        <f t="shared" si="0"/>
        <v>USD2x8F_Quote</v>
      </c>
      <c r="E14" s="128" t="str">
        <f>_xll.qlSimpleQuote(D14,,RateTickValue,Permanent,Trigger,ObjectOverwrite)</f>
        <v>USD2x8F_Quote#0002</v>
      </c>
      <c r="F14" s="127" t="str">
        <f>_xll.ohRangeRetrieveError(E14)</f>
        <v/>
      </c>
      <c r="G14" s="47"/>
      <c r="I14" s="121"/>
      <c r="J14" s="270">
        <v>8</v>
      </c>
      <c r="K14" s="319">
        <v>2</v>
      </c>
      <c r="L14" s="319" t="s">
        <v>260</v>
      </c>
      <c r="M14" s="317" t="str">
        <f t="shared" si="2"/>
        <v>USD2X8F</v>
      </c>
      <c r="N14" s="317" t="str">
        <v>USD2X8F=ICAP</v>
      </c>
      <c r="O14" s="318">
        <v>0.35099999999999998</v>
      </c>
      <c r="P14" s="318">
        <v>0.40100000000000002</v>
      </c>
      <c r="Q14" s="317">
        <v>0</v>
      </c>
      <c r="R14" s="317">
        <v>0</v>
      </c>
      <c r="S14" s="268">
        <f>_xll.qlMidSafe($O14,$P14)</f>
        <v>0.376</v>
      </c>
      <c r="T14" s="266"/>
      <c r="U14" s="316">
        <v>0.35899999999999999</v>
      </c>
      <c r="V14" s="266"/>
      <c r="W14" s="339">
        <v>0.35899999999999999</v>
      </c>
      <c r="X14" s="263" t="e">
        <f>_xll.qlSimpleQuoteSetValue(E14,W14/100,Trigger)</f>
        <v>#N/A</v>
      </c>
      <c r="Y14" s="220"/>
      <c r="Z14" s="21"/>
      <c r="AA14" s="301">
        <f t="shared" si="1"/>
        <v>4.9999999999999936E-4</v>
      </c>
    </row>
    <row r="15" spans="1:27" x14ac:dyDescent="0.2">
      <c r="A15" s="121"/>
      <c r="B15" s="129">
        <v>3</v>
      </c>
      <c r="C15" s="130" t="str">
        <f t="shared" si="3"/>
        <v>x9F</v>
      </c>
      <c r="D15" s="129" t="str">
        <f t="shared" si="0"/>
        <v>USD3x9F_Quote</v>
      </c>
      <c r="E15" s="128" t="str">
        <f>_xll.qlSimpleQuote(D15,,RateTickValue,Permanent,Trigger,ObjectOverwrite)</f>
        <v>USD3x9F_Quote#0002</v>
      </c>
      <c r="F15" s="127" t="str">
        <f>_xll.ohRangeRetrieveError(E15)</f>
        <v/>
      </c>
      <c r="G15" s="47"/>
      <c r="I15" s="121"/>
      <c r="J15" s="270">
        <v>9</v>
      </c>
      <c r="K15" s="319">
        <v>3</v>
      </c>
      <c r="L15" s="319" t="s">
        <v>260</v>
      </c>
      <c r="M15" s="317" t="str">
        <f t="shared" si="2"/>
        <v>USD3X9F</v>
      </c>
      <c r="N15" s="317" t="str">
        <v>USD3X9F=ICAP</v>
      </c>
      <c r="O15" s="318">
        <v>0.36499999999999999</v>
      </c>
      <c r="P15" s="318">
        <v>0.41499999999999998</v>
      </c>
      <c r="Q15" s="317">
        <v>0</v>
      </c>
      <c r="R15" s="317">
        <v>0</v>
      </c>
      <c r="S15" s="268">
        <f>_xll.qlMidSafe($O15,$P15)</f>
        <v>0.39</v>
      </c>
      <c r="T15" s="266"/>
      <c r="U15" s="316">
        <v>0.379</v>
      </c>
      <c r="V15" s="266"/>
      <c r="W15" s="339">
        <v>0.379</v>
      </c>
      <c r="X15" s="263" t="e">
        <f>_xll.qlSimpleQuoteSetValue(E15,W15/100,Trigger)</f>
        <v>#N/A</v>
      </c>
      <c r="Y15" s="220"/>
      <c r="Z15" s="21"/>
      <c r="AA15" s="301">
        <f t="shared" si="1"/>
        <v>4.9999999999999936E-4</v>
      </c>
    </row>
    <row r="16" spans="1:27" x14ac:dyDescent="0.2">
      <c r="A16" s="121"/>
      <c r="B16" s="129">
        <v>4</v>
      </c>
      <c r="C16" s="130" t="str">
        <f t="shared" si="3"/>
        <v>x10F</v>
      </c>
      <c r="D16" s="129" t="str">
        <f t="shared" si="0"/>
        <v>USD4x10F_Quote</v>
      </c>
      <c r="E16" s="128" t="str">
        <f>_xll.qlSimpleQuote(D16,,RateTickValue,Permanent,Trigger,ObjectOverwrite)</f>
        <v>USD4x10F_Quote#0002</v>
      </c>
      <c r="F16" s="127" t="str">
        <f>_xll.ohRangeRetrieveError(E16)</f>
        <v/>
      </c>
      <c r="G16" s="47"/>
      <c r="I16" s="121"/>
      <c r="J16" s="270">
        <v>10</v>
      </c>
      <c r="K16" s="319">
        <v>4</v>
      </c>
      <c r="L16" s="319" t="s">
        <v>260</v>
      </c>
      <c r="M16" s="317" t="str">
        <f t="shared" si="2"/>
        <v>USD4X10F</v>
      </c>
      <c r="N16" s="317" t="str">
        <v>USD4X10F=ICAP</v>
      </c>
      <c r="O16" s="318">
        <v>0.379</v>
      </c>
      <c r="P16" s="318">
        <v>0.42899999999999999</v>
      </c>
      <c r="Q16" s="317">
        <v>0</v>
      </c>
      <c r="R16" s="317">
        <v>0</v>
      </c>
      <c r="S16" s="268">
        <f>_xll.qlMidSafe($O16,$P16)</f>
        <v>0.40400000000000003</v>
      </c>
      <c r="T16" s="266"/>
      <c r="U16" s="316">
        <v>0.39600000000000002</v>
      </c>
      <c r="V16" s="266"/>
      <c r="W16" s="339">
        <v>0.39600000000000002</v>
      </c>
      <c r="X16" s="263" t="e">
        <f>_xll.qlSimpleQuoteSetValue(E16,W16/100,Trigger)</f>
        <v>#N/A</v>
      </c>
      <c r="Y16" s="220"/>
      <c r="Z16" s="21"/>
      <c r="AA16" s="301">
        <f t="shared" si="1"/>
        <v>5.0000000000000044E-4</v>
      </c>
    </row>
    <row r="17" spans="1:27" x14ac:dyDescent="0.2">
      <c r="A17" s="121"/>
      <c r="B17" s="129">
        <v>5</v>
      </c>
      <c r="C17" s="130" t="str">
        <f t="shared" si="3"/>
        <v>x11F</v>
      </c>
      <c r="D17" s="129" t="str">
        <f t="shared" si="0"/>
        <v>USD5x11F_Quote</v>
      </c>
      <c r="E17" s="128" t="str">
        <f>_xll.qlSimpleQuote(D17,,RateTickValue,Permanent,Trigger,ObjectOverwrite)</f>
        <v>USD5x11F_Quote#0002</v>
      </c>
      <c r="F17" s="127" t="str">
        <f>_xll.ohRangeRetrieveError(E17)</f>
        <v/>
      </c>
      <c r="G17" s="47"/>
      <c r="I17" s="121"/>
      <c r="J17" s="270">
        <v>11</v>
      </c>
      <c r="K17" s="319">
        <v>5</v>
      </c>
      <c r="L17" s="319" t="s">
        <v>260</v>
      </c>
      <c r="M17" s="317" t="str">
        <f t="shared" si="2"/>
        <v>USD5X11F</v>
      </c>
      <c r="N17" s="317" t="str">
        <v>USD5X11F=ICAP</v>
      </c>
      <c r="O17" s="318">
        <v>0.39500000000000002</v>
      </c>
      <c r="P17" s="318">
        <v>0.44500000000000001</v>
      </c>
      <c r="Q17" s="317">
        <v>0</v>
      </c>
      <c r="R17" s="317">
        <v>0</v>
      </c>
      <c r="S17" s="268">
        <f>_xll.qlMidSafe($O17,$P17)</f>
        <v>0.42000000000000004</v>
      </c>
      <c r="T17" s="266"/>
      <c r="U17" s="316">
        <v>0.41299999999999998</v>
      </c>
      <c r="V17" s="266"/>
      <c r="W17" s="339">
        <v>0.41299999999999998</v>
      </c>
      <c r="X17" s="263" t="e">
        <f>_xll.qlSimpleQuoteSetValue(E17,W17/100,Trigger)</f>
        <v>#N/A</v>
      </c>
      <c r="Y17" s="220"/>
      <c r="Z17" s="21"/>
      <c r="AA17" s="301" t="e">
        <f t="shared" si="1"/>
        <v>#VALUE!</v>
      </c>
    </row>
    <row r="18" spans="1:27" x14ac:dyDescent="0.2">
      <c r="A18" s="121"/>
      <c r="B18" s="129">
        <v>6</v>
      </c>
      <c r="C18" s="130" t="str">
        <f t="shared" si="3"/>
        <v>x12F</v>
      </c>
      <c r="D18" s="129" t="str">
        <f t="shared" si="0"/>
        <v>USD6x12F_Quote</v>
      </c>
      <c r="E18" s="128" t="str">
        <f>_xll.qlSimpleQuote(D18,,RateTickValue,Permanent,Trigger,ObjectOverwrite)</f>
        <v>USD6x12F_Quote#0002</v>
      </c>
      <c r="F18" s="127" t="str">
        <f>_xll.ohRangeRetrieveError(E18)</f>
        <v/>
      </c>
      <c r="G18" s="47"/>
      <c r="I18" s="121"/>
      <c r="J18" s="270">
        <v>12</v>
      </c>
      <c r="K18" s="319">
        <v>6</v>
      </c>
      <c r="L18" s="319" t="s">
        <v>260</v>
      </c>
      <c r="M18" s="317" t="str">
        <f t="shared" si="2"/>
        <v>USD6X12F</v>
      </c>
      <c r="N18" s="317" t="str">
        <v>USD6X12F=ICAP</v>
      </c>
      <c r="O18" s="318">
        <v>0.41299999999999998</v>
      </c>
      <c r="P18" s="318">
        <v>0.46300000000000002</v>
      </c>
      <c r="Q18" s="317">
        <v>0</v>
      </c>
      <c r="R18" s="317">
        <v>0</v>
      </c>
      <c r="S18" s="268">
        <f>_xll.qlMidSafe($O18,$P18)</f>
        <v>0.438</v>
      </c>
      <c r="T18" s="266"/>
      <c r="U18" s="316">
        <v>0.439</v>
      </c>
      <c r="V18" s="266"/>
      <c r="W18" s="339">
        <v>0.439</v>
      </c>
      <c r="X18" s="263" t="e">
        <f>_xll.qlSimpleQuoteSetValue(E18,W18/100,Trigger)</f>
        <v>#N/A</v>
      </c>
      <c r="Y18" s="220"/>
      <c r="Z18" s="21"/>
      <c r="AA18" s="301" t="e">
        <f t="shared" si="1"/>
        <v>#VALUE!</v>
      </c>
    </row>
    <row r="19" spans="1:27" x14ac:dyDescent="0.2">
      <c r="A19" s="121"/>
      <c r="B19" s="129">
        <v>12</v>
      </c>
      <c r="C19" s="130" t="str">
        <f t="shared" si="3"/>
        <v>x18F</v>
      </c>
      <c r="D19" s="129" t="str">
        <f t="shared" si="0"/>
        <v>USD12x18F_Quote</v>
      </c>
      <c r="E19" s="128" t="str">
        <f>_xll.qlSimpleQuote(D19,,RateTickValue,Permanent,Trigger,ObjectOverwrite)</f>
        <v>USD12x18F_Quote#0002</v>
      </c>
      <c r="F19" s="127" t="str">
        <f>_xll.ohRangeRetrieveError(E19)</f>
        <v/>
      </c>
      <c r="G19" s="47"/>
      <c r="I19" s="121"/>
      <c r="J19" s="270">
        <v>18</v>
      </c>
      <c r="K19" s="319">
        <v>12</v>
      </c>
      <c r="L19" s="319" t="s">
        <v>260</v>
      </c>
      <c r="M19" s="317" t="str">
        <f t="shared" si="2"/>
        <v>USD12X18F</v>
      </c>
      <c r="N19" s="317" t="str">
        <v>USD12X18F=ICAP</v>
      </c>
      <c r="O19" s="318" t="s">
        <v>240</v>
      </c>
      <c r="P19" s="318" t="s">
        <v>240</v>
      </c>
      <c r="Q19" s="317" t="s">
        <v>240</v>
      </c>
      <c r="R19" s="317" t="s">
        <v>240</v>
      </c>
      <c r="S19" s="268" t="e">
        <f>_xll.qlMidSafe($O19,$P19)</f>
        <v>#NUM!</v>
      </c>
      <c r="T19" s="266"/>
      <c r="U19" s="316" t="e">
        <v>#NUM!</v>
      </c>
      <c r="V19" s="266"/>
      <c r="W19" s="339" t="e">
        <v>#NUM!</v>
      </c>
      <c r="X19" s="263" t="e">
        <f>_xll.qlSimpleQuoteSetValue(E19,W19/100,Trigger)</f>
        <v>#NUM!</v>
      </c>
      <c r="Y19" s="220"/>
      <c r="Z19" s="21"/>
      <c r="AA19" s="301" t="e">
        <f t="shared" si="1"/>
        <v>#VALUE!</v>
      </c>
    </row>
    <row r="20" spans="1:27" x14ac:dyDescent="0.2">
      <c r="A20" s="121"/>
      <c r="B20" s="118">
        <v>18</v>
      </c>
      <c r="C20" s="122" t="str">
        <f t="shared" si="3"/>
        <v>x24F</v>
      </c>
      <c r="D20" s="118" t="str">
        <f t="shared" si="0"/>
        <v>USD18x24F_Quote</v>
      </c>
      <c r="E20" s="117" t="str">
        <f>_xll.qlSimpleQuote(D20,,RateTickValue,Permanent,Trigger,ObjectOverwrite)</f>
        <v>USD18x24F_Quote#0002</v>
      </c>
      <c r="F20" s="116" t="str">
        <f>_xll.ohRangeRetrieveError(E20)</f>
        <v/>
      </c>
      <c r="G20" s="47"/>
      <c r="I20" s="121"/>
      <c r="J20" s="282">
        <v>24</v>
      </c>
      <c r="K20" s="314">
        <v>18</v>
      </c>
      <c r="L20" s="314" t="s">
        <v>260</v>
      </c>
      <c r="M20" s="312" t="str">
        <f t="shared" si="2"/>
        <v>USD18X24F</v>
      </c>
      <c r="N20" s="312" t="str">
        <v>USD18X24F=ICAP</v>
      </c>
      <c r="O20" s="313" t="s">
        <v>240</v>
      </c>
      <c r="P20" s="313" t="s">
        <v>240</v>
      </c>
      <c r="Q20" s="312" t="s">
        <v>240</v>
      </c>
      <c r="R20" s="312" t="s">
        <v>240</v>
      </c>
      <c r="S20" s="280" t="e">
        <f>_xll.qlMidSafe($O20,$P20)</f>
        <v>#NUM!</v>
      </c>
      <c r="T20" s="266"/>
      <c r="U20" s="311" t="e">
        <v>#NUM!</v>
      </c>
      <c r="V20" s="266"/>
      <c r="W20" s="332" t="e">
        <v>#NUM!</v>
      </c>
      <c r="X20" s="276" t="e">
        <f>_xll.qlSimpleQuoteSetValue(E20,W20/100,Trigger)</f>
        <v>#NUM!</v>
      </c>
      <c r="Y20" s="220"/>
      <c r="Z20" s="21"/>
      <c r="AA20" s="301"/>
    </row>
    <row r="21" spans="1:27" x14ac:dyDescent="0.2">
      <c r="A21" s="121"/>
      <c r="B21" s="120">
        <v>12</v>
      </c>
      <c r="C21" s="119" t="s">
        <v>163</v>
      </c>
      <c r="D21" s="118" t="str">
        <f t="shared" si="0"/>
        <v>USD12x24F_Quote</v>
      </c>
      <c r="E21" s="117" t="str">
        <f>_xll.qlSimpleQuote(D21,,RateTickValue,Permanent,Trigger,ObjectOverwrite)</f>
        <v>USD12x24F_Quote#0002</v>
      </c>
      <c r="F21" s="116" t="str">
        <f>_xll.ohRangeRetrieveError(E21)</f>
        <v/>
      </c>
      <c r="G21" s="47"/>
      <c r="I21" s="121"/>
      <c r="J21" s="309">
        <v>24</v>
      </c>
      <c r="K21" s="308">
        <v>12</v>
      </c>
      <c r="L21" s="308" t="s">
        <v>260</v>
      </c>
      <c r="M21" s="306" t="str">
        <f t="shared" si="2"/>
        <v>USD12X24F</v>
      </c>
      <c r="N21" s="306" t="str">
        <v>USD12X24F=ICAP</v>
      </c>
      <c r="O21" s="307" t="s">
        <v>240</v>
      </c>
      <c r="P21" s="307" t="s">
        <v>240</v>
      </c>
      <c r="Q21" s="306" t="s">
        <v>240</v>
      </c>
      <c r="R21" s="306" t="s">
        <v>240</v>
      </c>
      <c r="S21" s="305" t="e">
        <f>_xll.qlMidSafe($O21,$P21)</f>
        <v>#NUM!</v>
      </c>
      <c r="T21" s="266"/>
      <c r="U21" s="304" t="e">
        <v>#NUM!</v>
      </c>
      <c r="V21" s="266"/>
      <c r="W21" s="556" t="e">
        <v>#NUM!</v>
      </c>
      <c r="X21" s="303" t="e">
        <f>_xll.qlSimpleQuoteSetValue(E21,W21/100,Trigger)</f>
        <v>#NUM!</v>
      </c>
      <c r="Y21" s="220"/>
    </row>
    <row r="22" spans="1:27" ht="13.5" thickBot="1" x14ac:dyDescent="0.25">
      <c r="A22" s="46"/>
      <c r="B22" s="45"/>
      <c r="C22" s="45"/>
      <c r="D22" s="45"/>
      <c r="E22" s="115"/>
      <c r="F22" s="115"/>
      <c r="G22" s="44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302"/>
    </row>
  </sheetData>
  <conditionalFormatting sqref="X7:X21">
    <cfRule type="cellIs" dxfId="24" priority="1" stopIfTrue="1" operator="greaterThan">
      <formula>0</formula>
    </cfRule>
    <cfRule type="cellIs" dxfId="23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7" width="9.140625" style="102"/>
    <col min="38" max="38" width="15.85546875" style="102" bestFit="1" customWidth="1"/>
    <col min="39" max="39" width="25" style="102" bestFit="1" customWidth="1"/>
    <col min="40" max="40" width="26.42578125" style="102" bestFit="1" customWidth="1"/>
    <col min="41" max="41" width="9.140625" style="102"/>
    <col min="42" max="42" width="2.7109375" style="102" customWidth="1"/>
    <col min="43" max="16384" width="9.140625" style="102"/>
  </cols>
  <sheetData>
    <row r="1" spans="1:43" x14ac:dyDescent="0.2">
      <c r="J1" s="30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5"/>
      <c r="W1" s="355"/>
      <c r="X1" s="201"/>
      <c r="Y1" s="201"/>
      <c r="Z1" s="201"/>
      <c r="AA1" s="354"/>
      <c r="AB1" s="21"/>
      <c r="AC1" s="21"/>
      <c r="AD1" s="21"/>
      <c r="AE1" s="21"/>
      <c r="AH1" s="152" t="s">
        <v>226</v>
      </c>
      <c r="AP1" s="353"/>
    </row>
    <row r="2" spans="1:43" x14ac:dyDescent="0.2">
      <c r="J2" s="299"/>
      <c r="K2" s="136"/>
      <c r="L2" s="298"/>
      <c r="M2" s="298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3"/>
      <c r="AB2" s="21"/>
      <c r="AC2" s="21"/>
      <c r="AD2" s="21"/>
      <c r="AE2" s="21"/>
      <c r="AF2" s="21"/>
      <c r="AH2" s="152"/>
      <c r="AL2" s="257" t="s">
        <v>225</v>
      </c>
      <c r="AM2" s="256" t="str">
        <f>PROPER(Currency)&amp;"HW_Volatility_Quote"</f>
        <v>UsdHW_Volatility_Quote</v>
      </c>
      <c r="AP2" s="353"/>
    </row>
    <row r="3" spans="1:43" ht="12" thickBot="1" x14ac:dyDescent="0.25">
      <c r="J3" s="299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3"/>
      <c r="AB3" s="21"/>
      <c r="AC3" s="21"/>
      <c r="AD3" s="21"/>
      <c r="AE3" s="21"/>
      <c r="AF3" s="21"/>
      <c r="AH3" s="152"/>
      <c r="AL3" s="257" t="s">
        <v>224</v>
      </c>
      <c r="AM3" s="256" t="str">
        <f>PROPER(Currency)&amp;"HW_MeanReversion_Quote"</f>
        <v>UsdHW_MeanReversion_Quote</v>
      </c>
      <c r="AP3" s="353"/>
    </row>
    <row r="4" spans="1:43" ht="12" thickBot="1" x14ac:dyDescent="0.25">
      <c r="A4" s="157" t="s">
        <v>180</v>
      </c>
      <c r="B4" s="156"/>
      <c r="C4" s="156"/>
      <c r="D4" s="155" t="s">
        <v>178</v>
      </c>
      <c r="E4" s="155" t="s">
        <v>40</v>
      </c>
      <c r="F4" s="154"/>
      <c r="G4" s="154"/>
      <c r="H4" s="153"/>
      <c r="J4" s="299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_xll.ohTrigger(Z6:Z17)</f>
        <v>3</v>
      </c>
      <c r="AA4" s="353"/>
      <c r="AB4" s="21"/>
      <c r="AC4" s="21"/>
      <c r="AD4" s="21"/>
      <c r="AE4" s="21"/>
      <c r="AF4" s="21"/>
      <c r="AH4" s="152"/>
      <c r="AL4" s="257" t="s">
        <v>117</v>
      </c>
      <c r="AM4" s="256" t="str">
        <f>PROPER(Currency)&amp;FamilyName&amp;$AN$4</f>
        <v>UsdLibor1M</v>
      </c>
      <c r="AN4" s="255" t="s">
        <v>40</v>
      </c>
      <c r="AP4" s="353"/>
    </row>
    <row r="5" spans="1:43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USD_010_FUT1M.xml</v>
      </c>
      <c r="F5" s="89">
        <f ca="1">IF(Serialize,_xll.ohObjectSave(F6:F17,SerializationPath&amp;E5,FileOverwrite,Serialize),"---")</f>
        <v>12</v>
      </c>
      <c r="G5" s="107" t="str">
        <f ca="1">_xll.ohRangeRetrieveError(F5)</f>
        <v/>
      </c>
      <c r="H5" s="140"/>
      <c r="J5" s="299"/>
      <c r="K5" s="352" t="s">
        <v>177</v>
      </c>
      <c r="L5" s="327" t="s">
        <v>176</v>
      </c>
      <c r="M5" s="327" t="s">
        <v>175</v>
      </c>
      <c r="N5" s="327" t="s">
        <v>269</v>
      </c>
      <c r="O5" s="261" t="e">
        <f ca="1">_xll.RData(O6:O17,P5:T5,"RTFEED:IDN",ReutersRtMode,,P6)</f>
        <v>#NAME?</v>
      </c>
      <c r="P5" s="327" t="s">
        <v>268</v>
      </c>
      <c r="Q5" s="327" t="s">
        <v>228</v>
      </c>
      <c r="R5" s="327" t="s">
        <v>227</v>
      </c>
      <c r="S5" s="327" t="s">
        <v>245</v>
      </c>
      <c r="T5" s="327" t="s">
        <v>263</v>
      </c>
      <c r="U5" s="292" t="s">
        <v>262</v>
      </c>
      <c r="V5" s="266"/>
      <c r="W5" s="294" t="s">
        <v>258</v>
      </c>
      <c r="X5" s="266"/>
      <c r="Y5" s="558" t="s">
        <v>256</v>
      </c>
      <c r="Z5" s="295" t="s">
        <v>255</v>
      </c>
      <c r="AA5" s="47"/>
      <c r="AB5" s="21"/>
      <c r="AC5" s="210" t="s">
        <v>267</v>
      </c>
      <c r="AD5" s="208" t="s">
        <v>266</v>
      </c>
      <c r="AE5" s="21"/>
      <c r="AF5" s="325" t="s">
        <v>261</v>
      </c>
      <c r="AH5" s="152"/>
      <c r="AP5" s="353"/>
    </row>
    <row r="6" spans="1:43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G4</v>
      </c>
      <c r="E6" s="142" t="str">
        <f t="shared" ref="E6:E17" si="0">Currency&amp;$D$4&amp;$E$4&amp;$D6&amp;QuoteSuffix</f>
        <v>USDFUT1MG4_Quote</v>
      </c>
      <c r="F6" s="148" t="str">
        <f>_xll.qlSimpleQuote(E6,,PriceTickValue,Permanent,Trigger,ObjectOverwrite)</f>
        <v>USDFUT1MG4_Quote#0002</v>
      </c>
      <c r="G6" s="147" t="str">
        <f>_xll.ohRangeRetrieveError(F6)</f>
        <v/>
      </c>
      <c r="H6" s="140"/>
      <c r="J6" s="338"/>
      <c r="K6" s="351">
        <v>1</v>
      </c>
      <c r="L6" s="350" t="b">
        <v>0</v>
      </c>
      <c r="M6" s="284" t="str">
        <f t="array" ref="M6:M17">_xll.qlIMMcode(FuturesDates)</f>
        <v>G4</v>
      </c>
      <c r="N6" s="349">
        <f t="array" ref="N6:N17">_xll.qlIMMNextDates(_xll.qlSettingsEvaluationDate(Trigger)-1,$L6:$L17)</f>
        <v>41689</v>
      </c>
      <c r="O6" s="284" t="str">
        <f t="array" ref="O6:O17">VLOOKUP(Currency,LiffeCodes,2)&amp;FuturesCodes</f>
        <v>EMG4</v>
      </c>
      <c r="P6" s="348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47">
        <v>99.828749999999999</v>
      </c>
      <c r="X6" s="266"/>
      <c r="Y6" s="346">
        <f t="array" ref="Y6:Y17">QuoteStatic</f>
        <v>99.828749999999999</v>
      </c>
      <c r="Z6" s="286" t="e">
        <f>_xll.qlSimpleQuoteSetValue(F6,Y6,Trigger)</f>
        <v>#N/A</v>
      </c>
      <c r="AA6" s="47"/>
      <c r="AB6" s="21"/>
      <c r="AC6" s="84" t="s">
        <v>131</v>
      </c>
      <c r="AD6" s="82"/>
      <c r="AE6" s="21"/>
      <c r="AF6" s="301">
        <f t="shared" ref="AF6:AF17" si="1">(R6-U6)/50</f>
        <v>7.4999999999931784E-5</v>
      </c>
      <c r="AH6" s="152"/>
      <c r="AI6" s="91" t="s">
        <v>177</v>
      </c>
      <c r="AJ6" s="197" t="s">
        <v>176</v>
      </c>
      <c r="AK6" s="197" t="s">
        <v>175</v>
      </c>
      <c r="AL6" s="197" t="s">
        <v>223</v>
      </c>
      <c r="AM6" s="90" t="str">
        <f>Currency&amp;"_020_Futures"&amp;AN4&amp;"ConvAdj.xml"</f>
        <v>USD_020_Futures1MConvAdj.xml</v>
      </c>
      <c r="AN6" s="108">
        <f ca="1">IF(Serialize,_xll.ohObjectSave(AN7:AN18,SerializationPath&amp;AM6,FileOverwrite,Serialize),"---")</f>
        <v>12</v>
      </c>
      <c r="AO6" s="73" t="str">
        <f ca="1">_xll.ohRangeRetrieveError(AN6)</f>
        <v/>
      </c>
      <c r="AP6" s="353"/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USDFUT1MH4_Quote</v>
      </c>
      <c r="F7" s="141" t="str">
        <f>_xll.qlSimpleQuote(E7,,PriceTickValue,Permanent,Trigger,ObjectOverwrite)</f>
        <v>USDFUT1MH4_Quote#0002</v>
      </c>
      <c r="G7" s="104" t="str">
        <f>_xll.ohRangeRetrieveError(F7)</f>
        <v/>
      </c>
      <c r="H7" s="140"/>
      <c r="J7" s="338"/>
      <c r="K7" s="344">
        <v>2</v>
      </c>
      <c r="L7" s="343" t="b">
        <v>0</v>
      </c>
      <c r="M7" s="264" t="str">
        <v>H4</v>
      </c>
      <c r="N7" s="342">
        <v>41717</v>
      </c>
      <c r="O7" s="264" t="str">
        <v>EMH4</v>
      </c>
      <c r="P7" s="341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5">
        <v>99.821249999999992</v>
      </c>
      <c r="X7" s="266"/>
      <c r="Y7" s="339">
        <v>99.821249999999992</v>
      </c>
      <c r="Z7" s="268" t="e">
        <f>_xll.qlSimpleQuoteSetValue(F7,Y7,Trigger)</f>
        <v>#N/A</v>
      </c>
      <c r="AA7" s="47"/>
      <c r="AB7" s="21"/>
      <c r="AC7" s="84" t="s">
        <v>130</v>
      </c>
      <c r="AD7" s="82"/>
      <c r="AE7" s="21"/>
      <c r="AF7" s="301">
        <f t="shared" si="1"/>
        <v>7.5000000000216007E-5</v>
      </c>
      <c r="AH7" s="146"/>
      <c r="AI7" s="151">
        <v>1</v>
      </c>
      <c r="AJ7" s="149" t="b">
        <v>0</v>
      </c>
      <c r="AK7" s="149" t="str">
        <f t="array" ref="AK7:AK18">_xll.qlIMMNextCodes(_xll.qlSettingsEvaluationDate(Trigger)-1,$AJ7:$AJ126)</f>
        <v>G4</v>
      </c>
      <c r="AL7" s="253" t="str">
        <f t="shared" ref="AL7:AL18" si="2">Currency&amp;"FUT"&amp;$AN$4&amp;$AK7&amp;QuoteSuffix</f>
        <v>USDFUT1MG4_Quote</v>
      </c>
      <c r="AM7" s="254" t="str">
        <f t="shared" ref="AM7:AM18" si="3">Currency&amp;"FUT"&amp;$AN$4&amp;$AK7&amp;"ConvAdj"&amp;QuoteSuffix</f>
        <v>USDFUT1MG4ConvAdj_Quote</v>
      </c>
      <c r="AN7" s="253" t="str">
        <f>_xll.qlFuturesConvAdjustmentQuote($AM7,IborIndex,$AK7,$AL7,Volatility,MeanReversion,Permanent,Trigger,ObjectOverwrite)</f>
        <v>USDFUT1MG4ConvAdj_Quote#0001</v>
      </c>
      <c r="AO7" s="73" t="str">
        <f>_xll.ohRangeRetrieveError(AN7)</f>
        <v/>
      </c>
      <c r="AP7" s="353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USDFUT1MJ4_Quote</v>
      </c>
      <c r="F8" s="141" t="str">
        <f>_xll.qlSimpleQuote(E8,,PriceTickValue,Permanent,Trigger,ObjectOverwrite)</f>
        <v>USDFUT1MJ4_Quote#0002</v>
      </c>
      <c r="G8" s="104" t="str">
        <f>_xll.ohRangeRetrieveError(F8)</f>
        <v/>
      </c>
      <c r="H8" s="140"/>
      <c r="J8" s="338"/>
      <c r="K8" s="344">
        <v>3</v>
      </c>
      <c r="L8" s="343" t="b">
        <v>0</v>
      </c>
      <c r="M8" s="264" t="str">
        <v>J4</v>
      </c>
      <c r="N8" s="342">
        <v>41745</v>
      </c>
      <c r="O8" s="264" t="str">
        <v>EMJ4</v>
      </c>
      <c r="P8" s="341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5">
        <v>99.818749999999994</v>
      </c>
      <c r="X8" s="266"/>
      <c r="Y8" s="339">
        <v>99.818749999999994</v>
      </c>
      <c r="Z8" s="268" t="e">
        <f>_xll.qlSimpleQuoteSetValue(F8,Y8,Trigger)</f>
        <v>#N/A</v>
      </c>
      <c r="AA8" s="47"/>
      <c r="AB8" s="21"/>
      <c r="AC8" s="84" t="s">
        <v>127</v>
      </c>
      <c r="AD8" s="82"/>
      <c r="AE8" s="21"/>
      <c r="AF8" s="301">
        <f t="shared" si="1"/>
        <v>1.2500000000017052E-4</v>
      </c>
      <c r="AH8" s="146"/>
      <c r="AI8" s="145">
        <v>2</v>
      </c>
      <c r="AJ8" s="143" t="b">
        <v>0</v>
      </c>
      <c r="AK8" s="143" t="str">
        <v>H4</v>
      </c>
      <c r="AL8" s="253" t="str">
        <f t="shared" si="2"/>
        <v>USDFUT1MH4_Quote</v>
      </c>
      <c r="AM8" s="254" t="str">
        <f t="shared" si="3"/>
        <v>USDFUT1MH4ConvAdj_Quote</v>
      </c>
      <c r="AN8" s="253" t="str">
        <f>_xll.qlFuturesConvAdjustmentQuote($AM8,IborIndex,$AK8,$AL8,Volatility,MeanReversion,Permanent,Trigger,ObjectOverwrite)</f>
        <v>USDFUT1MH4ConvAdj_Quote#0001</v>
      </c>
      <c r="AO8" s="73" t="str">
        <f>_xll.ohRangeRetrieveError(AN8)</f>
        <v/>
      </c>
      <c r="AP8" s="353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USDFUT1MK4_Quote</v>
      </c>
      <c r="F9" s="141" t="str">
        <f>_xll.qlSimpleQuote(E9,,PriceTickValue,Permanent,Trigger,ObjectOverwrite)</f>
        <v>USDFUT1MK4_Quote#0002</v>
      </c>
      <c r="G9" s="104" t="str">
        <f>_xll.ohRangeRetrieveError(F9)</f>
        <v/>
      </c>
      <c r="H9" s="140"/>
      <c r="J9" s="338"/>
      <c r="K9" s="344">
        <v>4</v>
      </c>
      <c r="L9" s="343" t="b">
        <v>0</v>
      </c>
      <c r="M9" s="264" t="str">
        <v>K4</v>
      </c>
      <c r="N9" s="342">
        <v>41780</v>
      </c>
      <c r="O9" s="264" t="str">
        <v>EMK4</v>
      </c>
      <c r="P9" s="341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5">
        <v>99.8125</v>
      </c>
      <c r="X9" s="266"/>
      <c r="Y9" s="339">
        <v>99.8125</v>
      </c>
      <c r="Z9" s="268" t="e">
        <f>_xll.qlSimpleQuoteSetValue(F9,Y9,Trigger)</f>
        <v>#N/A</v>
      </c>
      <c r="AA9" s="47"/>
      <c r="AB9" s="21"/>
      <c r="AC9" s="84" t="s">
        <v>126</v>
      </c>
      <c r="AD9" s="82"/>
      <c r="AE9" s="21"/>
      <c r="AF9" s="301">
        <f t="shared" si="1"/>
        <v>1.4999999999986357E-4</v>
      </c>
      <c r="AH9" s="146"/>
      <c r="AI9" s="145">
        <v>3</v>
      </c>
      <c r="AJ9" s="143" t="b">
        <v>0</v>
      </c>
      <c r="AK9" s="143" t="str">
        <v>J4</v>
      </c>
      <c r="AL9" s="253" t="str">
        <f t="shared" si="2"/>
        <v>USDFUT1MJ4_Quote</v>
      </c>
      <c r="AM9" s="254" t="str">
        <f t="shared" si="3"/>
        <v>USDFUT1MJ4ConvAdj_Quote</v>
      </c>
      <c r="AN9" s="253" t="str">
        <f>_xll.qlFuturesConvAdjustmentQuote($AM9,IborIndex,$AK9,$AL9,Volatility,MeanReversion,Permanent,Trigger,ObjectOverwrite)</f>
        <v>USDFUT1MJ4ConvAdj_Quote#0001</v>
      </c>
      <c r="AO9" s="73" t="str">
        <f>_xll.ohRangeRetrieveError(AN9)</f>
        <v/>
      </c>
      <c r="AP9" s="353"/>
      <c r="AQ9" s="550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USDFUT1MM4_Quote</v>
      </c>
      <c r="F10" s="141" t="str">
        <f>_xll.qlSimpleQuote(E10,,PriceTickValue,Permanent,Trigger,ObjectOverwrite)</f>
        <v>USDFUT1MM4_Quote#0002</v>
      </c>
      <c r="G10" s="104" t="str">
        <f>_xll.ohRangeRetrieveError(F10)</f>
        <v/>
      </c>
      <c r="H10" s="140"/>
      <c r="J10" s="338"/>
      <c r="K10" s="344">
        <v>5</v>
      </c>
      <c r="L10" s="343" t="b">
        <v>0</v>
      </c>
      <c r="M10" s="264" t="str">
        <v>M4</v>
      </c>
      <c r="N10" s="342">
        <v>41808</v>
      </c>
      <c r="O10" s="264" t="str">
        <v>EMM4</v>
      </c>
      <c r="P10" s="341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0">
        <v>99.794999999999987</v>
      </c>
      <c r="X10" s="266"/>
      <c r="Y10" s="339">
        <v>99.794999999999987</v>
      </c>
      <c r="Z10" s="268" t="e">
        <f>_xll.qlSimpleQuoteSetValue(F10,Y10,Trigger)</f>
        <v>#N/A</v>
      </c>
      <c r="AA10" s="47"/>
      <c r="AB10" s="21"/>
      <c r="AC10" s="81" t="s">
        <v>121</v>
      </c>
      <c r="AD10" s="79" t="s">
        <v>265</v>
      </c>
      <c r="AE10" s="21"/>
      <c r="AF10" s="301">
        <f t="shared" si="1"/>
        <v>1.5000000000014779E-4</v>
      </c>
      <c r="AH10" s="146"/>
      <c r="AI10" s="145">
        <v>4</v>
      </c>
      <c r="AJ10" s="143" t="b">
        <v>0</v>
      </c>
      <c r="AK10" s="143" t="str">
        <v>K4</v>
      </c>
      <c r="AL10" s="253" t="str">
        <f t="shared" si="2"/>
        <v>USDFUT1MK4_Quote</v>
      </c>
      <c r="AM10" s="254" t="str">
        <f t="shared" si="3"/>
        <v>USDFUT1MK4ConvAdj_Quote</v>
      </c>
      <c r="AN10" s="253" t="str">
        <f>_xll.qlFuturesConvAdjustmentQuote($AM10,IborIndex,$AK10,$AL10,Volatility,MeanReversion,Permanent,Trigger,ObjectOverwrite)</f>
        <v>USDFUT1MK4ConvAdj_Quote#0001</v>
      </c>
      <c r="AO10" s="73" t="str">
        <f>_xll.ohRangeRetrieveError(AN10)</f>
        <v/>
      </c>
      <c r="AP10" s="353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USDFUT1MN4_Quote</v>
      </c>
      <c r="F11" s="141" t="str">
        <f>_xll.qlSimpleQuote(E11,,PriceTickValue,Permanent,Trigger,ObjectOverwrite)</f>
        <v>USDFUT1MN4_Quote#0002</v>
      </c>
      <c r="G11" s="104" t="str">
        <f>_xll.ohRangeRetrieveError(F11)</f>
        <v/>
      </c>
      <c r="H11" s="140"/>
      <c r="J11" s="338"/>
      <c r="K11" s="344">
        <v>6</v>
      </c>
      <c r="L11" s="343" t="b">
        <v>0</v>
      </c>
      <c r="M11" s="264" t="str">
        <v>N4</v>
      </c>
      <c r="N11" s="342">
        <v>41836</v>
      </c>
      <c r="O11" s="264" t="str">
        <v>EMN4</v>
      </c>
      <c r="P11" s="341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0">
        <v>99.786249999999995</v>
      </c>
      <c r="X11" s="266"/>
      <c r="Y11" s="339">
        <v>99.786249999999995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1">
        <f t="shared" si="1"/>
        <v>1.2500000000017052E-4</v>
      </c>
      <c r="AH11" s="146"/>
      <c r="AI11" s="145">
        <v>5</v>
      </c>
      <c r="AJ11" s="143" t="b">
        <v>0</v>
      </c>
      <c r="AK11" s="143" t="str">
        <v>M4</v>
      </c>
      <c r="AL11" s="253" t="str">
        <f t="shared" si="2"/>
        <v>USDFUT1MM4_Quote</v>
      </c>
      <c r="AM11" s="254" t="str">
        <f t="shared" si="3"/>
        <v>USDFUT1MM4ConvAdj_Quote</v>
      </c>
      <c r="AN11" s="253" t="str">
        <f>_xll.qlFuturesConvAdjustmentQuote($AM11,IborIndex,$AK11,$AL11,Volatility,MeanReversion,Permanent,Trigger,ObjectOverwrite)</f>
        <v>USDFUT1MM4ConvAdj_Quote#0001</v>
      </c>
      <c r="AO11" s="73" t="str">
        <f>_xll.ohRangeRetrieveError(AN11)</f>
        <v/>
      </c>
      <c r="AP11" s="353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USDFUT1MQ4_Quote</v>
      </c>
      <c r="F12" s="141" t="str">
        <f>_xll.qlSimpleQuote(E12,,PriceTickValue,Permanent,Trigger,ObjectOverwrite)</f>
        <v>USDFUT1MQ4_Quote#0002</v>
      </c>
      <c r="G12" s="104" t="str">
        <f>_xll.ohRangeRetrieveError(F12)</f>
        <v/>
      </c>
      <c r="H12" s="140"/>
      <c r="J12" s="338"/>
      <c r="K12" s="344">
        <v>7</v>
      </c>
      <c r="L12" s="343" t="b">
        <v>0</v>
      </c>
      <c r="M12" s="264" t="str">
        <v>Q4</v>
      </c>
      <c r="N12" s="342">
        <v>41871</v>
      </c>
      <c r="O12" s="264" t="str">
        <v>EMQ4</v>
      </c>
      <c r="P12" s="341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0">
        <v>99.773750000000007</v>
      </c>
      <c r="X12" s="266"/>
      <c r="Y12" s="339">
        <v>99.773750000000007</v>
      </c>
      <c r="Z12" s="268" t="e">
        <f>_xll.qlSimpleQuoteSetValue(F12,Y12,Trigger)</f>
        <v>#N/A</v>
      </c>
      <c r="AA12" s="47"/>
      <c r="AB12" s="21"/>
      <c r="AC12" s="21"/>
      <c r="AD12" s="21"/>
      <c r="AE12" s="21"/>
      <c r="AF12" s="301">
        <f t="shared" si="1"/>
        <v>1.7499999999984084E-4</v>
      </c>
      <c r="AH12" s="146"/>
      <c r="AI12" s="145">
        <v>6</v>
      </c>
      <c r="AJ12" s="143" t="b">
        <v>0</v>
      </c>
      <c r="AK12" s="143" t="str">
        <v>N4</v>
      </c>
      <c r="AL12" s="253" t="str">
        <f t="shared" si="2"/>
        <v>USDFUT1MN4_Quote</v>
      </c>
      <c r="AM12" s="254" t="str">
        <f t="shared" si="3"/>
        <v>USDFUT1MN4ConvAdj_Quote</v>
      </c>
      <c r="AN12" s="253" t="str">
        <f>_xll.qlFuturesConvAdjustmentQuote($AM12,IborIndex,$AK12,$AL12,Volatility,MeanReversion,Permanent,Trigger,ObjectOverwrite)</f>
        <v>USDFUT1MN4ConvAdj_Quote#0001</v>
      </c>
      <c r="AO12" s="73" t="str">
        <f>_xll.ohRangeRetrieveError(AN12)</f>
        <v/>
      </c>
      <c r="AP12" s="353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USDFUT1MU4_Quote</v>
      </c>
      <c r="F13" s="141" t="str">
        <f>_xll.qlSimpleQuote(E13,,PriceTickValue,Permanent,Trigger,ObjectOverwrite)</f>
        <v>USDFUT1MU4_Quote#0002</v>
      </c>
      <c r="G13" s="104" t="str">
        <f>_xll.ohRangeRetrieveError(F13)</f>
        <v/>
      </c>
      <c r="H13" s="140"/>
      <c r="J13" s="338"/>
      <c r="K13" s="344">
        <v>8</v>
      </c>
      <c r="L13" s="343" t="b">
        <v>0</v>
      </c>
      <c r="M13" s="264" t="str">
        <v>U4</v>
      </c>
      <c r="N13" s="342">
        <v>41899</v>
      </c>
      <c r="O13" s="264" t="str">
        <v>EMU4</v>
      </c>
      <c r="P13" s="341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0">
        <v>99.753749999999997</v>
      </c>
      <c r="X13" s="266"/>
      <c r="Y13" s="339">
        <v>99.753749999999997</v>
      </c>
      <c r="Z13" s="268" t="e">
        <f>_xll.qlSimpleQuoteSetValue(F13,Y13,Trigger)</f>
        <v>#N/A</v>
      </c>
      <c r="AA13" s="47"/>
      <c r="AB13" s="21"/>
      <c r="AC13" s="21"/>
      <c r="AD13" s="21"/>
      <c r="AE13" s="21"/>
      <c r="AF13" s="301">
        <f t="shared" si="1"/>
        <v>1.7500000000012506E-4</v>
      </c>
      <c r="AH13" s="146"/>
      <c r="AI13" s="145">
        <v>7</v>
      </c>
      <c r="AJ13" s="143" t="b">
        <v>0</v>
      </c>
      <c r="AK13" s="143" t="str">
        <v>Q4</v>
      </c>
      <c r="AL13" s="253" t="str">
        <f t="shared" si="2"/>
        <v>USDFUT1MQ4_Quote</v>
      </c>
      <c r="AM13" s="254" t="str">
        <f t="shared" si="3"/>
        <v>USDFUT1MQ4ConvAdj_Quote</v>
      </c>
      <c r="AN13" s="253" t="str">
        <f>_xll.qlFuturesConvAdjustmentQuote($AM13,IborIndex,$AK13,$AL13,Volatility,MeanReversion,Permanent,Trigger,ObjectOverwrite)</f>
        <v>USDFUT1MQ4ConvAdj_Quote#0001</v>
      </c>
      <c r="AO13" s="73" t="str">
        <f>_xll.ohRangeRetrieveError(AN13)</f>
        <v/>
      </c>
      <c r="AP13" s="353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USDFUT1MV4_Quote</v>
      </c>
      <c r="F14" s="141" t="str">
        <f>_xll.qlSimpleQuote(E14,,PriceTickValue,Permanent,Trigger,ObjectOverwrite)</f>
        <v>USDFUT1MV4_Quote#0002</v>
      </c>
      <c r="G14" s="104" t="str">
        <f>_xll.ohRangeRetrieveError(F14)</f>
        <v/>
      </c>
      <c r="H14" s="140"/>
      <c r="J14" s="338"/>
      <c r="K14" s="344">
        <v>9</v>
      </c>
      <c r="L14" s="343" t="b">
        <v>0</v>
      </c>
      <c r="M14" s="264" t="str">
        <v>V4</v>
      </c>
      <c r="N14" s="342">
        <v>41927</v>
      </c>
      <c r="O14" s="264" t="str">
        <v>EMV4</v>
      </c>
      <c r="P14" s="341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0">
        <v>99.743750000000006</v>
      </c>
      <c r="X14" s="266"/>
      <c r="Y14" s="339">
        <v>99.743750000000006</v>
      </c>
      <c r="Z14" s="268" t="e">
        <f>_xll.qlSimpleQuoteSetValue(F14,Y14,Trigger)</f>
        <v>#N/A</v>
      </c>
      <c r="AA14" s="47"/>
      <c r="AB14" s="21"/>
      <c r="AC14" s="21"/>
      <c r="AD14" s="21"/>
      <c r="AE14" s="21"/>
      <c r="AF14" s="301">
        <f t="shared" si="1"/>
        <v>1.7499999999984084E-4</v>
      </c>
      <c r="AH14" s="146"/>
      <c r="AI14" s="145">
        <v>8</v>
      </c>
      <c r="AJ14" s="143" t="b">
        <v>0</v>
      </c>
      <c r="AK14" s="143" t="str">
        <v>U4</v>
      </c>
      <c r="AL14" s="253" t="str">
        <f t="shared" si="2"/>
        <v>USDFUT1MU4_Quote</v>
      </c>
      <c r="AM14" s="254" t="str">
        <f t="shared" si="3"/>
        <v>USDFUT1MU4ConvAdj_Quote</v>
      </c>
      <c r="AN14" s="253" t="str">
        <f>_xll.qlFuturesConvAdjustmentQuote($AM14,IborIndex,$AK14,$AL14,Volatility,MeanReversion,Permanent,Trigger,ObjectOverwrite)</f>
        <v>USDFUT1MU4ConvAdj_Quote#0001</v>
      </c>
      <c r="AO14" s="73" t="str">
        <f>_xll.ohRangeRetrieveError(AN14)</f>
        <v/>
      </c>
      <c r="AP14" s="353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USDFUT1MX4_Quote</v>
      </c>
      <c r="F15" s="141" t="str">
        <f>_xll.qlSimpleQuote(E15,,PriceTickValue,Permanent,Trigger,ObjectOverwrite)</f>
        <v>USDFUT1MX4_Quote#0002</v>
      </c>
      <c r="G15" s="104" t="str">
        <f>_xll.ohRangeRetrieveError(F15)</f>
        <v/>
      </c>
      <c r="H15" s="140"/>
      <c r="J15" s="338"/>
      <c r="K15" s="344">
        <v>10</v>
      </c>
      <c r="L15" s="343" t="b">
        <v>0</v>
      </c>
      <c r="M15" s="264" t="str">
        <v>X4</v>
      </c>
      <c r="N15" s="342">
        <v>41962</v>
      </c>
      <c r="O15" s="264" t="str">
        <v>EMX4</v>
      </c>
      <c r="P15" s="341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0">
        <v>99.72999999999999</v>
      </c>
      <c r="X15" s="266"/>
      <c r="Y15" s="339">
        <v>99.72999999999999</v>
      </c>
      <c r="Z15" s="268" t="e">
        <f>_xll.qlSimpleQuoteSetValue(F15,Y15,Trigger)</f>
        <v>#N/A</v>
      </c>
      <c r="AA15" s="47"/>
      <c r="AB15" s="21"/>
      <c r="AC15" s="21"/>
      <c r="AD15" s="21"/>
      <c r="AE15" s="21"/>
      <c r="AF15" s="301">
        <f t="shared" si="1"/>
        <v>1.5000000000014779E-4</v>
      </c>
      <c r="AH15" s="146"/>
      <c r="AI15" s="145">
        <v>9</v>
      </c>
      <c r="AJ15" s="143" t="b">
        <v>0</v>
      </c>
      <c r="AK15" s="143" t="str">
        <v>V4</v>
      </c>
      <c r="AL15" s="253" t="str">
        <f t="shared" si="2"/>
        <v>USDFUT1MV4_Quote</v>
      </c>
      <c r="AM15" s="254" t="str">
        <f t="shared" si="3"/>
        <v>USDFUT1MV4ConvAdj_Quote</v>
      </c>
      <c r="AN15" s="253" t="str">
        <f>_xll.qlFuturesConvAdjustmentQuote($AM15,IborIndex,$AK15,$AL15,Volatility,MeanReversion,Permanent,Trigger,ObjectOverwrite)</f>
        <v>USDFUT1MV4ConvAdj_Quote#0001</v>
      </c>
      <c r="AO15" s="73" t="str">
        <f>_xll.ohRangeRetrieveError(AN15)</f>
        <v/>
      </c>
      <c r="AP15" s="353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USDFUT1MZ4_Quote</v>
      </c>
      <c r="F16" s="141" t="str">
        <f>_xll.qlSimpleQuote(E16,,PriceTickValue,Permanent,Trigger,ObjectOverwrite)</f>
        <v>USDFUT1MZ4_Quote#0002</v>
      </c>
      <c r="G16" s="104" t="str">
        <f>_xll.ohRangeRetrieveError(F16)</f>
        <v/>
      </c>
      <c r="H16" s="140"/>
      <c r="J16" s="338"/>
      <c r="K16" s="344">
        <v>11</v>
      </c>
      <c r="L16" s="343" t="b">
        <v>0</v>
      </c>
      <c r="M16" s="264" t="str">
        <v>Z4</v>
      </c>
      <c r="N16" s="342">
        <v>41990</v>
      </c>
      <c r="O16" s="264" t="str">
        <v>EMZ4</v>
      </c>
      <c r="P16" s="341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0">
        <v>99.704999999999998</v>
      </c>
      <c r="X16" s="266"/>
      <c r="Y16" s="339">
        <v>99.704999999999998</v>
      </c>
      <c r="Z16" s="268" t="e">
        <f>_xll.qlSimpleQuoteSetValue(F16,Y16,Trigger)</f>
        <v>#N/A</v>
      </c>
      <c r="AA16" s="47"/>
      <c r="AB16" s="21"/>
      <c r="AC16" s="21"/>
      <c r="AD16" s="21"/>
      <c r="AE16" s="21"/>
      <c r="AF16" s="301">
        <f t="shared" si="1"/>
        <v>2.0000000000010233E-4</v>
      </c>
      <c r="AH16" s="146"/>
      <c r="AI16" s="145">
        <v>10</v>
      </c>
      <c r="AJ16" s="143" t="b">
        <v>0</v>
      </c>
      <c r="AK16" s="143" t="str">
        <v>X4</v>
      </c>
      <c r="AL16" s="253" t="str">
        <f t="shared" si="2"/>
        <v>USDFUT1MX4_Quote</v>
      </c>
      <c r="AM16" s="254" t="str">
        <f t="shared" si="3"/>
        <v>USDFUT1MX4ConvAdj_Quote</v>
      </c>
      <c r="AN16" s="253" t="str">
        <f>_xll.qlFuturesConvAdjustmentQuote($AM16,IborIndex,$AK16,$AL16,Volatility,MeanReversion,Permanent,Trigger,ObjectOverwrite)</f>
        <v>USDFUT1MX4ConvAdj_Quote#0001</v>
      </c>
      <c r="AO16" s="73" t="str">
        <f>_xll.ohRangeRetrieveError(AN16)</f>
        <v/>
      </c>
      <c r="AP16" s="353"/>
    </row>
    <row r="17" spans="1:42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USDFUT1MF5_Quote</v>
      </c>
      <c r="F17" s="141" t="str">
        <f>_xll.qlSimpleQuote(E17,,PriceTickValue,Permanent,Trigger,ObjectOverwrite)</f>
        <v>USDFUT1MF5_Quote#0002</v>
      </c>
      <c r="G17" s="104" t="str">
        <f>_xll.ohRangeRetrieveError(F17)</f>
        <v/>
      </c>
      <c r="H17" s="140"/>
      <c r="J17" s="338"/>
      <c r="K17" s="337">
        <v>12</v>
      </c>
      <c r="L17" s="336" t="b">
        <v>0</v>
      </c>
      <c r="M17" s="277" t="str">
        <v>F5</v>
      </c>
      <c r="N17" s="335">
        <v>42025</v>
      </c>
      <c r="O17" s="277" t="str">
        <v>EMF5</v>
      </c>
      <c r="P17" s="334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3">
        <v>99.696249999999992</v>
      </c>
      <c r="X17" s="266"/>
      <c r="Y17" s="332">
        <v>99.696249999999992</v>
      </c>
      <c r="Z17" s="280" t="e">
        <f>_xll.qlSimpleQuoteSetValue(F17,Y17,Trigger)</f>
        <v>#N/A</v>
      </c>
      <c r="AA17" s="47"/>
      <c r="AB17" s="21"/>
      <c r="AC17" s="21"/>
      <c r="AD17" s="21"/>
      <c r="AE17" s="21"/>
      <c r="AF17" s="301">
        <f t="shared" si="1"/>
        <v>1.7500000000012506E-4</v>
      </c>
      <c r="AH17" s="146"/>
      <c r="AI17" s="145">
        <v>11</v>
      </c>
      <c r="AJ17" s="143" t="b">
        <v>0</v>
      </c>
      <c r="AK17" s="143" t="str">
        <v>Z4</v>
      </c>
      <c r="AL17" s="253" t="str">
        <f t="shared" si="2"/>
        <v>USDFUT1MZ4_Quote</v>
      </c>
      <c r="AM17" s="254" t="str">
        <f t="shared" si="3"/>
        <v>USDFUT1MZ4ConvAdj_Quote</v>
      </c>
      <c r="AN17" s="253" t="str">
        <f>_xll.qlFuturesConvAdjustmentQuote($AM17,IborIndex,$AK17,$AL17,Volatility,MeanReversion,Permanent,Trigger,ObjectOverwrite)</f>
        <v>USDFUT1MZ4ConvAdj_Quote#0001</v>
      </c>
      <c r="AO17" s="73" t="str">
        <f>_xll.ohRangeRetrieveError(AN17)</f>
        <v/>
      </c>
      <c r="AP17" s="353"/>
    </row>
    <row r="18" spans="1:42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1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4"/>
      <c r="AB18" s="21"/>
      <c r="AC18" s="21"/>
      <c r="AD18" s="21"/>
      <c r="AE18" s="21"/>
      <c r="AF18" s="21"/>
      <c r="AH18" s="146"/>
      <c r="AI18" s="145">
        <v>12</v>
      </c>
      <c r="AJ18" s="143" t="b">
        <v>0</v>
      </c>
      <c r="AK18" s="143" t="str">
        <v>F5</v>
      </c>
      <c r="AL18" s="253" t="str">
        <f t="shared" si="2"/>
        <v>USDFUT1MF5_Quote</v>
      </c>
      <c r="AM18" s="254" t="str">
        <f t="shared" si="3"/>
        <v>USDFUT1MF5ConvAdj_Quote</v>
      </c>
      <c r="AN18" s="253" t="str">
        <f>_xll.qlFuturesConvAdjustmentQuote($AM18,IborIndex,$AK18,$AL18,Volatility,MeanReversion,Permanent,Trigger,ObjectOverwrite)</f>
        <v>USDFUT1MF5ConvAdj_Quote#0001</v>
      </c>
      <c r="AO18" s="73" t="str">
        <f>_xll.ohRangeRetrieveError(AN18)</f>
        <v/>
      </c>
      <c r="AP18" s="353"/>
    </row>
    <row r="19" spans="1:42" ht="12" thickBot="1" x14ac:dyDescent="0.25">
      <c r="AH19" s="331"/>
      <c r="AI19" s="45"/>
      <c r="AJ19" s="45"/>
      <c r="AK19" s="45"/>
      <c r="AL19" s="45"/>
      <c r="AM19" s="45"/>
      <c r="AN19" s="45"/>
      <c r="AO19" s="45"/>
      <c r="AP19" s="44"/>
    </row>
    <row r="21" spans="1:42" x14ac:dyDescent="0.2">
      <c r="K21" s="550"/>
    </row>
  </sheetData>
  <conditionalFormatting sqref="Z6:Z17">
    <cfRule type="cellIs" dxfId="22" priority="1" stopIfTrue="1" operator="greaterThan">
      <formula>0</formula>
    </cfRule>
    <cfRule type="cellIs" dxfId="21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2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0.140625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22.140625" style="102" customWidth="1"/>
    <col min="41" max="41" width="2.7109375" style="102" customWidth="1"/>
    <col min="42" max="16384" width="9.140625" style="102"/>
  </cols>
  <sheetData>
    <row r="1" spans="1:43" x14ac:dyDescent="0.2">
      <c r="J1" s="30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5"/>
      <c r="W1" s="355"/>
      <c r="X1" s="201"/>
      <c r="Y1" s="201"/>
      <c r="Z1" s="201"/>
      <c r="AA1" s="354"/>
      <c r="AB1" s="21"/>
      <c r="AC1" s="21"/>
      <c r="AD1" s="21"/>
      <c r="AE1" s="21"/>
      <c r="AF1" s="21"/>
      <c r="AH1" s="152" t="s">
        <v>226</v>
      </c>
      <c r="AO1" s="47"/>
    </row>
    <row r="2" spans="1:43" x14ac:dyDescent="0.2">
      <c r="J2" s="299"/>
      <c r="K2" s="136"/>
      <c r="L2" s="298"/>
      <c r="M2" s="298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3"/>
      <c r="AB2" s="21"/>
      <c r="AC2" s="21"/>
      <c r="AD2" s="21"/>
      <c r="AE2" s="21"/>
      <c r="AF2" s="21"/>
      <c r="AH2" s="152"/>
      <c r="AL2" s="257" t="s">
        <v>225</v>
      </c>
      <c r="AM2" s="256" t="str">
        <f>FuturesHWConvAdj!C5</f>
        <v>USDHW_Volatility_Quote#0002</v>
      </c>
      <c r="AO2" s="47"/>
    </row>
    <row r="3" spans="1:43" ht="12" thickBot="1" x14ac:dyDescent="0.25">
      <c r="J3" s="299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3"/>
      <c r="AB3" s="21"/>
      <c r="AC3" s="21"/>
      <c r="AD3" s="21"/>
      <c r="AE3" s="21"/>
      <c r="AF3" s="21"/>
      <c r="AH3" s="152"/>
      <c r="AL3" s="257" t="s">
        <v>224</v>
      </c>
      <c r="AM3" s="256" t="str">
        <f>FuturesHWConvAdj!C6</f>
        <v>USDHW_MeanReversion_Quote#0002</v>
      </c>
      <c r="AO3" s="47"/>
    </row>
    <row r="4" spans="1:43" ht="12" thickBot="1" x14ac:dyDescent="0.25">
      <c r="A4" s="157" t="s">
        <v>180</v>
      </c>
      <c r="B4" s="156"/>
      <c r="C4" s="156"/>
      <c r="D4" s="155" t="s">
        <v>178</v>
      </c>
      <c r="E4" s="155" t="s">
        <v>38</v>
      </c>
      <c r="F4" s="154"/>
      <c r="G4" s="154"/>
      <c r="H4" s="153"/>
      <c r="J4" s="299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3</v>
      </c>
      <c r="AA4" s="353"/>
      <c r="AB4" s="21"/>
      <c r="AC4" s="21"/>
      <c r="AD4" s="21"/>
      <c r="AE4" s="21"/>
      <c r="AF4" s="21"/>
      <c r="AH4" s="152"/>
      <c r="AL4" s="257" t="s">
        <v>117</v>
      </c>
      <c r="AM4" s="256" t="str">
        <f>Libor!F13</f>
        <v>UsdLibor3M#0001</v>
      </c>
      <c r="AN4" s="255" t="s">
        <v>38</v>
      </c>
      <c r="AO4" s="47"/>
    </row>
    <row r="5" spans="1:43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USD_010_FUT3M.xml</v>
      </c>
      <c r="F5" s="89">
        <f ca="1">IF(Serialize,_xll.ohObjectSave(F6:F47,SerializationPath&amp;E5,FileOverwrite,Serialize),"---")</f>
        <v>42</v>
      </c>
      <c r="G5" s="107" t="str">
        <f ca="1">_xll.ohRangeRetrieveError(F5)</f>
        <v/>
      </c>
      <c r="H5" s="140"/>
      <c r="J5" s="299"/>
      <c r="K5" s="361" t="s">
        <v>177</v>
      </c>
      <c r="L5" s="357" t="s">
        <v>176</v>
      </c>
      <c r="M5" s="357" t="s">
        <v>175</v>
      </c>
      <c r="N5" s="357" t="s">
        <v>269</v>
      </c>
      <c r="O5" s="360" t="e">
        <f ca="1">_xll.RData(O6:O47,P5:T5,"RTFEED:IDN",ReutersRtMode,,P6)</f>
        <v>#NAME?</v>
      </c>
      <c r="P5" s="357" t="s">
        <v>268</v>
      </c>
      <c r="Q5" s="357" t="s">
        <v>228</v>
      </c>
      <c r="R5" s="357" t="s">
        <v>227</v>
      </c>
      <c r="S5" s="357" t="s">
        <v>245</v>
      </c>
      <c r="T5" s="357" t="s">
        <v>263</v>
      </c>
      <c r="U5" s="359" t="s">
        <v>262</v>
      </c>
      <c r="V5" s="266"/>
      <c r="W5" s="358" t="s">
        <v>258</v>
      </c>
      <c r="X5" s="266"/>
      <c r="Y5" s="361" t="s">
        <v>256</v>
      </c>
      <c r="Z5" s="356" t="s">
        <v>255</v>
      </c>
      <c r="AA5" s="47"/>
      <c r="AB5" s="21"/>
      <c r="AC5" s="210" t="s">
        <v>267</v>
      </c>
      <c r="AD5" s="208" t="s">
        <v>266</v>
      </c>
      <c r="AE5" s="21"/>
      <c r="AF5" s="325" t="s">
        <v>261</v>
      </c>
      <c r="AH5" s="152"/>
      <c r="AI5" s="91" t="s">
        <v>177</v>
      </c>
      <c r="AJ5" s="197" t="s">
        <v>176</v>
      </c>
      <c r="AK5" s="197" t="s">
        <v>175</v>
      </c>
      <c r="AL5" s="90" t="str">
        <f>Currency&amp;"_020_Futures"&amp;AN4&amp;"ConvAdj.xml"</f>
        <v>USD_020_Futures3MConvAdj.xml</v>
      </c>
      <c r="AM5" s="108">
        <f ca="1">IF(Serialize,_xll.ohObjectSave(AM6:AM47,SerializationPath&amp;AL5,FileOverwrite,Serialize),"---")</f>
        <v>42</v>
      </c>
      <c r="AN5" s="73" t="str">
        <f ca="1">_xll.ohRangeRetrieveError(AM5)</f>
        <v/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G4</v>
      </c>
      <c r="E6" s="142" t="str">
        <f t="shared" ref="E6:E37" si="0">Currency&amp;$D$4&amp;$E$4&amp;$D6&amp;QuoteSuffix</f>
        <v>USDFUT3MG4_Quote</v>
      </c>
      <c r="F6" s="148" t="str">
        <f>_xll.qlSimpleQuote(E6,,PriceTickValue,Permanent,Trigger,ObjectOverwrite)</f>
        <v>USDFUT3MG4_Quote#0002</v>
      </c>
      <c r="G6" s="147" t="str">
        <f>_xll.ohRangeRetrieveError(F6)</f>
        <v/>
      </c>
      <c r="H6" s="140"/>
      <c r="J6" s="338"/>
      <c r="K6" s="351">
        <v>1</v>
      </c>
      <c r="L6" s="350" t="b">
        <v>0</v>
      </c>
      <c r="M6" s="284" t="str">
        <f t="array" ref="M6:M47">_xll.qlIMMcode(FuturesDates)</f>
        <v>G4</v>
      </c>
      <c r="N6" s="349">
        <f t="array" ref="N6:N47">_xll.qlIMMNextDates(_xll.qlSettingsEvaluationDate(Trigger)-1,$L6:$L47)</f>
        <v>41689</v>
      </c>
      <c r="O6" s="284" t="str">
        <f t="array" ref="O6:O47">VLOOKUP(Currency,LiffeCodes,2)&amp;FuturesCodes</f>
        <v>EDG4</v>
      </c>
      <c r="P6" s="348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47">
        <v>99.754999999999995</v>
      </c>
      <c r="X6" s="266"/>
      <c r="Y6" s="346">
        <f t="array" ref="Y6:Y47">QuoteStatic</f>
        <v>99.754999999999995</v>
      </c>
      <c r="Z6" s="286" t="e">
        <f>_xll.qlSimpleQuoteSetValue(F6,Y6,Trigger)</f>
        <v>#N/A</v>
      </c>
      <c r="AA6" s="47"/>
      <c r="AB6" s="21"/>
      <c r="AC6" s="84" t="s">
        <v>131</v>
      </c>
      <c r="AD6" s="82" t="s">
        <v>273</v>
      </c>
      <c r="AE6" s="21"/>
      <c r="AF6" s="301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G4</v>
      </c>
      <c r="AL6" s="254" t="str">
        <f t="shared" ref="AL6:AL47" si="2">Currency&amp;"FUT"&amp;$AN$4&amp;$AK6&amp;"ConvAdj"&amp;QuoteSuffix</f>
        <v>USDFUT3MG4ConvAdj_Quote</v>
      </c>
      <c r="AM6" s="253" t="str">
        <f>_xll.qlFuturesConvAdjustmentQuote(AL6,IborIndex,AK6,F6,Volatility,MeanReversion,Permanent,AND(ISERROR(Z6),ISERROR(FuturesHWConvAdj!Q5:Q6)),ObjectOverwrite)</f>
        <v>USDFUT3MG4ConvAdj_Quote#0002</v>
      </c>
      <c r="AN6" s="73" t="str">
        <f>_xll.ohRangeRetrieveError(AM6)</f>
        <v/>
      </c>
      <c r="AO6" s="47"/>
      <c r="AQ6" s="102">
        <f>_xll.qlQuoteValue(AM6)</f>
        <v>0</v>
      </c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USDFUT3MH4_Quote</v>
      </c>
      <c r="F7" s="141" t="str">
        <f>_xll.qlSimpleQuote(E7,,PriceTickValue,Permanent,Trigger,ObjectOverwrite)</f>
        <v>USDFUT3MH4_Quote#0002</v>
      </c>
      <c r="G7" s="104" t="str">
        <f>_xll.ohRangeRetrieveError(F7)</f>
        <v/>
      </c>
      <c r="H7" s="140"/>
      <c r="J7" s="338"/>
      <c r="K7" s="344">
        <v>2</v>
      </c>
      <c r="L7" s="343" t="b">
        <v>0</v>
      </c>
      <c r="M7" s="264" t="str">
        <v>H4</v>
      </c>
      <c r="N7" s="342">
        <v>41717</v>
      </c>
      <c r="O7" s="264" t="str">
        <v>EDH4</v>
      </c>
      <c r="P7" s="341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5">
        <v>99.754999999999995</v>
      </c>
      <c r="X7" s="266"/>
      <c r="Y7" s="339">
        <v>99.754999999999995</v>
      </c>
      <c r="Z7" s="268" t="e">
        <f>_xll.qlSimpleQuoteSetValue(F7,Y7,Trigger)</f>
        <v>#N/A</v>
      </c>
      <c r="AA7" s="47"/>
      <c r="AB7" s="21"/>
      <c r="AC7" s="84" t="s">
        <v>130</v>
      </c>
      <c r="AD7" s="82" t="s">
        <v>272</v>
      </c>
      <c r="AE7" s="21"/>
      <c r="AF7" s="301">
        <f t="shared" si="1"/>
        <v>4.9999999999954527E-5</v>
      </c>
      <c r="AH7" s="146"/>
      <c r="AI7" s="145">
        <v>2</v>
      </c>
      <c r="AJ7" s="143" t="b">
        <v>0</v>
      </c>
      <c r="AK7" s="143" t="str">
        <v>H4</v>
      </c>
      <c r="AL7" s="254" t="str">
        <f t="shared" si="2"/>
        <v>USDFUT3MH4ConvAdj_Quote</v>
      </c>
      <c r="AM7" s="253" t="str">
        <f>_xll.qlFuturesConvAdjustmentQuote(AL7,IborIndex,AK7,F7,Volatility,MeanReversion,Permanent,AND(ISERROR(Z7),ISERROR(FuturesHWConvAdj!Q6:Q7)),ObjectOverwrite)</f>
        <v>USDFUT3MH4ConvAdj_Quote#0002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USDFUT3MJ4_Quote</v>
      </c>
      <c r="F8" s="141" t="str">
        <f>_xll.qlSimpleQuote(E8,,PriceTickValue,Permanent,Trigger,ObjectOverwrite)</f>
        <v>USDFUT3MJ4_Quote#0002</v>
      </c>
      <c r="G8" s="104" t="str">
        <f>_xll.ohRangeRetrieveError(F8)</f>
        <v/>
      </c>
      <c r="H8" s="140"/>
      <c r="J8" s="338"/>
      <c r="K8" s="344">
        <v>3</v>
      </c>
      <c r="L8" s="343" t="b">
        <v>0</v>
      </c>
      <c r="M8" s="264" t="str">
        <v>J4</v>
      </c>
      <c r="N8" s="342">
        <v>41745</v>
      </c>
      <c r="O8" s="264" t="str">
        <v>EDJ4</v>
      </c>
      <c r="P8" s="341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5">
        <v>99.747500000000002</v>
      </c>
      <c r="X8" s="266"/>
      <c r="Y8" s="339">
        <v>99.747500000000002</v>
      </c>
      <c r="Z8" s="268" t="e">
        <f>_xll.qlSimpleQuoteSetValue(F8,Y8,Trigger)</f>
        <v>#N/A</v>
      </c>
      <c r="AA8" s="47"/>
      <c r="AB8" s="21"/>
      <c r="AC8" s="84" t="s">
        <v>127</v>
      </c>
      <c r="AD8" s="82" t="s">
        <v>271</v>
      </c>
      <c r="AE8" s="21"/>
      <c r="AF8" s="301">
        <f t="shared" si="1"/>
        <v>4.9999999999954527E-5</v>
      </c>
      <c r="AH8" s="146"/>
      <c r="AI8" s="145">
        <v>3</v>
      </c>
      <c r="AJ8" s="143" t="b">
        <v>0</v>
      </c>
      <c r="AK8" s="143" t="str">
        <v>J4</v>
      </c>
      <c r="AL8" s="254" t="str">
        <f t="shared" si="2"/>
        <v>USDFUT3MJ4ConvAdj_Quote</v>
      </c>
      <c r="AM8" s="253" t="str">
        <f>_xll.qlFuturesConvAdjustmentQuote(AL8,IborIndex,AK8,F8,Volatility,MeanReversion,Permanent,AND(ISERROR(Z8),ISERROR(FuturesHWConvAdj!Q7:Q8)),ObjectOverwrite)</f>
        <v>USDFUT3MJ4ConvAdj_Quote#0002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USDFUT3MK4_Quote</v>
      </c>
      <c r="F9" s="141" t="str">
        <f>_xll.qlSimpleQuote(E9,,PriceTickValue,Permanent,Trigger,ObjectOverwrite)</f>
        <v>USDFUT3MK4_Quote#0002</v>
      </c>
      <c r="G9" s="104" t="str">
        <f>_xll.ohRangeRetrieveError(F9)</f>
        <v/>
      </c>
      <c r="H9" s="140"/>
      <c r="J9" s="338"/>
      <c r="K9" s="344">
        <v>4</v>
      </c>
      <c r="L9" s="343" t="b">
        <v>0</v>
      </c>
      <c r="M9" s="264" t="str">
        <v>K4</v>
      </c>
      <c r="N9" s="342">
        <v>41780</v>
      </c>
      <c r="O9" s="264" t="str">
        <v>EDK4</v>
      </c>
      <c r="P9" s="341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5">
        <v>99.74</v>
      </c>
      <c r="X9" s="266"/>
      <c r="Y9" s="339">
        <v>99.74</v>
      </c>
      <c r="Z9" s="268" t="e">
        <f>_xll.qlSimpleQuoteSetValue(F9,Y9,Trigger)</f>
        <v>#N/A</v>
      </c>
      <c r="AA9" s="47"/>
      <c r="AB9" s="21"/>
      <c r="AC9" s="84" t="s">
        <v>126</v>
      </c>
      <c r="AD9" s="82"/>
      <c r="AE9" s="21"/>
      <c r="AF9" s="301">
        <f t="shared" si="1"/>
        <v>1.5000000000014779E-4</v>
      </c>
      <c r="AH9" s="146"/>
      <c r="AI9" s="145">
        <v>4</v>
      </c>
      <c r="AJ9" s="143" t="b">
        <v>0</v>
      </c>
      <c r="AK9" s="143" t="str">
        <v>K4</v>
      </c>
      <c r="AL9" s="254" t="str">
        <f t="shared" si="2"/>
        <v>USDFUT3MK4ConvAdj_Quote</v>
      </c>
      <c r="AM9" s="253" t="str">
        <f>_xll.qlFuturesConvAdjustmentQuote(AL9,IborIndex,AK9,F9,Volatility,MeanReversion,Permanent,AND(ISERROR(Z9),ISERROR(FuturesHWConvAdj!Q8:Q9)),ObjectOverwrite)</f>
        <v>USDFUT3MK4ConvAdj_Quote#0002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USDFUT3MM4_Quote</v>
      </c>
      <c r="F10" s="141" t="str">
        <f>_xll.qlSimpleQuote(E10,,PriceTickValue,Permanent,Trigger,ObjectOverwrite)</f>
        <v>USDFUT3MM4_Quote#0002</v>
      </c>
      <c r="G10" s="104" t="str">
        <f>_xll.ohRangeRetrieveError(F10)</f>
        <v/>
      </c>
      <c r="H10" s="140"/>
      <c r="I10" s="550"/>
      <c r="J10" s="338"/>
      <c r="K10" s="344">
        <v>5</v>
      </c>
      <c r="L10" s="343" t="b">
        <v>0</v>
      </c>
      <c r="M10" s="264" t="str">
        <v>M4</v>
      </c>
      <c r="N10" s="342">
        <v>41808</v>
      </c>
      <c r="O10" s="264" t="str">
        <v>EDM4</v>
      </c>
      <c r="P10" s="341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0">
        <v>99.724999999999994</v>
      </c>
      <c r="X10" s="266"/>
      <c r="Y10" s="339">
        <v>99.724999999999994</v>
      </c>
      <c r="Z10" s="268" t="e">
        <f>_xll.qlSimpleQuoteSetValue(F10,Y10,Trigger)</f>
        <v>#N/A</v>
      </c>
      <c r="AA10" s="47"/>
      <c r="AB10" s="21"/>
      <c r="AC10" s="81" t="s">
        <v>121</v>
      </c>
      <c r="AD10" s="79" t="s">
        <v>270</v>
      </c>
      <c r="AE10" s="21"/>
      <c r="AF10" s="301">
        <f t="shared" si="1"/>
        <v>4.9999999999954527E-5</v>
      </c>
      <c r="AH10" s="146"/>
      <c r="AI10" s="145">
        <v>5</v>
      </c>
      <c r="AJ10" s="143" t="b">
        <v>0</v>
      </c>
      <c r="AK10" s="143" t="str">
        <v>M4</v>
      </c>
      <c r="AL10" s="254" t="str">
        <f t="shared" si="2"/>
        <v>USDFUT3MM4ConvAdj_Quote</v>
      </c>
      <c r="AM10" s="253" t="str">
        <f>_xll.qlFuturesConvAdjustmentQuote(AL10,IborIndex,AK10,F10,Volatility,MeanReversion,Permanent,AND(ISERROR(Z10),ISERROR(FuturesHWConvAdj!Q9:Q10)),ObjectOverwrite)</f>
        <v>USDFUT3MM4ConvAdj_Quote#0002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USDFUT3MN4_Quote</v>
      </c>
      <c r="F11" s="141" t="str">
        <f>_xll.qlSimpleQuote(E11,,PriceTickValue,Permanent,Trigger,ObjectOverwrite)</f>
        <v>USDFUT3MN4_Quote#0002</v>
      </c>
      <c r="G11" s="104" t="str">
        <f>_xll.ohRangeRetrieveError(F11)</f>
        <v/>
      </c>
      <c r="H11" s="140"/>
      <c r="J11" s="338"/>
      <c r="K11" s="344">
        <v>6</v>
      </c>
      <c r="L11" s="343" t="b">
        <v>0</v>
      </c>
      <c r="M11" s="264" t="str">
        <v>N4</v>
      </c>
      <c r="N11" s="342">
        <v>41836</v>
      </c>
      <c r="O11" s="264" t="str">
        <v>EDN4</v>
      </c>
      <c r="P11" s="341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0">
        <v>99.707499999999996</v>
      </c>
      <c r="X11" s="266"/>
      <c r="Y11" s="339">
        <v>99.707499999999996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1">
        <f t="shared" si="1"/>
        <v>2.0000000000010233E-4</v>
      </c>
      <c r="AH11" s="146"/>
      <c r="AI11" s="145">
        <v>6</v>
      </c>
      <c r="AJ11" s="143" t="b">
        <v>0</v>
      </c>
      <c r="AK11" s="143" t="str">
        <v>N4</v>
      </c>
      <c r="AL11" s="254" t="str">
        <f t="shared" si="2"/>
        <v>USDFUT3MN4ConvAdj_Quote</v>
      </c>
      <c r="AM11" s="253" t="str">
        <f>_xll.qlFuturesConvAdjustmentQuote(AL11,IborIndex,AK11,F11,Volatility,MeanReversion,Permanent,AND(ISERROR(Z11),ISERROR(FuturesHWConvAdj!Q10:Q11)),ObjectOverwrite)</f>
        <v>USDFUT3MN4ConvAdj_Quote#0002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USDFUT3MQ4_Quote</v>
      </c>
      <c r="F12" s="141" t="str">
        <f>_xll.qlSimpleQuote(E12,,PriceTickValue,Permanent,Trigger,ObjectOverwrite)</f>
        <v>USDFUT3MQ4_Quote#0002</v>
      </c>
      <c r="G12" s="104" t="str">
        <f>_xll.ohRangeRetrieveError(F12)</f>
        <v/>
      </c>
      <c r="H12" s="140"/>
      <c r="J12" s="338"/>
      <c r="K12" s="344">
        <v>7</v>
      </c>
      <c r="L12" s="343" t="b">
        <v>0</v>
      </c>
      <c r="M12" s="264" t="str">
        <v>Q4</v>
      </c>
      <c r="N12" s="342">
        <v>41871</v>
      </c>
      <c r="O12" s="264" t="str">
        <v>EDQ4</v>
      </c>
      <c r="P12" s="341" t="s">
        <v>240</v>
      </c>
      <c r="Q12" s="264" t="s">
        <v>240</v>
      </c>
      <c r="R12" s="264" t="s">
        <v>240</v>
      </c>
      <c r="S12" s="264" t="s">
        <v>240</v>
      </c>
      <c r="T12" s="264" t="s">
        <v>240</v>
      </c>
      <c r="U12" s="268" t="e">
        <f>_xll.qlMidSafe($Q12,$R12)</f>
        <v>#NUM!</v>
      </c>
      <c r="V12" s="266"/>
      <c r="W12" s="340">
        <v>99.692499999999995</v>
      </c>
      <c r="X12" s="266"/>
      <c r="Y12" s="339">
        <v>99.692499999999995</v>
      </c>
      <c r="Z12" s="268" t="e">
        <f>_xll.qlSimpleQuoteSetValue(F12,Y12,Trigger)</f>
        <v>#N/A</v>
      </c>
      <c r="AA12" s="47"/>
      <c r="AB12" s="21"/>
      <c r="AC12" s="21"/>
      <c r="AD12" s="21"/>
      <c r="AE12" s="21"/>
      <c r="AF12" s="301" t="e">
        <f t="shared" si="1"/>
        <v>#VALUE!</v>
      </c>
      <c r="AH12" s="146"/>
      <c r="AI12" s="145">
        <v>7</v>
      </c>
      <c r="AJ12" s="143" t="b">
        <v>0</v>
      </c>
      <c r="AK12" s="143" t="str">
        <v>Q4</v>
      </c>
      <c r="AL12" s="254" t="str">
        <f t="shared" si="2"/>
        <v>USDFUT3MQ4ConvAdj_Quote</v>
      </c>
      <c r="AM12" s="253" t="str">
        <f>_xll.qlFuturesConvAdjustmentQuote(AL12,IborIndex,AK12,F12,Volatility,MeanReversion,Permanent,AND(ISERROR(Z12),ISERROR(FuturesHWConvAdj!Q11:Q12)),ObjectOverwrite)</f>
        <v>USDFUT3MQ4ConvAdj_Quote#0002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USDFUT3MU4_Quote</v>
      </c>
      <c r="F13" s="141" t="str">
        <f>_xll.qlSimpleQuote(E13,,PriceTickValue,Permanent,Trigger,ObjectOverwrite)</f>
        <v>USDFUT3MU4_Quote#0002</v>
      </c>
      <c r="G13" s="104" t="str">
        <f>_xll.ohRangeRetrieveError(F13)</f>
        <v/>
      </c>
      <c r="H13" s="140"/>
      <c r="J13" s="338"/>
      <c r="K13" s="344">
        <v>8</v>
      </c>
      <c r="L13" s="343" t="b">
        <v>0</v>
      </c>
      <c r="M13" s="264" t="str">
        <v>U4</v>
      </c>
      <c r="N13" s="342">
        <v>41899</v>
      </c>
      <c r="O13" s="264" t="str">
        <v>EDU4</v>
      </c>
      <c r="P13" s="341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0">
        <v>99.647499999999994</v>
      </c>
      <c r="X13" s="266"/>
      <c r="Y13" s="339">
        <v>99.647499999999994</v>
      </c>
      <c r="Z13" s="268" t="e">
        <f>_xll.qlSimpleQuoteSetValue(F13,Y13,Trigger)</f>
        <v>#N/A</v>
      </c>
      <c r="AA13" s="47"/>
      <c r="AB13" s="21"/>
      <c r="AC13" s="21"/>
      <c r="AD13" s="21"/>
      <c r="AE13" s="21"/>
      <c r="AF13" s="301">
        <f t="shared" si="1"/>
        <v>5.0000000000238744E-5</v>
      </c>
      <c r="AH13" s="146"/>
      <c r="AI13" s="145">
        <v>8</v>
      </c>
      <c r="AJ13" s="143" t="b">
        <v>0</v>
      </c>
      <c r="AK13" s="143" t="str">
        <v>U4</v>
      </c>
      <c r="AL13" s="254" t="str">
        <f t="shared" si="2"/>
        <v>USDFUT3MU4ConvAdj_Quote</v>
      </c>
      <c r="AM13" s="253" t="str">
        <f>_xll.qlFuturesConvAdjustmentQuote(AL13,IborIndex,AK13,F13,Volatility,MeanReversion,Permanent,AND(ISERROR(Z13),ISERROR(FuturesHWConvAdj!Q12:Q13)),ObjectOverwrite)</f>
        <v>USDFUT3MU4ConvAdj_Quote#0002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USDFUT3MV4_Quote</v>
      </c>
      <c r="F14" s="141" t="str">
        <f>_xll.qlSimpleQuote(E14,,PriceTickValue,Permanent,Trigger,ObjectOverwrite)</f>
        <v>USDFUT3MV4_Quote#0002</v>
      </c>
      <c r="G14" s="104" t="str">
        <f>_xll.ohRangeRetrieveError(F14)</f>
        <v/>
      </c>
      <c r="H14" s="140"/>
      <c r="J14" s="338"/>
      <c r="K14" s="344">
        <v>9</v>
      </c>
      <c r="L14" s="343" t="b">
        <v>0</v>
      </c>
      <c r="M14" s="264" t="str">
        <v>V4</v>
      </c>
      <c r="N14" s="342">
        <v>41927</v>
      </c>
      <c r="O14" s="264" t="str">
        <v>EDV4</v>
      </c>
      <c r="P14" s="341" t="s">
        <v>240</v>
      </c>
      <c r="Q14" s="264" t="s">
        <v>240</v>
      </c>
      <c r="R14" s="264" t="s">
        <v>240</v>
      </c>
      <c r="S14" s="264" t="s">
        <v>240</v>
      </c>
      <c r="T14" s="264" t="s">
        <v>240</v>
      </c>
      <c r="U14" s="268" t="e">
        <f>_xll.qlMidSafe($Q14,$R14)</f>
        <v>#NUM!</v>
      </c>
      <c r="V14" s="266"/>
      <c r="W14" s="340">
        <v>99.647499999999994</v>
      </c>
      <c r="X14" s="266"/>
      <c r="Y14" s="339">
        <v>99.647499999999994</v>
      </c>
      <c r="Z14" s="268" t="e">
        <f>_xll.qlSimpleQuoteSetValue(F14,Y14,Trigger)</f>
        <v>#N/A</v>
      </c>
      <c r="AA14" s="47"/>
      <c r="AB14" s="21"/>
      <c r="AC14" s="21"/>
      <c r="AD14" s="21"/>
      <c r="AE14" s="21"/>
      <c r="AF14" s="301" t="e">
        <f t="shared" si="1"/>
        <v>#VALUE!</v>
      </c>
      <c r="AH14" s="146"/>
      <c r="AI14" s="145">
        <v>9</v>
      </c>
      <c r="AJ14" s="143" t="b">
        <v>0</v>
      </c>
      <c r="AK14" s="143" t="str">
        <v>V4</v>
      </c>
      <c r="AL14" s="254" t="str">
        <f t="shared" si="2"/>
        <v>USDFUT3MV4ConvAdj_Quote</v>
      </c>
      <c r="AM14" s="253" t="str">
        <f>_xll.qlFuturesConvAdjustmentQuote(AL14,IborIndex,AK14,F14,Volatility,MeanReversion,Permanent,AND(ISERROR(Z14),ISERROR(FuturesHWConvAdj!Q13:Q14)),ObjectOverwrite)</f>
        <v>USDFUT3MV4ConvAdj_Quote#0002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USDFUT3MX4_Quote</v>
      </c>
      <c r="F15" s="141" t="str">
        <f>_xll.qlSimpleQuote(E15,,PriceTickValue,Permanent,Trigger,ObjectOverwrite)</f>
        <v>USDFUT3MX4_Quote#0002</v>
      </c>
      <c r="G15" s="104" t="str">
        <f>_xll.ohRangeRetrieveError(F15)</f>
        <v/>
      </c>
      <c r="H15" s="140"/>
      <c r="J15" s="338"/>
      <c r="K15" s="344">
        <v>10</v>
      </c>
      <c r="L15" s="343" t="b">
        <v>0</v>
      </c>
      <c r="M15" s="264" t="str">
        <v>X4</v>
      </c>
      <c r="N15" s="342">
        <v>41962</v>
      </c>
      <c r="O15" s="264" t="str">
        <v>EDX4</v>
      </c>
      <c r="P15" s="341" t="s">
        <v>240</v>
      </c>
      <c r="Q15" s="264" t="s">
        <v>240</v>
      </c>
      <c r="R15" s="264" t="s">
        <v>240</v>
      </c>
      <c r="S15" s="264" t="s">
        <v>240</v>
      </c>
      <c r="T15" s="264" t="s">
        <v>240</v>
      </c>
      <c r="U15" s="268" t="e">
        <f>_xll.qlMidSafe($Q15,$R15)</f>
        <v>#NUM!</v>
      </c>
      <c r="V15" s="266"/>
      <c r="W15" s="340" t="e">
        <v>#NUM!</v>
      </c>
      <c r="X15" s="266"/>
      <c r="Y15" s="339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1" t="e">
        <f t="shared" si="1"/>
        <v>#VALUE!</v>
      </c>
      <c r="AH15" s="146"/>
      <c r="AI15" s="145">
        <v>10</v>
      </c>
      <c r="AJ15" s="143" t="b">
        <v>0</v>
      </c>
      <c r="AK15" s="143" t="str">
        <v>X4</v>
      </c>
      <c r="AL15" s="254" t="str">
        <f t="shared" si="2"/>
        <v>USDFUT3MX4ConvAdj_Quote</v>
      </c>
      <c r="AM15" s="253" t="str">
        <f>_xll.qlFuturesConvAdjustmentQuote(AL15,IborIndex,AK15,F15,Volatility,MeanReversion,Permanent,AND(ISERROR(Z15),ISERROR(FuturesHWConvAdj!Q14:Q15)),ObjectOverwrite)</f>
        <v>USDFUT3MX4ConvAdj_Quote#0002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USDFUT3MZ4_Quote</v>
      </c>
      <c r="F16" s="141" t="str">
        <f>_xll.qlSimpleQuote(E16,,PriceTickValue,Permanent,Trigger,ObjectOverwrite)</f>
        <v>USDFUT3MZ4_Quote#0002</v>
      </c>
      <c r="G16" s="104" t="str">
        <f>_xll.ohRangeRetrieveError(F16)</f>
        <v/>
      </c>
      <c r="H16" s="140"/>
      <c r="J16" s="338"/>
      <c r="K16" s="344">
        <v>11</v>
      </c>
      <c r="L16" s="343" t="b">
        <v>0</v>
      </c>
      <c r="M16" s="264" t="str">
        <v>Z4</v>
      </c>
      <c r="N16" s="342">
        <v>41990</v>
      </c>
      <c r="O16" s="264" t="str">
        <v>EDZ4</v>
      </c>
      <c r="P16" s="341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0">
        <v>99.5625</v>
      </c>
      <c r="X16" s="266"/>
      <c r="Y16" s="339">
        <v>99.5625</v>
      </c>
      <c r="Z16" s="268" t="e">
        <f>_xll.qlSimpleQuoteSetValue(F16,Y16,Trigger)</f>
        <v>#N/A</v>
      </c>
      <c r="AA16" s="47"/>
      <c r="AB16" s="21"/>
      <c r="AC16" s="21"/>
      <c r="AD16" s="21"/>
      <c r="AE16" s="21"/>
      <c r="AF16" s="301">
        <f t="shared" si="1"/>
        <v>4.9999999999954527E-5</v>
      </c>
      <c r="AH16" s="146"/>
      <c r="AI16" s="145">
        <v>11</v>
      </c>
      <c r="AJ16" s="143" t="b">
        <v>0</v>
      </c>
      <c r="AK16" s="143" t="str">
        <v>Z4</v>
      </c>
      <c r="AL16" s="254" t="str">
        <f t="shared" si="2"/>
        <v>USDFUT3MZ4ConvAdj_Quote</v>
      </c>
      <c r="AM16" s="253" t="str">
        <f>_xll.qlFuturesConvAdjustmentQuote(AL16,IborIndex,AK16,F16,Volatility,MeanReversion,Permanent,AND(ISERROR(Z16),ISERROR(FuturesHWConvAdj!Q15:Q16)),ObjectOverwrite)</f>
        <v>USDFUT3MZ4ConvAdj_Quote#0002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USDFUT3MF5_Quote</v>
      </c>
      <c r="F17" s="141" t="str">
        <f>_xll.qlSimpleQuote(E17,,PriceTickValue,Permanent,Trigger,ObjectOverwrite)</f>
        <v>USDFUT3MF5_Quote#0002</v>
      </c>
      <c r="G17" s="104" t="str">
        <f>_xll.ohRangeRetrieveError(F17)</f>
        <v/>
      </c>
      <c r="H17" s="140"/>
      <c r="J17" s="338"/>
      <c r="K17" s="344">
        <v>12</v>
      </c>
      <c r="L17" s="343" t="b">
        <v>0</v>
      </c>
      <c r="M17" s="264" t="str">
        <v>F5</v>
      </c>
      <c r="N17" s="342">
        <v>42025</v>
      </c>
      <c r="O17" s="264" t="str">
        <v>EDF5</v>
      </c>
      <c r="P17" s="341" t="s">
        <v>240</v>
      </c>
      <c r="Q17" s="264" t="s">
        <v>240</v>
      </c>
      <c r="R17" s="264" t="s">
        <v>240</v>
      </c>
      <c r="S17" s="264" t="s">
        <v>240</v>
      </c>
      <c r="T17" s="264" t="s">
        <v>240</v>
      </c>
      <c r="U17" s="268" t="e">
        <f>_xll.qlMidSafe($Q17,$R17)</f>
        <v>#NUM!</v>
      </c>
      <c r="V17" s="266"/>
      <c r="W17" s="340">
        <v>99.5625</v>
      </c>
      <c r="X17" s="266"/>
      <c r="Y17" s="339">
        <v>99.5625</v>
      </c>
      <c r="Z17" s="268" t="e">
        <f>_xll.qlSimpleQuoteSetValue(F17,Y17,Trigger)</f>
        <v>#N/A</v>
      </c>
      <c r="AA17" s="47"/>
      <c r="AB17" s="21"/>
      <c r="AC17" s="21"/>
      <c r="AD17" s="21"/>
      <c r="AE17" s="21"/>
      <c r="AF17" s="301" t="e">
        <f t="shared" si="1"/>
        <v>#VALUE!</v>
      </c>
      <c r="AH17" s="146"/>
      <c r="AI17" s="145">
        <v>12</v>
      </c>
      <c r="AJ17" s="143" t="b">
        <v>0</v>
      </c>
      <c r="AK17" s="143" t="str">
        <v>F5</v>
      </c>
      <c r="AL17" s="254" t="str">
        <f t="shared" si="2"/>
        <v>USDFUT3MF5ConvAdj_Quote</v>
      </c>
      <c r="AM17" s="253" t="str">
        <f>_xll.qlFuturesConvAdjustmentQuote(AL17,IborIndex,AK17,F17,Volatility,MeanReversion,Permanent,AND(ISERROR(Z17),ISERROR(FuturesHWConvAdj!Q16:Q17)),ObjectOverwrite)</f>
        <v>USDFUT3MF5ConvAdj_Quote#0002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USDFUT3MH5_Quote#0002</v>
      </c>
      <c r="G18" s="104" t="str">
        <f>_xll.ohRangeRetrieveError(F18)</f>
        <v/>
      </c>
      <c r="H18" s="140"/>
      <c r="J18" s="338"/>
      <c r="K18" s="344">
        <v>13</v>
      </c>
      <c r="L18" s="343" t="b">
        <v>1</v>
      </c>
      <c r="M18" s="264" t="str">
        <v>H5</v>
      </c>
      <c r="N18" s="342">
        <v>42081</v>
      </c>
      <c r="O18" s="264" t="str">
        <v>EDH5</v>
      </c>
      <c r="P18" s="341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0">
        <v>99.4375</v>
      </c>
      <c r="X18" s="266"/>
      <c r="Y18" s="339">
        <v>99.4375</v>
      </c>
      <c r="Z18" s="268" t="e">
        <f>_xll.qlSimpleQuoteSetValue(F18,Y18,Trigger)</f>
        <v>#N/A</v>
      </c>
      <c r="AA18" s="47"/>
      <c r="AB18" s="21"/>
      <c r="AC18" s="21"/>
      <c r="AD18" s="21"/>
      <c r="AE18" s="21"/>
      <c r="AF18" s="301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USDFUT3MH5ConvAdj_Quote#0002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USDFUT3MM5_Quote#0002</v>
      </c>
      <c r="G19" s="104" t="str">
        <f>_xll.ohRangeRetrieveError(F19)</f>
        <v/>
      </c>
      <c r="H19" s="140"/>
      <c r="J19" s="338"/>
      <c r="K19" s="344">
        <v>14</v>
      </c>
      <c r="L19" s="343" t="b">
        <v>1</v>
      </c>
      <c r="M19" s="264" t="str">
        <v>M5</v>
      </c>
      <c r="N19" s="342">
        <v>42172</v>
      </c>
      <c r="O19" s="264" t="str">
        <v>EDM5</v>
      </c>
      <c r="P19" s="341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0">
        <v>99.272499999999994</v>
      </c>
      <c r="X19" s="266"/>
      <c r="Y19" s="339">
        <v>99.272499999999994</v>
      </c>
      <c r="Z19" s="268" t="e">
        <f>_xll.qlSimpleQuoteSetValue(F19,Y19,Trigger)</f>
        <v>#N/A</v>
      </c>
      <c r="AA19" s="47"/>
      <c r="AB19" s="21"/>
      <c r="AC19" s="21"/>
      <c r="AD19" s="21"/>
      <c r="AE19" s="21"/>
      <c r="AF19" s="301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USDFUT3MM5ConvAdj_Quote#0002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USDFUT3MU5_Quote#0002</v>
      </c>
      <c r="G20" s="104" t="str">
        <f>_xll.ohRangeRetrieveError(F20)</f>
        <v/>
      </c>
      <c r="H20" s="140"/>
      <c r="J20" s="338"/>
      <c r="K20" s="344">
        <v>15</v>
      </c>
      <c r="L20" s="343" t="b">
        <v>1</v>
      </c>
      <c r="M20" s="264" t="str">
        <v>U5</v>
      </c>
      <c r="N20" s="342">
        <v>42263</v>
      </c>
      <c r="O20" s="264" t="str">
        <v>EDU5</v>
      </c>
      <c r="P20" s="341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0">
        <v>99.067499999999995</v>
      </c>
      <c r="X20" s="266"/>
      <c r="Y20" s="339">
        <v>99.067499999999995</v>
      </c>
      <c r="Z20" s="268" t="e">
        <f>_xll.qlSimpleQuoteSetValue(F20,Y20,Trigger)</f>
        <v>#N/A</v>
      </c>
      <c r="AA20" s="47"/>
      <c r="AB20" s="21"/>
      <c r="AC20" s="21"/>
      <c r="AD20" s="21"/>
      <c r="AE20" s="21"/>
      <c r="AF20" s="301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USDFUT3MU5ConvAdj_Quote#0002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USDFUT3MZ5_Quote#0002</v>
      </c>
      <c r="G21" s="104" t="str">
        <f>_xll.ohRangeRetrieveError(F21)</f>
        <v/>
      </c>
      <c r="H21" s="140"/>
      <c r="J21" s="338"/>
      <c r="K21" s="344">
        <v>16</v>
      </c>
      <c r="L21" s="343" t="b">
        <v>1</v>
      </c>
      <c r="M21" s="264" t="str">
        <v>Z5</v>
      </c>
      <c r="N21" s="342">
        <v>42354</v>
      </c>
      <c r="O21" s="264" t="str">
        <v>EDZ5</v>
      </c>
      <c r="P21" s="341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0">
        <v>98.822500000000005</v>
      </c>
      <c r="X21" s="266"/>
      <c r="Y21" s="339">
        <v>98.822500000000005</v>
      </c>
      <c r="Z21" s="268" t="e">
        <f>_xll.qlSimpleQuoteSetValue(F21,Y21,Trigger)</f>
        <v>#N/A</v>
      </c>
      <c r="AA21" s="47"/>
      <c r="AB21" s="21"/>
      <c r="AC21" s="21"/>
      <c r="AD21" s="21"/>
      <c r="AE21" s="21"/>
      <c r="AF21" s="301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USDFUT3MZ5ConvAdj_Quote#0002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USDFUT3MH6_Quote#0002</v>
      </c>
      <c r="G22" s="104" t="str">
        <f>_xll.ohRangeRetrieveError(F22)</f>
        <v/>
      </c>
      <c r="H22" s="140"/>
      <c r="J22" s="338"/>
      <c r="K22" s="344">
        <v>17</v>
      </c>
      <c r="L22" s="343" t="b">
        <v>1</v>
      </c>
      <c r="M22" s="264" t="str">
        <v>H6</v>
      </c>
      <c r="N22" s="342">
        <v>42445</v>
      </c>
      <c r="O22" s="264" t="str">
        <v>EDH6</v>
      </c>
      <c r="P22" s="341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0">
        <v>98.537499999999994</v>
      </c>
      <c r="X22" s="266"/>
      <c r="Y22" s="339">
        <v>98.537499999999994</v>
      </c>
      <c r="Z22" s="268" t="e">
        <f>_xll.qlSimpleQuoteSetValue(F22,Y22,Trigger)</f>
        <v>#N/A</v>
      </c>
      <c r="AA22" s="47"/>
      <c r="AB22" s="21"/>
      <c r="AC22" s="21"/>
      <c r="AD22" s="21"/>
      <c r="AE22" s="21"/>
      <c r="AF22" s="301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USDFUT3MH6ConvAdj_Quote#0002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USDFUT3MM6_Quote#0002</v>
      </c>
      <c r="G23" s="104" t="str">
        <f>_xll.ohRangeRetrieveError(F23)</f>
        <v/>
      </c>
      <c r="H23" s="140"/>
      <c r="J23" s="338"/>
      <c r="K23" s="344">
        <v>18</v>
      </c>
      <c r="L23" s="343" t="b">
        <v>1</v>
      </c>
      <c r="M23" s="264" t="str">
        <v>M6</v>
      </c>
      <c r="N23" s="342">
        <v>42536</v>
      </c>
      <c r="O23" s="264" t="str">
        <v>EDM6</v>
      </c>
      <c r="P23" s="341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0">
        <v>98.242500000000007</v>
      </c>
      <c r="X23" s="266"/>
      <c r="Y23" s="339">
        <v>98.242500000000007</v>
      </c>
      <c r="Z23" s="268" t="e">
        <f>_xll.qlSimpleQuoteSetValue(F23,Y23,Trigger)</f>
        <v>#N/A</v>
      </c>
      <c r="AA23" s="47"/>
      <c r="AB23" s="21"/>
      <c r="AC23" s="21"/>
      <c r="AD23" s="21"/>
      <c r="AE23" s="21"/>
      <c r="AF23" s="301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USDFUT3MM6ConvAdj_Quote#0002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USDFUT3MU6_Quote#0002</v>
      </c>
      <c r="G24" s="104" t="str">
        <f>_xll.ohRangeRetrieveError(F24)</f>
        <v/>
      </c>
      <c r="H24" s="140"/>
      <c r="J24" s="338"/>
      <c r="K24" s="344">
        <v>19</v>
      </c>
      <c r="L24" s="343" t="b">
        <v>1</v>
      </c>
      <c r="M24" s="264" t="str">
        <v>U6</v>
      </c>
      <c r="N24" s="342">
        <v>42634</v>
      </c>
      <c r="O24" s="264" t="str">
        <v>EDU6</v>
      </c>
      <c r="P24" s="341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0">
        <v>97.957499999999996</v>
      </c>
      <c r="X24" s="266"/>
      <c r="Y24" s="339">
        <v>97.957499999999996</v>
      </c>
      <c r="Z24" s="268" t="e">
        <f>_xll.qlSimpleQuoteSetValue(F24,Y24,Trigger)</f>
        <v>#N/A</v>
      </c>
      <c r="AA24" s="47"/>
      <c r="AB24" s="21"/>
      <c r="AC24" s="21"/>
      <c r="AD24" s="21"/>
      <c r="AE24" s="21"/>
      <c r="AF24" s="301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USDFUT3MU6ConvAdj_Quote#0002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USDFUT3MZ6_Quote#0002</v>
      </c>
      <c r="G25" s="104" t="str">
        <f>_xll.ohRangeRetrieveError(F25)</f>
        <v/>
      </c>
      <c r="H25" s="140"/>
      <c r="J25" s="338"/>
      <c r="K25" s="344">
        <v>20</v>
      </c>
      <c r="L25" s="343" t="b">
        <v>1</v>
      </c>
      <c r="M25" s="264" t="str">
        <v>Z6</v>
      </c>
      <c r="N25" s="342">
        <v>42725</v>
      </c>
      <c r="O25" s="264" t="str">
        <v>EDZ6</v>
      </c>
      <c r="P25" s="341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0">
        <v>97.682500000000005</v>
      </c>
      <c r="X25" s="266"/>
      <c r="Y25" s="339">
        <v>97.682500000000005</v>
      </c>
      <c r="Z25" s="268" t="e">
        <f>_xll.qlSimpleQuoteSetValue(F25,Y25,Trigger)</f>
        <v>#N/A</v>
      </c>
      <c r="AA25" s="47"/>
      <c r="AB25" s="21"/>
      <c r="AC25" s="21"/>
      <c r="AD25" s="21"/>
      <c r="AE25" s="21"/>
      <c r="AF25" s="301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USDFUT3MZ6ConvAdj_Quote#0002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USDFUT3MH7_Quote#0002</v>
      </c>
      <c r="G26" s="104" t="str">
        <f>_xll.ohRangeRetrieveError(F26)</f>
        <v/>
      </c>
      <c r="H26" s="140"/>
      <c r="J26" s="338"/>
      <c r="K26" s="344">
        <v>21</v>
      </c>
      <c r="L26" s="343" t="b">
        <v>1</v>
      </c>
      <c r="M26" s="264" t="str">
        <v>H7</v>
      </c>
      <c r="N26" s="342">
        <v>42809</v>
      </c>
      <c r="O26" s="264" t="str">
        <v>EDH7</v>
      </c>
      <c r="P26" s="341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0">
        <v>97.432500000000005</v>
      </c>
      <c r="X26" s="266"/>
      <c r="Y26" s="339">
        <v>97.432500000000005</v>
      </c>
      <c r="Z26" s="268" t="e">
        <f>_xll.qlSimpleQuoteSetValue(F26,Y26,Trigger)</f>
        <v>#N/A</v>
      </c>
      <c r="AA26" s="47"/>
      <c r="AB26" s="21"/>
      <c r="AC26" s="21"/>
      <c r="AD26" s="21"/>
      <c r="AE26" s="21"/>
      <c r="AF26" s="301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USDFUT3MH7ConvAdj_Quote#0002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USDFUT3MM7_Quote#0002</v>
      </c>
      <c r="G27" s="104" t="str">
        <f>_xll.ohRangeRetrieveError(F27)</f>
        <v/>
      </c>
      <c r="H27" s="140"/>
      <c r="J27" s="338"/>
      <c r="K27" s="344">
        <v>22</v>
      </c>
      <c r="L27" s="343" t="b">
        <v>1</v>
      </c>
      <c r="M27" s="264" t="str">
        <v>M7</v>
      </c>
      <c r="N27" s="342">
        <v>42907</v>
      </c>
      <c r="O27" s="264" t="str">
        <v>EDM7</v>
      </c>
      <c r="P27" s="341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0">
        <v>97.177499999999995</v>
      </c>
      <c r="X27" s="266"/>
      <c r="Y27" s="339">
        <v>97.177499999999995</v>
      </c>
      <c r="Z27" s="268" t="e">
        <f>_xll.qlSimpleQuoteSetValue(F27,Y27,Trigger)</f>
        <v>#N/A</v>
      </c>
      <c r="AA27" s="47"/>
      <c r="AB27" s="21"/>
      <c r="AC27" s="21"/>
      <c r="AD27" s="21"/>
      <c r="AE27" s="21"/>
      <c r="AF27" s="301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USDFUT3MM7ConvAdj_Quote#0002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USDFUT3MU7_Quote#0002</v>
      </c>
      <c r="G28" s="104" t="str">
        <f>_xll.ohRangeRetrieveError(F28)</f>
        <v/>
      </c>
      <c r="H28" s="140"/>
      <c r="J28" s="338"/>
      <c r="K28" s="344">
        <v>23</v>
      </c>
      <c r="L28" s="343" t="b">
        <v>1</v>
      </c>
      <c r="M28" s="264" t="str">
        <v>U7</v>
      </c>
      <c r="N28" s="342">
        <v>42998</v>
      </c>
      <c r="O28" s="264" t="str">
        <v>EDU7</v>
      </c>
      <c r="P28" s="341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0">
        <v>96.952500000000001</v>
      </c>
      <c r="X28" s="266"/>
      <c r="Y28" s="339">
        <v>96.952500000000001</v>
      </c>
      <c r="Z28" s="268" t="e">
        <f>_xll.qlSimpleQuoteSetValue(F28,Y28,Trigger)</f>
        <v>#N/A</v>
      </c>
      <c r="AA28" s="47"/>
      <c r="AB28" s="21"/>
      <c r="AC28" s="21"/>
      <c r="AD28" s="21"/>
      <c r="AE28" s="21"/>
      <c r="AF28" s="301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USDFUT3MU7ConvAdj_Quote#0002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USDFUT3MZ7_Quote#0002</v>
      </c>
      <c r="G29" s="104" t="str">
        <f>_xll.ohRangeRetrieveError(F29)</f>
        <v/>
      </c>
      <c r="H29" s="140"/>
      <c r="J29" s="338"/>
      <c r="K29" s="344">
        <v>24</v>
      </c>
      <c r="L29" s="343" t="b">
        <v>1</v>
      </c>
      <c r="M29" s="264" t="str">
        <v>Z7</v>
      </c>
      <c r="N29" s="342">
        <v>43089</v>
      </c>
      <c r="O29" s="264" t="str">
        <v>EDZ7</v>
      </c>
      <c r="P29" s="341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0">
        <v>96.732500000000002</v>
      </c>
      <c r="X29" s="266"/>
      <c r="Y29" s="339">
        <v>96.732500000000002</v>
      </c>
      <c r="Z29" s="268" t="e">
        <f>_xll.qlSimpleQuoteSetValue(F29,Y29,Trigger)</f>
        <v>#N/A</v>
      </c>
      <c r="AA29" s="47"/>
      <c r="AB29" s="21"/>
      <c r="AC29" s="21"/>
      <c r="AD29" s="21"/>
      <c r="AE29" s="21"/>
      <c r="AF29" s="301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USDFUT3MZ7ConvAdj_Quote#0002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USDFUT3MH8_Quote#0002</v>
      </c>
      <c r="G30" s="104" t="str">
        <f>_xll.ohRangeRetrieveError(F30)</f>
        <v/>
      </c>
      <c r="H30" s="140"/>
      <c r="J30" s="338"/>
      <c r="K30" s="344">
        <v>25</v>
      </c>
      <c r="L30" s="343" t="b">
        <v>1</v>
      </c>
      <c r="M30" s="264" t="str">
        <v>H8</v>
      </c>
      <c r="N30" s="342">
        <v>43180</v>
      </c>
      <c r="O30" s="264" t="str">
        <v>EDH8</v>
      </c>
      <c r="P30" s="341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0">
        <v>96.542500000000004</v>
      </c>
      <c r="X30" s="266"/>
      <c r="Y30" s="339">
        <v>96.542500000000004</v>
      </c>
      <c r="Z30" s="268" t="e">
        <f>_xll.qlSimpleQuoteSetValue(F30,Y30,Trigger)</f>
        <v>#N/A</v>
      </c>
      <c r="AA30" s="47"/>
      <c r="AB30" s="21"/>
      <c r="AC30" s="21"/>
      <c r="AD30" s="21"/>
      <c r="AE30" s="21"/>
      <c r="AF30" s="301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USDFUT3MH8ConvAdj_Quote#0002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USDFUT3MM8_Quote#0002</v>
      </c>
      <c r="G31" s="104" t="str">
        <f>_xll.ohRangeRetrieveError(F31)</f>
        <v/>
      </c>
      <c r="H31" s="140"/>
      <c r="J31" s="338"/>
      <c r="K31" s="344">
        <v>26</v>
      </c>
      <c r="L31" s="343" t="b">
        <v>1</v>
      </c>
      <c r="M31" s="264" t="str">
        <v>M8</v>
      </c>
      <c r="N31" s="342">
        <v>43271</v>
      </c>
      <c r="O31" s="264" t="str">
        <v>EDM8</v>
      </c>
      <c r="P31" s="341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0">
        <v>96.364999999999995</v>
      </c>
      <c r="X31" s="266"/>
      <c r="Y31" s="339">
        <v>96.364999999999995</v>
      </c>
      <c r="Z31" s="268" t="e">
        <f>_xll.qlSimpleQuoteSetValue(F31,Y31,Trigger)</f>
        <v>#N/A</v>
      </c>
      <c r="AA31" s="47"/>
      <c r="AB31" s="21"/>
      <c r="AC31" s="21"/>
      <c r="AD31" s="21"/>
      <c r="AE31" s="21"/>
      <c r="AF31" s="301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USDFUT3MM8ConvAdj_Quote#0002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USDFUT3MU8_Quote#0002</v>
      </c>
      <c r="G32" s="104" t="str">
        <f>_xll.ohRangeRetrieveError(F32)</f>
        <v/>
      </c>
      <c r="H32" s="140"/>
      <c r="J32" s="338"/>
      <c r="K32" s="344">
        <v>27</v>
      </c>
      <c r="L32" s="343" t="b">
        <v>1</v>
      </c>
      <c r="M32" s="264" t="str">
        <v>U8</v>
      </c>
      <c r="N32" s="342">
        <v>43362</v>
      </c>
      <c r="O32" s="264" t="str">
        <v>EDU8</v>
      </c>
      <c r="P32" s="341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0">
        <v>96.202500000000001</v>
      </c>
      <c r="X32" s="266"/>
      <c r="Y32" s="339">
        <v>96.202500000000001</v>
      </c>
      <c r="Z32" s="268" t="e">
        <f>_xll.qlSimpleQuoteSetValue(F32,Y32,Trigger)</f>
        <v>#N/A</v>
      </c>
      <c r="AA32" s="47"/>
      <c r="AB32" s="21"/>
      <c r="AC32" s="21"/>
      <c r="AD32" s="21"/>
      <c r="AE32" s="21"/>
      <c r="AF32" s="301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USDFUT3MU8ConvAdj_Quote#0002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USDFUT3MZ8_Quote#0002</v>
      </c>
      <c r="G33" s="104" t="str">
        <f>_xll.ohRangeRetrieveError(F33)</f>
        <v/>
      </c>
      <c r="H33" s="140"/>
      <c r="J33" s="338"/>
      <c r="K33" s="344">
        <v>28</v>
      </c>
      <c r="L33" s="343" t="b">
        <v>1</v>
      </c>
      <c r="M33" s="264" t="str">
        <v>Z8</v>
      </c>
      <c r="N33" s="342">
        <v>43453</v>
      </c>
      <c r="O33" s="264" t="str">
        <v>EDZ8</v>
      </c>
      <c r="P33" s="341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0">
        <v>96.052499999999995</v>
      </c>
      <c r="X33" s="266"/>
      <c r="Y33" s="339">
        <v>96.052499999999995</v>
      </c>
      <c r="Z33" s="268" t="e">
        <f>_xll.qlSimpleQuoteSetValue(F33,Y33,Trigger)</f>
        <v>#N/A</v>
      </c>
      <c r="AA33" s="47"/>
      <c r="AB33" s="21"/>
      <c r="AC33" s="21"/>
      <c r="AD33" s="21"/>
      <c r="AE33" s="21"/>
      <c r="AF33" s="301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USDFUT3MZ8ConvAdj_Quote#0002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USDFUT3MH9_Quote#0002</v>
      </c>
      <c r="G34" s="104" t="str">
        <f>_xll.ohRangeRetrieveError(F34)</f>
        <v/>
      </c>
      <c r="H34" s="140"/>
      <c r="J34" s="338"/>
      <c r="K34" s="344">
        <v>29</v>
      </c>
      <c r="L34" s="343" t="b">
        <v>1</v>
      </c>
      <c r="M34" s="264" t="str">
        <v>H9</v>
      </c>
      <c r="N34" s="342">
        <v>43544</v>
      </c>
      <c r="O34" s="264" t="str">
        <v>EDH9</v>
      </c>
      <c r="P34" s="341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0">
        <v>95.93</v>
      </c>
      <c r="X34" s="266"/>
      <c r="Y34" s="339">
        <v>95.93</v>
      </c>
      <c r="Z34" s="268" t="e">
        <f>_xll.qlSimpleQuoteSetValue(F34,Y34,Trigger)</f>
        <v>#N/A</v>
      </c>
      <c r="AA34" s="47"/>
      <c r="AB34" s="21"/>
      <c r="AC34" s="21"/>
      <c r="AD34" s="21"/>
      <c r="AE34" s="21"/>
      <c r="AF34" s="301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USDFUT3MH9ConvAdj_Quote#0002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USDFUT3MM9_Quote#0002</v>
      </c>
      <c r="G35" s="104" t="str">
        <f>_xll.ohRangeRetrieveError(F35)</f>
        <v/>
      </c>
      <c r="H35" s="140"/>
      <c r="J35" s="338"/>
      <c r="K35" s="344">
        <v>30</v>
      </c>
      <c r="L35" s="343" t="b">
        <v>1</v>
      </c>
      <c r="M35" s="264" t="str">
        <v>M9</v>
      </c>
      <c r="N35" s="342">
        <v>43635</v>
      </c>
      <c r="O35" s="264" t="str">
        <v>EDM9</v>
      </c>
      <c r="P35" s="341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0">
        <v>95.814999999999998</v>
      </c>
      <c r="X35" s="266"/>
      <c r="Y35" s="339">
        <v>95.814999999999998</v>
      </c>
      <c r="Z35" s="268" t="e">
        <f>_xll.qlSimpleQuoteSetValue(F35,Y35,Trigger)</f>
        <v>#N/A</v>
      </c>
      <c r="AA35" s="47"/>
      <c r="AB35" s="21"/>
      <c r="AC35" s="21"/>
      <c r="AD35" s="21"/>
      <c r="AE35" s="21"/>
      <c r="AF35" s="301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USDFUT3MM9ConvAdj_Quote#0002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USDFUT3MU9_Quote#0002</v>
      </c>
      <c r="G36" s="104" t="str">
        <f>_xll.ohRangeRetrieveError(F36)</f>
        <v/>
      </c>
      <c r="H36" s="140"/>
      <c r="J36" s="338"/>
      <c r="K36" s="344">
        <v>31</v>
      </c>
      <c r="L36" s="343" t="b">
        <v>1</v>
      </c>
      <c r="M36" s="264" t="str">
        <v>U9</v>
      </c>
      <c r="N36" s="342">
        <v>43726</v>
      </c>
      <c r="O36" s="264" t="str">
        <v>EDU9</v>
      </c>
      <c r="P36" s="341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0">
        <v>95.704999999999998</v>
      </c>
      <c r="X36" s="266"/>
      <c r="Y36" s="339">
        <v>95.704999999999998</v>
      </c>
      <c r="Z36" s="268" t="e">
        <f>_xll.qlSimpleQuoteSetValue(F36,Y36,Trigger)</f>
        <v>#N/A</v>
      </c>
      <c r="AA36" s="47"/>
      <c r="AB36" s="21"/>
      <c r="AC36" s="21"/>
      <c r="AD36" s="21"/>
      <c r="AE36" s="21"/>
      <c r="AF36" s="301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USDFUT3MU9ConvAdj_Quote#0002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USDFUT3MZ9_Quote#0002</v>
      </c>
      <c r="G37" s="104" t="str">
        <f>_xll.ohRangeRetrieveError(F37)</f>
        <v/>
      </c>
      <c r="H37" s="140"/>
      <c r="J37" s="338"/>
      <c r="K37" s="344">
        <v>32</v>
      </c>
      <c r="L37" s="343" t="b">
        <v>1</v>
      </c>
      <c r="M37" s="264" t="str">
        <v>Z9</v>
      </c>
      <c r="N37" s="342">
        <v>43817</v>
      </c>
      <c r="O37" s="264" t="str">
        <v>EDZ9</v>
      </c>
      <c r="P37" s="341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0">
        <v>95.602500000000006</v>
      </c>
      <c r="X37" s="266"/>
      <c r="Y37" s="339">
        <v>95.602500000000006</v>
      </c>
      <c r="Z37" s="268" t="e">
        <f>_xll.qlSimpleQuoteSetValue(F37,Y37,Trigger)</f>
        <v>#N/A</v>
      </c>
      <c r="AA37" s="47"/>
      <c r="AB37" s="21"/>
      <c r="AC37" s="21"/>
      <c r="AD37" s="21"/>
      <c r="AE37" s="21"/>
      <c r="AF37" s="301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USDFUT3MZ9ConvAdj_Quote#0002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USDFUT3MH0_Quote#0002</v>
      </c>
      <c r="G38" s="104" t="str">
        <f>_xll.ohRangeRetrieveError(F38)</f>
        <v/>
      </c>
      <c r="H38" s="140"/>
      <c r="J38" s="338"/>
      <c r="K38" s="344">
        <v>33</v>
      </c>
      <c r="L38" s="343" t="b">
        <v>1</v>
      </c>
      <c r="M38" s="264" t="str">
        <v>H0</v>
      </c>
      <c r="N38" s="342">
        <v>43908</v>
      </c>
      <c r="O38" s="264" t="str">
        <v>EDH0</v>
      </c>
      <c r="P38" s="341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0">
        <v>95.525000000000006</v>
      </c>
      <c r="X38" s="266"/>
      <c r="Y38" s="339">
        <v>95.525000000000006</v>
      </c>
      <c r="Z38" s="268" t="e">
        <f>_xll.qlSimpleQuoteSetValue(F38,Y38,Trigger)</f>
        <v>#N/A</v>
      </c>
      <c r="AA38" s="47"/>
      <c r="AB38" s="21"/>
      <c r="AC38" s="21"/>
      <c r="AD38" s="21"/>
      <c r="AE38" s="21"/>
      <c r="AF38" s="301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USDFUT3MH0ConvAdj_Quote#0002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USDFUT3MM0_Quote#0002</v>
      </c>
      <c r="G39" s="104" t="str">
        <f>_xll.ohRangeRetrieveError(F39)</f>
        <v/>
      </c>
      <c r="H39" s="140"/>
      <c r="J39" s="338"/>
      <c r="K39" s="344">
        <v>34</v>
      </c>
      <c r="L39" s="343" t="b">
        <v>1</v>
      </c>
      <c r="M39" s="264" t="str">
        <v>M0</v>
      </c>
      <c r="N39" s="342">
        <v>43999</v>
      </c>
      <c r="O39" s="264" t="str">
        <v>EDM0</v>
      </c>
      <c r="P39" s="341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0">
        <v>95.452500000000001</v>
      </c>
      <c r="X39" s="266"/>
      <c r="Y39" s="339">
        <v>95.452500000000001</v>
      </c>
      <c r="Z39" s="268" t="e">
        <f>_xll.qlSimpleQuoteSetValue(F39,Y39,Trigger)</f>
        <v>#N/A</v>
      </c>
      <c r="AA39" s="47"/>
      <c r="AB39" s="21"/>
      <c r="AC39" s="21"/>
      <c r="AD39" s="21"/>
      <c r="AE39" s="21"/>
      <c r="AF39" s="301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USDFUT3MM0ConvAdj_Quote#0002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USDFUT3MU0_Quote#0002</v>
      </c>
      <c r="G40" s="104" t="str">
        <f>_xll.ohRangeRetrieveError(F40)</f>
        <v/>
      </c>
      <c r="H40" s="140"/>
      <c r="J40" s="338"/>
      <c r="K40" s="344">
        <v>35</v>
      </c>
      <c r="L40" s="343" t="b">
        <v>1</v>
      </c>
      <c r="M40" s="264" t="str">
        <v>U0</v>
      </c>
      <c r="N40" s="342">
        <v>44090</v>
      </c>
      <c r="O40" s="264" t="str">
        <v>EDU0</v>
      </c>
      <c r="P40" s="341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0">
        <v>95.385000000000005</v>
      </c>
      <c r="X40" s="266"/>
      <c r="Y40" s="339">
        <v>95.385000000000005</v>
      </c>
      <c r="Z40" s="268" t="e">
        <f>_xll.qlSimpleQuoteSetValue(F40,Y40,Trigger)</f>
        <v>#N/A</v>
      </c>
      <c r="AA40" s="47"/>
      <c r="AB40" s="21"/>
      <c r="AC40" s="21"/>
      <c r="AD40" s="21"/>
      <c r="AE40" s="21"/>
      <c r="AF40" s="301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USDFUT3MU0ConvAdj_Quote#0002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USDFUT3MZ0_Quote#0002</v>
      </c>
      <c r="G41" s="104" t="str">
        <f>_xll.ohRangeRetrieveError(F41)</f>
        <v/>
      </c>
      <c r="H41" s="140"/>
      <c r="J41" s="338"/>
      <c r="K41" s="344">
        <v>36</v>
      </c>
      <c r="L41" s="343" t="b">
        <v>1</v>
      </c>
      <c r="M41" s="264" t="str">
        <v>Z0</v>
      </c>
      <c r="N41" s="342">
        <v>44181</v>
      </c>
      <c r="O41" s="264" t="str">
        <v>EDZ0</v>
      </c>
      <c r="P41" s="341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0">
        <v>95.317499999999995</v>
      </c>
      <c r="X41" s="266"/>
      <c r="Y41" s="339">
        <v>95.317499999999995</v>
      </c>
      <c r="Z41" s="268" t="e">
        <f>_xll.qlSimpleQuoteSetValue(F41,Y41,Trigger)</f>
        <v>#N/A</v>
      </c>
      <c r="AA41" s="47"/>
      <c r="AB41" s="21"/>
      <c r="AC41" s="21"/>
      <c r="AD41" s="21"/>
      <c r="AE41" s="21"/>
      <c r="AF41" s="301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USDFUT3MZ0ConvAdj_Quote#0002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USDFUT3MH1_Quote#0002</v>
      </c>
      <c r="G42" s="104" t="str">
        <f>_xll.ohRangeRetrieveError(F42)</f>
        <v/>
      </c>
      <c r="H42" s="140"/>
      <c r="J42" s="338"/>
      <c r="K42" s="344">
        <v>37</v>
      </c>
      <c r="L42" s="343" t="b">
        <v>1</v>
      </c>
      <c r="M42" s="264" t="str">
        <v>H1</v>
      </c>
      <c r="N42" s="342">
        <v>44272</v>
      </c>
      <c r="O42" s="264" t="str">
        <v>EDH1</v>
      </c>
      <c r="P42" s="341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0">
        <v>95.277500000000003</v>
      </c>
      <c r="X42" s="266"/>
      <c r="Y42" s="339">
        <v>95.277500000000003</v>
      </c>
      <c r="Z42" s="268" t="e">
        <f>_xll.qlSimpleQuoteSetValue(F42,Y42,Trigger)</f>
        <v>#N/A</v>
      </c>
      <c r="AA42" s="47"/>
      <c r="AB42" s="21"/>
      <c r="AC42" s="21"/>
      <c r="AD42" s="21"/>
      <c r="AE42" s="21"/>
      <c r="AF42" s="301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USDFUT3MH1ConvAdj_Quote#0002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USDFUT3MM1_Quote#0002</v>
      </c>
      <c r="G43" s="104" t="str">
        <f>_xll.ohRangeRetrieveError(F43)</f>
        <v/>
      </c>
      <c r="H43" s="140"/>
      <c r="J43" s="338"/>
      <c r="K43" s="344">
        <v>38</v>
      </c>
      <c r="L43" s="343" t="b">
        <v>1</v>
      </c>
      <c r="M43" s="264" t="str">
        <v>M1</v>
      </c>
      <c r="N43" s="342">
        <v>44363</v>
      </c>
      <c r="O43" s="264" t="str">
        <v>EDM1</v>
      </c>
      <c r="P43" s="341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0">
        <v>95.224999999999994</v>
      </c>
      <c r="X43" s="266"/>
      <c r="Y43" s="339">
        <v>95.224999999999994</v>
      </c>
      <c r="Z43" s="268" t="e">
        <f>_xll.qlSimpleQuoteSetValue(F43,Y43,Trigger)</f>
        <v>#N/A</v>
      </c>
      <c r="AA43" s="47"/>
      <c r="AB43" s="21"/>
      <c r="AC43" s="21"/>
      <c r="AD43" s="21"/>
      <c r="AE43" s="21"/>
      <c r="AF43" s="301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USDFUT3MM1ConvAdj_Quote#0002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USDFUT3MU1_Quote#0002</v>
      </c>
      <c r="G44" s="104" t="str">
        <f>_xll.ohRangeRetrieveError(F44)</f>
        <v/>
      </c>
      <c r="H44" s="140"/>
      <c r="J44" s="338"/>
      <c r="K44" s="344">
        <v>39</v>
      </c>
      <c r="L44" s="343" t="b">
        <v>1</v>
      </c>
      <c r="M44" s="264" t="str">
        <v>U1</v>
      </c>
      <c r="N44" s="342">
        <v>44454</v>
      </c>
      <c r="O44" s="264" t="str">
        <v>EDU1</v>
      </c>
      <c r="P44" s="341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0">
        <v>95.192499999999995</v>
      </c>
      <c r="X44" s="266"/>
      <c r="Y44" s="339">
        <v>95.192499999999995</v>
      </c>
      <c r="Z44" s="268" t="e">
        <f>_xll.qlSimpleQuoteSetValue(F44,Y44,Trigger)</f>
        <v>#N/A</v>
      </c>
      <c r="AA44" s="47"/>
      <c r="AB44" s="21"/>
      <c r="AC44" s="21"/>
      <c r="AD44" s="21"/>
      <c r="AE44" s="21"/>
      <c r="AF44" s="301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USDFUT3MU1ConvAdj_Quote#0002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USDFUT3MZ1_Quote#0002</v>
      </c>
      <c r="G45" s="104" t="str">
        <f>_xll.ohRangeRetrieveError(F45)</f>
        <v/>
      </c>
      <c r="H45" s="140"/>
      <c r="J45" s="338"/>
      <c r="K45" s="344">
        <v>40</v>
      </c>
      <c r="L45" s="343" t="b">
        <v>1</v>
      </c>
      <c r="M45" s="264" t="str">
        <v>Z1</v>
      </c>
      <c r="N45" s="342">
        <v>44545</v>
      </c>
      <c r="O45" s="264" t="str">
        <v>EDZ1</v>
      </c>
      <c r="P45" s="341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0">
        <v>95.137500000000003</v>
      </c>
      <c r="X45" s="266"/>
      <c r="Y45" s="339">
        <v>95.137500000000003</v>
      </c>
      <c r="Z45" s="268" t="e">
        <f>_xll.qlSimpleQuoteSetValue(F45,Y45,Trigger)</f>
        <v>#N/A</v>
      </c>
      <c r="AA45" s="47"/>
      <c r="AB45" s="21"/>
      <c r="AC45" s="21"/>
      <c r="AD45" s="21"/>
      <c r="AE45" s="21"/>
      <c r="AF45" s="301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USDFUT3MZ1ConvAdj_Quote#0002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USDFUT3MH2_Quote#0002</v>
      </c>
      <c r="G46" s="104" t="str">
        <f>_xll.ohRangeRetrieveError(F46)</f>
        <v/>
      </c>
      <c r="H46" s="140"/>
      <c r="J46" s="338"/>
      <c r="K46" s="344">
        <v>41</v>
      </c>
      <c r="L46" s="343" t="b">
        <v>1</v>
      </c>
      <c r="M46" s="264" t="str">
        <v>H2</v>
      </c>
      <c r="N46" s="342">
        <v>44636</v>
      </c>
      <c r="O46" s="264" t="str">
        <v>EDH2</v>
      </c>
      <c r="P46" s="341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0">
        <v>95.117500000000007</v>
      </c>
      <c r="X46" s="266"/>
      <c r="Y46" s="339">
        <v>95.117500000000007</v>
      </c>
      <c r="Z46" s="268" t="e">
        <f>_xll.qlSimpleQuoteSetValue(F46,Y46,Trigger)</f>
        <v>#N/A</v>
      </c>
      <c r="AA46" s="47"/>
      <c r="AB46" s="21"/>
      <c r="AC46" s="21"/>
      <c r="AD46" s="21"/>
      <c r="AE46" s="21"/>
      <c r="AF46" s="301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USDFUT3MH2ConvAdj_Quote#0002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USDFUT3MM2_Quote#0002</v>
      </c>
      <c r="G47" s="104" t="str">
        <f>_xll.ohRangeRetrieveError(F47)</f>
        <v/>
      </c>
      <c r="H47" s="140"/>
      <c r="J47" s="338"/>
      <c r="K47" s="337">
        <v>42</v>
      </c>
      <c r="L47" s="336" t="b">
        <v>1</v>
      </c>
      <c r="M47" s="277" t="str">
        <v>M2</v>
      </c>
      <c r="N47" s="335">
        <v>44727</v>
      </c>
      <c r="O47" s="277" t="str">
        <v>EDM2</v>
      </c>
      <c r="P47" s="334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3">
        <v>95.092500000000001</v>
      </c>
      <c r="X47" s="266"/>
      <c r="Y47" s="332">
        <v>95.092500000000001</v>
      </c>
      <c r="Z47" s="280" t="e">
        <f>_xll.qlSimpleQuoteSetValue(F47,Y47,Trigger)</f>
        <v>#N/A</v>
      </c>
      <c r="AA47" s="47"/>
      <c r="AB47" s="21"/>
      <c r="AC47" s="21"/>
      <c r="AD47" s="21"/>
      <c r="AE47" s="21"/>
      <c r="AF47" s="301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USDFUT3MM2ConvAdj_Quote#0002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1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20" priority="1" stopIfTrue="1" operator="greaterThan">
      <formula>0</formula>
    </cfRule>
    <cfRule type="cellIs" dxfId="19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180</v>
      </c>
      <c r="B1" s="156"/>
      <c r="C1" s="156"/>
      <c r="D1" s="155" t="s">
        <v>179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177</v>
      </c>
      <c r="C2" s="92" t="s">
        <v>176</v>
      </c>
      <c r="D2" s="92" t="s">
        <v>175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G4</v>
      </c>
      <c r="E3" s="142" t="str">
        <f t="shared" ref="E3:E34" si="0">Currency&amp;$D$1&amp;$E$1&amp;$D3&amp;QuoteSuffix</f>
        <v>USDIMMFRA6MG4_Quote</v>
      </c>
      <c r="F3" s="148" t="str">
        <f>_xll.qlSimpleQuote(E3,,PriceTickValue,Permanent,Trigger,ObjectOverwrite)</f>
        <v>USDIMMFRA6MG4_Quote#0002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H4</v>
      </c>
      <c r="E4" s="142" t="str">
        <f t="shared" si="0"/>
        <v>USDIMMFRA6MH4_Quote</v>
      </c>
      <c r="F4" s="141" t="str">
        <f>_xll.qlSimpleQuote(E4,,PriceTickValue,Permanent,Trigger,ObjectOverwrite)</f>
        <v>USDIMMFRA6MH4_Quote#0002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J4</v>
      </c>
      <c r="E5" s="142" t="str">
        <f t="shared" si="0"/>
        <v>USDIMMFRA6MJ4_Quote</v>
      </c>
      <c r="F5" s="141" t="str">
        <f>_xll.qlSimpleQuote(E5,,PriceTickValue,Permanent,Trigger,ObjectOverwrite)</f>
        <v>USDIMMFRA6MJ4_Quote#0002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K4</v>
      </c>
      <c r="E6" s="142" t="str">
        <f t="shared" si="0"/>
        <v>USDIMMFRA6MK4_Quote</v>
      </c>
      <c r="F6" s="141" t="str">
        <f>_xll.qlSimpleQuote(E6,,PriceTickValue,Permanent,Trigger,ObjectOverwrite)</f>
        <v>USDIMMFRA6MK4_Quote#0002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M4</v>
      </c>
      <c r="E7" s="142" t="str">
        <f t="shared" si="0"/>
        <v>USDIMMFRA6MM4_Quote</v>
      </c>
      <c r="F7" s="141" t="str">
        <f>_xll.qlSimpleQuote(E7,,PriceTickValue,Permanent,Trigger,ObjectOverwrite)</f>
        <v>USDIMMFRA6MM4_Quote#0002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N4</v>
      </c>
      <c r="E8" s="142" t="str">
        <f t="shared" si="0"/>
        <v>USDIMMFRA6MN4_Quote</v>
      </c>
      <c r="F8" s="141" t="str">
        <f>_xll.qlSimpleQuote(E8,,PriceTickValue,Permanent,Trigger,ObjectOverwrite)</f>
        <v>USDIMMFRA6MN4_Quote#0002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Q4</v>
      </c>
      <c r="E9" s="142" t="str">
        <f t="shared" si="0"/>
        <v>USDIMMFRA6MQ4_Quote</v>
      </c>
      <c r="F9" s="141" t="str">
        <f>_xll.qlSimpleQuote(E9,,PriceTickValue,Permanent,Trigger,ObjectOverwrite)</f>
        <v>USDIMMFRA6MQ4_Quote#0002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U4</v>
      </c>
      <c r="E10" s="142" t="str">
        <f t="shared" si="0"/>
        <v>USDIMMFRA6MU4_Quote</v>
      </c>
      <c r="F10" s="141" t="str">
        <f>_xll.qlSimpleQuote(E10,,PriceTickValue,Permanent,Trigger,ObjectOverwrite)</f>
        <v>USDIMMFRA6MU4_Quote#0002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V4</v>
      </c>
      <c r="E11" s="142" t="str">
        <f t="shared" si="0"/>
        <v>USDIMMFRA6MV4_Quote</v>
      </c>
      <c r="F11" s="141" t="str">
        <f>_xll.qlSimpleQuote(E11,,PriceTickValue,Permanent,Trigger,ObjectOverwrite)</f>
        <v>USDIMMFRA6MV4_Quote#0002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X4</v>
      </c>
      <c r="E12" s="142" t="str">
        <f t="shared" si="0"/>
        <v>USDIMMFRA6MX4_Quote</v>
      </c>
      <c r="F12" s="141" t="str">
        <f>_xll.qlSimpleQuote(E12,,PriceTickValue,Permanent,Trigger,ObjectOverwrite)</f>
        <v>USDIMMFRA6MX4_Quote#0002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Z4</v>
      </c>
      <c r="E13" s="142" t="str">
        <f t="shared" si="0"/>
        <v>USDIMMFRA6MZ4_Quote</v>
      </c>
      <c r="F13" s="141" t="str">
        <f>_xll.qlSimpleQuote(E13,,PriceTickValue,Permanent,Trigger,ObjectOverwrite)</f>
        <v>USDIMMFRA6MZ4_Quote#0002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F5</v>
      </c>
      <c r="E14" s="142" t="str">
        <f t="shared" si="0"/>
        <v>USDIMMFRA6MF5_Quote</v>
      </c>
      <c r="F14" s="141" t="str">
        <f>_xll.qlSimpleQuote(E14,,PriceTickValue,Permanent,Trigger,ObjectOverwrite)</f>
        <v>USDIMMFRA6MF5_Quote#0002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G5</v>
      </c>
      <c r="E15" s="142" t="str">
        <f t="shared" si="0"/>
        <v>USDIMMFRA6MG5_Quote</v>
      </c>
      <c r="F15" s="141" t="str">
        <f>_xll.qlSimpleQuote(E15,,PriceTickValue,Permanent,Trigger,ObjectOverwrite)</f>
        <v>USDIMMFRA6MG5_Quote#0002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H5</v>
      </c>
      <c r="E16" s="142" t="str">
        <f t="shared" si="0"/>
        <v>USDIMMFRA6MH5_Quote</v>
      </c>
      <c r="F16" s="141" t="str">
        <f>_xll.qlSimpleQuote(E16,,PriceTickValue,Permanent,Trigger,ObjectOverwrite)</f>
        <v>USDIMMFRA6MH5_Quote#0002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J5</v>
      </c>
      <c r="E17" s="142" t="str">
        <f t="shared" si="0"/>
        <v>USDIMMFRA6MJ5_Quote</v>
      </c>
      <c r="F17" s="141" t="str">
        <f>_xll.qlSimpleQuote(E17,,PriceTickValue,Permanent,Trigger,ObjectOverwrite)</f>
        <v>USDIMMFRA6MJ5_Quote#0002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K5</v>
      </c>
      <c r="E18" s="142" t="str">
        <f t="shared" si="0"/>
        <v>USDIMMFRA6MK5_Quote</v>
      </c>
      <c r="F18" s="141" t="str">
        <f>_xll.qlSimpleQuote(E18,,PriceTickValue,Permanent,Trigger,ObjectOverwrite)</f>
        <v>USDIMMFRA6MK5_Quote#0002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M5</v>
      </c>
      <c r="E19" s="142" t="str">
        <f t="shared" si="0"/>
        <v>USDIMMFRA6MM5_Quote</v>
      </c>
      <c r="F19" s="141" t="str">
        <f>_xll.qlSimpleQuote(E19,,PriceTickValue,Permanent,Trigger,ObjectOverwrite)</f>
        <v>USDIMMFRA6MM5_Quote#0002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N5</v>
      </c>
      <c r="E20" s="142" t="str">
        <f t="shared" si="0"/>
        <v>USDIMMFRA6MN5_Quote</v>
      </c>
      <c r="F20" s="141" t="str">
        <f>_xll.qlSimpleQuote(E20,,PriceTickValue,Permanent,Trigger,ObjectOverwrite)</f>
        <v>USDIMMFRA6MN5_Quote#0002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Q5</v>
      </c>
      <c r="E21" s="142" t="str">
        <f t="shared" si="0"/>
        <v>USDIMMFRA6MQ5_Quote</v>
      </c>
      <c r="F21" s="141" t="str">
        <f>_xll.qlSimpleQuote(E21,,PriceTickValue,Permanent,Trigger,ObjectOverwrite)</f>
        <v>USDIMMFRA6MQ5_Quote#0002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U5</v>
      </c>
      <c r="E22" s="142" t="str">
        <f t="shared" si="0"/>
        <v>USDIMMFRA6MU5_Quote</v>
      </c>
      <c r="F22" s="141" t="str">
        <f>_xll.qlSimpleQuote(E22,,PriceTickValue,Permanent,Trigger,ObjectOverwrite)</f>
        <v>USDIMMFRA6MU5_Quote#0002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V5</v>
      </c>
      <c r="E23" s="142" t="str">
        <f t="shared" si="0"/>
        <v>USDIMMFRA6MV5_Quote</v>
      </c>
      <c r="F23" s="141" t="str">
        <f>_xll.qlSimpleQuote(E23,,PriceTickValue,Permanent,Trigger,ObjectOverwrite)</f>
        <v>USDIMMFRA6MV5_Quote#0002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X5</v>
      </c>
      <c r="E24" s="142" t="str">
        <f t="shared" si="0"/>
        <v>USDIMMFRA6MX5_Quote</v>
      </c>
      <c r="F24" s="141" t="str">
        <f>_xll.qlSimpleQuote(E24,,PriceTickValue,Permanent,Trigger,ObjectOverwrite)</f>
        <v>USDIMMFRA6MX5_Quote#0002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Z5</v>
      </c>
      <c r="E25" s="142" t="str">
        <f t="shared" si="0"/>
        <v>USDIMMFRA6MZ5_Quote</v>
      </c>
      <c r="F25" s="141" t="str">
        <f>_xll.qlSimpleQuote(E25,,PriceTickValue,Permanent,Trigger,ObjectOverwrite)</f>
        <v>USDIMMFRA6MZ5_Quote#0002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F6</v>
      </c>
      <c r="E26" s="142" t="str">
        <f t="shared" si="0"/>
        <v>USDIMMFRA6MF6_Quote</v>
      </c>
      <c r="F26" s="141" t="str">
        <f>_xll.qlSimpleQuote(E26,,PriceTickValue,Permanent,Trigger,ObjectOverwrite)</f>
        <v>USDIMMFRA6MF6_Quote#0002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G6</v>
      </c>
      <c r="E27" s="142" t="str">
        <f t="shared" si="0"/>
        <v>USDIMMFRA6MG6_Quote</v>
      </c>
      <c r="F27" s="141" t="str">
        <f>_xll.qlSimpleQuote(E27,,PriceTickValue,Permanent,Trigger,ObjectOverwrite)</f>
        <v>USDIMMFRA6MG6_Quote#0002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H6</v>
      </c>
      <c r="E28" s="142" t="str">
        <f t="shared" si="0"/>
        <v>USDIMMFRA6MH6_Quote</v>
      </c>
      <c r="F28" s="141" t="str">
        <f>_xll.qlSimpleQuote(E28,,PriceTickValue,Permanent,Trigger,ObjectOverwrite)</f>
        <v>USDIMMFRA6MH6_Quote#0002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J6</v>
      </c>
      <c r="E29" s="142" t="str">
        <f t="shared" si="0"/>
        <v>USDIMMFRA6MJ6_Quote</v>
      </c>
      <c r="F29" s="141" t="str">
        <f>_xll.qlSimpleQuote(E29,,PriceTickValue,Permanent,Trigger,ObjectOverwrite)</f>
        <v>USDIMMFRA6MJ6_Quote#0002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K6</v>
      </c>
      <c r="E30" s="142" t="str">
        <f t="shared" si="0"/>
        <v>USDIMMFRA6MK6_Quote</v>
      </c>
      <c r="F30" s="141" t="str">
        <f>_xll.qlSimpleQuote(E30,,PriceTickValue,Permanent,Trigger,ObjectOverwrite)</f>
        <v>USDIMMFRA6MK6_Quote#0002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M6</v>
      </c>
      <c r="E31" s="142" t="str">
        <f t="shared" si="0"/>
        <v>USDIMMFRA6MM6_Quote</v>
      </c>
      <c r="F31" s="141" t="str">
        <f>_xll.qlSimpleQuote(E31,,PriceTickValue,Permanent,Trigger,ObjectOverwrite)</f>
        <v>USDIMMFRA6MM6_Quote#0002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N6</v>
      </c>
      <c r="E32" s="142" t="str">
        <f t="shared" si="0"/>
        <v>USDIMMFRA6MN6_Quote</v>
      </c>
      <c r="F32" s="141" t="str">
        <f>_xll.qlSimpleQuote(E32,,PriceTickValue,Permanent,Trigger,ObjectOverwrite)</f>
        <v>USDIMMFRA6MN6_Quote#0002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Q6</v>
      </c>
      <c r="E33" s="142" t="str">
        <f t="shared" si="0"/>
        <v>USDIMMFRA6MQ6_Quote</v>
      </c>
      <c r="F33" s="141" t="str">
        <f>_xll.qlSimpleQuote(E33,,PriceTickValue,Permanent,Trigger,ObjectOverwrite)</f>
        <v>USDIMMFRA6MQ6_Quote#0002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U6</v>
      </c>
      <c r="E34" s="142" t="str">
        <f t="shared" si="0"/>
        <v>USDIMMFRA6MU6_Quote</v>
      </c>
      <c r="F34" s="141" t="str">
        <f>_xll.qlSimpleQuote(E34,,PriceTickValue,Permanent,Trigger,ObjectOverwrite)</f>
        <v>USDIMMFRA6MU6_Quote#0002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V6</v>
      </c>
      <c r="E35" s="142" t="str">
        <f t="shared" ref="E35:E66" si="1">Currency&amp;$D$1&amp;$E$1&amp;$D35&amp;QuoteSuffix</f>
        <v>USDIMMFRA6MV6_Quote</v>
      </c>
      <c r="F35" s="141" t="str">
        <f>_xll.qlSimpleQuote(E35,,PriceTickValue,Permanent,Trigger,ObjectOverwrite)</f>
        <v>USDIMMFRA6MV6_Quote#0002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X6</v>
      </c>
      <c r="E36" s="142" t="str">
        <f t="shared" si="1"/>
        <v>USDIMMFRA6MX6_Quote</v>
      </c>
      <c r="F36" s="141" t="str">
        <f>_xll.qlSimpleQuote(E36,,PriceTickValue,Permanent,Trigger,ObjectOverwrite)</f>
        <v>USDIMMFRA6MX6_Quote#0002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Z6</v>
      </c>
      <c r="E37" s="142" t="str">
        <f t="shared" si="1"/>
        <v>USDIMMFRA6MZ6_Quote</v>
      </c>
      <c r="F37" s="141" t="str">
        <f>_xll.qlSimpleQuote(E37,,PriceTickValue,Permanent,Trigger,ObjectOverwrite)</f>
        <v>USDIMMFRA6MZ6_Quote#0002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F7</v>
      </c>
      <c r="E38" s="142" t="str">
        <f t="shared" si="1"/>
        <v>USDIMMFRA6MF7_Quote</v>
      </c>
      <c r="F38" s="141" t="str">
        <f>_xll.qlSimpleQuote(E38,,PriceTickValue,Permanent,Trigger,ObjectOverwrite)</f>
        <v>USDIMMFRA6MF7_Quote#0002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G7</v>
      </c>
      <c r="E39" s="142" t="str">
        <f t="shared" si="1"/>
        <v>USDIMMFRA6MG7_Quote</v>
      </c>
      <c r="F39" s="141" t="str">
        <f>_xll.qlSimpleQuote(E39,,PriceTickValue,Permanent,Trigger,ObjectOverwrite)</f>
        <v>USDIMMFRA6MG7_Quote#0002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H7</v>
      </c>
      <c r="E40" s="142" t="str">
        <f t="shared" si="1"/>
        <v>USDIMMFRA6MH7_Quote</v>
      </c>
      <c r="F40" s="141" t="str">
        <f>_xll.qlSimpleQuote(E40,,PriceTickValue,Permanent,Trigger,ObjectOverwrite)</f>
        <v>USDIMMFRA6MH7_Quote#0002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J7</v>
      </c>
      <c r="E41" s="142" t="str">
        <f t="shared" si="1"/>
        <v>USDIMMFRA6MJ7_Quote</v>
      </c>
      <c r="F41" s="141" t="str">
        <f>_xll.qlSimpleQuote(E41,,PriceTickValue,Permanent,Trigger,ObjectOverwrite)</f>
        <v>USDIMMFRA6MJ7_Quote#0002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K7</v>
      </c>
      <c r="E42" s="142" t="str">
        <f t="shared" si="1"/>
        <v>USDIMMFRA6MK7_Quote</v>
      </c>
      <c r="F42" s="141" t="str">
        <f>_xll.qlSimpleQuote(E42,,PriceTickValue,Permanent,Trigger,ObjectOverwrite)</f>
        <v>USDIMMFRA6MK7_Quote#0002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M7</v>
      </c>
      <c r="E43" s="142" t="str">
        <f t="shared" si="1"/>
        <v>USDIMMFRA6MM7_Quote</v>
      </c>
      <c r="F43" s="141" t="str">
        <f>_xll.qlSimpleQuote(E43,,PriceTickValue,Permanent,Trigger,ObjectOverwrite)</f>
        <v>USDIMMFRA6MM7_Quote#0002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N7</v>
      </c>
      <c r="E44" s="142" t="str">
        <f t="shared" si="1"/>
        <v>USDIMMFRA6MN7_Quote</v>
      </c>
      <c r="F44" s="141" t="str">
        <f>_xll.qlSimpleQuote(E44,,PriceTickValue,Permanent,Trigger,ObjectOverwrite)</f>
        <v>USDIMMFRA6MN7_Quote#0002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Q7</v>
      </c>
      <c r="E45" s="142" t="str">
        <f t="shared" si="1"/>
        <v>USDIMMFRA6MQ7_Quote</v>
      </c>
      <c r="F45" s="141" t="str">
        <f>_xll.qlSimpleQuote(E45,,PriceTickValue,Permanent,Trigger,ObjectOverwrite)</f>
        <v>USDIMMFRA6MQ7_Quote#0002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U7</v>
      </c>
      <c r="E46" s="142" t="str">
        <f t="shared" si="1"/>
        <v>USDIMMFRA6MU7_Quote</v>
      </c>
      <c r="F46" s="141" t="str">
        <f>_xll.qlSimpleQuote(E46,,PriceTickValue,Permanent,Trigger,ObjectOverwrite)</f>
        <v>USDIMMFRA6MU7_Quote#0002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V7</v>
      </c>
      <c r="E47" s="142" t="str">
        <f t="shared" si="1"/>
        <v>USDIMMFRA6MV7_Quote</v>
      </c>
      <c r="F47" s="141" t="str">
        <f>_xll.qlSimpleQuote(E47,,PriceTickValue,Permanent,Trigger,ObjectOverwrite)</f>
        <v>USDIMMFRA6MV7_Quote#0002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X7</v>
      </c>
      <c r="E48" s="142" t="str">
        <f t="shared" si="1"/>
        <v>USDIMMFRA6MX7_Quote</v>
      </c>
      <c r="F48" s="141" t="str">
        <f>_xll.qlSimpleQuote(E48,,PriceTickValue,Permanent,Trigger,ObjectOverwrite)</f>
        <v>USDIMMFRA6MX7_Quote#0002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Z7</v>
      </c>
      <c r="E49" s="142" t="str">
        <f t="shared" si="1"/>
        <v>USDIMMFRA6MZ7_Quote</v>
      </c>
      <c r="F49" s="141" t="str">
        <f>_xll.qlSimpleQuote(E49,,PriceTickValue,Permanent,Trigger,ObjectOverwrite)</f>
        <v>USDIMMFRA6MZ7_Quote#0002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F8</v>
      </c>
      <c r="E50" s="142" t="str">
        <f t="shared" si="1"/>
        <v>USDIMMFRA6MF8_Quote</v>
      </c>
      <c r="F50" s="141" t="str">
        <f>_xll.qlSimpleQuote(E50,,PriceTickValue,Permanent,Trigger,ObjectOverwrite)</f>
        <v>USDIMMFRA6MF8_Quote#0002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G8</v>
      </c>
      <c r="E51" s="142" t="str">
        <f t="shared" si="1"/>
        <v>USDIMMFRA6MG8_Quote</v>
      </c>
      <c r="F51" s="141" t="str">
        <f>_xll.qlSimpleQuote(E51,,PriceTickValue,Permanent,Trigger,ObjectOverwrite)</f>
        <v>USDIMMFRA6MG8_Quote#0002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H8</v>
      </c>
      <c r="E52" s="142" t="str">
        <f t="shared" si="1"/>
        <v>USDIMMFRA6MH8_Quote</v>
      </c>
      <c r="F52" s="141" t="str">
        <f>_xll.qlSimpleQuote(E52,,PriceTickValue,Permanent,Trigger,ObjectOverwrite)</f>
        <v>USDIMMFRA6MH8_Quote#0002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J8</v>
      </c>
      <c r="E53" s="142" t="str">
        <f t="shared" si="1"/>
        <v>USDIMMFRA6MJ8_Quote</v>
      </c>
      <c r="F53" s="141" t="str">
        <f>_xll.qlSimpleQuote(E53,,PriceTickValue,Permanent,Trigger,ObjectOverwrite)</f>
        <v>USDIMMFRA6MJ8_Quote#0002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K8</v>
      </c>
      <c r="E54" s="142" t="str">
        <f t="shared" si="1"/>
        <v>USDIMMFRA6MK8_Quote</v>
      </c>
      <c r="F54" s="141" t="str">
        <f>_xll.qlSimpleQuote(E54,,PriceTickValue,Permanent,Trigger,ObjectOverwrite)</f>
        <v>USDIMMFRA6MK8_Quote#0002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M8</v>
      </c>
      <c r="E55" s="142" t="str">
        <f t="shared" si="1"/>
        <v>USDIMMFRA6MM8_Quote</v>
      </c>
      <c r="F55" s="141" t="str">
        <f>_xll.qlSimpleQuote(E55,,PriceTickValue,Permanent,Trigger,ObjectOverwrite)</f>
        <v>USDIMMFRA6MM8_Quote#0002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N8</v>
      </c>
      <c r="E56" s="142" t="str">
        <f t="shared" si="1"/>
        <v>USDIMMFRA6MN8_Quote</v>
      </c>
      <c r="F56" s="141" t="str">
        <f>_xll.qlSimpleQuote(E56,,PriceTickValue,Permanent,Trigger,ObjectOverwrite)</f>
        <v>USDIMMFRA6MN8_Quote#0002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Q8</v>
      </c>
      <c r="E57" s="142" t="str">
        <f t="shared" si="1"/>
        <v>USDIMMFRA6MQ8_Quote</v>
      </c>
      <c r="F57" s="141" t="str">
        <f>_xll.qlSimpleQuote(E57,,PriceTickValue,Permanent,Trigger,ObjectOverwrite)</f>
        <v>USDIMMFRA6MQ8_Quote#0002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U8</v>
      </c>
      <c r="E58" s="142" t="str">
        <f t="shared" si="1"/>
        <v>USDIMMFRA6MU8_Quote</v>
      </c>
      <c r="F58" s="141" t="str">
        <f>_xll.qlSimpleQuote(E58,,PriceTickValue,Permanent,Trigger,ObjectOverwrite)</f>
        <v>USDIMMFRA6MU8_Quote#0002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V8</v>
      </c>
      <c r="E59" s="142" t="str">
        <f t="shared" si="1"/>
        <v>USDIMMFRA6MV8_Quote</v>
      </c>
      <c r="F59" s="141" t="str">
        <f>_xll.qlSimpleQuote(E59,,PriceTickValue,Permanent,Trigger,ObjectOverwrite)</f>
        <v>USDIMMFRA6MV8_Quote#0002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X8</v>
      </c>
      <c r="E60" s="142" t="str">
        <f t="shared" si="1"/>
        <v>USDIMMFRA6MX8_Quote</v>
      </c>
      <c r="F60" s="141" t="str">
        <f>_xll.qlSimpleQuote(E60,,PriceTickValue,Permanent,Trigger,ObjectOverwrite)</f>
        <v>USDIMMFRA6MX8_Quote#0002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Z8</v>
      </c>
      <c r="E61" s="142" t="str">
        <f t="shared" si="1"/>
        <v>USDIMMFRA6MZ8_Quote</v>
      </c>
      <c r="F61" s="141" t="str">
        <f>_xll.qlSimpleQuote(E61,,PriceTickValue,Permanent,Trigger,ObjectOverwrite)</f>
        <v>USDIMMFRA6MZ8_Quote#0002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F9</v>
      </c>
      <c r="E62" s="142" t="str">
        <f t="shared" si="1"/>
        <v>USDIMMFRA6MF9_Quote</v>
      </c>
      <c r="F62" s="141" t="str">
        <f>_xll.qlSimpleQuote(E62,,PriceTickValue,Permanent,Trigger,ObjectOverwrite)</f>
        <v>USDIMMFRA6MF9_Quote#0002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G9</v>
      </c>
      <c r="E63" s="142" t="str">
        <f t="shared" si="1"/>
        <v>USDIMMFRA6MG9_Quote</v>
      </c>
      <c r="F63" s="141" t="str">
        <f>_xll.qlSimpleQuote(E63,,PriceTickValue,Permanent,Trigger,ObjectOverwrite)</f>
        <v>USDIMMFRA6MG9_Quote#0002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H9</v>
      </c>
      <c r="E64" s="142" t="str">
        <f t="shared" si="1"/>
        <v>USDIMMFRA6MH9_Quote</v>
      </c>
      <c r="F64" s="141" t="str">
        <f>_xll.qlSimpleQuote(E64,,PriceTickValue,Permanent,Trigger,ObjectOverwrite)</f>
        <v>USDIMMFRA6MH9_Quote#0002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J9</v>
      </c>
      <c r="E65" s="142" t="str">
        <f t="shared" si="1"/>
        <v>USDIMMFRA6MJ9_Quote</v>
      </c>
      <c r="F65" s="141" t="str">
        <f>_xll.qlSimpleQuote(E65,,PriceTickValue,Permanent,Trigger,ObjectOverwrite)</f>
        <v>USDIMMFRA6MJ9_Quote#0002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K9</v>
      </c>
      <c r="E66" s="142" t="str">
        <f t="shared" si="1"/>
        <v>USDIMMFRA6MK9_Quote</v>
      </c>
      <c r="F66" s="141" t="str">
        <f>_xll.qlSimpleQuote(E66,,PriceTickValue,Permanent,Trigger,ObjectOverwrite)</f>
        <v>USDIMMFRA6MK9_Quote#0002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M9</v>
      </c>
      <c r="E67" s="142" t="str">
        <f t="shared" ref="E67:E98" si="2">Currency&amp;$D$1&amp;$E$1&amp;$D67&amp;QuoteSuffix</f>
        <v>USDIMMFRA6MM9_Quote</v>
      </c>
      <c r="F67" s="141" t="str">
        <f>_xll.qlSimpleQuote(E67,,PriceTickValue,Permanent,Trigger,ObjectOverwrite)</f>
        <v>USDIMMFRA6MM9_Quote#0002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N9</v>
      </c>
      <c r="E68" s="142" t="str">
        <f t="shared" si="2"/>
        <v>USDIMMFRA6MN9_Quote</v>
      </c>
      <c r="F68" s="141" t="str">
        <f>_xll.qlSimpleQuote(E68,,PriceTickValue,Permanent,Trigger,ObjectOverwrite)</f>
        <v>USDIMMFRA6MN9_Quote#0002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Q9</v>
      </c>
      <c r="E69" s="142" t="str">
        <f t="shared" si="2"/>
        <v>USDIMMFRA6MQ9_Quote</v>
      </c>
      <c r="F69" s="141" t="str">
        <f>_xll.qlSimpleQuote(E69,,PriceTickValue,Permanent,Trigger,ObjectOverwrite)</f>
        <v>USDIMMFRA6MQ9_Quote#0002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U9</v>
      </c>
      <c r="E70" s="142" t="str">
        <f t="shared" si="2"/>
        <v>USDIMMFRA6MU9_Quote</v>
      </c>
      <c r="F70" s="141" t="str">
        <f>_xll.qlSimpleQuote(E70,,PriceTickValue,Permanent,Trigger,ObjectOverwrite)</f>
        <v>USDIMMFRA6MU9_Quote#0002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V9</v>
      </c>
      <c r="E71" s="142" t="str">
        <f t="shared" si="2"/>
        <v>USDIMMFRA6MV9_Quote</v>
      </c>
      <c r="F71" s="141" t="str">
        <f>_xll.qlSimpleQuote(E71,,PriceTickValue,Permanent,Trigger,ObjectOverwrite)</f>
        <v>USDIMMFRA6MV9_Quote#0002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X9</v>
      </c>
      <c r="E72" s="142" t="str">
        <f t="shared" si="2"/>
        <v>USDIMMFRA6MX9_Quote</v>
      </c>
      <c r="F72" s="141" t="str">
        <f>_xll.qlSimpleQuote(E72,,PriceTickValue,Permanent,Trigger,ObjectOverwrite)</f>
        <v>USDIMMFRA6MX9_Quote#0002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Z9</v>
      </c>
      <c r="E73" s="142" t="str">
        <f t="shared" si="2"/>
        <v>USDIMMFRA6MZ9_Quote</v>
      </c>
      <c r="F73" s="141" t="str">
        <f>_xll.qlSimpleQuote(E73,,PriceTickValue,Permanent,Trigger,ObjectOverwrite)</f>
        <v>USDIMMFRA6MZ9_Quote#0002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F0</v>
      </c>
      <c r="E74" s="142" t="str">
        <f t="shared" si="2"/>
        <v>USDIMMFRA6MF0_Quote</v>
      </c>
      <c r="F74" s="141" t="str">
        <f>_xll.qlSimpleQuote(E74,,PriceTickValue,Permanent,Trigger,ObjectOverwrite)</f>
        <v>USDIMMFRA6MF0_Quote#0002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G0</v>
      </c>
      <c r="E75" s="142" t="str">
        <f t="shared" si="2"/>
        <v>USDIMMFRA6MG0_Quote</v>
      </c>
      <c r="F75" s="141" t="str">
        <f>_xll.qlSimpleQuote(E75,,PriceTickValue,Permanent,Trigger,ObjectOverwrite)</f>
        <v>USDIMMFRA6MG0_Quote#0002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H0</v>
      </c>
      <c r="E76" s="142" t="str">
        <f t="shared" si="2"/>
        <v>USDIMMFRA6MH0_Quote</v>
      </c>
      <c r="F76" s="141" t="str">
        <f>_xll.qlSimpleQuote(E76,,PriceTickValue,Permanent,Trigger,ObjectOverwrite)</f>
        <v>USDIMMFRA6MH0_Quote#0002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J0</v>
      </c>
      <c r="E77" s="142" t="str">
        <f t="shared" si="2"/>
        <v>USDIMMFRA6MJ0_Quote</v>
      </c>
      <c r="F77" s="141" t="str">
        <f>_xll.qlSimpleQuote(E77,,PriceTickValue,Permanent,Trigger,ObjectOverwrite)</f>
        <v>USDIMMFRA6MJ0_Quote#0002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K0</v>
      </c>
      <c r="E78" s="142" t="str">
        <f t="shared" si="2"/>
        <v>USDIMMFRA6MK0_Quote</v>
      </c>
      <c r="F78" s="141" t="str">
        <f>_xll.qlSimpleQuote(E78,,PriceTickValue,Permanent,Trigger,ObjectOverwrite)</f>
        <v>USDIMMFRA6MK0_Quote#0002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M0</v>
      </c>
      <c r="E79" s="142" t="str">
        <f t="shared" si="2"/>
        <v>USDIMMFRA6MM0_Quote</v>
      </c>
      <c r="F79" s="141" t="str">
        <f>_xll.qlSimpleQuote(E79,,PriceTickValue,Permanent,Trigger,ObjectOverwrite)</f>
        <v>USDIMMFRA6MM0_Quote#0002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N0</v>
      </c>
      <c r="E80" s="142" t="str">
        <f t="shared" si="2"/>
        <v>USDIMMFRA6MN0_Quote</v>
      </c>
      <c r="F80" s="141" t="str">
        <f>_xll.qlSimpleQuote(E80,,PriceTickValue,Permanent,Trigger,ObjectOverwrite)</f>
        <v>USDIMMFRA6MN0_Quote#0002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Q0</v>
      </c>
      <c r="E81" s="142" t="str">
        <f t="shared" si="2"/>
        <v>USDIMMFRA6MQ0_Quote</v>
      </c>
      <c r="F81" s="141" t="str">
        <f>_xll.qlSimpleQuote(E81,,PriceTickValue,Permanent,Trigger,ObjectOverwrite)</f>
        <v>USDIMMFRA6MQ0_Quote#0002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U0</v>
      </c>
      <c r="E82" s="142" t="str">
        <f t="shared" si="2"/>
        <v>USDIMMFRA6MU0_Quote</v>
      </c>
      <c r="F82" s="141" t="str">
        <f>_xll.qlSimpleQuote(E82,,PriceTickValue,Permanent,Trigger,ObjectOverwrite)</f>
        <v>USDIMMFRA6MU0_Quote#0002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V0</v>
      </c>
      <c r="E83" s="142" t="str">
        <f t="shared" si="2"/>
        <v>USDIMMFRA6MV0_Quote</v>
      </c>
      <c r="F83" s="141" t="str">
        <f>_xll.qlSimpleQuote(E83,,PriceTickValue,Permanent,Trigger,ObjectOverwrite)</f>
        <v>USDIMMFRA6MV0_Quote#0002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X0</v>
      </c>
      <c r="E84" s="142" t="str">
        <f t="shared" si="2"/>
        <v>USDIMMFRA6MX0_Quote</v>
      </c>
      <c r="F84" s="141" t="str">
        <f>_xll.qlSimpleQuote(E84,,PriceTickValue,Permanent,Trigger,ObjectOverwrite)</f>
        <v>USDIMMFRA6MX0_Quote#0002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Z0</v>
      </c>
      <c r="E85" s="142" t="str">
        <f t="shared" si="2"/>
        <v>USDIMMFRA6MZ0_Quote</v>
      </c>
      <c r="F85" s="141" t="str">
        <f>_xll.qlSimpleQuote(E85,,PriceTickValue,Permanent,Trigger,ObjectOverwrite)</f>
        <v>USDIMMFRA6MZ0_Quote#0002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F1</v>
      </c>
      <c r="E86" s="142" t="str">
        <f t="shared" si="2"/>
        <v>USDIMMFRA6MF1_Quote</v>
      </c>
      <c r="F86" s="141" t="str">
        <f>_xll.qlSimpleQuote(E86,,PriceTickValue,Permanent,Trigger,ObjectOverwrite)</f>
        <v>USDIMMFRA6MF1_Quote#0002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G1</v>
      </c>
      <c r="E87" s="142" t="str">
        <f t="shared" si="2"/>
        <v>USDIMMFRA6MG1_Quote</v>
      </c>
      <c r="F87" s="141" t="str">
        <f>_xll.qlSimpleQuote(E87,,PriceTickValue,Permanent,Trigger,ObjectOverwrite)</f>
        <v>USDIMMFRA6MG1_Quote#0002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H1</v>
      </c>
      <c r="E88" s="142" t="str">
        <f t="shared" si="2"/>
        <v>USDIMMFRA6MH1_Quote</v>
      </c>
      <c r="F88" s="141" t="str">
        <f>_xll.qlSimpleQuote(E88,,PriceTickValue,Permanent,Trigger,ObjectOverwrite)</f>
        <v>USDIMMFRA6MH1_Quote#0002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J1</v>
      </c>
      <c r="E89" s="142" t="str">
        <f t="shared" si="2"/>
        <v>USDIMMFRA6MJ1_Quote</v>
      </c>
      <c r="F89" s="141" t="str">
        <f>_xll.qlSimpleQuote(E89,,PriceTickValue,Permanent,Trigger,ObjectOverwrite)</f>
        <v>USDIMMFRA6MJ1_Quote#0002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K1</v>
      </c>
      <c r="E90" s="142" t="str">
        <f t="shared" si="2"/>
        <v>USDIMMFRA6MK1_Quote</v>
      </c>
      <c r="F90" s="141" t="str">
        <f>_xll.qlSimpleQuote(E90,,PriceTickValue,Permanent,Trigger,ObjectOverwrite)</f>
        <v>USDIMMFRA6MK1_Quote#0002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M1</v>
      </c>
      <c r="E91" s="142" t="str">
        <f t="shared" si="2"/>
        <v>USDIMMFRA6MM1_Quote</v>
      </c>
      <c r="F91" s="141" t="str">
        <f>_xll.qlSimpleQuote(E91,,PriceTickValue,Permanent,Trigger,ObjectOverwrite)</f>
        <v>USDIMMFRA6MM1_Quote#0002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N1</v>
      </c>
      <c r="E92" s="142" t="str">
        <f t="shared" si="2"/>
        <v>USDIMMFRA6MN1_Quote</v>
      </c>
      <c r="F92" s="141" t="str">
        <f>_xll.qlSimpleQuote(E92,,PriceTickValue,Permanent,Trigger,ObjectOverwrite)</f>
        <v>USDIMMFRA6MN1_Quote#0002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Q1</v>
      </c>
      <c r="E93" s="142" t="str">
        <f t="shared" si="2"/>
        <v>USDIMMFRA6MQ1_Quote</v>
      </c>
      <c r="F93" s="141" t="str">
        <f>_xll.qlSimpleQuote(E93,,PriceTickValue,Permanent,Trigger,ObjectOverwrite)</f>
        <v>USDIMMFRA6MQ1_Quote#0002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U1</v>
      </c>
      <c r="E94" s="142" t="str">
        <f t="shared" si="2"/>
        <v>USDIMMFRA6MU1_Quote</v>
      </c>
      <c r="F94" s="141" t="str">
        <f>_xll.qlSimpleQuote(E94,,PriceTickValue,Permanent,Trigger,ObjectOverwrite)</f>
        <v>USDIMMFRA6MU1_Quote#0002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V1</v>
      </c>
      <c r="E95" s="142" t="str">
        <f t="shared" si="2"/>
        <v>USDIMMFRA6MV1_Quote</v>
      </c>
      <c r="F95" s="141" t="str">
        <f>_xll.qlSimpleQuote(E95,,PriceTickValue,Permanent,Trigger,ObjectOverwrite)</f>
        <v>USDIMMFRA6MV1_Quote#0002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X1</v>
      </c>
      <c r="E96" s="142" t="str">
        <f t="shared" si="2"/>
        <v>USDIMMFRA6MX1_Quote</v>
      </c>
      <c r="F96" s="141" t="str">
        <f>_xll.qlSimpleQuote(E96,,PriceTickValue,Permanent,Trigger,ObjectOverwrite)</f>
        <v>USDIMMFRA6MX1_Quote#0002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Z1</v>
      </c>
      <c r="E97" s="142" t="str">
        <f t="shared" si="2"/>
        <v>USDIMMFRA6MZ1_Quote</v>
      </c>
      <c r="F97" s="141" t="str">
        <f>_xll.qlSimpleQuote(E97,,PriceTickValue,Permanent,Trigger,ObjectOverwrite)</f>
        <v>USDIMMFRA6MZ1_Quote#0002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F2</v>
      </c>
      <c r="E98" s="142" t="str">
        <f t="shared" si="2"/>
        <v>USDIMMFRA6MF2_Quote</v>
      </c>
      <c r="F98" s="141" t="str">
        <f>_xll.qlSimpleQuote(E98,,PriceTickValue,Permanent,Trigger,ObjectOverwrite)</f>
        <v>USDIMMFRA6MF2_Quote#0002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G2</v>
      </c>
      <c r="E99" s="142" t="str">
        <f t="shared" ref="E99:E122" si="3">Currency&amp;$D$1&amp;$E$1&amp;$D99&amp;QuoteSuffix</f>
        <v>USDIMMFRA6MG2_Quote</v>
      </c>
      <c r="F99" s="141" t="str">
        <f>_xll.qlSimpleQuote(E99,,PriceTickValue,Permanent,Trigger,ObjectOverwrite)</f>
        <v>USDIMMFRA6MG2_Quote#0002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H2</v>
      </c>
      <c r="E100" s="142" t="str">
        <f t="shared" si="3"/>
        <v>USDIMMFRA6MH2_Quote</v>
      </c>
      <c r="F100" s="141" t="str">
        <f>_xll.qlSimpleQuote(E100,,PriceTickValue,Permanent,Trigger,ObjectOverwrite)</f>
        <v>USDIMMFRA6MH2_Quote#0002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J2</v>
      </c>
      <c r="E101" s="142" t="str">
        <f t="shared" si="3"/>
        <v>USDIMMFRA6MJ2_Quote</v>
      </c>
      <c r="F101" s="141" t="str">
        <f>_xll.qlSimpleQuote(E101,,PriceTickValue,Permanent,Trigger,ObjectOverwrite)</f>
        <v>USDIMMFRA6MJ2_Quote#0002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K2</v>
      </c>
      <c r="E102" s="142" t="str">
        <f t="shared" si="3"/>
        <v>USDIMMFRA6MK2_Quote</v>
      </c>
      <c r="F102" s="141" t="str">
        <f>_xll.qlSimpleQuote(E102,,PriceTickValue,Permanent,Trigger,ObjectOverwrite)</f>
        <v>USDIMMFRA6MK2_Quote#0002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M2</v>
      </c>
      <c r="E103" s="142" t="str">
        <f t="shared" si="3"/>
        <v>USDIMMFRA6MM2_Quote</v>
      </c>
      <c r="F103" s="141" t="str">
        <f>_xll.qlSimpleQuote(E103,,PriceTickValue,Permanent,Trigger,ObjectOverwrite)</f>
        <v>USDIMMFRA6MM2_Quote#0002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N2</v>
      </c>
      <c r="E104" s="142" t="str">
        <f t="shared" si="3"/>
        <v>USDIMMFRA6MN2_Quote</v>
      </c>
      <c r="F104" s="141" t="str">
        <f>_xll.qlSimpleQuote(E104,,PriceTickValue,Permanent,Trigger,ObjectOverwrite)</f>
        <v>USDIMMFRA6MN2_Quote#0002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Q2</v>
      </c>
      <c r="E105" s="142" t="str">
        <f t="shared" si="3"/>
        <v>USDIMMFRA6MQ2_Quote</v>
      </c>
      <c r="F105" s="141" t="str">
        <f>_xll.qlSimpleQuote(E105,,PriceTickValue,Permanent,Trigger,ObjectOverwrite)</f>
        <v>USDIMMFRA6MQ2_Quote#0002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U2</v>
      </c>
      <c r="E106" s="142" t="str">
        <f t="shared" si="3"/>
        <v>USDIMMFRA6MU2_Quote</v>
      </c>
      <c r="F106" s="141" t="str">
        <f>_xll.qlSimpleQuote(E106,,PriceTickValue,Permanent,Trigger,ObjectOverwrite)</f>
        <v>USDIMMFRA6MU2_Quote#0002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V2</v>
      </c>
      <c r="E107" s="142" t="str">
        <f t="shared" si="3"/>
        <v>USDIMMFRA6MV2_Quote</v>
      </c>
      <c r="F107" s="141" t="str">
        <f>_xll.qlSimpleQuote(E107,,PriceTickValue,Permanent,Trigger,ObjectOverwrite)</f>
        <v>USDIMMFRA6MV2_Quote#0002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X2</v>
      </c>
      <c r="E108" s="142" t="str">
        <f t="shared" si="3"/>
        <v>USDIMMFRA6MX2_Quote</v>
      </c>
      <c r="F108" s="141" t="str">
        <f>_xll.qlSimpleQuote(E108,,PriceTickValue,Permanent,Trigger,ObjectOverwrite)</f>
        <v>USDIMMFRA6MX2_Quote#0002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Z2</v>
      </c>
      <c r="E109" s="142" t="str">
        <f t="shared" si="3"/>
        <v>USDIMMFRA6MZ2_Quote</v>
      </c>
      <c r="F109" s="141" t="str">
        <f>_xll.qlSimpleQuote(E109,,PriceTickValue,Permanent,Trigger,ObjectOverwrite)</f>
        <v>USDIMMFRA6MZ2_Quote#0002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F3</v>
      </c>
      <c r="E110" s="142" t="str">
        <f t="shared" si="3"/>
        <v>USDIMMFRA6MF3_Quote</v>
      </c>
      <c r="F110" s="141" t="str">
        <f>_xll.qlSimpleQuote(E110,,PriceTickValue,Permanent,Trigger,ObjectOverwrite)</f>
        <v>USDIMMFRA6MF3_Quote#0002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G3</v>
      </c>
      <c r="E111" s="142" t="str">
        <f t="shared" si="3"/>
        <v>USDIMMFRA6MG3_Quote</v>
      </c>
      <c r="F111" s="141" t="str">
        <f>_xll.qlSimpleQuote(E111,,PriceTickValue,Permanent,Trigger,ObjectOverwrite)</f>
        <v>USDIMMFRA6MG3_Quote#0002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H3</v>
      </c>
      <c r="E112" s="142" t="str">
        <f t="shared" si="3"/>
        <v>USDIMMFRA6MH3_Quote</v>
      </c>
      <c r="F112" s="141" t="str">
        <f>_xll.qlSimpleQuote(E112,,PriceTickValue,Permanent,Trigger,ObjectOverwrite)</f>
        <v>USDIMMFRA6MH3_Quote#0002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J3</v>
      </c>
      <c r="E113" s="142" t="str">
        <f t="shared" si="3"/>
        <v>USDIMMFRA6MJ3_Quote</v>
      </c>
      <c r="F113" s="141" t="str">
        <f>_xll.qlSimpleQuote(E113,,PriceTickValue,Permanent,Trigger,ObjectOverwrite)</f>
        <v>USDIMMFRA6MJ3_Quote#0002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K3</v>
      </c>
      <c r="E114" s="142" t="str">
        <f t="shared" si="3"/>
        <v>USDIMMFRA6MK3_Quote</v>
      </c>
      <c r="F114" s="141" t="str">
        <f>_xll.qlSimpleQuote(E114,,PriceTickValue,Permanent,Trigger,ObjectOverwrite)</f>
        <v>USDIMMFRA6MK3_Quote#0002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M3</v>
      </c>
      <c r="E115" s="142" t="str">
        <f t="shared" si="3"/>
        <v>USDIMMFRA6MM3_Quote</v>
      </c>
      <c r="F115" s="141" t="str">
        <f>_xll.qlSimpleQuote(E115,,PriceTickValue,Permanent,Trigger,ObjectOverwrite)</f>
        <v>USDIMMFRA6MM3_Quote#0002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N3</v>
      </c>
      <c r="E116" s="142" t="str">
        <f t="shared" si="3"/>
        <v>USDIMMFRA6MN3_Quote</v>
      </c>
      <c r="F116" s="141" t="str">
        <f>_xll.qlSimpleQuote(E116,,PriceTickValue,Permanent,Trigger,ObjectOverwrite)</f>
        <v>USDIMMFRA6MN3_Quote#0002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Q3</v>
      </c>
      <c r="E117" s="142" t="str">
        <f t="shared" si="3"/>
        <v>USDIMMFRA6MQ3_Quote</v>
      </c>
      <c r="F117" s="141" t="str">
        <f>_xll.qlSimpleQuote(E117,,PriceTickValue,Permanent,Trigger,ObjectOverwrite)</f>
        <v>USDIMMFRA6MQ3_Quote#0002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U3</v>
      </c>
      <c r="E118" s="142" t="str">
        <f t="shared" si="3"/>
        <v>USDIMMFRA6MU3_Quote</v>
      </c>
      <c r="F118" s="141" t="str">
        <f>_xll.qlSimpleQuote(E118,,PriceTickValue,Permanent,Trigger,ObjectOverwrite)</f>
        <v>USDIMMFRA6MU3_Quote#0002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V3</v>
      </c>
      <c r="E119" s="142" t="str">
        <f t="shared" si="3"/>
        <v>USDIMMFRA6MV3_Quote</v>
      </c>
      <c r="F119" s="141" t="str">
        <f>_xll.qlSimpleQuote(E119,,PriceTickValue,Permanent,Trigger,ObjectOverwrite)</f>
        <v>USDIMMFRA6MV3_Quote#0002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X3</v>
      </c>
      <c r="E120" s="142" t="str">
        <f t="shared" si="3"/>
        <v>USDIMMFRA6MX3_Quote</v>
      </c>
      <c r="F120" s="141" t="str">
        <f>_xll.qlSimpleQuote(E120,,PriceTickValue,Permanent,Trigger,ObjectOverwrite)</f>
        <v>USDIMMFRA6MX3_Quote#0002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Z3</v>
      </c>
      <c r="E121" s="142" t="str">
        <f t="shared" si="3"/>
        <v>USDIMMFRA6MZ3_Quote</v>
      </c>
      <c r="F121" s="141" t="str">
        <f>_xll.qlSimpleQuote(E121,,PriceTickValue,Permanent,Trigger,ObjectOverwrite)</f>
        <v>USDIMMFRA6MZ3_Quote#0002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F4</v>
      </c>
      <c r="E122" s="142" t="str">
        <f t="shared" si="3"/>
        <v>USDIMMFRA6MF4_Quote</v>
      </c>
      <c r="F122" s="141" t="str">
        <f>_xll.qlSimpleQuote(E122,,PriceTickValue,Permanent,Trigger,ObjectOverwrite)</f>
        <v>USDIMMFRA6MF4_Quote#0002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workbookViewId="0"/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0" t="s">
        <v>307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299"/>
      <c r="H2" s="143" t="s">
        <v>241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180</v>
      </c>
      <c r="B3" s="111"/>
      <c r="C3" s="111"/>
      <c r="D3" s="111"/>
      <c r="E3" s="110"/>
      <c r="G3" s="299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3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299"/>
      <c r="H4" s="352" t="e">
        <f ca="1">_xll.RData(H5,I4,"RTFEED:IDN",ReutersRtMode,,I5)</f>
        <v>#NAME?</v>
      </c>
      <c r="I4" s="379" t="s">
        <v>228</v>
      </c>
      <c r="J4" s="370"/>
      <c r="K4" s="561" t="s">
        <v>281</v>
      </c>
      <c r="L4" s="562"/>
      <c r="M4" s="370"/>
      <c r="N4" s="294" t="s">
        <v>258</v>
      </c>
      <c r="O4" s="368"/>
      <c r="P4" s="551" t="s">
        <v>256</v>
      </c>
      <c r="Q4" s="295" t="s">
        <v>255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USDHW_Volatility_Quote#0002</v>
      </c>
      <c r="D5" s="104" t="str">
        <f>_xll.ohRangeRetrieveError(C5)</f>
        <v/>
      </c>
      <c r="E5" s="161"/>
      <c r="G5" s="299"/>
      <c r="H5" s="378" t="str">
        <f>VLOOKUP(Currency,$T$5:$V$9,2)&amp;U3&amp;VLOOKUP(Currency,$T$5:$V$9,3)&amp;"ATM="&amp;VLOOKUP(Contributor,ContributorTable,2,FALSE)</f>
        <v>US4Y3LATM=ICAP</v>
      </c>
      <c r="I5" s="377">
        <v>66.400000000000006</v>
      </c>
      <c r="J5" s="370"/>
      <c r="K5" s="376" t="s">
        <v>280</v>
      </c>
      <c r="L5" s="374">
        <f>I5/100*IF(ISNUMBER(Swap3M4Y),Swap3M4Y/100,Swap6M4Y/100)*0</f>
        <v>0</v>
      </c>
      <c r="M5" s="370"/>
      <c r="N5" s="375">
        <v>0</v>
      </c>
      <c r="O5" s="368"/>
      <c r="P5" s="552">
        <f t="array" ref="P5:P6">QuoteStatic</f>
        <v>0</v>
      </c>
      <c r="Q5" s="374" t="e">
        <f>_xll.qlSimpleQuoteSetValue(C5,P5,Trigger)</f>
        <v>#N/A</v>
      </c>
      <c r="R5" s="47"/>
      <c r="S5" s="21"/>
      <c r="T5" s="87" t="s">
        <v>131</v>
      </c>
      <c r="U5" s="248" t="s">
        <v>279</v>
      </c>
      <c r="V5" s="373" t="s">
        <v>125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USDHW_MeanReversion_Quote#0002</v>
      </c>
      <c r="D6" s="104" t="str">
        <f>_xll.ohRangeRetrieveError(C6)</f>
        <v/>
      </c>
      <c r="E6" s="161"/>
      <c r="G6" s="299"/>
      <c r="H6" s="367"/>
      <c r="I6" s="372"/>
      <c r="J6" s="370"/>
      <c r="K6" s="371" t="s">
        <v>278</v>
      </c>
      <c r="L6" s="366">
        <v>0.03</v>
      </c>
      <c r="M6" s="370"/>
      <c r="N6" s="369">
        <v>0.03</v>
      </c>
      <c r="O6" s="368"/>
      <c r="P6" s="553">
        <v>0.03</v>
      </c>
      <c r="Q6" s="366" t="e">
        <f>_xll.qlSimpleQuoteSetValue(C6,P6,Trigger)</f>
        <v>#N/A</v>
      </c>
      <c r="R6" s="47"/>
      <c r="S6" s="21"/>
      <c r="T6" s="84" t="s">
        <v>130</v>
      </c>
      <c r="U6" s="365" t="s">
        <v>277</v>
      </c>
      <c r="V6" s="364" t="s">
        <v>125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127</v>
      </c>
      <c r="U7" s="365" t="s">
        <v>276</v>
      </c>
      <c r="V7" s="364" t="s">
        <v>124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126</v>
      </c>
      <c r="U8" s="365" t="s">
        <v>275</v>
      </c>
      <c r="V8" s="364" t="s">
        <v>125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121</v>
      </c>
      <c r="U9" s="363" t="s">
        <v>274</v>
      </c>
      <c r="V9" s="362" t="s">
        <v>124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18" width="9.140625" style="165"/>
    <col min="19" max="19" width="10" style="165" customWidth="1"/>
    <col min="20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7109375" style="165" bestFit="1" customWidth="1"/>
    <col min="26" max="26" width="2.7109375" style="165" customWidth="1"/>
    <col min="27" max="16384" width="9.140625" style="165"/>
  </cols>
  <sheetData>
    <row r="1" spans="1:26" x14ac:dyDescent="0.25">
      <c r="J1" s="330" t="s">
        <v>353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299"/>
      <c r="K2" s="136"/>
      <c r="L2" s="136"/>
      <c r="M2" s="136"/>
      <c r="N2" s="136"/>
      <c r="O2" s="143" t="s">
        <v>239</v>
      </c>
      <c r="P2" s="136"/>
      <c r="Q2" s="136"/>
      <c r="R2" s="136"/>
      <c r="S2" s="136"/>
      <c r="T2" s="136"/>
      <c r="U2" s="266"/>
      <c r="V2" s="266"/>
      <c r="W2" s="266"/>
      <c r="X2" s="266"/>
      <c r="Y2" s="266"/>
      <c r="Z2" s="47"/>
    </row>
    <row r="3" spans="1:26" x14ac:dyDescent="0.25">
      <c r="A3" s="219" t="s">
        <v>212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3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64</v>
      </c>
      <c r="G4" s="182" t="str">
        <f ca="1">_xll.ohRangeRetrieveError(F4)</f>
        <v/>
      </c>
      <c r="H4" s="171"/>
      <c r="J4" s="121"/>
      <c r="K4" s="392"/>
      <c r="L4" s="134"/>
      <c r="M4" s="134"/>
      <c r="N4" s="134"/>
      <c r="O4" s="360" t="e">
        <f ca="1">_xll.RData(O5:O58,P4:S4,"RTFEED:IDN",ReutersRtMode,,P5)</f>
        <v>#NAME?</v>
      </c>
      <c r="P4" s="357" t="s">
        <v>228</v>
      </c>
      <c r="Q4" s="357" t="s">
        <v>227</v>
      </c>
      <c r="R4" s="357" t="s">
        <v>245</v>
      </c>
      <c r="S4" s="357" t="s">
        <v>263</v>
      </c>
      <c r="T4" s="359" t="s">
        <v>284</v>
      </c>
      <c r="U4" s="266"/>
      <c r="V4" s="294" t="s">
        <v>258</v>
      </c>
      <c r="W4" s="266"/>
      <c r="X4" s="508" t="s">
        <v>256</v>
      </c>
      <c r="Y4" s="92" t="s">
        <v>255</v>
      </c>
      <c r="Z4" s="220"/>
    </row>
    <row r="5" spans="1:26" x14ac:dyDescent="0.25">
      <c r="A5" s="176"/>
      <c r="B5" s="175"/>
      <c r="C5" s="175" t="s">
        <v>181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USDOISSW_Quote#0002</v>
      </c>
      <c r="G5" s="172" t="str">
        <f>_xll.ohRangeRetrieveError(F5)</f>
        <v/>
      </c>
      <c r="H5" s="171"/>
      <c r="J5" s="121"/>
      <c r="K5" s="288" t="s">
        <v>43</v>
      </c>
      <c r="L5" s="324"/>
      <c r="M5" s="324" t="s">
        <v>181</v>
      </c>
      <c r="N5" s="322" t="str">
        <f t="shared" ref="N5:N36" si="1">Currency&amp;$K5&amp;$L5&amp;$M5</f>
        <v>USDSWOIS</v>
      </c>
      <c r="O5" s="322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7.9000000000000001E-2</v>
      </c>
      <c r="W5" s="266"/>
      <c r="X5" s="346">
        <f t="array" ref="X5:X58">QuoteStatic</f>
        <v>7.9000000000000001E-2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181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USDOIS2W_Quote#0002</v>
      </c>
      <c r="G6" s="172" t="str">
        <f>_xll.ohRangeRetrieveError(F6)</f>
        <v/>
      </c>
      <c r="H6" s="171"/>
      <c r="J6" s="121"/>
      <c r="K6" s="270" t="s">
        <v>42</v>
      </c>
      <c r="L6" s="319"/>
      <c r="M6" s="319" t="s">
        <v>181</v>
      </c>
      <c r="N6" s="317" t="str">
        <f t="shared" si="1"/>
        <v>USD2WOIS</v>
      </c>
      <c r="O6" s="317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7.9000000000000001E-2</v>
      </c>
      <c r="W6" s="266"/>
      <c r="X6" s="339">
        <v>7.9000000000000001E-2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181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USDOIS3W_Quote#0002</v>
      </c>
      <c r="G7" s="172" t="str">
        <f>_xll.ohRangeRetrieveError(F7)</f>
        <v/>
      </c>
      <c r="H7" s="171"/>
      <c r="J7" s="121"/>
      <c r="K7" s="270" t="s">
        <v>41</v>
      </c>
      <c r="L7" s="319"/>
      <c r="M7" s="319" t="s">
        <v>181</v>
      </c>
      <c r="N7" s="317" t="str">
        <f t="shared" si="1"/>
        <v>USD3WOIS</v>
      </c>
      <c r="O7" s="317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0.08</v>
      </c>
      <c r="W7" s="266"/>
      <c r="X7" s="339">
        <v>0.08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181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USDOIS1M_Quote#0002</v>
      </c>
      <c r="G8" s="172" t="str">
        <f>_xll.ohRangeRetrieveError(F8)</f>
        <v/>
      </c>
      <c r="H8" s="171"/>
      <c r="J8" s="121"/>
      <c r="K8" s="270" t="s">
        <v>40</v>
      </c>
      <c r="L8" s="319"/>
      <c r="M8" s="319" t="s">
        <v>181</v>
      </c>
      <c r="N8" s="317" t="str">
        <f t="shared" si="1"/>
        <v>USD1MOIS</v>
      </c>
      <c r="O8" s="317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8.1000000000000003E-2</v>
      </c>
      <c r="W8" s="266"/>
      <c r="X8" s="339">
        <v>8.1000000000000003E-2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181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USDOIS2M_Quote#0002</v>
      </c>
      <c r="G9" s="172" t="str">
        <f>_xll.ohRangeRetrieveError(F9)</f>
        <v/>
      </c>
      <c r="H9" s="171"/>
      <c r="J9" s="121"/>
      <c r="K9" s="270" t="s">
        <v>39</v>
      </c>
      <c r="L9" s="319"/>
      <c r="M9" s="319" t="s">
        <v>181</v>
      </c>
      <c r="N9" s="317" t="str">
        <f t="shared" si="1"/>
        <v>USD2MOIS</v>
      </c>
      <c r="O9" s="317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8.2000000000000003E-2</v>
      </c>
      <c r="W9" s="266"/>
      <c r="X9" s="339">
        <v>8.2000000000000003E-2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181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USDOIS3M_Quote#0002</v>
      </c>
      <c r="G10" s="172" t="str">
        <f>_xll.ohRangeRetrieveError(F10)</f>
        <v/>
      </c>
      <c r="H10" s="171"/>
      <c r="J10" s="121"/>
      <c r="K10" s="270" t="s">
        <v>38</v>
      </c>
      <c r="L10" s="319"/>
      <c r="M10" s="319" t="s">
        <v>181</v>
      </c>
      <c r="N10" s="317" t="str">
        <f t="shared" si="1"/>
        <v>USD3MOIS</v>
      </c>
      <c r="O10" s="317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8.7999999999999995E-2</v>
      </c>
      <c r="W10" s="266"/>
      <c r="X10" s="339">
        <v>8.7999999999999995E-2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181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USDOIS4M_Quote#0002</v>
      </c>
      <c r="G11" s="172" t="str">
        <f>_xll.ohRangeRetrieveError(F11)</f>
        <v/>
      </c>
      <c r="H11" s="171"/>
      <c r="J11" s="121"/>
      <c r="K11" s="270" t="s">
        <v>37</v>
      </c>
      <c r="L11" s="319"/>
      <c r="M11" s="319" t="s">
        <v>181</v>
      </c>
      <c r="N11" s="317" t="str">
        <f t="shared" si="1"/>
        <v>USD4MOIS</v>
      </c>
      <c r="O11" s="317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9.0999999999999998E-2</v>
      </c>
      <c r="W11" s="266"/>
      <c r="X11" s="339">
        <v>9.0999999999999998E-2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181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USDOIS5M_Quote#0002</v>
      </c>
      <c r="G12" s="172" t="str">
        <f>_xll.ohRangeRetrieveError(F12)</f>
        <v/>
      </c>
      <c r="H12" s="171"/>
      <c r="J12" s="121"/>
      <c r="K12" s="270" t="s">
        <v>36</v>
      </c>
      <c r="L12" s="319"/>
      <c r="M12" s="319" t="s">
        <v>181</v>
      </c>
      <c r="N12" s="317" t="str">
        <f t="shared" si="1"/>
        <v>USD5MOIS</v>
      </c>
      <c r="O12" s="317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9.2999999999999999E-2</v>
      </c>
      <c r="W12" s="266"/>
      <c r="X12" s="339">
        <v>9.2999999999999999E-2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181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USDOIS6M_Quote#0002</v>
      </c>
      <c r="G13" s="172" t="str">
        <f>_xll.ohRangeRetrieveError(F13)</f>
        <v/>
      </c>
      <c r="H13" s="171"/>
      <c r="J13" s="121"/>
      <c r="K13" s="270" t="s">
        <v>35</v>
      </c>
      <c r="L13" s="319"/>
      <c r="M13" s="319" t="s">
        <v>181</v>
      </c>
      <c r="N13" s="317" t="str">
        <f t="shared" si="1"/>
        <v>USD6MOIS</v>
      </c>
      <c r="O13" s="317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9.6000000000000002E-2</v>
      </c>
      <c r="W13" s="266"/>
      <c r="X13" s="339">
        <v>9.6000000000000002E-2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181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USDOIS7M_Quote#0002</v>
      </c>
      <c r="G14" s="172" t="str">
        <f>_xll.ohRangeRetrieveError(F14)</f>
        <v/>
      </c>
      <c r="H14" s="171"/>
      <c r="J14" s="121"/>
      <c r="K14" s="270" t="s">
        <v>34</v>
      </c>
      <c r="L14" s="319"/>
      <c r="M14" s="319" t="s">
        <v>181</v>
      </c>
      <c r="N14" s="317" t="str">
        <f t="shared" si="1"/>
        <v>USD7MOIS</v>
      </c>
      <c r="O14" s="317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0.10100000000000001</v>
      </c>
      <c r="W14" s="266"/>
      <c r="X14" s="339">
        <v>0.10100000000000001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181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USDOIS8M_Quote#0002</v>
      </c>
      <c r="G15" s="172" t="str">
        <f>_xll.ohRangeRetrieveError(F15)</f>
        <v/>
      </c>
      <c r="H15" s="171"/>
      <c r="J15" s="121"/>
      <c r="K15" s="270" t="s">
        <v>33</v>
      </c>
      <c r="L15" s="319"/>
      <c r="M15" s="319" t="s">
        <v>181</v>
      </c>
      <c r="N15" s="317" t="str">
        <f t="shared" si="1"/>
        <v>USD8MOIS</v>
      </c>
      <c r="O15" s="317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0.105</v>
      </c>
      <c r="W15" s="266"/>
      <c r="X15" s="339">
        <v>0.105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181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USDOIS9M_Quote#0002</v>
      </c>
      <c r="G16" s="172" t="str">
        <f>_xll.ohRangeRetrieveError(F16)</f>
        <v/>
      </c>
      <c r="H16" s="171"/>
      <c r="J16" s="121"/>
      <c r="K16" s="270" t="s">
        <v>32</v>
      </c>
      <c r="L16" s="319"/>
      <c r="M16" s="319" t="s">
        <v>181</v>
      </c>
      <c r="N16" s="317" t="str">
        <f t="shared" si="1"/>
        <v>USD9MOIS</v>
      </c>
      <c r="O16" s="317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0.111</v>
      </c>
      <c r="W16" s="266"/>
      <c r="X16" s="339">
        <v>0.111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181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USDOIS10M_Quote#0002</v>
      </c>
      <c r="G17" s="172" t="str">
        <f>_xll.ohRangeRetrieveError(F17)</f>
        <v/>
      </c>
      <c r="H17" s="171"/>
      <c r="J17" s="121"/>
      <c r="K17" s="270" t="s">
        <v>31</v>
      </c>
      <c r="L17" s="319"/>
      <c r="M17" s="319" t="s">
        <v>181</v>
      </c>
      <c r="N17" s="317" t="str">
        <f t="shared" si="1"/>
        <v>USD10MOIS</v>
      </c>
      <c r="O17" s="317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0.11700000000000001</v>
      </c>
      <c r="W17" s="266"/>
      <c r="X17" s="339">
        <v>0.11700000000000001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181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USDOIS11M_Quote#0002</v>
      </c>
      <c r="G18" s="172" t="str">
        <f>_xll.ohRangeRetrieveError(F18)</f>
        <v/>
      </c>
      <c r="H18" s="171"/>
      <c r="J18" s="121"/>
      <c r="K18" s="270" t="s">
        <v>30</v>
      </c>
      <c r="L18" s="319"/>
      <c r="M18" s="319" t="s">
        <v>181</v>
      </c>
      <c r="N18" s="317" t="str">
        <f t="shared" si="1"/>
        <v>USD11MOIS</v>
      </c>
      <c r="O18" s="317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0.121</v>
      </c>
      <c r="W18" s="266"/>
      <c r="X18" s="339">
        <v>0.121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181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USDOIS1Y_Quote#0002</v>
      </c>
      <c r="G19" s="172" t="str">
        <f>_xll.ohRangeRetrieveError(F19)</f>
        <v/>
      </c>
      <c r="H19" s="171"/>
      <c r="J19" s="121"/>
      <c r="K19" s="270" t="s">
        <v>29</v>
      </c>
      <c r="L19" s="319"/>
      <c r="M19" s="319" t="s">
        <v>181</v>
      </c>
      <c r="N19" s="317" t="str">
        <f t="shared" si="1"/>
        <v>USD1YOIS</v>
      </c>
      <c r="O19" s="317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0.129</v>
      </c>
      <c r="W19" s="266"/>
      <c r="X19" s="339">
        <v>0.129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181</v>
      </c>
      <c r="D20" s="181" t="s">
        <v>199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USDOIS13M_Quote#0002</v>
      </c>
      <c r="G20" s="172" t="str">
        <f>_xll.ohRangeRetrieveError(F20)</f>
        <v/>
      </c>
      <c r="H20" s="171"/>
      <c r="J20" s="121"/>
      <c r="K20" s="270" t="s">
        <v>199</v>
      </c>
      <c r="L20" s="319"/>
      <c r="M20" s="319" t="s">
        <v>181</v>
      </c>
      <c r="N20" s="317" t="str">
        <f t="shared" si="1"/>
        <v>USD13MOIS</v>
      </c>
      <c r="O20" s="317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0.13700000000000001</v>
      </c>
      <c r="W20" s="266"/>
      <c r="X20" s="339">
        <v>0.13700000000000001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181</v>
      </c>
      <c r="D21" s="181" t="s">
        <v>198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USDOIS14M_Quote#0002</v>
      </c>
      <c r="G21" s="172" t="str">
        <f>_xll.ohRangeRetrieveError(F21)</f>
        <v/>
      </c>
      <c r="H21" s="171"/>
      <c r="J21" s="121"/>
      <c r="K21" s="270" t="s">
        <v>198</v>
      </c>
      <c r="L21" s="319"/>
      <c r="M21" s="319" t="s">
        <v>181</v>
      </c>
      <c r="N21" s="317" t="str">
        <f t="shared" si="1"/>
        <v>USD14MOIS</v>
      </c>
      <c r="O21" s="317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0.14599999999999999</v>
      </c>
      <c r="W21" s="266"/>
      <c r="X21" s="339">
        <v>0.14599999999999999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181</v>
      </c>
      <c r="D22" s="181" t="s">
        <v>134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USDOIS15M_Quote#0002</v>
      </c>
      <c r="G22" s="172" t="str">
        <f>_xll.ohRangeRetrieveError(F22)</f>
        <v/>
      </c>
      <c r="H22" s="171"/>
      <c r="J22" s="121"/>
      <c r="K22" s="270" t="s">
        <v>134</v>
      </c>
      <c r="L22" s="319"/>
      <c r="M22" s="319" t="s">
        <v>181</v>
      </c>
      <c r="N22" s="317" t="str">
        <f t="shared" si="1"/>
        <v>USD15MOIS</v>
      </c>
      <c r="O22" s="317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0.156</v>
      </c>
      <c r="W22" s="266"/>
      <c r="X22" s="339">
        <v>0.156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181</v>
      </c>
      <c r="D23" s="181" t="s">
        <v>197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USDOIS16M_Quote#0002</v>
      </c>
      <c r="G23" s="172" t="str">
        <f>_xll.ohRangeRetrieveError(F23)</f>
        <v/>
      </c>
      <c r="H23" s="171"/>
      <c r="J23" s="121"/>
      <c r="K23" s="270" t="s">
        <v>197</v>
      </c>
      <c r="L23" s="319"/>
      <c r="M23" s="319" t="s">
        <v>181</v>
      </c>
      <c r="N23" s="317" t="str">
        <f t="shared" si="1"/>
        <v>USD16MOIS</v>
      </c>
      <c r="O23" s="317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0.16800000000000001</v>
      </c>
      <c r="W23" s="266"/>
      <c r="X23" s="339">
        <v>0.16800000000000001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181</v>
      </c>
      <c r="D24" s="181" t="s">
        <v>196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USDOIS17M_Quote#0002</v>
      </c>
      <c r="G24" s="172" t="str">
        <f>_xll.ohRangeRetrieveError(F24)</f>
        <v/>
      </c>
      <c r="H24" s="171"/>
      <c r="J24" s="121"/>
      <c r="K24" s="270" t="s">
        <v>196</v>
      </c>
      <c r="L24" s="319"/>
      <c r="M24" s="319" t="s">
        <v>181</v>
      </c>
      <c r="N24" s="317" t="str">
        <f t="shared" si="1"/>
        <v>USD17MOIS</v>
      </c>
      <c r="O24" s="317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0.18099999999999999</v>
      </c>
      <c r="W24" s="266"/>
      <c r="X24" s="339">
        <v>0.18099999999999999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181</v>
      </c>
      <c r="D25" s="181" t="s">
        <v>133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USDOIS18M_Quote#0002</v>
      </c>
      <c r="G25" s="172" t="str">
        <f>_xll.ohRangeRetrieveError(F25)</f>
        <v/>
      </c>
      <c r="H25" s="171"/>
      <c r="J25" s="121"/>
      <c r="K25" s="270" t="s">
        <v>133</v>
      </c>
      <c r="L25" s="319"/>
      <c r="M25" s="319" t="s">
        <v>181</v>
      </c>
      <c r="N25" s="317" t="str">
        <f t="shared" si="1"/>
        <v>USD18MOIS</v>
      </c>
      <c r="O25" s="317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0.19500000000000001</v>
      </c>
      <c r="W25" s="266"/>
      <c r="X25" s="339">
        <v>0.19500000000000001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181</v>
      </c>
      <c r="D26" s="181" t="s">
        <v>195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USDOIS19M_Quote#0002</v>
      </c>
      <c r="G26" s="172" t="str">
        <f>_xll.ohRangeRetrieveError(F26)</f>
        <v/>
      </c>
      <c r="H26" s="171"/>
      <c r="J26" s="121"/>
      <c r="K26" s="270" t="s">
        <v>195</v>
      </c>
      <c r="L26" s="319"/>
      <c r="M26" s="319" t="s">
        <v>181</v>
      </c>
      <c r="N26" s="317" t="str">
        <f t="shared" si="1"/>
        <v>USD19MOIS</v>
      </c>
      <c r="O26" s="317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0.21099999999999999</v>
      </c>
      <c r="W26" s="266"/>
      <c r="X26" s="339">
        <v>0.21099999999999999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181</v>
      </c>
      <c r="D27" s="181" t="s">
        <v>194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USDOIS20M_Quote#0002</v>
      </c>
      <c r="G27" s="172" t="str">
        <f>_xll.ohRangeRetrieveError(F27)</f>
        <v/>
      </c>
      <c r="H27" s="171"/>
      <c r="J27" s="121"/>
      <c r="K27" s="270" t="s">
        <v>194</v>
      </c>
      <c r="L27" s="319"/>
      <c r="M27" s="319" t="s">
        <v>181</v>
      </c>
      <c r="N27" s="317" t="str">
        <f t="shared" si="1"/>
        <v>USD20MOIS</v>
      </c>
      <c r="O27" s="317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0.22900000000000001</v>
      </c>
      <c r="W27" s="266"/>
      <c r="X27" s="339">
        <v>0.22900000000000001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181</v>
      </c>
      <c r="D28" s="181" t="s">
        <v>132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USDOIS21M_Quote#0002</v>
      </c>
      <c r="G28" s="172" t="str">
        <f>_xll.ohRangeRetrieveError(F28)</f>
        <v/>
      </c>
      <c r="H28" s="171"/>
      <c r="J28" s="121"/>
      <c r="K28" s="270" t="s">
        <v>132</v>
      </c>
      <c r="L28" s="319"/>
      <c r="M28" s="319" t="s">
        <v>181</v>
      </c>
      <c r="N28" s="317" t="str">
        <f t="shared" si="1"/>
        <v>USD21MOIS</v>
      </c>
      <c r="O28" s="317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0.248</v>
      </c>
      <c r="W28" s="266"/>
      <c r="X28" s="339">
        <v>0.248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181</v>
      </c>
      <c r="D29" s="181" t="s">
        <v>193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USDOIS22M_Quote#0002</v>
      </c>
      <c r="G29" s="172" t="str">
        <f>_xll.ohRangeRetrieveError(F29)</f>
        <v/>
      </c>
      <c r="H29" s="171"/>
      <c r="J29" s="121"/>
      <c r="K29" s="270" t="s">
        <v>193</v>
      </c>
      <c r="L29" s="319"/>
      <c r="M29" s="319" t="s">
        <v>181</v>
      </c>
      <c r="N29" s="317" t="str">
        <f t="shared" si="1"/>
        <v>USD22MOIS</v>
      </c>
      <c r="O29" s="317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0.26800000000000002</v>
      </c>
      <c r="W29" s="266"/>
      <c r="X29" s="339">
        <v>0.26800000000000002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181</v>
      </c>
      <c r="D30" s="181" t="s">
        <v>192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USDOIS23M_Quote#0002</v>
      </c>
      <c r="G30" s="172" t="str">
        <f>_xll.ohRangeRetrieveError(F30)</f>
        <v/>
      </c>
      <c r="H30" s="171"/>
      <c r="J30" s="121"/>
      <c r="K30" s="270" t="s">
        <v>192</v>
      </c>
      <c r="L30" s="319"/>
      <c r="M30" s="319" t="s">
        <v>181</v>
      </c>
      <c r="N30" s="317" t="str">
        <f t="shared" si="1"/>
        <v>USD23MOIS</v>
      </c>
      <c r="O30" s="317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0.28899999999999998</v>
      </c>
      <c r="W30" s="266"/>
      <c r="X30" s="339">
        <v>0.28899999999999998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181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USDOIS2Y_Quote#0002</v>
      </c>
      <c r="G31" s="172" t="str">
        <f>_xll.ohRangeRetrieveError(F31)</f>
        <v/>
      </c>
      <c r="H31" s="171"/>
      <c r="J31" s="121"/>
      <c r="K31" s="270" t="s">
        <v>108</v>
      </c>
      <c r="L31" s="319"/>
      <c r="M31" s="319" t="s">
        <v>181</v>
      </c>
      <c r="N31" s="317" t="str">
        <f t="shared" si="1"/>
        <v>USD2YOIS</v>
      </c>
      <c r="O31" s="317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0.314</v>
      </c>
      <c r="W31" s="266"/>
      <c r="X31" s="339">
        <v>0.314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181</v>
      </c>
      <c r="D32" s="181" t="s">
        <v>191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USDOIS27M_Quote#0002</v>
      </c>
      <c r="G32" s="172" t="str">
        <f>_xll.ohRangeRetrieveError(F32)</f>
        <v/>
      </c>
      <c r="H32" s="171"/>
      <c r="J32" s="121"/>
      <c r="K32" s="270" t="s">
        <v>191</v>
      </c>
      <c r="L32" s="319"/>
      <c r="M32" s="319" t="s">
        <v>181</v>
      </c>
      <c r="N32" s="317" t="str">
        <f t="shared" si="1"/>
        <v>USD27MOIS</v>
      </c>
      <c r="O32" s="317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0.39</v>
      </c>
      <c r="W32" s="266"/>
      <c r="X32" s="339">
        <v>0.39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181</v>
      </c>
      <c r="D33" s="181" t="s">
        <v>190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USDOIS30M_Quote#0002</v>
      </c>
      <c r="G33" s="172" t="str">
        <f>_xll.ohRangeRetrieveError(F33)</f>
        <v/>
      </c>
      <c r="H33" s="171"/>
      <c r="J33" s="121"/>
      <c r="K33" s="270" t="s">
        <v>190</v>
      </c>
      <c r="L33" s="319"/>
      <c r="M33" s="319" t="s">
        <v>181</v>
      </c>
      <c r="N33" s="317" t="str">
        <f t="shared" si="1"/>
        <v>USD30MOIS</v>
      </c>
      <c r="O33" s="317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0.48</v>
      </c>
      <c r="W33" s="266"/>
      <c r="X33" s="339">
        <v>0.48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181</v>
      </c>
      <c r="D34" s="181" t="s">
        <v>189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USDOIS33M_Quote#0002</v>
      </c>
      <c r="G34" s="172" t="str">
        <f>_xll.ohRangeRetrieveError(F34)</f>
        <v/>
      </c>
      <c r="H34" s="171"/>
      <c r="J34" s="121"/>
      <c r="K34" s="270" t="s">
        <v>189</v>
      </c>
      <c r="L34" s="319"/>
      <c r="M34" s="319" t="s">
        <v>181</v>
      </c>
      <c r="N34" s="317" t="str">
        <f t="shared" si="1"/>
        <v>USD33MOIS</v>
      </c>
      <c r="O34" s="317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0.57699999999999996</v>
      </c>
      <c r="W34" s="266"/>
      <c r="X34" s="339">
        <v>0.57699999999999996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181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USDOIS3Y_Quote#0002</v>
      </c>
      <c r="G35" s="172" t="str">
        <f>_xll.ohRangeRetrieveError(F35)</f>
        <v/>
      </c>
      <c r="H35" s="171"/>
      <c r="J35" s="121"/>
      <c r="K35" s="270" t="s">
        <v>107</v>
      </c>
      <c r="L35" s="319"/>
      <c r="M35" s="319" t="s">
        <v>181</v>
      </c>
      <c r="N35" s="317" t="str">
        <f t="shared" si="1"/>
        <v>USD3YOIS</v>
      </c>
      <c r="O35" s="317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0.67900000000000005</v>
      </c>
      <c r="W35" s="266"/>
      <c r="X35" s="339">
        <v>0.67900000000000005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181</v>
      </c>
      <c r="D36" s="181" t="s">
        <v>188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USDOIS39M_Quote#0002</v>
      </c>
      <c r="G36" s="172" t="str">
        <f>_xll.ohRangeRetrieveError(F36)</f>
        <v/>
      </c>
      <c r="H36" s="171"/>
      <c r="J36" s="121"/>
      <c r="K36" s="270" t="s">
        <v>188</v>
      </c>
      <c r="L36" s="319"/>
      <c r="M36" s="319" t="s">
        <v>181</v>
      </c>
      <c r="N36" s="317" t="str">
        <f t="shared" si="1"/>
        <v>USD39MOIS</v>
      </c>
      <c r="O36" s="317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0.78300000000000003</v>
      </c>
      <c r="W36" s="266"/>
      <c r="X36" s="339">
        <v>0.78300000000000003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181</v>
      </c>
      <c r="D37" s="181" t="s">
        <v>187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USDOIS42M_Quote#0002</v>
      </c>
      <c r="G37" s="172" t="str">
        <f>_xll.ohRangeRetrieveError(F37)</f>
        <v/>
      </c>
      <c r="H37" s="171"/>
      <c r="J37" s="121"/>
      <c r="K37" s="270" t="s">
        <v>187</v>
      </c>
      <c r="L37" s="319"/>
      <c r="M37" s="319" t="s">
        <v>181</v>
      </c>
      <c r="N37" s="317" t="str">
        <f t="shared" ref="N37:N58" si="3">Currency&amp;$K37&amp;$L37&amp;$M37</f>
        <v>USD42MOIS</v>
      </c>
      <c r="O37" s="317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0.89500000000000002</v>
      </c>
      <c r="W37" s="266"/>
      <c r="X37" s="339">
        <v>0.89500000000000002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181</v>
      </c>
      <c r="D38" s="181" t="s">
        <v>186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USDOIS45M_Quote#0002</v>
      </c>
      <c r="G38" s="172" t="str">
        <f>_xll.ohRangeRetrieveError(F38)</f>
        <v/>
      </c>
      <c r="H38" s="171"/>
      <c r="J38" s="121"/>
      <c r="K38" s="270" t="s">
        <v>186</v>
      </c>
      <c r="L38" s="319"/>
      <c r="M38" s="319" t="s">
        <v>181</v>
      </c>
      <c r="N38" s="317" t="str">
        <f t="shared" si="3"/>
        <v>USD45MOIS</v>
      </c>
      <c r="O38" s="317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0.997</v>
      </c>
      <c r="W38" s="266"/>
      <c r="X38" s="339">
        <v>0.997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181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USDOIS4Y_Quote#0002</v>
      </c>
      <c r="G39" s="172" t="str">
        <f>_xll.ohRangeRetrieveError(F39)</f>
        <v/>
      </c>
      <c r="H39" s="171"/>
      <c r="J39" s="121"/>
      <c r="K39" s="270" t="s">
        <v>106</v>
      </c>
      <c r="L39" s="319"/>
      <c r="M39" s="319" t="s">
        <v>181</v>
      </c>
      <c r="N39" s="317" t="str">
        <f t="shared" si="3"/>
        <v>USD4YOIS</v>
      </c>
      <c r="O39" s="317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1.109</v>
      </c>
      <c r="W39" s="266"/>
      <c r="X39" s="339">
        <v>1.109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181</v>
      </c>
      <c r="D40" s="181" t="s">
        <v>185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USDOIS51M_Quote#0002</v>
      </c>
      <c r="G40" s="172" t="str">
        <f>_xll.ohRangeRetrieveError(F40)</f>
        <v/>
      </c>
      <c r="H40" s="171"/>
      <c r="J40" s="121"/>
      <c r="K40" s="270" t="s">
        <v>185</v>
      </c>
      <c r="L40" s="319"/>
      <c r="M40" s="319" t="s">
        <v>181</v>
      </c>
      <c r="N40" s="317" t="str">
        <f t="shared" si="3"/>
        <v>USD51MOIS</v>
      </c>
      <c r="O40" s="317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1.2070000000000001</v>
      </c>
      <c r="W40" s="266"/>
      <c r="X40" s="339">
        <v>1.2070000000000001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181</v>
      </c>
      <c r="D41" s="181" t="s">
        <v>184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USDOIS54M_Quote#0002</v>
      </c>
      <c r="G41" s="172" t="str">
        <f>_xll.ohRangeRetrieveError(F41)</f>
        <v/>
      </c>
      <c r="H41" s="171"/>
      <c r="J41" s="121"/>
      <c r="K41" s="270" t="s">
        <v>184</v>
      </c>
      <c r="L41" s="319"/>
      <c r="M41" s="319" t="s">
        <v>181</v>
      </c>
      <c r="N41" s="317" t="str">
        <f t="shared" si="3"/>
        <v>USD54MOIS</v>
      </c>
      <c r="O41" s="317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1.3140000000000001</v>
      </c>
      <c r="W41" s="266"/>
      <c r="X41" s="339">
        <v>1.3140000000000001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181</v>
      </c>
      <c r="D42" s="181" t="s">
        <v>183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USDOIS57M_Quote#0002</v>
      </c>
      <c r="G42" s="172" t="str">
        <f>_xll.ohRangeRetrieveError(F42)</f>
        <v/>
      </c>
      <c r="H42" s="171"/>
      <c r="J42" s="121"/>
      <c r="K42" s="270" t="s">
        <v>183</v>
      </c>
      <c r="L42" s="319"/>
      <c r="M42" s="319" t="s">
        <v>181</v>
      </c>
      <c r="N42" s="317" t="str">
        <f t="shared" si="3"/>
        <v>USD57MOIS</v>
      </c>
      <c r="O42" s="317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1.4079999999999999</v>
      </c>
      <c r="W42" s="266"/>
      <c r="X42" s="339">
        <v>1.4079999999999999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181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USDOIS5Y_Quote#0002</v>
      </c>
      <c r="G43" s="172" t="str">
        <f>_xll.ohRangeRetrieveError(F43)</f>
        <v/>
      </c>
      <c r="H43" s="171"/>
      <c r="J43" s="121"/>
      <c r="K43" s="270" t="s">
        <v>105</v>
      </c>
      <c r="L43" s="319"/>
      <c r="M43" s="319" t="s">
        <v>181</v>
      </c>
      <c r="N43" s="317" t="str">
        <f t="shared" si="3"/>
        <v>USD5YOIS</v>
      </c>
      <c r="O43" s="317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1.5069999999999999</v>
      </c>
      <c r="W43" s="266"/>
      <c r="X43" s="339">
        <v>1.5069999999999999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181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USDOIS6Y_Quote#0002</v>
      </c>
      <c r="G44" s="172" t="str">
        <f>_xll.ohRangeRetrieveError(F44)</f>
        <v/>
      </c>
      <c r="H44" s="171"/>
      <c r="J44" s="121"/>
      <c r="K44" s="270" t="s">
        <v>104</v>
      </c>
      <c r="L44" s="319"/>
      <c r="M44" s="319" t="s">
        <v>181</v>
      </c>
      <c r="N44" s="317" t="str">
        <f t="shared" si="3"/>
        <v>USD6YOIS</v>
      </c>
      <c r="O44" s="317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1.853</v>
      </c>
      <c r="W44" s="266"/>
      <c r="X44" s="339">
        <v>1.853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181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USDOIS7Y_Quote#0002</v>
      </c>
      <c r="G45" s="172" t="str">
        <f>_xll.ohRangeRetrieveError(F45)</f>
        <v/>
      </c>
      <c r="H45" s="171"/>
      <c r="J45" s="121"/>
      <c r="K45" s="270" t="s">
        <v>103</v>
      </c>
      <c r="L45" s="319"/>
      <c r="M45" s="319" t="s">
        <v>181</v>
      </c>
      <c r="N45" s="317" t="str">
        <f t="shared" si="3"/>
        <v>USD7YOIS</v>
      </c>
      <c r="O45" s="317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2.1360000000000001</v>
      </c>
      <c r="W45" s="266"/>
      <c r="X45" s="339">
        <v>2.1360000000000001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181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USDOIS8Y_Quote#0002</v>
      </c>
      <c r="G46" s="172" t="str">
        <f>_xll.ohRangeRetrieveError(F46)</f>
        <v/>
      </c>
      <c r="H46" s="171"/>
      <c r="J46" s="121"/>
      <c r="K46" s="270" t="s">
        <v>102</v>
      </c>
      <c r="L46" s="319"/>
      <c r="M46" s="319" t="s">
        <v>181</v>
      </c>
      <c r="N46" s="317" t="str">
        <f t="shared" si="3"/>
        <v>USD8YOIS</v>
      </c>
      <c r="O46" s="317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2.37</v>
      </c>
      <c r="W46" s="266"/>
      <c r="X46" s="339">
        <v>2.37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181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USDOIS9Y_Quote#0002</v>
      </c>
      <c r="G47" s="172" t="str">
        <f>_xll.ohRangeRetrieveError(F47)</f>
        <v/>
      </c>
      <c r="H47" s="171"/>
      <c r="J47" s="121"/>
      <c r="K47" s="270" t="s">
        <v>101</v>
      </c>
      <c r="L47" s="319"/>
      <c r="M47" s="319" t="s">
        <v>181</v>
      </c>
      <c r="N47" s="317" t="str">
        <f t="shared" si="3"/>
        <v>USD9YOIS</v>
      </c>
      <c r="O47" s="317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2.56</v>
      </c>
      <c r="W47" s="266"/>
      <c r="X47" s="339">
        <v>2.56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181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USDOIS10Y_Quote#0002</v>
      </c>
      <c r="G48" s="172" t="str">
        <f>_xll.ohRangeRetrieveError(F48)</f>
        <v/>
      </c>
      <c r="H48" s="171"/>
      <c r="J48" s="121"/>
      <c r="K48" s="270" t="s">
        <v>100</v>
      </c>
      <c r="L48" s="319"/>
      <c r="M48" s="319" t="s">
        <v>181</v>
      </c>
      <c r="N48" s="317" t="str">
        <f t="shared" si="3"/>
        <v>USD10YOIS</v>
      </c>
      <c r="O48" s="317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2.7160000000000002</v>
      </c>
      <c r="W48" s="266"/>
      <c r="X48" s="339">
        <v>2.7160000000000002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181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USDOIS12Y_Quote#0002</v>
      </c>
      <c r="G49" s="172" t="str">
        <f>_xll.ohRangeRetrieveError(F49)</f>
        <v/>
      </c>
      <c r="H49" s="171"/>
      <c r="J49" s="121"/>
      <c r="K49" s="270" t="s">
        <v>98</v>
      </c>
      <c r="L49" s="319"/>
      <c r="M49" s="319" t="s">
        <v>181</v>
      </c>
      <c r="N49" s="317" t="str">
        <f t="shared" si="3"/>
        <v>USD12YOIS</v>
      </c>
      <c r="O49" s="317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2.968</v>
      </c>
      <c r="W49" s="266"/>
      <c r="X49" s="339">
        <v>2.968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181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USDOIS15Y_Quote#0002</v>
      </c>
      <c r="G50" s="172" t="str">
        <f>_xll.ohRangeRetrieveError(F50)</f>
        <v/>
      </c>
      <c r="H50" s="171"/>
      <c r="J50" s="121"/>
      <c r="K50" s="270" t="s">
        <v>95</v>
      </c>
      <c r="L50" s="319"/>
      <c r="M50" s="319" t="s">
        <v>181</v>
      </c>
      <c r="N50" s="317" t="str">
        <f t="shared" si="3"/>
        <v>USD15YOIS</v>
      </c>
      <c r="O50" s="317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3.2069999999999999</v>
      </c>
      <c r="W50" s="266"/>
      <c r="X50" s="339">
        <v>3.2069999999999999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181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USDOIS20Y_Quote#0002</v>
      </c>
      <c r="G51" s="172" t="str">
        <f>_xll.ohRangeRetrieveError(F51)</f>
        <v/>
      </c>
      <c r="H51" s="171"/>
      <c r="J51" s="121"/>
      <c r="K51" s="270" t="s">
        <v>90</v>
      </c>
      <c r="L51" s="319"/>
      <c r="M51" s="319" t="s">
        <v>181</v>
      </c>
      <c r="N51" s="317" t="str">
        <f t="shared" si="3"/>
        <v>USD20YOIS</v>
      </c>
      <c r="O51" s="317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3.4079999999999999</v>
      </c>
      <c r="W51" s="266"/>
      <c r="X51" s="339">
        <v>3.4079999999999999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181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USDOIS25Y_Quote#0002</v>
      </c>
      <c r="G52" s="172" t="str">
        <f>_xll.ohRangeRetrieveError(F52)</f>
        <v/>
      </c>
      <c r="H52" s="171"/>
      <c r="J52" s="121"/>
      <c r="K52" s="270" t="s">
        <v>85</v>
      </c>
      <c r="L52" s="319"/>
      <c r="M52" s="319" t="s">
        <v>181</v>
      </c>
      <c r="N52" s="317" t="str">
        <f t="shared" si="3"/>
        <v>USD25YOIS</v>
      </c>
      <c r="O52" s="317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3.4969999999999999</v>
      </c>
      <c r="W52" s="266"/>
      <c r="X52" s="339">
        <v>3.4969999999999999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181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USDOIS27Y_Quote#0002</v>
      </c>
      <c r="G53" s="172" t="str">
        <f>_xll.ohRangeRetrieveError(F53)</f>
        <v/>
      </c>
      <c r="H53" s="171"/>
      <c r="J53" s="121"/>
      <c r="K53" s="270" t="s">
        <v>83</v>
      </c>
      <c r="L53" s="319"/>
      <c r="M53" s="319" t="s">
        <v>181</v>
      </c>
      <c r="N53" s="317" t="str">
        <f t="shared" si="3"/>
        <v>USD27YOIS</v>
      </c>
      <c r="O53" s="317" t="str">
        <v>USD27YOIS=ICAP</v>
      </c>
      <c r="P53" s="264" t="s">
        <v>240</v>
      </c>
      <c r="Q53" s="264" t="s">
        <v>240</v>
      </c>
      <c r="R53" s="264" t="s">
        <v>240</v>
      </c>
      <c r="S53" s="264" t="s">
        <v>240</v>
      </c>
      <c r="T53" s="268" t="e">
        <f>_xll.qlMidEquivalent($P53,$Q53,$R53,$S53)</f>
        <v>#NUM!</v>
      </c>
      <c r="U53" s="266"/>
      <c r="V53" s="267" t="e">
        <v>#NUM!</v>
      </c>
      <c r="W53" s="266"/>
      <c r="X53" s="339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181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USDOIS30Y_Quote#0002</v>
      </c>
      <c r="G54" s="172" t="str">
        <f>_xll.ohRangeRetrieveError(F54)</f>
        <v/>
      </c>
      <c r="H54" s="171"/>
      <c r="J54" s="121"/>
      <c r="K54" s="270" t="s">
        <v>80</v>
      </c>
      <c r="L54" s="319"/>
      <c r="M54" s="319" t="s">
        <v>181</v>
      </c>
      <c r="N54" s="317" t="str">
        <f t="shared" si="3"/>
        <v>USD30YOIS</v>
      </c>
      <c r="O54" s="317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3.5489999999999999</v>
      </c>
      <c r="W54" s="266"/>
      <c r="X54" s="339">
        <v>3.5489999999999999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181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USDOIS35Y_Quote#0002</v>
      </c>
      <c r="G55" s="172" t="str">
        <f>_xll.ohRangeRetrieveError(F55)</f>
        <v/>
      </c>
      <c r="H55" s="171"/>
      <c r="J55" s="121"/>
      <c r="K55" s="270" t="s">
        <v>75</v>
      </c>
      <c r="L55" s="319"/>
      <c r="M55" s="319" t="s">
        <v>181</v>
      </c>
      <c r="N55" s="317" t="str">
        <f t="shared" si="3"/>
        <v>USD35YOIS</v>
      </c>
      <c r="O55" s="317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3.5670000000000002</v>
      </c>
      <c r="W55" s="266"/>
      <c r="X55" s="339">
        <v>3.5670000000000002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181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USDOIS40Y_Quote#0002</v>
      </c>
      <c r="G56" s="172" t="str">
        <f>_xll.ohRangeRetrieveError(F56)</f>
        <v/>
      </c>
      <c r="H56" s="171"/>
      <c r="J56" s="121"/>
      <c r="K56" s="270" t="s">
        <v>70</v>
      </c>
      <c r="L56" s="319"/>
      <c r="M56" s="319" t="s">
        <v>181</v>
      </c>
      <c r="N56" s="317" t="str">
        <f t="shared" si="3"/>
        <v>USD40YOIS</v>
      </c>
      <c r="O56" s="317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3.5680000000000001</v>
      </c>
      <c r="W56" s="266"/>
      <c r="X56" s="339">
        <v>3.5680000000000001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181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USDOIS45Y_Quote#0002</v>
      </c>
      <c r="G57" s="172" t="str">
        <f>_xll.ohRangeRetrieveError(F57)</f>
        <v/>
      </c>
      <c r="H57" s="171"/>
      <c r="J57" s="121"/>
      <c r="K57" s="270" t="s">
        <v>65</v>
      </c>
      <c r="L57" s="319"/>
      <c r="M57" s="319" t="s">
        <v>181</v>
      </c>
      <c r="N57" s="317" t="str">
        <f t="shared" si="3"/>
        <v>USD45YOIS</v>
      </c>
      <c r="O57" s="317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3.5590000000000002</v>
      </c>
      <c r="W57" s="266"/>
      <c r="X57" s="339">
        <v>3.5590000000000002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181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USDOIS50Y_Quote#0002</v>
      </c>
      <c r="G58" s="172" t="str">
        <f>_xll.ohRangeRetrieveError(F58)</f>
        <v/>
      </c>
      <c r="H58" s="171"/>
      <c r="J58" s="121"/>
      <c r="K58" s="282" t="s">
        <v>60</v>
      </c>
      <c r="L58" s="314"/>
      <c r="M58" s="314" t="s">
        <v>181</v>
      </c>
      <c r="N58" s="312" t="str">
        <f t="shared" si="3"/>
        <v>USD50YOIS</v>
      </c>
      <c r="O58" s="312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3.55</v>
      </c>
      <c r="W58" s="266"/>
      <c r="X58" s="332">
        <v>3.55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09"/>
      <c r="K59" s="510"/>
      <c r="L59" s="510"/>
      <c r="M59" s="510"/>
      <c r="N59" s="510"/>
      <c r="O59" s="510"/>
      <c r="P59" s="510"/>
      <c r="Q59" s="510"/>
      <c r="R59" s="510"/>
      <c r="S59" s="510"/>
      <c r="T59" s="510"/>
      <c r="U59" s="510"/>
      <c r="V59" s="510"/>
      <c r="W59" s="510"/>
      <c r="X59" s="510"/>
      <c r="Y59" s="510"/>
      <c r="Z59" s="511"/>
    </row>
    <row r="60" spans="1:26" x14ac:dyDescent="0.25">
      <c r="A60" s="176"/>
      <c r="B60" s="175" t="s">
        <v>182</v>
      </c>
      <c r="C60" s="175" t="s">
        <v>181</v>
      </c>
      <c r="D60" s="174" t="str">
        <f>_xll.qlECBNextCode(_xll.qlSettingsEvaluationDate(Trigger)-365)</f>
        <v>MAR13</v>
      </c>
      <c r="E60" s="173" t="str">
        <f t="shared" ref="E60:E95" si="4">Currency&amp;$B60&amp;$C60&amp;$D60&amp;QuoteSuffix</f>
        <v>USDFEDOISMAR13_Quote</v>
      </c>
      <c r="F60" s="173" t="str">
        <f>_xll.qlSimpleQuote(Currency&amp;$B60&amp;$C60&amp;$D60&amp;QuoteSuffix,,RateTickValue,Permanent,Trigger,ObjectOverwrite)</f>
        <v>USDFEDOISMAR13_Quote#0002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182</v>
      </c>
      <c r="C61" s="175" t="s">
        <v>181</v>
      </c>
      <c r="D61" s="174" t="str">
        <f>_xll.qlECBNextCode(_xll.qlECBdate(D60))</f>
        <v>APR13</v>
      </c>
      <c r="E61" s="173" t="str">
        <f t="shared" si="4"/>
        <v>USDFEDOISAPR13_Quote</v>
      </c>
      <c r="F61" s="173" t="str">
        <f>_xll.qlSimpleQuote(Currency&amp;$B61&amp;$C61&amp;$D61&amp;QuoteSuffix,,RateTickValue,Permanent,Trigger,ObjectOverwrite)</f>
        <v>USDFEDOISAPR13_Quote#0002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182</v>
      </c>
      <c r="C62" s="175" t="s">
        <v>181</v>
      </c>
      <c r="D62" s="174" t="str">
        <f>_xll.qlECBNextCode(_xll.qlECBdate(D61))</f>
        <v>MAY13</v>
      </c>
      <c r="E62" s="173" t="str">
        <f t="shared" si="4"/>
        <v>USDFEDOISMAY13_Quote</v>
      </c>
      <c r="F62" s="173" t="str">
        <f>_xll.qlSimpleQuote(Currency&amp;$B62&amp;$C62&amp;$D62&amp;QuoteSuffix,,RateTickValue,Permanent,Trigger,ObjectOverwrite)</f>
        <v>USDFEDOISMAY13_Quote#0002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182</v>
      </c>
      <c r="C63" s="175" t="s">
        <v>181</v>
      </c>
      <c r="D63" s="174" t="str">
        <f>_xll.qlECBNextCode(_xll.qlECBdate(D62))</f>
        <v>JUN13</v>
      </c>
      <c r="E63" s="173" t="str">
        <f t="shared" si="4"/>
        <v>USDFEDOISJUN13_Quote</v>
      </c>
      <c r="F63" s="173" t="str">
        <f>_xll.qlSimpleQuote(Currency&amp;$B63&amp;$C63&amp;$D63&amp;QuoteSuffix,,RateTickValue,Permanent,Trigger,ObjectOverwrite)</f>
        <v>USDFEDOISJUN13_Quote#0002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182</v>
      </c>
      <c r="C64" s="175" t="s">
        <v>181</v>
      </c>
      <c r="D64" s="174" t="str">
        <f>_xll.qlECBNextCode(_xll.qlECBdate(D63))</f>
        <v>JUL13</v>
      </c>
      <c r="E64" s="173" t="str">
        <f t="shared" si="4"/>
        <v>USDFEDOISJUL13_Quote</v>
      </c>
      <c r="F64" s="173" t="str">
        <f>_xll.qlSimpleQuote(Currency&amp;$B64&amp;$C64&amp;$D64&amp;QuoteSuffix,,RateTickValue,Permanent,Trigger,ObjectOverwrite)</f>
        <v>USDFEDOISJUL13_Quote#0002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182</v>
      </c>
      <c r="C65" s="175" t="s">
        <v>181</v>
      </c>
      <c r="D65" s="174" t="str">
        <f>_xll.qlECBNextCode(_xll.qlECBdate(D64))</f>
        <v>AUG13</v>
      </c>
      <c r="E65" s="173" t="str">
        <f t="shared" si="4"/>
        <v>USDFEDOISAUG13_Quote</v>
      </c>
      <c r="F65" s="173" t="str">
        <f>_xll.qlSimpleQuote(Currency&amp;$B65&amp;$C65&amp;$D65&amp;QuoteSuffix,,RateTickValue,Permanent,Trigger,ObjectOverwrite)</f>
        <v>USDFEDOISAUG13_Quote#0002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182</v>
      </c>
      <c r="C66" s="175" t="s">
        <v>181</v>
      </c>
      <c r="D66" s="174" t="str">
        <f>_xll.qlECBNextCode(_xll.qlECBdate(D65))</f>
        <v>SEP13</v>
      </c>
      <c r="E66" s="173" t="str">
        <f t="shared" si="4"/>
        <v>USDFEDOISSEP13_Quote</v>
      </c>
      <c r="F66" s="173" t="str">
        <f>_xll.qlSimpleQuote(Currency&amp;$B66&amp;$C66&amp;$D66&amp;QuoteSuffix,,RateTickValue,Permanent,Trigger,ObjectOverwrite)</f>
        <v>USDFEDOISSEP13_Quote#0002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182</v>
      </c>
      <c r="C67" s="175" t="s">
        <v>181</v>
      </c>
      <c r="D67" s="174" t="str">
        <f>_xll.qlECBNextCode(_xll.qlECBdate(D66))</f>
        <v>OCT13</v>
      </c>
      <c r="E67" s="173" t="str">
        <f t="shared" si="4"/>
        <v>USDFEDOISOCT13_Quote</v>
      </c>
      <c r="F67" s="173" t="str">
        <f>_xll.qlSimpleQuote(Currency&amp;$B67&amp;$C67&amp;$D67&amp;QuoteSuffix,,RateTickValue,Permanent,Trigger,ObjectOverwrite)</f>
        <v>USDFEDOISOCT13_Quote#0002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182</v>
      </c>
      <c r="C68" s="175" t="s">
        <v>181</v>
      </c>
      <c r="D68" s="174" t="str">
        <f>_xll.qlECBNextCode(_xll.qlECBdate(D67))</f>
        <v>NOV13</v>
      </c>
      <c r="E68" s="173" t="str">
        <f t="shared" si="4"/>
        <v>USDFEDOISNOV13_Quote</v>
      </c>
      <c r="F68" s="173" t="str">
        <f>_xll.qlSimpleQuote(Currency&amp;$B68&amp;$C68&amp;$D68&amp;QuoteSuffix,,RateTickValue,Permanent,Trigger,ObjectOverwrite)</f>
        <v>USDFEDOISNOV13_Quote#0002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182</v>
      </c>
      <c r="C69" s="175" t="s">
        <v>181</v>
      </c>
      <c r="D69" s="174" t="str">
        <f>_xll.qlECBNextCode(_xll.qlECBdate(D68))</f>
        <v>DEC13</v>
      </c>
      <c r="E69" s="173" t="str">
        <f t="shared" si="4"/>
        <v>USDFEDOISDEC13_Quote</v>
      </c>
      <c r="F69" s="173" t="str">
        <f>_xll.qlSimpleQuote(Currency&amp;$B69&amp;$C69&amp;$D69&amp;QuoteSuffix,,RateTickValue,Permanent,Trigger,ObjectOverwrite)</f>
        <v>USDFEDOISDEC13_Quote#0002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182</v>
      </c>
      <c r="C70" s="175" t="s">
        <v>181</v>
      </c>
      <c r="D70" s="174" t="e">
        <f>_xll.qlECBNextCode(_xll.qlECBdate(D69))</f>
        <v>#NUM!</v>
      </c>
      <c r="E70" s="173" t="e">
        <f t="shared" si="4"/>
        <v>#NUM!</v>
      </c>
      <c r="F70" s="173" t="e">
        <f>_xll.qlSimpleQuote(Currency&amp;$B70&amp;$C70&amp;$D70&amp;QuoteSuffix,,RateTickValue,Permanent,Trigger,ObjectOverwrite)</f>
        <v>#VALUE!</v>
      </c>
      <c r="G70" s="172" t="str">
        <f ca="1">_xll.ohRangeRetrieveError(F70)</f>
        <v/>
      </c>
      <c r="H70" s="171"/>
    </row>
    <row r="71" spans="1:8" x14ac:dyDescent="0.25">
      <c r="A71" s="176"/>
      <c r="B71" s="175" t="s">
        <v>182</v>
      </c>
      <c r="C71" s="175" t="s">
        <v>181</v>
      </c>
      <c r="D71" s="174" t="e">
        <f>_xll.qlECBNextCode(_xll.qlECBdate(D70))</f>
        <v>#NUM!</v>
      </c>
      <c r="E71" s="173" t="e">
        <f t="shared" si="4"/>
        <v>#NUM!</v>
      </c>
      <c r="F71" s="173" t="e">
        <f>_xll.qlSimpleQuote(Currency&amp;$B71&amp;$C71&amp;$D71&amp;QuoteSuffix,,RateTickValue,Permanent,Trigger,ObjectOverwrite)</f>
        <v>#VALUE!</v>
      </c>
      <c r="G71" s="172" t="str">
        <f ca="1">_xll.ohRangeRetrieveError(F71)</f>
        <v/>
      </c>
      <c r="H71" s="171"/>
    </row>
    <row r="72" spans="1:8" x14ac:dyDescent="0.25">
      <c r="A72" s="176"/>
      <c r="B72" s="175" t="s">
        <v>182</v>
      </c>
      <c r="C72" s="175" t="s">
        <v>181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182</v>
      </c>
      <c r="C73" s="175" t="s">
        <v>181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182</v>
      </c>
      <c r="C74" s="175" t="s">
        <v>181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182</v>
      </c>
      <c r="C75" s="175" t="s">
        <v>181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182</v>
      </c>
      <c r="C76" s="175" t="s">
        <v>181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182</v>
      </c>
      <c r="C77" s="175" t="s">
        <v>181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182</v>
      </c>
      <c r="C78" s="175" t="s">
        <v>181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182</v>
      </c>
      <c r="C79" s="175" t="s">
        <v>181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182</v>
      </c>
      <c r="C80" s="175" t="s">
        <v>181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182</v>
      </c>
      <c r="C81" s="175" t="s">
        <v>181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182</v>
      </c>
      <c r="C82" s="175" t="s">
        <v>181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182</v>
      </c>
      <c r="C83" s="175" t="s">
        <v>181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182</v>
      </c>
      <c r="C84" s="175" t="s">
        <v>181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182</v>
      </c>
      <c r="C85" s="175" t="s">
        <v>181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182</v>
      </c>
      <c r="C86" s="175" t="s">
        <v>181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182</v>
      </c>
      <c r="C87" s="175" t="s">
        <v>181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182</v>
      </c>
      <c r="C88" s="175" t="s">
        <v>181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182</v>
      </c>
      <c r="C89" s="175" t="s">
        <v>181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182</v>
      </c>
      <c r="C90" s="175" t="s">
        <v>181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182</v>
      </c>
      <c r="C91" s="175" t="s">
        <v>181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182</v>
      </c>
      <c r="C92" s="175" t="s">
        <v>181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182</v>
      </c>
      <c r="C93" s="175" t="s">
        <v>181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182</v>
      </c>
      <c r="C94" s="175" t="s">
        <v>181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182</v>
      </c>
      <c r="C95" s="175" t="s">
        <v>181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8" priority="1" stopIfTrue="1" operator="greaterThan">
      <formula>0</formula>
    </cfRule>
    <cfRule type="cellIs" dxfId="17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299"/>
      <c r="K2" s="26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3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28"/>
      <c r="L4" s="196"/>
      <c r="M4" s="196"/>
      <c r="N4" s="196"/>
      <c r="O4" s="261" t="e">
        <f ca="1">_xll.RData(O5:O18,P4:S4,"RTFEED:IDN",ReutersRtMode,,P5)</f>
        <v>#NAME?</v>
      </c>
      <c r="P4" s="327" t="s">
        <v>228</v>
      </c>
      <c r="Q4" s="327" t="s">
        <v>227</v>
      </c>
      <c r="R4" s="327" t="s">
        <v>245</v>
      </c>
      <c r="S4" s="327" t="s">
        <v>263</v>
      </c>
      <c r="T4" s="292" t="s">
        <v>262</v>
      </c>
      <c r="U4" s="266"/>
      <c r="V4" s="294" t="s">
        <v>258</v>
      </c>
      <c r="W4" s="266"/>
      <c r="X4" s="508" t="s">
        <v>256</v>
      </c>
      <c r="Y4" s="92" t="s">
        <v>255</v>
      </c>
      <c r="Z4" s="220"/>
      <c r="AB4" s="325" t="s">
        <v>261</v>
      </c>
    </row>
    <row r="5" spans="1:28" x14ac:dyDescent="0.2">
      <c r="A5" s="121"/>
      <c r="B5" s="195"/>
      <c r="C5" s="76">
        <v>2</v>
      </c>
      <c r="D5" s="75" t="s">
        <v>200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USD2X1S_Quote#0002</v>
      </c>
      <c r="G5" s="25" t="str">
        <f>_xll.ohRangeRetrieveError(F5)</f>
        <v/>
      </c>
      <c r="H5" s="47"/>
      <c r="J5" s="121"/>
      <c r="K5" s="265"/>
      <c r="L5" s="319">
        <v>2</v>
      </c>
      <c r="M5" s="319" t="s">
        <v>200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39">
        <f t="array" ref="X5:X18">QuoteStatic</f>
        <v>0.17199999999999999</v>
      </c>
      <c r="Y5" s="263" t="e">
        <f>_xll.qlSimpleQuoteSetValue(F5,X5/100,Trigger)</f>
        <v>#N/A</v>
      </c>
      <c r="Z5" s="220"/>
      <c r="AB5" s="301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200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USD3X1S_Quote#0002</v>
      </c>
      <c r="G6" s="191" t="str">
        <f>_xll.ohRangeRetrieveError(F6)</f>
        <v/>
      </c>
      <c r="H6" s="47"/>
      <c r="J6" s="121"/>
      <c r="K6" s="265"/>
      <c r="L6" s="319">
        <v>3</v>
      </c>
      <c r="M6" s="319" t="s">
        <v>200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39">
        <v>0.17399999999999999</v>
      </c>
      <c r="Y6" s="263" t="e">
        <f>_xll.qlSimpleQuoteSetValue(F6,X6/100,Trigger)</f>
        <v>#N/A</v>
      </c>
      <c r="Z6" s="220"/>
      <c r="AB6" s="301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200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USD4X1S_Quote#0002</v>
      </c>
      <c r="G7" s="191" t="str">
        <f>_xll.ohRangeRetrieveError(F7)</f>
        <v/>
      </c>
      <c r="H7" s="47"/>
      <c r="J7" s="121"/>
      <c r="K7" s="265"/>
      <c r="L7" s="319">
        <v>4</v>
      </c>
      <c r="M7" s="319" t="s">
        <v>200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39">
        <v>0.17699999999999999</v>
      </c>
      <c r="Y7" s="263" t="e">
        <f>_xll.qlSimpleQuoteSetValue(F7,X7/100,Trigger)</f>
        <v>#N/A</v>
      </c>
      <c r="Z7" s="220"/>
      <c r="AB7" s="301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200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USD5X1S_Quote#0002</v>
      </c>
      <c r="G8" s="191" t="str">
        <f>_xll.ohRangeRetrieveError(F8)</f>
        <v/>
      </c>
      <c r="H8" s="47"/>
      <c r="J8" s="121"/>
      <c r="K8" s="265"/>
      <c r="L8" s="319">
        <v>5</v>
      </c>
      <c r="M8" s="319" t="s">
        <v>200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39">
        <v>0.18</v>
      </c>
      <c r="Y8" s="263" t="e">
        <f>_xll.qlSimpleQuoteSetValue(F8,X8/100,Trigger)</f>
        <v>#N/A</v>
      </c>
      <c r="Z8" s="220"/>
      <c r="AB8" s="301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200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USD6X1S_Quote#0002</v>
      </c>
      <c r="G9" s="191" t="str">
        <f>_xll.ohRangeRetrieveError(F9)</f>
        <v/>
      </c>
      <c r="H9" s="47"/>
      <c r="J9" s="121"/>
      <c r="K9" s="265"/>
      <c r="L9" s="319">
        <v>6</v>
      </c>
      <c r="M9" s="319" t="s">
        <v>200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39">
        <v>0.185</v>
      </c>
      <c r="Y9" s="263" t="e">
        <f>_xll.qlSimpleQuoteSetValue(F9,X9/100,Trigger)</f>
        <v>#N/A</v>
      </c>
      <c r="Z9" s="220"/>
      <c r="AB9" s="301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200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USD7X1S_Quote#0002</v>
      </c>
      <c r="G10" s="191" t="str">
        <f>_xll.ohRangeRetrieveError(F10)</f>
        <v/>
      </c>
      <c r="H10" s="47"/>
      <c r="J10" s="121"/>
      <c r="K10" s="265"/>
      <c r="L10" s="319">
        <v>7</v>
      </c>
      <c r="M10" s="319" t="s">
        <v>200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39">
        <v>0.19</v>
      </c>
      <c r="Y10" s="263" t="e">
        <f>_xll.qlSimpleQuoteSetValue(F10,X10/100,Trigger)</f>
        <v>#N/A</v>
      </c>
      <c r="Z10" s="220"/>
      <c r="AB10" s="301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200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USD8X1S_Quote#0002</v>
      </c>
      <c r="G11" s="191" t="str">
        <f>_xll.ohRangeRetrieveError(F11)</f>
        <v/>
      </c>
      <c r="H11" s="47"/>
      <c r="J11" s="121"/>
      <c r="K11" s="265"/>
      <c r="L11" s="319">
        <v>8</v>
      </c>
      <c r="M11" s="319" t="s">
        <v>200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39">
        <v>0.19500000000000001</v>
      </c>
      <c r="Y11" s="263" t="e">
        <f>_xll.qlSimpleQuoteSetValue(F11,X11/100,Trigger)</f>
        <v>#N/A</v>
      </c>
      <c r="Z11" s="220"/>
      <c r="AB11" s="301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200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USD9X1S_Quote#0002</v>
      </c>
      <c r="G12" s="191" t="str">
        <f>_xll.ohRangeRetrieveError(F12)</f>
        <v/>
      </c>
      <c r="H12" s="47"/>
      <c r="J12" s="121"/>
      <c r="K12" s="265"/>
      <c r="L12" s="319">
        <v>9</v>
      </c>
      <c r="M12" s="319" t="s">
        <v>200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39">
        <v>0.20100000000000001</v>
      </c>
      <c r="Y12" s="263" t="e">
        <f>_xll.qlSimpleQuoteSetValue(F12,X12/100,Trigger)</f>
        <v>#N/A</v>
      </c>
      <c r="Z12" s="220"/>
      <c r="AB12" s="301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200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USD10X1S_Quote#0002</v>
      </c>
      <c r="G13" s="191" t="str">
        <f>_xll.ohRangeRetrieveError(F13)</f>
        <v/>
      </c>
      <c r="H13" s="47"/>
      <c r="J13" s="121"/>
      <c r="K13" s="265"/>
      <c r="L13" s="319">
        <v>10</v>
      </c>
      <c r="M13" s="319" t="s">
        <v>200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39">
        <v>0.20700000000000002</v>
      </c>
      <c r="Y13" s="263" t="e">
        <f>_xll.qlSimpleQuoteSetValue(F13,X13/100,Trigger)</f>
        <v>#N/A</v>
      </c>
      <c r="Z13" s="220"/>
      <c r="AB13" s="301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200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USD11X1S_Quote#0002</v>
      </c>
      <c r="G14" s="191" t="str">
        <f>_xll.ohRangeRetrieveError(F14)</f>
        <v/>
      </c>
      <c r="H14" s="47"/>
      <c r="J14" s="121"/>
      <c r="K14" s="265"/>
      <c r="L14" s="319">
        <v>11</v>
      </c>
      <c r="M14" s="319" t="s">
        <v>200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39">
        <v>0.21299999999999999</v>
      </c>
      <c r="Y14" s="263" t="e">
        <f>_xll.qlSimpleQuoteSetValue(F14,X14/100,Trigger)</f>
        <v>#N/A</v>
      </c>
      <c r="Z14" s="220"/>
      <c r="AB14" s="301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200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USD12X1S_Quote#0002</v>
      </c>
      <c r="G15" s="191" t="str">
        <f>_xll.ohRangeRetrieveError(F15)</f>
        <v/>
      </c>
      <c r="H15" s="47"/>
      <c r="J15" s="121"/>
      <c r="K15" s="265"/>
      <c r="L15" s="319">
        <v>12</v>
      </c>
      <c r="M15" s="319" t="s">
        <v>200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39">
        <v>0.22</v>
      </c>
      <c r="Y15" s="263" t="e">
        <f>_xll.qlSimpleQuoteSetValue(F15,X15/100,Trigger)</f>
        <v>#N/A</v>
      </c>
      <c r="Z15" s="220"/>
      <c r="AB15" s="301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19">
        <v>15</v>
      </c>
      <c r="M16" s="319" t="s">
        <v>200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39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19">
        <v>18</v>
      </c>
      <c r="M17" s="319" t="s">
        <v>200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39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19">
        <v>24</v>
      </c>
      <c r="M18" s="319" t="s">
        <v>200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2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2"/>
    </row>
  </sheetData>
  <conditionalFormatting sqref="Y5:Y18">
    <cfRule type="cellIs" dxfId="16" priority="1" stopIfTrue="1" operator="greaterThan">
      <formula>0</formula>
    </cfRule>
    <cfRule type="cellIs" dxfId="15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299"/>
      <c r="K2" s="13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_xll.ohTrigger(Y5:Y11)</f>
        <v>2</v>
      </c>
      <c r="Z3" s="220"/>
    </row>
    <row r="4" spans="1:28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28"/>
      <c r="L4" s="196"/>
      <c r="M4" s="196"/>
      <c r="N4" s="196"/>
      <c r="O4" s="261" t="e">
        <f ca="1">_xll.RData(O5:O11,P4:S4,"RTFEED:IDN",ReutersRtMode,,P5)</f>
        <v>#NAME?</v>
      </c>
      <c r="P4" s="327" t="s">
        <v>228</v>
      </c>
      <c r="Q4" s="327" t="s">
        <v>227</v>
      </c>
      <c r="R4" s="327" t="s">
        <v>245</v>
      </c>
      <c r="S4" s="327" t="s">
        <v>263</v>
      </c>
      <c r="T4" s="292" t="s">
        <v>262</v>
      </c>
      <c r="U4" s="266"/>
      <c r="V4" s="294" t="s">
        <v>258</v>
      </c>
      <c r="W4" s="266"/>
      <c r="X4" s="508" t="s">
        <v>256</v>
      </c>
      <c r="Y4" s="92" t="s">
        <v>255</v>
      </c>
      <c r="Z4" s="220"/>
      <c r="AB4" s="325" t="s">
        <v>261</v>
      </c>
    </row>
    <row r="5" spans="1:28" x14ac:dyDescent="0.2">
      <c r="A5" s="121"/>
      <c r="B5" s="203"/>
      <c r="C5" s="75" t="s">
        <v>201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USD1S12_Quote#0002</v>
      </c>
      <c r="G5" s="25" t="str">
        <f>_xll.ohRangeRetrieveError(F5)</f>
        <v/>
      </c>
      <c r="H5" s="47"/>
      <c r="J5" s="121"/>
      <c r="K5" s="265"/>
      <c r="L5" s="319" t="s">
        <v>201</v>
      </c>
      <c r="M5" s="319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39">
        <f t="array" ref="X5:X11">QuoteLive</f>
        <v>0.317</v>
      </c>
      <c r="Y5" s="263" t="e">
        <f>_xll.qlSimpleQuoteSetValue(F5,X5/100,Trigger)</f>
        <v>#N/A</v>
      </c>
      <c r="Z5" s="220"/>
      <c r="AB5" s="301">
        <f t="shared" ref="AB5:AB11" si="2">(Q5-T5)/50</f>
        <v>5.0000000000000044E-4</v>
      </c>
    </row>
    <row r="6" spans="1:28" x14ac:dyDescent="0.2">
      <c r="A6" s="121"/>
      <c r="B6" s="202"/>
      <c r="C6" s="192" t="s">
        <v>202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USD2S12_Quote#0002</v>
      </c>
      <c r="G6" s="191" t="str">
        <f>_xll.ohRangeRetrieveError(F6)</f>
        <v/>
      </c>
      <c r="H6" s="47"/>
      <c r="J6" s="121"/>
      <c r="K6" s="265"/>
      <c r="L6" s="319" t="s">
        <v>202</v>
      </c>
      <c r="M6" s="319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39">
        <v>0.36899999999999999</v>
      </c>
      <c r="Y6" s="263" t="e">
        <f>_xll.qlSimpleQuoteSetValue(F6,X6/100,Trigger)</f>
        <v>#N/A</v>
      </c>
      <c r="Z6" s="220"/>
      <c r="AB6" s="301">
        <f t="shared" si="2"/>
        <v>5.0000000000000044E-4</v>
      </c>
    </row>
    <row r="7" spans="1:28" x14ac:dyDescent="0.2">
      <c r="A7" s="121"/>
      <c r="B7" s="202"/>
      <c r="C7" s="192" t="s">
        <v>204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USD3S12_Quote#0002</v>
      </c>
      <c r="G7" s="191" t="str">
        <f>_xll.ohRangeRetrieveError(F7)</f>
        <v/>
      </c>
      <c r="H7" s="47"/>
      <c r="J7" s="121"/>
      <c r="K7" s="265"/>
      <c r="L7" s="319" t="s">
        <v>204</v>
      </c>
      <c r="M7" s="319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39">
        <v>0.436</v>
      </c>
      <c r="Y7" s="263" t="e">
        <f>_xll.qlSimpleQuoteSetValue(F7,X7/100,Trigger)</f>
        <v>#N/A</v>
      </c>
      <c r="Z7" s="220"/>
      <c r="AB7" s="301">
        <f t="shared" si="2"/>
        <v>5.0000000000000044E-4</v>
      </c>
    </row>
    <row r="8" spans="1:28" x14ac:dyDescent="0.2">
      <c r="A8" s="121"/>
      <c r="B8" s="202"/>
      <c r="C8" s="192" t="s">
        <v>203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USD4S12_Quote#0002</v>
      </c>
      <c r="G8" s="191" t="str">
        <f>_xll.ohRangeRetrieveError(F8)</f>
        <v/>
      </c>
      <c r="H8" s="47"/>
      <c r="J8" s="121"/>
      <c r="K8" s="265"/>
      <c r="L8" s="319" t="s">
        <v>203</v>
      </c>
      <c r="M8" s="319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39">
        <v>0.52100000000000002</v>
      </c>
      <c r="Y8" s="263" t="e">
        <f>_xll.qlSimpleQuoteSetValue(F8,X8/100,Trigger)</f>
        <v>#N/A</v>
      </c>
      <c r="Z8" s="220"/>
      <c r="AB8" s="301">
        <f t="shared" si="2"/>
        <v>5.0000000000000044E-4</v>
      </c>
    </row>
    <row r="9" spans="1:28" x14ac:dyDescent="0.2">
      <c r="A9" s="121"/>
      <c r="B9" s="202"/>
      <c r="C9" s="192" t="s">
        <v>201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USD1S24_Quote#0002</v>
      </c>
      <c r="G9" s="191" t="str">
        <f>_xll.ohRangeRetrieveError(F9)</f>
        <v/>
      </c>
      <c r="H9" s="47"/>
      <c r="J9" s="121"/>
      <c r="K9" s="265"/>
      <c r="L9" s="319" t="s">
        <v>201</v>
      </c>
      <c r="M9" s="319">
        <v>24</v>
      </c>
      <c r="N9" s="269" t="str">
        <f t="shared" si="1"/>
        <v>USD1S24</v>
      </c>
      <c r="O9" s="269" t="str">
        <v>USD1S24=ICAP</v>
      </c>
      <c r="P9" s="264" t="s">
        <v>240</v>
      </c>
      <c r="Q9" s="264" t="s">
        <v>240</v>
      </c>
      <c r="R9" s="264" t="s">
        <v>240</v>
      </c>
      <c r="S9" s="264" t="s">
        <v>240</v>
      </c>
      <c r="T9" s="268" t="e">
        <f>_xll.qlMidSafe($P9,$Q9)</f>
        <v>#NUM!</v>
      </c>
      <c r="U9" s="266"/>
      <c r="V9" s="267" t="e">
        <v>#NUM!</v>
      </c>
      <c r="W9" s="266"/>
      <c r="X9" s="339" t="e">
        <v>#NUM!</v>
      </c>
      <c r="Y9" s="263" t="e">
        <f>_xll.qlSimpleQuoteSetValue(F9,X9/100,Trigger)</f>
        <v>#NUM!</v>
      </c>
      <c r="Z9" s="220"/>
      <c r="AB9" s="301" t="e">
        <f t="shared" si="2"/>
        <v>#VALUE!</v>
      </c>
    </row>
    <row r="10" spans="1:28" x14ac:dyDescent="0.2">
      <c r="A10" s="121"/>
      <c r="B10" s="202"/>
      <c r="C10" s="192" t="s">
        <v>202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USD2S24_Quote#0002</v>
      </c>
      <c r="G10" s="191" t="str">
        <f>_xll.ohRangeRetrieveError(F10)</f>
        <v/>
      </c>
      <c r="H10" s="47"/>
      <c r="J10" s="121"/>
      <c r="K10" s="265"/>
      <c r="L10" s="319" t="s">
        <v>202</v>
      </c>
      <c r="M10" s="319">
        <v>24</v>
      </c>
      <c r="N10" s="269" t="str">
        <f t="shared" si="1"/>
        <v>USD2S24</v>
      </c>
      <c r="O10" s="269" t="str">
        <v>USD2S24=ICAP</v>
      </c>
      <c r="P10" s="264" t="s">
        <v>240</v>
      </c>
      <c r="Q10" s="264" t="s">
        <v>240</v>
      </c>
      <c r="R10" s="264" t="s">
        <v>240</v>
      </c>
      <c r="S10" s="264" t="s">
        <v>240</v>
      </c>
      <c r="T10" s="268" t="e">
        <f>_xll.qlMidSafe($P10,$Q10)</f>
        <v>#NUM!</v>
      </c>
      <c r="U10" s="266"/>
      <c r="V10" s="267" t="e">
        <v>#NUM!</v>
      </c>
      <c r="W10" s="266"/>
      <c r="X10" s="339" t="e">
        <v>#NUM!</v>
      </c>
      <c r="Y10" s="263" t="e">
        <f>_xll.qlSimpleQuoteSetValue(F10,X10/100,Trigger)</f>
        <v>#NUM!</v>
      </c>
      <c r="Z10" s="220"/>
      <c r="AB10" s="301" t="e">
        <f t="shared" si="2"/>
        <v>#VALUE!</v>
      </c>
    </row>
    <row r="11" spans="1:28" x14ac:dyDescent="0.2">
      <c r="A11" s="121"/>
      <c r="B11" s="202"/>
      <c r="C11" s="192" t="s">
        <v>201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USD1S36_Quote#0002</v>
      </c>
      <c r="G11" s="191" t="str">
        <f>_xll.ohRangeRetrieveError(F11)</f>
        <v/>
      </c>
      <c r="H11" s="47"/>
      <c r="J11" s="121"/>
      <c r="K11" s="278"/>
      <c r="L11" s="314" t="s">
        <v>201</v>
      </c>
      <c r="M11" s="314">
        <v>36</v>
      </c>
      <c r="N11" s="281" t="str">
        <f t="shared" si="1"/>
        <v>USD1S36</v>
      </c>
      <c r="O11" s="281" t="str">
        <v>USD1S36=ICAP</v>
      </c>
      <c r="P11" s="277" t="s">
        <v>240</v>
      </c>
      <c r="Q11" s="277" t="s">
        <v>240</v>
      </c>
      <c r="R11" s="277" t="s">
        <v>240</v>
      </c>
      <c r="S11" s="277" t="s">
        <v>240</v>
      </c>
      <c r="T11" s="280" t="e">
        <f>_xll.qlMidSafe($P11,$Q11)</f>
        <v>#NUM!</v>
      </c>
      <c r="U11" s="266"/>
      <c r="V11" s="279" t="e">
        <v>#NUM!</v>
      </c>
      <c r="W11" s="266"/>
      <c r="X11" s="332" t="e">
        <v>#NUM!</v>
      </c>
      <c r="Y11" s="276" t="e">
        <f>_xll.qlSimpleQuoteSetValue(F11,X11/100,Trigger)</f>
        <v>#NUM!</v>
      </c>
      <c r="Z11" s="220"/>
      <c r="AB11" s="301" t="e">
        <f t="shared" si="2"/>
        <v>#VALUE!</v>
      </c>
    </row>
    <row r="12" spans="1:28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302"/>
    </row>
  </sheetData>
  <conditionalFormatting sqref="Y5:Y11">
    <cfRule type="cellIs" dxfId="14" priority="1" stopIfTrue="1" operator="greaterThan">
      <formula>0</formula>
    </cfRule>
    <cfRule type="cellIs" dxfId="13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12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0" t="s">
        <v>307</v>
      </c>
      <c r="O1" s="355"/>
      <c r="P1" s="355"/>
      <c r="Q1" s="355"/>
      <c r="R1" s="201"/>
      <c r="S1" s="201" t="s">
        <v>282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299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33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212</v>
      </c>
      <c r="B4" s="201"/>
      <c r="C4" s="201"/>
      <c r="D4" s="201"/>
      <c r="E4" s="199"/>
      <c r="F4" s="200"/>
      <c r="G4" s="199"/>
      <c r="H4" s="198"/>
      <c r="N4" s="121"/>
      <c r="O4" s="328"/>
      <c r="P4" s="196"/>
      <c r="Q4" s="196"/>
      <c r="R4" s="196"/>
      <c r="S4" s="261" t="e">
        <f ca="1">_xll.RData(S5:S42,T4:W4,"RTFEED:IDN",ReutersRtMode,,T5)</f>
        <v>#NAME?</v>
      </c>
      <c r="T4" s="327" t="s">
        <v>228</v>
      </c>
      <c r="U4" s="327" t="s">
        <v>227</v>
      </c>
      <c r="V4" s="327" t="s">
        <v>245</v>
      </c>
      <c r="W4" s="327" t="s">
        <v>263</v>
      </c>
      <c r="X4" s="292" t="s">
        <v>262</v>
      </c>
      <c r="Y4" s="266"/>
      <c r="Z4" s="294" t="s">
        <v>258</v>
      </c>
      <c r="AA4" s="266"/>
      <c r="AB4" s="508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261</v>
      </c>
    </row>
    <row r="5" spans="1:36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210</v>
      </c>
      <c r="K5" s="209" t="s">
        <v>209</v>
      </c>
      <c r="L5" s="208" t="s">
        <v>208</v>
      </c>
      <c r="N5" s="121"/>
      <c r="O5" s="270" t="s">
        <v>35</v>
      </c>
      <c r="P5" s="319" t="str">
        <f t="array" ref="P5:P42">VLOOKUP(Currency,Conventions,2)</f>
        <v>AM</v>
      </c>
      <c r="Q5" s="319" t="str">
        <f t="array" ref="Q5:Q42">VLOOKUP(Currency,Conventions,3)</f>
        <v>3L</v>
      </c>
      <c r="R5" s="317" t="str">
        <f t="shared" ref="R5:R42" si="0">Currency&amp;$P5&amp;$Q5&amp;$O5</f>
        <v>USDAM3L6M</v>
      </c>
      <c r="S5" s="317" t="str">
        <f t="array" ref="S5:S42">Instruments&amp;"="&amp;VLOOKUP(Contributor,ContributorTable,2,FALSE)</f>
        <v>USDAM3L6M=ICAP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 t="e">
        <v>#NUM!</v>
      </c>
      <c r="AA5" s="266"/>
      <c r="AB5" s="339" t="e">
        <f t="array" ref="AB5:AB42">QuoteStatic</f>
        <v>#NUM!</v>
      </c>
      <c r="AC5" s="542" t="e">
        <f ca="1">_xll.qlSimpleQuoteSetValue(F5,AB5/100,Trigger)</f>
        <v>#NUM!</v>
      </c>
      <c r="AD5" s="220"/>
      <c r="AE5" s="21"/>
      <c r="AF5" s="380" t="s">
        <v>131</v>
      </c>
      <c r="AG5" s="86" t="s">
        <v>207</v>
      </c>
      <c r="AH5" s="85" t="s">
        <v>124</v>
      </c>
      <c r="AI5" s="21"/>
      <c r="AJ5" s="301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USDAM3L1Y_Quote#0002</v>
      </c>
      <c r="G6" s="25" t="str">
        <f>_xll.ohRangeRetrieveError(F6)</f>
        <v/>
      </c>
      <c r="H6" s="47"/>
      <c r="J6" s="207" t="s">
        <v>131</v>
      </c>
      <c r="K6" s="83" t="s">
        <v>207</v>
      </c>
      <c r="L6" s="82" t="s">
        <v>124</v>
      </c>
      <c r="N6" s="121"/>
      <c r="O6" s="270" t="s">
        <v>29</v>
      </c>
      <c r="P6" s="319" t="str">
        <v>AM</v>
      </c>
      <c r="Q6" s="319" t="str">
        <v>3L</v>
      </c>
      <c r="R6" s="317" t="str">
        <f t="shared" si="0"/>
        <v>USDAM3L1Y</v>
      </c>
      <c r="S6" s="317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39">
        <v>0.29400000000000004</v>
      </c>
      <c r="AC6" s="263" t="e">
        <f>_xll.qlSimpleQuoteSetValue(F6,AB6/100,Trigger)</f>
        <v>#N/A</v>
      </c>
      <c r="AD6" s="220"/>
      <c r="AE6" s="21"/>
      <c r="AF6" s="207" t="s">
        <v>130</v>
      </c>
      <c r="AG6" s="83" t="s">
        <v>207</v>
      </c>
      <c r="AH6" s="82" t="s">
        <v>136</v>
      </c>
      <c r="AI6" s="21"/>
      <c r="AJ6" s="301">
        <f t="shared" si="1"/>
        <v>2.9999999999999916E-4</v>
      </c>
    </row>
    <row r="7" spans="1:36" x14ac:dyDescent="0.2">
      <c r="A7" s="121"/>
      <c r="B7" s="194" t="s">
        <v>134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USDAM3L15M_Quote#0002</v>
      </c>
      <c r="G7" s="191" t="str">
        <f>_xll.ohRangeRetrieveError(F7)</f>
        <v/>
      </c>
      <c r="H7" s="47"/>
      <c r="J7" s="207" t="s">
        <v>130</v>
      </c>
      <c r="K7" s="83" t="s">
        <v>207</v>
      </c>
      <c r="L7" s="82" t="s">
        <v>136</v>
      </c>
      <c r="N7" s="121"/>
      <c r="O7" s="270" t="s">
        <v>134</v>
      </c>
      <c r="P7" s="319" t="str">
        <v>AM</v>
      </c>
      <c r="Q7" s="319" t="str">
        <v>3L</v>
      </c>
      <c r="R7" s="317" t="str">
        <f t="shared" si="0"/>
        <v>USDAM3L15M</v>
      </c>
      <c r="S7" s="317" t="str">
        <v>USDAM3L15M=ICAP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_xll.qlMidSafe($T7,$U7)</f>
        <v>#NUM!</v>
      </c>
      <c r="Y7" s="266"/>
      <c r="Z7" s="267" t="e">
        <v>#NUM!</v>
      </c>
      <c r="AA7" s="266"/>
      <c r="AB7" s="339" t="e">
        <v>#NUM!</v>
      </c>
      <c r="AC7" s="263" t="e">
        <f>_xll.qlSimpleQuoteSetValue(F7,AB7/100,Trigger)</f>
        <v>#NUM!</v>
      </c>
      <c r="AD7" s="220"/>
      <c r="AE7" s="21"/>
      <c r="AF7" s="207" t="s">
        <v>127</v>
      </c>
      <c r="AG7" s="83" t="s">
        <v>205</v>
      </c>
      <c r="AH7" s="82" t="s">
        <v>124</v>
      </c>
      <c r="AI7" s="21"/>
      <c r="AJ7" s="301" t="e">
        <f t="shared" si="1"/>
        <v>#VALUE!</v>
      </c>
    </row>
    <row r="8" spans="1:36" x14ac:dyDescent="0.2">
      <c r="A8" s="121"/>
      <c r="B8" s="194" t="s">
        <v>133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USDAM3L18M_Quote#0002</v>
      </c>
      <c r="G8" s="191" t="str">
        <f>_xll.ohRangeRetrieveError(F8)</f>
        <v/>
      </c>
      <c r="H8" s="47"/>
      <c r="J8" s="207" t="s">
        <v>127</v>
      </c>
      <c r="K8" s="83" t="s">
        <v>205</v>
      </c>
      <c r="L8" s="82" t="s">
        <v>124</v>
      </c>
      <c r="N8" s="121"/>
      <c r="O8" s="270" t="s">
        <v>133</v>
      </c>
      <c r="P8" s="319" t="str">
        <v>AM</v>
      </c>
      <c r="Q8" s="319" t="str">
        <v>3L</v>
      </c>
      <c r="R8" s="317" t="str">
        <f t="shared" si="0"/>
        <v>USDAM3L18M</v>
      </c>
      <c r="S8" s="317" t="str">
        <v>USDAM3L18M=ICAP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_xll.qlMidSafe($T8,$U8)</f>
        <v>#NUM!</v>
      </c>
      <c r="Y8" s="266"/>
      <c r="Z8" s="267" t="e">
        <v>#NUM!</v>
      </c>
      <c r="AA8" s="266"/>
      <c r="AB8" s="339" t="e">
        <v>#NUM!</v>
      </c>
      <c r="AC8" s="263" t="e">
        <f>_xll.qlSimpleQuoteSetValue(F8,AB8/100,Trigger)</f>
        <v>#NUM!</v>
      </c>
      <c r="AD8" s="220"/>
      <c r="AE8" s="21"/>
      <c r="AF8" s="207" t="s">
        <v>126</v>
      </c>
      <c r="AG8" s="83" t="s">
        <v>206</v>
      </c>
      <c r="AH8" s="82" t="s">
        <v>124</v>
      </c>
      <c r="AI8" s="21"/>
      <c r="AJ8" s="301" t="e">
        <f t="shared" si="1"/>
        <v>#VALUE!</v>
      </c>
    </row>
    <row r="9" spans="1:36" ht="13.5" thickBot="1" x14ac:dyDescent="0.25">
      <c r="A9" s="121"/>
      <c r="B9" s="194" t="s">
        <v>132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USDAM3L21M_Quote#0002</v>
      </c>
      <c r="G9" s="191" t="str">
        <f>_xll.ohRangeRetrieveError(F9)</f>
        <v/>
      </c>
      <c r="H9" s="47"/>
      <c r="J9" s="207" t="s">
        <v>126</v>
      </c>
      <c r="K9" s="83" t="s">
        <v>206</v>
      </c>
      <c r="L9" s="82" t="s">
        <v>124</v>
      </c>
      <c r="N9" s="121"/>
      <c r="O9" s="270" t="s">
        <v>132</v>
      </c>
      <c r="P9" s="319" t="str">
        <v>AM</v>
      </c>
      <c r="Q9" s="319" t="str">
        <v>3L</v>
      </c>
      <c r="R9" s="317" t="str">
        <f t="shared" si="0"/>
        <v>USDAM3L21M</v>
      </c>
      <c r="S9" s="317" t="str">
        <v>USDAM3L21M=ICAP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_xll.qlMidSafe($T9,$U9)</f>
        <v>#NUM!</v>
      </c>
      <c r="Y9" s="266"/>
      <c r="Z9" s="267" t="e">
        <v>#NUM!</v>
      </c>
      <c r="AA9" s="266"/>
      <c r="AB9" s="339" t="e">
        <v>#NUM!</v>
      </c>
      <c r="AC9" s="263" t="e">
        <f>_xll.qlSimpleQuoteSetValue(F9,AB9/100,Trigger)</f>
        <v>#NUM!</v>
      </c>
      <c r="AD9" s="220"/>
      <c r="AE9" s="21"/>
      <c r="AF9" s="206" t="s">
        <v>121</v>
      </c>
      <c r="AG9" s="80" t="s">
        <v>205</v>
      </c>
      <c r="AH9" s="79" t="s">
        <v>124</v>
      </c>
      <c r="AI9" s="21"/>
      <c r="AJ9" s="301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USDAM3L2Y_Quote#0002</v>
      </c>
      <c r="G10" s="191" t="str">
        <f>_xll.ohRangeRetrieveError(F10)</f>
        <v/>
      </c>
      <c r="H10" s="47"/>
      <c r="J10" s="206" t="s">
        <v>121</v>
      </c>
      <c r="K10" s="80" t="s">
        <v>205</v>
      </c>
      <c r="L10" s="79" t="s">
        <v>124</v>
      </c>
      <c r="N10" s="121"/>
      <c r="O10" s="270" t="s">
        <v>108</v>
      </c>
      <c r="P10" s="319" t="str">
        <v>AM</v>
      </c>
      <c r="Q10" s="319" t="str">
        <v>3L</v>
      </c>
      <c r="R10" s="317" t="str">
        <f t="shared" si="0"/>
        <v>USDAM3L2Y</v>
      </c>
      <c r="S10" s="317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39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1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USDAM3L3Y_Quote#0002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17" t="str">
        <f t="shared" si="0"/>
        <v>USDAM3L3Y</v>
      </c>
      <c r="S11" s="317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39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1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USDAM3L4Y_Quote#0002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17" t="str">
        <f t="shared" si="0"/>
        <v>USDAM3L4Y</v>
      </c>
      <c r="S12" s="317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39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1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USDAM3L5Y_Quote#0002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17" t="str">
        <f t="shared" si="0"/>
        <v>USDAM3L5Y</v>
      </c>
      <c r="S13" s="317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39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1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USDAM3L6Y_Quote#0002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17" t="str">
        <f t="shared" si="0"/>
        <v>USDAM3L6Y</v>
      </c>
      <c r="S14" s="317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39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1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USDAM3L7Y_Quote#0002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17" t="str">
        <f t="shared" si="0"/>
        <v>USDAM3L7Y</v>
      </c>
      <c r="S15" s="317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39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1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USDAM3L8Y_Quote#0002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17" t="str">
        <f t="shared" si="0"/>
        <v>USDAM3L8Y</v>
      </c>
      <c r="S16" s="317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39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1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USDAM3L9Y_Quote#0002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17" t="str">
        <f t="shared" si="0"/>
        <v>USDAM3L9Y</v>
      </c>
      <c r="S17" s="317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39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1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USDAM3L10Y_Quote#0002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17" t="str">
        <f t="shared" si="0"/>
        <v>USDAM3L10Y</v>
      </c>
      <c r="S18" s="317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39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1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USDAM3L11Y_Quote#0002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17" t="str">
        <f t="shared" si="0"/>
        <v>USDAM3L11Y</v>
      </c>
      <c r="S19" s="317" t="str">
        <v>USDAM3L11Y=ICAP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_xll.qlMidSafe($T19,$U19)</f>
        <v>#NUM!</v>
      </c>
      <c r="Y19" s="266"/>
      <c r="Z19" s="267" t="e">
        <v>#NUM!</v>
      </c>
      <c r="AA19" s="266"/>
      <c r="AB19" s="339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1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USDAM3L12Y_Quote#0002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17" t="str">
        <f t="shared" si="0"/>
        <v>USDAM3L12Y</v>
      </c>
      <c r="S20" s="317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39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1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USDAM3L13Y_Quote#0002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17" t="str">
        <f t="shared" si="0"/>
        <v>USDAM3L13Y</v>
      </c>
      <c r="S21" s="317" t="str">
        <v>USDAM3L13Y=ICAP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_xll.qlMidSafe($T21,$U21)</f>
        <v>#NUM!</v>
      </c>
      <c r="Y21" s="266"/>
      <c r="Z21" s="267" t="e">
        <v>#NUM!</v>
      </c>
      <c r="AA21" s="266"/>
      <c r="AB21" s="339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1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USDAM3L14Y_Quote#0002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17" t="str">
        <f t="shared" si="0"/>
        <v>USDAM3L14Y</v>
      </c>
      <c r="S22" s="317" t="str">
        <v>USDAM3L14Y=ICAP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_xll.qlMidSafe($T22,$U22)</f>
        <v>#NUM!</v>
      </c>
      <c r="Y22" s="266"/>
      <c r="Z22" s="267" t="e">
        <v>#NUM!</v>
      </c>
      <c r="AA22" s="266"/>
      <c r="AB22" s="339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1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USDAM3L15Y_Quote#0002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17" t="str">
        <f t="shared" si="0"/>
        <v>USDAM3L15Y</v>
      </c>
      <c r="S23" s="317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39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1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USDAM3L16Y_Quote#0002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17" t="str">
        <f t="shared" si="0"/>
        <v>USDAM3L16Y</v>
      </c>
      <c r="S24" s="317" t="str">
        <v>USDAM3L16Y=ICAP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_xll.qlMidSafe($T24,$U24)</f>
        <v>#NUM!</v>
      </c>
      <c r="Y24" s="266"/>
      <c r="Z24" s="267" t="e">
        <v>#NUM!</v>
      </c>
      <c r="AA24" s="266"/>
      <c r="AB24" s="339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1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USDAM3L17Y_Quote#0002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17" t="str">
        <f t="shared" si="0"/>
        <v>USDAM3L17Y</v>
      </c>
      <c r="S25" s="317" t="str">
        <v>USDAM3L17Y=ICAP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_xll.qlMidSafe($T25,$U25)</f>
        <v>#NUM!</v>
      </c>
      <c r="Y25" s="266"/>
      <c r="Z25" s="267" t="e">
        <v>#NUM!</v>
      </c>
      <c r="AA25" s="266"/>
      <c r="AB25" s="339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1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USDAM3L18Y_Quote#0002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17" t="str">
        <f t="shared" si="0"/>
        <v>USDAM3L18Y</v>
      </c>
      <c r="S26" s="317" t="str">
        <v>USDAM3L18Y=ICAP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_xll.qlMidSafe($T26,$U26)</f>
        <v>#NUM!</v>
      </c>
      <c r="Y26" s="266"/>
      <c r="Z26" s="267" t="e">
        <v>#NUM!</v>
      </c>
      <c r="AA26" s="266"/>
      <c r="AB26" s="339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1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USDAM3L19Y_Quote#0002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17" t="str">
        <f t="shared" si="0"/>
        <v>USDAM3L19Y</v>
      </c>
      <c r="S27" s="317" t="str">
        <v>USDAM3L19Y=ICAP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_xll.qlMidSafe($T27,$U27)</f>
        <v>#NUM!</v>
      </c>
      <c r="Y27" s="266"/>
      <c r="Z27" s="267" t="e">
        <v>#NUM!</v>
      </c>
      <c r="AA27" s="266"/>
      <c r="AB27" s="339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1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USDAM3L20Y_Quote#0002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17" t="str">
        <f t="shared" si="0"/>
        <v>USDAM3L20Y</v>
      </c>
      <c r="S28" s="317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39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1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USDAM3L21Y_Quote#0002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17" t="str">
        <f t="shared" si="0"/>
        <v>USDAM3L21Y</v>
      </c>
      <c r="S29" s="317" t="str">
        <v>USDAM3L21Y=ICAP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_xll.qlMidSafe($T29,$U29)</f>
        <v>#NUM!</v>
      </c>
      <c r="Y29" s="266"/>
      <c r="Z29" s="267" t="e">
        <v>#NUM!</v>
      </c>
      <c r="AA29" s="266"/>
      <c r="AB29" s="339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1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USDAM3L22Y_Quote#0002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17" t="str">
        <f t="shared" si="0"/>
        <v>USDAM3L22Y</v>
      </c>
      <c r="S30" s="317" t="str">
        <v>USDAM3L22Y=ICAP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_xll.qlMidSafe($T30,$U30)</f>
        <v>#NUM!</v>
      </c>
      <c r="Y30" s="266"/>
      <c r="Z30" s="267" t="e">
        <v>#NUM!</v>
      </c>
      <c r="AA30" s="266"/>
      <c r="AB30" s="339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1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USDAM3L23Y_Quote#0002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17" t="str">
        <f t="shared" si="0"/>
        <v>USDAM3L23Y</v>
      </c>
      <c r="S31" s="317" t="str">
        <v>USDAM3L23Y=ICAP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_xll.qlMidSafe($T31,$U31)</f>
        <v>#NUM!</v>
      </c>
      <c r="Y31" s="266"/>
      <c r="Z31" s="267" t="e">
        <v>#NUM!</v>
      </c>
      <c r="AA31" s="266"/>
      <c r="AB31" s="339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1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USDAM3L24Y_Quote#0002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17" t="str">
        <f t="shared" si="0"/>
        <v>USDAM3L24Y</v>
      </c>
      <c r="S32" s="317" t="str">
        <v>USDAM3L24Y=ICAP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_xll.qlMidSafe($T32,$U32)</f>
        <v>#NUM!</v>
      </c>
      <c r="Y32" s="266"/>
      <c r="Z32" s="267" t="e">
        <v>#NUM!</v>
      </c>
      <c r="AA32" s="266"/>
      <c r="AB32" s="339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1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USDAM3L25Y_Quote#0002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17" t="str">
        <f t="shared" si="0"/>
        <v>USDAM3L25Y</v>
      </c>
      <c r="S33" s="317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39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1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USDAM3L26Y_Quote#0002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17" t="str">
        <f t="shared" si="0"/>
        <v>USDAM3L26Y</v>
      </c>
      <c r="S34" s="317" t="str">
        <v>USDAM3L26Y=ICAP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_xll.qlMidSafe($T34,$U34)</f>
        <v>#NUM!</v>
      </c>
      <c r="Y34" s="266"/>
      <c r="Z34" s="267" t="e">
        <v>#NUM!</v>
      </c>
      <c r="AA34" s="266"/>
      <c r="AB34" s="339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1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USDAM3L27Y_Quote#0002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17" t="str">
        <f t="shared" si="0"/>
        <v>USDAM3L27Y</v>
      </c>
      <c r="S35" s="317" t="str">
        <v>USDAM3L27Y=ICAP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_xll.qlMidSafe($T35,$U35)</f>
        <v>#NUM!</v>
      </c>
      <c r="Y35" s="266"/>
      <c r="Z35" s="267" t="e">
        <v>#NUM!</v>
      </c>
      <c r="AA35" s="266"/>
      <c r="AB35" s="339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1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USDAM3L28Y_Quote#0002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17" t="str">
        <f t="shared" si="0"/>
        <v>USDAM3L28Y</v>
      </c>
      <c r="S36" s="317" t="str">
        <v>USDAM3L28Y=ICAP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_xll.qlMidSafe($T36,$U36)</f>
        <v>#NUM!</v>
      </c>
      <c r="Y36" s="266"/>
      <c r="Z36" s="267" t="e">
        <v>#NUM!</v>
      </c>
      <c r="AA36" s="266"/>
      <c r="AB36" s="339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1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USDAM3L29Y_Quote#0002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17" t="str">
        <f t="shared" si="0"/>
        <v>USDAM3L29Y</v>
      </c>
      <c r="S37" s="317" t="str">
        <v>USDAM3L29Y=ICAP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_xll.qlMidSafe($T37,$U37)</f>
        <v>#NUM!</v>
      </c>
      <c r="Y37" s="266"/>
      <c r="Z37" s="267" t="e">
        <v>#NUM!</v>
      </c>
      <c r="AA37" s="266"/>
      <c r="AB37" s="339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1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USDAM3L30Y_Quote#0002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17" t="str">
        <f t="shared" si="0"/>
        <v>USDAM3L30Y</v>
      </c>
      <c r="S38" s="317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39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1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USDAM3L35Y_Quote#0002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17" t="str">
        <f t="shared" si="0"/>
        <v>USDAM3L35Y</v>
      </c>
      <c r="S39" s="317" t="str">
        <v>USDAM3L35Y=ICAP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_xll.qlMidSafe($T39,$U39)</f>
        <v>#NUM!</v>
      </c>
      <c r="Y39" s="266"/>
      <c r="Z39" s="267" t="e">
        <v>#NUM!</v>
      </c>
      <c r="AA39" s="266"/>
      <c r="AB39" s="339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1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USDAM3L40Y_Quote#0002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17" t="str">
        <f t="shared" si="0"/>
        <v>USDAM3L40Y</v>
      </c>
      <c r="S40" s="317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39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1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USDAM3L50Y_Quote#0002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17" t="str">
        <f t="shared" si="0"/>
        <v>USDAM3L50Y</v>
      </c>
      <c r="S41" s="317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39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1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USDAM3L60Y_Quote#0002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2" t="str">
        <f t="shared" si="0"/>
        <v>USDAM3L60Y</v>
      </c>
      <c r="S42" s="312" t="str">
        <v>USDAM3L60Y=ICAP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_xll.qlMidSafe($T42,$U42)</f>
        <v>#NUM!</v>
      </c>
      <c r="Y42" s="266"/>
      <c r="Z42" s="279" t="e">
        <v>#NUM!</v>
      </c>
      <c r="AA42" s="266"/>
      <c r="AB42" s="332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1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12" priority="1" stopIfTrue="1" operator="greaterThan">
      <formula>0</formula>
    </cfRule>
    <cfRule type="cellIs" dxfId="11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J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2" width="9.140625" style="102"/>
    <col min="23" max="23" width="10.140625" style="102" customWidth="1"/>
    <col min="24" max="24" width="9.140625" style="102"/>
    <col min="25" max="25" width="2.7109375" style="102" customWidth="1"/>
    <col min="26" max="26" width="9.140625" style="102"/>
    <col min="27" max="27" width="2.7109375" style="102" customWidth="1"/>
    <col min="28" max="29" width="9.140625" style="102"/>
    <col min="30" max="31" width="2.7109375" style="102" customWidth="1"/>
    <col min="32" max="16384" width="9.140625" style="102"/>
  </cols>
  <sheetData>
    <row r="1" spans="1:36" ht="12" thickBot="1" x14ac:dyDescent="0.25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J2" s="210" t="s">
        <v>211</v>
      </c>
      <c r="K2" s="209" t="s">
        <v>209</v>
      </c>
      <c r="L2" s="208" t="s">
        <v>208</v>
      </c>
      <c r="N2" s="299"/>
      <c r="O2" s="136"/>
      <c r="P2" s="298"/>
      <c r="Q2" s="298"/>
      <c r="R2" s="298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2" thickBot="1" x14ac:dyDescent="0.25">
      <c r="J3" s="207" t="s">
        <v>131</v>
      </c>
      <c r="K3" s="216" t="s">
        <v>207</v>
      </c>
      <c r="L3" s="215" t="s">
        <v>125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33</v>
      </c>
      <c r="AD3" s="220"/>
      <c r="AE3" s="21"/>
      <c r="AF3" s="21"/>
      <c r="AG3" s="21"/>
      <c r="AH3" s="21"/>
      <c r="AI3" s="21"/>
      <c r="AJ3" s="21"/>
    </row>
    <row r="4" spans="1:36" ht="12" thickBot="1" x14ac:dyDescent="0.25">
      <c r="A4" s="219" t="s">
        <v>212</v>
      </c>
      <c r="B4" s="201"/>
      <c r="C4" s="201"/>
      <c r="D4" s="201"/>
      <c r="E4" s="154"/>
      <c r="F4" s="218"/>
      <c r="G4" s="154"/>
      <c r="H4" s="198"/>
      <c r="J4" s="207" t="s">
        <v>130</v>
      </c>
      <c r="K4" s="83" t="s">
        <v>207</v>
      </c>
      <c r="L4" s="82" t="s">
        <v>128</v>
      </c>
      <c r="N4" s="121"/>
      <c r="O4" s="382"/>
      <c r="P4" s="196"/>
      <c r="Q4" s="196"/>
      <c r="R4" s="196"/>
      <c r="S4" s="261" t="e">
        <f ca="1">_xll.RData(S5:S42,T4:W4,"RTFEED:IDN",ReutersRtMode,,T5)</f>
        <v>#NAME?</v>
      </c>
      <c r="T4" s="327" t="s">
        <v>228</v>
      </c>
      <c r="U4" s="327" t="s">
        <v>227</v>
      </c>
      <c r="V4" s="327" t="s">
        <v>245</v>
      </c>
      <c r="W4" s="327" t="s">
        <v>263</v>
      </c>
      <c r="X4" s="292" t="s">
        <v>262</v>
      </c>
      <c r="Y4" s="266"/>
      <c r="Z4" s="294" t="s">
        <v>258</v>
      </c>
      <c r="AA4" s="266"/>
      <c r="AB4" s="508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261</v>
      </c>
    </row>
    <row r="5" spans="1:36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127</v>
      </c>
      <c r="K5" s="83" t="s">
        <v>206</v>
      </c>
      <c r="L5" s="82" t="s">
        <v>125</v>
      </c>
      <c r="N5" s="121"/>
      <c r="O5" s="270" t="s">
        <v>35</v>
      </c>
      <c r="P5" s="319" t="str">
        <f t="array" ref="P5:P42">VLOOKUP(Currency,Conventions,2)</f>
        <v>AM</v>
      </c>
      <c r="Q5" s="319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>
        <v>0</v>
      </c>
      <c r="AA5" s="266"/>
      <c r="AB5" s="339" t="e">
        <f t="array" ref="AB5:AB42">QuoteLive</f>
        <v>#NUM!</v>
      </c>
      <c r="AC5" s="263" t="e">
        <f ca="1">_xll.qlSimpleQuoteSetValue(F5,AB5/100,Trigger)</f>
        <v>#NUM!</v>
      </c>
      <c r="AD5" s="220"/>
      <c r="AE5" s="21"/>
      <c r="AF5" s="380" t="s">
        <v>131</v>
      </c>
      <c r="AG5" s="86" t="s">
        <v>207</v>
      </c>
      <c r="AH5" s="85" t="s">
        <v>125</v>
      </c>
      <c r="AI5" s="21"/>
      <c r="AJ5" s="301" t="e">
        <f t="shared" ref="AJ5:AJ42" si="1">(U5-X5)/50</f>
        <v>#VALUE!</v>
      </c>
    </row>
    <row r="6" spans="1:36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2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USDAM6L1Y_Quote#0002</v>
      </c>
      <c r="G6" s="73" t="str">
        <f>_xll.ohRangeRetrieveError(F6)</f>
        <v/>
      </c>
      <c r="H6" s="47"/>
      <c r="J6" s="207" t="s">
        <v>126</v>
      </c>
      <c r="K6" s="216" t="s">
        <v>206</v>
      </c>
      <c r="L6" s="215" t="s">
        <v>125</v>
      </c>
      <c r="N6" s="121"/>
      <c r="O6" s="270" t="s">
        <v>29</v>
      </c>
      <c r="P6" s="319" t="str">
        <v>AM</v>
      </c>
      <c r="Q6" s="319" t="str">
        <v>6L</v>
      </c>
      <c r="R6" s="269" t="str">
        <f t="shared" si="0"/>
        <v>USDAM6L1Y</v>
      </c>
      <c r="S6" s="269" t="str">
        <v>USDAM6L1Y=ICAP</v>
      </c>
      <c r="T6" s="264" t="s">
        <v>240</v>
      </c>
      <c r="U6" s="264" t="s">
        <v>240</v>
      </c>
      <c r="V6" s="264" t="s">
        <v>240</v>
      </c>
      <c r="W6" s="264" t="s">
        <v>240</v>
      </c>
      <c r="X6" s="268" t="e">
        <f>_xll.qlMidSafe($T6,$U6)</f>
        <v>#NUM!</v>
      </c>
      <c r="Y6" s="266"/>
      <c r="Z6" s="267">
        <v>0</v>
      </c>
      <c r="AA6" s="266"/>
      <c r="AB6" s="339" t="e">
        <v>#NUM!</v>
      </c>
      <c r="AC6" s="263" t="e">
        <f>_xll.qlSimpleQuoteSetValue(F6,AB6/100,Trigger)</f>
        <v>#NUM!</v>
      </c>
      <c r="AD6" s="220"/>
      <c r="AE6" s="21"/>
      <c r="AF6" s="207" t="s">
        <v>130</v>
      </c>
      <c r="AG6" s="83" t="s">
        <v>207</v>
      </c>
      <c r="AH6" s="82" t="s">
        <v>128</v>
      </c>
      <c r="AI6" s="21"/>
      <c r="AJ6" s="301" t="e">
        <f t="shared" si="1"/>
        <v>#VALUE!</v>
      </c>
    </row>
    <row r="7" spans="1:36" ht="12" thickBot="1" x14ac:dyDescent="0.25">
      <c r="A7" s="121"/>
      <c r="B7" s="217" t="s">
        <v>134</v>
      </c>
      <c r="C7" s="76" t="str">
        <v>AM</v>
      </c>
      <c r="D7" s="76" t="str">
        <v>6L</v>
      </c>
      <c r="E7" s="74" t="str">
        <f t="shared" si="2"/>
        <v>USDAM6L15M_Quote</v>
      </c>
      <c r="F7" s="74" t="str">
        <f>_xll.qlSimpleQuote(Currency&amp;$C7&amp;$D7&amp;$B7&amp;QuoteSuffix,,RateTickValue,Permanent,Trigger,ObjectOverwrite)</f>
        <v>USDAM6L15M_Quote#0002</v>
      </c>
      <c r="G7" s="73" t="str">
        <f>_xll.ohRangeRetrieveError(F7)</f>
        <v/>
      </c>
      <c r="H7" s="47"/>
      <c r="J7" s="206" t="s">
        <v>121</v>
      </c>
      <c r="K7" s="80" t="s">
        <v>205</v>
      </c>
      <c r="L7" s="79" t="s">
        <v>125</v>
      </c>
      <c r="N7" s="121"/>
      <c r="O7" s="270" t="s">
        <v>134</v>
      </c>
      <c r="P7" s="319" t="str">
        <v>AM</v>
      </c>
      <c r="Q7" s="319" t="str">
        <v>6L</v>
      </c>
      <c r="R7" s="269" t="str">
        <f t="shared" si="0"/>
        <v>USDAM6L15M</v>
      </c>
      <c r="S7" s="269" t="str">
        <v>USDAM6L15M=ICAP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_xll.qlMidEquivalent($T7,$U7,$V7,$W7)</f>
        <v>#NUM!</v>
      </c>
      <c r="Y7" s="266"/>
      <c r="Z7" s="267">
        <v>0</v>
      </c>
      <c r="AA7" s="266"/>
      <c r="AB7" s="339" t="e">
        <v>#NUM!</v>
      </c>
      <c r="AC7" s="263" t="e">
        <f>_xll.qlSimpleQuoteSetValue(F7,AB7/100,Trigger)</f>
        <v>#NUM!</v>
      </c>
      <c r="AD7" s="220"/>
      <c r="AE7" s="21"/>
      <c r="AF7" s="207" t="s">
        <v>127</v>
      </c>
      <c r="AG7" s="83" t="s">
        <v>206</v>
      </c>
      <c r="AH7" s="82" t="s">
        <v>125</v>
      </c>
      <c r="AI7" s="381"/>
      <c r="AJ7" s="301" t="e">
        <f t="shared" si="1"/>
        <v>#VALUE!</v>
      </c>
    </row>
    <row r="8" spans="1:36" x14ac:dyDescent="0.2">
      <c r="A8" s="121"/>
      <c r="B8" s="217" t="s">
        <v>133</v>
      </c>
      <c r="C8" s="76" t="str">
        <v>AM</v>
      </c>
      <c r="D8" s="76" t="str">
        <v>6L</v>
      </c>
      <c r="E8" s="74" t="str">
        <f t="shared" si="2"/>
        <v>USDAM6L18M_Quote</v>
      </c>
      <c r="F8" s="74" t="str">
        <f>_xll.qlSimpleQuote(Currency&amp;$C8&amp;$D8&amp;$B8&amp;QuoteSuffix,,RateTickValue,Permanent,Trigger,ObjectOverwrite)</f>
        <v>USDAM6L18M_Quote#0002</v>
      </c>
      <c r="G8" s="73" t="str">
        <f>_xll.ohRangeRetrieveError(F8)</f>
        <v/>
      </c>
      <c r="H8" s="47"/>
      <c r="N8" s="121"/>
      <c r="O8" s="270" t="s">
        <v>133</v>
      </c>
      <c r="P8" s="319" t="str">
        <v>AM</v>
      </c>
      <c r="Q8" s="319" t="str">
        <v>6L</v>
      </c>
      <c r="R8" s="269" t="str">
        <f t="shared" si="0"/>
        <v>USDAM6L18M</v>
      </c>
      <c r="S8" s="269" t="str">
        <v>USDAM6L18M=ICAP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_xll.qlMidEquivalent($T8,$U8,$V8,$W8)</f>
        <v>#NUM!</v>
      </c>
      <c r="Y8" s="266"/>
      <c r="Z8" s="267">
        <v>0</v>
      </c>
      <c r="AA8" s="266"/>
      <c r="AB8" s="339" t="e">
        <v>#NUM!</v>
      </c>
      <c r="AC8" s="263" t="e">
        <f>_xll.qlSimpleQuoteSetValue(F8,AB8/100,Trigger)</f>
        <v>#NUM!</v>
      </c>
      <c r="AD8" s="220"/>
      <c r="AE8" s="21"/>
      <c r="AF8" s="207" t="s">
        <v>126</v>
      </c>
      <c r="AG8" s="83" t="s">
        <v>206</v>
      </c>
      <c r="AH8" s="82" t="s">
        <v>125</v>
      </c>
      <c r="AI8" s="381"/>
      <c r="AJ8" s="301" t="e">
        <f t="shared" si="1"/>
        <v>#VALUE!</v>
      </c>
    </row>
    <row r="9" spans="1:36" ht="12" thickBot="1" x14ac:dyDescent="0.25">
      <c r="A9" s="121"/>
      <c r="B9" s="217" t="s">
        <v>132</v>
      </c>
      <c r="C9" s="76" t="str">
        <v>AM</v>
      </c>
      <c r="D9" s="76" t="str">
        <v>6L</v>
      </c>
      <c r="E9" s="74" t="str">
        <f t="shared" si="2"/>
        <v>USDAM6L21M_Quote</v>
      </c>
      <c r="F9" s="74" t="str">
        <f>_xll.qlSimpleQuote(Currency&amp;$C9&amp;$D9&amp;$B9&amp;QuoteSuffix,,RateTickValue,Permanent,Trigger,ObjectOverwrite)</f>
        <v>USDAM6L21M_Quote#0002</v>
      </c>
      <c r="G9" s="73" t="str">
        <f>_xll.ohRangeRetrieveError(F9)</f>
        <v/>
      </c>
      <c r="H9" s="47"/>
      <c r="N9" s="121"/>
      <c r="O9" s="270" t="s">
        <v>132</v>
      </c>
      <c r="P9" s="319" t="str">
        <v>AM</v>
      </c>
      <c r="Q9" s="319" t="str">
        <v>6L</v>
      </c>
      <c r="R9" s="269" t="str">
        <f t="shared" si="0"/>
        <v>USDAM6L21M</v>
      </c>
      <c r="S9" s="269" t="str">
        <v>USDAM6L21M=ICAP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_xll.qlMidEquivalent($T9,$U9,$V9,$W9)</f>
        <v>#NUM!</v>
      </c>
      <c r="Y9" s="266"/>
      <c r="Z9" s="267">
        <v>0</v>
      </c>
      <c r="AA9" s="266"/>
      <c r="AB9" s="339" t="e">
        <v>#NUM!</v>
      </c>
      <c r="AC9" s="263" t="e">
        <f>_xll.qlSimpleQuoteSetValue(F9,AB9/100,Trigger)</f>
        <v>#NUM!</v>
      </c>
      <c r="AD9" s="220"/>
      <c r="AE9" s="21"/>
      <c r="AF9" s="206" t="s">
        <v>121</v>
      </c>
      <c r="AG9" s="80" t="s">
        <v>205</v>
      </c>
      <c r="AH9" s="79" t="s">
        <v>125</v>
      </c>
      <c r="AI9" s="21"/>
      <c r="AJ9" s="301" t="e">
        <f t="shared" si="1"/>
        <v>#VALUE!</v>
      </c>
    </row>
    <row r="10" spans="1:36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2"/>
        <v>USDAM6L2Y_Quote</v>
      </c>
      <c r="F10" s="74" t="str">
        <f>_xll.qlSimpleQuote(Currency&amp;$C10&amp;$D10&amp;$B10&amp;QuoteSuffix,,RateTickValue,Permanent,Trigger,ObjectOverwrite)</f>
        <v>USDAM6L2Y_Quote#0002</v>
      </c>
      <c r="G10" s="73" t="str">
        <f>_xll.ohRangeRetrieveError(F10)</f>
        <v/>
      </c>
      <c r="H10" s="47"/>
      <c r="N10" s="121"/>
      <c r="O10" s="270" t="s">
        <v>108</v>
      </c>
      <c r="P10" s="319" t="str">
        <v>AM</v>
      </c>
      <c r="Q10" s="319" t="str">
        <v>6L</v>
      </c>
      <c r="R10" s="269" t="str">
        <f t="shared" si="0"/>
        <v>USDAM6L2Y</v>
      </c>
      <c r="S10" s="269" t="str">
        <v>USDAM6L2Y=ICAP</v>
      </c>
      <c r="T10" s="264" t="s">
        <v>240</v>
      </c>
      <c r="U10" s="264" t="s">
        <v>240</v>
      </c>
      <c r="V10" s="264" t="s">
        <v>240</v>
      </c>
      <c r="W10" s="264" t="s">
        <v>240</v>
      </c>
      <c r="X10" s="268" t="e">
        <f>_xll.qlMidEquivalent($T10,$U10,$V10,$W10)</f>
        <v>#NUM!</v>
      </c>
      <c r="Y10" s="266"/>
      <c r="Z10" s="267">
        <v>0</v>
      </c>
      <c r="AA10" s="266"/>
      <c r="AB10" s="339" t="e">
        <v>#NUM!</v>
      </c>
      <c r="AC10" s="263" t="e">
        <f>_xll.qlSimpleQuoteSetValue(F10,AB10/100,Trigger)</f>
        <v>#NUM!</v>
      </c>
      <c r="AD10" s="220"/>
      <c r="AE10" s="21"/>
      <c r="AF10" s="21"/>
      <c r="AG10" s="21"/>
      <c r="AH10" s="21"/>
      <c r="AI10" s="21"/>
      <c r="AJ10" s="301" t="e">
        <f t="shared" si="1"/>
        <v>#VALUE!</v>
      </c>
    </row>
    <row r="11" spans="1:36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2"/>
        <v>USDAM6L3Y_Quote</v>
      </c>
      <c r="F11" s="74" t="str">
        <f>_xll.qlSimpleQuote(Currency&amp;$C11&amp;$D11&amp;$B11&amp;QuoteSuffix,,RateTickValue,Permanent,Trigger,ObjectOverwrite)</f>
        <v>USDAM6L3Y_Quote#0002</v>
      </c>
      <c r="G11" s="73" t="str">
        <f>_xll.ohRangeRetrieveError(F11)</f>
        <v/>
      </c>
      <c r="H11" s="47"/>
      <c r="N11" s="121"/>
      <c r="O11" s="270" t="s">
        <v>107</v>
      </c>
      <c r="P11" s="319" t="str">
        <v>AM</v>
      </c>
      <c r="Q11" s="319" t="str">
        <v>6L</v>
      </c>
      <c r="R11" s="269" t="str">
        <f t="shared" si="0"/>
        <v>USDAM6L3Y</v>
      </c>
      <c r="S11" s="269" t="str">
        <v>USDAM6L3Y=ICAP</v>
      </c>
      <c r="T11" s="264" t="s">
        <v>240</v>
      </c>
      <c r="U11" s="264" t="s">
        <v>240</v>
      </c>
      <c r="V11" s="264" t="s">
        <v>240</v>
      </c>
      <c r="W11" s="264" t="s">
        <v>240</v>
      </c>
      <c r="X11" s="268" t="e">
        <f>_xll.qlMidEquivalent($T11,$U11,$V11,$W11)</f>
        <v>#NUM!</v>
      </c>
      <c r="Y11" s="266"/>
      <c r="Z11" s="267">
        <v>0</v>
      </c>
      <c r="AA11" s="266"/>
      <c r="AB11" s="339" t="e">
        <v>#NUM!</v>
      </c>
      <c r="AC11" s="263" t="e">
        <f>_xll.qlSimpleQuoteSetValue(F11,AB11/100,Trigger)</f>
        <v>#NUM!</v>
      </c>
      <c r="AD11" s="220"/>
      <c r="AE11" s="21"/>
      <c r="AF11" s="21"/>
      <c r="AG11" s="21"/>
      <c r="AH11" s="21"/>
      <c r="AI11" s="21"/>
      <c r="AJ11" s="301" t="e">
        <f t="shared" si="1"/>
        <v>#VALUE!</v>
      </c>
    </row>
    <row r="12" spans="1:36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2"/>
        <v>USDAM6L4Y_Quote</v>
      </c>
      <c r="F12" s="74" t="str">
        <f>_xll.qlSimpleQuote(Currency&amp;$C12&amp;$D12&amp;$B12&amp;QuoteSuffix,,RateTickValue,Permanent,Trigger,ObjectOverwrite)</f>
        <v>USDAM6L4Y_Quote#0002</v>
      </c>
      <c r="G12" s="73" t="str">
        <f>_xll.ohRangeRetrieveError(F12)</f>
        <v/>
      </c>
      <c r="H12" s="47"/>
      <c r="N12" s="121"/>
      <c r="O12" s="270" t="s">
        <v>106</v>
      </c>
      <c r="P12" s="319" t="str">
        <v>AM</v>
      </c>
      <c r="Q12" s="319" t="str">
        <v>6L</v>
      </c>
      <c r="R12" s="269" t="str">
        <f t="shared" si="0"/>
        <v>USDAM6L4Y</v>
      </c>
      <c r="S12" s="269" t="str">
        <v>USDAM6L4Y=ICAP</v>
      </c>
      <c r="T12" s="264" t="s">
        <v>240</v>
      </c>
      <c r="U12" s="264" t="s">
        <v>240</v>
      </c>
      <c r="V12" s="264" t="s">
        <v>240</v>
      </c>
      <c r="W12" s="264" t="s">
        <v>240</v>
      </c>
      <c r="X12" s="268" t="e">
        <f>_xll.qlMidEquivalent($T12,$U12,$V12,$W12)</f>
        <v>#NUM!</v>
      </c>
      <c r="Y12" s="266"/>
      <c r="Z12" s="267">
        <v>0</v>
      </c>
      <c r="AA12" s="266"/>
      <c r="AB12" s="339" t="e">
        <v>#NUM!</v>
      </c>
      <c r="AC12" s="263" t="e">
        <f>_xll.qlSimpleQuoteSetValue(F12,AB12/100,Trigger)</f>
        <v>#NUM!</v>
      </c>
      <c r="AD12" s="220"/>
      <c r="AE12" s="21"/>
      <c r="AF12" s="21"/>
      <c r="AG12" s="21"/>
      <c r="AH12" s="21"/>
      <c r="AI12" s="21"/>
      <c r="AJ12" s="301" t="e">
        <f t="shared" si="1"/>
        <v>#VALUE!</v>
      </c>
    </row>
    <row r="13" spans="1:36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2"/>
        <v>USDAM6L5Y_Quote</v>
      </c>
      <c r="F13" s="74" t="str">
        <f>_xll.qlSimpleQuote(Currency&amp;$C13&amp;$D13&amp;$B13&amp;QuoteSuffix,,RateTickValue,Permanent,Trigger,ObjectOverwrite)</f>
        <v>USDAM6L5Y_Quote#0002</v>
      </c>
      <c r="G13" s="73" t="str">
        <f>_xll.ohRangeRetrieveError(F13)</f>
        <v/>
      </c>
      <c r="H13" s="47"/>
      <c r="N13" s="121"/>
      <c r="O13" s="270" t="s">
        <v>105</v>
      </c>
      <c r="P13" s="319" t="str">
        <v>AM</v>
      </c>
      <c r="Q13" s="319" t="str">
        <v>6L</v>
      </c>
      <c r="R13" s="269" t="str">
        <f t="shared" si="0"/>
        <v>USDAM6L5Y</v>
      </c>
      <c r="S13" s="269" t="str">
        <v>USDAM6L5Y=ICAP</v>
      </c>
      <c r="T13" s="264" t="s">
        <v>240</v>
      </c>
      <c r="U13" s="264" t="s">
        <v>240</v>
      </c>
      <c r="V13" s="264" t="s">
        <v>240</v>
      </c>
      <c r="W13" s="264" t="s">
        <v>240</v>
      </c>
      <c r="X13" s="268" t="e">
        <f>_xll.qlMidEquivalent($T13,$U13,$V13,$W13)</f>
        <v>#NUM!</v>
      </c>
      <c r="Y13" s="266"/>
      <c r="Z13" s="267">
        <v>0</v>
      </c>
      <c r="AA13" s="266"/>
      <c r="AB13" s="339" t="e">
        <v>#NUM!</v>
      </c>
      <c r="AC13" s="263" t="e">
        <f>_xll.qlSimpleQuoteSetValue(F13,AB13/100,Trigger)</f>
        <v>#NUM!</v>
      </c>
      <c r="AD13" s="220"/>
      <c r="AE13" s="21"/>
      <c r="AF13" s="21"/>
      <c r="AG13" s="21"/>
      <c r="AH13" s="21"/>
      <c r="AI13" s="21"/>
      <c r="AJ13" s="301" t="e">
        <f t="shared" si="1"/>
        <v>#VALUE!</v>
      </c>
    </row>
    <row r="14" spans="1:36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2"/>
        <v>USDAM6L6Y_Quote</v>
      </c>
      <c r="F14" s="74" t="str">
        <f>_xll.qlSimpleQuote(Currency&amp;$C14&amp;$D14&amp;$B14&amp;QuoteSuffix,,RateTickValue,Permanent,Trigger,ObjectOverwrite)</f>
        <v>USDAM6L6Y_Quote#0002</v>
      </c>
      <c r="G14" s="73" t="str">
        <f>_xll.ohRangeRetrieveError(F14)</f>
        <v/>
      </c>
      <c r="H14" s="47"/>
      <c r="N14" s="121"/>
      <c r="O14" s="270" t="s">
        <v>104</v>
      </c>
      <c r="P14" s="319" t="str">
        <v>AM</v>
      </c>
      <c r="Q14" s="319" t="str">
        <v>6L</v>
      </c>
      <c r="R14" s="269" t="str">
        <f t="shared" si="0"/>
        <v>USDAM6L6Y</v>
      </c>
      <c r="S14" s="269" t="str">
        <v>USDAM6L6Y=ICAP</v>
      </c>
      <c r="T14" s="264" t="s">
        <v>240</v>
      </c>
      <c r="U14" s="264" t="s">
        <v>240</v>
      </c>
      <c r="V14" s="264" t="s">
        <v>240</v>
      </c>
      <c r="W14" s="264" t="s">
        <v>240</v>
      </c>
      <c r="X14" s="268" t="e">
        <f>_xll.qlMidEquivalent($T14,$U14,$V14,$W14)</f>
        <v>#NUM!</v>
      </c>
      <c r="Y14" s="266"/>
      <c r="Z14" s="267">
        <v>0</v>
      </c>
      <c r="AA14" s="266"/>
      <c r="AB14" s="339" t="e">
        <v>#NUM!</v>
      </c>
      <c r="AC14" s="263" t="e">
        <f>_xll.qlSimpleQuoteSetValue(F14,AB14/100,Trigger)</f>
        <v>#NUM!</v>
      </c>
      <c r="AD14" s="220"/>
      <c r="AE14" s="21"/>
      <c r="AF14" s="21"/>
      <c r="AG14" s="21"/>
      <c r="AH14" s="21"/>
      <c r="AI14" s="21"/>
      <c r="AJ14" s="301" t="e">
        <f t="shared" si="1"/>
        <v>#VALUE!</v>
      </c>
    </row>
    <row r="15" spans="1:36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2"/>
        <v>USDAM6L7Y_Quote</v>
      </c>
      <c r="F15" s="74" t="str">
        <f>_xll.qlSimpleQuote(Currency&amp;$C15&amp;$D15&amp;$B15&amp;QuoteSuffix,,RateTickValue,Permanent,Trigger,ObjectOverwrite)</f>
        <v>USDAM6L7Y_Quote#0002</v>
      </c>
      <c r="G15" s="73" t="str">
        <f>_xll.ohRangeRetrieveError(F15)</f>
        <v/>
      </c>
      <c r="H15" s="47"/>
      <c r="N15" s="121"/>
      <c r="O15" s="270" t="s">
        <v>103</v>
      </c>
      <c r="P15" s="319" t="str">
        <v>AM</v>
      </c>
      <c r="Q15" s="319" t="str">
        <v>6L</v>
      </c>
      <c r="R15" s="269" t="str">
        <f t="shared" si="0"/>
        <v>USDAM6L7Y</v>
      </c>
      <c r="S15" s="269" t="str">
        <v>USDAM6L7Y=ICAP</v>
      </c>
      <c r="T15" s="264" t="s">
        <v>240</v>
      </c>
      <c r="U15" s="264" t="s">
        <v>240</v>
      </c>
      <c r="V15" s="264" t="s">
        <v>240</v>
      </c>
      <c r="W15" s="264" t="s">
        <v>240</v>
      </c>
      <c r="X15" s="268" t="e">
        <f>_xll.qlMidEquivalent($T15,$U15,$V15,$W15)</f>
        <v>#NUM!</v>
      </c>
      <c r="Y15" s="266"/>
      <c r="Z15" s="267">
        <v>0</v>
      </c>
      <c r="AA15" s="266"/>
      <c r="AB15" s="339" t="e">
        <v>#NUM!</v>
      </c>
      <c r="AC15" s="263" t="e">
        <f>_xll.qlSimpleQuoteSetValue(F15,AB15/100,Trigger)</f>
        <v>#NUM!</v>
      </c>
      <c r="AD15" s="220"/>
      <c r="AE15" s="21"/>
      <c r="AF15" s="21"/>
      <c r="AG15" s="21"/>
      <c r="AH15" s="21"/>
      <c r="AI15" s="21"/>
      <c r="AJ15" s="301" t="e">
        <f t="shared" si="1"/>
        <v>#VALUE!</v>
      </c>
    </row>
    <row r="16" spans="1:36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2"/>
        <v>USDAM6L8Y_Quote</v>
      </c>
      <c r="F16" s="74" t="str">
        <f>_xll.qlSimpleQuote(Currency&amp;$C16&amp;$D16&amp;$B16&amp;QuoteSuffix,,RateTickValue,Permanent,Trigger,ObjectOverwrite)</f>
        <v>USDAM6L8Y_Quote#0002</v>
      </c>
      <c r="G16" s="73" t="str">
        <f>_xll.ohRangeRetrieveError(F16)</f>
        <v/>
      </c>
      <c r="H16" s="47"/>
      <c r="N16" s="121"/>
      <c r="O16" s="270" t="s">
        <v>102</v>
      </c>
      <c r="P16" s="319" t="str">
        <v>AM</v>
      </c>
      <c r="Q16" s="319" t="str">
        <v>6L</v>
      </c>
      <c r="R16" s="269" t="str">
        <f t="shared" si="0"/>
        <v>USDAM6L8Y</v>
      </c>
      <c r="S16" s="269" t="str">
        <v>USDAM6L8Y=ICAP</v>
      </c>
      <c r="T16" s="264" t="s">
        <v>240</v>
      </c>
      <c r="U16" s="264" t="s">
        <v>240</v>
      </c>
      <c r="V16" s="264" t="s">
        <v>240</v>
      </c>
      <c r="W16" s="264" t="s">
        <v>240</v>
      </c>
      <c r="X16" s="268" t="e">
        <f>_xll.qlMidEquivalent($T16,$U16,$V16,$W16)</f>
        <v>#NUM!</v>
      </c>
      <c r="Y16" s="266"/>
      <c r="Z16" s="267">
        <v>0</v>
      </c>
      <c r="AA16" s="266"/>
      <c r="AB16" s="339" t="e">
        <v>#NUM!</v>
      </c>
      <c r="AC16" s="263" t="e">
        <f>_xll.qlSimpleQuoteSetValue(F16,AB16/100,Trigger)</f>
        <v>#NUM!</v>
      </c>
      <c r="AD16" s="220"/>
      <c r="AE16" s="21"/>
      <c r="AF16" s="21"/>
      <c r="AG16" s="21"/>
      <c r="AH16" s="21"/>
      <c r="AI16" s="21"/>
      <c r="AJ16" s="301" t="e">
        <f t="shared" si="1"/>
        <v>#VALUE!</v>
      </c>
    </row>
    <row r="17" spans="1:36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2"/>
        <v>USDAM6L9Y_Quote</v>
      </c>
      <c r="F17" s="74" t="str">
        <f>_xll.qlSimpleQuote(Currency&amp;$C17&amp;$D17&amp;$B17&amp;QuoteSuffix,,RateTickValue,Permanent,Trigger,ObjectOverwrite)</f>
        <v>USDAM6L9Y_Quote#0002</v>
      </c>
      <c r="G17" s="73" t="str">
        <f>_xll.ohRangeRetrieveError(F17)</f>
        <v/>
      </c>
      <c r="H17" s="47"/>
      <c r="N17" s="121"/>
      <c r="O17" s="270" t="s">
        <v>101</v>
      </c>
      <c r="P17" s="319" t="str">
        <v>AM</v>
      </c>
      <c r="Q17" s="319" t="str">
        <v>6L</v>
      </c>
      <c r="R17" s="269" t="str">
        <f t="shared" si="0"/>
        <v>USDAM6L9Y</v>
      </c>
      <c r="S17" s="269" t="str">
        <v>USDAM6L9Y=ICAP</v>
      </c>
      <c r="T17" s="264" t="s">
        <v>240</v>
      </c>
      <c r="U17" s="264" t="s">
        <v>240</v>
      </c>
      <c r="V17" s="264" t="s">
        <v>240</v>
      </c>
      <c r="W17" s="264" t="s">
        <v>240</v>
      </c>
      <c r="X17" s="268" t="e">
        <f>_xll.qlMidEquivalent($T17,$U17,$V17,$W17)</f>
        <v>#NUM!</v>
      </c>
      <c r="Y17" s="266"/>
      <c r="Z17" s="267">
        <v>0</v>
      </c>
      <c r="AA17" s="266"/>
      <c r="AB17" s="339" t="e">
        <v>#NUM!</v>
      </c>
      <c r="AC17" s="263" t="e">
        <f>_xll.qlSimpleQuoteSetValue(F17,AB17/100,Trigger)</f>
        <v>#NUM!</v>
      </c>
      <c r="AD17" s="220"/>
      <c r="AE17" s="21"/>
      <c r="AF17" s="21"/>
      <c r="AG17" s="21"/>
      <c r="AH17" s="21"/>
      <c r="AI17" s="21"/>
      <c r="AJ17" s="301" t="e">
        <f t="shared" si="1"/>
        <v>#VALUE!</v>
      </c>
    </row>
    <row r="18" spans="1:36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2"/>
        <v>USDAM6L10Y_Quote</v>
      </c>
      <c r="F18" s="74" t="str">
        <f>_xll.qlSimpleQuote(Currency&amp;$C18&amp;$D18&amp;$B18&amp;QuoteSuffix,,RateTickValue,Permanent,Trigger,ObjectOverwrite)</f>
        <v>USDAM6L10Y_Quote#0002</v>
      </c>
      <c r="G18" s="73" t="str">
        <f>_xll.ohRangeRetrieveError(F18)</f>
        <v/>
      </c>
      <c r="H18" s="47"/>
      <c r="N18" s="121"/>
      <c r="O18" s="270" t="s">
        <v>100</v>
      </c>
      <c r="P18" s="319" t="str">
        <v>AM</v>
      </c>
      <c r="Q18" s="319" t="str">
        <v>6L</v>
      </c>
      <c r="R18" s="269" t="str">
        <f t="shared" si="0"/>
        <v>USDAM6L10Y</v>
      </c>
      <c r="S18" s="269" t="str">
        <v>USDAM6L10Y=ICAP</v>
      </c>
      <c r="T18" s="264" t="s">
        <v>240</v>
      </c>
      <c r="U18" s="264" t="s">
        <v>240</v>
      </c>
      <c r="V18" s="264" t="s">
        <v>240</v>
      </c>
      <c r="W18" s="264" t="s">
        <v>240</v>
      </c>
      <c r="X18" s="268" t="e">
        <f>_xll.qlMidEquivalent($T18,$U18,$V18,$W18)</f>
        <v>#NUM!</v>
      </c>
      <c r="Y18" s="266"/>
      <c r="Z18" s="267">
        <v>0</v>
      </c>
      <c r="AA18" s="266"/>
      <c r="AB18" s="339" t="e">
        <v>#NUM!</v>
      </c>
      <c r="AC18" s="263" t="e">
        <f>_xll.qlSimpleQuoteSetValue(F18,AB18/100,Trigger)</f>
        <v>#NUM!</v>
      </c>
      <c r="AD18" s="220"/>
      <c r="AE18" s="21"/>
      <c r="AF18" s="21"/>
      <c r="AG18" s="21"/>
      <c r="AH18" s="21"/>
      <c r="AI18" s="21"/>
      <c r="AJ18" s="301" t="e">
        <f t="shared" si="1"/>
        <v>#VALUE!</v>
      </c>
    </row>
    <row r="19" spans="1:36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2"/>
        <v>USDAM6L11Y_Quote</v>
      </c>
      <c r="F19" s="74" t="str">
        <f>_xll.qlSimpleQuote(Currency&amp;$C19&amp;$D19&amp;$B19&amp;QuoteSuffix,,RateTickValue,Permanent,Trigger,ObjectOverwrite)</f>
        <v>USDAM6L11Y_Quote#0002</v>
      </c>
      <c r="G19" s="73" t="str">
        <f>_xll.ohRangeRetrieveError(F19)</f>
        <v/>
      </c>
      <c r="H19" s="47"/>
      <c r="N19" s="121"/>
      <c r="O19" s="270" t="s">
        <v>99</v>
      </c>
      <c r="P19" s="319" t="str">
        <v>AM</v>
      </c>
      <c r="Q19" s="319" t="str">
        <v>6L</v>
      </c>
      <c r="R19" s="269" t="str">
        <f t="shared" si="0"/>
        <v>USDAM6L11Y</v>
      </c>
      <c r="S19" s="269" t="str">
        <v>USDAM6L11Y=ICAP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_xll.qlMidEquivalent($T19,$U19,$V19,$W19)</f>
        <v>#NUM!</v>
      </c>
      <c r="Y19" s="266"/>
      <c r="Z19" s="267">
        <v>0</v>
      </c>
      <c r="AA19" s="266"/>
      <c r="AB19" s="339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1" t="e">
        <f t="shared" si="1"/>
        <v>#VALUE!</v>
      </c>
    </row>
    <row r="20" spans="1:36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2"/>
        <v>USDAM6L12Y_Quote</v>
      </c>
      <c r="F20" s="74" t="str">
        <f>_xll.qlSimpleQuote(Currency&amp;$C20&amp;$D20&amp;$B20&amp;QuoteSuffix,,RateTickValue,Permanent,Trigger,ObjectOverwrite)</f>
        <v>USDAM6L12Y_Quote#0002</v>
      </c>
      <c r="G20" s="73" t="str">
        <f>_xll.ohRangeRetrieveError(F20)</f>
        <v/>
      </c>
      <c r="H20" s="47"/>
      <c r="N20" s="121"/>
      <c r="O20" s="270" t="s">
        <v>98</v>
      </c>
      <c r="P20" s="319" t="str">
        <v>AM</v>
      </c>
      <c r="Q20" s="319" t="str">
        <v>6L</v>
      </c>
      <c r="R20" s="269" t="str">
        <f t="shared" si="0"/>
        <v>USDAM6L12Y</v>
      </c>
      <c r="S20" s="269" t="str">
        <v>USDAM6L12Y=ICAP</v>
      </c>
      <c r="T20" s="264" t="s">
        <v>240</v>
      </c>
      <c r="U20" s="264" t="s">
        <v>240</v>
      </c>
      <c r="V20" s="264" t="s">
        <v>240</v>
      </c>
      <c r="W20" s="264" t="s">
        <v>240</v>
      </c>
      <c r="X20" s="268" t="e">
        <f>_xll.qlMidEquivalent($T20,$U20,$V20,$W20)</f>
        <v>#NUM!</v>
      </c>
      <c r="Y20" s="266"/>
      <c r="Z20" s="267">
        <v>0</v>
      </c>
      <c r="AA20" s="266"/>
      <c r="AB20" s="339" t="e">
        <v>#NUM!</v>
      </c>
      <c r="AC20" s="263" t="e">
        <f>_xll.qlSimpleQuoteSetValue(F20,AB20/100,Trigger)</f>
        <v>#NUM!</v>
      </c>
      <c r="AD20" s="220"/>
      <c r="AE20" s="21"/>
      <c r="AF20" s="21"/>
      <c r="AG20" s="21"/>
      <c r="AH20" s="21"/>
      <c r="AI20" s="21"/>
      <c r="AJ20" s="301" t="e">
        <f t="shared" si="1"/>
        <v>#VALUE!</v>
      </c>
    </row>
    <row r="21" spans="1:36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2"/>
        <v>USDAM6L13Y_Quote</v>
      </c>
      <c r="F21" s="74" t="str">
        <f>_xll.qlSimpleQuote(Currency&amp;$C21&amp;$D21&amp;$B21&amp;QuoteSuffix,,RateTickValue,Permanent,Trigger,ObjectOverwrite)</f>
        <v>USDAM6L13Y_Quote#0002</v>
      </c>
      <c r="G21" s="73" t="str">
        <f>_xll.ohRangeRetrieveError(F21)</f>
        <v/>
      </c>
      <c r="H21" s="47"/>
      <c r="N21" s="121"/>
      <c r="O21" s="270" t="s">
        <v>97</v>
      </c>
      <c r="P21" s="319" t="str">
        <v>AM</v>
      </c>
      <c r="Q21" s="319" t="str">
        <v>6L</v>
      </c>
      <c r="R21" s="269" t="str">
        <f t="shared" si="0"/>
        <v>USDAM6L13Y</v>
      </c>
      <c r="S21" s="269" t="str">
        <v>USDAM6L13Y=ICAP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_xll.qlMidEquivalent($T21,$U21,$V21,$W21)</f>
        <v>#NUM!</v>
      </c>
      <c r="Y21" s="266"/>
      <c r="Z21" s="267">
        <v>0</v>
      </c>
      <c r="AA21" s="266"/>
      <c r="AB21" s="339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1" t="e">
        <f t="shared" si="1"/>
        <v>#VALUE!</v>
      </c>
    </row>
    <row r="22" spans="1:36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2"/>
        <v>USDAM6L14Y_Quote</v>
      </c>
      <c r="F22" s="74" t="str">
        <f>_xll.qlSimpleQuote(Currency&amp;$C22&amp;$D22&amp;$B22&amp;QuoteSuffix,,RateTickValue,Permanent,Trigger,ObjectOverwrite)</f>
        <v>USDAM6L14Y_Quote#0002</v>
      </c>
      <c r="G22" s="73" t="str">
        <f>_xll.ohRangeRetrieveError(F22)</f>
        <v/>
      </c>
      <c r="H22" s="47"/>
      <c r="N22" s="121"/>
      <c r="O22" s="270" t="s">
        <v>96</v>
      </c>
      <c r="P22" s="319" t="str">
        <v>AM</v>
      </c>
      <c r="Q22" s="319" t="str">
        <v>6L</v>
      </c>
      <c r="R22" s="269" t="str">
        <f t="shared" si="0"/>
        <v>USDAM6L14Y</v>
      </c>
      <c r="S22" s="269" t="str">
        <v>USDAM6L14Y=ICAP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_xll.qlMidEquivalent($T22,$U22,$V22,$W22)</f>
        <v>#NUM!</v>
      </c>
      <c r="Y22" s="266"/>
      <c r="Z22" s="267">
        <v>0</v>
      </c>
      <c r="AA22" s="266"/>
      <c r="AB22" s="339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1" t="e">
        <f t="shared" si="1"/>
        <v>#VALUE!</v>
      </c>
    </row>
    <row r="23" spans="1:36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2"/>
        <v>USDAM6L15Y_Quote</v>
      </c>
      <c r="F23" s="74" t="str">
        <f>_xll.qlSimpleQuote(Currency&amp;$C23&amp;$D23&amp;$B23&amp;QuoteSuffix,,RateTickValue,Permanent,Trigger,ObjectOverwrite)</f>
        <v>USDAM6L15Y_Quote#0002</v>
      </c>
      <c r="G23" s="73" t="str">
        <f>_xll.ohRangeRetrieveError(F23)</f>
        <v/>
      </c>
      <c r="H23" s="47"/>
      <c r="N23" s="121"/>
      <c r="O23" s="270" t="s">
        <v>95</v>
      </c>
      <c r="P23" s="319" t="str">
        <v>AM</v>
      </c>
      <c r="Q23" s="319" t="str">
        <v>6L</v>
      </c>
      <c r="R23" s="269" t="str">
        <f t="shared" si="0"/>
        <v>USDAM6L15Y</v>
      </c>
      <c r="S23" s="269" t="str">
        <v>USDAM6L15Y=ICAP</v>
      </c>
      <c r="T23" s="264" t="s">
        <v>240</v>
      </c>
      <c r="U23" s="264" t="s">
        <v>240</v>
      </c>
      <c r="V23" s="264" t="s">
        <v>240</v>
      </c>
      <c r="W23" s="264" t="s">
        <v>240</v>
      </c>
      <c r="X23" s="268" t="e">
        <f>_xll.qlMidEquivalent($T23,$U23,$V23,$W23)</f>
        <v>#NUM!</v>
      </c>
      <c r="Y23" s="266"/>
      <c r="Z23" s="267">
        <v>0</v>
      </c>
      <c r="AA23" s="266"/>
      <c r="AB23" s="339" t="e">
        <v>#NUM!</v>
      </c>
      <c r="AC23" s="263" t="e">
        <f>_xll.qlSimpleQuoteSetValue(F23,AB23/100,Trigger)</f>
        <v>#NUM!</v>
      </c>
      <c r="AD23" s="220"/>
      <c r="AE23" s="21"/>
      <c r="AF23" s="21"/>
      <c r="AG23" s="21"/>
      <c r="AH23" s="21"/>
      <c r="AI23" s="21"/>
      <c r="AJ23" s="301" t="e">
        <f t="shared" si="1"/>
        <v>#VALUE!</v>
      </c>
    </row>
    <row r="24" spans="1:36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2"/>
        <v>USDAM6L16Y_Quote</v>
      </c>
      <c r="F24" s="74" t="str">
        <f>_xll.qlSimpleQuote(Currency&amp;$C24&amp;$D24&amp;$B24&amp;QuoteSuffix,,RateTickValue,Permanent,Trigger,ObjectOverwrite)</f>
        <v>USDAM6L16Y_Quote#0002</v>
      </c>
      <c r="G24" s="73" t="str">
        <f>_xll.ohRangeRetrieveError(F24)</f>
        <v/>
      </c>
      <c r="H24" s="47"/>
      <c r="N24" s="121"/>
      <c r="O24" s="270" t="s">
        <v>94</v>
      </c>
      <c r="P24" s="319" t="str">
        <v>AM</v>
      </c>
      <c r="Q24" s="319" t="str">
        <v>6L</v>
      </c>
      <c r="R24" s="269" t="str">
        <f t="shared" si="0"/>
        <v>USDAM6L16Y</v>
      </c>
      <c r="S24" s="269" t="str">
        <v>USDAM6L16Y=ICAP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_xll.qlMidEquivalent($T24,$U24,$V24,$W24)</f>
        <v>#NUM!</v>
      </c>
      <c r="Y24" s="266"/>
      <c r="Z24" s="267">
        <v>0</v>
      </c>
      <c r="AA24" s="266"/>
      <c r="AB24" s="339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1" t="e">
        <f t="shared" si="1"/>
        <v>#VALUE!</v>
      </c>
    </row>
    <row r="25" spans="1:36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2"/>
        <v>USDAM6L17Y_Quote</v>
      </c>
      <c r="F25" s="74" t="str">
        <f>_xll.qlSimpleQuote(Currency&amp;$C25&amp;$D25&amp;$B25&amp;QuoteSuffix,,RateTickValue,Permanent,Trigger,ObjectOverwrite)</f>
        <v>USDAM6L17Y_Quote#0002</v>
      </c>
      <c r="G25" s="73" t="str">
        <f>_xll.ohRangeRetrieveError(F25)</f>
        <v/>
      </c>
      <c r="H25" s="47"/>
      <c r="N25" s="121"/>
      <c r="O25" s="270" t="s">
        <v>93</v>
      </c>
      <c r="P25" s="319" t="str">
        <v>AM</v>
      </c>
      <c r="Q25" s="319" t="str">
        <v>6L</v>
      </c>
      <c r="R25" s="269" t="str">
        <f t="shared" si="0"/>
        <v>USDAM6L17Y</v>
      </c>
      <c r="S25" s="269" t="str">
        <v>USDAM6L17Y=ICAP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_xll.qlMidEquivalent($T25,$U25,$V25,$W25)</f>
        <v>#NUM!</v>
      </c>
      <c r="Y25" s="266"/>
      <c r="Z25" s="267">
        <v>0</v>
      </c>
      <c r="AA25" s="266"/>
      <c r="AB25" s="339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1" t="e">
        <f t="shared" si="1"/>
        <v>#VALUE!</v>
      </c>
    </row>
    <row r="26" spans="1:36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2"/>
        <v>USDAM6L18Y_Quote</v>
      </c>
      <c r="F26" s="74" t="str">
        <f>_xll.qlSimpleQuote(Currency&amp;$C26&amp;$D26&amp;$B26&amp;QuoteSuffix,,RateTickValue,Permanent,Trigger,ObjectOverwrite)</f>
        <v>USDAM6L18Y_Quote#0002</v>
      </c>
      <c r="G26" s="73" t="str">
        <f>_xll.ohRangeRetrieveError(F26)</f>
        <v/>
      </c>
      <c r="H26" s="47"/>
      <c r="N26" s="121"/>
      <c r="O26" s="270" t="s">
        <v>92</v>
      </c>
      <c r="P26" s="319" t="str">
        <v>AM</v>
      </c>
      <c r="Q26" s="319" t="str">
        <v>6L</v>
      </c>
      <c r="R26" s="269" t="str">
        <f t="shared" si="0"/>
        <v>USDAM6L18Y</v>
      </c>
      <c r="S26" s="269" t="str">
        <v>USDAM6L18Y=ICAP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_xll.qlMidEquivalent($T26,$U26,$V26,$W26)</f>
        <v>#NUM!</v>
      </c>
      <c r="Y26" s="266"/>
      <c r="Z26" s="267">
        <v>0</v>
      </c>
      <c r="AA26" s="266"/>
      <c r="AB26" s="339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1" t="e">
        <f t="shared" si="1"/>
        <v>#VALUE!</v>
      </c>
    </row>
    <row r="27" spans="1:36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2"/>
        <v>USDAM6L19Y_Quote</v>
      </c>
      <c r="F27" s="74" t="str">
        <f>_xll.qlSimpleQuote(Currency&amp;$C27&amp;$D27&amp;$B27&amp;QuoteSuffix,,RateTickValue,Permanent,Trigger,ObjectOverwrite)</f>
        <v>USDAM6L19Y_Quote#0002</v>
      </c>
      <c r="G27" s="73" t="str">
        <f>_xll.ohRangeRetrieveError(F27)</f>
        <v/>
      </c>
      <c r="H27" s="47"/>
      <c r="N27" s="121"/>
      <c r="O27" s="270" t="s">
        <v>91</v>
      </c>
      <c r="P27" s="319" t="str">
        <v>AM</v>
      </c>
      <c r="Q27" s="319" t="str">
        <v>6L</v>
      </c>
      <c r="R27" s="269" t="str">
        <f t="shared" si="0"/>
        <v>USDAM6L19Y</v>
      </c>
      <c r="S27" s="269" t="str">
        <v>USDAM6L19Y=ICAP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_xll.qlMidEquivalent($T27,$U27,$V27,$W27)</f>
        <v>#NUM!</v>
      </c>
      <c r="Y27" s="266"/>
      <c r="Z27" s="267">
        <v>0</v>
      </c>
      <c r="AA27" s="266"/>
      <c r="AB27" s="339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1" t="e">
        <f t="shared" si="1"/>
        <v>#VALUE!</v>
      </c>
    </row>
    <row r="28" spans="1:36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2"/>
        <v>USDAM6L20Y_Quote</v>
      </c>
      <c r="F28" s="74" t="str">
        <f>_xll.qlSimpleQuote(Currency&amp;$C28&amp;$D28&amp;$B28&amp;QuoteSuffix,,RateTickValue,Permanent,Trigger,ObjectOverwrite)</f>
        <v>USDAM6L20Y_Quote#0002</v>
      </c>
      <c r="G28" s="73" t="str">
        <f>_xll.ohRangeRetrieveError(F28)</f>
        <v/>
      </c>
      <c r="H28" s="47"/>
      <c r="N28" s="121"/>
      <c r="O28" s="270" t="s">
        <v>90</v>
      </c>
      <c r="P28" s="319" t="str">
        <v>AM</v>
      </c>
      <c r="Q28" s="319" t="str">
        <v>6L</v>
      </c>
      <c r="R28" s="269" t="str">
        <f t="shared" si="0"/>
        <v>USDAM6L20Y</v>
      </c>
      <c r="S28" s="269" t="str">
        <v>USDAM6L20Y=ICAP</v>
      </c>
      <c r="T28" s="264" t="s">
        <v>240</v>
      </c>
      <c r="U28" s="264" t="s">
        <v>240</v>
      </c>
      <c r="V28" s="264" t="s">
        <v>240</v>
      </c>
      <c r="W28" s="264" t="s">
        <v>240</v>
      </c>
      <c r="X28" s="268" t="e">
        <f>_xll.qlMidEquivalent($T28,$U28,$V28,$W28)</f>
        <v>#NUM!</v>
      </c>
      <c r="Y28" s="266"/>
      <c r="Z28" s="267">
        <v>0</v>
      </c>
      <c r="AA28" s="266"/>
      <c r="AB28" s="339" t="e">
        <v>#NUM!</v>
      </c>
      <c r="AC28" s="263" t="e">
        <f>_xll.qlSimpleQuoteSetValue(F28,AB28/100,Trigger)</f>
        <v>#NUM!</v>
      </c>
      <c r="AD28" s="220"/>
      <c r="AE28" s="21"/>
      <c r="AF28" s="21"/>
      <c r="AG28" s="21"/>
      <c r="AH28" s="21"/>
      <c r="AI28" s="21"/>
      <c r="AJ28" s="301" t="e">
        <f t="shared" si="1"/>
        <v>#VALUE!</v>
      </c>
    </row>
    <row r="29" spans="1:36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2"/>
        <v>USDAM6L21Y_Quote</v>
      </c>
      <c r="F29" s="74" t="str">
        <f>_xll.qlSimpleQuote(Currency&amp;$C29&amp;$D29&amp;$B29&amp;QuoteSuffix,,RateTickValue,Permanent,Trigger,ObjectOverwrite)</f>
        <v>USDAM6L21Y_Quote#0002</v>
      </c>
      <c r="G29" s="73" t="str">
        <f>_xll.ohRangeRetrieveError(F29)</f>
        <v/>
      </c>
      <c r="H29" s="47"/>
      <c r="N29" s="121"/>
      <c r="O29" s="270" t="s">
        <v>89</v>
      </c>
      <c r="P29" s="319" t="str">
        <v>AM</v>
      </c>
      <c r="Q29" s="319" t="str">
        <v>6L</v>
      </c>
      <c r="R29" s="269" t="str">
        <f t="shared" si="0"/>
        <v>USDAM6L21Y</v>
      </c>
      <c r="S29" s="269" t="str">
        <v>USDAM6L21Y=ICAP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_xll.qlMidEquivalent($T29,$U29,$V29,$W29)</f>
        <v>#NUM!</v>
      </c>
      <c r="Y29" s="266"/>
      <c r="Z29" s="267">
        <v>0</v>
      </c>
      <c r="AA29" s="266"/>
      <c r="AB29" s="339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1" t="e">
        <f t="shared" si="1"/>
        <v>#VALUE!</v>
      </c>
    </row>
    <row r="30" spans="1:36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2"/>
        <v>USDAM6L22Y_Quote</v>
      </c>
      <c r="F30" s="74" t="str">
        <f>_xll.qlSimpleQuote(Currency&amp;$C30&amp;$D30&amp;$B30&amp;QuoteSuffix,,RateTickValue,Permanent,Trigger,ObjectOverwrite)</f>
        <v>USDAM6L22Y_Quote#0002</v>
      </c>
      <c r="G30" s="73" t="str">
        <f>_xll.ohRangeRetrieveError(F30)</f>
        <v/>
      </c>
      <c r="H30" s="47"/>
      <c r="N30" s="121"/>
      <c r="O30" s="270" t="s">
        <v>88</v>
      </c>
      <c r="P30" s="319" t="str">
        <v>AM</v>
      </c>
      <c r="Q30" s="319" t="str">
        <v>6L</v>
      </c>
      <c r="R30" s="269" t="str">
        <f t="shared" si="0"/>
        <v>USDAM6L22Y</v>
      </c>
      <c r="S30" s="269" t="str">
        <v>USDAM6L22Y=ICAP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_xll.qlMidEquivalent($T30,$U30,$V30,$W30)</f>
        <v>#NUM!</v>
      </c>
      <c r="Y30" s="266"/>
      <c r="Z30" s="267">
        <v>0</v>
      </c>
      <c r="AA30" s="266"/>
      <c r="AB30" s="339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1" t="e">
        <f t="shared" si="1"/>
        <v>#VALUE!</v>
      </c>
    </row>
    <row r="31" spans="1:36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2"/>
        <v>USDAM6L23Y_Quote</v>
      </c>
      <c r="F31" s="74" t="str">
        <f>_xll.qlSimpleQuote(Currency&amp;$C31&amp;$D31&amp;$B31&amp;QuoteSuffix,,RateTickValue,Permanent,Trigger,ObjectOverwrite)</f>
        <v>USDAM6L23Y_Quote#0002</v>
      </c>
      <c r="G31" s="73" t="str">
        <f>_xll.ohRangeRetrieveError(F31)</f>
        <v/>
      </c>
      <c r="H31" s="47"/>
      <c r="N31" s="121"/>
      <c r="O31" s="270" t="s">
        <v>87</v>
      </c>
      <c r="P31" s="319" t="str">
        <v>AM</v>
      </c>
      <c r="Q31" s="319" t="str">
        <v>6L</v>
      </c>
      <c r="R31" s="269" t="str">
        <f t="shared" si="0"/>
        <v>USDAM6L23Y</v>
      </c>
      <c r="S31" s="269" t="str">
        <v>USDAM6L23Y=ICAP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_xll.qlMidEquivalent($T31,$U31,$V31,$W31)</f>
        <v>#NUM!</v>
      </c>
      <c r="Y31" s="266"/>
      <c r="Z31" s="267">
        <v>0</v>
      </c>
      <c r="AA31" s="266"/>
      <c r="AB31" s="339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1" t="e">
        <f t="shared" si="1"/>
        <v>#VALUE!</v>
      </c>
    </row>
    <row r="32" spans="1:36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2"/>
        <v>USDAM6L24Y_Quote</v>
      </c>
      <c r="F32" s="74" t="str">
        <f>_xll.qlSimpleQuote(Currency&amp;$C32&amp;$D32&amp;$B32&amp;QuoteSuffix,,RateTickValue,Permanent,Trigger,ObjectOverwrite)</f>
        <v>USDAM6L24Y_Quote#0002</v>
      </c>
      <c r="G32" s="73" t="str">
        <f>_xll.ohRangeRetrieveError(F32)</f>
        <v/>
      </c>
      <c r="H32" s="47"/>
      <c r="N32" s="121"/>
      <c r="O32" s="270" t="s">
        <v>86</v>
      </c>
      <c r="P32" s="319" t="str">
        <v>AM</v>
      </c>
      <c r="Q32" s="319" t="str">
        <v>6L</v>
      </c>
      <c r="R32" s="269" t="str">
        <f t="shared" si="0"/>
        <v>USDAM6L24Y</v>
      </c>
      <c r="S32" s="269" t="str">
        <v>USDAM6L24Y=ICAP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_xll.qlMidEquivalent($T32,$U32,$V32,$W32)</f>
        <v>#NUM!</v>
      </c>
      <c r="Y32" s="266"/>
      <c r="Z32" s="267">
        <v>0</v>
      </c>
      <c r="AA32" s="266"/>
      <c r="AB32" s="339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1" t="e">
        <f t="shared" si="1"/>
        <v>#VALUE!</v>
      </c>
    </row>
    <row r="33" spans="1:36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2"/>
        <v>USDAM6L25Y_Quote</v>
      </c>
      <c r="F33" s="74" t="str">
        <f>_xll.qlSimpleQuote(Currency&amp;$C33&amp;$D33&amp;$B33&amp;QuoteSuffix,,RateTickValue,Permanent,Trigger,ObjectOverwrite)</f>
        <v>USDAM6L25Y_Quote#0002</v>
      </c>
      <c r="G33" s="73" t="str">
        <f>_xll.ohRangeRetrieveError(F33)</f>
        <v/>
      </c>
      <c r="H33" s="47"/>
      <c r="N33" s="121"/>
      <c r="O33" s="270" t="s">
        <v>85</v>
      </c>
      <c r="P33" s="319" t="str">
        <v>AM</v>
      </c>
      <c r="Q33" s="319" t="str">
        <v>6L</v>
      </c>
      <c r="R33" s="269" t="str">
        <f t="shared" si="0"/>
        <v>USDAM6L25Y</v>
      </c>
      <c r="S33" s="269" t="str">
        <v>USDAM6L25Y=ICAP</v>
      </c>
      <c r="T33" s="264" t="s">
        <v>240</v>
      </c>
      <c r="U33" s="264" t="s">
        <v>240</v>
      </c>
      <c r="V33" s="264" t="s">
        <v>240</v>
      </c>
      <c r="W33" s="264" t="s">
        <v>240</v>
      </c>
      <c r="X33" s="268" t="e">
        <f>_xll.qlMidEquivalent($T33,$U33,$V33,$W33)</f>
        <v>#NUM!</v>
      </c>
      <c r="Y33" s="266"/>
      <c r="Z33" s="267">
        <v>0</v>
      </c>
      <c r="AA33" s="266"/>
      <c r="AB33" s="339" t="e">
        <v>#NUM!</v>
      </c>
      <c r="AC33" s="263" t="e">
        <f>_xll.qlSimpleQuoteSetValue(F33,AB33/100,Trigger)</f>
        <v>#NUM!</v>
      </c>
      <c r="AD33" s="220"/>
      <c r="AE33" s="21"/>
      <c r="AF33" s="21"/>
      <c r="AG33" s="21"/>
      <c r="AH33" s="21"/>
      <c r="AI33" s="21"/>
      <c r="AJ33" s="301" t="e">
        <f t="shared" si="1"/>
        <v>#VALUE!</v>
      </c>
    </row>
    <row r="34" spans="1:36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2"/>
        <v>USDAM6L26Y_Quote</v>
      </c>
      <c r="F34" s="74" t="str">
        <f>_xll.qlSimpleQuote(Currency&amp;$C34&amp;$D34&amp;$B34&amp;QuoteSuffix,,RateTickValue,Permanent,Trigger,ObjectOverwrite)</f>
        <v>USDAM6L26Y_Quote#0002</v>
      </c>
      <c r="G34" s="73" t="str">
        <f>_xll.ohRangeRetrieveError(F34)</f>
        <v/>
      </c>
      <c r="H34" s="47"/>
      <c r="N34" s="121"/>
      <c r="O34" s="270" t="s">
        <v>84</v>
      </c>
      <c r="P34" s="319" t="str">
        <v>AM</v>
      </c>
      <c r="Q34" s="319" t="str">
        <v>6L</v>
      </c>
      <c r="R34" s="269" t="str">
        <f t="shared" si="0"/>
        <v>USDAM6L26Y</v>
      </c>
      <c r="S34" s="269" t="str">
        <v>USDAM6L26Y=ICAP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_xll.qlMidEquivalent($T34,$U34,$V34,$W34)</f>
        <v>#NUM!</v>
      </c>
      <c r="Y34" s="266"/>
      <c r="Z34" s="267">
        <v>0</v>
      </c>
      <c r="AA34" s="266"/>
      <c r="AB34" s="339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1" t="e">
        <f t="shared" si="1"/>
        <v>#VALUE!</v>
      </c>
    </row>
    <row r="35" spans="1:36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2"/>
        <v>USDAM6L27Y_Quote</v>
      </c>
      <c r="F35" s="74" t="str">
        <f>_xll.qlSimpleQuote(Currency&amp;$C35&amp;$D35&amp;$B35&amp;QuoteSuffix,,RateTickValue,Permanent,Trigger,ObjectOverwrite)</f>
        <v>USDAM6L27Y_Quote#0002</v>
      </c>
      <c r="G35" s="73" t="str">
        <f>_xll.ohRangeRetrieveError(F35)</f>
        <v/>
      </c>
      <c r="H35" s="47"/>
      <c r="N35" s="121"/>
      <c r="O35" s="270" t="s">
        <v>83</v>
      </c>
      <c r="P35" s="319" t="str">
        <v>AM</v>
      </c>
      <c r="Q35" s="319" t="str">
        <v>6L</v>
      </c>
      <c r="R35" s="269" t="str">
        <f t="shared" si="0"/>
        <v>USDAM6L27Y</v>
      </c>
      <c r="S35" s="269" t="str">
        <v>USDAM6L27Y=ICAP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_xll.qlMidEquivalent($T35,$U35,$V35,$W35)</f>
        <v>#NUM!</v>
      </c>
      <c r="Y35" s="266"/>
      <c r="Z35" s="267">
        <v>0</v>
      </c>
      <c r="AA35" s="266"/>
      <c r="AB35" s="339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1" t="e">
        <f t="shared" si="1"/>
        <v>#VALUE!</v>
      </c>
    </row>
    <row r="36" spans="1:36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2"/>
        <v>USDAM6L28Y_Quote</v>
      </c>
      <c r="F36" s="74" t="str">
        <f>_xll.qlSimpleQuote(Currency&amp;$C36&amp;$D36&amp;$B36&amp;QuoteSuffix,,RateTickValue,Permanent,Trigger,ObjectOverwrite)</f>
        <v>USDAM6L28Y_Quote#0002</v>
      </c>
      <c r="G36" s="73" t="str">
        <f>_xll.ohRangeRetrieveError(F36)</f>
        <v/>
      </c>
      <c r="H36" s="47"/>
      <c r="N36" s="121"/>
      <c r="O36" s="270" t="s">
        <v>82</v>
      </c>
      <c r="P36" s="319" t="str">
        <v>AM</v>
      </c>
      <c r="Q36" s="319" t="str">
        <v>6L</v>
      </c>
      <c r="R36" s="269" t="str">
        <f t="shared" si="0"/>
        <v>USDAM6L28Y</v>
      </c>
      <c r="S36" s="269" t="str">
        <v>USDAM6L28Y=ICAP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_xll.qlMidEquivalent($T36,$U36,$V36,$W36)</f>
        <v>#NUM!</v>
      </c>
      <c r="Y36" s="266"/>
      <c r="Z36" s="267">
        <v>0</v>
      </c>
      <c r="AA36" s="266"/>
      <c r="AB36" s="339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1" t="e">
        <f t="shared" si="1"/>
        <v>#VALUE!</v>
      </c>
    </row>
    <row r="37" spans="1:36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2"/>
        <v>USDAM6L29Y_Quote</v>
      </c>
      <c r="F37" s="74" t="str">
        <f>_xll.qlSimpleQuote(Currency&amp;$C37&amp;$D37&amp;$B37&amp;QuoteSuffix,,RateTickValue,Permanent,Trigger,ObjectOverwrite)</f>
        <v>USDAM6L29Y_Quote#0002</v>
      </c>
      <c r="G37" s="73" t="str">
        <f>_xll.ohRangeRetrieveError(F37)</f>
        <v/>
      </c>
      <c r="H37" s="47"/>
      <c r="N37" s="121"/>
      <c r="O37" s="270" t="s">
        <v>81</v>
      </c>
      <c r="P37" s="319" t="str">
        <v>AM</v>
      </c>
      <c r="Q37" s="319" t="str">
        <v>6L</v>
      </c>
      <c r="R37" s="269" t="str">
        <f t="shared" si="0"/>
        <v>USDAM6L29Y</v>
      </c>
      <c r="S37" s="269" t="str">
        <v>USDAM6L29Y=ICAP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_xll.qlMidEquivalent($T37,$U37,$V37,$W37)</f>
        <v>#NUM!</v>
      </c>
      <c r="Y37" s="266"/>
      <c r="Z37" s="267">
        <v>0</v>
      </c>
      <c r="AA37" s="266"/>
      <c r="AB37" s="339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1" t="e">
        <f t="shared" si="1"/>
        <v>#VALUE!</v>
      </c>
    </row>
    <row r="38" spans="1:36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2"/>
        <v>USDAM6L30Y_Quote</v>
      </c>
      <c r="F38" s="74" t="str">
        <f>_xll.qlSimpleQuote(Currency&amp;$C38&amp;$D38&amp;$B38&amp;QuoteSuffix,,RateTickValue,Permanent,Trigger,ObjectOverwrite)</f>
        <v>USDAM6L30Y_Quote#0002</v>
      </c>
      <c r="G38" s="73" t="str">
        <f>_xll.ohRangeRetrieveError(F38)</f>
        <v/>
      </c>
      <c r="H38" s="47"/>
      <c r="N38" s="121"/>
      <c r="O38" s="270" t="s">
        <v>80</v>
      </c>
      <c r="P38" s="319" t="str">
        <v>AM</v>
      </c>
      <c r="Q38" s="319" t="str">
        <v>6L</v>
      </c>
      <c r="R38" s="269" t="str">
        <f t="shared" si="0"/>
        <v>USDAM6L30Y</v>
      </c>
      <c r="S38" s="269" t="str">
        <v>USDAM6L30Y=ICAP</v>
      </c>
      <c r="T38" s="264" t="s">
        <v>240</v>
      </c>
      <c r="U38" s="264" t="s">
        <v>240</v>
      </c>
      <c r="V38" s="264" t="s">
        <v>240</v>
      </c>
      <c r="W38" s="264" t="s">
        <v>240</v>
      </c>
      <c r="X38" s="268" t="e">
        <f>_xll.qlMidEquivalent($T38,$U38,$V38,$W38)</f>
        <v>#NUM!</v>
      </c>
      <c r="Y38" s="266"/>
      <c r="Z38" s="267">
        <v>0</v>
      </c>
      <c r="AA38" s="266"/>
      <c r="AB38" s="339" t="e">
        <v>#NUM!</v>
      </c>
      <c r="AC38" s="263" t="e">
        <f>_xll.qlSimpleQuoteSetValue(F38,AB38/100,Trigger)</f>
        <v>#NUM!</v>
      </c>
      <c r="AD38" s="220"/>
      <c r="AE38" s="21"/>
      <c r="AF38" s="21"/>
      <c r="AG38" s="21"/>
      <c r="AH38" s="21"/>
      <c r="AI38" s="21"/>
      <c r="AJ38" s="301" t="e">
        <f t="shared" si="1"/>
        <v>#VALUE!</v>
      </c>
    </row>
    <row r="39" spans="1:36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2"/>
        <v>USDAM6L35Y_Quote</v>
      </c>
      <c r="F39" s="74" t="str">
        <f>_xll.qlSimpleQuote(Currency&amp;$C39&amp;$D39&amp;$B39&amp;QuoteSuffix,,RateTickValue,Permanent,Trigger,ObjectOverwrite)</f>
        <v>USDAM6L35Y_Quote#0002</v>
      </c>
      <c r="G39" s="73" t="str">
        <f>_xll.ohRangeRetrieveError(F39)</f>
        <v/>
      </c>
      <c r="H39" s="47"/>
      <c r="N39" s="121"/>
      <c r="O39" s="270" t="s">
        <v>75</v>
      </c>
      <c r="P39" s="319" t="str">
        <v>AM</v>
      </c>
      <c r="Q39" s="319" t="str">
        <v>6L</v>
      </c>
      <c r="R39" s="269" t="str">
        <f t="shared" si="0"/>
        <v>USDAM6L35Y</v>
      </c>
      <c r="S39" s="269" t="str">
        <v>USDAM6L35Y=ICAP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_xll.qlMidEquivalent($T39,$U39,$V39,$W39)</f>
        <v>#NUM!</v>
      </c>
      <c r="Y39" s="266"/>
      <c r="Z39" s="267">
        <v>0</v>
      </c>
      <c r="AA39" s="266"/>
      <c r="AB39" s="339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1" t="e">
        <f t="shared" si="1"/>
        <v>#VALUE!</v>
      </c>
    </row>
    <row r="40" spans="1:36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2"/>
        <v>USDAM6L40Y_Quote</v>
      </c>
      <c r="F40" s="74" t="str">
        <f>_xll.qlSimpleQuote(Currency&amp;$C40&amp;$D40&amp;$B40&amp;QuoteSuffix,,RateTickValue,Permanent,Trigger,ObjectOverwrite)</f>
        <v>USDAM6L40Y_Quote#0002</v>
      </c>
      <c r="G40" s="73" t="str">
        <f>_xll.ohRangeRetrieveError(F40)</f>
        <v/>
      </c>
      <c r="H40" s="47"/>
      <c r="N40" s="121"/>
      <c r="O40" s="270" t="s">
        <v>70</v>
      </c>
      <c r="P40" s="319" t="str">
        <v>AM</v>
      </c>
      <c r="Q40" s="319" t="str">
        <v>6L</v>
      </c>
      <c r="R40" s="269" t="str">
        <f t="shared" si="0"/>
        <v>USDAM6L40Y</v>
      </c>
      <c r="S40" s="269" t="str">
        <v>USDAM6L40Y=ICAP</v>
      </c>
      <c r="T40" s="264" t="s">
        <v>240</v>
      </c>
      <c r="U40" s="264" t="s">
        <v>240</v>
      </c>
      <c r="V40" s="264" t="s">
        <v>240</v>
      </c>
      <c r="W40" s="264" t="s">
        <v>240</v>
      </c>
      <c r="X40" s="268" t="e">
        <f>_xll.qlMidEquivalent($T40,$U40,$V40,$W40)</f>
        <v>#NUM!</v>
      </c>
      <c r="Y40" s="266"/>
      <c r="Z40" s="267">
        <v>0</v>
      </c>
      <c r="AA40" s="266"/>
      <c r="AB40" s="339" t="e">
        <v>#NUM!</v>
      </c>
      <c r="AC40" s="263" t="e">
        <f>_xll.qlSimpleQuoteSetValue(F40,AB40/100,Trigger)</f>
        <v>#NUM!</v>
      </c>
      <c r="AD40" s="220"/>
      <c r="AE40" s="21"/>
      <c r="AF40" s="21"/>
      <c r="AG40" s="21"/>
      <c r="AH40" s="21"/>
      <c r="AI40" s="21"/>
      <c r="AJ40" s="301" t="e">
        <f t="shared" si="1"/>
        <v>#VALUE!</v>
      </c>
    </row>
    <row r="41" spans="1:36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2"/>
        <v>USDAM6L50Y_Quote</v>
      </c>
      <c r="F41" s="74" t="str">
        <f>_xll.qlSimpleQuote(Currency&amp;$C41&amp;$D41&amp;$B41&amp;QuoteSuffix,,RateTickValue,Permanent,Trigger,ObjectOverwrite)</f>
        <v>USDAM6L50Y_Quote#0002</v>
      </c>
      <c r="G41" s="73" t="str">
        <f>_xll.ohRangeRetrieveError(F41)</f>
        <v/>
      </c>
      <c r="H41" s="47"/>
      <c r="N41" s="121"/>
      <c r="O41" s="270" t="s">
        <v>60</v>
      </c>
      <c r="P41" s="319" t="str">
        <v>AM</v>
      </c>
      <c r="Q41" s="319" t="str">
        <v>6L</v>
      </c>
      <c r="R41" s="269" t="str">
        <f t="shared" si="0"/>
        <v>USDAM6L50Y</v>
      </c>
      <c r="S41" s="269" t="str">
        <v>USDAM6L50Y=ICAP</v>
      </c>
      <c r="T41" s="264" t="s">
        <v>240</v>
      </c>
      <c r="U41" s="264" t="s">
        <v>240</v>
      </c>
      <c r="V41" s="264" t="s">
        <v>240</v>
      </c>
      <c r="W41" s="264" t="s">
        <v>240</v>
      </c>
      <c r="X41" s="268" t="e">
        <f>_xll.qlMidEquivalent($T41,$U41,$V41,$W41)</f>
        <v>#NUM!</v>
      </c>
      <c r="Y41" s="266"/>
      <c r="Z41" s="267">
        <v>0</v>
      </c>
      <c r="AA41" s="266"/>
      <c r="AB41" s="339" t="e">
        <v>#NUM!</v>
      </c>
      <c r="AC41" s="263" t="e">
        <f>_xll.qlSimpleQuoteSetValue(F41,AB41/100,Trigger)</f>
        <v>#NUM!</v>
      </c>
      <c r="AD41" s="220"/>
      <c r="AE41" s="21"/>
      <c r="AF41" s="21"/>
      <c r="AG41" s="21"/>
      <c r="AH41" s="21"/>
      <c r="AI41" s="21"/>
      <c r="AJ41" s="301" t="e">
        <f t="shared" si="1"/>
        <v>#VALUE!</v>
      </c>
    </row>
    <row r="42" spans="1:36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2"/>
        <v>USDAM6L60Y_Quote</v>
      </c>
      <c r="F42" s="74" t="str">
        <f>_xll.qlSimpleQuote(Currency&amp;$C42&amp;$D42&amp;$B42&amp;QuoteSuffix,,RateTickValue,Permanent,Trigger,ObjectOverwrite)</f>
        <v>USDAM6L60Y_Quote#0002</v>
      </c>
      <c r="G42" s="73" t="str">
        <f>_xll.ohRangeRetrieveError(F42)</f>
        <v/>
      </c>
      <c r="H42" s="47"/>
      <c r="N42" s="121"/>
      <c r="O42" s="282" t="s">
        <v>50</v>
      </c>
      <c r="P42" s="314" t="str">
        <v>AM</v>
      </c>
      <c r="Q42" s="314" t="str">
        <v>6L</v>
      </c>
      <c r="R42" s="281" t="str">
        <f t="shared" si="0"/>
        <v>USDAM6L60Y</v>
      </c>
      <c r="S42" s="281" t="str">
        <v>USDAM6L60Y=ICAP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_xll.qlMidEquivalent($T42,$U42,$V42,$W42)</f>
        <v>#NUM!</v>
      </c>
      <c r="Y42" s="266"/>
      <c r="Z42" s="279">
        <v>0</v>
      </c>
      <c r="AA42" s="266"/>
      <c r="AB42" s="332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1" t="e">
        <f t="shared" si="1"/>
        <v>#VALUE!</v>
      </c>
    </row>
    <row r="43" spans="1:36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10" priority="1" stopIfTrue="1" operator="greaterThan">
      <formula>0</formula>
    </cfRule>
    <cfRule type="cellIs" dxfId="9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</v>
      </c>
      <c r="C1" s="229" t="s">
        <v>215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214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USDTOY_SYNTHON_Quote#0002</v>
      </c>
      <c r="E3" s="223" t="str">
        <f>_xll.ohRangeRetrieveError(D3)</f>
        <v/>
      </c>
      <c r="F3" s="220"/>
    </row>
    <row r="4" spans="1:6" x14ac:dyDescent="0.2">
      <c r="A4" s="121"/>
      <c r="B4" s="222" t="s">
        <v>213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USDTOY2_SYNTHON_Quote#0002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38" t="s">
        <v>351</v>
      </c>
      <c r="I1" s="537"/>
      <c r="J1" s="537"/>
      <c r="K1" s="537"/>
      <c r="L1" s="537"/>
      <c r="M1" s="537"/>
      <c r="N1" s="537"/>
      <c r="O1" s="537"/>
      <c r="P1" s="536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35"/>
      <c r="I2" s="534"/>
      <c r="J2" s="519"/>
      <c r="K2" s="533"/>
      <c r="L2" s="519"/>
      <c r="M2" s="519"/>
      <c r="N2" s="519"/>
      <c r="O2" s="532"/>
      <c r="P2" s="516"/>
    </row>
    <row r="3" spans="1:16" x14ac:dyDescent="0.2">
      <c r="A3" s="121"/>
      <c r="B3" s="232" t="s">
        <v>162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USDOND_SYNTH1M_Quote#0002</v>
      </c>
      <c r="E3" s="230" t="str">
        <f>_xll.ohRangeRetrieveError(D3)</f>
        <v/>
      </c>
      <c r="F3" s="220"/>
      <c r="H3" s="522"/>
      <c r="I3" s="532"/>
      <c r="J3" s="532"/>
      <c r="K3" s="519"/>
      <c r="L3" s="519"/>
      <c r="M3" s="519"/>
      <c r="N3" s="532"/>
      <c r="O3" s="531">
        <f>_xll.ohTrigger(O5:O8)</f>
        <v>3</v>
      </c>
      <c r="P3" s="516"/>
    </row>
    <row r="4" spans="1:16" x14ac:dyDescent="0.2">
      <c r="A4" s="121"/>
      <c r="B4" s="232" t="s">
        <v>161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USDTND_SYNTH1M_Quote#0002</v>
      </c>
      <c r="E4" s="230" t="str">
        <f>_xll.ohRangeRetrieveError(D4)</f>
        <v/>
      </c>
      <c r="F4" s="220"/>
      <c r="H4" s="522"/>
      <c r="I4" s="528"/>
      <c r="J4" s="530" t="s">
        <v>350</v>
      </c>
      <c r="K4" s="519"/>
      <c r="L4" s="529" t="s">
        <v>258</v>
      </c>
      <c r="M4" s="519"/>
      <c r="N4" s="528" t="s">
        <v>256</v>
      </c>
      <c r="O4" s="527" t="s">
        <v>255</v>
      </c>
      <c r="P4" s="516"/>
    </row>
    <row r="5" spans="1:16" x14ac:dyDescent="0.2">
      <c r="A5" s="121"/>
      <c r="B5" s="232" t="s">
        <v>160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USDSND_SYNTH1M_Quote#0002</v>
      </c>
      <c r="E5" s="230" t="str">
        <f>_xll.ohRangeRetrieveError(D5)</f>
        <v/>
      </c>
      <c r="F5" s="220"/>
      <c r="H5" s="522"/>
      <c r="I5" s="526" t="s">
        <v>160</v>
      </c>
      <c r="J5" s="559" t="e">
        <f>[1]Calculation!G34</f>
        <v>#NUM!</v>
      </c>
      <c r="K5" s="539" t="s">
        <v>352</v>
      </c>
      <c r="L5" s="525">
        <v>1.9589999999999998E-3</v>
      </c>
      <c r="M5" s="519"/>
      <c r="N5" s="524">
        <f t="array" ref="N5:N9">QuoteStatic</f>
        <v>1.9589999999999998E-3</v>
      </c>
      <c r="O5" s="523" t="e">
        <f>_xll.qlSimpleQuoteSetValue(D5,ROUND(N5,6),EvaluationDate)</f>
        <v>#N/A</v>
      </c>
      <c r="P5" s="516"/>
    </row>
    <row r="6" spans="1:16" x14ac:dyDescent="0.2">
      <c r="A6" s="121"/>
      <c r="B6" s="232" t="s">
        <v>159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USDSWD_SYNTH1M_Quote#0002</v>
      </c>
      <c r="E6" s="230" t="str">
        <f>_xll.ohRangeRetrieveError(D6)</f>
        <v/>
      </c>
      <c r="F6" s="220"/>
      <c r="H6" s="522"/>
      <c r="I6" s="526" t="s">
        <v>159</v>
      </c>
      <c r="J6" s="559" t="e">
        <f>[1]Calculation!G35</f>
        <v>#NUM!</v>
      </c>
      <c r="K6" s="539" t="s">
        <v>352</v>
      </c>
      <c r="L6" s="525">
        <v>1.954E-3</v>
      </c>
      <c r="M6" s="519"/>
      <c r="N6" s="524">
        <v>1.954E-3</v>
      </c>
      <c r="O6" s="523" t="e">
        <f>_xll.qlSimpleQuoteSetValue(D6,ROUND(N6,6),EvaluationDate)</f>
        <v>#N/A</v>
      </c>
      <c r="P6" s="516"/>
    </row>
    <row r="7" spans="1:16" x14ac:dyDescent="0.2">
      <c r="A7" s="121"/>
      <c r="B7" s="232" t="s">
        <v>158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USD2WD_SYNTH1M_Quote#0002</v>
      </c>
      <c r="E7" s="230" t="str">
        <f>_xll.ohRangeRetrieveError(D7)</f>
        <v/>
      </c>
      <c r="F7" s="220"/>
      <c r="H7" s="522"/>
      <c r="I7" s="526" t="s">
        <v>158</v>
      </c>
      <c r="J7" s="559" t="e">
        <f>[1]Calculation!G36</f>
        <v>#NUM!</v>
      </c>
      <c r="K7" s="539" t="s">
        <v>352</v>
      </c>
      <c r="L7" s="525">
        <v>1.939E-3</v>
      </c>
      <c r="M7" s="519"/>
      <c r="N7" s="524">
        <v>1.939E-3</v>
      </c>
      <c r="O7" s="523" t="e">
        <f>_xll.qlSimpleQuoteSetValue(D7,ROUND(N7,6),EvaluationDate)</f>
        <v>#N/A</v>
      </c>
      <c r="P7" s="516"/>
    </row>
    <row r="8" spans="1:16" x14ac:dyDescent="0.2">
      <c r="A8" s="121"/>
      <c r="B8" s="232" t="s">
        <v>157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USD3WD_SYNTH1M_Quote#0002</v>
      </c>
      <c r="E8" s="230" t="str">
        <f>_xll.ohRangeRetrieveError(D8)</f>
        <v/>
      </c>
      <c r="F8" s="220"/>
      <c r="H8" s="522"/>
      <c r="I8" s="521" t="s">
        <v>157</v>
      </c>
      <c r="J8" s="560" t="e">
        <f>[1]Calculation!G37</f>
        <v>#NUM!</v>
      </c>
      <c r="K8" s="539" t="s">
        <v>352</v>
      </c>
      <c r="L8" s="520">
        <v>1.923E-3</v>
      </c>
      <c r="M8" s="519"/>
      <c r="N8" s="518">
        <v>1.923E-3</v>
      </c>
      <c r="O8" s="517" t="e">
        <f>_xll.qlSimpleQuoteSetValue(D8,ROUND(N8,6),EvaluationDate)</f>
        <v>#N/A</v>
      </c>
      <c r="P8" s="516"/>
    </row>
    <row r="9" spans="1:16" x14ac:dyDescent="0.2">
      <c r="A9" s="121"/>
      <c r="B9" s="231" t="s">
        <v>156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USD1MD_SYNTH1M_Quote#0002</v>
      </c>
      <c r="E9" s="230" t="str">
        <f>_xll.ohRangeRetrieveError(D9)</f>
        <v/>
      </c>
      <c r="F9" s="220"/>
      <c r="H9" s="522"/>
      <c r="I9" s="521" t="s">
        <v>156</v>
      </c>
      <c r="J9" s="560" t="e">
        <f>[1]Calculation!G38</f>
        <v>#NUM!</v>
      </c>
      <c r="K9" s="539" t="s">
        <v>352</v>
      </c>
      <c r="L9" s="520">
        <v>1.915E-3</v>
      </c>
      <c r="M9" s="519"/>
      <c r="N9" s="518">
        <v>1.915E-3</v>
      </c>
      <c r="O9" s="517" t="e">
        <f>_xll.qlSimpleQuoteSetValue(D9,ROUND(N9,6),EvaluationDate)</f>
        <v>#N/A</v>
      </c>
      <c r="P9" s="516"/>
    </row>
    <row r="10" spans="1:16" ht="12" thickBot="1" x14ac:dyDescent="0.25">
      <c r="A10" s="121"/>
      <c r="B10" s="224" t="s">
        <v>214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USDTOY_SYNTH1M_Quote#0002</v>
      </c>
      <c r="E10" s="223" t="str">
        <f>_xll.ohRangeRetrieveError(D10)</f>
        <v/>
      </c>
      <c r="F10" s="220"/>
      <c r="H10" s="515"/>
      <c r="I10" s="514"/>
      <c r="J10" s="514"/>
      <c r="K10" s="514"/>
      <c r="L10" s="514"/>
      <c r="M10" s="514"/>
      <c r="N10" s="514"/>
      <c r="O10" s="514"/>
      <c r="P10" s="513"/>
    </row>
    <row r="11" spans="1:16" x14ac:dyDescent="0.2">
      <c r="A11" s="121"/>
      <c r="B11" s="222" t="s">
        <v>213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USDTOY2_SYNTH1M_Quote#0002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38" t="s">
        <v>351</v>
      </c>
      <c r="I1" s="537"/>
      <c r="J1" s="537"/>
      <c r="K1" s="537"/>
      <c r="L1" s="537"/>
      <c r="M1" s="537"/>
      <c r="N1" s="537"/>
      <c r="O1" s="537"/>
      <c r="P1" s="536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  <c r="H2" s="535"/>
      <c r="I2" s="534"/>
      <c r="J2" s="519"/>
      <c r="K2" s="533"/>
      <c r="L2" s="519"/>
      <c r="M2" s="519"/>
      <c r="N2" s="519"/>
      <c r="O2" s="532"/>
      <c r="P2" s="516"/>
    </row>
    <row r="3" spans="1:16" x14ac:dyDescent="0.2">
      <c r="A3" s="121"/>
      <c r="B3" s="232" t="s">
        <v>162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USDOND_SYNTH3M_Quote#0002</v>
      </c>
      <c r="E3" s="237" t="str">
        <f>_xll.ohRangeRetrieveError(D3)</f>
        <v/>
      </c>
      <c r="F3" s="220"/>
      <c r="H3" s="522"/>
      <c r="I3" s="532"/>
      <c r="J3" s="532"/>
      <c r="K3" s="519"/>
      <c r="L3" s="519"/>
      <c r="M3" s="519"/>
      <c r="N3" s="532"/>
      <c r="O3" s="531">
        <f>_xll.ohTrigger(O5:O10)</f>
        <v>3</v>
      </c>
      <c r="P3" s="516"/>
    </row>
    <row r="4" spans="1:16" x14ac:dyDescent="0.2">
      <c r="A4" s="121"/>
      <c r="B4" s="232" t="s">
        <v>161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USDTND_SYNTH3M_Quote#0002</v>
      </c>
      <c r="E4" s="237" t="str">
        <f>_xll.ohRangeRetrieveError(D4)</f>
        <v/>
      </c>
      <c r="F4" s="220"/>
      <c r="H4" s="522"/>
      <c r="I4" s="528"/>
      <c r="J4" s="530" t="s">
        <v>350</v>
      </c>
      <c r="K4" s="519"/>
      <c r="L4" s="529" t="s">
        <v>258</v>
      </c>
      <c r="M4" s="519"/>
      <c r="N4" s="528" t="s">
        <v>256</v>
      </c>
      <c r="O4" s="527" t="s">
        <v>255</v>
      </c>
      <c r="P4" s="516"/>
    </row>
    <row r="5" spans="1:16" x14ac:dyDescent="0.2">
      <c r="A5" s="121"/>
      <c r="B5" s="231" t="s">
        <v>160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USDSND_SYNTH3M_Quote#0002</v>
      </c>
      <c r="E5" s="237" t="str">
        <f>_xll.ohRangeRetrieveError(D5)</f>
        <v/>
      </c>
      <c r="F5" s="220"/>
      <c r="H5" s="522"/>
      <c r="I5" s="526" t="s">
        <v>160</v>
      </c>
      <c r="J5" s="559" t="e">
        <f>[1]Calculation!H34</f>
        <v>#NUM!</v>
      </c>
      <c r="K5" s="539" t="s">
        <v>352</v>
      </c>
      <c r="L5" s="525">
        <v>2.3010000000000001E-3</v>
      </c>
      <c r="M5" s="519"/>
      <c r="N5" s="524">
        <f t="array" ref="N5:N11">QuoteStatic</f>
        <v>2.3010000000000001E-3</v>
      </c>
      <c r="O5" s="523" t="e">
        <f>_xll.qlSimpleQuoteSetValue(D5,ROUND(N5,6),EvaluationDate)</f>
        <v>#N/A</v>
      </c>
      <c r="P5" s="516"/>
    </row>
    <row r="6" spans="1:16" x14ac:dyDescent="0.2">
      <c r="A6" s="121"/>
      <c r="B6" s="231" t="s">
        <v>159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USDSWD_SYNTH3M_Quote#0002</v>
      </c>
      <c r="E6" s="237" t="str">
        <f>_xll.ohRangeRetrieveError(D6)</f>
        <v/>
      </c>
      <c r="F6" s="220"/>
      <c r="H6" s="522"/>
      <c r="I6" s="526" t="s">
        <v>159</v>
      </c>
      <c r="J6" s="559" t="e">
        <f>[1]Calculation!H35</f>
        <v>#NUM!</v>
      </c>
      <c r="K6" s="539" t="s">
        <v>352</v>
      </c>
      <c r="L6" s="525">
        <v>2.3E-3</v>
      </c>
      <c r="M6" s="519"/>
      <c r="N6" s="524">
        <v>2.3E-3</v>
      </c>
      <c r="O6" s="523" t="e">
        <f>_xll.qlSimpleQuoteSetValue(D6,ROUND(N6,6),EvaluationDate)</f>
        <v>#N/A</v>
      </c>
      <c r="P6" s="516"/>
    </row>
    <row r="7" spans="1:16" x14ac:dyDescent="0.2">
      <c r="A7" s="121"/>
      <c r="B7" s="231" t="s">
        <v>158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USD2WD_SYNTH3M_Quote#0002</v>
      </c>
      <c r="E7" s="237" t="str">
        <f>_xll.ohRangeRetrieveError(D7)</f>
        <v/>
      </c>
      <c r="F7" s="220"/>
      <c r="H7" s="522"/>
      <c r="I7" s="526" t="s">
        <v>158</v>
      </c>
      <c r="J7" s="559" t="e">
        <f>[1]Calculation!H36</f>
        <v>#NUM!</v>
      </c>
      <c r="K7" s="539" t="s">
        <v>352</v>
      </c>
      <c r="L7" s="525">
        <v>2.2980000000000001E-3</v>
      </c>
      <c r="M7" s="519"/>
      <c r="N7" s="524">
        <v>2.2980000000000001E-3</v>
      </c>
      <c r="O7" s="523" t="e">
        <f>_xll.qlSimpleQuoteSetValue(D7,ROUND(N7,6),EvaluationDate)</f>
        <v>#N/A</v>
      </c>
      <c r="P7" s="516"/>
    </row>
    <row r="8" spans="1:16" x14ac:dyDescent="0.2">
      <c r="A8" s="121"/>
      <c r="B8" s="231" t="s">
        <v>157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USD3WD_SYNTH3M_Quote#0002</v>
      </c>
      <c r="E8" s="237" t="str">
        <f>_xll.ohRangeRetrieveError(D8)</f>
        <v/>
      </c>
      <c r="F8" s="220"/>
      <c r="H8" s="522"/>
      <c r="I8" s="521" t="s">
        <v>157</v>
      </c>
      <c r="J8" s="560" t="e">
        <f>[1]Calculation!H37</f>
        <v>#NUM!</v>
      </c>
      <c r="K8" s="539" t="s">
        <v>352</v>
      </c>
      <c r="L8" s="520">
        <v>2.3059999999999999E-3</v>
      </c>
      <c r="M8" s="519"/>
      <c r="N8" s="518">
        <v>2.3059999999999999E-3</v>
      </c>
      <c r="O8" s="517" t="e">
        <f>_xll.qlSimpleQuoteSetValue(D8,ROUND(N8,6),EvaluationDate)</f>
        <v>#N/A</v>
      </c>
      <c r="P8" s="516"/>
    </row>
    <row r="9" spans="1:16" x14ac:dyDescent="0.2">
      <c r="A9" s="121"/>
      <c r="B9" s="231" t="s">
        <v>156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USD1MD_SYNTH3M_Quote#0002</v>
      </c>
      <c r="E9" s="237" t="str">
        <f>_xll.ohRangeRetrieveError(D9)</f>
        <v/>
      </c>
      <c r="F9" s="220"/>
      <c r="H9" s="522"/>
      <c r="I9" s="526" t="s">
        <v>156</v>
      </c>
      <c r="J9" s="559" t="e">
        <f>[1]Calculation!H38</f>
        <v>#NUM!</v>
      </c>
      <c r="K9" s="539" t="s">
        <v>352</v>
      </c>
      <c r="L9" s="525">
        <v>2.313E-3</v>
      </c>
      <c r="M9" s="519"/>
      <c r="N9" s="524">
        <v>2.313E-3</v>
      </c>
      <c r="O9" s="523" t="e">
        <f>_xll.qlSimpleQuoteSetValue(D9,ROUND(N9,6),EvaluationDate)</f>
        <v>#N/A</v>
      </c>
      <c r="P9" s="516"/>
    </row>
    <row r="10" spans="1:16" x14ac:dyDescent="0.2">
      <c r="A10" s="121"/>
      <c r="B10" s="231" t="s">
        <v>155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USD2MD_SYNTH3M_Quote#0002</v>
      </c>
      <c r="E10" s="237" t="str">
        <f>_xll.ohRangeRetrieveError(D10)</f>
        <v/>
      </c>
      <c r="F10" s="220"/>
      <c r="H10" s="522"/>
      <c r="I10" s="526" t="s">
        <v>155</v>
      </c>
      <c r="J10" s="559" t="e">
        <f>[1]Calculation!H39</f>
        <v>#NUM!</v>
      </c>
      <c r="K10" s="539" t="s">
        <v>352</v>
      </c>
      <c r="L10" s="525">
        <v>2.3189999999999999E-3</v>
      </c>
      <c r="M10" s="519"/>
      <c r="N10" s="524">
        <v>2.3189999999999999E-3</v>
      </c>
      <c r="O10" s="523" t="e">
        <f>_xll.qlSimpleQuoteSetValue(D10,ROUND(N10,6),EvaluationDate)</f>
        <v>#N/A</v>
      </c>
      <c r="P10" s="516"/>
    </row>
    <row r="11" spans="1:16" x14ac:dyDescent="0.2">
      <c r="A11" s="121"/>
      <c r="B11" s="231" t="s">
        <v>154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USD3MD_SYNTH3M_Quote#0002</v>
      </c>
      <c r="E11" s="237" t="str">
        <f>_xll.ohRangeRetrieveError(D11)</f>
        <v/>
      </c>
      <c r="F11" s="220"/>
      <c r="H11" s="522"/>
      <c r="I11" s="521" t="s">
        <v>154</v>
      </c>
      <c r="J11" s="560" t="e">
        <f>[1]Calculation!H40</f>
        <v>#NUM!</v>
      </c>
      <c r="K11" s="539" t="s">
        <v>352</v>
      </c>
      <c r="L11" s="520">
        <v>2.379E-3</v>
      </c>
      <c r="M11" s="519"/>
      <c r="N11" s="518">
        <v>2.379E-3</v>
      </c>
      <c r="O11" s="517" t="e">
        <f>_xll.qlSimpleQuoteSetValue(D11,ROUND(N11,6),EvaluationDate)</f>
        <v>#N/A</v>
      </c>
      <c r="P11" s="516"/>
    </row>
    <row r="12" spans="1:16" ht="12" thickBot="1" x14ac:dyDescent="0.25">
      <c r="A12" s="121"/>
      <c r="B12" s="236" t="s">
        <v>214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USDTOY_SYNTH3M_Quote#0002</v>
      </c>
      <c r="E12" s="235" t="str">
        <f>_xll.ohRangeRetrieveError(D12)</f>
        <v/>
      </c>
      <c r="F12" s="220"/>
      <c r="H12" s="544"/>
      <c r="I12" s="543"/>
      <c r="J12" s="543"/>
      <c r="K12" s="543"/>
      <c r="L12" s="543"/>
      <c r="M12" s="543"/>
      <c r="N12" s="543"/>
      <c r="O12" s="543"/>
      <c r="P12" s="513"/>
    </row>
    <row r="13" spans="1:16" x14ac:dyDescent="0.2">
      <c r="A13" s="121"/>
      <c r="B13" s="234" t="s">
        <v>213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USDTOY2_SYNTH3M_Quote#0002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38" t="s">
        <v>351</v>
      </c>
      <c r="I1" s="537"/>
      <c r="J1" s="537"/>
      <c r="K1" s="537"/>
      <c r="L1" s="537"/>
      <c r="M1" s="537"/>
      <c r="N1" s="537"/>
      <c r="O1" s="537"/>
      <c r="P1" s="549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  <c r="H2" s="535"/>
      <c r="I2" s="548"/>
      <c r="J2" s="519"/>
      <c r="K2" s="519"/>
      <c r="L2" s="519"/>
      <c r="M2" s="519"/>
      <c r="N2" s="519"/>
      <c r="O2" s="532"/>
      <c r="P2" s="546"/>
    </row>
    <row r="3" spans="1:16" x14ac:dyDescent="0.2">
      <c r="A3" s="121"/>
      <c r="B3" s="224" t="s">
        <v>162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USDOND_SYNTH6M_Quote#0002</v>
      </c>
      <c r="E3" s="235" t="str">
        <f>_xll.ohRangeRetrieveError(D3)</f>
        <v/>
      </c>
      <c r="F3" s="220"/>
      <c r="H3" s="522"/>
      <c r="I3" s="532"/>
      <c r="J3" s="532"/>
      <c r="K3" s="519"/>
      <c r="L3" s="519"/>
      <c r="M3" s="519"/>
      <c r="N3" s="532"/>
      <c r="O3" s="531">
        <f>_xll.ohTrigger(O5:O13)</f>
        <v>3</v>
      </c>
      <c r="P3" s="546"/>
    </row>
    <row r="4" spans="1:16" ht="22.5" x14ac:dyDescent="0.2">
      <c r="A4" s="121"/>
      <c r="B4" s="232" t="s">
        <v>161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USDTND_SYNTH6M_Quote#0002</v>
      </c>
      <c r="E4" s="237" t="str">
        <f>_xll.ohRangeRetrieveError(D4)</f>
        <v/>
      </c>
      <c r="F4" s="220"/>
      <c r="H4" s="522"/>
      <c r="I4" s="528"/>
      <c r="J4" s="530" t="s">
        <v>350</v>
      </c>
      <c r="K4" s="519"/>
      <c r="L4" s="529" t="s">
        <v>258</v>
      </c>
      <c r="M4" s="519"/>
      <c r="N4" s="528" t="s">
        <v>256</v>
      </c>
      <c r="O4" s="527" t="s">
        <v>255</v>
      </c>
      <c r="P4" s="546"/>
    </row>
    <row r="5" spans="1:16" x14ac:dyDescent="0.2">
      <c r="A5" s="121"/>
      <c r="B5" s="231" t="s">
        <v>160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USDSND_SYNTH6M_Quote#0002</v>
      </c>
      <c r="E5" s="237" t="str">
        <f>_xll.ohRangeRetrieveError(D5)</f>
        <v/>
      </c>
      <c r="F5" s="220"/>
      <c r="H5" s="535"/>
      <c r="I5" s="526" t="s">
        <v>160</v>
      </c>
      <c r="J5" s="559" t="e">
        <f>[1]Calculation!I34</f>
        <v>#NUM!</v>
      </c>
      <c r="K5" s="539" t="s">
        <v>352</v>
      </c>
      <c r="L5" s="547">
        <v>3.1589999999999999E-3</v>
      </c>
      <c r="M5" s="519"/>
      <c r="N5" s="524">
        <f t="array" ref="N5:N14">QuoteStatic</f>
        <v>3.1589999999999999E-3</v>
      </c>
      <c r="O5" s="523" t="e">
        <f>_xll.qlSimpleQuoteSetValue(D5,ROUND($N5,6),EvaluationDate)</f>
        <v>#N/A</v>
      </c>
      <c r="P5" s="546"/>
    </row>
    <row r="6" spans="1:16" x14ac:dyDescent="0.2">
      <c r="A6" s="121"/>
      <c r="B6" s="231" t="s">
        <v>159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USDSWD_SYNTH6M_Quote#0002</v>
      </c>
      <c r="E6" s="237" t="str">
        <f>_xll.ohRangeRetrieveError(D6)</f>
        <v/>
      </c>
      <c r="F6" s="220"/>
      <c r="H6" s="535"/>
      <c r="I6" s="526" t="s">
        <v>159</v>
      </c>
      <c r="J6" s="559" t="e">
        <f>[1]Calculation!I35</f>
        <v>#NUM!</v>
      </c>
      <c r="K6" s="539" t="s">
        <v>352</v>
      </c>
      <c r="L6" s="525">
        <v>3.1580000000000002E-3</v>
      </c>
      <c r="M6" s="519"/>
      <c r="N6" s="524">
        <v>3.1580000000000002E-3</v>
      </c>
      <c r="O6" s="523" t="e">
        <f>_xll.qlSimpleQuoteSetValue(D6,ROUND($N6,6),EvaluationDate)</f>
        <v>#N/A</v>
      </c>
      <c r="P6" s="546"/>
    </row>
    <row r="7" spans="1:16" x14ac:dyDescent="0.2">
      <c r="A7" s="121"/>
      <c r="B7" s="231" t="s">
        <v>158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USD2WD_SYNTH6M_Quote#0002</v>
      </c>
      <c r="E7" s="237" t="str">
        <f>_xll.ohRangeRetrieveError(D7)</f>
        <v/>
      </c>
      <c r="F7" s="220"/>
      <c r="H7" s="535"/>
      <c r="I7" s="526" t="s">
        <v>158</v>
      </c>
      <c r="J7" s="559" t="e">
        <f>[1]Calculation!I36</f>
        <v>#NUM!</v>
      </c>
      <c r="K7" s="539" t="s">
        <v>352</v>
      </c>
      <c r="L7" s="525">
        <v>3.156E-3</v>
      </c>
      <c r="M7" s="519"/>
      <c r="N7" s="524">
        <v>3.156E-3</v>
      </c>
      <c r="O7" s="523" t="e">
        <f>_xll.qlSimpleQuoteSetValue(D7,ROUND($N7,6),EvaluationDate)</f>
        <v>#N/A</v>
      </c>
      <c r="P7" s="546"/>
    </row>
    <row r="8" spans="1:16" x14ac:dyDescent="0.2">
      <c r="A8" s="121"/>
      <c r="B8" s="231" t="s">
        <v>157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USD3WD_SYNTH6M_Quote#0002</v>
      </c>
      <c r="E8" s="237" t="str">
        <f>_xll.ohRangeRetrieveError(D8)</f>
        <v/>
      </c>
      <c r="F8" s="220"/>
      <c r="H8" s="535"/>
      <c r="I8" s="526" t="s">
        <v>157</v>
      </c>
      <c r="J8" s="559" t="e">
        <f>[1]Calculation!I37</f>
        <v>#NUM!</v>
      </c>
      <c r="K8" s="539" t="s">
        <v>352</v>
      </c>
      <c r="L8" s="525">
        <v>3.1649999999999998E-3</v>
      </c>
      <c r="M8" s="519"/>
      <c r="N8" s="524">
        <v>3.1649999999999998E-3</v>
      </c>
      <c r="O8" s="523" t="e">
        <f>_xll.qlSimpleQuoteSetValue(D8,ROUND($N8,6),EvaluationDate)</f>
        <v>#N/A</v>
      </c>
      <c r="P8" s="546"/>
    </row>
    <row r="9" spans="1:16" x14ac:dyDescent="0.2">
      <c r="A9" s="121"/>
      <c r="B9" s="231" t="s">
        <v>156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USD1MD_SYNTH6M_Quote#0002</v>
      </c>
      <c r="E9" s="237" t="str">
        <f>_xll.ohRangeRetrieveError(D9)</f>
        <v/>
      </c>
      <c r="F9" s="220"/>
      <c r="H9" s="535"/>
      <c r="I9" s="526" t="s">
        <v>156</v>
      </c>
      <c r="J9" s="559" t="e">
        <f>[1]Calculation!I38</f>
        <v>#NUM!</v>
      </c>
      <c r="K9" s="539" t="s">
        <v>352</v>
      </c>
      <c r="L9" s="525">
        <v>3.173E-3</v>
      </c>
      <c r="M9" s="519"/>
      <c r="N9" s="524">
        <v>3.173E-3</v>
      </c>
      <c r="O9" s="523" t="e">
        <f>_xll.qlSimpleQuoteSetValue(D9,ROUND($N9,6),EvaluationDate)</f>
        <v>#N/A</v>
      </c>
      <c r="P9" s="546"/>
    </row>
    <row r="10" spans="1:16" x14ac:dyDescent="0.2">
      <c r="A10" s="121"/>
      <c r="B10" s="231" t="s">
        <v>155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USD2MD_SYNTH6M_Quote#0002</v>
      </c>
      <c r="E10" s="237" t="str">
        <f>_xll.ohRangeRetrieveError(D10)</f>
        <v/>
      </c>
      <c r="F10" s="220"/>
      <c r="H10" s="535"/>
      <c r="I10" s="526" t="s">
        <v>155</v>
      </c>
      <c r="J10" s="559" t="e">
        <f>[1]Calculation!I39</f>
        <v>#NUM!</v>
      </c>
      <c r="K10" s="539" t="s">
        <v>352</v>
      </c>
      <c r="L10" s="525">
        <v>3.1809999999999998E-3</v>
      </c>
      <c r="M10" s="519"/>
      <c r="N10" s="524">
        <v>3.1809999999999998E-3</v>
      </c>
      <c r="O10" s="523" t="e">
        <f>_xll.qlSimpleQuoteSetValue(D10,ROUND($N10,6),EvaluationDate)</f>
        <v>#N/A</v>
      </c>
      <c r="P10" s="546"/>
    </row>
    <row r="11" spans="1:16" x14ac:dyDescent="0.2">
      <c r="A11" s="121"/>
      <c r="B11" s="231" t="s">
        <v>154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USD3MD_SYNTH6M_Quote#0002</v>
      </c>
      <c r="E11" s="237" t="str">
        <f>_xll.ohRangeRetrieveError(D11)</f>
        <v/>
      </c>
      <c r="F11" s="220"/>
      <c r="H11" s="535"/>
      <c r="I11" s="526" t="s">
        <v>154</v>
      </c>
      <c r="J11" s="559" t="e">
        <f>[1]Calculation!I40</f>
        <v>#NUM!</v>
      </c>
      <c r="K11" s="539" t="s">
        <v>352</v>
      </c>
      <c r="L11" s="525">
        <v>3.2429999999999998E-3</v>
      </c>
      <c r="M11" s="519"/>
      <c r="N11" s="524">
        <v>3.2429999999999998E-3</v>
      </c>
      <c r="O11" s="523" t="e">
        <f>_xll.qlSimpleQuoteSetValue(D11,ROUND($N11,6),EvaluationDate)</f>
        <v>#N/A</v>
      </c>
      <c r="P11" s="546"/>
    </row>
    <row r="12" spans="1:16" x14ac:dyDescent="0.2">
      <c r="A12" s="121"/>
      <c r="B12" s="231" t="s">
        <v>153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USD4MD_SYNTH6M_Quote#0002</v>
      </c>
      <c r="E12" s="237" t="str">
        <f>_xll.ohRangeRetrieveError(D12)</f>
        <v/>
      </c>
      <c r="F12" s="220"/>
      <c r="H12" s="535"/>
      <c r="I12" s="526" t="s">
        <v>153</v>
      </c>
      <c r="J12" s="559" t="e">
        <f>[1]Calculation!I41</f>
        <v>#NUM!</v>
      </c>
      <c r="K12" s="539" t="s">
        <v>352</v>
      </c>
      <c r="L12" s="525">
        <v>3.2799999999999999E-3</v>
      </c>
      <c r="M12" s="519"/>
      <c r="N12" s="524">
        <v>3.2799999999999999E-3</v>
      </c>
      <c r="O12" s="523" t="e">
        <f>_xll.qlSimpleQuoteSetValue(D12,ROUND($N12,6),EvaluationDate)</f>
        <v>#N/A</v>
      </c>
      <c r="P12" s="546"/>
    </row>
    <row r="13" spans="1:16" x14ac:dyDescent="0.2">
      <c r="A13" s="121"/>
      <c r="B13" s="231" t="s">
        <v>152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USD5MD_SYNTH6M_Quote#0002</v>
      </c>
      <c r="E13" s="237" t="str">
        <f>_xll.ohRangeRetrieveError(D13)</f>
        <v/>
      </c>
      <c r="F13" s="220"/>
      <c r="H13" s="535"/>
      <c r="I13" s="526" t="s">
        <v>152</v>
      </c>
      <c r="J13" s="559" t="e">
        <f>[1]Calculation!I42</f>
        <v>#NUM!</v>
      </c>
      <c r="K13" s="539" t="s">
        <v>352</v>
      </c>
      <c r="L13" s="525">
        <v>3.3110000000000001E-3</v>
      </c>
      <c r="M13" s="519"/>
      <c r="N13" s="524">
        <v>3.3110000000000001E-3</v>
      </c>
      <c r="O13" s="523" t="e">
        <f>_xll.qlSimpleQuoteSetValue(D13,ROUND($N13,6),EvaluationDate)</f>
        <v>#N/A</v>
      </c>
      <c r="P13" s="546"/>
    </row>
    <row r="14" spans="1:16" x14ac:dyDescent="0.2">
      <c r="A14" s="121"/>
      <c r="B14" s="234" t="s">
        <v>151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USD6MD_SYNTH6M_Quote#0002</v>
      </c>
      <c r="E14" s="233" t="str">
        <f>_xll.ohRangeRetrieveError(D14)</f>
        <v/>
      </c>
      <c r="F14" s="220"/>
      <c r="H14" s="535"/>
      <c r="I14" s="521" t="s">
        <v>151</v>
      </c>
      <c r="J14" s="560" t="e">
        <f>[1]Calculation!I43</f>
        <v>#NUM!</v>
      </c>
      <c r="K14" s="539" t="s">
        <v>352</v>
      </c>
      <c r="L14" s="520">
        <v>3.356E-3</v>
      </c>
      <c r="M14" s="519"/>
      <c r="N14" s="518">
        <v>3.356E-3</v>
      </c>
      <c r="O14" s="517" t="e">
        <f>_xll.qlSimpleQuoteSetValue(D14,ROUND($N14,6),EvaluationDate)</f>
        <v>#N/A</v>
      </c>
      <c r="P14" s="546"/>
    </row>
    <row r="15" spans="1:16" ht="12" thickBot="1" x14ac:dyDescent="0.25">
      <c r="A15" s="121"/>
      <c r="B15" s="231" t="s">
        <v>214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USDTOY_SYNTH6M_Quote#0002</v>
      </c>
      <c r="E15" s="237" t="str">
        <f>_xll.ohRangeRetrieveError(D15)</f>
        <v/>
      </c>
      <c r="F15" s="220"/>
      <c r="H15" s="515"/>
      <c r="I15" s="514"/>
      <c r="J15" s="514"/>
      <c r="K15" s="514"/>
      <c r="L15" s="514"/>
      <c r="M15" s="514"/>
      <c r="N15" s="514"/>
      <c r="O15" s="514"/>
      <c r="P15" s="545"/>
    </row>
    <row r="16" spans="1:16" x14ac:dyDescent="0.2">
      <c r="A16" s="121"/>
      <c r="B16" s="234" t="s">
        <v>213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USDTOY2_SYNTH6M_Quote#0002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162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USDOND_SYNTH1Y_Quote#0002</v>
      </c>
      <c r="E3" s="237" t="str">
        <f>_xll.ohRangeRetrieveError(D3)</f>
        <v/>
      </c>
      <c r="F3" s="220"/>
    </row>
    <row r="4" spans="1:6" x14ac:dyDescent="0.2">
      <c r="A4" s="121"/>
      <c r="B4" s="232" t="s">
        <v>161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USDTND_SYNTH1Y_Quote#0002</v>
      </c>
      <c r="E4" s="237" t="str">
        <f>_xll.ohRangeRetrieveError(D4)</f>
        <v/>
      </c>
      <c r="F4" s="220"/>
    </row>
    <row r="5" spans="1:6" x14ac:dyDescent="0.2">
      <c r="A5" s="121"/>
      <c r="B5" s="231" t="s">
        <v>160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USDSND_SYNTH1Y_Quote#0002</v>
      </c>
      <c r="E5" s="237" t="str">
        <f>_xll.ohRangeRetrieveError(D5)</f>
        <v/>
      </c>
      <c r="F5" s="220"/>
    </row>
    <row r="6" spans="1:6" x14ac:dyDescent="0.2">
      <c r="A6" s="121"/>
      <c r="B6" s="231" t="s">
        <v>159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USDSWD_SYNTH1Y_Quote#0002</v>
      </c>
      <c r="E6" s="237" t="str">
        <f>_xll.ohRangeRetrieveError(D6)</f>
        <v/>
      </c>
      <c r="F6" s="220"/>
    </row>
    <row r="7" spans="1:6" x14ac:dyDescent="0.2">
      <c r="A7" s="121"/>
      <c r="B7" s="231" t="s">
        <v>158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USD2WD_SYNTH1Y_Quote#0002</v>
      </c>
      <c r="E7" s="237" t="str">
        <f>_xll.ohRangeRetrieveError(D7)</f>
        <v/>
      </c>
      <c r="F7" s="220"/>
    </row>
    <row r="8" spans="1:6" x14ac:dyDescent="0.2">
      <c r="A8" s="121"/>
      <c r="B8" s="231" t="s">
        <v>157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USD3WD_SYNTH1Y_Quote#0002</v>
      </c>
      <c r="E8" s="237" t="str">
        <f>_xll.ohRangeRetrieveError(D8)</f>
        <v/>
      </c>
      <c r="F8" s="220"/>
    </row>
    <row r="9" spans="1:6" x14ac:dyDescent="0.2">
      <c r="A9" s="121"/>
      <c r="B9" s="231" t="s">
        <v>156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USD1MD_SYNTH1Y_Quote#0002</v>
      </c>
      <c r="E9" s="237" t="str">
        <f>_xll.ohRangeRetrieveError(D9)</f>
        <v/>
      </c>
      <c r="F9" s="220"/>
    </row>
    <row r="10" spans="1:6" x14ac:dyDescent="0.2">
      <c r="A10" s="121"/>
      <c r="B10" s="231" t="s">
        <v>155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USD2MD_SYNTH1Y_Quote#0002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154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USD3MD_SYNTH1Y_Quote#0002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153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USD4MD_SYNTH1Y_Quote#0002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152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USD5MD_SYNTH1Y_Quote#0002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151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USD6MD_SYNTH1Y_Quote#0002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150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USD7MD_SYNTH1Y_Quote#0002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149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USD8MD_SYNTH1Y_Quote#0002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148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USD9MD_SYNTH1Y_Quote#0002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147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USD10MD_SYNTH1Y_Quote#0002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146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USD11MD_SYNTH1Y_Quote#0002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145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USD1YD_SYNTH1Y_Quote#0002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USD1x13F_SYNTH1Y_Quote#0002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USD2x14F_SYNTH1Y_Quote#0002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USD3x15F_SYNTH1Y_Quote#0002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USD4x16F_SYNTH1Y_Quote#0002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USD5x17F_SYNTH1Y_Quote#0002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USD6x18F_SYNTH1Y_Quote#0002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USD7x19F_SYNTH1Y_Quote#0002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USD8x20F_SYNTH1Y_Quote#0002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USD9x21F_SYNTH1Y_Quote#0002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USD10x22F_SYNTH1Y_Quote#0002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USD11x23F_SYNTH1Y_Quote#0002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USD13x25F_SYNTH1Y_Quote#0002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USD14x26F_SYNTH1Y_Quote#0002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USD15x27F_SYNTH1Y_Quote#0002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USD16x28F_SYNTH1Y_Quote#0002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USD17x29F_SYNTH1Y_Quote#0002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USD18x30F_SYNTH1Y_Quote#0002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USD19x31F_SYNTH1Y_Quote#0002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USD20x32F_SYNTH1Y_Quote#0002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USD21x33F_SYNTH1Y_Quote#0002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USD22x34F_SYNTH1Y_Quote#0002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USD23x35F_SYNTH1Y_Quote#0002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USD25x37F_SYNTH1Y_Quote#0002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USD26x38F_SYNTH1Y_Quote#0002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USD27x39F_SYNTH1Y_Quote#0002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USD28x40F_SYNTH1Y_Quote#0002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USD29x41F_SYNTH1Y_Quote#0002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USD30x42F_SYNTH1Y_Quote#0002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USD31x43F_SYNTH1Y_Quote#0002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USD32x44F_SYNTH1Y_Quote#0002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USD33x45F_SYNTH1Y_Quote#0002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USD34x46F_SYNTH1Y_Quote#0002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USD35x47F_SYNTH1Y_Quote#0002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USD37x49F_SYNTH1Y_Quote#0002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USD38x50F_SYNTH1Y_Quote#0002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USD39x51F_SYNTH1Y_Quote#0002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USD40x52F_SYNTH1Y_Quote#0002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USD41x53F_SYNTH1Y_Quote#0002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USD42x54F_SYNTH1Y_Quote#0002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USD43x55F_SYNTH1Y_Quote#0002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USD44x56F_SYNTH1Y_Quote#0002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USD45x57F_SYNTH1Y_Quote#0002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USD46x58F_SYNTH1Y_Quote#0002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USD47x59F_SYNTH1Y_Quote#0002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220</v>
      </c>
      <c r="F2" s="246"/>
      <c r="G2" s="246"/>
      <c r="H2" s="246" t="s">
        <v>219</v>
      </c>
      <c r="I2" s="246" t="s">
        <v>218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121</v>
      </c>
      <c r="P7" s="80" t="s">
        <v>205</v>
      </c>
      <c r="Q7" s="250" t="s">
        <v>125</v>
      </c>
      <c r="R7" s="80" t="s">
        <v>217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W37"/>
  <sheetViews>
    <sheetView workbookViewId="0">
      <selection activeCell="K4" sqref="K4"/>
    </sheetView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8.14062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3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3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3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>LiborSwapForBasisCalc!F10</f>
        <v>UsdLiborSwapForBasisCalc1Y#0001</v>
      </c>
      <c r="J3" s="239" t="str">
        <f t="shared" ref="J3:J36" si="5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USDAM3L1Y_S6L3L_Quote#0002</v>
      </c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124</v>
      </c>
      <c r="R3" s="83" t="s">
        <v>217</v>
      </c>
      <c r="S3" s="83"/>
      <c r="T3" s="82"/>
    </row>
    <row r="4" spans="1:23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6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>LiborSwapForBasisCalc!F11</f>
        <v>UsdLiborSwapForBasisCalc2Y#0001</v>
      </c>
      <c r="J4" s="239" t="str">
        <f t="shared" si="5"/>
        <v>USDAM3L2Y_S6L3L_Quote</v>
      </c>
      <c r="K4" s="239" t="str">
        <f>_xll.qlForwardSwapQuote(J4,I4,H4,E4,Permanent,Trigger,ObjectOverwrite)</f>
        <v>USDAM3L2Y_S6L3L_Quote#0002</v>
      </c>
      <c r="L4" s="249" t="str">
        <f>_xll.ohRangeRetrieveError(K4)</f>
        <v/>
      </c>
      <c r="M4" s="47"/>
      <c r="O4" s="84" t="s">
        <v>130</v>
      </c>
      <c r="P4" s="83" t="s">
        <v>207</v>
      </c>
      <c r="Q4" s="251" t="s">
        <v>136</v>
      </c>
      <c r="R4" s="83" t="s">
        <v>217</v>
      </c>
      <c r="S4" s="83" t="s">
        <v>136</v>
      </c>
      <c r="T4" s="82" t="s">
        <v>128</v>
      </c>
      <c r="V4" s="21">
        <f>_xll.qlQuoteValue(H4)</f>
        <v>1.0400000000000001E-3</v>
      </c>
      <c r="W4" s="21" t="e">
        <f>_xll.qlQuoteValue(K4)</f>
        <v>#NUM!</v>
      </c>
    </row>
    <row r="5" spans="1:23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6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>LiborSwapForBasisCalc!F12</f>
        <v>UsdLiborSwapForBasisCalc3Y#0001</v>
      </c>
      <c r="J5" s="239" t="str">
        <f t="shared" si="5"/>
        <v>USDAM3L3Y_S6L3L_Quote</v>
      </c>
      <c r="K5" s="239" t="str">
        <f>_xll.qlForwardSwapQuote(J5,I5,H5,E5,Permanent,Trigger,ObjectOverwrite)</f>
        <v>USDAM3L3Y_S6L3L_Quote#0002</v>
      </c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124</v>
      </c>
      <c r="R5" s="83" t="s">
        <v>217</v>
      </c>
      <c r="S5" s="83"/>
      <c r="T5" s="82"/>
    </row>
    <row r="6" spans="1:23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6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>LiborSwapForBasisCalc!F13</f>
        <v>UsdLiborSwapForBasisCalc4Y#0001</v>
      </c>
      <c r="J6" s="239" t="str">
        <f t="shared" si="5"/>
        <v>USDAM3L4Y_S6L3L_Quote</v>
      </c>
      <c r="K6" s="239" t="str">
        <f>_xll.qlForwardSwapQuote(J6,I6,H6,E6,Permanent,Trigger,ObjectOverwrite)</f>
        <v>USDAM3L4Y_S6L3L_Quote#0002</v>
      </c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124</v>
      </c>
      <c r="R6" s="83" t="s">
        <v>217</v>
      </c>
      <c r="S6" s="83"/>
      <c r="T6" s="82"/>
    </row>
    <row r="7" spans="1:23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6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>LiborSwapForBasisCalc!F14</f>
        <v>UsdLiborSwapForBasisCalc5Y#0001</v>
      </c>
      <c r="J7" s="239" t="str">
        <f t="shared" si="5"/>
        <v>USDAM3L5Y_S6L3L_Quote</v>
      </c>
      <c r="K7" s="239" t="str">
        <f>_xll.qlForwardSwapQuote(J7,I7,H7,E7,Permanent,Trigger,ObjectOverwrite)</f>
        <v>USDAM3L5Y_S6L3L_Quote#0002</v>
      </c>
      <c r="L7" s="249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125</v>
      </c>
      <c r="T7" s="79" t="s">
        <v>124</v>
      </c>
    </row>
    <row r="8" spans="1:23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6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>LiborSwapForBasisCalc!F15</f>
        <v>UsdLiborSwapForBasisCalc6Y#0001</v>
      </c>
      <c r="J8" s="239" t="str">
        <f t="shared" si="5"/>
        <v>USDAM3L6Y_S6L3L_Quote</v>
      </c>
      <c r="K8" s="239" t="str">
        <f>_xll.qlForwardSwapQuote(J8,I8,H8,E8,Permanent,Trigger,ObjectOverwrite)</f>
        <v>USDAM3L6Y_S6L3L_Quote#0002</v>
      </c>
      <c r="L8" s="249" t="str">
        <f>_xll.ohRangeRetrieveError(K8)</f>
        <v/>
      </c>
      <c r="M8" s="47"/>
    </row>
    <row r="9" spans="1:23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6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>LiborSwapForBasisCalc!F16</f>
        <v>UsdLiborSwapForBasisCalc7Y#0001</v>
      </c>
      <c r="J9" s="239" t="str">
        <f t="shared" si="5"/>
        <v>USDAM3L7Y_S6L3L_Quote</v>
      </c>
      <c r="K9" s="239" t="str">
        <f>_xll.qlForwardSwapQuote(J9,I9,H9,E9,Permanent,Trigger,ObjectOverwrite)</f>
        <v>USDAM3L7Y_S6L3L_Quote#0002</v>
      </c>
      <c r="L9" s="249" t="str">
        <f>_xll.ohRangeRetrieveError(K9)</f>
        <v/>
      </c>
      <c r="M9" s="47"/>
    </row>
    <row r="10" spans="1:23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6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>LiborSwapForBasisCalc!F17</f>
        <v>UsdLiborSwapForBasisCalc8Y#0001</v>
      </c>
      <c r="J10" s="239" t="str">
        <f t="shared" si="5"/>
        <v>USDAM3L8Y_S6L3L_Quote</v>
      </c>
      <c r="K10" s="239" t="str">
        <f>_xll.qlForwardSwapQuote(J10,I10,H10,E10,Permanent,Trigger,ObjectOverwrite)</f>
        <v>USDAM3L8Y_S6L3L_Quote#0002</v>
      </c>
      <c r="L10" s="249" t="str">
        <f>_xll.ohRangeRetrieveError(K10)</f>
        <v/>
      </c>
      <c r="M10" s="47"/>
    </row>
    <row r="11" spans="1:23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6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>LiborSwapForBasisCalc!F18</f>
        <v>UsdLiborSwapForBasisCalc9Y#0001</v>
      </c>
      <c r="J11" s="239" t="str">
        <f t="shared" si="5"/>
        <v>USDAM3L9Y_S6L3L_Quote</v>
      </c>
      <c r="K11" s="239" t="str">
        <f>_xll.qlForwardSwapQuote(J11,I11,H11,E11,Permanent,Trigger,ObjectOverwrite)</f>
        <v>USDAM3L9Y_S6L3L_Quote#0002</v>
      </c>
      <c r="L11" s="249" t="str">
        <f>_xll.ohRangeRetrieveError(K11)</f>
        <v/>
      </c>
      <c r="M11" s="47"/>
    </row>
    <row r="12" spans="1:23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6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>LiborSwapForBasisCalc!F19</f>
        <v>UsdLiborSwapForBasisCalc10Y#0001</v>
      </c>
      <c r="J12" s="239" t="str">
        <f t="shared" si="5"/>
        <v>USDAM3L10Y_S6L3L_Quote</v>
      </c>
      <c r="K12" s="239" t="str">
        <f>_xll.qlForwardSwapQuote(J12,I12,H12,E12,Permanent,Trigger,ObjectOverwrite)</f>
        <v>USDAM3L10Y_S6L3L_Quote#0002</v>
      </c>
      <c r="L12" s="249" t="str">
        <f>_xll.ohRangeRetrieveError(K12)</f>
        <v/>
      </c>
      <c r="M12" s="47"/>
    </row>
    <row r="13" spans="1:23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6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>LiborSwapForBasisCalc!F20</f>
        <v>UsdLiborSwapForBasisCalc11Y#0001</v>
      </c>
      <c r="J13" s="239" t="str">
        <f t="shared" si="5"/>
        <v>USDAM3L11Y_S6L3L_Quote</v>
      </c>
      <c r="K13" s="239" t="str">
        <f>_xll.qlForwardSwapQuote(J13,I13,H13,E13,Permanent,Trigger,ObjectOverwrite)</f>
        <v>USDAM3L11Y_S6L3L_Quote#0002</v>
      </c>
      <c r="L13" s="249" t="str">
        <f>_xll.ohRangeRetrieveError(K13)</f>
        <v/>
      </c>
      <c r="M13" s="47"/>
    </row>
    <row r="14" spans="1:23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6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>LiborSwapForBasisCalc!F21</f>
        <v>UsdLiborSwapForBasisCalc12Y#0001</v>
      </c>
      <c r="J14" s="239" t="str">
        <f t="shared" si="5"/>
        <v>USDAM3L12Y_S6L3L_Quote</v>
      </c>
      <c r="K14" s="239" t="str">
        <f>_xll.qlForwardSwapQuote(J14,I14,H14,E14,Permanent,Trigger,ObjectOverwrite)</f>
        <v>USDAM3L12Y_S6L3L_Quote#0002</v>
      </c>
      <c r="L14" s="249" t="str">
        <f>_xll.ohRangeRetrieveError(K14)</f>
        <v/>
      </c>
      <c r="M14" s="47"/>
    </row>
    <row r="15" spans="1:23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6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>LiborSwapForBasisCalc!F22</f>
        <v>UsdLiborSwapForBasisCalc13Y#0001</v>
      </c>
      <c r="J15" s="239" t="str">
        <f t="shared" si="5"/>
        <v>USDAM3L13Y_S6L3L_Quote</v>
      </c>
      <c r="K15" s="239" t="str">
        <f>_xll.qlForwardSwapQuote(J15,I15,H15,E15,Permanent,Trigger,ObjectOverwrite)</f>
        <v>USDAM3L13Y_S6L3L_Quote#0002</v>
      </c>
      <c r="L15" s="249" t="str">
        <f>_xll.ohRangeRetrieveError(K15)</f>
        <v/>
      </c>
      <c r="M15" s="47"/>
    </row>
    <row r="16" spans="1:23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6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>LiborSwapForBasisCalc!F23</f>
        <v>UsdLiborSwapForBasisCalc14Y#0001</v>
      </c>
      <c r="J16" s="239" t="str">
        <f t="shared" si="5"/>
        <v>USDAM3L14Y_S6L3L_Quote</v>
      </c>
      <c r="K16" s="239" t="str">
        <f>_xll.qlForwardSwapQuote(J16,I16,H16,E16,Permanent,Trigger,ObjectOverwrite)</f>
        <v>USDAM3L14Y_S6L3L_Quote#0002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6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>LiborSwapForBasisCalc!F24</f>
        <v>UsdLiborSwapForBasisCalc15Y#0001</v>
      </c>
      <c r="J17" s="239" t="str">
        <f t="shared" si="5"/>
        <v>USDAM3L15Y_S6L3L_Quote</v>
      </c>
      <c r="K17" s="239" t="str">
        <f>_xll.qlForwardSwapQuote(J17,I17,H17,E17,Permanent,Trigger,ObjectOverwrite)</f>
        <v>USDAM3L15Y_S6L3L_Quote#0002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6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>LiborSwapForBasisCalc!F25</f>
        <v>UsdLiborSwapForBasisCalc16Y#0001</v>
      </c>
      <c r="J18" s="239" t="str">
        <f t="shared" si="5"/>
        <v>USDAM3L16Y_S6L3L_Quote</v>
      </c>
      <c r="K18" s="239" t="str">
        <f>_xll.qlForwardSwapQuote(J18,I18,H18,E18,Permanent,Trigger,ObjectOverwrite)</f>
        <v>USDAM3L16Y_S6L3L_Quote#0002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6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>LiborSwapForBasisCalc!F26</f>
        <v>UsdLiborSwapForBasisCalc17Y#0001</v>
      </c>
      <c r="J19" s="239" t="str">
        <f t="shared" si="5"/>
        <v>USDAM3L17Y_S6L3L_Quote</v>
      </c>
      <c r="K19" s="239" t="str">
        <f>_xll.qlForwardSwapQuote(J19,I19,H19,E19,Permanent,Trigger,ObjectOverwrite)</f>
        <v>USDAM3L17Y_S6L3L_Quote#0002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6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>LiborSwapForBasisCalc!F27</f>
        <v>UsdLiborSwapForBasisCalc18Y#0001</v>
      </c>
      <c r="J20" s="239" t="str">
        <f t="shared" si="5"/>
        <v>USDAM3L18Y_S6L3L_Quote</v>
      </c>
      <c r="K20" s="239" t="str">
        <f>_xll.qlForwardSwapQuote(J20,I20,H20,E20,Permanent,Trigger,ObjectOverwrite)</f>
        <v>USDAM3L18Y_S6L3L_Quote#0002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6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>LiborSwapForBasisCalc!F28</f>
        <v>UsdLiborSwapForBasisCalc19Y#0001</v>
      </c>
      <c r="J21" s="239" t="str">
        <f t="shared" si="5"/>
        <v>USDAM3L19Y_S6L3L_Quote</v>
      </c>
      <c r="K21" s="239" t="str">
        <f>_xll.qlForwardSwapQuote(J21,I21,H21,E21,Permanent,Trigger,ObjectOverwrite)</f>
        <v>USDAM3L19Y_S6L3L_Quote#0002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6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>LiborSwapForBasisCalc!F29</f>
        <v>UsdLiborSwapForBasisCalc20Y#0001</v>
      </c>
      <c r="J22" s="239" t="str">
        <f t="shared" si="5"/>
        <v>USDAM3L20Y_S6L3L_Quote</v>
      </c>
      <c r="K22" s="239" t="str">
        <f>_xll.qlForwardSwapQuote(J22,I22,H22,E22,Permanent,Trigger,ObjectOverwrite)</f>
        <v>USDAM3L20Y_S6L3L_Quote#0002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6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>LiborSwapForBasisCalc!F30</f>
        <v>UsdLiborSwapForBasisCalc21Y#0001</v>
      </c>
      <c r="J23" s="239" t="str">
        <f t="shared" si="5"/>
        <v>USDAM3L21Y_S6L3L_Quote</v>
      </c>
      <c r="K23" s="239" t="str">
        <f>_xll.qlForwardSwapQuote(J23,I23,H23,E23,Permanent,Trigger,ObjectOverwrite)</f>
        <v>USDAM3L21Y_S6L3L_Quote#0002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6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>LiborSwapForBasisCalc!F31</f>
        <v>UsdLiborSwapForBasisCalc22Y#0001</v>
      </c>
      <c r="J24" s="239" t="str">
        <f t="shared" si="5"/>
        <v>USDAM3L22Y_S6L3L_Quote</v>
      </c>
      <c r="K24" s="239" t="str">
        <f>_xll.qlForwardSwapQuote(J24,I24,H24,E24,Permanent,Trigger,ObjectOverwrite)</f>
        <v>USDAM3L22Y_S6L3L_Quote#0002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6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>LiborSwapForBasisCalc!F32</f>
        <v>UsdLiborSwapForBasisCalc23Y#0001</v>
      </c>
      <c r="J25" s="239" t="str">
        <f t="shared" si="5"/>
        <v>USDAM3L23Y_S6L3L_Quote</v>
      </c>
      <c r="K25" s="239" t="str">
        <f>_xll.qlForwardSwapQuote(J25,I25,H25,E25,Permanent,Trigger,ObjectOverwrite)</f>
        <v>USDAM3L23Y_S6L3L_Quote#0002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6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>LiborSwapForBasisCalc!F33</f>
        <v>UsdLiborSwapForBasisCalc24Y#0001</v>
      </c>
      <c r="J26" s="239" t="str">
        <f t="shared" si="5"/>
        <v>USDAM3L24Y_S6L3L_Quote</v>
      </c>
      <c r="K26" s="239" t="str">
        <f>_xll.qlForwardSwapQuote(J26,I26,H26,E26,Permanent,Trigger,ObjectOverwrite)</f>
        <v>USDAM3L24Y_S6L3L_Quote#0002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6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>LiborSwapForBasisCalc!F34</f>
        <v>UsdLiborSwapForBasisCalc25Y#0001</v>
      </c>
      <c r="J27" s="239" t="str">
        <f t="shared" si="5"/>
        <v>USDAM3L25Y_S6L3L_Quote</v>
      </c>
      <c r="K27" s="239" t="str">
        <f>_xll.qlForwardSwapQuote(J27,I27,H27,E27,Permanent,Trigger,ObjectOverwrite)</f>
        <v>USDAM3L25Y_S6L3L_Quote#0002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6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>LiborSwapForBasisCalc!F35</f>
        <v>UsdLiborSwapForBasisCalc26Y#0001</v>
      </c>
      <c r="J28" s="239" t="str">
        <f t="shared" si="5"/>
        <v>USDAM3L26Y_S6L3L_Quote</v>
      </c>
      <c r="K28" s="239" t="str">
        <f>_xll.qlForwardSwapQuote(J28,I28,H28,E28,Permanent,Trigger,ObjectOverwrite)</f>
        <v>USDAM3L26Y_S6L3L_Quote#0002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6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>LiborSwapForBasisCalc!F36</f>
        <v>UsdLiborSwapForBasisCalc27Y#0001</v>
      </c>
      <c r="J29" s="239" t="str">
        <f t="shared" si="5"/>
        <v>USDAM3L27Y_S6L3L_Quote</v>
      </c>
      <c r="K29" s="239" t="str">
        <f>_xll.qlForwardSwapQuote(J29,I29,H29,E29,Permanent,Trigger,ObjectOverwrite)</f>
        <v>USDAM3L27Y_S6L3L_Quote#0002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6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>LiborSwapForBasisCalc!F37</f>
        <v>UsdLiborSwapForBasisCalc28Y#0001</v>
      </c>
      <c r="J30" s="239" t="str">
        <f t="shared" si="5"/>
        <v>USDAM3L28Y_S6L3L_Quote</v>
      </c>
      <c r="K30" s="239" t="str">
        <f>_xll.qlForwardSwapQuote(J30,I30,H30,E30,Permanent,Trigger,ObjectOverwrite)</f>
        <v>USDAM3L28Y_S6L3L_Quote#0002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6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>LiborSwapForBasisCalc!F38</f>
        <v>UsdLiborSwapForBasisCalc29Y#0001</v>
      </c>
      <c r="J31" s="239" t="str">
        <f t="shared" si="5"/>
        <v>USDAM3L29Y_S6L3L_Quote</v>
      </c>
      <c r="K31" s="239" t="str">
        <f>_xll.qlForwardSwapQuote(J31,I31,H31,E31,Permanent,Trigger,ObjectOverwrite)</f>
        <v>USDAM3L29Y_S6L3L_Quote#0002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6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>LiborSwapForBasisCalc!F39</f>
        <v>UsdLiborSwapForBasisCalc30Y#0001</v>
      </c>
      <c r="J32" s="239" t="str">
        <f t="shared" si="5"/>
        <v>USDAM3L30Y_S6L3L_Quote</v>
      </c>
      <c r="K32" s="239" t="str">
        <f>_xll.qlForwardSwapQuote(J32,I32,H32,E32,Permanent,Trigger,ObjectOverwrite)</f>
        <v>USDAM3L30Y_S6L3L_Quote#0002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6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>LiborSwapForBasisCalc!F44</f>
        <v>UsdLiborSwapForBasisCalc35Y#0001</v>
      </c>
      <c r="J33" s="239" t="str">
        <f t="shared" si="5"/>
        <v>USDAM3L35Y_S6L3L_Quote</v>
      </c>
      <c r="K33" s="239" t="str">
        <f>_xll.qlForwardSwapQuote(J33,I33,H33,E33,Permanent,Trigger,ObjectOverwrite)</f>
        <v>USDAM3L35Y_S6L3L_Quote#0002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6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>LiborSwapForBasisCalc!F49</f>
        <v>UsdLiborSwapForBasisCalc40Y#0001</v>
      </c>
      <c r="J34" s="239" t="str">
        <f t="shared" si="5"/>
        <v>USDAM3L40Y_S6L3L_Quote</v>
      </c>
      <c r="K34" s="239" t="str">
        <f>_xll.qlForwardSwapQuote(J34,I34,H34,E34,Permanent,Trigger,ObjectOverwrite)</f>
        <v>USDAM3L40Y_S6L3L_Quote#0002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6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>LiborSwapForBasisCalc!F59</f>
        <v>UsdLiborSwapForBasisCalc50Y#0001</v>
      </c>
      <c r="J35" s="239" t="str">
        <f t="shared" si="5"/>
        <v>USDAM3L50Y_S6L3L_Quote</v>
      </c>
      <c r="K35" s="239" t="str">
        <f>_xll.qlForwardSwapQuote(J35,I35,H35,E35,Permanent,Trigger,ObjectOverwrite)</f>
        <v>USDAM3L50Y_S6L3L_Quote#0002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6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>LiborSwapForBasisCalc!F69</f>
        <v>UsdLiborSwapForBasisCalc60Y#0001</v>
      </c>
      <c r="J36" s="239" t="str">
        <f t="shared" si="5"/>
        <v>USDAM3L60Y_S6L3L_Quote</v>
      </c>
      <c r="K36" s="239" t="str">
        <f>_xll.qlForwardSwapQuote(J36,I36,H36,E36,Permanent,Trigger,ObjectOverwrite)</f>
        <v>USDAM3L60Y_S6L3L_Quote#0002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USDAM3L1Y_S12L3L_Quote#0001</v>
      </c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 t="s">
        <v>125</v>
      </c>
      <c r="T3" s="82" t="s">
        <v>137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USDAM3L2Y_S12L3L_Quote#0001</v>
      </c>
      <c r="L4" s="249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 t="s">
        <v>128</v>
      </c>
      <c r="T4" s="82" t="s">
        <v>138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USDAM3L3Y_S12L3L_Quote#0001</v>
      </c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 t="s">
        <v>125</v>
      </c>
      <c r="T5" s="82" t="s">
        <v>137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USDAM3L4Y_S12L3L_Quote#0001</v>
      </c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 t="s">
        <v>125</v>
      </c>
      <c r="T6" s="82" t="s">
        <v>137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USDAM3L5Y_S12L3L_Quote#0001</v>
      </c>
      <c r="L7" s="249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137</v>
      </c>
      <c r="T7" s="79" t="s">
        <v>124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USDAM3L6Y_S12L3L_Quote#0001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USDAM3L7Y_S12L3L_Quote#0001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USDAM3L8Y_S12L3L_Quote#0001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USDAM3L9Y_S12L3L_Quote#0001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USDAM3L10Y_S12L3L_Quote#0001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USDAM3L11Y_S12L3L_Quote#0001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USDAM3L12Y_S12L3L_Quote#0001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USDAM3L13Y_S12L3L_Quote#0001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USDAM3L14Y_S12L3L_Quote#0001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USDAM3L15Y_S12L3L_Quote#0001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USDAM3L16Y_S12L3L_Quote#0001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USDAM3L17Y_S12L3L_Quote#0001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USDAM3L18Y_S12L3L_Quote#0001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USDAM3L19Y_S12L3L_Quote#0001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USDAM3L20Y_S12L3L_Quote#0001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USDAM3L21Y_S12L3L_Quote#0001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USDAM3L22Y_S12L3L_Quote#0001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USDAM3L23Y_S12L3L_Quote#0001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USDAM3L24Y_S12L3L_Quote#0001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USDAM3L25Y_S12L3L_Quote#0001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USDAM3L26Y_S12L3L_Quote#0001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USDAM3L27Y_S12L3L_Quote#0001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USDAM3L28Y_S12L3L_Quote#0001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USDAM3L29Y_S12L3L_Quote#0001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USDAM3L30Y_S12L3L_Quote#0001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USDAM3L35Y_S12L3L_Quote#0001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USDAM3L40Y_S12L3L_Quote#0001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USDAM3L50Y_S12L3L_Quote#0001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USDAM3L60Y_S12L3L_Quote#0001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710937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0" t="s">
        <v>307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299"/>
      <c r="B2" s="136"/>
      <c r="C2" s="136"/>
      <c r="D2" s="136"/>
      <c r="E2" s="136"/>
      <c r="F2" s="143" t="s">
        <v>241</v>
      </c>
      <c r="G2" s="136"/>
      <c r="H2" s="136"/>
      <c r="I2" s="136"/>
      <c r="J2" s="136"/>
      <c r="K2" s="136"/>
      <c r="L2" s="266"/>
      <c r="M2" s="266"/>
      <c r="N2" s="266"/>
      <c r="O2" s="329" t="s">
        <v>259</v>
      </c>
      <c r="P2" s="143" t="s">
        <v>141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0</v>
      </c>
      <c r="R3" s="220"/>
    </row>
    <row r="4" spans="1:18" ht="22.5" x14ac:dyDescent="0.2">
      <c r="A4" s="121"/>
      <c r="B4" s="328"/>
      <c r="C4" s="196"/>
      <c r="D4" s="196"/>
      <c r="E4" s="196"/>
      <c r="F4" s="261" t="e">
        <f ca="1">_xll.RData(F5:F10,G4:J4,"RTFEED:IDN",ReutersRtMode,,G5)</f>
        <v>#NAME?</v>
      </c>
      <c r="G4" s="327" t="s">
        <v>228</v>
      </c>
      <c r="H4" s="327" t="s">
        <v>227</v>
      </c>
      <c r="I4" s="327" t="s">
        <v>245</v>
      </c>
      <c r="J4" s="327" t="s">
        <v>263</v>
      </c>
      <c r="K4" s="292" t="s">
        <v>284</v>
      </c>
      <c r="L4" s="266"/>
      <c r="M4" s="294" t="s">
        <v>258</v>
      </c>
      <c r="N4" s="266"/>
      <c r="O4" s="293" t="s">
        <v>257</v>
      </c>
      <c r="P4" s="326" t="s">
        <v>256</v>
      </c>
      <c r="Q4" s="92" t="s">
        <v>255</v>
      </c>
      <c r="R4" s="220"/>
    </row>
    <row r="5" spans="1:18" x14ac:dyDescent="0.2">
      <c r="A5" s="121"/>
      <c r="B5" s="288" t="s">
        <v>202</v>
      </c>
      <c r="C5" s="324" t="s">
        <v>288</v>
      </c>
      <c r="D5" s="324" t="s">
        <v>294</v>
      </c>
      <c r="E5" s="322" t="str">
        <f t="shared" ref="E5:E10" si="0">Currency&amp;$C5&amp;$D5&amp;$B5</f>
        <v>USDE1X2S</v>
      </c>
      <c r="F5" s="322" t="str">
        <f t="array" ref="F5:F10">Instruments&amp;"="&amp;VLOOKUP(Contributor,ContributorTable,2,FALSE)</f>
        <v>USDE1X2S=ICAP</v>
      </c>
      <c r="G5" s="284" t="s">
        <v>240</v>
      </c>
      <c r="H5" s="284" t="s">
        <v>240</v>
      </c>
      <c r="I5" s="284" t="s">
        <v>240</v>
      </c>
      <c r="J5" s="284" t="s">
        <v>240</v>
      </c>
      <c r="K5" s="286" t="e">
        <f>_xll.qlMidEquivalent($G5,$H5,$I5,$J5)</f>
        <v>#NUM!</v>
      </c>
      <c r="L5" s="266"/>
      <c r="M5" s="285">
        <v>0</v>
      </c>
      <c r="N5" s="266"/>
      <c r="O5" s="320" t="str">
        <f t="shared" ref="O5:O10" si="1">$E5&amp;$P$2</f>
        <v>USDE1X2S_Quote</v>
      </c>
      <c r="P5" s="284">
        <f t="array" ref="P5:P10">QuoteStatic</f>
        <v>0</v>
      </c>
      <c r="Q5" s="283"/>
      <c r="R5" s="220"/>
    </row>
    <row r="6" spans="1:18" x14ac:dyDescent="0.2">
      <c r="A6" s="121"/>
      <c r="B6" s="270" t="s">
        <v>203</v>
      </c>
      <c r="C6" s="319" t="s">
        <v>288</v>
      </c>
      <c r="D6" s="319" t="s">
        <v>294</v>
      </c>
      <c r="E6" s="317" t="str">
        <f t="shared" si="0"/>
        <v>USDE1X4S</v>
      </c>
      <c r="F6" s="317" t="str">
        <v>USDE1X4S=ICAP</v>
      </c>
      <c r="G6" s="264" t="s">
        <v>240</v>
      </c>
      <c r="H6" s="264" t="s">
        <v>240</v>
      </c>
      <c r="I6" s="264" t="s">
        <v>240</v>
      </c>
      <c r="J6" s="264" t="s">
        <v>240</v>
      </c>
      <c r="K6" s="268" t="e">
        <f>_xll.qlMidEquivalent($G6,$H6,$I6,$J6)</f>
        <v>#NUM!</v>
      </c>
      <c r="L6" s="266"/>
      <c r="M6" s="267">
        <v>0</v>
      </c>
      <c r="N6" s="266"/>
      <c r="O6" s="315" t="str">
        <f t="shared" si="1"/>
        <v>USDE1X4S_Quote</v>
      </c>
      <c r="P6" s="264">
        <v>0</v>
      </c>
      <c r="Q6" s="263"/>
      <c r="R6" s="220"/>
    </row>
    <row r="7" spans="1:18" x14ac:dyDescent="0.2">
      <c r="A7" s="121"/>
      <c r="B7" s="270" t="s">
        <v>204</v>
      </c>
      <c r="C7" s="319" t="s">
        <v>288</v>
      </c>
      <c r="D7" s="319" t="s">
        <v>292</v>
      </c>
      <c r="E7" s="317" t="str">
        <f t="shared" si="0"/>
        <v>USDE2X3S</v>
      </c>
      <c r="F7" s="317" t="str">
        <v>USDE2X3S=ICAP</v>
      </c>
      <c r="G7" s="264" t="s">
        <v>240</v>
      </c>
      <c r="H7" s="264" t="s">
        <v>240</v>
      </c>
      <c r="I7" s="264" t="s">
        <v>240</v>
      </c>
      <c r="J7" s="264" t="s">
        <v>240</v>
      </c>
      <c r="K7" s="268" t="e">
        <f>_xll.qlMidEquivalent($G7,$H7,$I7,$J7)</f>
        <v>#NUM!</v>
      </c>
      <c r="L7" s="266"/>
      <c r="M7" s="267">
        <v>0</v>
      </c>
      <c r="N7" s="266"/>
      <c r="O7" s="315" t="str">
        <f t="shared" si="1"/>
        <v>USDE2X3S_Quote</v>
      </c>
      <c r="P7" s="264">
        <v>0</v>
      </c>
      <c r="Q7" s="263"/>
      <c r="R7" s="220"/>
    </row>
    <row r="8" spans="1:18" x14ac:dyDescent="0.2">
      <c r="A8" s="121"/>
      <c r="B8" s="270" t="s">
        <v>293</v>
      </c>
      <c r="C8" s="319" t="s">
        <v>288</v>
      </c>
      <c r="D8" s="319" t="s">
        <v>292</v>
      </c>
      <c r="E8" s="317" t="str">
        <f t="shared" si="0"/>
        <v>USDE2X5S</v>
      </c>
      <c r="F8" s="317" t="str">
        <v>USDE2X5S=ICAP</v>
      </c>
      <c r="G8" s="264" t="s">
        <v>240</v>
      </c>
      <c r="H8" s="264" t="s">
        <v>240</v>
      </c>
      <c r="I8" s="264" t="s">
        <v>240</v>
      </c>
      <c r="J8" s="264" t="s">
        <v>240</v>
      </c>
      <c r="K8" s="268" t="e">
        <f>_xll.qlMidEquivalent($G8,$H8,$I8,$J8)</f>
        <v>#NUM!</v>
      </c>
      <c r="L8" s="266"/>
      <c r="M8" s="267">
        <v>0</v>
      </c>
      <c r="N8" s="266"/>
      <c r="O8" s="315" t="str">
        <f t="shared" si="1"/>
        <v>USDE2X5S_Quote</v>
      </c>
      <c r="P8" s="264">
        <v>0</v>
      </c>
      <c r="Q8" s="263"/>
      <c r="R8" s="220"/>
    </row>
    <row r="9" spans="1:18" x14ac:dyDescent="0.2">
      <c r="A9" s="121"/>
      <c r="B9" s="270" t="s">
        <v>291</v>
      </c>
      <c r="C9" s="319" t="s">
        <v>288</v>
      </c>
      <c r="D9" s="319" t="s">
        <v>290</v>
      </c>
      <c r="E9" s="317" t="str">
        <f t="shared" si="0"/>
        <v>USDE3X6S</v>
      </c>
      <c r="F9" s="317" t="str">
        <v>USDE3X6S=ICAP</v>
      </c>
      <c r="G9" s="264" t="s">
        <v>240</v>
      </c>
      <c r="H9" s="264" t="s">
        <v>240</v>
      </c>
      <c r="I9" s="264" t="s">
        <v>240</v>
      </c>
      <c r="J9" s="264" t="s">
        <v>240</v>
      </c>
      <c r="K9" s="268" t="e">
        <f>_xll.qlMidEquivalent($G9,$H9,$I9,$J9)</f>
        <v>#NUM!</v>
      </c>
      <c r="L9" s="266"/>
      <c r="M9" s="267">
        <v>0</v>
      </c>
      <c r="N9" s="266"/>
      <c r="O9" s="315" t="str">
        <f t="shared" si="1"/>
        <v>USDE3X6S_Quote</v>
      </c>
      <c r="P9" s="264">
        <v>0</v>
      </c>
      <c r="Q9" s="263"/>
      <c r="R9" s="220"/>
    </row>
    <row r="10" spans="1:18" x14ac:dyDescent="0.2">
      <c r="A10" s="121"/>
      <c r="B10" s="282" t="s">
        <v>289</v>
      </c>
      <c r="C10" s="314" t="s">
        <v>288</v>
      </c>
      <c r="D10" s="314" t="s">
        <v>287</v>
      </c>
      <c r="E10" s="312" t="str">
        <f t="shared" si="0"/>
        <v>USDE6X12S</v>
      </c>
      <c r="F10" s="312" t="str">
        <v>USDE6X12S=ICAP</v>
      </c>
      <c r="G10" s="277" t="s">
        <v>240</v>
      </c>
      <c r="H10" s="277" t="s">
        <v>240</v>
      </c>
      <c r="I10" s="277" t="s">
        <v>240</v>
      </c>
      <c r="J10" s="277" t="s">
        <v>240</v>
      </c>
      <c r="K10" s="280" t="e">
        <f>_xll.qlMidEquivalent($G10,$H10,$I10,$J10)</f>
        <v>#NUM!</v>
      </c>
      <c r="L10" s="266"/>
      <c r="M10" s="279">
        <v>0</v>
      </c>
      <c r="N10" s="266"/>
      <c r="O10" s="310" t="str">
        <f t="shared" si="1"/>
        <v>USDE6X12S_Quote</v>
      </c>
      <c r="P10" s="277">
        <v>0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2"/>
    </row>
  </sheetData>
  <conditionalFormatting sqref="Q5:Q10">
    <cfRule type="cellIs" dxfId="8" priority="1" stopIfTrue="1" operator="greaterThan">
      <formula>0</formula>
    </cfRule>
    <cfRule type="cellIs" dxfId="7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9.28515625" style="420" bestFit="1" customWidth="1"/>
    <col min="5" max="5" width="26.42578125" style="420" bestFit="1" customWidth="1"/>
    <col min="6" max="6" width="9.8554687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7.85546875" style="420" bestFit="1" customWidth="1"/>
    <col min="11" max="11" width="11.42578125" style="420" bestFit="1" customWidth="1"/>
    <col min="12" max="12" width="8.7109375" style="420" bestFit="1" customWidth="1"/>
    <col min="13" max="13" width="7.140625" style="420" bestFit="1" customWidth="1"/>
    <col min="14" max="14" width="10" style="420" bestFit="1" customWidth="1"/>
    <col min="15" max="15" width="7.140625" style="420" bestFit="1" customWidth="1"/>
    <col min="16" max="16" width="2.7109375" style="420" customWidth="1"/>
    <col min="17" max="17" width="3.5703125" style="420" customWidth="1"/>
    <col min="18" max="18" width="4" style="420" bestFit="1" customWidth="1"/>
    <col min="19" max="19" width="5.28515625" style="420" bestFit="1" customWidth="1"/>
    <col min="20" max="20" width="16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19.5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MAX(O4:O19)</f>
        <v>0</v>
      </c>
      <c r="N2" s="473"/>
      <c r="O2" s="473"/>
      <c r="P2" s="472"/>
      <c r="Q2" s="421"/>
      <c r="R2" s="421"/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_xll.RData(D4:D18,E3:F3,"RTFEED:IDN",,,E4)</f>
        <v>#NAME?</v>
      </c>
      <c r="E3" s="469" t="s">
        <v>316</v>
      </c>
      <c r="F3" s="469" t="s">
        <v>322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 t="s">
        <v>330</v>
      </c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x14ac:dyDescent="0.2">
      <c r="A4" s="421"/>
      <c r="B4" s="450"/>
      <c r="C4" s="466" t="s">
        <v>29</v>
      </c>
      <c r="D4" s="461" t="str">
        <f t="shared" ref="D4:D18" si="0">Currency&amp;$D$2&amp;$C4&amp;"="</f>
        <v>USD-1Y=</v>
      </c>
      <c r="E4" s="465" t="s">
        <v>240</v>
      </c>
      <c r="F4" s="464" t="s">
        <v>240</v>
      </c>
      <c r="G4" s="464" t="b">
        <f t="shared" ref="G4:G18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18" si="2">PROPER(Currency)&amp;$J$2&amp;$C4</f>
        <v>Usd-1Y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18" si="3">K4-L4</f>
        <v>#NUM!</v>
      </c>
      <c r="N4" s="460" t="e">
        <f>_xll.qlIndexFixing($J4,$E4,TRUE,$L4)</f>
        <v>#NUM!</v>
      </c>
      <c r="O4" s="484">
        <f t="shared" ref="O4:O18" si="4">IF(ISERROR(M4),0,ABS(M4))</f>
        <v>0</v>
      </c>
      <c r="P4" s="440"/>
      <c r="Q4" s="421"/>
      <c r="R4" s="421"/>
      <c r="S4" s="421"/>
      <c r="T4" s="421"/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x14ac:dyDescent="0.2">
      <c r="A5" s="421"/>
      <c r="B5" s="450"/>
      <c r="C5" s="458" t="s">
        <v>108</v>
      </c>
      <c r="D5" s="453" t="str">
        <f t="shared" si="0"/>
        <v>USD-2Y=</v>
      </c>
      <c r="E5" s="457" t="s">
        <v>240</v>
      </c>
      <c r="F5" s="456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Usd-2Y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84">
        <f t="shared" si="4"/>
        <v>0</v>
      </c>
      <c r="P5" s="440"/>
      <c r="Q5" s="421"/>
      <c r="R5" s="421"/>
      <c r="S5" s="421"/>
      <c r="T5" s="42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x14ac:dyDescent="0.2">
      <c r="A6" s="421"/>
      <c r="B6" s="450"/>
      <c r="C6" s="458" t="s">
        <v>107</v>
      </c>
      <c r="D6" s="453" t="str">
        <f t="shared" si="0"/>
        <v>USD-3Y=</v>
      </c>
      <c r="E6" s="457" t="s">
        <v>240</v>
      </c>
      <c r="F6" s="456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Usd-3Y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84">
        <f t="shared" si="4"/>
        <v>0</v>
      </c>
      <c r="P6" s="440"/>
      <c r="Q6" s="421"/>
      <c r="R6" s="421"/>
      <c r="S6" s="421"/>
      <c r="T6" s="42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x14ac:dyDescent="0.2">
      <c r="A7" s="421"/>
      <c r="B7" s="450"/>
      <c r="C7" s="458" t="s">
        <v>106</v>
      </c>
      <c r="D7" s="453" t="str">
        <f t="shared" si="0"/>
        <v>USD-4Y=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Usd-4Y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84">
        <f t="shared" si="4"/>
        <v>0</v>
      </c>
      <c r="P7" s="440"/>
      <c r="Q7" s="421"/>
      <c r="R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x14ac:dyDescent="0.2">
      <c r="A8" s="421"/>
      <c r="B8" s="450"/>
      <c r="C8" s="458" t="s">
        <v>105</v>
      </c>
      <c r="D8" s="453" t="str">
        <f t="shared" si="0"/>
        <v>USD-5Y=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Usd-5Y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84">
        <f t="shared" si="4"/>
        <v>0</v>
      </c>
      <c r="P8" s="440"/>
      <c r="Q8" s="421"/>
      <c r="R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x14ac:dyDescent="0.2">
      <c r="A9" s="421"/>
      <c r="B9" s="450"/>
      <c r="C9" s="458" t="s">
        <v>104</v>
      </c>
      <c r="D9" s="453" t="str">
        <f t="shared" si="0"/>
        <v>USD-6Y=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Usd-6Y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84">
        <f t="shared" si="4"/>
        <v>0</v>
      </c>
      <c r="P9" s="440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x14ac:dyDescent="0.2">
      <c r="A10" s="421"/>
      <c r="B10" s="450"/>
      <c r="C10" s="458" t="s">
        <v>103</v>
      </c>
      <c r="D10" s="453" t="str">
        <f t="shared" si="0"/>
        <v>USD-7Y=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Usd-7Y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84">
        <f t="shared" si="4"/>
        <v>0</v>
      </c>
      <c r="P10" s="440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x14ac:dyDescent="0.2">
      <c r="A11" s="421"/>
      <c r="B11" s="450"/>
      <c r="C11" s="458" t="s">
        <v>102</v>
      </c>
      <c r="D11" s="453" t="str">
        <f t="shared" si="0"/>
        <v>USD-8Y=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Usd-8Y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84">
        <f t="shared" si="4"/>
        <v>0</v>
      </c>
      <c r="P11" s="440"/>
      <c r="Q11" s="421"/>
      <c r="R11" s="421"/>
      <c r="S11" s="421"/>
      <c r="T11" s="421"/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x14ac:dyDescent="0.2">
      <c r="A12" s="421"/>
      <c r="B12" s="450"/>
      <c r="C12" s="458" t="s">
        <v>101</v>
      </c>
      <c r="D12" s="453" t="str">
        <f t="shared" si="0"/>
        <v>USD-9Y=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Usd-9Y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84">
        <f t="shared" si="4"/>
        <v>0</v>
      </c>
      <c r="P12" s="440"/>
      <c r="Q12" s="421"/>
      <c r="R12" s="421"/>
      <c r="S12" s="421"/>
      <c r="T12" s="421"/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x14ac:dyDescent="0.2">
      <c r="A13" s="421"/>
      <c r="B13" s="450"/>
      <c r="C13" s="458" t="s">
        <v>100</v>
      </c>
      <c r="D13" s="453" t="str">
        <f t="shared" si="0"/>
        <v>USD-10Y=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Usd-10Y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84">
        <f t="shared" si="4"/>
        <v>0</v>
      </c>
      <c r="P13" s="440"/>
      <c r="Q13" s="421"/>
      <c r="R13" s="421"/>
      <c r="S13" s="421"/>
      <c r="T13" s="421"/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x14ac:dyDescent="0.2">
      <c r="A14" s="421"/>
      <c r="B14" s="450"/>
      <c r="C14" s="458" t="s">
        <v>98</v>
      </c>
      <c r="D14" s="453" t="str">
        <f t="shared" si="0"/>
        <v>USD-12Y=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Usd-12Y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84">
        <f t="shared" si="4"/>
        <v>0</v>
      </c>
      <c r="P14" s="440"/>
      <c r="Q14" s="421"/>
      <c r="R14" s="421"/>
      <c r="S14" s="421"/>
      <c r="T14" s="421"/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x14ac:dyDescent="0.2">
      <c r="A15" s="421"/>
      <c r="B15" s="450"/>
      <c r="C15" s="458" t="s">
        <v>95</v>
      </c>
      <c r="D15" s="453" t="str">
        <f t="shared" si="0"/>
        <v>USD-15Y=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Usd-15Y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84">
        <f t="shared" si="4"/>
        <v>0</v>
      </c>
      <c r="P15" s="440"/>
      <c r="Q15" s="421"/>
      <c r="R15" s="421"/>
      <c r="S15" s="421"/>
      <c r="T15" s="421"/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x14ac:dyDescent="0.2">
      <c r="A16" s="421"/>
      <c r="B16" s="450"/>
      <c r="C16" s="458" t="s">
        <v>90</v>
      </c>
      <c r="D16" s="453" t="str">
        <f t="shared" si="0"/>
        <v>USD-20Y=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Usd-20Y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84">
        <f t="shared" si="4"/>
        <v>0</v>
      </c>
      <c r="P16" s="440"/>
      <c r="Q16" s="421"/>
      <c r="R16" s="421"/>
      <c r="S16" s="421"/>
      <c r="T16" s="421"/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x14ac:dyDescent="0.2">
      <c r="A17" s="421"/>
      <c r="B17" s="450"/>
      <c r="C17" s="458" t="s">
        <v>85</v>
      </c>
      <c r="D17" s="453" t="str">
        <f t="shared" si="0"/>
        <v>USD-25Y=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Usd-25Y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84">
        <f t="shared" si="4"/>
        <v>0</v>
      </c>
      <c r="P17" s="440"/>
      <c r="Q17" s="421"/>
      <c r="R17" s="421"/>
      <c r="S17" s="421"/>
      <c r="T17" s="421"/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x14ac:dyDescent="0.2">
      <c r="A18" s="421"/>
      <c r="B18" s="450"/>
      <c r="C18" s="449" t="s">
        <v>80</v>
      </c>
      <c r="D18" s="443" t="str">
        <f t="shared" si="0"/>
        <v>USD-30Y=</v>
      </c>
      <c r="E18" s="448" t="s">
        <v>240</v>
      </c>
      <c r="F18" s="447" t="s">
        <v>240</v>
      </c>
      <c r="G18" s="447" t="b">
        <f t="shared" si="1"/>
        <v>0</v>
      </c>
      <c r="H18" s="446" t="e">
        <f>IF($G18,_xll.qlIndexAddFixings($J18,$E18,$F18/100,TRUE,ISERROR($K18)),NA())</f>
        <v>#N/A</v>
      </c>
      <c r="I18" s="445"/>
      <c r="J18" s="444" t="str">
        <f t="shared" si="2"/>
        <v>Usd-30Y</v>
      </c>
      <c r="K18" s="443" t="e">
        <f>_xll.qlIndexFixing($J18,$E18,TRUE,$G18)</f>
        <v>#NUM!</v>
      </c>
      <c r="L18" s="443" t="e">
        <f>IF($H18,_xll.qlIndexFixing($J18,$E18,FALSE,$G18),"-")</f>
        <v>#N/A</v>
      </c>
      <c r="M18" s="443" t="e">
        <f t="shared" si="3"/>
        <v>#NUM!</v>
      </c>
      <c r="N18" s="442" t="e">
        <f>_xll.qlIndexFixing($J18,$E18,TRUE,$L18)</f>
        <v>#NUM!</v>
      </c>
      <c r="O18" s="483">
        <f t="shared" si="4"/>
        <v>0</v>
      </c>
      <c r="P18" s="440"/>
      <c r="Q18" s="421"/>
      <c r="R18" s="421"/>
      <c r="S18" s="421"/>
      <c r="T18" s="421"/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ht="12" thickBot="1" x14ac:dyDescent="0.25">
      <c r="A19" s="421"/>
      <c r="B19" s="439"/>
      <c r="C19" s="437"/>
      <c r="D19" s="437"/>
      <c r="E19" s="437"/>
      <c r="F19" s="437"/>
      <c r="G19" s="437"/>
      <c r="H19" s="437"/>
      <c r="I19" s="436"/>
      <c r="J19" s="436"/>
      <c r="K19" s="436"/>
      <c r="L19" s="436"/>
      <c r="M19" s="436"/>
      <c r="N19" s="436"/>
      <c r="O19" s="436"/>
      <c r="P19" s="435"/>
      <c r="Q19" s="421"/>
      <c r="R19" s="421"/>
      <c r="S19" s="421"/>
      <c r="T19" s="421"/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ht="12" thickBot="1" x14ac:dyDescent="0.25">
      <c r="A20" s="421"/>
      <c r="B20" s="421"/>
      <c r="C20" s="421"/>
      <c r="D20" s="421"/>
      <c r="E20" s="434"/>
      <c r="F20" s="433"/>
      <c r="G20" s="433"/>
      <c r="H20" s="421"/>
      <c r="I20" s="421"/>
      <c r="J20" s="421"/>
      <c r="K20" s="421"/>
      <c r="L20" s="421"/>
      <c r="M20" s="421"/>
      <c r="N20" s="421"/>
      <c r="O20" s="421"/>
      <c r="P20" s="421"/>
      <c r="Q20" s="421"/>
      <c r="R20" s="421"/>
      <c r="S20" s="421"/>
      <c r="T20" s="421"/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s="421" customFormat="1" x14ac:dyDescent="0.2">
      <c r="C21" s="432" t="s">
        <v>131</v>
      </c>
      <c r="D21" s="431" t="s">
        <v>325</v>
      </c>
      <c r="E21" s="430" t="s">
        <v>325</v>
      </c>
    </row>
    <row r="22" spans="1:30" s="421" customFormat="1" x14ac:dyDescent="0.2">
      <c r="C22" s="427" t="s">
        <v>130</v>
      </c>
      <c r="D22" s="426" t="s">
        <v>329</v>
      </c>
      <c r="E22" s="425" t="s">
        <v>328</v>
      </c>
    </row>
    <row r="23" spans="1:30" s="421" customFormat="1" x14ac:dyDescent="0.2">
      <c r="C23" s="427" t="s">
        <v>309</v>
      </c>
      <c r="D23" s="426" t="s">
        <v>325</v>
      </c>
      <c r="E23" s="425" t="s">
        <v>325</v>
      </c>
    </row>
    <row r="24" spans="1:30" s="421" customFormat="1" x14ac:dyDescent="0.2">
      <c r="C24" s="427" t="s">
        <v>308</v>
      </c>
      <c r="D24" s="426" t="s">
        <v>325</v>
      </c>
      <c r="E24" s="425" t="s">
        <v>325</v>
      </c>
    </row>
    <row r="25" spans="1:30" s="421" customFormat="1" x14ac:dyDescent="0.2">
      <c r="C25" s="427" t="s">
        <v>127</v>
      </c>
      <c r="D25" s="426" t="s">
        <v>325</v>
      </c>
      <c r="E25" s="425" t="s">
        <v>325</v>
      </c>
    </row>
    <row r="26" spans="1:30" s="421" customFormat="1" x14ac:dyDescent="0.2">
      <c r="C26" s="427" t="s">
        <v>126</v>
      </c>
      <c r="D26" s="426" t="s">
        <v>325</v>
      </c>
      <c r="E26" s="425" t="s">
        <v>325</v>
      </c>
    </row>
    <row r="27" spans="1:30" s="421" customFormat="1" ht="12" thickBot="1" x14ac:dyDescent="0.25">
      <c r="C27" s="424" t="s">
        <v>121</v>
      </c>
      <c r="D27" s="482" t="s">
        <v>325</v>
      </c>
      <c r="E27" s="481" t="s">
        <v>325</v>
      </c>
    </row>
    <row r="28" spans="1:30" s="421" customFormat="1" x14ac:dyDescent="0.2"/>
    <row r="29" spans="1:30" s="421" customFormat="1" x14ac:dyDescent="0.2"/>
    <row r="30" spans="1:30" s="421" customFormat="1" x14ac:dyDescent="0.2"/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</sheetData>
  <conditionalFormatting sqref="M4:M18">
    <cfRule type="cellIs" dxfId="6" priority="1" stopIfTrue="1" operator="greaterThan">
      <formula>0</formula>
    </cfRule>
    <cfRule type="cellIs" dxfId="5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12.140625" style="420" bestFit="1" customWidth="1"/>
    <col min="5" max="5" width="12.85546875" style="420" customWidth="1"/>
    <col min="6" max="6" width="7.4257812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12" style="420" bestFit="1" customWidth="1"/>
    <col min="11" max="11" width="11.42578125" style="420" bestFit="1" customWidth="1"/>
    <col min="12" max="12" width="8.7109375" style="420" bestFit="1" customWidth="1"/>
    <col min="13" max="13" width="7.7109375" style="420" bestFit="1" customWidth="1"/>
    <col min="14" max="14" width="10" style="420" bestFit="1" customWidth="1"/>
    <col min="15" max="15" width="7.140625" style="420" hidden="1" customWidth="1"/>
    <col min="16" max="16" width="2.7109375" style="420" customWidth="1"/>
    <col min="17" max="17" width="4.28515625" style="420" customWidth="1"/>
    <col min="18" max="18" width="4" style="420" bestFit="1" customWidth="1"/>
    <col min="19" max="19" width="5.28515625" style="420" bestFit="1" customWidth="1"/>
    <col min="20" max="20" width="6.140625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22.5" customHeight="1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MAX(O4:O21)</f>
        <v>0</v>
      </c>
      <c r="N2" s="473"/>
      <c r="O2" s="473"/>
      <c r="P2" s="472"/>
      <c r="Q2" s="421"/>
      <c r="R2" s="421"/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_xll.RData(D4:D21,E3:F3,"RTFEED:IDN",,,E4)</f>
        <v>#NAME?</v>
      </c>
      <c r="E3" s="469" t="s">
        <v>316</v>
      </c>
      <c r="F3" s="469" t="s">
        <v>245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/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x14ac:dyDescent="0.2">
      <c r="A4" s="421"/>
      <c r="B4" s="450"/>
      <c r="C4" s="466" t="s">
        <v>215</v>
      </c>
      <c r="D4" s="461" t="str">
        <f t="shared" ref="D4:D21" si="0">Currency&amp;$D$2&amp;$C4&amp;"D="</f>
        <v>USD-OND=</v>
      </c>
      <c r="E4" s="465" t="s">
        <v>240</v>
      </c>
      <c r="F4" s="490" t="s">
        <v>240</v>
      </c>
      <c r="G4" s="464" t="b">
        <f t="shared" ref="G4:G21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21" si="2">PROPER(Currency)&amp;$J$2&amp;$C4</f>
        <v>Usd-ON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21" si="3">K4-L4</f>
        <v>#NUM!</v>
      </c>
      <c r="N4" s="460" t="e">
        <f>_xll.qlIndexFixing($J4,$E4,TRUE,$L4)</f>
        <v>#NUM!</v>
      </c>
      <c r="O4" s="459">
        <f>IF(ISERROR(M4),0,ABS(M4))</f>
        <v>0</v>
      </c>
      <c r="P4" s="440"/>
      <c r="Q4" s="421"/>
      <c r="R4" s="421"/>
      <c r="S4" s="421"/>
      <c r="T4" s="421"/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x14ac:dyDescent="0.2">
      <c r="A5" s="421"/>
      <c r="B5" s="450"/>
      <c r="C5" s="458" t="s">
        <v>247</v>
      </c>
      <c r="D5" s="453" t="str">
        <f t="shared" si="0"/>
        <v>USD-TND=</v>
      </c>
      <c r="E5" s="457" t="s">
        <v>240</v>
      </c>
      <c r="F5" s="489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Usd-TN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51"/>
      <c r="P5" s="440"/>
      <c r="Q5" s="421"/>
      <c r="R5" s="421"/>
      <c r="S5" s="421"/>
      <c r="T5" s="42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x14ac:dyDescent="0.2">
      <c r="A6" s="421"/>
      <c r="B6" s="450"/>
      <c r="C6" s="458" t="s">
        <v>244</v>
      </c>
      <c r="D6" s="453" t="str">
        <f t="shared" si="0"/>
        <v>USD-SND=</v>
      </c>
      <c r="E6" s="457" t="s">
        <v>240</v>
      </c>
      <c r="F6" s="489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Usd-SN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51"/>
      <c r="P6" s="440"/>
      <c r="Q6" s="421"/>
      <c r="R6" s="421"/>
      <c r="S6" s="421"/>
      <c r="T6" s="42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x14ac:dyDescent="0.2">
      <c r="A7" s="421"/>
      <c r="B7" s="450"/>
      <c r="C7" s="458" t="s">
        <v>43</v>
      </c>
      <c r="D7" s="453" t="str">
        <f t="shared" si="0"/>
        <v>USD-SWD=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Usd-SW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51">
        <f t="shared" ref="O7:O21" si="4">IF(ISERROR(M7),0,ABS(M7))</f>
        <v>0</v>
      </c>
      <c r="P7" s="440"/>
      <c r="Q7" s="421"/>
      <c r="R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x14ac:dyDescent="0.2">
      <c r="A8" s="421"/>
      <c r="B8" s="450"/>
      <c r="C8" s="458" t="s">
        <v>42</v>
      </c>
      <c r="D8" s="453" t="str">
        <f t="shared" si="0"/>
        <v>USD-2WD=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Usd-2W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51">
        <f t="shared" si="4"/>
        <v>0</v>
      </c>
      <c r="P8" s="440"/>
      <c r="Q8" s="421"/>
      <c r="R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x14ac:dyDescent="0.2">
      <c r="A9" s="421"/>
      <c r="B9" s="450"/>
      <c r="C9" s="458" t="s">
        <v>41</v>
      </c>
      <c r="D9" s="453" t="str">
        <f t="shared" si="0"/>
        <v>USD-3WD=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Usd-3W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51">
        <f t="shared" si="4"/>
        <v>0</v>
      </c>
      <c r="P9" s="440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x14ac:dyDescent="0.2">
      <c r="A10" s="421"/>
      <c r="B10" s="450"/>
      <c r="C10" s="458" t="s">
        <v>40</v>
      </c>
      <c r="D10" s="453" t="str">
        <f t="shared" si="0"/>
        <v>USD-1MD=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Usd-1M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51">
        <f t="shared" si="4"/>
        <v>0</v>
      </c>
      <c r="P10" s="440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x14ac:dyDescent="0.2">
      <c r="A11" s="421"/>
      <c r="B11" s="450"/>
      <c r="C11" s="458" t="s">
        <v>39</v>
      </c>
      <c r="D11" s="453" t="str">
        <f t="shared" si="0"/>
        <v>USD-2MD=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Usd-2M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51">
        <f t="shared" si="4"/>
        <v>0</v>
      </c>
      <c r="P11" s="440"/>
      <c r="Q11" s="421"/>
      <c r="R11" s="421"/>
      <c r="S11" s="421"/>
      <c r="T11" s="421"/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x14ac:dyDescent="0.2">
      <c r="A12" s="421"/>
      <c r="B12" s="450"/>
      <c r="C12" s="458" t="s">
        <v>38</v>
      </c>
      <c r="D12" s="453" t="str">
        <f t="shared" si="0"/>
        <v>USD-3MD=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Usd-3M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51">
        <f t="shared" si="4"/>
        <v>0</v>
      </c>
      <c r="P12" s="440"/>
      <c r="Q12" s="421"/>
      <c r="R12" s="421"/>
      <c r="S12" s="421"/>
      <c r="T12" s="421"/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x14ac:dyDescent="0.2">
      <c r="A13" s="421"/>
      <c r="B13" s="450"/>
      <c r="C13" s="458" t="s">
        <v>37</v>
      </c>
      <c r="D13" s="453" t="str">
        <f t="shared" si="0"/>
        <v>USD-4MD=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Usd-4M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51">
        <f t="shared" si="4"/>
        <v>0</v>
      </c>
      <c r="P13" s="440"/>
      <c r="Q13" s="421"/>
      <c r="R13" s="421"/>
      <c r="S13" s="421"/>
      <c r="T13" s="421"/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x14ac:dyDescent="0.2">
      <c r="A14" s="421"/>
      <c r="B14" s="450"/>
      <c r="C14" s="458" t="s">
        <v>36</v>
      </c>
      <c r="D14" s="453" t="str">
        <f t="shared" si="0"/>
        <v>USD-5MD=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Usd-5M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51">
        <f t="shared" si="4"/>
        <v>0</v>
      </c>
      <c r="P14" s="440"/>
      <c r="Q14" s="421"/>
      <c r="R14" s="421"/>
      <c r="S14" s="421"/>
      <c r="T14" s="421"/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x14ac:dyDescent="0.2">
      <c r="A15" s="421"/>
      <c r="B15" s="450"/>
      <c r="C15" s="458" t="s">
        <v>35</v>
      </c>
      <c r="D15" s="453" t="str">
        <f t="shared" si="0"/>
        <v>USD-6MD=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Usd-6M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51">
        <f t="shared" si="4"/>
        <v>0</v>
      </c>
      <c r="P15" s="440"/>
      <c r="Q15" s="421"/>
      <c r="R15" s="421"/>
      <c r="S15" s="421"/>
      <c r="T15" s="421"/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x14ac:dyDescent="0.2">
      <c r="A16" s="421"/>
      <c r="B16" s="450"/>
      <c r="C16" s="458" t="s">
        <v>34</v>
      </c>
      <c r="D16" s="453" t="str">
        <f t="shared" si="0"/>
        <v>USD-7MD=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Usd-7M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51">
        <f t="shared" si="4"/>
        <v>0</v>
      </c>
      <c r="P16" s="440"/>
      <c r="Q16" s="421"/>
      <c r="R16" s="421"/>
      <c r="S16" s="421"/>
      <c r="T16" s="421"/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x14ac:dyDescent="0.2">
      <c r="A17" s="421"/>
      <c r="B17" s="450"/>
      <c r="C17" s="458" t="s">
        <v>33</v>
      </c>
      <c r="D17" s="453" t="str">
        <f t="shared" si="0"/>
        <v>USD-8MD=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Usd-8M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51">
        <f t="shared" si="4"/>
        <v>0</v>
      </c>
      <c r="P17" s="440"/>
      <c r="Q17" s="421"/>
      <c r="R17" s="421"/>
      <c r="S17" s="421"/>
      <c r="T17" s="421"/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x14ac:dyDescent="0.2">
      <c r="A18" s="421"/>
      <c r="B18" s="450"/>
      <c r="C18" s="458" t="s">
        <v>32</v>
      </c>
      <c r="D18" s="453" t="str">
        <f t="shared" si="0"/>
        <v>USD-9MD=</v>
      </c>
      <c r="E18" s="457" t="s">
        <v>240</v>
      </c>
      <c r="F18" s="456" t="s">
        <v>240</v>
      </c>
      <c r="G18" s="456" t="b">
        <f t="shared" si="1"/>
        <v>0</v>
      </c>
      <c r="H18" s="455" t="e">
        <f>IF($G18,_xll.qlIndexAddFixings($J18,$E18,$F18/100,TRUE,ISERROR($K18)),NA())</f>
        <v>#N/A</v>
      </c>
      <c r="I18" s="445"/>
      <c r="J18" s="454" t="str">
        <f t="shared" si="2"/>
        <v>Usd-9M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51">
        <f t="shared" si="4"/>
        <v>0</v>
      </c>
      <c r="P18" s="440"/>
      <c r="Q18" s="421"/>
      <c r="R18" s="421"/>
      <c r="S18" s="421"/>
      <c r="T18" s="421"/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x14ac:dyDescent="0.2">
      <c r="A19" s="421"/>
      <c r="B19" s="450"/>
      <c r="C19" s="458" t="s">
        <v>31</v>
      </c>
      <c r="D19" s="453" t="str">
        <f t="shared" si="0"/>
        <v>USD-10MD=</v>
      </c>
      <c r="E19" s="457" t="s">
        <v>240</v>
      </c>
      <c r="F19" s="456" t="s">
        <v>240</v>
      </c>
      <c r="G19" s="456" t="b">
        <f t="shared" si="1"/>
        <v>0</v>
      </c>
      <c r="H19" s="455" t="e">
        <f>IF($G19,_xll.qlIndexAddFixings($J19,$E19,$F19/100,TRUE,ISERROR($K19)),NA())</f>
        <v>#N/A</v>
      </c>
      <c r="I19" s="445"/>
      <c r="J19" s="454" t="str">
        <f t="shared" si="2"/>
        <v>Usd-10M</v>
      </c>
      <c r="K19" s="453" t="e">
        <f>_xll.qlIndexFixing($J19,$E19,TRUE,$G19)</f>
        <v>#NUM!</v>
      </c>
      <c r="L19" s="453" t="e">
        <f>IF($H19,_xll.qlIndexFixing($J19,$E19,FALSE,$G19),"-")</f>
        <v>#N/A</v>
      </c>
      <c r="M19" s="453" t="e">
        <f t="shared" si="3"/>
        <v>#NUM!</v>
      </c>
      <c r="N19" s="452" t="e">
        <f>_xll.qlIndexFixing($J19,$E19,TRUE,$L19)</f>
        <v>#NUM!</v>
      </c>
      <c r="O19" s="451">
        <f t="shared" si="4"/>
        <v>0</v>
      </c>
      <c r="P19" s="440"/>
      <c r="Q19" s="421"/>
      <c r="R19" s="421"/>
      <c r="S19" s="421"/>
      <c r="T19" s="421"/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x14ac:dyDescent="0.2">
      <c r="A20" s="421"/>
      <c r="B20" s="450"/>
      <c r="C20" s="458" t="s">
        <v>30</v>
      </c>
      <c r="D20" s="453" t="str">
        <f t="shared" si="0"/>
        <v>USD-11MD=</v>
      </c>
      <c r="E20" s="457" t="s">
        <v>240</v>
      </c>
      <c r="F20" s="456" t="s">
        <v>240</v>
      </c>
      <c r="G20" s="456" t="b">
        <f t="shared" si="1"/>
        <v>0</v>
      </c>
      <c r="H20" s="455" t="e">
        <f>IF($G20,_xll.qlIndexAddFixings($J20,$E20,$F20/100,TRUE,ISERROR($K20)),NA())</f>
        <v>#N/A</v>
      </c>
      <c r="I20" s="445"/>
      <c r="J20" s="454" t="str">
        <f t="shared" si="2"/>
        <v>Usd-11M</v>
      </c>
      <c r="K20" s="453" t="e">
        <f>_xll.qlIndexFixing($J20,$E20,TRUE,$G20)</f>
        <v>#NUM!</v>
      </c>
      <c r="L20" s="453" t="e">
        <f>IF($H20,_xll.qlIndexFixing($J20,$E20,FALSE,$G20),"-")</f>
        <v>#N/A</v>
      </c>
      <c r="M20" s="453" t="e">
        <f t="shared" si="3"/>
        <v>#NUM!</v>
      </c>
      <c r="N20" s="452" t="e">
        <f>_xll.qlIndexFixing($J20,$E20,TRUE,$L20)</f>
        <v>#NUM!</v>
      </c>
      <c r="O20" s="451">
        <f t="shared" si="4"/>
        <v>0</v>
      </c>
      <c r="P20" s="440"/>
      <c r="Q20" s="421"/>
      <c r="R20" s="421"/>
      <c r="S20" s="421"/>
      <c r="T20" s="421"/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x14ac:dyDescent="0.2">
      <c r="A21" s="421"/>
      <c r="B21" s="450"/>
      <c r="C21" s="449" t="s">
        <v>29</v>
      </c>
      <c r="D21" s="443" t="str">
        <f t="shared" si="0"/>
        <v>USD-1YD=</v>
      </c>
      <c r="E21" s="448" t="s">
        <v>240</v>
      </c>
      <c r="F21" s="447" t="s">
        <v>240</v>
      </c>
      <c r="G21" s="447" t="b">
        <f t="shared" si="1"/>
        <v>0</v>
      </c>
      <c r="H21" s="446" t="e">
        <f>IF($G21,_xll.qlIndexAddFixings($J21,$E21,$F21/100,TRUE,ISERROR($K21)),NA())</f>
        <v>#N/A</v>
      </c>
      <c r="I21" s="445"/>
      <c r="J21" s="444" t="str">
        <f t="shared" si="2"/>
        <v>Usd-1Y</v>
      </c>
      <c r="K21" s="443" t="e">
        <f>_xll.qlIndexFixing($J21,$E21,TRUE,$G21)</f>
        <v>#NUM!</v>
      </c>
      <c r="L21" s="443" t="e">
        <f>IF($H21,_xll.qlIndexFixing($J21,$E21,FALSE,$G21),"-")</f>
        <v>#N/A</v>
      </c>
      <c r="M21" s="443" t="e">
        <f t="shared" si="3"/>
        <v>#NUM!</v>
      </c>
      <c r="N21" s="442" t="e">
        <f>_xll.qlIndexFixing($J21,$E21,TRUE,$L21)</f>
        <v>#NUM!</v>
      </c>
      <c r="O21" s="441">
        <f t="shared" si="4"/>
        <v>0</v>
      </c>
      <c r="P21" s="440"/>
      <c r="Q21" s="421"/>
      <c r="R21" s="421"/>
      <c r="S21" s="421"/>
      <c r="T21" s="421"/>
      <c r="U21" s="421"/>
      <c r="V21" s="421"/>
      <c r="W21" s="421"/>
      <c r="X21" s="421"/>
      <c r="Y21" s="421"/>
      <c r="Z21" s="421"/>
      <c r="AA21" s="421"/>
      <c r="AB21" s="421"/>
      <c r="AC21" s="421"/>
      <c r="AD21" s="421"/>
    </row>
    <row r="22" spans="1:30" ht="12" thickBot="1" x14ac:dyDescent="0.25">
      <c r="A22" s="421"/>
      <c r="B22" s="439"/>
      <c r="C22" s="436"/>
      <c r="D22" s="436"/>
      <c r="E22" s="438"/>
      <c r="F22" s="437"/>
      <c r="G22" s="437"/>
      <c r="H22" s="436"/>
      <c r="I22" s="436"/>
      <c r="J22" s="436"/>
      <c r="K22" s="436"/>
      <c r="L22" s="436"/>
      <c r="M22" s="436"/>
      <c r="N22" s="436"/>
      <c r="O22" s="436"/>
      <c r="P22" s="435"/>
      <c r="Q22" s="421"/>
      <c r="R22" s="421"/>
      <c r="S22" s="421"/>
      <c r="T22" s="421"/>
      <c r="U22" s="421"/>
      <c r="V22" s="421"/>
      <c r="W22" s="421"/>
      <c r="X22" s="421"/>
      <c r="Y22" s="421"/>
      <c r="Z22" s="421"/>
      <c r="AA22" s="421"/>
      <c r="AB22" s="421"/>
      <c r="AC22" s="421"/>
      <c r="AD22" s="421"/>
    </row>
    <row r="23" spans="1:30" ht="12" thickBot="1" x14ac:dyDescent="0.25">
      <c r="A23" s="421"/>
      <c r="B23" s="421"/>
      <c r="C23" s="421"/>
      <c r="D23" s="421"/>
      <c r="E23" s="434"/>
      <c r="F23" s="433"/>
      <c r="G23" s="433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  <c r="AA23" s="421"/>
      <c r="AB23" s="421"/>
      <c r="AC23" s="421"/>
      <c r="AD23" s="421"/>
    </row>
    <row r="24" spans="1:30" s="421" customFormat="1" x14ac:dyDescent="0.2">
      <c r="C24" s="432" t="s">
        <v>131</v>
      </c>
      <c r="D24" s="431" t="s">
        <v>325</v>
      </c>
      <c r="E24" s="430" t="s">
        <v>325</v>
      </c>
      <c r="F24" s="429"/>
    </row>
    <row r="25" spans="1:30" s="421" customFormat="1" x14ac:dyDescent="0.2">
      <c r="C25" s="427" t="s">
        <v>130</v>
      </c>
      <c r="D25" s="426" t="s">
        <v>332</v>
      </c>
      <c r="E25" s="425" t="s">
        <v>331</v>
      </c>
      <c r="J25" s="428"/>
    </row>
    <row r="26" spans="1:30" s="421" customFormat="1" x14ac:dyDescent="0.2">
      <c r="C26" s="427" t="s">
        <v>309</v>
      </c>
      <c r="D26" s="426" t="s">
        <v>325</v>
      </c>
      <c r="E26" s="425" t="s">
        <v>325</v>
      </c>
      <c r="J26" s="428"/>
    </row>
    <row r="27" spans="1:30" s="421" customFormat="1" x14ac:dyDescent="0.2">
      <c r="C27" s="427" t="s">
        <v>308</v>
      </c>
      <c r="D27" s="426" t="s">
        <v>325</v>
      </c>
      <c r="E27" s="425" t="s">
        <v>325</v>
      </c>
      <c r="J27" s="428"/>
    </row>
    <row r="28" spans="1:30" s="421" customFormat="1" x14ac:dyDescent="0.2">
      <c r="C28" s="427" t="s">
        <v>127</v>
      </c>
      <c r="D28" s="426" t="s">
        <v>325</v>
      </c>
      <c r="E28" s="425" t="s">
        <v>325</v>
      </c>
    </row>
    <row r="29" spans="1:30" s="421" customFormat="1" x14ac:dyDescent="0.2">
      <c r="C29" s="427" t="s">
        <v>126</v>
      </c>
      <c r="D29" s="426" t="s">
        <v>325</v>
      </c>
      <c r="E29" s="425" t="s">
        <v>325</v>
      </c>
    </row>
    <row r="30" spans="1:30" s="421" customFormat="1" ht="12" thickBot="1" x14ac:dyDescent="0.25">
      <c r="C30" s="424" t="s">
        <v>121</v>
      </c>
      <c r="D30" s="423" t="s">
        <v>325</v>
      </c>
      <c r="E30" s="422" t="s">
        <v>325</v>
      </c>
    </row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  <row r="39" s="421" customFormat="1" x14ac:dyDescent="0.2"/>
    <row r="40" s="421" customFormat="1" x14ac:dyDescent="0.2"/>
    <row r="41" s="421" customFormat="1" x14ac:dyDescent="0.2"/>
  </sheetData>
  <conditionalFormatting sqref="M4:M21">
    <cfRule type="cellIs" dxfId="4" priority="1" stopIfTrue="1" operator="greaterThan">
      <formula>0</formula>
    </cfRule>
    <cfRule type="cellIs" dxfId="3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12.140625" style="420" bestFit="1" customWidth="1"/>
    <col min="5" max="5" width="12.85546875" style="420" customWidth="1"/>
    <col min="6" max="6" width="7.4257812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9.5703125" style="420" bestFit="1" customWidth="1"/>
    <col min="11" max="11" width="11.42578125" style="420" bestFit="1" customWidth="1"/>
    <col min="12" max="12" width="8.7109375" style="420" bestFit="1" customWidth="1"/>
    <col min="13" max="13" width="7.7109375" style="420" bestFit="1" customWidth="1"/>
    <col min="14" max="14" width="10" style="420" bestFit="1" customWidth="1"/>
    <col min="15" max="15" width="7.140625" style="420" hidden="1" customWidth="1"/>
    <col min="16" max="17" width="2.7109375" style="420" customWidth="1"/>
    <col min="18" max="18" width="12.85546875" style="420" bestFit="1" customWidth="1"/>
    <col min="19" max="19" width="7.140625" style="420" bestFit="1" customWidth="1"/>
    <col min="20" max="20" width="6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22.5" customHeight="1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MAX(O4:O21)</f>
        <v>0</v>
      </c>
      <c r="N2" s="473"/>
      <c r="O2" s="473"/>
      <c r="P2" s="472"/>
      <c r="Q2" s="421"/>
      <c r="R2" s="421" t="s">
        <v>141</v>
      </c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_xll.RData(D4:D21,E3:F3,"RTFEED:IDN",,,E4)</f>
        <v>#NAME?</v>
      </c>
      <c r="E3" s="469" t="s">
        <v>316</v>
      </c>
      <c r="F3" s="469" t="s">
        <v>245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/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ht="15" x14ac:dyDescent="0.25">
      <c r="A4" s="421"/>
      <c r="B4" s="450"/>
      <c r="C4" s="466" t="s">
        <v>215</v>
      </c>
      <c r="D4" s="461" t="str">
        <f t="shared" ref="D4:D21" si="0">Currency&amp;$D$2&amp;$C4&amp;"D="</f>
        <v>USD-OND=</v>
      </c>
      <c r="E4" s="465" t="s">
        <v>240</v>
      </c>
      <c r="F4" s="490" t="s">
        <v>240</v>
      </c>
      <c r="G4" s="464" t="b">
        <f t="shared" ref="G4:G21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21" si="2">PROPER(Currency)&amp;$J$2&amp;$C4</f>
        <v>Usd-ON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21" si="3">K4-L4</f>
        <v>#NUM!</v>
      </c>
      <c r="N4" s="460" t="e">
        <f>_xll.qlIndexFixing($J4,$E4,TRUE,$L4)</f>
        <v>#NUM!</v>
      </c>
      <c r="O4" s="459">
        <f>IF(ISERROR(M4),0,ABS(M4))</f>
        <v>0</v>
      </c>
      <c r="P4" s="440"/>
      <c r="Q4" s="421"/>
      <c r="R4" s="421" t="str">
        <f>Currency&amp;$C4&amp;"D"&amp;$R$2</f>
        <v>USDOND_Quote</v>
      </c>
      <c r="S4" s="492">
        <f>_xll.qlQuoteValue(R4,ISERROR(H4))</f>
        <v>1.5E-3</v>
      </c>
      <c r="T4" s="491" t="e">
        <f>IF(E4=EvaluationDate,S4-F4/100,NA())</f>
        <v>#N/A</v>
      </c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ht="15" x14ac:dyDescent="0.25">
      <c r="A5" s="421"/>
      <c r="B5" s="450"/>
      <c r="C5" s="458" t="s">
        <v>247</v>
      </c>
      <c r="D5" s="453" t="str">
        <f t="shared" si="0"/>
        <v>USD-TND=</v>
      </c>
      <c r="E5" s="457" t="s">
        <v>240</v>
      </c>
      <c r="F5" s="489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Usd-TN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51"/>
      <c r="P5" s="440"/>
      <c r="Q5" s="421"/>
      <c r="R5" s="421"/>
      <c r="S5" s="492"/>
      <c r="T5" s="49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ht="15" x14ac:dyDescent="0.25">
      <c r="A6" s="421"/>
      <c r="B6" s="450"/>
      <c r="C6" s="458" t="s">
        <v>244</v>
      </c>
      <c r="D6" s="453" t="str">
        <f t="shared" si="0"/>
        <v>USD-SND=</v>
      </c>
      <c r="E6" s="457" t="s">
        <v>240</v>
      </c>
      <c r="F6" s="489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Usd-SN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51"/>
      <c r="P6" s="440"/>
      <c r="Q6" s="421"/>
      <c r="R6" s="421"/>
      <c r="S6" s="492"/>
      <c r="T6" s="49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ht="15" x14ac:dyDescent="0.25">
      <c r="A7" s="421"/>
      <c r="B7" s="450"/>
      <c r="C7" s="458" t="s">
        <v>43</v>
      </c>
      <c r="D7" s="453" t="str">
        <f t="shared" si="0"/>
        <v>USD-SWD=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Usd-SW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51">
        <f t="shared" ref="O7:O21" si="4">IF(ISERROR(M7),0,ABS(M7))</f>
        <v>0</v>
      </c>
      <c r="P7" s="440"/>
      <c r="Q7" s="421"/>
      <c r="R7" s="421" t="str">
        <f t="shared" ref="R7:R21" si="5">Currency&amp;$C7&amp;"D"&amp;$R$2</f>
        <v>USDSWD_Quote</v>
      </c>
      <c r="S7" s="492">
        <f>_xll.qlQuoteValue(R7,ISERROR(H7))</f>
        <v>1.193E-3</v>
      </c>
      <c r="T7" s="491" t="e">
        <f t="shared" ref="T7:T21" si="6">IF(E7=EvaluationDate,S7-F7/100,NA())</f>
        <v>#N/A</v>
      </c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ht="15" x14ac:dyDescent="0.25">
      <c r="A8" s="421"/>
      <c r="B8" s="450"/>
      <c r="C8" s="458" t="s">
        <v>42</v>
      </c>
      <c r="D8" s="453" t="str">
        <f t="shared" si="0"/>
        <v>USD-2WD=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Usd-2W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51">
        <f t="shared" si="4"/>
        <v>0</v>
      </c>
      <c r="P8" s="440"/>
      <c r="Q8" s="421"/>
      <c r="R8" s="421" t="str">
        <f t="shared" si="5"/>
        <v>USD2WD_Quote</v>
      </c>
      <c r="S8" s="492">
        <f>_xll.qlQuoteValue(R8,ISERROR(H8))</f>
        <v>0</v>
      </c>
      <c r="T8" s="491" t="e">
        <f t="shared" si="6"/>
        <v>#N/A</v>
      </c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ht="15" x14ac:dyDescent="0.25">
      <c r="A9" s="421"/>
      <c r="B9" s="450"/>
      <c r="C9" s="458" t="s">
        <v>41</v>
      </c>
      <c r="D9" s="453" t="str">
        <f t="shared" si="0"/>
        <v>USD-3WD=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Usd-3W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51">
        <f t="shared" si="4"/>
        <v>0</v>
      </c>
      <c r="P9" s="440"/>
      <c r="Q9" s="421"/>
      <c r="R9" s="421" t="str">
        <f t="shared" si="5"/>
        <v>USD3WD_Quote</v>
      </c>
      <c r="S9" s="492" t="e">
        <f>_xll.qlQuoteValue(R9,ISERROR(H9))</f>
        <v>#NUM!</v>
      </c>
      <c r="T9" s="491" t="e">
        <f t="shared" si="6"/>
        <v>#N/A</v>
      </c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ht="15" x14ac:dyDescent="0.25">
      <c r="A10" s="421"/>
      <c r="B10" s="450"/>
      <c r="C10" s="458" t="s">
        <v>40</v>
      </c>
      <c r="D10" s="453" t="str">
        <f t="shared" si="0"/>
        <v>USD-1MD=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Usd-1M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51">
        <f t="shared" si="4"/>
        <v>0</v>
      </c>
      <c r="P10" s="440"/>
      <c r="Q10" s="421"/>
      <c r="R10" s="421" t="str">
        <f t="shared" si="5"/>
        <v>USD1MD_Quote</v>
      </c>
      <c r="S10" s="492">
        <f>_xll.qlQuoteValue(R10,ISERROR(H10))</f>
        <v>1.5870000000000001E-3</v>
      </c>
      <c r="T10" s="491" t="e">
        <f t="shared" si="6"/>
        <v>#N/A</v>
      </c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ht="15" x14ac:dyDescent="0.25">
      <c r="A11" s="421"/>
      <c r="B11" s="450"/>
      <c r="C11" s="458" t="s">
        <v>39</v>
      </c>
      <c r="D11" s="453" t="str">
        <f t="shared" si="0"/>
        <v>USD-2MD=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Usd-2M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51">
        <f t="shared" si="4"/>
        <v>0</v>
      </c>
      <c r="P11" s="440"/>
      <c r="Q11" s="421"/>
      <c r="R11" s="421" t="str">
        <f t="shared" si="5"/>
        <v>USD2MD_Quote</v>
      </c>
      <c r="S11" s="492">
        <f>_xll.qlQuoteValue(R11,ISERROR(H11))</f>
        <v>2.0300000000000001E-3</v>
      </c>
      <c r="T11" s="491" t="e">
        <f t="shared" si="6"/>
        <v>#N/A</v>
      </c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ht="15" x14ac:dyDescent="0.25">
      <c r="A12" s="421"/>
      <c r="B12" s="450"/>
      <c r="C12" s="458" t="s">
        <v>38</v>
      </c>
      <c r="D12" s="453" t="str">
        <f t="shared" si="0"/>
        <v>USD-3MD=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Usd-3M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51">
        <f t="shared" si="4"/>
        <v>0</v>
      </c>
      <c r="P12" s="440"/>
      <c r="Q12" s="421"/>
      <c r="R12" s="421" t="str">
        <f t="shared" si="5"/>
        <v>USD3MD_Quote</v>
      </c>
      <c r="S12" s="492">
        <f>_xll.qlQuoteValue(R12,ISERROR(H12))</f>
        <v>2.379E-3</v>
      </c>
      <c r="T12" s="491" t="e">
        <f t="shared" si="6"/>
        <v>#N/A</v>
      </c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ht="15" x14ac:dyDescent="0.25">
      <c r="A13" s="421"/>
      <c r="B13" s="450"/>
      <c r="C13" s="458" t="s">
        <v>37</v>
      </c>
      <c r="D13" s="453" t="str">
        <f t="shared" si="0"/>
        <v>USD-4MD=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Usd-4M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51">
        <f t="shared" si="4"/>
        <v>0</v>
      </c>
      <c r="P13" s="440"/>
      <c r="Q13" s="421"/>
      <c r="R13" s="421" t="str">
        <f t="shared" si="5"/>
        <v>USD4MD_Quote</v>
      </c>
      <c r="S13" s="492">
        <f>_xll.qlQuoteValue(R13,ISERROR(H13))</f>
        <v>0</v>
      </c>
      <c r="T13" s="491" t="e">
        <f t="shared" si="6"/>
        <v>#N/A</v>
      </c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ht="15" x14ac:dyDescent="0.25">
      <c r="A14" s="421"/>
      <c r="B14" s="450"/>
      <c r="C14" s="458" t="s">
        <v>36</v>
      </c>
      <c r="D14" s="453" t="str">
        <f t="shared" si="0"/>
        <v>USD-5MD=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Usd-5M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51">
        <f t="shared" si="4"/>
        <v>0</v>
      </c>
      <c r="P14" s="440"/>
      <c r="Q14" s="421"/>
      <c r="R14" s="421" t="str">
        <f t="shared" si="5"/>
        <v>USD5MD_Quote</v>
      </c>
      <c r="S14" s="492">
        <f>_xll.qlQuoteValue(R14,ISERROR(H14))</f>
        <v>0</v>
      </c>
      <c r="T14" s="491" t="e">
        <f t="shared" si="6"/>
        <v>#N/A</v>
      </c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ht="15" x14ac:dyDescent="0.25">
      <c r="A15" s="421"/>
      <c r="B15" s="450"/>
      <c r="C15" s="458" t="s">
        <v>35</v>
      </c>
      <c r="D15" s="453" t="str">
        <f t="shared" si="0"/>
        <v>USD-6MD=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Usd-6M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51">
        <f t="shared" si="4"/>
        <v>0</v>
      </c>
      <c r="P15" s="440"/>
      <c r="Q15" s="421"/>
      <c r="R15" s="421" t="str">
        <f t="shared" si="5"/>
        <v>USD6MD_Quote</v>
      </c>
      <c r="S15" s="492">
        <f>_xll.qlQuoteValue(R15,ISERROR(H15))</f>
        <v>3.356E-3</v>
      </c>
      <c r="T15" s="491" t="e">
        <f t="shared" si="6"/>
        <v>#N/A</v>
      </c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ht="15" x14ac:dyDescent="0.25">
      <c r="A16" s="421"/>
      <c r="B16" s="450"/>
      <c r="C16" s="458" t="s">
        <v>34</v>
      </c>
      <c r="D16" s="453" t="str">
        <f t="shared" si="0"/>
        <v>USD-7MD=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Usd-7M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51">
        <f t="shared" si="4"/>
        <v>0</v>
      </c>
      <c r="P16" s="440"/>
      <c r="Q16" s="421"/>
      <c r="R16" s="421" t="str">
        <f t="shared" si="5"/>
        <v>USD7MD_Quote</v>
      </c>
      <c r="S16" s="492">
        <f>_xll.qlQuoteValue(R16,ISERROR(H16))</f>
        <v>0</v>
      </c>
      <c r="T16" s="491" t="e">
        <f t="shared" si="6"/>
        <v>#N/A</v>
      </c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ht="15" x14ac:dyDescent="0.25">
      <c r="A17" s="421"/>
      <c r="B17" s="450"/>
      <c r="C17" s="458" t="s">
        <v>33</v>
      </c>
      <c r="D17" s="453" t="str">
        <f t="shared" si="0"/>
        <v>USD-8MD=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Usd-8M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51">
        <f t="shared" si="4"/>
        <v>0</v>
      </c>
      <c r="P17" s="440"/>
      <c r="Q17" s="421"/>
      <c r="R17" s="421" t="str">
        <f t="shared" si="5"/>
        <v>USD8MD_Quote</v>
      </c>
      <c r="S17" s="492">
        <f>_xll.qlQuoteValue(R17,ISERROR(H17))</f>
        <v>0</v>
      </c>
      <c r="T17" s="491" t="e">
        <f t="shared" si="6"/>
        <v>#N/A</v>
      </c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ht="15" x14ac:dyDescent="0.25">
      <c r="A18" s="421"/>
      <c r="B18" s="450"/>
      <c r="C18" s="458" t="s">
        <v>32</v>
      </c>
      <c r="D18" s="453" t="str">
        <f t="shared" si="0"/>
        <v>USD-9MD=</v>
      </c>
      <c r="E18" s="457" t="s">
        <v>240</v>
      </c>
      <c r="F18" s="456" t="s">
        <v>240</v>
      </c>
      <c r="G18" s="456" t="b">
        <f t="shared" si="1"/>
        <v>0</v>
      </c>
      <c r="H18" s="455" t="e">
        <f>IF($G18,_xll.qlIndexAddFixings($J18,$E18,$F18/100,TRUE,ISERROR($K18)),NA())</f>
        <v>#N/A</v>
      </c>
      <c r="I18" s="445"/>
      <c r="J18" s="454" t="str">
        <f t="shared" si="2"/>
        <v>Usd-9M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51">
        <f t="shared" si="4"/>
        <v>0</v>
      </c>
      <c r="P18" s="440"/>
      <c r="Q18" s="421"/>
      <c r="R18" s="421" t="str">
        <f t="shared" si="5"/>
        <v>USD9MD_Quote</v>
      </c>
      <c r="S18" s="492">
        <f>_xll.qlQuoteValue(R18,ISERROR(H18))</f>
        <v>7.1250000000000003E-3</v>
      </c>
      <c r="T18" s="491" t="e">
        <f t="shared" si="6"/>
        <v>#N/A</v>
      </c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ht="15" x14ac:dyDescent="0.25">
      <c r="A19" s="421"/>
      <c r="B19" s="450"/>
      <c r="C19" s="458" t="s">
        <v>31</v>
      </c>
      <c r="D19" s="453" t="str">
        <f t="shared" si="0"/>
        <v>USD-10MD=</v>
      </c>
      <c r="E19" s="457" t="s">
        <v>240</v>
      </c>
      <c r="F19" s="456" t="s">
        <v>240</v>
      </c>
      <c r="G19" s="456" t="b">
        <f t="shared" si="1"/>
        <v>0</v>
      </c>
      <c r="H19" s="455" t="e">
        <f>IF($G19,_xll.qlIndexAddFixings($J19,$E19,$F19/100,TRUE,ISERROR($K19)),NA())</f>
        <v>#N/A</v>
      </c>
      <c r="I19" s="445"/>
      <c r="J19" s="454" t="str">
        <f t="shared" si="2"/>
        <v>Usd-10M</v>
      </c>
      <c r="K19" s="453" t="e">
        <f>_xll.qlIndexFixing($J19,$E19,TRUE,$G19)</f>
        <v>#NUM!</v>
      </c>
      <c r="L19" s="453" t="e">
        <f>IF($H19,_xll.qlIndexFixing($J19,$E19,FALSE,$G19),"-")</f>
        <v>#N/A</v>
      </c>
      <c r="M19" s="453" t="e">
        <f t="shared" si="3"/>
        <v>#NUM!</v>
      </c>
      <c r="N19" s="452" t="e">
        <f>_xll.qlIndexFixing($J19,$E19,TRUE,$L19)</f>
        <v>#NUM!</v>
      </c>
      <c r="O19" s="451">
        <f t="shared" si="4"/>
        <v>0</v>
      </c>
      <c r="P19" s="440"/>
      <c r="Q19" s="421"/>
      <c r="R19" s="421" t="str">
        <f t="shared" si="5"/>
        <v>USD10MD_Quote</v>
      </c>
      <c r="S19" s="492">
        <f>_xll.qlQuoteValue(R19,ISERROR(H19))</f>
        <v>7.6349999999999994E-3</v>
      </c>
      <c r="T19" s="491" t="e">
        <f t="shared" si="6"/>
        <v>#N/A</v>
      </c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ht="15" x14ac:dyDescent="0.25">
      <c r="A20" s="421"/>
      <c r="B20" s="450"/>
      <c r="C20" s="458" t="s">
        <v>30</v>
      </c>
      <c r="D20" s="453" t="str">
        <f t="shared" si="0"/>
        <v>USD-11MD=</v>
      </c>
      <c r="E20" s="457" t="s">
        <v>240</v>
      </c>
      <c r="F20" s="456" t="s">
        <v>240</v>
      </c>
      <c r="G20" s="456" t="b">
        <f t="shared" si="1"/>
        <v>0</v>
      </c>
      <c r="H20" s="455" t="e">
        <f>IF($G20,_xll.qlIndexAddFixings($J20,$E20,$F20/100,TRUE,ISERROR($K20)),NA())</f>
        <v>#N/A</v>
      </c>
      <c r="I20" s="445"/>
      <c r="J20" s="454" t="str">
        <f t="shared" si="2"/>
        <v>Usd-11M</v>
      </c>
      <c r="K20" s="453" t="e">
        <f>_xll.qlIndexFixing($J20,$E20,TRUE,$G20)</f>
        <v>#NUM!</v>
      </c>
      <c r="L20" s="453" t="e">
        <f>IF($H20,_xll.qlIndexFixing($J20,$E20,FALSE,$G20),"-")</f>
        <v>#N/A</v>
      </c>
      <c r="M20" s="453" t="e">
        <f t="shared" si="3"/>
        <v>#NUM!</v>
      </c>
      <c r="N20" s="452" t="e">
        <f>_xll.qlIndexFixing($J20,$E20,TRUE,$L20)</f>
        <v>#NUM!</v>
      </c>
      <c r="O20" s="451">
        <f t="shared" si="4"/>
        <v>0</v>
      </c>
      <c r="P20" s="440"/>
      <c r="Q20" s="421"/>
      <c r="R20" s="421" t="str">
        <f t="shared" si="5"/>
        <v>USD11MD_Quote</v>
      </c>
      <c r="S20" s="492">
        <f>_xll.qlQuoteValue(R20,ISERROR(H20))</f>
        <v>8.1449999999999995E-3</v>
      </c>
      <c r="T20" s="491" t="e">
        <f t="shared" si="6"/>
        <v>#N/A</v>
      </c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ht="15" x14ac:dyDescent="0.25">
      <c r="A21" s="421"/>
      <c r="B21" s="450"/>
      <c r="C21" s="449" t="s">
        <v>29</v>
      </c>
      <c r="D21" s="443" t="str">
        <f t="shared" si="0"/>
        <v>USD-1YD=</v>
      </c>
      <c r="E21" s="448" t="s">
        <v>240</v>
      </c>
      <c r="F21" s="447" t="s">
        <v>240</v>
      </c>
      <c r="G21" s="447" t="b">
        <f t="shared" si="1"/>
        <v>0</v>
      </c>
      <c r="H21" s="446" t="e">
        <f>IF($G21,_xll.qlIndexAddFixings($J21,$E21,$F21/100,TRUE,ISERROR($K21)),NA())</f>
        <v>#N/A</v>
      </c>
      <c r="I21" s="445"/>
      <c r="J21" s="444" t="str">
        <f t="shared" si="2"/>
        <v>Usd-1Y</v>
      </c>
      <c r="K21" s="443" t="e">
        <f>_xll.qlIndexFixing($J21,$E21,TRUE,$G21)</f>
        <v>#NUM!</v>
      </c>
      <c r="L21" s="443" t="e">
        <f>IF($H21,_xll.qlIndexFixing($J21,$E21,FALSE,$G21),"-")</f>
        <v>#N/A</v>
      </c>
      <c r="M21" s="443" t="e">
        <f t="shared" si="3"/>
        <v>#NUM!</v>
      </c>
      <c r="N21" s="442" t="e">
        <f>_xll.qlIndexFixing($J21,$E21,TRUE,$L21)</f>
        <v>#NUM!</v>
      </c>
      <c r="O21" s="441">
        <f t="shared" si="4"/>
        <v>0</v>
      </c>
      <c r="P21" s="440"/>
      <c r="Q21" s="421"/>
      <c r="R21" s="421" t="str">
        <f t="shared" si="5"/>
        <v>USD1YD_Quote</v>
      </c>
      <c r="S21" s="492">
        <f>_xll.qlQuoteValue(R21,ISERROR(H21))</f>
        <v>8.7150000000000005E-3</v>
      </c>
      <c r="T21" s="491" t="e">
        <f t="shared" si="6"/>
        <v>#N/A</v>
      </c>
      <c r="U21" s="421"/>
      <c r="V21" s="421"/>
      <c r="W21" s="421"/>
      <c r="X21" s="421"/>
      <c r="Y21" s="421"/>
      <c r="Z21" s="421"/>
      <c r="AA21" s="421"/>
      <c r="AB21" s="421"/>
      <c r="AC21" s="421"/>
      <c r="AD21" s="421"/>
    </row>
    <row r="22" spans="1:30" ht="12" thickBot="1" x14ac:dyDescent="0.25">
      <c r="A22" s="421"/>
      <c r="B22" s="439"/>
      <c r="C22" s="436"/>
      <c r="D22" s="436"/>
      <c r="E22" s="438"/>
      <c r="F22" s="437"/>
      <c r="G22" s="437"/>
      <c r="H22" s="436"/>
      <c r="I22" s="436"/>
      <c r="J22" s="436"/>
      <c r="K22" s="436"/>
      <c r="L22" s="436"/>
      <c r="M22" s="436"/>
      <c r="N22" s="436"/>
      <c r="O22" s="436"/>
      <c r="P22" s="435"/>
      <c r="Q22" s="421"/>
      <c r="R22" s="421"/>
      <c r="S22" s="421"/>
      <c r="T22" s="421"/>
      <c r="U22" s="421"/>
      <c r="V22" s="421"/>
      <c r="W22" s="421"/>
      <c r="X22" s="421"/>
      <c r="Y22" s="421"/>
      <c r="Z22" s="421"/>
      <c r="AA22" s="421"/>
      <c r="AB22" s="421"/>
      <c r="AC22" s="421"/>
      <c r="AD22" s="421"/>
    </row>
    <row r="23" spans="1:30" ht="12" thickBot="1" x14ac:dyDescent="0.25">
      <c r="A23" s="421"/>
      <c r="B23" s="421"/>
      <c r="C23" s="421"/>
      <c r="D23" s="421"/>
      <c r="E23" s="434"/>
      <c r="F23" s="433"/>
      <c r="G23" s="433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  <c r="AA23" s="421"/>
      <c r="AB23" s="421"/>
      <c r="AC23" s="421"/>
      <c r="AD23" s="421"/>
    </row>
    <row r="24" spans="1:30" s="421" customFormat="1" x14ac:dyDescent="0.2">
      <c r="C24" s="432" t="s">
        <v>131</v>
      </c>
      <c r="D24" s="431" t="s">
        <v>325</v>
      </c>
      <c r="E24" s="430" t="s">
        <v>325</v>
      </c>
      <c r="F24" s="429"/>
    </row>
    <row r="25" spans="1:30" s="421" customFormat="1" x14ac:dyDescent="0.2">
      <c r="C25" s="427" t="s">
        <v>130</v>
      </c>
      <c r="D25" s="426" t="s">
        <v>248</v>
      </c>
      <c r="E25" s="425" t="s">
        <v>249</v>
      </c>
      <c r="J25" s="428"/>
    </row>
    <row r="26" spans="1:30" s="421" customFormat="1" x14ac:dyDescent="0.2">
      <c r="C26" s="427" t="s">
        <v>309</v>
      </c>
      <c r="D26" s="426" t="s">
        <v>325</v>
      </c>
      <c r="E26" s="425" t="s">
        <v>325</v>
      </c>
      <c r="J26" s="428"/>
    </row>
    <row r="27" spans="1:30" s="421" customFormat="1" x14ac:dyDescent="0.2">
      <c r="C27" s="427" t="s">
        <v>308</v>
      </c>
      <c r="D27" s="426" t="s">
        <v>325</v>
      </c>
      <c r="E27" s="425" t="s">
        <v>325</v>
      </c>
      <c r="J27" s="428"/>
    </row>
    <row r="28" spans="1:30" s="421" customFormat="1" x14ac:dyDescent="0.2">
      <c r="C28" s="427" t="s">
        <v>127</v>
      </c>
      <c r="D28" s="426" t="s">
        <v>325</v>
      </c>
      <c r="E28" s="425" t="s">
        <v>325</v>
      </c>
    </row>
    <row r="29" spans="1:30" s="421" customFormat="1" x14ac:dyDescent="0.2">
      <c r="C29" s="427" t="s">
        <v>126</v>
      </c>
      <c r="D29" s="426" t="s">
        <v>325</v>
      </c>
      <c r="E29" s="425" t="s">
        <v>325</v>
      </c>
    </row>
    <row r="30" spans="1:30" s="421" customFormat="1" ht="12" thickBot="1" x14ac:dyDescent="0.25">
      <c r="C30" s="424" t="s">
        <v>121</v>
      </c>
      <c r="D30" s="423" t="s">
        <v>325</v>
      </c>
      <c r="E30" s="422" t="s">
        <v>325</v>
      </c>
    </row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  <row r="39" s="421" customFormat="1" x14ac:dyDescent="0.2"/>
    <row r="40" s="421" customFormat="1" x14ac:dyDescent="0.2"/>
    <row r="41" s="421" customFormat="1" x14ac:dyDescent="0.2"/>
  </sheetData>
  <conditionalFormatting sqref="M4:M21">
    <cfRule type="cellIs" dxfId="2" priority="1" stopIfTrue="1" operator="greaterThan">
      <formula>0</formula>
    </cfRule>
    <cfRule type="cellIs" dxfId="1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151</vt:i4>
      </vt:variant>
    </vt:vector>
  </HeadingPairs>
  <TitlesOfParts>
    <vt:vector size="189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6M_2</vt:lpstr>
      <vt:lpstr>1Y (2)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'1M'!Quote</vt:lpstr>
      <vt:lpstr>'3M'!Quote</vt:lpstr>
      <vt:lpstr>'6M'!Quote</vt:lpstr>
      <vt:lpstr>BasisSwap1MxM!Quote</vt:lpstr>
      <vt:lpstr>BasisSwap3M6M!Quote</vt:lpstr>
      <vt:lpstr>BasisSwapxM12M!Quote</vt:lpstr>
      <vt:lpstr>Deposits!Quote</vt:lpstr>
      <vt:lpstr>FRA!Quote</vt:lpstr>
      <vt:lpstr>Futures1M!Quote</vt:lpstr>
      <vt:lpstr>Futures3M!Quote</vt:lpstr>
      <vt:lpstr>FuturesHWConvAdj!Quote</vt:lpstr>
      <vt:lpstr>FwdEONIAOIS!Quote</vt:lpstr>
      <vt:lpstr>OIS!Quote</vt:lpstr>
      <vt:lpstr>Swap3M!Quote</vt:lpstr>
      <vt:lpstr>Swaps1M!Quote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BasisSwap3M6M!QuoteStatic</vt:lpstr>
      <vt:lpstr>BasisSwapxM12M!QuoteStatic</vt:lpstr>
      <vt:lpstr>Deposits!QuoteStatic</vt:lpstr>
      <vt:lpstr>FRA!QuoteStatic</vt:lpstr>
      <vt:lpstr>Futures1M!QuoteStatic</vt:lpstr>
      <vt:lpstr>Futures3M!QuoteStatic</vt:lpstr>
      <vt:lpstr>FuturesHWConvAdj!QuoteStatic</vt:lpstr>
      <vt:lpstr>FwdEONIAOIS!QuoteStatic</vt:lpstr>
      <vt:lpstr>OIS!QuoteStatic</vt:lpstr>
      <vt:lpstr>Swap3M!QuoteStatic</vt:lpstr>
      <vt:lpstr>Swap6M!QuoteStatic</vt:lpstr>
      <vt:lpstr>Swaps1M!QuoteStatic</vt:lpstr>
      <vt:lpstr>SwapsIMMDated!QuoteStatic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2014-02-14T13:14:36Z</dcterms:modified>
</cp:coreProperties>
</file>
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90" windowWidth="25875" windowHeight="11310" firstSheet="29" activeTab="37"/>
  </bookViews>
  <sheets>
    <sheet name="USD" sheetId="4" r:id="rId1"/>
    <sheet name="RelinkableHandles" sheetId="5" r:id="rId2"/>
    <sheet name="Libor" sheetId="6" r:id="rId3"/>
    <sheet name="LiborSwapIsdaFixAm" sheetId="7" r:id="rId4"/>
    <sheet name="LiborSwapIsdaFixPm" sheetId="8" r:id="rId5"/>
    <sheet name="LiborSwapForBasisCalc" sheetId="9" r:id="rId6"/>
    <sheet name="UsdLibor" sheetId="10" r:id="rId7"/>
    <sheet name="BasisSwap1MxM" sheetId="11" r:id="rId8"/>
    <sheet name="BasisSwap3M6M" sheetId="12" r:id="rId9"/>
    <sheet name="BasisSwapxM12M" sheetId="13" r:id="rId10"/>
    <sheet name="USD_010_BasisSwapQuotes" sheetId="14" r:id="rId11"/>
    <sheet name="Deposits" sheetId="15" r:id="rId12"/>
    <sheet name="FRA" sheetId="16" r:id="rId13"/>
    <sheet name="Futures1M" sheetId="17" r:id="rId14"/>
    <sheet name="Futures3M" sheetId="18" r:id="rId15"/>
    <sheet name="ImmFra6M " sheetId="19" r:id="rId16"/>
    <sheet name="FuturesHWConvAdj" sheetId="20" r:id="rId17"/>
    <sheet name="USD_010_DepoFRAFuturesQuotes" sheetId="21" r:id="rId18"/>
    <sheet name="OIS" sheetId="22" r:id="rId19"/>
    <sheet name="Swaps1M" sheetId="23" r:id="rId20"/>
    <sheet name="SwapsIMMDated" sheetId="24" r:id="rId21"/>
    <sheet name="Swap3M" sheetId="25" r:id="rId22"/>
    <sheet name="Swap6M" sheetId="26" r:id="rId23"/>
    <sheet name="USD_010_SwapQuotes" sheetId="27" r:id="rId24"/>
    <sheet name="ON" sheetId="28" r:id="rId25"/>
    <sheet name="1M" sheetId="29" r:id="rId26"/>
    <sheet name="3M" sheetId="30" r:id="rId27"/>
    <sheet name="6M" sheetId="31" r:id="rId28"/>
    <sheet name="1Y" sheetId="32" r:id="rId29"/>
    <sheet name="USD_015_SyntheticQuotes" sheetId="33" r:id="rId30"/>
    <sheet name="1M (2)" sheetId="34" r:id="rId31"/>
    <sheet name="3M (2)" sheetId="35" r:id="rId32"/>
    <sheet name="6M (2)" sheetId="36" r:id="rId33"/>
    <sheet name="1Y (2)" sheetId="37" r:id="rId34"/>
    <sheet name="USD_020_ForwardSwapQuotes" sheetId="38" r:id="rId35"/>
    <sheet name="1M (3)" sheetId="39" r:id="rId36"/>
    <sheet name="3M (3)" sheetId="40" r:id="rId37"/>
    <sheet name="USD_020_FuturesConvAdjQuotes" sheetId="41" r:id="rId38"/>
  </sheets>
  <definedNames>
    <definedName name="Currency" localSheetId="25">USD_015_SyntheticQuotes!$D$14</definedName>
    <definedName name="Currency" localSheetId="30">USD_020_ForwardSwapQuotes!$D$14</definedName>
    <definedName name="Currency" localSheetId="35">USD_020_FuturesConvAdjQuotes!$D$14</definedName>
    <definedName name="Currency" localSheetId="28">USD_015_SyntheticQuotes!$D$14</definedName>
    <definedName name="Currency" localSheetId="33">USD_020_ForwardSwapQuotes!$D$14</definedName>
    <definedName name="Currency" localSheetId="26">USD_015_SyntheticQuotes!$D$14</definedName>
    <definedName name="Currency" localSheetId="31">USD_020_ForwardSwapQuotes!$D$14</definedName>
    <definedName name="Currency" localSheetId="36">USD_020_FuturesConvAdjQuotes!$D$14</definedName>
    <definedName name="Currency" localSheetId="27">USD_015_SyntheticQuotes!$D$14</definedName>
    <definedName name="Currency" localSheetId="32">USD_020_ForwardSwapQuotes!$D$14</definedName>
    <definedName name="Currency" localSheetId="7">USD_010_BasisSwapQuotes!$D$14</definedName>
    <definedName name="Currency" localSheetId="8">USD_010_BasisSwapQuotes!$D$14</definedName>
    <definedName name="Currency" localSheetId="9">USD_010_BasisSwapQuotes!$D$14</definedName>
    <definedName name="Currency" localSheetId="11">USD_010_DepoFRAFuturesQuotes!$D$14</definedName>
    <definedName name="Currency" localSheetId="12">USD_010_DepoFRAFuturesQuotes!$D$14</definedName>
    <definedName name="Currency" localSheetId="13">USD_010_DepoFRAFuturesQuotes!$D$14</definedName>
    <definedName name="Currency" localSheetId="14">USD_010_DepoFRAFuturesQuotes!$D$14</definedName>
    <definedName name="Currency" localSheetId="16">USD_010_DepoFRAFuturesQuotes!$D$14</definedName>
    <definedName name="Currency" localSheetId="15">USD_010_DepoFRAFuturesQuotes!$D$14</definedName>
    <definedName name="Currency" localSheetId="18">USD_010_SwapQuotes!$D$14</definedName>
    <definedName name="Currency" localSheetId="24">USD_015_SyntheticQuotes!$D$14</definedName>
    <definedName name="Currency" localSheetId="21">USD_010_SwapQuotes!$D$14</definedName>
    <definedName name="Currency" localSheetId="22">USD_010_SwapQuotes!$D$14</definedName>
    <definedName name="Currency" localSheetId="19">USD_010_SwapQuotes!$D$14</definedName>
    <definedName name="Currency" localSheetId="20">USD_010_SwapQuotes!$D$14</definedName>
    <definedName name="Currency" localSheetId="0">USD!$E$3</definedName>
    <definedName name="Currency" localSheetId="10">USD_010_BasisSwapQuotes!$D$14</definedName>
    <definedName name="Currency" localSheetId="17">USD_010_DepoFRAFuturesQuotes!$D$14</definedName>
    <definedName name="Currency" localSheetId="23">USD_010_SwapQuotes!$D$14</definedName>
    <definedName name="Currency" localSheetId="29">USD_015_SyntheticQuotes!$D$14</definedName>
    <definedName name="Currency" localSheetId="34">USD_020_ForwardSwapQuotes!$D$14</definedName>
    <definedName name="Currency" localSheetId="37">USD_020_FuturesConvAdjQuotes!$D$14</definedName>
    <definedName name="Currency">UsdLibor!$D$5</definedName>
    <definedName name="Discounting">UsdLibor!$D$11</definedName>
    <definedName name="Discounting2">UsdLibor!$D$12</definedName>
    <definedName name="FamilyName" localSheetId="35">USD_020_FuturesConvAdjQuotes!$D$15</definedName>
    <definedName name="FamilyName" localSheetId="36">USD_020_FuturesConvAdjQuotes!$D$15</definedName>
    <definedName name="FamilyName" localSheetId="2">Libor!$F$3</definedName>
    <definedName name="FamilyName" localSheetId="5">LiborSwapForBasisCalc!$F$3</definedName>
    <definedName name="FamilyName" localSheetId="3">LiborSwapIsdaFixAm!$F$3</definedName>
    <definedName name="FamilyName" localSheetId="4">LiborSwapIsdaFixPm!$F$3</definedName>
    <definedName name="FamilyName" localSheetId="37">USD_020_FuturesConvAdjQuotes!$D$15</definedName>
    <definedName name="FamilyName">USD_020_ForwardSwapQuotes!$D$15</definedName>
    <definedName name="FileName" localSheetId="2">Libor!$E$5</definedName>
    <definedName name="FileName" localSheetId="5">LiborSwapForBasisCalc!$E$9</definedName>
    <definedName name="FileName" localSheetId="3">LiborSwapIsdaFixAm!$E$6</definedName>
    <definedName name="FileName" localSheetId="4">LiborSwapIsdaFixPm!$E$6</definedName>
    <definedName name="FileOverwrite" localSheetId="25">USD_015_SyntheticQuotes!$D$9</definedName>
    <definedName name="FileOverwrite" localSheetId="30">USD_020_ForwardSwapQuotes!$D$9</definedName>
    <definedName name="FileOverwrite" localSheetId="35">USD_020_FuturesConvAdjQuotes!$D$9</definedName>
    <definedName name="FileOverwrite" localSheetId="28">USD_015_SyntheticQuotes!$D$9</definedName>
    <definedName name="FileOverwrite" localSheetId="33">USD_020_ForwardSwapQuotes!$D$9</definedName>
    <definedName name="FileOverwrite" localSheetId="26">USD_015_SyntheticQuotes!$D$9</definedName>
    <definedName name="FileOverwrite" localSheetId="31">USD_020_ForwardSwapQuotes!$D$9</definedName>
    <definedName name="FileOverwrite" localSheetId="36">USD_020_FuturesConvAdjQuotes!$D$9</definedName>
    <definedName name="FileOverwrite" localSheetId="27">USD_015_SyntheticQuotes!$D$9</definedName>
    <definedName name="FileOverwrite" localSheetId="32">USD_020_ForwardSwapQuotes!$D$9</definedName>
    <definedName name="FileOverwrite" localSheetId="7">USD_010_BasisSwapQuotes!$D$9</definedName>
    <definedName name="FileOverwrite" localSheetId="8">USD_010_BasisSwapQuotes!$D$9</definedName>
    <definedName name="FileOverwrite" localSheetId="9">USD_010_BasisSwapQuotes!$D$9</definedName>
    <definedName name="FileOverwrite" localSheetId="11">USD_010_DepoFRAFuturesQuotes!$D$9</definedName>
    <definedName name="FileOverwrite" localSheetId="12">USD_010_DepoFRAFuturesQuotes!$D$9</definedName>
    <definedName name="FileOverwrite" localSheetId="13">USD_010_DepoFRAFuturesQuotes!$D$9</definedName>
    <definedName name="FileOverwrite" localSheetId="14">USD_010_DepoFRAFuturesQuotes!$D$9</definedName>
    <definedName name="FileOverwrite" localSheetId="16">USD_010_DepoFRAFuturesQuotes!$D$9</definedName>
    <definedName name="FileOverwrite" localSheetId="15">USD_010_DepoFRAFuturesQuotes!$D$9</definedName>
    <definedName name="FileOverwrite" localSheetId="2">UsdLibor!$D$10</definedName>
    <definedName name="FileOverwrite" localSheetId="5">UsdLibor!$D$10</definedName>
    <definedName name="FileOverwrite" localSheetId="3">UsdLibor!$D$10</definedName>
    <definedName name="FileOverwrite" localSheetId="4">UsdLibor!$D$10</definedName>
    <definedName name="FileOverwrite" localSheetId="18">USD_010_SwapQuotes!$D$9</definedName>
    <definedName name="FileOverwrite" localSheetId="24">USD_015_SyntheticQuotes!$D$9</definedName>
    <definedName name="FileOverwrite" localSheetId="21">USD_010_SwapQuotes!$D$9</definedName>
    <definedName name="FileOverwrite" localSheetId="22">USD_010_SwapQuotes!$D$9</definedName>
    <definedName name="FileOverwrite" localSheetId="19">USD_010_SwapQuotes!$D$9</definedName>
    <definedName name="FileOverwrite" localSheetId="20">USD_010_SwapQuotes!$D$9</definedName>
    <definedName name="FileOverwrite" localSheetId="10">USD_010_BasisSwapQuotes!$D$9</definedName>
    <definedName name="FileOverwrite" localSheetId="17">USD_010_DepoFRAFuturesQuotes!$D$9</definedName>
    <definedName name="FileOverwrite" localSheetId="23">USD_010_SwapQuotes!$D$9</definedName>
    <definedName name="FileOverwrite" localSheetId="29">USD_015_SyntheticQuotes!$D$9</definedName>
    <definedName name="FileOverwrite" localSheetId="34">USD_020_ForwardSwapQuotes!$D$9</definedName>
    <definedName name="FileOverwrite" localSheetId="37">USD_020_FuturesConvAdjQuotes!$D$9</definedName>
    <definedName name="FileOverwrite" localSheetId="6">UsdLibor!$D$10</definedName>
    <definedName name="FileOverwrite">RelinkableHandles!$D$9</definedName>
    <definedName name="FixingType" localSheetId="5">LiborSwapForBasisCalc!$F$4</definedName>
    <definedName name="FixingType" localSheetId="3">LiborSwapIsdaFixAm!$F$4</definedName>
    <definedName name="FixingType" localSheetId="4">LiborSwapIsdaFixPm!$F$4</definedName>
    <definedName name="FixingType">USD_020_ForwardSwapQuotes!$D$16</definedName>
    <definedName name="IborIndex" localSheetId="35">'1M (3)'!$F$4</definedName>
    <definedName name="IborIndex" localSheetId="36">'3M (3)'!$F$4</definedName>
    <definedName name="MainTenor">USD_010_BasisSwapQuotes!#REF!</definedName>
    <definedName name="MeanReversion" localSheetId="35">'1M (3)'!$F$3</definedName>
    <definedName name="MeanReversion" localSheetId="36">'3M (3)'!$F$3</definedName>
    <definedName name="Months" localSheetId="25">'1M'!$B$1</definedName>
    <definedName name="Months" localSheetId="28">'1Y'!$B$1</definedName>
    <definedName name="Months" localSheetId="26">'3M'!$B$1</definedName>
    <definedName name="Months" localSheetId="27">'6M'!$B$1</definedName>
    <definedName name="Months" localSheetId="24">ON!$B$1</definedName>
    <definedName name="ObjectOverwrite" localSheetId="25">USD_015_SyntheticQuotes!$D$6</definedName>
    <definedName name="ObjectOverwrite" localSheetId="30">USD_020_ForwardSwapQuotes!$D$6</definedName>
    <definedName name="ObjectOverwrite" localSheetId="35">USD_020_FuturesConvAdjQuotes!$D$6</definedName>
    <definedName name="ObjectOverwrite" localSheetId="28">USD_015_SyntheticQuotes!$D$6</definedName>
    <definedName name="ObjectOverwrite" localSheetId="33">USD_020_ForwardSwapQuotes!$D$6</definedName>
    <definedName name="ObjectOverwrite" localSheetId="26">USD_015_SyntheticQuotes!$D$6</definedName>
    <definedName name="ObjectOverwrite" localSheetId="31">USD_020_ForwardSwapQuotes!$D$6</definedName>
    <definedName name="ObjectOverwrite" localSheetId="36">USD_020_FuturesConvAdjQuotes!$D$6</definedName>
    <definedName name="ObjectOverwrite" localSheetId="27">USD_015_SyntheticQuotes!$D$6</definedName>
    <definedName name="ObjectOverwrite" localSheetId="32">USD_020_ForwardSwapQuotes!$D$6</definedName>
    <definedName name="ObjectOverwrite" localSheetId="7">USD_010_BasisSwapQuotes!$D$6</definedName>
    <definedName name="ObjectOverwrite" localSheetId="8">USD_010_BasisSwapQuotes!$D$6</definedName>
    <definedName name="ObjectOverwrite" localSheetId="9">USD_010_BasisSwapQuotes!$D$6</definedName>
    <definedName name="ObjectOverwrite" localSheetId="11">USD_010_DepoFRAFuturesQuotes!$D$6</definedName>
    <definedName name="ObjectOverwrite" localSheetId="12">USD_010_DepoFRAFuturesQuotes!$D$6</definedName>
    <definedName name="ObjectOverwrite" localSheetId="13">USD_010_DepoFRAFuturesQuotes!$D$6</definedName>
    <definedName name="ObjectOverwrite" localSheetId="14">USD_010_DepoFRAFuturesQuotes!$D$6</definedName>
    <definedName name="ObjectOverwrite" localSheetId="16">USD_010_DepoFRAFuturesQuotes!$D$6</definedName>
    <definedName name="ObjectOverwrite" localSheetId="15">USD_010_DepoFRAFuturesQuotes!$D$6</definedName>
    <definedName name="ObjectOverwrite" localSheetId="2">UsdLibor!$D$7</definedName>
    <definedName name="ObjectOverwrite" localSheetId="5">UsdLibor!$D$7</definedName>
    <definedName name="ObjectOverwrite" localSheetId="3">UsdLibor!$D$7</definedName>
    <definedName name="ObjectOverwrite" localSheetId="4">UsdLibor!$D$7</definedName>
    <definedName name="ObjectOverwrite" localSheetId="18">USD_010_SwapQuotes!$D$6</definedName>
    <definedName name="ObjectOverwrite" localSheetId="24">USD_015_SyntheticQuotes!$D$6</definedName>
    <definedName name="ObjectOverwrite" localSheetId="21">USD_010_SwapQuotes!$D$6</definedName>
    <definedName name="ObjectOverwrite" localSheetId="22">USD_010_SwapQuotes!$D$6</definedName>
    <definedName name="ObjectOverwrite" localSheetId="19">USD_010_SwapQuotes!$D$6</definedName>
    <definedName name="ObjectOverwrite" localSheetId="20">USD_010_SwapQuotes!$D$6</definedName>
    <definedName name="ObjectOverwrite" localSheetId="10">USD_010_BasisSwapQuotes!$D$6</definedName>
    <definedName name="ObjectOverwrite" localSheetId="17">USD_010_DepoFRAFuturesQuotes!$D$6</definedName>
    <definedName name="ObjectOverwrite" localSheetId="23">USD_010_SwapQuotes!$D$6</definedName>
    <definedName name="ObjectOverwrite" localSheetId="29">USD_015_SyntheticQuotes!$D$6</definedName>
    <definedName name="ObjectOverwrite" localSheetId="34">USD_020_ForwardSwapQuotes!$D$6</definedName>
    <definedName name="ObjectOverwrite" localSheetId="37">USD_020_FuturesConvAdjQuotes!$D$6</definedName>
    <definedName name="ObjectOverwrite" localSheetId="6">UsdLibor!$D$7</definedName>
    <definedName name="ObjectOverwrite">RelinkableHandles!$D$6</definedName>
    <definedName name="Permanent" localSheetId="25">USD_015_SyntheticQuotes!$D$5</definedName>
    <definedName name="Permanent" localSheetId="30">USD_020_ForwardSwapQuotes!$D$5</definedName>
    <definedName name="Permanent" localSheetId="35">USD_020_FuturesConvAdjQuotes!$D$5</definedName>
    <definedName name="Permanent" localSheetId="28">USD_015_SyntheticQuotes!$D$5</definedName>
    <definedName name="Permanent" localSheetId="33">USD_020_ForwardSwapQuotes!$D$5</definedName>
    <definedName name="Permanent" localSheetId="26">USD_015_SyntheticQuotes!$D$5</definedName>
    <definedName name="Permanent" localSheetId="31">USD_020_ForwardSwapQuotes!$D$5</definedName>
    <definedName name="Permanent" localSheetId="36">USD_020_FuturesConvAdjQuotes!$D$5</definedName>
    <definedName name="Permanent" localSheetId="27">USD_015_SyntheticQuotes!$D$5</definedName>
    <definedName name="Permanent" localSheetId="32">USD_020_ForwardSwapQuotes!$D$5</definedName>
    <definedName name="Permanent" localSheetId="7">USD_010_BasisSwapQuotes!$D$5</definedName>
    <definedName name="Permanent" localSheetId="8">USD_010_BasisSwapQuotes!$D$5</definedName>
    <definedName name="Permanent" localSheetId="9">USD_010_BasisSwapQuotes!$D$5</definedName>
    <definedName name="Permanent" localSheetId="11">USD_010_DepoFRAFuturesQuotes!$D$5</definedName>
    <definedName name="Permanent" localSheetId="12">USD_010_DepoFRAFuturesQuotes!$D$5</definedName>
    <definedName name="Permanent" localSheetId="13">USD_010_DepoFRAFuturesQuotes!$D$5</definedName>
    <definedName name="Permanent" localSheetId="14">USD_010_DepoFRAFuturesQuotes!$D$5</definedName>
    <definedName name="Permanent" localSheetId="16">USD_010_DepoFRAFuturesQuotes!$D$5</definedName>
    <definedName name="Permanent" localSheetId="15">USD_010_DepoFRAFuturesQuotes!$D$5</definedName>
    <definedName name="Permanent" localSheetId="2">UsdLibor!$D$6</definedName>
    <definedName name="Permanent" localSheetId="5">UsdLibor!$D$6</definedName>
    <definedName name="Permanent" localSheetId="3">UsdLibor!$D$6</definedName>
    <definedName name="Permanent" localSheetId="4">UsdLibor!$D$6</definedName>
    <definedName name="Permanent" localSheetId="18">USD_010_SwapQuotes!$D$5</definedName>
    <definedName name="Permanent" localSheetId="24">USD_015_SyntheticQuotes!$D$5</definedName>
    <definedName name="Permanent" localSheetId="21">USD_010_SwapQuotes!$D$5</definedName>
    <definedName name="Permanent" localSheetId="22">USD_010_SwapQuotes!$D$5</definedName>
    <definedName name="Permanent" localSheetId="19">USD_010_SwapQuotes!$D$5</definedName>
    <definedName name="Permanent" localSheetId="20">USD_010_SwapQuotes!$D$5</definedName>
    <definedName name="Permanent" localSheetId="10">USD_010_BasisSwapQuotes!$D$5</definedName>
    <definedName name="Permanent" localSheetId="17">USD_010_DepoFRAFuturesQuotes!$D$5</definedName>
    <definedName name="Permanent" localSheetId="23">USD_010_SwapQuotes!$D$5</definedName>
    <definedName name="Permanent" localSheetId="29">USD_015_SyntheticQuotes!$D$5</definedName>
    <definedName name="Permanent" localSheetId="34">USD_020_ForwardSwapQuotes!$D$5</definedName>
    <definedName name="Permanent" localSheetId="37">USD_020_FuturesConvAdjQuotes!$D$5</definedName>
    <definedName name="Permanent" localSheetId="6">UsdLibor!$D$6</definedName>
    <definedName name="Permanent">RelinkableHandles!$D$5</definedName>
    <definedName name="PriceTickValue" localSheetId="11">USD_010_DepoFRAFuturesQuotes!$D$17</definedName>
    <definedName name="PriceTickValue" localSheetId="12">USD_010_DepoFRAFuturesQuotes!$D$17</definedName>
    <definedName name="PriceTickValue" localSheetId="13">USD_010_DepoFRAFuturesQuotes!$D$17</definedName>
    <definedName name="PriceTickValue" localSheetId="14">USD_010_DepoFRAFuturesQuotes!$D$17</definedName>
    <definedName name="PriceTickValue" localSheetId="16">USD_010_DepoFRAFuturesQuotes!$D$17</definedName>
    <definedName name="PriceTickValue" localSheetId="15">USD_010_DepoFRAFuturesQuotes!$D$17</definedName>
    <definedName name="PriceTickValue" localSheetId="17">USD_010_DepoFRAFuturesQuotes!$D$17</definedName>
    <definedName name="PriceTickValue" localSheetId="23">USD_010_SwapQuotes!$D$17</definedName>
    <definedName name="PriceTickValue" localSheetId="34">USD_020_ForwardSwapQuotes!$D$19</definedName>
    <definedName name="PriceTickValue" localSheetId="37">USD_020_FuturesConvAdjQuotes!$D$18</definedName>
    <definedName name="PriceTickValue">USD_010_BasisSwapQuotes!$D$17</definedName>
    <definedName name="QuoteSuffix" localSheetId="25">USD_015_SyntheticQuotes!$D$15</definedName>
    <definedName name="QuoteSuffix" localSheetId="30">USD_020_ForwardSwapQuotes!$D$17</definedName>
    <definedName name="QuoteSuffix" localSheetId="35">USD_020_FuturesConvAdjQuotes!$D$16</definedName>
    <definedName name="QuoteSuffix" localSheetId="28">USD_015_SyntheticQuotes!$D$15</definedName>
    <definedName name="QuoteSuffix" localSheetId="33">USD_020_ForwardSwapQuotes!$D$17</definedName>
    <definedName name="QuoteSuffix" localSheetId="26">USD_015_SyntheticQuotes!$D$15</definedName>
    <definedName name="QuoteSuffix" localSheetId="31">USD_020_ForwardSwapQuotes!$D$17</definedName>
    <definedName name="QuoteSuffix" localSheetId="36">USD_020_FuturesConvAdjQuotes!$D$16</definedName>
    <definedName name="QuoteSuffix" localSheetId="27">USD_015_SyntheticQuotes!$D$15</definedName>
    <definedName name="QuoteSuffix" localSheetId="32">USD_020_ForwardSwapQuotes!$D$17</definedName>
    <definedName name="QuoteSuffix" localSheetId="11">USD_010_DepoFRAFuturesQuotes!$D$15</definedName>
    <definedName name="QuoteSuffix" localSheetId="12">USD_010_DepoFRAFuturesQuotes!$D$15</definedName>
    <definedName name="QuoteSuffix" localSheetId="13">USD_010_DepoFRAFuturesQuotes!$D$15</definedName>
    <definedName name="QuoteSuffix" localSheetId="14">USD_010_DepoFRAFuturesQuotes!$D$15</definedName>
    <definedName name="QuoteSuffix" localSheetId="16">USD_010_DepoFRAFuturesQuotes!$D$15</definedName>
    <definedName name="QuoteSuffix" localSheetId="15">USD_010_DepoFRAFuturesQuotes!$D$15</definedName>
    <definedName name="QuoteSuffix" localSheetId="18">USD_010_SwapQuotes!$D$15</definedName>
    <definedName name="QuoteSuffix" localSheetId="24">USD_015_SyntheticQuotes!$D$15</definedName>
    <definedName name="QuoteSuffix" localSheetId="21">USD_010_SwapQuotes!$D$15</definedName>
    <definedName name="QuoteSuffix" localSheetId="22">USD_010_SwapQuotes!$D$15</definedName>
    <definedName name="QuoteSuffix" localSheetId="19">USD_010_SwapQuotes!$D$15</definedName>
    <definedName name="QuoteSuffix" localSheetId="20">USD_010_SwapQuotes!$D$15</definedName>
    <definedName name="QuoteSuffix" localSheetId="17">USD_010_DepoFRAFuturesQuotes!$D$15</definedName>
    <definedName name="QuoteSuffix" localSheetId="23">USD_010_SwapQuotes!$D$15</definedName>
    <definedName name="QuoteSuffix" localSheetId="29">USD_015_SyntheticQuotes!$D$15</definedName>
    <definedName name="QuoteSuffix" localSheetId="34">USD_020_ForwardSwapQuotes!$D$17</definedName>
    <definedName name="QuoteSuffix" localSheetId="37">USD_020_FuturesConvAdjQuotes!$D$16</definedName>
    <definedName name="QuoteSuffix">USD_010_BasisSwapQuotes!$D$15</definedName>
    <definedName name="RateTickValue" localSheetId="25">USD_015_SyntheticQuotes!$D$16</definedName>
    <definedName name="RateTickValue" localSheetId="28">USD_015_SyntheticQuotes!$D$16</definedName>
    <definedName name="RateTickValue" localSheetId="26">USD_015_SyntheticQuotes!$D$16</definedName>
    <definedName name="RateTickValue" localSheetId="27">USD_015_SyntheticQuotes!$D$16</definedName>
    <definedName name="RateTickValue" localSheetId="11">USD_010_DepoFRAFuturesQuotes!$D$16</definedName>
    <definedName name="RateTickValue" localSheetId="12">USD_010_DepoFRAFuturesQuotes!$D$16</definedName>
    <definedName name="RateTickValue" localSheetId="13">USD_010_DepoFRAFuturesQuotes!$D$16</definedName>
    <definedName name="RateTickValue" localSheetId="14">USD_010_DepoFRAFuturesQuotes!$D$16</definedName>
    <definedName name="RateTickValue" localSheetId="16">USD_010_DepoFRAFuturesQuotes!$D$16</definedName>
    <definedName name="RateTickValue" localSheetId="15">USD_010_DepoFRAFuturesQuotes!$D$16</definedName>
    <definedName name="RateTickValue" localSheetId="18">USD_010_SwapQuotes!$D$16</definedName>
    <definedName name="RateTickValue" localSheetId="24">USD_015_SyntheticQuotes!$D$16</definedName>
    <definedName name="RateTickValue" localSheetId="21">USD_010_SwapQuotes!$D$16</definedName>
    <definedName name="RateTickValue" localSheetId="22">USD_010_SwapQuotes!$D$16</definedName>
    <definedName name="RateTickValue" localSheetId="19">USD_010_SwapQuotes!$D$16</definedName>
    <definedName name="RateTickValue" localSheetId="20">USD_010_SwapQuotes!$D$16</definedName>
    <definedName name="RateTickValue" localSheetId="17">USD_010_DepoFRAFuturesQuotes!$D$16</definedName>
    <definedName name="RateTickValue" localSheetId="23">USD_010_SwapQuotes!$D$16</definedName>
    <definedName name="RateTickValue" localSheetId="29">USD_015_SyntheticQuotes!$D$16</definedName>
    <definedName name="RateTickValue" localSheetId="34">USD_020_ForwardSwapQuotes!$D$18</definedName>
    <definedName name="RateTickValue" localSheetId="37">USD_020_FuturesConvAdjQuotes!$D$17</definedName>
    <definedName name="RateTickValue">USD_010_BasisSwapQuotes!$D$16</definedName>
    <definedName name="SerializationPath" localSheetId="25">USD_015_SyntheticQuotes!$D$8</definedName>
    <definedName name="SerializationPath" localSheetId="30">USD_020_ForwardSwapQuotes!$D$8</definedName>
    <definedName name="SerializationPath" localSheetId="35">USD_020_FuturesConvAdjQuotes!$D$8</definedName>
    <definedName name="SerializationPath" localSheetId="28">USD_015_SyntheticQuotes!$D$8</definedName>
    <definedName name="SerializationPath" localSheetId="33">USD_020_ForwardSwapQuotes!$D$8</definedName>
    <definedName name="SerializationPath" localSheetId="26">USD_015_SyntheticQuotes!$D$8</definedName>
    <definedName name="SerializationPath" localSheetId="31">USD_020_ForwardSwapQuotes!$D$8</definedName>
    <definedName name="SerializationPath" localSheetId="36">USD_020_FuturesConvAdjQuotes!$D$8</definedName>
    <definedName name="SerializationPath" localSheetId="27">USD_015_SyntheticQuotes!$D$8</definedName>
    <definedName name="SerializationPath" localSheetId="32">USD_020_ForwardSwapQuotes!$D$8</definedName>
    <definedName name="SerializationPath" localSheetId="7">USD_010_BasisSwapQuotes!$D$8</definedName>
    <definedName name="SerializationPath" localSheetId="8">USD_010_BasisSwapQuotes!$D$8</definedName>
    <definedName name="SerializationPath" localSheetId="9">USD_010_BasisSwapQuotes!$D$8</definedName>
    <definedName name="SerializationPath" localSheetId="11">USD_010_DepoFRAFuturesQuotes!$D$8</definedName>
    <definedName name="SerializationPath" localSheetId="12">USD_010_DepoFRAFuturesQuotes!$D$8</definedName>
    <definedName name="SerializationPath" localSheetId="13">USD_010_DepoFRAFuturesQuotes!$D$8</definedName>
    <definedName name="SerializationPath" localSheetId="14">USD_010_DepoFRAFuturesQuotes!$D$8</definedName>
    <definedName name="SerializationPath" localSheetId="16">USD_010_DepoFRAFuturesQuotes!$D$8</definedName>
    <definedName name="SerializationPath" localSheetId="15">USD_010_DepoFRAFuturesQuotes!$D$8</definedName>
    <definedName name="SerializationPath" localSheetId="2">UsdLibor!$D$9</definedName>
    <definedName name="SerializationPath" localSheetId="5">UsdLibor!$D$9</definedName>
    <definedName name="SerializationPath" localSheetId="3">UsdLibor!$D$9</definedName>
    <definedName name="SerializationPath" localSheetId="4">UsdLibor!$D$9</definedName>
    <definedName name="SerializationPath" localSheetId="18">USD_010_SwapQuotes!$D$8</definedName>
    <definedName name="SerializationPath" localSheetId="24">USD_015_SyntheticQuotes!$D$8</definedName>
    <definedName name="SerializationPath" localSheetId="21">USD_010_SwapQuotes!$D$8</definedName>
    <definedName name="SerializationPath" localSheetId="22">USD_010_SwapQuotes!$D$8</definedName>
    <definedName name="SerializationPath" localSheetId="19">USD_010_SwapQuotes!$D$8</definedName>
    <definedName name="SerializationPath" localSheetId="20">USD_010_SwapQuotes!$D$8</definedName>
    <definedName name="SerializationPath" localSheetId="10">USD_010_BasisSwapQuotes!$D$8</definedName>
    <definedName name="SerializationPath" localSheetId="17">USD_010_DepoFRAFuturesQuotes!$D$8</definedName>
    <definedName name="SerializationPath" localSheetId="23">USD_010_SwapQuotes!$D$8</definedName>
    <definedName name="SerializationPath" localSheetId="29">USD_015_SyntheticQuotes!$D$8</definedName>
    <definedName name="SerializationPath" localSheetId="34">USD_020_ForwardSwapQuotes!$D$8</definedName>
    <definedName name="SerializationPath" localSheetId="37">USD_020_FuturesConvAdjQuotes!$D$8</definedName>
    <definedName name="SerializationPath" localSheetId="6">UsdLibor!$D$9</definedName>
    <definedName name="SerializationPath">RelinkableHandles!$D$8</definedName>
    <definedName name="Serialize" localSheetId="25">USD_015_SyntheticQuotes!$D$7</definedName>
    <definedName name="Serialize" localSheetId="30">USD_020_ForwardSwapQuotes!$D$7</definedName>
    <definedName name="Serialize" localSheetId="35">USD_020_FuturesConvAdjQuotes!$D$7</definedName>
    <definedName name="Serialize" localSheetId="28">USD_015_SyntheticQuotes!$D$7</definedName>
    <definedName name="Serialize" localSheetId="33">USD_020_ForwardSwapQuotes!$D$7</definedName>
    <definedName name="Serialize" localSheetId="26">USD_015_SyntheticQuotes!$D$7</definedName>
    <definedName name="Serialize" localSheetId="31">USD_020_ForwardSwapQuotes!$D$7</definedName>
    <definedName name="Serialize" localSheetId="36">USD_020_FuturesConvAdjQuotes!$D$7</definedName>
    <definedName name="Serialize" localSheetId="27">USD_015_SyntheticQuotes!$D$7</definedName>
    <definedName name="Serialize" localSheetId="32">USD_020_ForwardSwapQuotes!$D$7</definedName>
    <definedName name="Serialize" localSheetId="7">USD_010_BasisSwapQuotes!$D$7</definedName>
    <definedName name="Serialize" localSheetId="8">USD_010_BasisSwapQuotes!$D$7</definedName>
    <definedName name="Serialize" localSheetId="9">USD_010_BasisSwapQuotes!$D$7</definedName>
    <definedName name="Serialize" localSheetId="11">USD_010_DepoFRAFuturesQuotes!$D$7</definedName>
    <definedName name="Serialize" localSheetId="12">USD_010_DepoFRAFuturesQuotes!$D$7</definedName>
    <definedName name="Serialize" localSheetId="13">USD_010_DepoFRAFuturesQuotes!$D$7</definedName>
    <definedName name="Serialize" localSheetId="14">USD_010_DepoFRAFuturesQuotes!$D$7</definedName>
    <definedName name="Serialize" localSheetId="16">USD_010_DepoFRAFuturesQuotes!$D$7</definedName>
    <definedName name="Serialize" localSheetId="15">USD_010_DepoFRAFuturesQuotes!$D$7</definedName>
    <definedName name="Serialize" localSheetId="2">UsdLibor!$D$8</definedName>
    <definedName name="Serialize" localSheetId="5">UsdLibor!$D$8</definedName>
    <definedName name="Serialize" localSheetId="3">UsdLibor!$D$8</definedName>
    <definedName name="Serialize" localSheetId="4">UsdLibor!$D$8</definedName>
    <definedName name="Serialize" localSheetId="18">USD_010_SwapQuotes!$D$7</definedName>
    <definedName name="Serialize" localSheetId="24">USD_015_SyntheticQuotes!$D$7</definedName>
    <definedName name="Serialize" localSheetId="21">USD_010_SwapQuotes!$D$7</definedName>
    <definedName name="Serialize" localSheetId="22">USD_010_SwapQuotes!$D$7</definedName>
    <definedName name="Serialize" localSheetId="19">USD_010_SwapQuotes!$D$7</definedName>
    <definedName name="Serialize" localSheetId="20">USD_010_SwapQuotes!$D$7</definedName>
    <definedName name="Serialize" localSheetId="10">USD_010_BasisSwapQuotes!$D$7</definedName>
    <definedName name="Serialize" localSheetId="17">USD_010_DepoFRAFuturesQuotes!$D$7</definedName>
    <definedName name="Serialize" localSheetId="23">USD_010_SwapQuotes!$D$7</definedName>
    <definedName name="Serialize" localSheetId="29">USD_015_SyntheticQuotes!$D$7</definedName>
    <definedName name="Serialize" localSheetId="34">USD_020_ForwardSwapQuotes!$D$7</definedName>
    <definedName name="Serialize" localSheetId="37">USD_020_FuturesConvAdjQuotes!$D$7</definedName>
    <definedName name="Serialize" localSheetId="6">UsdLibor!$D$8</definedName>
    <definedName name="Serialize">RelinkableHandles!$D$7</definedName>
    <definedName name="SwapMainSetConventions">Swap3M!$J$3:$L$7</definedName>
    <definedName name="SwapSecondarySetConventions">Swap6M!$J$3:$L$7</definedName>
    <definedName name="Tenor" localSheetId="25">'1M'!$C$1</definedName>
    <definedName name="Tenor" localSheetId="28">'1Y'!$C$1</definedName>
    <definedName name="Tenor" localSheetId="26">'3M'!$C$1</definedName>
    <definedName name="Tenor" localSheetId="27">'6M'!$C$1</definedName>
    <definedName name="Tenor" localSheetId="24">ON!$C$1</definedName>
    <definedName name="Trigger" localSheetId="25">USD_015_SyntheticQuotes!$D$4</definedName>
    <definedName name="Trigger" localSheetId="30">USD_020_ForwardSwapQuotes!$D$4</definedName>
    <definedName name="Trigger" localSheetId="35">USD_020_FuturesConvAdjQuotes!$D$4</definedName>
    <definedName name="Trigger" localSheetId="28">USD_015_SyntheticQuotes!$D$4</definedName>
    <definedName name="Trigger" localSheetId="33">USD_020_ForwardSwapQuotes!$D$4</definedName>
    <definedName name="Trigger" localSheetId="26">USD_015_SyntheticQuotes!$D$4</definedName>
    <definedName name="Trigger" localSheetId="31">USD_020_ForwardSwapQuotes!$D$4</definedName>
    <definedName name="Trigger" localSheetId="36">USD_020_FuturesConvAdjQuotes!$D$4</definedName>
    <definedName name="Trigger" localSheetId="27">USD_015_SyntheticQuotes!$D$4</definedName>
    <definedName name="Trigger" localSheetId="32">USD_020_ForwardSwapQuotes!$D$4</definedName>
    <definedName name="Trigger" localSheetId="7">USD_010_BasisSwapQuotes!$D$4</definedName>
    <definedName name="Trigger" localSheetId="8">USD_010_BasisSwapQuotes!$D$4</definedName>
    <definedName name="Trigger" localSheetId="9">USD_010_BasisSwapQuotes!$D$4</definedName>
    <definedName name="Trigger" localSheetId="11">USD_010_DepoFRAFuturesQuotes!$D$4</definedName>
    <definedName name="Trigger" localSheetId="12">USD_010_DepoFRAFuturesQuotes!$D$4</definedName>
    <definedName name="Trigger" localSheetId="13">USD_010_DepoFRAFuturesQuotes!$D$4</definedName>
    <definedName name="Trigger" localSheetId="14">USD_010_DepoFRAFuturesQuotes!$D$4</definedName>
    <definedName name="Trigger" localSheetId="16">USD_010_DepoFRAFuturesQuotes!$D$4</definedName>
    <definedName name="Trigger" localSheetId="15">USD_010_DepoFRAFuturesQuotes!$D$4</definedName>
    <definedName name="Trigger" localSheetId="2">UsdLibor!$D$4</definedName>
    <definedName name="Trigger" localSheetId="5">UsdLibor!$D$4</definedName>
    <definedName name="Trigger" localSheetId="3">UsdLibor!$D$4</definedName>
    <definedName name="Trigger" localSheetId="4">UsdLibor!$D$4</definedName>
    <definedName name="Trigger" localSheetId="18">USD_010_SwapQuotes!$D$4</definedName>
    <definedName name="Trigger" localSheetId="24">USD_015_SyntheticQuotes!$D$4</definedName>
    <definedName name="Trigger" localSheetId="21">USD_010_SwapQuotes!$D$4</definedName>
    <definedName name="Trigger" localSheetId="22">USD_010_SwapQuotes!$D$4</definedName>
    <definedName name="Trigger" localSheetId="19">USD_010_SwapQuotes!$D$4</definedName>
    <definedName name="Trigger" localSheetId="20">USD_010_SwapQuotes!$D$4</definedName>
    <definedName name="Trigger" localSheetId="10">USD_010_BasisSwapQuotes!$D$4</definedName>
    <definedName name="Trigger" localSheetId="17">USD_010_DepoFRAFuturesQuotes!$D$4</definedName>
    <definedName name="Trigger" localSheetId="23">USD_010_SwapQuotes!$D$4</definedName>
    <definedName name="Trigger" localSheetId="29">USD_015_SyntheticQuotes!$D$4</definedName>
    <definedName name="Trigger" localSheetId="34">USD_020_ForwardSwapQuotes!$D$4</definedName>
    <definedName name="Trigger" localSheetId="37">USD_020_FuturesConvAdjQuotes!$D$4</definedName>
    <definedName name="Trigger" localSheetId="6">UsdLibor!$D$4</definedName>
    <definedName name="Trigger">RelinkableHandles!$D$4</definedName>
    <definedName name="Volatility" localSheetId="35">'1M (3)'!$F$2</definedName>
    <definedName name="Volatility" localSheetId="36">'3M (3)'!$F$2</definedName>
  </definedNames>
  <calcPr calcId="145621"/>
</workbook>
</file>

<file path=xl/calcChain.xml><?xml version="1.0" encoding="utf-8"?>
<calcChain xmlns="http://schemas.openxmlformats.org/spreadsheetml/2006/main">
  <c r="D8" i="41" l="1"/>
  <c r="F2" i="40"/>
  <c r="F3" i="40"/>
  <c r="F4" i="40"/>
  <c r="F6" i="40"/>
  <c r="F2" i="39"/>
  <c r="F3" i="39"/>
  <c r="F4" i="39"/>
  <c r="F6" i="39"/>
  <c r="B1" i="41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76" i="40"/>
  <c r="H76" i="40" s="1"/>
  <c r="G96" i="40"/>
  <c r="H96" i="40" s="1"/>
  <c r="G12" i="40"/>
  <c r="H12" i="40" s="1"/>
  <c r="G92" i="40"/>
  <c r="H92" i="40" s="1"/>
  <c r="G71" i="40"/>
  <c r="H71" i="40" s="1"/>
  <c r="G60" i="40"/>
  <c r="H60" i="40" s="1"/>
  <c r="G24" i="40"/>
  <c r="H24" i="40" s="1"/>
  <c r="G44" i="40"/>
  <c r="H44" i="40" s="1"/>
  <c r="G32" i="40"/>
  <c r="H32" i="40" s="1"/>
  <c r="G118" i="40"/>
  <c r="H118" i="40" s="1"/>
  <c r="G89" i="40"/>
  <c r="H89" i="40" s="1"/>
  <c r="G43" i="40"/>
  <c r="H43" i="40" s="1"/>
  <c r="G119" i="40"/>
  <c r="H119" i="40" s="1"/>
  <c r="G41" i="40"/>
  <c r="H41" i="40" s="1"/>
  <c r="G14" i="40"/>
  <c r="H14" i="40" s="1"/>
  <c r="G15" i="40"/>
  <c r="H15" i="40" s="1"/>
  <c r="G29" i="40"/>
  <c r="H29" i="40" s="1"/>
  <c r="G36" i="40"/>
  <c r="H36" i="40" s="1"/>
  <c r="G69" i="40"/>
  <c r="H69" i="40" s="1"/>
  <c r="G27" i="40"/>
  <c r="H27" i="40" s="1"/>
  <c r="G9" i="40"/>
  <c r="H9" i="40" s="1"/>
  <c r="G90" i="40"/>
  <c r="H90" i="40" s="1"/>
  <c r="G13" i="40"/>
  <c r="H13" i="40" s="1"/>
  <c r="G125" i="40"/>
  <c r="H125" i="40" s="1"/>
  <c r="G42" i="40"/>
  <c r="H42" i="40" s="1"/>
  <c r="G59" i="40"/>
  <c r="H59" i="40" s="1"/>
  <c r="G25" i="40"/>
  <c r="H25" i="40" s="1"/>
  <c r="G46" i="40"/>
  <c r="H46" i="40" s="1"/>
  <c r="G95" i="40"/>
  <c r="H95" i="40" s="1"/>
  <c r="G80" i="40"/>
  <c r="H80" i="40" s="1"/>
  <c r="G88" i="40"/>
  <c r="H88" i="40" s="1"/>
  <c r="G35" i="40"/>
  <c r="H35" i="40" s="1"/>
  <c r="G18" i="40"/>
  <c r="H18" i="40" s="1"/>
  <c r="G112" i="40"/>
  <c r="H112" i="40" s="1"/>
  <c r="G86" i="40"/>
  <c r="H86" i="40" s="1"/>
  <c r="G98" i="40"/>
  <c r="H98" i="40" s="1"/>
  <c r="G101" i="40"/>
  <c r="H101" i="40" s="1"/>
  <c r="G78" i="40"/>
  <c r="H78" i="40" s="1"/>
  <c r="G97" i="40"/>
  <c r="H97" i="40" s="1"/>
  <c r="G111" i="40"/>
  <c r="H111" i="40" s="1"/>
  <c r="G53" i="40"/>
  <c r="H53" i="40" s="1"/>
  <c r="G37" i="40"/>
  <c r="H37" i="40" s="1"/>
  <c r="G7" i="40"/>
  <c r="H7" i="40" s="1"/>
  <c r="G50" i="40"/>
  <c r="H50" i="40" s="1"/>
  <c r="G113" i="40"/>
  <c r="H113" i="40" s="1"/>
  <c r="G103" i="40"/>
  <c r="H103" i="40" s="1"/>
  <c r="G121" i="40"/>
  <c r="H121" i="40" s="1"/>
  <c r="G56" i="40"/>
  <c r="H56" i="40" s="1"/>
  <c r="G22" i="40"/>
  <c r="H22" i="40" s="1"/>
  <c r="G122" i="40"/>
  <c r="H122" i="40" s="1"/>
  <c r="G64" i="40"/>
  <c r="H64" i="40" s="1"/>
  <c r="G61" i="40"/>
  <c r="H61" i="40" s="1"/>
  <c r="G87" i="40"/>
  <c r="H87" i="40" s="1"/>
  <c r="G67" i="40"/>
  <c r="H67" i="40" s="1"/>
  <c r="G83" i="40"/>
  <c r="H83" i="40" s="1"/>
  <c r="G109" i="40"/>
  <c r="H109" i="40" s="1"/>
  <c r="G70" i="40"/>
  <c r="H70" i="40" s="1"/>
  <c r="G33" i="40"/>
  <c r="H33" i="40" s="1"/>
  <c r="G20" i="40"/>
  <c r="H20" i="40" s="1"/>
  <c r="G82" i="40"/>
  <c r="H82" i="40" s="1"/>
  <c r="G108" i="40"/>
  <c r="H108" i="40" s="1"/>
  <c r="G52" i="40"/>
  <c r="H52" i="40" s="1"/>
  <c r="G126" i="40"/>
  <c r="H126" i="40" s="1"/>
  <c r="G68" i="40"/>
  <c r="H68" i="40" s="1"/>
  <c r="G54" i="40"/>
  <c r="H54" i="40" s="1"/>
  <c r="G105" i="40"/>
  <c r="H105" i="40" s="1"/>
  <c r="G106" i="40"/>
  <c r="H106" i="40" s="1"/>
  <c r="G99" i="40"/>
  <c r="H99" i="40" s="1"/>
  <c r="G26" i="40"/>
  <c r="H26" i="40" s="1"/>
  <c r="G94" i="40"/>
  <c r="H94" i="40" s="1"/>
  <c r="G55" i="40"/>
  <c r="H55" i="40" s="1"/>
  <c r="G45" i="40"/>
  <c r="H45" i="40" s="1"/>
  <c r="G115" i="40"/>
  <c r="H115" i="40" s="1"/>
  <c r="G116" i="40"/>
  <c r="H116" i="40" s="1"/>
  <c r="G38" i="40"/>
  <c r="H38" i="40" s="1"/>
  <c r="G39" i="40"/>
  <c r="H39" i="40" s="1"/>
  <c r="G10" i="40"/>
  <c r="H10" i="40" s="1"/>
  <c r="G19" i="40"/>
  <c r="H19" i="40" s="1"/>
  <c r="G16" i="40"/>
  <c r="H16" i="40" s="1"/>
  <c r="G74" i="40"/>
  <c r="H74" i="40" s="1"/>
  <c r="G63" i="40"/>
  <c r="H63" i="40" s="1"/>
  <c r="G124" i="40"/>
  <c r="H124" i="40" s="1"/>
  <c r="G11" i="40"/>
  <c r="H11" i="40" s="1"/>
  <c r="G62" i="40"/>
  <c r="H62" i="40" s="1"/>
  <c r="G107" i="40"/>
  <c r="H107" i="40" s="1"/>
  <c r="G28" i="40"/>
  <c r="H28" i="40" s="1"/>
  <c r="G114" i="40"/>
  <c r="H114" i="40" s="1"/>
  <c r="G17" i="40"/>
  <c r="H17" i="40" s="1"/>
  <c r="G34" i="40"/>
  <c r="H34" i="40" s="1"/>
  <c r="G123" i="40"/>
  <c r="H123" i="40" s="1"/>
  <c r="G93" i="40"/>
  <c r="H93" i="40" s="1"/>
  <c r="G102" i="40"/>
  <c r="H102" i="40" s="1"/>
  <c r="G65" i="40"/>
  <c r="H65" i="40" s="1"/>
  <c r="G48" i="40"/>
  <c r="H48" i="40" s="1"/>
  <c r="G66" i="40"/>
  <c r="H66" i="40" s="1"/>
  <c r="G30" i="40"/>
  <c r="H30" i="40" s="1"/>
  <c r="G75" i="40"/>
  <c r="H75" i="40" s="1"/>
  <c r="G58" i="40"/>
  <c r="H58" i="40" s="1"/>
  <c r="G31" i="40"/>
  <c r="H31" i="40" s="1"/>
  <c r="G73" i="40"/>
  <c r="H73" i="40" s="1"/>
  <c r="G47" i="40"/>
  <c r="H47" i="40" s="1"/>
  <c r="G23" i="40"/>
  <c r="H23" i="40" s="1"/>
  <c r="G72" i="40"/>
  <c r="H72" i="40" s="1"/>
  <c r="G120" i="40"/>
  <c r="H120" i="40" s="1"/>
  <c r="G79" i="40"/>
  <c r="H79" i="40" s="1"/>
  <c r="G49" i="40"/>
  <c r="H49" i="40" s="1"/>
  <c r="G117" i="40"/>
  <c r="H117" i="40" s="1"/>
  <c r="G91" i="40"/>
  <c r="H91" i="40" s="1"/>
  <c r="G40" i="40"/>
  <c r="H40" i="40" s="1"/>
  <c r="G104" i="40"/>
  <c r="H104" i="40" s="1"/>
  <c r="G8" i="40"/>
  <c r="H8" i="40" s="1"/>
  <c r="G85" i="40"/>
  <c r="H85" i="40" s="1"/>
  <c r="G84" i="40"/>
  <c r="H84" i="40" s="1"/>
  <c r="G51" i="40"/>
  <c r="H51" i="40" s="1"/>
  <c r="G100" i="40"/>
  <c r="H100" i="40" s="1"/>
  <c r="G110" i="40"/>
  <c r="H110" i="40" s="1"/>
  <c r="G57" i="40"/>
  <c r="H57" i="40" s="1"/>
  <c r="G77" i="40"/>
  <c r="H77" i="40" s="1"/>
  <c r="G81" i="40"/>
  <c r="H81" i="40" s="1"/>
  <c r="G21" i="40"/>
  <c r="H21" i="40" s="1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78" i="39"/>
  <c r="H78" i="39" s="1"/>
  <c r="G14" i="39"/>
  <c r="H14" i="39" s="1"/>
  <c r="G96" i="39"/>
  <c r="H96" i="39" s="1"/>
  <c r="G111" i="39"/>
  <c r="H111" i="39" s="1"/>
  <c r="G88" i="39"/>
  <c r="H88" i="39" s="1"/>
  <c r="G80" i="39"/>
  <c r="H80" i="39" s="1"/>
  <c r="G8" i="39"/>
  <c r="H8" i="39" s="1"/>
  <c r="G32" i="39"/>
  <c r="H32" i="39" s="1"/>
  <c r="G86" i="39"/>
  <c r="H86" i="39" s="1"/>
  <c r="G70" i="39"/>
  <c r="H70" i="39" s="1"/>
  <c r="G48" i="39"/>
  <c r="H48" i="39" s="1"/>
  <c r="G46" i="39"/>
  <c r="H46" i="39" s="1"/>
  <c r="G84" i="39"/>
  <c r="H84" i="39" s="1"/>
  <c r="G39" i="39"/>
  <c r="H39" i="39" s="1"/>
  <c r="G105" i="39"/>
  <c r="H105" i="39" s="1"/>
  <c r="G33" i="39"/>
  <c r="H33" i="39" s="1"/>
  <c r="G52" i="39"/>
  <c r="H52" i="39" s="1"/>
  <c r="G71" i="39"/>
  <c r="H71" i="39" s="1"/>
  <c r="G77" i="39"/>
  <c r="H77" i="39" s="1"/>
  <c r="G69" i="39"/>
  <c r="H69" i="39" s="1"/>
  <c r="G47" i="39"/>
  <c r="H47" i="39" s="1"/>
  <c r="G76" i="39"/>
  <c r="H76" i="39" s="1"/>
  <c r="G10" i="39"/>
  <c r="H10" i="39" s="1"/>
  <c r="G109" i="39"/>
  <c r="H109" i="39" s="1"/>
  <c r="G68" i="39"/>
  <c r="H68" i="39" s="1"/>
  <c r="G108" i="39"/>
  <c r="H108" i="39" s="1"/>
  <c r="G83" i="39"/>
  <c r="H83" i="39" s="1"/>
  <c r="G87" i="39"/>
  <c r="H87" i="39" s="1"/>
  <c r="G100" i="39"/>
  <c r="H100" i="39" s="1"/>
  <c r="G28" i="39"/>
  <c r="H28" i="39" s="1"/>
  <c r="G89" i="39"/>
  <c r="H89" i="39" s="1"/>
  <c r="G15" i="39"/>
  <c r="H15" i="39" s="1"/>
  <c r="G107" i="39"/>
  <c r="H107" i="39" s="1"/>
  <c r="G120" i="39"/>
  <c r="H120" i="39" s="1"/>
  <c r="G17" i="39"/>
  <c r="H17" i="39" s="1"/>
  <c r="G42" i="39"/>
  <c r="H42" i="39" s="1"/>
  <c r="G115" i="39"/>
  <c r="H115" i="39" s="1"/>
  <c r="G36" i="39"/>
  <c r="H36" i="39" s="1"/>
  <c r="G22" i="39"/>
  <c r="H22" i="39" s="1"/>
  <c r="G125" i="39"/>
  <c r="H125" i="39" s="1"/>
  <c r="G124" i="39"/>
  <c r="H124" i="39" s="1"/>
  <c r="G117" i="39"/>
  <c r="H117" i="39" s="1"/>
  <c r="G21" i="39"/>
  <c r="H21" i="39" s="1"/>
  <c r="G82" i="39"/>
  <c r="H82" i="39" s="1"/>
  <c r="G19" i="39"/>
  <c r="H19" i="39" s="1"/>
  <c r="G7" i="39"/>
  <c r="H7" i="39" s="1"/>
  <c r="G103" i="39"/>
  <c r="H103" i="39" s="1"/>
  <c r="G54" i="39"/>
  <c r="H54" i="39" s="1"/>
  <c r="G24" i="39"/>
  <c r="H24" i="39" s="1"/>
  <c r="G16" i="39"/>
  <c r="H16" i="39" s="1"/>
  <c r="G102" i="39"/>
  <c r="H102" i="39" s="1"/>
  <c r="G56" i="39"/>
  <c r="H56" i="39" s="1"/>
  <c r="G110" i="39"/>
  <c r="H110" i="39" s="1"/>
  <c r="G40" i="39"/>
  <c r="H40" i="39" s="1"/>
  <c r="G64" i="39"/>
  <c r="H64" i="39" s="1"/>
  <c r="G30" i="39"/>
  <c r="H30" i="39" s="1"/>
  <c r="G73" i="39"/>
  <c r="H73" i="39" s="1"/>
  <c r="G75" i="39"/>
  <c r="H75" i="39" s="1"/>
  <c r="G43" i="39"/>
  <c r="H43" i="39" s="1"/>
  <c r="G116" i="39"/>
  <c r="H116" i="39" s="1"/>
  <c r="G85" i="39"/>
  <c r="H85" i="39" s="1"/>
  <c r="G53" i="39"/>
  <c r="H53" i="39" s="1"/>
  <c r="G35" i="39"/>
  <c r="H35" i="39" s="1"/>
  <c r="G79" i="39"/>
  <c r="H79" i="39" s="1"/>
  <c r="G93" i="39"/>
  <c r="H93" i="39" s="1"/>
  <c r="G59" i="39"/>
  <c r="H59" i="39" s="1"/>
  <c r="G92" i="39"/>
  <c r="H92" i="39" s="1"/>
  <c r="G121" i="39"/>
  <c r="H121" i="39" s="1"/>
  <c r="G18" i="39"/>
  <c r="H18" i="39" s="1"/>
  <c r="G12" i="39"/>
  <c r="H12" i="39" s="1"/>
  <c r="G123" i="39"/>
  <c r="H123" i="39" s="1"/>
  <c r="G45" i="39"/>
  <c r="H45" i="39" s="1"/>
  <c r="G95" i="39"/>
  <c r="H95" i="39" s="1"/>
  <c r="G114" i="39"/>
  <c r="H114" i="39" s="1"/>
  <c r="G91" i="39"/>
  <c r="H91" i="39" s="1"/>
  <c r="G97" i="39"/>
  <c r="H97" i="39" s="1"/>
  <c r="G23" i="39"/>
  <c r="H23" i="39" s="1"/>
  <c r="G90" i="39"/>
  <c r="H90" i="39" s="1"/>
  <c r="G57" i="39"/>
  <c r="H57" i="39" s="1"/>
  <c r="G51" i="39"/>
  <c r="H51" i="39" s="1"/>
  <c r="G13" i="39"/>
  <c r="H13" i="39" s="1"/>
  <c r="G25" i="39"/>
  <c r="H25" i="39" s="1"/>
  <c r="G50" i="39"/>
  <c r="H50" i="39" s="1"/>
  <c r="G27" i="39"/>
  <c r="H27" i="39" s="1"/>
  <c r="G44" i="39"/>
  <c r="H44" i="39" s="1"/>
  <c r="G11" i="39"/>
  <c r="H11" i="39" s="1"/>
  <c r="G63" i="39"/>
  <c r="H63" i="39" s="1"/>
  <c r="G119" i="39"/>
  <c r="H119" i="39" s="1"/>
  <c r="G126" i="39"/>
  <c r="H126" i="39" s="1"/>
  <c r="G55" i="39"/>
  <c r="H55" i="39" s="1"/>
  <c r="G113" i="39"/>
  <c r="H113" i="39" s="1"/>
  <c r="G31" i="39"/>
  <c r="H31" i="39" s="1"/>
  <c r="G58" i="39"/>
  <c r="H58" i="39" s="1"/>
  <c r="G98" i="39"/>
  <c r="H98" i="39" s="1"/>
  <c r="G81" i="39"/>
  <c r="H81" i="39" s="1"/>
  <c r="G34" i="39"/>
  <c r="H34" i="39" s="1"/>
  <c r="G101" i="39"/>
  <c r="H101" i="39" s="1"/>
  <c r="G94" i="39"/>
  <c r="H94" i="39" s="1"/>
  <c r="G72" i="39"/>
  <c r="H72" i="39" s="1"/>
  <c r="G118" i="39"/>
  <c r="H118" i="39" s="1"/>
  <c r="G62" i="39"/>
  <c r="H62" i="39" s="1"/>
  <c r="G38" i="39"/>
  <c r="H38" i="39" s="1"/>
  <c r="G112" i="39"/>
  <c r="H112" i="39" s="1"/>
  <c r="G104" i="39"/>
  <c r="H104" i="39" s="1"/>
  <c r="G26" i="39"/>
  <c r="H26" i="39" s="1"/>
  <c r="G99" i="39"/>
  <c r="H99" i="39" s="1"/>
  <c r="G20" i="39"/>
  <c r="H20" i="39" s="1"/>
  <c r="G37" i="39"/>
  <c r="H37" i="39" s="1"/>
  <c r="G49" i="39"/>
  <c r="H49" i="39" s="1"/>
  <c r="G74" i="39"/>
  <c r="H74" i="39" s="1"/>
  <c r="G29" i="39"/>
  <c r="H29" i="39" s="1"/>
  <c r="G41" i="39"/>
  <c r="H41" i="39" s="1"/>
  <c r="G66" i="39"/>
  <c r="H66" i="39" s="1"/>
  <c r="G67" i="39"/>
  <c r="H67" i="39" s="1"/>
  <c r="G60" i="39"/>
  <c r="H60" i="39" s="1"/>
  <c r="G65" i="39"/>
  <c r="H65" i="39" s="1"/>
  <c r="G122" i="39"/>
  <c r="H122" i="39" s="1"/>
  <c r="G106" i="39"/>
  <c r="H106" i="39" s="1"/>
  <c r="G61" i="39"/>
  <c r="H61" i="39" s="1"/>
  <c r="G9" i="39"/>
  <c r="H9" i="39" s="1"/>
  <c r="D8" i="38" l="1"/>
  <c r="C3" i="37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H7" i="37" s="1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H15" i="37" s="1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H23" i="37" s="1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H31" i="37" s="1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B1" i="38"/>
  <c r="L3" i="35"/>
  <c r="L11" i="35"/>
  <c r="L19" i="35"/>
  <c r="L27" i="35"/>
  <c r="L35" i="35"/>
  <c r="L36" i="35"/>
  <c r="L22" i="35"/>
  <c r="L34" i="35"/>
  <c r="L4" i="35"/>
  <c r="L12" i="35"/>
  <c r="L20" i="35"/>
  <c r="L28" i="35"/>
  <c r="L14" i="35"/>
  <c r="L30" i="35"/>
  <c r="L5" i="35"/>
  <c r="L13" i="35"/>
  <c r="L21" i="35"/>
  <c r="L29" i="35"/>
  <c r="L6" i="35"/>
  <c r="L25" i="35"/>
  <c r="L7" i="35"/>
  <c r="L15" i="35"/>
  <c r="L23" i="35"/>
  <c r="L31" i="35"/>
  <c r="L8" i="35"/>
  <c r="L16" i="35"/>
  <c r="L24" i="35"/>
  <c r="L32" i="35"/>
  <c r="L9" i="35"/>
  <c r="L17" i="35"/>
  <c r="L33" i="35"/>
  <c r="L10" i="35"/>
  <c r="L18" i="35"/>
  <c r="L26" i="35"/>
  <c r="L3" i="34"/>
  <c r="L11" i="34"/>
  <c r="L19" i="34"/>
  <c r="L27" i="34"/>
  <c r="L35" i="34"/>
  <c r="L4" i="34"/>
  <c r="L12" i="34"/>
  <c r="L36" i="34"/>
  <c r="L7" i="34"/>
  <c r="L5" i="34"/>
  <c r="L13" i="34"/>
  <c r="L21" i="34"/>
  <c r="L29" i="34"/>
  <c r="L6" i="34"/>
  <c r="L14" i="34"/>
  <c r="L22" i="34"/>
  <c r="L15" i="34"/>
  <c r="L8" i="34"/>
  <c r="L16" i="34"/>
  <c r="L24" i="34"/>
  <c r="L32" i="34"/>
  <c r="L26" i="34"/>
  <c r="L28" i="34"/>
  <c r="L23" i="34"/>
  <c r="L9" i="34"/>
  <c r="L17" i="34"/>
  <c r="L25" i="34"/>
  <c r="L33" i="34"/>
  <c r="L10" i="34"/>
  <c r="L18" i="34"/>
  <c r="L34" i="34"/>
  <c r="L20" i="34"/>
  <c r="L30" i="34"/>
  <c r="L31" i="34"/>
  <c r="H3" i="36" l="1"/>
  <c r="J3" i="36" s="1"/>
  <c r="H13" i="37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H29" i="37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H36" i="37"/>
  <c r="J36" i="37" s="1"/>
  <c r="H33" i="37"/>
  <c r="J33" i="37" s="1"/>
  <c r="H16" i="36"/>
  <c r="J16" i="36" s="1"/>
  <c r="H11" i="37"/>
  <c r="J11" i="37" s="1"/>
  <c r="H35" i="36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J15" i="37"/>
  <c r="J7" i="37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J31" i="37"/>
  <c r="H26" i="37"/>
  <c r="J26" i="37" s="1"/>
  <c r="H30" i="36"/>
  <c r="J30" i="36" s="1"/>
  <c r="H19" i="36"/>
  <c r="J19" i="36" s="1"/>
  <c r="H24" i="37"/>
  <c r="J24" i="37" s="1"/>
  <c r="J23" i="37"/>
  <c r="H21" i="37"/>
  <c r="J21" i="37" s="1"/>
  <c r="H18" i="37"/>
  <c r="J18" i="37" s="1"/>
  <c r="J16" i="37"/>
  <c r="J13" i="37"/>
  <c r="J32" i="37"/>
  <c r="J29" i="37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5" i="36"/>
  <c r="J33" i="35"/>
  <c r="J2" i="36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3" i="36"/>
  <c r="L3" i="36" s="1"/>
  <c r="K10" i="37"/>
  <c r="L10" i="37" s="1"/>
  <c r="K4" i="37"/>
  <c r="L4" i="37" s="1"/>
  <c r="K6" i="37"/>
  <c r="L6" i="37" s="1"/>
  <c r="K34" i="37"/>
  <c r="L34" i="37" s="1"/>
  <c r="K3" i="37"/>
  <c r="L3" i="37" s="1"/>
  <c r="K7" i="37"/>
  <c r="L7" i="37" s="1"/>
  <c r="K27" i="36"/>
  <c r="L27" i="36" s="1"/>
  <c r="K35" i="37"/>
  <c r="L35" i="37" s="1"/>
  <c r="K33" i="36"/>
  <c r="L33" i="36" s="1"/>
  <c r="K30" i="37"/>
  <c r="L30" i="37" s="1"/>
  <c r="K8" i="37"/>
  <c r="L8" i="37" s="1"/>
  <c r="K19" i="37"/>
  <c r="L19" i="37" s="1"/>
  <c r="K18" i="37"/>
  <c r="L18" i="37" s="1"/>
  <c r="K26" i="36"/>
  <c r="L26" i="36" s="1"/>
  <c r="K31" i="37"/>
  <c r="L31" i="37" s="1"/>
  <c r="K5" i="37"/>
  <c r="L5" i="37" s="1"/>
  <c r="K27" i="37"/>
  <c r="L27" i="37" s="1"/>
  <c r="K26" i="37"/>
  <c r="L26" i="37" s="1"/>
  <c r="K23" i="37"/>
  <c r="L23" i="37" s="1"/>
  <c r="K22" i="37"/>
  <c r="L22" i="37" s="1"/>
  <c r="K15" i="37"/>
  <c r="L15" i="37" s="1"/>
  <c r="K17" i="37"/>
  <c r="L17" i="37" s="1"/>
  <c r="K36" i="36"/>
  <c r="L36" i="36" s="1"/>
  <c r="K14" i="37"/>
  <c r="L14" i="37" s="1"/>
  <c r="K11" i="37"/>
  <c r="L11" i="37" s="1"/>
  <c r="K22" i="36"/>
  <c r="L22" i="36" s="1"/>
  <c r="K24" i="37"/>
  <c r="L24" i="37" s="1"/>
  <c r="K20" i="37"/>
  <c r="L20" i="37" s="1"/>
  <c r="K21" i="37"/>
  <c r="L21" i="37" s="1"/>
  <c r="K36" i="37"/>
  <c r="L36" i="37" s="1"/>
  <c r="K16" i="37"/>
  <c r="L16" i="37" s="1"/>
  <c r="K13" i="37"/>
  <c r="L13" i="37" s="1"/>
  <c r="K28" i="37"/>
  <c r="L28" i="37" s="1"/>
  <c r="K25" i="37"/>
  <c r="L25" i="37" s="1"/>
  <c r="K32" i="37"/>
  <c r="L32" i="37" s="1"/>
  <c r="K29" i="37"/>
  <c r="L29" i="37" s="1"/>
  <c r="K12" i="37"/>
  <c r="L12" i="37" s="1"/>
  <c r="K33" i="37"/>
  <c r="L33" i="37" s="1"/>
  <c r="K9" i="37"/>
  <c r="L9" i="37" s="1"/>
  <c r="K34" i="36"/>
  <c r="L34" i="36" s="1"/>
  <c r="K8" i="36"/>
  <c r="L8" i="36" s="1"/>
  <c r="K6" i="36"/>
  <c r="L6" i="36" s="1"/>
  <c r="K15" i="36"/>
  <c r="L15" i="36" s="1"/>
  <c r="K20" i="36"/>
  <c r="L20" i="36" s="1"/>
  <c r="K31" i="36"/>
  <c r="L31" i="36" s="1"/>
  <c r="K10" i="36"/>
  <c r="L10" i="36" s="1"/>
  <c r="K7" i="36"/>
  <c r="L7" i="36" s="1"/>
  <c r="K35" i="36"/>
  <c r="L35" i="36" s="1"/>
  <c r="K30" i="36"/>
  <c r="L30" i="36" s="1"/>
  <c r="K23" i="36"/>
  <c r="L23" i="36" s="1"/>
  <c r="K4" i="36"/>
  <c r="L4" i="36" s="1"/>
  <c r="K18" i="36"/>
  <c r="L18" i="36" s="1"/>
  <c r="K14" i="36"/>
  <c r="L14" i="36" s="1"/>
  <c r="K21" i="36"/>
  <c r="L21" i="36" s="1"/>
  <c r="K19" i="36"/>
  <c r="L19" i="36" s="1"/>
  <c r="K11" i="36"/>
  <c r="L11" i="36" s="1"/>
  <c r="K5" i="36"/>
  <c r="L5" i="36" s="1"/>
  <c r="K24" i="36"/>
  <c r="L24" i="36" s="1"/>
  <c r="K17" i="36"/>
  <c r="L17" i="36" s="1"/>
  <c r="K13" i="36"/>
  <c r="L13" i="36" s="1"/>
  <c r="K28" i="36"/>
  <c r="L28" i="36" s="1"/>
  <c r="K29" i="36"/>
  <c r="L29" i="36" s="1"/>
  <c r="K12" i="36"/>
  <c r="L12" i="36" s="1"/>
  <c r="K9" i="36"/>
  <c r="L9" i="36" s="1"/>
  <c r="K16" i="36"/>
  <c r="L16" i="36" s="1"/>
  <c r="K25" i="36"/>
  <c r="K32" i="36"/>
  <c r="L32" i="36" s="1"/>
  <c r="K2" i="35"/>
  <c r="L2" i="35" s="1"/>
  <c r="K2" i="34"/>
  <c r="L2" i="34" s="1"/>
  <c r="K2" i="36"/>
  <c r="L2" i="36" s="1"/>
  <c r="L25" i="36"/>
  <c r="J2" i="37" l="1"/>
  <c r="D8" i="33"/>
  <c r="K2" i="37"/>
  <c r="L2" i="37" s="1"/>
  <c r="B1" i="33"/>
  <c r="C1" i="32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D5" i="32"/>
  <c r="D13" i="32"/>
  <c r="E5" i="32"/>
  <c r="D8" i="32"/>
  <c r="E13" i="32"/>
  <c r="D16" i="32"/>
  <c r="D21" i="32"/>
  <c r="D23" i="32"/>
  <c r="D25" i="32"/>
  <c r="D27" i="32"/>
  <c r="D29" i="32"/>
  <c r="D31" i="32"/>
  <c r="D33" i="32"/>
  <c r="D35" i="32"/>
  <c r="D37" i="32"/>
  <c r="D39" i="32"/>
  <c r="D41" i="32"/>
  <c r="D45" i="32"/>
  <c r="D47" i="32"/>
  <c r="D51" i="32"/>
  <c r="D55" i="32"/>
  <c r="D59" i="32"/>
  <c r="D63" i="32"/>
  <c r="D46" i="32"/>
  <c r="D56" i="32"/>
  <c r="D3" i="32"/>
  <c r="E8" i="32"/>
  <c r="D11" i="32"/>
  <c r="E16" i="32"/>
  <c r="D19" i="32"/>
  <c r="E21" i="32"/>
  <c r="E23" i="32"/>
  <c r="E25" i="32"/>
  <c r="E27" i="32"/>
  <c r="E29" i="32"/>
  <c r="E31" i="32"/>
  <c r="E33" i="32"/>
  <c r="E35" i="32"/>
  <c r="E37" i="32"/>
  <c r="E39" i="32"/>
  <c r="E41" i="32"/>
  <c r="E45" i="32"/>
  <c r="E47" i="32"/>
  <c r="E51" i="32"/>
  <c r="E55" i="32"/>
  <c r="E59" i="32"/>
  <c r="E63" i="32"/>
  <c r="E3" i="32"/>
  <c r="D6" i="32"/>
  <c r="E11" i="32"/>
  <c r="D14" i="32"/>
  <c r="E19" i="32"/>
  <c r="D54" i="32"/>
  <c r="D62" i="32"/>
  <c r="E6" i="32"/>
  <c r="D9" i="32"/>
  <c r="E14" i="32"/>
  <c r="D17" i="32"/>
  <c r="D4" i="32"/>
  <c r="E9" i="32"/>
  <c r="D12" i="32"/>
  <c r="E17" i="32"/>
  <c r="D20" i="32"/>
  <c r="D22" i="32"/>
  <c r="D24" i="32"/>
  <c r="D26" i="32"/>
  <c r="D28" i="32"/>
  <c r="D30" i="32"/>
  <c r="D32" i="32"/>
  <c r="D34" i="32"/>
  <c r="D36" i="32"/>
  <c r="D38" i="32"/>
  <c r="D40" i="32"/>
  <c r="D42" i="32"/>
  <c r="D44" i="32"/>
  <c r="D48" i="32"/>
  <c r="D52" i="32"/>
  <c r="D58" i="32"/>
  <c r="D64" i="32"/>
  <c r="E4" i="32"/>
  <c r="D7" i="32"/>
  <c r="E12" i="32"/>
  <c r="D15" i="32"/>
  <c r="E20" i="32"/>
  <c r="E22" i="32"/>
  <c r="E24" i="32"/>
  <c r="E26" i="32"/>
  <c r="E28" i="32"/>
  <c r="E30" i="32"/>
  <c r="E32" i="32"/>
  <c r="E34" i="32"/>
  <c r="E36" i="32"/>
  <c r="E38" i="32"/>
  <c r="E40" i="32"/>
  <c r="E42" i="32"/>
  <c r="E44" i="32"/>
  <c r="E46" i="32"/>
  <c r="E48" i="32"/>
  <c r="E52" i="32"/>
  <c r="E54" i="32"/>
  <c r="E56" i="32"/>
  <c r="E58" i="32"/>
  <c r="E62" i="32"/>
  <c r="E64" i="32"/>
  <c r="E7" i="32"/>
  <c r="D10" i="32"/>
  <c r="E10" i="32" s="1"/>
  <c r="E15" i="32"/>
  <c r="D18" i="32"/>
  <c r="E18" i="32" s="1"/>
  <c r="D43" i="32"/>
  <c r="E43" i="32" s="1"/>
  <c r="D49" i="32"/>
  <c r="E49" i="32" s="1"/>
  <c r="D53" i="32"/>
  <c r="E53" i="32" s="1"/>
  <c r="D57" i="32"/>
  <c r="E57" i="32" s="1"/>
  <c r="D61" i="32"/>
  <c r="E61" i="32" s="1"/>
  <c r="D50" i="32"/>
  <c r="E50" i="32" s="1"/>
  <c r="D60" i="32"/>
  <c r="E60" i="32" s="1"/>
  <c r="C1" i="31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D11" i="31"/>
  <c r="D3" i="31"/>
  <c r="E11" i="31"/>
  <c r="D7" i="31"/>
  <c r="D15" i="31"/>
  <c r="E7" i="31"/>
  <c r="D10" i="31"/>
  <c r="E15" i="31"/>
  <c r="D5" i="31"/>
  <c r="E10" i="31"/>
  <c r="D13" i="31"/>
  <c r="E5" i="31"/>
  <c r="D8" i="31"/>
  <c r="E8" i="31" s="1"/>
  <c r="E13" i="31"/>
  <c r="D16" i="31"/>
  <c r="E16" i="31"/>
  <c r="E3" i="31"/>
  <c r="D6" i="31"/>
  <c r="E6" i="31" s="1"/>
  <c r="D14" i="31"/>
  <c r="D9" i="31"/>
  <c r="E9" i="31" s="1"/>
  <c r="E14" i="31"/>
  <c r="D4" i="31"/>
  <c r="E4" i="31" s="1"/>
  <c r="D12" i="31"/>
  <c r="E12" i="31" s="1"/>
  <c r="C1" i="30"/>
  <c r="C2" i="30" l="1"/>
  <c r="C3" i="30"/>
  <c r="C4" i="30"/>
  <c r="C5" i="30"/>
  <c r="C6" i="30"/>
  <c r="C7" i="30"/>
  <c r="C8" i="30"/>
  <c r="C9" i="30"/>
  <c r="C10" i="30"/>
  <c r="C11" i="30"/>
  <c r="C12" i="30"/>
  <c r="C13" i="30"/>
  <c r="D8" i="30"/>
  <c r="D3" i="30"/>
  <c r="E8" i="30"/>
  <c r="D11" i="30"/>
  <c r="E3" i="30"/>
  <c r="D6" i="30"/>
  <c r="E11" i="30"/>
  <c r="D10" i="30"/>
  <c r="E6" i="30"/>
  <c r="D9" i="30"/>
  <c r="D4" i="30"/>
  <c r="E9" i="30"/>
  <c r="D12" i="30"/>
  <c r="E4" i="30"/>
  <c r="D7" i="30"/>
  <c r="E7" i="30" s="1"/>
  <c r="E12" i="30"/>
  <c r="D5" i="30"/>
  <c r="E5" i="30" s="1"/>
  <c r="E10" i="30"/>
  <c r="D13" i="30"/>
  <c r="E13" i="30" s="1"/>
  <c r="C1" i="29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5" i="29"/>
  <c r="E5" i="29"/>
  <c r="D8" i="29"/>
  <c r="D4" i="29"/>
  <c r="E4" i="29"/>
  <c r="D7" i="29"/>
  <c r="D3" i="29"/>
  <c r="E8" i="29"/>
  <c r="D11" i="29"/>
  <c r="E3" i="29"/>
  <c r="D6" i="29"/>
  <c r="E11" i="29"/>
  <c r="E6" i="29"/>
  <c r="D9" i="29"/>
  <c r="E9" i="29" s="1"/>
  <c r="E7" i="29"/>
  <c r="D10" i="29"/>
  <c r="E10" i="29" s="1"/>
  <c r="D3" i="28"/>
  <c r="E3" i="28"/>
  <c r="D4" i="28"/>
  <c r="E4" i="28" s="1"/>
  <c r="D2" i="32"/>
  <c r="E2" i="32" s="1"/>
  <c r="D2" i="31"/>
  <c r="E2" i="31" s="1"/>
  <c r="D2" i="30"/>
  <c r="E2" i="30" s="1"/>
  <c r="D2" i="29"/>
  <c r="E2" i="29" s="1"/>
  <c r="D2" i="28"/>
  <c r="E2" i="28" s="1"/>
  <c r="D8" i="27" l="1"/>
  <c r="C3" i="26" a="1"/>
  <c r="C3" i="26" s="1"/>
  <c r="D3" i="26" a="1"/>
  <c r="D9" i="26" s="1"/>
  <c r="C3" i="25" a="1"/>
  <c r="C9" i="25" s="1"/>
  <c r="D3" i="25" a="1"/>
  <c r="D4" i="25" s="1"/>
  <c r="E2" i="24"/>
  <c r="E3" i="24"/>
  <c r="E4" i="24"/>
  <c r="E5" i="24"/>
  <c r="E6" i="24"/>
  <c r="E7" i="24"/>
  <c r="E8" i="24"/>
  <c r="E9" i="24"/>
  <c r="E2" i="23"/>
  <c r="E3" i="23"/>
  <c r="E4" i="23"/>
  <c r="E5" i="23"/>
  <c r="E6" i="23"/>
  <c r="E7" i="23"/>
  <c r="E8" i="23"/>
  <c r="E9" i="23"/>
  <c r="E10" i="23"/>
  <c r="E11" i="23"/>
  <c r="E12" i="23"/>
  <c r="E13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B1" i="27"/>
  <c r="F9" i="24"/>
  <c r="F5" i="24"/>
  <c r="G5" i="24"/>
  <c r="F8" i="24"/>
  <c r="F3" i="24"/>
  <c r="G8" i="24"/>
  <c r="G3" i="24"/>
  <c r="F6" i="24"/>
  <c r="G6" i="24"/>
  <c r="F4" i="24"/>
  <c r="G9" i="24"/>
  <c r="G4" i="24"/>
  <c r="F7" i="24"/>
  <c r="G7" i="24" s="1"/>
  <c r="F8" i="23"/>
  <c r="F3" i="23"/>
  <c r="G8" i="23"/>
  <c r="F11" i="23"/>
  <c r="G3" i="23"/>
  <c r="F6" i="23"/>
  <c r="G11" i="23"/>
  <c r="G6" i="23"/>
  <c r="F9" i="23"/>
  <c r="F4" i="23"/>
  <c r="G9" i="23"/>
  <c r="F12" i="23"/>
  <c r="G4" i="23"/>
  <c r="F7" i="23"/>
  <c r="G12" i="23"/>
  <c r="G7" i="23"/>
  <c r="F10" i="23"/>
  <c r="F5" i="23"/>
  <c r="G5" i="23" s="1"/>
  <c r="G10" i="23"/>
  <c r="F13" i="23"/>
  <c r="G13" i="23" s="1"/>
  <c r="F3" i="22"/>
  <c r="F11" i="22"/>
  <c r="F19" i="22"/>
  <c r="F27" i="22"/>
  <c r="F35" i="22"/>
  <c r="F43" i="22"/>
  <c r="F51" i="22"/>
  <c r="F25" i="22"/>
  <c r="F33" i="22"/>
  <c r="F41" i="22"/>
  <c r="F49" i="22"/>
  <c r="G3" i="22"/>
  <c r="F6" i="22"/>
  <c r="G11" i="22"/>
  <c r="F14" i="22"/>
  <c r="G14" i="22" s="1"/>
  <c r="G19" i="22"/>
  <c r="F22" i="22"/>
  <c r="G27" i="22"/>
  <c r="F30" i="22"/>
  <c r="G35" i="22"/>
  <c r="F38" i="22"/>
  <c r="G43" i="22"/>
  <c r="F46" i="22"/>
  <c r="G51" i="22"/>
  <c r="F54" i="22"/>
  <c r="D58" i="22"/>
  <c r="G6" i="22"/>
  <c r="F9" i="22"/>
  <c r="F17" i="22"/>
  <c r="G22" i="22"/>
  <c r="G30" i="22"/>
  <c r="G38" i="22"/>
  <c r="G46" i="22"/>
  <c r="G54" i="22"/>
  <c r="F24" i="22"/>
  <c r="G24" i="22" s="1"/>
  <c r="F48" i="22"/>
  <c r="G48" i="22" s="1"/>
  <c r="F4" i="22"/>
  <c r="G9" i="22"/>
  <c r="F12" i="22"/>
  <c r="G17" i="22"/>
  <c r="F20" i="22"/>
  <c r="G25" i="22"/>
  <c r="F28" i="22"/>
  <c r="G33" i="22"/>
  <c r="F36" i="22"/>
  <c r="G41" i="22"/>
  <c r="F44" i="22"/>
  <c r="G49" i="22"/>
  <c r="F52" i="22"/>
  <c r="G4" i="22"/>
  <c r="F7" i="22"/>
  <c r="G12" i="22"/>
  <c r="F15" i="22"/>
  <c r="G20" i="22"/>
  <c r="F23" i="22"/>
  <c r="G28" i="22"/>
  <c r="F31" i="22"/>
  <c r="G36" i="22"/>
  <c r="F39" i="22"/>
  <c r="G44" i="22"/>
  <c r="F47" i="22"/>
  <c r="G52" i="22"/>
  <c r="F55" i="22"/>
  <c r="G55" i="22"/>
  <c r="F13" i="22"/>
  <c r="F21" i="22"/>
  <c r="F37" i="22"/>
  <c r="F53" i="22"/>
  <c r="G53" i="22" s="1"/>
  <c r="F8" i="22"/>
  <c r="G8" i="22" s="1"/>
  <c r="G13" i="22"/>
  <c r="F16" i="22"/>
  <c r="G16" i="22" s="1"/>
  <c r="G37" i="22"/>
  <c r="G7" i="22"/>
  <c r="F10" i="22"/>
  <c r="G10" i="22" s="1"/>
  <c r="G15" i="22"/>
  <c r="F18" i="22"/>
  <c r="G23" i="22"/>
  <c r="F26" i="22"/>
  <c r="G31" i="22"/>
  <c r="F34" i="22"/>
  <c r="G39" i="22"/>
  <c r="F42" i="22"/>
  <c r="G42" i="22" s="1"/>
  <c r="G47" i="22"/>
  <c r="F50" i="22"/>
  <c r="D59" i="22"/>
  <c r="F5" i="22"/>
  <c r="G18" i="22"/>
  <c r="G26" i="22"/>
  <c r="F29" i="22"/>
  <c r="G29" i="22" s="1"/>
  <c r="G34" i="22"/>
  <c r="F45" i="22"/>
  <c r="G45" i="22" s="1"/>
  <c r="G50" i="22"/>
  <c r="G21" i="22"/>
  <c r="F32" i="22"/>
  <c r="G32" i="22" s="1"/>
  <c r="F40" i="22"/>
  <c r="G40" i="22" s="1"/>
  <c r="F56" i="22"/>
  <c r="G56" i="22" s="1"/>
  <c r="D60" i="22"/>
  <c r="G5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C29" i="26" l="1"/>
  <c r="C18" i="26"/>
  <c r="D5" i="26"/>
  <c r="C26" i="26"/>
  <c r="C5" i="26"/>
  <c r="D16" i="25"/>
  <c r="D24" i="26"/>
  <c r="D35" i="26"/>
  <c r="C16" i="26"/>
  <c r="D29" i="26"/>
  <c r="D8" i="26"/>
  <c r="D19" i="26"/>
  <c r="C37" i="26"/>
  <c r="D16" i="26"/>
  <c r="C21" i="25"/>
  <c r="D37" i="26"/>
  <c r="D27" i="26"/>
  <c r="C8" i="26"/>
  <c r="C13" i="25"/>
  <c r="C10" i="25"/>
  <c r="C34" i="26"/>
  <c r="C24" i="26"/>
  <c r="D13" i="26"/>
  <c r="C8" i="25"/>
  <c r="D32" i="26"/>
  <c r="D21" i="26"/>
  <c r="C13" i="26"/>
  <c r="D3" i="26"/>
  <c r="E3" i="26" s="1"/>
  <c r="C26" i="25"/>
  <c r="D5" i="25"/>
  <c r="C32" i="26"/>
  <c r="C21" i="26"/>
  <c r="C10" i="26"/>
  <c r="D11" i="26"/>
  <c r="D38" i="26"/>
  <c r="C35" i="26"/>
  <c r="D22" i="26"/>
  <c r="C19" i="26"/>
  <c r="D14" i="26"/>
  <c r="C11" i="26"/>
  <c r="D6" i="26"/>
  <c r="D36" i="26"/>
  <c r="C33" i="26"/>
  <c r="D28" i="26"/>
  <c r="C25" i="26"/>
  <c r="D20" i="26"/>
  <c r="C17" i="26"/>
  <c r="D12" i="26"/>
  <c r="C9" i="26"/>
  <c r="D4" i="26"/>
  <c r="D39" i="26"/>
  <c r="C36" i="26"/>
  <c r="D31" i="26"/>
  <c r="C28" i="26"/>
  <c r="D23" i="26"/>
  <c r="C20" i="26"/>
  <c r="D15" i="26"/>
  <c r="C12" i="26"/>
  <c r="D7" i="26"/>
  <c r="C4" i="26"/>
  <c r="C39" i="26"/>
  <c r="D34" i="26"/>
  <c r="C31" i="26"/>
  <c r="D26" i="26"/>
  <c r="C23" i="26"/>
  <c r="D18" i="26"/>
  <c r="E18" i="26" s="1"/>
  <c r="C15" i="26"/>
  <c r="D10" i="26"/>
  <c r="C7" i="26"/>
  <c r="D30" i="26"/>
  <c r="C27" i="26"/>
  <c r="C38" i="26"/>
  <c r="D33" i="26"/>
  <c r="C30" i="26"/>
  <c r="D25" i="26"/>
  <c r="C22" i="26"/>
  <c r="D17" i="26"/>
  <c r="C14" i="26"/>
  <c r="C6" i="26"/>
  <c r="C18" i="25"/>
  <c r="D8" i="25"/>
  <c r="C34" i="25"/>
  <c r="C16" i="25"/>
  <c r="C5" i="25"/>
  <c r="D37" i="25"/>
  <c r="D29" i="25"/>
  <c r="D13" i="25"/>
  <c r="D3" i="25"/>
  <c r="D21" i="25"/>
  <c r="D39" i="25"/>
  <c r="C36" i="25"/>
  <c r="D31" i="25"/>
  <c r="C28" i="25"/>
  <c r="D23" i="25"/>
  <c r="C20" i="25"/>
  <c r="D15" i="25"/>
  <c r="C12" i="25"/>
  <c r="D7" i="25"/>
  <c r="C4" i="25"/>
  <c r="C39" i="25"/>
  <c r="D34" i="25"/>
  <c r="C31" i="25"/>
  <c r="D26" i="25"/>
  <c r="C23" i="25"/>
  <c r="D18" i="25"/>
  <c r="C15" i="25"/>
  <c r="D10" i="25"/>
  <c r="C7" i="25"/>
  <c r="C37" i="25"/>
  <c r="C29" i="25"/>
  <c r="D24" i="25"/>
  <c r="C32" i="25"/>
  <c r="D27" i="25"/>
  <c r="D38" i="25"/>
  <c r="C19" i="25"/>
  <c r="D14" i="25"/>
  <c r="C11" i="25"/>
  <c r="C38" i="25"/>
  <c r="D33" i="25"/>
  <c r="C30" i="25"/>
  <c r="D25" i="25"/>
  <c r="C22" i="25"/>
  <c r="D17" i="25"/>
  <c r="C14" i="25"/>
  <c r="D9" i="25"/>
  <c r="E9" i="25" s="1"/>
  <c r="C6" i="25"/>
  <c r="C3" i="25"/>
  <c r="D32" i="25"/>
  <c r="D35" i="25"/>
  <c r="C24" i="25"/>
  <c r="D19" i="25"/>
  <c r="D11" i="25"/>
  <c r="C35" i="25"/>
  <c r="D30" i="25"/>
  <c r="C27" i="25"/>
  <c r="D22" i="25"/>
  <c r="D6" i="25"/>
  <c r="D36" i="25"/>
  <c r="C33" i="25"/>
  <c r="D28" i="25"/>
  <c r="C25" i="25"/>
  <c r="D20" i="25"/>
  <c r="C17" i="25"/>
  <c r="D12" i="25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F8" i="26"/>
  <c r="G8" i="26" s="1"/>
  <c r="F3" i="26"/>
  <c r="G3" i="26" s="1"/>
  <c r="F24" i="26"/>
  <c r="G24" i="26" s="1"/>
  <c r="F29" i="26"/>
  <c r="G29" i="26" s="1"/>
  <c r="F5" i="26"/>
  <c r="G5" i="26" s="1"/>
  <c r="F37" i="26"/>
  <c r="G37" i="26" s="1"/>
  <c r="F32" i="26"/>
  <c r="G32" i="26" s="1"/>
  <c r="F13" i="26"/>
  <c r="G13" i="26" s="1"/>
  <c r="F16" i="26"/>
  <c r="G16" i="26" s="1"/>
  <c r="F21" i="26"/>
  <c r="G21" i="26" s="1"/>
  <c r="F26" i="26"/>
  <c r="G26" i="26" s="1"/>
  <c r="F8" i="25"/>
  <c r="G8" i="25" s="1"/>
  <c r="F16" i="25"/>
  <c r="G16" i="25" s="1"/>
  <c r="F5" i="25"/>
  <c r="G5" i="25" s="1"/>
  <c r="F21" i="25"/>
  <c r="G21" i="25" s="1"/>
  <c r="F13" i="25"/>
  <c r="G13" i="25" s="1"/>
  <c r="F10" i="25"/>
  <c r="G10" i="25" s="1"/>
  <c r="F9" i="25"/>
  <c r="G9" i="25" s="1"/>
  <c r="F18" i="25"/>
  <c r="G18" i="25" s="1"/>
  <c r="F34" i="25"/>
  <c r="G34" i="25" s="1"/>
  <c r="F26" i="25"/>
  <c r="G26" i="25" s="1"/>
  <c r="F75" i="22"/>
  <c r="G75" i="22" s="1"/>
  <c r="F67" i="22"/>
  <c r="G67" i="22" s="1"/>
  <c r="F63" i="22"/>
  <c r="G63" i="22" s="1"/>
  <c r="F59" i="22"/>
  <c r="G59" i="22" s="1"/>
  <c r="F71" i="22"/>
  <c r="G71" i="22" s="1"/>
  <c r="F72" i="22"/>
  <c r="G72" i="22" s="1"/>
  <c r="F74" i="22"/>
  <c r="G74" i="22" s="1"/>
  <c r="F70" i="22"/>
  <c r="G70" i="22" s="1"/>
  <c r="F66" i="22"/>
  <c r="G66" i="22" s="1"/>
  <c r="F62" i="22"/>
  <c r="G62" i="22" s="1"/>
  <c r="F58" i="22"/>
  <c r="F64" i="22"/>
  <c r="G64" i="22" s="1"/>
  <c r="F73" i="22"/>
  <c r="G73" i="22" s="1"/>
  <c r="F69" i="22"/>
  <c r="G69" i="22" s="1"/>
  <c r="F65" i="22"/>
  <c r="G65" i="22" s="1"/>
  <c r="F61" i="22"/>
  <c r="G61" i="22" s="1"/>
  <c r="D76" i="22"/>
  <c r="F68" i="22"/>
  <c r="G68" i="22" s="1"/>
  <c r="F60" i="22"/>
  <c r="G60" i="22" s="1"/>
  <c r="G58" i="22"/>
  <c r="E29" i="26" l="1"/>
  <c r="E24" i="26"/>
  <c r="E26" i="25"/>
  <c r="E21" i="26"/>
  <c r="E5" i="26"/>
  <c r="E10" i="25"/>
  <c r="E26" i="26"/>
  <c r="E37" i="26"/>
  <c r="E16" i="26"/>
  <c r="E13" i="26"/>
  <c r="E21" i="25"/>
  <c r="E13" i="25"/>
  <c r="E34" i="26"/>
  <c r="E32" i="26"/>
  <c r="E5" i="25"/>
  <c r="E10" i="26"/>
  <c r="E8" i="25"/>
  <c r="E2" i="26"/>
  <c r="E8" i="26"/>
  <c r="E30" i="26"/>
  <c r="E12" i="26"/>
  <c r="E23" i="26"/>
  <c r="E9" i="26"/>
  <c r="E38" i="26"/>
  <c r="E20" i="26"/>
  <c r="E11" i="26"/>
  <c r="E6" i="26"/>
  <c r="E27" i="26"/>
  <c r="E31" i="26"/>
  <c r="E17" i="26"/>
  <c r="E14" i="26"/>
  <c r="E28" i="26"/>
  <c r="E19" i="26"/>
  <c r="E7" i="26"/>
  <c r="E39" i="26"/>
  <c r="E25" i="26"/>
  <c r="E22" i="26"/>
  <c r="E4" i="26"/>
  <c r="E36" i="26"/>
  <c r="E35" i="26"/>
  <c r="E15" i="26"/>
  <c r="E33" i="26"/>
  <c r="E18" i="25"/>
  <c r="E16" i="25"/>
  <c r="E24" i="25"/>
  <c r="E15" i="25"/>
  <c r="E30" i="25"/>
  <c r="E32" i="25"/>
  <c r="E23" i="25"/>
  <c r="E17" i="25"/>
  <c r="E27" i="25"/>
  <c r="E2" i="25"/>
  <c r="E3" i="25"/>
  <c r="E12" i="25"/>
  <c r="E28" i="25"/>
  <c r="E6" i="25"/>
  <c r="E38" i="25"/>
  <c r="E29" i="25"/>
  <c r="E31" i="25"/>
  <c r="E25" i="25"/>
  <c r="E35" i="25"/>
  <c r="E11" i="25"/>
  <c r="E37" i="25"/>
  <c r="E34" i="25"/>
  <c r="E14" i="25"/>
  <c r="E7" i="25"/>
  <c r="E39" i="25"/>
  <c r="E36" i="25"/>
  <c r="E33" i="25"/>
  <c r="E19" i="25"/>
  <c r="E4" i="25"/>
  <c r="E20" i="25"/>
  <c r="E22" i="25"/>
  <c r="E76" i="22"/>
  <c r="F30" i="26"/>
  <c r="G30" i="26" s="1"/>
  <c r="F25" i="26"/>
  <c r="G25" i="26" s="1"/>
  <c r="F19" i="26"/>
  <c r="G19" i="26" s="1"/>
  <c r="F36" i="26"/>
  <c r="G36" i="26" s="1"/>
  <c r="F34" i="26"/>
  <c r="G34" i="26" s="1"/>
  <c r="F38" i="26"/>
  <c r="G38" i="26" s="1"/>
  <c r="F27" i="26"/>
  <c r="G27" i="26" s="1"/>
  <c r="F35" i="26"/>
  <c r="G35" i="26" s="1"/>
  <c r="F31" i="26"/>
  <c r="G31" i="26" s="1"/>
  <c r="F20" i="26"/>
  <c r="G20" i="26" s="1"/>
  <c r="F10" i="26"/>
  <c r="G10" i="26" s="1"/>
  <c r="F11" i="26"/>
  <c r="G11" i="26" s="1"/>
  <c r="F17" i="26"/>
  <c r="G17" i="26" s="1"/>
  <c r="F7" i="26"/>
  <c r="G7" i="26" s="1"/>
  <c r="F9" i="26"/>
  <c r="G9" i="26" s="1"/>
  <c r="F4" i="26"/>
  <c r="G4" i="26" s="1"/>
  <c r="F18" i="26"/>
  <c r="G18" i="26" s="1"/>
  <c r="F6" i="26"/>
  <c r="G6" i="26" s="1"/>
  <c r="F14" i="26"/>
  <c r="G14" i="26" s="1"/>
  <c r="F33" i="26"/>
  <c r="G33" i="26" s="1"/>
  <c r="F39" i="26"/>
  <c r="G39" i="26" s="1"/>
  <c r="F28" i="26"/>
  <c r="G28" i="26" s="1"/>
  <c r="F12" i="26"/>
  <c r="G12" i="26" s="1"/>
  <c r="F23" i="26"/>
  <c r="G23" i="26" s="1"/>
  <c r="F22" i="26"/>
  <c r="G22" i="26" s="1"/>
  <c r="F15" i="26"/>
  <c r="G15" i="26" s="1"/>
  <c r="F35" i="25"/>
  <c r="G35" i="25" s="1"/>
  <c r="F7" i="25"/>
  <c r="G7" i="25" s="1"/>
  <c r="F37" i="25"/>
  <c r="G37" i="25" s="1"/>
  <c r="F27" i="25"/>
  <c r="G27" i="25" s="1"/>
  <c r="F24" i="25"/>
  <c r="G24" i="25" s="1"/>
  <c r="F23" i="25"/>
  <c r="G23" i="25" s="1"/>
  <c r="F12" i="25"/>
  <c r="G12" i="25" s="1"/>
  <c r="F19" i="25"/>
  <c r="G19" i="25" s="1"/>
  <c r="F17" i="25"/>
  <c r="G17" i="25" s="1"/>
  <c r="F39" i="25"/>
  <c r="G39" i="25" s="1"/>
  <c r="F28" i="25"/>
  <c r="G28" i="25" s="1"/>
  <c r="F20" i="25"/>
  <c r="G20" i="25" s="1"/>
  <c r="F29" i="25"/>
  <c r="G29" i="25" s="1"/>
  <c r="F36" i="25"/>
  <c r="G36" i="25" s="1"/>
  <c r="F32" i="25"/>
  <c r="G32" i="25" s="1"/>
  <c r="F6" i="25"/>
  <c r="G6" i="25" s="1"/>
  <c r="F14" i="25"/>
  <c r="G14" i="25" s="1"/>
  <c r="F22" i="25"/>
  <c r="G22" i="25" s="1"/>
  <c r="F33" i="25"/>
  <c r="G33" i="25" s="1"/>
  <c r="F3" i="25"/>
  <c r="G3" i="25" s="1"/>
  <c r="F38" i="25"/>
  <c r="G38" i="25" s="1"/>
  <c r="F11" i="25"/>
  <c r="G11" i="25" s="1"/>
  <c r="F15" i="25"/>
  <c r="G15" i="25" s="1"/>
  <c r="F4" i="25"/>
  <c r="G4" i="25" s="1"/>
  <c r="F31" i="25"/>
  <c r="G31" i="25" s="1"/>
  <c r="F30" i="25"/>
  <c r="G30" i="25" s="1"/>
  <c r="F25" i="25"/>
  <c r="G25" i="25" s="1"/>
  <c r="F76" i="22"/>
  <c r="D77" i="22"/>
  <c r="G76" i="22"/>
  <c r="E77" i="22" l="1"/>
  <c r="F77" i="22"/>
  <c r="D78" i="22"/>
  <c r="G77" i="22"/>
  <c r="E78" i="22" l="1"/>
  <c r="F78" i="22"/>
  <c r="D79" i="22"/>
  <c r="G78" i="22"/>
  <c r="E79" i="22" l="1"/>
  <c r="F79" i="22"/>
  <c r="D80" i="22"/>
  <c r="G79" i="22"/>
  <c r="E80" i="22" l="1"/>
  <c r="F80" i="22"/>
  <c r="D81" i="22"/>
  <c r="G80" i="22"/>
  <c r="E81" i="22" l="1"/>
  <c r="F81" i="22"/>
  <c r="D82" i="22"/>
  <c r="G81" i="22"/>
  <c r="E82" i="22" l="1"/>
  <c r="D83" i="22"/>
  <c r="F82" i="22"/>
  <c r="G82" i="22"/>
  <c r="E83" i="22" l="1"/>
  <c r="D84" i="22"/>
  <c r="F83" i="22"/>
  <c r="G83" i="22"/>
  <c r="E84" i="22" l="1"/>
  <c r="F84" i="22"/>
  <c r="D85" i="22"/>
  <c r="G84" i="22"/>
  <c r="E85" i="22" l="1"/>
  <c r="F85" i="22"/>
  <c r="D86" i="22"/>
  <c r="G85" i="22"/>
  <c r="E86" i="22" l="1"/>
  <c r="F86" i="22"/>
  <c r="D87" i="22"/>
  <c r="G86" i="22"/>
  <c r="E87" i="22" l="1"/>
  <c r="F87" i="22"/>
  <c r="D88" i="22"/>
  <c r="G87" i="22"/>
  <c r="E88" i="22" l="1"/>
  <c r="F88" i="22"/>
  <c r="D89" i="22"/>
  <c r="G88" i="22"/>
  <c r="E89" i="22" l="1"/>
  <c r="F89" i="22"/>
  <c r="D90" i="22"/>
  <c r="G89" i="22"/>
  <c r="E90" i="22" l="1"/>
  <c r="F90" i="22"/>
  <c r="D91" i="22"/>
  <c r="G90" i="22"/>
  <c r="E91" i="22" l="1"/>
  <c r="F91" i="22"/>
  <c r="D92" i="22"/>
  <c r="G91" i="22"/>
  <c r="E92" i="22" l="1"/>
  <c r="F92" i="22"/>
  <c r="D93" i="22"/>
  <c r="G92" i="22"/>
  <c r="E93" i="22" l="1"/>
  <c r="F2" i="26"/>
  <c r="G2" i="26" s="1"/>
  <c r="F2" i="25"/>
  <c r="G2" i="25" s="1"/>
  <c r="F2" i="24"/>
  <c r="G2" i="24" s="1"/>
  <c r="F2" i="23"/>
  <c r="G2" i="23" s="1"/>
  <c r="F93" i="22"/>
  <c r="F2" i="22"/>
  <c r="G2" i="22" s="1"/>
  <c r="G93" i="22"/>
  <c r="D8" i="21" l="1"/>
  <c r="B2" i="20"/>
  <c r="B3" i="20"/>
  <c r="B4" i="20"/>
  <c r="E2" i="19"/>
  <c r="E2" i="18"/>
  <c r="E2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/>
  <c r="C16" i="16"/>
  <c r="D16" i="16" s="1"/>
  <c r="C17" i="16"/>
  <c r="D17" i="16"/>
  <c r="C18" i="16"/>
  <c r="D18" i="16" s="1"/>
  <c r="C19" i="16"/>
  <c r="D19" i="16"/>
  <c r="C20" i="16"/>
  <c r="D20" i="16" s="1"/>
  <c r="C21" i="16"/>
  <c r="D21" i="16"/>
  <c r="C22" i="16"/>
  <c r="D22" i="16" s="1"/>
  <c r="C23" i="16"/>
  <c r="D23" i="16"/>
  <c r="C24" i="16"/>
  <c r="D24" i="16" s="1"/>
  <c r="C25" i="16"/>
  <c r="D25" i="16"/>
  <c r="C26" i="16"/>
  <c r="D26" i="16" s="1"/>
  <c r="C27" i="16"/>
  <c r="D27" i="16"/>
  <c r="C28" i="16"/>
  <c r="D28" i="16" s="1"/>
  <c r="C29" i="16"/>
  <c r="D29" i="16"/>
  <c r="C30" i="16"/>
  <c r="D30" i="16" s="1"/>
  <c r="C31" i="16"/>
  <c r="D31" i="16"/>
  <c r="C32" i="16"/>
  <c r="D32" i="16" s="1"/>
  <c r="D33" i="16"/>
  <c r="D34" i="16"/>
  <c r="D35" i="16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B1" i="21"/>
  <c r="C3" i="20"/>
  <c r="D3" i="20"/>
  <c r="C4" i="20"/>
  <c r="D4" i="20" s="1"/>
  <c r="D3" i="19" a="1"/>
  <c r="D3" i="18" a="1"/>
  <c r="D3" i="17" a="1"/>
  <c r="E8" i="16"/>
  <c r="E34" i="16"/>
  <c r="E25" i="16"/>
  <c r="E3" i="16"/>
  <c r="F8" i="16"/>
  <c r="E11" i="16"/>
  <c r="F34" i="16"/>
  <c r="E9" i="16"/>
  <c r="E35" i="16"/>
  <c r="E33" i="16"/>
  <c r="E15" i="16"/>
  <c r="E21" i="16"/>
  <c r="E29" i="16"/>
  <c r="F29" i="16" s="1"/>
  <c r="F21" i="16"/>
  <c r="F25" i="16"/>
  <c r="F3" i="16"/>
  <c r="E6" i="16"/>
  <c r="F11" i="16"/>
  <c r="E14" i="16"/>
  <c r="F14" i="16" s="1"/>
  <c r="E16" i="16"/>
  <c r="F16" i="16" s="1"/>
  <c r="E18" i="16"/>
  <c r="E20" i="16"/>
  <c r="F20" i="16" s="1"/>
  <c r="E22" i="16"/>
  <c r="E24" i="16"/>
  <c r="F24" i="16" s="1"/>
  <c r="E26" i="16"/>
  <c r="E28" i="16"/>
  <c r="F28" i="16" s="1"/>
  <c r="E30" i="16"/>
  <c r="F30" i="16" s="1"/>
  <c r="E32" i="16"/>
  <c r="F6" i="16"/>
  <c r="F18" i="16"/>
  <c r="F22" i="16"/>
  <c r="F26" i="16"/>
  <c r="F32" i="16"/>
  <c r="E10" i="16"/>
  <c r="F10" i="16" s="1"/>
  <c r="E23" i="16"/>
  <c r="E31" i="16"/>
  <c r="E13" i="16"/>
  <c r="F13" i="16" s="1"/>
  <c r="F31" i="16"/>
  <c r="E4" i="16"/>
  <c r="F9" i="16"/>
  <c r="E12" i="16"/>
  <c r="F35" i="16"/>
  <c r="F4" i="16"/>
  <c r="E7" i="16"/>
  <c r="F7" i="16" s="1"/>
  <c r="F12" i="16"/>
  <c r="E17" i="16"/>
  <c r="F17" i="16" s="1"/>
  <c r="E19" i="16"/>
  <c r="E27" i="16"/>
  <c r="F33" i="16"/>
  <c r="E5" i="16"/>
  <c r="F5" i="16" s="1"/>
  <c r="F15" i="16"/>
  <c r="F19" i="16"/>
  <c r="F23" i="16"/>
  <c r="F27" i="16"/>
  <c r="D17" i="15"/>
  <c r="D12" i="15"/>
  <c r="E17" i="15"/>
  <c r="D9" i="15"/>
  <c r="D7" i="15"/>
  <c r="E12" i="15"/>
  <c r="D15" i="15"/>
  <c r="E7" i="15"/>
  <c r="D10" i="15"/>
  <c r="E15" i="15"/>
  <c r="D18" i="15"/>
  <c r="D5" i="15"/>
  <c r="E10" i="15"/>
  <c r="D13" i="15"/>
  <c r="E18" i="15"/>
  <c r="E5" i="15"/>
  <c r="D8" i="15"/>
  <c r="E13" i="15"/>
  <c r="D16" i="15"/>
  <c r="D3" i="15"/>
  <c r="E3" i="15" s="1"/>
  <c r="E8" i="15"/>
  <c r="D11" i="15"/>
  <c r="E11" i="15" s="1"/>
  <c r="E16" i="15"/>
  <c r="D19" i="15"/>
  <c r="D6" i="15"/>
  <c r="E6" i="15" s="1"/>
  <c r="D14" i="15"/>
  <c r="E14" i="15" s="1"/>
  <c r="E19" i="15"/>
  <c r="D4" i="15"/>
  <c r="E4" i="15" s="1"/>
  <c r="E9" i="15"/>
  <c r="D20" i="15"/>
  <c r="E20" i="15" s="1"/>
  <c r="D4" i="19" l="1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3" i="18"/>
  <c r="E3" i="18" s="1"/>
  <c r="D5" i="18"/>
  <c r="E5" i="18" s="1"/>
  <c r="D7" i="18"/>
  <c r="E7" i="18" s="1"/>
  <c r="D9" i="18"/>
  <c r="E9" i="18" s="1"/>
  <c r="D11" i="18"/>
  <c r="E11" i="18" s="1"/>
  <c r="D13" i="18"/>
  <c r="E13" i="18" s="1"/>
  <c r="D15" i="18"/>
  <c r="E15" i="18" s="1"/>
  <c r="D17" i="18"/>
  <c r="E17" i="18" s="1"/>
  <c r="D19" i="18"/>
  <c r="E19" i="18" s="1"/>
  <c r="D21" i="18"/>
  <c r="E21" i="18" s="1"/>
  <c r="D23" i="18"/>
  <c r="E23" i="18" s="1"/>
  <c r="D25" i="18"/>
  <c r="E25" i="18" s="1"/>
  <c r="D27" i="18"/>
  <c r="E27" i="18" s="1"/>
  <c r="D29" i="18"/>
  <c r="E29" i="18" s="1"/>
  <c r="D31" i="18"/>
  <c r="E31" i="18" s="1"/>
  <c r="D33" i="18"/>
  <c r="E33" i="18" s="1"/>
  <c r="D35" i="18"/>
  <c r="E35" i="18" s="1"/>
  <c r="D37" i="18"/>
  <c r="E37" i="18" s="1"/>
  <c r="D39" i="18"/>
  <c r="E39" i="18" s="1"/>
  <c r="D41" i="18"/>
  <c r="E41" i="18" s="1"/>
  <c r="D43" i="18"/>
  <c r="E43" i="18" s="1"/>
  <c r="D45" i="18"/>
  <c r="E45" i="18" s="1"/>
  <c r="D47" i="18"/>
  <c r="E47" i="18" s="1"/>
  <c r="D49" i="18"/>
  <c r="E49" i="18" s="1"/>
  <c r="D51" i="18"/>
  <c r="E51" i="18" s="1"/>
  <c r="D53" i="18"/>
  <c r="E53" i="18" s="1"/>
  <c r="D55" i="18"/>
  <c r="E55" i="18" s="1"/>
  <c r="D57" i="18"/>
  <c r="E57" i="18" s="1"/>
  <c r="D59" i="18"/>
  <c r="E59" i="18" s="1"/>
  <c r="D61" i="18"/>
  <c r="E61" i="18" s="1"/>
  <c r="D63" i="18"/>
  <c r="E63" i="18" s="1"/>
  <c r="D65" i="18"/>
  <c r="E65" i="18" s="1"/>
  <c r="D67" i="18"/>
  <c r="E67" i="18" s="1"/>
  <c r="D69" i="18"/>
  <c r="E69" i="18" s="1"/>
  <c r="D71" i="18"/>
  <c r="E71" i="18" s="1"/>
  <c r="D73" i="18"/>
  <c r="E73" i="18" s="1"/>
  <c r="D75" i="18"/>
  <c r="E75" i="18" s="1"/>
  <c r="D77" i="18"/>
  <c r="E77" i="18" s="1"/>
  <c r="D79" i="18"/>
  <c r="E79" i="18" s="1"/>
  <c r="D81" i="18"/>
  <c r="E81" i="18" s="1"/>
  <c r="D83" i="18"/>
  <c r="E83" i="18" s="1"/>
  <c r="D85" i="18"/>
  <c r="E85" i="18" s="1"/>
  <c r="D87" i="18"/>
  <c r="E87" i="18" s="1"/>
  <c r="D89" i="18"/>
  <c r="E89" i="18" s="1"/>
  <c r="D91" i="18"/>
  <c r="E91" i="18" s="1"/>
  <c r="D93" i="18"/>
  <c r="E93" i="18" s="1"/>
  <c r="D95" i="18"/>
  <c r="E95" i="18" s="1"/>
  <c r="D97" i="18"/>
  <c r="E97" i="18" s="1"/>
  <c r="D99" i="18"/>
  <c r="E99" i="18" s="1"/>
  <c r="D101" i="18"/>
  <c r="E101" i="18" s="1"/>
  <c r="D103" i="18"/>
  <c r="E103" i="18" s="1"/>
  <c r="D105" i="18"/>
  <c r="E105" i="18" s="1"/>
  <c r="D107" i="18"/>
  <c r="E107" i="18" s="1"/>
  <c r="D109" i="18"/>
  <c r="E109" i="18" s="1"/>
  <c r="D111" i="18"/>
  <c r="E111" i="18" s="1"/>
  <c r="D113" i="18"/>
  <c r="E113" i="18" s="1"/>
  <c r="D115" i="18"/>
  <c r="E115" i="18" s="1"/>
  <c r="D117" i="18"/>
  <c r="E117" i="18" s="1"/>
  <c r="D119" i="18"/>
  <c r="E119" i="18" s="1"/>
  <c r="D121" i="18"/>
  <c r="E121" i="18" s="1"/>
  <c r="D58" i="18"/>
  <c r="E58" i="18" s="1"/>
  <c r="D68" i="18"/>
  <c r="E68" i="18" s="1"/>
  <c r="D72" i="18"/>
  <c r="E72" i="18" s="1"/>
  <c r="D76" i="18"/>
  <c r="E76" i="18" s="1"/>
  <c r="D80" i="18"/>
  <c r="E80" i="18" s="1"/>
  <c r="D84" i="18"/>
  <c r="E84" i="18" s="1"/>
  <c r="D88" i="18"/>
  <c r="E88" i="18" s="1"/>
  <c r="D92" i="18"/>
  <c r="E92" i="18" s="1"/>
  <c r="D96" i="18"/>
  <c r="E96" i="18" s="1"/>
  <c r="D100" i="18"/>
  <c r="E100" i="18" s="1"/>
  <c r="D104" i="18"/>
  <c r="E104" i="18" s="1"/>
  <c r="D108" i="18"/>
  <c r="E108" i="18" s="1"/>
  <c r="D112" i="18"/>
  <c r="E112" i="18" s="1"/>
  <c r="D116" i="18"/>
  <c r="E116" i="18" s="1"/>
  <c r="D120" i="18"/>
  <c r="E120" i="18" s="1"/>
  <c r="D14" i="18"/>
  <c r="E14" i="18" s="1"/>
  <c r="D46" i="18"/>
  <c r="E46" i="18" s="1"/>
  <c r="D74" i="18"/>
  <c r="E74" i="18" s="1"/>
  <c r="D90" i="18"/>
  <c r="E90" i="18" s="1"/>
  <c r="D102" i="18"/>
  <c r="E102" i="18" s="1"/>
  <c r="D114" i="18"/>
  <c r="E114" i="18" s="1"/>
  <c r="D4" i="18"/>
  <c r="E4" i="18" s="1"/>
  <c r="D12" i="18"/>
  <c r="E12" i="18" s="1"/>
  <c r="D20" i="18"/>
  <c r="E20" i="18" s="1"/>
  <c r="D28" i="18"/>
  <c r="E28" i="18" s="1"/>
  <c r="D36" i="18"/>
  <c r="E36" i="18" s="1"/>
  <c r="D44" i="18"/>
  <c r="E44" i="18" s="1"/>
  <c r="D52" i="18"/>
  <c r="E52" i="18" s="1"/>
  <c r="D64" i="18"/>
  <c r="E64" i="18" s="1"/>
  <c r="D6" i="18"/>
  <c r="E6" i="18" s="1"/>
  <c r="D30" i="18"/>
  <c r="E30" i="18" s="1"/>
  <c r="D38" i="18"/>
  <c r="E38" i="18" s="1"/>
  <c r="D54" i="18"/>
  <c r="E54" i="18" s="1"/>
  <c r="D60" i="18"/>
  <c r="E60" i="18" s="1"/>
  <c r="D118" i="18"/>
  <c r="E118" i="18" s="1"/>
  <c r="D22" i="18"/>
  <c r="E22" i="18" s="1"/>
  <c r="D82" i="18"/>
  <c r="E82" i="18" s="1"/>
  <c r="D98" i="18"/>
  <c r="E98" i="18" s="1"/>
  <c r="D110" i="18"/>
  <c r="E110" i="18" s="1"/>
  <c r="D122" i="18"/>
  <c r="E122" i="18" s="1"/>
  <c r="D8" i="18"/>
  <c r="E8" i="18" s="1"/>
  <c r="D16" i="18"/>
  <c r="E16" i="18" s="1"/>
  <c r="D24" i="18"/>
  <c r="E24" i="18" s="1"/>
  <c r="D32" i="18"/>
  <c r="E32" i="18" s="1"/>
  <c r="D40" i="18"/>
  <c r="E40" i="18" s="1"/>
  <c r="D48" i="18"/>
  <c r="E48" i="18" s="1"/>
  <c r="D56" i="18"/>
  <c r="E56" i="18" s="1"/>
  <c r="D62" i="18"/>
  <c r="E62" i="18" s="1"/>
  <c r="D10" i="18"/>
  <c r="E10" i="18" s="1"/>
  <c r="D18" i="18"/>
  <c r="E18" i="18" s="1"/>
  <c r="D26" i="18"/>
  <c r="E26" i="18" s="1"/>
  <c r="D34" i="18"/>
  <c r="E34" i="18" s="1"/>
  <c r="D42" i="18"/>
  <c r="E42" i="18" s="1"/>
  <c r="D50" i="18"/>
  <c r="E50" i="18" s="1"/>
  <c r="D66" i="18"/>
  <c r="E66" i="18" s="1"/>
  <c r="D70" i="18"/>
  <c r="E70" i="18" s="1"/>
  <c r="D78" i="18"/>
  <c r="E78" i="18" s="1"/>
  <c r="D86" i="18"/>
  <c r="E86" i="18" s="1"/>
  <c r="D94" i="18"/>
  <c r="E94" i="18" s="1"/>
  <c r="D106" i="18"/>
  <c r="E106" i="18" s="1"/>
  <c r="D4" i="17"/>
  <c r="E4" i="17" s="1"/>
  <c r="D6" i="17"/>
  <c r="E6" i="17" s="1"/>
  <c r="D8" i="17"/>
  <c r="E8" i="17" s="1"/>
  <c r="D10" i="17"/>
  <c r="E10" i="17" s="1"/>
  <c r="D12" i="17"/>
  <c r="E12" i="17" s="1"/>
  <c r="D14" i="17"/>
  <c r="E14" i="17" s="1"/>
  <c r="D16" i="17"/>
  <c r="E16" i="17" s="1"/>
  <c r="D18" i="17"/>
  <c r="E18" i="17" s="1"/>
  <c r="D20" i="17"/>
  <c r="E20" i="17" s="1"/>
  <c r="D22" i="17"/>
  <c r="E22" i="17" s="1"/>
  <c r="D24" i="17"/>
  <c r="E24" i="17" s="1"/>
  <c r="D26" i="17"/>
  <c r="E26" i="17" s="1"/>
  <c r="D28" i="17"/>
  <c r="E28" i="17" s="1"/>
  <c r="D30" i="17"/>
  <c r="E30" i="17" s="1"/>
  <c r="D32" i="17"/>
  <c r="E32" i="17" s="1"/>
  <c r="D34" i="17"/>
  <c r="E34" i="17" s="1"/>
  <c r="D36" i="17"/>
  <c r="E36" i="17" s="1"/>
  <c r="D38" i="17"/>
  <c r="E38" i="17" s="1"/>
  <c r="D40" i="17"/>
  <c r="E40" i="17" s="1"/>
  <c r="D42" i="17"/>
  <c r="E42" i="17" s="1"/>
  <c r="D44" i="17"/>
  <c r="E44" i="17" s="1"/>
  <c r="D46" i="17"/>
  <c r="E46" i="17" s="1"/>
  <c r="D48" i="17"/>
  <c r="E48" i="17" s="1"/>
  <c r="D50" i="17"/>
  <c r="E50" i="17" s="1"/>
  <c r="D52" i="17"/>
  <c r="E52" i="17" s="1"/>
  <c r="D54" i="17"/>
  <c r="E54" i="17" s="1"/>
  <c r="D56" i="17"/>
  <c r="E56" i="17" s="1"/>
  <c r="D58" i="17"/>
  <c r="E58" i="17" s="1"/>
  <c r="D60" i="17"/>
  <c r="E60" i="17" s="1"/>
  <c r="D62" i="17"/>
  <c r="E62" i="17" s="1"/>
  <c r="D64" i="17"/>
  <c r="E64" i="17" s="1"/>
  <c r="D66" i="17"/>
  <c r="E66" i="17" s="1"/>
  <c r="D68" i="17"/>
  <c r="E68" i="17" s="1"/>
  <c r="D70" i="17"/>
  <c r="E70" i="17" s="1"/>
  <c r="D72" i="17"/>
  <c r="E72" i="17" s="1"/>
  <c r="D74" i="17"/>
  <c r="E74" i="17" s="1"/>
  <c r="D76" i="17"/>
  <c r="E76" i="17" s="1"/>
  <c r="D78" i="17"/>
  <c r="E78" i="17" s="1"/>
  <c r="D80" i="17"/>
  <c r="E80" i="17" s="1"/>
  <c r="D82" i="17"/>
  <c r="E82" i="17" s="1"/>
  <c r="D84" i="17"/>
  <c r="E84" i="17" s="1"/>
  <c r="D86" i="17"/>
  <c r="E86" i="17" s="1"/>
  <c r="D88" i="17"/>
  <c r="E88" i="17" s="1"/>
  <c r="D90" i="17"/>
  <c r="E90" i="17" s="1"/>
  <c r="D92" i="17"/>
  <c r="E92" i="17" s="1"/>
  <c r="D94" i="17"/>
  <c r="E94" i="17" s="1"/>
  <c r="D96" i="17"/>
  <c r="E96" i="17" s="1"/>
  <c r="D98" i="17"/>
  <c r="E98" i="17" s="1"/>
  <c r="D100" i="17"/>
  <c r="E100" i="17" s="1"/>
  <c r="D102" i="17"/>
  <c r="E102" i="17" s="1"/>
  <c r="D104" i="17"/>
  <c r="E104" i="17" s="1"/>
  <c r="D106" i="17"/>
  <c r="E106" i="17" s="1"/>
  <c r="D108" i="17"/>
  <c r="E108" i="17" s="1"/>
  <c r="D110" i="17"/>
  <c r="E110" i="17" s="1"/>
  <c r="D112" i="17"/>
  <c r="E112" i="17" s="1"/>
  <c r="D114" i="17"/>
  <c r="E114" i="17" s="1"/>
  <c r="D116" i="17"/>
  <c r="E116" i="17" s="1"/>
  <c r="D118" i="17"/>
  <c r="E118" i="17" s="1"/>
  <c r="D120" i="17"/>
  <c r="E120" i="17" s="1"/>
  <c r="D122" i="17"/>
  <c r="E122" i="17" s="1"/>
  <c r="D67" i="17"/>
  <c r="E67" i="17" s="1"/>
  <c r="D83" i="17"/>
  <c r="E83" i="17" s="1"/>
  <c r="D99" i="17"/>
  <c r="E99" i="17" s="1"/>
  <c r="D115" i="17"/>
  <c r="E115" i="17" s="1"/>
  <c r="D9" i="17"/>
  <c r="E9" i="17" s="1"/>
  <c r="D33" i="17"/>
  <c r="E33" i="17" s="1"/>
  <c r="D61" i="17"/>
  <c r="E61" i="17" s="1"/>
  <c r="D59" i="17"/>
  <c r="E59" i="17" s="1"/>
  <c r="D3" i="17"/>
  <c r="E3" i="17" s="1"/>
  <c r="D11" i="17"/>
  <c r="E11" i="17" s="1"/>
  <c r="D19" i="17"/>
  <c r="E19" i="17" s="1"/>
  <c r="D27" i="17"/>
  <c r="E27" i="17" s="1"/>
  <c r="D35" i="17"/>
  <c r="E35" i="17" s="1"/>
  <c r="D43" i="17"/>
  <c r="E43" i="17" s="1"/>
  <c r="D51" i="17"/>
  <c r="E51" i="17" s="1"/>
  <c r="D65" i="17"/>
  <c r="E65" i="17" s="1"/>
  <c r="D81" i="17"/>
  <c r="E81" i="17" s="1"/>
  <c r="D97" i="17"/>
  <c r="E97" i="17" s="1"/>
  <c r="D113" i="17"/>
  <c r="E113" i="17" s="1"/>
  <c r="D17" i="17"/>
  <c r="E17" i="17" s="1"/>
  <c r="D41" i="17"/>
  <c r="E41" i="17" s="1"/>
  <c r="D77" i="17"/>
  <c r="E77" i="17" s="1"/>
  <c r="D109" i="17"/>
  <c r="E109" i="17" s="1"/>
  <c r="D75" i="17"/>
  <c r="E75" i="17" s="1"/>
  <c r="D63" i="17"/>
  <c r="E63" i="17" s="1"/>
  <c r="D79" i="17"/>
  <c r="E79" i="17" s="1"/>
  <c r="D95" i="17"/>
  <c r="E95" i="17" s="1"/>
  <c r="D111" i="17"/>
  <c r="E111" i="17" s="1"/>
  <c r="D25" i="17"/>
  <c r="E25" i="17" s="1"/>
  <c r="D49" i="17"/>
  <c r="E49" i="17" s="1"/>
  <c r="D93" i="17"/>
  <c r="E93" i="17" s="1"/>
  <c r="D91" i="17"/>
  <c r="E91" i="17" s="1"/>
  <c r="D107" i="17"/>
  <c r="E107" i="17" s="1"/>
  <c r="D7" i="17"/>
  <c r="E7" i="17" s="1"/>
  <c r="D15" i="17"/>
  <c r="E15" i="17" s="1"/>
  <c r="D23" i="17"/>
  <c r="E23" i="17" s="1"/>
  <c r="D31" i="17"/>
  <c r="E31" i="17" s="1"/>
  <c r="D39" i="17"/>
  <c r="E39" i="17" s="1"/>
  <c r="D47" i="17"/>
  <c r="E47" i="17" s="1"/>
  <c r="D57" i="17"/>
  <c r="E57" i="17" s="1"/>
  <c r="D73" i="17"/>
  <c r="E73" i="17" s="1"/>
  <c r="D89" i="17"/>
  <c r="E89" i="17" s="1"/>
  <c r="D105" i="17"/>
  <c r="E105" i="17" s="1"/>
  <c r="D121" i="17"/>
  <c r="E121" i="17" s="1"/>
  <c r="D55" i="17"/>
  <c r="E55" i="17" s="1"/>
  <c r="D71" i="17"/>
  <c r="E71" i="17" s="1"/>
  <c r="D87" i="17"/>
  <c r="E87" i="17" s="1"/>
  <c r="D103" i="17"/>
  <c r="E103" i="17" s="1"/>
  <c r="D119" i="17"/>
  <c r="E119" i="17" s="1"/>
  <c r="D5" i="17"/>
  <c r="E5" i="17" s="1"/>
  <c r="D13" i="17"/>
  <c r="E13" i="17" s="1"/>
  <c r="D21" i="17"/>
  <c r="E21" i="17" s="1"/>
  <c r="D29" i="17"/>
  <c r="E29" i="17" s="1"/>
  <c r="D37" i="17"/>
  <c r="E37" i="17" s="1"/>
  <c r="D45" i="17"/>
  <c r="E45" i="17" s="1"/>
  <c r="D53" i="17"/>
  <c r="E53" i="17" s="1"/>
  <c r="D69" i="17"/>
  <c r="E69" i="17" s="1"/>
  <c r="D85" i="17"/>
  <c r="E85" i="17" s="1"/>
  <c r="D101" i="17"/>
  <c r="E101" i="17" s="1"/>
  <c r="D117" i="17"/>
  <c r="E117" i="17" s="1"/>
  <c r="C2" i="20"/>
  <c r="D2" i="20" s="1"/>
  <c r="F4" i="19"/>
  <c r="G4" i="19" s="1"/>
  <c r="F20" i="19"/>
  <c r="G20" i="19" s="1"/>
  <c r="F36" i="19"/>
  <c r="G36" i="19" s="1"/>
  <c r="F52" i="19"/>
  <c r="G52" i="19" s="1"/>
  <c r="F68" i="19"/>
  <c r="G68" i="19" s="1"/>
  <c r="F84" i="19"/>
  <c r="G84" i="19" s="1"/>
  <c r="F100" i="19"/>
  <c r="G100" i="19" s="1"/>
  <c r="F116" i="19"/>
  <c r="G116" i="19" s="1"/>
  <c r="F93" i="19"/>
  <c r="G93" i="19" s="1"/>
  <c r="F43" i="19"/>
  <c r="G43" i="19" s="1"/>
  <c r="F109" i="19"/>
  <c r="G109" i="19" s="1"/>
  <c r="F111" i="19"/>
  <c r="G111" i="19" s="1"/>
  <c r="F7" i="19"/>
  <c r="G7" i="19" s="1"/>
  <c r="F89" i="19"/>
  <c r="G89" i="19" s="1"/>
  <c r="F5" i="19"/>
  <c r="G5" i="19" s="1"/>
  <c r="F101" i="19"/>
  <c r="G101" i="19" s="1"/>
  <c r="F6" i="19"/>
  <c r="G6" i="19" s="1"/>
  <c r="F22" i="19"/>
  <c r="G22" i="19" s="1"/>
  <c r="F38" i="19"/>
  <c r="G38" i="19" s="1"/>
  <c r="F54" i="19"/>
  <c r="G54" i="19" s="1"/>
  <c r="F70" i="19"/>
  <c r="G70" i="19" s="1"/>
  <c r="F86" i="19"/>
  <c r="G86" i="19" s="1"/>
  <c r="F102" i="19"/>
  <c r="G102" i="19" s="1"/>
  <c r="F118" i="19"/>
  <c r="G118" i="19" s="1"/>
  <c r="F75" i="19"/>
  <c r="G75" i="19" s="1"/>
  <c r="F51" i="19"/>
  <c r="G51" i="19" s="1"/>
  <c r="F59" i="19"/>
  <c r="G59" i="19" s="1"/>
  <c r="F9" i="19"/>
  <c r="G9" i="19" s="1"/>
  <c r="F15" i="19"/>
  <c r="G15" i="19" s="1"/>
  <c r="F105" i="19"/>
  <c r="G105" i="19" s="1"/>
  <c r="F13" i="19"/>
  <c r="G13" i="19" s="1"/>
  <c r="F26" i="19"/>
  <c r="G26" i="19" s="1"/>
  <c r="F74" i="19"/>
  <c r="G74" i="19" s="1"/>
  <c r="F122" i="19"/>
  <c r="G122" i="19" s="1"/>
  <c r="F37" i="19"/>
  <c r="G37" i="19" s="1"/>
  <c r="F55" i="19"/>
  <c r="G55" i="19" s="1"/>
  <c r="F44" i="19"/>
  <c r="G44" i="19" s="1"/>
  <c r="F92" i="19"/>
  <c r="G92" i="19" s="1"/>
  <c r="F11" i="19"/>
  <c r="G11" i="19" s="1"/>
  <c r="F71" i="19"/>
  <c r="G71" i="19" s="1"/>
  <c r="F8" i="19"/>
  <c r="G8" i="19" s="1"/>
  <c r="F24" i="19"/>
  <c r="G24" i="19" s="1"/>
  <c r="F40" i="19"/>
  <c r="G40" i="19" s="1"/>
  <c r="F56" i="19"/>
  <c r="G56" i="19" s="1"/>
  <c r="F72" i="19"/>
  <c r="G72" i="19" s="1"/>
  <c r="F88" i="19"/>
  <c r="G88" i="19" s="1"/>
  <c r="F104" i="19"/>
  <c r="G104" i="19" s="1"/>
  <c r="F120" i="19"/>
  <c r="G120" i="19" s="1"/>
  <c r="F91" i="19"/>
  <c r="G91" i="19" s="1"/>
  <c r="F65" i="19"/>
  <c r="G65" i="19" s="1"/>
  <c r="F107" i="19"/>
  <c r="G107" i="19" s="1"/>
  <c r="F17" i="19"/>
  <c r="G17" i="19" s="1"/>
  <c r="F23" i="19"/>
  <c r="G23" i="19" s="1"/>
  <c r="F121" i="19"/>
  <c r="G121" i="19" s="1"/>
  <c r="F21" i="19"/>
  <c r="G21" i="19" s="1"/>
  <c r="F10" i="19"/>
  <c r="G10" i="19" s="1"/>
  <c r="F42" i="19"/>
  <c r="G42" i="19" s="1"/>
  <c r="F58" i="19"/>
  <c r="G58" i="19" s="1"/>
  <c r="F106" i="19"/>
  <c r="G106" i="19" s="1"/>
  <c r="F81" i="19"/>
  <c r="G81" i="19" s="1"/>
  <c r="F31" i="19"/>
  <c r="G31" i="19" s="1"/>
  <c r="F12" i="19"/>
  <c r="G12" i="19" s="1"/>
  <c r="F76" i="19"/>
  <c r="G76" i="19" s="1"/>
  <c r="F67" i="19"/>
  <c r="G67" i="19" s="1"/>
  <c r="F41" i="19"/>
  <c r="G41" i="19" s="1"/>
  <c r="F14" i="19"/>
  <c r="G14" i="19" s="1"/>
  <c r="F30" i="19"/>
  <c r="G30" i="19" s="1"/>
  <c r="F46" i="19"/>
  <c r="G46" i="19" s="1"/>
  <c r="F62" i="19"/>
  <c r="G62" i="19" s="1"/>
  <c r="F78" i="19"/>
  <c r="G78" i="19" s="1"/>
  <c r="F94" i="19"/>
  <c r="G94" i="19" s="1"/>
  <c r="F110" i="19"/>
  <c r="G110" i="19" s="1"/>
  <c r="F83" i="19"/>
  <c r="G83" i="19" s="1"/>
  <c r="F19" i="19"/>
  <c r="G19" i="19" s="1"/>
  <c r="F113" i="19"/>
  <c r="G113" i="19" s="1"/>
  <c r="F63" i="19"/>
  <c r="G63" i="19" s="1"/>
  <c r="F61" i="19"/>
  <c r="G61" i="19" s="1"/>
  <c r="F47" i="19"/>
  <c r="G47" i="19" s="1"/>
  <c r="F87" i="19"/>
  <c r="G87" i="19" s="1"/>
  <c r="F69" i="19"/>
  <c r="G69" i="19" s="1"/>
  <c r="F16" i="19"/>
  <c r="G16" i="19" s="1"/>
  <c r="F32" i="19"/>
  <c r="G32" i="19" s="1"/>
  <c r="F48" i="19"/>
  <c r="G48" i="19" s="1"/>
  <c r="F64" i="19"/>
  <c r="G64" i="19" s="1"/>
  <c r="F80" i="19"/>
  <c r="G80" i="19" s="1"/>
  <c r="F96" i="19"/>
  <c r="G96" i="19" s="1"/>
  <c r="F112" i="19"/>
  <c r="G112" i="19" s="1"/>
  <c r="F99" i="19"/>
  <c r="G99" i="19" s="1"/>
  <c r="F27" i="19"/>
  <c r="G27" i="19" s="1"/>
  <c r="F33" i="19"/>
  <c r="G33" i="19" s="1"/>
  <c r="F79" i="19"/>
  <c r="G79" i="19" s="1"/>
  <c r="F77" i="19"/>
  <c r="G77" i="19" s="1"/>
  <c r="F57" i="19"/>
  <c r="G57" i="19" s="1"/>
  <c r="F103" i="19"/>
  <c r="G103" i="19" s="1"/>
  <c r="F85" i="19"/>
  <c r="G85" i="19" s="1"/>
  <c r="F18" i="19"/>
  <c r="G18" i="19" s="1"/>
  <c r="F34" i="19"/>
  <c r="G34" i="19" s="1"/>
  <c r="F50" i="19"/>
  <c r="G50" i="19" s="1"/>
  <c r="F66" i="19"/>
  <c r="G66" i="19" s="1"/>
  <c r="F82" i="19"/>
  <c r="G82" i="19" s="1"/>
  <c r="F98" i="19"/>
  <c r="G98" i="19" s="1"/>
  <c r="F114" i="19"/>
  <c r="G114" i="19" s="1"/>
  <c r="F115" i="19"/>
  <c r="G115" i="19" s="1"/>
  <c r="F35" i="19"/>
  <c r="G35" i="19" s="1"/>
  <c r="F49" i="19"/>
  <c r="G49" i="19" s="1"/>
  <c r="F95" i="19"/>
  <c r="G95" i="19" s="1"/>
  <c r="F45" i="19"/>
  <c r="G45" i="19" s="1"/>
  <c r="F73" i="19"/>
  <c r="G73" i="19" s="1"/>
  <c r="F119" i="19"/>
  <c r="G119" i="19" s="1"/>
  <c r="F117" i="19"/>
  <c r="G117" i="19" s="1"/>
  <c r="F90" i="19"/>
  <c r="G90" i="19" s="1"/>
  <c r="F3" i="19"/>
  <c r="F25" i="19"/>
  <c r="G25" i="19" s="1"/>
  <c r="F29" i="19"/>
  <c r="G29" i="19" s="1"/>
  <c r="F28" i="19"/>
  <c r="G28" i="19" s="1"/>
  <c r="F60" i="19"/>
  <c r="G60" i="19" s="1"/>
  <c r="F108" i="19"/>
  <c r="G108" i="19" s="1"/>
  <c r="F97" i="19"/>
  <c r="G97" i="19" s="1"/>
  <c r="F39" i="19"/>
  <c r="G39" i="19" s="1"/>
  <c r="F53" i="19"/>
  <c r="G53" i="19" s="1"/>
  <c r="F3" i="18"/>
  <c r="G3" i="18" s="1"/>
  <c r="F19" i="18"/>
  <c r="G19" i="18" s="1"/>
  <c r="F35" i="18"/>
  <c r="G35" i="18" s="1"/>
  <c r="F51" i="18"/>
  <c r="G51" i="18" s="1"/>
  <c r="F67" i="18"/>
  <c r="G67" i="18" s="1"/>
  <c r="F83" i="18"/>
  <c r="G83" i="18" s="1"/>
  <c r="F99" i="18"/>
  <c r="G99" i="18" s="1"/>
  <c r="F115" i="18"/>
  <c r="G115" i="18" s="1"/>
  <c r="F80" i="18"/>
  <c r="G80" i="18" s="1"/>
  <c r="F112" i="18"/>
  <c r="G112" i="18" s="1"/>
  <c r="F114" i="18"/>
  <c r="G114" i="18" s="1"/>
  <c r="F64" i="18"/>
  <c r="G64" i="18" s="1"/>
  <c r="F82" i="18"/>
  <c r="G82" i="18" s="1"/>
  <c r="F40" i="18"/>
  <c r="G40" i="18" s="1"/>
  <c r="F42" i="18"/>
  <c r="G42" i="18" s="1"/>
  <c r="F10" i="18"/>
  <c r="G10" i="18" s="1"/>
  <c r="F61" i="18"/>
  <c r="G61" i="18" s="1"/>
  <c r="F68" i="18"/>
  <c r="G68" i="18" s="1"/>
  <c r="F60" i="18"/>
  <c r="G60" i="18" s="1"/>
  <c r="F5" i="18"/>
  <c r="G5" i="18" s="1"/>
  <c r="F21" i="18"/>
  <c r="G21" i="18" s="1"/>
  <c r="F37" i="18"/>
  <c r="G37" i="18" s="1"/>
  <c r="F53" i="18"/>
  <c r="G53" i="18" s="1"/>
  <c r="F69" i="18"/>
  <c r="G69" i="18" s="1"/>
  <c r="F85" i="18"/>
  <c r="G85" i="18" s="1"/>
  <c r="F101" i="18"/>
  <c r="G101" i="18" s="1"/>
  <c r="F117" i="18"/>
  <c r="G117" i="18" s="1"/>
  <c r="F84" i="18"/>
  <c r="G84" i="18" s="1"/>
  <c r="F116" i="18"/>
  <c r="G116" i="18" s="1"/>
  <c r="F4" i="18"/>
  <c r="F6" i="18"/>
  <c r="G6" i="18" s="1"/>
  <c r="F98" i="18"/>
  <c r="G98" i="18" s="1"/>
  <c r="F48" i="18"/>
  <c r="G48" i="18" s="1"/>
  <c r="F50" i="18"/>
  <c r="G50" i="18" s="1"/>
  <c r="F25" i="18"/>
  <c r="G25" i="18" s="1"/>
  <c r="F73" i="18"/>
  <c r="G73" i="18" s="1"/>
  <c r="F92" i="18"/>
  <c r="G92" i="18" s="1"/>
  <c r="F38" i="18"/>
  <c r="G38" i="18" s="1"/>
  <c r="F70" i="18"/>
  <c r="G70" i="18" s="1"/>
  <c r="F43" i="18"/>
  <c r="G43" i="18" s="1"/>
  <c r="F91" i="18"/>
  <c r="G91" i="18" s="1"/>
  <c r="F96" i="18"/>
  <c r="G96" i="18" s="1"/>
  <c r="F54" i="18"/>
  <c r="G54" i="18" s="1"/>
  <c r="F13" i="18"/>
  <c r="G13" i="18" s="1"/>
  <c r="F93" i="18"/>
  <c r="G93" i="18" s="1"/>
  <c r="F74" i="18"/>
  <c r="G74" i="18" s="1"/>
  <c r="F18" i="18"/>
  <c r="G18" i="18" s="1"/>
  <c r="F7" i="18"/>
  <c r="G7" i="18" s="1"/>
  <c r="F23" i="18"/>
  <c r="G23" i="18" s="1"/>
  <c r="F39" i="18"/>
  <c r="G39" i="18" s="1"/>
  <c r="F55" i="18"/>
  <c r="G55" i="18" s="1"/>
  <c r="F71" i="18"/>
  <c r="G71" i="18" s="1"/>
  <c r="F87" i="18"/>
  <c r="G87" i="18" s="1"/>
  <c r="F103" i="18"/>
  <c r="G103" i="18" s="1"/>
  <c r="F119" i="18"/>
  <c r="G119" i="18" s="1"/>
  <c r="F88" i="18"/>
  <c r="G88" i="18" s="1"/>
  <c r="F120" i="18"/>
  <c r="G120" i="18" s="1"/>
  <c r="F12" i="18"/>
  <c r="G12" i="18" s="1"/>
  <c r="F30" i="18"/>
  <c r="G30" i="18" s="1"/>
  <c r="F110" i="18"/>
  <c r="G110" i="18" s="1"/>
  <c r="F56" i="18"/>
  <c r="G56" i="18" s="1"/>
  <c r="F66" i="18"/>
  <c r="G66" i="18" s="1"/>
  <c r="F9" i="18"/>
  <c r="G9" i="18" s="1"/>
  <c r="F57" i="18"/>
  <c r="G57" i="18" s="1"/>
  <c r="F105" i="18"/>
  <c r="G105" i="18" s="1"/>
  <c r="F14" i="18"/>
  <c r="G14" i="18" s="1"/>
  <c r="F122" i="18"/>
  <c r="G122" i="18" s="1"/>
  <c r="F11" i="18"/>
  <c r="G11" i="18" s="1"/>
  <c r="F75" i="18"/>
  <c r="G75" i="18" s="1"/>
  <c r="F58" i="18"/>
  <c r="G58" i="18" s="1"/>
  <c r="F28" i="18"/>
  <c r="G28" i="18" s="1"/>
  <c r="F78" i="18"/>
  <c r="G78" i="18" s="1"/>
  <c r="F45" i="18"/>
  <c r="G45" i="18" s="1"/>
  <c r="F109" i="18"/>
  <c r="G109" i="18" s="1"/>
  <c r="F36" i="18"/>
  <c r="G36" i="18" s="1"/>
  <c r="F86" i="18"/>
  <c r="G86" i="18" s="1"/>
  <c r="F15" i="18"/>
  <c r="G15" i="18" s="1"/>
  <c r="F31" i="18"/>
  <c r="G31" i="18" s="1"/>
  <c r="F47" i="18"/>
  <c r="G47" i="18" s="1"/>
  <c r="F63" i="18"/>
  <c r="G63" i="18" s="1"/>
  <c r="F79" i="18"/>
  <c r="G79" i="18" s="1"/>
  <c r="F95" i="18"/>
  <c r="G95" i="18" s="1"/>
  <c r="F111" i="18"/>
  <c r="G111" i="18" s="1"/>
  <c r="F72" i="18"/>
  <c r="G72" i="18" s="1"/>
  <c r="F104" i="18"/>
  <c r="G104" i="18" s="1"/>
  <c r="F90" i="18"/>
  <c r="G90" i="18" s="1"/>
  <c r="F44" i="18"/>
  <c r="G44" i="18" s="1"/>
  <c r="F118" i="18"/>
  <c r="G118" i="18" s="1"/>
  <c r="F24" i="18"/>
  <c r="G24" i="18" s="1"/>
  <c r="F26" i="18"/>
  <c r="G26" i="18" s="1"/>
  <c r="F94" i="18"/>
  <c r="G94" i="18" s="1"/>
  <c r="F17" i="18"/>
  <c r="G17" i="18" s="1"/>
  <c r="F33" i="18"/>
  <c r="G33" i="18" s="1"/>
  <c r="F49" i="18"/>
  <c r="G49" i="18" s="1"/>
  <c r="F65" i="18"/>
  <c r="G65" i="18" s="1"/>
  <c r="F81" i="18"/>
  <c r="G81" i="18" s="1"/>
  <c r="F97" i="18"/>
  <c r="G97" i="18" s="1"/>
  <c r="F113" i="18"/>
  <c r="G113" i="18" s="1"/>
  <c r="F76" i="18"/>
  <c r="G76" i="18" s="1"/>
  <c r="F108" i="18"/>
  <c r="G108" i="18" s="1"/>
  <c r="F102" i="18"/>
  <c r="G102" i="18" s="1"/>
  <c r="F52" i="18"/>
  <c r="G52" i="18" s="1"/>
  <c r="F22" i="18"/>
  <c r="G22" i="18" s="1"/>
  <c r="F32" i="18"/>
  <c r="G32" i="18" s="1"/>
  <c r="F34" i="18"/>
  <c r="G34" i="18" s="1"/>
  <c r="F106" i="18"/>
  <c r="G106" i="18" s="1"/>
  <c r="F41" i="18"/>
  <c r="G41" i="18" s="1"/>
  <c r="F89" i="18"/>
  <c r="G89" i="18" s="1"/>
  <c r="F121" i="18"/>
  <c r="G121" i="18" s="1"/>
  <c r="F20" i="18"/>
  <c r="G20" i="18" s="1"/>
  <c r="F62" i="18"/>
  <c r="G62" i="18" s="1"/>
  <c r="F27" i="18"/>
  <c r="G27" i="18" s="1"/>
  <c r="F59" i="18"/>
  <c r="G59" i="18" s="1"/>
  <c r="F107" i="18"/>
  <c r="G107" i="18" s="1"/>
  <c r="F46" i="18"/>
  <c r="G46" i="18" s="1"/>
  <c r="F8" i="18"/>
  <c r="G8" i="18" s="1"/>
  <c r="F29" i="18"/>
  <c r="G29" i="18" s="1"/>
  <c r="F77" i="18"/>
  <c r="G77" i="18" s="1"/>
  <c r="F100" i="18"/>
  <c r="G100" i="18" s="1"/>
  <c r="F16" i="18"/>
  <c r="G16" i="18" s="1"/>
  <c r="F4" i="17"/>
  <c r="G4" i="17" s="1"/>
  <c r="F20" i="17"/>
  <c r="G20" i="17" s="1"/>
  <c r="F36" i="17"/>
  <c r="G36" i="17" s="1"/>
  <c r="F52" i="17"/>
  <c r="G52" i="17" s="1"/>
  <c r="F68" i="17"/>
  <c r="G68" i="17" s="1"/>
  <c r="F84" i="17"/>
  <c r="G84" i="17" s="1"/>
  <c r="F100" i="17"/>
  <c r="G100" i="17" s="1"/>
  <c r="F116" i="17"/>
  <c r="G116" i="17" s="1"/>
  <c r="F9" i="17"/>
  <c r="G9" i="17" s="1"/>
  <c r="F35" i="17"/>
  <c r="G35" i="17" s="1"/>
  <c r="F41" i="17"/>
  <c r="G41" i="17" s="1"/>
  <c r="F25" i="17"/>
  <c r="G25" i="17" s="1"/>
  <c r="F31" i="17"/>
  <c r="G31" i="17" s="1"/>
  <c r="F55" i="17"/>
  <c r="G55" i="17" s="1"/>
  <c r="F29" i="17"/>
  <c r="G29" i="17" s="1"/>
  <c r="F6" i="17"/>
  <c r="G6" i="17" s="1"/>
  <c r="F22" i="17"/>
  <c r="G22" i="17" s="1"/>
  <c r="F38" i="17"/>
  <c r="G38" i="17" s="1"/>
  <c r="F54" i="17"/>
  <c r="G54" i="17" s="1"/>
  <c r="F70" i="17"/>
  <c r="G70" i="17" s="1"/>
  <c r="F86" i="17"/>
  <c r="G86" i="17" s="1"/>
  <c r="F102" i="17"/>
  <c r="G102" i="17" s="1"/>
  <c r="F118" i="17"/>
  <c r="G118" i="17" s="1"/>
  <c r="F33" i="17"/>
  <c r="G33" i="17" s="1"/>
  <c r="F43" i="17"/>
  <c r="G43" i="17" s="1"/>
  <c r="F77" i="17"/>
  <c r="G77" i="17" s="1"/>
  <c r="F49" i="17"/>
  <c r="G49" i="17" s="1"/>
  <c r="F39" i="17"/>
  <c r="G39" i="17" s="1"/>
  <c r="F71" i="17"/>
  <c r="G71" i="17" s="1"/>
  <c r="F37" i="17"/>
  <c r="G37" i="17" s="1"/>
  <c r="F87" i="17"/>
  <c r="G87" i="17" s="1"/>
  <c r="F10" i="17"/>
  <c r="G10" i="17" s="1"/>
  <c r="F42" i="17"/>
  <c r="G42" i="17" s="1"/>
  <c r="F90" i="17"/>
  <c r="G90" i="17" s="1"/>
  <c r="F59" i="17"/>
  <c r="G59" i="17" s="1"/>
  <c r="F57" i="17"/>
  <c r="G57" i="17" s="1"/>
  <c r="F12" i="17"/>
  <c r="G12" i="17" s="1"/>
  <c r="F60" i="17"/>
  <c r="G60" i="17" s="1"/>
  <c r="F108" i="17"/>
  <c r="G108" i="17" s="1"/>
  <c r="F63" i="17"/>
  <c r="G63" i="17" s="1"/>
  <c r="F119" i="17"/>
  <c r="G119" i="17" s="1"/>
  <c r="F8" i="17"/>
  <c r="G8" i="17" s="1"/>
  <c r="F24" i="17"/>
  <c r="G24" i="17" s="1"/>
  <c r="F40" i="17"/>
  <c r="G40" i="17" s="1"/>
  <c r="F56" i="17"/>
  <c r="G56" i="17" s="1"/>
  <c r="F72" i="17"/>
  <c r="G72" i="17" s="1"/>
  <c r="F88" i="17"/>
  <c r="G88" i="17" s="1"/>
  <c r="F104" i="17"/>
  <c r="G104" i="17" s="1"/>
  <c r="F120" i="17"/>
  <c r="G120" i="17" s="1"/>
  <c r="F61" i="17"/>
  <c r="G61" i="17" s="1"/>
  <c r="F51" i="17"/>
  <c r="G51" i="17" s="1"/>
  <c r="F109" i="17"/>
  <c r="G109" i="17" s="1"/>
  <c r="F93" i="17"/>
  <c r="G93" i="17" s="1"/>
  <c r="F47" i="17"/>
  <c r="G47" i="17" s="1"/>
  <c r="F45" i="17"/>
  <c r="G45" i="17" s="1"/>
  <c r="F26" i="17"/>
  <c r="G26" i="17" s="1"/>
  <c r="F58" i="17"/>
  <c r="G58" i="17" s="1"/>
  <c r="F74" i="17"/>
  <c r="G74" i="17" s="1"/>
  <c r="F122" i="17"/>
  <c r="G122" i="17" s="1"/>
  <c r="F75" i="17"/>
  <c r="G75" i="17" s="1"/>
  <c r="F53" i="17"/>
  <c r="G53" i="17" s="1"/>
  <c r="F44" i="17"/>
  <c r="G44" i="17" s="1"/>
  <c r="F92" i="17"/>
  <c r="G92" i="17" s="1"/>
  <c r="F3" i="17"/>
  <c r="F107" i="17"/>
  <c r="G107" i="17" s="1"/>
  <c r="F69" i="17"/>
  <c r="G69" i="17" s="1"/>
  <c r="F14" i="17"/>
  <c r="G14" i="17" s="1"/>
  <c r="F30" i="17"/>
  <c r="G30" i="17" s="1"/>
  <c r="F46" i="17"/>
  <c r="G46" i="17" s="1"/>
  <c r="F62" i="17"/>
  <c r="G62" i="17" s="1"/>
  <c r="F78" i="17"/>
  <c r="G78" i="17" s="1"/>
  <c r="F94" i="17"/>
  <c r="G94" i="17" s="1"/>
  <c r="F110" i="17"/>
  <c r="G110" i="17" s="1"/>
  <c r="F83" i="17"/>
  <c r="G83" i="17" s="1"/>
  <c r="F11" i="17"/>
  <c r="G11" i="17" s="1"/>
  <c r="F97" i="17"/>
  <c r="G97" i="17" s="1"/>
  <c r="F79" i="17"/>
  <c r="G79" i="17" s="1"/>
  <c r="F7" i="17"/>
  <c r="G7" i="17" s="1"/>
  <c r="F89" i="17"/>
  <c r="G89" i="17" s="1"/>
  <c r="F5" i="17"/>
  <c r="G5" i="17" s="1"/>
  <c r="F85" i="17"/>
  <c r="G85" i="17" s="1"/>
  <c r="F16" i="17"/>
  <c r="G16" i="17" s="1"/>
  <c r="F32" i="17"/>
  <c r="G32" i="17" s="1"/>
  <c r="F48" i="17"/>
  <c r="G48" i="17" s="1"/>
  <c r="F64" i="17"/>
  <c r="G64" i="17" s="1"/>
  <c r="F80" i="17"/>
  <c r="G80" i="17" s="1"/>
  <c r="F96" i="17"/>
  <c r="G96" i="17" s="1"/>
  <c r="F112" i="17"/>
  <c r="G112" i="17" s="1"/>
  <c r="F99" i="17"/>
  <c r="G99" i="17" s="1"/>
  <c r="F19" i="17"/>
  <c r="G19" i="17" s="1"/>
  <c r="F113" i="17"/>
  <c r="G113" i="17" s="1"/>
  <c r="F95" i="17"/>
  <c r="G95" i="17" s="1"/>
  <c r="F15" i="17"/>
  <c r="G15" i="17" s="1"/>
  <c r="F105" i="17"/>
  <c r="G105" i="17" s="1"/>
  <c r="F13" i="17"/>
  <c r="G13" i="17" s="1"/>
  <c r="F101" i="17"/>
  <c r="G101" i="17" s="1"/>
  <c r="F18" i="17"/>
  <c r="G18" i="17" s="1"/>
  <c r="F34" i="17"/>
  <c r="G34" i="17" s="1"/>
  <c r="F50" i="17"/>
  <c r="G50" i="17" s="1"/>
  <c r="F66" i="17"/>
  <c r="G66" i="17" s="1"/>
  <c r="F82" i="17"/>
  <c r="G82" i="17" s="1"/>
  <c r="F98" i="17"/>
  <c r="G98" i="17" s="1"/>
  <c r="F114" i="17"/>
  <c r="G114" i="17" s="1"/>
  <c r="F115" i="17"/>
  <c r="G115" i="17" s="1"/>
  <c r="F27" i="17"/>
  <c r="G27" i="17" s="1"/>
  <c r="F17" i="17"/>
  <c r="G17" i="17" s="1"/>
  <c r="F111" i="17"/>
  <c r="G111" i="17" s="1"/>
  <c r="F23" i="17"/>
  <c r="G23" i="17" s="1"/>
  <c r="F121" i="17"/>
  <c r="G121" i="17" s="1"/>
  <c r="F21" i="17"/>
  <c r="G21" i="17" s="1"/>
  <c r="F117" i="17"/>
  <c r="G117" i="17" s="1"/>
  <c r="F106" i="17"/>
  <c r="G106" i="17" s="1"/>
  <c r="F65" i="17"/>
  <c r="G65" i="17" s="1"/>
  <c r="F91" i="17"/>
  <c r="G91" i="17" s="1"/>
  <c r="F103" i="17"/>
  <c r="G103" i="17" s="1"/>
  <c r="F28" i="17"/>
  <c r="G28" i="17" s="1"/>
  <c r="F76" i="17"/>
  <c r="G76" i="17" s="1"/>
  <c r="F67" i="17"/>
  <c r="G67" i="17" s="1"/>
  <c r="F81" i="17"/>
  <c r="G81" i="17" s="1"/>
  <c r="F73" i="17"/>
  <c r="G73" i="17" s="1"/>
  <c r="E2" i="16"/>
  <c r="F2" i="16" s="1"/>
  <c r="D2" i="15"/>
  <c r="E2" i="15" s="1"/>
  <c r="F2" i="17"/>
  <c r="G2" i="17" s="1"/>
  <c r="G3" i="17"/>
  <c r="F2" i="18"/>
  <c r="G2" i="18" s="1"/>
  <c r="G4" i="18"/>
  <c r="F2" i="19"/>
  <c r="G2" i="19" s="1"/>
  <c r="G3" i="19"/>
  <c r="D8" i="14" l="1"/>
  <c r="C3" i="13"/>
  <c r="D3" i="13"/>
  <c r="D4" i="13" s="1"/>
  <c r="D5" i="13" s="1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C3" i="12"/>
  <c r="D3" i="12"/>
  <c r="D4" i="12" s="1"/>
  <c r="D5" i="12" s="1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C3" i="11"/>
  <c r="D3" i="11"/>
  <c r="D4" i="11" s="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B1" i="14"/>
  <c r="E3" i="13" l="1"/>
  <c r="E3" i="11"/>
  <c r="E3" i="12"/>
  <c r="C4" i="13"/>
  <c r="C4" i="12"/>
  <c r="C4" i="11"/>
  <c r="F3" i="13"/>
  <c r="G3" i="13" s="1"/>
  <c r="F3" i="11"/>
  <c r="G3" i="11" s="1"/>
  <c r="F3" i="12"/>
  <c r="G3" i="12" s="1"/>
  <c r="C5" i="13" l="1"/>
  <c r="E4" i="13"/>
  <c r="E2" i="12"/>
  <c r="C5" i="12"/>
  <c r="E4" i="12"/>
  <c r="E2" i="11"/>
  <c r="C5" i="11"/>
  <c r="E4" i="11"/>
  <c r="F4" i="13"/>
  <c r="G4" i="13" s="1"/>
  <c r="F4" i="12"/>
  <c r="F4" i="11"/>
  <c r="G4" i="11" s="1"/>
  <c r="G4" i="12"/>
  <c r="C6" i="13" l="1"/>
  <c r="E5" i="13"/>
  <c r="E5" i="12"/>
  <c r="C6" i="12"/>
  <c r="E5" i="11"/>
  <c r="C6" i="11"/>
  <c r="F5" i="13"/>
  <c r="G5" i="13" s="1"/>
  <c r="F5" i="12"/>
  <c r="F5" i="11"/>
  <c r="G5" i="11"/>
  <c r="G5" i="12"/>
  <c r="E6" i="13" l="1"/>
  <c r="C7" i="13"/>
  <c r="C7" i="12"/>
  <c r="E6" i="12"/>
  <c r="E6" i="11"/>
  <c r="C7" i="11"/>
  <c r="F6" i="13"/>
  <c r="G6" i="13" s="1"/>
  <c r="F6" i="12"/>
  <c r="F6" i="11"/>
  <c r="G6" i="11"/>
  <c r="G6" i="12"/>
  <c r="E2" i="13" l="1"/>
  <c r="C8" i="13"/>
  <c r="E7" i="13"/>
  <c r="E7" i="12"/>
  <c r="C8" i="12"/>
  <c r="C8" i="11"/>
  <c r="E7" i="11"/>
  <c r="F7" i="13"/>
  <c r="F7" i="12"/>
  <c r="F7" i="11"/>
  <c r="G7" i="11"/>
  <c r="G7" i="12"/>
  <c r="G7" i="13"/>
  <c r="E8" i="13" l="1"/>
  <c r="C9" i="13"/>
  <c r="E8" i="12"/>
  <c r="C9" i="12"/>
  <c r="E8" i="11"/>
  <c r="C9" i="11"/>
  <c r="F8" i="13"/>
  <c r="F8" i="12"/>
  <c r="F8" i="11"/>
  <c r="G8" i="11"/>
  <c r="G8" i="12"/>
  <c r="G8" i="13"/>
  <c r="E9" i="13" l="1"/>
  <c r="C10" i="13"/>
  <c r="E9" i="12"/>
  <c r="C10" i="12"/>
  <c r="C10" i="11"/>
  <c r="E9" i="11"/>
  <c r="F9" i="13"/>
  <c r="F9" i="12"/>
  <c r="F9" i="11"/>
  <c r="G9" i="11"/>
  <c r="G9" i="12"/>
  <c r="G9" i="13"/>
  <c r="E10" i="13" l="1"/>
  <c r="C11" i="13"/>
  <c r="E10" i="12"/>
  <c r="C11" i="12"/>
  <c r="E10" i="11"/>
  <c r="C11" i="11"/>
  <c r="F10" i="13"/>
  <c r="F10" i="12"/>
  <c r="F10" i="11"/>
  <c r="G10" i="11"/>
  <c r="G10" i="12"/>
  <c r="G10" i="13"/>
  <c r="E11" i="13" l="1"/>
  <c r="C12" i="13"/>
  <c r="E11" i="12"/>
  <c r="C12" i="12"/>
  <c r="E11" i="11"/>
  <c r="C12" i="11"/>
  <c r="F11" i="13"/>
  <c r="F11" i="12"/>
  <c r="F11" i="11"/>
  <c r="G11" i="11"/>
  <c r="G11" i="12"/>
  <c r="G11" i="13"/>
  <c r="C13" i="13" l="1"/>
  <c r="E12" i="13"/>
  <c r="C13" i="12"/>
  <c r="E12" i="12"/>
  <c r="C13" i="11"/>
  <c r="E12" i="11"/>
  <c r="F12" i="13"/>
  <c r="F12" i="12"/>
  <c r="F12" i="11"/>
  <c r="G12" i="11"/>
  <c r="G12" i="12"/>
  <c r="G12" i="13"/>
  <c r="C14" i="13" l="1"/>
  <c r="E13" i="13"/>
  <c r="E13" i="12"/>
  <c r="C14" i="12"/>
  <c r="E13" i="11"/>
  <c r="C14" i="11"/>
  <c r="F13" i="13"/>
  <c r="F13" i="12"/>
  <c r="F13" i="11"/>
  <c r="G13" i="11"/>
  <c r="G13" i="12"/>
  <c r="G13" i="13"/>
  <c r="E14" i="13" l="1"/>
  <c r="C15" i="13"/>
  <c r="C15" i="12"/>
  <c r="E14" i="12"/>
  <c r="E14" i="11"/>
  <c r="C15" i="11"/>
  <c r="F14" i="13"/>
  <c r="F14" i="12"/>
  <c r="F14" i="11"/>
  <c r="G14" i="11"/>
  <c r="G14" i="12"/>
  <c r="G14" i="13"/>
  <c r="E15" i="13" l="1"/>
  <c r="C16" i="13"/>
  <c r="C16" i="12"/>
  <c r="E15" i="12"/>
  <c r="C16" i="11"/>
  <c r="E15" i="11"/>
  <c r="F15" i="13"/>
  <c r="F15" i="12"/>
  <c r="F15" i="11"/>
  <c r="G15" i="11"/>
  <c r="G15" i="12"/>
  <c r="G15" i="13"/>
  <c r="C17" i="13" l="1"/>
  <c r="E16" i="13"/>
  <c r="E16" i="12"/>
  <c r="C17" i="12"/>
  <c r="E16" i="11"/>
  <c r="C17" i="11"/>
  <c r="F16" i="13"/>
  <c r="F16" i="12"/>
  <c r="F16" i="11"/>
  <c r="G16" i="11"/>
  <c r="G16" i="12"/>
  <c r="G16" i="13"/>
  <c r="E17" i="13" l="1"/>
  <c r="C18" i="13"/>
  <c r="C18" i="12"/>
  <c r="E17" i="12"/>
  <c r="C18" i="11"/>
  <c r="E17" i="11"/>
  <c r="F17" i="13"/>
  <c r="F17" i="12"/>
  <c r="F17" i="11"/>
  <c r="G17" i="11"/>
  <c r="G17" i="12"/>
  <c r="G17" i="13"/>
  <c r="E18" i="13" l="1"/>
  <c r="C19" i="13"/>
  <c r="C19" i="12"/>
  <c r="E18" i="12"/>
  <c r="E18" i="11"/>
  <c r="C19" i="11"/>
  <c r="F18" i="13"/>
  <c r="F18" i="12"/>
  <c r="F18" i="11"/>
  <c r="G18" i="11"/>
  <c r="G18" i="12"/>
  <c r="G18" i="13"/>
  <c r="E19" i="13" l="1"/>
  <c r="C20" i="13"/>
  <c r="E19" i="12"/>
  <c r="C20" i="12"/>
  <c r="E19" i="11"/>
  <c r="C20" i="11"/>
  <c r="F19" i="13"/>
  <c r="F19" i="12"/>
  <c r="F19" i="11"/>
  <c r="G19" i="11"/>
  <c r="G19" i="12"/>
  <c r="G19" i="13"/>
  <c r="C21" i="13" l="1"/>
  <c r="E20" i="13"/>
  <c r="C21" i="12"/>
  <c r="E20" i="12"/>
  <c r="C21" i="11"/>
  <c r="E20" i="11"/>
  <c r="F20" i="13"/>
  <c r="F20" i="12"/>
  <c r="F20" i="11"/>
  <c r="G20" i="11"/>
  <c r="G20" i="12"/>
  <c r="G20" i="13"/>
  <c r="C22" i="13" l="1"/>
  <c r="E21" i="13"/>
  <c r="E21" i="12"/>
  <c r="C22" i="12"/>
  <c r="E21" i="11"/>
  <c r="C22" i="11"/>
  <c r="F21" i="13"/>
  <c r="F21" i="12"/>
  <c r="F21" i="11"/>
  <c r="G21" i="11"/>
  <c r="G21" i="12"/>
  <c r="G21" i="13"/>
  <c r="E22" i="13" l="1"/>
  <c r="C23" i="13"/>
  <c r="E22" i="12"/>
  <c r="C23" i="12"/>
  <c r="E22" i="11"/>
  <c r="C23" i="11"/>
  <c r="F22" i="13"/>
  <c r="F22" i="12"/>
  <c r="F22" i="11"/>
  <c r="G22" i="11"/>
  <c r="G22" i="12"/>
  <c r="G22" i="13"/>
  <c r="E23" i="13" l="1"/>
  <c r="C24" i="13"/>
  <c r="C24" i="12"/>
  <c r="E23" i="12"/>
  <c r="C24" i="11"/>
  <c r="E23" i="11"/>
  <c r="F23" i="13"/>
  <c r="F23" i="12"/>
  <c r="F23" i="11"/>
  <c r="G23" i="11"/>
  <c r="G23" i="12"/>
  <c r="G23" i="13"/>
  <c r="C25" i="13" l="1"/>
  <c r="E24" i="13"/>
  <c r="E24" i="12"/>
  <c r="C25" i="12"/>
  <c r="E24" i="11"/>
  <c r="C25" i="11"/>
  <c r="F24" i="13"/>
  <c r="F24" i="12"/>
  <c r="F24" i="11"/>
  <c r="G24" i="11"/>
  <c r="G24" i="12"/>
  <c r="G24" i="13"/>
  <c r="E25" i="13" l="1"/>
  <c r="C26" i="13"/>
  <c r="C26" i="12"/>
  <c r="E25" i="12"/>
  <c r="C26" i="11"/>
  <c r="E25" i="11"/>
  <c r="F25" i="13"/>
  <c r="F25" i="12"/>
  <c r="F25" i="11"/>
  <c r="G25" i="11"/>
  <c r="G25" i="12"/>
  <c r="G25" i="13"/>
  <c r="C27" i="13" l="1"/>
  <c r="E26" i="13"/>
  <c r="E26" i="12"/>
  <c r="C27" i="12"/>
  <c r="C27" i="11"/>
  <c r="E26" i="11"/>
  <c r="F26" i="13"/>
  <c r="F26" i="12"/>
  <c r="F26" i="11"/>
  <c r="G26" i="11"/>
  <c r="G26" i="12"/>
  <c r="G26" i="13"/>
  <c r="E27" i="13" l="1"/>
  <c r="C28" i="13"/>
  <c r="E27" i="12"/>
  <c r="C28" i="12"/>
  <c r="E27" i="11"/>
  <c r="C28" i="11"/>
  <c r="F27" i="13"/>
  <c r="F27" i="12"/>
  <c r="F27" i="11"/>
  <c r="G27" i="11"/>
  <c r="G27" i="12"/>
  <c r="G27" i="13"/>
  <c r="C29" i="13" l="1"/>
  <c r="E28" i="13"/>
  <c r="C29" i="12"/>
  <c r="E28" i="12"/>
  <c r="C29" i="11"/>
  <c r="E28" i="11"/>
  <c r="F28" i="13"/>
  <c r="F28" i="12"/>
  <c r="F28" i="11"/>
  <c r="G28" i="11"/>
  <c r="G28" i="12"/>
  <c r="G28" i="13"/>
  <c r="C30" i="13" l="1"/>
  <c r="E29" i="13"/>
  <c r="E29" i="12"/>
  <c r="C30" i="12"/>
  <c r="E29" i="11"/>
  <c r="C30" i="11"/>
  <c r="F29" i="13"/>
  <c r="F29" i="12"/>
  <c r="F29" i="11"/>
  <c r="G29" i="11"/>
  <c r="G29" i="12"/>
  <c r="G29" i="13"/>
  <c r="E30" i="13" l="1"/>
  <c r="C31" i="13"/>
  <c r="E30" i="12"/>
  <c r="C31" i="12"/>
  <c r="E30" i="11"/>
  <c r="C31" i="11"/>
  <c r="F30" i="13"/>
  <c r="F30" i="12"/>
  <c r="F30" i="11"/>
  <c r="G30" i="11"/>
  <c r="G30" i="12"/>
  <c r="G30" i="13"/>
  <c r="E31" i="13" l="1"/>
  <c r="C32" i="13"/>
  <c r="C32" i="12"/>
  <c r="E31" i="12"/>
  <c r="C32" i="11"/>
  <c r="E31" i="11"/>
  <c r="F31" i="13"/>
  <c r="F31" i="12"/>
  <c r="F31" i="11"/>
  <c r="G31" i="11"/>
  <c r="G31" i="12"/>
  <c r="G31" i="13"/>
  <c r="C33" i="13" l="1"/>
  <c r="E32" i="13"/>
  <c r="E32" i="12"/>
  <c r="C33" i="12"/>
  <c r="E32" i="11"/>
  <c r="C33" i="11"/>
  <c r="F32" i="13"/>
  <c r="F32" i="12"/>
  <c r="F32" i="11"/>
  <c r="G32" i="11"/>
  <c r="G32" i="12"/>
  <c r="G32" i="13"/>
  <c r="E33" i="13" l="1"/>
  <c r="C34" i="13"/>
  <c r="C34" i="12"/>
  <c r="E33" i="12"/>
  <c r="C34" i="11"/>
  <c r="E33" i="11"/>
  <c r="F33" i="13"/>
  <c r="F33" i="12"/>
  <c r="F33" i="11"/>
  <c r="G33" i="11"/>
  <c r="G33" i="12"/>
  <c r="G33" i="13"/>
  <c r="E34" i="13" l="1"/>
  <c r="C35" i="13"/>
  <c r="E34" i="12"/>
  <c r="C35" i="12"/>
  <c r="E34" i="11"/>
  <c r="C35" i="11"/>
  <c r="F34" i="13"/>
  <c r="F34" i="12"/>
  <c r="F34" i="11"/>
  <c r="G34" i="11"/>
  <c r="G34" i="12"/>
  <c r="G34" i="13"/>
  <c r="E35" i="13" l="1"/>
  <c r="C36" i="13"/>
  <c r="E35" i="12"/>
  <c r="C36" i="12"/>
  <c r="E35" i="11"/>
  <c r="C36" i="11"/>
  <c r="F35" i="13"/>
  <c r="F35" i="12"/>
  <c r="F35" i="11"/>
  <c r="G35" i="11"/>
  <c r="G35" i="12"/>
  <c r="G35" i="13"/>
  <c r="C37" i="13" l="1"/>
  <c r="E36" i="13"/>
  <c r="C37" i="12"/>
  <c r="E36" i="12"/>
  <c r="C37" i="11"/>
  <c r="E36" i="11"/>
  <c r="F36" i="13"/>
  <c r="F36" i="12"/>
  <c r="F36" i="11"/>
  <c r="G36" i="11"/>
  <c r="G36" i="12"/>
  <c r="G36" i="13"/>
  <c r="C38" i="13" l="1"/>
  <c r="E37" i="13"/>
  <c r="C38" i="12"/>
  <c r="E37" i="12"/>
  <c r="E37" i="11"/>
  <c r="C38" i="11"/>
  <c r="F37" i="13"/>
  <c r="F37" i="12"/>
  <c r="F37" i="11"/>
  <c r="G37" i="11"/>
  <c r="G37" i="12"/>
  <c r="G37" i="13"/>
  <c r="E38" i="13" l="1"/>
  <c r="C39" i="13"/>
  <c r="E38" i="12"/>
  <c r="C39" i="12"/>
  <c r="E38" i="11"/>
  <c r="C39" i="11"/>
  <c r="F38" i="13"/>
  <c r="F38" i="12"/>
  <c r="F38" i="11"/>
  <c r="G38" i="11"/>
  <c r="G38" i="12"/>
  <c r="G38" i="13"/>
  <c r="E39" i="13" l="1"/>
  <c r="C40" i="13"/>
  <c r="E40" i="13" s="1"/>
  <c r="C40" i="12"/>
  <c r="E40" i="12" s="1"/>
  <c r="E39" i="12"/>
  <c r="C40" i="11"/>
  <c r="E40" i="11" s="1"/>
  <c r="E39" i="11"/>
  <c r="F39" i="13"/>
  <c r="F40" i="13"/>
  <c r="G40" i="13" s="1"/>
  <c r="F40" i="12"/>
  <c r="G40" i="12" s="1"/>
  <c r="F39" i="12"/>
  <c r="F40" i="11"/>
  <c r="G40" i="11" s="1"/>
  <c r="F39" i="11"/>
  <c r="F2" i="11"/>
  <c r="G2" i="11" s="1"/>
  <c r="G39" i="11"/>
  <c r="F2" i="12"/>
  <c r="G2" i="12" s="1"/>
  <c r="G39" i="12"/>
  <c r="F2" i="13"/>
  <c r="G2" i="13" s="1"/>
  <c r="G39" i="13"/>
  <c r="D9" i="10" l="1"/>
  <c r="D11" i="10"/>
  <c r="D12" i="10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B1" i="10"/>
  <c r="F12" i="8"/>
  <c r="F20" i="8"/>
  <c r="F28" i="8"/>
  <c r="F36" i="8"/>
  <c r="F44" i="8"/>
  <c r="F52" i="8"/>
  <c r="F60" i="8"/>
  <c r="F45" i="8"/>
  <c r="F8" i="8"/>
  <c r="F32" i="8"/>
  <c r="F56" i="8"/>
  <c r="F64" i="8"/>
  <c r="G32" i="8"/>
  <c r="F35" i="8"/>
  <c r="G64" i="8"/>
  <c r="F22" i="8"/>
  <c r="F46" i="8"/>
  <c r="F33" i="8"/>
  <c r="G33" i="8" s="1"/>
  <c r="F41" i="8"/>
  <c r="G41" i="8" s="1"/>
  <c r="F49" i="8"/>
  <c r="G49" i="8" s="1"/>
  <c r="F7" i="8"/>
  <c r="G12" i="8"/>
  <c r="F15" i="8"/>
  <c r="G20" i="8"/>
  <c r="F23" i="8"/>
  <c r="G28" i="8"/>
  <c r="F31" i="8"/>
  <c r="G36" i="8"/>
  <c r="F39" i="8"/>
  <c r="G44" i="8"/>
  <c r="F47" i="8"/>
  <c r="G52" i="8"/>
  <c r="F55" i="8"/>
  <c r="G60" i="8"/>
  <c r="F63" i="8"/>
  <c r="G47" i="8"/>
  <c r="F50" i="8"/>
  <c r="G55" i="8"/>
  <c r="F58" i="8"/>
  <c r="G63" i="8"/>
  <c r="F13" i="8"/>
  <c r="F21" i="8"/>
  <c r="F29" i="8"/>
  <c r="G29" i="8" s="1"/>
  <c r="F37" i="8"/>
  <c r="G58" i="8"/>
  <c r="G13" i="8"/>
  <c r="F16" i="8"/>
  <c r="G16" i="8" s="1"/>
  <c r="G37" i="8"/>
  <c r="F40" i="8"/>
  <c r="G8" i="8"/>
  <c r="F19" i="8"/>
  <c r="G19" i="8" s="1"/>
  <c r="G40" i="8"/>
  <c r="F43" i="8"/>
  <c r="G43" i="8" s="1"/>
  <c r="G56" i="8"/>
  <c r="F14" i="8"/>
  <c r="G14" i="8" s="1"/>
  <c r="G35" i="8"/>
  <c r="F38" i="8"/>
  <c r="F9" i="8"/>
  <c r="G9" i="8" s="1"/>
  <c r="F17" i="8"/>
  <c r="G17" i="8" s="1"/>
  <c r="G22" i="8"/>
  <c r="G38" i="8"/>
  <c r="F57" i="8"/>
  <c r="G57" i="8" s="1"/>
  <c r="G7" i="8"/>
  <c r="F10" i="8"/>
  <c r="G15" i="8"/>
  <c r="F18" i="8"/>
  <c r="G18" i="8" s="1"/>
  <c r="G23" i="8"/>
  <c r="F26" i="8"/>
  <c r="G26" i="8" s="1"/>
  <c r="G31" i="8"/>
  <c r="F34" i="8"/>
  <c r="G34" i="8" s="1"/>
  <c r="G39" i="8"/>
  <c r="F42" i="8"/>
  <c r="G42" i="8" s="1"/>
  <c r="F66" i="8"/>
  <c r="G66" i="8" s="1"/>
  <c r="G10" i="8"/>
  <c r="G50" i="8"/>
  <c r="F53" i="8"/>
  <c r="G53" i="8" s="1"/>
  <c r="F61" i="8"/>
  <c r="G61" i="8" s="1"/>
  <c r="G21" i="8"/>
  <c r="F24" i="8"/>
  <c r="G45" i="8"/>
  <c r="F48" i="8"/>
  <c r="F11" i="8"/>
  <c r="G24" i="8"/>
  <c r="F27" i="8"/>
  <c r="G48" i="8"/>
  <c r="F51" i="8"/>
  <c r="F59" i="8"/>
  <c r="G59" i="8" s="1"/>
  <c r="G11" i="8"/>
  <c r="G27" i="8"/>
  <c r="F30" i="8"/>
  <c r="G30" i="8" s="1"/>
  <c r="G51" i="8"/>
  <c r="F54" i="8"/>
  <c r="G54" i="8" s="1"/>
  <c r="F62" i="8"/>
  <c r="F25" i="8"/>
  <c r="G25" i="8" s="1"/>
  <c r="G46" i="8"/>
  <c r="G62" i="8"/>
  <c r="F65" i="8"/>
  <c r="G65" i="8" s="1"/>
  <c r="F12" i="7"/>
  <c r="F20" i="7"/>
  <c r="F28" i="7"/>
  <c r="F36" i="7"/>
  <c r="F44" i="7"/>
  <c r="F52" i="7"/>
  <c r="F60" i="7"/>
  <c r="F13" i="7"/>
  <c r="F29" i="7"/>
  <c r="F37" i="7"/>
  <c r="F56" i="7"/>
  <c r="F7" i="7"/>
  <c r="G12" i="7"/>
  <c r="F15" i="7"/>
  <c r="G20" i="7"/>
  <c r="F23" i="7"/>
  <c r="G28" i="7"/>
  <c r="F31" i="7"/>
  <c r="G36" i="7"/>
  <c r="F39" i="7"/>
  <c r="G44" i="7"/>
  <c r="F47" i="7"/>
  <c r="G52" i="7"/>
  <c r="F55" i="7"/>
  <c r="G60" i="7"/>
  <c r="F63" i="7"/>
  <c r="F53" i="7"/>
  <c r="F16" i="7"/>
  <c r="G29" i="7"/>
  <c r="G37" i="7"/>
  <c r="F40" i="7"/>
  <c r="G53" i="7"/>
  <c r="G7" i="7"/>
  <c r="F10" i="7"/>
  <c r="G10" i="7" s="1"/>
  <c r="G15" i="7"/>
  <c r="F18" i="7"/>
  <c r="G23" i="7"/>
  <c r="F26" i="7"/>
  <c r="G26" i="7" s="1"/>
  <c r="G31" i="7"/>
  <c r="F34" i="7"/>
  <c r="G34" i="7" s="1"/>
  <c r="G39" i="7"/>
  <c r="F42" i="7"/>
  <c r="G47" i="7"/>
  <c r="F50" i="7"/>
  <c r="G50" i="7" s="1"/>
  <c r="G55" i="7"/>
  <c r="F58" i="7"/>
  <c r="G58" i="7" s="1"/>
  <c r="G63" i="7"/>
  <c r="F66" i="7"/>
  <c r="G18" i="7"/>
  <c r="F21" i="7"/>
  <c r="F45" i="7"/>
  <c r="F61" i="7"/>
  <c r="G61" i="7" s="1"/>
  <c r="G13" i="7"/>
  <c r="F32" i="7"/>
  <c r="F48" i="7"/>
  <c r="F64" i="7"/>
  <c r="F11" i="7"/>
  <c r="G16" i="7"/>
  <c r="F19" i="7"/>
  <c r="F27" i="7"/>
  <c r="G32" i="7"/>
  <c r="F35" i="7"/>
  <c r="G40" i="7"/>
  <c r="F43" i="7"/>
  <c r="G48" i="7"/>
  <c r="F51" i="7"/>
  <c r="G56" i="7"/>
  <c r="F59" i="7"/>
  <c r="G64" i="7"/>
  <c r="G11" i="7"/>
  <c r="F14" i="7"/>
  <c r="G19" i="7"/>
  <c r="F22" i="7"/>
  <c r="G27" i="7"/>
  <c r="F30" i="7"/>
  <c r="G35" i="7"/>
  <c r="F38" i="7"/>
  <c r="G43" i="7"/>
  <c r="F46" i="7"/>
  <c r="G51" i="7"/>
  <c r="F54" i="7"/>
  <c r="G59" i="7"/>
  <c r="F62" i="7"/>
  <c r="F9" i="7"/>
  <c r="G9" i="7" s="1"/>
  <c r="G14" i="7"/>
  <c r="F17" i="7"/>
  <c r="G17" i="7" s="1"/>
  <c r="G22" i="7"/>
  <c r="F25" i="7"/>
  <c r="G25" i="7" s="1"/>
  <c r="G30" i="7"/>
  <c r="F33" i="7"/>
  <c r="G33" i="7" s="1"/>
  <c r="G38" i="7"/>
  <c r="F41" i="7"/>
  <c r="G41" i="7" s="1"/>
  <c r="G46" i="7"/>
  <c r="F49" i="7"/>
  <c r="G49" i="7" s="1"/>
  <c r="G54" i="7"/>
  <c r="F57" i="7"/>
  <c r="G57" i="7" s="1"/>
  <c r="G62" i="7"/>
  <c r="F65" i="7"/>
  <c r="G65" i="7" s="1"/>
  <c r="G42" i="7"/>
  <c r="G66" i="7"/>
  <c r="F8" i="7"/>
  <c r="G8" i="7" s="1"/>
  <c r="G21" i="7"/>
  <c r="F24" i="7"/>
  <c r="G24" i="7" s="1"/>
  <c r="G45" i="7"/>
  <c r="I5" i="6"/>
  <c r="F11" i="6"/>
  <c r="F19" i="6"/>
  <c r="F6" i="6"/>
  <c r="F8" i="6"/>
  <c r="F16" i="6"/>
  <c r="G16" i="6"/>
  <c r="H19" i="6"/>
  <c r="F21" i="6"/>
  <c r="H8" i="6"/>
  <c r="H16" i="6"/>
  <c r="F18" i="6"/>
  <c r="G21" i="6"/>
  <c r="H6" i="6"/>
  <c r="G8" i="6"/>
  <c r="H11" i="6"/>
  <c r="F13" i="6"/>
  <c r="I6" i="6"/>
  <c r="F10" i="6"/>
  <c r="F22" i="6"/>
  <c r="H22" i="6" s="1"/>
  <c r="F7" i="6"/>
  <c r="I8" i="6"/>
  <c r="H13" i="6"/>
  <c r="F15" i="6"/>
  <c r="I16" i="6"/>
  <c r="H21" i="6"/>
  <c r="G7" i="6"/>
  <c r="H10" i="6"/>
  <c r="F12" i="6"/>
  <c r="H12" i="6" s="1"/>
  <c r="H18" i="6"/>
  <c r="F20" i="6"/>
  <c r="I21" i="6"/>
  <c r="G12" i="6"/>
  <c r="I12" i="6" s="1"/>
  <c r="G20" i="6"/>
  <c r="I20" i="6" s="1"/>
  <c r="I7" i="6"/>
  <c r="F14" i="6"/>
  <c r="H14" i="6" s="1"/>
  <c r="H20" i="6"/>
  <c r="H7" i="6"/>
  <c r="F9" i="6"/>
  <c r="H15" i="6"/>
  <c r="F17" i="6"/>
  <c r="G10" i="6"/>
  <c r="I10" i="6" s="1"/>
  <c r="G18" i="6"/>
  <c r="I18" i="6" s="1"/>
  <c r="G19" i="6"/>
  <c r="I19" i="6" s="1"/>
  <c r="G14" i="6"/>
  <c r="I14" i="6" s="1"/>
  <c r="G22" i="6"/>
  <c r="I22" i="6" s="1"/>
  <c r="G15" i="6"/>
  <c r="I15" i="6" s="1"/>
  <c r="G11" i="6"/>
  <c r="I11" i="6" s="1"/>
  <c r="G9" i="6"/>
  <c r="I9" i="6" s="1"/>
  <c r="H9" i="6"/>
  <c r="G17" i="6"/>
  <c r="I17" i="6" s="1"/>
  <c r="H17" i="6"/>
  <c r="G13" i="6"/>
  <c r="I13" i="6" s="1"/>
  <c r="F7" i="9" l="1"/>
  <c r="F69" i="9"/>
  <c r="G69" i="9" s="1"/>
  <c r="F68" i="9"/>
  <c r="G68" i="9" s="1"/>
  <c r="F67" i="9"/>
  <c r="G67" i="9" s="1"/>
  <c r="F66" i="9"/>
  <c r="G66" i="9" s="1"/>
  <c r="F65" i="9"/>
  <c r="G65" i="9" s="1"/>
  <c r="F64" i="9"/>
  <c r="G64" i="9" s="1"/>
  <c r="F63" i="9"/>
  <c r="G63" i="9" s="1"/>
  <c r="F62" i="9"/>
  <c r="G62" i="9" s="1"/>
  <c r="F61" i="9"/>
  <c r="G61" i="9" s="1"/>
  <c r="F60" i="9"/>
  <c r="G60" i="9" s="1"/>
  <c r="F59" i="9"/>
  <c r="G59" i="9" s="1"/>
  <c r="F58" i="9"/>
  <c r="G58" i="9" s="1"/>
  <c r="F57" i="9"/>
  <c r="G57" i="9" s="1"/>
  <c r="F56" i="9"/>
  <c r="G56" i="9" s="1"/>
  <c r="F55" i="9"/>
  <c r="G55" i="9" s="1"/>
  <c r="F54" i="9"/>
  <c r="G54" i="9" s="1"/>
  <c r="F53" i="9"/>
  <c r="G53" i="9" s="1"/>
  <c r="F52" i="9"/>
  <c r="G52" i="9" s="1"/>
  <c r="F51" i="9"/>
  <c r="G51" i="9" s="1"/>
  <c r="F50" i="9"/>
  <c r="G50" i="9" s="1"/>
  <c r="F49" i="9"/>
  <c r="G49" i="9" s="1"/>
  <c r="F48" i="9"/>
  <c r="G48" i="9" s="1"/>
  <c r="F47" i="9"/>
  <c r="G47" i="9" s="1"/>
  <c r="F46" i="9"/>
  <c r="G46" i="9" s="1"/>
  <c r="F45" i="9"/>
  <c r="G45" i="9" s="1"/>
  <c r="F44" i="9"/>
  <c r="G44" i="9" s="1"/>
  <c r="F43" i="9"/>
  <c r="G43" i="9" s="1"/>
  <c r="F42" i="9"/>
  <c r="G42" i="9" s="1"/>
  <c r="F41" i="9"/>
  <c r="G41" i="9" s="1"/>
  <c r="F40" i="9"/>
  <c r="G40" i="9" s="1"/>
  <c r="F39" i="9"/>
  <c r="G39" i="9" s="1"/>
  <c r="F38" i="9"/>
  <c r="G38" i="9" s="1"/>
  <c r="F37" i="9"/>
  <c r="G37" i="9" s="1"/>
  <c r="F36" i="9"/>
  <c r="G36" i="9" s="1"/>
  <c r="F35" i="9"/>
  <c r="G35" i="9" s="1"/>
  <c r="F34" i="9"/>
  <c r="G34" i="9" s="1"/>
  <c r="F33" i="9"/>
  <c r="G33" i="9" s="1"/>
  <c r="F32" i="9"/>
  <c r="G32" i="9" s="1"/>
  <c r="F31" i="9"/>
  <c r="G31" i="9" s="1"/>
  <c r="F30" i="9"/>
  <c r="G30" i="9" s="1"/>
  <c r="F29" i="9"/>
  <c r="G29" i="9" s="1"/>
  <c r="F28" i="9"/>
  <c r="G28" i="9" s="1"/>
  <c r="F27" i="9"/>
  <c r="G27" i="9" s="1"/>
  <c r="F26" i="9"/>
  <c r="G26" i="9" s="1"/>
  <c r="F25" i="9"/>
  <c r="G25" i="9" s="1"/>
  <c r="F24" i="9"/>
  <c r="G24" i="9" s="1"/>
  <c r="F23" i="9"/>
  <c r="G23" i="9" s="1"/>
  <c r="F22" i="9"/>
  <c r="G22" i="9" s="1"/>
  <c r="F21" i="9"/>
  <c r="G21" i="9" s="1"/>
  <c r="F20" i="9"/>
  <c r="G20" i="9" s="1"/>
  <c r="F19" i="9"/>
  <c r="G19" i="9" s="1"/>
  <c r="F18" i="9"/>
  <c r="G18" i="9" s="1"/>
  <c r="F17" i="9"/>
  <c r="G17" i="9" s="1"/>
  <c r="F16" i="9"/>
  <c r="G16" i="9" s="1"/>
  <c r="F15" i="9"/>
  <c r="G15" i="9" s="1"/>
  <c r="F14" i="9"/>
  <c r="G14" i="9" s="1"/>
  <c r="F13" i="9"/>
  <c r="G13" i="9" s="1"/>
  <c r="F12" i="9"/>
  <c r="G12" i="9" s="1"/>
  <c r="F11" i="9"/>
  <c r="G11" i="9" s="1"/>
  <c r="F10" i="9"/>
  <c r="G10" i="9" s="1"/>
  <c r="F9" i="9"/>
  <c r="G9" i="9" s="1"/>
  <c r="F6" i="8"/>
  <c r="G6" i="8" s="1"/>
  <c r="F6" i="7"/>
  <c r="G6" i="7" s="1"/>
  <c r="F5" i="6"/>
  <c r="H5" i="6" s="1"/>
  <c r="D8" i="5" l="1"/>
  <c r="D5" i="4"/>
  <c r="D6" i="4"/>
  <c r="D7" i="4"/>
  <c r="D8" i="4"/>
  <c r="D9" i="4"/>
  <c r="D10" i="4"/>
  <c r="D11" i="4"/>
  <c r="D12" i="4"/>
  <c r="C13" i="4"/>
  <c r="D13" i="4"/>
  <c r="C14" i="4"/>
  <c r="D14" i="4"/>
  <c r="C15" i="4"/>
  <c r="D15" i="4"/>
  <c r="C16" i="4"/>
  <c r="D16" i="4"/>
  <c r="C17" i="4"/>
  <c r="D17" i="4"/>
  <c r="D19" i="4"/>
  <c r="B1" i="5"/>
  <c r="E11" i="4"/>
  <c r="F11" i="4"/>
  <c r="E9" i="4"/>
  <c r="E14" i="4"/>
  <c r="E7" i="4"/>
  <c r="F14" i="4"/>
  <c r="F7" i="4"/>
  <c r="E10" i="4"/>
  <c r="F10" i="4"/>
  <c r="E8" i="4"/>
  <c r="F8" i="4" s="1"/>
  <c r="E15" i="4"/>
  <c r="E17" i="4"/>
  <c r="F15" i="4"/>
  <c r="F17" i="4"/>
  <c r="E6" i="4"/>
  <c r="F6" i="4"/>
  <c r="F9" i="4"/>
  <c r="E12" i="4"/>
  <c r="F12" i="4" s="1"/>
  <c r="E13" i="4"/>
  <c r="F13" i="4" s="1"/>
  <c r="E16" i="4"/>
  <c r="F16" i="4" s="1"/>
  <c r="D20" i="4" l="1"/>
  <c r="D21" i="4"/>
  <c r="D23" i="4"/>
  <c r="E20" i="4"/>
  <c r="F20" i="4"/>
  <c r="E21" i="4"/>
  <c r="F21" i="4" s="1"/>
  <c r="D24" i="4"/>
  <c r="D25" i="4"/>
  <c r="D26" i="4"/>
  <c r="D27" i="4"/>
  <c r="D28" i="4"/>
  <c r="D29" i="4"/>
  <c r="D30" i="4"/>
  <c r="D31" i="4"/>
  <c r="D32" i="4"/>
  <c r="D33" i="4"/>
  <c r="E24" i="4"/>
  <c r="E32" i="4"/>
  <c r="F24" i="4"/>
  <c r="E27" i="4"/>
  <c r="F32" i="4"/>
  <c r="F27" i="4"/>
  <c r="E30" i="4"/>
  <c r="F30" i="4"/>
  <c r="E33" i="4"/>
  <c r="E28" i="4"/>
  <c r="F33" i="4"/>
  <c r="F28" i="4"/>
  <c r="E31" i="4"/>
  <c r="F31" i="4"/>
  <c r="E29" i="4"/>
  <c r="F29" i="4" s="1"/>
  <c r="E25" i="4"/>
  <c r="F25" i="4" s="1"/>
  <c r="E26" i="4"/>
  <c r="F26" i="4" s="1"/>
  <c r="E23" i="4"/>
  <c r="F23" i="4" s="1"/>
  <c r="E19" i="4"/>
  <c r="F19" i="4" s="1"/>
  <c r="E5" i="4"/>
  <c r="F5" i="4" s="1"/>
  <c r="G6" i="39"/>
  <c r="H6" i="39"/>
  <c r="G6" i="40"/>
  <c r="H6" i="40"/>
</calcChain>
</file>

<file path=xl/sharedStrings.xml><?xml version="1.0" encoding="utf-8"?>
<sst xmlns="http://schemas.openxmlformats.org/spreadsheetml/2006/main" count="1428" uniqueCount="234">
  <si>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</si>
  <si>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</si>
  <si>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</si>
  <si>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</si>
  <si>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</si>
  <si>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</si>
  <si>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</si>
  <si>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</si>
  <si>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</si>
  <si>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</si>
  <si>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</si>
  <si>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</si>
  <si>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</si>
  <si>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</si>
  <si>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</si>
  <si>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</si>
  <si>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</si>
  <si>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</si>
  <si>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</si>
  <si>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</si>
  <si>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</si>
  <si>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</si>
  <si>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</si>
  <si>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</si>
  <si>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</si>
  <si>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</si>
  <si>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</si>
  <si>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</si>
  <si>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</si>
  <si>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</si>
  <si>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</si>
  <si>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</si>
  <si>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</si>
  <si>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</si>
  <si>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</si>
  <si>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</si>
  <si>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</si>
  <si>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</si>
  <si>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</si>
  <si>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</si>
  <si>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</si>
  <si>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</si>
  <si>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</si>
  <si>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</si>
  <si>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</si>
  <si>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</si>
  <si>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</si>
  <si>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</si>
  <si>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</si>
  <si>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</si>
  <si>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</si>
  <si>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</si>
  <si>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</si>
  <si>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</si>
  <si>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</si>
  <si>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</si>
  <si>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</si>
  <si>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</si>
  <si>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</si>
  <si>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</si>
  <si>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</si>
  <si>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</si>
  <si>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</si>
  <si>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</si>
  <si>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</si>
  <si>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</si>
  <si>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</si>
  <si>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</si>
  <si>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</si>
  <si>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</si>
  <si>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</si>
  <si>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</si>
  <si>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</si>
  <si>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</si>
  <si>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</si>
  <si>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</si>
  <si>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</si>
  <si>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</si>
  <si>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</si>
  <si>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</si>
  <si>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</si>
  <si>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</si>
  <si>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</si>
  <si>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</si>
  <si>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</si>
  <si>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</si>
  <si>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</si>
  <si>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</si>
  <si>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</si>
  <si>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</si>
  <si>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</si>
  <si>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</si>
  <si>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</si>
  <si>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</si>
  <si>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</si>
  <si>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</si>
  <si>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</si>
  <si>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</si>
  <si>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</si>
  <si>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</si>
  <si>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</si>
  <si>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</si>
  <si>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</si>
  <si>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</si>
  <si>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</si>
  <si>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</si>
  <si>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</si>
  <si>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</si>
  <si>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</si>
  <si>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</si>
  <si>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</si>
  <si>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</si>
  <si>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</si>
  <si>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</si>
  <si>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</si>
  <si>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</si>
  <si>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</si>
  <si>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</si>
  <si>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</si>
  <si>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</si>
  <si>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</si>
  <si>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</si>
  <si>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</si>
  <si>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</si>
  <si>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</si>
  <si>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</si>
  <si>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</si>
  <si>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</si>
  <si>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</si>
  <si>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</si>
  <si>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</si>
  <si>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</si>
  <si>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</si>
  <si>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</si>
  <si>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</si>
  <si>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</si>
  <si>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</si>
  <si>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</si>
  <si>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</si>
  <si>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</si>
  <si>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</si>
  <si>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</si>
  <si>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</si>
  <si>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</si>
  <si>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</si>
  <si>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GENERAL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</si>
  <si>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</si>
  <si>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</si>
  <si>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</si>
  <si>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</si>
  <si>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</si>
  <si>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</si>
  <si>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</si>
  <si>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</si>
  <si>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</si>
  <si>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</si>
  <si>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</si>
  <si>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</si>
  <si>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</si>
  <si>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</si>
  <si>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</si>
  <si>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</si>
  <si>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</si>
  <si>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</si>
  <si>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</si>
  <si>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</si>
  <si>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</si>
  <si>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</si>
  <si>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</si>
  <si>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</si>
  <si>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</si>
  <si>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</si>
  <si>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</si>
  <si>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</si>
  <si>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</si>
  <si>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</si>
  <si>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</si>
  <si>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</si>
  <si>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</si>
  <si>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</si>
  <si>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</si>
  <si>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</si>
  <si>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</si>
  <si>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</si>
  <si>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</si>
  <si>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</si>
  <si>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</si>
  <si>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</si>
  <si>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</si>
  <si>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</si>
  <si>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</si>
  <si>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</si>
  <si>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</si>
  <si>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</si>
  <si>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</si>
  <si>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</si>
  <si>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</si>
  <si>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</si>
  <si>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</si>
  <si>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</si>
  <si>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</si>
  <si>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</si>
  <si>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</si>
  <si>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</si>
  <si>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</si>
  <si>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</si>
  <si>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</si>
  <si>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</si>
  <si>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</si>
  <si>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</si>
  <si>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</si>
  <si>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</si>
  <si>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</si>
  <si>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</si>
  <si>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</si>
  <si>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</si>
  <si>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</si>
  <si>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</si>
  <si>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</si>
  <si>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</si>
  <si>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</si>
  <si>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</si>
  <si>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Additional Settings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</si>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</sst>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[$-409]d\-mmm\-yy;@"/>
    <numFmt numFmtId="165" formatCode="ddd\,\ d\-mmm\-yyyy\,\ hh:mm:ss"/>
    <numFmt numFmtId="166" formatCode="#,##0.0;#,##0.0"/>
    <numFmt numFmtId="169" formatCode="General_)"/>
    <numFmt numFmtId="170" formatCode="&quot;£&quot;#,##0;[Red]\-&quot;£&quot;#,##0"/>
    <numFmt numFmtId="171" formatCode="0.0000"/>
    <numFmt numFmtId="172" formatCode="0.0000%"/>
    <numFmt numFmtId="173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9" fontId="13" fillId="0" borderId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</cellStyleXfs>
  <cellXfs count="275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0" fontId="2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165" fontId="2" fillId="4" borderId="6" xfId="1" quotePrefix="1" applyNumberFormat="1" applyFont="1" applyFill="1" applyBorder="1" applyAlignment="1" applyProtection="1">
      <alignment horizontal="left"/>
    </xf>
    <xf numFmtId="0" fontId="7" fillId="6" borderId="11" xfId="2" applyFont="1" applyFill="1" applyBorder="1" applyAlignment="1">
      <alignment horizontal="center"/>
    </xf>
    <xf numFmtId="0" fontId="7" fillId="6" borderId="12" xfId="2" applyFont="1" applyFill="1" applyBorder="1" applyAlignment="1">
      <alignment horizontal="center"/>
    </xf>
    <xf numFmtId="0" fontId="7" fillId="6" borderId="13" xfId="2" applyFont="1" applyFill="1" applyBorder="1" applyAlignment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11" fillId="2" borderId="0" xfId="2" applyFont="1" applyFill="1"/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71" fontId="2" fillId="4" borderId="6" xfId="1" quotePrefix="1" applyNumberFormat="1" applyFont="1" applyFill="1" applyBorder="1" applyAlignment="1" applyProtection="1">
      <alignment horizontal="center"/>
    </xf>
    <xf numFmtId="172" fontId="2" fillId="4" borderId="6" xfId="1" quotePrefix="1" applyNumberFormat="1" applyFont="1" applyFill="1" applyBorder="1" applyAlignment="1" applyProtection="1">
      <alignment horizontal="center"/>
    </xf>
    <xf numFmtId="0" fontId="7" fillId="6" borderId="11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3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3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14" fillId="2" borderId="0" xfId="11" applyFill="1"/>
    <xf numFmtId="0" fontId="1" fillId="2" borderId="0" xfId="11" applyFont="1" applyFill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2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2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2" fontId="5" fillId="0" borderId="5" xfId="10" applyNumberFormat="1" applyFont="1" applyFill="1" applyBorder="1" applyAlignment="1">
      <alignment horizontal="center"/>
    </xf>
    <xf numFmtId="172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2" fontId="5" fillId="0" borderId="27" xfId="10" applyNumberFormat="1" applyFont="1" applyFill="1" applyBorder="1" applyAlignment="1">
      <alignment horizontal="center"/>
    </xf>
    <xf numFmtId="172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14" fillId="3" borderId="3" xfId="1" applyFont="1" applyFill="1" applyBorder="1"/>
    <xf numFmtId="172" fontId="2" fillId="4" borderId="6" xfId="1" applyNumberFormat="1" applyFont="1" applyFill="1" applyBorder="1" applyAlignment="1" applyProtection="1">
      <alignment horizontal="center"/>
    </xf>
    <xf numFmtId="0" fontId="14" fillId="3" borderId="0" xfId="1" applyFont="1" applyFill="1" applyBorder="1"/>
    <xf numFmtId="0" fontId="7" fillId="6" borderId="11" xfId="11" applyFont="1" applyFill="1" applyBorder="1" applyAlignment="1">
      <alignment horizontal="center"/>
    </xf>
    <xf numFmtId="0" fontId="7" fillId="6" borderId="12" xfId="11" applyFont="1" applyFill="1" applyBorder="1" applyAlignment="1">
      <alignment horizontal="center"/>
    </xf>
    <xf numFmtId="0" fontId="7" fillId="6" borderId="13" xfId="11" applyFont="1" applyFill="1" applyBorder="1" applyAlignment="1">
      <alignment horizontal="center"/>
    </xf>
    <xf numFmtId="0" fontId="5" fillId="3" borderId="5" xfId="1" applyNumberFormat="1" applyFont="1" applyFill="1" applyBorder="1" applyAlignment="1">
      <alignment horizontal="left"/>
    </xf>
    <xf numFmtId="172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3" fontId="5" fillId="3" borderId="14" xfId="10" applyNumberFormat="1" applyFont="1" applyFill="1" applyBorder="1" applyAlignment="1">
      <alignment horizontal="center"/>
    </xf>
    <xf numFmtId="173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</cellXfs>
  <cellStyles count="12">
    <cellStyle name="Migliaia (0)_AZIONI" xfId="5"/>
    <cellStyle name="Migliaia_AZIONI" xfId="6"/>
    <cellStyle name="Normal" xfId="0" builtinId="0"/>
    <cellStyle name="Normal 2" xfId="1"/>
    <cellStyle name="Normal_SwaptionATMVols" xfId="2"/>
    <cellStyle name="Normal_SwaptionATMVols 2" xfId="11"/>
    <cellStyle name="Normale_AZIONI" xfId="7"/>
    <cellStyle name="Percent 2" xfId="4"/>
    <cellStyle name="Percent 3" xfId="10"/>
    <cellStyle name="result" xfId="3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>Currency&amp;C6</f>
        <v>UsdYC</v>
      </c>
      <c r="E6" s="7" t="str">
        <f>_xll.qlRelinkableHandleYieldTermStructure(D6,,Permanent,Trigger,ObjectOverwrite)</f>
        <v>UsdYC#0039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>Currency&amp;C7</f>
        <v>UsdYCSTD</v>
      </c>
      <c r="E7" s="7" t="str">
        <f>_xll.qlRelinkableHandleYieldTermStructure(D7,,Permanent,Trigger,ObjectOverwrite)</f>
        <v>UsdYCSTD#0039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>Currency&amp;C8</f>
        <v>UsdLiborYCON</v>
      </c>
      <c r="E8" s="7" t="str">
        <f>_xll.qlRelinkableHandleYieldTermStructure(D8,,Permanent,Trigger,ObjectOverwrite)</f>
        <v>UsdLiborYCON#0039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>Currency&amp;C9</f>
        <v>UsdLiborYC1M</v>
      </c>
      <c r="E9" s="7" t="str">
        <f>_xll.qlRelinkableHandleYieldTermStructure(D9,,Permanent,Trigger,ObjectOverwrite)</f>
        <v>UsdLiborYC1M#0039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>Currency&amp;C10</f>
        <v>UsdLiborYC3M</v>
      </c>
      <c r="E10" s="7" t="str">
        <f>_xll.qlRelinkableHandleYieldTermStructure(D10,,Permanent,Trigger,ObjectOverwrite)</f>
        <v>UsdLiborYC3M#0039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>Currency&amp;C11</f>
        <v>UsdLiborYC6M</v>
      </c>
      <c r="E11" s="7" t="str">
        <f>_xll.qlRelinkableHandleYieldTermStructure(D11,,Permanent,Trigger,ObjectOverwrite)</f>
        <v>UsdLiborYC6M#0039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>Currency&amp;C12</f>
        <v>UsdLiborYC1Y</v>
      </c>
      <c r="E12" s="7" t="str">
        <f>_xll.qlRelinkableHandleYieldTermStructure(D12,,Permanent,Trigger,ObjectOverwrite)</f>
        <v>UsdLiborYC1Y#0039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>Currency&amp;C13</f>
        <v>UsdLiborYCON-Mx</v>
      </c>
      <c r="E13" s="7" t="str">
        <f>_xll.qlRelinkableHandleYieldTermStructure(D13,,Permanent,Trigger,ObjectOverwrite)</f>
        <v>UsdLiborYCON-Mx#0039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>Currency&amp;C14</f>
        <v>UsdLiborYC1M-Mx</v>
      </c>
      <c r="E14" s="7" t="str">
        <f>_xll.qlRelinkableHandleYieldTermStructure(D14,,Permanent,Trigger,ObjectOverwrite)</f>
        <v>UsdLiborYC1M-Mx#0039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>Currency&amp;C15</f>
        <v>UsdLiborYC3M-Mx</v>
      </c>
      <c r="E15" s="7" t="str">
        <f>_xll.qlRelinkableHandleYieldTermStructure(D15,,Permanent,Trigger,ObjectOverwrite)</f>
        <v>UsdLiborYC3M-Mx#0039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>Currency&amp;C16</f>
        <v>UsdLiborYC6M-Mx</v>
      </c>
      <c r="E16" s="7" t="str">
        <f>_xll.qlRelinkableHandleYieldTermStructure(D16,,Permanent,Trigger,ObjectOverwrite)</f>
        <v>UsdLiborYC6M-Mx#0039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>Currency&amp;C17</f>
        <v>UsdLiborYC1Y-Mx</v>
      </c>
      <c r="E17" s="7" t="str">
        <f>_xll.qlRelinkableHandleYieldTermStructure(D17,,Permanent,Trigger,ObjectOverwrite)</f>
        <v>UsdLiborYC1Y-Mx#0039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UsdSwaptionATMVol#0039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UsdSwaptionVol#0039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>Currency&amp;C24</f>
        <v>Usd3MFutOptionVol</v>
      </c>
      <c r="E24" s="7" t="str">
        <f>_xll.qlRelinkableHandleOptionletVolatilityStructure(D24,,Permanent,Trigger,ObjectOverwrite)</f>
        <v>Usd3MFutOptionVol#0039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>Currency&amp;C25</f>
        <v>Usd1MCapletVol</v>
      </c>
      <c r="E25" s="7" t="str">
        <f>_xll.qlRelinkableHandleOptionletVolatilityStructure(D25,,Permanent,Trigger,ObjectOverwrite)</f>
        <v>Usd1MCapletVol#0039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>Currency&amp;C26</f>
        <v>Usd3MCapletVol</v>
      </c>
      <c r="E26" s="7" t="str">
        <f>_xll.qlRelinkableHandleOptionletVolatilityStructure(D26,,Permanent,Trigger,ObjectOverwrite)</f>
        <v>Usd3MCapletVol#0039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>Currency&amp;C27</f>
        <v>Usd6MCapletVol</v>
      </c>
      <c r="E27" s="7" t="str">
        <f>_xll.qlRelinkableHandleOptionletVolatilityStructure(D27,,Permanent,Trigger,ObjectOverwrite)</f>
        <v>Usd6MCapletVol#0039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>Currency&amp;C28</f>
        <v>Usd1YCapletVol</v>
      </c>
      <c r="E28" s="7" t="str">
        <f>_xll.qlRelinkableHandleOptionletVolatilityStructure(D28,,Permanent,Trigger,ObjectOverwrite)</f>
        <v>Usd1YCapletVol#0039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>Currency&amp;C29</f>
        <v>Usd3MFutOptionVolEx</v>
      </c>
      <c r="E29" s="7" t="str">
        <f>_xll.qlRelinkableHandleOptionletVolatilityStructure(D29,,Permanent,Trigger,ObjectOverwrite)</f>
        <v>Usd3MFutOptionVolEx#0039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>Currency&amp;C30</f>
        <v>Usd1MCapletVolEx</v>
      </c>
      <c r="E30" s="7" t="str">
        <f>_xll.qlRelinkableHandleOptionletVolatilityStructure(D30,,Permanent,Trigger,ObjectOverwrite)</f>
        <v>Usd1MCapletVolEx#0039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>Currency&amp;C31</f>
        <v>Usd3MCapletVolEx</v>
      </c>
      <c r="E31" s="7" t="str">
        <f>_xll.qlRelinkableHandleOptionletVolatilityStructure(D31,,Permanent,Trigger,ObjectOverwrite)</f>
        <v>Usd3MCapletVolEx#0039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>Currency&amp;C32</f>
        <v>Usd6MCapletVolEx</v>
      </c>
      <c r="E32" s="7" t="str">
        <f>_xll.qlRelinkableHandleOptionletVolatilityStructure(D32,,Permanent,Trigger,ObjectOverwrite)</f>
        <v>Usd6MCapletVolEx#0039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>Currency&amp;C33</f>
        <v>Usd1YCapletVolEx</v>
      </c>
      <c r="E33" s="7" t="str">
        <f>_xll.qlRelinkableHandleOptionletVolatilityStructure(D33,,Permanent,Trigger,ObjectOverwrite)</f>
        <v>Usd1YCapletVolEx#0039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0"/>
  <sheetViews>
    <sheetView workbookViewId="0"/>
  </sheetViews>
  <sheetFormatPr defaultRowHeight="12.75" x14ac:dyDescent="0.2"/>
  <cols>
    <col min="1" max="1" width="2.85546875" style="20" customWidth="1"/>
    <col min="2" max="2" width="6.5703125" style="20" customWidth="1"/>
    <col min="3" max="3" width="15.5703125" style="20" bestFit="1" customWidth="1"/>
    <col min="4" max="4" width="79.140625" style="20" bestFit="1" customWidth="1"/>
    <col min="5" max="5" width="5" style="20" customWidth="1"/>
    <col min="6" max="6" width="50.42578125" style="20" customWidth="1"/>
    <col min="7" max="7" width="5.7109375" style="20" customWidth="1"/>
    <col min="8" max="16384" width="9.140625" style="20"/>
  </cols>
  <sheetData>
    <row r="1" spans="1:29" ht="13.5" thickBot="1" x14ac:dyDescent="0.25">
      <c r="A1" s="23" t="s">
        <v>28</v>
      </c>
      <c r="B1" s="23" t="str">
        <f>_xll.qlxlVersion(TRUE,Trigger)</f>
        <v>QuantLibXL 1.3.0 - MS VC++ 9.0 - Multithreaded Static Runtime library - Release Configuration - Dec  5 2013 11:03:51</v>
      </c>
      <c r="C1" s="23"/>
      <c r="D1" s="23"/>
      <c r="E1" s="23"/>
      <c r="F1" s="23"/>
      <c r="G1" s="2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x14ac:dyDescent="0.25">
      <c r="A2" s="23"/>
      <c r="B2" s="28" t="s">
        <v>27</v>
      </c>
      <c r="C2" s="27"/>
      <c r="D2" s="27"/>
      <c r="E2" s="2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23"/>
      <c r="B3" s="9"/>
      <c r="C3" s="13"/>
      <c r="D3" s="13"/>
      <c r="E3" s="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">
      <c r="A4" s="23"/>
      <c r="B4" s="9"/>
      <c r="C4" s="16" t="s">
        <v>26</v>
      </c>
      <c r="D4" s="15"/>
      <c r="E4" s="14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A5" s="23"/>
      <c r="B5" s="9"/>
      <c r="C5" s="16" t="s">
        <v>25</v>
      </c>
      <c r="D5" s="15" t="b">
        <v>1</v>
      </c>
      <c r="E5" s="1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">
      <c r="A6" s="23"/>
      <c r="B6" s="9"/>
      <c r="C6" s="16" t="s">
        <v>24</v>
      </c>
      <c r="D6" s="15" t="b">
        <v>0</v>
      </c>
      <c r="E6" s="1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">
      <c r="A7" s="23"/>
      <c r="B7" s="9"/>
      <c r="C7" s="16" t="s">
        <v>23</v>
      </c>
      <c r="D7" s="15" t="b">
        <v>1</v>
      </c>
      <c r="E7" s="1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2">
      <c r="A9" s="23"/>
      <c r="B9" s="9"/>
      <c r="C9" s="16" t="s">
        <v>21</v>
      </c>
      <c r="D9" s="24" t="b">
        <v>1</v>
      </c>
      <c r="E9" s="14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3.5" thickBot="1" x14ac:dyDescent="0.25">
      <c r="A10" s="23"/>
      <c r="B10" s="4"/>
      <c r="C10" s="3"/>
      <c r="D10" s="3"/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2">
      <c r="A12" s="1"/>
      <c r="B12" s="1"/>
      <c r="C12" s="22"/>
      <c r="D12" s="22"/>
      <c r="E12" s="22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">
      <c r="A13" s="1"/>
      <c r="B13" s="1"/>
      <c r="C13" s="22"/>
      <c r="D13" s="22"/>
      <c r="E13" s="22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">
      <c r="A14" s="1"/>
      <c r="B14" s="1"/>
      <c r="C14" s="22"/>
      <c r="D14" s="22"/>
      <c r="E14" s="22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">
      <c r="A15" s="1"/>
      <c r="B15" s="1"/>
      <c r="C15" s="22"/>
      <c r="D15" s="22"/>
      <c r="E15" s="22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">
      <c r="A16" s="1"/>
      <c r="B16" s="1"/>
      <c r="C16" s="22"/>
      <c r="D16" s="22"/>
      <c r="E16" s="22"/>
      <c r="F16" s="2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">
      <c r="A17" s="1"/>
      <c r="B17" s="1"/>
      <c r="C17" s="22"/>
      <c r="D17" s="22"/>
      <c r="E17" s="22"/>
      <c r="F17" s="2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/>
      <c r="B18" s="1"/>
      <c r="C18" s="22"/>
      <c r="D18" s="22"/>
      <c r="E18" s="22"/>
      <c r="F18" s="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">
      <c r="A19" s="1"/>
      <c r="B19" s="1"/>
      <c r="C19" s="22"/>
      <c r="D19" s="22"/>
      <c r="E19" s="22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">
      <c r="A20" s="1"/>
      <c r="B20" s="1"/>
      <c r="C20" s="22"/>
      <c r="D20" s="22"/>
      <c r="E20" s="22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">
      <c r="A21" s="1"/>
      <c r="B21" s="1"/>
      <c r="C21" s="22"/>
      <c r="D21" s="22"/>
      <c r="E21" s="22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/>
      <c r="B22" s="1"/>
      <c r="C22" s="22"/>
      <c r="D22" s="22"/>
      <c r="E22" s="22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">
      <c r="A23" s="1"/>
      <c r="B23" s="1"/>
      <c r="C23" s="22"/>
      <c r="D23" s="22"/>
      <c r="E23" s="22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A24" s="1"/>
      <c r="B24" s="1"/>
      <c r="C24" s="22"/>
      <c r="D24" s="22"/>
      <c r="E24" s="22"/>
      <c r="F24" s="2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">
      <c r="A25" s="1"/>
      <c r="B25" s="1"/>
      <c r="C25" s="22"/>
      <c r="D25" s="22"/>
      <c r="E25" s="22"/>
      <c r="F25" s="2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A26" s="1"/>
      <c r="B26" s="1"/>
      <c r="C26" s="22"/>
      <c r="D26" s="22"/>
      <c r="E26" s="22"/>
      <c r="F26" s="2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A27" s="1"/>
      <c r="B27" s="1"/>
      <c r="C27" s="22"/>
      <c r="D27" s="22"/>
      <c r="E27" s="22"/>
      <c r="F27" s="2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A28" s="1"/>
      <c r="B28" s="1"/>
      <c r="C28" s="22"/>
      <c r="D28" s="22"/>
      <c r="E28" s="22"/>
      <c r="F28" s="2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A29" s="1"/>
      <c r="B29" s="1"/>
      <c r="C29" s="22"/>
      <c r="D29" s="22"/>
      <c r="E29" s="22"/>
      <c r="F29" s="2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A30" s="1"/>
      <c r="B30" s="1"/>
      <c r="C30" s="22"/>
      <c r="D30" s="22"/>
      <c r="E30" s="22"/>
      <c r="F30" s="2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">
      <c r="A31" s="1"/>
      <c r="B31" s="1"/>
      <c r="C31" s="22"/>
      <c r="D31" s="22"/>
      <c r="E31" s="22"/>
      <c r="F31" s="2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">
      <c r="A32" s="1"/>
      <c r="B32" s="1"/>
      <c r="C32" s="22"/>
      <c r="D32" s="22"/>
      <c r="E32" s="22"/>
      <c r="F32" s="2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">
      <c r="A33" s="1"/>
      <c r="B33" s="1"/>
      <c r="C33" s="22"/>
      <c r="D33" s="22"/>
      <c r="E33" s="22"/>
      <c r="F33" s="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">
      <c r="A34" s="1"/>
      <c r="B34" s="1"/>
      <c r="C34" s="22"/>
      <c r="D34" s="22"/>
      <c r="E34" s="22"/>
      <c r="F34" s="2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">
      <c r="A35" s="1"/>
      <c r="B35" s="1"/>
      <c r="C35" s="22"/>
      <c r="D35" s="22"/>
      <c r="E35" s="22"/>
      <c r="F35" s="2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">
      <c r="A36" s="1"/>
      <c r="B36" s="1"/>
      <c r="C36" s="22"/>
      <c r="D36" s="22"/>
      <c r="E36" s="22"/>
      <c r="F36" s="2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">
      <c r="A37" s="1"/>
      <c r="B37" s="1"/>
      <c r="C37" s="22"/>
      <c r="D37" s="22"/>
      <c r="E37" s="22"/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22"/>
      <c r="D38" s="22"/>
      <c r="E38" s="22"/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22"/>
      <c r="D39" s="22"/>
      <c r="E39" s="22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22"/>
      <c r="D40" s="22"/>
      <c r="E40" s="22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22"/>
      <c r="D41" s="22"/>
      <c r="E41" s="22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22"/>
      <c r="D42" s="22"/>
      <c r="E42" s="22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2">
      <c r="A43" s="1"/>
      <c r="B43" s="1"/>
      <c r="C43" s="22"/>
      <c r="D43" s="22"/>
      <c r="E43" s="22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22"/>
      <c r="D44" s="22"/>
      <c r="E44" s="22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22"/>
      <c r="D45" s="22"/>
      <c r="E45" s="22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22"/>
      <c r="D46" s="22"/>
      <c r="E46" s="22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22"/>
      <c r="D47" s="22"/>
      <c r="E47" s="22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22"/>
      <c r="D48" s="22"/>
      <c r="E48" s="22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22"/>
      <c r="D49" s="22"/>
      <c r="E49" s="22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C50" s="21"/>
      <c r="D50" s="21"/>
      <c r="E50" s="21"/>
      <c r="F50" s="2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6384" width="9.140625" style="1"/>
  </cols>
  <sheetData>
    <row r="1" spans="1:10" s="29" customFormat="1" ht="12" thickBot="1" x14ac:dyDescent="0.25">
      <c r="A1" s="29" t="s">
        <v>123</v>
      </c>
    </row>
    <row r="2" spans="1:10" s="29" customFormat="1" x14ac:dyDescent="0.2">
      <c r="B2" s="47"/>
      <c r="C2" s="46"/>
      <c r="D2" s="46"/>
      <c r="E2" s="45"/>
      <c r="F2" s="44"/>
      <c r="G2" s="44"/>
      <c r="H2" s="44"/>
      <c r="I2" s="44"/>
      <c r="J2" s="43"/>
    </row>
    <row r="3" spans="1:10" s="29" customFormat="1" x14ac:dyDescent="0.2">
      <c r="B3" s="34"/>
      <c r="C3" s="42"/>
      <c r="D3" s="42"/>
      <c r="E3" s="16" t="s">
        <v>49</v>
      </c>
      <c r="F3" s="37" t="s">
        <v>48</v>
      </c>
      <c r="G3" s="41"/>
      <c r="H3" s="41"/>
      <c r="I3" s="41"/>
      <c r="J3" s="36"/>
    </row>
    <row r="4" spans="1:10" s="29" customFormat="1" x14ac:dyDescent="0.2">
      <c r="B4" s="34"/>
      <c r="C4" s="42"/>
      <c r="D4" s="42"/>
      <c r="E4" s="41"/>
      <c r="F4" s="41"/>
      <c r="G4" s="41"/>
      <c r="H4" s="41"/>
      <c r="I4" s="41"/>
      <c r="J4" s="36"/>
    </row>
    <row r="5" spans="1:10" s="29" customFormat="1" x14ac:dyDescent="0.2">
      <c r="B5" s="34"/>
      <c r="C5" s="40" t="s">
        <v>47</v>
      </c>
      <c r="D5" s="39" t="s">
        <v>46</v>
      </c>
      <c r="E5" s="38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7"/>
      <c r="H5" s="7" t="str">
        <f ca="1">_xll.ohRangeRetrieveError(F5)</f>
        <v/>
      </c>
      <c r="I5" s="7" t="str">
        <f>_xll.ohRangeRetrieveError(G5)</f>
        <v/>
      </c>
      <c r="J5" s="36"/>
    </row>
    <row r="6" spans="1:10" s="29" customFormat="1" x14ac:dyDescent="0.2">
      <c r="B6" s="34"/>
      <c r="C6" s="33" t="s">
        <v>45</v>
      </c>
      <c r="D6" s="32" t="s">
        <v>18</v>
      </c>
      <c r="E6" s="35"/>
      <c r="F6" s="30" t="str">
        <f>_xll.qlEonia(C6,Currency&amp;$D6,Permanent,Trigger,ObjectOverwrite)</f>
        <v>FedFund2#0037</v>
      </c>
      <c r="G6" s="30"/>
      <c r="H6" s="7" t="str">
        <f>_xll.ohRangeRetrieveError(F6)</f>
        <v/>
      </c>
      <c r="I6" s="7" t="str">
        <f>_xll.ohRangeRetrieveError(G6)</f>
        <v/>
      </c>
      <c r="J6" s="36"/>
    </row>
    <row r="7" spans="1:10" s="29" customFormat="1" x14ac:dyDescent="0.2">
      <c r="B7" s="34"/>
      <c r="C7" s="33" t="s">
        <v>44</v>
      </c>
      <c r="D7" s="32" t="s">
        <v>16</v>
      </c>
      <c r="E7" s="35" t="s">
        <v>44</v>
      </c>
      <c r="F7" s="30" t="str">
        <f>_xll.qlEonia(C7,Currency&amp;$D7,Permanent,Trigger,ObjectOverwrite)</f>
        <v>FedFund#0037</v>
      </c>
      <c r="G7" s="30" t="str">
        <f>_xll.qlLastFixingQuote(E7&amp;"LastFixing_Quote",F7,Permanent,Trigger,ObjectOverwrite)</f>
        <v>FedFundLastFixing_Quote#0037</v>
      </c>
      <c r="H7" s="7" t="str">
        <f>_xll.ohRangeRetrieveError(F7)</f>
        <v/>
      </c>
      <c r="I7" s="7" t="str">
        <f>_xll.ohRangeRetrieveError(G7)</f>
        <v/>
      </c>
      <c r="J7" s="5"/>
    </row>
    <row r="8" spans="1:10" s="29" customFormat="1" x14ac:dyDescent="0.2">
      <c r="B8" s="34"/>
      <c r="C8" s="33" t="s">
        <v>43</v>
      </c>
      <c r="D8" s="32" t="s">
        <v>16</v>
      </c>
      <c r="E8" s="31" t="str">
        <f>PROPER(Currency)&amp;FamilyName&amp;$C8</f>
        <v>UsdLiborSW</v>
      </c>
      <c r="F8" s="30" t="str">
        <f>_xll.qlLibor($E8,Currency,$C8,Currency&amp;$D8,Permanent,Trigger,ObjectOverwrite)</f>
        <v>UsdLiborSW#0037</v>
      </c>
      <c r="G8" s="30" t="str">
        <f>_xll.qlLastFixingQuote(E8&amp;"LastFixing_Quote",F8,Permanent,Trigger,ObjectOverwrite)</f>
        <v>UsdLiborSWLastFixing_Quote#0037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9" customFormat="1" x14ac:dyDescent="0.2">
      <c r="B9" s="34"/>
      <c r="C9" s="33" t="s">
        <v>42</v>
      </c>
      <c r="D9" s="32" t="s">
        <v>16</v>
      </c>
      <c r="E9" s="31" t="str">
        <f>PROPER(Currency)&amp;FamilyName&amp;$C9</f>
        <v>UsdLibor2W</v>
      </c>
      <c r="F9" s="30" t="str">
        <f>_xll.qlLibor($E9,Currency,$C9,Currency&amp;$D9,Permanent,Trigger,ObjectOverwrite)</f>
        <v>UsdLibor2W#0037</v>
      </c>
      <c r="G9" s="30" t="str">
        <f>_xll.qlLastFixingQuote(E9&amp;"LastFixing_Quote",F9,Permanent,Trigger,ObjectOverwrite)</f>
        <v>UsdLibor2WLastFixing_Quote#0037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9" customFormat="1" x14ac:dyDescent="0.2">
      <c r="B10" s="34"/>
      <c r="C10" s="33" t="s">
        <v>41</v>
      </c>
      <c r="D10" s="32" t="s">
        <v>15</v>
      </c>
      <c r="E10" s="31" t="str">
        <f>PROPER(Currency)&amp;FamilyName&amp;$C10</f>
        <v>UsdLibor3W</v>
      </c>
      <c r="F10" s="30" t="str">
        <f>_xll.qlLibor($E10,Currency,$C10,Currency&amp;$D10,Permanent,Trigger,ObjectOverwrite)</f>
        <v>UsdLibor3W#0037</v>
      </c>
      <c r="G10" s="30" t="str">
        <f>_xll.qlLastFixingQuote(E10&amp;"LastFixing_Quote",F10,Permanent,Trigger,ObjectOverwrite)</f>
        <v>UsdLibor3WLastFixing_Quote#0037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9" customFormat="1" x14ac:dyDescent="0.2">
      <c r="B11" s="34"/>
      <c r="C11" s="33" t="s">
        <v>40</v>
      </c>
      <c r="D11" s="32" t="s">
        <v>15</v>
      </c>
      <c r="E11" s="31" t="str">
        <f>PROPER(Currency)&amp;FamilyName&amp;$C11</f>
        <v>UsdLibor1M</v>
      </c>
      <c r="F11" s="30" t="str">
        <f>_xll.qlLibor($E11,Currency,$C11,Currency&amp;$D11,Permanent,Trigger,ObjectOverwrite)</f>
        <v>UsdLibor1M#0037</v>
      </c>
      <c r="G11" s="30" t="str">
        <f>_xll.qlLastFixingQuote(E11&amp;"LastFixing_Quote",F11,Permanent,Trigger,ObjectOverwrite)</f>
        <v>UsdLibor1MLastFixing_Quote#0037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9" customFormat="1" x14ac:dyDescent="0.2">
      <c r="B12" s="34"/>
      <c r="C12" s="33" t="s">
        <v>39</v>
      </c>
      <c r="D12" s="32" t="s">
        <v>14</v>
      </c>
      <c r="E12" s="31" t="str">
        <f>PROPER(Currency)&amp;FamilyName&amp;$C12</f>
        <v>UsdLibor2M</v>
      </c>
      <c r="F12" s="30" t="str">
        <f>_xll.qlLibor($E12,Currency,$C12,Currency&amp;$D12,Permanent,Trigger,ObjectOverwrite)</f>
        <v>UsdLibor2M#0037</v>
      </c>
      <c r="G12" s="30" t="str">
        <f>_xll.qlLastFixingQuote(E12&amp;"LastFixing_Quote",F12,Permanent,Trigger,ObjectOverwrite)</f>
        <v>UsdLibor2MLastFixing_Quote#0037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9" customFormat="1" x14ac:dyDescent="0.2">
      <c r="B13" s="34"/>
      <c r="C13" s="33" t="s">
        <v>38</v>
      </c>
      <c r="D13" s="32" t="s">
        <v>14</v>
      </c>
      <c r="E13" s="31" t="str">
        <f>PROPER(Currency)&amp;FamilyName&amp;$C13</f>
        <v>UsdLibor3M</v>
      </c>
      <c r="F13" s="30" t="str">
        <f>_xll.qlLibor($E13,Currency,$C13,Currency&amp;$D13,Permanent,Trigger,ObjectOverwrite)</f>
        <v>UsdLibor3M#0037</v>
      </c>
      <c r="G13" s="30" t="str">
        <f>_xll.qlLastFixingQuote(E13&amp;"LastFixing_Quote",F13,Permanent,Trigger,ObjectOverwrite)</f>
        <v>UsdLibor3MLastFixing_Quote#0037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9" customFormat="1" x14ac:dyDescent="0.2">
      <c r="B14" s="34"/>
      <c r="C14" s="33" t="s">
        <v>37</v>
      </c>
      <c r="D14" s="32" t="s">
        <v>14</v>
      </c>
      <c r="E14" s="31" t="str">
        <f>PROPER(Currency)&amp;FamilyName&amp;$C14</f>
        <v>UsdLibor4M</v>
      </c>
      <c r="F14" s="30" t="str">
        <f>_xll.qlLibor($E14,Currency,$C14,Currency&amp;$D14,Permanent,Trigger,ObjectOverwrite)</f>
        <v>UsdLibor4M#0037</v>
      </c>
      <c r="G14" s="30" t="str">
        <f>_xll.qlLastFixingQuote(E14&amp;"LastFixing_Quote",F14,Permanent,Trigger,ObjectOverwrite)</f>
        <v>UsdLibor4MLastFixing_Quote#0037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9" customFormat="1" x14ac:dyDescent="0.2">
      <c r="B15" s="34"/>
      <c r="C15" s="33" t="s">
        <v>36</v>
      </c>
      <c r="D15" s="32" t="s">
        <v>13</v>
      </c>
      <c r="E15" s="31" t="str">
        <f>PROPER(Currency)&amp;FamilyName&amp;$C15</f>
        <v>UsdLibor5M</v>
      </c>
      <c r="F15" s="30" t="str">
        <f>_xll.qlLibor($E15,Currency,$C15,Currency&amp;$D15,Permanent,Trigger,ObjectOverwrite)</f>
        <v>UsdLibor5M#0037</v>
      </c>
      <c r="G15" s="30" t="str">
        <f>_xll.qlLastFixingQuote(E15&amp;"LastFixing_Quote",F15,Permanent,Trigger,ObjectOverwrite)</f>
        <v>UsdLibor5MLastFixing_Quote#0037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9" customFormat="1" x14ac:dyDescent="0.2">
      <c r="B16" s="34"/>
      <c r="C16" s="33" t="s">
        <v>35</v>
      </c>
      <c r="D16" s="32" t="s">
        <v>13</v>
      </c>
      <c r="E16" s="31" t="str">
        <f>PROPER(Currency)&amp;FamilyName&amp;$C16</f>
        <v>UsdLibor6M</v>
      </c>
      <c r="F16" s="30" t="str">
        <f>_xll.qlLibor($E16,Currency,$C16,Currency&amp;$D16,Permanent,Trigger,ObjectOverwrite)</f>
        <v>UsdLibor6M#0037</v>
      </c>
      <c r="G16" s="30" t="str">
        <f>_xll.qlLastFixingQuote(E16&amp;"LastFixing_Quote",F16,Permanent,Trigger,ObjectOverwrite)</f>
        <v>UsdLibor6MLastFixing_Quote#0037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9" customFormat="1" x14ac:dyDescent="0.2">
      <c r="B17" s="34"/>
      <c r="C17" s="33" t="s">
        <v>34</v>
      </c>
      <c r="D17" s="32" t="s">
        <v>13</v>
      </c>
      <c r="E17" s="31" t="str">
        <f>PROPER(Currency)&amp;FamilyName&amp;$C17</f>
        <v>UsdLibor7M</v>
      </c>
      <c r="F17" s="30" t="str">
        <f>_xll.qlLibor($E17,Currency,$C17,Currency&amp;$D17,Permanent,Trigger,ObjectOverwrite)</f>
        <v>UsdLibor7M#0037</v>
      </c>
      <c r="G17" s="30" t="str">
        <f>_xll.qlLastFixingQuote(E17&amp;"LastFixing_Quote",F17,Permanent,Trigger,ObjectOverwrite)</f>
        <v>UsdLibor7MLastFixing_Quote#0037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9" customFormat="1" x14ac:dyDescent="0.2">
      <c r="B18" s="34"/>
      <c r="C18" s="33" t="s">
        <v>33</v>
      </c>
      <c r="D18" s="32" t="s">
        <v>13</v>
      </c>
      <c r="E18" s="31" t="str">
        <f>PROPER(Currency)&amp;FamilyName&amp;$C18</f>
        <v>UsdLibor8M</v>
      </c>
      <c r="F18" s="30" t="str">
        <f>_xll.qlLibor($E18,Currency,$C18,Currency&amp;$D18,Permanent,Trigger,ObjectOverwrite)</f>
        <v>UsdLibor8M#0037</v>
      </c>
      <c r="G18" s="30" t="str">
        <f>_xll.qlLastFixingQuote(E18&amp;"LastFixing_Quote",F18,Permanent,Trigger,ObjectOverwrite)</f>
        <v>UsdLibor8MLastFixing_Quote#0037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9" customFormat="1" x14ac:dyDescent="0.2">
      <c r="B19" s="34"/>
      <c r="C19" s="33" t="s">
        <v>32</v>
      </c>
      <c r="D19" s="32" t="s">
        <v>12</v>
      </c>
      <c r="E19" s="31" t="str">
        <f>PROPER(Currency)&amp;FamilyName&amp;$C19</f>
        <v>UsdLibor9M</v>
      </c>
      <c r="F19" s="30" t="str">
        <f>_xll.qlLibor($E19,Currency,$C19,Currency&amp;$D19,Permanent,Trigger,ObjectOverwrite)</f>
        <v>UsdLibor9M#0037</v>
      </c>
      <c r="G19" s="30" t="str">
        <f>_xll.qlLastFixingQuote(E19&amp;"LastFixing_Quote",F19,Permanent,Trigger,ObjectOverwrite)</f>
        <v>UsdLibor9MLastFixing_Quote#0037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9" customFormat="1" x14ac:dyDescent="0.2">
      <c r="B20" s="34"/>
      <c r="C20" s="33" t="s">
        <v>31</v>
      </c>
      <c r="D20" s="32" t="s">
        <v>12</v>
      </c>
      <c r="E20" s="31" t="str">
        <f>PROPER(Currency)&amp;FamilyName&amp;$C20</f>
        <v>UsdLibor10M</v>
      </c>
      <c r="F20" s="30" t="str">
        <f>_xll.qlLibor($E20,Currency,$C20,Currency&amp;$D20,Permanent,Trigger,ObjectOverwrite)</f>
        <v>UsdLibor10M#0037</v>
      </c>
      <c r="G20" s="30" t="str">
        <f>_xll.qlLastFixingQuote(E20&amp;"LastFixing_Quote",F20,Permanent,Trigger,ObjectOverwrite)</f>
        <v>UsdLibor10MLastFixing_Quote#0037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9" customFormat="1" x14ac:dyDescent="0.2">
      <c r="B21" s="34"/>
      <c r="C21" s="33" t="s">
        <v>30</v>
      </c>
      <c r="D21" s="32" t="s">
        <v>12</v>
      </c>
      <c r="E21" s="31" t="str">
        <f>PROPER(Currency)&amp;FamilyName&amp;$C21</f>
        <v>UsdLibor11M</v>
      </c>
      <c r="F21" s="30" t="str">
        <f>_xll.qlLibor($E21,Currency,$C21,Currency&amp;$D21,Permanent,Trigger,ObjectOverwrite)</f>
        <v>UsdLibor11M#0037</v>
      </c>
      <c r="G21" s="30" t="str">
        <f>_xll.qlLastFixingQuote(E21&amp;"LastFixing_Quote",F21,Permanent,Trigger,ObjectOverwrite)</f>
        <v>UsdLibor11MLastFixing_Quote#0037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9" customFormat="1" x14ac:dyDescent="0.2">
      <c r="B22" s="34"/>
      <c r="C22" s="33" t="s">
        <v>29</v>
      </c>
      <c r="D22" s="32" t="s">
        <v>12</v>
      </c>
      <c r="E22" s="31" t="str">
        <f>PROPER(Currency)&amp;FamilyName&amp;$C22</f>
        <v>UsdLibor1Y</v>
      </c>
      <c r="F22" s="30" t="str">
        <f>_xll.qlLibor($E22,Currency,$C22,Currency&amp;$D22,Permanent,Trigger,ObjectOverwrite)</f>
        <v>UsdLibor1Y#0037</v>
      </c>
      <c r="G22" s="30" t="str">
        <f>_xll.qlLastFixingQuote(E22&amp;"LastFixing_Quote",F22,Permanent,Trigger,ObjectOverwrite)</f>
        <v>UsdLibor1YLastFixing_Quote#0037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9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9" customFormat="1" ht="11.25" x14ac:dyDescent="0.2"/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8" customFormat="1" ht="12" thickBot="1" x14ac:dyDescent="0.25">
      <c r="A1" s="48" t="s">
        <v>123</v>
      </c>
    </row>
    <row r="2" spans="1:8" s="48" customFormat="1" x14ac:dyDescent="0.2">
      <c r="B2" s="68"/>
      <c r="C2" s="66"/>
      <c r="D2" s="66"/>
      <c r="E2" s="67"/>
      <c r="F2" s="66"/>
      <c r="G2" s="66"/>
      <c r="H2" s="65"/>
    </row>
    <row r="3" spans="1:8" s="48" customFormat="1" x14ac:dyDescent="0.2">
      <c r="B3" s="58"/>
      <c r="C3" s="63"/>
      <c r="D3" s="63"/>
      <c r="E3" s="64" t="s">
        <v>49</v>
      </c>
      <c r="F3" s="60" t="s">
        <v>112</v>
      </c>
      <c r="G3" s="63"/>
      <c r="H3" s="59"/>
    </row>
    <row r="4" spans="1:8" s="48" customFormat="1" x14ac:dyDescent="0.2">
      <c r="B4" s="58"/>
      <c r="C4" s="63"/>
      <c r="D4" s="63"/>
      <c r="E4" s="64" t="s">
        <v>111</v>
      </c>
      <c r="F4" s="60" t="s">
        <v>110</v>
      </c>
      <c r="G4" s="63"/>
      <c r="H4" s="59"/>
    </row>
    <row r="5" spans="1:8" s="48" customFormat="1" x14ac:dyDescent="0.2">
      <c r="B5" s="58"/>
      <c r="C5" s="63"/>
      <c r="D5" s="63"/>
      <c r="E5" s="63"/>
      <c r="F5" s="63"/>
      <c r="G5" s="63"/>
      <c r="H5" s="59"/>
    </row>
    <row r="6" spans="1:8" s="48" customFormat="1" x14ac:dyDescent="0.2">
      <c r="B6" s="58"/>
      <c r="C6" s="63"/>
      <c r="D6" s="62" t="s">
        <v>109</v>
      </c>
      <c r="E6" s="61" t="str">
        <f>PROPER(Currency)&amp;FamilyName&amp;FixingType&amp;".xml"</f>
        <v>UsdLiborSwapIsdaFixAm.xml</v>
      </c>
      <c r="F6" s="60">
        <f ca="1">IF(Serialize,_xll.ohObjectSave(F7:F66,SerializationPath&amp;FileName,FileOverwrite,,Serialize),"---")</f>
        <v>60</v>
      </c>
      <c r="G6" s="53" t="str">
        <f ca="1">_xll.ohRangeRetrieveError(F6)</f>
        <v/>
      </c>
      <c r="H6" s="59"/>
    </row>
    <row r="7" spans="1:8" s="48" customFormat="1" x14ac:dyDescent="0.2">
      <c r="B7" s="58"/>
      <c r="C7" s="57" t="s">
        <v>29</v>
      </c>
      <c r="D7" s="56" t="s">
        <v>14</v>
      </c>
      <c r="E7" s="55" t="str">
        <f>PROPER(Currency)&amp;FamilyName&amp;FixingType&amp;$C7</f>
        <v>UsdLiborSwapIsdaFixAm1Y</v>
      </c>
      <c r="F7" s="54" t="str">
        <f>_xll.qlLiborSwap($E7,Currency,FixingType,$C7,Currency&amp;$D7,Discounting,Permanent,Trigger,ObjectOverwrite)</f>
        <v>UsdLiborSwapIsdaFixAm1Y#0036</v>
      </c>
      <c r="G7" s="53" t="str">
        <f>_xll.ohRangeRetrieveError(F7)</f>
        <v/>
      </c>
      <c r="H7" s="52"/>
    </row>
    <row r="8" spans="1:8" s="48" customFormat="1" x14ac:dyDescent="0.2">
      <c r="B8" s="58"/>
      <c r="C8" s="57" t="s">
        <v>108</v>
      </c>
      <c r="D8" s="56" t="s">
        <v>14</v>
      </c>
      <c r="E8" s="55" t="str">
        <f>PROPER(Currency)&amp;FamilyName&amp;FixingType&amp;$C8</f>
        <v>UsdLiborSwapIsdaFixAm2Y</v>
      </c>
      <c r="F8" s="54" t="str">
        <f>_xll.qlLiborSwap($E8,Currency,FixingType,$C8,Currency&amp;$D8,Discounting,Permanent,Trigger,ObjectOverwrite)</f>
        <v>UsdLiborSwapIsdaFixAm2Y#0036</v>
      </c>
      <c r="G8" s="53" t="str">
        <f>_xll.ohRangeRetrieveError(F8)</f>
        <v/>
      </c>
      <c r="H8" s="52"/>
    </row>
    <row r="9" spans="1:8" s="48" customFormat="1" x14ac:dyDescent="0.2">
      <c r="B9" s="58"/>
      <c r="C9" s="57" t="s">
        <v>107</v>
      </c>
      <c r="D9" s="56" t="s">
        <v>14</v>
      </c>
      <c r="E9" s="55" t="str">
        <f>PROPER(Currency)&amp;FamilyName&amp;FixingType&amp;$C9</f>
        <v>UsdLiborSwapIsdaFixAm3Y</v>
      </c>
      <c r="F9" s="54" t="str">
        <f>_xll.qlLiborSwap($E9,Currency,FixingType,$C9,Currency&amp;$D9,Discounting,Permanent,Trigger,ObjectOverwrite)</f>
        <v>UsdLiborSwapIsdaFixAm3Y#0036</v>
      </c>
      <c r="G9" s="53" t="str">
        <f>_xll.ohRangeRetrieveError(F9)</f>
        <v/>
      </c>
      <c r="H9" s="52"/>
    </row>
    <row r="10" spans="1:8" s="48" customFormat="1" x14ac:dyDescent="0.2">
      <c r="B10" s="58"/>
      <c r="C10" s="57" t="s">
        <v>106</v>
      </c>
      <c r="D10" s="56" t="s">
        <v>14</v>
      </c>
      <c r="E10" s="55" t="str">
        <f>PROPER(Currency)&amp;FamilyName&amp;FixingType&amp;$C10</f>
        <v>UsdLiborSwapIsdaFixAm4Y</v>
      </c>
      <c r="F10" s="54" t="str">
        <f>_xll.qlLiborSwap($E10,Currency,FixingType,$C10,Currency&amp;$D10,Discounting,Permanent,Trigger,ObjectOverwrite)</f>
        <v>UsdLiborSwapIsdaFixAm4Y#0036</v>
      </c>
      <c r="G10" s="53" t="str">
        <f>_xll.ohRangeRetrieveError(F10)</f>
        <v/>
      </c>
      <c r="H10" s="52"/>
    </row>
    <row r="11" spans="1:8" s="48" customFormat="1" x14ac:dyDescent="0.2">
      <c r="B11" s="58"/>
      <c r="C11" s="57" t="s">
        <v>105</v>
      </c>
      <c r="D11" s="56" t="s">
        <v>14</v>
      </c>
      <c r="E11" s="55" t="str">
        <f>PROPER(Currency)&amp;FamilyName&amp;FixingType&amp;$C11</f>
        <v>UsdLiborSwapIsdaFixAm5Y</v>
      </c>
      <c r="F11" s="54" t="str">
        <f>_xll.qlLiborSwap($E11,Currency,FixingType,$C11,Currency&amp;$D11,Discounting,Permanent,Trigger,ObjectOverwrite)</f>
        <v>UsdLiborSwapIsdaFixAm5Y#0036</v>
      </c>
      <c r="G11" s="53" t="str">
        <f>_xll.ohRangeRetrieveError(F11)</f>
        <v/>
      </c>
      <c r="H11" s="52"/>
    </row>
    <row r="12" spans="1:8" s="48" customFormat="1" x14ac:dyDescent="0.2">
      <c r="B12" s="58"/>
      <c r="C12" s="57" t="s">
        <v>104</v>
      </c>
      <c r="D12" s="56" t="s">
        <v>14</v>
      </c>
      <c r="E12" s="55" t="str">
        <f>PROPER(Currency)&amp;FamilyName&amp;FixingType&amp;$C12</f>
        <v>UsdLiborSwapIsdaFixAm6Y</v>
      </c>
      <c r="F12" s="54" t="str">
        <f>_xll.qlLiborSwap($E12,Currency,FixingType,$C12,Currency&amp;$D12,Discounting,Permanent,Trigger,ObjectOverwrite)</f>
        <v>UsdLiborSwapIsdaFixAm6Y#0036</v>
      </c>
      <c r="G12" s="53" t="str">
        <f>_xll.ohRangeRetrieveError(F12)</f>
        <v/>
      </c>
      <c r="H12" s="52"/>
    </row>
    <row r="13" spans="1:8" s="48" customFormat="1" x14ac:dyDescent="0.2">
      <c r="B13" s="58"/>
      <c r="C13" s="57" t="s">
        <v>103</v>
      </c>
      <c r="D13" s="56" t="s">
        <v>14</v>
      </c>
      <c r="E13" s="55" t="str">
        <f>PROPER(Currency)&amp;FamilyName&amp;FixingType&amp;$C13</f>
        <v>UsdLiborSwapIsdaFixAm7Y</v>
      </c>
      <c r="F13" s="54" t="str">
        <f>_xll.qlLiborSwap($E13,Currency,FixingType,$C13,Currency&amp;$D13,Discounting,Permanent,Trigger,ObjectOverwrite)</f>
        <v>UsdLiborSwapIsdaFixAm7Y#0036</v>
      </c>
      <c r="G13" s="53" t="str">
        <f>_xll.ohRangeRetrieveError(F13)</f>
        <v/>
      </c>
      <c r="H13" s="52"/>
    </row>
    <row r="14" spans="1:8" s="48" customFormat="1" x14ac:dyDescent="0.2">
      <c r="B14" s="58"/>
      <c r="C14" s="57" t="s">
        <v>102</v>
      </c>
      <c r="D14" s="56" t="s">
        <v>14</v>
      </c>
      <c r="E14" s="55" t="str">
        <f>PROPER(Currency)&amp;FamilyName&amp;FixingType&amp;$C14</f>
        <v>UsdLiborSwapIsdaFixAm8Y</v>
      </c>
      <c r="F14" s="54" t="str">
        <f>_xll.qlLiborSwap($E14,Currency,FixingType,$C14,Currency&amp;$D14,Discounting,Permanent,Trigger,ObjectOverwrite)</f>
        <v>UsdLiborSwapIsdaFixAm8Y#0036</v>
      </c>
      <c r="G14" s="53" t="str">
        <f>_xll.ohRangeRetrieveError(F14)</f>
        <v/>
      </c>
      <c r="H14" s="52"/>
    </row>
    <row r="15" spans="1:8" s="48" customFormat="1" x14ac:dyDescent="0.2">
      <c r="B15" s="58"/>
      <c r="C15" s="57" t="s">
        <v>101</v>
      </c>
      <c r="D15" s="56" t="s">
        <v>14</v>
      </c>
      <c r="E15" s="55" t="str">
        <f>PROPER(Currency)&amp;FamilyName&amp;FixingType&amp;$C15</f>
        <v>UsdLiborSwapIsdaFixAm9Y</v>
      </c>
      <c r="F15" s="54" t="str">
        <f>_xll.qlLiborSwap($E15,Currency,FixingType,$C15,Currency&amp;$D15,Discounting,Permanent,Trigger,ObjectOverwrite)</f>
        <v>UsdLiborSwapIsdaFixAm9Y#0036</v>
      </c>
      <c r="G15" s="53" t="str">
        <f>_xll.ohRangeRetrieveError(F15)</f>
        <v/>
      </c>
      <c r="H15" s="52"/>
    </row>
    <row r="16" spans="1:8" s="48" customFormat="1" x14ac:dyDescent="0.2">
      <c r="B16" s="58"/>
      <c r="C16" s="57" t="s">
        <v>100</v>
      </c>
      <c r="D16" s="56" t="s">
        <v>14</v>
      </c>
      <c r="E16" s="55" t="str">
        <f>PROPER(Currency)&amp;FamilyName&amp;FixingType&amp;$C16</f>
        <v>UsdLiborSwapIsdaFixAm10Y</v>
      </c>
      <c r="F16" s="54" t="str">
        <f>_xll.qlLiborSwap($E16,Currency,FixingType,$C16,Currency&amp;$D16,Discounting,Permanent,Trigger,ObjectOverwrite)</f>
        <v>UsdLiborSwapIsdaFixAm10Y#0036</v>
      </c>
      <c r="G16" s="53" t="str">
        <f>_xll.ohRangeRetrieveError(F16)</f>
        <v/>
      </c>
      <c r="H16" s="52"/>
    </row>
    <row r="17" spans="2:8" s="48" customFormat="1" x14ac:dyDescent="0.2">
      <c r="B17" s="58"/>
      <c r="C17" s="57" t="s">
        <v>99</v>
      </c>
      <c r="D17" s="56" t="s">
        <v>14</v>
      </c>
      <c r="E17" s="55" t="str">
        <f>PROPER(Currency)&amp;FamilyName&amp;FixingType&amp;$C17</f>
        <v>UsdLiborSwapIsdaFixAm11Y</v>
      </c>
      <c r="F17" s="54" t="str">
        <f>_xll.qlLiborSwap($E17,Currency,FixingType,$C17,Currency&amp;$D17,Discounting,Permanent,Trigger,ObjectOverwrite)</f>
        <v>UsdLiborSwapIsdaFixAm11Y#0036</v>
      </c>
      <c r="G17" s="53" t="str">
        <f>_xll.ohRangeRetrieveError(F17)</f>
        <v/>
      </c>
      <c r="H17" s="52"/>
    </row>
    <row r="18" spans="2:8" s="48" customFormat="1" x14ac:dyDescent="0.2">
      <c r="B18" s="58"/>
      <c r="C18" s="57" t="s">
        <v>98</v>
      </c>
      <c r="D18" s="56" t="s">
        <v>14</v>
      </c>
      <c r="E18" s="55" t="str">
        <f>PROPER(Currency)&amp;FamilyName&amp;FixingType&amp;$C18</f>
        <v>UsdLiborSwapIsdaFixAm12Y</v>
      </c>
      <c r="F18" s="54" t="str">
        <f>_xll.qlLiborSwap($E18,Currency,FixingType,$C18,Currency&amp;$D18,Discounting,Permanent,Trigger,ObjectOverwrite)</f>
        <v>UsdLiborSwapIsdaFixAm12Y#0036</v>
      </c>
      <c r="G18" s="53" t="str">
        <f>_xll.ohRangeRetrieveError(F18)</f>
        <v/>
      </c>
      <c r="H18" s="52"/>
    </row>
    <row r="19" spans="2:8" s="48" customFormat="1" x14ac:dyDescent="0.2">
      <c r="B19" s="58"/>
      <c r="C19" s="57" t="s">
        <v>97</v>
      </c>
      <c r="D19" s="56" t="s">
        <v>14</v>
      </c>
      <c r="E19" s="55" t="str">
        <f>PROPER(Currency)&amp;FamilyName&amp;FixingType&amp;$C19</f>
        <v>UsdLiborSwapIsdaFixAm13Y</v>
      </c>
      <c r="F19" s="54" t="str">
        <f>_xll.qlLiborSwap($E19,Currency,FixingType,$C19,Currency&amp;$D19,Discounting,Permanent,Trigger,ObjectOverwrite)</f>
        <v>UsdLiborSwapIsdaFixAm13Y#0036</v>
      </c>
      <c r="G19" s="53" t="str">
        <f>_xll.ohRangeRetrieveError(F19)</f>
        <v/>
      </c>
      <c r="H19" s="52"/>
    </row>
    <row r="20" spans="2:8" s="48" customFormat="1" x14ac:dyDescent="0.2">
      <c r="B20" s="58"/>
      <c r="C20" s="57" t="s">
        <v>96</v>
      </c>
      <c r="D20" s="56" t="s">
        <v>14</v>
      </c>
      <c r="E20" s="55" t="str">
        <f>PROPER(Currency)&amp;FamilyName&amp;FixingType&amp;$C20</f>
        <v>UsdLiborSwapIsdaFixAm14Y</v>
      </c>
      <c r="F20" s="54" t="str">
        <f>_xll.qlLiborSwap($E20,Currency,FixingType,$C20,Currency&amp;$D20,Discounting,Permanent,Trigger,ObjectOverwrite)</f>
        <v>UsdLiborSwapIsdaFixAm14Y#0036</v>
      </c>
      <c r="G20" s="53" t="str">
        <f>_xll.ohRangeRetrieveError(F20)</f>
        <v/>
      </c>
      <c r="H20" s="52"/>
    </row>
    <row r="21" spans="2:8" s="48" customFormat="1" x14ac:dyDescent="0.2">
      <c r="B21" s="58"/>
      <c r="C21" s="57" t="s">
        <v>95</v>
      </c>
      <c r="D21" s="56" t="s">
        <v>14</v>
      </c>
      <c r="E21" s="55" t="str">
        <f>PROPER(Currency)&amp;FamilyName&amp;FixingType&amp;$C21</f>
        <v>UsdLiborSwapIsdaFixAm15Y</v>
      </c>
      <c r="F21" s="54" t="str">
        <f>_xll.qlLiborSwap($E21,Currency,FixingType,$C21,Currency&amp;$D21,Discounting,Permanent,Trigger,ObjectOverwrite)</f>
        <v>UsdLiborSwapIsdaFixAm15Y#0036</v>
      </c>
      <c r="G21" s="53" t="str">
        <f>_xll.ohRangeRetrieveError(F21)</f>
        <v/>
      </c>
      <c r="H21" s="52"/>
    </row>
    <row r="22" spans="2:8" s="48" customFormat="1" x14ac:dyDescent="0.2">
      <c r="B22" s="58"/>
      <c r="C22" s="57" t="s">
        <v>94</v>
      </c>
      <c r="D22" s="56" t="s">
        <v>14</v>
      </c>
      <c r="E22" s="55" t="str">
        <f>PROPER(Currency)&amp;FamilyName&amp;FixingType&amp;$C22</f>
        <v>UsdLiborSwapIsdaFixAm16Y</v>
      </c>
      <c r="F22" s="54" t="str">
        <f>_xll.qlLiborSwap($E22,Currency,FixingType,$C22,Currency&amp;$D22,Discounting,Permanent,Trigger,ObjectOverwrite)</f>
        <v>UsdLiborSwapIsdaFixAm16Y#0036</v>
      </c>
      <c r="G22" s="53" t="str">
        <f>_xll.ohRangeRetrieveError(F22)</f>
        <v/>
      </c>
      <c r="H22" s="52"/>
    </row>
    <row r="23" spans="2:8" s="48" customFormat="1" x14ac:dyDescent="0.2">
      <c r="B23" s="58"/>
      <c r="C23" s="57" t="s">
        <v>93</v>
      </c>
      <c r="D23" s="56" t="s">
        <v>14</v>
      </c>
      <c r="E23" s="55" t="str">
        <f>PROPER(Currency)&amp;FamilyName&amp;FixingType&amp;$C23</f>
        <v>UsdLiborSwapIsdaFixAm17Y</v>
      </c>
      <c r="F23" s="54" t="str">
        <f>_xll.qlLiborSwap($E23,Currency,FixingType,$C23,Currency&amp;$D23,Discounting,Permanent,Trigger,ObjectOverwrite)</f>
        <v>UsdLiborSwapIsdaFixAm17Y#0036</v>
      </c>
      <c r="G23" s="53" t="str">
        <f>_xll.ohRangeRetrieveError(F23)</f>
        <v/>
      </c>
      <c r="H23" s="52"/>
    </row>
    <row r="24" spans="2:8" s="48" customFormat="1" x14ac:dyDescent="0.2">
      <c r="B24" s="58"/>
      <c r="C24" s="57" t="s">
        <v>92</v>
      </c>
      <c r="D24" s="56" t="s">
        <v>14</v>
      </c>
      <c r="E24" s="55" t="str">
        <f>PROPER(Currency)&amp;FamilyName&amp;FixingType&amp;$C24</f>
        <v>UsdLiborSwapIsdaFixAm18Y</v>
      </c>
      <c r="F24" s="54" t="str">
        <f>_xll.qlLiborSwap($E24,Currency,FixingType,$C24,Currency&amp;$D24,Discounting,Permanent,Trigger,ObjectOverwrite)</f>
        <v>UsdLiborSwapIsdaFixAm18Y#0036</v>
      </c>
      <c r="G24" s="53" t="str">
        <f>_xll.ohRangeRetrieveError(F24)</f>
        <v/>
      </c>
      <c r="H24" s="52"/>
    </row>
    <row r="25" spans="2:8" s="48" customFormat="1" x14ac:dyDescent="0.2">
      <c r="B25" s="58"/>
      <c r="C25" s="57" t="s">
        <v>91</v>
      </c>
      <c r="D25" s="56" t="s">
        <v>14</v>
      </c>
      <c r="E25" s="55" t="str">
        <f>PROPER(Currency)&amp;FamilyName&amp;FixingType&amp;$C25</f>
        <v>UsdLiborSwapIsdaFixAm19Y</v>
      </c>
      <c r="F25" s="54" t="str">
        <f>_xll.qlLiborSwap($E25,Currency,FixingType,$C25,Currency&amp;$D25,Discounting,Permanent,Trigger,ObjectOverwrite)</f>
        <v>UsdLiborSwapIsdaFixAm19Y#0036</v>
      </c>
      <c r="G25" s="53" t="str">
        <f>_xll.ohRangeRetrieveError(F25)</f>
        <v/>
      </c>
      <c r="H25" s="52"/>
    </row>
    <row r="26" spans="2:8" s="48" customFormat="1" x14ac:dyDescent="0.2">
      <c r="B26" s="58"/>
      <c r="C26" s="57" t="s">
        <v>90</v>
      </c>
      <c r="D26" s="56" t="s">
        <v>14</v>
      </c>
      <c r="E26" s="55" t="str">
        <f>PROPER(Currency)&amp;FamilyName&amp;FixingType&amp;$C26</f>
        <v>UsdLiborSwapIsdaFixAm20Y</v>
      </c>
      <c r="F26" s="54" t="str">
        <f>_xll.qlLiborSwap($E26,Currency,FixingType,$C26,Currency&amp;$D26,Discounting,Permanent,Trigger,ObjectOverwrite)</f>
        <v>UsdLiborSwapIsdaFixAm20Y#0036</v>
      </c>
      <c r="G26" s="53" t="str">
        <f>_xll.ohRangeRetrieveError(F26)</f>
        <v/>
      </c>
      <c r="H26" s="52"/>
    </row>
    <row r="27" spans="2:8" s="48" customFormat="1" x14ac:dyDescent="0.2">
      <c r="B27" s="58"/>
      <c r="C27" s="57" t="s">
        <v>89</v>
      </c>
      <c r="D27" s="56" t="s">
        <v>14</v>
      </c>
      <c r="E27" s="55" t="str">
        <f>PROPER(Currency)&amp;FamilyName&amp;FixingType&amp;$C27</f>
        <v>UsdLiborSwapIsdaFixAm21Y</v>
      </c>
      <c r="F27" s="54" t="str">
        <f>_xll.qlLiborSwap($E27,Currency,FixingType,$C27,Currency&amp;$D27,Discounting,Permanent,Trigger,ObjectOverwrite)</f>
        <v>UsdLiborSwapIsdaFixAm21Y#0036</v>
      </c>
      <c r="G27" s="53" t="str">
        <f>_xll.ohRangeRetrieveError(F27)</f>
        <v/>
      </c>
      <c r="H27" s="52"/>
    </row>
    <row r="28" spans="2:8" s="48" customFormat="1" x14ac:dyDescent="0.2">
      <c r="B28" s="58"/>
      <c r="C28" s="57" t="s">
        <v>88</v>
      </c>
      <c r="D28" s="56" t="s">
        <v>14</v>
      </c>
      <c r="E28" s="55" t="str">
        <f>PROPER(Currency)&amp;FamilyName&amp;FixingType&amp;$C28</f>
        <v>UsdLiborSwapIsdaFixAm22Y</v>
      </c>
      <c r="F28" s="54" t="str">
        <f>_xll.qlLiborSwap($E28,Currency,FixingType,$C28,Currency&amp;$D28,Discounting,Permanent,Trigger,ObjectOverwrite)</f>
        <v>UsdLiborSwapIsdaFixAm22Y#0036</v>
      </c>
      <c r="G28" s="53" t="str">
        <f>_xll.ohRangeRetrieveError(F28)</f>
        <v/>
      </c>
      <c r="H28" s="52"/>
    </row>
    <row r="29" spans="2:8" s="48" customFormat="1" x14ac:dyDescent="0.2">
      <c r="B29" s="58"/>
      <c r="C29" s="57" t="s">
        <v>87</v>
      </c>
      <c r="D29" s="56" t="s">
        <v>14</v>
      </c>
      <c r="E29" s="55" t="str">
        <f>PROPER(Currency)&amp;FamilyName&amp;FixingType&amp;$C29</f>
        <v>UsdLiborSwapIsdaFixAm23Y</v>
      </c>
      <c r="F29" s="54" t="str">
        <f>_xll.qlLiborSwap($E29,Currency,FixingType,$C29,Currency&amp;$D29,Discounting,Permanent,Trigger,ObjectOverwrite)</f>
        <v>UsdLiborSwapIsdaFixAm23Y#0036</v>
      </c>
      <c r="G29" s="53" t="str">
        <f>_xll.ohRangeRetrieveError(F29)</f>
        <v/>
      </c>
      <c r="H29" s="52"/>
    </row>
    <row r="30" spans="2:8" s="48" customFormat="1" x14ac:dyDescent="0.2">
      <c r="B30" s="58"/>
      <c r="C30" s="57" t="s">
        <v>86</v>
      </c>
      <c r="D30" s="56" t="s">
        <v>14</v>
      </c>
      <c r="E30" s="55" t="str">
        <f>PROPER(Currency)&amp;FamilyName&amp;FixingType&amp;$C30</f>
        <v>UsdLiborSwapIsdaFixAm24Y</v>
      </c>
      <c r="F30" s="54" t="str">
        <f>_xll.qlLiborSwap($E30,Currency,FixingType,$C30,Currency&amp;$D30,Discounting,Permanent,Trigger,ObjectOverwrite)</f>
        <v>UsdLiborSwapIsdaFixAm24Y#0036</v>
      </c>
      <c r="G30" s="53" t="str">
        <f>_xll.ohRangeRetrieveError(F30)</f>
        <v/>
      </c>
      <c r="H30" s="52"/>
    </row>
    <row r="31" spans="2:8" s="48" customFormat="1" x14ac:dyDescent="0.2">
      <c r="B31" s="58"/>
      <c r="C31" s="57" t="s">
        <v>85</v>
      </c>
      <c r="D31" s="56" t="s">
        <v>14</v>
      </c>
      <c r="E31" s="55" t="str">
        <f>PROPER(Currency)&amp;FamilyName&amp;FixingType&amp;$C31</f>
        <v>UsdLiborSwapIsdaFixAm25Y</v>
      </c>
      <c r="F31" s="54" t="str">
        <f>_xll.qlLiborSwap($E31,Currency,FixingType,$C31,Currency&amp;$D31,Discounting,Permanent,Trigger,ObjectOverwrite)</f>
        <v>UsdLiborSwapIsdaFixAm25Y#0036</v>
      </c>
      <c r="G31" s="53" t="str">
        <f>_xll.ohRangeRetrieveError(F31)</f>
        <v/>
      </c>
      <c r="H31" s="52"/>
    </row>
    <row r="32" spans="2:8" s="48" customFormat="1" x14ac:dyDescent="0.2">
      <c r="B32" s="58"/>
      <c r="C32" s="57" t="s">
        <v>84</v>
      </c>
      <c r="D32" s="56" t="s">
        <v>14</v>
      </c>
      <c r="E32" s="55" t="str">
        <f>PROPER(Currency)&amp;FamilyName&amp;FixingType&amp;$C32</f>
        <v>UsdLiborSwapIsdaFixAm26Y</v>
      </c>
      <c r="F32" s="54" t="str">
        <f>_xll.qlLiborSwap($E32,Currency,FixingType,$C32,Currency&amp;$D32,Discounting,Permanent,Trigger,ObjectOverwrite)</f>
        <v>UsdLiborSwapIsdaFixAm26Y#0036</v>
      </c>
      <c r="G32" s="53" t="str">
        <f>_xll.ohRangeRetrieveError(F32)</f>
        <v/>
      </c>
      <c r="H32" s="52"/>
    </row>
    <row r="33" spans="2:8" s="48" customFormat="1" x14ac:dyDescent="0.2">
      <c r="B33" s="58"/>
      <c r="C33" s="57" t="s">
        <v>83</v>
      </c>
      <c r="D33" s="56" t="s">
        <v>14</v>
      </c>
      <c r="E33" s="55" t="str">
        <f>PROPER(Currency)&amp;FamilyName&amp;FixingType&amp;$C33</f>
        <v>UsdLiborSwapIsdaFixAm27Y</v>
      </c>
      <c r="F33" s="54" t="str">
        <f>_xll.qlLiborSwap($E33,Currency,FixingType,$C33,Currency&amp;$D33,Discounting,Permanent,Trigger,ObjectOverwrite)</f>
        <v>UsdLiborSwapIsdaFixAm27Y#0036</v>
      </c>
      <c r="G33" s="53" t="str">
        <f>_xll.ohRangeRetrieveError(F33)</f>
        <v/>
      </c>
      <c r="H33" s="52"/>
    </row>
    <row r="34" spans="2:8" s="48" customFormat="1" x14ac:dyDescent="0.2">
      <c r="B34" s="58"/>
      <c r="C34" s="57" t="s">
        <v>82</v>
      </c>
      <c r="D34" s="56" t="s">
        <v>14</v>
      </c>
      <c r="E34" s="55" t="str">
        <f>PROPER(Currency)&amp;FamilyName&amp;FixingType&amp;$C34</f>
        <v>UsdLiborSwapIsdaFixAm28Y</v>
      </c>
      <c r="F34" s="54" t="str">
        <f>_xll.qlLiborSwap($E34,Currency,FixingType,$C34,Currency&amp;$D34,Discounting,Permanent,Trigger,ObjectOverwrite)</f>
        <v>UsdLiborSwapIsdaFixAm28Y#0036</v>
      </c>
      <c r="G34" s="53" t="str">
        <f>_xll.ohRangeRetrieveError(F34)</f>
        <v/>
      </c>
      <c r="H34" s="52"/>
    </row>
    <row r="35" spans="2:8" s="48" customFormat="1" x14ac:dyDescent="0.2">
      <c r="B35" s="58"/>
      <c r="C35" s="57" t="s">
        <v>81</v>
      </c>
      <c r="D35" s="56" t="s">
        <v>14</v>
      </c>
      <c r="E35" s="55" t="str">
        <f>PROPER(Currency)&amp;FamilyName&amp;FixingType&amp;$C35</f>
        <v>UsdLiborSwapIsdaFixAm29Y</v>
      </c>
      <c r="F35" s="54" t="str">
        <f>_xll.qlLiborSwap($E35,Currency,FixingType,$C35,Currency&amp;$D35,Discounting,Permanent,Trigger,ObjectOverwrite)</f>
        <v>UsdLiborSwapIsdaFixAm29Y#0036</v>
      </c>
      <c r="G35" s="53" t="str">
        <f>_xll.ohRangeRetrieveError(F35)</f>
        <v/>
      </c>
      <c r="H35" s="52"/>
    </row>
    <row r="36" spans="2:8" s="48" customFormat="1" x14ac:dyDescent="0.2">
      <c r="B36" s="58"/>
      <c r="C36" s="57" t="s">
        <v>80</v>
      </c>
      <c r="D36" s="56" t="s">
        <v>14</v>
      </c>
      <c r="E36" s="55" t="str">
        <f>PROPER(Currency)&amp;FamilyName&amp;FixingType&amp;$C36</f>
        <v>UsdLiborSwapIsdaFixAm30Y</v>
      </c>
      <c r="F36" s="54" t="str">
        <f>_xll.qlLiborSwap($E36,Currency,FixingType,$C36,Currency&amp;$D36,Discounting,Permanent,Trigger,ObjectOverwrite)</f>
        <v>UsdLiborSwapIsdaFixAm30Y#0036</v>
      </c>
      <c r="G36" s="53" t="str">
        <f>_xll.ohRangeRetrieveError(F36)</f>
        <v/>
      </c>
      <c r="H36" s="52"/>
    </row>
    <row r="37" spans="2:8" s="48" customFormat="1" x14ac:dyDescent="0.2">
      <c r="B37" s="58"/>
      <c r="C37" s="57" t="s">
        <v>79</v>
      </c>
      <c r="D37" s="56" t="s">
        <v>14</v>
      </c>
      <c r="E37" s="55" t="str">
        <f>PROPER(Currency)&amp;FamilyName&amp;FixingType&amp;$C37</f>
        <v>UsdLiborSwapIsdaFixAm31Y</v>
      </c>
      <c r="F37" s="54" t="str">
        <f>_xll.qlLiborSwap($E37,Currency,FixingType,$C37,Currency&amp;$D37,Discounting,Permanent,Trigger,ObjectOverwrite)</f>
        <v>UsdLiborSwapIsdaFixAm31Y#0036</v>
      </c>
      <c r="G37" s="53" t="str">
        <f>_xll.ohRangeRetrieveError(F37)</f>
        <v/>
      </c>
      <c r="H37" s="52"/>
    </row>
    <row r="38" spans="2:8" s="48" customFormat="1" x14ac:dyDescent="0.2">
      <c r="B38" s="58"/>
      <c r="C38" s="57" t="s">
        <v>78</v>
      </c>
      <c r="D38" s="56" t="s">
        <v>14</v>
      </c>
      <c r="E38" s="55" t="str">
        <f>PROPER(Currency)&amp;FamilyName&amp;FixingType&amp;$C38</f>
        <v>UsdLiborSwapIsdaFixAm32Y</v>
      </c>
      <c r="F38" s="54" t="str">
        <f>_xll.qlLiborSwap($E38,Currency,FixingType,$C38,Currency&amp;$D38,Discounting,Permanent,Trigger,ObjectOverwrite)</f>
        <v>UsdLiborSwapIsdaFixAm32Y#0036</v>
      </c>
      <c r="G38" s="53" t="str">
        <f>_xll.ohRangeRetrieveError(F38)</f>
        <v/>
      </c>
      <c r="H38" s="52"/>
    </row>
    <row r="39" spans="2:8" s="48" customFormat="1" x14ac:dyDescent="0.2">
      <c r="B39" s="58"/>
      <c r="C39" s="57" t="s">
        <v>77</v>
      </c>
      <c r="D39" s="56" t="s">
        <v>14</v>
      </c>
      <c r="E39" s="55" t="str">
        <f>PROPER(Currency)&amp;FamilyName&amp;FixingType&amp;$C39</f>
        <v>UsdLiborSwapIsdaFixAm33Y</v>
      </c>
      <c r="F39" s="54" t="str">
        <f>_xll.qlLiborSwap($E39,Currency,FixingType,$C39,Currency&amp;$D39,Discounting,Permanent,Trigger,ObjectOverwrite)</f>
        <v>UsdLiborSwapIsdaFixAm33Y#0036</v>
      </c>
      <c r="G39" s="53" t="str">
        <f>_xll.ohRangeRetrieveError(F39)</f>
        <v/>
      </c>
      <c r="H39" s="52"/>
    </row>
    <row r="40" spans="2:8" s="48" customFormat="1" x14ac:dyDescent="0.2">
      <c r="B40" s="58"/>
      <c r="C40" s="57" t="s">
        <v>76</v>
      </c>
      <c r="D40" s="56" t="s">
        <v>14</v>
      </c>
      <c r="E40" s="55" t="str">
        <f>PROPER(Currency)&amp;FamilyName&amp;FixingType&amp;$C40</f>
        <v>UsdLiborSwapIsdaFixAm34Y</v>
      </c>
      <c r="F40" s="54" t="str">
        <f>_xll.qlLiborSwap($E40,Currency,FixingType,$C40,Currency&amp;$D40,Discounting,Permanent,Trigger,ObjectOverwrite)</f>
        <v>UsdLiborSwapIsdaFixAm34Y#0036</v>
      </c>
      <c r="G40" s="53" t="str">
        <f>_xll.ohRangeRetrieveError(F40)</f>
        <v/>
      </c>
      <c r="H40" s="52"/>
    </row>
    <row r="41" spans="2:8" s="48" customFormat="1" x14ac:dyDescent="0.2">
      <c r="B41" s="58"/>
      <c r="C41" s="57" t="s">
        <v>75</v>
      </c>
      <c r="D41" s="56" t="s">
        <v>14</v>
      </c>
      <c r="E41" s="55" t="str">
        <f>PROPER(Currency)&amp;FamilyName&amp;FixingType&amp;$C41</f>
        <v>UsdLiborSwapIsdaFixAm35Y</v>
      </c>
      <c r="F41" s="54" t="str">
        <f>_xll.qlLiborSwap($E41,Currency,FixingType,$C41,Currency&amp;$D41,Discounting,Permanent,Trigger,ObjectOverwrite)</f>
        <v>UsdLiborSwapIsdaFixAm35Y#0036</v>
      </c>
      <c r="G41" s="53" t="str">
        <f>_xll.ohRangeRetrieveError(F41)</f>
        <v/>
      </c>
      <c r="H41" s="52"/>
    </row>
    <row r="42" spans="2:8" s="48" customFormat="1" x14ac:dyDescent="0.2">
      <c r="B42" s="58"/>
      <c r="C42" s="57" t="s">
        <v>74</v>
      </c>
      <c r="D42" s="56" t="s">
        <v>14</v>
      </c>
      <c r="E42" s="55" t="str">
        <f>PROPER(Currency)&amp;FamilyName&amp;FixingType&amp;$C42</f>
        <v>UsdLiborSwapIsdaFixAm36Y</v>
      </c>
      <c r="F42" s="54" t="str">
        <f>_xll.qlLiborSwap($E42,Currency,FixingType,$C42,Currency&amp;$D42,Discounting,Permanent,Trigger,ObjectOverwrite)</f>
        <v>UsdLiborSwapIsdaFixAm36Y#0036</v>
      </c>
      <c r="G42" s="53" t="str">
        <f>_xll.ohRangeRetrieveError(F42)</f>
        <v/>
      </c>
      <c r="H42" s="52"/>
    </row>
    <row r="43" spans="2:8" s="48" customFormat="1" x14ac:dyDescent="0.2">
      <c r="B43" s="58"/>
      <c r="C43" s="57" t="s">
        <v>73</v>
      </c>
      <c r="D43" s="56" t="s">
        <v>14</v>
      </c>
      <c r="E43" s="55" t="str">
        <f>PROPER(Currency)&amp;FamilyName&amp;FixingType&amp;$C43</f>
        <v>UsdLiborSwapIsdaFixAm37Y</v>
      </c>
      <c r="F43" s="54" t="str">
        <f>_xll.qlLiborSwap($E43,Currency,FixingType,$C43,Currency&amp;$D43,Discounting,Permanent,Trigger,ObjectOverwrite)</f>
        <v>UsdLiborSwapIsdaFixAm37Y#0036</v>
      </c>
      <c r="G43" s="53" t="str">
        <f>_xll.ohRangeRetrieveError(F43)</f>
        <v/>
      </c>
      <c r="H43" s="52"/>
    </row>
    <row r="44" spans="2:8" s="48" customFormat="1" x14ac:dyDescent="0.2">
      <c r="B44" s="58"/>
      <c r="C44" s="57" t="s">
        <v>72</v>
      </c>
      <c r="D44" s="56" t="s">
        <v>14</v>
      </c>
      <c r="E44" s="55" t="str">
        <f>PROPER(Currency)&amp;FamilyName&amp;FixingType&amp;$C44</f>
        <v>UsdLiborSwapIsdaFixAm38Y</v>
      </c>
      <c r="F44" s="54" t="str">
        <f>_xll.qlLiborSwap($E44,Currency,FixingType,$C44,Currency&amp;$D44,Discounting,Permanent,Trigger,ObjectOverwrite)</f>
        <v>UsdLiborSwapIsdaFixAm38Y#0036</v>
      </c>
      <c r="G44" s="53" t="str">
        <f>_xll.ohRangeRetrieveError(F44)</f>
        <v/>
      </c>
      <c r="H44" s="52"/>
    </row>
    <row r="45" spans="2:8" s="48" customFormat="1" x14ac:dyDescent="0.2">
      <c r="B45" s="58"/>
      <c r="C45" s="57" t="s">
        <v>71</v>
      </c>
      <c r="D45" s="56" t="s">
        <v>14</v>
      </c>
      <c r="E45" s="55" t="str">
        <f>PROPER(Currency)&amp;FamilyName&amp;FixingType&amp;$C45</f>
        <v>UsdLiborSwapIsdaFixAm39Y</v>
      </c>
      <c r="F45" s="54" t="str">
        <f>_xll.qlLiborSwap($E45,Currency,FixingType,$C45,Currency&amp;$D45,Discounting,Permanent,Trigger,ObjectOverwrite)</f>
        <v>UsdLiborSwapIsdaFixAm39Y#0036</v>
      </c>
      <c r="G45" s="53" t="str">
        <f>_xll.ohRangeRetrieveError(F45)</f>
        <v/>
      </c>
      <c r="H45" s="52"/>
    </row>
    <row r="46" spans="2:8" s="48" customFormat="1" x14ac:dyDescent="0.2">
      <c r="B46" s="58"/>
      <c r="C46" s="57" t="s">
        <v>70</v>
      </c>
      <c r="D46" s="56" t="s">
        <v>14</v>
      </c>
      <c r="E46" s="55" t="str">
        <f>PROPER(Currency)&amp;FamilyName&amp;FixingType&amp;$C46</f>
        <v>UsdLiborSwapIsdaFixAm40Y</v>
      </c>
      <c r="F46" s="54" t="str">
        <f>_xll.qlLiborSwap($E46,Currency,FixingType,$C46,Currency&amp;$D46,Discounting,Permanent,Trigger,ObjectOverwrite)</f>
        <v>UsdLiborSwapIsdaFixAm40Y#0036</v>
      </c>
      <c r="G46" s="53" t="str">
        <f>_xll.ohRangeRetrieveError(F46)</f>
        <v/>
      </c>
      <c r="H46" s="52"/>
    </row>
    <row r="47" spans="2:8" s="48" customFormat="1" x14ac:dyDescent="0.2">
      <c r="B47" s="58"/>
      <c r="C47" s="57" t="s">
        <v>69</v>
      </c>
      <c r="D47" s="56" t="s">
        <v>14</v>
      </c>
      <c r="E47" s="55" t="str">
        <f>PROPER(Currency)&amp;FamilyName&amp;FixingType&amp;$C47</f>
        <v>UsdLiborSwapIsdaFixAm41Y</v>
      </c>
      <c r="F47" s="54" t="str">
        <f>_xll.qlLiborSwap($E47,Currency,FixingType,$C47,Currency&amp;$D47,Discounting,Permanent,Trigger,ObjectOverwrite)</f>
        <v>UsdLiborSwapIsdaFixAm41Y#0036</v>
      </c>
      <c r="G47" s="53" t="str">
        <f>_xll.ohRangeRetrieveError(F47)</f>
        <v/>
      </c>
      <c r="H47" s="52"/>
    </row>
    <row r="48" spans="2:8" s="48" customFormat="1" x14ac:dyDescent="0.2">
      <c r="B48" s="58"/>
      <c r="C48" s="57" t="s">
        <v>68</v>
      </c>
      <c r="D48" s="56" t="s">
        <v>14</v>
      </c>
      <c r="E48" s="55" t="str">
        <f>PROPER(Currency)&amp;FamilyName&amp;FixingType&amp;$C48</f>
        <v>UsdLiborSwapIsdaFixAm42Y</v>
      </c>
      <c r="F48" s="54" t="str">
        <f>_xll.qlLiborSwap($E48,Currency,FixingType,$C48,Currency&amp;$D48,Discounting,Permanent,Trigger,ObjectOverwrite)</f>
        <v>UsdLiborSwapIsdaFixAm42Y#0036</v>
      </c>
      <c r="G48" s="53" t="str">
        <f>_xll.ohRangeRetrieveError(F48)</f>
        <v/>
      </c>
      <c r="H48" s="52"/>
    </row>
    <row r="49" spans="2:8" s="48" customFormat="1" x14ac:dyDescent="0.2">
      <c r="B49" s="58"/>
      <c r="C49" s="57" t="s">
        <v>67</v>
      </c>
      <c r="D49" s="56" t="s">
        <v>14</v>
      </c>
      <c r="E49" s="55" t="str">
        <f>PROPER(Currency)&amp;FamilyName&amp;FixingType&amp;$C49</f>
        <v>UsdLiborSwapIsdaFixAm43Y</v>
      </c>
      <c r="F49" s="54" t="str">
        <f>_xll.qlLiborSwap($E49,Currency,FixingType,$C49,Currency&amp;$D49,Discounting,Permanent,Trigger,ObjectOverwrite)</f>
        <v>UsdLiborSwapIsdaFixAm43Y#0036</v>
      </c>
      <c r="G49" s="53" t="str">
        <f>_xll.ohRangeRetrieveError(F49)</f>
        <v/>
      </c>
      <c r="H49" s="52"/>
    </row>
    <row r="50" spans="2:8" s="48" customFormat="1" x14ac:dyDescent="0.2">
      <c r="B50" s="58"/>
      <c r="C50" s="57" t="s">
        <v>66</v>
      </c>
      <c r="D50" s="56" t="s">
        <v>14</v>
      </c>
      <c r="E50" s="55" t="str">
        <f>PROPER(Currency)&amp;FamilyName&amp;FixingType&amp;$C50</f>
        <v>UsdLiborSwapIsdaFixAm44Y</v>
      </c>
      <c r="F50" s="54" t="str">
        <f>_xll.qlLiborSwap($E50,Currency,FixingType,$C50,Currency&amp;$D50,Discounting,Permanent,Trigger,ObjectOverwrite)</f>
        <v>UsdLiborSwapIsdaFixAm44Y#0036</v>
      </c>
      <c r="G50" s="53" t="str">
        <f>_xll.ohRangeRetrieveError(F50)</f>
        <v/>
      </c>
      <c r="H50" s="52"/>
    </row>
    <row r="51" spans="2:8" s="48" customFormat="1" x14ac:dyDescent="0.2">
      <c r="B51" s="58"/>
      <c r="C51" s="57" t="s">
        <v>65</v>
      </c>
      <c r="D51" s="56" t="s">
        <v>14</v>
      </c>
      <c r="E51" s="55" t="str">
        <f>PROPER(Currency)&amp;FamilyName&amp;FixingType&amp;$C51</f>
        <v>UsdLiborSwapIsdaFixAm45Y</v>
      </c>
      <c r="F51" s="54" t="str">
        <f>_xll.qlLiborSwap($E51,Currency,FixingType,$C51,Currency&amp;$D51,Discounting,Permanent,Trigger,ObjectOverwrite)</f>
        <v>UsdLiborSwapIsdaFixAm45Y#0036</v>
      </c>
      <c r="G51" s="53" t="str">
        <f>_xll.ohRangeRetrieveError(F51)</f>
        <v/>
      </c>
      <c r="H51" s="52"/>
    </row>
    <row r="52" spans="2:8" s="48" customFormat="1" x14ac:dyDescent="0.2">
      <c r="B52" s="58"/>
      <c r="C52" s="57" t="s">
        <v>64</v>
      </c>
      <c r="D52" s="56" t="s">
        <v>14</v>
      </c>
      <c r="E52" s="55" t="str">
        <f>PROPER(Currency)&amp;FamilyName&amp;FixingType&amp;$C52</f>
        <v>UsdLiborSwapIsdaFixAm46Y</v>
      </c>
      <c r="F52" s="54" t="str">
        <f>_xll.qlLiborSwap($E52,Currency,FixingType,$C52,Currency&amp;$D52,Discounting,Permanent,Trigger,ObjectOverwrite)</f>
        <v>UsdLiborSwapIsdaFixAm46Y#0036</v>
      </c>
      <c r="G52" s="53" t="str">
        <f>_xll.ohRangeRetrieveError(F52)</f>
        <v/>
      </c>
      <c r="H52" s="52"/>
    </row>
    <row r="53" spans="2:8" s="48" customFormat="1" x14ac:dyDescent="0.2">
      <c r="B53" s="58"/>
      <c r="C53" s="57" t="s">
        <v>63</v>
      </c>
      <c r="D53" s="56" t="s">
        <v>14</v>
      </c>
      <c r="E53" s="55" t="str">
        <f>PROPER(Currency)&amp;FamilyName&amp;FixingType&amp;$C53</f>
        <v>UsdLiborSwapIsdaFixAm47Y</v>
      </c>
      <c r="F53" s="54" t="str">
        <f>_xll.qlLiborSwap($E53,Currency,FixingType,$C53,Currency&amp;$D53,Discounting,Permanent,Trigger,ObjectOverwrite)</f>
        <v>UsdLiborSwapIsdaFixAm47Y#0036</v>
      </c>
      <c r="G53" s="53" t="str">
        <f>_xll.ohRangeRetrieveError(F53)</f>
        <v/>
      </c>
      <c r="H53" s="52"/>
    </row>
    <row r="54" spans="2:8" s="48" customFormat="1" x14ac:dyDescent="0.2">
      <c r="B54" s="58"/>
      <c r="C54" s="57" t="s">
        <v>62</v>
      </c>
      <c r="D54" s="56" t="s">
        <v>14</v>
      </c>
      <c r="E54" s="55" t="str">
        <f>PROPER(Currency)&amp;FamilyName&amp;FixingType&amp;$C54</f>
        <v>UsdLiborSwapIsdaFixAm48Y</v>
      </c>
      <c r="F54" s="54" t="str">
        <f>_xll.qlLiborSwap($E54,Currency,FixingType,$C54,Currency&amp;$D54,Discounting,Permanent,Trigger,ObjectOverwrite)</f>
        <v>UsdLiborSwapIsdaFixAm48Y#0036</v>
      </c>
      <c r="G54" s="53" t="str">
        <f>_xll.ohRangeRetrieveError(F54)</f>
        <v/>
      </c>
      <c r="H54" s="52"/>
    </row>
    <row r="55" spans="2:8" s="48" customFormat="1" x14ac:dyDescent="0.2">
      <c r="B55" s="58"/>
      <c r="C55" s="57" t="s">
        <v>61</v>
      </c>
      <c r="D55" s="56" t="s">
        <v>14</v>
      </c>
      <c r="E55" s="55" t="str">
        <f>PROPER(Currency)&amp;FamilyName&amp;FixingType&amp;$C55</f>
        <v>UsdLiborSwapIsdaFixAm49Y</v>
      </c>
      <c r="F55" s="54" t="str">
        <f>_xll.qlLiborSwap($E55,Currency,FixingType,$C55,Currency&amp;$D55,Discounting,Permanent,Trigger,ObjectOverwrite)</f>
        <v>UsdLiborSwapIsdaFixAm49Y#0036</v>
      </c>
      <c r="G55" s="53" t="str">
        <f>_xll.ohRangeRetrieveError(F55)</f>
        <v/>
      </c>
      <c r="H55" s="52"/>
    </row>
    <row r="56" spans="2:8" s="48" customFormat="1" x14ac:dyDescent="0.2">
      <c r="B56" s="58"/>
      <c r="C56" s="57" t="s">
        <v>60</v>
      </c>
      <c r="D56" s="56" t="s">
        <v>14</v>
      </c>
      <c r="E56" s="55" t="str">
        <f>PROPER(Currency)&amp;FamilyName&amp;FixingType&amp;$C56</f>
        <v>UsdLiborSwapIsdaFixAm50Y</v>
      </c>
      <c r="F56" s="54" t="str">
        <f>_xll.qlLiborSwap($E56,Currency,FixingType,$C56,Currency&amp;$D56,Discounting,Permanent,Trigger,ObjectOverwrite)</f>
        <v>UsdLiborSwapIsdaFixAm50Y#0036</v>
      </c>
      <c r="G56" s="53" t="str">
        <f>_xll.ohRangeRetrieveError(F56)</f>
        <v/>
      </c>
      <c r="H56" s="52"/>
    </row>
    <row r="57" spans="2:8" s="48" customFormat="1" x14ac:dyDescent="0.2">
      <c r="B57" s="58"/>
      <c r="C57" s="57" t="s">
        <v>59</v>
      </c>
      <c r="D57" s="56" t="s">
        <v>14</v>
      </c>
      <c r="E57" s="55" t="str">
        <f>PROPER(Currency)&amp;FamilyName&amp;FixingType&amp;$C57</f>
        <v>UsdLiborSwapIsdaFixAm51Y</v>
      </c>
      <c r="F57" s="54" t="str">
        <f>_xll.qlLiborSwap($E57,Currency,FixingType,$C57,Currency&amp;$D57,Discounting,Permanent,Trigger,ObjectOverwrite)</f>
        <v>UsdLiborSwapIsdaFixAm51Y#0036</v>
      </c>
      <c r="G57" s="53" t="str">
        <f>_xll.ohRangeRetrieveError(F57)</f>
        <v/>
      </c>
      <c r="H57" s="52"/>
    </row>
    <row r="58" spans="2:8" s="48" customFormat="1" x14ac:dyDescent="0.2">
      <c r="B58" s="58"/>
      <c r="C58" s="57" t="s">
        <v>58</v>
      </c>
      <c r="D58" s="56" t="s">
        <v>14</v>
      </c>
      <c r="E58" s="55" t="str">
        <f>PROPER(Currency)&amp;FamilyName&amp;FixingType&amp;$C58</f>
        <v>UsdLiborSwapIsdaFixAm52Y</v>
      </c>
      <c r="F58" s="54" t="str">
        <f>_xll.qlLiborSwap($E58,Currency,FixingType,$C58,Currency&amp;$D58,Discounting,Permanent,Trigger,ObjectOverwrite)</f>
        <v>UsdLiborSwapIsdaFixAm52Y#0036</v>
      </c>
      <c r="G58" s="53" t="str">
        <f>_xll.ohRangeRetrieveError(F58)</f>
        <v/>
      </c>
      <c r="H58" s="52"/>
    </row>
    <row r="59" spans="2:8" s="48" customFormat="1" x14ac:dyDescent="0.2">
      <c r="B59" s="58"/>
      <c r="C59" s="57" t="s">
        <v>57</v>
      </c>
      <c r="D59" s="56" t="s">
        <v>14</v>
      </c>
      <c r="E59" s="55" t="str">
        <f>PROPER(Currency)&amp;FamilyName&amp;FixingType&amp;$C59</f>
        <v>UsdLiborSwapIsdaFixAm53Y</v>
      </c>
      <c r="F59" s="54" t="str">
        <f>_xll.qlLiborSwap($E59,Currency,FixingType,$C59,Currency&amp;$D59,Discounting,Permanent,Trigger,ObjectOverwrite)</f>
        <v>UsdLiborSwapIsdaFixAm53Y#0036</v>
      </c>
      <c r="G59" s="53" t="str">
        <f>_xll.ohRangeRetrieveError(F59)</f>
        <v/>
      </c>
      <c r="H59" s="52"/>
    </row>
    <row r="60" spans="2:8" s="48" customFormat="1" x14ac:dyDescent="0.2">
      <c r="B60" s="58"/>
      <c r="C60" s="57" t="s">
        <v>56</v>
      </c>
      <c r="D60" s="56" t="s">
        <v>14</v>
      </c>
      <c r="E60" s="55" t="str">
        <f>PROPER(Currency)&amp;FamilyName&amp;FixingType&amp;$C60</f>
        <v>UsdLiborSwapIsdaFixAm54Y</v>
      </c>
      <c r="F60" s="54" t="str">
        <f>_xll.qlLiborSwap($E60,Currency,FixingType,$C60,Currency&amp;$D60,Discounting,Permanent,Trigger,ObjectOverwrite)</f>
        <v>UsdLiborSwapIsdaFixAm54Y#0036</v>
      </c>
      <c r="G60" s="53" t="str">
        <f>_xll.ohRangeRetrieveError(F60)</f>
        <v/>
      </c>
      <c r="H60" s="52"/>
    </row>
    <row r="61" spans="2:8" s="48" customFormat="1" x14ac:dyDescent="0.2">
      <c r="B61" s="58"/>
      <c r="C61" s="57" t="s">
        <v>55</v>
      </c>
      <c r="D61" s="56" t="s">
        <v>14</v>
      </c>
      <c r="E61" s="55" t="str">
        <f>PROPER(Currency)&amp;FamilyName&amp;FixingType&amp;$C61</f>
        <v>UsdLiborSwapIsdaFixAm55Y</v>
      </c>
      <c r="F61" s="54" t="str">
        <f>_xll.qlLiborSwap($E61,Currency,FixingType,$C61,Currency&amp;$D61,Discounting,Permanent,Trigger,ObjectOverwrite)</f>
        <v>UsdLiborSwapIsdaFixAm55Y#0036</v>
      </c>
      <c r="G61" s="53" t="str">
        <f>_xll.ohRangeRetrieveError(F61)</f>
        <v/>
      </c>
      <c r="H61" s="52"/>
    </row>
    <row r="62" spans="2:8" s="48" customFormat="1" x14ac:dyDescent="0.2">
      <c r="B62" s="58"/>
      <c r="C62" s="57" t="s">
        <v>54</v>
      </c>
      <c r="D62" s="56" t="s">
        <v>14</v>
      </c>
      <c r="E62" s="55" t="str">
        <f>PROPER(Currency)&amp;FamilyName&amp;FixingType&amp;$C62</f>
        <v>UsdLiborSwapIsdaFixAm56Y</v>
      </c>
      <c r="F62" s="54" t="str">
        <f>_xll.qlLiborSwap($E62,Currency,FixingType,$C62,Currency&amp;$D62,Discounting,Permanent,Trigger,ObjectOverwrite)</f>
        <v>UsdLiborSwapIsdaFixAm56Y#0036</v>
      </c>
      <c r="G62" s="53" t="str">
        <f>_xll.ohRangeRetrieveError(F62)</f>
        <v/>
      </c>
      <c r="H62" s="52"/>
    </row>
    <row r="63" spans="2:8" s="48" customFormat="1" x14ac:dyDescent="0.2">
      <c r="B63" s="58"/>
      <c r="C63" s="57" t="s">
        <v>53</v>
      </c>
      <c r="D63" s="56" t="s">
        <v>14</v>
      </c>
      <c r="E63" s="55" t="str">
        <f>PROPER(Currency)&amp;FamilyName&amp;FixingType&amp;$C63</f>
        <v>UsdLiborSwapIsdaFixAm57Y</v>
      </c>
      <c r="F63" s="54" t="str">
        <f>_xll.qlLiborSwap($E63,Currency,FixingType,$C63,Currency&amp;$D63,Discounting,Permanent,Trigger,ObjectOverwrite)</f>
        <v>UsdLiborSwapIsdaFixAm57Y#0036</v>
      </c>
      <c r="G63" s="53" t="str">
        <f>_xll.ohRangeRetrieveError(F63)</f>
        <v/>
      </c>
      <c r="H63" s="52"/>
    </row>
    <row r="64" spans="2:8" s="48" customFormat="1" x14ac:dyDescent="0.2">
      <c r="B64" s="58"/>
      <c r="C64" s="57" t="s">
        <v>52</v>
      </c>
      <c r="D64" s="56" t="s">
        <v>14</v>
      </c>
      <c r="E64" s="55" t="str">
        <f>PROPER(Currency)&amp;FamilyName&amp;FixingType&amp;$C64</f>
        <v>UsdLiborSwapIsdaFixAm58Y</v>
      </c>
      <c r="F64" s="54" t="str">
        <f>_xll.qlLiborSwap($E64,Currency,FixingType,$C64,Currency&amp;$D64,Discounting,Permanent,Trigger,ObjectOverwrite)</f>
        <v>UsdLiborSwapIsdaFixAm58Y#0036</v>
      </c>
      <c r="G64" s="53" t="str">
        <f>_xll.ohRangeRetrieveError(F64)</f>
        <v/>
      </c>
      <c r="H64" s="52"/>
    </row>
    <row r="65" spans="2:8" s="48" customFormat="1" x14ac:dyDescent="0.2">
      <c r="B65" s="58"/>
      <c r="C65" s="57" t="s">
        <v>51</v>
      </c>
      <c r="D65" s="56" t="s">
        <v>14</v>
      </c>
      <c r="E65" s="55" t="str">
        <f>PROPER(Currency)&amp;FamilyName&amp;FixingType&amp;$C65</f>
        <v>UsdLiborSwapIsdaFixAm59Y</v>
      </c>
      <c r="F65" s="54" t="str">
        <f>_xll.qlLiborSwap($E65,Currency,FixingType,$C65,Currency&amp;$D65,Discounting,Permanent,Trigger,ObjectOverwrite)</f>
        <v>UsdLiborSwapIsdaFixAm59Y#0036</v>
      </c>
      <c r="G65" s="53" t="str">
        <f>_xll.ohRangeRetrieveError(F65)</f>
        <v/>
      </c>
      <c r="H65" s="52"/>
    </row>
    <row r="66" spans="2:8" s="48" customFormat="1" x14ac:dyDescent="0.2">
      <c r="B66" s="58"/>
      <c r="C66" s="57" t="s">
        <v>50</v>
      </c>
      <c r="D66" s="56" t="s">
        <v>14</v>
      </c>
      <c r="E66" s="55" t="str">
        <f>PROPER(Currency)&amp;FamilyName&amp;FixingType&amp;$C66</f>
        <v>UsdLiborSwapIsdaFixAm60Y</v>
      </c>
      <c r="F66" s="54" t="str">
        <f>_xll.qlLiborSwap($E66,Currency,FixingType,$C66,Currency&amp;$D66,Discounting,Permanent,Trigger,ObjectOverwrite)</f>
        <v>UsdLiborSwapIsdaFixAm60Y#0036</v>
      </c>
      <c r="G66" s="53" t="str">
        <f>_xll.ohRangeRetrieveError(F66)</f>
        <v/>
      </c>
      <c r="H66" s="52"/>
    </row>
    <row r="67" spans="2:8" s="48" customFormat="1" ht="12" thickBot="1" x14ac:dyDescent="0.25">
      <c r="B67" s="51"/>
      <c r="C67" s="50"/>
      <c r="D67" s="50"/>
      <c r="E67" s="50"/>
      <c r="F67" s="50"/>
      <c r="G67" s="50"/>
      <c r="H67" s="49"/>
    </row>
    <row r="68" spans="2:8" s="48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8" width="5.28515625" style="22" customWidth="1"/>
    <col min="9" max="16384" width="9.140625" style="22"/>
  </cols>
  <sheetData>
    <row r="1" spans="1:8" s="48" customFormat="1" ht="12" thickBot="1" x14ac:dyDescent="0.25">
      <c r="A1" s="48" t="s">
        <v>123</v>
      </c>
    </row>
    <row r="2" spans="1:8" s="48" customFormat="1" x14ac:dyDescent="0.2">
      <c r="B2" s="68"/>
      <c r="C2" s="66"/>
      <c r="D2" s="66"/>
      <c r="E2" s="67"/>
      <c r="F2" s="66"/>
      <c r="G2" s="66"/>
      <c r="H2" s="65"/>
    </row>
    <row r="3" spans="1:8" s="48" customFormat="1" x14ac:dyDescent="0.2">
      <c r="B3" s="58"/>
      <c r="C3" s="63"/>
      <c r="D3" s="63"/>
      <c r="E3" s="64" t="s">
        <v>49</v>
      </c>
      <c r="F3" s="60" t="s">
        <v>112</v>
      </c>
      <c r="G3" s="63"/>
      <c r="H3" s="59"/>
    </row>
    <row r="4" spans="1:8" s="48" customFormat="1" x14ac:dyDescent="0.2">
      <c r="B4" s="58"/>
      <c r="C4" s="63"/>
      <c r="D4" s="63"/>
      <c r="E4" s="64" t="s">
        <v>111</v>
      </c>
      <c r="F4" s="60" t="s">
        <v>113</v>
      </c>
      <c r="G4" s="63"/>
      <c r="H4" s="59"/>
    </row>
    <row r="5" spans="1:8" s="48" customFormat="1" x14ac:dyDescent="0.2">
      <c r="B5" s="58"/>
      <c r="C5" s="63"/>
      <c r="D5" s="63"/>
      <c r="E5" s="63"/>
      <c r="F5" s="63"/>
      <c r="G5" s="63"/>
      <c r="H5" s="59"/>
    </row>
    <row r="6" spans="1:8" s="48" customFormat="1" x14ac:dyDescent="0.2">
      <c r="B6" s="58"/>
      <c r="C6" s="63"/>
      <c r="D6" s="62" t="s">
        <v>109</v>
      </c>
      <c r="E6" s="61" t="str">
        <f>PROPER(Currency)&amp;FamilyName&amp;FixingType&amp;".xml"</f>
        <v>UsdLiborSwapIsdaFixPm.xml</v>
      </c>
      <c r="F6" s="60">
        <f ca="1">IF(Serialize,_xll.ohObjectSave(F7:F66,SerializationPath&amp;FileName,FileOverwrite,,Serialize),"---")</f>
        <v>60</v>
      </c>
      <c r="G6" s="53" t="str">
        <f ca="1">_xll.ohRangeRetrieveError(F6)</f>
        <v/>
      </c>
      <c r="H6" s="59"/>
    </row>
    <row r="7" spans="1:8" s="48" customFormat="1" x14ac:dyDescent="0.2">
      <c r="B7" s="58"/>
      <c r="C7" s="70" t="s">
        <v>29</v>
      </c>
      <c r="D7" s="32" t="s">
        <v>14</v>
      </c>
      <c r="E7" s="69" t="str">
        <f>PROPER(Currency)&amp;FamilyName&amp;FixingType&amp;$C7</f>
        <v>UsdLiborSwapIsdaFixPm1Y</v>
      </c>
      <c r="F7" s="54" t="str">
        <f>_xll.qlLiborSwap($E7,Currency,FixingType,$C7,Currency&amp;$D7,Discounting,Permanent,Trigger,ObjectOverwrite)</f>
        <v>UsdLiborSwapIsdaFixPm1Y#0035</v>
      </c>
      <c r="G7" s="53" t="str">
        <f>_xll.ohRangeRetrieveError(F7)</f>
        <v/>
      </c>
      <c r="H7" s="52"/>
    </row>
    <row r="8" spans="1:8" s="48" customFormat="1" x14ac:dyDescent="0.2">
      <c r="B8" s="58"/>
      <c r="C8" s="70" t="s">
        <v>108</v>
      </c>
      <c r="D8" s="32" t="s">
        <v>14</v>
      </c>
      <c r="E8" s="69" t="str">
        <f>PROPER(Currency)&amp;FamilyName&amp;FixingType&amp;$C8</f>
        <v>UsdLiborSwapIsdaFixPm2Y</v>
      </c>
      <c r="F8" s="54" t="str">
        <f>_xll.qlLiborSwap($E8,Currency,FixingType,$C8,Currency&amp;$D8,Discounting,Permanent,Trigger,ObjectOverwrite)</f>
        <v>UsdLiborSwapIsdaFixPm2Y#0035</v>
      </c>
      <c r="G8" s="53" t="str">
        <f>_xll.ohRangeRetrieveError(F8)</f>
        <v/>
      </c>
      <c r="H8" s="52"/>
    </row>
    <row r="9" spans="1:8" s="48" customFormat="1" x14ac:dyDescent="0.2">
      <c r="B9" s="58"/>
      <c r="C9" s="70" t="s">
        <v>107</v>
      </c>
      <c r="D9" s="32" t="s">
        <v>14</v>
      </c>
      <c r="E9" s="69" t="str">
        <f>PROPER(Currency)&amp;FamilyName&amp;FixingType&amp;$C9</f>
        <v>UsdLiborSwapIsdaFixPm3Y</v>
      </c>
      <c r="F9" s="54" t="str">
        <f>_xll.qlLiborSwap($E9,Currency,FixingType,$C9,Currency&amp;$D9,Discounting,Permanent,Trigger,ObjectOverwrite)</f>
        <v>UsdLiborSwapIsdaFixPm3Y#0035</v>
      </c>
      <c r="G9" s="53" t="str">
        <f>_xll.ohRangeRetrieveError(F9)</f>
        <v/>
      </c>
      <c r="H9" s="52"/>
    </row>
    <row r="10" spans="1:8" s="48" customFormat="1" x14ac:dyDescent="0.2">
      <c r="B10" s="58"/>
      <c r="C10" s="70" t="s">
        <v>106</v>
      </c>
      <c r="D10" s="32" t="s">
        <v>14</v>
      </c>
      <c r="E10" s="69" t="str">
        <f>PROPER(Currency)&amp;FamilyName&amp;FixingType&amp;$C10</f>
        <v>UsdLiborSwapIsdaFixPm4Y</v>
      </c>
      <c r="F10" s="54" t="str">
        <f>_xll.qlLiborSwap($E10,Currency,FixingType,$C10,Currency&amp;$D10,Discounting,Permanent,Trigger,ObjectOverwrite)</f>
        <v>UsdLiborSwapIsdaFixPm4Y#0035</v>
      </c>
      <c r="G10" s="53" t="str">
        <f>_xll.ohRangeRetrieveError(F10)</f>
        <v/>
      </c>
      <c r="H10" s="52"/>
    </row>
    <row r="11" spans="1:8" s="48" customFormat="1" x14ac:dyDescent="0.2">
      <c r="B11" s="58"/>
      <c r="C11" s="70" t="s">
        <v>105</v>
      </c>
      <c r="D11" s="32" t="s">
        <v>14</v>
      </c>
      <c r="E11" s="69" t="str">
        <f>PROPER(Currency)&amp;FamilyName&amp;FixingType&amp;$C11</f>
        <v>UsdLiborSwapIsdaFixPm5Y</v>
      </c>
      <c r="F11" s="54" t="str">
        <f>_xll.qlLiborSwap($E11,Currency,FixingType,$C11,Currency&amp;$D11,Discounting,Permanent,Trigger,ObjectOverwrite)</f>
        <v>UsdLiborSwapIsdaFixPm5Y#0035</v>
      </c>
      <c r="G11" s="53" t="str">
        <f>_xll.ohRangeRetrieveError(F11)</f>
        <v/>
      </c>
      <c r="H11" s="52"/>
    </row>
    <row r="12" spans="1:8" s="48" customFormat="1" x14ac:dyDescent="0.2">
      <c r="B12" s="58"/>
      <c r="C12" s="70" t="s">
        <v>104</v>
      </c>
      <c r="D12" s="32" t="s">
        <v>14</v>
      </c>
      <c r="E12" s="69" t="str">
        <f>PROPER(Currency)&amp;FamilyName&amp;FixingType&amp;$C12</f>
        <v>UsdLiborSwapIsdaFixPm6Y</v>
      </c>
      <c r="F12" s="54" t="str">
        <f>_xll.qlLiborSwap($E12,Currency,FixingType,$C12,Currency&amp;$D12,Discounting,Permanent,Trigger,ObjectOverwrite)</f>
        <v>UsdLiborSwapIsdaFixPm6Y#0035</v>
      </c>
      <c r="G12" s="53" t="str">
        <f>_xll.ohRangeRetrieveError(F12)</f>
        <v/>
      </c>
      <c r="H12" s="52"/>
    </row>
    <row r="13" spans="1:8" s="48" customFormat="1" x14ac:dyDescent="0.2">
      <c r="B13" s="58"/>
      <c r="C13" s="70" t="s">
        <v>103</v>
      </c>
      <c r="D13" s="32" t="s">
        <v>14</v>
      </c>
      <c r="E13" s="69" t="str">
        <f>PROPER(Currency)&amp;FamilyName&amp;FixingType&amp;$C13</f>
        <v>UsdLiborSwapIsdaFixPm7Y</v>
      </c>
      <c r="F13" s="54" t="str">
        <f>_xll.qlLiborSwap($E13,Currency,FixingType,$C13,Currency&amp;$D13,Discounting,Permanent,Trigger,ObjectOverwrite)</f>
        <v>UsdLiborSwapIsdaFixPm7Y#0035</v>
      </c>
      <c r="G13" s="53" t="str">
        <f>_xll.ohRangeRetrieveError(F13)</f>
        <v/>
      </c>
      <c r="H13" s="52"/>
    </row>
    <row r="14" spans="1:8" s="48" customFormat="1" x14ac:dyDescent="0.2">
      <c r="B14" s="58"/>
      <c r="C14" s="70" t="s">
        <v>102</v>
      </c>
      <c r="D14" s="32" t="s">
        <v>14</v>
      </c>
      <c r="E14" s="69" t="str">
        <f>PROPER(Currency)&amp;FamilyName&amp;FixingType&amp;$C14</f>
        <v>UsdLiborSwapIsdaFixPm8Y</v>
      </c>
      <c r="F14" s="54" t="str">
        <f>_xll.qlLiborSwap($E14,Currency,FixingType,$C14,Currency&amp;$D14,Discounting,Permanent,Trigger,ObjectOverwrite)</f>
        <v>UsdLiborSwapIsdaFixPm8Y#0035</v>
      </c>
      <c r="G14" s="53" t="str">
        <f>_xll.ohRangeRetrieveError(F14)</f>
        <v/>
      </c>
      <c r="H14" s="52"/>
    </row>
    <row r="15" spans="1:8" s="48" customFormat="1" x14ac:dyDescent="0.2">
      <c r="B15" s="58"/>
      <c r="C15" s="70" t="s">
        <v>101</v>
      </c>
      <c r="D15" s="32" t="s">
        <v>14</v>
      </c>
      <c r="E15" s="69" t="str">
        <f>PROPER(Currency)&amp;FamilyName&amp;FixingType&amp;$C15</f>
        <v>UsdLiborSwapIsdaFixPm9Y</v>
      </c>
      <c r="F15" s="54" t="str">
        <f>_xll.qlLiborSwap($E15,Currency,FixingType,$C15,Currency&amp;$D15,Discounting,Permanent,Trigger,ObjectOverwrite)</f>
        <v>UsdLiborSwapIsdaFixPm9Y#0035</v>
      </c>
      <c r="G15" s="53" t="str">
        <f>_xll.ohRangeRetrieveError(F15)</f>
        <v/>
      </c>
      <c r="H15" s="52"/>
    </row>
    <row r="16" spans="1:8" s="48" customFormat="1" x14ac:dyDescent="0.2">
      <c r="B16" s="58"/>
      <c r="C16" s="70" t="s">
        <v>100</v>
      </c>
      <c r="D16" s="32" t="s">
        <v>14</v>
      </c>
      <c r="E16" s="69" t="str">
        <f>PROPER(Currency)&amp;FamilyName&amp;FixingType&amp;$C16</f>
        <v>UsdLiborSwapIsdaFixPm10Y</v>
      </c>
      <c r="F16" s="54" t="str">
        <f>_xll.qlLiborSwap($E16,Currency,FixingType,$C16,Currency&amp;$D16,Discounting,Permanent,Trigger,ObjectOverwrite)</f>
        <v>UsdLiborSwapIsdaFixPm10Y#0035</v>
      </c>
      <c r="G16" s="53" t="str">
        <f>_xll.ohRangeRetrieveError(F16)</f>
        <v/>
      </c>
      <c r="H16" s="52"/>
    </row>
    <row r="17" spans="2:8" s="48" customFormat="1" x14ac:dyDescent="0.2">
      <c r="B17" s="58"/>
      <c r="C17" s="70" t="s">
        <v>99</v>
      </c>
      <c r="D17" s="32" t="s">
        <v>14</v>
      </c>
      <c r="E17" s="69" t="str">
        <f>PROPER(Currency)&amp;FamilyName&amp;FixingType&amp;$C17</f>
        <v>UsdLiborSwapIsdaFixPm11Y</v>
      </c>
      <c r="F17" s="54" t="str">
        <f>_xll.qlLiborSwap($E17,Currency,FixingType,$C17,Currency&amp;$D17,Discounting,Permanent,Trigger,ObjectOverwrite)</f>
        <v>UsdLiborSwapIsdaFixPm11Y#0035</v>
      </c>
      <c r="G17" s="53" t="str">
        <f>_xll.ohRangeRetrieveError(F17)</f>
        <v/>
      </c>
      <c r="H17" s="52"/>
    </row>
    <row r="18" spans="2:8" s="48" customFormat="1" x14ac:dyDescent="0.2">
      <c r="B18" s="58"/>
      <c r="C18" s="70" t="s">
        <v>98</v>
      </c>
      <c r="D18" s="32" t="s">
        <v>14</v>
      </c>
      <c r="E18" s="69" t="str">
        <f>PROPER(Currency)&amp;FamilyName&amp;FixingType&amp;$C18</f>
        <v>UsdLiborSwapIsdaFixPm12Y</v>
      </c>
      <c r="F18" s="54" t="str">
        <f>_xll.qlLiborSwap($E18,Currency,FixingType,$C18,Currency&amp;$D18,Discounting,Permanent,Trigger,ObjectOverwrite)</f>
        <v>UsdLiborSwapIsdaFixPm12Y#0035</v>
      </c>
      <c r="G18" s="53" t="str">
        <f>_xll.ohRangeRetrieveError(F18)</f>
        <v/>
      </c>
      <c r="H18" s="52"/>
    </row>
    <row r="19" spans="2:8" s="48" customFormat="1" x14ac:dyDescent="0.2">
      <c r="B19" s="58"/>
      <c r="C19" s="70" t="s">
        <v>97</v>
      </c>
      <c r="D19" s="32" t="s">
        <v>14</v>
      </c>
      <c r="E19" s="69" t="str">
        <f>PROPER(Currency)&amp;FamilyName&amp;FixingType&amp;$C19</f>
        <v>UsdLiborSwapIsdaFixPm13Y</v>
      </c>
      <c r="F19" s="54" t="str">
        <f>_xll.qlLiborSwap($E19,Currency,FixingType,$C19,Currency&amp;$D19,Discounting,Permanent,Trigger,ObjectOverwrite)</f>
        <v>UsdLiborSwapIsdaFixPm13Y#0035</v>
      </c>
      <c r="G19" s="53" t="str">
        <f>_xll.ohRangeRetrieveError(F19)</f>
        <v/>
      </c>
      <c r="H19" s="52"/>
    </row>
    <row r="20" spans="2:8" s="48" customFormat="1" x14ac:dyDescent="0.2">
      <c r="B20" s="58"/>
      <c r="C20" s="70" t="s">
        <v>96</v>
      </c>
      <c r="D20" s="32" t="s">
        <v>14</v>
      </c>
      <c r="E20" s="69" t="str">
        <f>PROPER(Currency)&amp;FamilyName&amp;FixingType&amp;$C20</f>
        <v>UsdLiborSwapIsdaFixPm14Y</v>
      </c>
      <c r="F20" s="54" t="str">
        <f>_xll.qlLiborSwap($E20,Currency,FixingType,$C20,Currency&amp;$D20,Discounting,Permanent,Trigger,ObjectOverwrite)</f>
        <v>UsdLiborSwapIsdaFixPm14Y#0035</v>
      </c>
      <c r="G20" s="53" t="str">
        <f>_xll.ohRangeRetrieveError(F20)</f>
        <v/>
      </c>
      <c r="H20" s="52"/>
    </row>
    <row r="21" spans="2:8" s="48" customFormat="1" x14ac:dyDescent="0.2">
      <c r="B21" s="58"/>
      <c r="C21" s="70" t="s">
        <v>95</v>
      </c>
      <c r="D21" s="32" t="s">
        <v>14</v>
      </c>
      <c r="E21" s="69" t="str">
        <f>PROPER(Currency)&amp;FamilyName&amp;FixingType&amp;$C21</f>
        <v>UsdLiborSwapIsdaFixPm15Y</v>
      </c>
      <c r="F21" s="54" t="str">
        <f>_xll.qlLiborSwap($E21,Currency,FixingType,$C21,Currency&amp;$D21,Discounting,Permanent,Trigger,ObjectOverwrite)</f>
        <v>UsdLiborSwapIsdaFixPm15Y#0035</v>
      </c>
      <c r="G21" s="53" t="str">
        <f>_xll.ohRangeRetrieveError(F21)</f>
        <v/>
      </c>
      <c r="H21" s="52"/>
    </row>
    <row r="22" spans="2:8" s="48" customFormat="1" x14ac:dyDescent="0.2">
      <c r="B22" s="58"/>
      <c r="C22" s="70" t="s">
        <v>94</v>
      </c>
      <c r="D22" s="32" t="s">
        <v>14</v>
      </c>
      <c r="E22" s="69" t="str">
        <f>PROPER(Currency)&amp;FamilyName&amp;FixingType&amp;$C22</f>
        <v>UsdLiborSwapIsdaFixPm16Y</v>
      </c>
      <c r="F22" s="54" t="str">
        <f>_xll.qlLiborSwap($E22,Currency,FixingType,$C22,Currency&amp;$D22,Discounting,Permanent,Trigger,ObjectOverwrite)</f>
        <v>UsdLiborSwapIsdaFixPm16Y#0035</v>
      </c>
      <c r="G22" s="53" t="str">
        <f>_xll.ohRangeRetrieveError(F22)</f>
        <v/>
      </c>
      <c r="H22" s="52"/>
    </row>
    <row r="23" spans="2:8" s="48" customFormat="1" x14ac:dyDescent="0.2">
      <c r="B23" s="58"/>
      <c r="C23" s="70" t="s">
        <v>93</v>
      </c>
      <c r="D23" s="32" t="s">
        <v>14</v>
      </c>
      <c r="E23" s="69" t="str">
        <f>PROPER(Currency)&amp;FamilyName&amp;FixingType&amp;$C23</f>
        <v>UsdLiborSwapIsdaFixPm17Y</v>
      </c>
      <c r="F23" s="54" t="str">
        <f>_xll.qlLiborSwap($E23,Currency,FixingType,$C23,Currency&amp;$D23,Discounting,Permanent,Trigger,ObjectOverwrite)</f>
        <v>UsdLiborSwapIsdaFixPm17Y#0035</v>
      </c>
      <c r="G23" s="53" t="str">
        <f>_xll.ohRangeRetrieveError(F23)</f>
        <v/>
      </c>
      <c r="H23" s="52"/>
    </row>
    <row r="24" spans="2:8" s="48" customFormat="1" x14ac:dyDescent="0.2">
      <c r="B24" s="58"/>
      <c r="C24" s="70" t="s">
        <v>92</v>
      </c>
      <c r="D24" s="32" t="s">
        <v>14</v>
      </c>
      <c r="E24" s="69" t="str">
        <f>PROPER(Currency)&amp;FamilyName&amp;FixingType&amp;$C24</f>
        <v>UsdLiborSwapIsdaFixPm18Y</v>
      </c>
      <c r="F24" s="54" t="str">
        <f>_xll.qlLiborSwap($E24,Currency,FixingType,$C24,Currency&amp;$D24,Discounting,Permanent,Trigger,ObjectOverwrite)</f>
        <v>UsdLiborSwapIsdaFixPm18Y#0035</v>
      </c>
      <c r="G24" s="53" t="str">
        <f>_xll.ohRangeRetrieveError(F24)</f>
        <v/>
      </c>
      <c r="H24" s="52"/>
    </row>
    <row r="25" spans="2:8" s="48" customFormat="1" x14ac:dyDescent="0.2">
      <c r="B25" s="58"/>
      <c r="C25" s="70" t="s">
        <v>91</v>
      </c>
      <c r="D25" s="32" t="s">
        <v>14</v>
      </c>
      <c r="E25" s="69" t="str">
        <f>PROPER(Currency)&amp;FamilyName&amp;FixingType&amp;$C25</f>
        <v>UsdLiborSwapIsdaFixPm19Y</v>
      </c>
      <c r="F25" s="54" t="str">
        <f>_xll.qlLiborSwap($E25,Currency,FixingType,$C25,Currency&amp;$D25,Discounting,Permanent,Trigger,ObjectOverwrite)</f>
        <v>UsdLiborSwapIsdaFixPm19Y#0035</v>
      </c>
      <c r="G25" s="53" t="str">
        <f>_xll.ohRangeRetrieveError(F25)</f>
        <v/>
      </c>
      <c r="H25" s="52"/>
    </row>
    <row r="26" spans="2:8" s="48" customFormat="1" x14ac:dyDescent="0.2">
      <c r="B26" s="58"/>
      <c r="C26" s="70" t="s">
        <v>90</v>
      </c>
      <c r="D26" s="32" t="s">
        <v>14</v>
      </c>
      <c r="E26" s="69" t="str">
        <f>PROPER(Currency)&amp;FamilyName&amp;FixingType&amp;$C26</f>
        <v>UsdLiborSwapIsdaFixPm20Y</v>
      </c>
      <c r="F26" s="54" t="str">
        <f>_xll.qlLiborSwap($E26,Currency,FixingType,$C26,Currency&amp;$D26,Discounting,Permanent,Trigger,ObjectOverwrite)</f>
        <v>UsdLiborSwapIsdaFixPm20Y#0035</v>
      </c>
      <c r="G26" s="53" t="str">
        <f>_xll.ohRangeRetrieveError(F26)</f>
        <v/>
      </c>
      <c r="H26" s="52"/>
    </row>
    <row r="27" spans="2:8" s="48" customFormat="1" x14ac:dyDescent="0.2">
      <c r="B27" s="58"/>
      <c r="C27" s="70" t="s">
        <v>89</v>
      </c>
      <c r="D27" s="32" t="s">
        <v>14</v>
      </c>
      <c r="E27" s="69" t="str">
        <f>PROPER(Currency)&amp;FamilyName&amp;FixingType&amp;$C27</f>
        <v>UsdLiborSwapIsdaFixPm21Y</v>
      </c>
      <c r="F27" s="54" t="str">
        <f>_xll.qlLiborSwap($E27,Currency,FixingType,$C27,Currency&amp;$D27,Discounting,Permanent,Trigger,ObjectOverwrite)</f>
        <v>UsdLiborSwapIsdaFixPm21Y#0035</v>
      </c>
      <c r="G27" s="53" t="str">
        <f>_xll.ohRangeRetrieveError(F27)</f>
        <v/>
      </c>
      <c r="H27" s="52"/>
    </row>
    <row r="28" spans="2:8" s="48" customFormat="1" x14ac:dyDescent="0.2">
      <c r="B28" s="58"/>
      <c r="C28" s="70" t="s">
        <v>88</v>
      </c>
      <c r="D28" s="32" t="s">
        <v>14</v>
      </c>
      <c r="E28" s="69" t="str">
        <f>PROPER(Currency)&amp;FamilyName&amp;FixingType&amp;$C28</f>
        <v>UsdLiborSwapIsdaFixPm22Y</v>
      </c>
      <c r="F28" s="54" t="str">
        <f>_xll.qlLiborSwap($E28,Currency,FixingType,$C28,Currency&amp;$D28,Discounting,Permanent,Trigger,ObjectOverwrite)</f>
        <v>UsdLiborSwapIsdaFixPm22Y#0035</v>
      </c>
      <c r="G28" s="53" t="str">
        <f>_xll.ohRangeRetrieveError(F28)</f>
        <v/>
      </c>
      <c r="H28" s="52"/>
    </row>
    <row r="29" spans="2:8" s="48" customFormat="1" x14ac:dyDescent="0.2">
      <c r="B29" s="58"/>
      <c r="C29" s="70" t="s">
        <v>87</v>
      </c>
      <c r="D29" s="32" t="s">
        <v>14</v>
      </c>
      <c r="E29" s="69" t="str">
        <f>PROPER(Currency)&amp;FamilyName&amp;FixingType&amp;$C29</f>
        <v>UsdLiborSwapIsdaFixPm23Y</v>
      </c>
      <c r="F29" s="54" t="str">
        <f>_xll.qlLiborSwap($E29,Currency,FixingType,$C29,Currency&amp;$D29,Discounting,Permanent,Trigger,ObjectOverwrite)</f>
        <v>UsdLiborSwapIsdaFixPm23Y#0035</v>
      </c>
      <c r="G29" s="53" t="str">
        <f>_xll.ohRangeRetrieveError(F29)</f>
        <v/>
      </c>
      <c r="H29" s="52"/>
    </row>
    <row r="30" spans="2:8" s="48" customFormat="1" x14ac:dyDescent="0.2">
      <c r="B30" s="58"/>
      <c r="C30" s="70" t="s">
        <v>86</v>
      </c>
      <c r="D30" s="32" t="s">
        <v>14</v>
      </c>
      <c r="E30" s="69" t="str">
        <f>PROPER(Currency)&amp;FamilyName&amp;FixingType&amp;$C30</f>
        <v>UsdLiborSwapIsdaFixPm24Y</v>
      </c>
      <c r="F30" s="54" t="str">
        <f>_xll.qlLiborSwap($E30,Currency,FixingType,$C30,Currency&amp;$D30,Discounting,Permanent,Trigger,ObjectOverwrite)</f>
        <v>UsdLiborSwapIsdaFixPm24Y#0035</v>
      </c>
      <c r="G30" s="53" t="str">
        <f>_xll.ohRangeRetrieveError(F30)</f>
        <v/>
      </c>
      <c r="H30" s="52"/>
    </row>
    <row r="31" spans="2:8" s="48" customFormat="1" x14ac:dyDescent="0.2">
      <c r="B31" s="58"/>
      <c r="C31" s="70" t="s">
        <v>85</v>
      </c>
      <c r="D31" s="32" t="s">
        <v>14</v>
      </c>
      <c r="E31" s="69" t="str">
        <f>PROPER(Currency)&amp;FamilyName&amp;FixingType&amp;$C31</f>
        <v>UsdLiborSwapIsdaFixPm25Y</v>
      </c>
      <c r="F31" s="54" t="str">
        <f>_xll.qlLiborSwap($E31,Currency,FixingType,$C31,Currency&amp;$D31,Discounting,Permanent,Trigger,ObjectOverwrite)</f>
        <v>UsdLiborSwapIsdaFixPm25Y#0035</v>
      </c>
      <c r="G31" s="53" t="str">
        <f>_xll.ohRangeRetrieveError(F31)</f>
        <v/>
      </c>
      <c r="H31" s="52"/>
    </row>
    <row r="32" spans="2:8" s="48" customFormat="1" x14ac:dyDescent="0.2">
      <c r="B32" s="58"/>
      <c r="C32" s="70" t="s">
        <v>84</v>
      </c>
      <c r="D32" s="32" t="s">
        <v>14</v>
      </c>
      <c r="E32" s="69" t="str">
        <f>PROPER(Currency)&amp;FamilyName&amp;FixingType&amp;$C32</f>
        <v>UsdLiborSwapIsdaFixPm26Y</v>
      </c>
      <c r="F32" s="54" t="str">
        <f>_xll.qlLiborSwap($E32,Currency,FixingType,$C32,Currency&amp;$D32,Discounting,Permanent,Trigger,ObjectOverwrite)</f>
        <v>UsdLiborSwapIsdaFixPm26Y#0035</v>
      </c>
      <c r="G32" s="53" t="str">
        <f>_xll.ohRangeRetrieveError(F32)</f>
        <v/>
      </c>
      <c r="H32" s="52"/>
    </row>
    <row r="33" spans="2:8" s="48" customFormat="1" x14ac:dyDescent="0.2">
      <c r="B33" s="58"/>
      <c r="C33" s="70" t="s">
        <v>83</v>
      </c>
      <c r="D33" s="32" t="s">
        <v>14</v>
      </c>
      <c r="E33" s="69" t="str">
        <f>PROPER(Currency)&amp;FamilyName&amp;FixingType&amp;$C33</f>
        <v>UsdLiborSwapIsdaFixPm27Y</v>
      </c>
      <c r="F33" s="54" t="str">
        <f>_xll.qlLiborSwap($E33,Currency,FixingType,$C33,Currency&amp;$D33,Discounting,Permanent,Trigger,ObjectOverwrite)</f>
        <v>UsdLiborSwapIsdaFixPm27Y#0035</v>
      </c>
      <c r="G33" s="53" t="str">
        <f>_xll.ohRangeRetrieveError(F33)</f>
        <v/>
      </c>
      <c r="H33" s="52"/>
    </row>
    <row r="34" spans="2:8" s="48" customFormat="1" x14ac:dyDescent="0.2">
      <c r="B34" s="58"/>
      <c r="C34" s="70" t="s">
        <v>82</v>
      </c>
      <c r="D34" s="32" t="s">
        <v>14</v>
      </c>
      <c r="E34" s="69" t="str">
        <f>PROPER(Currency)&amp;FamilyName&amp;FixingType&amp;$C34</f>
        <v>UsdLiborSwapIsdaFixPm28Y</v>
      </c>
      <c r="F34" s="54" t="str">
        <f>_xll.qlLiborSwap($E34,Currency,FixingType,$C34,Currency&amp;$D34,Discounting,Permanent,Trigger,ObjectOverwrite)</f>
        <v>UsdLiborSwapIsdaFixPm28Y#0035</v>
      </c>
      <c r="G34" s="53" t="str">
        <f>_xll.ohRangeRetrieveError(F34)</f>
        <v/>
      </c>
      <c r="H34" s="52"/>
    </row>
    <row r="35" spans="2:8" s="48" customFormat="1" x14ac:dyDescent="0.2">
      <c r="B35" s="58"/>
      <c r="C35" s="70" t="s">
        <v>81</v>
      </c>
      <c r="D35" s="32" t="s">
        <v>14</v>
      </c>
      <c r="E35" s="69" t="str">
        <f>PROPER(Currency)&amp;FamilyName&amp;FixingType&amp;$C35</f>
        <v>UsdLiborSwapIsdaFixPm29Y</v>
      </c>
      <c r="F35" s="54" t="str">
        <f>_xll.qlLiborSwap($E35,Currency,FixingType,$C35,Currency&amp;$D35,Discounting,Permanent,Trigger,ObjectOverwrite)</f>
        <v>UsdLiborSwapIsdaFixPm29Y#0035</v>
      </c>
      <c r="G35" s="53" t="str">
        <f>_xll.ohRangeRetrieveError(F35)</f>
        <v/>
      </c>
      <c r="H35" s="52"/>
    </row>
    <row r="36" spans="2:8" s="48" customFormat="1" x14ac:dyDescent="0.2">
      <c r="B36" s="58"/>
      <c r="C36" s="70" t="s">
        <v>80</v>
      </c>
      <c r="D36" s="32" t="s">
        <v>14</v>
      </c>
      <c r="E36" s="69" t="str">
        <f>PROPER(Currency)&amp;FamilyName&amp;FixingType&amp;$C36</f>
        <v>UsdLiborSwapIsdaFixPm30Y</v>
      </c>
      <c r="F36" s="54" t="str">
        <f>_xll.qlLiborSwap($E36,Currency,FixingType,$C36,Currency&amp;$D36,Discounting,Permanent,Trigger,ObjectOverwrite)</f>
        <v>UsdLiborSwapIsdaFixPm30Y#0035</v>
      </c>
      <c r="G36" s="53" t="str">
        <f>_xll.ohRangeRetrieveError(F36)</f>
        <v/>
      </c>
      <c r="H36" s="52"/>
    </row>
    <row r="37" spans="2:8" s="48" customFormat="1" x14ac:dyDescent="0.2">
      <c r="B37" s="58"/>
      <c r="C37" s="70" t="s">
        <v>79</v>
      </c>
      <c r="D37" s="32" t="s">
        <v>14</v>
      </c>
      <c r="E37" s="69" t="str">
        <f>PROPER(Currency)&amp;FamilyName&amp;FixingType&amp;$C37</f>
        <v>UsdLiborSwapIsdaFixPm31Y</v>
      </c>
      <c r="F37" s="54" t="str">
        <f>_xll.qlLiborSwap($E37,Currency,FixingType,$C37,Currency&amp;$D37,Discounting,Permanent,Trigger,ObjectOverwrite)</f>
        <v>UsdLiborSwapIsdaFixPm31Y#0035</v>
      </c>
      <c r="G37" s="53" t="str">
        <f>_xll.ohRangeRetrieveError(F37)</f>
        <v/>
      </c>
      <c r="H37" s="52"/>
    </row>
    <row r="38" spans="2:8" s="48" customFormat="1" x14ac:dyDescent="0.2">
      <c r="B38" s="58"/>
      <c r="C38" s="70" t="s">
        <v>78</v>
      </c>
      <c r="D38" s="32" t="s">
        <v>14</v>
      </c>
      <c r="E38" s="69" t="str">
        <f>PROPER(Currency)&amp;FamilyName&amp;FixingType&amp;$C38</f>
        <v>UsdLiborSwapIsdaFixPm32Y</v>
      </c>
      <c r="F38" s="54" t="str">
        <f>_xll.qlLiborSwap($E38,Currency,FixingType,$C38,Currency&amp;$D38,Discounting,Permanent,Trigger,ObjectOverwrite)</f>
        <v>UsdLiborSwapIsdaFixPm32Y#0035</v>
      </c>
      <c r="G38" s="53" t="str">
        <f>_xll.ohRangeRetrieveError(F38)</f>
        <v/>
      </c>
      <c r="H38" s="52"/>
    </row>
    <row r="39" spans="2:8" s="48" customFormat="1" x14ac:dyDescent="0.2">
      <c r="B39" s="58"/>
      <c r="C39" s="70" t="s">
        <v>77</v>
      </c>
      <c r="D39" s="32" t="s">
        <v>14</v>
      </c>
      <c r="E39" s="69" t="str">
        <f>PROPER(Currency)&amp;FamilyName&amp;FixingType&amp;$C39</f>
        <v>UsdLiborSwapIsdaFixPm33Y</v>
      </c>
      <c r="F39" s="54" t="str">
        <f>_xll.qlLiborSwap($E39,Currency,FixingType,$C39,Currency&amp;$D39,Discounting,Permanent,Trigger,ObjectOverwrite)</f>
        <v>UsdLiborSwapIsdaFixPm33Y#0035</v>
      </c>
      <c r="G39" s="53" t="str">
        <f>_xll.ohRangeRetrieveError(F39)</f>
        <v/>
      </c>
      <c r="H39" s="52"/>
    </row>
    <row r="40" spans="2:8" s="48" customFormat="1" x14ac:dyDescent="0.2">
      <c r="B40" s="58"/>
      <c r="C40" s="70" t="s">
        <v>76</v>
      </c>
      <c r="D40" s="32" t="s">
        <v>14</v>
      </c>
      <c r="E40" s="69" t="str">
        <f>PROPER(Currency)&amp;FamilyName&amp;FixingType&amp;$C40</f>
        <v>UsdLiborSwapIsdaFixPm34Y</v>
      </c>
      <c r="F40" s="54" t="str">
        <f>_xll.qlLiborSwap($E40,Currency,FixingType,$C40,Currency&amp;$D40,Discounting,Permanent,Trigger,ObjectOverwrite)</f>
        <v>UsdLiborSwapIsdaFixPm34Y#0035</v>
      </c>
      <c r="G40" s="53" t="str">
        <f>_xll.ohRangeRetrieveError(F40)</f>
        <v/>
      </c>
      <c r="H40" s="52"/>
    </row>
    <row r="41" spans="2:8" s="48" customFormat="1" x14ac:dyDescent="0.2">
      <c r="B41" s="58"/>
      <c r="C41" s="70" t="s">
        <v>75</v>
      </c>
      <c r="D41" s="32" t="s">
        <v>14</v>
      </c>
      <c r="E41" s="69" t="str">
        <f>PROPER(Currency)&amp;FamilyName&amp;FixingType&amp;$C41</f>
        <v>UsdLiborSwapIsdaFixPm35Y</v>
      </c>
      <c r="F41" s="54" t="str">
        <f>_xll.qlLiborSwap($E41,Currency,FixingType,$C41,Currency&amp;$D41,Discounting,Permanent,Trigger,ObjectOverwrite)</f>
        <v>UsdLiborSwapIsdaFixPm35Y#0035</v>
      </c>
      <c r="G41" s="53" t="str">
        <f>_xll.ohRangeRetrieveError(F41)</f>
        <v/>
      </c>
      <c r="H41" s="52"/>
    </row>
    <row r="42" spans="2:8" s="48" customFormat="1" x14ac:dyDescent="0.2">
      <c r="B42" s="58"/>
      <c r="C42" s="70" t="s">
        <v>74</v>
      </c>
      <c r="D42" s="32" t="s">
        <v>14</v>
      </c>
      <c r="E42" s="69" t="str">
        <f>PROPER(Currency)&amp;FamilyName&amp;FixingType&amp;$C42</f>
        <v>UsdLiborSwapIsdaFixPm36Y</v>
      </c>
      <c r="F42" s="54" t="str">
        <f>_xll.qlLiborSwap($E42,Currency,FixingType,$C42,Currency&amp;$D42,Discounting,Permanent,Trigger,ObjectOverwrite)</f>
        <v>UsdLiborSwapIsdaFixPm36Y#0035</v>
      </c>
      <c r="G42" s="53" t="str">
        <f>_xll.ohRangeRetrieveError(F42)</f>
        <v/>
      </c>
      <c r="H42" s="52"/>
    </row>
    <row r="43" spans="2:8" s="48" customFormat="1" x14ac:dyDescent="0.2">
      <c r="B43" s="58"/>
      <c r="C43" s="70" t="s">
        <v>73</v>
      </c>
      <c r="D43" s="32" t="s">
        <v>14</v>
      </c>
      <c r="E43" s="69" t="str">
        <f>PROPER(Currency)&amp;FamilyName&amp;FixingType&amp;$C43</f>
        <v>UsdLiborSwapIsdaFixPm37Y</v>
      </c>
      <c r="F43" s="54" t="str">
        <f>_xll.qlLiborSwap($E43,Currency,FixingType,$C43,Currency&amp;$D43,Discounting,Permanent,Trigger,ObjectOverwrite)</f>
        <v>UsdLiborSwapIsdaFixPm37Y#0035</v>
      </c>
      <c r="G43" s="53" t="str">
        <f>_xll.ohRangeRetrieveError(F43)</f>
        <v/>
      </c>
      <c r="H43" s="52"/>
    </row>
    <row r="44" spans="2:8" s="48" customFormat="1" x14ac:dyDescent="0.2">
      <c r="B44" s="58"/>
      <c r="C44" s="70" t="s">
        <v>72</v>
      </c>
      <c r="D44" s="32" t="s">
        <v>14</v>
      </c>
      <c r="E44" s="69" t="str">
        <f>PROPER(Currency)&amp;FamilyName&amp;FixingType&amp;$C44</f>
        <v>UsdLiborSwapIsdaFixPm38Y</v>
      </c>
      <c r="F44" s="54" t="str">
        <f>_xll.qlLiborSwap($E44,Currency,FixingType,$C44,Currency&amp;$D44,Discounting,Permanent,Trigger,ObjectOverwrite)</f>
        <v>UsdLiborSwapIsdaFixPm38Y#0035</v>
      </c>
      <c r="G44" s="53" t="str">
        <f>_xll.ohRangeRetrieveError(F44)</f>
        <v/>
      </c>
      <c r="H44" s="52"/>
    </row>
    <row r="45" spans="2:8" s="48" customFormat="1" x14ac:dyDescent="0.2">
      <c r="B45" s="58"/>
      <c r="C45" s="70" t="s">
        <v>71</v>
      </c>
      <c r="D45" s="32" t="s">
        <v>14</v>
      </c>
      <c r="E45" s="69" t="str">
        <f>PROPER(Currency)&amp;FamilyName&amp;FixingType&amp;$C45</f>
        <v>UsdLiborSwapIsdaFixPm39Y</v>
      </c>
      <c r="F45" s="54" t="str">
        <f>_xll.qlLiborSwap($E45,Currency,FixingType,$C45,Currency&amp;$D45,Discounting,Permanent,Trigger,ObjectOverwrite)</f>
        <v>UsdLiborSwapIsdaFixPm39Y#0035</v>
      </c>
      <c r="G45" s="53" t="str">
        <f>_xll.ohRangeRetrieveError(F45)</f>
        <v/>
      </c>
      <c r="H45" s="52"/>
    </row>
    <row r="46" spans="2:8" s="48" customFormat="1" x14ac:dyDescent="0.2">
      <c r="B46" s="58"/>
      <c r="C46" s="70" t="s">
        <v>70</v>
      </c>
      <c r="D46" s="32" t="s">
        <v>14</v>
      </c>
      <c r="E46" s="69" t="str">
        <f>PROPER(Currency)&amp;FamilyName&amp;FixingType&amp;$C46</f>
        <v>UsdLiborSwapIsdaFixPm40Y</v>
      </c>
      <c r="F46" s="54" t="str">
        <f>_xll.qlLiborSwap($E46,Currency,FixingType,$C46,Currency&amp;$D46,Discounting,Permanent,Trigger,ObjectOverwrite)</f>
        <v>UsdLiborSwapIsdaFixPm40Y#0035</v>
      </c>
      <c r="G46" s="53" t="str">
        <f>_xll.ohRangeRetrieveError(F46)</f>
        <v/>
      </c>
      <c r="H46" s="52"/>
    </row>
    <row r="47" spans="2:8" s="48" customFormat="1" x14ac:dyDescent="0.2">
      <c r="B47" s="58"/>
      <c r="C47" s="70" t="s">
        <v>69</v>
      </c>
      <c r="D47" s="32" t="s">
        <v>14</v>
      </c>
      <c r="E47" s="69" t="str">
        <f>PROPER(Currency)&amp;FamilyName&amp;FixingType&amp;$C47</f>
        <v>UsdLiborSwapIsdaFixPm41Y</v>
      </c>
      <c r="F47" s="54" t="str">
        <f>_xll.qlLiborSwap($E47,Currency,FixingType,$C47,Currency&amp;$D47,Discounting,Permanent,Trigger,ObjectOverwrite)</f>
        <v>UsdLiborSwapIsdaFixPm41Y#0035</v>
      </c>
      <c r="G47" s="53" t="str">
        <f>_xll.ohRangeRetrieveError(F47)</f>
        <v/>
      </c>
      <c r="H47" s="52"/>
    </row>
    <row r="48" spans="2:8" s="48" customFormat="1" x14ac:dyDescent="0.2">
      <c r="B48" s="58"/>
      <c r="C48" s="70" t="s">
        <v>68</v>
      </c>
      <c r="D48" s="32" t="s">
        <v>14</v>
      </c>
      <c r="E48" s="69" t="str">
        <f>PROPER(Currency)&amp;FamilyName&amp;FixingType&amp;$C48</f>
        <v>UsdLiborSwapIsdaFixPm42Y</v>
      </c>
      <c r="F48" s="54" t="str">
        <f>_xll.qlLiborSwap($E48,Currency,FixingType,$C48,Currency&amp;$D48,Discounting,Permanent,Trigger,ObjectOverwrite)</f>
        <v>UsdLiborSwapIsdaFixPm42Y#0035</v>
      </c>
      <c r="G48" s="53" t="str">
        <f>_xll.ohRangeRetrieveError(F48)</f>
        <v/>
      </c>
      <c r="H48" s="52"/>
    </row>
    <row r="49" spans="2:8" s="48" customFormat="1" x14ac:dyDescent="0.2">
      <c r="B49" s="58"/>
      <c r="C49" s="70" t="s">
        <v>67</v>
      </c>
      <c r="D49" s="32" t="s">
        <v>14</v>
      </c>
      <c r="E49" s="69" t="str">
        <f>PROPER(Currency)&amp;FamilyName&amp;FixingType&amp;$C49</f>
        <v>UsdLiborSwapIsdaFixPm43Y</v>
      </c>
      <c r="F49" s="54" t="str">
        <f>_xll.qlLiborSwap($E49,Currency,FixingType,$C49,Currency&amp;$D49,Discounting,Permanent,Trigger,ObjectOverwrite)</f>
        <v>UsdLiborSwapIsdaFixPm43Y#0035</v>
      </c>
      <c r="G49" s="53" t="str">
        <f>_xll.ohRangeRetrieveError(F49)</f>
        <v/>
      </c>
      <c r="H49" s="52"/>
    </row>
    <row r="50" spans="2:8" s="48" customFormat="1" x14ac:dyDescent="0.2">
      <c r="B50" s="58"/>
      <c r="C50" s="70" t="s">
        <v>66</v>
      </c>
      <c r="D50" s="32" t="s">
        <v>14</v>
      </c>
      <c r="E50" s="69" t="str">
        <f>PROPER(Currency)&amp;FamilyName&amp;FixingType&amp;$C50</f>
        <v>UsdLiborSwapIsdaFixPm44Y</v>
      </c>
      <c r="F50" s="54" t="str">
        <f>_xll.qlLiborSwap($E50,Currency,FixingType,$C50,Currency&amp;$D50,Discounting,Permanent,Trigger,ObjectOverwrite)</f>
        <v>UsdLiborSwapIsdaFixPm44Y#0035</v>
      </c>
      <c r="G50" s="53" t="str">
        <f>_xll.ohRangeRetrieveError(F50)</f>
        <v/>
      </c>
      <c r="H50" s="52"/>
    </row>
    <row r="51" spans="2:8" s="48" customFormat="1" x14ac:dyDescent="0.2">
      <c r="B51" s="58"/>
      <c r="C51" s="70" t="s">
        <v>65</v>
      </c>
      <c r="D51" s="32" t="s">
        <v>14</v>
      </c>
      <c r="E51" s="69" t="str">
        <f>PROPER(Currency)&amp;FamilyName&amp;FixingType&amp;$C51</f>
        <v>UsdLiborSwapIsdaFixPm45Y</v>
      </c>
      <c r="F51" s="54" t="str">
        <f>_xll.qlLiborSwap($E51,Currency,FixingType,$C51,Currency&amp;$D51,Discounting,Permanent,Trigger,ObjectOverwrite)</f>
        <v>UsdLiborSwapIsdaFixPm45Y#0035</v>
      </c>
      <c r="G51" s="53" t="str">
        <f>_xll.ohRangeRetrieveError(F51)</f>
        <v/>
      </c>
      <c r="H51" s="52"/>
    </row>
    <row r="52" spans="2:8" s="48" customFormat="1" x14ac:dyDescent="0.2">
      <c r="B52" s="58"/>
      <c r="C52" s="70" t="s">
        <v>64</v>
      </c>
      <c r="D52" s="32" t="s">
        <v>14</v>
      </c>
      <c r="E52" s="69" t="str">
        <f>PROPER(Currency)&amp;FamilyName&amp;FixingType&amp;$C52</f>
        <v>UsdLiborSwapIsdaFixPm46Y</v>
      </c>
      <c r="F52" s="54" t="str">
        <f>_xll.qlLiborSwap($E52,Currency,FixingType,$C52,Currency&amp;$D52,Discounting,Permanent,Trigger,ObjectOverwrite)</f>
        <v>UsdLiborSwapIsdaFixPm46Y#0035</v>
      </c>
      <c r="G52" s="53" t="str">
        <f>_xll.ohRangeRetrieveError(F52)</f>
        <v/>
      </c>
      <c r="H52" s="52"/>
    </row>
    <row r="53" spans="2:8" s="48" customFormat="1" x14ac:dyDescent="0.2">
      <c r="B53" s="58"/>
      <c r="C53" s="70" t="s">
        <v>63</v>
      </c>
      <c r="D53" s="32" t="s">
        <v>14</v>
      </c>
      <c r="E53" s="69" t="str">
        <f>PROPER(Currency)&amp;FamilyName&amp;FixingType&amp;$C53</f>
        <v>UsdLiborSwapIsdaFixPm47Y</v>
      </c>
      <c r="F53" s="54" t="str">
        <f>_xll.qlLiborSwap($E53,Currency,FixingType,$C53,Currency&amp;$D53,Discounting,Permanent,Trigger,ObjectOverwrite)</f>
        <v>UsdLiborSwapIsdaFixPm47Y#0035</v>
      </c>
      <c r="G53" s="53" t="str">
        <f>_xll.ohRangeRetrieveError(F53)</f>
        <v/>
      </c>
      <c r="H53" s="52"/>
    </row>
    <row r="54" spans="2:8" s="48" customFormat="1" x14ac:dyDescent="0.2">
      <c r="B54" s="58"/>
      <c r="C54" s="70" t="s">
        <v>62</v>
      </c>
      <c r="D54" s="32" t="s">
        <v>14</v>
      </c>
      <c r="E54" s="69" t="str">
        <f>PROPER(Currency)&amp;FamilyName&amp;FixingType&amp;$C54</f>
        <v>UsdLiborSwapIsdaFixPm48Y</v>
      </c>
      <c r="F54" s="54" t="str">
        <f>_xll.qlLiborSwap($E54,Currency,FixingType,$C54,Currency&amp;$D54,Discounting,Permanent,Trigger,ObjectOverwrite)</f>
        <v>UsdLiborSwapIsdaFixPm48Y#0035</v>
      </c>
      <c r="G54" s="53" t="str">
        <f>_xll.ohRangeRetrieveError(F54)</f>
        <v/>
      </c>
      <c r="H54" s="52"/>
    </row>
    <row r="55" spans="2:8" s="48" customFormat="1" x14ac:dyDescent="0.2">
      <c r="B55" s="58"/>
      <c r="C55" s="70" t="s">
        <v>61</v>
      </c>
      <c r="D55" s="32" t="s">
        <v>14</v>
      </c>
      <c r="E55" s="69" t="str">
        <f>PROPER(Currency)&amp;FamilyName&amp;FixingType&amp;$C55</f>
        <v>UsdLiborSwapIsdaFixPm49Y</v>
      </c>
      <c r="F55" s="54" t="str">
        <f>_xll.qlLiborSwap($E55,Currency,FixingType,$C55,Currency&amp;$D55,Discounting,Permanent,Trigger,ObjectOverwrite)</f>
        <v>UsdLiborSwapIsdaFixPm49Y#0035</v>
      </c>
      <c r="G55" s="53" t="str">
        <f>_xll.ohRangeRetrieveError(F55)</f>
        <v/>
      </c>
      <c r="H55" s="52"/>
    </row>
    <row r="56" spans="2:8" s="48" customFormat="1" x14ac:dyDescent="0.2">
      <c r="B56" s="58"/>
      <c r="C56" s="70" t="s">
        <v>60</v>
      </c>
      <c r="D56" s="32" t="s">
        <v>14</v>
      </c>
      <c r="E56" s="69" t="str">
        <f>PROPER(Currency)&amp;FamilyName&amp;FixingType&amp;$C56</f>
        <v>UsdLiborSwapIsdaFixPm50Y</v>
      </c>
      <c r="F56" s="54" t="str">
        <f>_xll.qlLiborSwap($E56,Currency,FixingType,$C56,Currency&amp;$D56,Discounting,Permanent,Trigger,ObjectOverwrite)</f>
        <v>UsdLiborSwapIsdaFixPm50Y#0035</v>
      </c>
      <c r="G56" s="53" t="str">
        <f>_xll.ohRangeRetrieveError(F56)</f>
        <v/>
      </c>
      <c r="H56" s="52"/>
    </row>
    <row r="57" spans="2:8" s="48" customFormat="1" x14ac:dyDescent="0.2">
      <c r="B57" s="58"/>
      <c r="C57" s="70" t="s">
        <v>59</v>
      </c>
      <c r="D57" s="32" t="s">
        <v>14</v>
      </c>
      <c r="E57" s="69" t="str">
        <f>PROPER(Currency)&amp;FamilyName&amp;FixingType&amp;$C57</f>
        <v>UsdLiborSwapIsdaFixPm51Y</v>
      </c>
      <c r="F57" s="54" t="str">
        <f>_xll.qlLiborSwap($E57,Currency,FixingType,$C57,Currency&amp;$D57,Discounting,Permanent,Trigger,ObjectOverwrite)</f>
        <v>UsdLiborSwapIsdaFixPm51Y#0035</v>
      </c>
      <c r="G57" s="53" t="str">
        <f>_xll.ohRangeRetrieveError(F57)</f>
        <v/>
      </c>
      <c r="H57" s="52"/>
    </row>
    <row r="58" spans="2:8" s="48" customFormat="1" x14ac:dyDescent="0.2">
      <c r="B58" s="58"/>
      <c r="C58" s="70" t="s">
        <v>58</v>
      </c>
      <c r="D58" s="32" t="s">
        <v>14</v>
      </c>
      <c r="E58" s="69" t="str">
        <f>PROPER(Currency)&amp;FamilyName&amp;FixingType&amp;$C58</f>
        <v>UsdLiborSwapIsdaFixPm52Y</v>
      </c>
      <c r="F58" s="54" t="str">
        <f>_xll.qlLiborSwap($E58,Currency,FixingType,$C58,Currency&amp;$D58,Discounting,Permanent,Trigger,ObjectOverwrite)</f>
        <v>UsdLiborSwapIsdaFixPm52Y#0035</v>
      </c>
      <c r="G58" s="53" t="str">
        <f>_xll.ohRangeRetrieveError(F58)</f>
        <v/>
      </c>
      <c r="H58" s="52"/>
    </row>
    <row r="59" spans="2:8" s="48" customFormat="1" x14ac:dyDescent="0.2">
      <c r="B59" s="58"/>
      <c r="C59" s="70" t="s">
        <v>57</v>
      </c>
      <c r="D59" s="32" t="s">
        <v>14</v>
      </c>
      <c r="E59" s="69" t="str">
        <f>PROPER(Currency)&amp;FamilyName&amp;FixingType&amp;$C59</f>
        <v>UsdLiborSwapIsdaFixPm53Y</v>
      </c>
      <c r="F59" s="54" t="str">
        <f>_xll.qlLiborSwap($E59,Currency,FixingType,$C59,Currency&amp;$D59,Discounting,Permanent,Trigger,ObjectOverwrite)</f>
        <v>UsdLiborSwapIsdaFixPm53Y#0035</v>
      </c>
      <c r="G59" s="53" t="str">
        <f>_xll.ohRangeRetrieveError(F59)</f>
        <v/>
      </c>
      <c r="H59" s="52"/>
    </row>
    <row r="60" spans="2:8" s="48" customFormat="1" x14ac:dyDescent="0.2">
      <c r="B60" s="58"/>
      <c r="C60" s="70" t="s">
        <v>56</v>
      </c>
      <c r="D60" s="32" t="s">
        <v>14</v>
      </c>
      <c r="E60" s="69" t="str">
        <f>PROPER(Currency)&amp;FamilyName&amp;FixingType&amp;$C60</f>
        <v>UsdLiborSwapIsdaFixPm54Y</v>
      </c>
      <c r="F60" s="54" t="str">
        <f>_xll.qlLiborSwap($E60,Currency,FixingType,$C60,Currency&amp;$D60,Discounting,Permanent,Trigger,ObjectOverwrite)</f>
        <v>UsdLiborSwapIsdaFixPm54Y#0035</v>
      </c>
      <c r="G60" s="53" t="str">
        <f>_xll.ohRangeRetrieveError(F60)</f>
        <v/>
      </c>
      <c r="H60" s="52"/>
    </row>
    <row r="61" spans="2:8" s="48" customFormat="1" x14ac:dyDescent="0.2">
      <c r="B61" s="58"/>
      <c r="C61" s="70" t="s">
        <v>55</v>
      </c>
      <c r="D61" s="32" t="s">
        <v>14</v>
      </c>
      <c r="E61" s="69" t="str">
        <f>PROPER(Currency)&amp;FamilyName&amp;FixingType&amp;$C61</f>
        <v>UsdLiborSwapIsdaFixPm55Y</v>
      </c>
      <c r="F61" s="54" t="str">
        <f>_xll.qlLiborSwap($E61,Currency,FixingType,$C61,Currency&amp;$D61,Discounting,Permanent,Trigger,ObjectOverwrite)</f>
        <v>UsdLiborSwapIsdaFixPm55Y#0035</v>
      </c>
      <c r="G61" s="53" t="str">
        <f>_xll.ohRangeRetrieveError(F61)</f>
        <v/>
      </c>
      <c r="H61" s="52"/>
    </row>
    <row r="62" spans="2:8" s="48" customFormat="1" x14ac:dyDescent="0.2">
      <c r="B62" s="58"/>
      <c r="C62" s="70" t="s">
        <v>54</v>
      </c>
      <c r="D62" s="32" t="s">
        <v>14</v>
      </c>
      <c r="E62" s="69" t="str">
        <f>PROPER(Currency)&amp;FamilyName&amp;FixingType&amp;$C62</f>
        <v>UsdLiborSwapIsdaFixPm56Y</v>
      </c>
      <c r="F62" s="54" t="str">
        <f>_xll.qlLiborSwap($E62,Currency,FixingType,$C62,Currency&amp;$D62,Discounting,Permanent,Trigger,ObjectOverwrite)</f>
        <v>UsdLiborSwapIsdaFixPm56Y#0035</v>
      </c>
      <c r="G62" s="53" t="str">
        <f>_xll.ohRangeRetrieveError(F62)</f>
        <v/>
      </c>
      <c r="H62" s="52"/>
    </row>
    <row r="63" spans="2:8" s="48" customFormat="1" x14ac:dyDescent="0.2">
      <c r="B63" s="58"/>
      <c r="C63" s="70" t="s">
        <v>53</v>
      </c>
      <c r="D63" s="32" t="s">
        <v>14</v>
      </c>
      <c r="E63" s="69" t="str">
        <f>PROPER(Currency)&amp;FamilyName&amp;FixingType&amp;$C63</f>
        <v>UsdLiborSwapIsdaFixPm57Y</v>
      </c>
      <c r="F63" s="54" t="str">
        <f>_xll.qlLiborSwap($E63,Currency,FixingType,$C63,Currency&amp;$D63,Discounting,Permanent,Trigger,ObjectOverwrite)</f>
        <v>UsdLiborSwapIsdaFixPm57Y#0035</v>
      </c>
      <c r="G63" s="53" t="str">
        <f>_xll.ohRangeRetrieveError(F63)</f>
        <v/>
      </c>
      <c r="H63" s="52"/>
    </row>
    <row r="64" spans="2:8" s="48" customFormat="1" x14ac:dyDescent="0.2">
      <c r="B64" s="58"/>
      <c r="C64" s="70" t="s">
        <v>52</v>
      </c>
      <c r="D64" s="32" t="s">
        <v>14</v>
      </c>
      <c r="E64" s="69" t="str">
        <f>PROPER(Currency)&amp;FamilyName&amp;FixingType&amp;$C64</f>
        <v>UsdLiborSwapIsdaFixPm58Y</v>
      </c>
      <c r="F64" s="54" t="str">
        <f>_xll.qlLiborSwap($E64,Currency,FixingType,$C64,Currency&amp;$D64,Discounting,Permanent,Trigger,ObjectOverwrite)</f>
        <v>UsdLiborSwapIsdaFixPm58Y#0035</v>
      </c>
      <c r="G64" s="53" t="str">
        <f>_xll.ohRangeRetrieveError(F64)</f>
        <v/>
      </c>
      <c r="H64" s="52"/>
    </row>
    <row r="65" spans="2:8" s="48" customFormat="1" x14ac:dyDescent="0.2">
      <c r="B65" s="58"/>
      <c r="C65" s="70" t="s">
        <v>51</v>
      </c>
      <c r="D65" s="32" t="s">
        <v>14</v>
      </c>
      <c r="E65" s="69" t="str">
        <f>PROPER(Currency)&amp;FamilyName&amp;FixingType&amp;$C65</f>
        <v>UsdLiborSwapIsdaFixPm59Y</v>
      </c>
      <c r="F65" s="54" t="str">
        <f>_xll.qlLiborSwap($E65,Currency,FixingType,$C65,Currency&amp;$D65,Discounting,Permanent,Trigger,ObjectOverwrite)</f>
        <v>UsdLiborSwapIsdaFixPm59Y#0035</v>
      </c>
      <c r="G65" s="53" t="str">
        <f>_xll.ohRangeRetrieveError(F65)</f>
        <v/>
      </c>
      <c r="H65" s="52"/>
    </row>
    <row r="66" spans="2:8" s="48" customFormat="1" x14ac:dyDescent="0.2">
      <c r="B66" s="58"/>
      <c r="C66" s="70" t="s">
        <v>50</v>
      </c>
      <c r="D66" s="32" t="s">
        <v>14</v>
      </c>
      <c r="E66" s="69" t="str">
        <f>PROPER(Currency)&amp;FamilyName&amp;FixingType&amp;$C66</f>
        <v>UsdLiborSwapIsdaFixPm60Y</v>
      </c>
      <c r="F66" s="54" t="str">
        <f>_xll.qlLiborSwap($E66,Currency,FixingType,$C66,Currency&amp;$D66,Discounting,Permanent,Trigger,ObjectOverwrite)</f>
        <v>UsdLiborSwapIsdaFixPm60Y#0035</v>
      </c>
      <c r="G66" s="53" t="str">
        <f>_xll.ohRangeRetrieveError(F66)</f>
        <v/>
      </c>
      <c r="H66" s="52"/>
    </row>
    <row r="67" spans="2:8" s="48" customFormat="1" ht="12" thickBot="1" x14ac:dyDescent="0.25">
      <c r="B67" s="51"/>
      <c r="C67" s="50"/>
      <c r="D67" s="50"/>
      <c r="E67" s="50"/>
      <c r="F67" s="50"/>
      <c r="G67" s="50"/>
      <c r="H67" s="49"/>
    </row>
    <row r="68" spans="2:8" s="48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8" customFormat="1" ht="12" thickBot="1" x14ac:dyDescent="0.25">
      <c r="A1" s="48" t="s">
        <v>123</v>
      </c>
    </row>
    <row r="2" spans="1:8" s="48" customFormat="1" x14ac:dyDescent="0.2">
      <c r="B2" s="68"/>
      <c r="C2" s="66"/>
      <c r="D2" s="66"/>
      <c r="E2" s="67"/>
      <c r="F2" s="66"/>
      <c r="G2" s="66"/>
      <c r="H2" s="65"/>
    </row>
    <row r="3" spans="1:8" s="48" customFormat="1" x14ac:dyDescent="0.2">
      <c r="B3" s="58"/>
      <c r="C3" s="63"/>
      <c r="D3" s="63"/>
      <c r="E3" s="64" t="s">
        <v>49</v>
      </c>
      <c r="F3" s="60" t="s">
        <v>112</v>
      </c>
      <c r="G3" s="63"/>
      <c r="H3" s="59"/>
    </row>
    <row r="4" spans="1:8" s="48" customFormat="1" x14ac:dyDescent="0.2">
      <c r="B4" s="58"/>
      <c r="C4" s="63"/>
      <c r="D4" s="63"/>
      <c r="E4" s="64" t="s">
        <v>111</v>
      </c>
      <c r="F4" s="60" t="s">
        <v>119</v>
      </c>
      <c r="G4" s="63"/>
      <c r="H4" s="59"/>
    </row>
    <row r="5" spans="1:8" s="48" customFormat="1" x14ac:dyDescent="0.2">
      <c r="B5" s="58"/>
      <c r="C5" s="63"/>
      <c r="D5" s="63"/>
      <c r="E5" s="64" t="s">
        <v>118</v>
      </c>
      <c r="F5" s="71" t="s">
        <v>117</v>
      </c>
      <c r="G5" s="63"/>
      <c r="H5" s="59"/>
    </row>
    <row r="6" spans="1:8" s="48" customFormat="1" x14ac:dyDescent="0.2">
      <c r="B6" s="58"/>
      <c r="C6" s="63"/>
      <c r="D6" s="63"/>
      <c r="E6" s="64" t="s">
        <v>116</v>
      </c>
      <c r="F6" s="71" t="s">
        <v>115</v>
      </c>
      <c r="G6" s="63"/>
      <c r="H6" s="59"/>
    </row>
    <row r="7" spans="1:8" s="48" customFormat="1" x14ac:dyDescent="0.2">
      <c r="B7" s="58"/>
      <c r="C7" s="63"/>
      <c r="D7" s="63"/>
      <c r="E7" s="64" t="s">
        <v>114</v>
      </c>
      <c r="F7" s="71">
        <f>TYPE(Libor!F13)</f>
        <v>2</v>
      </c>
      <c r="G7" s="63"/>
      <c r="H7" s="59"/>
    </row>
    <row r="8" spans="1:8" s="48" customFormat="1" x14ac:dyDescent="0.2">
      <c r="B8" s="58"/>
      <c r="C8" s="63"/>
      <c r="D8" s="63"/>
      <c r="E8" s="63"/>
      <c r="F8" s="63"/>
      <c r="G8" s="63"/>
      <c r="H8" s="59"/>
    </row>
    <row r="9" spans="1:8" s="48" customFormat="1" x14ac:dyDescent="0.2">
      <c r="B9" s="58"/>
      <c r="C9" s="63"/>
      <c r="D9" s="62" t="s">
        <v>109</v>
      </c>
      <c r="E9" s="61" t="str">
        <f>PROPER(Currency)&amp;FamilyName&amp;FixingType&amp;".xml"</f>
        <v>UsdLiborSwapForBasisCalc.xml</v>
      </c>
      <c r="F9" s="60">
        <f ca="1">IF(Serialize,_xll.ohObjectSave(F10:F69,SerializationPath&amp;FileName,FileOverwrite,,Serialize),"---")</f>
        <v>60</v>
      </c>
      <c r="G9" s="53" t="str">
        <f ca="1">_xll.ohRangeRetrieveError(F9)</f>
        <v/>
      </c>
      <c r="H9" s="59"/>
    </row>
    <row r="10" spans="1:8" s="48" customFormat="1" x14ac:dyDescent="0.2">
      <c r="B10" s="58"/>
      <c r="C10" s="57" t="s">
        <v>29</v>
      </c>
      <c r="D10" s="56" t="s">
        <v>14</v>
      </c>
      <c r="E10" s="55" t="str">
        <f>PROPER(Currency)&amp;FamilyName&amp;FixingType&amp;$C10</f>
        <v>UsdLiborSwapForBasisCalc1Y</v>
      </c>
      <c r="F10" s="54" t="str">
        <f>_xll.qlSwapIndex($E10,FixingType,C10,2,Currency,$F$6,"1Y","f","act/360","USDLibor3M",Discounting,Permanent,$F$7,ObjectOverwrite)</f>
        <v>UsdLiborSwapForBasisCalc1Y#0038</v>
      </c>
      <c r="G10" s="53" t="str">
        <f>_xll.ohRangeRetrieveError(F10)</f>
        <v/>
      </c>
      <c r="H10" s="52"/>
    </row>
    <row r="11" spans="1:8" s="48" customFormat="1" x14ac:dyDescent="0.2">
      <c r="B11" s="58"/>
      <c r="C11" s="57" t="s">
        <v>108</v>
      </c>
      <c r="D11" s="56" t="s">
        <v>14</v>
      </c>
      <c r="E11" s="55" t="str">
        <f>PROPER(Currency)&amp;FamilyName&amp;FixingType&amp;$C11</f>
        <v>UsdLiborSwapForBasisCalc2Y</v>
      </c>
      <c r="F11" s="54" t="str">
        <f>_xll.qlSwapIndex($E11,FixingType,C11,2,Currency,$F$6,"1Y","f","act/360","USDLibor3M",Discounting,Permanent,$F$7,ObjectOverwrite)</f>
        <v>UsdLiborSwapForBasisCalc2Y#0038</v>
      </c>
      <c r="G11" s="53" t="str">
        <f>_xll.ohRangeRetrieveError(F11)</f>
        <v/>
      </c>
      <c r="H11" s="52"/>
    </row>
    <row r="12" spans="1:8" s="48" customFormat="1" x14ac:dyDescent="0.2">
      <c r="B12" s="58"/>
      <c r="C12" s="57" t="s">
        <v>107</v>
      </c>
      <c r="D12" s="56" t="s">
        <v>14</v>
      </c>
      <c r="E12" s="55" t="str">
        <f>PROPER(Currency)&amp;FamilyName&amp;FixingType&amp;$C12</f>
        <v>UsdLiborSwapForBasisCalc3Y</v>
      </c>
      <c r="F12" s="54" t="str">
        <f>_xll.qlSwapIndex($E12,FixingType,C12,2,Currency,$F$6,"1Y","f","act/360","USDLibor3M",Discounting,Permanent,$F$7,ObjectOverwrite)</f>
        <v>UsdLiborSwapForBasisCalc3Y#0038</v>
      </c>
      <c r="G12" s="53" t="str">
        <f>_xll.ohRangeRetrieveError(F12)</f>
        <v/>
      </c>
      <c r="H12" s="52"/>
    </row>
    <row r="13" spans="1:8" s="48" customFormat="1" x14ac:dyDescent="0.2">
      <c r="B13" s="58"/>
      <c r="C13" s="57" t="s">
        <v>106</v>
      </c>
      <c r="D13" s="56" t="s">
        <v>14</v>
      </c>
      <c r="E13" s="55" t="str">
        <f>PROPER(Currency)&amp;FamilyName&amp;FixingType&amp;$C13</f>
        <v>UsdLiborSwapForBasisCalc4Y</v>
      </c>
      <c r="F13" s="54" t="str">
        <f>_xll.qlSwapIndex($E13,FixingType,C13,2,Currency,$F$6,"1Y","f","act/360","USDLibor3M",Discounting,Permanent,$F$7,ObjectOverwrite)</f>
        <v>UsdLiborSwapForBasisCalc4Y#0038</v>
      </c>
      <c r="G13" s="53" t="str">
        <f>_xll.ohRangeRetrieveError(F13)</f>
        <v/>
      </c>
      <c r="H13" s="52"/>
    </row>
    <row r="14" spans="1:8" s="48" customFormat="1" x14ac:dyDescent="0.2">
      <c r="B14" s="58"/>
      <c r="C14" s="57" t="s">
        <v>105</v>
      </c>
      <c r="D14" s="56" t="s">
        <v>14</v>
      </c>
      <c r="E14" s="55" t="str">
        <f>PROPER(Currency)&amp;FamilyName&amp;FixingType&amp;$C14</f>
        <v>UsdLiborSwapForBasisCalc5Y</v>
      </c>
      <c r="F14" s="54" t="str">
        <f>_xll.qlSwapIndex($E14,FixingType,C14,2,Currency,$F$6,"1Y","f","act/360","USDLibor3M",Discounting,Permanent,$F$7,ObjectOverwrite)</f>
        <v>UsdLiborSwapForBasisCalc5Y#0038</v>
      </c>
      <c r="G14" s="53" t="str">
        <f>_xll.ohRangeRetrieveError(F14)</f>
        <v/>
      </c>
      <c r="H14" s="52"/>
    </row>
    <row r="15" spans="1:8" s="48" customFormat="1" x14ac:dyDescent="0.2">
      <c r="B15" s="58"/>
      <c r="C15" s="57" t="s">
        <v>104</v>
      </c>
      <c r="D15" s="56" t="s">
        <v>14</v>
      </c>
      <c r="E15" s="55" t="str">
        <f>PROPER(Currency)&amp;FamilyName&amp;FixingType&amp;$C15</f>
        <v>UsdLiborSwapForBasisCalc6Y</v>
      </c>
      <c r="F15" s="54" t="str">
        <f>_xll.qlSwapIndex($E15,FixingType,C15,2,Currency,$F$6,"1Y","f","act/360","USDLibor3M",Discounting,Permanent,$F$7,ObjectOverwrite)</f>
        <v>UsdLiborSwapForBasisCalc6Y#0038</v>
      </c>
      <c r="G15" s="53" t="str">
        <f>_xll.ohRangeRetrieveError(F15)</f>
        <v/>
      </c>
      <c r="H15" s="52"/>
    </row>
    <row r="16" spans="1:8" s="48" customFormat="1" x14ac:dyDescent="0.2">
      <c r="B16" s="58"/>
      <c r="C16" s="57" t="s">
        <v>103</v>
      </c>
      <c r="D16" s="56" t="s">
        <v>14</v>
      </c>
      <c r="E16" s="55" t="str">
        <f>PROPER(Currency)&amp;FamilyName&amp;FixingType&amp;$C16</f>
        <v>UsdLiborSwapForBasisCalc7Y</v>
      </c>
      <c r="F16" s="54" t="str">
        <f>_xll.qlSwapIndex($E16,FixingType,C16,2,Currency,$F$6,"1Y","f","act/360","USDLibor3M",Discounting,Permanent,$F$7,ObjectOverwrite)</f>
        <v>UsdLiborSwapForBasisCalc7Y#0038</v>
      </c>
      <c r="G16" s="53" t="str">
        <f>_xll.ohRangeRetrieveError(F16)</f>
        <v/>
      </c>
      <c r="H16" s="52"/>
    </row>
    <row r="17" spans="2:8" s="48" customFormat="1" x14ac:dyDescent="0.2">
      <c r="B17" s="58"/>
      <c r="C17" s="57" t="s">
        <v>102</v>
      </c>
      <c r="D17" s="56" t="s">
        <v>14</v>
      </c>
      <c r="E17" s="55" t="str">
        <f>PROPER(Currency)&amp;FamilyName&amp;FixingType&amp;$C17</f>
        <v>UsdLiborSwapForBasisCalc8Y</v>
      </c>
      <c r="F17" s="54" t="str">
        <f>_xll.qlSwapIndex($E17,FixingType,C17,2,Currency,$F$6,"1Y","f","act/360","USDLibor3M",Discounting,Permanent,$F$7,ObjectOverwrite)</f>
        <v>UsdLiborSwapForBasisCalc8Y#0038</v>
      </c>
      <c r="G17" s="53" t="str">
        <f>_xll.ohRangeRetrieveError(F17)</f>
        <v/>
      </c>
      <c r="H17" s="52"/>
    </row>
    <row r="18" spans="2:8" s="48" customFormat="1" x14ac:dyDescent="0.2">
      <c r="B18" s="58"/>
      <c r="C18" s="57" t="s">
        <v>101</v>
      </c>
      <c r="D18" s="56" t="s">
        <v>14</v>
      </c>
      <c r="E18" s="55" t="str">
        <f>PROPER(Currency)&amp;FamilyName&amp;FixingType&amp;$C18</f>
        <v>UsdLiborSwapForBasisCalc9Y</v>
      </c>
      <c r="F18" s="54" t="str">
        <f>_xll.qlSwapIndex($E18,FixingType,C18,2,Currency,$F$6,"1Y","f","act/360","USDLibor3M",Discounting,Permanent,$F$7,ObjectOverwrite)</f>
        <v>UsdLiborSwapForBasisCalc9Y#0038</v>
      </c>
      <c r="G18" s="53" t="str">
        <f>_xll.ohRangeRetrieveError(F18)</f>
        <v/>
      </c>
      <c r="H18" s="52"/>
    </row>
    <row r="19" spans="2:8" s="48" customFormat="1" x14ac:dyDescent="0.2">
      <c r="B19" s="58"/>
      <c r="C19" s="57" t="s">
        <v>100</v>
      </c>
      <c r="D19" s="56" t="s">
        <v>14</v>
      </c>
      <c r="E19" s="55" t="str">
        <f>PROPER(Currency)&amp;FamilyName&amp;FixingType&amp;$C19</f>
        <v>UsdLiborSwapForBasisCalc10Y</v>
      </c>
      <c r="F19" s="54" t="str">
        <f>_xll.qlSwapIndex($E19,FixingType,C19,2,Currency,$F$6,"1Y","f","act/360","USDLibor3M",Discounting,Permanent,$F$7,ObjectOverwrite)</f>
        <v>UsdLiborSwapForBasisCalc10Y#0038</v>
      </c>
      <c r="G19" s="53" t="str">
        <f>_xll.ohRangeRetrieveError(F19)</f>
        <v/>
      </c>
      <c r="H19" s="52"/>
    </row>
    <row r="20" spans="2:8" s="48" customFormat="1" x14ac:dyDescent="0.2">
      <c r="B20" s="58"/>
      <c r="C20" s="57" t="s">
        <v>99</v>
      </c>
      <c r="D20" s="56" t="s">
        <v>14</v>
      </c>
      <c r="E20" s="55" t="str">
        <f>PROPER(Currency)&amp;FamilyName&amp;FixingType&amp;$C20</f>
        <v>UsdLiborSwapForBasisCalc11Y</v>
      </c>
      <c r="F20" s="54" t="str">
        <f>_xll.qlSwapIndex($E20,FixingType,C20,2,Currency,$F$6,"1Y","f","act/360","USDLibor3M",Discounting,Permanent,$F$7,ObjectOverwrite)</f>
        <v>UsdLiborSwapForBasisCalc11Y#0038</v>
      </c>
      <c r="G20" s="53" t="str">
        <f>_xll.ohRangeRetrieveError(F20)</f>
        <v/>
      </c>
      <c r="H20" s="52"/>
    </row>
    <row r="21" spans="2:8" s="48" customFormat="1" x14ac:dyDescent="0.2">
      <c r="B21" s="58"/>
      <c r="C21" s="57" t="s">
        <v>98</v>
      </c>
      <c r="D21" s="56" t="s">
        <v>14</v>
      </c>
      <c r="E21" s="55" t="str">
        <f>PROPER(Currency)&amp;FamilyName&amp;FixingType&amp;$C21</f>
        <v>UsdLiborSwapForBasisCalc12Y</v>
      </c>
      <c r="F21" s="54" t="str">
        <f>_xll.qlSwapIndex($E21,FixingType,C21,2,Currency,$F$6,"1Y","f","act/360","USDLibor3M",Discounting,Permanent,$F$7,ObjectOverwrite)</f>
        <v>UsdLiborSwapForBasisCalc12Y#0038</v>
      </c>
      <c r="G21" s="53" t="str">
        <f>_xll.ohRangeRetrieveError(F21)</f>
        <v/>
      </c>
      <c r="H21" s="52"/>
    </row>
    <row r="22" spans="2:8" s="48" customFormat="1" x14ac:dyDescent="0.2">
      <c r="B22" s="58"/>
      <c r="C22" s="57" t="s">
        <v>97</v>
      </c>
      <c r="D22" s="56" t="s">
        <v>14</v>
      </c>
      <c r="E22" s="55" t="str">
        <f>PROPER(Currency)&amp;FamilyName&amp;FixingType&amp;$C22</f>
        <v>UsdLiborSwapForBasisCalc13Y</v>
      </c>
      <c r="F22" s="54" t="str">
        <f>_xll.qlSwapIndex($E22,FixingType,C22,2,Currency,$F$6,"1Y","f","act/360","USDLibor3M",Discounting,Permanent,$F$7,ObjectOverwrite)</f>
        <v>UsdLiborSwapForBasisCalc13Y#0038</v>
      </c>
      <c r="G22" s="53" t="str">
        <f>_xll.ohRangeRetrieveError(F22)</f>
        <v/>
      </c>
      <c r="H22" s="52"/>
    </row>
    <row r="23" spans="2:8" s="48" customFormat="1" x14ac:dyDescent="0.2">
      <c r="B23" s="58"/>
      <c r="C23" s="57" t="s">
        <v>96</v>
      </c>
      <c r="D23" s="56" t="s">
        <v>14</v>
      </c>
      <c r="E23" s="55" t="str">
        <f>PROPER(Currency)&amp;FamilyName&amp;FixingType&amp;$C23</f>
        <v>UsdLiborSwapForBasisCalc14Y</v>
      </c>
      <c r="F23" s="54" t="str">
        <f>_xll.qlSwapIndex($E23,FixingType,C23,2,Currency,$F$6,"1Y","f","act/360","USDLibor3M",Discounting,Permanent,$F$7,ObjectOverwrite)</f>
        <v>UsdLiborSwapForBasisCalc14Y#0038</v>
      </c>
      <c r="G23" s="53" t="str">
        <f>_xll.ohRangeRetrieveError(F23)</f>
        <v/>
      </c>
      <c r="H23" s="52"/>
    </row>
    <row r="24" spans="2:8" s="48" customFormat="1" x14ac:dyDescent="0.2">
      <c r="B24" s="58"/>
      <c r="C24" s="57" t="s">
        <v>95</v>
      </c>
      <c r="D24" s="56" t="s">
        <v>14</v>
      </c>
      <c r="E24" s="55" t="str">
        <f>PROPER(Currency)&amp;FamilyName&amp;FixingType&amp;$C24</f>
        <v>UsdLiborSwapForBasisCalc15Y</v>
      </c>
      <c r="F24" s="54" t="str">
        <f>_xll.qlSwapIndex($E24,FixingType,C24,2,Currency,$F$6,"1Y","f","act/360","USDLibor3M",Discounting,Permanent,$F$7,ObjectOverwrite)</f>
        <v>UsdLiborSwapForBasisCalc15Y#0038</v>
      </c>
      <c r="G24" s="53" t="str">
        <f>_xll.ohRangeRetrieveError(F24)</f>
        <v/>
      </c>
      <c r="H24" s="52"/>
    </row>
    <row r="25" spans="2:8" s="48" customFormat="1" x14ac:dyDescent="0.2">
      <c r="B25" s="58"/>
      <c r="C25" s="57" t="s">
        <v>94</v>
      </c>
      <c r="D25" s="56" t="s">
        <v>14</v>
      </c>
      <c r="E25" s="55" t="str">
        <f>PROPER(Currency)&amp;FamilyName&amp;FixingType&amp;$C25</f>
        <v>UsdLiborSwapForBasisCalc16Y</v>
      </c>
      <c r="F25" s="54" t="str">
        <f>_xll.qlSwapIndex($E25,FixingType,C25,2,Currency,$F$6,"1Y","f","act/360","USDLibor3M",Discounting,Permanent,$F$7,ObjectOverwrite)</f>
        <v>UsdLiborSwapForBasisCalc16Y#0038</v>
      </c>
      <c r="G25" s="53" t="str">
        <f>_xll.ohRangeRetrieveError(F25)</f>
        <v/>
      </c>
      <c r="H25" s="52"/>
    </row>
    <row r="26" spans="2:8" s="48" customFormat="1" x14ac:dyDescent="0.2">
      <c r="B26" s="58"/>
      <c r="C26" s="57" t="s">
        <v>93</v>
      </c>
      <c r="D26" s="56" t="s">
        <v>14</v>
      </c>
      <c r="E26" s="55" t="str">
        <f>PROPER(Currency)&amp;FamilyName&amp;FixingType&amp;$C26</f>
        <v>UsdLiborSwapForBasisCalc17Y</v>
      </c>
      <c r="F26" s="54" t="str">
        <f>_xll.qlSwapIndex($E26,FixingType,C26,2,Currency,$F$6,"1Y","f","act/360","USDLibor3M",Discounting,Permanent,$F$7,ObjectOverwrite)</f>
        <v>UsdLiborSwapForBasisCalc17Y#0038</v>
      </c>
      <c r="G26" s="53" t="str">
        <f>_xll.ohRangeRetrieveError(F26)</f>
        <v/>
      </c>
      <c r="H26" s="52"/>
    </row>
    <row r="27" spans="2:8" s="48" customFormat="1" x14ac:dyDescent="0.2">
      <c r="B27" s="58"/>
      <c r="C27" s="57" t="s">
        <v>92</v>
      </c>
      <c r="D27" s="56" t="s">
        <v>14</v>
      </c>
      <c r="E27" s="55" t="str">
        <f>PROPER(Currency)&amp;FamilyName&amp;FixingType&amp;$C27</f>
        <v>UsdLiborSwapForBasisCalc18Y</v>
      </c>
      <c r="F27" s="54" t="str">
        <f>_xll.qlSwapIndex($E27,FixingType,C27,2,Currency,$F$6,"1Y","f","act/360","USDLibor3M",Discounting,Permanent,$F$7,ObjectOverwrite)</f>
        <v>UsdLiborSwapForBasisCalc18Y#0038</v>
      </c>
      <c r="G27" s="53" t="str">
        <f>_xll.ohRangeRetrieveError(F27)</f>
        <v/>
      </c>
      <c r="H27" s="52"/>
    </row>
    <row r="28" spans="2:8" s="48" customFormat="1" x14ac:dyDescent="0.2">
      <c r="B28" s="58"/>
      <c r="C28" s="57" t="s">
        <v>91</v>
      </c>
      <c r="D28" s="56" t="s">
        <v>14</v>
      </c>
      <c r="E28" s="55" t="str">
        <f>PROPER(Currency)&amp;FamilyName&amp;FixingType&amp;$C28</f>
        <v>UsdLiborSwapForBasisCalc19Y</v>
      </c>
      <c r="F28" s="54" t="str">
        <f>_xll.qlSwapIndex($E28,FixingType,C28,2,Currency,$F$6,"1Y","f","act/360","USDLibor3M",Discounting,Permanent,$F$7,ObjectOverwrite)</f>
        <v>UsdLiborSwapForBasisCalc19Y#0038</v>
      </c>
      <c r="G28" s="53" t="str">
        <f>_xll.ohRangeRetrieveError(F28)</f>
        <v/>
      </c>
      <c r="H28" s="52"/>
    </row>
    <row r="29" spans="2:8" s="48" customFormat="1" x14ac:dyDescent="0.2">
      <c r="B29" s="58"/>
      <c r="C29" s="57" t="s">
        <v>90</v>
      </c>
      <c r="D29" s="56" t="s">
        <v>14</v>
      </c>
      <c r="E29" s="55" t="str">
        <f>PROPER(Currency)&amp;FamilyName&amp;FixingType&amp;$C29</f>
        <v>UsdLiborSwapForBasisCalc20Y</v>
      </c>
      <c r="F29" s="54" t="str">
        <f>_xll.qlSwapIndex($E29,FixingType,C29,2,Currency,$F$6,"1Y","f","act/360","USDLibor3M",Discounting,Permanent,$F$7,ObjectOverwrite)</f>
        <v>UsdLiborSwapForBasisCalc20Y#0038</v>
      </c>
      <c r="G29" s="53" t="str">
        <f>_xll.ohRangeRetrieveError(F29)</f>
        <v/>
      </c>
      <c r="H29" s="52"/>
    </row>
    <row r="30" spans="2:8" s="48" customFormat="1" x14ac:dyDescent="0.2">
      <c r="B30" s="58"/>
      <c r="C30" s="57" t="s">
        <v>89</v>
      </c>
      <c r="D30" s="56" t="s">
        <v>14</v>
      </c>
      <c r="E30" s="55" t="str">
        <f>PROPER(Currency)&amp;FamilyName&amp;FixingType&amp;$C30</f>
        <v>UsdLiborSwapForBasisCalc21Y</v>
      </c>
      <c r="F30" s="54" t="str">
        <f>_xll.qlSwapIndex($E30,FixingType,C30,2,Currency,$F$6,"1Y","f","act/360","USDLibor3M",Discounting,Permanent,$F$7,ObjectOverwrite)</f>
        <v>UsdLiborSwapForBasisCalc21Y#0038</v>
      </c>
      <c r="G30" s="53" t="str">
        <f>_xll.ohRangeRetrieveError(F30)</f>
        <v/>
      </c>
      <c r="H30" s="52"/>
    </row>
    <row r="31" spans="2:8" s="48" customFormat="1" x14ac:dyDescent="0.2">
      <c r="B31" s="58"/>
      <c r="C31" s="57" t="s">
        <v>88</v>
      </c>
      <c r="D31" s="56" t="s">
        <v>14</v>
      </c>
      <c r="E31" s="55" t="str">
        <f>PROPER(Currency)&amp;FamilyName&amp;FixingType&amp;$C31</f>
        <v>UsdLiborSwapForBasisCalc22Y</v>
      </c>
      <c r="F31" s="54" t="str">
        <f>_xll.qlSwapIndex($E31,FixingType,C31,2,Currency,$F$6,"1Y","f","act/360","USDLibor3M",Discounting,Permanent,$F$7,ObjectOverwrite)</f>
        <v>UsdLiborSwapForBasisCalc22Y#0038</v>
      </c>
      <c r="G31" s="53" t="str">
        <f>_xll.ohRangeRetrieveError(F31)</f>
        <v/>
      </c>
      <c r="H31" s="52"/>
    </row>
    <row r="32" spans="2:8" s="48" customFormat="1" x14ac:dyDescent="0.2">
      <c r="B32" s="58"/>
      <c r="C32" s="57" t="s">
        <v>87</v>
      </c>
      <c r="D32" s="56" t="s">
        <v>14</v>
      </c>
      <c r="E32" s="55" t="str">
        <f>PROPER(Currency)&amp;FamilyName&amp;FixingType&amp;$C32</f>
        <v>UsdLiborSwapForBasisCalc23Y</v>
      </c>
      <c r="F32" s="54" t="str">
        <f>_xll.qlSwapIndex($E32,FixingType,C32,2,Currency,$F$6,"1Y","f","act/360","USDLibor3M",Discounting,Permanent,$F$7,ObjectOverwrite)</f>
        <v>UsdLiborSwapForBasisCalc23Y#0038</v>
      </c>
      <c r="G32" s="53" t="str">
        <f>_xll.ohRangeRetrieveError(F32)</f>
        <v/>
      </c>
      <c r="H32" s="52"/>
    </row>
    <row r="33" spans="2:8" s="48" customFormat="1" x14ac:dyDescent="0.2">
      <c r="B33" s="58"/>
      <c r="C33" s="57" t="s">
        <v>86</v>
      </c>
      <c r="D33" s="56" t="s">
        <v>14</v>
      </c>
      <c r="E33" s="55" t="str">
        <f>PROPER(Currency)&amp;FamilyName&amp;FixingType&amp;$C33</f>
        <v>UsdLiborSwapForBasisCalc24Y</v>
      </c>
      <c r="F33" s="54" t="str">
        <f>_xll.qlSwapIndex($E33,FixingType,C33,2,Currency,$F$6,"1Y","f","act/360","USDLibor3M",Discounting,Permanent,$F$7,ObjectOverwrite)</f>
        <v>UsdLiborSwapForBasisCalc24Y#0038</v>
      </c>
      <c r="G33" s="53" t="str">
        <f>_xll.ohRangeRetrieveError(F33)</f>
        <v/>
      </c>
      <c r="H33" s="52"/>
    </row>
    <row r="34" spans="2:8" s="48" customFormat="1" x14ac:dyDescent="0.2">
      <c r="B34" s="58"/>
      <c r="C34" s="57" t="s">
        <v>85</v>
      </c>
      <c r="D34" s="56" t="s">
        <v>14</v>
      </c>
      <c r="E34" s="55" t="str">
        <f>PROPER(Currency)&amp;FamilyName&amp;FixingType&amp;$C34</f>
        <v>UsdLiborSwapForBasisCalc25Y</v>
      </c>
      <c r="F34" s="54" t="str">
        <f>_xll.qlSwapIndex($E34,FixingType,C34,2,Currency,$F$6,"1Y","f","act/360","USDLibor3M",Discounting,Permanent,$F$7,ObjectOverwrite)</f>
        <v>UsdLiborSwapForBasisCalc25Y#0038</v>
      </c>
      <c r="G34" s="53" t="str">
        <f>_xll.ohRangeRetrieveError(F34)</f>
        <v/>
      </c>
      <c r="H34" s="52"/>
    </row>
    <row r="35" spans="2:8" s="48" customFormat="1" x14ac:dyDescent="0.2">
      <c r="B35" s="58"/>
      <c r="C35" s="57" t="s">
        <v>84</v>
      </c>
      <c r="D35" s="56" t="s">
        <v>14</v>
      </c>
      <c r="E35" s="55" t="str">
        <f>PROPER(Currency)&amp;FamilyName&amp;FixingType&amp;$C35</f>
        <v>UsdLiborSwapForBasisCalc26Y</v>
      </c>
      <c r="F35" s="54" t="str">
        <f>_xll.qlSwapIndex($E35,FixingType,C35,2,Currency,$F$6,"1Y","f","act/360","USDLibor3M",Discounting,Permanent,$F$7,ObjectOverwrite)</f>
        <v>UsdLiborSwapForBasisCalc26Y#0038</v>
      </c>
      <c r="G35" s="53" t="str">
        <f>_xll.ohRangeRetrieveError(F35)</f>
        <v/>
      </c>
      <c r="H35" s="52"/>
    </row>
    <row r="36" spans="2:8" s="48" customFormat="1" x14ac:dyDescent="0.2">
      <c r="B36" s="58"/>
      <c r="C36" s="57" t="s">
        <v>83</v>
      </c>
      <c r="D36" s="56" t="s">
        <v>14</v>
      </c>
      <c r="E36" s="55" t="str">
        <f>PROPER(Currency)&amp;FamilyName&amp;FixingType&amp;$C36</f>
        <v>UsdLiborSwapForBasisCalc27Y</v>
      </c>
      <c r="F36" s="54" t="str">
        <f>_xll.qlSwapIndex($E36,FixingType,C36,2,Currency,$F$6,"1Y","f","act/360","USDLibor3M",Discounting,Permanent,$F$7,ObjectOverwrite)</f>
        <v>UsdLiborSwapForBasisCalc27Y#0038</v>
      </c>
      <c r="G36" s="53" t="str">
        <f>_xll.ohRangeRetrieveError(F36)</f>
        <v/>
      </c>
      <c r="H36" s="52"/>
    </row>
    <row r="37" spans="2:8" s="48" customFormat="1" x14ac:dyDescent="0.2">
      <c r="B37" s="58"/>
      <c r="C37" s="57" t="s">
        <v>82</v>
      </c>
      <c r="D37" s="56" t="s">
        <v>14</v>
      </c>
      <c r="E37" s="55" t="str">
        <f>PROPER(Currency)&amp;FamilyName&amp;FixingType&amp;$C37</f>
        <v>UsdLiborSwapForBasisCalc28Y</v>
      </c>
      <c r="F37" s="54" t="str">
        <f>_xll.qlSwapIndex($E37,FixingType,C37,2,Currency,$F$6,"1Y","f","act/360","USDLibor3M",Discounting,Permanent,$F$7,ObjectOverwrite)</f>
        <v>UsdLiborSwapForBasisCalc28Y#0038</v>
      </c>
      <c r="G37" s="53" t="str">
        <f>_xll.ohRangeRetrieveError(F37)</f>
        <v/>
      </c>
      <c r="H37" s="52"/>
    </row>
    <row r="38" spans="2:8" s="48" customFormat="1" x14ac:dyDescent="0.2">
      <c r="B38" s="58"/>
      <c r="C38" s="57" t="s">
        <v>81</v>
      </c>
      <c r="D38" s="56" t="s">
        <v>14</v>
      </c>
      <c r="E38" s="55" t="str">
        <f>PROPER(Currency)&amp;FamilyName&amp;FixingType&amp;$C38</f>
        <v>UsdLiborSwapForBasisCalc29Y</v>
      </c>
      <c r="F38" s="54" t="str">
        <f>_xll.qlSwapIndex($E38,FixingType,C38,2,Currency,$F$6,"1Y","f","act/360","USDLibor3M",Discounting,Permanent,$F$7,ObjectOverwrite)</f>
        <v>UsdLiborSwapForBasisCalc29Y#0038</v>
      </c>
      <c r="G38" s="53" t="str">
        <f>_xll.ohRangeRetrieveError(F38)</f>
        <v/>
      </c>
      <c r="H38" s="52"/>
    </row>
    <row r="39" spans="2:8" s="48" customFormat="1" x14ac:dyDescent="0.2">
      <c r="B39" s="58"/>
      <c r="C39" s="57" t="s">
        <v>80</v>
      </c>
      <c r="D39" s="56" t="s">
        <v>14</v>
      </c>
      <c r="E39" s="55" t="str">
        <f>PROPER(Currency)&amp;FamilyName&amp;FixingType&amp;$C39</f>
        <v>UsdLiborSwapForBasisCalc30Y</v>
      </c>
      <c r="F39" s="54" t="str">
        <f>_xll.qlSwapIndex($E39,FixingType,C39,2,Currency,$F$6,"1Y","f","act/360","USDLibor3M",Discounting,Permanent,$F$7,ObjectOverwrite)</f>
        <v>UsdLiborSwapForBasisCalc30Y#0038</v>
      </c>
      <c r="G39" s="53" t="str">
        <f>_xll.ohRangeRetrieveError(F39)</f>
        <v/>
      </c>
      <c r="H39" s="52"/>
    </row>
    <row r="40" spans="2:8" s="48" customFormat="1" x14ac:dyDescent="0.2">
      <c r="B40" s="58"/>
      <c r="C40" s="57" t="s">
        <v>79</v>
      </c>
      <c r="D40" s="56" t="s">
        <v>14</v>
      </c>
      <c r="E40" s="55" t="str">
        <f>PROPER(Currency)&amp;FamilyName&amp;FixingType&amp;$C40</f>
        <v>UsdLiborSwapForBasisCalc31Y</v>
      </c>
      <c r="F40" s="54" t="str">
        <f>_xll.qlSwapIndex($E40,FixingType,C40,2,Currency,$F$6,"1Y","f","act/360","USDLibor3M",Discounting,Permanent,$F$7,ObjectOverwrite)</f>
        <v>UsdLiborSwapForBasisCalc31Y#0038</v>
      </c>
      <c r="G40" s="53" t="str">
        <f>_xll.ohRangeRetrieveError(F40)</f>
        <v/>
      </c>
      <c r="H40" s="52"/>
    </row>
    <row r="41" spans="2:8" s="48" customFormat="1" x14ac:dyDescent="0.2">
      <c r="B41" s="58"/>
      <c r="C41" s="57" t="s">
        <v>78</v>
      </c>
      <c r="D41" s="56" t="s">
        <v>14</v>
      </c>
      <c r="E41" s="55" t="str">
        <f>PROPER(Currency)&amp;FamilyName&amp;FixingType&amp;$C41</f>
        <v>UsdLiborSwapForBasisCalc32Y</v>
      </c>
      <c r="F41" s="54" t="str">
        <f>_xll.qlSwapIndex($E41,FixingType,C41,2,Currency,$F$6,"1Y","f","act/360","USDLibor3M",Discounting,Permanent,$F$7,ObjectOverwrite)</f>
        <v>UsdLiborSwapForBasisCalc32Y#0038</v>
      </c>
      <c r="G41" s="53" t="str">
        <f>_xll.ohRangeRetrieveError(F41)</f>
        <v/>
      </c>
      <c r="H41" s="52"/>
    </row>
    <row r="42" spans="2:8" s="48" customFormat="1" x14ac:dyDescent="0.2">
      <c r="B42" s="58"/>
      <c r="C42" s="57" t="s">
        <v>77</v>
      </c>
      <c r="D42" s="56" t="s">
        <v>14</v>
      </c>
      <c r="E42" s="55" t="str">
        <f>PROPER(Currency)&amp;FamilyName&amp;FixingType&amp;$C42</f>
        <v>UsdLiborSwapForBasisCalc33Y</v>
      </c>
      <c r="F42" s="54" t="str">
        <f>_xll.qlSwapIndex($E42,FixingType,C42,2,Currency,$F$6,"1Y","f","act/360","USDLibor3M",Discounting,Permanent,$F$7,ObjectOverwrite)</f>
        <v>UsdLiborSwapForBasisCalc33Y#0038</v>
      </c>
      <c r="G42" s="53" t="str">
        <f>_xll.ohRangeRetrieveError(F42)</f>
        <v/>
      </c>
      <c r="H42" s="52"/>
    </row>
    <row r="43" spans="2:8" s="48" customFormat="1" x14ac:dyDescent="0.2">
      <c r="B43" s="58"/>
      <c r="C43" s="57" t="s">
        <v>76</v>
      </c>
      <c r="D43" s="56" t="s">
        <v>14</v>
      </c>
      <c r="E43" s="55" t="str">
        <f>PROPER(Currency)&amp;FamilyName&amp;FixingType&amp;$C43</f>
        <v>UsdLiborSwapForBasisCalc34Y</v>
      </c>
      <c r="F43" s="54" t="str">
        <f>_xll.qlSwapIndex($E43,FixingType,C43,2,Currency,$F$6,"1Y","f","act/360","USDLibor3M",Discounting,Permanent,$F$7,ObjectOverwrite)</f>
        <v>UsdLiborSwapForBasisCalc34Y#0038</v>
      </c>
      <c r="G43" s="53" t="str">
        <f>_xll.ohRangeRetrieveError(F43)</f>
        <v/>
      </c>
      <c r="H43" s="52"/>
    </row>
    <row r="44" spans="2:8" s="48" customFormat="1" x14ac:dyDescent="0.2">
      <c r="B44" s="58"/>
      <c r="C44" s="57" t="s">
        <v>75</v>
      </c>
      <c r="D44" s="56" t="s">
        <v>14</v>
      </c>
      <c r="E44" s="55" t="str">
        <f>PROPER(Currency)&amp;FamilyName&amp;FixingType&amp;$C44</f>
        <v>UsdLiborSwapForBasisCalc35Y</v>
      </c>
      <c r="F44" s="54" t="str">
        <f>_xll.qlSwapIndex($E44,FixingType,C44,2,Currency,$F$6,"1Y","f","act/360","USDLibor3M",Discounting,Permanent,$F$7,ObjectOverwrite)</f>
        <v>UsdLiborSwapForBasisCalc35Y#0038</v>
      </c>
      <c r="G44" s="53" t="str">
        <f>_xll.ohRangeRetrieveError(F44)</f>
        <v/>
      </c>
      <c r="H44" s="52"/>
    </row>
    <row r="45" spans="2:8" s="48" customFormat="1" x14ac:dyDescent="0.2">
      <c r="B45" s="58"/>
      <c r="C45" s="57" t="s">
        <v>74</v>
      </c>
      <c r="D45" s="56" t="s">
        <v>14</v>
      </c>
      <c r="E45" s="55" t="str">
        <f>PROPER(Currency)&amp;FamilyName&amp;FixingType&amp;$C45</f>
        <v>UsdLiborSwapForBasisCalc36Y</v>
      </c>
      <c r="F45" s="54" t="str">
        <f>_xll.qlSwapIndex($E45,FixingType,C45,2,Currency,$F$6,"1Y","f","act/360","USDLibor3M",Discounting,Permanent,$F$7,ObjectOverwrite)</f>
        <v>UsdLiborSwapForBasisCalc36Y#0038</v>
      </c>
      <c r="G45" s="53" t="str">
        <f>_xll.ohRangeRetrieveError(F45)</f>
        <v/>
      </c>
      <c r="H45" s="52"/>
    </row>
    <row r="46" spans="2:8" s="48" customFormat="1" x14ac:dyDescent="0.2">
      <c r="B46" s="58"/>
      <c r="C46" s="57" t="s">
        <v>73</v>
      </c>
      <c r="D46" s="56" t="s">
        <v>14</v>
      </c>
      <c r="E46" s="55" t="str">
        <f>PROPER(Currency)&amp;FamilyName&amp;FixingType&amp;$C46</f>
        <v>UsdLiborSwapForBasisCalc37Y</v>
      </c>
      <c r="F46" s="54" t="str">
        <f>_xll.qlSwapIndex($E46,FixingType,C46,2,Currency,$F$6,"1Y","f","act/360","USDLibor3M",Discounting,Permanent,$F$7,ObjectOverwrite)</f>
        <v>UsdLiborSwapForBasisCalc37Y#0038</v>
      </c>
      <c r="G46" s="53" t="str">
        <f>_xll.ohRangeRetrieveError(F46)</f>
        <v/>
      </c>
      <c r="H46" s="52"/>
    </row>
    <row r="47" spans="2:8" s="48" customFormat="1" x14ac:dyDescent="0.2">
      <c r="B47" s="58"/>
      <c r="C47" s="57" t="s">
        <v>72</v>
      </c>
      <c r="D47" s="56" t="s">
        <v>14</v>
      </c>
      <c r="E47" s="55" t="str">
        <f>PROPER(Currency)&amp;FamilyName&amp;FixingType&amp;$C47</f>
        <v>UsdLiborSwapForBasisCalc38Y</v>
      </c>
      <c r="F47" s="54" t="str">
        <f>_xll.qlSwapIndex($E47,FixingType,C47,2,Currency,$F$6,"1Y","f","act/360","USDLibor3M",Discounting,Permanent,$F$7,ObjectOverwrite)</f>
        <v>UsdLiborSwapForBasisCalc38Y#0038</v>
      </c>
      <c r="G47" s="53" t="str">
        <f>_xll.ohRangeRetrieveError(F47)</f>
        <v/>
      </c>
      <c r="H47" s="52"/>
    </row>
    <row r="48" spans="2:8" s="48" customFormat="1" x14ac:dyDescent="0.2">
      <c r="B48" s="58"/>
      <c r="C48" s="57" t="s">
        <v>71</v>
      </c>
      <c r="D48" s="56" t="s">
        <v>14</v>
      </c>
      <c r="E48" s="55" t="str">
        <f>PROPER(Currency)&amp;FamilyName&amp;FixingType&amp;$C48</f>
        <v>UsdLiborSwapForBasisCalc39Y</v>
      </c>
      <c r="F48" s="54" t="str">
        <f>_xll.qlSwapIndex($E48,FixingType,C48,2,Currency,$F$6,"1Y","f","act/360","USDLibor3M",Discounting,Permanent,$F$7,ObjectOverwrite)</f>
        <v>UsdLiborSwapForBasisCalc39Y#0038</v>
      </c>
      <c r="G48" s="53" t="str">
        <f>_xll.ohRangeRetrieveError(F48)</f>
        <v/>
      </c>
      <c r="H48" s="52"/>
    </row>
    <row r="49" spans="2:8" s="48" customFormat="1" x14ac:dyDescent="0.2">
      <c r="B49" s="58"/>
      <c r="C49" s="57" t="s">
        <v>70</v>
      </c>
      <c r="D49" s="56" t="s">
        <v>14</v>
      </c>
      <c r="E49" s="55" t="str">
        <f>PROPER(Currency)&amp;FamilyName&amp;FixingType&amp;$C49</f>
        <v>UsdLiborSwapForBasisCalc40Y</v>
      </c>
      <c r="F49" s="54" t="str">
        <f>_xll.qlSwapIndex($E49,FixingType,C49,2,Currency,$F$6,"1Y","f","act/360","USDLibor3M",Discounting,Permanent,$F$7,ObjectOverwrite)</f>
        <v>UsdLiborSwapForBasisCalc40Y#0038</v>
      </c>
      <c r="G49" s="53" t="str">
        <f>_xll.ohRangeRetrieveError(F49)</f>
        <v/>
      </c>
      <c r="H49" s="52"/>
    </row>
    <row r="50" spans="2:8" s="48" customFormat="1" x14ac:dyDescent="0.2">
      <c r="B50" s="58"/>
      <c r="C50" s="57" t="s">
        <v>69</v>
      </c>
      <c r="D50" s="56" t="s">
        <v>14</v>
      </c>
      <c r="E50" s="55" t="str">
        <f>PROPER(Currency)&amp;FamilyName&amp;FixingType&amp;$C50</f>
        <v>UsdLiborSwapForBasisCalc41Y</v>
      </c>
      <c r="F50" s="54" t="str">
        <f>_xll.qlSwapIndex($E50,FixingType,C50,2,Currency,$F$6,"1Y","f","act/360","USDLibor3M",Discounting,Permanent,$F$7,ObjectOverwrite)</f>
        <v>UsdLiborSwapForBasisCalc41Y#0038</v>
      </c>
      <c r="G50" s="53" t="str">
        <f>_xll.ohRangeRetrieveError(F50)</f>
        <v/>
      </c>
      <c r="H50" s="52"/>
    </row>
    <row r="51" spans="2:8" s="48" customFormat="1" x14ac:dyDescent="0.2">
      <c r="B51" s="58"/>
      <c r="C51" s="57" t="s">
        <v>68</v>
      </c>
      <c r="D51" s="56" t="s">
        <v>14</v>
      </c>
      <c r="E51" s="55" t="str">
        <f>PROPER(Currency)&amp;FamilyName&amp;FixingType&amp;$C51</f>
        <v>UsdLiborSwapForBasisCalc42Y</v>
      </c>
      <c r="F51" s="54" t="str">
        <f>_xll.qlSwapIndex($E51,FixingType,C51,2,Currency,$F$6,"1Y","f","act/360","USDLibor3M",Discounting,Permanent,$F$7,ObjectOverwrite)</f>
        <v>UsdLiborSwapForBasisCalc42Y#0038</v>
      </c>
      <c r="G51" s="53" t="str">
        <f>_xll.ohRangeRetrieveError(F51)</f>
        <v/>
      </c>
      <c r="H51" s="52"/>
    </row>
    <row r="52" spans="2:8" s="48" customFormat="1" x14ac:dyDescent="0.2">
      <c r="B52" s="58"/>
      <c r="C52" s="57" t="s">
        <v>67</v>
      </c>
      <c r="D52" s="56" t="s">
        <v>14</v>
      </c>
      <c r="E52" s="55" t="str">
        <f>PROPER(Currency)&amp;FamilyName&amp;FixingType&amp;$C52</f>
        <v>UsdLiborSwapForBasisCalc43Y</v>
      </c>
      <c r="F52" s="54" t="str">
        <f>_xll.qlSwapIndex($E52,FixingType,C52,2,Currency,$F$6,"1Y","f","act/360","USDLibor3M",Discounting,Permanent,$F$7,ObjectOverwrite)</f>
        <v>UsdLiborSwapForBasisCalc43Y#0038</v>
      </c>
      <c r="G52" s="53" t="str">
        <f>_xll.ohRangeRetrieveError(F52)</f>
        <v/>
      </c>
      <c r="H52" s="52"/>
    </row>
    <row r="53" spans="2:8" s="48" customFormat="1" x14ac:dyDescent="0.2">
      <c r="B53" s="58"/>
      <c r="C53" s="57" t="s">
        <v>66</v>
      </c>
      <c r="D53" s="56" t="s">
        <v>14</v>
      </c>
      <c r="E53" s="55" t="str">
        <f>PROPER(Currency)&amp;FamilyName&amp;FixingType&amp;$C53</f>
        <v>UsdLiborSwapForBasisCalc44Y</v>
      </c>
      <c r="F53" s="54" t="str">
        <f>_xll.qlSwapIndex($E53,FixingType,C53,2,Currency,$F$6,"1Y","f","act/360","USDLibor3M",Discounting,Permanent,$F$7,ObjectOverwrite)</f>
        <v>UsdLiborSwapForBasisCalc44Y#0038</v>
      </c>
      <c r="G53" s="53" t="str">
        <f>_xll.ohRangeRetrieveError(F53)</f>
        <v/>
      </c>
      <c r="H53" s="52"/>
    </row>
    <row r="54" spans="2:8" s="48" customFormat="1" x14ac:dyDescent="0.2">
      <c r="B54" s="58"/>
      <c r="C54" s="57" t="s">
        <v>65</v>
      </c>
      <c r="D54" s="56" t="s">
        <v>14</v>
      </c>
      <c r="E54" s="55" t="str">
        <f>PROPER(Currency)&amp;FamilyName&amp;FixingType&amp;$C54</f>
        <v>UsdLiborSwapForBasisCalc45Y</v>
      </c>
      <c r="F54" s="54" t="str">
        <f>_xll.qlSwapIndex($E54,FixingType,C54,2,Currency,$F$6,"1Y","f","act/360","USDLibor3M",Discounting,Permanent,$F$7,ObjectOverwrite)</f>
        <v>UsdLiborSwapForBasisCalc45Y#0038</v>
      </c>
      <c r="G54" s="53" t="str">
        <f>_xll.ohRangeRetrieveError(F54)</f>
        <v/>
      </c>
      <c r="H54" s="52"/>
    </row>
    <row r="55" spans="2:8" s="48" customFormat="1" x14ac:dyDescent="0.2">
      <c r="B55" s="58"/>
      <c r="C55" s="57" t="s">
        <v>64</v>
      </c>
      <c r="D55" s="56" t="s">
        <v>14</v>
      </c>
      <c r="E55" s="55" t="str">
        <f>PROPER(Currency)&amp;FamilyName&amp;FixingType&amp;$C55</f>
        <v>UsdLiborSwapForBasisCalc46Y</v>
      </c>
      <c r="F55" s="54" t="str">
        <f>_xll.qlSwapIndex($E55,FixingType,C55,2,Currency,$F$6,"1Y","f","act/360","USDLibor3M",Discounting,Permanent,$F$7,ObjectOverwrite)</f>
        <v>UsdLiborSwapForBasisCalc46Y#0038</v>
      </c>
      <c r="G55" s="53" t="str">
        <f>_xll.ohRangeRetrieveError(F55)</f>
        <v/>
      </c>
      <c r="H55" s="52"/>
    </row>
    <row r="56" spans="2:8" s="48" customFormat="1" x14ac:dyDescent="0.2">
      <c r="B56" s="58"/>
      <c r="C56" s="57" t="s">
        <v>63</v>
      </c>
      <c r="D56" s="56" t="s">
        <v>14</v>
      </c>
      <c r="E56" s="55" t="str">
        <f>PROPER(Currency)&amp;FamilyName&amp;FixingType&amp;$C56</f>
        <v>UsdLiborSwapForBasisCalc47Y</v>
      </c>
      <c r="F56" s="54" t="str">
        <f>_xll.qlSwapIndex($E56,FixingType,C56,2,Currency,$F$6,"1Y","f","act/360","USDLibor3M",Discounting,Permanent,$F$7,ObjectOverwrite)</f>
        <v>UsdLiborSwapForBasisCalc47Y#0038</v>
      </c>
      <c r="G56" s="53" t="str">
        <f>_xll.ohRangeRetrieveError(F56)</f>
        <v/>
      </c>
      <c r="H56" s="52"/>
    </row>
    <row r="57" spans="2:8" s="48" customFormat="1" x14ac:dyDescent="0.2">
      <c r="B57" s="58"/>
      <c r="C57" s="57" t="s">
        <v>62</v>
      </c>
      <c r="D57" s="56" t="s">
        <v>14</v>
      </c>
      <c r="E57" s="55" t="str">
        <f>PROPER(Currency)&amp;FamilyName&amp;FixingType&amp;$C57</f>
        <v>UsdLiborSwapForBasisCalc48Y</v>
      </c>
      <c r="F57" s="54" t="str">
        <f>_xll.qlSwapIndex($E57,FixingType,C57,2,Currency,$F$6,"1Y","f","act/360","USDLibor3M",Discounting,Permanent,$F$7,ObjectOverwrite)</f>
        <v>UsdLiborSwapForBasisCalc48Y#0038</v>
      </c>
      <c r="G57" s="53" t="str">
        <f>_xll.ohRangeRetrieveError(F57)</f>
        <v/>
      </c>
      <c r="H57" s="52"/>
    </row>
    <row r="58" spans="2:8" s="48" customFormat="1" x14ac:dyDescent="0.2">
      <c r="B58" s="58"/>
      <c r="C58" s="57" t="s">
        <v>61</v>
      </c>
      <c r="D58" s="56" t="s">
        <v>14</v>
      </c>
      <c r="E58" s="55" t="str">
        <f>PROPER(Currency)&amp;FamilyName&amp;FixingType&amp;$C58</f>
        <v>UsdLiborSwapForBasisCalc49Y</v>
      </c>
      <c r="F58" s="54" t="str">
        <f>_xll.qlSwapIndex($E58,FixingType,C58,2,Currency,$F$6,"1Y","f","act/360","USDLibor3M",Discounting,Permanent,$F$7,ObjectOverwrite)</f>
        <v>UsdLiborSwapForBasisCalc49Y#0038</v>
      </c>
      <c r="G58" s="53" t="str">
        <f>_xll.ohRangeRetrieveError(F58)</f>
        <v/>
      </c>
      <c r="H58" s="52"/>
    </row>
    <row r="59" spans="2:8" s="48" customFormat="1" x14ac:dyDescent="0.2">
      <c r="B59" s="58"/>
      <c r="C59" s="57" t="s">
        <v>60</v>
      </c>
      <c r="D59" s="56" t="s">
        <v>14</v>
      </c>
      <c r="E59" s="55" t="str">
        <f>PROPER(Currency)&amp;FamilyName&amp;FixingType&amp;$C59</f>
        <v>UsdLiborSwapForBasisCalc50Y</v>
      </c>
      <c r="F59" s="54" t="str">
        <f>_xll.qlSwapIndex($E59,FixingType,C59,2,Currency,$F$6,"1Y","f","act/360","USDLibor3M",Discounting,Permanent,$F$7,ObjectOverwrite)</f>
        <v>UsdLiborSwapForBasisCalc50Y#0038</v>
      </c>
      <c r="G59" s="53" t="str">
        <f>_xll.ohRangeRetrieveError(F59)</f>
        <v/>
      </c>
      <c r="H59" s="52"/>
    </row>
    <row r="60" spans="2:8" s="48" customFormat="1" x14ac:dyDescent="0.2">
      <c r="B60" s="58"/>
      <c r="C60" s="57" t="s">
        <v>59</v>
      </c>
      <c r="D60" s="56" t="s">
        <v>14</v>
      </c>
      <c r="E60" s="55" t="str">
        <f>PROPER(Currency)&amp;FamilyName&amp;FixingType&amp;$C60</f>
        <v>UsdLiborSwapForBasisCalc51Y</v>
      </c>
      <c r="F60" s="54" t="str">
        <f>_xll.qlSwapIndex($E60,FixingType,C60,2,Currency,$F$6,"1Y","f","act/360","USDLibor3M",Discounting,Permanent,$F$7,ObjectOverwrite)</f>
        <v>UsdLiborSwapForBasisCalc51Y#0038</v>
      </c>
      <c r="G60" s="53" t="str">
        <f>_xll.ohRangeRetrieveError(F60)</f>
        <v/>
      </c>
      <c r="H60" s="52"/>
    </row>
    <row r="61" spans="2:8" s="48" customFormat="1" x14ac:dyDescent="0.2">
      <c r="B61" s="58"/>
      <c r="C61" s="57" t="s">
        <v>58</v>
      </c>
      <c r="D61" s="56" t="s">
        <v>14</v>
      </c>
      <c r="E61" s="55" t="str">
        <f>PROPER(Currency)&amp;FamilyName&amp;FixingType&amp;$C61</f>
        <v>UsdLiborSwapForBasisCalc52Y</v>
      </c>
      <c r="F61" s="54" t="str">
        <f>_xll.qlSwapIndex($E61,FixingType,C61,2,Currency,$F$6,"1Y","f","act/360","USDLibor3M",Discounting,Permanent,$F$7,ObjectOverwrite)</f>
        <v>UsdLiborSwapForBasisCalc52Y#0038</v>
      </c>
      <c r="G61" s="53" t="str">
        <f>_xll.ohRangeRetrieveError(F61)</f>
        <v/>
      </c>
      <c r="H61" s="52"/>
    </row>
    <row r="62" spans="2:8" s="48" customFormat="1" x14ac:dyDescent="0.2">
      <c r="B62" s="58"/>
      <c r="C62" s="57" t="s">
        <v>57</v>
      </c>
      <c r="D62" s="56" t="s">
        <v>14</v>
      </c>
      <c r="E62" s="55" t="str">
        <f>PROPER(Currency)&amp;FamilyName&amp;FixingType&amp;$C62</f>
        <v>UsdLiborSwapForBasisCalc53Y</v>
      </c>
      <c r="F62" s="54" t="str">
        <f>_xll.qlSwapIndex($E62,FixingType,C62,2,Currency,$F$6,"1Y","f","act/360","USDLibor3M",Discounting,Permanent,$F$7,ObjectOverwrite)</f>
        <v>UsdLiborSwapForBasisCalc53Y#0038</v>
      </c>
      <c r="G62" s="53" t="str">
        <f>_xll.ohRangeRetrieveError(F62)</f>
        <v/>
      </c>
      <c r="H62" s="52"/>
    </row>
    <row r="63" spans="2:8" s="48" customFormat="1" x14ac:dyDescent="0.2">
      <c r="B63" s="58"/>
      <c r="C63" s="57" t="s">
        <v>56</v>
      </c>
      <c r="D63" s="56" t="s">
        <v>14</v>
      </c>
      <c r="E63" s="55" t="str">
        <f>PROPER(Currency)&amp;FamilyName&amp;FixingType&amp;$C63</f>
        <v>UsdLiborSwapForBasisCalc54Y</v>
      </c>
      <c r="F63" s="54" t="str">
        <f>_xll.qlSwapIndex($E63,FixingType,C63,2,Currency,$F$6,"1Y","f","act/360","USDLibor3M",Discounting,Permanent,$F$7,ObjectOverwrite)</f>
        <v>UsdLiborSwapForBasisCalc54Y#0038</v>
      </c>
      <c r="G63" s="53" t="str">
        <f>_xll.ohRangeRetrieveError(F63)</f>
        <v/>
      </c>
      <c r="H63" s="52"/>
    </row>
    <row r="64" spans="2:8" s="48" customFormat="1" x14ac:dyDescent="0.2">
      <c r="B64" s="58"/>
      <c r="C64" s="57" t="s">
        <v>55</v>
      </c>
      <c r="D64" s="56" t="s">
        <v>14</v>
      </c>
      <c r="E64" s="55" t="str">
        <f>PROPER(Currency)&amp;FamilyName&amp;FixingType&amp;$C64</f>
        <v>UsdLiborSwapForBasisCalc55Y</v>
      </c>
      <c r="F64" s="54" t="str">
        <f>_xll.qlSwapIndex($E64,FixingType,C64,2,Currency,$F$6,"1Y","f","act/360","USDLibor3M",Discounting,Permanent,$F$7,ObjectOverwrite)</f>
        <v>UsdLiborSwapForBasisCalc55Y#0038</v>
      </c>
      <c r="G64" s="53" t="str">
        <f>_xll.ohRangeRetrieveError(F64)</f>
        <v/>
      </c>
      <c r="H64" s="52"/>
    </row>
    <row r="65" spans="2:8" s="48" customFormat="1" x14ac:dyDescent="0.2">
      <c r="B65" s="58"/>
      <c r="C65" s="57" t="s">
        <v>54</v>
      </c>
      <c r="D65" s="56" t="s">
        <v>14</v>
      </c>
      <c r="E65" s="55" t="str">
        <f>PROPER(Currency)&amp;FamilyName&amp;FixingType&amp;$C65</f>
        <v>UsdLiborSwapForBasisCalc56Y</v>
      </c>
      <c r="F65" s="54" t="str">
        <f>_xll.qlSwapIndex($E65,FixingType,C65,2,Currency,$F$6,"1Y","f","act/360","USDLibor3M",Discounting,Permanent,$F$7,ObjectOverwrite)</f>
        <v>UsdLiborSwapForBasisCalc56Y#0038</v>
      </c>
      <c r="G65" s="53" t="str">
        <f>_xll.ohRangeRetrieveError(F65)</f>
        <v/>
      </c>
      <c r="H65" s="52"/>
    </row>
    <row r="66" spans="2:8" s="48" customFormat="1" x14ac:dyDescent="0.2">
      <c r="B66" s="58"/>
      <c r="C66" s="57" t="s">
        <v>53</v>
      </c>
      <c r="D66" s="56" t="s">
        <v>14</v>
      </c>
      <c r="E66" s="55" t="str">
        <f>PROPER(Currency)&amp;FamilyName&amp;FixingType&amp;$C66</f>
        <v>UsdLiborSwapForBasisCalc57Y</v>
      </c>
      <c r="F66" s="54" t="str">
        <f>_xll.qlSwapIndex($E66,FixingType,C66,2,Currency,$F$6,"1Y","f","act/360","USDLibor3M",Discounting,Permanent,$F$7,ObjectOverwrite)</f>
        <v>UsdLiborSwapForBasisCalc57Y#0038</v>
      </c>
      <c r="G66" s="53" t="str">
        <f>_xll.ohRangeRetrieveError(F66)</f>
        <v/>
      </c>
      <c r="H66" s="52"/>
    </row>
    <row r="67" spans="2:8" s="48" customFormat="1" x14ac:dyDescent="0.2">
      <c r="B67" s="58"/>
      <c r="C67" s="57" t="s">
        <v>52</v>
      </c>
      <c r="D67" s="56" t="s">
        <v>14</v>
      </c>
      <c r="E67" s="55" t="str">
        <f>PROPER(Currency)&amp;FamilyName&amp;FixingType&amp;$C67</f>
        <v>UsdLiborSwapForBasisCalc58Y</v>
      </c>
      <c r="F67" s="54" t="str">
        <f>_xll.qlSwapIndex($E67,FixingType,C67,2,Currency,$F$6,"1Y","f","act/360","USDLibor3M",Discounting,Permanent,$F$7,ObjectOverwrite)</f>
        <v>UsdLiborSwapForBasisCalc58Y#0038</v>
      </c>
      <c r="G67" s="53" t="str">
        <f>_xll.ohRangeRetrieveError(F67)</f>
        <v/>
      </c>
      <c r="H67" s="52"/>
    </row>
    <row r="68" spans="2:8" s="48" customFormat="1" x14ac:dyDescent="0.2">
      <c r="B68" s="58"/>
      <c r="C68" s="57" t="s">
        <v>51</v>
      </c>
      <c r="D68" s="56" t="s">
        <v>14</v>
      </c>
      <c r="E68" s="55" t="str">
        <f>PROPER(Currency)&amp;FamilyName&amp;FixingType&amp;$C68</f>
        <v>UsdLiborSwapForBasisCalc59Y</v>
      </c>
      <c r="F68" s="54" t="str">
        <f>_xll.qlSwapIndex($E68,FixingType,C68,2,Currency,$F$6,"1Y","f","act/360","USDLibor3M",Discounting,Permanent,$F$7,ObjectOverwrite)</f>
        <v>UsdLiborSwapForBasisCalc59Y#0038</v>
      </c>
      <c r="G68" s="53" t="str">
        <f>_xll.ohRangeRetrieveError(F68)</f>
        <v/>
      </c>
      <c r="H68" s="52"/>
    </row>
    <row r="69" spans="2:8" s="48" customFormat="1" x14ac:dyDescent="0.2">
      <c r="B69" s="58"/>
      <c r="C69" s="57" t="s">
        <v>50</v>
      </c>
      <c r="D69" s="56" t="s">
        <v>14</v>
      </c>
      <c r="E69" s="55" t="str">
        <f>PROPER(Currency)&amp;FamilyName&amp;FixingType&amp;$C69</f>
        <v>UsdLiborSwapForBasisCalc60Y</v>
      </c>
      <c r="F69" s="54" t="str">
        <f>_xll.qlSwapIndex($E69,FixingType,C69,2,Currency,$F$6,"1Y","f","act/360","USDLibor3M",Discounting,Permanent,$F$7,ObjectOverwrite)</f>
        <v>UsdLiborSwapForBasisCalc60Y#0038</v>
      </c>
      <c r="G69" s="53" t="str">
        <f>_xll.ohRangeRetrieveError(F69)</f>
        <v/>
      </c>
      <c r="H69" s="52"/>
    </row>
    <row r="70" spans="2:8" s="48" customFormat="1" ht="12" thickBot="1" x14ac:dyDescent="0.25">
      <c r="B70" s="51"/>
      <c r="C70" s="50"/>
      <c r="D70" s="50"/>
      <c r="E70" s="50"/>
      <c r="F70" s="50"/>
      <c r="G70" s="50"/>
      <c r="H70" s="49"/>
    </row>
    <row r="71" spans="2:8" s="48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/>
  </sheetViews>
  <sheetFormatPr defaultColWidth="8" defaultRowHeight="11.25" x14ac:dyDescent="0.2"/>
  <cols>
    <col min="1" max="1" width="6.140625" style="29" customWidth="1"/>
    <col min="2" max="2" width="4.28515625" style="29" customWidth="1"/>
    <col min="3" max="3" width="15.5703125" style="29" bestFit="1" customWidth="1"/>
    <col min="4" max="4" width="93" style="29" bestFit="1" customWidth="1"/>
    <col min="5" max="5" width="4.7109375" style="29" customWidth="1"/>
    <col min="6" max="6" width="35.28515625" style="29" customWidth="1"/>
    <col min="7" max="7" width="4.28515625" style="29" customWidth="1"/>
    <col min="8" max="16384" width="8" style="29"/>
  </cols>
  <sheetData>
    <row r="1" spans="1:5" ht="13.5" thickBot="1" x14ac:dyDescent="0.25">
      <c r="A1" s="29" t="s">
        <v>123</v>
      </c>
      <c r="B1" s="72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8" t="s">
        <v>27</v>
      </c>
      <c r="C2" s="27"/>
      <c r="D2" s="27"/>
      <c r="E2" s="2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20</v>
      </c>
      <c r="D5" s="37" t="s">
        <v>122</v>
      </c>
      <c r="E5" s="14"/>
    </row>
    <row r="6" spans="1:5" s="1" customFormat="1" ht="12.75" x14ac:dyDescent="0.2">
      <c r="A6" s="23"/>
      <c r="B6" s="9"/>
      <c r="C6" s="16" t="s">
        <v>25</v>
      </c>
      <c r="D6" s="15" t="b">
        <v>1</v>
      </c>
      <c r="E6" s="14"/>
    </row>
    <row r="7" spans="1:5" s="1" customFormat="1" ht="12.75" x14ac:dyDescent="0.2">
      <c r="A7" s="23"/>
      <c r="B7" s="9"/>
      <c r="C7" s="16" t="s">
        <v>24</v>
      </c>
      <c r="D7" s="15" t="b">
        <v>0</v>
      </c>
      <c r="E7" s="14"/>
    </row>
    <row r="8" spans="1:5" s="1" customFormat="1" ht="12.75" x14ac:dyDescent="0.2">
      <c r="A8" s="23"/>
      <c r="B8" s="9"/>
      <c r="C8" s="16" t="s">
        <v>23</v>
      </c>
      <c r="D8" s="15" t="b">
        <v>1</v>
      </c>
      <c r="E8" s="14"/>
    </row>
    <row r="9" spans="1:5" s="1" customFormat="1" ht="12.75" x14ac:dyDescent="0.2">
      <c r="A9" s="23"/>
      <c r="B9" s="9"/>
      <c r="C9" s="16" t="s">
        <v>22</v>
      </c>
      <c r="D9" s="25" t="str">
        <f ca="1">SUBSTITUTE(LEFT(CELL("filename",A1),FIND("[",CELL("filename",A1),1)-1),"\XLS\","\XML\")</f>
        <v>C:\Users\erik\Documents\repos\quantlib_nando\QuantLibXL\Data2\XML\</v>
      </c>
      <c r="E9" s="14"/>
    </row>
    <row r="10" spans="1:5" s="1" customFormat="1" ht="12.75" x14ac:dyDescent="0.2">
      <c r="A10" s="23"/>
      <c r="B10" s="9"/>
      <c r="C10" s="16" t="s">
        <v>21</v>
      </c>
      <c r="D10" s="24" t="b">
        <v>1</v>
      </c>
      <c r="E10" s="14"/>
    </row>
    <row r="11" spans="1:5" s="1" customFormat="1" ht="12.75" x14ac:dyDescent="0.2">
      <c r="A11" s="23"/>
      <c r="B11" s="9"/>
      <c r="C11" s="16" t="s">
        <v>121</v>
      </c>
      <c r="D11" s="15" t="str">
        <f>Currency&amp;"YC"</f>
        <v>USDYC</v>
      </c>
      <c r="E11" s="14"/>
    </row>
    <row r="12" spans="1:5" s="1" customFormat="1" ht="12.75" x14ac:dyDescent="0.2">
      <c r="A12" s="23"/>
      <c r="B12" s="9"/>
      <c r="C12" s="16" t="s">
        <v>120</v>
      </c>
      <c r="D12" s="15" t="str">
        <f>Currency&amp;"YCSTD"</f>
        <v>USDYCSTD</v>
      </c>
      <c r="E12" s="14"/>
    </row>
    <row r="13" spans="1:5" s="1" customFormat="1" ht="13.5" thickBot="1" x14ac:dyDescent="0.25">
      <c r="A13" s="23"/>
      <c r="B13" s="4"/>
      <c r="C13" s="3"/>
      <c r="D13" s="3"/>
      <c r="E13" s="2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1.25" x14ac:dyDescent="0.2"/>
  <cols>
    <col min="1" max="1" width="3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73" bestFit="1" customWidth="1"/>
    <col min="7" max="7" width="38.28515625" style="21" customWidth="1"/>
    <col min="8" max="8" width="4.42578125" style="21" customWidth="1"/>
    <col min="9" max="12" width="3.5703125" style="21" customWidth="1"/>
    <col min="13" max="16384" width="9.140625" style="21"/>
  </cols>
  <sheetData>
    <row r="1" spans="1:12" x14ac:dyDescent="0.2">
      <c r="A1" s="110" t="s">
        <v>146</v>
      </c>
      <c r="B1" s="102"/>
      <c r="C1" s="102"/>
      <c r="D1" s="102"/>
      <c r="E1" s="100"/>
      <c r="F1" s="101"/>
      <c r="G1" s="100"/>
      <c r="H1" s="99"/>
    </row>
    <row r="2" spans="1:12" x14ac:dyDescent="0.2">
      <c r="A2" s="84"/>
      <c r="B2" s="97" t="s">
        <v>136</v>
      </c>
      <c r="C2" s="98"/>
      <c r="D2" s="97"/>
      <c r="E2" s="96" t="str">
        <f>Currency&amp;"_010_Sw"&amp;$C$4&amp;$D$4&amp;".xml"</f>
        <v>USD_010_Sw3L1L.xml</v>
      </c>
      <c r="F2" s="95">
        <f ca="1">IF(Serialize,_xll.ohObjectSave(F3:F40,SerializationPath&amp;E2,FileOverwrite,Serialize),"---")</f>
        <v>38</v>
      </c>
      <c r="G2" s="79" t="str">
        <f ca="1">_xll.ohRangeRetrieveError(F2)</f>
        <v/>
      </c>
      <c r="H2" s="78"/>
    </row>
    <row r="3" spans="1:12" x14ac:dyDescent="0.2">
      <c r="A3" s="84"/>
      <c r="B3" s="94" t="s">
        <v>35</v>
      </c>
      <c r="C3" s="82" t="str">
        <f>VLOOKUP(Currency,$J$8:$L$12,2)</f>
        <v>3L</v>
      </c>
      <c r="D3" s="81" t="str">
        <f>VLOOKUP(Currency,$J$8:$L$12,3)</f>
        <v>1L</v>
      </c>
      <c r="E3" s="80" t="str">
        <f>IF(ISBLANK(C3),"#",Currency&amp;$C3&amp;$D3&amp;$B3&amp;QuoteSuffix)</f>
        <v>USD3L1L6M_Quote</v>
      </c>
      <c r="F3" s="80" t="str">
        <f>_xll.qlSimpleQuote(E3,,RateTickValue,Permanent,Trigger,ObjectOverwrite)</f>
        <v>USD3L1L6M_Quote#0032</v>
      </c>
      <c r="G3" s="79" t="str">
        <f>_xll.ohRangeRetrieveError(F3)</f>
        <v/>
      </c>
      <c r="H3" s="78"/>
    </row>
    <row r="4" spans="1:12" x14ac:dyDescent="0.2">
      <c r="A4" s="84"/>
      <c r="B4" s="94" t="s">
        <v>29</v>
      </c>
      <c r="C4" s="82" t="str">
        <f>C3</f>
        <v>3L</v>
      </c>
      <c r="D4" s="81" t="str">
        <f>D3</f>
        <v>1L</v>
      </c>
      <c r="E4" s="80" t="str">
        <f>IF(ISBLANK(C4),"#",Currency&amp;$C4&amp;$D4&amp;$B4&amp;QuoteSuffix)</f>
        <v>USD3L1L1Y_Quote</v>
      </c>
      <c r="F4" s="80" t="str">
        <f>_xll.qlSimpleQuote(E4,,RateTickValue,Permanent,Trigger,ObjectOverwrite)</f>
        <v>USD3L1L1Y_Quote#0032</v>
      </c>
      <c r="G4" s="79" t="str">
        <f>_xll.ohRangeRetrieveError(F4)</f>
        <v/>
      </c>
      <c r="H4" s="78"/>
    </row>
    <row r="5" spans="1:12" s="20" customFormat="1" ht="12.75" x14ac:dyDescent="0.2">
      <c r="A5" s="84"/>
      <c r="B5" s="94" t="s">
        <v>135</v>
      </c>
      <c r="C5" s="82" t="str">
        <f>C4</f>
        <v>3L</v>
      </c>
      <c r="D5" s="81" t="str">
        <f>D4</f>
        <v>1L</v>
      </c>
      <c r="E5" s="80" t="str">
        <f>IF(ISBLANK(C5),"#",Currency&amp;$C5&amp;$D5&amp;$B5&amp;QuoteSuffix)</f>
        <v>USD3L1L15M_Quote</v>
      </c>
      <c r="F5" s="80" t="str">
        <f>_xll.qlSimpleQuote(E5,,RateTickValue,Permanent,Trigger,ObjectOverwrite)</f>
        <v>USD3L1L15M_Quote#0032</v>
      </c>
      <c r="G5" s="79" t="str">
        <f>_xll.ohRangeRetrieveError(F5)</f>
        <v/>
      </c>
      <c r="H5" s="78"/>
    </row>
    <row r="6" spans="1:12" s="20" customFormat="1" ht="12.75" x14ac:dyDescent="0.2">
      <c r="A6" s="84"/>
      <c r="B6" s="94" t="s">
        <v>134</v>
      </c>
      <c r="C6" s="82" t="str">
        <f>C5</f>
        <v>3L</v>
      </c>
      <c r="D6" s="81" t="str">
        <f>D5</f>
        <v>1L</v>
      </c>
      <c r="E6" s="80" t="str">
        <f>IF(ISBLANK(C6),"#",Currency&amp;$C6&amp;$D6&amp;$B6&amp;QuoteSuffix)</f>
        <v>USD3L1L18M_Quote</v>
      </c>
      <c r="F6" s="80" t="str">
        <f>_xll.qlSimpleQuote(E6,,RateTickValue,Permanent,Trigger,ObjectOverwrite)</f>
        <v>USD3L1L18M_Quote#0032</v>
      </c>
      <c r="G6" s="79" t="str">
        <f>_xll.ohRangeRetrieveError(F6)</f>
        <v/>
      </c>
      <c r="H6" s="78"/>
    </row>
    <row r="7" spans="1:12" s="20" customFormat="1" ht="13.5" thickBot="1" x14ac:dyDescent="0.25">
      <c r="A7" s="84"/>
      <c r="B7" s="94" t="s">
        <v>133</v>
      </c>
      <c r="C7" s="82" t="str">
        <f>C6</f>
        <v>3L</v>
      </c>
      <c r="D7" s="81" t="str">
        <f>D6</f>
        <v>1L</v>
      </c>
      <c r="E7" s="80" t="str">
        <f>IF(ISBLANK(C7),"#",Currency&amp;$C7&amp;$D7&amp;$B7&amp;QuoteSuffix)</f>
        <v>USD3L1L21M_Quote</v>
      </c>
      <c r="F7" s="80" t="str">
        <f>_xll.qlSimpleQuote(E7,,RateTickValue,Permanent,Trigger,ObjectOverwrite)</f>
        <v>USD3L1L21M_Quote#0032</v>
      </c>
      <c r="G7" s="79" t="str">
        <f>_xll.ohRangeRetrieveError(F7)</f>
        <v/>
      </c>
      <c r="H7" s="78"/>
    </row>
    <row r="8" spans="1:12" x14ac:dyDescent="0.2">
      <c r="A8" s="84"/>
      <c r="B8" s="83" t="s">
        <v>108</v>
      </c>
      <c r="C8" s="82" t="str">
        <f>C7</f>
        <v>3L</v>
      </c>
      <c r="D8" s="81" t="str">
        <f>D7</f>
        <v>1L</v>
      </c>
      <c r="E8" s="80" t="str">
        <f>IF(ISBLANK(C8),"#",Currency&amp;$C8&amp;$D8&amp;$B8&amp;QuoteSuffix)</f>
        <v>USD3L1L2Y_Quote</v>
      </c>
      <c r="F8" s="80" t="str">
        <f>_xll.qlSimpleQuote(E8,,RateTickValue,Permanent,Trigger,ObjectOverwrite)</f>
        <v>USD3L1L2Y_Quote#0032</v>
      </c>
      <c r="G8" s="79" t="str">
        <f>_xll.ohRangeRetrieveError(F8)</f>
        <v/>
      </c>
      <c r="H8" s="78"/>
      <c r="J8" s="93" t="s">
        <v>132</v>
      </c>
      <c r="K8" s="92" t="s">
        <v>124</v>
      </c>
      <c r="L8" s="91" t="s">
        <v>126</v>
      </c>
    </row>
    <row r="9" spans="1:12" x14ac:dyDescent="0.2">
      <c r="A9" s="84"/>
      <c r="B9" s="83" t="s">
        <v>107</v>
      </c>
      <c r="C9" s="82" t="str">
        <f>C8</f>
        <v>3L</v>
      </c>
      <c r="D9" s="81" t="str">
        <f>D8</f>
        <v>1L</v>
      </c>
      <c r="E9" s="80" t="str">
        <f>IF(ISBLANK(C9),"#",Currency&amp;$C9&amp;$D9&amp;$B9&amp;QuoteSuffix)</f>
        <v>USD3L1L3Y_Quote</v>
      </c>
      <c r="F9" s="80" t="str">
        <f>_xll.qlSimpleQuote(E9,,RateTickValue,Permanent,Trigger,ObjectOverwrite)</f>
        <v>USD3L1L3Y_Quote#0032</v>
      </c>
      <c r="G9" s="79" t="str">
        <f>_xll.ohRangeRetrieveError(F9)</f>
        <v/>
      </c>
      <c r="H9" s="78"/>
      <c r="J9" s="90" t="s">
        <v>131</v>
      </c>
      <c r="K9" s="89" t="s">
        <v>130</v>
      </c>
      <c r="L9" s="88" t="s">
        <v>129</v>
      </c>
    </row>
    <row r="10" spans="1:12" x14ac:dyDescent="0.2">
      <c r="A10" s="84"/>
      <c r="B10" s="83" t="s">
        <v>106</v>
      </c>
      <c r="C10" s="82" t="str">
        <f>C9</f>
        <v>3L</v>
      </c>
      <c r="D10" s="81" t="str">
        <f>D9</f>
        <v>1L</v>
      </c>
      <c r="E10" s="80" t="str">
        <f>IF(ISBLANK(C10),"#",Currency&amp;$C10&amp;$D10&amp;$B10&amp;QuoteSuffix)</f>
        <v>USD3L1L4Y_Quote</v>
      </c>
      <c r="F10" s="80" t="str">
        <f>_xll.qlSimpleQuote(E10,,RateTickValue,Permanent,Trigger,ObjectOverwrite)</f>
        <v>USD3L1L4Y_Quote#0032</v>
      </c>
      <c r="G10" s="79" t="str">
        <f>_xll.ohRangeRetrieveError(F10)</f>
        <v/>
      </c>
      <c r="H10" s="78"/>
      <c r="J10" s="90" t="s">
        <v>128</v>
      </c>
      <c r="K10" s="89" t="s">
        <v>124</v>
      </c>
      <c r="L10" s="88" t="s">
        <v>126</v>
      </c>
    </row>
    <row r="11" spans="1:12" x14ac:dyDescent="0.2">
      <c r="A11" s="84"/>
      <c r="B11" s="83" t="s">
        <v>105</v>
      </c>
      <c r="C11" s="82" t="str">
        <f>C10</f>
        <v>3L</v>
      </c>
      <c r="D11" s="81" t="str">
        <f>D10</f>
        <v>1L</v>
      </c>
      <c r="E11" s="80" t="str">
        <f>IF(ISBLANK(C11),"#",Currency&amp;$C11&amp;$D11&amp;$B11&amp;QuoteSuffix)</f>
        <v>USD3L1L5Y_Quote</v>
      </c>
      <c r="F11" s="80" t="str">
        <f>_xll.qlSimpleQuote(E11,,RateTickValue,Permanent,Trigger,ObjectOverwrite)</f>
        <v>USD3L1L5Y_Quote#0032</v>
      </c>
      <c r="G11" s="79" t="str">
        <f>_xll.ohRangeRetrieveError(F11)</f>
        <v/>
      </c>
      <c r="H11" s="78"/>
      <c r="J11" s="90" t="s">
        <v>127</v>
      </c>
      <c r="K11" s="89" t="s">
        <v>124</v>
      </c>
      <c r="L11" s="88" t="s">
        <v>126</v>
      </c>
    </row>
    <row r="12" spans="1:12" ht="12" thickBot="1" x14ac:dyDescent="0.25">
      <c r="A12" s="84"/>
      <c r="B12" s="83" t="s">
        <v>104</v>
      </c>
      <c r="C12" s="82" t="str">
        <f>C11</f>
        <v>3L</v>
      </c>
      <c r="D12" s="81" t="str">
        <f>D11</f>
        <v>1L</v>
      </c>
      <c r="E12" s="80" t="str">
        <f>IF(ISBLANK(C12),"#",Currency&amp;$C12&amp;$D12&amp;$B12&amp;QuoteSuffix)</f>
        <v>USD3L1L6Y_Quote</v>
      </c>
      <c r="F12" s="80" t="str">
        <f>_xll.qlSimpleQuote(E12,,RateTickValue,Permanent,Trigger,ObjectOverwrite)</f>
        <v>USD3L1L6Y_Quote#0032</v>
      </c>
      <c r="G12" s="79" t="str">
        <f>_xll.ohRangeRetrieveError(F12)</f>
        <v/>
      </c>
      <c r="H12" s="78"/>
      <c r="J12" s="87" t="s">
        <v>122</v>
      </c>
      <c r="K12" s="86" t="s">
        <v>125</v>
      </c>
      <c r="L12" s="85" t="s">
        <v>124</v>
      </c>
    </row>
    <row r="13" spans="1:12" x14ac:dyDescent="0.2">
      <c r="A13" s="84"/>
      <c r="B13" s="83" t="s">
        <v>103</v>
      </c>
      <c r="C13" s="82" t="str">
        <f>C12</f>
        <v>3L</v>
      </c>
      <c r="D13" s="81" t="str">
        <f>D12</f>
        <v>1L</v>
      </c>
      <c r="E13" s="80" t="str">
        <f>IF(ISBLANK(C13),"#",Currency&amp;$C13&amp;$D13&amp;$B13&amp;QuoteSuffix)</f>
        <v>USD3L1L7Y_Quote</v>
      </c>
      <c r="F13" s="80" t="str">
        <f>_xll.qlSimpleQuote(E13,,RateTickValue,Permanent,Trigger,ObjectOverwrite)</f>
        <v>USD3L1L7Y_Quote#0032</v>
      </c>
      <c r="G13" s="79" t="str">
        <f>_xll.ohRangeRetrieveError(F13)</f>
        <v/>
      </c>
      <c r="H13" s="78"/>
    </row>
    <row r="14" spans="1:12" x14ac:dyDescent="0.2">
      <c r="A14" s="84"/>
      <c r="B14" s="83" t="s">
        <v>102</v>
      </c>
      <c r="C14" s="82" t="str">
        <f>C13</f>
        <v>3L</v>
      </c>
      <c r="D14" s="81" t="str">
        <f>D13</f>
        <v>1L</v>
      </c>
      <c r="E14" s="80" t="str">
        <f>IF(ISBLANK(C14),"#",Currency&amp;$C14&amp;$D14&amp;$B14&amp;QuoteSuffix)</f>
        <v>USD3L1L8Y_Quote</v>
      </c>
      <c r="F14" s="80" t="str">
        <f>_xll.qlSimpleQuote(E14,,RateTickValue,Permanent,Trigger,ObjectOverwrite)</f>
        <v>USD3L1L8Y_Quote#0032</v>
      </c>
      <c r="G14" s="79" t="str">
        <f>_xll.ohRangeRetrieveError(F14)</f>
        <v/>
      </c>
      <c r="H14" s="78"/>
    </row>
    <row r="15" spans="1:12" x14ac:dyDescent="0.2">
      <c r="A15" s="84"/>
      <c r="B15" s="83" t="s">
        <v>101</v>
      </c>
      <c r="C15" s="82" t="str">
        <f>C14</f>
        <v>3L</v>
      </c>
      <c r="D15" s="81" t="str">
        <f>D14</f>
        <v>1L</v>
      </c>
      <c r="E15" s="80" t="str">
        <f>IF(ISBLANK(C15),"#",Currency&amp;$C15&amp;$D15&amp;$B15&amp;QuoteSuffix)</f>
        <v>USD3L1L9Y_Quote</v>
      </c>
      <c r="F15" s="80" t="str">
        <f>_xll.qlSimpleQuote(E15,,RateTickValue,Permanent,Trigger,ObjectOverwrite)</f>
        <v>USD3L1L9Y_Quote#0032</v>
      </c>
      <c r="G15" s="79" t="str">
        <f>_xll.ohRangeRetrieveError(F15)</f>
        <v/>
      </c>
      <c r="H15" s="78"/>
    </row>
    <row r="16" spans="1:12" x14ac:dyDescent="0.2">
      <c r="A16" s="84"/>
      <c r="B16" s="83" t="s">
        <v>100</v>
      </c>
      <c r="C16" s="82" t="str">
        <f>C15</f>
        <v>3L</v>
      </c>
      <c r="D16" s="81" t="str">
        <f>D15</f>
        <v>1L</v>
      </c>
      <c r="E16" s="80" t="str">
        <f>IF(ISBLANK(C16),"#",Currency&amp;$C16&amp;$D16&amp;$B16&amp;QuoteSuffix)</f>
        <v>USD3L1L10Y_Quote</v>
      </c>
      <c r="F16" s="80" t="str">
        <f>_xll.qlSimpleQuote(E16,,RateTickValue,Permanent,Trigger,ObjectOverwrite)</f>
        <v>USD3L1L10Y_Quote#0032</v>
      </c>
      <c r="G16" s="79" t="str">
        <f>_xll.ohRangeRetrieveError(F16)</f>
        <v/>
      </c>
      <c r="H16" s="78"/>
    </row>
    <row r="17" spans="1:8" x14ac:dyDescent="0.2">
      <c r="A17" s="84"/>
      <c r="B17" s="83" t="s">
        <v>99</v>
      </c>
      <c r="C17" s="82" t="str">
        <f>C16</f>
        <v>3L</v>
      </c>
      <c r="D17" s="81" t="str">
        <f>D16</f>
        <v>1L</v>
      </c>
      <c r="E17" s="80" t="str">
        <f>IF(ISBLANK(C17),"#",Currency&amp;$C17&amp;$D17&amp;$B17&amp;QuoteSuffix)</f>
        <v>USD3L1L11Y_Quote</v>
      </c>
      <c r="F17" s="80" t="str">
        <f>_xll.qlSimpleQuote(E17,,RateTickValue,Permanent,Trigger,ObjectOverwrite)</f>
        <v>USD3L1L11Y_Quote#0032</v>
      </c>
      <c r="G17" s="79" t="str">
        <f>_xll.ohRangeRetrieveError(F17)</f>
        <v/>
      </c>
      <c r="H17" s="78"/>
    </row>
    <row r="18" spans="1:8" x14ac:dyDescent="0.2">
      <c r="A18" s="84"/>
      <c r="B18" s="83" t="s">
        <v>98</v>
      </c>
      <c r="C18" s="82" t="str">
        <f>C17</f>
        <v>3L</v>
      </c>
      <c r="D18" s="81" t="str">
        <f>D17</f>
        <v>1L</v>
      </c>
      <c r="E18" s="80" t="str">
        <f>IF(ISBLANK(C18),"#",Currency&amp;$C18&amp;$D18&amp;$B18&amp;QuoteSuffix)</f>
        <v>USD3L1L12Y_Quote</v>
      </c>
      <c r="F18" s="80" t="str">
        <f>_xll.qlSimpleQuote(E18,,RateTickValue,Permanent,Trigger,ObjectOverwrite)</f>
        <v>USD3L1L12Y_Quote#0032</v>
      </c>
      <c r="G18" s="79" t="str">
        <f>_xll.ohRangeRetrieveError(F18)</f>
        <v/>
      </c>
      <c r="H18" s="78"/>
    </row>
    <row r="19" spans="1:8" x14ac:dyDescent="0.2">
      <c r="A19" s="84"/>
      <c r="B19" s="83" t="s">
        <v>97</v>
      </c>
      <c r="C19" s="82" t="str">
        <f>C18</f>
        <v>3L</v>
      </c>
      <c r="D19" s="81" t="str">
        <f>D18</f>
        <v>1L</v>
      </c>
      <c r="E19" s="80" t="str">
        <f>IF(ISBLANK(C19),"#",Currency&amp;$C19&amp;$D19&amp;$B19&amp;QuoteSuffix)</f>
        <v>USD3L1L13Y_Quote</v>
      </c>
      <c r="F19" s="80" t="str">
        <f>_xll.qlSimpleQuote(E19,,RateTickValue,Permanent,Trigger,ObjectOverwrite)</f>
        <v>USD3L1L13Y_Quote#0032</v>
      </c>
      <c r="G19" s="79" t="str">
        <f>_xll.ohRangeRetrieveError(F19)</f>
        <v/>
      </c>
      <c r="H19" s="78"/>
    </row>
    <row r="20" spans="1:8" x14ac:dyDescent="0.2">
      <c r="A20" s="84"/>
      <c r="B20" s="83" t="s">
        <v>96</v>
      </c>
      <c r="C20" s="82" t="str">
        <f>C19</f>
        <v>3L</v>
      </c>
      <c r="D20" s="81" t="str">
        <f>D19</f>
        <v>1L</v>
      </c>
      <c r="E20" s="80" t="str">
        <f>IF(ISBLANK(C20),"#",Currency&amp;$C20&amp;$D20&amp;$B20&amp;QuoteSuffix)</f>
        <v>USD3L1L14Y_Quote</v>
      </c>
      <c r="F20" s="80" t="str">
        <f>_xll.qlSimpleQuote(E20,,RateTickValue,Permanent,Trigger,ObjectOverwrite)</f>
        <v>USD3L1L14Y_Quote#0032</v>
      </c>
      <c r="G20" s="79" t="str">
        <f>_xll.ohRangeRetrieveError(F20)</f>
        <v/>
      </c>
      <c r="H20" s="78"/>
    </row>
    <row r="21" spans="1:8" x14ac:dyDescent="0.2">
      <c r="A21" s="84"/>
      <c r="B21" s="83" t="s">
        <v>95</v>
      </c>
      <c r="C21" s="82" t="str">
        <f>C20</f>
        <v>3L</v>
      </c>
      <c r="D21" s="81" t="str">
        <f>D20</f>
        <v>1L</v>
      </c>
      <c r="E21" s="80" t="str">
        <f>IF(ISBLANK(C21),"#",Currency&amp;$C21&amp;$D21&amp;$B21&amp;QuoteSuffix)</f>
        <v>USD3L1L15Y_Quote</v>
      </c>
      <c r="F21" s="80" t="str">
        <f>_xll.qlSimpleQuote(E21,,RateTickValue,Permanent,Trigger,ObjectOverwrite)</f>
        <v>USD3L1L15Y_Quote#0032</v>
      </c>
      <c r="G21" s="79" t="str">
        <f>_xll.ohRangeRetrieveError(F21)</f>
        <v/>
      </c>
      <c r="H21" s="78"/>
    </row>
    <row r="22" spans="1:8" x14ac:dyDescent="0.2">
      <c r="A22" s="84"/>
      <c r="B22" s="83" t="s">
        <v>94</v>
      </c>
      <c r="C22" s="82" t="str">
        <f>C21</f>
        <v>3L</v>
      </c>
      <c r="D22" s="81" t="str">
        <f>D21</f>
        <v>1L</v>
      </c>
      <c r="E22" s="80" t="str">
        <f>IF(ISBLANK(C22),"#",Currency&amp;$C22&amp;$D22&amp;$B22&amp;QuoteSuffix)</f>
        <v>USD3L1L16Y_Quote</v>
      </c>
      <c r="F22" s="80" t="str">
        <f>_xll.qlSimpleQuote(E22,,RateTickValue,Permanent,Trigger,ObjectOverwrite)</f>
        <v>USD3L1L16Y_Quote#0032</v>
      </c>
      <c r="G22" s="79" t="str">
        <f>_xll.ohRangeRetrieveError(F22)</f>
        <v/>
      </c>
      <c r="H22" s="78"/>
    </row>
    <row r="23" spans="1:8" x14ac:dyDescent="0.2">
      <c r="A23" s="84"/>
      <c r="B23" s="83" t="s">
        <v>93</v>
      </c>
      <c r="C23" s="82" t="str">
        <f>C22</f>
        <v>3L</v>
      </c>
      <c r="D23" s="81" t="str">
        <f>D22</f>
        <v>1L</v>
      </c>
      <c r="E23" s="80" t="str">
        <f>IF(ISBLANK(C23),"#",Currency&amp;$C23&amp;$D23&amp;$B23&amp;QuoteSuffix)</f>
        <v>USD3L1L17Y_Quote</v>
      </c>
      <c r="F23" s="80" t="str">
        <f>_xll.qlSimpleQuote(E23,,RateTickValue,Permanent,Trigger,ObjectOverwrite)</f>
        <v>USD3L1L17Y_Quote#0032</v>
      </c>
      <c r="G23" s="79" t="str">
        <f>_xll.ohRangeRetrieveError(F23)</f>
        <v/>
      </c>
      <c r="H23" s="78"/>
    </row>
    <row r="24" spans="1:8" x14ac:dyDescent="0.2">
      <c r="A24" s="84"/>
      <c r="B24" s="83" t="s">
        <v>92</v>
      </c>
      <c r="C24" s="82" t="str">
        <f>C23</f>
        <v>3L</v>
      </c>
      <c r="D24" s="81" t="str">
        <f>D23</f>
        <v>1L</v>
      </c>
      <c r="E24" s="80" t="str">
        <f>IF(ISBLANK(C24),"#",Currency&amp;$C24&amp;$D24&amp;$B24&amp;QuoteSuffix)</f>
        <v>USD3L1L18Y_Quote</v>
      </c>
      <c r="F24" s="80" t="str">
        <f>_xll.qlSimpleQuote(E24,,RateTickValue,Permanent,Trigger,ObjectOverwrite)</f>
        <v>USD3L1L18Y_Quote#0032</v>
      </c>
      <c r="G24" s="79" t="str">
        <f>_xll.ohRangeRetrieveError(F24)</f>
        <v/>
      </c>
      <c r="H24" s="78"/>
    </row>
    <row r="25" spans="1:8" x14ac:dyDescent="0.2">
      <c r="A25" s="84"/>
      <c r="B25" s="83" t="s">
        <v>91</v>
      </c>
      <c r="C25" s="82" t="str">
        <f>C24</f>
        <v>3L</v>
      </c>
      <c r="D25" s="81" t="str">
        <f>D24</f>
        <v>1L</v>
      </c>
      <c r="E25" s="80" t="str">
        <f>IF(ISBLANK(C25),"#",Currency&amp;$C25&amp;$D25&amp;$B25&amp;QuoteSuffix)</f>
        <v>USD3L1L19Y_Quote</v>
      </c>
      <c r="F25" s="80" t="str">
        <f>_xll.qlSimpleQuote(E25,,RateTickValue,Permanent,Trigger,ObjectOverwrite)</f>
        <v>USD3L1L19Y_Quote#0032</v>
      </c>
      <c r="G25" s="79" t="str">
        <f>_xll.ohRangeRetrieveError(F25)</f>
        <v/>
      </c>
      <c r="H25" s="78"/>
    </row>
    <row r="26" spans="1:8" x14ac:dyDescent="0.2">
      <c r="A26" s="84"/>
      <c r="B26" s="83" t="s">
        <v>90</v>
      </c>
      <c r="C26" s="82" t="str">
        <f>C25</f>
        <v>3L</v>
      </c>
      <c r="D26" s="81" t="str">
        <f>D25</f>
        <v>1L</v>
      </c>
      <c r="E26" s="80" t="str">
        <f>IF(ISBLANK(C26),"#",Currency&amp;$C26&amp;$D26&amp;$B26&amp;QuoteSuffix)</f>
        <v>USD3L1L20Y_Quote</v>
      </c>
      <c r="F26" s="80" t="str">
        <f>_xll.qlSimpleQuote(E26,,RateTickValue,Permanent,Trigger,ObjectOverwrite)</f>
        <v>USD3L1L20Y_Quote#0032</v>
      </c>
      <c r="G26" s="79" t="str">
        <f>_xll.ohRangeRetrieveError(F26)</f>
        <v/>
      </c>
      <c r="H26" s="78"/>
    </row>
    <row r="27" spans="1:8" x14ac:dyDescent="0.2">
      <c r="A27" s="84"/>
      <c r="B27" s="83" t="s">
        <v>89</v>
      </c>
      <c r="C27" s="82" t="str">
        <f>C26</f>
        <v>3L</v>
      </c>
      <c r="D27" s="81" t="str">
        <f>D26</f>
        <v>1L</v>
      </c>
      <c r="E27" s="80" t="str">
        <f>IF(ISBLANK(C27),"#",Currency&amp;$C27&amp;$D27&amp;$B27&amp;QuoteSuffix)</f>
        <v>USD3L1L21Y_Quote</v>
      </c>
      <c r="F27" s="80" t="str">
        <f>_xll.qlSimpleQuote(E27,,RateTickValue,Permanent,Trigger,ObjectOverwrite)</f>
        <v>USD3L1L21Y_Quote#0032</v>
      </c>
      <c r="G27" s="79" t="str">
        <f>_xll.ohRangeRetrieveError(F27)</f>
        <v/>
      </c>
      <c r="H27" s="78"/>
    </row>
    <row r="28" spans="1:8" x14ac:dyDescent="0.2">
      <c r="A28" s="84"/>
      <c r="B28" s="83" t="s">
        <v>88</v>
      </c>
      <c r="C28" s="82" t="str">
        <f>C27</f>
        <v>3L</v>
      </c>
      <c r="D28" s="81" t="str">
        <f>D27</f>
        <v>1L</v>
      </c>
      <c r="E28" s="80" t="str">
        <f>IF(ISBLANK(C28),"#",Currency&amp;$C28&amp;$D28&amp;$B28&amp;QuoteSuffix)</f>
        <v>USD3L1L22Y_Quote</v>
      </c>
      <c r="F28" s="80" t="str">
        <f>_xll.qlSimpleQuote(E28,,RateTickValue,Permanent,Trigger,ObjectOverwrite)</f>
        <v>USD3L1L22Y_Quote#0032</v>
      </c>
      <c r="G28" s="79" t="str">
        <f>_xll.ohRangeRetrieveError(F28)</f>
        <v/>
      </c>
      <c r="H28" s="78"/>
    </row>
    <row r="29" spans="1:8" x14ac:dyDescent="0.2">
      <c r="A29" s="84"/>
      <c r="B29" s="83" t="s">
        <v>87</v>
      </c>
      <c r="C29" s="82" t="str">
        <f>C28</f>
        <v>3L</v>
      </c>
      <c r="D29" s="81" t="str">
        <f>D28</f>
        <v>1L</v>
      </c>
      <c r="E29" s="80" t="str">
        <f>IF(ISBLANK(C29),"#",Currency&amp;$C29&amp;$D29&amp;$B29&amp;QuoteSuffix)</f>
        <v>USD3L1L23Y_Quote</v>
      </c>
      <c r="F29" s="80" t="str">
        <f>_xll.qlSimpleQuote(E29,,RateTickValue,Permanent,Trigger,ObjectOverwrite)</f>
        <v>USD3L1L23Y_Quote#0032</v>
      </c>
      <c r="G29" s="79" t="str">
        <f>_xll.ohRangeRetrieveError(F29)</f>
        <v/>
      </c>
      <c r="H29" s="78"/>
    </row>
    <row r="30" spans="1:8" x14ac:dyDescent="0.2">
      <c r="A30" s="84"/>
      <c r="B30" s="83" t="s">
        <v>86</v>
      </c>
      <c r="C30" s="82" t="str">
        <f>C29</f>
        <v>3L</v>
      </c>
      <c r="D30" s="81" t="str">
        <f>D29</f>
        <v>1L</v>
      </c>
      <c r="E30" s="80" t="str">
        <f>IF(ISBLANK(C30),"#",Currency&amp;$C30&amp;$D30&amp;$B30&amp;QuoteSuffix)</f>
        <v>USD3L1L24Y_Quote</v>
      </c>
      <c r="F30" s="80" t="str">
        <f>_xll.qlSimpleQuote(E30,,RateTickValue,Permanent,Trigger,ObjectOverwrite)</f>
        <v>USD3L1L24Y_Quote#0032</v>
      </c>
      <c r="G30" s="79" t="str">
        <f>_xll.ohRangeRetrieveError(F30)</f>
        <v/>
      </c>
      <c r="H30" s="78"/>
    </row>
    <row r="31" spans="1:8" x14ac:dyDescent="0.2">
      <c r="A31" s="84"/>
      <c r="B31" s="83" t="s">
        <v>85</v>
      </c>
      <c r="C31" s="82" t="str">
        <f>C30</f>
        <v>3L</v>
      </c>
      <c r="D31" s="81" t="str">
        <f>D30</f>
        <v>1L</v>
      </c>
      <c r="E31" s="80" t="str">
        <f>IF(ISBLANK(C31),"#",Currency&amp;$C31&amp;$D31&amp;$B31&amp;QuoteSuffix)</f>
        <v>USD3L1L25Y_Quote</v>
      </c>
      <c r="F31" s="80" t="str">
        <f>_xll.qlSimpleQuote(E31,,RateTickValue,Permanent,Trigger,ObjectOverwrite)</f>
        <v>USD3L1L25Y_Quote#0032</v>
      </c>
      <c r="G31" s="79" t="str">
        <f>_xll.ohRangeRetrieveError(F31)</f>
        <v/>
      </c>
      <c r="H31" s="78"/>
    </row>
    <row r="32" spans="1:8" x14ac:dyDescent="0.2">
      <c r="A32" s="84"/>
      <c r="B32" s="83" t="s">
        <v>84</v>
      </c>
      <c r="C32" s="82" t="str">
        <f>C31</f>
        <v>3L</v>
      </c>
      <c r="D32" s="81" t="str">
        <f>D31</f>
        <v>1L</v>
      </c>
      <c r="E32" s="80" t="str">
        <f>IF(ISBLANK(C32),"#",Currency&amp;$C32&amp;$D32&amp;$B32&amp;QuoteSuffix)</f>
        <v>USD3L1L26Y_Quote</v>
      </c>
      <c r="F32" s="80" t="str">
        <f>_xll.qlSimpleQuote(E32,,RateTickValue,Permanent,Trigger,ObjectOverwrite)</f>
        <v>USD3L1L26Y_Quote#0032</v>
      </c>
      <c r="G32" s="79" t="str">
        <f>_xll.ohRangeRetrieveError(F32)</f>
        <v/>
      </c>
      <c r="H32" s="78"/>
    </row>
    <row r="33" spans="1:8" x14ac:dyDescent="0.2">
      <c r="A33" s="84"/>
      <c r="B33" s="83" t="s">
        <v>83</v>
      </c>
      <c r="C33" s="82" t="str">
        <f>C32</f>
        <v>3L</v>
      </c>
      <c r="D33" s="81" t="str">
        <f>D32</f>
        <v>1L</v>
      </c>
      <c r="E33" s="80" t="str">
        <f>IF(ISBLANK(C33),"#",Currency&amp;$C33&amp;$D33&amp;$B33&amp;QuoteSuffix)</f>
        <v>USD3L1L27Y_Quote</v>
      </c>
      <c r="F33" s="80" t="str">
        <f>_xll.qlSimpleQuote(E33,,RateTickValue,Permanent,Trigger,ObjectOverwrite)</f>
        <v>USD3L1L27Y_Quote#0032</v>
      </c>
      <c r="G33" s="79" t="str">
        <f>_xll.ohRangeRetrieveError(F33)</f>
        <v/>
      </c>
      <c r="H33" s="78"/>
    </row>
    <row r="34" spans="1:8" x14ac:dyDescent="0.2">
      <c r="A34" s="84"/>
      <c r="B34" s="83" t="s">
        <v>82</v>
      </c>
      <c r="C34" s="82" t="str">
        <f>C33</f>
        <v>3L</v>
      </c>
      <c r="D34" s="81" t="str">
        <f>D33</f>
        <v>1L</v>
      </c>
      <c r="E34" s="80" t="str">
        <f>IF(ISBLANK(C34),"#",Currency&amp;$C34&amp;$D34&amp;$B34&amp;QuoteSuffix)</f>
        <v>USD3L1L28Y_Quote</v>
      </c>
      <c r="F34" s="80" t="str">
        <f>_xll.qlSimpleQuote(E34,,RateTickValue,Permanent,Trigger,ObjectOverwrite)</f>
        <v>USD3L1L28Y_Quote#0032</v>
      </c>
      <c r="G34" s="79" t="str">
        <f>_xll.ohRangeRetrieveError(F34)</f>
        <v/>
      </c>
      <c r="H34" s="78"/>
    </row>
    <row r="35" spans="1:8" x14ac:dyDescent="0.2">
      <c r="A35" s="84"/>
      <c r="B35" s="83" t="s">
        <v>81</v>
      </c>
      <c r="C35" s="82" t="str">
        <f>C34</f>
        <v>3L</v>
      </c>
      <c r="D35" s="81" t="str">
        <f>D34</f>
        <v>1L</v>
      </c>
      <c r="E35" s="80" t="str">
        <f>IF(ISBLANK(C35),"#",Currency&amp;$C35&amp;$D35&amp;$B35&amp;QuoteSuffix)</f>
        <v>USD3L1L29Y_Quote</v>
      </c>
      <c r="F35" s="80" t="str">
        <f>_xll.qlSimpleQuote(E35,,RateTickValue,Permanent,Trigger,ObjectOverwrite)</f>
        <v>USD3L1L29Y_Quote#0032</v>
      </c>
      <c r="G35" s="79" t="str">
        <f>_xll.ohRangeRetrieveError(F35)</f>
        <v/>
      </c>
      <c r="H35" s="78"/>
    </row>
    <row r="36" spans="1:8" x14ac:dyDescent="0.2">
      <c r="A36" s="84"/>
      <c r="B36" s="83" t="s">
        <v>80</v>
      </c>
      <c r="C36" s="82" t="str">
        <f>C35</f>
        <v>3L</v>
      </c>
      <c r="D36" s="81" t="str">
        <f>D35</f>
        <v>1L</v>
      </c>
      <c r="E36" s="80" t="str">
        <f>IF(ISBLANK(C36),"#",Currency&amp;$C36&amp;$D36&amp;$B36&amp;QuoteSuffix)</f>
        <v>USD3L1L30Y_Quote</v>
      </c>
      <c r="F36" s="80" t="str">
        <f>_xll.qlSimpleQuote(E36,,RateTickValue,Permanent,Trigger,ObjectOverwrite)</f>
        <v>USD3L1L30Y_Quote#0032</v>
      </c>
      <c r="G36" s="79" t="str">
        <f>_xll.ohRangeRetrieveError(F36)</f>
        <v/>
      </c>
      <c r="H36" s="78"/>
    </row>
    <row r="37" spans="1:8" x14ac:dyDescent="0.2">
      <c r="A37" s="84"/>
      <c r="B37" s="83" t="s">
        <v>75</v>
      </c>
      <c r="C37" s="82" t="str">
        <f>C36</f>
        <v>3L</v>
      </c>
      <c r="D37" s="81" t="str">
        <f>D36</f>
        <v>1L</v>
      </c>
      <c r="E37" s="80" t="str">
        <f>IF(ISBLANK(C37),"#",Currency&amp;$C37&amp;$D37&amp;$B37&amp;QuoteSuffix)</f>
        <v>USD3L1L35Y_Quote</v>
      </c>
      <c r="F37" s="80" t="str">
        <f>_xll.qlSimpleQuote(E37,,RateTickValue,Permanent,Trigger,ObjectOverwrite)</f>
        <v>USD3L1L35Y_Quote#0032</v>
      </c>
      <c r="G37" s="79" t="str">
        <f>_xll.ohRangeRetrieveError(F37)</f>
        <v/>
      </c>
      <c r="H37" s="78"/>
    </row>
    <row r="38" spans="1:8" x14ac:dyDescent="0.2">
      <c r="A38" s="84"/>
      <c r="B38" s="83" t="s">
        <v>70</v>
      </c>
      <c r="C38" s="82" t="str">
        <f>C37</f>
        <v>3L</v>
      </c>
      <c r="D38" s="81" t="str">
        <f>D37</f>
        <v>1L</v>
      </c>
      <c r="E38" s="80" t="str">
        <f>IF(ISBLANK(C38),"#",Currency&amp;$C38&amp;$D38&amp;$B38&amp;QuoteSuffix)</f>
        <v>USD3L1L40Y_Quote</v>
      </c>
      <c r="F38" s="80" t="str">
        <f>_xll.qlSimpleQuote(E38,,RateTickValue,Permanent,Trigger,ObjectOverwrite)</f>
        <v>USD3L1L40Y_Quote#0032</v>
      </c>
      <c r="G38" s="79" t="str">
        <f>_xll.ohRangeRetrieveError(F38)</f>
        <v/>
      </c>
      <c r="H38" s="78"/>
    </row>
    <row r="39" spans="1:8" x14ac:dyDescent="0.2">
      <c r="A39" s="84"/>
      <c r="B39" s="83" t="s">
        <v>60</v>
      </c>
      <c r="C39" s="82" t="str">
        <f>C38</f>
        <v>3L</v>
      </c>
      <c r="D39" s="81" t="str">
        <f>D38</f>
        <v>1L</v>
      </c>
      <c r="E39" s="80" t="str">
        <f>IF(ISBLANK(C39),"#",Currency&amp;$C39&amp;$D39&amp;$B39&amp;QuoteSuffix)</f>
        <v>USD3L1L50Y_Quote</v>
      </c>
      <c r="F39" s="80" t="str">
        <f>_xll.qlSimpleQuote(E39,,RateTickValue,Permanent,Trigger,ObjectOverwrite)</f>
        <v>USD3L1L50Y_Quote#0032</v>
      </c>
      <c r="G39" s="79" t="str">
        <f>_xll.ohRangeRetrieveError(F39)</f>
        <v/>
      </c>
      <c r="H39" s="78"/>
    </row>
    <row r="40" spans="1:8" x14ac:dyDescent="0.2">
      <c r="A40" s="84"/>
      <c r="B40" s="83" t="s">
        <v>50</v>
      </c>
      <c r="C40" s="82" t="str">
        <f>C39</f>
        <v>3L</v>
      </c>
      <c r="D40" s="81" t="str">
        <f>D39</f>
        <v>1L</v>
      </c>
      <c r="E40" s="80" t="str">
        <f>IF(ISBLANK(C40),"#",Currency&amp;$C40&amp;$D40&amp;$B40&amp;QuoteSuffix)</f>
        <v>USD3L1L60Y_Quote</v>
      </c>
      <c r="F40" s="80" t="str">
        <f>_xll.qlSimpleQuote(E40,,RateTickValue,Permanent,Trigger,ObjectOverwrite)</f>
        <v>USD3L1L60Y_Quote#0032</v>
      </c>
      <c r="G40" s="79" t="str">
        <f>_xll.ohRangeRetrieveError(F40)</f>
        <v/>
      </c>
      <c r="H40" s="78"/>
    </row>
    <row r="41" spans="1:8" x14ac:dyDescent="0.2">
      <c r="A41" s="77"/>
      <c r="B41" s="76"/>
      <c r="C41" s="76"/>
      <c r="D41" s="76"/>
      <c r="E41" s="76"/>
      <c r="F41" s="75"/>
      <c r="G41" s="75"/>
      <c r="H41" s="74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12" x14ac:dyDescent="0.2">
      <c r="A1" s="110" t="s">
        <v>146</v>
      </c>
      <c r="B1" s="102"/>
      <c r="C1" s="102"/>
      <c r="D1" s="102"/>
      <c r="E1" s="103"/>
      <c r="F1" s="104"/>
      <c r="G1" s="103"/>
      <c r="H1" s="99"/>
    </row>
    <row r="2" spans="1:12" x14ac:dyDescent="0.2">
      <c r="A2" s="84"/>
      <c r="B2" s="97" t="s">
        <v>136</v>
      </c>
      <c r="C2" s="98"/>
      <c r="D2" s="97"/>
      <c r="E2" s="96" t="str">
        <f>Currency&amp;"_010_Sw"&amp;$C$4&amp;$D$4&amp;".xml"</f>
        <v>USD_010_Sw6L3L.xml</v>
      </c>
      <c r="F2" s="95">
        <f ca="1">IF(Serialize,_xll.ohObjectSave(F3:F40,SerializationPath&amp;E2,FileOverwrite,Serialize),"---")</f>
        <v>38</v>
      </c>
      <c r="G2" s="79" t="str">
        <f ca="1">_xll.ohRangeRetrieveError(F2)</f>
        <v/>
      </c>
      <c r="H2" s="78"/>
    </row>
    <row r="3" spans="1:12" x14ac:dyDescent="0.2">
      <c r="A3" s="84"/>
      <c r="B3" s="94" t="s">
        <v>35</v>
      </c>
      <c r="C3" s="82" t="str">
        <f>VLOOKUP(Currency,$J$8:$L$12,2)</f>
        <v>6L</v>
      </c>
      <c r="D3" s="81" t="str">
        <f>VLOOKUP(Currency,$J$8:$L$12,3)</f>
        <v>3L</v>
      </c>
      <c r="E3" s="80" t="str">
        <f>IF(ISBLANK(C3),"#",Currency&amp;$C3&amp;$D3&amp;$B3&amp;QuoteSuffix)</f>
        <v>USD6L3L6M_Quote</v>
      </c>
      <c r="F3" s="80" t="str">
        <f>_xll.qlSimpleQuote(E3,,RateTickValue,Permanent,Trigger,ObjectOverwrite)</f>
        <v>USD6L3L6M_Quote#0031</v>
      </c>
      <c r="G3" s="79" t="str">
        <f>_xll.ohRangeRetrieveError(F3)</f>
        <v/>
      </c>
      <c r="H3" s="78"/>
    </row>
    <row r="4" spans="1:12" x14ac:dyDescent="0.2">
      <c r="A4" s="84"/>
      <c r="B4" s="94" t="s">
        <v>29</v>
      </c>
      <c r="C4" s="82" t="str">
        <f>C3</f>
        <v>6L</v>
      </c>
      <c r="D4" s="81" t="str">
        <f>D3</f>
        <v>3L</v>
      </c>
      <c r="E4" s="80" t="str">
        <f>IF(ISBLANK(C4),"#",Currency&amp;$C4&amp;$D4&amp;$B4&amp;QuoteSuffix)</f>
        <v>USD6L3L1Y_Quote</v>
      </c>
      <c r="F4" s="80" t="str">
        <f>_xll.qlSimpleQuote(E4,,RateTickValue,Permanent,Trigger,ObjectOverwrite)</f>
        <v>USD6L3L1Y_Quote#0031</v>
      </c>
      <c r="G4" s="79" t="str">
        <f>_xll.ohRangeRetrieveError(F4)</f>
        <v/>
      </c>
      <c r="H4" s="78"/>
    </row>
    <row r="5" spans="1:12" x14ac:dyDescent="0.2">
      <c r="A5" s="84"/>
      <c r="B5" s="94" t="s">
        <v>135</v>
      </c>
      <c r="C5" s="82" t="str">
        <f>C4</f>
        <v>6L</v>
      </c>
      <c r="D5" s="81" t="str">
        <f>D4</f>
        <v>3L</v>
      </c>
      <c r="E5" s="80" t="str">
        <f>IF(ISBLANK(C5),"#",Currency&amp;$C5&amp;$D5&amp;$B5&amp;QuoteSuffix)</f>
        <v>USD6L3L15M_Quote</v>
      </c>
      <c r="F5" s="80" t="str">
        <f>_xll.qlSimpleQuote(E5,,RateTickValue,Permanent,Trigger,ObjectOverwrite)</f>
        <v>USD6L3L15M_Quote#0031</v>
      </c>
      <c r="G5" s="79" t="str">
        <f>_xll.ohRangeRetrieveError(F5)</f>
        <v/>
      </c>
      <c r="H5" s="78"/>
    </row>
    <row r="6" spans="1:12" x14ac:dyDescent="0.2">
      <c r="A6" s="84"/>
      <c r="B6" s="94" t="s">
        <v>134</v>
      </c>
      <c r="C6" s="82" t="str">
        <f>C5</f>
        <v>6L</v>
      </c>
      <c r="D6" s="81" t="str">
        <f>D5</f>
        <v>3L</v>
      </c>
      <c r="E6" s="80" t="str">
        <f>IF(ISBLANK(C6),"#",Currency&amp;$C6&amp;$D6&amp;$B6&amp;QuoteSuffix)</f>
        <v>USD6L3L18M_Quote</v>
      </c>
      <c r="F6" s="80" t="str">
        <f>_xll.qlSimpleQuote(E6,,RateTickValue,Permanent,Trigger,ObjectOverwrite)</f>
        <v>USD6L3L18M_Quote#0031</v>
      </c>
      <c r="G6" s="79" t="str">
        <f>_xll.ohRangeRetrieveError(F6)</f>
        <v/>
      </c>
      <c r="H6" s="78"/>
    </row>
    <row r="7" spans="1:12" ht="13.5" thickBot="1" x14ac:dyDescent="0.25">
      <c r="A7" s="84"/>
      <c r="B7" s="94" t="s">
        <v>133</v>
      </c>
      <c r="C7" s="82" t="str">
        <f>C6</f>
        <v>6L</v>
      </c>
      <c r="D7" s="81" t="str">
        <f>D6</f>
        <v>3L</v>
      </c>
      <c r="E7" s="80" t="str">
        <f>IF(ISBLANK(C7),"#",Currency&amp;$C7&amp;$D7&amp;$B7&amp;QuoteSuffix)</f>
        <v>USD6L3L21M_Quote</v>
      </c>
      <c r="F7" s="80" t="str">
        <f>_xll.qlSimpleQuote(E7,,RateTickValue,Permanent,Trigger,ObjectOverwrite)</f>
        <v>USD6L3L21M_Quote#0031</v>
      </c>
      <c r="G7" s="79" t="str">
        <f>_xll.ohRangeRetrieveError(F7)</f>
        <v/>
      </c>
      <c r="H7" s="78"/>
    </row>
    <row r="8" spans="1:12" x14ac:dyDescent="0.2">
      <c r="A8" s="84"/>
      <c r="B8" s="83" t="s">
        <v>108</v>
      </c>
      <c r="C8" s="82" t="str">
        <f>C7</f>
        <v>6L</v>
      </c>
      <c r="D8" s="81" t="str">
        <f>D7</f>
        <v>3L</v>
      </c>
      <c r="E8" s="80" t="str">
        <f>IF(ISBLANK(C8),"#",Currency&amp;$C8&amp;$D8&amp;$B8&amp;QuoteSuffix)</f>
        <v>USD6L3L2Y_Quote</v>
      </c>
      <c r="F8" s="80" t="str">
        <f>_xll.qlSimpleQuote(E8,,RateTickValue,Permanent,Trigger,ObjectOverwrite)</f>
        <v>USD6L3L2Y_Quote#0031</v>
      </c>
      <c r="G8" s="79" t="str">
        <f>_xll.ohRangeRetrieveError(F8)</f>
        <v/>
      </c>
      <c r="H8" s="78"/>
      <c r="J8" s="93" t="s">
        <v>132</v>
      </c>
      <c r="K8" s="92" t="s">
        <v>125</v>
      </c>
      <c r="L8" s="91" t="s">
        <v>126</v>
      </c>
    </row>
    <row r="9" spans="1:12" x14ac:dyDescent="0.2">
      <c r="A9" s="84"/>
      <c r="B9" s="83" t="s">
        <v>107</v>
      </c>
      <c r="C9" s="82" t="str">
        <f>C8</f>
        <v>6L</v>
      </c>
      <c r="D9" s="81" t="str">
        <f>D8</f>
        <v>3L</v>
      </c>
      <c r="E9" s="80" t="str">
        <f>IF(ISBLANK(C9),"#",Currency&amp;$C9&amp;$D9&amp;$B9&amp;QuoteSuffix)</f>
        <v>USD6L3L3Y_Quote</v>
      </c>
      <c r="F9" s="80" t="str">
        <f>_xll.qlSimpleQuote(E9,,RateTickValue,Permanent,Trigger,ObjectOverwrite)</f>
        <v>USD6L3L3Y_Quote#0031</v>
      </c>
      <c r="G9" s="79" t="str">
        <f>_xll.ohRangeRetrieveError(F9)</f>
        <v/>
      </c>
      <c r="H9" s="78"/>
      <c r="J9" s="90" t="s">
        <v>131</v>
      </c>
      <c r="K9" s="89" t="s">
        <v>137</v>
      </c>
      <c r="L9" s="88" t="s">
        <v>129</v>
      </c>
    </row>
    <row r="10" spans="1:12" x14ac:dyDescent="0.2">
      <c r="A10" s="84"/>
      <c r="B10" s="83" t="s">
        <v>106</v>
      </c>
      <c r="C10" s="82" t="str">
        <f>C9</f>
        <v>6L</v>
      </c>
      <c r="D10" s="81" t="str">
        <f>D9</f>
        <v>3L</v>
      </c>
      <c r="E10" s="80" t="str">
        <f>IF(ISBLANK(C10),"#",Currency&amp;$C10&amp;$D10&amp;$B10&amp;QuoteSuffix)</f>
        <v>USD6L3L4Y_Quote</v>
      </c>
      <c r="F10" s="80" t="str">
        <f>_xll.qlSimpleQuote(E10,,RateTickValue,Permanent,Trigger,ObjectOverwrite)</f>
        <v>USD6L3L4Y_Quote#0031</v>
      </c>
      <c r="G10" s="79" t="str">
        <f>_xll.ohRangeRetrieveError(F10)</f>
        <v/>
      </c>
      <c r="H10" s="78"/>
      <c r="J10" s="90" t="s">
        <v>128</v>
      </c>
      <c r="K10" s="89" t="s">
        <v>125</v>
      </c>
      <c r="L10" s="88" t="s">
        <v>126</v>
      </c>
    </row>
    <row r="11" spans="1:12" x14ac:dyDescent="0.2">
      <c r="A11" s="84"/>
      <c r="B11" s="83" t="s">
        <v>105</v>
      </c>
      <c r="C11" s="82" t="str">
        <f>C10</f>
        <v>6L</v>
      </c>
      <c r="D11" s="81" t="str">
        <f>D10</f>
        <v>3L</v>
      </c>
      <c r="E11" s="80" t="str">
        <f>IF(ISBLANK(C11),"#",Currency&amp;$C11&amp;$D11&amp;$B11&amp;QuoteSuffix)</f>
        <v>USD6L3L5Y_Quote</v>
      </c>
      <c r="F11" s="80" t="str">
        <f>_xll.qlSimpleQuote(E11,,RateTickValue,Permanent,Trigger,ObjectOverwrite)</f>
        <v>USD6L3L5Y_Quote#0031</v>
      </c>
      <c r="G11" s="79" t="str">
        <f>_xll.ohRangeRetrieveError(F11)</f>
        <v/>
      </c>
      <c r="H11" s="78"/>
      <c r="J11" s="90" t="s">
        <v>127</v>
      </c>
      <c r="K11" s="89" t="s">
        <v>125</v>
      </c>
      <c r="L11" s="88" t="s">
        <v>126</v>
      </c>
    </row>
    <row r="12" spans="1:12" ht="13.5" thickBot="1" x14ac:dyDescent="0.25">
      <c r="A12" s="84"/>
      <c r="B12" s="83" t="s">
        <v>104</v>
      </c>
      <c r="C12" s="82" t="str">
        <f>C11</f>
        <v>6L</v>
      </c>
      <c r="D12" s="81" t="str">
        <f>D11</f>
        <v>3L</v>
      </c>
      <c r="E12" s="80" t="str">
        <f>IF(ISBLANK(C12),"#",Currency&amp;$C12&amp;$D12&amp;$B12&amp;QuoteSuffix)</f>
        <v>USD6L3L6Y_Quote</v>
      </c>
      <c r="F12" s="80" t="str">
        <f>_xll.qlSimpleQuote(E12,,RateTickValue,Permanent,Trigger,ObjectOverwrite)</f>
        <v>USD6L3L6Y_Quote#0031</v>
      </c>
      <c r="G12" s="79" t="str">
        <f>_xll.ohRangeRetrieveError(F12)</f>
        <v/>
      </c>
      <c r="H12" s="78"/>
      <c r="J12" s="87" t="s">
        <v>122</v>
      </c>
      <c r="K12" s="86" t="s">
        <v>126</v>
      </c>
      <c r="L12" s="85" t="s">
        <v>125</v>
      </c>
    </row>
    <row r="13" spans="1:12" x14ac:dyDescent="0.2">
      <c r="A13" s="84"/>
      <c r="B13" s="83" t="s">
        <v>103</v>
      </c>
      <c r="C13" s="82" t="str">
        <f>C12</f>
        <v>6L</v>
      </c>
      <c r="D13" s="81" t="str">
        <f>D12</f>
        <v>3L</v>
      </c>
      <c r="E13" s="80" t="str">
        <f>IF(ISBLANK(C13),"#",Currency&amp;$C13&amp;$D13&amp;$B13&amp;QuoteSuffix)</f>
        <v>USD6L3L7Y_Quote</v>
      </c>
      <c r="F13" s="80" t="str">
        <f>_xll.qlSimpleQuote(E13,,RateTickValue,Permanent,Trigger,ObjectOverwrite)</f>
        <v>USD6L3L7Y_Quote#0031</v>
      </c>
      <c r="G13" s="79" t="str">
        <f>_xll.ohRangeRetrieveError(F13)</f>
        <v/>
      </c>
      <c r="H13" s="78"/>
    </row>
    <row r="14" spans="1:12" x14ac:dyDescent="0.2">
      <c r="A14" s="84"/>
      <c r="B14" s="83" t="s">
        <v>102</v>
      </c>
      <c r="C14" s="82" t="str">
        <f>C13</f>
        <v>6L</v>
      </c>
      <c r="D14" s="81" t="str">
        <f>D13</f>
        <v>3L</v>
      </c>
      <c r="E14" s="80" t="str">
        <f>IF(ISBLANK(C14),"#",Currency&amp;$C14&amp;$D14&amp;$B14&amp;QuoteSuffix)</f>
        <v>USD6L3L8Y_Quote</v>
      </c>
      <c r="F14" s="80" t="str">
        <f>_xll.qlSimpleQuote(E14,,RateTickValue,Permanent,Trigger,ObjectOverwrite)</f>
        <v>USD6L3L8Y_Quote#0031</v>
      </c>
      <c r="G14" s="79" t="str">
        <f>_xll.ohRangeRetrieveError(F14)</f>
        <v/>
      </c>
      <c r="H14" s="78"/>
    </row>
    <row r="15" spans="1:12" x14ac:dyDescent="0.2">
      <c r="A15" s="84"/>
      <c r="B15" s="83" t="s">
        <v>101</v>
      </c>
      <c r="C15" s="82" t="str">
        <f>C14</f>
        <v>6L</v>
      </c>
      <c r="D15" s="81" t="str">
        <f>D14</f>
        <v>3L</v>
      </c>
      <c r="E15" s="80" t="str">
        <f>IF(ISBLANK(C15),"#",Currency&amp;$C15&amp;$D15&amp;$B15&amp;QuoteSuffix)</f>
        <v>USD6L3L9Y_Quote</v>
      </c>
      <c r="F15" s="80" t="str">
        <f>_xll.qlSimpleQuote(E15,,RateTickValue,Permanent,Trigger,ObjectOverwrite)</f>
        <v>USD6L3L9Y_Quote#0031</v>
      </c>
      <c r="G15" s="79" t="str">
        <f>_xll.ohRangeRetrieveError(F15)</f>
        <v/>
      </c>
      <c r="H15" s="78"/>
    </row>
    <row r="16" spans="1:12" x14ac:dyDescent="0.2">
      <c r="A16" s="84"/>
      <c r="B16" s="83" t="s">
        <v>100</v>
      </c>
      <c r="C16" s="82" t="str">
        <f>C15</f>
        <v>6L</v>
      </c>
      <c r="D16" s="81" t="str">
        <f>D15</f>
        <v>3L</v>
      </c>
      <c r="E16" s="80" t="str">
        <f>IF(ISBLANK(C16),"#",Currency&amp;$C16&amp;$D16&amp;$B16&amp;QuoteSuffix)</f>
        <v>USD6L3L10Y_Quote</v>
      </c>
      <c r="F16" s="80" t="str">
        <f>_xll.qlSimpleQuote(E16,,RateTickValue,Permanent,Trigger,ObjectOverwrite)</f>
        <v>USD6L3L10Y_Quote#0031</v>
      </c>
      <c r="G16" s="79" t="str">
        <f>_xll.ohRangeRetrieveError(F16)</f>
        <v/>
      </c>
      <c r="H16" s="78"/>
    </row>
    <row r="17" spans="1:8" x14ac:dyDescent="0.2">
      <c r="A17" s="84"/>
      <c r="B17" s="83" t="s">
        <v>99</v>
      </c>
      <c r="C17" s="82" t="str">
        <f>C16</f>
        <v>6L</v>
      </c>
      <c r="D17" s="81" t="str">
        <f>D16</f>
        <v>3L</v>
      </c>
      <c r="E17" s="80" t="str">
        <f>IF(ISBLANK(C17),"#",Currency&amp;$C17&amp;$D17&amp;$B17&amp;QuoteSuffix)</f>
        <v>USD6L3L11Y_Quote</v>
      </c>
      <c r="F17" s="80" t="str">
        <f>_xll.qlSimpleQuote(E17,,RateTickValue,Permanent,Trigger,ObjectOverwrite)</f>
        <v>USD6L3L11Y_Quote#0031</v>
      </c>
      <c r="G17" s="79" t="str">
        <f>_xll.ohRangeRetrieveError(F17)</f>
        <v/>
      </c>
      <c r="H17" s="78"/>
    </row>
    <row r="18" spans="1:8" x14ac:dyDescent="0.2">
      <c r="A18" s="84"/>
      <c r="B18" s="83" t="s">
        <v>98</v>
      </c>
      <c r="C18" s="82" t="str">
        <f>C17</f>
        <v>6L</v>
      </c>
      <c r="D18" s="81" t="str">
        <f>D17</f>
        <v>3L</v>
      </c>
      <c r="E18" s="80" t="str">
        <f>IF(ISBLANK(C18),"#",Currency&amp;$C18&amp;$D18&amp;$B18&amp;QuoteSuffix)</f>
        <v>USD6L3L12Y_Quote</v>
      </c>
      <c r="F18" s="80" t="str">
        <f>_xll.qlSimpleQuote(E18,,RateTickValue,Permanent,Trigger,ObjectOverwrite)</f>
        <v>USD6L3L12Y_Quote#0031</v>
      </c>
      <c r="G18" s="79" t="str">
        <f>_xll.ohRangeRetrieveError(F18)</f>
        <v/>
      </c>
      <c r="H18" s="78"/>
    </row>
    <row r="19" spans="1:8" x14ac:dyDescent="0.2">
      <c r="A19" s="84"/>
      <c r="B19" s="83" t="s">
        <v>97</v>
      </c>
      <c r="C19" s="82" t="str">
        <f>C18</f>
        <v>6L</v>
      </c>
      <c r="D19" s="81" t="str">
        <f>D18</f>
        <v>3L</v>
      </c>
      <c r="E19" s="80" t="str">
        <f>IF(ISBLANK(C19),"#",Currency&amp;$C19&amp;$D19&amp;$B19&amp;QuoteSuffix)</f>
        <v>USD6L3L13Y_Quote</v>
      </c>
      <c r="F19" s="80" t="str">
        <f>_xll.qlSimpleQuote(E19,,RateTickValue,Permanent,Trigger,ObjectOverwrite)</f>
        <v>USD6L3L13Y_Quote#0031</v>
      </c>
      <c r="G19" s="79" t="str">
        <f>_xll.ohRangeRetrieveError(F19)</f>
        <v/>
      </c>
      <c r="H19" s="78"/>
    </row>
    <row r="20" spans="1:8" x14ac:dyDescent="0.2">
      <c r="A20" s="84"/>
      <c r="B20" s="83" t="s">
        <v>96</v>
      </c>
      <c r="C20" s="82" t="str">
        <f>C19</f>
        <v>6L</v>
      </c>
      <c r="D20" s="81" t="str">
        <f>D19</f>
        <v>3L</v>
      </c>
      <c r="E20" s="80" t="str">
        <f>IF(ISBLANK(C20),"#",Currency&amp;$C20&amp;$D20&amp;$B20&amp;QuoteSuffix)</f>
        <v>USD6L3L14Y_Quote</v>
      </c>
      <c r="F20" s="80" t="str">
        <f>_xll.qlSimpleQuote(E20,,RateTickValue,Permanent,Trigger,ObjectOverwrite)</f>
        <v>USD6L3L14Y_Quote#0031</v>
      </c>
      <c r="G20" s="79" t="str">
        <f>_xll.ohRangeRetrieveError(F20)</f>
        <v/>
      </c>
      <c r="H20" s="78"/>
    </row>
    <row r="21" spans="1:8" x14ac:dyDescent="0.2">
      <c r="A21" s="84"/>
      <c r="B21" s="83" t="s">
        <v>95</v>
      </c>
      <c r="C21" s="82" t="str">
        <f>C20</f>
        <v>6L</v>
      </c>
      <c r="D21" s="81" t="str">
        <f>D20</f>
        <v>3L</v>
      </c>
      <c r="E21" s="80" t="str">
        <f>IF(ISBLANK(C21),"#",Currency&amp;$C21&amp;$D21&amp;$B21&amp;QuoteSuffix)</f>
        <v>USD6L3L15Y_Quote</v>
      </c>
      <c r="F21" s="80" t="str">
        <f>_xll.qlSimpleQuote(E21,,RateTickValue,Permanent,Trigger,ObjectOverwrite)</f>
        <v>USD6L3L15Y_Quote#0031</v>
      </c>
      <c r="G21" s="79" t="str">
        <f>_xll.ohRangeRetrieveError(F21)</f>
        <v/>
      </c>
      <c r="H21" s="78"/>
    </row>
    <row r="22" spans="1:8" x14ac:dyDescent="0.2">
      <c r="A22" s="84"/>
      <c r="B22" s="83" t="s">
        <v>94</v>
      </c>
      <c r="C22" s="82" t="str">
        <f>C21</f>
        <v>6L</v>
      </c>
      <c r="D22" s="81" t="str">
        <f>D21</f>
        <v>3L</v>
      </c>
      <c r="E22" s="80" t="str">
        <f>IF(ISBLANK(C22),"#",Currency&amp;$C22&amp;$D22&amp;$B22&amp;QuoteSuffix)</f>
        <v>USD6L3L16Y_Quote</v>
      </c>
      <c r="F22" s="80" t="str">
        <f>_xll.qlSimpleQuote(E22,,RateTickValue,Permanent,Trigger,ObjectOverwrite)</f>
        <v>USD6L3L16Y_Quote#0031</v>
      </c>
      <c r="G22" s="79" t="str">
        <f>_xll.ohRangeRetrieveError(F22)</f>
        <v/>
      </c>
      <c r="H22" s="78"/>
    </row>
    <row r="23" spans="1:8" x14ac:dyDescent="0.2">
      <c r="A23" s="84"/>
      <c r="B23" s="83" t="s">
        <v>93</v>
      </c>
      <c r="C23" s="82" t="str">
        <f>C22</f>
        <v>6L</v>
      </c>
      <c r="D23" s="81" t="str">
        <f>D22</f>
        <v>3L</v>
      </c>
      <c r="E23" s="80" t="str">
        <f>IF(ISBLANK(C23),"#",Currency&amp;$C23&amp;$D23&amp;$B23&amp;QuoteSuffix)</f>
        <v>USD6L3L17Y_Quote</v>
      </c>
      <c r="F23" s="80" t="str">
        <f>_xll.qlSimpleQuote(E23,,RateTickValue,Permanent,Trigger,ObjectOverwrite)</f>
        <v>USD6L3L17Y_Quote#0031</v>
      </c>
      <c r="G23" s="79" t="str">
        <f>_xll.ohRangeRetrieveError(F23)</f>
        <v/>
      </c>
      <c r="H23" s="78"/>
    </row>
    <row r="24" spans="1:8" x14ac:dyDescent="0.2">
      <c r="A24" s="84"/>
      <c r="B24" s="83" t="s">
        <v>92</v>
      </c>
      <c r="C24" s="82" t="str">
        <f>C23</f>
        <v>6L</v>
      </c>
      <c r="D24" s="81" t="str">
        <f>D23</f>
        <v>3L</v>
      </c>
      <c r="E24" s="80" t="str">
        <f>IF(ISBLANK(C24),"#",Currency&amp;$C24&amp;$D24&amp;$B24&amp;QuoteSuffix)</f>
        <v>USD6L3L18Y_Quote</v>
      </c>
      <c r="F24" s="80" t="str">
        <f>_xll.qlSimpleQuote(E24,,RateTickValue,Permanent,Trigger,ObjectOverwrite)</f>
        <v>USD6L3L18Y_Quote#0031</v>
      </c>
      <c r="G24" s="79" t="str">
        <f>_xll.ohRangeRetrieveError(F24)</f>
        <v/>
      </c>
      <c r="H24" s="78"/>
    </row>
    <row r="25" spans="1:8" x14ac:dyDescent="0.2">
      <c r="A25" s="84"/>
      <c r="B25" s="83" t="s">
        <v>91</v>
      </c>
      <c r="C25" s="82" t="str">
        <f>C24</f>
        <v>6L</v>
      </c>
      <c r="D25" s="81" t="str">
        <f>D24</f>
        <v>3L</v>
      </c>
      <c r="E25" s="80" t="str">
        <f>IF(ISBLANK(C25),"#",Currency&amp;$C25&amp;$D25&amp;$B25&amp;QuoteSuffix)</f>
        <v>USD6L3L19Y_Quote</v>
      </c>
      <c r="F25" s="80" t="str">
        <f>_xll.qlSimpleQuote(E25,,RateTickValue,Permanent,Trigger,ObjectOverwrite)</f>
        <v>USD6L3L19Y_Quote#0031</v>
      </c>
      <c r="G25" s="79" t="str">
        <f>_xll.ohRangeRetrieveError(F25)</f>
        <v/>
      </c>
      <c r="H25" s="78"/>
    </row>
    <row r="26" spans="1:8" x14ac:dyDescent="0.2">
      <c r="A26" s="84"/>
      <c r="B26" s="83" t="s">
        <v>90</v>
      </c>
      <c r="C26" s="82" t="str">
        <f>C25</f>
        <v>6L</v>
      </c>
      <c r="D26" s="81" t="str">
        <f>D25</f>
        <v>3L</v>
      </c>
      <c r="E26" s="80" t="str">
        <f>IF(ISBLANK(C26),"#",Currency&amp;$C26&amp;$D26&amp;$B26&amp;QuoteSuffix)</f>
        <v>USD6L3L20Y_Quote</v>
      </c>
      <c r="F26" s="80" t="str">
        <f>_xll.qlSimpleQuote(E26,,RateTickValue,Permanent,Trigger,ObjectOverwrite)</f>
        <v>USD6L3L20Y_Quote#0031</v>
      </c>
      <c r="G26" s="79" t="str">
        <f>_xll.ohRangeRetrieveError(F26)</f>
        <v/>
      </c>
      <c r="H26" s="78"/>
    </row>
    <row r="27" spans="1:8" x14ac:dyDescent="0.2">
      <c r="A27" s="84"/>
      <c r="B27" s="83" t="s">
        <v>89</v>
      </c>
      <c r="C27" s="82" t="str">
        <f>C26</f>
        <v>6L</v>
      </c>
      <c r="D27" s="81" t="str">
        <f>D26</f>
        <v>3L</v>
      </c>
      <c r="E27" s="80" t="str">
        <f>IF(ISBLANK(C27),"#",Currency&amp;$C27&amp;$D27&amp;$B27&amp;QuoteSuffix)</f>
        <v>USD6L3L21Y_Quote</v>
      </c>
      <c r="F27" s="80" t="str">
        <f>_xll.qlSimpleQuote(E27,,RateTickValue,Permanent,Trigger,ObjectOverwrite)</f>
        <v>USD6L3L21Y_Quote#0031</v>
      </c>
      <c r="G27" s="79" t="str">
        <f>_xll.ohRangeRetrieveError(F27)</f>
        <v/>
      </c>
      <c r="H27" s="78"/>
    </row>
    <row r="28" spans="1:8" x14ac:dyDescent="0.2">
      <c r="A28" s="84"/>
      <c r="B28" s="83" t="s">
        <v>88</v>
      </c>
      <c r="C28" s="82" t="str">
        <f>C27</f>
        <v>6L</v>
      </c>
      <c r="D28" s="81" t="str">
        <f>D27</f>
        <v>3L</v>
      </c>
      <c r="E28" s="80" t="str">
        <f>IF(ISBLANK(C28),"#",Currency&amp;$C28&amp;$D28&amp;$B28&amp;QuoteSuffix)</f>
        <v>USD6L3L22Y_Quote</v>
      </c>
      <c r="F28" s="80" t="str">
        <f>_xll.qlSimpleQuote(E28,,RateTickValue,Permanent,Trigger,ObjectOverwrite)</f>
        <v>USD6L3L22Y_Quote#0031</v>
      </c>
      <c r="G28" s="79" t="str">
        <f>_xll.ohRangeRetrieveError(F28)</f>
        <v/>
      </c>
      <c r="H28" s="78"/>
    </row>
    <row r="29" spans="1:8" x14ac:dyDescent="0.2">
      <c r="A29" s="84"/>
      <c r="B29" s="83" t="s">
        <v>87</v>
      </c>
      <c r="C29" s="82" t="str">
        <f>C28</f>
        <v>6L</v>
      </c>
      <c r="D29" s="81" t="str">
        <f>D28</f>
        <v>3L</v>
      </c>
      <c r="E29" s="80" t="str">
        <f>IF(ISBLANK(C29),"#",Currency&amp;$C29&amp;$D29&amp;$B29&amp;QuoteSuffix)</f>
        <v>USD6L3L23Y_Quote</v>
      </c>
      <c r="F29" s="80" t="str">
        <f>_xll.qlSimpleQuote(E29,,RateTickValue,Permanent,Trigger,ObjectOverwrite)</f>
        <v>USD6L3L23Y_Quote#0031</v>
      </c>
      <c r="G29" s="79" t="str">
        <f>_xll.ohRangeRetrieveError(F29)</f>
        <v/>
      </c>
      <c r="H29" s="78"/>
    </row>
    <row r="30" spans="1:8" x14ac:dyDescent="0.2">
      <c r="A30" s="84"/>
      <c r="B30" s="83" t="s">
        <v>86</v>
      </c>
      <c r="C30" s="82" t="str">
        <f>C29</f>
        <v>6L</v>
      </c>
      <c r="D30" s="81" t="str">
        <f>D29</f>
        <v>3L</v>
      </c>
      <c r="E30" s="80" t="str">
        <f>IF(ISBLANK(C30),"#",Currency&amp;$C30&amp;$D30&amp;$B30&amp;QuoteSuffix)</f>
        <v>USD6L3L24Y_Quote</v>
      </c>
      <c r="F30" s="80" t="str">
        <f>_xll.qlSimpleQuote(E30,,RateTickValue,Permanent,Trigger,ObjectOverwrite)</f>
        <v>USD6L3L24Y_Quote#0031</v>
      </c>
      <c r="G30" s="79" t="str">
        <f>_xll.ohRangeRetrieveError(F30)</f>
        <v/>
      </c>
      <c r="H30" s="78"/>
    </row>
    <row r="31" spans="1:8" x14ac:dyDescent="0.2">
      <c r="A31" s="84"/>
      <c r="B31" s="83" t="s">
        <v>85</v>
      </c>
      <c r="C31" s="82" t="str">
        <f>C30</f>
        <v>6L</v>
      </c>
      <c r="D31" s="81" t="str">
        <f>D30</f>
        <v>3L</v>
      </c>
      <c r="E31" s="80" t="str">
        <f>IF(ISBLANK(C31),"#",Currency&amp;$C31&amp;$D31&amp;$B31&amp;QuoteSuffix)</f>
        <v>USD6L3L25Y_Quote</v>
      </c>
      <c r="F31" s="80" t="str">
        <f>_xll.qlSimpleQuote(E31,,RateTickValue,Permanent,Trigger,ObjectOverwrite)</f>
        <v>USD6L3L25Y_Quote#0031</v>
      </c>
      <c r="G31" s="79" t="str">
        <f>_xll.ohRangeRetrieveError(F31)</f>
        <v/>
      </c>
      <c r="H31" s="78"/>
    </row>
    <row r="32" spans="1:8" x14ac:dyDescent="0.2">
      <c r="A32" s="84"/>
      <c r="B32" s="83" t="s">
        <v>84</v>
      </c>
      <c r="C32" s="82" t="str">
        <f>C31</f>
        <v>6L</v>
      </c>
      <c r="D32" s="81" t="str">
        <f>D31</f>
        <v>3L</v>
      </c>
      <c r="E32" s="80" t="str">
        <f>IF(ISBLANK(C32),"#",Currency&amp;$C32&amp;$D32&amp;$B32&amp;QuoteSuffix)</f>
        <v>USD6L3L26Y_Quote</v>
      </c>
      <c r="F32" s="80" t="str">
        <f>_xll.qlSimpleQuote(E32,,RateTickValue,Permanent,Trigger,ObjectOverwrite)</f>
        <v>USD6L3L26Y_Quote#0031</v>
      </c>
      <c r="G32" s="79" t="str">
        <f>_xll.ohRangeRetrieveError(F32)</f>
        <v/>
      </c>
      <c r="H32" s="78"/>
    </row>
    <row r="33" spans="1:8" x14ac:dyDescent="0.2">
      <c r="A33" s="84"/>
      <c r="B33" s="83" t="s">
        <v>83</v>
      </c>
      <c r="C33" s="82" t="str">
        <f>C32</f>
        <v>6L</v>
      </c>
      <c r="D33" s="81" t="str">
        <f>D32</f>
        <v>3L</v>
      </c>
      <c r="E33" s="80" t="str">
        <f>IF(ISBLANK(C33),"#",Currency&amp;$C33&amp;$D33&amp;$B33&amp;QuoteSuffix)</f>
        <v>USD6L3L27Y_Quote</v>
      </c>
      <c r="F33" s="80" t="str">
        <f>_xll.qlSimpleQuote(E33,,RateTickValue,Permanent,Trigger,ObjectOverwrite)</f>
        <v>USD6L3L27Y_Quote#0031</v>
      </c>
      <c r="G33" s="79" t="str">
        <f>_xll.ohRangeRetrieveError(F33)</f>
        <v/>
      </c>
      <c r="H33" s="78"/>
    </row>
    <row r="34" spans="1:8" x14ac:dyDescent="0.2">
      <c r="A34" s="84"/>
      <c r="B34" s="83" t="s">
        <v>82</v>
      </c>
      <c r="C34" s="82" t="str">
        <f>C33</f>
        <v>6L</v>
      </c>
      <c r="D34" s="81" t="str">
        <f>D33</f>
        <v>3L</v>
      </c>
      <c r="E34" s="80" t="str">
        <f>IF(ISBLANK(C34),"#",Currency&amp;$C34&amp;$D34&amp;$B34&amp;QuoteSuffix)</f>
        <v>USD6L3L28Y_Quote</v>
      </c>
      <c r="F34" s="80" t="str">
        <f>_xll.qlSimpleQuote(E34,,RateTickValue,Permanent,Trigger,ObjectOverwrite)</f>
        <v>USD6L3L28Y_Quote#0031</v>
      </c>
      <c r="G34" s="79" t="str">
        <f>_xll.ohRangeRetrieveError(F34)</f>
        <v/>
      </c>
      <c r="H34" s="78"/>
    </row>
    <row r="35" spans="1:8" x14ac:dyDescent="0.2">
      <c r="A35" s="84"/>
      <c r="B35" s="83" t="s">
        <v>81</v>
      </c>
      <c r="C35" s="82" t="str">
        <f>C34</f>
        <v>6L</v>
      </c>
      <c r="D35" s="81" t="str">
        <f>D34</f>
        <v>3L</v>
      </c>
      <c r="E35" s="80" t="str">
        <f>IF(ISBLANK(C35),"#",Currency&amp;$C35&amp;$D35&amp;$B35&amp;QuoteSuffix)</f>
        <v>USD6L3L29Y_Quote</v>
      </c>
      <c r="F35" s="80" t="str">
        <f>_xll.qlSimpleQuote(E35,,RateTickValue,Permanent,Trigger,ObjectOverwrite)</f>
        <v>USD6L3L29Y_Quote#0031</v>
      </c>
      <c r="G35" s="79" t="str">
        <f>_xll.ohRangeRetrieveError(F35)</f>
        <v/>
      </c>
      <c r="H35" s="78"/>
    </row>
    <row r="36" spans="1:8" x14ac:dyDescent="0.2">
      <c r="A36" s="84"/>
      <c r="B36" s="83" t="s">
        <v>80</v>
      </c>
      <c r="C36" s="82" t="str">
        <f>C35</f>
        <v>6L</v>
      </c>
      <c r="D36" s="81" t="str">
        <f>D35</f>
        <v>3L</v>
      </c>
      <c r="E36" s="80" t="str">
        <f>IF(ISBLANK(C36),"#",Currency&amp;$C36&amp;$D36&amp;$B36&amp;QuoteSuffix)</f>
        <v>USD6L3L30Y_Quote</v>
      </c>
      <c r="F36" s="80" t="str">
        <f>_xll.qlSimpleQuote(E36,,RateTickValue,Permanent,Trigger,ObjectOverwrite)</f>
        <v>USD6L3L30Y_Quote#0031</v>
      </c>
      <c r="G36" s="79" t="str">
        <f>_xll.ohRangeRetrieveError(F36)</f>
        <v/>
      </c>
      <c r="H36" s="78"/>
    </row>
    <row r="37" spans="1:8" x14ac:dyDescent="0.2">
      <c r="A37" s="84"/>
      <c r="B37" s="83" t="s">
        <v>75</v>
      </c>
      <c r="C37" s="82" t="str">
        <f>C36</f>
        <v>6L</v>
      </c>
      <c r="D37" s="81" t="str">
        <f>D36</f>
        <v>3L</v>
      </c>
      <c r="E37" s="80" t="str">
        <f>IF(ISBLANK(C37),"#",Currency&amp;$C37&amp;$D37&amp;$B37&amp;QuoteSuffix)</f>
        <v>USD6L3L35Y_Quote</v>
      </c>
      <c r="F37" s="80" t="str">
        <f>_xll.qlSimpleQuote(E37,,RateTickValue,Permanent,Trigger,ObjectOverwrite)</f>
        <v>USD6L3L35Y_Quote#0031</v>
      </c>
      <c r="G37" s="79" t="str">
        <f>_xll.ohRangeRetrieveError(F37)</f>
        <v/>
      </c>
      <c r="H37" s="78"/>
    </row>
    <row r="38" spans="1:8" x14ac:dyDescent="0.2">
      <c r="A38" s="84"/>
      <c r="B38" s="83" t="s">
        <v>70</v>
      </c>
      <c r="C38" s="82" t="str">
        <f>C37</f>
        <v>6L</v>
      </c>
      <c r="D38" s="81" t="str">
        <f>D37</f>
        <v>3L</v>
      </c>
      <c r="E38" s="80" t="str">
        <f>IF(ISBLANK(C38),"#",Currency&amp;$C38&amp;$D38&amp;$B38&amp;QuoteSuffix)</f>
        <v>USD6L3L40Y_Quote</v>
      </c>
      <c r="F38" s="80" t="str">
        <f>_xll.qlSimpleQuote(E38,,RateTickValue,Permanent,Trigger,ObjectOverwrite)</f>
        <v>USD6L3L40Y_Quote#0031</v>
      </c>
      <c r="G38" s="79" t="str">
        <f>_xll.ohRangeRetrieveError(F38)</f>
        <v/>
      </c>
      <c r="H38" s="78"/>
    </row>
    <row r="39" spans="1:8" x14ac:dyDescent="0.2">
      <c r="A39" s="84"/>
      <c r="B39" s="83" t="s">
        <v>60</v>
      </c>
      <c r="C39" s="82" t="str">
        <f>C38</f>
        <v>6L</v>
      </c>
      <c r="D39" s="81" t="str">
        <f>D38</f>
        <v>3L</v>
      </c>
      <c r="E39" s="80" t="str">
        <f>IF(ISBLANK(C39),"#",Currency&amp;$C39&amp;$D39&amp;$B39&amp;QuoteSuffix)</f>
        <v>USD6L3L50Y_Quote</v>
      </c>
      <c r="F39" s="80" t="str">
        <f>_xll.qlSimpleQuote(E39,,RateTickValue,Permanent,Trigger,ObjectOverwrite)</f>
        <v>USD6L3L50Y_Quote#0031</v>
      </c>
      <c r="G39" s="79" t="str">
        <f>_xll.ohRangeRetrieveError(F39)</f>
        <v/>
      </c>
      <c r="H39" s="78"/>
    </row>
    <row r="40" spans="1:8" x14ac:dyDescent="0.2">
      <c r="A40" s="84"/>
      <c r="B40" s="83" t="s">
        <v>50</v>
      </c>
      <c r="C40" s="82" t="str">
        <f>C39</f>
        <v>6L</v>
      </c>
      <c r="D40" s="81" t="str">
        <f>D39</f>
        <v>3L</v>
      </c>
      <c r="E40" s="80" t="str">
        <f>IF(ISBLANK(C40),"#",Currency&amp;$C40&amp;$D40&amp;$B40&amp;QuoteSuffix)</f>
        <v>USD6L3L60Y_Quote</v>
      </c>
      <c r="F40" s="80" t="str">
        <f>_xll.qlSimpleQuote(E40,,RateTickValue,Permanent,Trigger,ObjectOverwrite)</f>
        <v>USD6L3L60Y_Quote#0031</v>
      </c>
      <c r="G40" s="79" t="str">
        <f>_xll.ohRangeRetrieveError(F40)</f>
        <v/>
      </c>
      <c r="H40" s="78"/>
    </row>
    <row r="41" spans="1:8" x14ac:dyDescent="0.2">
      <c r="A41" s="77"/>
      <c r="B41" s="76"/>
      <c r="C41" s="76"/>
      <c r="D41" s="76"/>
      <c r="E41" s="76"/>
      <c r="F41" s="75"/>
      <c r="G41" s="75"/>
      <c r="H41" s="74"/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/>
  </sheetViews>
  <sheetFormatPr defaultRowHeight="12.75" x14ac:dyDescent="0.2"/>
  <cols>
    <col min="1" max="1" width="4.14062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6384" width="9.140625" style="20"/>
  </cols>
  <sheetData>
    <row r="1" spans="1:12" x14ac:dyDescent="0.2">
      <c r="A1" s="110" t="s">
        <v>146</v>
      </c>
      <c r="B1" s="102"/>
      <c r="C1" s="102"/>
      <c r="D1" s="102"/>
      <c r="E1" s="103"/>
      <c r="F1" s="104"/>
      <c r="G1" s="103"/>
      <c r="H1" s="99"/>
    </row>
    <row r="2" spans="1:12" x14ac:dyDescent="0.2">
      <c r="A2" s="84"/>
      <c r="B2" s="97" t="s">
        <v>136</v>
      </c>
      <c r="C2" s="98"/>
      <c r="D2" s="97"/>
      <c r="E2" s="96" t="str">
        <f>Currency&amp;"_010_Sw"&amp;$C$7&amp;$D$7&amp;".xml"</f>
        <v>USD_010_Sw12L3L.xml</v>
      </c>
      <c r="F2" s="95">
        <f ca="1">IF(Serialize,_xll.ohObjectSave(F3:F40,SerializationPath&amp;E2,FileOverwrite,Serialize),"---")</f>
        <v>38</v>
      </c>
      <c r="G2" s="79" t="str">
        <f ca="1">_xll.ohRangeRetrieveError(F2)</f>
        <v/>
      </c>
      <c r="H2" s="78"/>
    </row>
    <row r="3" spans="1:12" x14ac:dyDescent="0.2">
      <c r="A3" s="84"/>
      <c r="B3" s="94" t="s">
        <v>35</v>
      </c>
      <c r="C3" s="82" t="str">
        <f>VLOOKUP(Currency,$J$8:$L$12,2)</f>
        <v>12L</v>
      </c>
      <c r="D3" s="81" t="str">
        <f>VLOOKUP(Currency,$J$8:$L$12,3)</f>
        <v>3L</v>
      </c>
      <c r="E3" s="80" t="str">
        <f>IF(ISBLANK(C3),"#",Currency&amp;$C3&amp;$D3&amp;$B3&amp;QuoteSuffix)</f>
        <v>USD12L3L6M_Quote</v>
      </c>
      <c r="F3" s="80" t="str">
        <f>_xll.qlSimpleQuote(E3,,RateTickValue,Permanent,Trigger,ObjectOverwrite)</f>
        <v>USD12L3L6M_Quote#0030</v>
      </c>
      <c r="G3" s="79" t="str">
        <f>_xll.ohRangeRetrieveError(F3)</f>
        <v/>
      </c>
      <c r="H3" s="78"/>
    </row>
    <row r="4" spans="1:12" x14ac:dyDescent="0.2">
      <c r="A4" s="84"/>
      <c r="B4" s="94" t="s">
        <v>29</v>
      </c>
      <c r="C4" s="82" t="str">
        <f>C3</f>
        <v>12L</v>
      </c>
      <c r="D4" s="81" t="str">
        <f>D3</f>
        <v>3L</v>
      </c>
      <c r="E4" s="80" t="str">
        <f>IF(ISBLANK(C4),"#",Currency&amp;$C4&amp;$D4&amp;$B4&amp;QuoteSuffix)</f>
        <v>USD12L3L1Y_Quote</v>
      </c>
      <c r="F4" s="80" t="str">
        <f>_xll.qlSimpleQuote(E4,,RateTickValue,Permanent,Trigger,ObjectOverwrite)</f>
        <v>USD12L3L1Y_Quote#0030</v>
      </c>
      <c r="G4" s="79" t="str">
        <f>_xll.ohRangeRetrieveError(F4)</f>
        <v/>
      </c>
      <c r="H4" s="78"/>
    </row>
    <row r="5" spans="1:12" x14ac:dyDescent="0.2">
      <c r="A5" s="84"/>
      <c r="B5" s="94" t="s">
        <v>135</v>
      </c>
      <c r="C5" s="82" t="str">
        <f>C4</f>
        <v>12L</v>
      </c>
      <c r="D5" s="81" t="str">
        <f>D4</f>
        <v>3L</v>
      </c>
      <c r="E5" s="80" t="str">
        <f>IF(ISBLANK(C5),"#",Currency&amp;$C5&amp;$D5&amp;$B5&amp;QuoteSuffix)</f>
        <v>USD12L3L15M_Quote</v>
      </c>
      <c r="F5" s="80" t="str">
        <f>_xll.qlSimpleQuote(E5,,RateTickValue,Permanent,Trigger,ObjectOverwrite)</f>
        <v>USD12L3L15M_Quote#0030</v>
      </c>
      <c r="G5" s="79" t="str">
        <f>_xll.ohRangeRetrieveError(F5)</f>
        <v/>
      </c>
      <c r="H5" s="78"/>
    </row>
    <row r="6" spans="1:12" x14ac:dyDescent="0.2">
      <c r="A6" s="84"/>
      <c r="B6" s="94" t="s">
        <v>134</v>
      </c>
      <c r="C6" s="82" t="str">
        <f>C5</f>
        <v>12L</v>
      </c>
      <c r="D6" s="81" t="str">
        <f>D5</f>
        <v>3L</v>
      </c>
      <c r="E6" s="80" t="str">
        <f>IF(ISBLANK(C6),"#",Currency&amp;$C6&amp;$D6&amp;$B6&amp;QuoteSuffix)</f>
        <v>USD12L3L18M_Quote</v>
      </c>
      <c r="F6" s="80" t="str">
        <f>_xll.qlSimpleQuote(E6,,RateTickValue,Permanent,Trigger,ObjectOverwrite)</f>
        <v>USD12L3L18M_Quote#0030</v>
      </c>
      <c r="G6" s="79" t="str">
        <f>_xll.ohRangeRetrieveError(F6)</f>
        <v/>
      </c>
      <c r="H6" s="78"/>
    </row>
    <row r="7" spans="1:12" ht="13.5" thickBot="1" x14ac:dyDescent="0.25">
      <c r="A7" s="84"/>
      <c r="B7" s="94" t="s">
        <v>133</v>
      </c>
      <c r="C7" s="82" t="str">
        <f>C6</f>
        <v>12L</v>
      </c>
      <c r="D7" s="81" t="str">
        <f>D6</f>
        <v>3L</v>
      </c>
      <c r="E7" s="80" t="str">
        <f>IF(ISBLANK(C7),"#",Currency&amp;$C7&amp;$D7&amp;$B7&amp;QuoteSuffix)</f>
        <v>USD12L3L21M_Quote</v>
      </c>
      <c r="F7" s="80" t="str">
        <f>_xll.qlSimpleQuote(E7,,RateTickValue,Permanent,Trigger,ObjectOverwrite)</f>
        <v>USD12L3L21M_Quote#0030</v>
      </c>
      <c r="G7" s="79" t="str">
        <f>_xll.ohRangeRetrieveError(F7)</f>
        <v/>
      </c>
      <c r="H7" s="78"/>
    </row>
    <row r="8" spans="1:12" x14ac:dyDescent="0.2">
      <c r="A8" s="84"/>
      <c r="B8" s="83" t="s">
        <v>108</v>
      </c>
      <c r="C8" s="82" t="str">
        <f>C7</f>
        <v>12L</v>
      </c>
      <c r="D8" s="81" t="str">
        <f>D7</f>
        <v>3L</v>
      </c>
      <c r="E8" s="80" t="str">
        <f>IF(ISBLANK(C8),"#",Currency&amp;$C8&amp;$D8&amp;$B8&amp;QuoteSuffix)</f>
        <v>USD12L3L2Y_Quote</v>
      </c>
      <c r="F8" s="80" t="str">
        <f>_xll.qlSimpleQuote(E8,,RateTickValue,Permanent,Trigger,ObjectOverwrite)</f>
        <v>USD12L3L2Y_Quote#0030</v>
      </c>
      <c r="G8" s="79" t="str">
        <f>_xll.ohRangeRetrieveError(F8)</f>
        <v/>
      </c>
      <c r="H8" s="78"/>
      <c r="J8" s="93" t="s">
        <v>132</v>
      </c>
      <c r="K8" s="92" t="s">
        <v>126</v>
      </c>
      <c r="L8" s="91" t="s">
        <v>138</v>
      </c>
    </row>
    <row r="9" spans="1:12" x14ac:dyDescent="0.2">
      <c r="A9" s="84"/>
      <c r="B9" s="83" t="s">
        <v>107</v>
      </c>
      <c r="C9" s="82" t="str">
        <f>C8</f>
        <v>12L</v>
      </c>
      <c r="D9" s="81" t="str">
        <f>D8</f>
        <v>3L</v>
      </c>
      <c r="E9" s="80" t="str">
        <f>IF(ISBLANK(C9),"#",Currency&amp;$C9&amp;$D9&amp;$B9&amp;QuoteSuffix)</f>
        <v>USD12L3L3Y_Quote</v>
      </c>
      <c r="F9" s="80" t="str">
        <f>_xll.qlSimpleQuote(E9,,RateTickValue,Permanent,Trigger,ObjectOverwrite)</f>
        <v>USD12L3L3Y_Quote#0030</v>
      </c>
      <c r="G9" s="79" t="str">
        <f>_xll.ohRangeRetrieveError(F9)</f>
        <v/>
      </c>
      <c r="H9" s="78"/>
      <c r="J9" s="90" t="s">
        <v>131</v>
      </c>
      <c r="K9" s="89" t="s">
        <v>129</v>
      </c>
      <c r="L9" s="88" t="s">
        <v>139</v>
      </c>
    </row>
    <row r="10" spans="1:12" x14ac:dyDescent="0.2">
      <c r="A10" s="84"/>
      <c r="B10" s="83" t="s">
        <v>106</v>
      </c>
      <c r="C10" s="82" t="str">
        <f>C9</f>
        <v>12L</v>
      </c>
      <c r="D10" s="81" t="str">
        <f>D9</f>
        <v>3L</v>
      </c>
      <c r="E10" s="80" t="str">
        <f>IF(ISBLANK(C10),"#",Currency&amp;$C10&amp;$D10&amp;$B10&amp;QuoteSuffix)</f>
        <v>USD12L3L4Y_Quote</v>
      </c>
      <c r="F10" s="80" t="str">
        <f>_xll.qlSimpleQuote(E10,,RateTickValue,Permanent,Trigger,ObjectOverwrite)</f>
        <v>USD12L3L4Y_Quote#0030</v>
      </c>
      <c r="G10" s="79" t="str">
        <f>_xll.ohRangeRetrieveError(F10)</f>
        <v/>
      </c>
      <c r="H10" s="78"/>
      <c r="J10" s="90" t="s">
        <v>128</v>
      </c>
      <c r="K10" s="89" t="s">
        <v>126</v>
      </c>
      <c r="L10" s="88" t="s">
        <v>138</v>
      </c>
    </row>
    <row r="11" spans="1:12" x14ac:dyDescent="0.2">
      <c r="A11" s="84"/>
      <c r="B11" s="83" t="s">
        <v>105</v>
      </c>
      <c r="C11" s="82" t="str">
        <f>C10</f>
        <v>12L</v>
      </c>
      <c r="D11" s="81" t="str">
        <f>D10</f>
        <v>3L</v>
      </c>
      <c r="E11" s="80" t="str">
        <f>IF(ISBLANK(C11),"#",Currency&amp;$C11&amp;$D11&amp;$B11&amp;QuoteSuffix)</f>
        <v>USD12L3L5Y_Quote</v>
      </c>
      <c r="F11" s="80" t="str">
        <f>_xll.qlSimpleQuote(E11,,RateTickValue,Permanent,Trigger,ObjectOverwrite)</f>
        <v>USD12L3L5Y_Quote#0030</v>
      </c>
      <c r="G11" s="79" t="str">
        <f>_xll.ohRangeRetrieveError(F11)</f>
        <v/>
      </c>
      <c r="H11" s="78"/>
      <c r="J11" s="90" t="s">
        <v>127</v>
      </c>
      <c r="K11" s="89" t="s">
        <v>126</v>
      </c>
      <c r="L11" s="88" t="s">
        <v>138</v>
      </c>
    </row>
    <row r="12" spans="1:12" ht="13.5" thickBot="1" x14ac:dyDescent="0.25">
      <c r="A12" s="84"/>
      <c r="B12" s="83" t="s">
        <v>104</v>
      </c>
      <c r="C12" s="82" t="str">
        <f>C11</f>
        <v>12L</v>
      </c>
      <c r="D12" s="81" t="str">
        <f>D11</f>
        <v>3L</v>
      </c>
      <c r="E12" s="80" t="str">
        <f>IF(ISBLANK(C12),"#",Currency&amp;$C12&amp;$D12&amp;$B12&amp;QuoteSuffix)</f>
        <v>USD12L3L6Y_Quote</v>
      </c>
      <c r="F12" s="80" t="str">
        <f>_xll.qlSimpleQuote(E12,,RateTickValue,Permanent,Trigger,ObjectOverwrite)</f>
        <v>USD12L3L6Y_Quote#0030</v>
      </c>
      <c r="G12" s="79" t="str">
        <f>_xll.ohRangeRetrieveError(F12)</f>
        <v/>
      </c>
      <c r="H12" s="78"/>
      <c r="J12" s="87" t="s">
        <v>122</v>
      </c>
      <c r="K12" s="86" t="s">
        <v>138</v>
      </c>
      <c r="L12" s="85" t="s">
        <v>125</v>
      </c>
    </row>
    <row r="13" spans="1:12" x14ac:dyDescent="0.2">
      <c r="A13" s="84"/>
      <c r="B13" s="83" t="s">
        <v>103</v>
      </c>
      <c r="C13" s="82" t="str">
        <f>C12</f>
        <v>12L</v>
      </c>
      <c r="D13" s="81" t="str">
        <f>D12</f>
        <v>3L</v>
      </c>
      <c r="E13" s="80" t="str">
        <f>IF(ISBLANK(C13),"#",Currency&amp;$C13&amp;$D13&amp;$B13&amp;QuoteSuffix)</f>
        <v>USD12L3L7Y_Quote</v>
      </c>
      <c r="F13" s="80" t="str">
        <f>_xll.qlSimpleQuote(E13,,RateTickValue,Permanent,Trigger,ObjectOverwrite)</f>
        <v>USD12L3L7Y_Quote#0030</v>
      </c>
      <c r="G13" s="79" t="str">
        <f>_xll.ohRangeRetrieveError(F13)</f>
        <v/>
      </c>
      <c r="H13" s="78"/>
    </row>
    <row r="14" spans="1:12" x14ac:dyDescent="0.2">
      <c r="A14" s="84"/>
      <c r="B14" s="83" t="s">
        <v>102</v>
      </c>
      <c r="C14" s="82" t="str">
        <f>C13</f>
        <v>12L</v>
      </c>
      <c r="D14" s="81" t="str">
        <f>D13</f>
        <v>3L</v>
      </c>
      <c r="E14" s="80" t="str">
        <f>IF(ISBLANK(C14),"#",Currency&amp;$C14&amp;$D14&amp;$B14&amp;QuoteSuffix)</f>
        <v>USD12L3L8Y_Quote</v>
      </c>
      <c r="F14" s="80" t="str">
        <f>_xll.qlSimpleQuote(E14,,RateTickValue,Permanent,Trigger,ObjectOverwrite)</f>
        <v>USD12L3L8Y_Quote#0030</v>
      </c>
      <c r="G14" s="79" t="str">
        <f>_xll.ohRangeRetrieveError(F14)</f>
        <v/>
      </c>
      <c r="H14" s="78"/>
    </row>
    <row r="15" spans="1:12" x14ac:dyDescent="0.2">
      <c r="A15" s="84"/>
      <c r="B15" s="83" t="s">
        <v>101</v>
      </c>
      <c r="C15" s="82" t="str">
        <f>C14</f>
        <v>12L</v>
      </c>
      <c r="D15" s="81" t="str">
        <f>D14</f>
        <v>3L</v>
      </c>
      <c r="E15" s="80" t="str">
        <f>IF(ISBLANK(C15),"#",Currency&amp;$C15&amp;$D15&amp;$B15&amp;QuoteSuffix)</f>
        <v>USD12L3L9Y_Quote</v>
      </c>
      <c r="F15" s="80" t="str">
        <f>_xll.qlSimpleQuote(E15,,RateTickValue,Permanent,Trigger,ObjectOverwrite)</f>
        <v>USD12L3L9Y_Quote#0030</v>
      </c>
      <c r="G15" s="79" t="str">
        <f>_xll.ohRangeRetrieveError(F15)</f>
        <v/>
      </c>
      <c r="H15" s="78"/>
    </row>
    <row r="16" spans="1:12" x14ac:dyDescent="0.2">
      <c r="A16" s="84"/>
      <c r="B16" s="83" t="s">
        <v>100</v>
      </c>
      <c r="C16" s="82" t="str">
        <f>C15</f>
        <v>12L</v>
      </c>
      <c r="D16" s="81" t="str">
        <f>D15</f>
        <v>3L</v>
      </c>
      <c r="E16" s="80" t="str">
        <f>IF(ISBLANK(C16),"#",Currency&amp;$C16&amp;$D16&amp;$B16&amp;QuoteSuffix)</f>
        <v>USD12L3L10Y_Quote</v>
      </c>
      <c r="F16" s="80" t="str">
        <f>_xll.qlSimpleQuote(E16,,RateTickValue,Permanent,Trigger,ObjectOverwrite)</f>
        <v>USD12L3L10Y_Quote#0030</v>
      </c>
      <c r="G16" s="79" t="str">
        <f>_xll.ohRangeRetrieveError(F16)</f>
        <v/>
      </c>
      <c r="H16" s="78"/>
    </row>
    <row r="17" spans="1:8" x14ac:dyDescent="0.2">
      <c r="A17" s="84"/>
      <c r="B17" s="83" t="s">
        <v>99</v>
      </c>
      <c r="C17" s="82" t="str">
        <f>C16</f>
        <v>12L</v>
      </c>
      <c r="D17" s="81" t="str">
        <f>D16</f>
        <v>3L</v>
      </c>
      <c r="E17" s="80" t="str">
        <f>IF(ISBLANK(C17),"#",Currency&amp;$C17&amp;$D17&amp;$B17&amp;QuoteSuffix)</f>
        <v>USD12L3L11Y_Quote</v>
      </c>
      <c r="F17" s="80" t="str">
        <f>_xll.qlSimpleQuote(E17,,RateTickValue,Permanent,Trigger,ObjectOverwrite)</f>
        <v>USD12L3L11Y_Quote#0030</v>
      </c>
      <c r="G17" s="79" t="str">
        <f>_xll.ohRangeRetrieveError(F17)</f>
        <v/>
      </c>
      <c r="H17" s="78"/>
    </row>
    <row r="18" spans="1:8" x14ac:dyDescent="0.2">
      <c r="A18" s="84"/>
      <c r="B18" s="83" t="s">
        <v>98</v>
      </c>
      <c r="C18" s="82" t="str">
        <f>C17</f>
        <v>12L</v>
      </c>
      <c r="D18" s="81" t="str">
        <f>D17</f>
        <v>3L</v>
      </c>
      <c r="E18" s="80" t="str">
        <f>IF(ISBLANK(C18),"#",Currency&amp;$C18&amp;$D18&amp;$B18&amp;QuoteSuffix)</f>
        <v>USD12L3L12Y_Quote</v>
      </c>
      <c r="F18" s="80" t="str">
        <f>_xll.qlSimpleQuote(E18,,RateTickValue,Permanent,Trigger,ObjectOverwrite)</f>
        <v>USD12L3L12Y_Quote#0030</v>
      </c>
      <c r="G18" s="79" t="str">
        <f>_xll.ohRangeRetrieveError(F18)</f>
        <v/>
      </c>
      <c r="H18" s="78"/>
    </row>
    <row r="19" spans="1:8" x14ac:dyDescent="0.2">
      <c r="A19" s="84"/>
      <c r="B19" s="83" t="s">
        <v>97</v>
      </c>
      <c r="C19" s="82" t="str">
        <f>C18</f>
        <v>12L</v>
      </c>
      <c r="D19" s="81" t="str">
        <f>D18</f>
        <v>3L</v>
      </c>
      <c r="E19" s="80" t="str">
        <f>IF(ISBLANK(C19),"#",Currency&amp;$C19&amp;$D19&amp;$B19&amp;QuoteSuffix)</f>
        <v>USD12L3L13Y_Quote</v>
      </c>
      <c r="F19" s="80" t="str">
        <f>_xll.qlSimpleQuote(E19,,RateTickValue,Permanent,Trigger,ObjectOverwrite)</f>
        <v>USD12L3L13Y_Quote#0030</v>
      </c>
      <c r="G19" s="79" t="str">
        <f>_xll.ohRangeRetrieveError(F19)</f>
        <v/>
      </c>
      <c r="H19" s="78"/>
    </row>
    <row r="20" spans="1:8" x14ac:dyDescent="0.2">
      <c r="A20" s="84"/>
      <c r="B20" s="83" t="s">
        <v>96</v>
      </c>
      <c r="C20" s="82" t="str">
        <f>C19</f>
        <v>12L</v>
      </c>
      <c r="D20" s="81" t="str">
        <f>D19</f>
        <v>3L</v>
      </c>
      <c r="E20" s="80" t="str">
        <f>IF(ISBLANK(C20),"#",Currency&amp;$C20&amp;$D20&amp;$B20&amp;QuoteSuffix)</f>
        <v>USD12L3L14Y_Quote</v>
      </c>
      <c r="F20" s="80" t="str">
        <f>_xll.qlSimpleQuote(E20,,RateTickValue,Permanent,Trigger,ObjectOverwrite)</f>
        <v>USD12L3L14Y_Quote#0030</v>
      </c>
      <c r="G20" s="79" t="str">
        <f>_xll.ohRangeRetrieveError(F20)</f>
        <v/>
      </c>
      <c r="H20" s="78"/>
    </row>
    <row r="21" spans="1:8" x14ac:dyDescent="0.2">
      <c r="A21" s="84"/>
      <c r="B21" s="83" t="s">
        <v>95</v>
      </c>
      <c r="C21" s="82" t="str">
        <f>C20</f>
        <v>12L</v>
      </c>
      <c r="D21" s="81" t="str">
        <f>D20</f>
        <v>3L</v>
      </c>
      <c r="E21" s="80" t="str">
        <f>IF(ISBLANK(C21),"#",Currency&amp;$C21&amp;$D21&amp;$B21&amp;QuoteSuffix)</f>
        <v>USD12L3L15Y_Quote</v>
      </c>
      <c r="F21" s="80" t="str">
        <f>_xll.qlSimpleQuote(E21,,RateTickValue,Permanent,Trigger,ObjectOverwrite)</f>
        <v>USD12L3L15Y_Quote#0030</v>
      </c>
      <c r="G21" s="79" t="str">
        <f>_xll.ohRangeRetrieveError(F21)</f>
        <v/>
      </c>
      <c r="H21" s="78"/>
    </row>
    <row r="22" spans="1:8" x14ac:dyDescent="0.2">
      <c r="A22" s="84"/>
      <c r="B22" s="83" t="s">
        <v>94</v>
      </c>
      <c r="C22" s="82" t="str">
        <f>C21</f>
        <v>12L</v>
      </c>
      <c r="D22" s="81" t="str">
        <f>D21</f>
        <v>3L</v>
      </c>
      <c r="E22" s="80" t="str">
        <f>IF(ISBLANK(C22),"#",Currency&amp;$C22&amp;$D22&amp;$B22&amp;QuoteSuffix)</f>
        <v>USD12L3L16Y_Quote</v>
      </c>
      <c r="F22" s="80" t="str">
        <f>_xll.qlSimpleQuote(E22,,RateTickValue,Permanent,Trigger,ObjectOverwrite)</f>
        <v>USD12L3L16Y_Quote#0030</v>
      </c>
      <c r="G22" s="79" t="str">
        <f>_xll.ohRangeRetrieveError(F22)</f>
        <v/>
      </c>
      <c r="H22" s="78"/>
    </row>
    <row r="23" spans="1:8" x14ac:dyDescent="0.2">
      <c r="A23" s="84"/>
      <c r="B23" s="83" t="s">
        <v>93</v>
      </c>
      <c r="C23" s="82" t="str">
        <f>C22</f>
        <v>12L</v>
      </c>
      <c r="D23" s="81" t="str">
        <f>D22</f>
        <v>3L</v>
      </c>
      <c r="E23" s="80" t="str">
        <f>IF(ISBLANK(C23),"#",Currency&amp;$C23&amp;$D23&amp;$B23&amp;QuoteSuffix)</f>
        <v>USD12L3L17Y_Quote</v>
      </c>
      <c r="F23" s="80" t="str">
        <f>_xll.qlSimpleQuote(E23,,RateTickValue,Permanent,Trigger,ObjectOverwrite)</f>
        <v>USD12L3L17Y_Quote#0030</v>
      </c>
      <c r="G23" s="79" t="str">
        <f>_xll.ohRangeRetrieveError(F23)</f>
        <v/>
      </c>
      <c r="H23" s="78"/>
    </row>
    <row r="24" spans="1:8" x14ac:dyDescent="0.2">
      <c r="A24" s="84"/>
      <c r="B24" s="83" t="s">
        <v>92</v>
      </c>
      <c r="C24" s="82" t="str">
        <f>C23</f>
        <v>12L</v>
      </c>
      <c r="D24" s="81" t="str">
        <f>D23</f>
        <v>3L</v>
      </c>
      <c r="E24" s="80" t="str">
        <f>IF(ISBLANK(C24),"#",Currency&amp;$C24&amp;$D24&amp;$B24&amp;QuoteSuffix)</f>
        <v>USD12L3L18Y_Quote</v>
      </c>
      <c r="F24" s="80" t="str">
        <f>_xll.qlSimpleQuote(E24,,RateTickValue,Permanent,Trigger,ObjectOverwrite)</f>
        <v>USD12L3L18Y_Quote#0030</v>
      </c>
      <c r="G24" s="79" t="str">
        <f>_xll.ohRangeRetrieveError(F24)</f>
        <v/>
      </c>
      <c r="H24" s="78"/>
    </row>
    <row r="25" spans="1:8" x14ac:dyDescent="0.2">
      <c r="A25" s="84"/>
      <c r="B25" s="83" t="s">
        <v>91</v>
      </c>
      <c r="C25" s="82" t="str">
        <f>C24</f>
        <v>12L</v>
      </c>
      <c r="D25" s="81" t="str">
        <f>D24</f>
        <v>3L</v>
      </c>
      <c r="E25" s="80" t="str">
        <f>IF(ISBLANK(C25),"#",Currency&amp;$C25&amp;$D25&amp;$B25&amp;QuoteSuffix)</f>
        <v>USD12L3L19Y_Quote</v>
      </c>
      <c r="F25" s="80" t="str">
        <f>_xll.qlSimpleQuote(E25,,RateTickValue,Permanent,Trigger,ObjectOverwrite)</f>
        <v>USD12L3L19Y_Quote#0030</v>
      </c>
      <c r="G25" s="79" t="str">
        <f>_xll.ohRangeRetrieveError(F25)</f>
        <v/>
      </c>
      <c r="H25" s="78"/>
    </row>
    <row r="26" spans="1:8" x14ac:dyDescent="0.2">
      <c r="A26" s="84"/>
      <c r="B26" s="83" t="s">
        <v>90</v>
      </c>
      <c r="C26" s="82" t="str">
        <f>C25</f>
        <v>12L</v>
      </c>
      <c r="D26" s="81" t="str">
        <f>D25</f>
        <v>3L</v>
      </c>
      <c r="E26" s="80" t="str">
        <f>IF(ISBLANK(C26),"#",Currency&amp;$C26&amp;$D26&amp;$B26&amp;QuoteSuffix)</f>
        <v>USD12L3L20Y_Quote</v>
      </c>
      <c r="F26" s="80" t="str">
        <f>_xll.qlSimpleQuote(E26,,RateTickValue,Permanent,Trigger,ObjectOverwrite)</f>
        <v>USD12L3L20Y_Quote#0030</v>
      </c>
      <c r="G26" s="79" t="str">
        <f>_xll.ohRangeRetrieveError(F26)</f>
        <v/>
      </c>
      <c r="H26" s="78"/>
    </row>
    <row r="27" spans="1:8" x14ac:dyDescent="0.2">
      <c r="A27" s="84"/>
      <c r="B27" s="83" t="s">
        <v>89</v>
      </c>
      <c r="C27" s="82" t="str">
        <f>C26</f>
        <v>12L</v>
      </c>
      <c r="D27" s="81" t="str">
        <f>D26</f>
        <v>3L</v>
      </c>
      <c r="E27" s="80" t="str">
        <f>IF(ISBLANK(C27),"#",Currency&amp;$C27&amp;$D27&amp;$B27&amp;QuoteSuffix)</f>
        <v>USD12L3L21Y_Quote</v>
      </c>
      <c r="F27" s="80" t="str">
        <f>_xll.qlSimpleQuote(E27,,RateTickValue,Permanent,Trigger,ObjectOverwrite)</f>
        <v>USD12L3L21Y_Quote#0030</v>
      </c>
      <c r="G27" s="79" t="str">
        <f>_xll.ohRangeRetrieveError(F27)</f>
        <v/>
      </c>
      <c r="H27" s="78"/>
    </row>
    <row r="28" spans="1:8" x14ac:dyDescent="0.2">
      <c r="A28" s="84"/>
      <c r="B28" s="83" t="s">
        <v>88</v>
      </c>
      <c r="C28" s="82" t="str">
        <f>C27</f>
        <v>12L</v>
      </c>
      <c r="D28" s="81" t="str">
        <f>D27</f>
        <v>3L</v>
      </c>
      <c r="E28" s="80" t="str">
        <f>IF(ISBLANK(C28),"#",Currency&amp;$C28&amp;$D28&amp;$B28&amp;QuoteSuffix)</f>
        <v>USD12L3L22Y_Quote</v>
      </c>
      <c r="F28" s="80" t="str">
        <f>_xll.qlSimpleQuote(E28,,RateTickValue,Permanent,Trigger,ObjectOverwrite)</f>
        <v>USD12L3L22Y_Quote#0030</v>
      </c>
      <c r="G28" s="79" t="str">
        <f>_xll.ohRangeRetrieveError(F28)</f>
        <v/>
      </c>
      <c r="H28" s="78"/>
    </row>
    <row r="29" spans="1:8" x14ac:dyDescent="0.2">
      <c r="A29" s="84"/>
      <c r="B29" s="83" t="s">
        <v>87</v>
      </c>
      <c r="C29" s="82" t="str">
        <f>C28</f>
        <v>12L</v>
      </c>
      <c r="D29" s="81" t="str">
        <f>D28</f>
        <v>3L</v>
      </c>
      <c r="E29" s="80" t="str">
        <f>IF(ISBLANK(C29),"#",Currency&amp;$C29&amp;$D29&amp;$B29&amp;QuoteSuffix)</f>
        <v>USD12L3L23Y_Quote</v>
      </c>
      <c r="F29" s="80" t="str">
        <f>_xll.qlSimpleQuote(E29,,RateTickValue,Permanent,Trigger,ObjectOverwrite)</f>
        <v>USD12L3L23Y_Quote#0030</v>
      </c>
      <c r="G29" s="79" t="str">
        <f>_xll.ohRangeRetrieveError(F29)</f>
        <v/>
      </c>
      <c r="H29" s="78"/>
    </row>
    <row r="30" spans="1:8" x14ac:dyDescent="0.2">
      <c r="A30" s="84"/>
      <c r="B30" s="83" t="s">
        <v>86</v>
      </c>
      <c r="C30" s="82" t="str">
        <f>C29</f>
        <v>12L</v>
      </c>
      <c r="D30" s="81" t="str">
        <f>D29</f>
        <v>3L</v>
      </c>
      <c r="E30" s="80" t="str">
        <f>IF(ISBLANK(C30),"#",Currency&amp;$C30&amp;$D30&amp;$B30&amp;QuoteSuffix)</f>
        <v>USD12L3L24Y_Quote</v>
      </c>
      <c r="F30" s="80" t="str">
        <f>_xll.qlSimpleQuote(E30,,RateTickValue,Permanent,Trigger,ObjectOverwrite)</f>
        <v>USD12L3L24Y_Quote#0030</v>
      </c>
      <c r="G30" s="79" t="str">
        <f>_xll.ohRangeRetrieveError(F30)</f>
        <v/>
      </c>
      <c r="H30" s="78"/>
    </row>
    <row r="31" spans="1:8" x14ac:dyDescent="0.2">
      <c r="A31" s="84"/>
      <c r="B31" s="83" t="s">
        <v>85</v>
      </c>
      <c r="C31" s="82" t="str">
        <f>C30</f>
        <v>12L</v>
      </c>
      <c r="D31" s="81" t="str">
        <f>D30</f>
        <v>3L</v>
      </c>
      <c r="E31" s="80" t="str">
        <f>IF(ISBLANK(C31),"#",Currency&amp;$C31&amp;$D31&amp;$B31&amp;QuoteSuffix)</f>
        <v>USD12L3L25Y_Quote</v>
      </c>
      <c r="F31" s="80" t="str">
        <f>_xll.qlSimpleQuote(E31,,RateTickValue,Permanent,Trigger,ObjectOverwrite)</f>
        <v>USD12L3L25Y_Quote#0030</v>
      </c>
      <c r="G31" s="79" t="str">
        <f>_xll.ohRangeRetrieveError(F31)</f>
        <v/>
      </c>
      <c r="H31" s="78"/>
    </row>
    <row r="32" spans="1:8" x14ac:dyDescent="0.2">
      <c r="A32" s="84"/>
      <c r="B32" s="83" t="s">
        <v>84</v>
      </c>
      <c r="C32" s="82" t="str">
        <f>C31</f>
        <v>12L</v>
      </c>
      <c r="D32" s="81" t="str">
        <f>D31</f>
        <v>3L</v>
      </c>
      <c r="E32" s="80" t="str">
        <f>IF(ISBLANK(C32),"#",Currency&amp;$C32&amp;$D32&amp;$B32&amp;QuoteSuffix)</f>
        <v>USD12L3L26Y_Quote</v>
      </c>
      <c r="F32" s="80" t="str">
        <f>_xll.qlSimpleQuote(E32,,RateTickValue,Permanent,Trigger,ObjectOverwrite)</f>
        <v>USD12L3L26Y_Quote#0030</v>
      </c>
      <c r="G32" s="79" t="str">
        <f>_xll.ohRangeRetrieveError(F32)</f>
        <v/>
      </c>
      <c r="H32" s="78"/>
    </row>
    <row r="33" spans="1:8" x14ac:dyDescent="0.2">
      <c r="A33" s="84"/>
      <c r="B33" s="83" t="s">
        <v>83</v>
      </c>
      <c r="C33" s="82" t="str">
        <f>C32</f>
        <v>12L</v>
      </c>
      <c r="D33" s="81" t="str">
        <f>D32</f>
        <v>3L</v>
      </c>
      <c r="E33" s="80" t="str">
        <f>IF(ISBLANK(C33),"#",Currency&amp;$C33&amp;$D33&amp;$B33&amp;QuoteSuffix)</f>
        <v>USD12L3L27Y_Quote</v>
      </c>
      <c r="F33" s="80" t="str">
        <f>_xll.qlSimpleQuote(E33,,RateTickValue,Permanent,Trigger,ObjectOverwrite)</f>
        <v>USD12L3L27Y_Quote#0030</v>
      </c>
      <c r="G33" s="79" t="str">
        <f>_xll.ohRangeRetrieveError(F33)</f>
        <v/>
      </c>
      <c r="H33" s="78"/>
    </row>
    <row r="34" spans="1:8" x14ac:dyDescent="0.2">
      <c r="A34" s="84"/>
      <c r="B34" s="83" t="s">
        <v>82</v>
      </c>
      <c r="C34" s="82" t="str">
        <f>C33</f>
        <v>12L</v>
      </c>
      <c r="D34" s="81" t="str">
        <f>D33</f>
        <v>3L</v>
      </c>
      <c r="E34" s="80" t="str">
        <f>IF(ISBLANK(C34),"#",Currency&amp;$C34&amp;$D34&amp;$B34&amp;QuoteSuffix)</f>
        <v>USD12L3L28Y_Quote</v>
      </c>
      <c r="F34" s="80" t="str">
        <f>_xll.qlSimpleQuote(E34,,RateTickValue,Permanent,Trigger,ObjectOverwrite)</f>
        <v>USD12L3L28Y_Quote#0030</v>
      </c>
      <c r="G34" s="79" t="str">
        <f>_xll.ohRangeRetrieveError(F34)</f>
        <v/>
      </c>
      <c r="H34" s="78"/>
    </row>
    <row r="35" spans="1:8" x14ac:dyDescent="0.2">
      <c r="A35" s="84"/>
      <c r="B35" s="83" t="s">
        <v>81</v>
      </c>
      <c r="C35" s="82" t="str">
        <f>C34</f>
        <v>12L</v>
      </c>
      <c r="D35" s="81" t="str">
        <f>D34</f>
        <v>3L</v>
      </c>
      <c r="E35" s="80" t="str">
        <f>IF(ISBLANK(C35),"#",Currency&amp;$C35&amp;$D35&amp;$B35&amp;QuoteSuffix)</f>
        <v>USD12L3L29Y_Quote</v>
      </c>
      <c r="F35" s="80" t="str">
        <f>_xll.qlSimpleQuote(E35,,RateTickValue,Permanent,Trigger,ObjectOverwrite)</f>
        <v>USD12L3L29Y_Quote#0030</v>
      </c>
      <c r="G35" s="79" t="str">
        <f>_xll.ohRangeRetrieveError(F35)</f>
        <v/>
      </c>
      <c r="H35" s="78"/>
    </row>
    <row r="36" spans="1:8" x14ac:dyDescent="0.2">
      <c r="A36" s="84"/>
      <c r="B36" s="83" t="s">
        <v>80</v>
      </c>
      <c r="C36" s="82" t="str">
        <f>C35</f>
        <v>12L</v>
      </c>
      <c r="D36" s="81" t="str">
        <f>D35</f>
        <v>3L</v>
      </c>
      <c r="E36" s="80" t="str">
        <f>IF(ISBLANK(C36),"#",Currency&amp;$C36&amp;$D36&amp;$B36&amp;QuoteSuffix)</f>
        <v>USD12L3L30Y_Quote</v>
      </c>
      <c r="F36" s="80" t="str">
        <f>_xll.qlSimpleQuote(E36,,RateTickValue,Permanent,Trigger,ObjectOverwrite)</f>
        <v>USD12L3L30Y_Quote#0030</v>
      </c>
      <c r="G36" s="79" t="str">
        <f>_xll.ohRangeRetrieveError(F36)</f>
        <v/>
      </c>
      <c r="H36" s="78"/>
    </row>
    <row r="37" spans="1:8" x14ac:dyDescent="0.2">
      <c r="A37" s="84"/>
      <c r="B37" s="83" t="s">
        <v>75</v>
      </c>
      <c r="C37" s="82" t="str">
        <f>C36</f>
        <v>12L</v>
      </c>
      <c r="D37" s="81" t="str">
        <f>D36</f>
        <v>3L</v>
      </c>
      <c r="E37" s="80" t="str">
        <f>IF(ISBLANK(C37),"#",Currency&amp;$C37&amp;$D37&amp;$B37&amp;QuoteSuffix)</f>
        <v>USD12L3L35Y_Quote</v>
      </c>
      <c r="F37" s="80" t="str">
        <f>_xll.qlSimpleQuote(E37,,RateTickValue,Permanent,Trigger,ObjectOverwrite)</f>
        <v>USD12L3L35Y_Quote#0030</v>
      </c>
      <c r="G37" s="79" t="str">
        <f>_xll.ohRangeRetrieveError(F37)</f>
        <v/>
      </c>
      <c r="H37" s="78"/>
    </row>
    <row r="38" spans="1:8" x14ac:dyDescent="0.2">
      <c r="A38" s="84"/>
      <c r="B38" s="83" t="s">
        <v>70</v>
      </c>
      <c r="C38" s="82" t="str">
        <f>C37</f>
        <v>12L</v>
      </c>
      <c r="D38" s="81" t="str">
        <f>D37</f>
        <v>3L</v>
      </c>
      <c r="E38" s="80" t="str">
        <f>IF(ISBLANK(C38),"#",Currency&amp;$C38&amp;$D38&amp;$B38&amp;QuoteSuffix)</f>
        <v>USD12L3L40Y_Quote</v>
      </c>
      <c r="F38" s="80" t="str">
        <f>_xll.qlSimpleQuote(E38,,RateTickValue,Permanent,Trigger,ObjectOverwrite)</f>
        <v>USD12L3L40Y_Quote#0030</v>
      </c>
      <c r="G38" s="79" t="str">
        <f>_xll.ohRangeRetrieveError(F38)</f>
        <v/>
      </c>
      <c r="H38" s="78"/>
    </row>
    <row r="39" spans="1:8" x14ac:dyDescent="0.2">
      <c r="A39" s="84"/>
      <c r="B39" s="83" t="s">
        <v>60</v>
      </c>
      <c r="C39" s="82" t="str">
        <f>C38</f>
        <v>12L</v>
      </c>
      <c r="D39" s="81" t="str">
        <f>D38</f>
        <v>3L</v>
      </c>
      <c r="E39" s="80" t="str">
        <f>IF(ISBLANK(C39),"#",Currency&amp;$C39&amp;$D39&amp;$B39&amp;QuoteSuffix)</f>
        <v>USD12L3L50Y_Quote</v>
      </c>
      <c r="F39" s="80" t="str">
        <f>_xll.qlSimpleQuote(E39,,RateTickValue,Permanent,Trigger,ObjectOverwrite)</f>
        <v>USD12L3L50Y_Quote#0030</v>
      </c>
      <c r="G39" s="79" t="str">
        <f>_xll.ohRangeRetrieveError(F39)</f>
        <v/>
      </c>
      <c r="H39" s="78"/>
    </row>
    <row r="40" spans="1:8" x14ac:dyDescent="0.2">
      <c r="A40" s="84"/>
      <c r="B40" s="83" t="s">
        <v>50</v>
      </c>
      <c r="C40" s="82" t="str">
        <f>C39</f>
        <v>12L</v>
      </c>
      <c r="D40" s="81" t="str">
        <f>D39</f>
        <v>3L</v>
      </c>
      <c r="E40" s="80" t="str">
        <f>IF(ISBLANK(C40),"#",Currency&amp;$C40&amp;$D40&amp;$B40&amp;QuoteSuffix)</f>
        <v>USD12L3L60Y_Quote</v>
      </c>
      <c r="F40" s="80" t="str">
        <f>_xll.qlSimpleQuote(E40,,RateTickValue,Permanent,Trigger,ObjectOverwrite)</f>
        <v>USD12L3L60Y_Quote#0030</v>
      </c>
      <c r="G40" s="79" t="str">
        <f>_xll.ohRangeRetrieveError(F40)</f>
        <v/>
      </c>
      <c r="H40" s="78"/>
    </row>
    <row r="41" spans="1:8" x14ac:dyDescent="0.2">
      <c r="A41" s="77"/>
      <c r="B41" s="76"/>
      <c r="C41" s="76"/>
      <c r="D41" s="76"/>
      <c r="E41" s="76"/>
      <c r="F41" s="75"/>
      <c r="G41" s="75"/>
      <c r="H41" s="74"/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29" customWidth="1"/>
    <col min="2" max="2" width="4.28515625" style="29" customWidth="1"/>
    <col min="3" max="3" width="15.5703125" style="29" bestFit="1" customWidth="1"/>
    <col min="4" max="4" width="101.42578125" style="29" bestFit="1" customWidth="1"/>
    <col min="5" max="5" width="3.7109375" style="29" customWidth="1"/>
    <col min="6" max="6" width="35.28515625" style="29" customWidth="1"/>
    <col min="7" max="7" width="4.28515625" style="29" customWidth="1"/>
    <col min="8" max="16384" width="8" style="29"/>
  </cols>
  <sheetData>
    <row r="1" spans="1:5" ht="13.5" thickBot="1" x14ac:dyDescent="0.25">
      <c r="A1" s="29" t="s">
        <v>146</v>
      </c>
      <c r="B1" s="72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09" t="s">
        <v>145</v>
      </c>
      <c r="C2" s="108"/>
      <c r="D2" s="108"/>
      <c r="E2" s="107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09" t="s">
        <v>144</v>
      </c>
      <c r="C12" s="108"/>
      <c r="D12" s="108"/>
      <c r="E12" s="107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6">
        <v>1E-4</v>
      </c>
      <c r="E16" s="14"/>
    </row>
    <row r="17" spans="2:5" x14ac:dyDescent="0.2">
      <c r="B17" s="9"/>
      <c r="C17" s="16" t="s">
        <v>140</v>
      </c>
      <c r="D17" s="105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/>
  </sheetViews>
  <sheetFormatPr defaultRowHeight="11.25" x14ac:dyDescent="0.2"/>
  <cols>
    <col min="1" max="1" width="4.42578125" style="111" customWidth="1"/>
    <col min="2" max="2" width="5.140625" style="111" bestFit="1" customWidth="1"/>
    <col min="3" max="3" width="17.85546875" style="111" bestFit="1" customWidth="1"/>
    <col min="4" max="4" width="16.7109375" style="111" bestFit="1" customWidth="1"/>
    <col min="5" max="5" width="36.85546875" style="111" bestFit="1" customWidth="1"/>
    <col min="6" max="6" width="5" style="111" customWidth="1"/>
    <col min="7" max="16384" width="9.140625" style="111"/>
  </cols>
  <sheetData>
    <row r="1" spans="1:6" x14ac:dyDescent="0.2">
      <c r="A1" s="175" t="s">
        <v>186</v>
      </c>
      <c r="B1" s="120"/>
      <c r="C1" s="120"/>
      <c r="D1" s="120"/>
      <c r="E1" s="120"/>
      <c r="F1" s="119"/>
    </row>
    <row r="2" spans="1:6" ht="21" customHeight="1" x14ac:dyDescent="0.2">
      <c r="A2" s="84"/>
      <c r="B2" s="118"/>
      <c r="C2" s="96" t="str">
        <f>Currency&amp;"_010_"&amp;"Deposits.xml"</f>
        <v>USD_010_Deposits.xml</v>
      </c>
      <c r="D2" s="117">
        <f ca="1">IF(Serialize,_xll.ohObjectSave(D3:D20,SerializationPath&amp;C2,FileOverwrite,Serialize),"---")</f>
        <v>18</v>
      </c>
      <c r="E2" s="116" t="str">
        <f ca="1">_xll.ohRangeRetrieveError(D2)</f>
        <v/>
      </c>
      <c r="F2" s="112"/>
    </row>
    <row r="3" spans="1:6" x14ac:dyDescent="0.2">
      <c r="A3" s="84"/>
      <c r="B3" s="115" t="s">
        <v>164</v>
      </c>
      <c r="C3" s="114" t="str">
        <f>Currency&amp;$B3&amp;QuoteSuffix</f>
        <v>USDOND_Quote</v>
      </c>
      <c r="D3" s="114" t="str">
        <f>_xll.qlSimpleQuote(C3,,RateTickValue,Permanent,Trigger,ObjectOverwrite)</f>
        <v>USDOND_Quote#0028</v>
      </c>
      <c r="E3" s="113" t="str">
        <f>_xll.ohRangeRetrieveError(D3)</f>
        <v/>
      </c>
      <c r="F3" s="112"/>
    </row>
    <row r="4" spans="1:6" x14ac:dyDescent="0.2">
      <c r="A4" s="84"/>
      <c r="B4" s="115" t="s">
        <v>163</v>
      </c>
      <c r="C4" s="114" t="str">
        <f>Currency&amp;$B4&amp;QuoteSuffix</f>
        <v>USDTND_Quote</v>
      </c>
      <c r="D4" s="114" t="str">
        <f>_xll.qlSimpleQuote(C4,,RateTickValue,Permanent,Trigger,ObjectOverwrite)</f>
        <v>USDTND_Quote#0028</v>
      </c>
      <c r="E4" s="113" t="str">
        <f>_xll.ohRangeRetrieveError(D4)</f>
        <v/>
      </c>
      <c r="F4" s="112"/>
    </row>
    <row r="5" spans="1:6" x14ac:dyDescent="0.2">
      <c r="A5" s="84"/>
      <c r="B5" s="115" t="s">
        <v>162</v>
      </c>
      <c r="C5" s="114" t="str">
        <f>Currency&amp;$B5&amp;QuoteSuffix</f>
        <v>USDSND_Quote</v>
      </c>
      <c r="D5" s="114" t="str">
        <f>_xll.qlSimpleQuote(C5,,RateTickValue,Permanent,Trigger,ObjectOverwrite)</f>
        <v>USDSND_Quote#0028</v>
      </c>
      <c r="E5" s="113" t="str">
        <f>_xll.ohRangeRetrieveError(D5)</f>
        <v/>
      </c>
      <c r="F5" s="112"/>
    </row>
    <row r="6" spans="1:6" x14ac:dyDescent="0.2">
      <c r="A6" s="84"/>
      <c r="B6" s="115" t="s">
        <v>161</v>
      </c>
      <c r="C6" s="114" t="str">
        <f>Currency&amp;$B6&amp;QuoteSuffix</f>
        <v>USDSWD_Quote</v>
      </c>
      <c r="D6" s="114" t="str">
        <f>_xll.qlSimpleQuote(C6,,RateTickValue,Permanent,Trigger,ObjectOverwrite)</f>
        <v>USDSWD_Quote#0028</v>
      </c>
      <c r="E6" s="113" t="str">
        <f>_xll.ohRangeRetrieveError(D6)</f>
        <v/>
      </c>
      <c r="F6" s="112"/>
    </row>
    <row r="7" spans="1:6" x14ac:dyDescent="0.2">
      <c r="A7" s="84"/>
      <c r="B7" s="115" t="s">
        <v>160</v>
      </c>
      <c r="C7" s="114" t="str">
        <f>Currency&amp;$B7&amp;QuoteSuffix</f>
        <v>USD2WD_Quote</v>
      </c>
      <c r="D7" s="114" t="str">
        <f>_xll.qlSimpleQuote(C7,,RateTickValue,Permanent,Trigger,ObjectOverwrite)</f>
        <v>USD2WD_Quote#0028</v>
      </c>
      <c r="E7" s="113" t="str">
        <f>_xll.ohRangeRetrieveError(D7)</f>
        <v/>
      </c>
      <c r="F7" s="112"/>
    </row>
    <row r="8" spans="1:6" x14ac:dyDescent="0.2">
      <c r="A8" s="84"/>
      <c r="B8" s="115" t="s">
        <v>159</v>
      </c>
      <c r="C8" s="114" t="str">
        <f>Currency&amp;$B8&amp;QuoteSuffix</f>
        <v>USD3WD_Quote</v>
      </c>
      <c r="D8" s="114" t="str">
        <f>_xll.qlSimpleQuote(C8,,RateTickValue,Permanent,Trigger,ObjectOverwrite)</f>
        <v>USD3WD_Quote#0028</v>
      </c>
      <c r="E8" s="113" t="str">
        <f>_xll.ohRangeRetrieveError(D8)</f>
        <v/>
      </c>
      <c r="F8" s="112"/>
    </row>
    <row r="9" spans="1:6" x14ac:dyDescent="0.2">
      <c r="A9" s="84"/>
      <c r="B9" s="115" t="s">
        <v>158</v>
      </c>
      <c r="C9" s="114" t="str">
        <f>Currency&amp;$B9&amp;QuoteSuffix</f>
        <v>USD1MD_Quote</v>
      </c>
      <c r="D9" s="114" t="str">
        <f>_xll.qlSimpleQuote(C9,,RateTickValue,Permanent,Trigger,ObjectOverwrite)</f>
        <v>USD1MD_Quote#0028</v>
      </c>
      <c r="E9" s="113" t="str">
        <f>_xll.ohRangeRetrieveError(D9)</f>
        <v/>
      </c>
      <c r="F9" s="112"/>
    </row>
    <row r="10" spans="1:6" x14ac:dyDescent="0.2">
      <c r="A10" s="84"/>
      <c r="B10" s="115" t="s">
        <v>157</v>
      </c>
      <c r="C10" s="114" t="str">
        <f>Currency&amp;$B10&amp;QuoteSuffix</f>
        <v>USD2MD_Quote</v>
      </c>
      <c r="D10" s="114" t="str">
        <f>_xll.qlSimpleQuote(C10,,RateTickValue,Permanent,Trigger,ObjectOverwrite)</f>
        <v>USD2MD_Quote#0028</v>
      </c>
      <c r="E10" s="113" t="str">
        <f>_xll.ohRangeRetrieveError(D10)</f>
        <v/>
      </c>
      <c r="F10" s="112"/>
    </row>
    <row r="11" spans="1:6" x14ac:dyDescent="0.2">
      <c r="A11" s="84"/>
      <c r="B11" s="115" t="s">
        <v>156</v>
      </c>
      <c r="C11" s="114" t="str">
        <f>Currency&amp;$B11&amp;QuoteSuffix</f>
        <v>USD3MD_Quote</v>
      </c>
      <c r="D11" s="114" t="str">
        <f>_xll.qlSimpleQuote(C11,,RateTickValue,Permanent,Trigger,ObjectOverwrite)</f>
        <v>USD3MD_Quote#0028</v>
      </c>
      <c r="E11" s="113" t="str">
        <f>_xll.ohRangeRetrieveError(D11)</f>
        <v/>
      </c>
      <c r="F11" s="112"/>
    </row>
    <row r="12" spans="1:6" x14ac:dyDescent="0.2">
      <c r="A12" s="84"/>
      <c r="B12" s="115" t="s">
        <v>155</v>
      </c>
      <c r="C12" s="114" t="str">
        <f>Currency&amp;$B12&amp;QuoteSuffix</f>
        <v>USD4MD_Quote</v>
      </c>
      <c r="D12" s="114" t="str">
        <f>_xll.qlSimpleQuote(C12,,RateTickValue,Permanent,Trigger,ObjectOverwrite)</f>
        <v>USD4MD_Quote#0028</v>
      </c>
      <c r="E12" s="113" t="str">
        <f>_xll.ohRangeRetrieveError(D12)</f>
        <v/>
      </c>
      <c r="F12" s="112"/>
    </row>
    <row r="13" spans="1:6" x14ac:dyDescent="0.2">
      <c r="A13" s="84"/>
      <c r="B13" s="115" t="s">
        <v>154</v>
      </c>
      <c r="C13" s="114" t="str">
        <f>Currency&amp;$B13&amp;QuoteSuffix</f>
        <v>USD5MD_Quote</v>
      </c>
      <c r="D13" s="114" t="str">
        <f>_xll.qlSimpleQuote(C13,,RateTickValue,Permanent,Trigger,ObjectOverwrite)</f>
        <v>USD5MD_Quote#0028</v>
      </c>
      <c r="E13" s="113" t="str">
        <f>_xll.ohRangeRetrieveError(D13)</f>
        <v/>
      </c>
      <c r="F13" s="112"/>
    </row>
    <row r="14" spans="1:6" x14ac:dyDescent="0.2">
      <c r="A14" s="84"/>
      <c r="B14" s="115" t="s">
        <v>153</v>
      </c>
      <c r="C14" s="114" t="str">
        <f>Currency&amp;$B14&amp;QuoteSuffix</f>
        <v>USD6MD_Quote</v>
      </c>
      <c r="D14" s="114" t="str">
        <f>_xll.qlSimpleQuote(C14,,RateTickValue,Permanent,Trigger,ObjectOverwrite)</f>
        <v>USD6MD_Quote#0028</v>
      </c>
      <c r="E14" s="113" t="str">
        <f>_xll.ohRangeRetrieveError(D14)</f>
        <v/>
      </c>
      <c r="F14" s="112"/>
    </row>
    <row r="15" spans="1:6" x14ac:dyDescent="0.2">
      <c r="A15" s="84"/>
      <c r="B15" s="115" t="s">
        <v>152</v>
      </c>
      <c r="C15" s="114" t="str">
        <f>Currency&amp;$B15&amp;QuoteSuffix</f>
        <v>USD7MD_Quote</v>
      </c>
      <c r="D15" s="114" t="str">
        <f>_xll.qlSimpleQuote(C15,,RateTickValue,Permanent,Trigger,ObjectOverwrite)</f>
        <v>USD7MD_Quote#0028</v>
      </c>
      <c r="E15" s="113" t="str">
        <f>_xll.ohRangeRetrieveError(D15)</f>
        <v/>
      </c>
      <c r="F15" s="112"/>
    </row>
    <row r="16" spans="1:6" x14ac:dyDescent="0.2">
      <c r="A16" s="84"/>
      <c r="B16" s="115" t="s">
        <v>151</v>
      </c>
      <c r="C16" s="114" t="str">
        <f>Currency&amp;$B16&amp;QuoteSuffix</f>
        <v>USD8MD_Quote</v>
      </c>
      <c r="D16" s="114" t="str">
        <f>_xll.qlSimpleQuote(C16,,RateTickValue,Permanent,Trigger,ObjectOverwrite)</f>
        <v>USD8MD_Quote#0028</v>
      </c>
      <c r="E16" s="113" t="str">
        <f>_xll.ohRangeRetrieveError(D16)</f>
        <v/>
      </c>
      <c r="F16" s="112"/>
    </row>
    <row r="17" spans="1:6" x14ac:dyDescent="0.2">
      <c r="A17" s="84"/>
      <c r="B17" s="115" t="s">
        <v>150</v>
      </c>
      <c r="C17" s="114" t="str">
        <f>Currency&amp;$B17&amp;QuoteSuffix</f>
        <v>USD9MD_Quote</v>
      </c>
      <c r="D17" s="114" t="str">
        <f>_xll.qlSimpleQuote(C17,,RateTickValue,Permanent,Trigger,ObjectOverwrite)</f>
        <v>USD9MD_Quote#0028</v>
      </c>
      <c r="E17" s="113" t="str">
        <f>_xll.ohRangeRetrieveError(D17)</f>
        <v/>
      </c>
      <c r="F17" s="112"/>
    </row>
    <row r="18" spans="1:6" x14ac:dyDescent="0.2">
      <c r="A18" s="84"/>
      <c r="B18" s="115" t="s">
        <v>149</v>
      </c>
      <c r="C18" s="114" t="str">
        <f>Currency&amp;$B18&amp;QuoteSuffix</f>
        <v>USD10MD_Quote</v>
      </c>
      <c r="D18" s="114" t="str">
        <f>_xll.qlSimpleQuote(C18,,RateTickValue,Permanent,Trigger,ObjectOverwrite)</f>
        <v>USD10MD_Quote#0028</v>
      </c>
      <c r="E18" s="113" t="str">
        <f>_xll.ohRangeRetrieveError(D18)</f>
        <v/>
      </c>
      <c r="F18" s="112"/>
    </row>
    <row r="19" spans="1:6" x14ac:dyDescent="0.2">
      <c r="A19" s="84"/>
      <c r="B19" s="115" t="s">
        <v>148</v>
      </c>
      <c r="C19" s="114" t="str">
        <f>Currency&amp;$B19&amp;QuoteSuffix</f>
        <v>USD11MD_Quote</v>
      </c>
      <c r="D19" s="114" t="str">
        <f>_xll.qlSimpleQuote(C19,,RateTickValue,Permanent,Trigger,ObjectOverwrite)</f>
        <v>USD11MD_Quote#0028</v>
      </c>
      <c r="E19" s="113" t="str">
        <f>_xll.ohRangeRetrieveError(D19)</f>
        <v/>
      </c>
      <c r="F19" s="112"/>
    </row>
    <row r="20" spans="1:6" x14ac:dyDescent="0.2">
      <c r="A20" s="84"/>
      <c r="B20" s="115" t="s">
        <v>147</v>
      </c>
      <c r="C20" s="114" t="str">
        <f>Currency&amp;$B20&amp;QuoteSuffix</f>
        <v>USD1YD_Quote</v>
      </c>
      <c r="D20" s="114" t="str">
        <f>_xll.qlSimpleQuote(C20,,RateTickValue,Permanent,Trigger,ObjectOverwrite)</f>
        <v>USD1YD_Quote#0028</v>
      </c>
      <c r="E20" s="113" t="str">
        <f>_xll.ohRangeRetrieveError(D20)</f>
        <v/>
      </c>
      <c r="F20" s="112"/>
    </row>
    <row r="21" spans="1:6" x14ac:dyDescent="0.2">
      <c r="A21" s="77"/>
      <c r="B21" s="76"/>
      <c r="C21" s="76"/>
      <c r="D21" s="76"/>
      <c r="E21" s="76"/>
      <c r="F21" s="74"/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23" bestFit="1" customWidth="1"/>
    <col min="5" max="5" width="20" style="20" bestFit="1" customWidth="1"/>
    <col min="6" max="6" width="57.42578125" style="122" customWidth="1"/>
    <col min="7" max="7" width="4.28515625" style="20" customWidth="1"/>
    <col min="8" max="8" width="4.42578125" style="20" customWidth="1"/>
    <col min="9" max="16384" width="9.140625" style="20"/>
  </cols>
  <sheetData>
    <row r="1" spans="1:7" x14ac:dyDescent="0.2">
      <c r="A1" s="175" t="s">
        <v>186</v>
      </c>
      <c r="B1" s="145"/>
      <c r="C1" s="145"/>
      <c r="D1" s="20"/>
      <c r="E1" s="122"/>
      <c r="F1" s="20"/>
      <c r="G1" s="52"/>
    </row>
    <row r="2" spans="1:7" ht="24" customHeight="1" x14ac:dyDescent="0.2">
      <c r="A2" s="130"/>
      <c r="B2" s="144"/>
      <c r="C2" s="143"/>
      <c r="D2" s="142" t="str">
        <f>Currency&amp;"_010_"&amp;"FRA.xml"</f>
        <v>USD_010_FRA.xml</v>
      </c>
      <c r="E2" s="141">
        <f ca="1">IF(Serialize,_xll.ohObjectSave(E3:E35,SerializationPath&amp;D2,FileOverwrite,Serialize),"---")</f>
        <v>33</v>
      </c>
      <c r="F2" s="140" t="str">
        <f ca="1">_xll.ohRangeRetrieveError(E2)</f>
        <v/>
      </c>
      <c r="G2" s="52"/>
    </row>
    <row r="3" spans="1:7" x14ac:dyDescent="0.2">
      <c r="A3" s="130"/>
      <c r="B3" s="134" t="s">
        <v>180</v>
      </c>
      <c r="C3" s="135" t="s">
        <v>166</v>
      </c>
      <c r="D3" s="134" t="str">
        <f>Currency&amp;$B3&amp;$C3&amp;QuoteSuffix</f>
        <v>USDT1F1_Quote</v>
      </c>
      <c r="E3" s="133" t="str">
        <f>_xll.qlSimpleQuote(D3,,RateTickValue,Permanent,Trigger,ObjectOverwrite)</f>
        <v>USDT1F1_Quote#0027</v>
      </c>
      <c r="F3" s="132" t="str">
        <f>_xll.ohRangeRetrieveError(E3)</f>
        <v/>
      </c>
      <c r="G3" s="52"/>
    </row>
    <row r="4" spans="1:7" x14ac:dyDescent="0.2">
      <c r="A4" s="130"/>
      <c r="B4" s="127" t="s">
        <v>179</v>
      </c>
      <c r="C4" s="131" t="s">
        <v>166</v>
      </c>
      <c r="D4" s="127" t="str">
        <f>Currency&amp;$B4&amp;$C4&amp;QuoteSuffix</f>
        <v>USDTOM1F1_Quote</v>
      </c>
      <c r="E4" s="126" t="str">
        <f>_xll.qlSimpleQuote(D4,,RateTickValue,Permanent,Trigger,ObjectOverwrite)</f>
        <v>USDTOM1F1_Quote#0027</v>
      </c>
      <c r="F4" s="125" t="str">
        <f>_xll.ohRangeRetrieveError(E4)</f>
        <v/>
      </c>
      <c r="G4" s="52"/>
    </row>
    <row r="5" spans="1:7" x14ac:dyDescent="0.2">
      <c r="A5" s="130"/>
      <c r="B5" s="134" t="s">
        <v>178</v>
      </c>
      <c r="C5" s="135" t="s">
        <v>166</v>
      </c>
      <c r="D5" s="134" t="str">
        <f>Currency&amp;$B5&amp;$C5&amp;QuoteSuffix</f>
        <v>USDT3F1_Quote</v>
      </c>
      <c r="E5" s="133" t="str">
        <f>_xll.qlSimpleQuote(D5,,RateTickValue,Permanent,Trigger,ObjectOverwrite)</f>
        <v>USDT3F1_Quote#0027</v>
      </c>
      <c r="F5" s="132" t="str">
        <f>_xll.ohRangeRetrieveError(E5)</f>
        <v/>
      </c>
      <c r="G5" s="52"/>
    </row>
    <row r="6" spans="1:7" x14ac:dyDescent="0.2">
      <c r="A6" s="130"/>
      <c r="B6" s="127" t="s">
        <v>177</v>
      </c>
      <c r="C6" s="131" t="s">
        <v>166</v>
      </c>
      <c r="D6" s="127" t="str">
        <f>Currency&amp;$B6&amp;$C6&amp;QuoteSuffix</f>
        <v>USDTOM3F1_Quote</v>
      </c>
      <c r="E6" s="126" t="str">
        <f>_xll.qlSimpleQuote(D6,,RateTickValue,Permanent,Trigger,ObjectOverwrite)</f>
        <v>USDTOM3F1_Quote#0027</v>
      </c>
      <c r="F6" s="125" t="str">
        <f>_xll.ohRangeRetrieveError(E6)</f>
        <v/>
      </c>
      <c r="G6" s="52"/>
    </row>
    <row r="7" spans="1:7" x14ac:dyDescent="0.2">
      <c r="A7" s="130"/>
      <c r="B7" s="134">
        <v>1</v>
      </c>
      <c r="C7" s="135" t="s">
        <v>176</v>
      </c>
      <c r="D7" s="134" t="str">
        <f>Currency&amp;$B7&amp;$C7&amp;QuoteSuffix</f>
        <v>USD1x4F_Quote</v>
      </c>
      <c r="E7" s="133" t="str">
        <f>_xll.qlSimpleQuote(D7,,RateTickValue,Permanent,Trigger,ObjectOverwrite)</f>
        <v>USD1x4F_Quote#0027</v>
      </c>
      <c r="F7" s="132" t="str">
        <f>_xll.ohRangeRetrieveError(E7)</f>
        <v/>
      </c>
      <c r="G7" s="52"/>
    </row>
    <row r="8" spans="1:7" x14ac:dyDescent="0.2">
      <c r="A8" s="130"/>
      <c r="B8" s="138">
        <v>2</v>
      </c>
      <c r="C8" s="139" t="s">
        <v>175</v>
      </c>
      <c r="D8" s="138" t="str">
        <f>Currency&amp;$B8&amp;$C8&amp;QuoteSuffix</f>
        <v>USD2x5F_Quote</v>
      </c>
      <c r="E8" s="137" t="str">
        <f>_xll.qlSimpleQuote(D8,,RateTickValue,Permanent,Trigger,ObjectOverwrite)</f>
        <v>USD2x5F_Quote#0027</v>
      </c>
      <c r="F8" s="136" t="str">
        <f>_xll.ohRangeRetrieveError(E8)</f>
        <v/>
      </c>
      <c r="G8" s="52"/>
    </row>
    <row r="9" spans="1:7" x14ac:dyDescent="0.2">
      <c r="A9" s="130"/>
      <c r="B9" s="138">
        <v>3</v>
      </c>
      <c r="C9" s="139" t="s">
        <v>174</v>
      </c>
      <c r="D9" s="138" t="str">
        <f>Currency&amp;$B9&amp;$C9&amp;QuoteSuffix</f>
        <v>USD3x6F_Quote</v>
      </c>
      <c r="E9" s="137" t="str">
        <f>_xll.qlSimpleQuote(D9,,RateTickValue,Permanent,Trigger,ObjectOverwrite)</f>
        <v>USD3x6F_Quote#0027</v>
      </c>
      <c r="F9" s="136" t="str">
        <f>_xll.ohRangeRetrieveError(E9)</f>
        <v/>
      </c>
      <c r="G9" s="52"/>
    </row>
    <row r="10" spans="1:7" x14ac:dyDescent="0.2">
      <c r="A10" s="130"/>
      <c r="B10" s="138">
        <v>4</v>
      </c>
      <c r="C10" s="139" t="s">
        <v>173</v>
      </c>
      <c r="D10" s="138" t="str">
        <f>Currency&amp;$B10&amp;$C10&amp;QuoteSuffix</f>
        <v>USD4x7F_Quote</v>
      </c>
      <c r="E10" s="137" t="str">
        <f>_xll.qlSimpleQuote(D10,,RateTickValue,Permanent,Trigger,ObjectOverwrite)</f>
        <v>USD4x7F_Quote#0027</v>
      </c>
      <c r="F10" s="136" t="str">
        <f>_xll.ohRangeRetrieveError(E10)</f>
        <v/>
      </c>
      <c r="G10" s="52"/>
    </row>
    <row r="11" spans="1:7" x14ac:dyDescent="0.2">
      <c r="A11" s="130"/>
      <c r="B11" s="138">
        <v>5</v>
      </c>
      <c r="C11" s="139" t="s">
        <v>172</v>
      </c>
      <c r="D11" s="138" t="str">
        <f>Currency&amp;$B11&amp;$C11&amp;QuoteSuffix</f>
        <v>USD5x8F_Quote</v>
      </c>
      <c r="E11" s="137" t="str">
        <f>_xll.qlSimpleQuote(D11,,RateTickValue,Permanent,Trigger,ObjectOverwrite)</f>
        <v>USD5x8F_Quote#0027</v>
      </c>
      <c r="F11" s="136" t="str">
        <f>_xll.ohRangeRetrieveError(E11)</f>
        <v/>
      </c>
      <c r="G11" s="52"/>
    </row>
    <row r="12" spans="1:7" x14ac:dyDescent="0.2">
      <c r="A12" s="130"/>
      <c r="B12" s="127">
        <v>6</v>
      </c>
      <c r="C12" s="131" t="s">
        <v>171</v>
      </c>
      <c r="D12" s="127" t="str">
        <f>Currency&amp;$B12&amp;$C12&amp;QuoteSuffix</f>
        <v>USD6x9F_Quote</v>
      </c>
      <c r="E12" s="126" t="str">
        <f>_xll.qlSimpleQuote(D12,,RateTickValue,Permanent,Trigger,ObjectOverwrite)</f>
        <v>USD6x9F_Quote#0027</v>
      </c>
      <c r="F12" s="125" t="str">
        <f>_xll.ohRangeRetrieveError(E12)</f>
        <v/>
      </c>
      <c r="G12" s="52"/>
    </row>
    <row r="13" spans="1:7" x14ac:dyDescent="0.2">
      <c r="A13" s="130"/>
      <c r="B13" s="134" t="s">
        <v>170</v>
      </c>
      <c r="C13" s="135" t="s">
        <v>166</v>
      </c>
      <c r="D13" s="134" t="str">
        <f>Currency&amp;$B13&amp;$C13&amp;QuoteSuffix</f>
        <v>USDT6F1_Quote</v>
      </c>
      <c r="E13" s="133" t="str">
        <f>_xll.qlSimpleQuote(D13,,RateTickValue,Permanent,Trigger,ObjectOverwrite)</f>
        <v>USDT6F1_Quote#0027</v>
      </c>
      <c r="F13" s="132" t="str">
        <f>_xll.ohRangeRetrieveError(E13)</f>
        <v/>
      </c>
      <c r="G13" s="52"/>
    </row>
    <row r="14" spans="1:7" x14ac:dyDescent="0.2">
      <c r="A14" s="130"/>
      <c r="B14" s="127" t="s">
        <v>169</v>
      </c>
      <c r="C14" s="131" t="s">
        <v>166</v>
      </c>
      <c r="D14" s="127" t="str">
        <f>Currency&amp;$B14&amp;$C14&amp;QuoteSuffix</f>
        <v>USDTOM6F1_Quote</v>
      </c>
      <c r="E14" s="126" t="str">
        <f>_xll.qlSimpleQuote(D14,,RateTickValue,Permanent,Trigger,ObjectOverwrite)</f>
        <v>USDTOM6F1_Quote#0027</v>
      </c>
      <c r="F14" s="125" t="str">
        <f>_xll.ohRangeRetrieveError(E14)</f>
        <v/>
      </c>
      <c r="G14" s="52"/>
    </row>
    <row r="15" spans="1:7" x14ac:dyDescent="0.2">
      <c r="A15" s="130"/>
      <c r="B15" s="134">
        <v>1</v>
      </c>
      <c r="C15" s="135" t="str">
        <f>"x"&amp;B15+6&amp;"F"</f>
        <v>x7F</v>
      </c>
      <c r="D15" s="134" t="str">
        <f>Currency&amp;$B15&amp;$C15&amp;QuoteSuffix</f>
        <v>USD1x7F_Quote</v>
      </c>
      <c r="E15" s="133" t="str">
        <f>_xll.qlSimpleQuote(D15,,RateTickValue,Permanent,Trigger,ObjectOverwrite)</f>
        <v>USD1x7F_Quote#0027</v>
      </c>
      <c r="F15" s="132" t="str">
        <f>_xll.ohRangeRetrieveError(E15)</f>
        <v/>
      </c>
      <c r="G15" s="52"/>
    </row>
    <row r="16" spans="1:7" x14ac:dyDescent="0.2">
      <c r="A16" s="130"/>
      <c r="B16" s="138">
        <v>2</v>
      </c>
      <c r="C16" s="139" t="str">
        <f>"x"&amp;B16+6&amp;"F"</f>
        <v>x8F</v>
      </c>
      <c r="D16" s="138" t="str">
        <f>Currency&amp;$B16&amp;$C16&amp;QuoteSuffix</f>
        <v>USD2x8F_Quote</v>
      </c>
      <c r="E16" s="137" t="str">
        <f>_xll.qlSimpleQuote(D16,,RateTickValue,Permanent,Trigger,ObjectOverwrite)</f>
        <v>USD2x8F_Quote#0027</v>
      </c>
      <c r="F16" s="136" t="str">
        <f>_xll.ohRangeRetrieveError(E16)</f>
        <v/>
      </c>
      <c r="G16" s="52"/>
    </row>
    <row r="17" spans="1:7" x14ac:dyDescent="0.2">
      <c r="A17" s="130"/>
      <c r="B17" s="138">
        <v>3</v>
      </c>
      <c r="C17" s="139" t="str">
        <f>"x"&amp;B17+6&amp;"F"</f>
        <v>x9F</v>
      </c>
      <c r="D17" s="138" t="str">
        <f>Currency&amp;$B17&amp;$C17&amp;QuoteSuffix</f>
        <v>USD3x9F_Quote</v>
      </c>
      <c r="E17" s="137" t="str">
        <f>_xll.qlSimpleQuote(D17,,RateTickValue,Permanent,Trigger,ObjectOverwrite)</f>
        <v>USD3x9F_Quote#0027</v>
      </c>
      <c r="F17" s="136" t="str">
        <f>_xll.ohRangeRetrieveError(E17)</f>
        <v/>
      </c>
      <c r="G17" s="52"/>
    </row>
    <row r="18" spans="1:7" x14ac:dyDescent="0.2">
      <c r="A18" s="130"/>
      <c r="B18" s="138">
        <v>4</v>
      </c>
      <c r="C18" s="139" t="str">
        <f>"x"&amp;B18+6&amp;"F"</f>
        <v>x10F</v>
      </c>
      <c r="D18" s="138" t="str">
        <f>Currency&amp;$B18&amp;$C18&amp;QuoteSuffix</f>
        <v>USD4x10F_Quote</v>
      </c>
      <c r="E18" s="137" t="str">
        <f>_xll.qlSimpleQuote(D18,,RateTickValue,Permanent,Trigger,ObjectOverwrite)</f>
        <v>USD4x10F_Quote#0027</v>
      </c>
      <c r="F18" s="136" t="str">
        <f>_xll.ohRangeRetrieveError(E18)</f>
        <v/>
      </c>
      <c r="G18" s="52"/>
    </row>
    <row r="19" spans="1:7" x14ac:dyDescent="0.2">
      <c r="A19" s="130"/>
      <c r="B19" s="138">
        <v>5</v>
      </c>
      <c r="C19" s="139" t="str">
        <f>"x"&amp;B19+6&amp;"F"</f>
        <v>x11F</v>
      </c>
      <c r="D19" s="138" t="str">
        <f>Currency&amp;$B19&amp;$C19&amp;QuoteSuffix</f>
        <v>USD5x11F_Quote</v>
      </c>
      <c r="E19" s="137" t="str">
        <f>_xll.qlSimpleQuote(D19,,RateTickValue,Permanent,Trigger,ObjectOverwrite)</f>
        <v>USD5x11F_Quote#0027</v>
      </c>
      <c r="F19" s="136" t="str">
        <f>_xll.ohRangeRetrieveError(E19)</f>
        <v/>
      </c>
      <c r="G19" s="52"/>
    </row>
    <row r="20" spans="1:7" x14ac:dyDescent="0.2">
      <c r="A20" s="130"/>
      <c r="B20" s="138">
        <v>6</v>
      </c>
      <c r="C20" s="139" t="str">
        <f>"x"&amp;B20+6&amp;"F"</f>
        <v>x12F</v>
      </c>
      <c r="D20" s="138" t="str">
        <f>Currency&amp;$B20&amp;$C20&amp;QuoteSuffix</f>
        <v>USD6x12F_Quote</v>
      </c>
      <c r="E20" s="137" t="str">
        <f>_xll.qlSimpleQuote(D20,,RateTickValue,Permanent,Trigger,ObjectOverwrite)</f>
        <v>USD6x12F_Quote#0027</v>
      </c>
      <c r="F20" s="136" t="str">
        <f>_xll.ohRangeRetrieveError(E20)</f>
        <v/>
      </c>
      <c r="G20" s="52"/>
    </row>
    <row r="21" spans="1:7" x14ac:dyDescent="0.2">
      <c r="A21" s="130"/>
      <c r="B21" s="138">
        <v>7</v>
      </c>
      <c r="C21" s="139" t="str">
        <f>"x"&amp;B21+6&amp;"F"</f>
        <v>x13F</v>
      </c>
      <c r="D21" s="138" t="str">
        <f>Currency&amp;$B21&amp;$C21&amp;QuoteSuffix</f>
        <v>USD7x13F_Quote</v>
      </c>
      <c r="E21" s="137" t="str">
        <f>_xll.qlSimpleQuote(D21,,RateTickValue,Permanent,Trigger,ObjectOverwrite)</f>
        <v>USD7x13F_Quote#0027</v>
      </c>
      <c r="F21" s="136" t="str">
        <f>_xll.ohRangeRetrieveError(E21)</f>
        <v/>
      </c>
      <c r="G21" s="52"/>
    </row>
    <row r="22" spans="1:7" x14ac:dyDescent="0.2">
      <c r="A22" s="130"/>
      <c r="B22" s="138">
        <v>8</v>
      </c>
      <c r="C22" s="139" t="str">
        <f>"x"&amp;B22+6&amp;"F"</f>
        <v>x14F</v>
      </c>
      <c r="D22" s="138" t="str">
        <f>Currency&amp;$B22&amp;$C22&amp;QuoteSuffix</f>
        <v>USD8x14F_Quote</v>
      </c>
      <c r="E22" s="137" t="str">
        <f>_xll.qlSimpleQuote(D22,,RateTickValue,Permanent,Trigger,ObjectOverwrite)</f>
        <v>USD8x14F_Quote#0027</v>
      </c>
      <c r="F22" s="136" t="str">
        <f>_xll.ohRangeRetrieveError(E22)</f>
        <v/>
      </c>
      <c r="G22" s="52"/>
    </row>
    <row r="23" spans="1:7" x14ac:dyDescent="0.2">
      <c r="A23" s="130"/>
      <c r="B23" s="138">
        <v>9</v>
      </c>
      <c r="C23" s="139" t="str">
        <f>"x"&amp;B23+6&amp;"F"</f>
        <v>x15F</v>
      </c>
      <c r="D23" s="138" t="str">
        <f>Currency&amp;$B23&amp;$C23&amp;QuoteSuffix</f>
        <v>USD9x15F_Quote</v>
      </c>
      <c r="E23" s="137" t="str">
        <f>_xll.qlSimpleQuote(D23,,RateTickValue,Permanent,Trigger,ObjectOverwrite)</f>
        <v>USD9x15F_Quote#0027</v>
      </c>
      <c r="F23" s="136" t="str">
        <f>_xll.ohRangeRetrieveError(E23)</f>
        <v/>
      </c>
      <c r="G23" s="52"/>
    </row>
    <row r="24" spans="1:7" x14ac:dyDescent="0.2">
      <c r="A24" s="130"/>
      <c r="B24" s="138">
        <v>10</v>
      </c>
      <c r="C24" s="139" t="str">
        <f>"x"&amp;B24+6&amp;"F"</f>
        <v>x16F</v>
      </c>
      <c r="D24" s="138" t="str">
        <f>Currency&amp;$B24&amp;$C24&amp;QuoteSuffix</f>
        <v>USD10x16F_Quote</v>
      </c>
      <c r="E24" s="137" t="str">
        <f>_xll.qlSimpleQuote(D24,,RateTickValue,Permanent,Trigger,ObjectOverwrite)</f>
        <v>USD10x16F_Quote#0027</v>
      </c>
      <c r="F24" s="136" t="str">
        <f>_xll.ohRangeRetrieveError(E24)</f>
        <v/>
      </c>
      <c r="G24" s="52"/>
    </row>
    <row r="25" spans="1:7" x14ac:dyDescent="0.2">
      <c r="A25" s="130"/>
      <c r="B25" s="138">
        <v>11</v>
      </c>
      <c r="C25" s="139" t="str">
        <f>"x"&amp;B25+6&amp;"F"</f>
        <v>x17F</v>
      </c>
      <c r="D25" s="138" t="str">
        <f>Currency&amp;$B25&amp;$C25&amp;QuoteSuffix</f>
        <v>USD11x17F_Quote</v>
      </c>
      <c r="E25" s="137" t="str">
        <f>_xll.qlSimpleQuote(D25,,RateTickValue,Permanent,Trigger,ObjectOverwrite)</f>
        <v>USD11x17F_Quote#0027</v>
      </c>
      <c r="F25" s="136" t="str">
        <f>_xll.ohRangeRetrieveError(E25)</f>
        <v/>
      </c>
      <c r="G25" s="52"/>
    </row>
    <row r="26" spans="1:7" x14ac:dyDescent="0.2">
      <c r="A26" s="130"/>
      <c r="B26" s="138">
        <v>12</v>
      </c>
      <c r="C26" s="139" t="str">
        <f>"x"&amp;B26+6&amp;"F"</f>
        <v>x18F</v>
      </c>
      <c r="D26" s="138" t="str">
        <f>Currency&amp;$B26&amp;$C26&amp;QuoteSuffix</f>
        <v>USD12x18F_Quote</v>
      </c>
      <c r="E26" s="137" t="str">
        <f>_xll.qlSimpleQuote(D26,,RateTickValue,Permanent,Trigger,ObjectOverwrite)</f>
        <v>USD12x18F_Quote#0027</v>
      </c>
      <c r="F26" s="136" t="str">
        <f>_xll.ohRangeRetrieveError(E26)</f>
        <v/>
      </c>
      <c r="G26" s="52"/>
    </row>
    <row r="27" spans="1:7" x14ac:dyDescent="0.2">
      <c r="A27" s="130"/>
      <c r="B27" s="138">
        <v>13</v>
      </c>
      <c r="C27" s="139" t="str">
        <f>"x"&amp;B27+6&amp;"F"</f>
        <v>x19F</v>
      </c>
      <c r="D27" s="138" t="str">
        <f>Currency&amp;$B27&amp;$C27&amp;QuoteSuffix</f>
        <v>USD13x19F_Quote</v>
      </c>
      <c r="E27" s="137" t="str">
        <f>_xll.qlSimpleQuote(D27,,RateTickValue,Permanent,Trigger,ObjectOverwrite)</f>
        <v>USD13x19F_Quote#0027</v>
      </c>
      <c r="F27" s="136" t="str">
        <f>_xll.ohRangeRetrieveError(E27)</f>
        <v/>
      </c>
      <c r="G27" s="52"/>
    </row>
    <row r="28" spans="1:7" x14ac:dyDescent="0.2">
      <c r="A28" s="130"/>
      <c r="B28" s="138">
        <v>14</v>
      </c>
      <c r="C28" s="139" t="str">
        <f>"x"&amp;B28+6&amp;"F"</f>
        <v>x20F</v>
      </c>
      <c r="D28" s="138" t="str">
        <f>Currency&amp;$B28&amp;$C28&amp;QuoteSuffix</f>
        <v>USD14x20F_Quote</v>
      </c>
      <c r="E28" s="137" t="str">
        <f>_xll.qlSimpleQuote(D28,,RateTickValue,Permanent,Trigger,ObjectOverwrite)</f>
        <v>USD14x20F_Quote#0027</v>
      </c>
      <c r="F28" s="136" t="str">
        <f>_xll.ohRangeRetrieveError(E28)</f>
        <v/>
      </c>
      <c r="G28" s="52"/>
    </row>
    <row r="29" spans="1:7" x14ac:dyDescent="0.2">
      <c r="A29" s="130"/>
      <c r="B29" s="138">
        <v>15</v>
      </c>
      <c r="C29" s="139" t="str">
        <f>"x"&amp;B29+6&amp;"F"</f>
        <v>x21F</v>
      </c>
      <c r="D29" s="138" t="str">
        <f>Currency&amp;$B29&amp;$C29&amp;QuoteSuffix</f>
        <v>USD15x21F_Quote</v>
      </c>
      <c r="E29" s="137" t="str">
        <f>_xll.qlSimpleQuote(D29,,RateTickValue,Permanent,Trigger,ObjectOverwrite)</f>
        <v>USD15x21F_Quote#0027</v>
      </c>
      <c r="F29" s="136" t="str">
        <f>_xll.ohRangeRetrieveError(E29)</f>
        <v/>
      </c>
      <c r="G29" s="52"/>
    </row>
    <row r="30" spans="1:7" x14ac:dyDescent="0.2">
      <c r="A30" s="130"/>
      <c r="B30" s="138">
        <v>16</v>
      </c>
      <c r="C30" s="139" t="str">
        <f>"x"&amp;B30+6&amp;"F"</f>
        <v>x22F</v>
      </c>
      <c r="D30" s="138" t="str">
        <f>Currency&amp;$B30&amp;$C30&amp;QuoteSuffix</f>
        <v>USD16x22F_Quote</v>
      </c>
      <c r="E30" s="137" t="str">
        <f>_xll.qlSimpleQuote(D30,,RateTickValue,Permanent,Trigger,ObjectOverwrite)</f>
        <v>USD16x22F_Quote#0027</v>
      </c>
      <c r="F30" s="136" t="str">
        <f>_xll.ohRangeRetrieveError(E30)</f>
        <v/>
      </c>
      <c r="G30" s="52"/>
    </row>
    <row r="31" spans="1:7" x14ac:dyDescent="0.2">
      <c r="A31" s="130"/>
      <c r="B31" s="138">
        <v>17</v>
      </c>
      <c r="C31" s="139" t="str">
        <f>"x"&amp;B31+6&amp;"F"</f>
        <v>x23F</v>
      </c>
      <c r="D31" s="138" t="str">
        <f>Currency&amp;$B31&amp;$C31&amp;QuoteSuffix</f>
        <v>USD17x23F_Quote</v>
      </c>
      <c r="E31" s="137" t="str">
        <f>_xll.qlSimpleQuote(D31,,RateTickValue,Permanent,Trigger,ObjectOverwrite)</f>
        <v>USD17x23F_Quote#0027</v>
      </c>
      <c r="F31" s="136" t="str">
        <f>_xll.ohRangeRetrieveError(E31)</f>
        <v/>
      </c>
      <c r="G31" s="52"/>
    </row>
    <row r="32" spans="1:7" x14ac:dyDescent="0.2">
      <c r="A32" s="130"/>
      <c r="B32" s="127">
        <v>18</v>
      </c>
      <c r="C32" s="131" t="str">
        <f>"x"&amp;B32+6&amp;"F"</f>
        <v>x24F</v>
      </c>
      <c r="D32" s="127" t="str">
        <f>Currency&amp;$B32&amp;$C32&amp;QuoteSuffix</f>
        <v>USD18x24F_Quote</v>
      </c>
      <c r="E32" s="126" t="str">
        <f>_xll.qlSimpleQuote(D32,,RateTickValue,Permanent,Trigger,ObjectOverwrite)</f>
        <v>USD18x24F_Quote#0027</v>
      </c>
      <c r="F32" s="125" t="str">
        <f>_xll.ohRangeRetrieveError(E32)</f>
        <v/>
      </c>
      <c r="G32" s="52"/>
    </row>
    <row r="33" spans="1:7" x14ac:dyDescent="0.2">
      <c r="A33" s="130"/>
      <c r="B33" s="134" t="s">
        <v>168</v>
      </c>
      <c r="C33" s="135" t="s">
        <v>166</v>
      </c>
      <c r="D33" s="134" t="str">
        <f>Currency&amp;$B33&amp;$C33&amp;QuoteSuffix</f>
        <v>USDT12F1_Quote</v>
      </c>
      <c r="E33" s="133" t="str">
        <f>_xll.qlSimpleQuote(D33,,RateTickValue,Permanent,Trigger,ObjectOverwrite)</f>
        <v>USDT12F1_Quote#0027</v>
      </c>
      <c r="F33" s="132" t="str">
        <f>_xll.ohRangeRetrieveError(E33)</f>
        <v/>
      </c>
      <c r="G33" s="52"/>
    </row>
    <row r="34" spans="1:7" x14ac:dyDescent="0.2">
      <c r="A34" s="130"/>
      <c r="B34" s="127" t="s">
        <v>167</v>
      </c>
      <c r="C34" s="131" t="s">
        <v>166</v>
      </c>
      <c r="D34" s="127" t="str">
        <f>Currency&amp;$B34&amp;$C34&amp;QuoteSuffix</f>
        <v>USDTOM12F1_Quote</v>
      </c>
      <c r="E34" s="126" t="str">
        <f>_xll.qlSimpleQuote(D34,,RateTickValue,Permanent,Trigger,ObjectOverwrite)</f>
        <v>USDTOM12F1_Quote#0027</v>
      </c>
      <c r="F34" s="125" t="str">
        <f>_xll.ohRangeRetrieveError(E34)</f>
        <v/>
      </c>
      <c r="G34" s="52"/>
    </row>
    <row r="35" spans="1:7" x14ac:dyDescent="0.2">
      <c r="A35" s="130"/>
      <c r="B35" s="129">
        <v>12</v>
      </c>
      <c r="C35" s="128" t="s">
        <v>165</v>
      </c>
      <c r="D35" s="127" t="str">
        <f>Currency&amp;$B35&amp;$C35&amp;QuoteSuffix</f>
        <v>USD12x24F_Quote</v>
      </c>
      <c r="E35" s="126" t="str">
        <f>_xll.qlSimpleQuote(D35,,RateTickValue,Permanent,Trigger,ObjectOverwrite)</f>
        <v>USD12x24F_Quote#0027</v>
      </c>
      <c r="F35" s="125" t="str">
        <f>_xll.ohRangeRetrieveError(E35)</f>
        <v/>
      </c>
      <c r="G35" s="52"/>
    </row>
    <row r="36" spans="1:7" ht="13.5" thickBot="1" x14ac:dyDescent="0.25">
      <c r="A36" s="51"/>
      <c r="B36" s="50"/>
      <c r="C36" s="50"/>
      <c r="D36" s="50"/>
      <c r="E36" s="124"/>
      <c r="F36" s="124"/>
      <c r="G36" s="49"/>
    </row>
  </sheetData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111" customWidth="1"/>
    <col min="2" max="2" width="3.5703125" style="111" bestFit="1" customWidth="1"/>
    <col min="3" max="3" width="5.7109375" style="111" bestFit="1" customWidth="1"/>
    <col min="4" max="4" width="6.140625" style="111" bestFit="1" customWidth="1"/>
    <col min="5" max="5" width="19.140625" style="111" bestFit="1" customWidth="1"/>
    <col min="6" max="6" width="20.140625" style="111" bestFit="1" customWidth="1"/>
    <col min="7" max="7" width="33.85546875" style="111" customWidth="1"/>
    <col min="8" max="8" width="4.5703125" style="111" customWidth="1"/>
    <col min="9" max="16384" width="9.140625" style="111"/>
  </cols>
  <sheetData>
    <row r="1" spans="1:8" x14ac:dyDescent="0.2">
      <c r="A1" s="166" t="s">
        <v>186</v>
      </c>
      <c r="B1" s="165"/>
      <c r="C1" s="165"/>
      <c r="D1" s="164" t="s">
        <v>184</v>
      </c>
      <c r="E1" s="164" t="s">
        <v>40</v>
      </c>
      <c r="F1" s="163"/>
      <c r="G1" s="163"/>
      <c r="H1" s="162"/>
    </row>
    <row r="2" spans="1:8" ht="22.5" x14ac:dyDescent="0.2">
      <c r="A2" s="161"/>
      <c r="B2" s="97" t="s">
        <v>183</v>
      </c>
      <c r="C2" s="98" t="s">
        <v>182</v>
      </c>
      <c r="D2" s="98" t="s">
        <v>181</v>
      </c>
      <c r="E2" s="96" t="str">
        <f>Currency&amp;"_010_"&amp;$D$1&amp;$E$1&amp;".xml"</f>
        <v>USD_010_FUT1M.xml</v>
      </c>
      <c r="F2" s="95">
        <f ca="1">IF(Serialize,_xll.ohObjectSave(F3:F122,SerializationPath&amp;E2,FileOverwrite,Serialize),"---")</f>
        <v>120</v>
      </c>
      <c r="G2" s="116" t="str">
        <f ca="1">_xll.ohRangeRetrieveError(F2)</f>
        <v/>
      </c>
      <c r="H2" s="149"/>
    </row>
    <row r="3" spans="1:8" x14ac:dyDescent="0.2">
      <c r="A3" s="155"/>
      <c r="B3" s="160">
        <v>1</v>
      </c>
      <c r="C3" s="159" t="b">
        <v>0</v>
      </c>
      <c r="D3" s="158" t="str">
        <f t="array" ref="D3:D122">_xll.qlIMMNextCodes(_xll.qlSettingsEvaluationDate(Trigger)-1,$C3:$C122)</f>
        <v>Z3</v>
      </c>
      <c r="E3" s="151" t="str">
        <f>Currency&amp;$D$1&amp;$E$1&amp;$D3&amp;QuoteSuffix</f>
        <v>USDFUT1MZ3_Quote</v>
      </c>
      <c r="F3" s="157" t="str">
        <f>_xll.qlSimpleQuote(E3,,PriceTickValue,Permanent,Trigger,ObjectOverwrite)</f>
        <v>USDFUT1MZ3_Quote#0026</v>
      </c>
      <c r="G3" s="156" t="str">
        <f>_xll.ohRangeRetrieveError(F3)</f>
        <v/>
      </c>
      <c r="H3" s="149"/>
    </row>
    <row r="4" spans="1:8" x14ac:dyDescent="0.2">
      <c r="A4" s="155"/>
      <c r="B4" s="154">
        <v>2</v>
      </c>
      <c r="C4" s="153" t="b">
        <v>0</v>
      </c>
      <c r="D4" s="152" t="str">
        <v>F4</v>
      </c>
      <c r="E4" s="151" t="str">
        <f>Currency&amp;$D$1&amp;$E$1&amp;$D4&amp;QuoteSuffix</f>
        <v>USDFUT1MF4_Quote</v>
      </c>
      <c r="F4" s="150" t="str">
        <f>_xll.qlSimpleQuote(E4,,PriceTickValue,Permanent,Trigger,ObjectOverwrite)</f>
        <v>USDFUT1MF4_Quote#0026</v>
      </c>
      <c r="G4" s="113" t="str">
        <f>_xll.ohRangeRetrieveError(F4)</f>
        <v/>
      </c>
      <c r="H4" s="149"/>
    </row>
    <row r="5" spans="1:8" x14ac:dyDescent="0.2">
      <c r="A5" s="155"/>
      <c r="B5" s="154">
        <v>3</v>
      </c>
      <c r="C5" s="153" t="b">
        <v>0</v>
      </c>
      <c r="D5" s="152" t="str">
        <v>G4</v>
      </c>
      <c r="E5" s="151" t="str">
        <f>Currency&amp;$D$1&amp;$E$1&amp;$D5&amp;QuoteSuffix</f>
        <v>USDFUT1MG4_Quote</v>
      </c>
      <c r="F5" s="150" t="str">
        <f>_xll.qlSimpleQuote(E5,,PriceTickValue,Permanent,Trigger,ObjectOverwrite)</f>
        <v>USDFUT1MG4_Quote#0026</v>
      </c>
      <c r="G5" s="113" t="str">
        <f>_xll.ohRangeRetrieveError(F5)</f>
        <v/>
      </c>
      <c r="H5" s="149"/>
    </row>
    <row r="6" spans="1:8" x14ac:dyDescent="0.2">
      <c r="A6" s="155"/>
      <c r="B6" s="154">
        <v>4</v>
      </c>
      <c r="C6" s="153" t="b">
        <v>0</v>
      </c>
      <c r="D6" s="152" t="str">
        <v>H4</v>
      </c>
      <c r="E6" s="151" t="str">
        <f>Currency&amp;$D$1&amp;$E$1&amp;$D6&amp;QuoteSuffix</f>
        <v>USDFUT1MH4_Quote</v>
      </c>
      <c r="F6" s="150" t="str">
        <f>_xll.qlSimpleQuote(E6,,PriceTickValue,Permanent,Trigger,ObjectOverwrite)</f>
        <v>USDFUT1MH4_Quote#0026</v>
      </c>
      <c r="G6" s="113" t="str">
        <f>_xll.ohRangeRetrieveError(F6)</f>
        <v/>
      </c>
      <c r="H6" s="149"/>
    </row>
    <row r="7" spans="1:8" x14ac:dyDescent="0.2">
      <c r="A7" s="155"/>
      <c r="B7" s="154">
        <v>5</v>
      </c>
      <c r="C7" s="153" t="b">
        <v>0</v>
      </c>
      <c r="D7" s="152" t="str">
        <v>J4</v>
      </c>
      <c r="E7" s="151" t="str">
        <f>Currency&amp;$D$1&amp;$E$1&amp;$D7&amp;QuoteSuffix</f>
        <v>USDFUT1MJ4_Quote</v>
      </c>
      <c r="F7" s="150" t="str">
        <f>_xll.qlSimpleQuote(E7,,PriceTickValue,Permanent,Trigger,ObjectOverwrite)</f>
        <v>USDFUT1MJ4_Quote#0026</v>
      </c>
      <c r="G7" s="113" t="str">
        <f>_xll.ohRangeRetrieveError(F7)</f>
        <v/>
      </c>
      <c r="H7" s="149"/>
    </row>
    <row r="8" spans="1:8" x14ac:dyDescent="0.2">
      <c r="A8" s="155"/>
      <c r="B8" s="154">
        <v>6</v>
      </c>
      <c r="C8" s="153" t="b">
        <v>0</v>
      </c>
      <c r="D8" s="152" t="str">
        <v>K4</v>
      </c>
      <c r="E8" s="151" t="str">
        <f>Currency&amp;$D$1&amp;$E$1&amp;$D8&amp;QuoteSuffix</f>
        <v>USDFUT1MK4_Quote</v>
      </c>
      <c r="F8" s="150" t="str">
        <f>_xll.qlSimpleQuote(E8,,PriceTickValue,Permanent,Trigger,ObjectOverwrite)</f>
        <v>USDFUT1MK4_Quote#0026</v>
      </c>
      <c r="G8" s="113" t="str">
        <f>_xll.ohRangeRetrieveError(F8)</f>
        <v/>
      </c>
      <c r="H8" s="149"/>
    </row>
    <row r="9" spans="1:8" x14ac:dyDescent="0.2">
      <c r="A9" s="155"/>
      <c r="B9" s="154">
        <v>7</v>
      </c>
      <c r="C9" s="153" t="b">
        <v>0</v>
      </c>
      <c r="D9" s="152" t="str">
        <v>M4</v>
      </c>
      <c r="E9" s="151" t="str">
        <f>Currency&amp;$D$1&amp;$E$1&amp;$D9&amp;QuoteSuffix</f>
        <v>USDFUT1MM4_Quote</v>
      </c>
      <c r="F9" s="150" t="str">
        <f>_xll.qlSimpleQuote(E9,,PriceTickValue,Permanent,Trigger,ObjectOverwrite)</f>
        <v>USDFUT1MM4_Quote#0026</v>
      </c>
      <c r="G9" s="113" t="str">
        <f>_xll.ohRangeRetrieveError(F9)</f>
        <v/>
      </c>
      <c r="H9" s="149"/>
    </row>
    <row r="10" spans="1:8" x14ac:dyDescent="0.2">
      <c r="A10" s="155"/>
      <c r="B10" s="154">
        <v>8</v>
      </c>
      <c r="C10" s="153" t="b">
        <v>0</v>
      </c>
      <c r="D10" s="152" t="str">
        <v>N4</v>
      </c>
      <c r="E10" s="151" t="str">
        <f>Currency&amp;$D$1&amp;$E$1&amp;$D10&amp;QuoteSuffix</f>
        <v>USDFUT1MN4_Quote</v>
      </c>
      <c r="F10" s="150" t="str">
        <f>_xll.qlSimpleQuote(E10,,PriceTickValue,Permanent,Trigger,ObjectOverwrite)</f>
        <v>USDFUT1MN4_Quote#0026</v>
      </c>
      <c r="G10" s="113" t="str">
        <f>_xll.ohRangeRetrieveError(F10)</f>
        <v/>
      </c>
      <c r="H10" s="149"/>
    </row>
    <row r="11" spans="1:8" x14ac:dyDescent="0.2">
      <c r="A11" s="155"/>
      <c r="B11" s="154">
        <v>9</v>
      </c>
      <c r="C11" s="153" t="b">
        <v>0</v>
      </c>
      <c r="D11" s="152" t="str">
        <v>Q4</v>
      </c>
      <c r="E11" s="151" t="str">
        <f>Currency&amp;$D$1&amp;$E$1&amp;$D11&amp;QuoteSuffix</f>
        <v>USDFUT1MQ4_Quote</v>
      </c>
      <c r="F11" s="150" t="str">
        <f>_xll.qlSimpleQuote(E11,,PriceTickValue,Permanent,Trigger,ObjectOverwrite)</f>
        <v>USDFUT1MQ4_Quote#0026</v>
      </c>
      <c r="G11" s="113" t="str">
        <f>_xll.ohRangeRetrieveError(F11)</f>
        <v/>
      </c>
      <c r="H11" s="149"/>
    </row>
    <row r="12" spans="1:8" x14ac:dyDescent="0.2">
      <c r="A12" s="155"/>
      <c r="B12" s="154">
        <v>10</v>
      </c>
      <c r="C12" s="153" t="b">
        <v>0</v>
      </c>
      <c r="D12" s="152" t="str">
        <v>U4</v>
      </c>
      <c r="E12" s="151" t="str">
        <f>Currency&amp;$D$1&amp;$E$1&amp;$D12&amp;QuoteSuffix</f>
        <v>USDFUT1MU4_Quote</v>
      </c>
      <c r="F12" s="150" t="str">
        <f>_xll.qlSimpleQuote(E12,,PriceTickValue,Permanent,Trigger,ObjectOverwrite)</f>
        <v>USDFUT1MU4_Quote#0026</v>
      </c>
      <c r="G12" s="113" t="str">
        <f>_xll.ohRangeRetrieveError(F12)</f>
        <v/>
      </c>
      <c r="H12" s="149"/>
    </row>
    <row r="13" spans="1:8" x14ac:dyDescent="0.2">
      <c r="A13" s="155"/>
      <c r="B13" s="154">
        <v>11</v>
      </c>
      <c r="C13" s="153" t="b">
        <v>0</v>
      </c>
      <c r="D13" s="152" t="str">
        <v>V4</v>
      </c>
      <c r="E13" s="151" t="str">
        <f>Currency&amp;$D$1&amp;$E$1&amp;$D13&amp;QuoteSuffix</f>
        <v>USDFUT1MV4_Quote</v>
      </c>
      <c r="F13" s="150" t="str">
        <f>_xll.qlSimpleQuote(E13,,PriceTickValue,Permanent,Trigger,ObjectOverwrite)</f>
        <v>USDFUT1MV4_Quote#0026</v>
      </c>
      <c r="G13" s="113" t="str">
        <f>_xll.ohRangeRetrieveError(F13)</f>
        <v/>
      </c>
      <c r="H13" s="149"/>
    </row>
    <row r="14" spans="1:8" x14ac:dyDescent="0.2">
      <c r="A14" s="155"/>
      <c r="B14" s="154">
        <v>12</v>
      </c>
      <c r="C14" s="153" t="b">
        <v>0</v>
      </c>
      <c r="D14" s="152" t="str">
        <v>X4</v>
      </c>
      <c r="E14" s="151" t="str">
        <f>Currency&amp;$D$1&amp;$E$1&amp;$D14&amp;QuoteSuffix</f>
        <v>USDFUT1MX4_Quote</v>
      </c>
      <c r="F14" s="150" t="str">
        <f>_xll.qlSimpleQuote(E14,,PriceTickValue,Permanent,Trigger,ObjectOverwrite)</f>
        <v>USDFUT1MX4_Quote#0026</v>
      </c>
      <c r="G14" s="113" t="str">
        <f>_xll.ohRangeRetrieveError(F14)</f>
        <v/>
      </c>
      <c r="H14" s="149"/>
    </row>
    <row r="15" spans="1:8" x14ac:dyDescent="0.2">
      <c r="A15" s="155"/>
      <c r="B15" s="154">
        <v>13</v>
      </c>
      <c r="C15" s="153" t="b">
        <v>0</v>
      </c>
      <c r="D15" s="152" t="str">
        <v>Z4</v>
      </c>
      <c r="E15" s="151" t="str">
        <f>Currency&amp;$D$1&amp;$E$1&amp;$D15&amp;QuoteSuffix</f>
        <v>USDFUT1MZ4_Quote</v>
      </c>
      <c r="F15" s="150" t="str">
        <f>_xll.qlSimpleQuote(E15,,PriceTickValue,Permanent,Trigger,ObjectOverwrite)</f>
        <v>USDFUT1MZ4_Quote#0026</v>
      </c>
      <c r="G15" s="113" t="str">
        <f>_xll.ohRangeRetrieveError(F15)</f>
        <v/>
      </c>
      <c r="H15" s="149"/>
    </row>
    <row r="16" spans="1:8" x14ac:dyDescent="0.2">
      <c r="A16" s="155"/>
      <c r="B16" s="154">
        <v>14</v>
      </c>
      <c r="C16" s="153" t="b">
        <v>0</v>
      </c>
      <c r="D16" s="152" t="str">
        <v>F5</v>
      </c>
      <c r="E16" s="151" t="str">
        <f>Currency&amp;$D$1&amp;$E$1&amp;$D16&amp;QuoteSuffix</f>
        <v>USDFUT1MF5_Quote</v>
      </c>
      <c r="F16" s="150" t="str">
        <f>_xll.qlSimpleQuote(E16,,PriceTickValue,Permanent,Trigger,ObjectOverwrite)</f>
        <v>USDFUT1MF5_Quote#0026</v>
      </c>
      <c r="G16" s="113" t="str">
        <f>_xll.ohRangeRetrieveError(F16)</f>
        <v/>
      </c>
      <c r="H16" s="149"/>
    </row>
    <row r="17" spans="1:8" x14ac:dyDescent="0.2">
      <c r="A17" s="155"/>
      <c r="B17" s="154">
        <v>15</v>
      </c>
      <c r="C17" s="153" t="b">
        <v>0</v>
      </c>
      <c r="D17" s="152" t="str">
        <v>G5</v>
      </c>
      <c r="E17" s="151" t="str">
        <f>Currency&amp;$D$1&amp;$E$1&amp;$D17&amp;QuoteSuffix</f>
        <v>USDFUT1MG5_Quote</v>
      </c>
      <c r="F17" s="150" t="str">
        <f>_xll.qlSimpleQuote(E17,,PriceTickValue,Permanent,Trigger,ObjectOverwrite)</f>
        <v>USDFUT1MG5_Quote#0026</v>
      </c>
      <c r="G17" s="113" t="str">
        <f>_xll.ohRangeRetrieveError(F17)</f>
        <v/>
      </c>
      <c r="H17" s="149"/>
    </row>
    <row r="18" spans="1:8" x14ac:dyDescent="0.2">
      <c r="A18" s="155"/>
      <c r="B18" s="154">
        <v>16</v>
      </c>
      <c r="C18" s="153" t="b">
        <v>0</v>
      </c>
      <c r="D18" s="152" t="str">
        <v>H5</v>
      </c>
      <c r="E18" s="151" t="str">
        <f>Currency&amp;$D$1&amp;$E$1&amp;$D18&amp;QuoteSuffix</f>
        <v>USDFUT1MH5_Quote</v>
      </c>
      <c r="F18" s="150" t="str">
        <f>_xll.qlSimpleQuote(E18,,PriceTickValue,Permanent,Trigger,ObjectOverwrite)</f>
        <v>USDFUT1MH5_Quote#0026</v>
      </c>
      <c r="G18" s="113" t="str">
        <f>_xll.ohRangeRetrieveError(F18)</f>
        <v/>
      </c>
      <c r="H18" s="149"/>
    </row>
    <row r="19" spans="1:8" x14ac:dyDescent="0.2">
      <c r="A19" s="155"/>
      <c r="B19" s="154">
        <v>17</v>
      </c>
      <c r="C19" s="153" t="b">
        <v>0</v>
      </c>
      <c r="D19" s="152" t="str">
        <v>J5</v>
      </c>
      <c r="E19" s="151" t="str">
        <f>Currency&amp;$D$1&amp;$E$1&amp;$D19&amp;QuoteSuffix</f>
        <v>USDFUT1MJ5_Quote</v>
      </c>
      <c r="F19" s="150" t="str">
        <f>_xll.qlSimpleQuote(E19,,PriceTickValue,Permanent,Trigger,ObjectOverwrite)</f>
        <v>USDFUT1MJ5_Quote#0026</v>
      </c>
      <c r="G19" s="113" t="str">
        <f>_xll.ohRangeRetrieveError(F19)</f>
        <v/>
      </c>
      <c r="H19" s="149"/>
    </row>
    <row r="20" spans="1:8" x14ac:dyDescent="0.2">
      <c r="A20" s="155"/>
      <c r="B20" s="154">
        <v>18</v>
      </c>
      <c r="C20" s="153" t="b">
        <v>0</v>
      </c>
      <c r="D20" s="152" t="str">
        <v>K5</v>
      </c>
      <c r="E20" s="151" t="str">
        <f>Currency&amp;$D$1&amp;$E$1&amp;$D20&amp;QuoteSuffix</f>
        <v>USDFUT1MK5_Quote</v>
      </c>
      <c r="F20" s="150" t="str">
        <f>_xll.qlSimpleQuote(E20,,PriceTickValue,Permanent,Trigger,ObjectOverwrite)</f>
        <v>USDFUT1MK5_Quote#0026</v>
      </c>
      <c r="G20" s="113" t="str">
        <f>_xll.ohRangeRetrieveError(F20)</f>
        <v/>
      </c>
      <c r="H20" s="149"/>
    </row>
    <row r="21" spans="1:8" x14ac:dyDescent="0.2">
      <c r="A21" s="155"/>
      <c r="B21" s="154">
        <v>19</v>
      </c>
      <c r="C21" s="153" t="b">
        <v>0</v>
      </c>
      <c r="D21" s="152" t="str">
        <v>M5</v>
      </c>
      <c r="E21" s="151" t="str">
        <f>Currency&amp;$D$1&amp;$E$1&amp;$D21&amp;QuoteSuffix</f>
        <v>USDFUT1MM5_Quote</v>
      </c>
      <c r="F21" s="150" t="str">
        <f>_xll.qlSimpleQuote(E21,,PriceTickValue,Permanent,Trigger,ObjectOverwrite)</f>
        <v>USDFUT1MM5_Quote#0026</v>
      </c>
      <c r="G21" s="113" t="str">
        <f>_xll.ohRangeRetrieveError(F21)</f>
        <v/>
      </c>
      <c r="H21" s="149"/>
    </row>
    <row r="22" spans="1:8" x14ac:dyDescent="0.2">
      <c r="A22" s="155"/>
      <c r="B22" s="154">
        <v>20</v>
      </c>
      <c r="C22" s="153" t="b">
        <v>0</v>
      </c>
      <c r="D22" s="152" t="str">
        <v>N5</v>
      </c>
      <c r="E22" s="151" t="str">
        <f>Currency&amp;$D$1&amp;$E$1&amp;$D22&amp;QuoteSuffix</f>
        <v>USDFUT1MN5_Quote</v>
      </c>
      <c r="F22" s="150" t="str">
        <f>_xll.qlSimpleQuote(E22,,PriceTickValue,Permanent,Trigger,ObjectOverwrite)</f>
        <v>USDFUT1MN5_Quote#0026</v>
      </c>
      <c r="G22" s="113" t="str">
        <f>_xll.ohRangeRetrieveError(F22)</f>
        <v/>
      </c>
      <c r="H22" s="149"/>
    </row>
    <row r="23" spans="1:8" x14ac:dyDescent="0.2">
      <c r="A23" s="155"/>
      <c r="B23" s="154">
        <v>21</v>
      </c>
      <c r="C23" s="153" t="b">
        <v>0</v>
      </c>
      <c r="D23" s="152" t="str">
        <v>Q5</v>
      </c>
      <c r="E23" s="151" t="str">
        <f>Currency&amp;$D$1&amp;$E$1&amp;$D23&amp;QuoteSuffix</f>
        <v>USDFUT1MQ5_Quote</v>
      </c>
      <c r="F23" s="150" t="str">
        <f>_xll.qlSimpleQuote(E23,,PriceTickValue,Permanent,Trigger,ObjectOverwrite)</f>
        <v>USDFUT1MQ5_Quote#0026</v>
      </c>
      <c r="G23" s="113" t="str">
        <f>_xll.ohRangeRetrieveError(F23)</f>
        <v/>
      </c>
      <c r="H23" s="149"/>
    </row>
    <row r="24" spans="1:8" x14ac:dyDescent="0.2">
      <c r="A24" s="155"/>
      <c r="B24" s="154">
        <v>22</v>
      </c>
      <c r="C24" s="153" t="b">
        <v>0</v>
      </c>
      <c r="D24" s="152" t="str">
        <v>U5</v>
      </c>
      <c r="E24" s="151" t="str">
        <f>Currency&amp;$D$1&amp;$E$1&amp;$D24&amp;QuoteSuffix</f>
        <v>USDFUT1MU5_Quote</v>
      </c>
      <c r="F24" s="150" t="str">
        <f>_xll.qlSimpleQuote(E24,,PriceTickValue,Permanent,Trigger,ObjectOverwrite)</f>
        <v>USDFUT1MU5_Quote#0026</v>
      </c>
      <c r="G24" s="113" t="str">
        <f>_xll.ohRangeRetrieveError(F24)</f>
        <v/>
      </c>
      <c r="H24" s="149"/>
    </row>
    <row r="25" spans="1:8" x14ac:dyDescent="0.2">
      <c r="A25" s="155"/>
      <c r="B25" s="154">
        <v>23</v>
      </c>
      <c r="C25" s="153" t="b">
        <v>0</v>
      </c>
      <c r="D25" s="152" t="str">
        <v>V5</v>
      </c>
      <c r="E25" s="151" t="str">
        <f>Currency&amp;$D$1&amp;$E$1&amp;$D25&amp;QuoteSuffix</f>
        <v>USDFUT1MV5_Quote</v>
      </c>
      <c r="F25" s="150" t="str">
        <f>_xll.qlSimpleQuote(E25,,PriceTickValue,Permanent,Trigger,ObjectOverwrite)</f>
        <v>USDFUT1MV5_Quote#0026</v>
      </c>
      <c r="G25" s="113" t="str">
        <f>_xll.ohRangeRetrieveError(F25)</f>
        <v/>
      </c>
      <c r="H25" s="149"/>
    </row>
    <row r="26" spans="1:8" x14ac:dyDescent="0.2">
      <c r="A26" s="155"/>
      <c r="B26" s="154">
        <v>24</v>
      </c>
      <c r="C26" s="153" t="b">
        <v>0</v>
      </c>
      <c r="D26" s="152" t="str">
        <v>X5</v>
      </c>
      <c r="E26" s="151" t="str">
        <f>Currency&amp;$D$1&amp;$E$1&amp;$D26&amp;QuoteSuffix</f>
        <v>USDFUT1MX5_Quote</v>
      </c>
      <c r="F26" s="150" t="str">
        <f>_xll.qlSimpleQuote(E26,,PriceTickValue,Permanent,Trigger,ObjectOverwrite)</f>
        <v>USDFUT1MX5_Quote#0026</v>
      </c>
      <c r="G26" s="113" t="str">
        <f>_xll.ohRangeRetrieveError(F26)</f>
        <v/>
      </c>
      <c r="H26" s="149"/>
    </row>
    <row r="27" spans="1:8" x14ac:dyDescent="0.2">
      <c r="A27" s="155"/>
      <c r="B27" s="154">
        <v>25</v>
      </c>
      <c r="C27" s="153" t="b">
        <v>0</v>
      </c>
      <c r="D27" s="152" t="str">
        <v>Z5</v>
      </c>
      <c r="E27" s="151" t="str">
        <f>Currency&amp;$D$1&amp;$E$1&amp;$D27&amp;QuoteSuffix</f>
        <v>USDFUT1MZ5_Quote</v>
      </c>
      <c r="F27" s="150" t="str">
        <f>_xll.qlSimpleQuote(E27,,PriceTickValue,Permanent,Trigger,ObjectOverwrite)</f>
        <v>USDFUT1MZ5_Quote#0026</v>
      </c>
      <c r="G27" s="113" t="str">
        <f>_xll.ohRangeRetrieveError(F27)</f>
        <v/>
      </c>
      <c r="H27" s="149"/>
    </row>
    <row r="28" spans="1:8" x14ac:dyDescent="0.2">
      <c r="A28" s="155"/>
      <c r="B28" s="154">
        <v>26</v>
      </c>
      <c r="C28" s="153" t="b">
        <v>0</v>
      </c>
      <c r="D28" s="152" t="str">
        <v>F6</v>
      </c>
      <c r="E28" s="151" t="str">
        <f>Currency&amp;$D$1&amp;$E$1&amp;$D28&amp;QuoteSuffix</f>
        <v>USDFUT1MF6_Quote</v>
      </c>
      <c r="F28" s="150" t="str">
        <f>_xll.qlSimpleQuote(E28,,PriceTickValue,Permanent,Trigger,ObjectOverwrite)</f>
        <v>USDFUT1MF6_Quote#0026</v>
      </c>
      <c r="G28" s="113" t="str">
        <f>_xll.ohRangeRetrieveError(F28)</f>
        <v/>
      </c>
      <c r="H28" s="149"/>
    </row>
    <row r="29" spans="1:8" x14ac:dyDescent="0.2">
      <c r="A29" s="155"/>
      <c r="B29" s="154">
        <v>27</v>
      </c>
      <c r="C29" s="153" t="b">
        <v>0</v>
      </c>
      <c r="D29" s="152" t="str">
        <v>G6</v>
      </c>
      <c r="E29" s="151" t="str">
        <f>Currency&amp;$D$1&amp;$E$1&amp;$D29&amp;QuoteSuffix</f>
        <v>USDFUT1MG6_Quote</v>
      </c>
      <c r="F29" s="150" t="str">
        <f>_xll.qlSimpleQuote(E29,,PriceTickValue,Permanent,Trigger,ObjectOverwrite)</f>
        <v>USDFUT1MG6_Quote#0026</v>
      </c>
      <c r="G29" s="113" t="str">
        <f>_xll.ohRangeRetrieveError(F29)</f>
        <v/>
      </c>
      <c r="H29" s="149"/>
    </row>
    <row r="30" spans="1:8" x14ac:dyDescent="0.2">
      <c r="A30" s="155"/>
      <c r="B30" s="154">
        <v>28</v>
      </c>
      <c r="C30" s="153" t="b">
        <v>0</v>
      </c>
      <c r="D30" s="152" t="str">
        <v>H6</v>
      </c>
      <c r="E30" s="151" t="str">
        <f>Currency&amp;$D$1&amp;$E$1&amp;$D30&amp;QuoteSuffix</f>
        <v>USDFUT1MH6_Quote</v>
      </c>
      <c r="F30" s="150" t="str">
        <f>_xll.qlSimpleQuote(E30,,PriceTickValue,Permanent,Trigger,ObjectOverwrite)</f>
        <v>USDFUT1MH6_Quote#0026</v>
      </c>
      <c r="G30" s="113" t="str">
        <f>_xll.ohRangeRetrieveError(F30)</f>
        <v/>
      </c>
      <c r="H30" s="149"/>
    </row>
    <row r="31" spans="1:8" x14ac:dyDescent="0.2">
      <c r="A31" s="155"/>
      <c r="B31" s="154">
        <v>29</v>
      </c>
      <c r="C31" s="153" t="b">
        <v>0</v>
      </c>
      <c r="D31" s="152" t="str">
        <v>J6</v>
      </c>
      <c r="E31" s="151" t="str">
        <f>Currency&amp;$D$1&amp;$E$1&amp;$D31&amp;QuoteSuffix</f>
        <v>USDFUT1MJ6_Quote</v>
      </c>
      <c r="F31" s="150" t="str">
        <f>_xll.qlSimpleQuote(E31,,PriceTickValue,Permanent,Trigger,ObjectOverwrite)</f>
        <v>USDFUT1MJ6_Quote#0026</v>
      </c>
      <c r="G31" s="113" t="str">
        <f>_xll.ohRangeRetrieveError(F31)</f>
        <v/>
      </c>
      <c r="H31" s="149"/>
    </row>
    <row r="32" spans="1:8" x14ac:dyDescent="0.2">
      <c r="A32" s="155"/>
      <c r="B32" s="154">
        <v>30</v>
      </c>
      <c r="C32" s="153" t="b">
        <v>0</v>
      </c>
      <c r="D32" s="152" t="str">
        <v>K6</v>
      </c>
      <c r="E32" s="151" t="str">
        <f>Currency&amp;$D$1&amp;$E$1&amp;$D32&amp;QuoteSuffix</f>
        <v>USDFUT1MK6_Quote</v>
      </c>
      <c r="F32" s="150" t="str">
        <f>_xll.qlSimpleQuote(E32,,PriceTickValue,Permanent,Trigger,ObjectOverwrite)</f>
        <v>USDFUT1MK6_Quote#0026</v>
      </c>
      <c r="G32" s="113" t="str">
        <f>_xll.ohRangeRetrieveError(F32)</f>
        <v/>
      </c>
      <c r="H32" s="149"/>
    </row>
    <row r="33" spans="1:8" x14ac:dyDescent="0.2">
      <c r="A33" s="155"/>
      <c r="B33" s="154">
        <v>31</v>
      </c>
      <c r="C33" s="153" t="b">
        <v>0</v>
      </c>
      <c r="D33" s="152" t="str">
        <v>M6</v>
      </c>
      <c r="E33" s="151" t="str">
        <f>Currency&amp;$D$1&amp;$E$1&amp;$D33&amp;QuoteSuffix</f>
        <v>USDFUT1MM6_Quote</v>
      </c>
      <c r="F33" s="150" t="str">
        <f>_xll.qlSimpleQuote(E33,,PriceTickValue,Permanent,Trigger,ObjectOverwrite)</f>
        <v>USDFUT1MM6_Quote#0026</v>
      </c>
      <c r="G33" s="113" t="str">
        <f>_xll.ohRangeRetrieveError(F33)</f>
        <v/>
      </c>
      <c r="H33" s="149"/>
    </row>
    <row r="34" spans="1:8" x14ac:dyDescent="0.2">
      <c r="A34" s="155"/>
      <c r="B34" s="154">
        <v>32</v>
      </c>
      <c r="C34" s="153" t="b">
        <v>0</v>
      </c>
      <c r="D34" s="152" t="str">
        <v>N6</v>
      </c>
      <c r="E34" s="151" t="str">
        <f>Currency&amp;$D$1&amp;$E$1&amp;$D34&amp;QuoteSuffix</f>
        <v>USDFUT1MN6_Quote</v>
      </c>
      <c r="F34" s="150" t="str">
        <f>_xll.qlSimpleQuote(E34,,PriceTickValue,Permanent,Trigger,ObjectOverwrite)</f>
        <v>USDFUT1MN6_Quote#0026</v>
      </c>
      <c r="G34" s="113" t="str">
        <f>_xll.ohRangeRetrieveError(F34)</f>
        <v/>
      </c>
      <c r="H34" s="149"/>
    </row>
    <row r="35" spans="1:8" x14ac:dyDescent="0.2">
      <c r="A35" s="155"/>
      <c r="B35" s="154">
        <v>33</v>
      </c>
      <c r="C35" s="153" t="b">
        <v>0</v>
      </c>
      <c r="D35" s="152" t="str">
        <v>Q6</v>
      </c>
      <c r="E35" s="151" t="str">
        <f>Currency&amp;$D$1&amp;$E$1&amp;$D35&amp;QuoteSuffix</f>
        <v>USDFUT1MQ6_Quote</v>
      </c>
      <c r="F35" s="150" t="str">
        <f>_xll.qlSimpleQuote(E35,,PriceTickValue,Permanent,Trigger,ObjectOverwrite)</f>
        <v>USDFUT1MQ6_Quote#0026</v>
      </c>
      <c r="G35" s="113" t="str">
        <f>_xll.ohRangeRetrieveError(F35)</f>
        <v/>
      </c>
      <c r="H35" s="149"/>
    </row>
    <row r="36" spans="1:8" x14ac:dyDescent="0.2">
      <c r="A36" s="155"/>
      <c r="B36" s="154">
        <v>34</v>
      </c>
      <c r="C36" s="153" t="b">
        <v>0</v>
      </c>
      <c r="D36" s="152" t="str">
        <v>U6</v>
      </c>
      <c r="E36" s="151" t="str">
        <f>Currency&amp;$D$1&amp;$E$1&amp;$D36&amp;QuoteSuffix</f>
        <v>USDFUT1MU6_Quote</v>
      </c>
      <c r="F36" s="150" t="str">
        <f>_xll.qlSimpleQuote(E36,,PriceTickValue,Permanent,Trigger,ObjectOverwrite)</f>
        <v>USDFUT1MU6_Quote#0026</v>
      </c>
      <c r="G36" s="113" t="str">
        <f>_xll.ohRangeRetrieveError(F36)</f>
        <v/>
      </c>
      <c r="H36" s="149"/>
    </row>
    <row r="37" spans="1:8" x14ac:dyDescent="0.2">
      <c r="A37" s="155"/>
      <c r="B37" s="154">
        <v>35</v>
      </c>
      <c r="C37" s="153" t="b">
        <v>0</v>
      </c>
      <c r="D37" s="152" t="str">
        <v>V6</v>
      </c>
      <c r="E37" s="151" t="str">
        <f>Currency&amp;$D$1&amp;$E$1&amp;$D37&amp;QuoteSuffix</f>
        <v>USDFUT1MV6_Quote</v>
      </c>
      <c r="F37" s="150" t="str">
        <f>_xll.qlSimpleQuote(E37,,PriceTickValue,Permanent,Trigger,ObjectOverwrite)</f>
        <v>USDFUT1MV6_Quote#0026</v>
      </c>
      <c r="G37" s="113" t="str">
        <f>_xll.ohRangeRetrieveError(F37)</f>
        <v/>
      </c>
      <c r="H37" s="149"/>
    </row>
    <row r="38" spans="1:8" x14ac:dyDescent="0.2">
      <c r="A38" s="155"/>
      <c r="B38" s="154">
        <v>36</v>
      </c>
      <c r="C38" s="153" t="b">
        <v>0</v>
      </c>
      <c r="D38" s="152" t="str">
        <v>X6</v>
      </c>
      <c r="E38" s="151" t="str">
        <f>Currency&amp;$D$1&amp;$E$1&amp;$D38&amp;QuoteSuffix</f>
        <v>USDFUT1MX6_Quote</v>
      </c>
      <c r="F38" s="150" t="str">
        <f>_xll.qlSimpleQuote(E38,,PriceTickValue,Permanent,Trigger,ObjectOverwrite)</f>
        <v>USDFUT1MX6_Quote#0026</v>
      </c>
      <c r="G38" s="113" t="str">
        <f>_xll.ohRangeRetrieveError(F38)</f>
        <v/>
      </c>
      <c r="H38" s="149"/>
    </row>
    <row r="39" spans="1:8" x14ac:dyDescent="0.2">
      <c r="A39" s="155"/>
      <c r="B39" s="154">
        <v>37</v>
      </c>
      <c r="C39" s="153" t="b">
        <v>0</v>
      </c>
      <c r="D39" s="152" t="str">
        <v>Z6</v>
      </c>
      <c r="E39" s="151" t="str">
        <f>Currency&amp;$D$1&amp;$E$1&amp;$D39&amp;QuoteSuffix</f>
        <v>USDFUT1MZ6_Quote</v>
      </c>
      <c r="F39" s="150" t="str">
        <f>_xll.qlSimpleQuote(E39,,PriceTickValue,Permanent,Trigger,ObjectOverwrite)</f>
        <v>USDFUT1MZ6_Quote#0026</v>
      </c>
      <c r="G39" s="113" t="str">
        <f>_xll.ohRangeRetrieveError(F39)</f>
        <v/>
      </c>
      <c r="H39" s="149"/>
    </row>
    <row r="40" spans="1:8" x14ac:dyDescent="0.2">
      <c r="A40" s="155"/>
      <c r="B40" s="154">
        <v>38</v>
      </c>
      <c r="C40" s="153" t="b">
        <v>0</v>
      </c>
      <c r="D40" s="152" t="str">
        <v>F7</v>
      </c>
      <c r="E40" s="151" t="str">
        <f>Currency&amp;$D$1&amp;$E$1&amp;$D40&amp;QuoteSuffix</f>
        <v>USDFUT1MF7_Quote</v>
      </c>
      <c r="F40" s="150" t="str">
        <f>_xll.qlSimpleQuote(E40,,PriceTickValue,Permanent,Trigger,ObjectOverwrite)</f>
        <v>USDFUT1MF7_Quote#0026</v>
      </c>
      <c r="G40" s="113" t="str">
        <f>_xll.ohRangeRetrieveError(F40)</f>
        <v/>
      </c>
      <c r="H40" s="149"/>
    </row>
    <row r="41" spans="1:8" x14ac:dyDescent="0.2">
      <c r="A41" s="155"/>
      <c r="B41" s="154">
        <v>39</v>
      </c>
      <c r="C41" s="153" t="b">
        <v>0</v>
      </c>
      <c r="D41" s="152" t="str">
        <v>G7</v>
      </c>
      <c r="E41" s="151" t="str">
        <f>Currency&amp;$D$1&amp;$E$1&amp;$D41&amp;QuoteSuffix</f>
        <v>USDFUT1MG7_Quote</v>
      </c>
      <c r="F41" s="150" t="str">
        <f>_xll.qlSimpleQuote(E41,,PriceTickValue,Permanent,Trigger,ObjectOverwrite)</f>
        <v>USDFUT1MG7_Quote#0026</v>
      </c>
      <c r="G41" s="113" t="str">
        <f>_xll.ohRangeRetrieveError(F41)</f>
        <v/>
      </c>
      <c r="H41" s="149"/>
    </row>
    <row r="42" spans="1:8" x14ac:dyDescent="0.2">
      <c r="A42" s="155"/>
      <c r="B42" s="154">
        <v>40</v>
      </c>
      <c r="C42" s="153" t="b">
        <v>0</v>
      </c>
      <c r="D42" s="152" t="str">
        <v>H7</v>
      </c>
      <c r="E42" s="151" t="str">
        <f>Currency&amp;$D$1&amp;$E$1&amp;$D42&amp;QuoteSuffix</f>
        <v>USDFUT1MH7_Quote</v>
      </c>
      <c r="F42" s="150" t="str">
        <f>_xll.qlSimpleQuote(E42,,PriceTickValue,Permanent,Trigger,ObjectOverwrite)</f>
        <v>USDFUT1MH7_Quote#0026</v>
      </c>
      <c r="G42" s="113" t="str">
        <f>_xll.ohRangeRetrieveError(F42)</f>
        <v/>
      </c>
      <c r="H42" s="149"/>
    </row>
    <row r="43" spans="1:8" x14ac:dyDescent="0.2">
      <c r="A43" s="155"/>
      <c r="B43" s="154">
        <v>41</v>
      </c>
      <c r="C43" s="153" t="b">
        <v>0</v>
      </c>
      <c r="D43" s="152" t="str">
        <v>J7</v>
      </c>
      <c r="E43" s="151" t="str">
        <f>Currency&amp;$D$1&amp;$E$1&amp;$D43&amp;QuoteSuffix</f>
        <v>USDFUT1MJ7_Quote</v>
      </c>
      <c r="F43" s="150" t="str">
        <f>_xll.qlSimpleQuote(E43,,PriceTickValue,Permanent,Trigger,ObjectOverwrite)</f>
        <v>USDFUT1MJ7_Quote#0026</v>
      </c>
      <c r="G43" s="113" t="str">
        <f>_xll.ohRangeRetrieveError(F43)</f>
        <v/>
      </c>
      <c r="H43" s="149"/>
    </row>
    <row r="44" spans="1:8" x14ac:dyDescent="0.2">
      <c r="A44" s="155"/>
      <c r="B44" s="154">
        <v>42</v>
      </c>
      <c r="C44" s="153" t="b">
        <v>0</v>
      </c>
      <c r="D44" s="152" t="str">
        <v>K7</v>
      </c>
      <c r="E44" s="151" t="str">
        <f>Currency&amp;$D$1&amp;$E$1&amp;$D44&amp;QuoteSuffix</f>
        <v>USDFUT1MK7_Quote</v>
      </c>
      <c r="F44" s="150" t="str">
        <f>_xll.qlSimpleQuote(E44,,PriceTickValue,Permanent,Trigger,ObjectOverwrite)</f>
        <v>USDFUT1MK7_Quote#0026</v>
      </c>
      <c r="G44" s="113" t="str">
        <f>_xll.ohRangeRetrieveError(F44)</f>
        <v/>
      </c>
      <c r="H44" s="149"/>
    </row>
    <row r="45" spans="1:8" x14ac:dyDescent="0.2">
      <c r="A45" s="155"/>
      <c r="B45" s="154">
        <v>43</v>
      </c>
      <c r="C45" s="153" t="b">
        <v>0</v>
      </c>
      <c r="D45" s="152" t="str">
        <v>M7</v>
      </c>
      <c r="E45" s="151" t="str">
        <f>Currency&amp;$D$1&amp;$E$1&amp;$D45&amp;QuoteSuffix</f>
        <v>USDFUT1MM7_Quote</v>
      </c>
      <c r="F45" s="150" t="str">
        <f>_xll.qlSimpleQuote(E45,,PriceTickValue,Permanent,Trigger,ObjectOverwrite)</f>
        <v>USDFUT1MM7_Quote#0026</v>
      </c>
      <c r="G45" s="113" t="str">
        <f>_xll.ohRangeRetrieveError(F45)</f>
        <v/>
      </c>
      <c r="H45" s="149"/>
    </row>
    <row r="46" spans="1:8" x14ac:dyDescent="0.2">
      <c r="A46" s="155"/>
      <c r="B46" s="154">
        <v>44</v>
      </c>
      <c r="C46" s="153" t="b">
        <v>0</v>
      </c>
      <c r="D46" s="152" t="str">
        <v>N7</v>
      </c>
      <c r="E46" s="151" t="str">
        <f>Currency&amp;$D$1&amp;$E$1&amp;$D46&amp;QuoteSuffix</f>
        <v>USDFUT1MN7_Quote</v>
      </c>
      <c r="F46" s="150" t="str">
        <f>_xll.qlSimpleQuote(E46,,PriceTickValue,Permanent,Trigger,ObjectOverwrite)</f>
        <v>USDFUT1MN7_Quote#0026</v>
      </c>
      <c r="G46" s="113" t="str">
        <f>_xll.ohRangeRetrieveError(F46)</f>
        <v/>
      </c>
      <c r="H46" s="149"/>
    </row>
    <row r="47" spans="1:8" x14ac:dyDescent="0.2">
      <c r="A47" s="155"/>
      <c r="B47" s="154">
        <v>45</v>
      </c>
      <c r="C47" s="153" t="b">
        <v>0</v>
      </c>
      <c r="D47" s="152" t="str">
        <v>Q7</v>
      </c>
      <c r="E47" s="151" t="str">
        <f>Currency&amp;$D$1&amp;$E$1&amp;$D47&amp;QuoteSuffix</f>
        <v>USDFUT1MQ7_Quote</v>
      </c>
      <c r="F47" s="150" t="str">
        <f>_xll.qlSimpleQuote(E47,,PriceTickValue,Permanent,Trigger,ObjectOverwrite)</f>
        <v>USDFUT1MQ7_Quote#0026</v>
      </c>
      <c r="G47" s="113" t="str">
        <f>_xll.ohRangeRetrieveError(F47)</f>
        <v/>
      </c>
      <c r="H47" s="149"/>
    </row>
    <row r="48" spans="1:8" x14ac:dyDescent="0.2">
      <c r="A48" s="155"/>
      <c r="B48" s="154">
        <v>46</v>
      </c>
      <c r="C48" s="153" t="b">
        <v>0</v>
      </c>
      <c r="D48" s="152" t="str">
        <v>U7</v>
      </c>
      <c r="E48" s="151" t="str">
        <f>Currency&amp;$D$1&amp;$E$1&amp;$D48&amp;QuoteSuffix</f>
        <v>USDFUT1MU7_Quote</v>
      </c>
      <c r="F48" s="150" t="str">
        <f>_xll.qlSimpleQuote(E48,,PriceTickValue,Permanent,Trigger,ObjectOverwrite)</f>
        <v>USDFUT1MU7_Quote#0026</v>
      </c>
      <c r="G48" s="113" t="str">
        <f>_xll.ohRangeRetrieveError(F48)</f>
        <v/>
      </c>
      <c r="H48" s="149"/>
    </row>
    <row r="49" spans="1:8" x14ac:dyDescent="0.2">
      <c r="A49" s="155"/>
      <c r="B49" s="154">
        <v>47</v>
      </c>
      <c r="C49" s="153" t="b">
        <v>0</v>
      </c>
      <c r="D49" s="152" t="str">
        <v>V7</v>
      </c>
      <c r="E49" s="151" t="str">
        <f>Currency&amp;$D$1&amp;$E$1&amp;$D49&amp;QuoteSuffix</f>
        <v>USDFUT1MV7_Quote</v>
      </c>
      <c r="F49" s="150" t="str">
        <f>_xll.qlSimpleQuote(E49,,PriceTickValue,Permanent,Trigger,ObjectOverwrite)</f>
        <v>USDFUT1MV7_Quote#0026</v>
      </c>
      <c r="G49" s="113" t="str">
        <f>_xll.ohRangeRetrieveError(F49)</f>
        <v/>
      </c>
      <c r="H49" s="149"/>
    </row>
    <row r="50" spans="1:8" x14ac:dyDescent="0.2">
      <c r="A50" s="155"/>
      <c r="B50" s="154">
        <v>48</v>
      </c>
      <c r="C50" s="153" t="b">
        <v>0</v>
      </c>
      <c r="D50" s="152" t="str">
        <v>X7</v>
      </c>
      <c r="E50" s="151" t="str">
        <f>Currency&amp;$D$1&amp;$E$1&amp;$D50&amp;QuoteSuffix</f>
        <v>USDFUT1MX7_Quote</v>
      </c>
      <c r="F50" s="150" t="str">
        <f>_xll.qlSimpleQuote(E50,,PriceTickValue,Permanent,Trigger,ObjectOverwrite)</f>
        <v>USDFUT1MX7_Quote#0026</v>
      </c>
      <c r="G50" s="113" t="str">
        <f>_xll.ohRangeRetrieveError(F50)</f>
        <v/>
      </c>
      <c r="H50" s="149"/>
    </row>
    <row r="51" spans="1:8" x14ac:dyDescent="0.2">
      <c r="A51" s="155"/>
      <c r="B51" s="154">
        <v>49</v>
      </c>
      <c r="C51" s="153" t="b">
        <v>0</v>
      </c>
      <c r="D51" s="152" t="str">
        <v>Z7</v>
      </c>
      <c r="E51" s="151" t="str">
        <f>Currency&amp;$D$1&amp;$E$1&amp;$D51&amp;QuoteSuffix</f>
        <v>USDFUT1MZ7_Quote</v>
      </c>
      <c r="F51" s="150" t="str">
        <f>_xll.qlSimpleQuote(E51,,PriceTickValue,Permanent,Trigger,ObjectOverwrite)</f>
        <v>USDFUT1MZ7_Quote#0026</v>
      </c>
      <c r="G51" s="113" t="str">
        <f>_xll.ohRangeRetrieveError(F51)</f>
        <v/>
      </c>
      <c r="H51" s="149"/>
    </row>
    <row r="52" spans="1:8" x14ac:dyDescent="0.2">
      <c r="A52" s="155"/>
      <c r="B52" s="154">
        <v>50</v>
      </c>
      <c r="C52" s="153" t="b">
        <v>0</v>
      </c>
      <c r="D52" s="152" t="str">
        <v>F8</v>
      </c>
      <c r="E52" s="151" t="str">
        <f>Currency&amp;$D$1&amp;$E$1&amp;$D52&amp;QuoteSuffix</f>
        <v>USDFUT1MF8_Quote</v>
      </c>
      <c r="F52" s="150" t="str">
        <f>_xll.qlSimpleQuote(E52,,PriceTickValue,Permanent,Trigger,ObjectOverwrite)</f>
        <v>USDFUT1MF8_Quote#0026</v>
      </c>
      <c r="G52" s="113" t="str">
        <f>_xll.ohRangeRetrieveError(F52)</f>
        <v/>
      </c>
      <c r="H52" s="149"/>
    </row>
    <row r="53" spans="1:8" x14ac:dyDescent="0.2">
      <c r="A53" s="155"/>
      <c r="B53" s="154">
        <v>51</v>
      </c>
      <c r="C53" s="153" t="b">
        <v>0</v>
      </c>
      <c r="D53" s="152" t="str">
        <v>G8</v>
      </c>
      <c r="E53" s="151" t="str">
        <f>Currency&amp;$D$1&amp;$E$1&amp;$D53&amp;QuoteSuffix</f>
        <v>USDFUT1MG8_Quote</v>
      </c>
      <c r="F53" s="150" t="str">
        <f>_xll.qlSimpleQuote(E53,,PriceTickValue,Permanent,Trigger,ObjectOverwrite)</f>
        <v>USDFUT1MG8_Quote#0026</v>
      </c>
      <c r="G53" s="113" t="str">
        <f>_xll.ohRangeRetrieveError(F53)</f>
        <v/>
      </c>
      <c r="H53" s="149"/>
    </row>
    <row r="54" spans="1:8" x14ac:dyDescent="0.2">
      <c r="A54" s="155"/>
      <c r="B54" s="154">
        <v>52</v>
      </c>
      <c r="C54" s="153" t="b">
        <v>0</v>
      </c>
      <c r="D54" s="152" t="str">
        <v>H8</v>
      </c>
      <c r="E54" s="151" t="str">
        <f>Currency&amp;$D$1&amp;$E$1&amp;$D54&amp;QuoteSuffix</f>
        <v>USDFUT1MH8_Quote</v>
      </c>
      <c r="F54" s="150" t="str">
        <f>_xll.qlSimpleQuote(E54,,PriceTickValue,Permanent,Trigger,ObjectOverwrite)</f>
        <v>USDFUT1MH8_Quote#0026</v>
      </c>
      <c r="G54" s="113" t="str">
        <f>_xll.ohRangeRetrieveError(F54)</f>
        <v/>
      </c>
      <c r="H54" s="149"/>
    </row>
    <row r="55" spans="1:8" x14ac:dyDescent="0.2">
      <c r="A55" s="155"/>
      <c r="B55" s="154">
        <v>53</v>
      </c>
      <c r="C55" s="153" t="b">
        <v>0</v>
      </c>
      <c r="D55" s="152" t="str">
        <v>J8</v>
      </c>
      <c r="E55" s="151" t="str">
        <f>Currency&amp;$D$1&amp;$E$1&amp;$D55&amp;QuoteSuffix</f>
        <v>USDFUT1MJ8_Quote</v>
      </c>
      <c r="F55" s="150" t="str">
        <f>_xll.qlSimpleQuote(E55,,PriceTickValue,Permanent,Trigger,ObjectOverwrite)</f>
        <v>USDFUT1MJ8_Quote#0026</v>
      </c>
      <c r="G55" s="113" t="str">
        <f>_xll.ohRangeRetrieveError(F55)</f>
        <v/>
      </c>
      <c r="H55" s="149"/>
    </row>
    <row r="56" spans="1:8" x14ac:dyDescent="0.2">
      <c r="A56" s="155"/>
      <c r="B56" s="154">
        <v>54</v>
      </c>
      <c r="C56" s="153" t="b">
        <v>0</v>
      </c>
      <c r="D56" s="152" t="str">
        <v>K8</v>
      </c>
      <c r="E56" s="151" t="str">
        <f>Currency&amp;$D$1&amp;$E$1&amp;$D56&amp;QuoteSuffix</f>
        <v>USDFUT1MK8_Quote</v>
      </c>
      <c r="F56" s="150" t="str">
        <f>_xll.qlSimpleQuote(E56,,PriceTickValue,Permanent,Trigger,ObjectOverwrite)</f>
        <v>USDFUT1MK8_Quote#0026</v>
      </c>
      <c r="G56" s="113" t="str">
        <f>_xll.ohRangeRetrieveError(F56)</f>
        <v/>
      </c>
      <c r="H56" s="149"/>
    </row>
    <row r="57" spans="1:8" x14ac:dyDescent="0.2">
      <c r="A57" s="155"/>
      <c r="B57" s="154">
        <v>55</v>
      </c>
      <c r="C57" s="153" t="b">
        <v>0</v>
      </c>
      <c r="D57" s="152" t="str">
        <v>M8</v>
      </c>
      <c r="E57" s="151" t="str">
        <f>Currency&amp;$D$1&amp;$E$1&amp;$D57&amp;QuoteSuffix</f>
        <v>USDFUT1MM8_Quote</v>
      </c>
      <c r="F57" s="150" t="str">
        <f>_xll.qlSimpleQuote(E57,,PriceTickValue,Permanent,Trigger,ObjectOverwrite)</f>
        <v>USDFUT1MM8_Quote#0026</v>
      </c>
      <c r="G57" s="113" t="str">
        <f>_xll.ohRangeRetrieveError(F57)</f>
        <v/>
      </c>
      <c r="H57" s="149"/>
    </row>
    <row r="58" spans="1:8" x14ac:dyDescent="0.2">
      <c r="A58" s="155"/>
      <c r="B58" s="154">
        <v>56</v>
      </c>
      <c r="C58" s="153" t="b">
        <v>0</v>
      </c>
      <c r="D58" s="152" t="str">
        <v>N8</v>
      </c>
      <c r="E58" s="151" t="str">
        <f>Currency&amp;$D$1&amp;$E$1&amp;$D58&amp;QuoteSuffix</f>
        <v>USDFUT1MN8_Quote</v>
      </c>
      <c r="F58" s="150" t="str">
        <f>_xll.qlSimpleQuote(E58,,PriceTickValue,Permanent,Trigger,ObjectOverwrite)</f>
        <v>USDFUT1MN8_Quote#0026</v>
      </c>
      <c r="G58" s="113" t="str">
        <f>_xll.ohRangeRetrieveError(F58)</f>
        <v/>
      </c>
      <c r="H58" s="149"/>
    </row>
    <row r="59" spans="1:8" x14ac:dyDescent="0.2">
      <c r="A59" s="155"/>
      <c r="B59" s="154">
        <v>57</v>
      </c>
      <c r="C59" s="153" t="b">
        <v>0</v>
      </c>
      <c r="D59" s="152" t="str">
        <v>Q8</v>
      </c>
      <c r="E59" s="151" t="str">
        <f>Currency&amp;$D$1&amp;$E$1&amp;$D59&amp;QuoteSuffix</f>
        <v>USDFUT1MQ8_Quote</v>
      </c>
      <c r="F59" s="150" t="str">
        <f>_xll.qlSimpleQuote(E59,,PriceTickValue,Permanent,Trigger,ObjectOverwrite)</f>
        <v>USDFUT1MQ8_Quote#0026</v>
      </c>
      <c r="G59" s="113" t="str">
        <f>_xll.ohRangeRetrieveError(F59)</f>
        <v/>
      </c>
      <c r="H59" s="149"/>
    </row>
    <row r="60" spans="1:8" x14ac:dyDescent="0.2">
      <c r="A60" s="155"/>
      <c r="B60" s="154">
        <v>58</v>
      </c>
      <c r="C60" s="153" t="b">
        <v>0</v>
      </c>
      <c r="D60" s="152" t="str">
        <v>U8</v>
      </c>
      <c r="E60" s="151" t="str">
        <f>Currency&amp;$D$1&amp;$E$1&amp;$D60&amp;QuoteSuffix</f>
        <v>USDFUT1MU8_Quote</v>
      </c>
      <c r="F60" s="150" t="str">
        <f>_xll.qlSimpleQuote(E60,,PriceTickValue,Permanent,Trigger,ObjectOverwrite)</f>
        <v>USDFUT1MU8_Quote#0026</v>
      </c>
      <c r="G60" s="113" t="str">
        <f>_xll.ohRangeRetrieveError(F60)</f>
        <v/>
      </c>
      <c r="H60" s="149"/>
    </row>
    <row r="61" spans="1:8" x14ac:dyDescent="0.2">
      <c r="A61" s="155"/>
      <c r="B61" s="154">
        <v>59</v>
      </c>
      <c r="C61" s="153" t="b">
        <v>0</v>
      </c>
      <c r="D61" s="152" t="str">
        <v>V8</v>
      </c>
      <c r="E61" s="151" t="str">
        <f>Currency&amp;$D$1&amp;$E$1&amp;$D61&amp;QuoteSuffix</f>
        <v>USDFUT1MV8_Quote</v>
      </c>
      <c r="F61" s="150" t="str">
        <f>_xll.qlSimpleQuote(E61,,PriceTickValue,Permanent,Trigger,ObjectOverwrite)</f>
        <v>USDFUT1MV8_Quote#0026</v>
      </c>
      <c r="G61" s="113" t="str">
        <f>_xll.ohRangeRetrieveError(F61)</f>
        <v/>
      </c>
      <c r="H61" s="149"/>
    </row>
    <row r="62" spans="1:8" x14ac:dyDescent="0.2">
      <c r="A62" s="155"/>
      <c r="B62" s="154">
        <v>60</v>
      </c>
      <c r="C62" s="153" t="b">
        <v>0</v>
      </c>
      <c r="D62" s="152" t="str">
        <v>X8</v>
      </c>
      <c r="E62" s="151" t="str">
        <f>Currency&amp;$D$1&amp;$E$1&amp;$D62&amp;QuoteSuffix</f>
        <v>USDFUT1MX8_Quote</v>
      </c>
      <c r="F62" s="150" t="str">
        <f>_xll.qlSimpleQuote(E62,,PriceTickValue,Permanent,Trigger,ObjectOverwrite)</f>
        <v>USDFUT1MX8_Quote#0026</v>
      </c>
      <c r="G62" s="113" t="str">
        <f>_xll.ohRangeRetrieveError(F62)</f>
        <v/>
      </c>
      <c r="H62" s="149"/>
    </row>
    <row r="63" spans="1:8" x14ac:dyDescent="0.2">
      <c r="A63" s="155"/>
      <c r="B63" s="154">
        <v>61</v>
      </c>
      <c r="C63" s="153" t="b">
        <v>0</v>
      </c>
      <c r="D63" s="152" t="str">
        <v>Z8</v>
      </c>
      <c r="E63" s="151" t="str">
        <f>Currency&amp;$D$1&amp;$E$1&amp;$D63&amp;QuoteSuffix</f>
        <v>USDFUT1MZ8_Quote</v>
      </c>
      <c r="F63" s="150" t="str">
        <f>_xll.qlSimpleQuote(E63,,PriceTickValue,Permanent,Trigger,ObjectOverwrite)</f>
        <v>USDFUT1MZ8_Quote#0026</v>
      </c>
      <c r="G63" s="113" t="str">
        <f>_xll.ohRangeRetrieveError(F63)</f>
        <v/>
      </c>
      <c r="H63" s="149"/>
    </row>
    <row r="64" spans="1:8" x14ac:dyDescent="0.2">
      <c r="A64" s="155"/>
      <c r="B64" s="154">
        <v>62</v>
      </c>
      <c r="C64" s="153" t="b">
        <v>0</v>
      </c>
      <c r="D64" s="152" t="str">
        <v>F9</v>
      </c>
      <c r="E64" s="151" t="str">
        <f>Currency&amp;$D$1&amp;$E$1&amp;$D64&amp;QuoteSuffix</f>
        <v>USDFUT1MF9_Quote</v>
      </c>
      <c r="F64" s="150" t="str">
        <f>_xll.qlSimpleQuote(E64,,PriceTickValue,Permanent,Trigger,ObjectOverwrite)</f>
        <v>USDFUT1MF9_Quote#0026</v>
      </c>
      <c r="G64" s="113" t="str">
        <f>_xll.ohRangeRetrieveError(F64)</f>
        <v/>
      </c>
      <c r="H64" s="149"/>
    </row>
    <row r="65" spans="1:8" x14ac:dyDescent="0.2">
      <c r="A65" s="155"/>
      <c r="B65" s="154">
        <v>63</v>
      </c>
      <c r="C65" s="153" t="b">
        <v>0</v>
      </c>
      <c r="D65" s="152" t="str">
        <v>G9</v>
      </c>
      <c r="E65" s="151" t="str">
        <f>Currency&amp;$D$1&amp;$E$1&amp;$D65&amp;QuoteSuffix</f>
        <v>USDFUT1MG9_Quote</v>
      </c>
      <c r="F65" s="150" t="str">
        <f>_xll.qlSimpleQuote(E65,,PriceTickValue,Permanent,Trigger,ObjectOverwrite)</f>
        <v>USDFUT1MG9_Quote#0026</v>
      </c>
      <c r="G65" s="113" t="str">
        <f>_xll.ohRangeRetrieveError(F65)</f>
        <v/>
      </c>
      <c r="H65" s="149"/>
    </row>
    <row r="66" spans="1:8" x14ac:dyDescent="0.2">
      <c r="A66" s="155"/>
      <c r="B66" s="154">
        <v>64</v>
      </c>
      <c r="C66" s="153" t="b">
        <v>0</v>
      </c>
      <c r="D66" s="152" t="str">
        <v>H9</v>
      </c>
      <c r="E66" s="151" t="str">
        <f>Currency&amp;$D$1&amp;$E$1&amp;$D66&amp;QuoteSuffix</f>
        <v>USDFUT1MH9_Quote</v>
      </c>
      <c r="F66" s="150" t="str">
        <f>_xll.qlSimpleQuote(E66,,PriceTickValue,Permanent,Trigger,ObjectOverwrite)</f>
        <v>USDFUT1MH9_Quote#0026</v>
      </c>
      <c r="G66" s="113" t="str">
        <f>_xll.ohRangeRetrieveError(F66)</f>
        <v/>
      </c>
      <c r="H66" s="149"/>
    </row>
    <row r="67" spans="1:8" x14ac:dyDescent="0.2">
      <c r="A67" s="155"/>
      <c r="B67" s="154">
        <v>65</v>
      </c>
      <c r="C67" s="153" t="b">
        <v>0</v>
      </c>
      <c r="D67" s="152" t="str">
        <v>J9</v>
      </c>
      <c r="E67" s="151" t="str">
        <f>Currency&amp;$D$1&amp;$E$1&amp;$D67&amp;QuoteSuffix</f>
        <v>USDFUT1MJ9_Quote</v>
      </c>
      <c r="F67" s="150" t="str">
        <f>_xll.qlSimpleQuote(E67,,PriceTickValue,Permanent,Trigger,ObjectOverwrite)</f>
        <v>USDFUT1MJ9_Quote#0026</v>
      </c>
      <c r="G67" s="113" t="str">
        <f>_xll.ohRangeRetrieveError(F67)</f>
        <v/>
      </c>
      <c r="H67" s="149"/>
    </row>
    <row r="68" spans="1:8" x14ac:dyDescent="0.2">
      <c r="A68" s="155"/>
      <c r="B68" s="154">
        <v>66</v>
      </c>
      <c r="C68" s="153" t="b">
        <v>0</v>
      </c>
      <c r="D68" s="152" t="str">
        <v>K9</v>
      </c>
      <c r="E68" s="151" t="str">
        <f>Currency&amp;$D$1&amp;$E$1&amp;$D68&amp;QuoteSuffix</f>
        <v>USDFUT1MK9_Quote</v>
      </c>
      <c r="F68" s="150" t="str">
        <f>_xll.qlSimpleQuote(E68,,PriceTickValue,Permanent,Trigger,ObjectOverwrite)</f>
        <v>USDFUT1MK9_Quote#0026</v>
      </c>
      <c r="G68" s="113" t="str">
        <f>_xll.ohRangeRetrieveError(F68)</f>
        <v/>
      </c>
      <c r="H68" s="149"/>
    </row>
    <row r="69" spans="1:8" x14ac:dyDescent="0.2">
      <c r="A69" s="155"/>
      <c r="B69" s="154">
        <v>67</v>
      </c>
      <c r="C69" s="153" t="b">
        <v>0</v>
      </c>
      <c r="D69" s="152" t="str">
        <v>M9</v>
      </c>
      <c r="E69" s="151" t="str">
        <f>Currency&amp;$D$1&amp;$E$1&amp;$D69&amp;QuoteSuffix</f>
        <v>USDFUT1MM9_Quote</v>
      </c>
      <c r="F69" s="150" t="str">
        <f>_xll.qlSimpleQuote(E69,,PriceTickValue,Permanent,Trigger,ObjectOverwrite)</f>
        <v>USDFUT1MM9_Quote#0026</v>
      </c>
      <c r="G69" s="113" t="str">
        <f>_xll.ohRangeRetrieveError(F69)</f>
        <v/>
      </c>
      <c r="H69" s="149"/>
    </row>
    <row r="70" spans="1:8" x14ac:dyDescent="0.2">
      <c r="A70" s="155"/>
      <c r="B70" s="154">
        <v>68</v>
      </c>
      <c r="C70" s="153" t="b">
        <v>0</v>
      </c>
      <c r="D70" s="152" t="str">
        <v>N9</v>
      </c>
      <c r="E70" s="151" t="str">
        <f>Currency&amp;$D$1&amp;$E$1&amp;$D70&amp;QuoteSuffix</f>
        <v>USDFUT1MN9_Quote</v>
      </c>
      <c r="F70" s="150" t="str">
        <f>_xll.qlSimpleQuote(E70,,PriceTickValue,Permanent,Trigger,ObjectOverwrite)</f>
        <v>USDFUT1MN9_Quote#0026</v>
      </c>
      <c r="G70" s="113" t="str">
        <f>_xll.ohRangeRetrieveError(F70)</f>
        <v/>
      </c>
      <c r="H70" s="149"/>
    </row>
    <row r="71" spans="1:8" x14ac:dyDescent="0.2">
      <c r="A71" s="155"/>
      <c r="B71" s="154">
        <v>69</v>
      </c>
      <c r="C71" s="153" t="b">
        <v>0</v>
      </c>
      <c r="D71" s="152" t="str">
        <v>Q9</v>
      </c>
      <c r="E71" s="151" t="str">
        <f>Currency&amp;$D$1&amp;$E$1&amp;$D71&amp;QuoteSuffix</f>
        <v>USDFUT1MQ9_Quote</v>
      </c>
      <c r="F71" s="150" t="str">
        <f>_xll.qlSimpleQuote(E71,,PriceTickValue,Permanent,Trigger,ObjectOverwrite)</f>
        <v>USDFUT1MQ9_Quote#0026</v>
      </c>
      <c r="G71" s="113" t="str">
        <f>_xll.ohRangeRetrieveError(F71)</f>
        <v/>
      </c>
      <c r="H71" s="149"/>
    </row>
    <row r="72" spans="1:8" x14ac:dyDescent="0.2">
      <c r="A72" s="155"/>
      <c r="B72" s="154">
        <v>70</v>
      </c>
      <c r="C72" s="153" t="b">
        <v>0</v>
      </c>
      <c r="D72" s="152" t="str">
        <v>U9</v>
      </c>
      <c r="E72" s="151" t="str">
        <f>Currency&amp;$D$1&amp;$E$1&amp;$D72&amp;QuoteSuffix</f>
        <v>USDFUT1MU9_Quote</v>
      </c>
      <c r="F72" s="150" t="str">
        <f>_xll.qlSimpleQuote(E72,,PriceTickValue,Permanent,Trigger,ObjectOverwrite)</f>
        <v>USDFUT1MU9_Quote#0026</v>
      </c>
      <c r="G72" s="113" t="str">
        <f>_xll.ohRangeRetrieveError(F72)</f>
        <v/>
      </c>
      <c r="H72" s="149"/>
    </row>
    <row r="73" spans="1:8" x14ac:dyDescent="0.2">
      <c r="A73" s="155"/>
      <c r="B73" s="154">
        <v>71</v>
      </c>
      <c r="C73" s="153" t="b">
        <v>0</v>
      </c>
      <c r="D73" s="152" t="str">
        <v>V9</v>
      </c>
      <c r="E73" s="151" t="str">
        <f>Currency&amp;$D$1&amp;$E$1&amp;$D73&amp;QuoteSuffix</f>
        <v>USDFUT1MV9_Quote</v>
      </c>
      <c r="F73" s="150" t="str">
        <f>_xll.qlSimpleQuote(E73,,PriceTickValue,Permanent,Trigger,ObjectOverwrite)</f>
        <v>USDFUT1MV9_Quote#0026</v>
      </c>
      <c r="G73" s="113" t="str">
        <f>_xll.ohRangeRetrieveError(F73)</f>
        <v/>
      </c>
      <c r="H73" s="149"/>
    </row>
    <row r="74" spans="1:8" x14ac:dyDescent="0.2">
      <c r="A74" s="155"/>
      <c r="B74" s="154">
        <v>72</v>
      </c>
      <c r="C74" s="153" t="b">
        <v>0</v>
      </c>
      <c r="D74" s="152" t="str">
        <v>X9</v>
      </c>
      <c r="E74" s="151" t="str">
        <f>Currency&amp;$D$1&amp;$E$1&amp;$D74&amp;QuoteSuffix</f>
        <v>USDFUT1MX9_Quote</v>
      </c>
      <c r="F74" s="150" t="str">
        <f>_xll.qlSimpleQuote(E74,,PriceTickValue,Permanent,Trigger,ObjectOverwrite)</f>
        <v>USDFUT1MX9_Quote#0026</v>
      </c>
      <c r="G74" s="113" t="str">
        <f>_xll.ohRangeRetrieveError(F74)</f>
        <v/>
      </c>
      <c r="H74" s="149"/>
    </row>
    <row r="75" spans="1:8" x14ac:dyDescent="0.2">
      <c r="A75" s="155"/>
      <c r="B75" s="154">
        <v>73</v>
      </c>
      <c r="C75" s="153" t="b">
        <v>0</v>
      </c>
      <c r="D75" s="152" t="str">
        <v>Z9</v>
      </c>
      <c r="E75" s="151" t="str">
        <f>Currency&amp;$D$1&amp;$E$1&amp;$D75&amp;QuoteSuffix</f>
        <v>USDFUT1MZ9_Quote</v>
      </c>
      <c r="F75" s="150" t="str">
        <f>_xll.qlSimpleQuote(E75,,PriceTickValue,Permanent,Trigger,ObjectOverwrite)</f>
        <v>USDFUT1MZ9_Quote#0026</v>
      </c>
      <c r="G75" s="113" t="str">
        <f>_xll.ohRangeRetrieveError(F75)</f>
        <v/>
      </c>
      <c r="H75" s="149"/>
    </row>
    <row r="76" spans="1:8" x14ac:dyDescent="0.2">
      <c r="A76" s="155"/>
      <c r="B76" s="154">
        <v>74</v>
      </c>
      <c r="C76" s="153" t="b">
        <v>0</v>
      </c>
      <c r="D76" s="152" t="str">
        <v>F0</v>
      </c>
      <c r="E76" s="151" t="str">
        <f>Currency&amp;$D$1&amp;$E$1&amp;$D76&amp;QuoteSuffix</f>
        <v>USDFUT1MF0_Quote</v>
      </c>
      <c r="F76" s="150" t="str">
        <f>_xll.qlSimpleQuote(E76,,PriceTickValue,Permanent,Trigger,ObjectOverwrite)</f>
        <v>USDFUT1MF0_Quote#0026</v>
      </c>
      <c r="G76" s="113" t="str">
        <f>_xll.ohRangeRetrieveError(F76)</f>
        <v/>
      </c>
      <c r="H76" s="149"/>
    </row>
    <row r="77" spans="1:8" x14ac:dyDescent="0.2">
      <c r="A77" s="155"/>
      <c r="B77" s="154">
        <v>75</v>
      </c>
      <c r="C77" s="153" t="b">
        <v>0</v>
      </c>
      <c r="D77" s="152" t="str">
        <v>G0</v>
      </c>
      <c r="E77" s="151" t="str">
        <f>Currency&amp;$D$1&amp;$E$1&amp;$D77&amp;QuoteSuffix</f>
        <v>USDFUT1MG0_Quote</v>
      </c>
      <c r="F77" s="150" t="str">
        <f>_xll.qlSimpleQuote(E77,,PriceTickValue,Permanent,Trigger,ObjectOverwrite)</f>
        <v>USDFUT1MG0_Quote#0026</v>
      </c>
      <c r="G77" s="113" t="str">
        <f>_xll.ohRangeRetrieveError(F77)</f>
        <v/>
      </c>
      <c r="H77" s="149"/>
    </row>
    <row r="78" spans="1:8" x14ac:dyDescent="0.2">
      <c r="A78" s="155"/>
      <c r="B78" s="154">
        <v>76</v>
      </c>
      <c r="C78" s="153" t="b">
        <v>0</v>
      </c>
      <c r="D78" s="152" t="str">
        <v>H0</v>
      </c>
      <c r="E78" s="151" t="str">
        <f>Currency&amp;$D$1&amp;$E$1&amp;$D78&amp;QuoteSuffix</f>
        <v>USDFUT1MH0_Quote</v>
      </c>
      <c r="F78" s="150" t="str">
        <f>_xll.qlSimpleQuote(E78,,PriceTickValue,Permanent,Trigger,ObjectOverwrite)</f>
        <v>USDFUT1MH0_Quote#0026</v>
      </c>
      <c r="G78" s="113" t="str">
        <f>_xll.ohRangeRetrieveError(F78)</f>
        <v/>
      </c>
      <c r="H78" s="149"/>
    </row>
    <row r="79" spans="1:8" x14ac:dyDescent="0.2">
      <c r="A79" s="155"/>
      <c r="B79" s="154">
        <v>77</v>
      </c>
      <c r="C79" s="153" t="b">
        <v>0</v>
      </c>
      <c r="D79" s="152" t="str">
        <v>J0</v>
      </c>
      <c r="E79" s="151" t="str">
        <f>Currency&amp;$D$1&amp;$E$1&amp;$D79&amp;QuoteSuffix</f>
        <v>USDFUT1MJ0_Quote</v>
      </c>
      <c r="F79" s="150" t="str">
        <f>_xll.qlSimpleQuote(E79,,PriceTickValue,Permanent,Trigger,ObjectOverwrite)</f>
        <v>USDFUT1MJ0_Quote#0026</v>
      </c>
      <c r="G79" s="113" t="str">
        <f>_xll.ohRangeRetrieveError(F79)</f>
        <v/>
      </c>
      <c r="H79" s="149"/>
    </row>
    <row r="80" spans="1:8" x14ac:dyDescent="0.2">
      <c r="A80" s="155"/>
      <c r="B80" s="154">
        <v>78</v>
      </c>
      <c r="C80" s="153" t="b">
        <v>0</v>
      </c>
      <c r="D80" s="152" t="str">
        <v>K0</v>
      </c>
      <c r="E80" s="151" t="str">
        <f>Currency&amp;$D$1&amp;$E$1&amp;$D80&amp;QuoteSuffix</f>
        <v>USDFUT1MK0_Quote</v>
      </c>
      <c r="F80" s="150" t="str">
        <f>_xll.qlSimpleQuote(E80,,PriceTickValue,Permanent,Trigger,ObjectOverwrite)</f>
        <v>USDFUT1MK0_Quote#0026</v>
      </c>
      <c r="G80" s="113" t="str">
        <f>_xll.ohRangeRetrieveError(F80)</f>
        <v/>
      </c>
      <c r="H80" s="149"/>
    </row>
    <row r="81" spans="1:8" x14ac:dyDescent="0.2">
      <c r="A81" s="155"/>
      <c r="B81" s="154">
        <v>79</v>
      </c>
      <c r="C81" s="153" t="b">
        <v>0</v>
      </c>
      <c r="D81" s="152" t="str">
        <v>M0</v>
      </c>
      <c r="E81" s="151" t="str">
        <f>Currency&amp;$D$1&amp;$E$1&amp;$D81&amp;QuoteSuffix</f>
        <v>USDFUT1MM0_Quote</v>
      </c>
      <c r="F81" s="150" t="str">
        <f>_xll.qlSimpleQuote(E81,,PriceTickValue,Permanent,Trigger,ObjectOverwrite)</f>
        <v>USDFUT1MM0_Quote#0026</v>
      </c>
      <c r="G81" s="113" t="str">
        <f>_xll.ohRangeRetrieveError(F81)</f>
        <v/>
      </c>
      <c r="H81" s="149"/>
    </row>
    <row r="82" spans="1:8" x14ac:dyDescent="0.2">
      <c r="A82" s="155"/>
      <c r="B82" s="154">
        <v>80</v>
      </c>
      <c r="C82" s="153" t="b">
        <v>0</v>
      </c>
      <c r="D82" s="152" t="str">
        <v>N0</v>
      </c>
      <c r="E82" s="151" t="str">
        <f>Currency&amp;$D$1&amp;$E$1&amp;$D82&amp;QuoteSuffix</f>
        <v>USDFUT1MN0_Quote</v>
      </c>
      <c r="F82" s="150" t="str">
        <f>_xll.qlSimpleQuote(E82,,PriceTickValue,Permanent,Trigger,ObjectOverwrite)</f>
        <v>USDFUT1MN0_Quote#0026</v>
      </c>
      <c r="G82" s="113" t="str">
        <f>_xll.ohRangeRetrieveError(F82)</f>
        <v/>
      </c>
      <c r="H82" s="149"/>
    </row>
    <row r="83" spans="1:8" x14ac:dyDescent="0.2">
      <c r="A83" s="155"/>
      <c r="B83" s="154">
        <v>81</v>
      </c>
      <c r="C83" s="153" t="b">
        <v>0</v>
      </c>
      <c r="D83" s="152" t="str">
        <v>Q0</v>
      </c>
      <c r="E83" s="151" t="str">
        <f>Currency&amp;$D$1&amp;$E$1&amp;$D83&amp;QuoteSuffix</f>
        <v>USDFUT1MQ0_Quote</v>
      </c>
      <c r="F83" s="150" t="str">
        <f>_xll.qlSimpleQuote(E83,,PriceTickValue,Permanent,Trigger,ObjectOverwrite)</f>
        <v>USDFUT1MQ0_Quote#0026</v>
      </c>
      <c r="G83" s="113" t="str">
        <f>_xll.ohRangeRetrieveError(F83)</f>
        <v/>
      </c>
      <c r="H83" s="149"/>
    </row>
    <row r="84" spans="1:8" x14ac:dyDescent="0.2">
      <c r="A84" s="155"/>
      <c r="B84" s="154">
        <v>82</v>
      </c>
      <c r="C84" s="153" t="b">
        <v>0</v>
      </c>
      <c r="D84" s="152" t="str">
        <v>U0</v>
      </c>
      <c r="E84" s="151" t="str">
        <f>Currency&amp;$D$1&amp;$E$1&amp;$D84&amp;QuoteSuffix</f>
        <v>USDFUT1MU0_Quote</v>
      </c>
      <c r="F84" s="150" t="str">
        <f>_xll.qlSimpleQuote(E84,,PriceTickValue,Permanent,Trigger,ObjectOverwrite)</f>
        <v>USDFUT1MU0_Quote#0026</v>
      </c>
      <c r="G84" s="113" t="str">
        <f>_xll.ohRangeRetrieveError(F84)</f>
        <v/>
      </c>
      <c r="H84" s="149"/>
    </row>
    <row r="85" spans="1:8" x14ac:dyDescent="0.2">
      <c r="A85" s="155"/>
      <c r="B85" s="154">
        <v>83</v>
      </c>
      <c r="C85" s="153" t="b">
        <v>0</v>
      </c>
      <c r="D85" s="152" t="str">
        <v>V0</v>
      </c>
      <c r="E85" s="151" t="str">
        <f>Currency&amp;$D$1&amp;$E$1&amp;$D85&amp;QuoteSuffix</f>
        <v>USDFUT1MV0_Quote</v>
      </c>
      <c r="F85" s="150" t="str">
        <f>_xll.qlSimpleQuote(E85,,PriceTickValue,Permanent,Trigger,ObjectOverwrite)</f>
        <v>USDFUT1MV0_Quote#0026</v>
      </c>
      <c r="G85" s="113" t="str">
        <f>_xll.ohRangeRetrieveError(F85)</f>
        <v/>
      </c>
      <c r="H85" s="149"/>
    </row>
    <row r="86" spans="1:8" x14ac:dyDescent="0.2">
      <c r="A86" s="155"/>
      <c r="B86" s="154">
        <v>84</v>
      </c>
      <c r="C86" s="153" t="b">
        <v>0</v>
      </c>
      <c r="D86" s="152" t="str">
        <v>X0</v>
      </c>
      <c r="E86" s="151" t="str">
        <f>Currency&amp;$D$1&amp;$E$1&amp;$D86&amp;QuoteSuffix</f>
        <v>USDFUT1MX0_Quote</v>
      </c>
      <c r="F86" s="150" t="str">
        <f>_xll.qlSimpleQuote(E86,,PriceTickValue,Permanent,Trigger,ObjectOverwrite)</f>
        <v>USDFUT1MX0_Quote#0026</v>
      </c>
      <c r="G86" s="113" t="str">
        <f>_xll.ohRangeRetrieveError(F86)</f>
        <v/>
      </c>
      <c r="H86" s="149"/>
    </row>
    <row r="87" spans="1:8" x14ac:dyDescent="0.2">
      <c r="A87" s="155"/>
      <c r="B87" s="154">
        <v>85</v>
      </c>
      <c r="C87" s="153" t="b">
        <v>0</v>
      </c>
      <c r="D87" s="152" t="str">
        <v>Z0</v>
      </c>
      <c r="E87" s="151" t="str">
        <f>Currency&amp;$D$1&amp;$E$1&amp;$D87&amp;QuoteSuffix</f>
        <v>USDFUT1MZ0_Quote</v>
      </c>
      <c r="F87" s="150" t="str">
        <f>_xll.qlSimpleQuote(E87,,PriceTickValue,Permanent,Trigger,ObjectOverwrite)</f>
        <v>USDFUT1MZ0_Quote#0026</v>
      </c>
      <c r="G87" s="113" t="str">
        <f>_xll.ohRangeRetrieveError(F87)</f>
        <v/>
      </c>
      <c r="H87" s="149"/>
    </row>
    <row r="88" spans="1:8" x14ac:dyDescent="0.2">
      <c r="A88" s="155"/>
      <c r="B88" s="154">
        <v>86</v>
      </c>
      <c r="C88" s="153" t="b">
        <v>0</v>
      </c>
      <c r="D88" s="152" t="str">
        <v>F1</v>
      </c>
      <c r="E88" s="151" t="str">
        <f>Currency&amp;$D$1&amp;$E$1&amp;$D88&amp;QuoteSuffix</f>
        <v>USDFUT1MF1_Quote</v>
      </c>
      <c r="F88" s="150" t="str">
        <f>_xll.qlSimpleQuote(E88,,PriceTickValue,Permanent,Trigger,ObjectOverwrite)</f>
        <v>USDFUT1MF1_Quote#0026</v>
      </c>
      <c r="G88" s="113" t="str">
        <f>_xll.ohRangeRetrieveError(F88)</f>
        <v/>
      </c>
      <c r="H88" s="149"/>
    </row>
    <row r="89" spans="1:8" x14ac:dyDescent="0.2">
      <c r="A89" s="155"/>
      <c r="B89" s="154">
        <v>87</v>
      </c>
      <c r="C89" s="153" t="b">
        <v>0</v>
      </c>
      <c r="D89" s="152" t="str">
        <v>G1</v>
      </c>
      <c r="E89" s="151" t="str">
        <f>Currency&amp;$D$1&amp;$E$1&amp;$D89&amp;QuoteSuffix</f>
        <v>USDFUT1MG1_Quote</v>
      </c>
      <c r="F89" s="150" t="str">
        <f>_xll.qlSimpleQuote(E89,,PriceTickValue,Permanent,Trigger,ObjectOverwrite)</f>
        <v>USDFUT1MG1_Quote#0026</v>
      </c>
      <c r="G89" s="113" t="str">
        <f>_xll.ohRangeRetrieveError(F89)</f>
        <v/>
      </c>
      <c r="H89" s="149"/>
    </row>
    <row r="90" spans="1:8" x14ac:dyDescent="0.2">
      <c r="A90" s="155"/>
      <c r="B90" s="154">
        <v>88</v>
      </c>
      <c r="C90" s="153" t="b">
        <v>0</v>
      </c>
      <c r="D90" s="152" t="str">
        <v>H1</v>
      </c>
      <c r="E90" s="151" t="str">
        <f>Currency&amp;$D$1&amp;$E$1&amp;$D90&amp;QuoteSuffix</f>
        <v>USDFUT1MH1_Quote</v>
      </c>
      <c r="F90" s="150" t="str">
        <f>_xll.qlSimpleQuote(E90,,PriceTickValue,Permanent,Trigger,ObjectOverwrite)</f>
        <v>USDFUT1MH1_Quote#0026</v>
      </c>
      <c r="G90" s="113" t="str">
        <f>_xll.ohRangeRetrieveError(F90)</f>
        <v/>
      </c>
      <c r="H90" s="149"/>
    </row>
    <row r="91" spans="1:8" x14ac:dyDescent="0.2">
      <c r="A91" s="155"/>
      <c r="B91" s="154">
        <v>89</v>
      </c>
      <c r="C91" s="153" t="b">
        <v>0</v>
      </c>
      <c r="D91" s="152" t="str">
        <v>J1</v>
      </c>
      <c r="E91" s="151" t="str">
        <f>Currency&amp;$D$1&amp;$E$1&amp;$D91&amp;QuoteSuffix</f>
        <v>USDFUT1MJ1_Quote</v>
      </c>
      <c r="F91" s="150" t="str">
        <f>_xll.qlSimpleQuote(E91,,PriceTickValue,Permanent,Trigger,ObjectOverwrite)</f>
        <v>USDFUT1MJ1_Quote#0026</v>
      </c>
      <c r="G91" s="113" t="str">
        <f>_xll.ohRangeRetrieveError(F91)</f>
        <v/>
      </c>
      <c r="H91" s="149"/>
    </row>
    <row r="92" spans="1:8" x14ac:dyDescent="0.2">
      <c r="A92" s="155"/>
      <c r="B92" s="154">
        <v>90</v>
      </c>
      <c r="C92" s="153" t="b">
        <v>0</v>
      </c>
      <c r="D92" s="152" t="str">
        <v>K1</v>
      </c>
      <c r="E92" s="151" t="str">
        <f>Currency&amp;$D$1&amp;$E$1&amp;$D92&amp;QuoteSuffix</f>
        <v>USDFUT1MK1_Quote</v>
      </c>
      <c r="F92" s="150" t="str">
        <f>_xll.qlSimpleQuote(E92,,PriceTickValue,Permanent,Trigger,ObjectOverwrite)</f>
        <v>USDFUT1MK1_Quote#0026</v>
      </c>
      <c r="G92" s="113" t="str">
        <f>_xll.ohRangeRetrieveError(F92)</f>
        <v/>
      </c>
      <c r="H92" s="149"/>
    </row>
    <row r="93" spans="1:8" x14ac:dyDescent="0.2">
      <c r="A93" s="155"/>
      <c r="B93" s="154">
        <v>91</v>
      </c>
      <c r="C93" s="153" t="b">
        <v>0</v>
      </c>
      <c r="D93" s="152" t="str">
        <v>M1</v>
      </c>
      <c r="E93" s="151" t="str">
        <f>Currency&amp;$D$1&amp;$E$1&amp;$D93&amp;QuoteSuffix</f>
        <v>USDFUT1MM1_Quote</v>
      </c>
      <c r="F93" s="150" t="str">
        <f>_xll.qlSimpleQuote(E93,,PriceTickValue,Permanent,Trigger,ObjectOverwrite)</f>
        <v>USDFUT1MM1_Quote#0026</v>
      </c>
      <c r="G93" s="113" t="str">
        <f>_xll.ohRangeRetrieveError(F93)</f>
        <v/>
      </c>
      <c r="H93" s="149"/>
    </row>
    <row r="94" spans="1:8" x14ac:dyDescent="0.2">
      <c r="A94" s="155"/>
      <c r="B94" s="154">
        <v>92</v>
      </c>
      <c r="C94" s="153" t="b">
        <v>0</v>
      </c>
      <c r="D94" s="152" t="str">
        <v>N1</v>
      </c>
      <c r="E94" s="151" t="str">
        <f>Currency&amp;$D$1&amp;$E$1&amp;$D94&amp;QuoteSuffix</f>
        <v>USDFUT1MN1_Quote</v>
      </c>
      <c r="F94" s="150" t="str">
        <f>_xll.qlSimpleQuote(E94,,PriceTickValue,Permanent,Trigger,ObjectOverwrite)</f>
        <v>USDFUT1MN1_Quote#0026</v>
      </c>
      <c r="G94" s="113" t="str">
        <f>_xll.ohRangeRetrieveError(F94)</f>
        <v/>
      </c>
      <c r="H94" s="149"/>
    </row>
    <row r="95" spans="1:8" x14ac:dyDescent="0.2">
      <c r="A95" s="155"/>
      <c r="B95" s="154">
        <v>93</v>
      </c>
      <c r="C95" s="153" t="b">
        <v>0</v>
      </c>
      <c r="D95" s="152" t="str">
        <v>Q1</v>
      </c>
      <c r="E95" s="151" t="str">
        <f>Currency&amp;$D$1&amp;$E$1&amp;$D95&amp;QuoteSuffix</f>
        <v>USDFUT1MQ1_Quote</v>
      </c>
      <c r="F95" s="150" t="str">
        <f>_xll.qlSimpleQuote(E95,,PriceTickValue,Permanent,Trigger,ObjectOverwrite)</f>
        <v>USDFUT1MQ1_Quote#0026</v>
      </c>
      <c r="G95" s="113" t="str">
        <f>_xll.ohRangeRetrieveError(F95)</f>
        <v/>
      </c>
      <c r="H95" s="149"/>
    </row>
    <row r="96" spans="1:8" x14ac:dyDescent="0.2">
      <c r="A96" s="155"/>
      <c r="B96" s="154">
        <v>94</v>
      </c>
      <c r="C96" s="153" t="b">
        <v>0</v>
      </c>
      <c r="D96" s="152" t="str">
        <v>U1</v>
      </c>
      <c r="E96" s="151" t="str">
        <f>Currency&amp;$D$1&amp;$E$1&amp;$D96&amp;QuoteSuffix</f>
        <v>USDFUT1MU1_Quote</v>
      </c>
      <c r="F96" s="150" t="str">
        <f>_xll.qlSimpleQuote(E96,,PriceTickValue,Permanent,Trigger,ObjectOverwrite)</f>
        <v>USDFUT1MU1_Quote#0026</v>
      </c>
      <c r="G96" s="113" t="str">
        <f>_xll.ohRangeRetrieveError(F96)</f>
        <v/>
      </c>
      <c r="H96" s="149"/>
    </row>
    <row r="97" spans="1:8" x14ac:dyDescent="0.2">
      <c r="A97" s="155"/>
      <c r="B97" s="154">
        <v>95</v>
      </c>
      <c r="C97" s="153" t="b">
        <v>0</v>
      </c>
      <c r="D97" s="152" t="str">
        <v>V1</v>
      </c>
      <c r="E97" s="151" t="str">
        <f>Currency&amp;$D$1&amp;$E$1&amp;$D97&amp;QuoteSuffix</f>
        <v>USDFUT1MV1_Quote</v>
      </c>
      <c r="F97" s="150" t="str">
        <f>_xll.qlSimpleQuote(E97,,PriceTickValue,Permanent,Trigger,ObjectOverwrite)</f>
        <v>USDFUT1MV1_Quote#0026</v>
      </c>
      <c r="G97" s="113" t="str">
        <f>_xll.ohRangeRetrieveError(F97)</f>
        <v/>
      </c>
      <c r="H97" s="149"/>
    </row>
    <row r="98" spans="1:8" x14ac:dyDescent="0.2">
      <c r="A98" s="155"/>
      <c r="B98" s="154">
        <v>96</v>
      </c>
      <c r="C98" s="153" t="b">
        <v>0</v>
      </c>
      <c r="D98" s="152" t="str">
        <v>X1</v>
      </c>
      <c r="E98" s="151" t="str">
        <f>Currency&amp;$D$1&amp;$E$1&amp;$D98&amp;QuoteSuffix</f>
        <v>USDFUT1MX1_Quote</v>
      </c>
      <c r="F98" s="150" t="str">
        <f>_xll.qlSimpleQuote(E98,,PriceTickValue,Permanent,Trigger,ObjectOverwrite)</f>
        <v>USDFUT1MX1_Quote#0026</v>
      </c>
      <c r="G98" s="113" t="str">
        <f>_xll.ohRangeRetrieveError(F98)</f>
        <v/>
      </c>
      <c r="H98" s="149"/>
    </row>
    <row r="99" spans="1:8" x14ac:dyDescent="0.2">
      <c r="A99" s="155"/>
      <c r="B99" s="154">
        <v>97</v>
      </c>
      <c r="C99" s="153" t="b">
        <v>0</v>
      </c>
      <c r="D99" s="152" t="str">
        <v>Z1</v>
      </c>
      <c r="E99" s="151" t="str">
        <f>Currency&amp;$D$1&amp;$E$1&amp;$D99&amp;QuoteSuffix</f>
        <v>USDFUT1MZ1_Quote</v>
      </c>
      <c r="F99" s="150" t="str">
        <f>_xll.qlSimpleQuote(E99,,PriceTickValue,Permanent,Trigger,ObjectOverwrite)</f>
        <v>USDFUT1MZ1_Quote#0026</v>
      </c>
      <c r="G99" s="113" t="str">
        <f>_xll.ohRangeRetrieveError(F99)</f>
        <v/>
      </c>
      <c r="H99" s="149"/>
    </row>
    <row r="100" spans="1:8" x14ac:dyDescent="0.2">
      <c r="A100" s="155"/>
      <c r="B100" s="154">
        <v>98</v>
      </c>
      <c r="C100" s="153" t="b">
        <v>0</v>
      </c>
      <c r="D100" s="152" t="str">
        <v>F2</v>
      </c>
      <c r="E100" s="151" t="str">
        <f>Currency&amp;$D$1&amp;$E$1&amp;$D100&amp;QuoteSuffix</f>
        <v>USDFUT1MF2_Quote</v>
      </c>
      <c r="F100" s="150" t="str">
        <f>_xll.qlSimpleQuote(E100,,PriceTickValue,Permanent,Trigger,ObjectOverwrite)</f>
        <v>USDFUT1MF2_Quote#0026</v>
      </c>
      <c r="G100" s="113" t="str">
        <f>_xll.ohRangeRetrieveError(F100)</f>
        <v/>
      </c>
      <c r="H100" s="149"/>
    </row>
    <row r="101" spans="1:8" x14ac:dyDescent="0.2">
      <c r="A101" s="155"/>
      <c r="B101" s="154">
        <v>99</v>
      </c>
      <c r="C101" s="153" t="b">
        <v>0</v>
      </c>
      <c r="D101" s="152" t="str">
        <v>G2</v>
      </c>
      <c r="E101" s="151" t="str">
        <f>Currency&amp;$D$1&amp;$E$1&amp;$D101&amp;QuoteSuffix</f>
        <v>USDFUT1MG2_Quote</v>
      </c>
      <c r="F101" s="150" t="str">
        <f>_xll.qlSimpleQuote(E101,,PriceTickValue,Permanent,Trigger,ObjectOverwrite)</f>
        <v>USDFUT1MG2_Quote#0026</v>
      </c>
      <c r="G101" s="113" t="str">
        <f>_xll.ohRangeRetrieveError(F101)</f>
        <v/>
      </c>
      <c r="H101" s="149"/>
    </row>
    <row r="102" spans="1:8" x14ac:dyDescent="0.2">
      <c r="A102" s="155"/>
      <c r="B102" s="154">
        <v>100</v>
      </c>
      <c r="C102" s="153" t="b">
        <v>0</v>
      </c>
      <c r="D102" s="152" t="str">
        <v>H2</v>
      </c>
      <c r="E102" s="151" t="str">
        <f>Currency&amp;$D$1&amp;$E$1&amp;$D102&amp;QuoteSuffix</f>
        <v>USDFUT1MH2_Quote</v>
      </c>
      <c r="F102" s="150" t="str">
        <f>_xll.qlSimpleQuote(E102,,PriceTickValue,Permanent,Trigger,ObjectOverwrite)</f>
        <v>USDFUT1MH2_Quote#0026</v>
      </c>
      <c r="G102" s="113" t="str">
        <f>_xll.ohRangeRetrieveError(F102)</f>
        <v/>
      </c>
      <c r="H102" s="149"/>
    </row>
    <row r="103" spans="1:8" x14ac:dyDescent="0.2">
      <c r="A103" s="155"/>
      <c r="B103" s="154">
        <v>101</v>
      </c>
      <c r="C103" s="153" t="b">
        <v>0</v>
      </c>
      <c r="D103" s="152" t="str">
        <v>J2</v>
      </c>
      <c r="E103" s="151" t="str">
        <f>Currency&amp;$D$1&amp;$E$1&amp;$D103&amp;QuoteSuffix</f>
        <v>USDFUT1MJ2_Quote</v>
      </c>
      <c r="F103" s="150" t="str">
        <f>_xll.qlSimpleQuote(E103,,PriceTickValue,Permanent,Trigger,ObjectOverwrite)</f>
        <v>USDFUT1MJ2_Quote#0026</v>
      </c>
      <c r="G103" s="113" t="str">
        <f>_xll.ohRangeRetrieveError(F103)</f>
        <v/>
      </c>
      <c r="H103" s="149"/>
    </row>
    <row r="104" spans="1:8" x14ac:dyDescent="0.2">
      <c r="A104" s="155"/>
      <c r="B104" s="154">
        <v>102</v>
      </c>
      <c r="C104" s="153" t="b">
        <v>0</v>
      </c>
      <c r="D104" s="152" t="str">
        <v>K2</v>
      </c>
      <c r="E104" s="151" t="str">
        <f>Currency&amp;$D$1&amp;$E$1&amp;$D104&amp;QuoteSuffix</f>
        <v>USDFUT1MK2_Quote</v>
      </c>
      <c r="F104" s="150" t="str">
        <f>_xll.qlSimpleQuote(E104,,PriceTickValue,Permanent,Trigger,ObjectOverwrite)</f>
        <v>USDFUT1MK2_Quote#0026</v>
      </c>
      <c r="G104" s="113" t="str">
        <f>_xll.ohRangeRetrieveError(F104)</f>
        <v/>
      </c>
      <c r="H104" s="149"/>
    </row>
    <row r="105" spans="1:8" x14ac:dyDescent="0.2">
      <c r="A105" s="155"/>
      <c r="B105" s="154">
        <v>103</v>
      </c>
      <c r="C105" s="153" t="b">
        <v>0</v>
      </c>
      <c r="D105" s="152" t="str">
        <v>M2</v>
      </c>
      <c r="E105" s="151" t="str">
        <f>Currency&amp;$D$1&amp;$E$1&amp;$D105&amp;QuoteSuffix</f>
        <v>USDFUT1MM2_Quote</v>
      </c>
      <c r="F105" s="150" t="str">
        <f>_xll.qlSimpleQuote(E105,,PriceTickValue,Permanent,Trigger,ObjectOverwrite)</f>
        <v>USDFUT1MM2_Quote#0026</v>
      </c>
      <c r="G105" s="113" t="str">
        <f>_xll.ohRangeRetrieveError(F105)</f>
        <v/>
      </c>
      <c r="H105" s="149"/>
    </row>
    <row r="106" spans="1:8" x14ac:dyDescent="0.2">
      <c r="A106" s="155"/>
      <c r="B106" s="154">
        <v>104</v>
      </c>
      <c r="C106" s="153" t="b">
        <v>0</v>
      </c>
      <c r="D106" s="152" t="str">
        <v>N2</v>
      </c>
      <c r="E106" s="151" t="str">
        <f>Currency&amp;$D$1&amp;$E$1&amp;$D106&amp;QuoteSuffix</f>
        <v>USDFUT1MN2_Quote</v>
      </c>
      <c r="F106" s="150" t="str">
        <f>_xll.qlSimpleQuote(E106,,PriceTickValue,Permanent,Trigger,ObjectOverwrite)</f>
        <v>USDFUT1MN2_Quote#0026</v>
      </c>
      <c r="G106" s="113" t="str">
        <f>_xll.ohRangeRetrieveError(F106)</f>
        <v/>
      </c>
      <c r="H106" s="149"/>
    </row>
    <row r="107" spans="1:8" x14ac:dyDescent="0.2">
      <c r="A107" s="155"/>
      <c r="B107" s="154">
        <v>105</v>
      </c>
      <c r="C107" s="153" t="b">
        <v>0</v>
      </c>
      <c r="D107" s="152" t="str">
        <v>Q2</v>
      </c>
      <c r="E107" s="151" t="str">
        <f>Currency&amp;$D$1&amp;$E$1&amp;$D107&amp;QuoteSuffix</f>
        <v>USDFUT1MQ2_Quote</v>
      </c>
      <c r="F107" s="150" t="str">
        <f>_xll.qlSimpleQuote(E107,,PriceTickValue,Permanent,Trigger,ObjectOverwrite)</f>
        <v>USDFUT1MQ2_Quote#0026</v>
      </c>
      <c r="G107" s="113" t="str">
        <f>_xll.ohRangeRetrieveError(F107)</f>
        <v/>
      </c>
      <c r="H107" s="149"/>
    </row>
    <row r="108" spans="1:8" x14ac:dyDescent="0.2">
      <c r="A108" s="155"/>
      <c r="B108" s="154">
        <v>106</v>
      </c>
      <c r="C108" s="153" t="b">
        <v>0</v>
      </c>
      <c r="D108" s="152" t="str">
        <v>U2</v>
      </c>
      <c r="E108" s="151" t="str">
        <f>Currency&amp;$D$1&amp;$E$1&amp;$D108&amp;QuoteSuffix</f>
        <v>USDFUT1MU2_Quote</v>
      </c>
      <c r="F108" s="150" t="str">
        <f>_xll.qlSimpleQuote(E108,,PriceTickValue,Permanent,Trigger,ObjectOverwrite)</f>
        <v>USDFUT1MU2_Quote#0026</v>
      </c>
      <c r="G108" s="113" t="str">
        <f>_xll.ohRangeRetrieveError(F108)</f>
        <v/>
      </c>
      <c r="H108" s="149"/>
    </row>
    <row r="109" spans="1:8" x14ac:dyDescent="0.2">
      <c r="A109" s="155"/>
      <c r="B109" s="154">
        <v>107</v>
      </c>
      <c r="C109" s="153" t="b">
        <v>0</v>
      </c>
      <c r="D109" s="152" t="str">
        <v>V2</v>
      </c>
      <c r="E109" s="151" t="str">
        <f>Currency&amp;$D$1&amp;$E$1&amp;$D109&amp;QuoteSuffix</f>
        <v>USDFUT1MV2_Quote</v>
      </c>
      <c r="F109" s="150" t="str">
        <f>_xll.qlSimpleQuote(E109,,PriceTickValue,Permanent,Trigger,ObjectOverwrite)</f>
        <v>USDFUT1MV2_Quote#0026</v>
      </c>
      <c r="G109" s="113" t="str">
        <f>_xll.ohRangeRetrieveError(F109)</f>
        <v/>
      </c>
      <c r="H109" s="149"/>
    </row>
    <row r="110" spans="1:8" x14ac:dyDescent="0.2">
      <c r="A110" s="155"/>
      <c r="B110" s="154">
        <v>108</v>
      </c>
      <c r="C110" s="153" t="b">
        <v>0</v>
      </c>
      <c r="D110" s="152" t="str">
        <v>X2</v>
      </c>
      <c r="E110" s="151" t="str">
        <f>Currency&amp;$D$1&amp;$E$1&amp;$D110&amp;QuoteSuffix</f>
        <v>USDFUT1MX2_Quote</v>
      </c>
      <c r="F110" s="150" t="str">
        <f>_xll.qlSimpleQuote(E110,,PriceTickValue,Permanent,Trigger,ObjectOverwrite)</f>
        <v>USDFUT1MX2_Quote#0026</v>
      </c>
      <c r="G110" s="113" t="str">
        <f>_xll.ohRangeRetrieveError(F110)</f>
        <v/>
      </c>
      <c r="H110" s="149"/>
    </row>
    <row r="111" spans="1:8" x14ac:dyDescent="0.2">
      <c r="A111" s="155"/>
      <c r="B111" s="154">
        <v>109</v>
      </c>
      <c r="C111" s="153" t="b">
        <v>0</v>
      </c>
      <c r="D111" s="152" t="str">
        <v>Z2</v>
      </c>
      <c r="E111" s="151" t="str">
        <f>Currency&amp;$D$1&amp;$E$1&amp;$D111&amp;QuoteSuffix</f>
        <v>USDFUT1MZ2_Quote</v>
      </c>
      <c r="F111" s="150" t="str">
        <f>_xll.qlSimpleQuote(E111,,PriceTickValue,Permanent,Trigger,ObjectOverwrite)</f>
        <v>USDFUT1MZ2_Quote#0026</v>
      </c>
      <c r="G111" s="113" t="str">
        <f>_xll.ohRangeRetrieveError(F111)</f>
        <v/>
      </c>
      <c r="H111" s="149"/>
    </row>
    <row r="112" spans="1:8" x14ac:dyDescent="0.2">
      <c r="A112" s="155"/>
      <c r="B112" s="154">
        <v>110</v>
      </c>
      <c r="C112" s="153" t="b">
        <v>0</v>
      </c>
      <c r="D112" s="152" t="str">
        <v>F3</v>
      </c>
      <c r="E112" s="151" t="str">
        <f>Currency&amp;$D$1&amp;$E$1&amp;$D112&amp;QuoteSuffix</f>
        <v>USDFUT1MF3_Quote</v>
      </c>
      <c r="F112" s="150" t="str">
        <f>_xll.qlSimpleQuote(E112,,PriceTickValue,Permanent,Trigger,ObjectOverwrite)</f>
        <v>USDFUT1MF3_Quote#0026</v>
      </c>
      <c r="G112" s="113" t="str">
        <f>_xll.ohRangeRetrieveError(F112)</f>
        <v/>
      </c>
      <c r="H112" s="149"/>
    </row>
    <row r="113" spans="1:8" x14ac:dyDescent="0.2">
      <c r="A113" s="155"/>
      <c r="B113" s="154">
        <v>111</v>
      </c>
      <c r="C113" s="153" t="b">
        <v>0</v>
      </c>
      <c r="D113" s="152" t="str">
        <v>G3</v>
      </c>
      <c r="E113" s="151" t="str">
        <f>Currency&amp;$D$1&amp;$E$1&amp;$D113&amp;QuoteSuffix</f>
        <v>USDFUT1MG3_Quote</v>
      </c>
      <c r="F113" s="150" t="str">
        <f>_xll.qlSimpleQuote(E113,,PriceTickValue,Permanent,Trigger,ObjectOverwrite)</f>
        <v>USDFUT1MG3_Quote#0026</v>
      </c>
      <c r="G113" s="113" t="str">
        <f>_xll.ohRangeRetrieveError(F113)</f>
        <v/>
      </c>
      <c r="H113" s="149"/>
    </row>
    <row r="114" spans="1:8" x14ac:dyDescent="0.2">
      <c r="A114" s="155"/>
      <c r="B114" s="154">
        <v>112</v>
      </c>
      <c r="C114" s="153" t="b">
        <v>0</v>
      </c>
      <c r="D114" s="152" t="str">
        <v>H3</v>
      </c>
      <c r="E114" s="151" t="str">
        <f>Currency&amp;$D$1&amp;$E$1&amp;$D114&amp;QuoteSuffix</f>
        <v>USDFUT1MH3_Quote</v>
      </c>
      <c r="F114" s="150" t="str">
        <f>_xll.qlSimpleQuote(E114,,PriceTickValue,Permanent,Trigger,ObjectOverwrite)</f>
        <v>USDFUT1MH3_Quote#0026</v>
      </c>
      <c r="G114" s="113" t="str">
        <f>_xll.ohRangeRetrieveError(F114)</f>
        <v/>
      </c>
      <c r="H114" s="149"/>
    </row>
    <row r="115" spans="1:8" x14ac:dyDescent="0.2">
      <c r="A115" s="155"/>
      <c r="B115" s="154">
        <v>113</v>
      </c>
      <c r="C115" s="153" t="b">
        <v>0</v>
      </c>
      <c r="D115" s="152" t="str">
        <v>J3</v>
      </c>
      <c r="E115" s="151" t="str">
        <f>Currency&amp;$D$1&amp;$E$1&amp;$D115&amp;QuoteSuffix</f>
        <v>USDFUT1MJ3_Quote</v>
      </c>
      <c r="F115" s="150" t="str">
        <f>_xll.qlSimpleQuote(E115,,PriceTickValue,Permanent,Trigger,ObjectOverwrite)</f>
        <v>USDFUT1MJ3_Quote#0026</v>
      </c>
      <c r="G115" s="113" t="str">
        <f>_xll.ohRangeRetrieveError(F115)</f>
        <v/>
      </c>
      <c r="H115" s="149"/>
    </row>
    <row r="116" spans="1:8" x14ac:dyDescent="0.2">
      <c r="A116" s="155"/>
      <c r="B116" s="154">
        <v>114</v>
      </c>
      <c r="C116" s="153" t="b">
        <v>0</v>
      </c>
      <c r="D116" s="152" t="str">
        <v>K3</v>
      </c>
      <c r="E116" s="151" t="str">
        <f>Currency&amp;$D$1&amp;$E$1&amp;$D116&amp;QuoteSuffix</f>
        <v>USDFUT1MK3_Quote</v>
      </c>
      <c r="F116" s="150" t="str">
        <f>_xll.qlSimpleQuote(E116,,PriceTickValue,Permanent,Trigger,ObjectOverwrite)</f>
        <v>USDFUT1MK3_Quote#0026</v>
      </c>
      <c r="G116" s="113" t="str">
        <f>_xll.ohRangeRetrieveError(F116)</f>
        <v/>
      </c>
      <c r="H116" s="149"/>
    </row>
    <row r="117" spans="1:8" x14ac:dyDescent="0.2">
      <c r="A117" s="155"/>
      <c r="B117" s="154">
        <v>115</v>
      </c>
      <c r="C117" s="153" t="b">
        <v>0</v>
      </c>
      <c r="D117" s="152" t="str">
        <v>M3</v>
      </c>
      <c r="E117" s="151" t="str">
        <f>Currency&amp;$D$1&amp;$E$1&amp;$D117&amp;QuoteSuffix</f>
        <v>USDFUT1MM3_Quote</v>
      </c>
      <c r="F117" s="150" t="str">
        <f>_xll.qlSimpleQuote(E117,,PriceTickValue,Permanent,Trigger,ObjectOverwrite)</f>
        <v>USDFUT1MM3_Quote#0026</v>
      </c>
      <c r="G117" s="113" t="str">
        <f>_xll.ohRangeRetrieveError(F117)</f>
        <v/>
      </c>
      <c r="H117" s="149"/>
    </row>
    <row r="118" spans="1:8" x14ac:dyDescent="0.2">
      <c r="A118" s="155"/>
      <c r="B118" s="154">
        <v>116</v>
      </c>
      <c r="C118" s="153" t="b">
        <v>0</v>
      </c>
      <c r="D118" s="152" t="str">
        <v>N3</v>
      </c>
      <c r="E118" s="151" t="str">
        <f>Currency&amp;$D$1&amp;$E$1&amp;$D118&amp;QuoteSuffix</f>
        <v>USDFUT1MN3_Quote</v>
      </c>
      <c r="F118" s="150" t="str">
        <f>_xll.qlSimpleQuote(E118,,PriceTickValue,Permanent,Trigger,ObjectOverwrite)</f>
        <v>USDFUT1MN3_Quote#0026</v>
      </c>
      <c r="G118" s="113" t="str">
        <f>_xll.ohRangeRetrieveError(F118)</f>
        <v/>
      </c>
      <c r="H118" s="149"/>
    </row>
    <row r="119" spans="1:8" x14ac:dyDescent="0.2">
      <c r="A119" s="155"/>
      <c r="B119" s="154">
        <v>117</v>
      </c>
      <c r="C119" s="153" t="b">
        <v>0</v>
      </c>
      <c r="D119" s="152" t="str">
        <v>Q3</v>
      </c>
      <c r="E119" s="151" t="str">
        <f>Currency&amp;$D$1&amp;$E$1&amp;$D119&amp;QuoteSuffix</f>
        <v>USDFUT1MQ3_Quote</v>
      </c>
      <c r="F119" s="150" t="str">
        <f>_xll.qlSimpleQuote(E119,,PriceTickValue,Permanent,Trigger,ObjectOverwrite)</f>
        <v>USDFUT1MQ3_Quote#0026</v>
      </c>
      <c r="G119" s="113" t="str">
        <f>_xll.ohRangeRetrieveError(F119)</f>
        <v/>
      </c>
      <c r="H119" s="149"/>
    </row>
    <row r="120" spans="1:8" x14ac:dyDescent="0.2">
      <c r="A120" s="155"/>
      <c r="B120" s="154">
        <v>118</v>
      </c>
      <c r="C120" s="153" t="b">
        <v>0</v>
      </c>
      <c r="D120" s="152" t="str">
        <v>U3</v>
      </c>
      <c r="E120" s="151" t="str">
        <f>Currency&amp;$D$1&amp;$E$1&amp;$D120&amp;QuoteSuffix</f>
        <v>USDFUT1MU3_Quote</v>
      </c>
      <c r="F120" s="150" t="str">
        <f>_xll.qlSimpleQuote(E120,,PriceTickValue,Permanent,Trigger,ObjectOverwrite)</f>
        <v>USDFUT1MU3_Quote#0026</v>
      </c>
      <c r="G120" s="113" t="str">
        <f>_xll.ohRangeRetrieveError(F120)</f>
        <v/>
      </c>
      <c r="H120" s="149"/>
    </row>
    <row r="121" spans="1:8" x14ac:dyDescent="0.2">
      <c r="A121" s="155"/>
      <c r="B121" s="154">
        <v>119</v>
      </c>
      <c r="C121" s="153" t="b">
        <v>0</v>
      </c>
      <c r="D121" s="152" t="str">
        <v>V3</v>
      </c>
      <c r="E121" s="151" t="str">
        <f>Currency&amp;$D$1&amp;$E$1&amp;$D121&amp;QuoteSuffix</f>
        <v>USDFUT1MV3_Quote</v>
      </c>
      <c r="F121" s="150" t="str">
        <f>_xll.qlSimpleQuote(E121,,PriceTickValue,Permanent,Trigger,ObjectOverwrite)</f>
        <v>USDFUT1MV3_Quote#0026</v>
      </c>
      <c r="G121" s="113" t="str">
        <f>_xll.ohRangeRetrieveError(F121)</f>
        <v/>
      </c>
      <c r="H121" s="149"/>
    </row>
    <row r="122" spans="1:8" x14ac:dyDescent="0.2">
      <c r="A122" s="155"/>
      <c r="B122" s="154">
        <v>120</v>
      </c>
      <c r="C122" s="153" t="b">
        <v>0</v>
      </c>
      <c r="D122" s="152" t="str">
        <v>X3</v>
      </c>
      <c r="E122" s="151" t="str">
        <f>Currency&amp;$D$1&amp;$E$1&amp;$D122&amp;QuoteSuffix</f>
        <v>USDFUT1MX3_Quote</v>
      </c>
      <c r="F122" s="150" t="str">
        <f>_xll.qlSimpleQuote(E122,,PriceTickValue,Permanent,Trigger,ObjectOverwrite)</f>
        <v>USDFUT1MX3_Quote#0026</v>
      </c>
      <c r="G122" s="113" t="str">
        <f>_xll.ohRangeRetrieveError(F122)</f>
        <v/>
      </c>
      <c r="H122" s="149"/>
    </row>
    <row r="123" spans="1:8" ht="12" thickBot="1" x14ac:dyDescent="0.25">
      <c r="A123" s="148"/>
      <c r="B123" s="147"/>
      <c r="C123" s="147"/>
      <c r="D123" s="147"/>
      <c r="E123" s="147"/>
      <c r="F123" s="147"/>
      <c r="G123" s="147"/>
      <c r="H123" s="146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111" customWidth="1"/>
    <col min="2" max="2" width="3.5703125" style="111" bestFit="1" customWidth="1"/>
    <col min="3" max="3" width="5.7109375" style="111" bestFit="1" customWidth="1"/>
    <col min="4" max="4" width="6.140625" style="111" bestFit="1" customWidth="1"/>
    <col min="5" max="5" width="19.140625" style="111" bestFit="1" customWidth="1"/>
    <col min="6" max="6" width="20.140625" style="111" bestFit="1" customWidth="1"/>
    <col min="7" max="7" width="33.85546875" style="111" customWidth="1"/>
    <col min="8" max="8" width="4.5703125" style="111" customWidth="1"/>
    <col min="9" max="16384" width="9.140625" style="111"/>
  </cols>
  <sheetData>
    <row r="1" spans="1:8" x14ac:dyDescent="0.2">
      <c r="A1" s="166" t="s">
        <v>186</v>
      </c>
      <c r="B1" s="165"/>
      <c r="C1" s="165"/>
      <c r="D1" s="164" t="s">
        <v>184</v>
      </c>
      <c r="E1" s="164" t="s">
        <v>38</v>
      </c>
      <c r="F1" s="163"/>
      <c r="G1" s="163"/>
      <c r="H1" s="162"/>
    </row>
    <row r="2" spans="1:8" ht="22.5" x14ac:dyDescent="0.2">
      <c r="A2" s="161"/>
      <c r="B2" s="97" t="s">
        <v>183</v>
      </c>
      <c r="C2" s="98" t="s">
        <v>182</v>
      </c>
      <c r="D2" s="98" t="s">
        <v>181</v>
      </c>
      <c r="E2" s="96" t="str">
        <f>Currency&amp;"_010_"&amp;$D$1&amp;$E$1&amp;".xml"</f>
        <v>USD_010_FUT3M.xml</v>
      </c>
      <c r="F2" s="95">
        <f ca="1">IF(Serialize,_xll.ohObjectSave(F3:F122,SerializationPath&amp;E2,FileOverwrite,Serialize),"---")</f>
        <v>120</v>
      </c>
      <c r="G2" s="116" t="str">
        <f ca="1">_xll.ohRangeRetrieveError(F2)</f>
        <v/>
      </c>
      <c r="H2" s="149"/>
    </row>
    <row r="3" spans="1:8" x14ac:dyDescent="0.2">
      <c r="A3" s="155"/>
      <c r="B3" s="160">
        <v>1</v>
      </c>
      <c r="C3" s="159" t="b">
        <v>0</v>
      </c>
      <c r="D3" s="158" t="str">
        <f t="array" ref="D3:D122">_xll.qlIMMNextCodes(_xll.qlSettingsEvaluationDate(Trigger)-1,$C3:$C122)</f>
        <v>Z3</v>
      </c>
      <c r="E3" s="151" t="str">
        <f>Currency&amp;$D$1&amp;$E$1&amp;$D3&amp;QuoteSuffix</f>
        <v>USDFUT3MZ3_Quote</v>
      </c>
      <c r="F3" s="157" t="str">
        <f>_xll.qlSimpleQuote(E3,,PriceTickValue,Permanent,Trigger,ObjectOverwrite)</f>
        <v>USDFUT3MZ3_Quote#0025</v>
      </c>
      <c r="G3" s="156" t="str">
        <f>_xll.ohRangeRetrieveError(F3)</f>
        <v/>
      </c>
      <c r="H3" s="149"/>
    </row>
    <row r="4" spans="1:8" x14ac:dyDescent="0.2">
      <c r="A4" s="155"/>
      <c r="B4" s="154">
        <v>2</v>
      </c>
      <c r="C4" s="153" t="b">
        <v>0</v>
      </c>
      <c r="D4" s="152" t="str">
        <v>F4</v>
      </c>
      <c r="E4" s="151" t="str">
        <f>Currency&amp;$D$1&amp;$E$1&amp;$D4&amp;QuoteSuffix</f>
        <v>USDFUT3MF4_Quote</v>
      </c>
      <c r="F4" s="150" t="str">
        <f>_xll.qlSimpleQuote(E4,,PriceTickValue,Permanent,Trigger,ObjectOverwrite)</f>
        <v>USDFUT3MF4_Quote#0025</v>
      </c>
      <c r="G4" s="113" t="str">
        <f>_xll.ohRangeRetrieveError(F4)</f>
        <v/>
      </c>
      <c r="H4" s="149"/>
    </row>
    <row r="5" spans="1:8" x14ac:dyDescent="0.2">
      <c r="A5" s="155"/>
      <c r="B5" s="154">
        <v>3</v>
      </c>
      <c r="C5" s="153" t="b">
        <v>0</v>
      </c>
      <c r="D5" s="152" t="str">
        <v>G4</v>
      </c>
      <c r="E5" s="151" t="str">
        <f>Currency&amp;$D$1&amp;$E$1&amp;$D5&amp;QuoteSuffix</f>
        <v>USDFUT3MG4_Quote</v>
      </c>
      <c r="F5" s="150" t="str">
        <f>_xll.qlSimpleQuote(E5,,PriceTickValue,Permanent,Trigger,ObjectOverwrite)</f>
        <v>USDFUT3MG4_Quote#0025</v>
      </c>
      <c r="G5" s="113" t="str">
        <f>_xll.ohRangeRetrieveError(F5)</f>
        <v/>
      </c>
      <c r="H5" s="149"/>
    </row>
    <row r="6" spans="1:8" x14ac:dyDescent="0.2">
      <c r="A6" s="155"/>
      <c r="B6" s="154">
        <v>4</v>
      </c>
      <c r="C6" s="153" t="b">
        <v>0</v>
      </c>
      <c r="D6" s="152" t="str">
        <v>H4</v>
      </c>
      <c r="E6" s="151" t="str">
        <f>Currency&amp;$D$1&amp;$E$1&amp;$D6&amp;QuoteSuffix</f>
        <v>USDFUT3MH4_Quote</v>
      </c>
      <c r="F6" s="150" t="str">
        <f>_xll.qlSimpleQuote(E6,,PriceTickValue,Permanent,Trigger,ObjectOverwrite)</f>
        <v>USDFUT3MH4_Quote#0025</v>
      </c>
      <c r="G6" s="113" t="str">
        <f>_xll.ohRangeRetrieveError(F6)</f>
        <v/>
      </c>
      <c r="H6" s="149"/>
    </row>
    <row r="7" spans="1:8" x14ac:dyDescent="0.2">
      <c r="A7" s="155"/>
      <c r="B7" s="154">
        <v>5</v>
      </c>
      <c r="C7" s="153" t="b">
        <v>0</v>
      </c>
      <c r="D7" s="152" t="str">
        <v>J4</v>
      </c>
      <c r="E7" s="151" t="str">
        <f>Currency&amp;$D$1&amp;$E$1&amp;$D7&amp;QuoteSuffix</f>
        <v>USDFUT3MJ4_Quote</v>
      </c>
      <c r="F7" s="150" t="str">
        <f>_xll.qlSimpleQuote(E7,,PriceTickValue,Permanent,Trigger,ObjectOverwrite)</f>
        <v>USDFUT3MJ4_Quote#0025</v>
      </c>
      <c r="G7" s="113" t="str">
        <f>_xll.ohRangeRetrieveError(F7)</f>
        <v/>
      </c>
      <c r="H7" s="149"/>
    </row>
    <row r="8" spans="1:8" x14ac:dyDescent="0.2">
      <c r="A8" s="155"/>
      <c r="B8" s="154">
        <v>6</v>
      </c>
      <c r="C8" s="153" t="b">
        <v>0</v>
      </c>
      <c r="D8" s="152" t="str">
        <v>K4</v>
      </c>
      <c r="E8" s="151" t="str">
        <f>Currency&amp;$D$1&amp;$E$1&amp;$D8&amp;QuoteSuffix</f>
        <v>USDFUT3MK4_Quote</v>
      </c>
      <c r="F8" s="150" t="str">
        <f>_xll.qlSimpleQuote(E8,,PriceTickValue,Permanent,Trigger,ObjectOverwrite)</f>
        <v>USDFUT3MK4_Quote#0025</v>
      </c>
      <c r="G8" s="113" t="str">
        <f>_xll.ohRangeRetrieveError(F8)</f>
        <v/>
      </c>
      <c r="H8" s="149"/>
    </row>
    <row r="9" spans="1:8" x14ac:dyDescent="0.2">
      <c r="A9" s="155"/>
      <c r="B9" s="154">
        <v>7</v>
      </c>
      <c r="C9" s="153" t="b">
        <v>0</v>
      </c>
      <c r="D9" s="152" t="str">
        <v>M4</v>
      </c>
      <c r="E9" s="151" t="str">
        <f>Currency&amp;$D$1&amp;$E$1&amp;$D9&amp;QuoteSuffix</f>
        <v>USDFUT3MM4_Quote</v>
      </c>
      <c r="F9" s="150" t="str">
        <f>_xll.qlSimpleQuote(E9,,PriceTickValue,Permanent,Trigger,ObjectOverwrite)</f>
        <v>USDFUT3MM4_Quote#0025</v>
      </c>
      <c r="G9" s="113" t="str">
        <f>_xll.ohRangeRetrieveError(F9)</f>
        <v/>
      </c>
      <c r="H9" s="149"/>
    </row>
    <row r="10" spans="1:8" x14ac:dyDescent="0.2">
      <c r="A10" s="155"/>
      <c r="B10" s="154">
        <v>8</v>
      </c>
      <c r="C10" s="153" t="b">
        <v>0</v>
      </c>
      <c r="D10" s="152" t="str">
        <v>N4</v>
      </c>
      <c r="E10" s="151" t="str">
        <f>Currency&amp;$D$1&amp;$E$1&amp;$D10&amp;QuoteSuffix</f>
        <v>USDFUT3MN4_Quote</v>
      </c>
      <c r="F10" s="150" t="str">
        <f>_xll.qlSimpleQuote(E10,,PriceTickValue,Permanent,Trigger,ObjectOverwrite)</f>
        <v>USDFUT3MN4_Quote#0025</v>
      </c>
      <c r="G10" s="113" t="str">
        <f>_xll.ohRangeRetrieveError(F10)</f>
        <v/>
      </c>
      <c r="H10" s="149"/>
    </row>
    <row r="11" spans="1:8" x14ac:dyDescent="0.2">
      <c r="A11" s="155"/>
      <c r="B11" s="154">
        <v>9</v>
      </c>
      <c r="C11" s="153" t="b">
        <v>0</v>
      </c>
      <c r="D11" s="152" t="str">
        <v>Q4</v>
      </c>
      <c r="E11" s="151" t="str">
        <f>Currency&amp;$D$1&amp;$E$1&amp;$D11&amp;QuoteSuffix</f>
        <v>USDFUT3MQ4_Quote</v>
      </c>
      <c r="F11" s="150" t="str">
        <f>_xll.qlSimpleQuote(E11,,PriceTickValue,Permanent,Trigger,ObjectOverwrite)</f>
        <v>USDFUT3MQ4_Quote#0025</v>
      </c>
      <c r="G11" s="113" t="str">
        <f>_xll.ohRangeRetrieveError(F11)</f>
        <v/>
      </c>
      <c r="H11" s="149"/>
    </row>
    <row r="12" spans="1:8" x14ac:dyDescent="0.2">
      <c r="A12" s="155"/>
      <c r="B12" s="154">
        <v>10</v>
      </c>
      <c r="C12" s="153" t="b">
        <v>0</v>
      </c>
      <c r="D12" s="152" t="str">
        <v>U4</v>
      </c>
      <c r="E12" s="151" t="str">
        <f>Currency&amp;$D$1&amp;$E$1&amp;$D12&amp;QuoteSuffix</f>
        <v>USDFUT3MU4_Quote</v>
      </c>
      <c r="F12" s="150" t="str">
        <f>_xll.qlSimpleQuote(E12,,PriceTickValue,Permanent,Trigger,ObjectOverwrite)</f>
        <v>USDFUT3MU4_Quote#0025</v>
      </c>
      <c r="G12" s="113" t="str">
        <f>_xll.ohRangeRetrieveError(F12)</f>
        <v/>
      </c>
      <c r="H12" s="149"/>
    </row>
    <row r="13" spans="1:8" x14ac:dyDescent="0.2">
      <c r="A13" s="155"/>
      <c r="B13" s="154">
        <v>11</v>
      </c>
      <c r="C13" s="153" t="b">
        <v>0</v>
      </c>
      <c r="D13" s="152" t="str">
        <v>V4</v>
      </c>
      <c r="E13" s="151" t="str">
        <f>Currency&amp;$D$1&amp;$E$1&amp;$D13&amp;QuoteSuffix</f>
        <v>USDFUT3MV4_Quote</v>
      </c>
      <c r="F13" s="150" t="str">
        <f>_xll.qlSimpleQuote(E13,,PriceTickValue,Permanent,Trigger,ObjectOverwrite)</f>
        <v>USDFUT3MV4_Quote#0025</v>
      </c>
      <c r="G13" s="113" t="str">
        <f>_xll.ohRangeRetrieveError(F13)</f>
        <v/>
      </c>
      <c r="H13" s="149"/>
    </row>
    <row r="14" spans="1:8" x14ac:dyDescent="0.2">
      <c r="A14" s="155"/>
      <c r="B14" s="154">
        <v>12</v>
      </c>
      <c r="C14" s="153" t="b">
        <v>0</v>
      </c>
      <c r="D14" s="152" t="str">
        <v>X4</v>
      </c>
      <c r="E14" s="151" t="str">
        <f>Currency&amp;$D$1&amp;$E$1&amp;$D14&amp;QuoteSuffix</f>
        <v>USDFUT3MX4_Quote</v>
      </c>
      <c r="F14" s="150" t="str">
        <f>_xll.qlSimpleQuote(E14,,PriceTickValue,Permanent,Trigger,ObjectOverwrite)</f>
        <v>USDFUT3MX4_Quote#0025</v>
      </c>
      <c r="G14" s="113" t="str">
        <f>_xll.ohRangeRetrieveError(F14)</f>
        <v/>
      </c>
      <c r="H14" s="149"/>
    </row>
    <row r="15" spans="1:8" x14ac:dyDescent="0.2">
      <c r="A15" s="155"/>
      <c r="B15" s="154">
        <v>13</v>
      </c>
      <c r="C15" s="153" t="b">
        <v>0</v>
      </c>
      <c r="D15" s="152" t="str">
        <v>Z4</v>
      </c>
      <c r="E15" s="151" t="str">
        <f>Currency&amp;$D$1&amp;$E$1&amp;$D15&amp;QuoteSuffix</f>
        <v>USDFUT3MZ4_Quote</v>
      </c>
      <c r="F15" s="150" t="str">
        <f>_xll.qlSimpleQuote(E15,,PriceTickValue,Permanent,Trigger,ObjectOverwrite)</f>
        <v>USDFUT3MZ4_Quote#0025</v>
      </c>
      <c r="G15" s="113" t="str">
        <f>_xll.ohRangeRetrieveError(F15)</f>
        <v/>
      </c>
      <c r="H15" s="149"/>
    </row>
    <row r="16" spans="1:8" x14ac:dyDescent="0.2">
      <c r="A16" s="155"/>
      <c r="B16" s="154">
        <v>14</v>
      </c>
      <c r="C16" s="153" t="b">
        <v>0</v>
      </c>
      <c r="D16" s="152" t="str">
        <v>F5</v>
      </c>
      <c r="E16" s="151" t="str">
        <f>Currency&amp;$D$1&amp;$E$1&amp;$D16&amp;QuoteSuffix</f>
        <v>USDFUT3MF5_Quote</v>
      </c>
      <c r="F16" s="150" t="str">
        <f>_xll.qlSimpleQuote(E16,,PriceTickValue,Permanent,Trigger,ObjectOverwrite)</f>
        <v>USDFUT3MF5_Quote#0025</v>
      </c>
      <c r="G16" s="113" t="str">
        <f>_xll.ohRangeRetrieveError(F16)</f>
        <v/>
      </c>
      <c r="H16" s="149"/>
    </row>
    <row r="17" spans="1:8" x14ac:dyDescent="0.2">
      <c r="A17" s="155"/>
      <c r="B17" s="154">
        <v>15</v>
      </c>
      <c r="C17" s="153" t="b">
        <v>0</v>
      </c>
      <c r="D17" s="152" t="str">
        <v>G5</v>
      </c>
      <c r="E17" s="151" t="str">
        <f>Currency&amp;$D$1&amp;$E$1&amp;$D17&amp;QuoteSuffix</f>
        <v>USDFUT3MG5_Quote</v>
      </c>
      <c r="F17" s="150" t="str">
        <f>_xll.qlSimpleQuote(E17,,PriceTickValue,Permanent,Trigger,ObjectOverwrite)</f>
        <v>USDFUT3MG5_Quote#0025</v>
      </c>
      <c r="G17" s="113" t="str">
        <f>_xll.ohRangeRetrieveError(F17)</f>
        <v/>
      </c>
      <c r="H17" s="149"/>
    </row>
    <row r="18" spans="1:8" x14ac:dyDescent="0.2">
      <c r="A18" s="155"/>
      <c r="B18" s="154">
        <v>16</v>
      </c>
      <c r="C18" s="153" t="b">
        <v>0</v>
      </c>
      <c r="D18" s="152" t="str">
        <v>H5</v>
      </c>
      <c r="E18" s="151" t="str">
        <f>Currency&amp;$D$1&amp;$E$1&amp;$D18&amp;QuoteSuffix</f>
        <v>USDFUT3MH5_Quote</v>
      </c>
      <c r="F18" s="150" t="str">
        <f>_xll.qlSimpleQuote(E18,,PriceTickValue,Permanent,Trigger,ObjectOverwrite)</f>
        <v>USDFUT3MH5_Quote#0025</v>
      </c>
      <c r="G18" s="113" t="str">
        <f>_xll.ohRangeRetrieveError(F18)</f>
        <v/>
      </c>
      <c r="H18" s="149"/>
    </row>
    <row r="19" spans="1:8" x14ac:dyDescent="0.2">
      <c r="A19" s="155"/>
      <c r="B19" s="154">
        <v>17</v>
      </c>
      <c r="C19" s="153" t="b">
        <v>0</v>
      </c>
      <c r="D19" s="152" t="str">
        <v>J5</v>
      </c>
      <c r="E19" s="151" t="str">
        <f>Currency&amp;$D$1&amp;$E$1&amp;$D19&amp;QuoteSuffix</f>
        <v>USDFUT3MJ5_Quote</v>
      </c>
      <c r="F19" s="150" t="str">
        <f>_xll.qlSimpleQuote(E19,,PriceTickValue,Permanent,Trigger,ObjectOverwrite)</f>
        <v>USDFUT3MJ5_Quote#0025</v>
      </c>
      <c r="G19" s="113" t="str">
        <f>_xll.ohRangeRetrieveError(F19)</f>
        <v/>
      </c>
      <c r="H19" s="149"/>
    </row>
    <row r="20" spans="1:8" x14ac:dyDescent="0.2">
      <c r="A20" s="155"/>
      <c r="B20" s="154">
        <v>18</v>
      </c>
      <c r="C20" s="153" t="b">
        <v>0</v>
      </c>
      <c r="D20" s="152" t="str">
        <v>K5</v>
      </c>
      <c r="E20" s="151" t="str">
        <f>Currency&amp;$D$1&amp;$E$1&amp;$D20&amp;QuoteSuffix</f>
        <v>USDFUT3MK5_Quote</v>
      </c>
      <c r="F20" s="150" t="str">
        <f>_xll.qlSimpleQuote(E20,,PriceTickValue,Permanent,Trigger,ObjectOverwrite)</f>
        <v>USDFUT3MK5_Quote#0025</v>
      </c>
      <c r="G20" s="113" t="str">
        <f>_xll.ohRangeRetrieveError(F20)</f>
        <v/>
      </c>
      <c r="H20" s="149"/>
    </row>
    <row r="21" spans="1:8" x14ac:dyDescent="0.2">
      <c r="A21" s="155"/>
      <c r="B21" s="154">
        <v>19</v>
      </c>
      <c r="C21" s="153" t="b">
        <v>0</v>
      </c>
      <c r="D21" s="152" t="str">
        <v>M5</v>
      </c>
      <c r="E21" s="151" t="str">
        <f>Currency&amp;$D$1&amp;$E$1&amp;$D21&amp;QuoteSuffix</f>
        <v>USDFUT3MM5_Quote</v>
      </c>
      <c r="F21" s="150" t="str">
        <f>_xll.qlSimpleQuote(E21,,PriceTickValue,Permanent,Trigger,ObjectOverwrite)</f>
        <v>USDFUT3MM5_Quote#0025</v>
      </c>
      <c r="G21" s="113" t="str">
        <f>_xll.ohRangeRetrieveError(F21)</f>
        <v/>
      </c>
      <c r="H21" s="149"/>
    </row>
    <row r="22" spans="1:8" x14ac:dyDescent="0.2">
      <c r="A22" s="155"/>
      <c r="B22" s="154">
        <v>20</v>
      </c>
      <c r="C22" s="153" t="b">
        <v>0</v>
      </c>
      <c r="D22" s="152" t="str">
        <v>N5</v>
      </c>
      <c r="E22" s="151" t="str">
        <f>Currency&amp;$D$1&amp;$E$1&amp;$D22&amp;QuoteSuffix</f>
        <v>USDFUT3MN5_Quote</v>
      </c>
      <c r="F22" s="150" t="str">
        <f>_xll.qlSimpleQuote(E22,,PriceTickValue,Permanent,Trigger,ObjectOverwrite)</f>
        <v>USDFUT3MN5_Quote#0025</v>
      </c>
      <c r="G22" s="113" t="str">
        <f>_xll.ohRangeRetrieveError(F22)</f>
        <v/>
      </c>
      <c r="H22" s="149"/>
    </row>
    <row r="23" spans="1:8" x14ac:dyDescent="0.2">
      <c r="A23" s="155"/>
      <c r="B23" s="154">
        <v>21</v>
      </c>
      <c r="C23" s="153" t="b">
        <v>0</v>
      </c>
      <c r="D23" s="152" t="str">
        <v>Q5</v>
      </c>
      <c r="E23" s="151" t="str">
        <f>Currency&amp;$D$1&amp;$E$1&amp;$D23&amp;QuoteSuffix</f>
        <v>USDFUT3MQ5_Quote</v>
      </c>
      <c r="F23" s="150" t="str">
        <f>_xll.qlSimpleQuote(E23,,PriceTickValue,Permanent,Trigger,ObjectOverwrite)</f>
        <v>USDFUT3MQ5_Quote#0025</v>
      </c>
      <c r="G23" s="113" t="str">
        <f>_xll.ohRangeRetrieveError(F23)</f>
        <v/>
      </c>
      <c r="H23" s="149"/>
    </row>
    <row r="24" spans="1:8" x14ac:dyDescent="0.2">
      <c r="A24" s="155"/>
      <c r="B24" s="154">
        <v>22</v>
      </c>
      <c r="C24" s="153" t="b">
        <v>0</v>
      </c>
      <c r="D24" s="152" t="str">
        <v>U5</v>
      </c>
      <c r="E24" s="151" t="str">
        <f>Currency&amp;$D$1&amp;$E$1&amp;$D24&amp;QuoteSuffix</f>
        <v>USDFUT3MU5_Quote</v>
      </c>
      <c r="F24" s="150" t="str">
        <f>_xll.qlSimpleQuote(E24,,PriceTickValue,Permanent,Trigger,ObjectOverwrite)</f>
        <v>USDFUT3MU5_Quote#0025</v>
      </c>
      <c r="G24" s="113" t="str">
        <f>_xll.ohRangeRetrieveError(F24)</f>
        <v/>
      </c>
      <c r="H24" s="149"/>
    </row>
    <row r="25" spans="1:8" x14ac:dyDescent="0.2">
      <c r="A25" s="155"/>
      <c r="B25" s="154">
        <v>23</v>
      </c>
      <c r="C25" s="153" t="b">
        <v>0</v>
      </c>
      <c r="D25" s="152" t="str">
        <v>V5</v>
      </c>
      <c r="E25" s="151" t="str">
        <f>Currency&amp;$D$1&amp;$E$1&amp;$D25&amp;QuoteSuffix</f>
        <v>USDFUT3MV5_Quote</v>
      </c>
      <c r="F25" s="150" t="str">
        <f>_xll.qlSimpleQuote(E25,,PriceTickValue,Permanent,Trigger,ObjectOverwrite)</f>
        <v>USDFUT3MV5_Quote#0025</v>
      </c>
      <c r="G25" s="113" t="str">
        <f>_xll.ohRangeRetrieveError(F25)</f>
        <v/>
      </c>
      <c r="H25" s="149"/>
    </row>
    <row r="26" spans="1:8" x14ac:dyDescent="0.2">
      <c r="A26" s="155"/>
      <c r="B26" s="154">
        <v>24</v>
      </c>
      <c r="C26" s="153" t="b">
        <v>0</v>
      </c>
      <c r="D26" s="152" t="str">
        <v>X5</v>
      </c>
      <c r="E26" s="151" t="str">
        <f>Currency&amp;$D$1&amp;$E$1&amp;$D26&amp;QuoteSuffix</f>
        <v>USDFUT3MX5_Quote</v>
      </c>
      <c r="F26" s="150" t="str">
        <f>_xll.qlSimpleQuote(E26,,PriceTickValue,Permanent,Trigger,ObjectOverwrite)</f>
        <v>USDFUT3MX5_Quote#0025</v>
      </c>
      <c r="G26" s="113" t="str">
        <f>_xll.ohRangeRetrieveError(F26)</f>
        <v/>
      </c>
      <c r="H26" s="149"/>
    </row>
    <row r="27" spans="1:8" x14ac:dyDescent="0.2">
      <c r="A27" s="155"/>
      <c r="B27" s="154">
        <v>25</v>
      </c>
      <c r="C27" s="153" t="b">
        <v>0</v>
      </c>
      <c r="D27" s="152" t="str">
        <v>Z5</v>
      </c>
      <c r="E27" s="151" t="str">
        <f>Currency&amp;$D$1&amp;$E$1&amp;$D27&amp;QuoteSuffix</f>
        <v>USDFUT3MZ5_Quote</v>
      </c>
      <c r="F27" s="150" t="str">
        <f>_xll.qlSimpleQuote(E27,,PriceTickValue,Permanent,Trigger,ObjectOverwrite)</f>
        <v>USDFUT3MZ5_Quote#0025</v>
      </c>
      <c r="G27" s="113" t="str">
        <f>_xll.ohRangeRetrieveError(F27)</f>
        <v/>
      </c>
      <c r="H27" s="149"/>
    </row>
    <row r="28" spans="1:8" x14ac:dyDescent="0.2">
      <c r="A28" s="155"/>
      <c r="B28" s="154">
        <v>26</v>
      </c>
      <c r="C28" s="153" t="b">
        <v>0</v>
      </c>
      <c r="D28" s="152" t="str">
        <v>F6</v>
      </c>
      <c r="E28" s="151" t="str">
        <f>Currency&amp;$D$1&amp;$E$1&amp;$D28&amp;QuoteSuffix</f>
        <v>USDFUT3MF6_Quote</v>
      </c>
      <c r="F28" s="150" t="str">
        <f>_xll.qlSimpleQuote(E28,,PriceTickValue,Permanent,Trigger,ObjectOverwrite)</f>
        <v>USDFUT3MF6_Quote#0025</v>
      </c>
      <c r="G28" s="113" t="str">
        <f>_xll.ohRangeRetrieveError(F28)</f>
        <v/>
      </c>
      <c r="H28" s="149"/>
    </row>
    <row r="29" spans="1:8" x14ac:dyDescent="0.2">
      <c r="A29" s="155"/>
      <c r="B29" s="154">
        <v>27</v>
      </c>
      <c r="C29" s="153" t="b">
        <v>0</v>
      </c>
      <c r="D29" s="152" t="str">
        <v>G6</v>
      </c>
      <c r="E29" s="151" t="str">
        <f>Currency&amp;$D$1&amp;$E$1&amp;$D29&amp;QuoteSuffix</f>
        <v>USDFUT3MG6_Quote</v>
      </c>
      <c r="F29" s="150" t="str">
        <f>_xll.qlSimpleQuote(E29,,PriceTickValue,Permanent,Trigger,ObjectOverwrite)</f>
        <v>USDFUT3MG6_Quote#0025</v>
      </c>
      <c r="G29" s="113" t="str">
        <f>_xll.ohRangeRetrieveError(F29)</f>
        <v/>
      </c>
      <c r="H29" s="149"/>
    </row>
    <row r="30" spans="1:8" x14ac:dyDescent="0.2">
      <c r="A30" s="155"/>
      <c r="B30" s="154">
        <v>28</v>
      </c>
      <c r="C30" s="153" t="b">
        <v>0</v>
      </c>
      <c r="D30" s="152" t="str">
        <v>H6</v>
      </c>
      <c r="E30" s="151" t="str">
        <f>Currency&amp;$D$1&amp;$E$1&amp;$D30&amp;QuoteSuffix</f>
        <v>USDFUT3MH6_Quote</v>
      </c>
      <c r="F30" s="150" t="str">
        <f>_xll.qlSimpleQuote(E30,,PriceTickValue,Permanent,Trigger,ObjectOverwrite)</f>
        <v>USDFUT3MH6_Quote#0025</v>
      </c>
      <c r="G30" s="113" t="str">
        <f>_xll.ohRangeRetrieveError(F30)</f>
        <v/>
      </c>
      <c r="H30" s="149"/>
    </row>
    <row r="31" spans="1:8" x14ac:dyDescent="0.2">
      <c r="A31" s="155"/>
      <c r="B31" s="154">
        <v>29</v>
      </c>
      <c r="C31" s="153" t="b">
        <v>0</v>
      </c>
      <c r="D31" s="152" t="str">
        <v>J6</v>
      </c>
      <c r="E31" s="151" t="str">
        <f>Currency&amp;$D$1&amp;$E$1&amp;$D31&amp;QuoteSuffix</f>
        <v>USDFUT3MJ6_Quote</v>
      </c>
      <c r="F31" s="150" t="str">
        <f>_xll.qlSimpleQuote(E31,,PriceTickValue,Permanent,Trigger,ObjectOverwrite)</f>
        <v>USDFUT3MJ6_Quote#0025</v>
      </c>
      <c r="G31" s="113" t="str">
        <f>_xll.ohRangeRetrieveError(F31)</f>
        <v/>
      </c>
      <c r="H31" s="149"/>
    </row>
    <row r="32" spans="1:8" x14ac:dyDescent="0.2">
      <c r="A32" s="155"/>
      <c r="B32" s="154">
        <v>30</v>
      </c>
      <c r="C32" s="153" t="b">
        <v>0</v>
      </c>
      <c r="D32" s="152" t="str">
        <v>K6</v>
      </c>
      <c r="E32" s="151" t="str">
        <f>Currency&amp;$D$1&amp;$E$1&amp;$D32&amp;QuoteSuffix</f>
        <v>USDFUT3MK6_Quote</v>
      </c>
      <c r="F32" s="150" t="str">
        <f>_xll.qlSimpleQuote(E32,,PriceTickValue,Permanent,Trigger,ObjectOverwrite)</f>
        <v>USDFUT3MK6_Quote#0025</v>
      </c>
      <c r="G32" s="113" t="str">
        <f>_xll.ohRangeRetrieveError(F32)</f>
        <v/>
      </c>
      <c r="H32" s="149"/>
    </row>
    <row r="33" spans="1:8" x14ac:dyDescent="0.2">
      <c r="A33" s="155"/>
      <c r="B33" s="154">
        <v>31</v>
      </c>
      <c r="C33" s="153" t="b">
        <v>0</v>
      </c>
      <c r="D33" s="152" t="str">
        <v>M6</v>
      </c>
      <c r="E33" s="151" t="str">
        <f>Currency&amp;$D$1&amp;$E$1&amp;$D33&amp;QuoteSuffix</f>
        <v>USDFUT3MM6_Quote</v>
      </c>
      <c r="F33" s="150" t="str">
        <f>_xll.qlSimpleQuote(E33,,PriceTickValue,Permanent,Trigger,ObjectOverwrite)</f>
        <v>USDFUT3MM6_Quote#0025</v>
      </c>
      <c r="G33" s="113" t="str">
        <f>_xll.ohRangeRetrieveError(F33)</f>
        <v/>
      </c>
      <c r="H33" s="149"/>
    </row>
    <row r="34" spans="1:8" x14ac:dyDescent="0.2">
      <c r="A34" s="155"/>
      <c r="B34" s="154">
        <v>32</v>
      </c>
      <c r="C34" s="153" t="b">
        <v>0</v>
      </c>
      <c r="D34" s="152" t="str">
        <v>N6</v>
      </c>
      <c r="E34" s="151" t="str">
        <f>Currency&amp;$D$1&amp;$E$1&amp;$D34&amp;QuoteSuffix</f>
        <v>USDFUT3MN6_Quote</v>
      </c>
      <c r="F34" s="150" t="str">
        <f>_xll.qlSimpleQuote(E34,,PriceTickValue,Permanent,Trigger,ObjectOverwrite)</f>
        <v>USDFUT3MN6_Quote#0025</v>
      </c>
      <c r="G34" s="113" t="str">
        <f>_xll.ohRangeRetrieveError(F34)</f>
        <v/>
      </c>
      <c r="H34" s="149"/>
    </row>
    <row r="35" spans="1:8" x14ac:dyDescent="0.2">
      <c r="A35" s="155"/>
      <c r="B35" s="154">
        <v>33</v>
      </c>
      <c r="C35" s="153" t="b">
        <v>0</v>
      </c>
      <c r="D35" s="152" t="str">
        <v>Q6</v>
      </c>
      <c r="E35" s="151" t="str">
        <f>Currency&amp;$D$1&amp;$E$1&amp;$D35&amp;QuoteSuffix</f>
        <v>USDFUT3MQ6_Quote</v>
      </c>
      <c r="F35" s="150" t="str">
        <f>_xll.qlSimpleQuote(E35,,PriceTickValue,Permanent,Trigger,ObjectOverwrite)</f>
        <v>USDFUT3MQ6_Quote#0025</v>
      </c>
      <c r="G35" s="113" t="str">
        <f>_xll.ohRangeRetrieveError(F35)</f>
        <v/>
      </c>
      <c r="H35" s="149"/>
    </row>
    <row r="36" spans="1:8" x14ac:dyDescent="0.2">
      <c r="A36" s="155"/>
      <c r="B36" s="154">
        <v>34</v>
      </c>
      <c r="C36" s="153" t="b">
        <v>0</v>
      </c>
      <c r="D36" s="152" t="str">
        <v>U6</v>
      </c>
      <c r="E36" s="151" t="str">
        <f>Currency&amp;$D$1&amp;$E$1&amp;$D36&amp;QuoteSuffix</f>
        <v>USDFUT3MU6_Quote</v>
      </c>
      <c r="F36" s="150" t="str">
        <f>_xll.qlSimpleQuote(E36,,PriceTickValue,Permanent,Trigger,ObjectOverwrite)</f>
        <v>USDFUT3MU6_Quote#0025</v>
      </c>
      <c r="G36" s="113" t="str">
        <f>_xll.ohRangeRetrieveError(F36)</f>
        <v/>
      </c>
      <c r="H36" s="149"/>
    </row>
    <row r="37" spans="1:8" x14ac:dyDescent="0.2">
      <c r="A37" s="155"/>
      <c r="B37" s="154">
        <v>35</v>
      </c>
      <c r="C37" s="153" t="b">
        <v>0</v>
      </c>
      <c r="D37" s="152" t="str">
        <v>V6</v>
      </c>
      <c r="E37" s="151" t="str">
        <f>Currency&amp;$D$1&amp;$E$1&amp;$D37&amp;QuoteSuffix</f>
        <v>USDFUT3MV6_Quote</v>
      </c>
      <c r="F37" s="150" t="str">
        <f>_xll.qlSimpleQuote(E37,,PriceTickValue,Permanent,Trigger,ObjectOverwrite)</f>
        <v>USDFUT3MV6_Quote#0025</v>
      </c>
      <c r="G37" s="113" t="str">
        <f>_xll.ohRangeRetrieveError(F37)</f>
        <v/>
      </c>
      <c r="H37" s="149"/>
    </row>
    <row r="38" spans="1:8" x14ac:dyDescent="0.2">
      <c r="A38" s="155"/>
      <c r="B38" s="154">
        <v>36</v>
      </c>
      <c r="C38" s="153" t="b">
        <v>0</v>
      </c>
      <c r="D38" s="152" t="str">
        <v>X6</v>
      </c>
      <c r="E38" s="151" t="str">
        <f>Currency&amp;$D$1&amp;$E$1&amp;$D38&amp;QuoteSuffix</f>
        <v>USDFUT3MX6_Quote</v>
      </c>
      <c r="F38" s="150" t="str">
        <f>_xll.qlSimpleQuote(E38,,PriceTickValue,Permanent,Trigger,ObjectOverwrite)</f>
        <v>USDFUT3MX6_Quote#0025</v>
      </c>
      <c r="G38" s="113" t="str">
        <f>_xll.ohRangeRetrieveError(F38)</f>
        <v/>
      </c>
      <c r="H38" s="149"/>
    </row>
    <row r="39" spans="1:8" x14ac:dyDescent="0.2">
      <c r="A39" s="155"/>
      <c r="B39" s="154">
        <v>37</v>
      </c>
      <c r="C39" s="153" t="b">
        <v>0</v>
      </c>
      <c r="D39" s="152" t="str">
        <v>Z6</v>
      </c>
      <c r="E39" s="151" t="str">
        <f>Currency&amp;$D$1&amp;$E$1&amp;$D39&amp;QuoteSuffix</f>
        <v>USDFUT3MZ6_Quote</v>
      </c>
      <c r="F39" s="150" t="str">
        <f>_xll.qlSimpleQuote(E39,,PriceTickValue,Permanent,Trigger,ObjectOverwrite)</f>
        <v>USDFUT3MZ6_Quote#0025</v>
      </c>
      <c r="G39" s="113" t="str">
        <f>_xll.ohRangeRetrieveError(F39)</f>
        <v/>
      </c>
      <c r="H39" s="149"/>
    </row>
    <row r="40" spans="1:8" x14ac:dyDescent="0.2">
      <c r="A40" s="155"/>
      <c r="B40" s="154">
        <v>38</v>
      </c>
      <c r="C40" s="153" t="b">
        <v>0</v>
      </c>
      <c r="D40" s="152" t="str">
        <v>F7</v>
      </c>
      <c r="E40" s="151" t="str">
        <f>Currency&amp;$D$1&amp;$E$1&amp;$D40&amp;QuoteSuffix</f>
        <v>USDFUT3MF7_Quote</v>
      </c>
      <c r="F40" s="150" t="str">
        <f>_xll.qlSimpleQuote(E40,,PriceTickValue,Permanent,Trigger,ObjectOverwrite)</f>
        <v>USDFUT3MF7_Quote#0025</v>
      </c>
      <c r="G40" s="113" t="str">
        <f>_xll.ohRangeRetrieveError(F40)</f>
        <v/>
      </c>
      <c r="H40" s="149"/>
    </row>
    <row r="41" spans="1:8" x14ac:dyDescent="0.2">
      <c r="A41" s="155"/>
      <c r="B41" s="154">
        <v>39</v>
      </c>
      <c r="C41" s="153" t="b">
        <v>0</v>
      </c>
      <c r="D41" s="152" t="str">
        <v>G7</v>
      </c>
      <c r="E41" s="151" t="str">
        <f>Currency&amp;$D$1&amp;$E$1&amp;$D41&amp;QuoteSuffix</f>
        <v>USDFUT3MG7_Quote</v>
      </c>
      <c r="F41" s="150" t="str">
        <f>_xll.qlSimpleQuote(E41,,PriceTickValue,Permanent,Trigger,ObjectOverwrite)</f>
        <v>USDFUT3MG7_Quote#0025</v>
      </c>
      <c r="G41" s="113" t="str">
        <f>_xll.ohRangeRetrieveError(F41)</f>
        <v/>
      </c>
      <c r="H41" s="149"/>
    </row>
    <row r="42" spans="1:8" x14ac:dyDescent="0.2">
      <c r="A42" s="155"/>
      <c r="B42" s="154">
        <v>40</v>
      </c>
      <c r="C42" s="153" t="b">
        <v>0</v>
      </c>
      <c r="D42" s="152" t="str">
        <v>H7</v>
      </c>
      <c r="E42" s="151" t="str">
        <f>Currency&amp;$D$1&amp;$E$1&amp;$D42&amp;QuoteSuffix</f>
        <v>USDFUT3MH7_Quote</v>
      </c>
      <c r="F42" s="150" t="str">
        <f>_xll.qlSimpleQuote(E42,,PriceTickValue,Permanent,Trigger,ObjectOverwrite)</f>
        <v>USDFUT3MH7_Quote#0025</v>
      </c>
      <c r="G42" s="113" t="str">
        <f>_xll.ohRangeRetrieveError(F42)</f>
        <v/>
      </c>
      <c r="H42" s="149"/>
    </row>
    <row r="43" spans="1:8" x14ac:dyDescent="0.2">
      <c r="A43" s="155"/>
      <c r="B43" s="154">
        <v>41</v>
      </c>
      <c r="C43" s="153" t="b">
        <v>0</v>
      </c>
      <c r="D43" s="152" t="str">
        <v>J7</v>
      </c>
      <c r="E43" s="151" t="str">
        <f>Currency&amp;$D$1&amp;$E$1&amp;$D43&amp;QuoteSuffix</f>
        <v>USDFUT3MJ7_Quote</v>
      </c>
      <c r="F43" s="150" t="str">
        <f>_xll.qlSimpleQuote(E43,,PriceTickValue,Permanent,Trigger,ObjectOverwrite)</f>
        <v>USDFUT3MJ7_Quote#0025</v>
      </c>
      <c r="G43" s="113" t="str">
        <f>_xll.ohRangeRetrieveError(F43)</f>
        <v/>
      </c>
      <c r="H43" s="149"/>
    </row>
    <row r="44" spans="1:8" x14ac:dyDescent="0.2">
      <c r="A44" s="155"/>
      <c r="B44" s="154">
        <v>42</v>
      </c>
      <c r="C44" s="153" t="b">
        <v>0</v>
      </c>
      <c r="D44" s="152" t="str">
        <v>K7</v>
      </c>
      <c r="E44" s="151" t="str">
        <f>Currency&amp;$D$1&amp;$E$1&amp;$D44&amp;QuoteSuffix</f>
        <v>USDFUT3MK7_Quote</v>
      </c>
      <c r="F44" s="150" t="str">
        <f>_xll.qlSimpleQuote(E44,,PriceTickValue,Permanent,Trigger,ObjectOverwrite)</f>
        <v>USDFUT3MK7_Quote#0025</v>
      </c>
      <c r="G44" s="113" t="str">
        <f>_xll.ohRangeRetrieveError(F44)</f>
        <v/>
      </c>
      <c r="H44" s="149"/>
    </row>
    <row r="45" spans="1:8" x14ac:dyDescent="0.2">
      <c r="A45" s="155"/>
      <c r="B45" s="154">
        <v>43</v>
      </c>
      <c r="C45" s="153" t="b">
        <v>0</v>
      </c>
      <c r="D45" s="152" t="str">
        <v>M7</v>
      </c>
      <c r="E45" s="151" t="str">
        <f>Currency&amp;$D$1&amp;$E$1&amp;$D45&amp;QuoteSuffix</f>
        <v>USDFUT3MM7_Quote</v>
      </c>
      <c r="F45" s="150" t="str">
        <f>_xll.qlSimpleQuote(E45,,PriceTickValue,Permanent,Trigger,ObjectOverwrite)</f>
        <v>USDFUT3MM7_Quote#0025</v>
      </c>
      <c r="G45" s="113" t="str">
        <f>_xll.ohRangeRetrieveError(F45)</f>
        <v/>
      </c>
      <c r="H45" s="149"/>
    </row>
    <row r="46" spans="1:8" x14ac:dyDescent="0.2">
      <c r="A46" s="155"/>
      <c r="B46" s="154">
        <v>44</v>
      </c>
      <c r="C46" s="153" t="b">
        <v>0</v>
      </c>
      <c r="D46" s="152" t="str">
        <v>N7</v>
      </c>
      <c r="E46" s="151" t="str">
        <f>Currency&amp;$D$1&amp;$E$1&amp;$D46&amp;QuoteSuffix</f>
        <v>USDFUT3MN7_Quote</v>
      </c>
      <c r="F46" s="150" t="str">
        <f>_xll.qlSimpleQuote(E46,,PriceTickValue,Permanent,Trigger,ObjectOverwrite)</f>
        <v>USDFUT3MN7_Quote#0025</v>
      </c>
      <c r="G46" s="113" t="str">
        <f>_xll.ohRangeRetrieveError(F46)</f>
        <v/>
      </c>
      <c r="H46" s="149"/>
    </row>
    <row r="47" spans="1:8" x14ac:dyDescent="0.2">
      <c r="A47" s="155"/>
      <c r="B47" s="154">
        <v>45</v>
      </c>
      <c r="C47" s="153" t="b">
        <v>0</v>
      </c>
      <c r="D47" s="152" t="str">
        <v>Q7</v>
      </c>
      <c r="E47" s="151" t="str">
        <f>Currency&amp;$D$1&amp;$E$1&amp;$D47&amp;QuoteSuffix</f>
        <v>USDFUT3MQ7_Quote</v>
      </c>
      <c r="F47" s="150" t="str">
        <f>_xll.qlSimpleQuote(E47,,PriceTickValue,Permanent,Trigger,ObjectOverwrite)</f>
        <v>USDFUT3MQ7_Quote#0025</v>
      </c>
      <c r="G47" s="113" t="str">
        <f>_xll.ohRangeRetrieveError(F47)</f>
        <v/>
      </c>
      <c r="H47" s="149"/>
    </row>
    <row r="48" spans="1:8" x14ac:dyDescent="0.2">
      <c r="A48" s="155"/>
      <c r="B48" s="154">
        <v>46</v>
      </c>
      <c r="C48" s="153" t="b">
        <v>0</v>
      </c>
      <c r="D48" s="152" t="str">
        <v>U7</v>
      </c>
      <c r="E48" s="151" t="str">
        <f>Currency&amp;$D$1&amp;$E$1&amp;$D48&amp;QuoteSuffix</f>
        <v>USDFUT3MU7_Quote</v>
      </c>
      <c r="F48" s="150" t="str">
        <f>_xll.qlSimpleQuote(E48,,PriceTickValue,Permanent,Trigger,ObjectOverwrite)</f>
        <v>USDFUT3MU7_Quote#0025</v>
      </c>
      <c r="G48" s="113" t="str">
        <f>_xll.ohRangeRetrieveError(F48)</f>
        <v/>
      </c>
      <c r="H48" s="149"/>
    </row>
    <row r="49" spans="1:8" x14ac:dyDescent="0.2">
      <c r="A49" s="155"/>
      <c r="B49" s="154">
        <v>47</v>
      </c>
      <c r="C49" s="153" t="b">
        <v>0</v>
      </c>
      <c r="D49" s="152" t="str">
        <v>V7</v>
      </c>
      <c r="E49" s="151" t="str">
        <f>Currency&amp;$D$1&amp;$E$1&amp;$D49&amp;QuoteSuffix</f>
        <v>USDFUT3MV7_Quote</v>
      </c>
      <c r="F49" s="150" t="str">
        <f>_xll.qlSimpleQuote(E49,,PriceTickValue,Permanent,Trigger,ObjectOverwrite)</f>
        <v>USDFUT3MV7_Quote#0025</v>
      </c>
      <c r="G49" s="113" t="str">
        <f>_xll.ohRangeRetrieveError(F49)</f>
        <v/>
      </c>
      <c r="H49" s="149"/>
    </row>
    <row r="50" spans="1:8" x14ac:dyDescent="0.2">
      <c r="A50" s="155"/>
      <c r="B50" s="154">
        <v>48</v>
      </c>
      <c r="C50" s="153" t="b">
        <v>0</v>
      </c>
      <c r="D50" s="152" t="str">
        <v>X7</v>
      </c>
      <c r="E50" s="151" t="str">
        <f>Currency&amp;$D$1&amp;$E$1&amp;$D50&amp;QuoteSuffix</f>
        <v>USDFUT3MX7_Quote</v>
      </c>
      <c r="F50" s="150" t="str">
        <f>_xll.qlSimpleQuote(E50,,PriceTickValue,Permanent,Trigger,ObjectOverwrite)</f>
        <v>USDFUT3MX7_Quote#0025</v>
      </c>
      <c r="G50" s="113" t="str">
        <f>_xll.ohRangeRetrieveError(F50)</f>
        <v/>
      </c>
      <c r="H50" s="149"/>
    </row>
    <row r="51" spans="1:8" x14ac:dyDescent="0.2">
      <c r="A51" s="155"/>
      <c r="B51" s="154">
        <v>49</v>
      </c>
      <c r="C51" s="153" t="b">
        <v>0</v>
      </c>
      <c r="D51" s="152" t="str">
        <v>Z7</v>
      </c>
      <c r="E51" s="151" t="str">
        <f>Currency&amp;$D$1&amp;$E$1&amp;$D51&amp;QuoteSuffix</f>
        <v>USDFUT3MZ7_Quote</v>
      </c>
      <c r="F51" s="150" t="str">
        <f>_xll.qlSimpleQuote(E51,,PriceTickValue,Permanent,Trigger,ObjectOverwrite)</f>
        <v>USDFUT3MZ7_Quote#0025</v>
      </c>
      <c r="G51" s="113" t="str">
        <f>_xll.ohRangeRetrieveError(F51)</f>
        <v/>
      </c>
      <c r="H51" s="149"/>
    </row>
    <row r="52" spans="1:8" x14ac:dyDescent="0.2">
      <c r="A52" s="155"/>
      <c r="B52" s="154">
        <v>50</v>
      </c>
      <c r="C52" s="153" t="b">
        <v>0</v>
      </c>
      <c r="D52" s="152" t="str">
        <v>F8</v>
      </c>
      <c r="E52" s="151" t="str">
        <f>Currency&amp;$D$1&amp;$E$1&amp;$D52&amp;QuoteSuffix</f>
        <v>USDFUT3MF8_Quote</v>
      </c>
      <c r="F52" s="150" t="str">
        <f>_xll.qlSimpleQuote(E52,,PriceTickValue,Permanent,Trigger,ObjectOverwrite)</f>
        <v>USDFUT3MF8_Quote#0025</v>
      </c>
      <c r="G52" s="113" t="str">
        <f>_xll.ohRangeRetrieveError(F52)</f>
        <v/>
      </c>
      <c r="H52" s="149"/>
    </row>
    <row r="53" spans="1:8" x14ac:dyDescent="0.2">
      <c r="A53" s="155"/>
      <c r="B53" s="154">
        <v>51</v>
      </c>
      <c r="C53" s="153" t="b">
        <v>0</v>
      </c>
      <c r="D53" s="152" t="str">
        <v>G8</v>
      </c>
      <c r="E53" s="151" t="str">
        <f>Currency&amp;$D$1&amp;$E$1&amp;$D53&amp;QuoteSuffix</f>
        <v>USDFUT3MG8_Quote</v>
      </c>
      <c r="F53" s="150" t="str">
        <f>_xll.qlSimpleQuote(E53,,PriceTickValue,Permanent,Trigger,ObjectOverwrite)</f>
        <v>USDFUT3MG8_Quote#0025</v>
      </c>
      <c r="G53" s="113" t="str">
        <f>_xll.ohRangeRetrieveError(F53)</f>
        <v/>
      </c>
      <c r="H53" s="149"/>
    </row>
    <row r="54" spans="1:8" x14ac:dyDescent="0.2">
      <c r="A54" s="155"/>
      <c r="B54" s="154">
        <v>52</v>
      </c>
      <c r="C54" s="153" t="b">
        <v>0</v>
      </c>
      <c r="D54" s="152" t="str">
        <v>H8</v>
      </c>
      <c r="E54" s="151" t="str">
        <f>Currency&amp;$D$1&amp;$E$1&amp;$D54&amp;QuoteSuffix</f>
        <v>USDFUT3MH8_Quote</v>
      </c>
      <c r="F54" s="150" t="str">
        <f>_xll.qlSimpleQuote(E54,,PriceTickValue,Permanent,Trigger,ObjectOverwrite)</f>
        <v>USDFUT3MH8_Quote#0025</v>
      </c>
      <c r="G54" s="113" t="str">
        <f>_xll.ohRangeRetrieveError(F54)</f>
        <v/>
      </c>
      <c r="H54" s="149"/>
    </row>
    <row r="55" spans="1:8" x14ac:dyDescent="0.2">
      <c r="A55" s="155"/>
      <c r="B55" s="154">
        <v>53</v>
      </c>
      <c r="C55" s="153" t="b">
        <v>0</v>
      </c>
      <c r="D55" s="152" t="str">
        <v>J8</v>
      </c>
      <c r="E55" s="151" t="str">
        <f>Currency&amp;$D$1&amp;$E$1&amp;$D55&amp;QuoteSuffix</f>
        <v>USDFUT3MJ8_Quote</v>
      </c>
      <c r="F55" s="150" t="str">
        <f>_xll.qlSimpleQuote(E55,,PriceTickValue,Permanent,Trigger,ObjectOverwrite)</f>
        <v>USDFUT3MJ8_Quote#0025</v>
      </c>
      <c r="G55" s="113" t="str">
        <f>_xll.ohRangeRetrieveError(F55)</f>
        <v/>
      </c>
      <c r="H55" s="149"/>
    </row>
    <row r="56" spans="1:8" x14ac:dyDescent="0.2">
      <c r="A56" s="155"/>
      <c r="B56" s="154">
        <v>54</v>
      </c>
      <c r="C56" s="153" t="b">
        <v>0</v>
      </c>
      <c r="D56" s="152" t="str">
        <v>K8</v>
      </c>
      <c r="E56" s="151" t="str">
        <f>Currency&amp;$D$1&amp;$E$1&amp;$D56&amp;QuoteSuffix</f>
        <v>USDFUT3MK8_Quote</v>
      </c>
      <c r="F56" s="150" t="str">
        <f>_xll.qlSimpleQuote(E56,,PriceTickValue,Permanent,Trigger,ObjectOverwrite)</f>
        <v>USDFUT3MK8_Quote#0025</v>
      </c>
      <c r="G56" s="113" t="str">
        <f>_xll.ohRangeRetrieveError(F56)</f>
        <v/>
      </c>
      <c r="H56" s="149"/>
    </row>
    <row r="57" spans="1:8" x14ac:dyDescent="0.2">
      <c r="A57" s="155"/>
      <c r="B57" s="154">
        <v>55</v>
      </c>
      <c r="C57" s="153" t="b">
        <v>0</v>
      </c>
      <c r="D57" s="152" t="str">
        <v>M8</v>
      </c>
      <c r="E57" s="151" t="str">
        <f>Currency&amp;$D$1&amp;$E$1&amp;$D57&amp;QuoteSuffix</f>
        <v>USDFUT3MM8_Quote</v>
      </c>
      <c r="F57" s="150" t="str">
        <f>_xll.qlSimpleQuote(E57,,PriceTickValue,Permanent,Trigger,ObjectOverwrite)</f>
        <v>USDFUT3MM8_Quote#0025</v>
      </c>
      <c r="G57" s="113" t="str">
        <f>_xll.ohRangeRetrieveError(F57)</f>
        <v/>
      </c>
      <c r="H57" s="149"/>
    </row>
    <row r="58" spans="1:8" x14ac:dyDescent="0.2">
      <c r="A58" s="155"/>
      <c r="B58" s="154">
        <v>56</v>
      </c>
      <c r="C58" s="153" t="b">
        <v>0</v>
      </c>
      <c r="D58" s="152" t="str">
        <v>N8</v>
      </c>
      <c r="E58" s="151" t="str">
        <f>Currency&amp;$D$1&amp;$E$1&amp;$D58&amp;QuoteSuffix</f>
        <v>USDFUT3MN8_Quote</v>
      </c>
      <c r="F58" s="150" t="str">
        <f>_xll.qlSimpleQuote(E58,,PriceTickValue,Permanent,Trigger,ObjectOverwrite)</f>
        <v>USDFUT3MN8_Quote#0025</v>
      </c>
      <c r="G58" s="113" t="str">
        <f>_xll.ohRangeRetrieveError(F58)</f>
        <v/>
      </c>
      <c r="H58" s="149"/>
    </row>
    <row r="59" spans="1:8" x14ac:dyDescent="0.2">
      <c r="A59" s="155"/>
      <c r="B59" s="154">
        <v>57</v>
      </c>
      <c r="C59" s="153" t="b">
        <v>0</v>
      </c>
      <c r="D59" s="152" t="str">
        <v>Q8</v>
      </c>
      <c r="E59" s="151" t="str">
        <f>Currency&amp;$D$1&amp;$E$1&amp;$D59&amp;QuoteSuffix</f>
        <v>USDFUT3MQ8_Quote</v>
      </c>
      <c r="F59" s="150" t="str">
        <f>_xll.qlSimpleQuote(E59,,PriceTickValue,Permanent,Trigger,ObjectOverwrite)</f>
        <v>USDFUT3MQ8_Quote#0025</v>
      </c>
      <c r="G59" s="113" t="str">
        <f>_xll.ohRangeRetrieveError(F59)</f>
        <v/>
      </c>
      <c r="H59" s="149"/>
    </row>
    <row r="60" spans="1:8" x14ac:dyDescent="0.2">
      <c r="A60" s="155"/>
      <c r="B60" s="154">
        <v>58</v>
      </c>
      <c r="C60" s="153" t="b">
        <v>0</v>
      </c>
      <c r="D60" s="152" t="str">
        <v>U8</v>
      </c>
      <c r="E60" s="151" t="str">
        <f>Currency&amp;$D$1&amp;$E$1&amp;$D60&amp;QuoteSuffix</f>
        <v>USDFUT3MU8_Quote</v>
      </c>
      <c r="F60" s="150" t="str">
        <f>_xll.qlSimpleQuote(E60,,PriceTickValue,Permanent,Trigger,ObjectOverwrite)</f>
        <v>USDFUT3MU8_Quote#0025</v>
      </c>
      <c r="G60" s="113" t="str">
        <f>_xll.ohRangeRetrieveError(F60)</f>
        <v/>
      </c>
      <c r="H60" s="149"/>
    </row>
    <row r="61" spans="1:8" x14ac:dyDescent="0.2">
      <c r="A61" s="155"/>
      <c r="B61" s="154">
        <v>59</v>
      </c>
      <c r="C61" s="153" t="b">
        <v>0</v>
      </c>
      <c r="D61" s="152" t="str">
        <v>V8</v>
      </c>
      <c r="E61" s="151" t="str">
        <f>Currency&amp;$D$1&amp;$E$1&amp;$D61&amp;QuoteSuffix</f>
        <v>USDFUT3MV8_Quote</v>
      </c>
      <c r="F61" s="150" t="str">
        <f>_xll.qlSimpleQuote(E61,,PriceTickValue,Permanent,Trigger,ObjectOverwrite)</f>
        <v>USDFUT3MV8_Quote#0025</v>
      </c>
      <c r="G61" s="113" t="str">
        <f>_xll.ohRangeRetrieveError(F61)</f>
        <v/>
      </c>
      <c r="H61" s="149"/>
    </row>
    <row r="62" spans="1:8" x14ac:dyDescent="0.2">
      <c r="A62" s="155"/>
      <c r="B62" s="154">
        <v>60</v>
      </c>
      <c r="C62" s="153" t="b">
        <v>0</v>
      </c>
      <c r="D62" s="152" t="str">
        <v>X8</v>
      </c>
      <c r="E62" s="151" t="str">
        <f>Currency&amp;$D$1&amp;$E$1&amp;$D62&amp;QuoteSuffix</f>
        <v>USDFUT3MX8_Quote</v>
      </c>
      <c r="F62" s="150" t="str">
        <f>_xll.qlSimpleQuote(E62,,PriceTickValue,Permanent,Trigger,ObjectOverwrite)</f>
        <v>USDFUT3MX8_Quote#0025</v>
      </c>
      <c r="G62" s="113" t="str">
        <f>_xll.ohRangeRetrieveError(F62)</f>
        <v/>
      </c>
      <c r="H62" s="149"/>
    </row>
    <row r="63" spans="1:8" x14ac:dyDescent="0.2">
      <c r="A63" s="155"/>
      <c r="B63" s="154">
        <v>61</v>
      </c>
      <c r="C63" s="153" t="b">
        <v>0</v>
      </c>
      <c r="D63" s="152" t="str">
        <v>Z8</v>
      </c>
      <c r="E63" s="151" t="str">
        <f>Currency&amp;$D$1&amp;$E$1&amp;$D63&amp;QuoteSuffix</f>
        <v>USDFUT3MZ8_Quote</v>
      </c>
      <c r="F63" s="150" t="str">
        <f>_xll.qlSimpleQuote(E63,,PriceTickValue,Permanent,Trigger,ObjectOverwrite)</f>
        <v>USDFUT3MZ8_Quote#0025</v>
      </c>
      <c r="G63" s="113" t="str">
        <f>_xll.ohRangeRetrieveError(F63)</f>
        <v/>
      </c>
      <c r="H63" s="149"/>
    </row>
    <row r="64" spans="1:8" x14ac:dyDescent="0.2">
      <c r="A64" s="155"/>
      <c r="B64" s="154">
        <v>62</v>
      </c>
      <c r="C64" s="153" t="b">
        <v>0</v>
      </c>
      <c r="D64" s="152" t="str">
        <v>F9</v>
      </c>
      <c r="E64" s="151" t="str">
        <f>Currency&amp;$D$1&amp;$E$1&amp;$D64&amp;QuoteSuffix</f>
        <v>USDFUT3MF9_Quote</v>
      </c>
      <c r="F64" s="150" t="str">
        <f>_xll.qlSimpleQuote(E64,,PriceTickValue,Permanent,Trigger,ObjectOverwrite)</f>
        <v>USDFUT3MF9_Quote#0025</v>
      </c>
      <c r="G64" s="113" t="str">
        <f>_xll.ohRangeRetrieveError(F64)</f>
        <v/>
      </c>
      <c r="H64" s="149"/>
    </row>
    <row r="65" spans="1:8" x14ac:dyDescent="0.2">
      <c r="A65" s="155"/>
      <c r="B65" s="154">
        <v>63</v>
      </c>
      <c r="C65" s="153" t="b">
        <v>0</v>
      </c>
      <c r="D65" s="152" t="str">
        <v>G9</v>
      </c>
      <c r="E65" s="151" t="str">
        <f>Currency&amp;$D$1&amp;$E$1&amp;$D65&amp;QuoteSuffix</f>
        <v>USDFUT3MG9_Quote</v>
      </c>
      <c r="F65" s="150" t="str">
        <f>_xll.qlSimpleQuote(E65,,PriceTickValue,Permanent,Trigger,ObjectOverwrite)</f>
        <v>USDFUT3MG9_Quote#0025</v>
      </c>
      <c r="G65" s="113" t="str">
        <f>_xll.ohRangeRetrieveError(F65)</f>
        <v/>
      </c>
      <c r="H65" s="149"/>
    </row>
    <row r="66" spans="1:8" x14ac:dyDescent="0.2">
      <c r="A66" s="155"/>
      <c r="B66" s="154">
        <v>64</v>
      </c>
      <c r="C66" s="153" t="b">
        <v>0</v>
      </c>
      <c r="D66" s="152" t="str">
        <v>H9</v>
      </c>
      <c r="E66" s="151" t="str">
        <f>Currency&amp;$D$1&amp;$E$1&amp;$D66&amp;QuoteSuffix</f>
        <v>USDFUT3MH9_Quote</v>
      </c>
      <c r="F66" s="150" t="str">
        <f>_xll.qlSimpleQuote(E66,,PriceTickValue,Permanent,Trigger,ObjectOverwrite)</f>
        <v>USDFUT3MH9_Quote#0025</v>
      </c>
      <c r="G66" s="113" t="str">
        <f>_xll.ohRangeRetrieveError(F66)</f>
        <v/>
      </c>
      <c r="H66" s="149"/>
    </row>
    <row r="67" spans="1:8" x14ac:dyDescent="0.2">
      <c r="A67" s="155"/>
      <c r="B67" s="154">
        <v>65</v>
      </c>
      <c r="C67" s="153" t="b">
        <v>0</v>
      </c>
      <c r="D67" s="152" t="str">
        <v>J9</v>
      </c>
      <c r="E67" s="151" t="str">
        <f>Currency&amp;$D$1&amp;$E$1&amp;$D67&amp;QuoteSuffix</f>
        <v>USDFUT3MJ9_Quote</v>
      </c>
      <c r="F67" s="150" t="str">
        <f>_xll.qlSimpleQuote(E67,,PriceTickValue,Permanent,Trigger,ObjectOverwrite)</f>
        <v>USDFUT3MJ9_Quote#0025</v>
      </c>
      <c r="G67" s="113" t="str">
        <f>_xll.ohRangeRetrieveError(F67)</f>
        <v/>
      </c>
      <c r="H67" s="149"/>
    </row>
    <row r="68" spans="1:8" x14ac:dyDescent="0.2">
      <c r="A68" s="155"/>
      <c r="B68" s="154">
        <v>66</v>
      </c>
      <c r="C68" s="153" t="b">
        <v>0</v>
      </c>
      <c r="D68" s="152" t="str">
        <v>K9</v>
      </c>
      <c r="E68" s="151" t="str">
        <f>Currency&amp;$D$1&amp;$E$1&amp;$D68&amp;QuoteSuffix</f>
        <v>USDFUT3MK9_Quote</v>
      </c>
      <c r="F68" s="150" t="str">
        <f>_xll.qlSimpleQuote(E68,,PriceTickValue,Permanent,Trigger,ObjectOverwrite)</f>
        <v>USDFUT3MK9_Quote#0025</v>
      </c>
      <c r="G68" s="113" t="str">
        <f>_xll.ohRangeRetrieveError(F68)</f>
        <v/>
      </c>
      <c r="H68" s="149"/>
    </row>
    <row r="69" spans="1:8" x14ac:dyDescent="0.2">
      <c r="A69" s="155"/>
      <c r="B69" s="154">
        <v>67</v>
      </c>
      <c r="C69" s="153" t="b">
        <v>0</v>
      </c>
      <c r="D69" s="152" t="str">
        <v>M9</v>
      </c>
      <c r="E69" s="151" t="str">
        <f>Currency&amp;$D$1&amp;$E$1&amp;$D69&amp;QuoteSuffix</f>
        <v>USDFUT3MM9_Quote</v>
      </c>
      <c r="F69" s="150" t="str">
        <f>_xll.qlSimpleQuote(E69,,PriceTickValue,Permanent,Trigger,ObjectOverwrite)</f>
        <v>USDFUT3MM9_Quote#0025</v>
      </c>
      <c r="G69" s="113" t="str">
        <f>_xll.ohRangeRetrieveError(F69)</f>
        <v/>
      </c>
      <c r="H69" s="149"/>
    </row>
    <row r="70" spans="1:8" x14ac:dyDescent="0.2">
      <c r="A70" s="155"/>
      <c r="B70" s="154">
        <v>68</v>
      </c>
      <c r="C70" s="153" t="b">
        <v>0</v>
      </c>
      <c r="D70" s="152" t="str">
        <v>N9</v>
      </c>
      <c r="E70" s="151" t="str">
        <f>Currency&amp;$D$1&amp;$E$1&amp;$D70&amp;QuoteSuffix</f>
        <v>USDFUT3MN9_Quote</v>
      </c>
      <c r="F70" s="150" t="str">
        <f>_xll.qlSimpleQuote(E70,,PriceTickValue,Permanent,Trigger,ObjectOverwrite)</f>
        <v>USDFUT3MN9_Quote#0025</v>
      </c>
      <c r="G70" s="113" t="str">
        <f>_xll.ohRangeRetrieveError(F70)</f>
        <v/>
      </c>
      <c r="H70" s="149"/>
    </row>
    <row r="71" spans="1:8" x14ac:dyDescent="0.2">
      <c r="A71" s="155"/>
      <c r="B71" s="154">
        <v>69</v>
      </c>
      <c r="C71" s="153" t="b">
        <v>0</v>
      </c>
      <c r="D71" s="152" t="str">
        <v>Q9</v>
      </c>
      <c r="E71" s="151" t="str">
        <f>Currency&amp;$D$1&amp;$E$1&amp;$D71&amp;QuoteSuffix</f>
        <v>USDFUT3MQ9_Quote</v>
      </c>
      <c r="F71" s="150" t="str">
        <f>_xll.qlSimpleQuote(E71,,PriceTickValue,Permanent,Trigger,ObjectOverwrite)</f>
        <v>USDFUT3MQ9_Quote#0025</v>
      </c>
      <c r="G71" s="113" t="str">
        <f>_xll.ohRangeRetrieveError(F71)</f>
        <v/>
      </c>
      <c r="H71" s="149"/>
    </row>
    <row r="72" spans="1:8" x14ac:dyDescent="0.2">
      <c r="A72" s="155"/>
      <c r="B72" s="154">
        <v>70</v>
      </c>
      <c r="C72" s="153" t="b">
        <v>0</v>
      </c>
      <c r="D72" s="152" t="str">
        <v>U9</v>
      </c>
      <c r="E72" s="151" t="str">
        <f>Currency&amp;$D$1&amp;$E$1&amp;$D72&amp;QuoteSuffix</f>
        <v>USDFUT3MU9_Quote</v>
      </c>
      <c r="F72" s="150" t="str">
        <f>_xll.qlSimpleQuote(E72,,PriceTickValue,Permanent,Trigger,ObjectOverwrite)</f>
        <v>USDFUT3MU9_Quote#0025</v>
      </c>
      <c r="G72" s="113" t="str">
        <f>_xll.ohRangeRetrieveError(F72)</f>
        <v/>
      </c>
      <c r="H72" s="149"/>
    </row>
    <row r="73" spans="1:8" x14ac:dyDescent="0.2">
      <c r="A73" s="155"/>
      <c r="B73" s="154">
        <v>71</v>
      </c>
      <c r="C73" s="153" t="b">
        <v>0</v>
      </c>
      <c r="D73" s="152" t="str">
        <v>V9</v>
      </c>
      <c r="E73" s="151" t="str">
        <f>Currency&amp;$D$1&amp;$E$1&amp;$D73&amp;QuoteSuffix</f>
        <v>USDFUT3MV9_Quote</v>
      </c>
      <c r="F73" s="150" t="str">
        <f>_xll.qlSimpleQuote(E73,,PriceTickValue,Permanent,Trigger,ObjectOverwrite)</f>
        <v>USDFUT3MV9_Quote#0025</v>
      </c>
      <c r="G73" s="113" t="str">
        <f>_xll.ohRangeRetrieveError(F73)</f>
        <v/>
      </c>
      <c r="H73" s="149"/>
    </row>
    <row r="74" spans="1:8" x14ac:dyDescent="0.2">
      <c r="A74" s="155"/>
      <c r="B74" s="154">
        <v>72</v>
      </c>
      <c r="C74" s="153" t="b">
        <v>0</v>
      </c>
      <c r="D74" s="152" t="str">
        <v>X9</v>
      </c>
      <c r="E74" s="151" t="str">
        <f>Currency&amp;$D$1&amp;$E$1&amp;$D74&amp;QuoteSuffix</f>
        <v>USDFUT3MX9_Quote</v>
      </c>
      <c r="F74" s="150" t="str">
        <f>_xll.qlSimpleQuote(E74,,PriceTickValue,Permanent,Trigger,ObjectOverwrite)</f>
        <v>USDFUT3MX9_Quote#0025</v>
      </c>
      <c r="G74" s="113" t="str">
        <f>_xll.ohRangeRetrieveError(F74)</f>
        <v/>
      </c>
      <c r="H74" s="149"/>
    </row>
    <row r="75" spans="1:8" x14ac:dyDescent="0.2">
      <c r="A75" s="155"/>
      <c r="B75" s="154">
        <v>73</v>
      </c>
      <c r="C75" s="153" t="b">
        <v>0</v>
      </c>
      <c r="D75" s="152" t="str">
        <v>Z9</v>
      </c>
      <c r="E75" s="151" t="str">
        <f>Currency&amp;$D$1&amp;$E$1&amp;$D75&amp;QuoteSuffix</f>
        <v>USDFUT3MZ9_Quote</v>
      </c>
      <c r="F75" s="150" t="str">
        <f>_xll.qlSimpleQuote(E75,,PriceTickValue,Permanent,Trigger,ObjectOverwrite)</f>
        <v>USDFUT3MZ9_Quote#0025</v>
      </c>
      <c r="G75" s="113" t="str">
        <f>_xll.ohRangeRetrieveError(F75)</f>
        <v/>
      </c>
      <c r="H75" s="149"/>
    </row>
    <row r="76" spans="1:8" x14ac:dyDescent="0.2">
      <c r="A76" s="155"/>
      <c r="B76" s="154">
        <v>74</v>
      </c>
      <c r="C76" s="153" t="b">
        <v>0</v>
      </c>
      <c r="D76" s="152" t="str">
        <v>F0</v>
      </c>
      <c r="E76" s="151" t="str">
        <f>Currency&amp;$D$1&amp;$E$1&amp;$D76&amp;QuoteSuffix</f>
        <v>USDFUT3MF0_Quote</v>
      </c>
      <c r="F76" s="150" t="str">
        <f>_xll.qlSimpleQuote(E76,,PriceTickValue,Permanent,Trigger,ObjectOverwrite)</f>
        <v>USDFUT3MF0_Quote#0025</v>
      </c>
      <c r="G76" s="113" t="str">
        <f>_xll.ohRangeRetrieveError(F76)</f>
        <v/>
      </c>
      <c r="H76" s="149"/>
    </row>
    <row r="77" spans="1:8" x14ac:dyDescent="0.2">
      <c r="A77" s="155"/>
      <c r="B77" s="154">
        <v>75</v>
      </c>
      <c r="C77" s="153" t="b">
        <v>0</v>
      </c>
      <c r="D77" s="152" t="str">
        <v>G0</v>
      </c>
      <c r="E77" s="151" t="str">
        <f>Currency&amp;$D$1&amp;$E$1&amp;$D77&amp;QuoteSuffix</f>
        <v>USDFUT3MG0_Quote</v>
      </c>
      <c r="F77" s="150" t="str">
        <f>_xll.qlSimpleQuote(E77,,PriceTickValue,Permanent,Trigger,ObjectOverwrite)</f>
        <v>USDFUT3MG0_Quote#0025</v>
      </c>
      <c r="G77" s="113" t="str">
        <f>_xll.ohRangeRetrieveError(F77)</f>
        <v/>
      </c>
      <c r="H77" s="149"/>
    </row>
    <row r="78" spans="1:8" x14ac:dyDescent="0.2">
      <c r="A78" s="155"/>
      <c r="B78" s="154">
        <v>76</v>
      </c>
      <c r="C78" s="153" t="b">
        <v>0</v>
      </c>
      <c r="D78" s="152" t="str">
        <v>H0</v>
      </c>
      <c r="E78" s="151" t="str">
        <f>Currency&amp;$D$1&amp;$E$1&amp;$D78&amp;QuoteSuffix</f>
        <v>USDFUT3MH0_Quote</v>
      </c>
      <c r="F78" s="150" t="str">
        <f>_xll.qlSimpleQuote(E78,,PriceTickValue,Permanent,Trigger,ObjectOverwrite)</f>
        <v>USDFUT3MH0_Quote#0025</v>
      </c>
      <c r="G78" s="113" t="str">
        <f>_xll.ohRangeRetrieveError(F78)</f>
        <v/>
      </c>
      <c r="H78" s="149"/>
    </row>
    <row r="79" spans="1:8" x14ac:dyDescent="0.2">
      <c r="A79" s="155"/>
      <c r="B79" s="154">
        <v>77</v>
      </c>
      <c r="C79" s="153" t="b">
        <v>0</v>
      </c>
      <c r="D79" s="152" t="str">
        <v>J0</v>
      </c>
      <c r="E79" s="151" t="str">
        <f>Currency&amp;$D$1&amp;$E$1&amp;$D79&amp;QuoteSuffix</f>
        <v>USDFUT3MJ0_Quote</v>
      </c>
      <c r="F79" s="150" t="str">
        <f>_xll.qlSimpleQuote(E79,,PriceTickValue,Permanent,Trigger,ObjectOverwrite)</f>
        <v>USDFUT3MJ0_Quote#0025</v>
      </c>
      <c r="G79" s="113" t="str">
        <f>_xll.ohRangeRetrieveError(F79)</f>
        <v/>
      </c>
      <c r="H79" s="149"/>
    </row>
    <row r="80" spans="1:8" x14ac:dyDescent="0.2">
      <c r="A80" s="155"/>
      <c r="B80" s="154">
        <v>78</v>
      </c>
      <c r="C80" s="153" t="b">
        <v>0</v>
      </c>
      <c r="D80" s="152" t="str">
        <v>K0</v>
      </c>
      <c r="E80" s="151" t="str">
        <f>Currency&amp;$D$1&amp;$E$1&amp;$D80&amp;QuoteSuffix</f>
        <v>USDFUT3MK0_Quote</v>
      </c>
      <c r="F80" s="150" t="str">
        <f>_xll.qlSimpleQuote(E80,,PriceTickValue,Permanent,Trigger,ObjectOverwrite)</f>
        <v>USDFUT3MK0_Quote#0025</v>
      </c>
      <c r="G80" s="113" t="str">
        <f>_xll.ohRangeRetrieveError(F80)</f>
        <v/>
      </c>
      <c r="H80" s="149"/>
    </row>
    <row r="81" spans="1:8" x14ac:dyDescent="0.2">
      <c r="A81" s="155"/>
      <c r="B81" s="154">
        <v>79</v>
      </c>
      <c r="C81" s="153" t="b">
        <v>0</v>
      </c>
      <c r="D81" s="152" t="str">
        <v>M0</v>
      </c>
      <c r="E81" s="151" t="str">
        <f>Currency&amp;$D$1&amp;$E$1&amp;$D81&amp;QuoteSuffix</f>
        <v>USDFUT3MM0_Quote</v>
      </c>
      <c r="F81" s="150" t="str">
        <f>_xll.qlSimpleQuote(E81,,PriceTickValue,Permanent,Trigger,ObjectOverwrite)</f>
        <v>USDFUT3MM0_Quote#0025</v>
      </c>
      <c r="G81" s="113" t="str">
        <f>_xll.ohRangeRetrieveError(F81)</f>
        <v/>
      </c>
      <c r="H81" s="149"/>
    </row>
    <row r="82" spans="1:8" x14ac:dyDescent="0.2">
      <c r="A82" s="155"/>
      <c r="B82" s="154">
        <v>80</v>
      </c>
      <c r="C82" s="153" t="b">
        <v>0</v>
      </c>
      <c r="D82" s="152" t="str">
        <v>N0</v>
      </c>
      <c r="E82" s="151" t="str">
        <f>Currency&amp;$D$1&amp;$E$1&amp;$D82&amp;QuoteSuffix</f>
        <v>USDFUT3MN0_Quote</v>
      </c>
      <c r="F82" s="150" t="str">
        <f>_xll.qlSimpleQuote(E82,,PriceTickValue,Permanent,Trigger,ObjectOverwrite)</f>
        <v>USDFUT3MN0_Quote#0025</v>
      </c>
      <c r="G82" s="113" t="str">
        <f>_xll.ohRangeRetrieveError(F82)</f>
        <v/>
      </c>
      <c r="H82" s="149"/>
    </row>
    <row r="83" spans="1:8" x14ac:dyDescent="0.2">
      <c r="A83" s="155"/>
      <c r="B83" s="154">
        <v>81</v>
      </c>
      <c r="C83" s="153" t="b">
        <v>0</v>
      </c>
      <c r="D83" s="152" t="str">
        <v>Q0</v>
      </c>
      <c r="E83" s="151" t="str">
        <f>Currency&amp;$D$1&amp;$E$1&amp;$D83&amp;QuoteSuffix</f>
        <v>USDFUT3MQ0_Quote</v>
      </c>
      <c r="F83" s="150" t="str">
        <f>_xll.qlSimpleQuote(E83,,PriceTickValue,Permanent,Trigger,ObjectOverwrite)</f>
        <v>USDFUT3MQ0_Quote#0025</v>
      </c>
      <c r="G83" s="113" t="str">
        <f>_xll.ohRangeRetrieveError(F83)</f>
        <v/>
      </c>
      <c r="H83" s="149"/>
    </row>
    <row r="84" spans="1:8" x14ac:dyDescent="0.2">
      <c r="A84" s="155"/>
      <c r="B84" s="154">
        <v>82</v>
      </c>
      <c r="C84" s="153" t="b">
        <v>0</v>
      </c>
      <c r="D84" s="152" t="str">
        <v>U0</v>
      </c>
      <c r="E84" s="151" t="str">
        <f>Currency&amp;$D$1&amp;$E$1&amp;$D84&amp;QuoteSuffix</f>
        <v>USDFUT3MU0_Quote</v>
      </c>
      <c r="F84" s="150" t="str">
        <f>_xll.qlSimpleQuote(E84,,PriceTickValue,Permanent,Trigger,ObjectOverwrite)</f>
        <v>USDFUT3MU0_Quote#0025</v>
      </c>
      <c r="G84" s="113" t="str">
        <f>_xll.ohRangeRetrieveError(F84)</f>
        <v/>
      </c>
      <c r="H84" s="149"/>
    </row>
    <row r="85" spans="1:8" x14ac:dyDescent="0.2">
      <c r="A85" s="155"/>
      <c r="B85" s="154">
        <v>83</v>
      </c>
      <c r="C85" s="153" t="b">
        <v>0</v>
      </c>
      <c r="D85" s="152" t="str">
        <v>V0</v>
      </c>
      <c r="E85" s="151" t="str">
        <f>Currency&amp;$D$1&amp;$E$1&amp;$D85&amp;QuoteSuffix</f>
        <v>USDFUT3MV0_Quote</v>
      </c>
      <c r="F85" s="150" t="str">
        <f>_xll.qlSimpleQuote(E85,,PriceTickValue,Permanent,Trigger,ObjectOverwrite)</f>
        <v>USDFUT3MV0_Quote#0025</v>
      </c>
      <c r="G85" s="113" t="str">
        <f>_xll.ohRangeRetrieveError(F85)</f>
        <v/>
      </c>
      <c r="H85" s="149"/>
    </row>
    <row r="86" spans="1:8" x14ac:dyDescent="0.2">
      <c r="A86" s="155"/>
      <c r="B86" s="154">
        <v>84</v>
      </c>
      <c r="C86" s="153" t="b">
        <v>0</v>
      </c>
      <c r="D86" s="152" t="str">
        <v>X0</v>
      </c>
      <c r="E86" s="151" t="str">
        <f>Currency&amp;$D$1&amp;$E$1&amp;$D86&amp;QuoteSuffix</f>
        <v>USDFUT3MX0_Quote</v>
      </c>
      <c r="F86" s="150" t="str">
        <f>_xll.qlSimpleQuote(E86,,PriceTickValue,Permanent,Trigger,ObjectOverwrite)</f>
        <v>USDFUT3MX0_Quote#0025</v>
      </c>
      <c r="G86" s="113" t="str">
        <f>_xll.ohRangeRetrieveError(F86)</f>
        <v/>
      </c>
      <c r="H86" s="149"/>
    </row>
    <row r="87" spans="1:8" x14ac:dyDescent="0.2">
      <c r="A87" s="155"/>
      <c r="B87" s="154">
        <v>85</v>
      </c>
      <c r="C87" s="153" t="b">
        <v>0</v>
      </c>
      <c r="D87" s="152" t="str">
        <v>Z0</v>
      </c>
      <c r="E87" s="151" t="str">
        <f>Currency&amp;$D$1&amp;$E$1&amp;$D87&amp;QuoteSuffix</f>
        <v>USDFUT3MZ0_Quote</v>
      </c>
      <c r="F87" s="150" t="str">
        <f>_xll.qlSimpleQuote(E87,,PriceTickValue,Permanent,Trigger,ObjectOverwrite)</f>
        <v>USDFUT3MZ0_Quote#0025</v>
      </c>
      <c r="G87" s="113" t="str">
        <f>_xll.ohRangeRetrieveError(F87)</f>
        <v/>
      </c>
      <c r="H87" s="149"/>
    </row>
    <row r="88" spans="1:8" x14ac:dyDescent="0.2">
      <c r="A88" s="155"/>
      <c r="B88" s="154">
        <v>86</v>
      </c>
      <c r="C88" s="153" t="b">
        <v>0</v>
      </c>
      <c r="D88" s="152" t="str">
        <v>F1</v>
      </c>
      <c r="E88" s="151" t="str">
        <f>Currency&amp;$D$1&amp;$E$1&amp;$D88&amp;QuoteSuffix</f>
        <v>USDFUT3MF1_Quote</v>
      </c>
      <c r="F88" s="150" t="str">
        <f>_xll.qlSimpleQuote(E88,,PriceTickValue,Permanent,Trigger,ObjectOverwrite)</f>
        <v>USDFUT3MF1_Quote#0025</v>
      </c>
      <c r="G88" s="113" t="str">
        <f>_xll.ohRangeRetrieveError(F88)</f>
        <v/>
      </c>
      <c r="H88" s="149"/>
    </row>
    <row r="89" spans="1:8" x14ac:dyDescent="0.2">
      <c r="A89" s="155"/>
      <c r="B89" s="154">
        <v>87</v>
      </c>
      <c r="C89" s="153" t="b">
        <v>0</v>
      </c>
      <c r="D89" s="152" t="str">
        <v>G1</v>
      </c>
      <c r="E89" s="151" t="str">
        <f>Currency&amp;$D$1&amp;$E$1&amp;$D89&amp;QuoteSuffix</f>
        <v>USDFUT3MG1_Quote</v>
      </c>
      <c r="F89" s="150" t="str">
        <f>_xll.qlSimpleQuote(E89,,PriceTickValue,Permanent,Trigger,ObjectOverwrite)</f>
        <v>USDFUT3MG1_Quote#0025</v>
      </c>
      <c r="G89" s="113" t="str">
        <f>_xll.ohRangeRetrieveError(F89)</f>
        <v/>
      </c>
      <c r="H89" s="149"/>
    </row>
    <row r="90" spans="1:8" x14ac:dyDescent="0.2">
      <c r="A90" s="155"/>
      <c r="B90" s="154">
        <v>88</v>
      </c>
      <c r="C90" s="153" t="b">
        <v>0</v>
      </c>
      <c r="D90" s="152" t="str">
        <v>H1</v>
      </c>
      <c r="E90" s="151" t="str">
        <f>Currency&amp;$D$1&amp;$E$1&amp;$D90&amp;QuoteSuffix</f>
        <v>USDFUT3MH1_Quote</v>
      </c>
      <c r="F90" s="150" t="str">
        <f>_xll.qlSimpleQuote(E90,,PriceTickValue,Permanent,Trigger,ObjectOverwrite)</f>
        <v>USDFUT3MH1_Quote#0025</v>
      </c>
      <c r="G90" s="113" t="str">
        <f>_xll.ohRangeRetrieveError(F90)</f>
        <v/>
      </c>
      <c r="H90" s="149"/>
    </row>
    <row r="91" spans="1:8" x14ac:dyDescent="0.2">
      <c r="A91" s="155"/>
      <c r="B91" s="154">
        <v>89</v>
      </c>
      <c r="C91" s="153" t="b">
        <v>0</v>
      </c>
      <c r="D91" s="152" t="str">
        <v>J1</v>
      </c>
      <c r="E91" s="151" t="str">
        <f>Currency&amp;$D$1&amp;$E$1&amp;$D91&amp;QuoteSuffix</f>
        <v>USDFUT3MJ1_Quote</v>
      </c>
      <c r="F91" s="150" t="str">
        <f>_xll.qlSimpleQuote(E91,,PriceTickValue,Permanent,Trigger,ObjectOverwrite)</f>
        <v>USDFUT3MJ1_Quote#0025</v>
      </c>
      <c r="G91" s="113" t="str">
        <f>_xll.ohRangeRetrieveError(F91)</f>
        <v/>
      </c>
      <c r="H91" s="149"/>
    </row>
    <row r="92" spans="1:8" x14ac:dyDescent="0.2">
      <c r="A92" s="155"/>
      <c r="B92" s="154">
        <v>90</v>
      </c>
      <c r="C92" s="153" t="b">
        <v>0</v>
      </c>
      <c r="D92" s="152" t="str">
        <v>K1</v>
      </c>
      <c r="E92" s="151" t="str">
        <f>Currency&amp;$D$1&amp;$E$1&amp;$D92&amp;QuoteSuffix</f>
        <v>USDFUT3MK1_Quote</v>
      </c>
      <c r="F92" s="150" t="str">
        <f>_xll.qlSimpleQuote(E92,,PriceTickValue,Permanent,Trigger,ObjectOverwrite)</f>
        <v>USDFUT3MK1_Quote#0025</v>
      </c>
      <c r="G92" s="113" t="str">
        <f>_xll.ohRangeRetrieveError(F92)</f>
        <v/>
      </c>
      <c r="H92" s="149"/>
    </row>
    <row r="93" spans="1:8" x14ac:dyDescent="0.2">
      <c r="A93" s="155"/>
      <c r="B93" s="154">
        <v>91</v>
      </c>
      <c r="C93" s="153" t="b">
        <v>0</v>
      </c>
      <c r="D93" s="152" t="str">
        <v>M1</v>
      </c>
      <c r="E93" s="151" t="str">
        <f>Currency&amp;$D$1&amp;$E$1&amp;$D93&amp;QuoteSuffix</f>
        <v>USDFUT3MM1_Quote</v>
      </c>
      <c r="F93" s="150" t="str">
        <f>_xll.qlSimpleQuote(E93,,PriceTickValue,Permanent,Trigger,ObjectOverwrite)</f>
        <v>USDFUT3MM1_Quote#0025</v>
      </c>
      <c r="G93" s="113" t="str">
        <f>_xll.ohRangeRetrieveError(F93)</f>
        <v/>
      </c>
      <c r="H93" s="149"/>
    </row>
    <row r="94" spans="1:8" x14ac:dyDescent="0.2">
      <c r="A94" s="155"/>
      <c r="B94" s="154">
        <v>92</v>
      </c>
      <c r="C94" s="153" t="b">
        <v>0</v>
      </c>
      <c r="D94" s="152" t="str">
        <v>N1</v>
      </c>
      <c r="E94" s="151" t="str">
        <f>Currency&amp;$D$1&amp;$E$1&amp;$D94&amp;QuoteSuffix</f>
        <v>USDFUT3MN1_Quote</v>
      </c>
      <c r="F94" s="150" t="str">
        <f>_xll.qlSimpleQuote(E94,,PriceTickValue,Permanent,Trigger,ObjectOverwrite)</f>
        <v>USDFUT3MN1_Quote#0025</v>
      </c>
      <c r="G94" s="113" t="str">
        <f>_xll.ohRangeRetrieveError(F94)</f>
        <v/>
      </c>
      <c r="H94" s="149"/>
    </row>
    <row r="95" spans="1:8" x14ac:dyDescent="0.2">
      <c r="A95" s="155"/>
      <c r="B95" s="154">
        <v>93</v>
      </c>
      <c r="C95" s="153" t="b">
        <v>0</v>
      </c>
      <c r="D95" s="152" t="str">
        <v>Q1</v>
      </c>
      <c r="E95" s="151" t="str">
        <f>Currency&amp;$D$1&amp;$E$1&amp;$D95&amp;QuoteSuffix</f>
        <v>USDFUT3MQ1_Quote</v>
      </c>
      <c r="F95" s="150" t="str">
        <f>_xll.qlSimpleQuote(E95,,PriceTickValue,Permanent,Trigger,ObjectOverwrite)</f>
        <v>USDFUT3MQ1_Quote#0025</v>
      </c>
      <c r="G95" s="113" t="str">
        <f>_xll.ohRangeRetrieveError(F95)</f>
        <v/>
      </c>
      <c r="H95" s="149"/>
    </row>
    <row r="96" spans="1:8" x14ac:dyDescent="0.2">
      <c r="A96" s="155"/>
      <c r="B96" s="154">
        <v>94</v>
      </c>
      <c r="C96" s="153" t="b">
        <v>0</v>
      </c>
      <c r="D96" s="152" t="str">
        <v>U1</v>
      </c>
      <c r="E96" s="151" t="str">
        <f>Currency&amp;$D$1&amp;$E$1&amp;$D96&amp;QuoteSuffix</f>
        <v>USDFUT3MU1_Quote</v>
      </c>
      <c r="F96" s="150" t="str">
        <f>_xll.qlSimpleQuote(E96,,PriceTickValue,Permanent,Trigger,ObjectOverwrite)</f>
        <v>USDFUT3MU1_Quote#0025</v>
      </c>
      <c r="G96" s="113" t="str">
        <f>_xll.ohRangeRetrieveError(F96)</f>
        <v/>
      </c>
      <c r="H96" s="149"/>
    </row>
    <row r="97" spans="1:8" x14ac:dyDescent="0.2">
      <c r="A97" s="155"/>
      <c r="B97" s="154">
        <v>95</v>
      </c>
      <c r="C97" s="153" t="b">
        <v>0</v>
      </c>
      <c r="D97" s="152" t="str">
        <v>V1</v>
      </c>
      <c r="E97" s="151" t="str">
        <f>Currency&amp;$D$1&amp;$E$1&amp;$D97&amp;QuoteSuffix</f>
        <v>USDFUT3MV1_Quote</v>
      </c>
      <c r="F97" s="150" t="str">
        <f>_xll.qlSimpleQuote(E97,,PriceTickValue,Permanent,Trigger,ObjectOverwrite)</f>
        <v>USDFUT3MV1_Quote#0025</v>
      </c>
      <c r="G97" s="113" t="str">
        <f>_xll.ohRangeRetrieveError(F97)</f>
        <v/>
      </c>
      <c r="H97" s="149"/>
    </row>
    <row r="98" spans="1:8" x14ac:dyDescent="0.2">
      <c r="A98" s="155"/>
      <c r="B98" s="154">
        <v>96</v>
      </c>
      <c r="C98" s="153" t="b">
        <v>0</v>
      </c>
      <c r="D98" s="152" t="str">
        <v>X1</v>
      </c>
      <c r="E98" s="151" t="str">
        <f>Currency&amp;$D$1&amp;$E$1&amp;$D98&amp;QuoteSuffix</f>
        <v>USDFUT3MX1_Quote</v>
      </c>
      <c r="F98" s="150" t="str">
        <f>_xll.qlSimpleQuote(E98,,PriceTickValue,Permanent,Trigger,ObjectOverwrite)</f>
        <v>USDFUT3MX1_Quote#0025</v>
      </c>
      <c r="G98" s="113" t="str">
        <f>_xll.ohRangeRetrieveError(F98)</f>
        <v/>
      </c>
      <c r="H98" s="149"/>
    </row>
    <row r="99" spans="1:8" x14ac:dyDescent="0.2">
      <c r="A99" s="155"/>
      <c r="B99" s="154">
        <v>97</v>
      </c>
      <c r="C99" s="153" t="b">
        <v>0</v>
      </c>
      <c r="D99" s="152" t="str">
        <v>Z1</v>
      </c>
      <c r="E99" s="151" t="str">
        <f>Currency&amp;$D$1&amp;$E$1&amp;$D99&amp;QuoteSuffix</f>
        <v>USDFUT3MZ1_Quote</v>
      </c>
      <c r="F99" s="150" t="str">
        <f>_xll.qlSimpleQuote(E99,,PriceTickValue,Permanent,Trigger,ObjectOverwrite)</f>
        <v>USDFUT3MZ1_Quote#0025</v>
      </c>
      <c r="G99" s="113" t="str">
        <f>_xll.ohRangeRetrieveError(F99)</f>
        <v/>
      </c>
      <c r="H99" s="149"/>
    </row>
    <row r="100" spans="1:8" x14ac:dyDescent="0.2">
      <c r="A100" s="155"/>
      <c r="B100" s="154">
        <v>98</v>
      </c>
      <c r="C100" s="153" t="b">
        <v>0</v>
      </c>
      <c r="D100" s="152" t="str">
        <v>F2</v>
      </c>
      <c r="E100" s="151" t="str">
        <f>Currency&amp;$D$1&amp;$E$1&amp;$D100&amp;QuoteSuffix</f>
        <v>USDFUT3MF2_Quote</v>
      </c>
      <c r="F100" s="150" t="str">
        <f>_xll.qlSimpleQuote(E100,,PriceTickValue,Permanent,Trigger,ObjectOverwrite)</f>
        <v>USDFUT3MF2_Quote#0025</v>
      </c>
      <c r="G100" s="113" t="str">
        <f>_xll.ohRangeRetrieveError(F100)</f>
        <v/>
      </c>
      <c r="H100" s="149"/>
    </row>
    <row r="101" spans="1:8" x14ac:dyDescent="0.2">
      <c r="A101" s="155"/>
      <c r="B101" s="154">
        <v>99</v>
      </c>
      <c r="C101" s="153" t="b">
        <v>0</v>
      </c>
      <c r="D101" s="152" t="str">
        <v>G2</v>
      </c>
      <c r="E101" s="151" t="str">
        <f>Currency&amp;$D$1&amp;$E$1&amp;$D101&amp;QuoteSuffix</f>
        <v>USDFUT3MG2_Quote</v>
      </c>
      <c r="F101" s="150" t="str">
        <f>_xll.qlSimpleQuote(E101,,PriceTickValue,Permanent,Trigger,ObjectOverwrite)</f>
        <v>USDFUT3MG2_Quote#0025</v>
      </c>
      <c r="G101" s="113" t="str">
        <f>_xll.ohRangeRetrieveError(F101)</f>
        <v/>
      </c>
      <c r="H101" s="149"/>
    </row>
    <row r="102" spans="1:8" x14ac:dyDescent="0.2">
      <c r="A102" s="155"/>
      <c r="B102" s="154">
        <v>100</v>
      </c>
      <c r="C102" s="153" t="b">
        <v>0</v>
      </c>
      <c r="D102" s="152" t="str">
        <v>H2</v>
      </c>
      <c r="E102" s="151" t="str">
        <f>Currency&amp;$D$1&amp;$E$1&amp;$D102&amp;QuoteSuffix</f>
        <v>USDFUT3MH2_Quote</v>
      </c>
      <c r="F102" s="150" t="str">
        <f>_xll.qlSimpleQuote(E102,,PriceTickValue,Permanent,Trigger,ObjectOverwrite)</f>
        <v>USDFUT3MH2_Quote#0025</v>
      </c>
      <c r="G102" s="113" t="str">
        <f>_xll.ohRangeRetrieveError(F102)</f>
        <v/>
      </c>
      <c r="H102" s="149"/>
    </row>
    <row r="103" spans="1:8" x14ac:dyDescent="0.2">
      <c r="A103" s="155"/>
      <c r="B103" s="154">
        <v>101</v>
      </c>
      <c r="C103" s="153" t="b">
        <v>0</v>
      </c>
      <c r="D103" s="152" t="str">
        <v>J2</v>
      </c>
      <c r="E103" s="151" t="str">
        <f>Currency&amp;$D$1&amp;$E$1&amp;$D103&amp;QuoteSuffix</f>
        <v>USDFUT3MJ2_Quote</v>
      </c>
      <c r="F103" s="150" t="str">
        <f>_xll.qlSimpleQuote(E103,,PriceTickValue,Permanent,Trigger,ObjectOverwrite)</f>
        <v>USDFUT3MJ2_Quote#0025</v>
      </c>
      <c r="G103" s="113" t="str">
        <f>_xll.ohRangeRetrieveError(F103)</f>
        <v/>
      </c>
      <c r="H103" s="149"/>
    </row>
    <row r="104" spans="1:8" x14ac:dyDescent="0.2">
      <c r="A104" s="155"/>
      <c r="B104" s="154">
        <v>102</v>
      </c>
      <c r="C104" s="153" t="b">
        <v>0</v>
      </c>
      <c r="D104" s="152" t="str">
        <v>K2</v>
      </c>
      <c r="E104" s="151" t="str">
        <f>Currency&amp;$D$1&amp;$E$1&amp;$D104&amp;QuoteSuffix</f>
        <v>USDFUT3MK2_Quote</v>
      </c>
      <c r="F104" s="150" t="str">
        <f>_xll.qlSimpleQuote(E104,,PriceTickValue,Permanent,Trigger,ObjectOverwrite)</f>
        <v>USDFUT3MK2_Quote#0025</v>
      </c>
      <c r="G104" s="113" t="str">
        <f>_xll.ohRangeRetrieveError(F104)</f>
        <v/>
      </c>
      <c r="H104" s="149"/>
    </row>
    <row r="105" spans="1:8" x14ac:dyDescent="0.2">
      <c r="A105" s="155"/>
      <c r="B105" s="154">
        <v>103</v>
      </c>
      <c r="C105" s="153" t="b">
        <v>0</v>
      </c>
      <c r="D105" s="152" t="str">
        <v>M2</v>
      </c>
      <c r="E105" s="151" t="str">
        <f>Currency&amp;$D$1&amp;$E$1&amp;$D105&amp;QuoteSuffix</f>
        <v>USDFUT3MM2_Quote</v>
      </c>
      <c r="F105" s="150" t="str">
        <f>_xll.qlSimpleQuote(E105,,PriceTickValue,Permanent,Trigger,ObjectOverwrite)</f>
        <v>USDFUT3MM2_Quote#0025</v>
      </c>
      <c r="G105" s="113" t="str">
        <f>_xll.ohRangeRetrieveError(F105)</f>
        <v/>
      </c>
      <c r="H105" s="149"/>
    </row>
    <row r="106" spans="1:8" x14ac:dyDescent="0.2">
      <c r="A106" s="155"/>
      <c r="B106" s="154">
        <v>104</v>
      </c>
      <c r="C106" s="153" t="b">
        <v>0</v>
      </c>
      <c r="D106" s="152" t="str">
        <v>N2</v>
      </c>
      <c r="E106" s="151" t="str">
        <f>Currency&amp;$D$1&amp;$E$1&amp;$D106&amp;QuoteSuffix</f>
        <v>USDFUT3MN2_Quote</v>
      </c>
      <c r="F106" s="150" t="str">
        <f>_xll.qlSimpleQuote(E106,,PriceTickValue,Permanent,Trigger,ObjectOverwrite)</f>
        <v>USDFUT3MN2_Quote#0025</v>
      </c>
      <c r="G106" s="113" t="str">
        <f>_xll.ohRangeRetrieveError(F106)</f>
        <v/>
      </c>
      <c r="H106" s="149"/>
    </row>
    <row r="107" spans="1:8" x14ac:dyDescent="0.2">
      <c r="A107" s="155"/>
      <c r="B107" s="154">
        <v>105</v>
      </c>
      <c r="C107" s="153" t="b">
        <v>0</v>
      </c>
      <c r="D107" s="152" t="str">
        <v>Q2</v>
      </c>
      <c r="E107" s="151" t="str">
        <f>Currency&amp;$D$1&amp;$E$1&amp;$D107&amp;QuoteSuffix</f>
        <v>USDFUT3MQ2_Quote</v>
      </c>
      <c r="F107" s="150" t="str">
        <f>_xll.qlSimpleQuote(E107,,PriceTickValue,Permanent,Trigger,ObjectOverwrite)</f>
        <v>USDFUT3MQ2_Quote#0025</v>
      </c>
      <c r="G107" s="113" t="str">
        <f>_xll.ohRangeRetrieveError(F107)</f>
        <v/>
      </c>
      <c r="H107" s="149"/>
    </row>
    <row r="108" spans="1:8" x14ac:dyDescent="0.2">
      <c r="A108" s="155"/>
      <c r="B108" s="154">
        <v>106</v>
      </c>
      <c r="C108" s="153" t="b">
        <v>0</v>
      </c>
      <c r="D108" s="152" t="str">
        <v>U2</v>
      </c>
      <c r="E108" s="151" t="str">
        <f>Currency&amp;$D$1&amp;$E$1&amp;$D108&amp;QuoteSuffix</f>
        <v>USDFUT3MU2_Quote</v>
      </c>
      <c r="F108" s="150" t="str">
        <f>_xll.qlSimpleQuote(E108,,PriceTickValue,Permanent,Trigger,ObjectOverwrite)</f>
        <v>USDFUT3MU2_Quote#0025</v>
      </c>
      <c r="G108" s="113" t="str">
        <f>_xll.ohRangeRetrieveError(F108)</f>
        <v/>
      </c>
      <c r="H108" s="149"/>
    </row>
    <row r="109" spans="1:8" x14ac:dyDescent="0.2">
      <c r="A109" s="155"/>
      <c r="B109" s="154">
        <v>107</v>
      </c>
      <c r="C109" s="153" t="b">
        <v>0</v>
      </c>
      <c r="D109" s="152" t="str">
        <v>V2</v>
      </c>
      <c r="E109" s="151" t="str">
        <f>Currency&amp;$D$1&amp;$E$1&amp;$D109&amp;QuoteSuffix</f>
        <v>USDFUT3MV2_Quote</v>
      </c>
      <c r="F109" s="150" t="str">
        <f>_xll.qlSimpleQuote(E109,,PriceTickValue,Permanent,Trigger,ObjectOverwrite)</f>
        <v>USDFUT3MV2_Quote#0025</v>
      </c>
      <c r="G109" s="113" t="str">
        <f>_xll.ohRangeRetrieveError(F109)</f>
        <v/>
      </c>
      <c r="H109" s="149"/>
    </row>
    <row r="110" spans="1:8" x14ac:dyDescent="0.2">
      <c r="A110" s="155"/>
      <c r="B110" s="154">
        <v>108</v>
      </c>
      <c r="C110" s="153" t="b">
        <v>0</v>
      </c>
      <c r="D110" s="152" t="str">
        <v>X2</v>
      </c>
      <c r="E110" s="151" t="str">
        <f>Currency&amp;$D$1&amp;$E$1&amp;$D110&amp;QuoteSuffix</f>
        <v>USDFUT3MX2_Quote</v>
      </c>
      <c r="F110" s="150" t="str">
        <f>_xll.qlSimpleQuote(E110,,PriceTickValue,Permanent,Trigger,ObjectOverwrite)</f>
        <v>USDFUT3MX2_Quote#0025</v>
      </c>
      <c r="G110" s="113" t="str">
        <f>_xll.ohRangeRetrieveError(F110)</f>
        <v/>
      </c>
      <c r="H110" s="149"/>
    </row>
    <row r="111" spans="1:8" x14ac:dyDescent="0.2">
      <c r="A111" s="155"/>
      <c r="B111" s="154">
        <v>109</v>
      </c>
      <c r="C111" s="153" t="b">
        <v>0</v>
      </c>
      <c r="D111" s="152" t="str">
        <v>Z2</v>
      </c>
      <c r="E111" s="151" t="str">
        <f>Currency&amp;$D$1&amp;$E$1&amp;$D111&amp;QuoteSuffix</f>
        <v>USDFUT3MZ2_Quote</v>
      </c>
      <c r="F111" s="150" t="str">
        <f>_xll.qlSimpleQuote(E111,,PriceTickValue,Permanent,Trigger,ObjectOverwrite)</f>
        <v>USDFUT3MZ2_Quote#0025</v>
      </c>
      <c r="G111" s="113" t="str">
        <f>_xll.ohRangeRetrieveError(F111)</f>
        <v/>
      </c>
      <c r="H111" s="149"/>
    </row>
    <row r="112" spans="1:8" x14ac:dyDescent="0.2">
      <c r="A112" s="155"/>
      <c r="B112" s="154">
        <v>110</v>
      </c>
      <c r="C112" s="153" t="b">
        <v>0</v>
      </c>
      <c r="D112" s="152" t="str">
        <v>F3</v>
      </c>
      <c r="E112" s="151" t="str">
        <f>Currency&amp;$D$1&amp;$E$1&amp;$D112&amp;QuoteSuffix</f>
        <v>USDFUT3MF3_Quote</v>
      </c>
      <c r="F112" s="150" t="str">
        <f>_xll.qlSimpleQuote(E112,,PriceTickValue,Permanent,Trigger,ObjectOverwrite)</f>
        <v>USDFUT3MF3_Quote#0025</v>
      </c>
      <c r="G112" s="113" t="str">
        <f>_xll.ohRangeRetrieveError(F112)</f>
        <v/>
      </c>
      <c r="H112" s="149"/>
    </row>
    <row r="113" spans="1:8" x14ac:dyDescent="0.2">
      <c r="A113" s="155"/>
      <c r="B113" s="154">
        <v>111</v>
      </c>
      <c r="C113" s="153" t="b">
        <v>0</v>
      </c>
      <c r="D113" s="152" t="str">
        <v>G3</v>
      </c>
      <c r="E113" s="151" t="str">
        <f>Currency&amp;$D$1&amp;$E$1&amp;$D113&amp;QuoteSuffix</f>
        <v>USDFUT3MG3_Quote</v>
      </c>
      <c r="F113" s="150" t="str">
        <f>_xll.qlSimpleQuote(E113,,PriceTickValue,Permanent,Trigger,ObjectOverwrite)</f>
        <v>USDFUT3MG3_Quote#0025</v>
      </c>
      <c r="G113" s="113" t="str">
        <f>_xll.ohRangeRetrieveError(F113)</f>
        <v/>
      </c>
      <c r="H113" s="149"/>
    </row>
    <row r="114" spans="1:8" x14ac:dyDescent="0.2">
      <c r="A114" s="155"/>
      <c r="B114" s="154">
        <v>112</v>
      </c>
      <c r="C114" s="153" t="b">
        <v>0</v>
      </c>
      <c r="D114" s="152" t="str">
        <v>H3</v>
      </c>
      <c r="E114" s="151" t="str">
        <f>Currency&amp;$D$1&amp;$E$1&amp;$D114&amp;QuoteSuffix</f>
        <v>USDFUT3MH3_Quote</v>
      </c>
      <c r="F114" s="150" t="str">
        <f>_xll.qlSimpleQuote(E114,,PriceTickValue,Permanent,Trigger,ObjectOverwrite)</f>
        <v>USDFUT3MH3_Quote#0025</v>
      </c>
      <c r="G114" s="113" t="str">
        <f>_xll.ohRangeRetrieveError(F114)</f>
        <v/>
      </c>
      <c r="H114" s="149"/>
    </row>
    <row r="115" spans="1:8" x14ac:dyDescent="0.2">
      <c r="A115" s="155"/>
      <c r="B115" s="154">
        <v>113</v>
      </c>
      <c r="C115" s="153" t="b">
        <v>0</v>
      </c>
      <c r="D115" s="152" t="str">
        <v>J3</v>
      </c>
      <c r="E115" s="151" t="str">
        <f>Currency&amp;$D$1&amp;$E$1&amp;$D115&amp;QuoteSuffix</f>
        <v>USDFUT3MJ3_Quote</v>
      </c>
      <c r="F115" s="150" t="str">
        <f>_xll.qlSimpleQuote(E115,,PriceTickValue,Permanent,Trigger,ObjectOverwrite)</f>
        <v>USDFUT3MJ3_Quote#0025</v>
      </c>
      <c r="G115" s="113" t="str">
        <f>_xll.ohRangeRetrieveError(F115)</f>
        <v/>
      </c>
      <c r="H115" s="149"/>
    </row>
    <row r="116" spans="1:8" x14ac:dyDescent="0.2">
      <c r="A116" s="155"/>
      <c r="B116" s="154">
        <v>114</v>
      </c>
      <c r="C116" s="153" t="b">
        <v>0</v>
      </c>
      <c r="D116" s="152" t="str">
        <v>K3</v>
      </c>
      <c r="E116" s="151" t="str">
        <f>Currency&amp;$D$1&amp;$E$1&amp;$D116&amp;QuoteSuffix</f>
        <v>USDFUT3MK3_Quote</v>
      </c>
      <c r="F116" s="150" t="str">
        <f>_xll.qlSimpleQuote(E116,,PriceTickValue,Permanent,Trigger,ObjectOverwrite)</f>
        <v>USDFUT3MK3_Quote#0025</v>
      </c>
      <c r="G116" s="113" t="str">
        <f>_xll.ohRangeRetrieveError(F116)</f>
        <v/>
      </c>
      <c r="H116" s="149"/>
    </row>
    <row r="117" spans="1:8" x14ac:dyDescent="0.2">
      <c r="A117" s="155"/>
      <c r="B117" s="154">
        <v>115</v>
      </c>
      <c r="C117" s="153" t="b">
        <v>0</v>
      </c>
      <c r="D117" s="152" t="str">
        <v>M3</v>
      </c>
      <c r="E117" s="151" t="str">
        <f>Currency&amp;$D$1&amp;$E$1&amp;$D117&amp;QuoteSuffix</f>
        <v>USDFUT3MM3_Quote</v>
      </c>
      <c r="F117" s="150" t="str">
        <f>_xll.qlSimpleQuote(E117,,PriceTickValue,Permanent,Trigger,ObjectOverwrite)</f>
        <v>USDFUT3MM3_Quote#0025</v>
      </c>
      <c r="G117" s="113" t="str">
        <f>_xll.ohRangeRetrieveError(F117)</f>
        <v/>
      </c>
      <c r="H117" s="149"/>
    </row>
    <row r="118" spans="1:8" x14ac:dyDescent="0.2">
      <c r="A118" s="155"/>
      <c r="B118" s="154">
        <v>116</v>
      </c>
      <c r="C118" s="153" t="b">
        <v>0</v>
      </c>
      <c r="D118" s="152" t="str">
        <v>N3</v>
      </c>
      <c r="E118" s="151" t="str">
        <f>Currency&amp;$D$1&amp;$E$1&amp;$D118&amp;QuoteSuffix</f>
        <v>USDFUT3MN3_Quote</v>
      </c>
      <c r="F118" s="150" t="str">
        <f>_xll.qlSimpleQuote(E118,,PriceTickValue,Permanent,Trigger,ObjectOverwrite)</f>
        <v>USDFUT3MN3_Quote#0025</v>
      </c>
      <c r="G118" s="113" t="str">
        <f>_xll.ohRangeRetrieveError(F118)</f>
        <v/>
      </c>
      <c r="H118" s="149"/>
    </row>
    <row r="119" spans="1:8" x14ac:dyDescent="0.2">
      <c r="A119" s="155"/>
      <c r="B119" s="154">
        <v>117</v>
      </c>
      <c r="C119" s="153" t="b">
        <v>0</v>
      </c>
      <c r="D119" s="152" t="str">
        <v>Q3</v>
      </c>
      <c r="E119" s="151" t="str">
        <f>Currency&amp;$D$1&amp;$E$1&amp;$D119&amp;QuoteSuffix</f>
        <v>USDFUT3MQ3_Quote</v>
      </c>
      <c r="F119" s="150" t="str">
        <f>_xll.qlSimpleQuote(E119,,PriceTickValue,Permanent,Trigger,ObjectOverwrite)</f>
        <v>USDFUT3MQ3_Quote#0025</v>
      </c>
      <c r="G119" s="113" t="str">
        <f>_xll.ohRangeRetrieveError(F119)</f>
        <v/>
      </c>
      <c r="H119" s="149"/>
    </row>
    <row r="120" spans="1:8" x14ac:dyDescent="0.2">
      <c r="A120" s="155"/>
      <c r="B120" s="154">
        <v>118</v>
      </c>
      <c r="C120" s="153" t="b">
        <v>0</v>
      </c>
      <c r="D120" s="152" t="str">
        <v>U3</v>
      </c>
      <c r="E120" s="151" t="str">
        <f>Currency&amp;$D$1&amp;$E$1&amp;$D120&amp;QuoteSuffix</f>
        <v>USDFUT3MU3_Quote</v>
      </c>
      <c r="F120" s="150" t="str">
        <f>_xll.qlSimpleQuote(E120,,PriceTickValue,Permanent,Trigger,ObjectOverwrite)</f>
        <v>USDFUT3MU3_Quote#0025</v>
      </c>
      <c r="G120" s="113" t="str">
        <f>_xll.ohRangeRetrieveError(F120)</f>
        <v/>
      </c>
      <c r="H120" s="149"/>
    </row>
    <row r="121" spans="1:8" x14ac:dyDescent="0.2">
      <c r="A121" s="155"/>
      <c r="B121" s="154">
        <v>119</v>
      </c>
      <c r="C121" s="153" t="b">
        <v>0</v>
      </c>
      <c r="D121" s="152" t="str">
        <v>V3</v>
      </c>
      <c r="E121" s="151" t="str">
        <f>Currency&amp;$D$1&amp;$E$1&amp;$D121&amp;QuoteSuffix</f>
        <v>USDFUT3MV3_Quote</v>
      </c>
      <c r="F121" s="150" t="str">
        <f>_xll.qlSimpleQuote(E121,,PriceTickValue,Permanent,Trigger,ObjectOverwrite)</f>
        <v>USDFUT3MV3_Quote#0025</v>
      </c>
      <c r="G121" s="113" t="str">
        <f>_xll.ohRangeRetrieveError(F121)</f>
        <v/>
      </c>
      <c r="H121" s="149"/>
    </row>
    <row r="122" spans="1:8" x14ac:dyDescent="0.2">
      <c r="A122" s="155"/>
      <c r="B122" s="154">
        <v>120</v>
      </c>
      <c r="C122" s="153" t="b">
        <v>0</v>
      </c>
      <c r="D122" s="152" t="str">
        <v>X3</v>
      </c>
      <c r="E122" s="151" t="str">
        <f>Currency&amp;$D$1&amp;$E$1&amp;$D122&amp;QuoteSuffix</f>
        <v>USDFUT3MX3_Quote</v>
      </c>
      <c r="F122" s="150" t="str">
        <f>_xll.qlSimpleQuote(E122,,PriceTickValue,Permanent,Trigger,ObjectOverwrite)</f>
        <v>USDFUT3MX3_Quote#0025</v>
      </c>
      <c r="G122" s="113" t="str">
        <f>_xll.ohRangeRetrieveError(F122)</f>
        <v/>
      </c>
      <c r="H122" s="149"/>
    </row>
    <row r="123" spans="1:8" ht="12" thickBot="1" x14ac:dyDescent="0.25">
      <c r="A123" s="148"/>
      <c r="B123" s="147"/>
      <c r="C123" s="147"/>
      <c r="D123" s="147"/>
      <c r="E123" s="147"/>
      <c r="F123" s="147"/>
      <c r="G123" s="147"/>
      <c r="H123" s="146"/>
    </row>
  </sheetData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"/>
  <sheetViews>
    <sheetView workbookViewId="0"/>
  </sheetViews>
  <sheetFormatPr defaultRowHeight="11.25" x14ac:dyDescent="0.2"/>
  <cols>
    <col min="1" max="1" width="3.28515625" style="111" customWidth="1"/>
    <col min="2" max="2" width="3.5703125" style="111" bestFit="1" customWidth="1"/>
    <col min="3" max="3" width="5.7109375" style="111" bestFit="1" customWidth="1"/>
    <col min="4" max="4" width="6.5703125" style="111" bestFit="1" customWidth="1"/>
    <col min="5" max="5" width="20.140625" style="111" bestFit="1" customWidth="1"/>
    <col min="6" max="6" width="23.140625" style="111" bestFit="1" customWidth="1"/>
    <col min="7" max="7" width="33.85546875" style="111" customWidth="1"/>
    <col min="8" max="8" width="4.5703125" style="111" customWidth="1"/>
    <col min="9" max="16384" width="9.140625" style="111"/>
  </cols>
  <sheetData>
    <row r="1" spans="1:8" x14ac:dyDescent="0.2">
      <c r="A1" s="166" t="s">
        <v>186</v>
      </c>
      <c r="B1" s="165"/>
      <c r="C1" s="165"/>
      <c r="D1" s="164" t="s">
        <v>185</v>
      </c>
      <c r="E1" s="164" t="s">
        <v>35</v>
      </c>
      <c r="F1" s="163"/>
      <c r="G1" s="163"/>
      <c r="H1" s="162"/>
    </row>
    <row r="2" spans="1:8" ht="22.5" x14ac:dyDescent="0.2">
      <c r="A2" s="161"/>
      <c r="B2" s="97" t="s">
        <v>183</v>
      </c>
      <c r="C2" s="98" t="s">
        <v>182</v>
      </c>
      <c r="D2" s="98" t="s">
        <v>181</v>
      </c>
      <c r="E2" s="96" t="str">
        <f>Currency&amp;"_010_"&amp;$D$1&amp;$E$1&amp;".xml"</f>
        <v>USD_010_IMMFRA6M.xml</v>
      </c>
      <c r="F2" s="95">
        <f ca="1">IF(Serialize,_xll.ohObjectSave(F3:F122,SerializationPath&amp;E2,FileOverwrite,Serialize),"---")</f>
        <v>120</v>
      </c>
      <c r="G2" s="116" t="str">
        <f ca="1">_xll.ohRangeRetrieveError(F2)</f>
        <v/>
      </c>
      <c r="H2" s="149"/>
    </row>
    <row r="3" spans="1:8" x14ac:dyDescent="0.2">
      <c r="A3" s="155"/>
      <c r="B3" s="160">
        <v>1</v>
      </c>
      <c r="C3" s="159" t="b">
        <v>0</v>
      </c>
      <c r="D3" s="158" t="str">
        <f t="array" ref="D3:D122">_xll.qlIMMNextCodes(_xll.qlSettingsEvaluationDate(Trigger)-1,$C3:$C122)</f>
        <v>Z3</v>
      </c>
      <c r="E3" s="151" t="str">
        <f>Currency&amp;$D$1&amp;$E$1&amp;$D3&amp;QuoteSuffix</f>
        <v>USDIMMFRA6MZ3_Quote</v>
      </c>
      <c r="F3" s="157" t="str">
        <f>_xll.qlSimpleQuote(E3,,PriceTickValue,Permanent,Trigger,ObjectOverwrite)</f>
        <v>USDIMMFRA6MZ3_Quote#0024</v>
      </c>
      <c r="G3" s="156" t="str">
        <f>_xll.ohRangeRetrieveError(F3)</f>
        <v/>
      </c>
      <c r="H3" s="149"/>
    </row>
    <row r="4" spans="1:8" x14ac:dyDescent="0.2">
      <c r="A4" s="155"/>
      <c r="B4" s="154">
        <v>2</v>
      </c>
      <c r="C4" s="153" t="b">
        <v>0</v>
      </c>
      <c r="D4" s="152" t="str">
        <v>F4</v>
      </c>
      <c r="E4" s="151" t="str">
        <f>Currency&amp;$D$1&amp;$E$1&amp;$D4&amp;QuoteSuffix</f>
        <v>USDIMMFRA6MF4_Quote</v>
      </c>
      <c r="F4" s="150" t="str">
        <f>_xll.qlSimpleQuote(E4,,PriceTickValue,Permanent,Trigger,ObjectOverwrite)</f>
        <v>USDIMMFRA6MF4_Quote#0024</v>
      </c>
      <c r="G4" s="113" t="str">
        <f>_xll.ohRangeRetrieveError(F4)</f>
        <v/>
      </c>
      <c r="H4" s="149"/>
    </row>
    <row r="5" spans="1:8" x14ac:dyDescent="0.2">
      <c r="A5" s="155"/>
      <c r="B5" s="154">
        <v>3</v>
      </c>
      <c r="C5" s="153" t="b">
        <v>0</v>
      </c>
      <c r="D5" s="152" t="str">
        <v>G4</v>
      </c>
      <c r="E5" s="151" t="str">
        <f>Currency&amp;$D$1&amp;$E$1&amp;$D5&amp;QuoteSuffix</f>
        <v>USDIMMFRA6MG4_Quote</v>
      </c>
      <c r="F5" s="150" t="str">
        <f>_xll.qlSimpleQuote(E5,,PriceTickValue,Permanent,Trigger,ObjectOverwrite)</f>
        <v>USDIMMFRA6MG4_Quote#0024</v>
      </c>
      <c r="G5" s="113" t="str">
        <f>_xll.ohRangeRetrieveError(F5)</f>
        <v/>
      </c>
      <c r="H5" s="149"/>
    </row>
    <row r="6" spans="1:8" x14ac:dyDescent="0.2">
      <c r="A6" s="155"/>
      <c r="B6" s="154">
        <v>4</v>
      </c>
      <c r="C6" s="153" t="b">
        <v>0</v>
      </c>
      <c r="D6" s="152" t="str">
        <v>H4</v>
      </c>
      <c r="E6" s="151" t="str">
        <f>Currency&amp;$D$1&amp;$E$1&amp;$D6&amp;QuoteSuffix</f>
        <v>USDIMMFRA6MH4_Quote</v>
      </c>
      <c r="F6" s="150" t="str">
        <f>_xll.qlSimpleQuote(E6,,PriceTickValue,Permanent,Trigger,ObjectOverwrite)</f>
        <v>USDIMMFRA6MH4_Quote#0024</v>
      </c>
      <c r="G6" s="113" t="str">
        <f>_xll.ohRangeRetrieveError(F6)</f>
        <v/>
      </c>
      <c r="H6" s="149"/>
    </row>
    <row r="7" spans="1:8" x14ac:dyDescent="0.2">
      <c r="A7" s="155"/>
      <c r="B7" s="154">
        <v>5</v>
      </c>
      <c r="C7" s="153" t="b">
        <v>0</v>
      </c>
      <c r="D7" s="152" t="str">
        <v>J4</v>
      </c>
      <c r="E7" s="151" t="str">
        <f>Currency&amp;$D$1&amp;$E$1&amp;$D7&amp;QuoteSuffix</f>
        <v>USDIMMFRA6MJ4_Quote</v>
      </c>
      <c r="F7" s="150" t="str">
        <f>_xll.qlSimpleQuote(E7,,PriceTickValue,Permanent,Trigger,ObjectOverwrite)</f>
        <v>USDIMMFRA6MJ4_Quote#0024</v>
      </c>
      <c r="G7" s="113" t="str">
        <f>_xll.ohRangeRetrieveError(F7)</f>
        <v/>
      </c>
      <c r="H7" s="149"/>
    </row>
    <row r="8" spans="1:8" x14ac:dyDescent="0.2">
      <c r="A8" s="155"/>
      <c r="B8" s="154">
        <v>6</v>
      </c>
      <c r="C8" s="153" t="b">
        <v>0</v>
      </c>
      <c r="D8" s="152" t="str">
        <v>K4</v>
      </c>
      <c r="E8" s="151" t="str">
        <f>Currency&amp;$D$1&amp;$E$1&amp;$D8&amp;QuoteSuffix</f>
        <v>USDIMMFRA6MK4_Quote</v>
      </c>
      <c r="F8" s="150" t="str">
        <f>_xll.qlSimpleQuote(E8,,PriceTickValue,Permanent,Trigger,ObjectOverwrite)</f>
        <v>USDIMMFRA6MK4_Quote#0024</v>
      </c>
      <c r="G8" s="113" t="str">
        <f>_xll.ohRangeRetrieveError(F8)</f>
        <v/>
      </c>
      <c r="H8" s="149"/>
    </row>
    <row r="9" spans="1:8" x14ac:dyDescent="0.2">
      <c r="A9" s="155"/>
      <c r="B9" s="154">
        <v>7</v>
      </c>
      <c r="C9" s="153" t="b">
        <v>0</v>
      </c>
      <c r="D9" s="152" t="str">
        <v>M4</v>
      </c>
      <c r="E9" s="151" t="str">
        <f>Currency&amp;$D$1&amp;$E$1&amp;$D9&amp;QuoteSuffix</f>
        <v>USDIMMFRA6MM4_Quote</v>
      </c>
      <c r="F9" s="150" t="str">
        <f>_xll.qlSimpleQuote(E9,,PriceTickValue,Permanent,Trigger,ObjectOverwrite)</f>
        <v>USDIMMFRA6MM4_Quote#0024</v>
      </c>
      <c r="G9" s="113" t="str">
        <f>_xll.ohRangeRetrieveError(F9)</f>
        <v/>
      </c>
      <c r="H9" s="149"/>
    </row>
    <row r="10" spans="1:8" x14ac:dyDescent="0.2">
      <c r="A10" s="155"/>
      <c r="B10" s="154">
        <v>8</v>
      </c>
      <c r="C10" s="153" t="b">
        <v>0</v>
      </c>
      <c r="D10" s="152" t="str">
        <v>N4</v>
      </c>
      <c r="E10" s="151" t="str">
        <f>Currency&amp;$D$1&amp;$E$1&amp;$D10&amp;QuoteSuffix</f>
        <v>USDIMMFRA6MN4_Quote</v>
      </c>
      <c r="F10" s="150" t="str">
        <f>_xll.qlSimpleQuote(E10,,PriceTickValue,Permanent,Trigger,ObjectOverwrite)</f>
        <v>USDIMMFRA6MN4_Quote#0024</v>
      </c>
      <c r="G10" s="113" t="str">
        <f>_xll.ohRangeRetrieveError(F10)</f>
        <v/>
      </c>
      <c r="H10" s="149"/>
    </row>
    <row r="11" spans="1:8" x14ac:dyDescent="0.2">
      <c r="A11" s="155"/>
      <c r="B11" s="154">
        <v>9</v>
      </c>
      <c r="C11" s="153" t="b">
        <v>0</v>
      </c>
      <c r="D11" s="152" t="str">
        <v>Q4</v>
      </c>
      <c r="E11" s="151" t="str">
        <f>Currency&amp;$D$1&amp;$E$1&amp;$D11&amp;QuoteSuffix</f>
        <v>USDIMMFRA6MQ4_Quote</v>
      </c>
      <c r="F11" s="150" t="str">
        <f>_xll.qlSimpleQuote(E11,,PriceTickValue,Permanent,Trigger,ObjectOverwrite)</f>
        <v>USDIMMFRA6MQ4_Quote#0024</v>
      </c>
      <c r="G11" s="113" t="str">
        <f>_xll.ohRangeRetrieveError(F11)</f>
        <v/>
      </c>
      <c r="H11" s="149"/>
    </row>
    <row r="12" spans="1:8" x14ac:dyDescent="0.2">
      <c r="A12" s="155"/>
      <c r="B12" s="154">
        <v>10</v>
      </c>
      <c r="C12" s="153" t="b">
        <v>0</v>
      </c>
      <c r="D12" s="152" t="str">
        <v>U4</v>
      </c>
      <c r="E12" s="151" t="str">
        <f>Currency&amp;$D$1&amp;$E$1&amp;$D12&amp;QuoteSuffix</f>
        <v>USDIMMFRA6MU4_Quote</v>
      </c>
      <c r="F12" s="150" t="str">
        <f>_xll.qlSimpleQuote(E12,,PriceTickValue,Permanent,Trigger,ObjectOverwrite)</f>
        <v>USDIMMFRA6MU4_Quote#0024</v>
      </c>
      <c r="G12" s="113" t="str">
        <f>_xll.ohRangeRetrieveError(F12)</f>
        <v/>
      </c>
      <c r="H12" s="149"/>
    </row>
    <row r="13" spans="1:8" x14ac:dyDescent="0.2">
      <c r="A13" s="155"/>
      <c r="B13" s="154">
        <v>11</v>
      </c>
      <c r="C13" s="153" t="b">
        <v>0</v>
      </c>
      <c r="D13" s="152" t="str">
        <v>V4</v>
      </c>
      <c r="E13" s="151" t="str">
        <f>Currency&amp;$D$1&amp;$E$1&amp;$D13&amp;QuoteSuffix</f>
        <v>USDIMMFRA6MV4_Quote</v>
      </c>
      <c r="F13" s="150" t="str">
        <f>_xll.qlSimpleQuote(E13,,PriceTickValue,Permanent,Trigger,ObjectOverwrite)</f>
        <v>USDIMMFRA6MV4_Quote#0024</v>
      </c>
      <c r="G13" s="113" t="str">
        <f>_xll.ohRangeRetrieveError(F13)</f>
        <v/>
      </c>
      <c r="H13" s="149"/>
    </row>
    <row r="14" spans="1:8" x14ac:dyDescent="0.2">
      <c r="A14" s="155"/>
      <c r="B14" s="154">
        <v>12</v>
      </c>
      <c r="C14" s="153" t="b">
        <v>0</v>
      </c>
      <c r="D14" s="152" t="str">
        <v>X4</v>
      </c>
      <c r="E14" s="151" t="str">
        <f>Currency&amp;$D$1&amp;$E$1&amp;$D14&amp;QuoteSuffix</f>
        <v>USDIMMFRA6MX4_Quote</v>
      </c>
      <c r="F14" s="150" t="str">
        <f>_xll.qlSimpleQuote(E14,,PriceTickValue,Permanent,Trigger,ObjectOverwrite)</f>
        <v>USDIMMFRA6MX4_Quote#0024</v>
      </c>
      <c r="G14" s="113" t="str">
        <f>_xll.ohRangeRetrieveError(F14)</f>
        <v/>
      </c>
      <c r="H14" s="149"/>
    </row>
    <row r="15" spans="1:8" x14ac:dyDescent="0.2">
      <c r="A15" s="155"/>
      <c r="B15" s="154">
        <v>13</v>
      </c>
      <c r="C15" s="153" t="b">
        <v>0</v>
      </c>
      <c r="D15" s="152" t="str">
        <v>Z4</v>
      </c>
      <c r="E15" s="151" t="str">
        <f>Currency&amp;$D$1&amp;$E$1&amp;$D15&amp;QuoteSuffix</f>
        <v>USDIMMFRA6MZ4_Quote</v>
      </c>
      <c r="F15" s="150" t="str">
        <f>_xll.qlSimpleQuote(E15,,PriceTickValue,Permanent,Trigger,ObjectOverwrite)</f>
        <v>USDIMMFRA6MZ4_Quote#0024</v>
      </c>
      <c r="G15" s="113" t="str">
        <f>_xll.ohRangeRetrieveError(F15)</f>
        <v/>
      </c>
      <c r="H15" s="149"/>
    </row>
    <row r="16" spans="1:8" x14ac:dyDescent="0.2">
      <c r="A16" s="155"/>
      <c r="B16" s="154">
        <v>14</v>
      </c>
      <c r="C16" s="153" t="b">
        <v>0</v>
      </c>
      <c r="D16" s="152" t="str">
        <v>F5</v>
      </c>
      <c r="E16" s="151" t="str">
        <f>Currency&amp;$D$1&amp;$E$1&amp;$D16&amp;QuoteSuffix</f>
        <v>USDIMMFRA6MF5_Quote</v>
      </c>
      <c r="F16" s="150" t="str">
        <f>_xll.qlSimpleQuote(E16,,PriceTickValue,Permanent,Trigger,ObjectOverwrite)</f>
        <v>USDIMMFRA6MF5_Quote#0024</v>
      </c>
      <c r="G16" s="113" t="str">
        <f>_xll.ohRangeRetrieveError(F16)</f>
        <v/>
      </c>
      <c r="H16" s="149"/>
    </row>
    <row r="17" spans="1:8" x14ac:dyDescent="0.2">
      <c r="A17" s="155"/>
      <c r="B17" s="154">
        <v>15</v>
      </c>
      <c r="C17" s="153" t="b">
        <v>0</v>
      </c>
      <c r="D17" s="152" t="str">
        <v>G5</v>
      </c>
      <c r="E17" s="151" t="str">
        <f>Currency&amp;$D$1&amp;$E$1&amp;$D17&amp;QuoteSuffix</f>
        <v>USDIMMFRA6MG5_Quote</v>
      </c>
      <c r="F17" s="150" t="str">
        <f>_xll.qlSimpleQuote(E17,,PriceTickValue,Permanent,Trigger,ObjectOverwrite)</f>
        <v>USDIMMFRA6MG5_Quote#0024</v>
      </c>
      <c r="G17" s="113" t="str">
        <f>_xll.ohRangeRetrieveError(F17)</f>
        <v/>
      </c>
      <c r="H17" s="149"/>
    </row>
    <row r="18" spans="1:8" x14ac:dyDescent="0.2">
      <c r="A18" s="155"/>
      <c r="B18" s="154">
        <v>16</v>
      </c>
      <c r="C18" s="153" t="b">
        <v>0</v>
      </c>
      <c r="D18" s="152" t="str">
        <v>H5</v>
      </c>
      <c r="E18" s="151" t="str">
        <f>Currency&amp;$D$1&amp;$E$1&amp;$D18&amp;QuoteSuffix</f>
        <v>USDIMMFRA6MH5_Quote</v>
      </c>
      <c r="F18" s="150" t="str">
        <f>_xll.qlSimpleQuote(E18,,PriceTickValue,Permanent,Trigger,ObjectOverwrite)</f>
        <v>USDIMMFRA6MH5_Quote#0024</v>
      </c>
      <c r="G18" s="113" t="str">
        <f>_xll.ohRangeRetrieveError(F18)</f>
        <v/>
      </c>
      <c r="H18" s="149"/>
    </row>
    <row r="19" spans="1:8" x14ac:dyDescent="0.2">
      <c r="A19" s="155"/>
      <c r="B19" s="154">
        <v>17</v>
      </c>
      <c r="C19" s="153" t="b">
        <v>0</v>
      </c>
      <c r="D19" s="152" t="str">
        <v>J5</v>
      </c>
      <c r="E19" s="151" t="str">
        <f>Currency&amp;$D$1&amp;$E$1&amp;$D19&amp;QuoteSuffix</f>
        <v>USDIMMFRA6MJ5_Quote</v>
      </c>
      <c r="F19" s="150" t="str">
        <f>_xll.qlSimpleQuote(E19,,PriceTickValue,Permanent,Trigger,ObjectOverwrite)</f>
        <v>USDIMMFRA6MJ5_Quote#0024</v>
      </c>
      <c r="G19" s="113" t="str">
        <f>_xll.ohRangeRetrieveError(F19)</f>
        <v/>
      </c>
      <c r="H19" s="149"/>
    </row>
    <row r="20" spans="1:8" x14ac:dyDescent="0.2">
      <c r="A20" s="155"/>
      <c r="B20" s="154">
        <v>18</v>
      </c>
      <c r="C20" s="153" t="b">
        <v>0</v>
      </c>
      <c r="D20" s="152" t="str">
        <v>K5</v>
      </c>
      <c r="E20" s="151" t="str">
        <f>Currency&amp;$D$1&amp;$E$1&amp;$D20&amp;QuoteSuffix</f>
        <v>USDIMMFRA6MK5_Quote</v>
      </c>
      <c r="F20" s="150" t="str">
        <f>_xll.qlSimpleQuote(E20,,PriceTickValue,Permanent,Trigger,ObjectOverwrite)</f>
        <v>USDIMMFRA6MK5_Quote#0024</v>
      </c>
      <c r="G20" s="113" t="str">
        <f>_xll.ohRangeRetrieveError(F20)</f>
        <v/>
      </c>
      <c r="H20" s="149"/>
    </row>
    <row r="21" spans="1:8" x14ac:dyDescent="0.2">
      <c r="A21" s="155"/>
      <c r="B21" s="154">
        <v>19</v>
      </c>
      <c r="C21" s="153" t="b">
        <v>0</v>
      </c>
      <c r="D21" s="152" t="str">
        <v>M5</v>
      </c>
      <c r="E21" s="151" t="str">
        <f>Currency&amp;$D$1&amp;$E$1&amp;$D21&amp;QuoteSuffix</f>
        <v>USDIMMFRA6MM5_Quote</v>
      </c>
      <c r="F21" s="150" t="str">
        <f>_xll.qlSimpleQuote(E21,,PriceTickValue,Permanent,Trigger,ObjectOverwrite)</f>
        <v>USDIMMFRA6MM5_Quote#0024</v>
      </c>
      <c r="G21" s="113" t="str">
        <f>_xll.ohRangeRetrieveError(F21)</f>
        <v/>
      </c>
      <c r="H21" s="149"/>
    </row>
    <row r="22" spans="1:8" x14ac:dyDescent="0.2">
      <c r="A22" s="155"/>
      <c r="B22" s="154">
        <v>20</v>
      </c>
      <c r="C22" s="153" t="b">
        <v>0</v>
      </c>
      <c r="D22" s="152" t="str">
        <v>N5</v>
      </c>
      <c r="E22" s="151" t="str">
        <f>Currency&amp;$D$1&amp;$E$1&amp;$D22&amp;QuoteSuffix</f>
        <v>USDIMMFRA6MN5_Quote</v>
      </c>
      <c r="F22" s="150" t="str">
        <f>_xll.qlSimpleQuote(E22,,PriceTickValue,Permanent,Trigger,ObjectOverwrite)</f>
        <v>USDIMMFRA6MN5_Quote#0024</v>
      </c>
      <c r="G22" s="113" t="str">
        <f>_xll.ohRangeRetrieveError(F22)</f>
        <v/>
      </c>
      <c r="H22" s="149"/>
    </row>
    <row r="23" spans="1:8" x14ac:dyDescent="0.2">
      <c r="A23" s="155"/>
      <c r="B23" s="154">
        <v>21</v>
      </c>
      <c r="C23" s="153" t="b">
        <v>0</v>
      </c>
      <c r="D23" s="152" t="str">
        <v>Q5</v>
      </c>
      <c r="E23" s="151" t="str">
        <f>Currency&amp;$D$1&amp;$E$1&amp;$D23&amp;QuoteSuffix</f>
        <v>USDIMMFRA6MQ5_Quote</v>
      </c>
      <c r="F23" s="150" t="str">
        <f>_xll.qlSimpleQuote(E23,,PriceTickValue,Permanent,Trigger,ObjectOverwrite)</f>
        <v>USDIMMFRA6MQ5_Quote#0024</v>
      </c>
      <c r="G23" s="113" t="str">
        <f>_xll.ohRangeRetrieveError(F23)</f>
        <v/>
      </c>
      <c r="H23" s="149"/>
    </row>
    <row r="24" spans="1:8" x14ac:dyDescent="0.2">
      <c r="A24" s="155"/>
      <c r="B24" s="154">
        <v>22</v>
      </c>
      <c r="C24" s="153" t="b">
        <v>0</v>
      </c>
      <c r="D24" s="152" t="str">
        <v>U5</v>
      </c>
      <c r="E24" s="151" t="str">
        <f>Currency&amp;$D$1&amp;$E$1&amp;$D24&amp;QuoteSuffix</f>
        <v>USDIMMFRA6MU5_Quote</v>
      </c>
      <c r="F24" s="150" t="str">
        <f>_xll.qlSimpleQuote(E24,,PriceTickValue,Permanent,Trigger,ObjectOverwrite)</f>
        <v>USDIMMFRA6MU5_Quote#0024</v>
      </c>
      <c r="G24" s="113" t="str">
        <f>_xll.ohRangeRetrieveError(F24)</f>
        <v/>
      </c>
      <c r="H24" s="149"/>
    </row>
    <row r="25" spans="1:8" x14ac:dyDescent="0.2">
      <c r="A25" s="155"/>
      <c r="B25" s="154">
        <v>23</v>
      </c>
      <c r="C25" s="153" t="b">
        <v>0</v>
      </c>
      <c r="D25" s="152" t="str">
        <v>V5</v>
      </c>
      <c r="E25" s="151" t="str">
        <f>Currency&amp;$D$1&amp;$E$1&amp;$D25&amp;QuoteSuffix</f>
        <v>USDIMMFRA6MV5_Quote</v>
      </c>
      <c r="F25" s="150" t="str">
        <f>_xll.qlSimpleQuote(E25,,PriceTickValue,Permanent,Trigger,ObjectOverwrite)</f>
        <v>USDIMMFRA6MV5_Quote#0024</v>
      </c>
      <c r="G25" s="113" t="str">
        <f>_xll.ohRangeRetrieveError(F25)</f>
        <v/>
      </c>
      <c r="H25" s="149"/>
    </row>
    <row r="26" spans="1:8" x14ac:dyDescent="0.2">
      <c r="A26" s="155"/>
      <c r="B26" s="154">
        <v>24</v>
      </c>
      <c r="C26" s="153" t="b">
        <v>0</v>
      </c>
      <c r="D26" s="152" t="str">
        <v>X5</v>
      </c>
      <c r="E26" s="151" t="str">
        <f>Currency&amp;$D$1&amp;$E$1&amp;$D26&amp;QuoteSuffix</f>
        <v>USDIMMFRA6MX5_Quote</v>
      </c>
      <c r="F26" s="150" t="str">
        <f>_xll.qlSimpleQuote(E26,,PriceTickValue,Permanent,Trigger,ObjectOverwrite)</f>
        <v>USDIMMFRA6MX5_Quote#0024</v>
      </c>
      <c r="G26" s="113" t="str">
        <f>_xll.ohRangeRetrieveError(F26)</f>
        <v/>
      </c>
      <c r="H26" s="149"/>
    </row>
    <row r="27" spans="1:8" x14ac:dyDescent="0.2">
      <c r="A27" s="155"/>
      <c r="B27" s="154">
        <v>25</v>
      </c>
      <c r="C27" s="153" t="b">
        <v>0</v>
      </c>
      <c r="D27" s="152" t="str">
        <v>Z5</v>
      </c>
      <c r="E27" s="151" t="str">
        <f>Currency&amp;$D$1&amp;$E$1&amp;$D27&amp;QuoteSuffix</f>
        <v>USDIMMFRA6MZ5_Quote</v>
      </c>
      <c r="F27" s="150" t="str">
        <f>_xll.qlSimpleQuote(E27,,PriceTickValue,Permanent,Trigger,ObjectOverwrite)</f>
        <v>USDIMMFRA6MZ5_Quote#0024</v>
      </c>
      <c r="G27" s="113" t="str">
        <f>_xll.ohRangeRetrieveError(F27)</f>
        <v/>
      </c>
      <c r="H27" s="149"/>
    </row>
    <row r="28" spans="1:8" x14ac:dyDescent="0.2">
      <c r="A28" s="155"/>
      <c r="B28" s="154">
        <v>26</v>
      </c>
      <c r="C28" s="153" t="b">
        <v>0</v>
      </c>
      <c r="D28" s="152" t="str">
        <v>F6</v>
      </c>
      <c r="E28" s="151" t="str">
        <f>Currency&amp;$D$1&amp;$E$1&amp;$D28&amp;QuoteSuffix</f>
        <v>USDIMMFRA6MF6_Quote</v>
      </c>
      <c r="F28" s="150" t="str">
        <f>_xll.qlSimpleQuote(E28,,PriceTickValue,Permanent,Trigger,ObjectOverwrite)</f>
        <v>USDIMMFRA6MF6_Quote#0024</v>
      </c>
      <c r="G28" s="113" t="str">
        <f>_xll.ohRangeRetrieveError(F28)</f>
        <v/>
      </c>
      <c r="H28" s="149"/>
    </row>
    <row r="29" spans="1:8" x14ac:dyDescent="0.2">
      <c r="A29" s="155"/>
      <c r="B29" s="154">
        <v>27</v>
      </c>
      <c r="C29" s="153" t="b">
        <v>0</v>
      </c>
      <c r="D29" s="152" t="str">
        <v>G6</v>
      </c>
      <c r="E29" s="151" t="str">
        <f>Currency&amp;$D$1&amp;$E$1&amp;$D29&amp;QuoteSuffix</f>
        <v>USDIMMFRA6MG6_Quote</v>
      </c>
      <c r="F29" s="150" t="str">
        <f>_xll.qlSimpleQuote(E29,,PriceTickValue,Permanent,Trigger,ObjectOverwrite)</f>
        <v>USDIMMFRA6MG6_Quote#0024</v>
      </c>
      <c r="G29" s="113" t="str">
        <f>_xll.ohRangeRetrieveError(F29)</f>
        <v/>
      </c>
      <c r="H29" s="149"/>
    </row>
    <row r="30" spans="1:8" x14ac:dyDescent="0.2">
      <c r="A30" s="155"/>
      <c r="B30" s="154">
        <v>28</v>
      </c>
      <c r="C30" s="153" t="b">
        <v>0</v>
      </c>
      <c r="D30" s="152" t="str">
        <v>H6</v>
      </c>
      <c r="E30" s="151" t="str">
        <f>Currency&amp;$D$1&amp;$E$1&amp;$D30&amp;QuoteSuffix</f>
        <v>USDIMMFRA6MH6_Quote</v>
      </c>
      <c r="F30" s="150" t="str">
        <f>_xll.qlSimpleQuote(E30,,PriceTickValue,Permanent,Trigger,ObjectOverwrite)</f>
        <v>USDIMMFRA6MH6_Quote#0024</v>
      </c>
      <c r="G30" s="113" t="str">
        <f>_xll.ohRangeRetrieveError(F30)</f>
        <v/>
      </c>
      <c r="H30" s="149"/>
    </row>
    <row r="31" spans="1:8" x14ac:dyDescent="0.2">
      <c r="A31" s="155"/>
      <c r="B31" s="154">
        <v>29</v>
      </c>
      <c r="C31" s="153" t="b">
        <v>0</v>
      </c>
      <c r="D31" s="152" t="str">
        <v>J6</v>
      </c>
      <c r="E31" s="151" t="str">
        <f>Currency&amp;$D$1&amp;$E$1&amp;$D31&amp;QuoteSuffix</f>
        <v>USDIMMFRA6MJ6_Quote</v>
      </c>
      <c r="F31" s="150" t="str">
        <f>_xll.qlSimpleQuote(E31,,PriceTickValue,Permanent,Trigger,ObjectOverwrite)</f>
        <v>USDIMMFRA6MJ6_Quote#0024</v>
      </c>
      <c r="G31" s="113" t="str">
        <f>_xll.ohRangeRetrieveError(F31)</f>
        <v/>
      </c>
      <c r="H31" s="149"/>
    </row>
    <row r="32" spans="1:8" x14ac:dyDescent="0.2">
      <c r="A32" s="155"/>
      <c r="B32" s="154">
        <v>30</v>
      </c>
      <c r="C32" s="153" t="b">
        <v>0</v>
      </c>
      <c r="D32" s="152" t="str">
        <v>K6</v>
      </c>
      <c r="E32" s="151" t="str">
        <f>Currency&amp;$D$1&amp;$E$1&amp;$D32&amp;QuoteSuffix</f>
        <v>USDIMMFRA6MK6_Quote</v>
      </c>
      <c r="F32" s="150" t="str">
        <f>_xll.qlSimpleQuote(E32,,PriceTickValue,Permanent,Trigger,ObjectOverwrite)</f>
        <v>USDIMMFRA6MK6_Quote#0024</v>
      </c>
      <c r="G32" s="113" t="str">
        <f>_xll.ohRangeRetrieveError(F32)</f>
        <v/>
      </c>
      <c r="H32" s="149"/>
    </row>
    <row r="33" spans="1:8" x14ac:dyDescent="0.2">
      <c r="A33" s="155"/>
      <c r="B33" s="154">
        <v>31</v>
      </c>
      <c r="C33" s="153" t="b">
        <v>0</v>
      </c>
      <c r="D33" s="152" t="str">
        <v>M6</v>
      </c>
      <c r="E33" s="151" t="str">
        <f>Currency&amp;$D$1&amp;$E$1&amp;$D33&amp;QuoteSuffix</f>
        <v>USDIMMFRA6MM6_Quote</v>
      </c>
      <c r="F33" s="150" t="str">
        <f>_xll.qlSimpleQuote(E33,,PriceTickValue,Permanent,Trigger,ObjectOverwrite)</f>
        <v>USDIMMFRA6MM6_Quote#0024</v>
      </c>
      <c r="G33" s="113" t="str">
        <f>_xll.ohRangeRetrieveError(F33)</f>
        <v/>
      </c>
      <c r="H33" s="149"/>
    </row>
    <row r="34" spans="1:8" x14ac:dyDescent="0.2">
      <c r="A34" s="155"/>
      <c r="B34" s="154">
        <v>32</v>
      </c>
      <c r="C34" s="153" t="b">
        <v>0</v>
      </c>
      <c r="D34" s="152" t="str">
        <v>N6</v>
      </c>
      <c r="E34" s="151" t="str">
        <f>Currency&amp;$D$1&amp;$E$1&amp;$D34&amp;QuoteSuffix</f>
        <v>USDIMMFRA6MN6_Quote</v>
      </c>
      <c r="F34" s="150" t="str">
        <f>_xll.qlSimpleQuote(E34,,PriceTickValue,Permanent,Trigger,ObjectOverwrite)</f>
        <v>USDIMMFRA6MN6_Quote#0024</v>
      </c>
      <c r="G34" s="113" t="str">
        <f>_xll.ohRangeRetrieveError(F34)</f>
        <v/>
      </c>
      <c r="H34" s="149"/>
    </row>
    <row r="35" spans="1:8" x14ac:dyDescent="0.2">
      <c r="A35" s="155"/>
      <c r="B35" s="154">
        <v>33</v>
      </c>
      <c r="C35" s="153" t="b">
        <v>0</v>
      </c>
      <c r="D35" s="152" t="str">
        <v>Q6</v>
      </c>
      <c r="E35" s="151" t="str">
        <f>Currency&amp;$D$1&amp;$E$1&amp;$D35&amp;QuoteSuffix</f>
        <v>USDIMMFRA6MQ6_Quote</v>
      </c>
      <c r="F35" s="150" t="str">
        <f>_xll.qlSimpleQuote(E35,,PriceTickValue,Permanent,Trigger,ObjectOverwrite)</f>
        <v>USDIMMFRA6MQ6_Quote#0024</v>
      </c>
      <c r="G35" s="113" t="str">
        <f>_xll.ohRangeRetrieveError(F35)</f>
        <v/>
      </c>
      <c r="H35" s="149"/>
    </row>
    <row r="36" spans="1:8" x14ac:dyDescent="0.2">
      <c r="A36" s="155"/>
      <c r="B36" s="154">
        <v>34</v>
      </c>
      <c r="C36" s="153" t="b">
        <v>0</v>
      </c>
      <c r="D36" s="152" t="str">
        <v>U6</v>
      </c>
      <c r="E36" s="151" t="str">
        <f>Currency&amp;$D$1&amp;$E$1&amp;$D36&amp;QuoteSuffix</f>
        <v>USDIMMFRA6MU6_Quote</v>
      </c>
      <c r="F36" s="150" t="str">
        <f>_xll.qlSimpleQuote(E36,,PriceTickValue,Permanent,Trigger,ObjectOverwrite)</f>
        <v>USDIMMFRA6MU6_Quote#0024</v>
      </c>
      <c r="G36" s="113" t="str">
        <f>_xll.ohRangeRetrieveError(F36)</f>
        <v/>
      </c>
      <c r="H36" s="149"/>
    </row>
    <row r="37" spans="1:8" x14ac:dyDescent="0.2">
      <c r="A37" s="155"/>
      <c r="B37" s="154">
        <v>35</v>
      </c>
      <c r="C37" s="153" t="b">
        <v>0</v>
      </c>
      <c r="D37" s="152" t="str">
        <v>V6</v>
      </c>
      <c r="E37" s="151" t="str">
        <f>Currency&amp;$D$1&amp;$E$1&amp;$D37&amp;QuoteSuffix</f>
        <v>USDIMMFRA6MV6_Quote</v>
      </c>
      <c r="F37" s="150" t="str">
        <f>_xll.qlSimpleQuote(E37,,PriceTickValue,Permanent,Trigger,ObjectOverwrite)</f>
        <v>USDIMMFRA6MV6_Quote#0024</v>
      </c>
      <c r="G37" s="113" t="str">
        <f>_xll.ohRangeRetrieveError(F37)</f>
        <v/>
      </c>
      <c r="H37" s="149"/>
    </row>
    <row r="38" spans="1:8" x14ac:dyDescent="0.2">
      <c r="A38" s="155"/>
      <c r="B38" s="154">
        <v>36</v>
      </c>
      <c r="C38" s="153" t="b">
        <v>0</v>
      </c>
      <c r="D38" s="152" t="str">
        <v>X6</v>
      </c>
      <c r="E38" s="151" t="str">
        <f>Currency&amp;$D$1&amp;$E$1&amp;$D38&amp;QuoteSuffix</f>
        <v>USDIMMFRA6MX6_Quote</v>
      </c>
      <c r="F38" s="150" t="str">
        <f>_xll.qlSimpleQuote(E38,,PriceTickValue,Permanent,Trigger,ObjectOverwrite)</f>
        <v>USDIMMFRA6MX6_Quote#0024</v>
      </c>
      <c r="G38" s="113" t="str">
        <f>_xll.ohRangeRetrieveError(F38)</f>
        <v/>
      </c>
      <c r="H38" s="149"/>
    </row>
    <row r="39" spans="1:8" x14ac:dyDescent="0.2">
      <c r="A39" s="155"/>
      <c r="B39" s="154">
        <v>37</v>
      </c>
      <c r="C39" s="153" t="b">
        <v>0</v>
      </c>
      <c r="D39" s="152" t="str">
        <v>Z6</v>
      </c>
      <c r="E39" s="151" t="str">
        <f>Currency&amp;$D$1&amp;$E$1&amp;$D39&amp;QuoteSuffix</f>
        <v>USDIMMFRA6MZ6_Quote</v>
      </c>
      <c r="F39" s="150" t="str">
        <f>_xll.qlSimpleQuote(E39,,PriceTickValue,Permanent,Trigger,ObjectOverwrite)</f>
        <v>USDIMMFRA6MZ6_Quote#0024</v>
      </c>
      <c r="G39" s="113" t="str">
        <f>_xll.ohRangeRetrieveError(F39)</f>
        <v/>
      </c>
      <c r="H39" s="149"/>
    </row>
    <row r="40" spans="1:8" x14ac:dyDescent="0.2">
      <c r="A40" s="155"/>
      <c r="B40" s="154">
        <v>38</v>
      </c>
      <c r="C40" s="153" t="b">
        <v>0</v>
      </c>
      <c r="D40" s="152" t="str">
        <v>F7</v>
      </c>
      <c r="E40" s="151" t="str">
        <f>Currency&amp;$D$1&amp;$E$1&amp;$D40&amp;QuoteSuffix</f>
        <v>USDIMMFRA6MF7_Quote</v>
      </c>
      <c r="F40" s="150" t="str">
        <f>_xll.qlSimpleQuote(E40,,PriceTickValue,Permanent,Trigger,ObjectOverwrite)</f>
        <v>USDIMMFRA6MF7_Quote#0024</v>
      </c>
      <c r="G40" s="113" t="str">
        <f>_xll.ohRangeRetrieveError(F40)</f>
        <v/>
      </c>
      <c r="H40" s="149"/>
    </row>
    <row r="41" spans="1:8" x14ac:dyDescent="0.2">
      <c r="A41" s="155"/>
      <c r="B41" s="154">
        <v>39</v>
      </c>
      <c r="C41" s="153" t="b">
        <v>0</v>
      </c>
      <c r="D41" s="152" t="str">
        <v>G7</v>
      </c>
      <c r="E41" s="151" t="str">
        <f>Currency&amp;$D$1&amp;$E$1&amp;$D41&amp;QuoteSuffix</f>
        <v>USDIMMFRA6MG7_Quote</v>
      </c>
      <c r="F41" s="150" t="str">
        <f>_xll.qlSimpleQuote(E41,,PriceTickValue,Permanent,Trigger,ObjectOverwrite)</f>
        <v>USDIMMFRA6MG7_Quote#0024</v>
      </c>
      <c r="G41" s="113" t="str">
        <f>_xll.ohRangeRetrieveError(F41)</f>
        <v/>
      </c>
      <c r="H41" s="149"/>
    </row>
    <row r="42" spans="1:8" x14ac:dyDescent="0.2">
      <c r="A42" s="155"/>
      <c r="B42" s="154">
        <v>40</v>
      </c>
      <c r="C42" s="153" t="b">
        <v>0</v>
      </c>
      <c r="D42" s="152" t="str">
        <v>H7</v>
      </c>
      <c r="E42" s="151" t="str">
        <f>Currency&amp;$D$1&amp;$E$1&amp;$D42&amp;QuoteSuffix</f>
        <v>USDIMMFRA6MH7_Quote</v>
      </c>
      <c r="F42" s="150" t="str">
        <f>_xll.qlSimpleQuote(E42,,PriceTickValue,Permanent,Trigger,ObjectOverwrite)</f>
        <v>USDIMMFRA6MH7_Quote#0024</v>
      </c>
      <c r="G42" s="113" t="str">
        <f>_xll.ohRangeRetrieveError(F42)</f>
        <v/>
      </c>
      <c r="H42" s="149"/>
    </row>
    <row r="43" spans="1:8" x14ac:dyDescent="0.2">
      <c r="A43" s="155"/>
      <c r="B43" s="154">
        <v>41</v>
      </c>
      <c r="C43" s="153" t="b">
        <v>0</v>
      </c>
      <c r="D43" s="152" t="str">
        <v>J7</v>
      </c>
      <c r="E43" s="151" t="str">
        <f>Currency&amp;$D$1&amp;$E$1&amp;$D43&amp;QuoteSuffix</f>
        <v>USDIMMFRA6MJ7_Quote</v>
      </c>
      <c r="F43" s="150" t="str">
        <f>_xll.qlSimpleQuote(E43,,PriceTickValue,Permanent,Trigger,ObjectOverwrite)</f>
        <v>USDIMMFRA6MJ7_Quote#0024</v>
      </c>
      <c r="G43" s="113" t="str">
        <f>_xll.ohRangeRetrieveError(F43)</f>
        <v/>
      </c>
      <c r="H43" s="149"/>
    </row>
    <row r="44" spans="1:8" x14ac:dyDescent="0.2">
      <c r="A44" s="155"/>
      <c r="B44" s="154">
        <v>42</v>
      </c>
      <c r="C44" s="153" t="b">
        <v>0</v>
      </c>
      <c r="D44" s="152" t="str">
        <v>K7</v>
      </c>
      <c r="E44" s="151" t="str">
        <f>Currency&amp;$D$1&amp;$E$1&amp;$D44&amp;QuoteSuffix</f>
        <v>USDIMMFRA6MK7_Quote</v>
      </c>
      <c r="F44" s="150" t="str">
        <f>_xll.qlSimpleQuote(E44,,PriceTickValue,Permanent,Trigger,ObjectOverwrite)</f>
        <v>USDIMMFRA6MK7_Quote#0024</v>
      </c>
      <c r="G44" s="113" t="str">
        <f>_xll.ohRangeRetrieveError(F44)</f>
        <v/>
      </c>
      <c r="H44" s="149"/>
    </row>
    <row r="45" spans="1:8" x14ac:dyDescent="0.2">
      <c r="A45" s="155"/>
      <c r="B45" s="154">
        <v>43</v>
      </c>
      <c r="C45" s="153" t="b">
        <v>0</v>
      </c>
      <c r="D45" s="152" t="str">
        <v>M7</v>
      </c>
      <c r="E45" s="151" t="str">
        <f>Currency&amp;$D$1&amp;$E$1&amp;$D45&amp;QuoteSuffix</f>
        <v>USDIMMFRA6MM7_Quote</v>
      </c>
      <c r="F45" s="150" t="str">
        <f>_xll.qlSimpleQuote(E45,,PriceTickValue,Permanent,Trigger,ObjectOverwrite)</f>
        <v>USDIMMFRA6MM7_Quote#0024</v>
      </c>
      <c r="G45" s="113" t="str">
        <f>_xll.ohRangeRetrieveError(F45)</f>
        <v/>
      </c>
      <c r="H45" s="149"/>
    </row>
    <row r="46" spans="1:8" x14ac:dyDescent="0.2">
      <c r="A46" s="155"/>
      <c r="B46" s="154">
        <v>44</v>
      </c>
      <c r="C46" s="153" t="b">
        <v>0</v>
      </c>
      <c r="D46" s="152" t="str">
        <v>N7</v>
      </c>
      <c r="E46" s="151" t="str">
        <f>Currency&amp;$D$1&amp;$E$1&amp;$D46&amp;QuoteSuffix</f>
        <v>USDIMMFRA6MN7_Quote</v>
      </c>
      <c r="F46" s="150" t="str">
        <f>_xll.qlSimpleQuote(E46,,PriceTickValue,Permanent,Trigger,ObjectOverwrite)</f>
        <v>USDIMMFRA6MN7_Quote#0024</v>
      </c>
      <c r="G46" s="113" t="str">
        <f>_xll.ohRangeRetrieveError(F46)</f>
        <v/>
      </c>
      <c r="H46" s="149"/>
    </row>
    <row r="47" spans="1:8" x14ac:dyDescent="0.2">
      <c r="A47" s="155"/>
      <c r="B47" s="154">
        <v>45</v>
      </c>
      <c r="C47" s="153" t="b">
        <v>0</v>
      </c>
      <c r="D47" s="152" t="str">
        <v>Q7</v>
      </c>
      <c r="E47" s="151" t="str">
        <f>Currency&amp;$D$1&amp;$E$1&amp;$D47&amp;QuoteSuffix</f>
        <v>USDIMMFRA6MQ7_Quote</v>
      </c>
      <c r="F47" s="150" t="str">
        <f>_xll.qlSimpleQuote(E47,,PriceTickValue,Permanent,Trigger,ObjectOverwrite)</f>
        <v>USDIMMFRA6MQ7_Quote#0024</v>
      </c>
      <c r="G47" s="113" t="str">
        <f>_xll.ohRangeRetrieveError(F47)</f>
        <v/>
      </c>
      <c r="H47" s="149"/>
    </row>
    <row r="48" spans="1:8" x14ac:dyDescent="0.2">
      <c r="A48" s="155"/>
      <c r="B48" s="154">
        <v>46</v>
      </c>
      <c r="C48" s="153" t="b">
        <v>0</v>
      </c>
      <c r="D48" s="152" t="str">
        <v>U7</v>
      </c>
      <c r="E48" s="151" t="str">
        <f>Currency&amp;$D$1&amp;$E$1&amp;$D48&amp;QuoteSuffix</f>
        <v>USDIMMFRA6MU7_Quote</v>
      </c>
      <c r="F48" s="150" t="str">
        <f>_xll.qlSimpleQuote(E48,,PriceTickValue,Permanent,Trigger,ObjectOverwrite)</f>
        <v>USDIMMFRA6MU7_Quote#0024</v>
      </c>
      <c r="G48" s="113" t="str">
        <f>_xll.ohRangeRetrieveError(F48)</f>
        <v/>
      </c>
      <c r="H48" s="149"/>
    </row>
    <row r="49" spans="1:8" x14ac:dyDescent="0.2">
      <c r="A49" s="155"/>
      <c r="B49" s="154">
        <v>47</v>
      </c>
      <c r="C49" s="153" t="b">
        <v>0</v>
      </c>
      <c r="D49" s="152" t="str">
        <v>V7</v>
      </c>
      <c r="E49" s="151" t="str">
        <f>Currency&amp;$D$1&amp;$E$1&amp;$D49&amp;QuoteSuffix</f>
        <v>USDIMMFRA6MV7_Quote</v>
      </c>
      <c r="F49" s="150" t="str">
        <f>_xll.qlSimpleQuote(E49,,PriceTickValue,Permanent,Trigger,ObjectOverwrite)</f>
        <v>USDIMMFRA6MV7_Quote#0024</v>
      </c>
      <c r="G49" s="113" t="str">
        <f>_xll.ohRangeRetrieveError(F49)</f>
        <v/>
      </c>
      <c r="H49" s="149"/>
    </row>
    <row r="50" spans="1:8" x14ac:dyDescent="0.2">
      <c r="A50" s="155"/>
      <c r="B50" s="154">
        <v>48</v>
      </c>
      <c r="C50" s="153" t="b">
        <v>0</v>
      </c>
      <c r="D50" s="152" t="str">
        <v>X7</v>
      </c>
      <c r="E50" s="151" t="str">
        <f>Currency&amp;$D$1&amp;$E$1&amp;$D50&amp;QuoteSuffix</f>
        <v>USDIMMFRA6MX7_Quote</v>
      </c>
      <c r="F50" s="150" t="str">
        <f>_xll.qlSimpleQuote(E50,,PriceTickValue,Permanent,Trigger,ObjectOverwrite)</f>
        <v>USDIMMFRA6MX7_Quote#0024</v>
      </c>
      <c r="G50" s="113" t="str">
        <f>_xll.ohRangeRetrieveError(F50)</f>
        <v/>
      </c>
      <c r="H50" s="149"/>
    </row>
    <row r="51" spans="1:8" x14ac:dyDescent="0.2">
      <c r="A51" s="155"/>
      <c r="B51" s="154">
        <v>49</v>
      </c>
      <c r="C51" s="153" t="b">
        <v>0</v>
      </c>
      <c r="D51" s="152" t="str">
        <v>Z7</v>
      </c>
      <c r="E51" s="151" t="str">
        <f>Currency&amp;$D$1&amp;$E$1&amp;$D51&amp;QuoteSuffix</f>
        <v>USDIMMFRA6MZ7_Quote</v>
      </c>
      <c r="F51" s="150" t="str">
        <f>_xll.qlSimpleQuote(E51,,PriceTickValue,Permanent,Trigger,ObjectOverwrite)</f>
        <v>USDIMMFRA6MZ7_Quote#0024</v>
      </c>
      <c r="G51" s="113" t="str">
        <f>_xll.ohRangeRetrieveError(F51)</f>
        <v/>
      </c>
      <c r="H51" s="149"/>
    </row>
    <row r="52" spans="1:8" x14ac:dyDescent="0.2">
      <c r="A52" s="155"/>
      <c r="B52" s="154">
        <v>50</v>
      </c>
      <c r="C52" s="153" t="b">
        <v>0</v>
      </c>
      <c r="D52" s="152" t="str">
        <v>F8</v>
      </c>
      <c r="E52" s="151" t="str">
        <f>Currency&amp;$D$1&amp;$E$1&amp;$D52&amp;QuoteSuffix</f>
        <v>USDIMMFRA6MF8_Quote</v>
      </c>
      <c r="F52" s="150" t="str">
        <f>_xll.qlSimpleQuote(E52,,PriceTickValue,Permanent,Trigger,ObjectOverwrite)</f>
        <v>USDIMMFRA6MF8_Quote#0024</v>
      </c>
      <c r="G52" s="113" t="str">
        <f>_xll.ohRangeRetrieveError(F52)</f>
        <v/>
      </c>
      <c r="H52" s="149"/>
    </row>
    <row r="53" spans="1:8" x14ac:dyDescent="0.2">
      <c r="A53" s="155"/>
      <c r="B53" s="154">
        <v>51</v>
      </c>
      <c r="C53" s="153" t="b">
        <v>0</v>
      </c>
      <c r="D53" s="152" t="str">
        <v>G8</v>
      </c>
      <c r="E53" s="151" t="str">
        <f>Currency&amp;$D$1&amp;$E$1&amp;$D53&amp;QuoteSuffix</f>
        <v>USDIMMFRA6MG8_Quote</v>
      </c>
      <c r="F53" s="150" t="str">
        <f>_xll.qlSimpleQuote(E53,,PriceTickValue,Permanent,Trigger,ObjectOverwrite)</f>
        <v>USDIMMFRA6MG8_Quote#0024</v>
      </c>
      <c r="G53" s="113" t="str">
        <f>_xll.ohRangeRetrieveError(F53)</f>
        <v/>
      </c>
      <c r="H53" s="149"/>
    </row>
    <row r="54" spans="1:8" x14ac:dyDescent="0.2">
      <c r="A54" s="155"/>
      <c r="B54" s="154">
        <v>52</v>
      </c>
      <c r="C54" s="153" t="b">
        <v>0</v>
      </c>
      <c r="D54" s="152" t="str">
        <v>H8</v>
      </c>
      <c r="E54" s="151" t="str">
        <f>Currency&amp;$D$1&amp;$E$1&amp;$D54&amp;QuoteSuffix</f>
        <v>USDIMMFRA6MH8_Quote</v>
      </c>
      <c r="F54" s="150" t="str">
        <f>_xll.qlSimpleQuote(E54,,PriceTickValue,Permanent,Trigger,ObjectOverwrite)</f>
        <v>USDIMMFRA6MH8_Quote#0024</v>
      </c>
      <c r="G54" s="113" t="str">
        <f>_xll.ohRangeRetrieveError(F54)</f>
        <v/>
      </c>
      <c r="H54" s="149"/>
    </row>
    <row r="55" spans="1:8" x14ac:dyDescent="0.2">
      <c r="A55" s="155"/>
      <c r="B55" s="154">
        <v>53</v>
      </c>
      <c r="C55" s="153" t="b">
        <v>0</v>
      </c>
      <c r="D55" s="152" t="str">
        <v>J8</v>
      </c>
      <c r="E55" s="151" t="str">
        <f>Currency&amp;$D$1&amp;$E$1&amp;$D55&amp;QuoteSuffix</f>
        <v>USDIMMFRA6MJ8_Quote</v>
      </c>
      <c r="F55" s="150" t="str">
        <f>_xll.qlSimpleQuote(E55,,PriceTickValue,Permanent,Trigger,ObjectOverwrite)</f>
        <v>USDIMMFRA6MJ8_Quote#0024</v>
      </c>
      <c r="G55" s="113" t="str">
        <f>_xll.ohRangeRetrieveError(F55)</f>
        <v/>
      </c>
      <c r="H55" s="149"/>
    </row>
    <row r="56" spans="1:8" x14ac:dyDescent="0.2">
      <c r="A56" s="155"/>
      <c r="B56" s="154">
        <v>54</v>
      </c>
      <c r="C56" s="153" t="b">
        <v>0</v>
      </c>
      <c r="D56" s="152" t="str">
        <v>K8</v>
      </c>
      <c r="E56" s="151" t="str">
        <f>Currency&amp;$D$1&amp;$E$1&amp;$D56&amp;QuoteSuffix</f>
        <v>USDIMMFRA6MK8_Quote</v>
      </c>
      <c r="F56" s="150" t="str">
        <f>_xll.qlSimpleQuote(E56,,PriceTickValue,Permanent,Trigger,ObjectOverwrite)</f>
        <v>USDIMMFRA6MK8_Quote#0024</v>
      </c>
      <c r="G56" s="113" t="str">
        <f>_xll.ohRangeRetrieveError(F56)</f>
        <v/>
      </c>
      <c r="H56" s="149"/>
    </row>
    <row r="57" spans="1:8" x14ac:dyDescent="0.2">
      <c r="A57" s="155"/>
      <c r="B57" s="154">
        <v>55</v>
      </c>
      <c r="C57" s="153" t="b">
        <v>0</v>
      </c>
      <c r="D57" s="152" t="str">
        <v>M8</v>
      </c>
      <c r="E57" s="151" t="str">
        <f>Currency&amp;$D$1&amp;$E$1&amp;$D57&amp;QuoteSuffix</f>
        <v>USDIMMFRA6MM8_Quote</v>
      </c>
      <c r="F57" s="150" t="str">
        <f>_xll.qlSimpleQuote(E57,,PriceTickValue,Permanent,Trigger,ObjectOverwrite)</f>
        <v>USDIMMFRA6MM8_Quote#0024</v>
      </c>
      <c r="G57" s="113" t="str">
        <f>_xll.ohRangeRetrieveError(F57)</f>
        <v/>
      </c>
      <c r="H57" s="149"/>
    </row>
    <row r="58" spans="1:8" x14ac:dyDescent="0.2">
      <c r="A58" s="155"/>
      <c r="B58" s="154">
        <v>56</v>
      </c>
      <c r="C58" s="153" t="b">
        <v>0</v>
      </c>
      <c r="D58" s="152" t="str">
        <v>N8</v>
      </c>
      <c r="E58" s="151" t="str">
        <f>Currency&amp;$D$1&amp;$E$1&amp;$D58&amp;QuoteSuffix</f>
        <v>USDIMMFRA6MN8_Quote</v>
      </c>
      <c r="F58" s="150" t="str">
        <f>_xll.qlSimpleQuote(E58,,PriceTickValue,Permanent,Trigger,ObjectOverwrite)</f>
        <v>USDIMMFRA6MN8_Quote#0024</v>
      </c>
      <c r="G58" s="113" t="str">
        <f>_xll.ohRangeRetrieveError(F58)</f>
        <v/>
      </c>
      <c r="H58" s="149"/>
    </row>
    <row r="59" spans="1:8" x14ac:dyDescent="0.2">
      <c r="A59" s="155"/>
      <c r="B59" s="154">
        <v>57</v>
      </c>
      <c r="C59" s="153" t="b">
        <v>0</v>
      </c>
      <c r="D59" s="152" t="str">
        <v>Q8</v>
      </c>
      <c r="E59" s="151" t="str">
        <f>Currency&amp;$D$1&amp;$E$1&amp;$D59&amp;QuoteSuffix</f>
        <v>USDIMMFRA6MQ8_Quote</v>
      </c>
      <c r="F59" s="150" t="str">
        <f>_xll.qlSimpleQuote(E59,,PriceTickValue,Permanent,Trigger,ObjectOverwrite)</f>
        <v>USDIMMFRA6MQ8_Quote#0024</v>
      </c>
      <c r="G59" s="113" t="str">
        <f>_xll.ohRangeRetrieveError(F59)</f>
        <v/>
      </c>
      <c r="H59" s="149"/>
    </row>
    <row r="60" spans="1:8" x14ac:dyDescent="0.2">
      <c r="A60" s="155"/>
      <c r="B60" s="154">
        <v>58</v>
      </c>
      <c r="C60" s="153" t="b">
        <v>0</v>
      </c>
      <c r="D60" s="152" t="str">
        <v>U8</v>
      </c>
      <c r="E60" s="151" t="str">
        <f>Currency&amp;$D$1&amp;$E$1&amp;$D60&amp;QuoteSuffix</f>
        <v>USDIMMFRA6MU8_Quote</v>
      </c>
      <c r="F60" s="150" t="str">
        <f>_xll.qlSimpleQuote(E60,,PriceTickValue,Permanent,Trigger,ObjectOverwrite)</f>
        <v>USDIMMFRA6MU8_Quote#0024</v>
      </c>
      <c r="G60" s="113" t="str">
        <f>_xll.ohRangeRetrieveError(F60)</f>
        <v/>
      </c>
      <c r="H60" s="149"/>
    </row>
    <row r="61" spans="1:8" x14ac:dyDescent="0.2">
      <c r="A61" s="155"/>
      <c r="B61" s="154">
        <v>59</v>
      </c>
      <c r="C61" s="153" t="b">
        <v>0</v>
      </c>
      <c r="D61" s="152" t="str">
        <v>V8</v>
      </c>
      <c r="E61" s="151" t="str">
        <f>Currency&amp;$D$1&amp;$E$1&amp;$D61&amp;QuoteSuffix</f>
        <v>USDIMMFRA6MV8_Quote</v>
      </c>
      <c r="F61" s="150" t="str">
        <f>_xll.qlSimpleQuote(E61,,PriceTickValue,Permanent,Trigger,ObjectOverwrite)</f>
        <v>USDIMMFRA6MV8_Quote#0024</v>
      </c>
      <c r="G61" s="113" t="str">
        <f>_xll.ohRangeRetrieveError(F61)</f>
        <v/>
      </c>
      <c r="H61" s="149"/>
    </row>
    <row r="62" spans="1:8" x14ac:dyDescent="0.2">
      <c r="A62" s="155"/>
      <c r="B62" s="154">
        <v>60</v>
      </c>
      <c r="C62" s="153" t="b">
        <v>0</v>
      </c>
      <c r="D62" s="152" t="str">
        <v>X8</v>
      </c>
      <c r="E62" s="151" t="str">
        <f>Currency&amp;$D$1&amp;$E$1&amp;$D62&amp;QuoteSuffix</f>
        <v>USDIMMFRA6MX8_Quote</v>
      </c>
      <c r="F62" s="150" t="str">
        <f>_xll.qlSimpleQuote(E62,,PriceTickValue,Permanent,Trigger,ObjectOverwrite)</f>
        <v>USDIMMFRA6MX8_Quote#0024</v>
      </c>
      <c r="G62" s="113" t="str">
        <f>_xll.ohRangeRetrieveError(F62)</f>
        <v/>
      </c>
      <c r="H62" s="149"/>
    </row>
    <row r="63" spans="1:8" x14ac:dyDescent="0.2">
      <c r="A63" s="155"/>
      <c r="B63" s="154">
        <v>61</v>
      </c>
      <c r="C63" s="153" t="b">
        <v>0</v>
      </c>
      <c r="D63" s="152" t="str">
        <v>Z8</v>
      </c>
      <c r="E63" s="151" t="str">
        <f>Currency&amp;$D$1&amp;$E$1&amp;$D63&amp;QuoteSuffix</f>
        <v>USDIMMFRA6MZ8_Quote</v>
      </c>
      <c r="F63" s="150" t="str">
        <f>_xll.qlSimpleQuote(E63,,PriceTickValue,Permanent,Trigger,ObjectOverwrite)</f>
        <v>USDIMMFRA6MZ8_Quote#0024</v>
      </c>
      <c r="G63" s="113" t="str">
        <f>_xll.ohRangeRetrieveError(F63)</f>
        <v/>
      </c>
      <c r="H63" s="149"/>
    </row>
    <row r="64" spans="1:8" x14ac:dyDescent="0.2">
      <c r="A64" s="155"/>
      <c r="B64" s="154">
        <v>62</v>
      </c>
      <c r="C64" s="153" t="b">
        <v>0</v>
      </c>
      <c r="D64" s="152" t="str">
        <v>F9</v>
      </c>
      <c r="E64" s="151" t="str">
        <f>Currency&amp;$D$1&amp;$E$1&amp;$D64&amp;QuoteSuffix</f>
        <v>USDIMMFRA6MF9_Quote</v>
      </c>
      <c r="F64" s="150" t="str">
        <f>_xll.qlSimpleQuote(E64,,PriceTickValue,Permanent,Trigger,ObjectOverwrite)</f>
        <v>USDIMMFRA6MF9_Quote#0024</v>
      </c>
      <c r="G64" s="113" t="str">
        <f>_xll.ohRangeRetrieveError(F64)</f>
        <v/>
      </c>
      <c r="H64" s="149"/>
    </row>
    <row r="65" spans="1:8" x14ac:dyDescent="0.2">
      <c r="A65" s="155"/>
      <c r="B65" s="154">
        <v>63</v>
      </c>
      <c r="C65" s="153" t="b">
        <v>0</v>
      </c>
      <c r="D65" s="152" t="str">
        <v>G9</v>
      </c>
      <c r="E65" s="151" t="str">
        <f>Currency&amp;$D$1&amp;$E$1&amp;$D65&amp;QuoteSuffix</f>
        <v>USDIMMFRA6MG9_Quote</v>
      </c>
      <c r="F65" s="150" t="str">
        <f>_xll.qlSimpleQuote(E65,,PriceTickValue,Permanent,Trigger,ObjectOverwrite)</f>
        <v>USDIMMFRA6MG9_Quote#0024</v>
      </c>
      <c r="G65" s="113" t="str">
        <f>_xll.ohRangeRetrieveError(F65)</f>
        <v/>
      </c>
      <c r="H65" s="149"/>
    </row>
    <row r="66" spans="1:8" x14ac:dyDescent="0.2">
      <c r="A66" s="155"/>
      <c r="B66" s="154">
        <v>64</v>
      </c>
      <c r="C66" s="153" t="b">
        <v>0</v>
      </c>
      <c r="D66" s="152" t="str">
        <v>H9</v>
      </c>
      <c r="E66" s="151" t="str">
        <f>Currency&amp;$D$1&amp;$E$1&amp;$D66&amp;QuoteSuffix</f>
        <v>USDIMMFRA6MH9_Quote</v>
      </c>
      <c r="F66" s="150" t="str">
        <f>_xll.qlSimpleQuote(E66,,PriceTickValue,Permanent,Trigger,ObjectOverwrite)</f>
        <v>USDIMMFRA6MH9_Quote#0024</v>
      </c>
      <c r="G66" s="113" t="str">
        <f>_xll.ohRangeRetrieveError(F66)</f>
        <v/>
      </c>
      <c r="H66" s="149"/>
    </row>
    <row r="67" spans="1:8" x14ac:dyDescent="0.2">
      <c r="A67" s="155"/>
      <c r="B67" s="154">
        <v>65</v>
      </c>
      <c r="C67" s="153" t="b">
        <v>0</v>
      </c>
      <c r="D67" s="152" t="str">
        <v>J9</v>
      </c>
      <c r="E67" s="151" t="str">
        <f>Currency&amp;$D$1&amp;$E$1&amp;$D67&amp;QuoteSuffix</f>
        <v>USDIMMFRA6MJ9_Quote</v>
      </c>
      <c r="F67" s="150" t="str">
        <f>_xll.qlSimpleQuote(E67,,PriceTickValue,Permanent,Trigger,ObjectOverwrite)</f>
        <v>USDIMMFRA6MJ9_Quote#0024</v>
      </c>
      <c r="G67" s="113" t="str">
        <f>_xll.ohRangeRetrieveError(F67)</f>
        <v/>
      </c>
      <c r="H67" s="149"/>
    </row>
    <row r="68" spans="1:8" x14ac:dyDescent="0.2">
      <c r="A68" s="155"/>
      <c r="B68" s="154">
        <v>66</v>
      </c>
      <c r="C68" s="153" t="b">
        <v>0</v>
      </c>
      <c r="D68" s="152" t="str">
        <v>K9</v>
      </c>
      <c r="E68" s="151" t="str">
        <f>Currency&amp;$D$1&amp;$E$1&amp;$D68&amp;QuoteSuffix</f>
        <v>USDIMMFRA6MK9_Quote</v>
      </c>
      <c r="F68" s="150" t="str">
        <f>_xll.qlSimpleQuote(E68,,PriceTickValue,Permanent,Trigger,ObjectOverwrite)</f>
        <v>USDIMMFRA6MK9_Quote#0024</v>
      </c>
      <c r="G68" s="113" t="str">
        <f>_xll.ohRangeRetrieveError(F68)</f>
        <v/>
      </c>
      <c r="H68" s="149"/>
    </row>
    <row r="69" spans="1:8" x14ac:dyDescent="0.2">
      <c r="A69" s="155"/>
      <c r="B69" s="154">
        <v>67</v>
      </c>
      <c r="C69" s="153" t="b">
        <v>0</v>
      </c>
      <c r="D69" s="152" t="str">
        <v>M9</v>
      </c>
      <c r="E69" s="151" t="str">
        <f>Currency&amp;$D$1&amp;$E$1&amp;$D69&amp;QuoteSuffix</f>
        <v>USDIMMFRA6MM9_Quote</v>
      </c>
      <c r="F69" s="150" t="str">
        <f>_xll.qlSimpleQuote(E69,,PriceTickValue,Permanent,Trigger,ObjectOverwrite)</f>
        <v>USDIMMFRA6MM9_Quote#0024</v>
      </c>
      <c r="G69" s="113" t="str">
        <f>_xll.ohRangeRetrieveError(F69)</f>
        <v/>
      </c>
      <c r="H69" s="149"/>
    </row>
    <row r="70" spans="1:8" x14ac:dyDescent="0.2">
      <c r="A70" s="155"/>
      <c r="B70" s="154">
        <v>68</v>
      </c>
      <c r="C70" s="153" t="b">
        <v>0</v>
      </c>
      <c r="D70" s="152" t="str">
        <v>N9</v>
      </c>
      <c r="E70" s="151" t="str">
        <f>Currency&amp;$D$1&amp;$E$1&amp;$D70&amp;QuoteSuffix</f>
        <v>USDIMMFRA6MN9_Quote</v>
      </c>
      <c r="F70" s="150" t="str">
        <f>_xll.qlSimpleQuote(E70,,PriceTickValue,Permanent,Trigger,ObjectOverwrite)</f>
        <v>USDIMMFRA6MN9_Quote#0024</v>
      </c>
      <c r="G70" s="113" t="str">
        <f>_xll.ohRangeRetrieveError(F70)</f>
        <v/>
      </c>
      <c r="H70" s="149"/>
    </row>
    <row r="71" spans="1:8" x14ac:dyDescent="0.2">
      <c r="A71" s="155"/>
      <c r="B71" s="154">
        <v>69</v>
      </c>
      <c r="C71" s="153" t="b">
        <v>0</v>
      </c>
      <c r="D71" s="152" t="str">
        <v>Q9</v>
      </c>
      <c r="E71" s="151" t="str">
        <f>Currency&amp;$D$1&amp;$E$1&amp;$D71&amp;QuoteSuffix</f>
        <v>USDIMMFRA6MQ9_Quote</v>
      </c>
      <c r="F71" s="150" t="str">
        <f>_xll.qlSimpleQuote(E71,,PriceTickValue,Permanent,Trigger,ObjectOverwrite)</f>
        <v>USDIMMFRA6MQ9_Quote#0024</v>
      </c>
      <c r="G71" s="113" t="str">
        <f>_xll.ohRangeRetrieveError(F71)</f>
        <v/>
      </c>
      <c r="H71" s="149"/>
    </row>
    <row r="72" spans="1:8" x14ac:dyDescent="0.2">
      <c r="A72" s="155"/>
      <c r="B72" s="154">
        <v>70</v>
      </c>
      <c r="C72" s="153" t="b">
        <v>0</v>
      </c>
      <c r="D72" s="152" t="str">
        <v>U9</v>
      </c>
      <c r="E72" s="151" t="str">
        <f>Currency&amp;$D$1&amp;$E$1&amp;$D72&amp;QuoteSuffix</f>
        <v>USDIMMFRA6MU9_Quote</v>
      </c>
      <c r="F72" s="150" t="str">
        <f>_xll.qlSimpleQuote(E72,,PriceTickValue,Permanent,Trigger,ObjectOverwrite)</f>
        <v>USDIMMFRA6MU9_Quote#0024</v>
      </c>
      <c r="G72" s="113" t="str">
        <f>_xll.ohRangeRetrieveError(F72)</f>
        <v/>
      </c>
      <c r="H72" s="149"/>
    </row>
    <row r="73" spans="1:8" x14ac:dyDescent="0.2">
      <c r="A73" s="155"/>
      <c r="B73" s="154">
        <v>71</v>
      </c>
      <c r="C73" s="153" t="b">
        <v>0</v>
      </c>
      <c r="D73" s="152" t="str">
        <v>V9</v>
      </c>
      <c r="E73" s="151" t="str">
        <f>Currency&amp;$D$1&amp;$E$1&amp;$D73&amp;QuoteSuffix</f>
        <v>USDIMMFRA6MV9_Quote</v>
      </c>
      <c r="F73" s="150" t="str">
        <f>_xll.qlSimpleQuote(E73,,PriceTickValue,Permanent,Trigger,ObjectOverwrite)</f>
        <v>USDIMMFRA6MV9_Quote#0024</v>
      </c>
      <c r="G73" s="113" t="str">
        <f>_xll.ohRangeRetrieveError(F73)</f>
        <v/>
      </c>
      <c r="H73" s="149"/>
    </row>
    <row r="74" spans="1:8" x14ac:dyDescent="0.2">
      <c r="A74" s="155"/>
      <c r="B74" s="154">
        <v>72</v>
      </c>
      <c r="C74" s="153" t="b">
        <v>0</v>
      </c>
      <c r="D74" s="152" t="str">
        <v>X9</v>
      </c>
      <c r="E74" s="151" t="str">
        <f>Currency&amp;$D$1&amp;$E$1&amp;$D74&amp;QuoteSuffix</f>
        <v>USDIMMFRA6MX9_Quote</v>
      </c>
      <c r="F74" s="150" t="str">
        <f>_xll.qlSimpleQuote(E74,,PriceTickValue,Permanent,Trigger,ObjectOverwrite)</f>
        <v>USDIMMFRA6MX9_Quote#0024</v>
      </c>
      <c r="G74" s="113" t="str">
        <f>_xll.ohRangeRetrieveError(F74)</f>
        <v/>
      </c>
      <c r="H74" s="149"/>
    </row>
    <row r="75" spans="1:8" x14ac:dyDescent="0.2">
      <c r="A75" s="155"/>
      <c r="B75" s="154">
        <v>73</v>
      </c>
      <c r="C75" s="153" t="b">
        <v>0</v>
      </c>
      <c r="D75" s="152" t="str">
        <v>Z9</v>
      </c>
      <c r="E75" s="151" t="str">
        <f>Currency&amp;$D$1&amp;$E$1&amp;$D75&amp;QuoteSuffix</f>
        <v>USDIMMFRA6MZ9_Quote</v>
      </c>
      <c r="F75" s="150" t="str">
        <f>_xll.qlSimpleQuote(E75,,PriceTickValue,Permanent,Trigger,ObjectOverwrite)</f>
        <v>USDIMMFRA6MZ9_Quote#0024</v>
      </c>
      <c r="G75" s="113" t="str">
        <f>_xll.ohRangeRetrieveError(F75)</f>
        <v/>
      </c>
      <c r="H75" s="149"/>
    </row>
    <row r="76" spans="1:8" x14ac:dyDescent="0.2">
      <c r="A76" s="155"/>
      <c r="B76" s="154">
        <v>74</v>
      </c>
      <c r="C76" s="153" t="b">
        <v>0</v>
      </c>
      <c r="D76" s="152" t="str">
        <v>F0</v>
      </c>
      <c r="E76" s="151" t="str">
        <f>Currency&amp;$D$1&amp;$E$1&amp;$D76&amp;QuoteSuffix</f>
        <v>USDIMMFRA6MF0_Quote</v>
      </c>
      <c r="F76" s="150" t="str">
        <f>_xll.qlSimpleQuote(E76,,PriceTickValue,Permanent,Trigger,ObjectOverwrite)</f>
        <v>USDIMMFRA6MF0_Quote#0024</v>
      </c>
      <c r="G76" s="113" t="str">
        <f>_xll.ohRangeRetrieveError(F76)</f>
        <v/>
      </c>
      <c r="H76" s="149"/>
    </row>
    <row r="77" spans="1:8" x14ac:dyDescent="0.2">
      <c r="A77" s="155"/>
      <c r="B77" s="154">
        <v>75</v>
      </c>
      <c r="C77" s="153" t="b">
        <v>0</v>
      </c>
      <c r="D77" s="152" t="str">
        <v>G0</v>
      </c>
      <c r="E77" s="151" t="str">
        <f>Currency&amp;$D$1&amp;$E$1&amp;$D77&amp;QuoteSuffix</f>
        <v>USDIMMFRA6MG0_Quote</v>
      </c>
      <c r="F77" s="150" t="str">
        <f>_xll.qlSimpleQuote(E77,,PriceTickValue,Permanent,Trigger,ObjectOverwrite)</f>
        <v>USDIMMFRA6MG0_Quote#0024</v>
      </c>
      <c r="G77" s="113" t="str">
        <f>_xll.ohRangeRetrieveError(F77)</f>
        <v/>
      </c>
      <c r="H77" s="149"/>
    </row>
    <row r="78" spans="1:8" x14ac:dyDescent="0.2">
      <c r="A78" s="155"/>
      <c r="B78" s="154">
        <v>76</v>
      </c>
      <c r="C78" s="153" t="b">
        <v>0</v>
      </c>
      <c r="D78" s="152" t="str">
        <v>H0</v>
      </c>
      <c r="E78" s="151" t="str">
        <f>Currency&amp;$D$1&amp;$E$1&amp;$D78&amp;QuoteSuffix</f>
        <v>USDIMMFRA6MH0_Quote</v>
      </c>
      <c r="F78" s="150" t="str">
        <f>_xll.qlSimpleQuote(E78,,PriceTickValue,Permanent,Trigger,ObjectOverwrite)</f>
        <v>USDIMMFRA6MH0_Quote#0024</v>
      </c>
      <c r="G78" s="113" t="str">
        <f>_xll.ohRangeRetrieveError(F78)</f>
        <v/>
      </c>
      <c r="H78" s="149"/>
    </row>
    <row r="79" spans="1:8" x14ac:dyDescent="0.2">
      <c r="A79" s="155"/>
      <c r="B79" s="154">
        <v>77</v>
      </c>
      <c r="C79" s="153" t="b">
        <v>0</v>
      </c>
      <c r="D79" s="152" t="str">
        <v>J0</v>
      </c>
      <c r="E79" s="151" t="str">
        <f>Currency&amp;$D$1&amp;$E$1&amp;$D79&amp;QuoteSuffix</f>
        <v>USDIMMFRA6MJ0_Quote</v>
      </c>
      <c r="F79" s="150" t="str">
        <f>_xll.qlSimpleQuote(E79,,PriceTickValue,Permanent,Trigger,ObjectOverwrite)</f>
        <v>USDIMMFRA6MJ0_Quote#0024</v>
      </c>
      <c r="G79" s="113" t="str">
        <f>_xll.ohRangeRetrieveError(F79)</f>
        <v/>
      </c>
      <c r="H79" s="149"/>
    </row>
    <row r="80" spans="1:8" x14ac:dyDescent="0.2">
      <c r="A80" s="155"/>
      <c r="B80" s="154">
        <v>78</v>
      </c>
      <c r="C80" s="153" t="b">
        <v>0</v>
      </c>
      <c r="D80" s="152" t="str">
        <v>K0</v>
      </c>
      <c r="E80" s="151" t="str">
        <f>Currency&amp;$D$1&amp;$E$1&amp;$D80&amp;QuoteSuffix</f>
        <v>USDIMMFRA6MK0_Quote</v>
      </c>
      <c r="F80" s="150" t="str">
        <f>_xll.qlSimpleQuote(E80,,PriceTickValue,Permanent,Trigger,ObjectOverwrite)</f>
        <v>USDIMMFRA6MK0_Quote#0024</v>
      </c>
      <c r="G80" s="113" t="str">
        <f>_xll.ohRangeRetrieveError(F80)</f>
        <v/>
      </c>
      <c r="H80" s="149"/>
    </row>
    <row r="81" spans="1:8" x14ac:dyDescent="0.2">
      <c r="A81" s="155"/>
      <c r="B81" s="154">
        <v>79</v>
      </c>
      <c r="C81" s="153" t="b">
        <v>0</v>
      </c>
      <c r="D81" s="152" t="str">
        <v>M0</v>
      </c>
      <c r="E81" s="151" t="str">
        <f>Currency&amp;$D$1&amp;$E$1&amp;$D81&amp;QuoteSuffix</f>
        <v>USDIMMFRA6MM0_Quote</v>
      </c>
      <c r="F81" s="150" t="str">
        <f>_xll.qlSimpleQuote(E81,,PriceTickValue,Permanent,Trigger,ObjectOverwrite)</f>
        <v>USDIMMFRA6MM0_Quote#0024</v>
      </c>
      <c r="G81" s="113" t="str">
        <f>_xll.ohRangeRetrieveError(F81)</f>
        <v/>
      </c>
      <c r="H81" s="149"/>
    </row>
    <row r="82" spans="1:8" x14ac:dyDescent="0.2">
      <c r="A82" s="155"/>
      <c r="B82" s="154">
        <v>80</v>
      </c>
      <c r="C82" s="153" t="b">
        <v>0</v>
      </c>
      <c r="D82" s="152" t="str">
        <v>N0</v>
      </c>
      <c r="E82" s="151" t="str">
        <f>Currency&amp;$D$1&amp;$E$1&amp;$D82&amp;QuoteSuffix</f>
        <v>USDIMMFRA6MN0_Quote</v>
      </c>
      <c r="F82" s="150" t="str">
        <f>_xll.qlSimpleQuote(E82,,PriceTickValue,Permanent,Trigger,ObjectOverwrite)</f>
        <v>USDIMMFRA6MN0_Quote#0024</v>
      </c>
      <c r="G82" s="113" t="str">
        <f>_xll.ohRangeRetrieveError(F82)</f>
        <v/>
      </c>
      <c r="H82" s="149"/>
    </row>
    <row r="83" spans="1:8" x14ac:dyDescent="0.2">
      <c r="A83" s="155"/>
      <c r="B83" s="154">
        <v>81</v>
      </c>
      <c r="C83" s="153" t="b">
        <v>0</v>
      </c>
      <c r="D83" s="152" t="str">
        <v>Q0</v>
      </c>
      <c r="E83" s="151" t="str">
        <f>Currency&amp;$D$1&amp;$E$1&amp;$D83&amp;QuoteSuffix</f>
        <v>USDIMMFRA6MQ0_Quote</v>
      </c>
      <c r="F83" s="150" t="str">
        <f>_xll.qlSimpleQuote(E83,,PriceTickValue,Permanent,Trigger,ObjectOverwrite)</f>
        <v>USDIMMFRA6MQ0_Quote#0024</v>
      </c>
      <c r="G83" s="113" t="str">
        <f>_xll.ohRangeRetrieveError(F83)</f>
        <v/>
      </c>
      <c r="H83" s="149"/>
    </row>
    <row r="84" spans="1:8" x14ac:dyDescent="0.2">
      <c r="A84" s="155"/>
      <c r="B84" s="154">
        <v>82</v>
      </c>
      <c r="C84" s="153" t="b">
        <v>0</v>
      </c>
      <c r="D84" s="152" t="str">
        <v>U0</v>
      </c>
      <c r="E84" s="151" t="str">
        <f>Currency&amp;$D$1&amp;$E$1&amp;$D84&amp;QuoteSuffix</f>
        <v>USDIMMFRA6MU0_Quote</v>
      </c>
      <c r="F84" s="150" t="str">
        <f>_xll.qlSimpleQuote(E84,,PriceTickValue,Permanent,Trigger,ObjectOverwrite)</f>
        <v>USDIMMFRA6MU0_Quote#0024</v>
      </c>
      <c r="G84" s="113" t="str">
        <f>_xll.ohRangeRetrieveError(F84)</f>
        <v/>
      </c>
      <c r="H84" s="149"/>
    </row>
    <row r="85" spans="1:8" x14ac:dyDescent="0.2">
      <c r="A85" s="155"/>
      <c r="B85" s="154">
        <v>83</v>
      </c>
      <c r="C85" s="153" t="b">
        <v>0</v>
      </c>
      <c r="D85" s="152" t="str">
        <v>V0</v>
      </c>
      <c r="E85" s="151" t="str">
        <f>Currency&amp;$D$1&amp;$E$1&amp;$D85&amp;QuoteSuffix</f>
        <v>USDIMMFRA6MV0_Quote</v>
      </c>
      <c r="F85" s="150" t="str">
        <f>_xll.qlSimpleQuote(E85,,PriceTickValue,Permanent,Trigger,ObjectOverwrite)</f>
        <v>USDIMMFRA6MV0_Quote#0024</v>
      </c>
      <c r="G85" s="113" t="str">
        <f>_xll.ohRangeRetrieveError(F85)</f>
        <v/>
      </c>
      <c r="H85" s="149"/>
    </row>
    <row r="86" spans="1:8" x14ac:dyDescent="0.2">
      <c r="A86" s="155"/>
      <c r="B86" s="154">
        <v>84</v>
      </c>
      <c r="C86" s="153" t="b">
        <v>0</v>
      </c>
      <c r="D86" s="152" t="str">
        <v>X0</v>
      </c>
      <c r="E86" s="151" t="str">
        <f>Currency&amp;$D$1&amp;$E$1&amp;$D86&amp;QuoteSuffix</f>
        <v>USDIMMFRA6MX0_Quote</v>
      </c>
      <c r="F86" s="150" t="str">
        <f>_xll.qlSimpleQuote(E86,,PriceTickValue,Permanent,Trigger,ObjectOverwrite)</f>
        <v>USDIMMFRA6MX0_Quote#0024</v>
      </c>
      <c r="G86" s="113" t="str">
        <f>_xll.ohRangeRetrieveError(F86)</f>
        <v/>
      </c>
      <c r="H86" s="149"/>
    </row>
    <row r="87" spans="1:8" x14ac:dyDescent="0.2">
      <c r="A87" s="155"/>
      <c r="B87" s="154">
        <v>85</v>
      </c>
      <c r="C87" s="153" t="b">
        <v>0</v>
      </c>
      <c r="D87" s="152" t="str">
        <v>Z0</v>
      </c>
      <c r="E87" s="151" t="str">
        <f>Currency&amp;$D$1&amp;$E$1&amp;$D87&amp;QuoteSuffix</f>
        <v>USDIMMFRA6MZ0_Quote</v>
      </c>
      <c r="F87" s="150" t="str">
        <f>_xll.qlSimpleQuote(E87,,PriceTickValue,Permanent,Trigger,ObjectOverwrite)</f>
        <v>USDIMMFRA6MZ0_Quote#0024</v>
      </c>
      <c r="G87" s="113" t="str">
        <f>_xll.ohRangeRetrieveError(F87)</f>
        <v/>
      </c>
      <c r="H87" s="149"/>
    </row>
    <row r="88" spans="1:8" x14ac:dyDescent="0.2">
      <c r="A88" s="155"/>
      <c r="B88" s="154">
        <v>86</v>
      </c>
      <c r="C88" s="153" t="b">
        <v>0</v>
      </c>
      <c r="D88" s="152" t="str">
        <v>F1</v>
      </c>
      <c r="E88" s="151" t="str">
        <f>Currency&amp;$D$1&amp;$E$1&amp;$D88&amp;QuoteSuffix</f>
        <v>USDIMMFRA6MF1_Quote</v>
      </c>
      <c r="F88" s="150" t="str">
        <f>_xll.qlSimpleQuote(E88,,PriceTickValue,Permanent,Trigger,ObjectOverwrite)</f>
        <v>USDIMMFRA6MF1_Quote#0024</v>
      </c>
      <c r="G88" s="113" t="str">
        <f>_xll.ohRangeRetrieveError(F88)</f>
        <v/>
      </c>
      <c r="H88" s="149"/>
    </row>
    <row r="89" spans="1:8" x14ac:dyDescent="0.2">
      <c r="A89" s="155"/>
      <c r="B89" s="154">
        <v>87</v>
      </c>
      <c r="C89" s="153" t="b">
        <v>0</v>
      </c>
      <c r="D89" s="152" t="str">
        <v>G1</v>
      </c>
      <c r="E89" s="151" t="str">
        <f>Currency&amp;$D$1&amp;$E$1&amp;$D89&amp;QuoteSuffix</f>
        <v>USDIMMFRA6MG1_Quote</v>
      </c>
      <c r="F89" s="150" t="str">
        <f>_xll.qlSimpleQuote(E89,,PriceTickValue,Permanent,Trigger,ObjectOverwrite)</f>
        <v>USDIMMFRA6MG1_Quote#0024</v>
      </c>
      <c r="G89" s="113" t="str">
        <f>_xll.ohRangeRetrieveError(F89)</f>
        <v/>
      </c>
      <c r="H89" s="149"/>
    </row>
    <row r="90" spans="1:8" x14ac:dyDescent="0.2">
      <c r="A90" s="155"/>
      <c r="B90" s="154">
        <v>88</v>
      </c>
      <c r="C90" s="153" t="b">
        <v>0</v>
      </c>
      <c r="D90" s="152" t="str">
        <v>H1</v>
      </c>
      <c r="E90" s="151" t="str">
        <f>Currency&amp;$D$1&amp;$E$1&amp;$D90&amp;QuoteSuffix</f>
        <v>USDIMMFRA6MH1_Quote</v>
      </c>
      <c r="F90" s="150" t="str">
        <f>_xll.qlSimpleQuote(E90,,PriceTickValue,Permanent,Trigger,ObjectOverwrite)</f>
        <v>USDIMMFRA6MH1_Quote#0024</v>
      </c>
      <c r="G90" s="113" t="str">
        <f>_xll.ohRangeRetrieveError(F90)</f>
        <v/>
      </c>
      <c r="H90" s="149"/>
    </row>
    <row r="91" spans="1:8" x14ac:dyDescent="0.2">
      <c r="A91" s="155"/>
      <c r="B91" s="154">
        <v>89</v>
      </c>
      <c r="C91" s="153" t="b">
        <v>0</v>
      </c>
      <c r="D91" s="152" t="str">
        <v>J1</v>
      </c>
      <c r="E91" s="151" t="str">
        <f>Currency&amp;$D$1&amp;$E$1&amp;$D91&amp;QuoteSuffix</f>
        <v>USDIMMFRA6MJ1_Quote</v>
      </c>
      <c r="F91" s="150" t="str">
        <f>_xll.qlSimpleQuote(E91,,PriceTickValue,Permanent,Trigger,ObjectOverwrite)</f>
        <v>USDIMMFRA6MJ1_Quote#0024</v>
      </c>
      <c r="G91" s="113" t="str">
        <f>_xll.ohRangeRetrieveError(F91)</f>
        <v/>
      </c>
      <c r="H91" s="149"/>
    </row>
    <row r="92" spans="1:8" x14ac:dyDescent="0.2">
      <c r="A92" s="155"/>
      <c r="B92" s="154">
        <v>90</v>
      </c>
      <c r="C92" s="153" t="b">
        <v>0</v>
      </c>
      <c r="D92" s="152" t="str">
        <v>K1</v>
      </c>
      <c r="E92" s="151" t="str">
        <f>Currency&amp;$D$1&amp;$E$1&amp;$D92&amp;QuoteSuffix</f>
        <v>USDIMMFRA6MK1_Quote</v>
      </c>
      <c r="F92" s="150" t="str">
        <f>_xll.qlSimpleQuote(E92,,PriceTickValue,Permanent,Trigger,ObjectOverwrite)</f>
        <v>USDIMMFRA6MK1_Quote#0024</v>
      </c>
      <c r="G92" s="113" t="str">
        <f>_xll.ohRangeRetrieveError(F92)</f>
        <v/>
      </c>
      <c r="H92" s="149"/>
    </row>
    <row r="93" spans="1:8" x14ac:dyDescent="0.2">
      <c r="A93" s="155"/>
      <c r="B93" s="154">
        <v>91</v>
      </c>
      <c r="C93" s="153" t="b">
        <v>0</v>
      </c>
      <c r="D93" s="152" t="str">
        <v>M1</v>
      </c>
      <c r="E93" s="151" t="str">
        <f>Currency&amp;$D$1&amp;$E$1&amp;$D93&amp;QuoteSuffix</f>
        <v>USDIMMFRA6MM1_Quote</v>
      </c>
      <c r="F93" s="150" t="str">
        <f>_xll.qlSimpleQuote(E93,,PriceTickValue,Permanent,Trigger,ObjectOverwrite)</f>
        <v>USDIMMFRA6MM1_Quote#0024</v>
      </c>
      <c r="G93" s="113" t="str">
        <f>_xll.ohRangeRetrieveError(F93)</f>
        <v/>
      </c>
      <c r="H93" s="149"/>
    </row>
    <row r="94" spans="1:8" x14ac:dyDescent="0.2">
      <c r="A94" s="155"/>
      <c r="B94" s="154">
        <v>92</v>
      </c>
      <c r="C94" s="153" t="b">
        <v>0</v>
      </c>
      <c r="D94" s="152" t="str">
        <v>N1</v>
      </c>
      <c r="E94" s="151" t="str">
        <f>Currency&amp;$D$1&amp;$E$1&amp;$D94&amp;QuoteSuffix</f>
        <v>USDIMMFRA6MN1_Quote</v>
      </c>
      <c r="F94" s="150" t="str">
        <f>_xll.qlSimpleQuote(E94,,PriceTickValue,Permanent,Trigger,ObjectOverwrite)</f>
        <v>USDIMMFRA6MN1_Quote#0024</v>
      </c>
      <c r="G94" s="113" t="str">
        <f>_xll.ohRangeRetrieveError(F94)</f>
        <v/>
      </c>
      <c r="H94" s="149"/>
    </row>
    <row r="95" spans="1:8" x14ac:dyDescent="0.2">
      <c r="A95" s="155"/>
      <c r="B95" s="154">
        <v>93</v>
      </c>
      <c r="C95" s="153" t="b">
        <v>0</v>
      </c>
      <c r="D95" s="152" t="str">
        <v>Q1</v>
      </c>
      <c r="E95" s="151" t="str">
        <f>Currency&amp;$D$1&amp;$E$1&amp;$D95&amp;QuoteSuffix</f>
        <v>USDIMMFRA6MQ1_Quote</v>
      </c>
      <c r="F95" s="150" t="str">
        <f>_xll.qlSimpleQuote(E95,,PriceTickValue,Permanent,Trigger,ObjectOverwrite)</f>
        <v>USDIMMFRA6MQ1_Quote#0024</v>
      </c>
      <c r="G95" s="113" t="str">
        <f>_xll.ohRangeRetrieveError(F95)</f>
        <v/>
      </c>
      <c r="H95" s="149"/>
    </row>
    <row r="96" spans="1:8" x14ac:dyDescent="0.2">
      <c r="A96" s="155"/>
      <c r="B96" s="154">
        <v>94</v>
      </c>
      <c r="C96" s="153" t="b">
        <v>0</v>
      </c>
      <c r="D96" s="152" t="str">
        <v>U1</v>
      </c>
      <c r="E96" s="151" t="str">
        <f>Currency&amp;$D$1&amp;$E$1&amp;$D96&amp;QuoteSuffix</f>
        <v>USDIMMFRA6MU1_Quote</v>
      </c>
      <c r="F96" s="150" t="str">
        <f>_xll.qlSimpleQuote(E96,,PriceTickValue,Permanent,Trigger,ObjectOverwrite)</f>
        <v>USDIMMFRA6MU1_Quote#0024</v>
      </c>
      <c r="G96" s="113" t="str">
        <f>_xll.ohRangeRetrieveError(F96)</f>
        <v/>
      </c>
      <c r="H96" s="149"/>
    </row>
    <row r="97" spans="1:8" x14ac:dyDescent="0.2">
      <c r="A97" s="155"/>
      <c r="B97" s="154">
        <v>95</v>
      </c>
      <c r="C97" s="153" t="b">
        <v>0</v>
      </c>
      <c r="D97" s="152" t="str">
        <v>V1</v>
      </c>
      <c r="E97" s="151" t="str">
        <f>Currency&amp;$D$1&amp;$E$1&amp;$D97&amp;QuoteSuffix</f>
        <v>USDIMMFRA6MV1_Quote</v>
      </c>
      <c r="F97" s="150" t="str">
        <f>_xll.qlSimpleQuote(E97,,PriceTickValue,Permanent,Trigger,ObjectOverwrite)</f>
        <v>USDIMMFRA6MV1_Quote#0024</v>
      </c>
      <c r="G97" s="113" t="str">
        <f>_xll.ohRangeRetrieveError(F97)</f>
        <v/>
      </c>
      <c r="H97" s="149"/>
    </row>
    <row r="98" spans="1:8" x14ac:dyDescent="0.2">
      <c r="A98" s="155"/>
      <c r="B98" s="154">
        <v>96</v>
      </c>
      <c r="C98" s="153" t="b">
        <v>0</v>
      </c>
      <c r="D98" s="152" t="str">
        <v>X1</v>
      </c>
      <c r="E98" s="151" t="str">
        <f>Currency&amp;$D$1&amp;$E$1&amp;$D98&amp;QuoteSuffix</f>
        <v>USDIMMFRA6MX1_Quote</v>
      </c>
      <c r="F98" s="150" t="str">
        <f>_xll.qlSimpleQuote(E98,,PriceTickValue,Permanent,Trigger,ObjectOverwrite)</f>
        <v>USDIMMFRA6MX1_Quote#0024</v>
      </c>
      <c r="G98" s="113" t="str">
        <f>_xll.ohRangeRetrieveError(F98)</f>
        <v/>
      </c>
      <c r="H98" s="149"/>
    </row>
    <row r="99" spans="1:8" x14ac:dyDescent="0.2">
      <c r="A99" s="155"/>
      <c r="B99" s="154">
        <v>97</v>
      </c>
      <c r="C99" s="153" t="b">
        <v>0</v>
      </c>
      <c r="D99" s="152" t="str">
        <v>Z1</v>
      </c>
      <c r="E99" s="151" t="str">
        <f>Currency&amp;$D$1&amp;$E$1&amp;$D99&amp;QuoteSuffix</f>
        <v>USDIMMFRA6MZ1_Quote</v>
      </c>
      <c r="F99" s="150" t="str">
        <f>_xll.qlSimpleQuote(E99,,PriceTickValue,Permanent,Trigger,ObjectOverwrite)</f>
        <v>USDIMMFRA6MZ1_Quote#0024</v>
      </c>
      <c r="G99" s="113" t="str">
        <f>_xll.ohRangeRetrieveError(F99)</f>
        <v/>
      </c>
      <c r="H99" s="149"/>
    </row>
    <row r="100" spans="1:8" x14ac:dyDescent="0.2">
      <c r="A100" s="155"/>
      <c r="B100" s="154">
        <v>98</v>
      </c>
      <c r="C100" s="153" t="b">
        <v>0</v>
      </c>
      <c r="D100" s="152" t="str">
        <v>F2</v>
      </c>
      <c r="E100" s="151" t="str">
        <f>Currency&amp;$D$1&amp;$E$1&amp;$D100&amp;QuoteSuffix</f>
        <v>USDIMMFRA6MF2_Quote</v>
      </c>
      <c r="F100" s="150" t="str">
        <f>_xll.qlSimpleQuote(E100,,PriceTickValue,Permanent,Trigger,ObjectOverwrite)</f>
        <v>USDIMMFRA6MF2_Quote#0024</v>
      </c>
      <c r="G100" s="113" t="str">
        <f>_xll.ohRangeRetrieveError(F100)</f>
        <v/>
      </c>
      <c r="H100" s="149"/>
    </row>
    <row r="101" spans="1:8" x14ac:dyDescent="0.2">
      <c r="A101" s="155"/>
      <c r="B101" s="154">
        <v>99</v>
      </c>
      <c r="C101" s="153" t="b">
        <v>0</v>
      </c>
      <c r="D101" s="152" t="str">
        <v>G2</v>
      </c>
      <c r="E101" s="151" t="str">
        <f>Currency&amp;$D$1&amp;$E$1&amp;$D101&amp;QuoteSuffix</f>
        <v>USDIMMFRA6MG2_Quote</v>
      </c>
      <c r="F101" s="150" t="str">
        <f>_xll.qlSimpleQuote(E101,,PriceTickValue,Permanent,Trigger,ObjectOverwrite)</f>
        <v>USDIMMFRA6MG2_Quote#0024</v>
      </c>
      <c r="G101" s="113" t="str">
        <f>_xll.ohRangeRetrieveError(F101)</f>
        <v/>
      </c>
      <c r="H101" s="149"/>
    </row>
    <row r="102" spans="1:8" x14ac:dyDescent="0.2">
      <c r="A102" s="155"/>
      <c r="B102" s="154">
        <v>100</v>
      </c>
      <c r="C102" s="153" t="b">
        <v>0</v>
      </c>
      <c r="D102" s="152" t="str">
        <v>H2</v>
      </c>
      <c r="E102" s="151" t="str">
        <f>Currency&amp;$D$1&amp;$E$1&amp;$D102&amp;QuoteSuffix</f>
        <v>USDIMMFRA6MH2_Quote</v>
      </c>
      <c r="F102" s="150" t="str">
        <f>_xll.qlSimpleQuote(E102,,PriceTickValue,Permanent,Trigger,ObjectOverwrite)</f>
        <v>USDIMMFRA6MH2_Quote#0024</v>
      </c>
      <c r="G102" s="113" t="str">
        <f>_xll.ohRangeRetrieveError(F102)</f>
        <v/>
      </c>
      <c r="H102" s="149"/>
    </row>
    <row r="103" spans="1:8" x14ac:dyDescent="0.2">
      <c r="A103" s="155"/>
      <c r="B103" s="154">
        <v>101</v>
      </c>
      <c r="C103" s="153" t="b">
        <v>0</v>
      </c>
      <c r="D103" s="152" t="str">
        <v>J2</v>
      </c>
      <c r="E103" s="151" t="str">
        <f>Currency&amp;$D$1&amp;$E$1&amp;$D103&amp;QuoteSuffix</f>
        <v>USDIMMFRA6MJ2_Quote</v>
      </c>
      <c r="F103" s="150" t="str">
        <f>_xll.qlSimpleQuote(E103,,PriceTickValue,Permanent,Trigger,ObjectOverwrite)</f>
        <v>USDIMMFRA6MJ2_Quote#0024</v>
      </c>
      <c r="G103" s="113" t="str">
        <f>_xll.ohRangeRetrieveError(F103)</f>
        <v/>
      </c>
      <c r="H103" s="149"/>
    </row>
    <row r="104" spans="1:8" x14ac:dyDescent="0.2">
      <c r="A104" s="155"/>
      <c r="B104" s="154">
        <v>102</v>
      </c>
      <c r="C104" s="153" t="b">
        <v>0</v>
      </c>
      <c r="D104" s="152" t="str">
        <v>K2</v>
      </c>
      <c r="E104" s="151" t="str">
        <f>Currency&amp;$D$1&amp;$E$1&amp;$D104&amp;QuoteSuffix</f>
        <v>USDIMMFRA6MK2_Quote</v>
      </c>
      <c r="F104" s="150" t="str">
        <f>_xll.qlSimpleQuote(E104,,PriceTickValue,Permanent,Trigger,ObjectOverwrite)</f>
        <v>USDIMMFRA6MK2_Quote#0024</v>
      </c>
      <c r="G104" s="113" t="str">
        <f>_xll.ohRangeRetrieveError(F104)</f>
        <v/>
      </c>
      <c r="H104" s="149"/>
    </row>
    <row r="105" spans="1:8" x14ac:dyDescent="0.2">
      <c r="A105" s="155"/>
      <c r="B105" s="154">
        <v>103</v>
      </c>
      <c r="C105" s="153" t="b">
        <v>0</v>
      </c>
      <c r="D105" s="152" t="str">
        <v>M2</v>
      </c>
      <c r="E105" s="151" t="str">
        <f>Currency&amp;$D$1&amp;$E$1&amp;$D105&amp;QuoteSuffix</f>
        <v>USDIMMFRA6MM2_Quote</v>
      </c>
      <c r="F105" s="150" t="str">
        <f>_xll.qlSimpleQuote(E105,,PriceTickValue,Permanent,Trigger,ObjectOverwrite)</f>
        <v>USDIMMFRA6MM2_Quote#0024</v>
      </c>
      <c r="G105" s="113" t="str">
        <f>_xll.ohRangeRetrieveError(F105)</f>
        <v/>
      </c>
      <c r="H105" s="149"/>
    </row>
    <row r="106" spans="1:8" x14ac:dyDescent="0.2">
      <c r="A106" s="155"/>
      <c r="B106" s="154">
        <v>104</v>
      </c>
      <c r="C106" s="153" t="b">
        <v>0</v>
      </c>
      <c r="D106" s="152" t="str">
        <v>N2</v>
      </c>
      <c r="E106" s="151" t="str">
        <f>Currency&amp;$D$1&amp;$E$1&amp;$D106&amp;QuoteSuffix</f>
        <v>USDIMMFRA6MN2_Quote</v>
      </c>
      <c r="F106" s="150" t="str">
        <f>_xll.qlSimpleQuote(E106,,PriceTickValue,Permanent,Trigger,ObjectOverwrite)</f>
        <v>USDIMMFRA6MN2_Quote#0024</v>
      </c>
      <c r="G106" s="113" t="str">
        <f>_xll.ohRangeRetrieveError(F106)</f>
        <v/>
      </c>
      <c r="H106" s="149"/>
    </row>
    <row r="107" spans="1:8" x14ac:dyDescent="0.2">
      <c r="A107" s="155"/>
      <c r="B107" s="154">
        <v>105</v>
      </c>
      <c r="C107" s="153" t="b">
        <v>0</v>
      </c>
      <c r="D107" s="152" t="str">
        <v>Q2</v>
      </c>
      <c r="E107" s="151" t="str">
        <f>Currency&amp;$D$1&amp;$E$1&amp;$D107&amp;QuoteSuffix</f>
        <v>USDIMMFRA6MQ2_Quote</v>
      </c>
      <c r="F107" s="150" t="str">
        <f>_xll.qlSimpleQuote(E107,,PriceTickValue,Permanent,Trigger,ObjectOverwrite)</f>
        <v>USDIMMFRA6MQ2_Quote#0024</v>
      </c>
      <c r="G107" s="113" t="str">
        <f>_xll.ohRangeRetrieveError(F107)</f>
        <v/>
      </c>
      <c r="H107" s="149"/>
    </row>
    <row r="108" spans="1:8" x14ac:dyDescent="0.2">
      <c r="A108" s="155"/>
      <c r="B108" s="154">
        <v>106</v>
      </c>
      <c r="C108" s="153" t="b">
        <v>0</v>
      </c>
      <c r="D108" s="152" t="str">
        <v>U2</v>
      </c>
      <c r="E108" s="151" t="str">
        <f>Currency&amp;$D$1&amp;$E$1&amp;$D108&amp;QuoteSuffix</f>
        <v>USDIMMFRA6MU2_Quote</v>
      </c>
      <c r="F108" s="150" t="str">
        <f>_xll.qlSimpleQuote(E108,,PriceTickValue,Permanent,Trigger,ObjectOverwrite)</f>
        <v>USDIMMFRA6MU2_Quote#0024</v>
      </c>
      <c r="G108" s="113" t="str">
        <f>_xll.ohRangeRetrieveError(F108)</f>
        <v/>
      </c>
      <c r="H108" s="149"/>
    </row>
    <row r="109" spans="1:8" x14ac:dyDescent="0.2">
      <c r="A109" s="155"/>
      <c r="B109" s="154">
        <v>107</v>
      </c>
      <c r="C109" s="153" t="b">
        <v>0</v>
      </c>
      <c r="D109" s="152" t="str">
        <v>V2</v>
      </c>
      <c r="E109" s="151" t="str">
        <f>Currency&amp;$D$1&amp;$E$1&amp;$D109&amp;QuoteSuffix</f>
        <v>USDIMMFRA6MV2_Quote</v>
      </c>
      <c r="F109" s="150" t="str">
        <f>_xll.qlSimpleQuote(E109,,PriceTickValue,Permanent,Trigger,ObjectOverwrite)</f>
        <v>USDIMMFRA6MV2_Quote#0024</v>
      </c>
      <c r="G109" s="113" t="str">
        <f>_xll.ohRangeRetrieveError(F109)</f>
        <v/>
      </c>
      <c r="H109" s="149"/>
    </row>
    <row r="110" spans="1:8" x14ac:dyDescent="0.2">
      <c r="A110" s="155"/>
      <c r="B110" s="154">
        <v>108</v>
      </c>
      <c r="C110" s="153" t="b">
        <v>0</v>
      </c>
      <c r="D110" s="152" t="str">
        <v>X2</v>
      </c>
      <c r="E110" s="151" t="str">
        <f>Currency&amp;$D$1&amp;$E$1&amp;$D110&amp;QuoteSuffix</f>
        <v>USDIMMFRA6MX2_Quote</v>
      </c>
      <c r="F110" s="150" t="str">
        <f>_xll.qlSimpleQuote(E110,,PriceTickValue,Permanent,Trigger,ObjectOverwrite)</f>
        <v>USDIMMFRA6MX2_Quote#0024</v>
      </c>
      <c r="G110" s="113" t="str">
        <f>_xll.ohRangeRetrieveError(F110)</f>
        <v/>
      </c>
      <c r="H110" s="149"/>
    </row>
    <row r="111" spans="1:8" x14ac:dyDescent="0.2">
      <c r="A111" s="155"/>
      <c r="B111" s="154">
        <v>109</v>
      </c>
      <c r="C111" s="153" t="b">
        <v>0</v>
      </c>
      <c r="D111" s="152" t="str">
        <v>Z2</v>
      </c>
      <c r="E111" s="151" t="str">
        <f>Currency&amp;$D$1&amp;$E$1&amp;$D111&amp;QuoteSuffix</f>
        <v>USDIMMFRA6MZ2_Quote</v>
      </c>
      <c r="F111" s="150" t="str">
        <f>_xll.qlSimpleQuote(E111,,PriceTickValue,Permanent,Trigger,ObjectOverwrite)</f>
        <v>USDIMMFRA6MZ2_Quote#0024</v>
      </c>
      <c r="G111" s="113" t="str">
        <f>_xll.ohRangeRetrieveError(F111)</f>
        <v/>
      </c>
      <c r="H111" s="149"/>
    </row>
    <row r="112" spans="1:8" x14ac:dyDescent="0.2">
      <c r="A112" s="155"/>
      <c r="B112" s="154">
        <v>110</v>
      </c>
      <c r="C112" s="153" t="b">
        <v>0</v>
      </c>
      <c r="D112" s="152" t="str">
        <v>F3</v>
      </c>
      <c r="E112" s="151" t="str">
        <f>Currency&amp;$D$1&amp;$E$1&amp;$D112&amp;QuoteSuffix</f>
        <v>USDIMMFRA6MF3_Quote</v>
      </c>
      <c r="F112" s="150" t="str">
        <f>_xll.qlSimpleQuote(E112,,PriceTickValue,Permanent,Trigger,ObjectOverwrite)</f>
        <v>USDIMMFRA6MF3_Quote#0024</v>
      </c>
      <c r="G112" s="113" t="str">
        <f>_xll.ohRangeRetrieveError(F112)</f>
        <v/>
      </c>
      <c r="H112" s="149"/>
    </row>
    <row r="113" spans="1:8" x14ac:dyDescent="0.2">
      <c r="A113" s="155"/>
      <c r="B113" s="154">
        <v>111</v>
      </c>
      <c r="C113" s="153" t="b">
        <v>0</v>
      </c>
      <c r="D113" s="152" t="str">
        <v>G3</v>
      </c>
      <c r="E113" s="151" t="str">
        <f>Currency&amp;$D$1&amp;$E$1&amp;$D113&amp;QuoteSuffix</f>
        <v>USDIMMFRA6MG3_Quote</v>
      </c>
      <c r="F113" s="150" t="str">
        <f>_xll.qlSimpleQuote(E113,,PriceTickValue,Permanent,Trigger,ObjectOverwrite)</f>
        <v>USDIMMFRA6MG3_Quote#0024</v>
      </c>
      <c r="G113" s="113" t="str">
        <f>_xll.ohRangeRetrieveError(F113)</f>
        <v/>
      </c>
      <c r="H113" s="149"/>
    </row>
    <row r="114" spans="1:8" x14ac:dyDescent="0.2">
      <c r="A114" s="155"/>
      <c r="B114" s="154">
        <v>112</v>
      </c>
      <c r="C114" s="153" t="b">
        <v>0</v>
      </c>
      <c r="D114" s="152" t="str">
        <v>H3</v>
      </c>
      <c r="E114" s="151" t="str">
        <f>Currency&amp;$D$1&amp;$E$1&amp;$D114&amp;QuoteSuffix</f>
        <v>USDIMMFRA6MH3_Quote</v>
      </c>
      <c r="F114" s="150" t="str">
        <f>_xll.qlSimpleQuote(E114,,PriceTickValue,Permanent,Trigger,ObjectOverwrite)</f>
        <v>USDIMMFRA6MH3_Quote#0024</v>
      </c>
      <c r="G114" s="113" t="str">
        <f>_xll.ohRangeRetrieveError(F114)</f>
        <v/>
      </c>
      <c r="H114" s="149"/>
    </row>
    <row r="115" spans="1:8" x14ac:dyDescent="0.2">
      <c r="A115" s="155"/>
      <c r="B115" s="154">
        <v>113</v>
      </c>
      <c r="C115" s="153" t="b">
        <v>0</v>
      </c>
      <c r="D115" s="152" t="str">
        <v>J3</v>
      </c>
      <c r="E115" s="151" t="str">
        <f>Currency&amp;$D$1&amp;$E$1&amp;$D115&amp;QuoteSuffix</f>
        <v>USDIMMFRA6MJ3_Quote</v>
      </c>
      <c r="F115" s="150" t="str">
        <f>_xll.qlSimpleQuote(E115,,PriceTickValue,Permanent,Trigger,ObjectOverwrite)</f>
        <v>USDIMMFRA6MJ3_Quote#0024</v>
      </c>
      <c r="G115" s="113" t="str">
        <f>_xll.ohRangeRetrieveError(F115)</f>
        <v/>
      </c>
      <c r="H115" s="149"/>
    </row>
    <row r="116" spans="1:8" x14ac:dyDescent="0.2">
      <c r="A116" s="155"/>
      <c r="B116" s="154">
        <v>114</v>
      </c>
      <c r="C116" s="153" t="b">
        <v>0</v>
      </c>
      <c r="D116" s="152" t="str">
        <v>K3</v>
      </c>
      <c r="E116" s="151" t="str">
        <f>Currency&amp;$D$1&amp;$E$1&amp;$D116&amp;QuoteSuffix</f>
        <v>USDIMMFRA6MK3_Quote</v>
      </c>
      <c r="F116" s="150" t="str">
        <f>_xll.qlSimpleQuote(E116,,PriceTickValue,Permanent,Trigger,ObjectOverwrite)</f>
        <v>USDIMMFRA6MK3_Quote#0024</v>
      </c>
      <c r="G116" s="113" t="str">
        <f>_xll.ohRangeRetrieveError(F116)</f>
        <v/>
      </c>
      <c r="H116" s="149"/>
    </row>
    <row r="117" spans="1:8" x14ac:dyDescent="0.2">
      <c r="A117" s="155"/>
      <c r="B117" s="154">
        <v>115</v>
      </c>
      <c r="C117" s="153" t="b">
        <v>0</v>
      </c>
      <c r="D117" s="152" t="str">
        <v>M3</v>
      </c>
      <c r="E117" s="151" t="str">
        <f>Currency&amp;$D$1&amp;$E$1&amp;$D117&amp;QuoteSuffix</f>
        <v>USDIMMFRA6MM3_Quote</v>
      </c>
      <c r="F117" s="150" t="str">
        <f>_xll.qlSimpleQuote(E117,,PriceTickValue,Permanent,Trigger,ObjectOverwrite)</f>
        <v>USDIMMFRA6MM3_Quote#0024</v>
      </c>
      <c r="G117" s="113" t="str">
        <f>_xll.ohRangeRetrieveError(F117)</f>
        <v/>
      </c>
      <c r="H117" s="149"/>
    </row>
    <row r="118" spans="1:8" x14ac:dyDescent="0.2">
      <c r="A118" s="155"/>
      <c r="B118" s="154">
        <v>116</v>
      </c>
      <c r="C118" s="153" t="b">
        <v>0</v>
      </c>
      <c r="D118" s="152" t="str">
        <v>N3</v>
      </c>
      <c r="E118" s="151" t="str">
        <f>Currency&amp;$D$1&amp;$E$1&amp;$D118&amp;QuoteSuffix</f>
        <v>USDIMMFRA6MN3_Quote</v>
      </c>
      <c r="F118" s="150" t="str">
        <f>_xll.qlSimpleQuote(E118,,PriceTickValue,Permanent,Trigger,ObjectOverwrite)</f>
        <v>USDIMMFRA6MN3_Quote#0024</v>
      </c>
      <c r="G118" s="113" t="str">
        <f>_xll.ohRangeRetrieveError(F118)</f>
        <v/>
      </c>
      <c r="H118" s="149"/>
    </row>
    <row r="119" spans="1:8" x14ac:dyDescent="0.2">
      <c r="A119" s="155"/>
      <c r="B119" s="154">
        <v>117</v>
      </c>
      <c r="C119" s="153" t="b">
        <v>0</v>
      </c>
      <c r="D119" s="152" t="str">
        <v>Q3</v>
      </c>
      <c r="E119" s="151" t="str">
        <f>Currency&amp;$D$1&amp;$E$1&amp;$D119&amp;QuoteSuffix</f>
        <v>USDIMMFRA6MQ3_Quote</v>
      </c>
      <c r="F119" s="150" t="str">
        <f>_xll.qlSimpleQuote(E119,,PriceTickValue,Permanent,Trigger,ObjectOverwrite)</f>
        <v>USDIMMFRA6MQ3_Quote#0024</v>
      </c>
      <c r="G119" s="113" t="str">
        <f>_xll.ohRangeRetrieveError(F119)</f>
        <v/>
      </c>
      <c r="H119" s="149"/>
    </row>
    <row r="120" spans="1:8" x14ac:dyDescent="0.2">
      <c r="A120" s="155"/>
      <c r="B120" s="154">
        <v>118</v>
      </c>
      <c r="C120" s="153" t="b">
        <v>0</v>
      </c>
      <c r="D120" s="152" t="str">
        <v>U3</v>
      </c>
      <c r="E120" s="151" t="str">
        <f>Currency&amp;$D$1&amp;$E$1&amp;$D120&amp;QuoteSuffix</f>
        <v>USDIMMFRA6MU3_Quote</v>
      </c>
      <c r="F120" s="150" t="str">
        <f>_xll.qlSimpleQuote(E120,,PriceTickValue,Permanent,Trigger,ObjectOverwrite)</f>
        <v>USDIMMFRA6MU3_Quote#0024</v>
      </c>
      <c r="G120" s="113" t="str">
        <f>_xll.ohRangeRetrieveError(F120)</f>
        <v/>
      </c>
      <c r="H120" s="149"/>
    </row>
    <row r="121" spans="1:8" x14ac:dyDescent="0.2">
      <c r="A121" s="155"/>
      <c r="B121" s="154">
        <v>119</v>
      </c>
      <c r="C121" s="153" t="b">
        <v>0</v>
      </c>
      <c r="D121" s="152" t="str">
        <v>V3</v>
      </c>
      <c r="E121" s="151" t="str">
        <f>Currency&amp;$D$1&amp;$E$1&amp;$D121&amp;QuoteSuffix</f>
        <v>USDIMMFRA6MV3_Quote</v>
      </c>
      <c r="F121" s="150" t="str">
        <f>_xll.qlSimpleQuote(E121,,PriceTickValue,Permanent,Trigger,ObjectOverwrite)</f>
        <v>USDIMMFRA6MV3_Quote#0024</v>
      </c>
      <c r="G121" s="113" t="str">
        <f>_xll.ohRangeRetrieveError(F121)</f>
        <v/>
      </c>
      <c r="H121" s="149"/>
    </row>
    <row r="122" spans="1:8" x14ac:dyDescent="0.2">
      <c r="A122" s="155"/>
      <c r="B122" s="154">
        <v>120</v>
      </c>
      <c r="C122" s="153" t="b">
        <v>0</v>
      </c>
      <c r="D122" s="152" t="str">
        <v>X3</v>
      </c>
      <c r="E122" s="151" t="str">
        <f>Currency&amp;$D$1&amp;$E$1&amp;$D122&amp;QuoteSuffix</f>
        <v>USDIMMFRA6MX3_Quote</v>
      </c>
      <c r="F122" s="150" t="str">
        <f>_xll.qlSimpleQuote(E122,,PriceTickValue,Permanent,Trigger,ObjectOverwrite)</f>
        <v>USDIMMFRA6MX3_Quote#0024</v>
      </c>
      <c r="G122" s="113" t="str">
        <f>_xll.ohRangeRetrieveError(F122)</f>
        <v/>
      </c>
      <c r="H122" s="149"/>
    </row>
    <row r="123" spans="1:8" ht="12" thickBot="1" x14ac:dyDescent="0.25">
      <c r="A123" s="148"/>
      <c r="B123" s="147"/>
      <c r="C123" s="147"/>
      <c r="D123" s="147"/>
      <c r="E123" s="147"/>
      <c r="F123" s="147"/>
      <c r="G123" s="147"/>
      <c r="H123" s="146"/>
    </row>
  </sheetData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defaultRowHeight="11.25" x14ac:dyDescent="0.2"/>
  <cols>
    <col min="1" max="1" width="3.85546875" style="111" customWidth="1"/>
    <col min="2" max="2" width="25.5703125" style="111" bestFit="1" customWidth="1"/>
    <col min="3" max="3" width="27.7109375" style="111" bestFit="1" customWidth="1"/>
    <col min="4" max="4" width="23.28515625" style="111" customWidth="1"/>
    <col min="5" max="5" width="4.85546875" style="111" customWidth="1"/>
    <col min="6" max="16384" width="9.140625" style="111"/>
  </cols>
  <sheetData>
    <row r="1" spans="1:5" x14ac:dyDescent="0.2">
      <c r="A1" s="121" t="s">
        <v>186</v>
      </c>
      <c r="B1" s="120"/>
      <c r="C1" s="120"/>
      <c r="D1" s="120"/>
      <c r="E1" s="119"/>
    </row>
    <row r="2" spans="1:5" x14ac:dyDescent="0.2">
      <c r="A2" s="172"/>
      <c r="B2" s="39" t="str">
        <f>Currency&amp;"_010_"&amp;"FuturesHWConvAdj.xml"</f>
        <v>USD_010_FuturesHWConvAdj.xml</v>
      </c>
      <c r="C2" s="10">
        <f ca="1">IF(Serialize,_xll.ohObjectSave(C3:C4,SerializationPath&amp;B2,FileOverwrite,Serialize),"---")</f>
        <v>2</v>
      </c>
      <c r="D2" s="113" t="str">
        <f ca="1">_xll.ohRangeRetrieveError(C2)</f>
        <v/>
      </c>
      <c r="E2" s="170"/>
    </row>
    <row r="3" spans="1:5" x14ac:dyDescent="0.2">
      <c r="A3" s="172"/>
      <c r="B3" s="171" t="str">
        <f>Currency&amp;"HW_Volatility"&amp;QuoteSuffix</f>
        <v>USDHW_Volatility_Quote</v>
      </c>
      <c r="C3" s="171" t="str">
        <f>_xll.qlSimpleQuote(B3,,,Permanent,Trigger,ObjectOverwrite)</f>
        <v>USDHW_Volatility_Quote#0023</v>
      </c>
      <c r="D3" s="113" t="str">
        <f>_xll.ohRangeRetrieveError(C3)</f>
        <v/>
      </c>
      <c r="E3" s="170"/>
    </row>
    <row r="4" spans="1:5" x14ac:dyDescent="0.2">
      <c r="A4" s="172"/>
      <c r="B4" s="171" t="str">
        <f>Currency&amp;"HW_MeanReversion"&amp;QuoteSuffix</f>
        <v>USDHW_MeanReversion_Quote</v>
      </c>
      <c r="C4" s="171" t="str">
        <f>_xll.qlSimpleQuote(B4,,,Permanent,Trigger,ObjectOverwrite)</f>
        <v>USDHW_MeanReversion_Quote#0023</v>
      </c>
      <c r="D4" s="113" t="str">
        <f>_xll.ohRangeRetrieveError(C4)</f>
        <v/>
      </c>
      <c r="E4" s="170"/>
    </row>
    <row r="5" spans="1:5" x14ac:dyDescent="0.2">
      <c r="A5" s="169"/>
      <c r="B5" s="168"/>
      <c r="C5" s="168"/>
      <c r="D5" s="168"/>
      <c r="E5" s="167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73" customWidth="1"/>
    <col min="2" max="2" width="4.28515625" style="173" customWidth="1"/>
    <col min="3" max="3" width="15.5703125" style="173" bestFit="1" customWidth="1"/>
    <col min="4" max="4" width="101.42578125" style="173" bestFit="1" customWidth="1"/>
    <col min="5" max="5" width="3.7109375" style="173" customWidth="1"/>
    <col min="6" max="6" width="35.28515625" style="173" customWidth="1"/>
    <col min="7" max="7" width="4.28515625" style="173" customWidth="1"/>
    <col min="8" max="16384" width="8" style="173"/>
  </cols>
  <sheetData>
    <row r="1" spans="1:5" ht="13.5" thickBot="1" x14ac:dyDescent="0.25">
      <c r="A1" s="173" t="s">
        <v>186</v>
      </c>
      <c r="B1" s="174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09" t="s">
        <v>145</v>
      </c>
      <c r="C2" s="108"/>
      <c r="D2" s="108"/>
      <c r="E2" s="107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09" t="s">
        <v>144</v>
      </c>
      <c r="C12" s="108"/>
      <c r="D12" s="108"/>
      <c r="E12" s="107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6">
        <v>1E-4</v>
      </c>
      <c r="E16" s="14"/>
    </row>
    <row r="17" spans="2:5" x14ac:dyDescent="0.2">
      <c r="B17" s="9"/>
      <c r="C17" s="16" t="s">
        <v>140</v>
      </c>
      <c r="D17" s="105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4"/>
  <sheetViews>
    <sheetView workbookViewId="0"/>
  </sheetViews>
  <sheetFormatPr defaultRowHeight="13.5" x14ac:dyDescent="0.25"/>
  <cols>
    <col min="1" max="1" width="3.7109375" style="176" customWidth="1"/>
    <col min="2" max="3" width="4" style="176" bestFit="1" customWidth="1"/>
    <col min="4" max="4" width="6" style="176" bestFit="1" customWidth="1"/>
    <col min="5" max="5" width="21.42578125" style="176" bestFit="1" customWidth="1"/>
    <col min="6" max="6" width="26.5703125" style="177" bestFit="1" customWidth="1"/>
    <col min="7" max="7" width="38.28515625" style="176" customWidth="1"/>
    <col min="8" max="8" width="4.42578125" style="176" customWidth="1"/>
    <col min="9" max="16384" width="9.140625" style="176"/>
  </cols>
  <sheetData>
    <row r="1" spans="1:8" x14ac:dyDescent="0.25">
      <c r="A1" s="230" t="s">
        <v>218</v>
      </c>
      <c r="B1" s="201"/>
      <c r="C1" s="201"/>
      <c r="D1" s="201"/>
      <c r="E1" s="199"/>
      <c r="F1" s="200"/>
      <c r="G1" s="199"/>
      <c r="H1" s="198"/>
    </row>
    <row r="2" spans="1:8" x14ac:dyDescent="0.25">
      <c r="A2" s="187"/>
      <c r="B2" s="197"/>
      <c r="C2" s="197"/>
      <c r="D2" s="196"/>
      <c r="E2" s="195" t="str">
        <f>Currency&amp;"_010_"&amp;"OIS.xml"</f>
        <v>USD_010_OIS.xml</v>
      </c>
      <c r="F2" s="194">
        <f ca="1">IF(Serialize,_xll.ohObjectSave(_xll.ohPack(F3:F93),SerializationPath&amp;E2,FileOverwrite,Serialize),"---")</f>
        <v>66</v>
      </c>
      <c r="G2" s="193" t="str">
        <f ca="1">_xll.ohRangeRetrieveError(F2)</f>
        <v/>
      </c>
      <c r="H2" s="182"/>
    </row>
    <row r="3" spans="1:8" x14ac:dyDescent="0.25">
      <c r="A3" s="187"/>
      <c r="B3" s="186"/>
      <c r="C3" s="186" t="s">
        <v>187</v>
      </c>
      <c r="D3" s="192" t="s">
        <v>43</v>
      </c>
      <c r="E3" s="184" t="str">
        <f>Currency&amp;$B3&amp;$C3&amp;$D3&amp;QuoteSuffix</f>
        <v>USDOISSW_Quote</v>
      </c>
      <c r="F3" s="184" t="str">
        <f>_xll.qlSimpleQuote(Currency&amp;$B3&amp;$C3&amp;$D3&amp;QuoteSuffix,,RateTickValue,Permanent,Trigger,ObjectOverwrite)</f>
        <v>USDOISSW_Quote#0021</v>
      </c>
      <c r="G3" s="183" t="str">
        <f>_xll.ohRangeRetrieveError(F3)</f>
        <v/>
      </c>
      <c r="H3" s="182"/>
    </row>
    <row r="4" spans="1:8" x14ac:dyDescent="0.25">
      <c r="A4" s="187"/>
      <c r="B4" s="186"/>
      <c r="C4" s="186" t="s">
        <v>187</v>
      </c>
      <c r="D4" s="192" t="s">
        <v>42</v>
      </c>
      <c r="E4" s="184" t="str">
        <f>Currency&amp;$B4&amp;$C4&amp;$D4&amp;QuoteSuffix</f>
        <v>USDOIS2W_Quote</v>
      </c>
      <c r="F4" s="184" t="str">
        <f>_xll.qlSimpleQuote(Currency&amp;$B4&amp;$C4&amp;$D4&amp;QuoteSuffix,,RateTickValue,Permanent,Trigger,ObjectOverwrite)</f>
        <v>USDOIS2W_Quote#0021</v>
      </c>
      <c r="G4" s="183" t="str">
        <f>_xll.ohRangeRetrieveError(F4)</f>
        <v/>
      </c>
      <c r="H4" s="182"/>
    </row>
    <row r="5" spans="1:8" x14ac:dyDescent="0.25">
      <c r="A5" s="187"/>
      <c r="B5" s="186"/>
      <c r="C5" s="186" t="s">
        <v>187</v>
      </c>
      <c r="D5" s="192" t="s">
        <v>41</v>
      </c>
      <c r="E5" s="184" t="str">
        <f>Currency&amp;$B5&amp;$C5&amp;$D5&amp;QuoteSuffix</f>
        <v>USDOIS3W_Quote</v>
      </c>
      <c r="F5" s="184" t="str">
        <f>_xll.qlSimpleQuote(Currency&amp;$B5&amp;$C5&amp;$D5&amp;QuoteSuffix,,RateTickValue,Permanent,Trigger,ObjectOverwrite)</f>
        <v>USDOIS3W_Quote#0021</v>
      </c>
      <c r="G5" s="183" t="str">
        <f>_xll.ohRangeRetrieveError(F5)</f>
        <v/>
      </c>
      <c r="H5" s="182"/>
    </row>
    <row r="6" spans="1:8" x14ac:dyDescent="0.25">
      <c r="A6" s="187"/>
      <c r="B6" s="186"/>
      <c r="C6" s="186" t="s">
        <v>187</v>
      </c>
      <c r="D6" s="192" t="s">
        <v>40</v>
      </c>
      <c r="E6" s="184" t="str">
        <f>Currency&amp;$B6&amp;$C6&amp;$D6&amp;QuoteSuffix</f>
        <v>USDOIS1M_Quote</v>
      </c>
      <c r="F6" s="184" t="str">
        <f>_xll.qlSimpleQuote(Currency&amp;$B6&amp;$C6&amp;$D6&amp;QuoteSuffix,,RateTickValue,Permanent,Trigger,ObjectOverwrite)</f>
        <v>USDOIS1M_Quote#0021</v>
      </c>
      <c r="G6" s="183" t="str">
        <f>_xll.ohRangeRetrieveError(F6)</f>
        <v/>
      </c>
      <c r="H6" s="182"/>
    </row>
    <row r="7" spans="1:8" x14ac:dyDescent="0.25">
      <c r="A7" s="187"/>
      <c r="B7" s="186"/>
      <c r="C7" s="186" t="s">
        <v>187</v>
      </c>
      <c r="D7" s="192" t="s">
        <v>39</v>
      </c>
      <c r="E7" s="184" t="str">
        <f>Currency&amp;$B7&amp;$C7&amp;$D7&amp;QuoteSuffix</f>
        <v>USDOIS2M_Quote</v>
      </c>
      <c r="F7" s="184" t="str">
        <f>_xll.qlSimpleQuote(Currency&amp;$B7&amp;$C7&amp;$D7&amp;QuoteSuffix,,RateTickValue,Permanent,Trigger,ObjectOverwrite)</f>
        <v>USDOIS2M_Quote#0021</v>
      </c>
      <c r="G7" s="183" t="str">
        <f>_xll.ohRangeRetrieveError(F7)</f>
        <v/>
      </c>
      <c r="H7" s="182"/>
    </row>
    <row r="8" spans="1:8" x14ac:dyDescent="0.25">
      <c r="A8" s="187"/>
      <c r="B8" s="186"/>
      <c r="C8" s="186" t="s">
        <v>187</v>
      </c>
      <c r="D8" s="192" t="s">
        <v>38</v>
      </c>
      <c r="E8" s="184" t="str">
        <f>Currency&amp;$B8&amp;$C8&amp;$D8&amp;QuoteSuffix</f>
        <v>USDOIS3M_Quote</v>
      </c>
      <c r="F8" s="184" t="str">
        <f>_xll.qlSimpleQuote(Currency&amp;$B8&amp;$C8&amp;$D8&amp;QuoteSuffix,,RateTickValue,Permanent,Trigger,ObjectOverwrite)</f>
        <v>USDOIS3M_Quote#0021</v>
      </c>
      <c r="G8" s="183" t="str">
        <f>_xll.ohRangeRetrieveError(F8)</f>
        <v/>
      </c>
      <c r="H8" s="182"/>
    </row>
    <row r="9" spans="1:8" x14ac:dyDescent="0.25">
      <c r="A9" s="187"/>
      <c r="B9" s="186"/>
      <c r="C9" s="186" t="s">
        <v>187</v>
      </c>
      <c r="D9" s="192" t="s">
        <v>37</v>
      </c>
      <c r="E9" s="184" t="str">
        <f>Currency&amp;$B9&amp;$C9&amp;$D9&amp;QuoteSuffix</f>
        <v>USDOIS4M_Quote</v>
      </c>
      <c r="F9" s="184" t="str">
        <f>_xll.qlSimpleQuote(Currency&amp;$B9&amp;$C9&amp;$D9&amp;QuoteSuffix,,RateTickValue,Permanent,Trigger,ObjectOverwrite)</f>
        <v>USDOIS4M_Quote#0021</v>
      </c>
      <c r="G9" s="183" t="str">
        <f>_xll.ohRangeRetrieveError(F9)</f>
        <v/>
      </c>
      <c r="H9" s="182"/>
    </row>
    <row r="10" spans="1:8" x14ac:dyDescent="0.25">
      <c r="A10" s="187"/>
      <c r="B10" s="186"/>
      <c r="C10" s="186" t="s">
        <v>187</v>
      </c>
      <c r="D10" s="192" t="s">
        <v>36</v>
      </c>
      <c r="E10" s="184" t="str">
        <f>Currency&amp;$B10&amp;$C10&amp;$D10&amp;QuoteSuffix</f>
        <v>USDOIS5M_Quote</v>
      </c>
      <c r="F10" s="184" t="str">
        <f>_xll.qlSimpleQuote(Currency&amp;$B10&amp;$C10&amp;$D10&amp;QuoteSuffix,,RateTickValue,Permanent,Trigger,ObjectOverwrite)</f>
        <v>USDOIS5M_Quote#0021</v>
      </c>
      <c r="G10" s="183" t="str">
        <f>_xll.ohRangeRetrieveError(F10)</f>
        <v/>
      </c>
      <c r="H10" s="182"/>
    </row>
    <row r="11" spans="1:8" x14ac:dyDescent="0.25">
      <c r="A11" s="187"/>
      <c r="B11" s="186"/>
      <c r="C11" s="186" t="s">
        <v>187</v>
      </c>
      <c r="D11" s="192" t="s">
        <v>35</v>
      </c>
      <c r="E11" s="184" t="str">
        <f>Currency&amp;$B11&amp;$C11&amp;$D11&amp;QuoteSuffix</f>
        <v>USDOIS6M_Quote</v>
      </c>
      <c r="F11" s="184" t="str">
        <f>_xll.qlSimpleQuote(Currency&amp;$B11&amp;$C11&amp;$D11&amp;QuoteSuffix,,RateTickValue,Permanent,Trigger,ObjectOverwrite)</f>
        <v>USDOIS6M_Quote#0021</v>
      </c>
      <c r="G11" s="183" t="str">
        <f>_xll.ohRangeRetrieveError(F11)</f>
        <v/>
      </c>
      <c r="H11" s="182"/>
    </row>
    <row r="12" spans="1:8" x14ac:dyDescent="0.25">
      <c r="A12" s="187"/>
      <c r="B12" s="186"/>
      <c r="C12" s="186" t="s">
        <v>187</v>
      </c>
      <c r="D12" s="192" t="s">
        <v>34</v>
      </c>
      <c r="E12" s="184" t="str">
        <f>Currency&amp;$B12&amp;$C12&amp;$D12&amp;QuoteSuffix</f>
        <v>USDOIS7M_Quote</v>
      </c>
      <c r="F12" s="184" t="str">
        <f>_xll.qlSimpleQuote(Currency&amp;$B12&amp;$C12&amp;$D12&amp;QuoteSuffix,,RateTickValue,Permanent,Trigger,ObjectOverwrite)</f>
        <v>USDOIS7M_Quote#0021</v>
      </c>
      <c r="G12" s="183" t="str">
        <f>_xll.ohRangeRetrieveError(F12)</f>
        <v/>
      </c>
      <c r="H12" s="182"/>
    </row>
    <row r="13" spans="1:8" x14ac:dyDescent="0.25">
      <c r="A13" s="187"/>
      <c r="B13" s="186"/>
      <c r="C13" s="186" t="s">
        <v>187</v>
      </c>
      <c r="D13" s="192" t="s">
        <v>33</v>
      </c>
      <c r="E13" s="184" t="str">
        <f>Currency&amp;$B13&amp;$C13&amp;$D13&amp;QuoteSuffix</f>
        <v>USDOIS8M_Quote</v>
      </c>
      <c r="F13" s="184" t="str">
        <f>_xll.qlSimpleQuote(Currency&amp;$B13&amp;$C13&amp;$D13&amp;QuoteSuffix,,RateTickValue,Permanent,Trigger,ObjectOverwrite)</f>
        <v>USDOIS8M_Quote#0021</v>
      </c>
      <c r="G13" s="183" t="str">
        <f>_xll.ohRangeRetrieveError(F13)</f>
        <v/>
      </c>
      <c r="H13" s="182"/>
    </row>
    <row r="14" spans="1:8" x14ac:dyDescent="0.25">
      <c r="A14" s="187"/>
      <c r="B14" s="186"/>
      <c r="C14" s="186" t="s">
        <v>187</v>
      </c>
      <c r="D14" s="192" t="s">
        <v>32</v>
      </c>
      <c r="E14" s="184" t="str">
        <f>Currency&amp;$B14&amp;$C14&amp;$D14&amp;QuoteSuffix</f>
        <v>USDOIS9M_Quote</v>
      </c>
      <c r="F14" s="184" t="str">
        <f>_xll.qlSimpleQuote(Currency&amp;$B14&amp;$C14&amp;$D14&amp;QuoteSuffix,,RateTickValue,Permanent,Trigger,ObjectOverwrite)</f>
        <v>USDOIS9M_Quote#0021</v>
      </c>
      <c r="G14" s="183" t="str">
        <f>_xll.ohRangeRetrieveError(F14)</f>
        <v/>
      </c>
      <c r="H14" s="182"/>
    </row>
    <row r="15" spans="1:8" x14ac:dyDescent="0.25">
      <c r="A15" s="187"/>
      <c r="B15" s="186"/>
      <c r="C15" s="186" t="s">
        <v>187</v>
      </c>
      <c r="D15" s="192" t="s">
        <v>31</v>
      </c>
      <c r="E15" s="184" t="str">
        <f>Currency&amp;$B15&amp;$C15&amp;$D15&amp;QuoteSuffix</f>
        <v>USDOIS10M_Quote</v>
      </c>
      <c r="F15" s="184" t="str">
        <f>_xll.qlSimpleQuote(Currency&amp;$B15&amp;$C15&amp;$D15&amp;QuoteSuffix,,RateTickValue,Permanent,Trigger,ObjectOverwrite)</f>
        <v>USDOIS10M_Quote#0021</v>
      </c>
      <c r="G15" s="183" t="str">
        <f>_xll.ohRangeRetrieveError(F15)</f>
        <v/>
      </c>
      <c r="H15" s="182"/>
    </row>
    <row r="16" spans="1:8" x14ac:dyDescent="0.25">
      <c r="A16" s="187"/>
      <c r="B16" s="186"/>
      <c r="C16" s="186" t="s">
        <v>187</v>
      </c>
      <c r="D16" s="192" t="s">
        <v>30</v>
      </c>
      <c r="E16" s="184" t="str">
        <f>Currency&amp;$B16&amp;$C16&amp;$D16&amp;QuoteSuffix</f>
        <v>USDOIS11M_Quote</v>
      </c>
      <c r="F16" s="184" t="str">
        <f>_xll.qlSimpleQuote(Currency&amp;$B16&amp;$C16&amp;$D16&amp;QuoteSuffix,,RateTickValue,Permanent,Trigger,ObjectOverwrite)</f>
        <v>USDOIS11M_Quote#0021</v>
      </c>
      <c r="G16" s="183" t="str">
        <f>_xll.ohRangeRetrieveError(F16)</f>
        <v/>
      </c>
      <c r="H16" s="182"/>
    </row>
    <row r="17" spans="1:8" x14ac:dyDescent="0.25">
      <c r="A17" s="187"/>
      <c r="B17" s="186"/>
      <c r="C17" s="186" t="s">
        <v>187</v>
      </c>
      <c r="D17" s="192" t="s">
        <v>29</v>
      </c>
      <c r="E17" s="184" t="str">
        <f>Currency&amp;$B17&amp;$C17&amp;$D17&amp;QuoteSuffix</f>
        <v>USDOIS1Y_Quote</v>
      </c>
      <c r="F17" s="184" t="str">
        <f>_xll.qlSimpleQuote(Currency&amp;$B17&amp;$C17&amp;$D17&amp;QuoteSuffix,,RateTickValue,Permanent,Trigger,ObjectOverwrite)</f>
        <v>USDOIS1Y_Quote#0021</v>
      </c>
      <c r="G17" s="183" t="str">
        <f>_xll.ohRangeRetrieveError(F17)</f>
        <v/>
      </c>
      <c r="H17" s="182"/>
    </row>
    <row r="18" spans="1:8" x14ac:dyDescent="0.25">
      <c r="A18" s="187"/>
      <c r="B18" s="186"/>
      <c r="C18" s="186" t="s">
        <v>187</v>
      </c>
      <c r="D18" s="192" t="s">
        <v>205</v>
      </c>
      <c r="E18" s="184" t="str">
        <f>Currency&amp;$B18&amp;$C18&amp;$D18&amp;QuoteSuffix</f>
        <v>USDOIS13M_Quote</v>
      </c>
      <c r="F18" s="184" t="str">
        <f>_xll.qlSimpleQuote(Currency&amp;$B18&amp;$C18&amp;$D18&amp;QuoteSuffix,,RateTickValue,Permanent,Trigger,ObjectOverwrite)</f>
        <v>USDOIS13M_Quote#0021</v>
      </c>
      <c r="G18" s="183" t="str">
        <f>_xll.ohRangeRetrieveError(F18)</f>
        <v/>
      </c>
      <c r="H18" s="182"/>
    </row>
    <row r="19" spans="1:8" x14ac:dyDescent="0.25">
      <c r="A19" s="187"/>
      <c r="B19" s="186"/>
      <c r="C19" s="186" t="s">
        <v>187</v>
      </c>
      <c r="D19" s="192" t="s">
        <v>204</v>
      </c>
      <c r="E19" s="184" t="str">
        <f>Currency&amp;$B19&amp;$C19&amp;$D19&amp;QuoteSuffix</f>
        <v>USDOIS14M_Quote</v>
      </c>
      <c r="F19" s="184" t="str">
        <f>_xll.qlSimpleQuote(Currency&amp;$B19&amp;$C19&amp;$D19&amp;QuoteSuffix,,RateTickValue,Permanent,Trigger,ObjectOverwrite)</f>
        <v>USDOIS14M_Quote#0021</v>
      </c>
      <c r="G19" s="183" t="str">
        <f>_xll.ohRangeRetrieveError(F19)</f>
        <v/>
      </c>
      <c r="H19" s="182"/>
    </row>
    <row r="20" spans="1:8" x14ac:dyDescent="0.25">
      <c r="A20" s="187"/>
      <c r="B20" s="186"/>
      <c r="C20" s="186" t="s">
        <v>187</v>
      </c>
      <c r="D20" s="192" t="s">
        <v>135</v>
      </c>
      <c r="E20" s="184" t="str">
        <f>Currency&amp;$B20&amp;$C20&amp;$D20&amp;QuoteSuffix</f>
        <v>USDOIS15M_Quote</v>
      </c>
      <c r="F20" s="184" t="str">
        <f>_xll.qlSimpleQuote(Currency&amp;$B20&amp;$C20&amp;$D20&amp;QuoteSuffix,,RateTickValue,Permanent,Trigger,ObjectOverwrite)</f>
        <v>USDOIS15M_Quote#0021</v>
      </c>
      <c r="G20" s="183" t="str">
        <f>_xll.ohRangeRetrieveError(F20)</f>
        <v/>
      </c>
      <c r="H20" s="182"/>
    </row>
    <row r="21" spans="1:8" x14ac:dyDescent="0.25">
      <c r="A21" s="187"/>
      <c r="B21" s="186"/>
      <c r="C21" s="186" t="s">
        <v>187</v>
      </c>
      <c r="D21" s="192" t="s">
        <v>203</v>
      </c>
      <c r="E21" s="184" t="str">
        <f>Currency&amp;$B21&amp;$C21&amp;$D21&amp;QuoteSuffix</f>
        <v>USDOIS16M_Quote</v>
      </c>
      <c r="F21" s="184" t="str">
        <f>_xll.qlSimpleQuote(Currency&amp;$B21&amp;$C21&amp;$D21&amp;QuoteSuffix,,RateTickValue,Permanent,Trigger,ObjectOverwrite)</f>
        <v>USDOIS16M_Quote#0021</v>
      </c>
      <c r="G21" s="183" t="str">
        <f>_xll.ohRangeRetrieveError(F21)</f>
        <v/>
      </c>
      <c r="H21" s="182"/>
    </row>
    <row r="22" spans="1:8" x14ac:dyDescent="0.25">
      <c r="A22" s="187"/>
      <c r="B22" s="186"/>
      <c r="C22" s="186" t="s">
        <v>187</v>
      </c>
      <c r="D22" s="192" t="s">
        <v>202</v>
      </c>
      <c r="E22" s="184" t="str">
        <f>Currency&amp;$B22&amp;$C22&amp;$D22&amp;QuoteSuffix</f>
        <v>USDOIS17M_Quote</v>
      </c>
      <c r="F22" s="184" t="str">
        <f>_xll.qlSimpleQuote(Currency&amp;$B22&amp;$C22&amp;$D22&amp;QuoteSuffix,,RateTickValue,Permanent,Trigger,ObjectOverwrite)</f>
        <v>USDOIS17M_Quote#0021</v>
      </c>
      <c r="G22" s="183" t="str">
        <f>_xll.ohRangeRetrieveError(F22)</f>
        <v/>
      </c>
      <c r="H22" s="182"/>
    </row>
    <row r="23" spans="1:8" x14ac:dyDescent="0.25">
      <c r="A23" s="187"/>
      <c r="B23" s="186"/>
      <c r="C23" s="186" t="s">
        <v>187</v>
      </c>
      <c r="D23" s="192" t="s">
        <v>134</v>
      </c>
      <c r="E23" s="184" t="str">
        <f>Currency&amp;$B23&amp;$C23&amp;$D23&amp;QuoteSuffix</f>
        <v>USDOIS18M_Quote</v>
      </c>
      <c r="F23" s="184" t="str">
        <f>_xll.qlSimpleQuote(Currency&amp;$B23&amp;$C23&amp;$D23&amp;QuoteSuffix,,RateTickValue,Permanent,Trigger,ObjectOverwrite)</f>
        <v>USDOIS18M_Quote#0021</v>
      </c>
      <c r="G23" s="183" t="str">
        <f>_xll.ohRangeRetrieveError(F23)</f>
        <v/>
      </c>
      <c r="H23" s="182"/>
    </row>
    <row r="24" spans="1:8" x14ac:dyDescent="0.25">
      <c r="A24" s="187"/>
      <c r="B24" s="186"/>
      <c r="C24" s="186" t="s">
        <v>187</v>
      </c>
      <c r="D24" s="192" t="s">
        <v>201</v>
      </c>
      <c r="E24" s="184" t="str">
        <f>Currency&amp;$B24&amp;$C24&amp;$D24&amp;QuoteSuffix</f>
        <v>USDOIS19M_Quote</v>
      </c>
      <c r="F24" s="184" t="str">
        <f>_xll.qlSimpleQuote(Currency&amp;$B24&amp;$C24&amp;$D24&amp;QuoteSuffix,,RateTickValue,Permanent,Trigger,ObjectOverwrite)</f>
        <v>USDOIS19M_Quote#0021</v>
      </c>
      <c r="G24" s="183" t="str">
        <f>_xll.ohRangeRetrieveError(F24)</f>
        <v/>
      </c>
      <c r="H24" s="182"/>
    </row>
    <row r="25" spans="1:8" x14ac:dyDescent="0.25">
      <c r="A25" s="187"/>
      <c r="B25" s="186"/>
      <c r="C25" s="186" t="s">
        <v>187</v>
      </c>
      <c r="D25" s="192" t="s">
        <v>200</v>
      </c>
      <c r="E25" s="184" t="str">
        <f>Currency&amp;$B25&amp;$C25&amp;$D25&amp;QuoteSuffix</f>
        <v>USDOIS20M_Quote</v>
      </c>
      <c r="F25" s="184" t="str">
        <f>_xll.qlSimpleQuote(Currency&amp;$B25&amp;$C25&amp;$D25&amp;QuoteSuffix,,RateTickValue,Permanent,Trigger,ObjectOverwrite)</f>
        <v>USDOIS20M_Quote#0021</v>
      </c>
      <c r="G25" s="183" t="str">
        <f>_xll.ohRangeRetrieveError(F25)</f>
        <v/>
      </c>
      <c r="H25" s="182"/>
    </row>
    <row r="26" spans="1:8" x14ac:dyDescent="0.25">
      <c r="A26" s="187"/>
      <c r="B26" s="186"/>
      <c r="C26" s="186" t="s">
        <v>187</v>
      </c>
      <c r="D26" s="192" t="s">
        <v>133</v>
      </c>
      <c r="E26" s="184" t="str">
        <f>Currency&amp;$B26&amp;$C26&amp;$D26&amp;QuoteSuffix</f>
        <v>USDOIS21M_Quote</v>
      </c>
      <c r="F26" s="184" t="str">
        <f>_xll.qlSimpleQuote(Currency&amp;$B26&amp;$C26&amp;$D26&amp;QuoteSuffix,,RateTickValue,Permanent,Trigger,ObjectOverwrite)</f>
        <v>USDOIS21M_Quote#0021</v>
      </c>
      <c r="G26" s="183" t="str">
        <f>_xll.ohRangeRetrieveError(F26)</f>
        <v/>
      </c>
      <c r="H26" s="182"/>
    </row>
    <row r="27" spans="1:8" x14ac:dyDescent="0.25">
      <c r="A27" s="187"/>
      <c r="B27" s="186"/>
      <c r="C27" s="186" t="s">
        <v>187</v>
      </c>
      <c r="D27" s="192" t="s">
        <v>199</v>
      </c>
      <c r="E27" s="184" t="str">
        <f>Currency&amp;$B27&amp;$C27&amp;$D27&amp;QuoteSuffix</f>
        <v>USDOIS22M_Quote</v>
      </c>
      <c r="F27" s="184" t="str">
        <f>_xll.qlSimpleQuote(Currency&amp;$B27&amp;$C27&amp;$D27&amp;QuoteSuffix,,RateTickValue,Permanent,Trigger,ObjectOverwrite)</f>
        <v>USDOIS22M_Quote#0021</v>
      </c>
      <c r="G27" s="183" t="str">
        <f>_xll.ohRangeRetrieveError(F27)</f>
        <v/>
      </c>
      <c r="H27" s="182"/>
    </row>
    <row r="28" spans="1:8" x14ac:dyDescent="0.25">
      <c r="A28" s="187"/>
      <c r="B28" s="186"/>
      <c r="C28" s="186" t="s">
        <v>187</v>
      </c>
      <c r="D28" s="192" t="s">
        <v>198</v>
      </c>
      <c r="E28" s="184" t="str">
        <f>Currency&amp;$B28&amp;$C28&amp;$D28&amp;QuoteSuffix</f>
        <v>USDOIS23M_Quote</v>
      </c>
      <c r="F28" s="184" t="str">
        <f>_xll.qlSimpleQuote(Currency&amp;$B28&amp;$C28&amp;$D28&amp;QuoteSuffix,,RateTickValue,Permanent,Trigger,ObjectOverwrite)</f>
        <v>USDOIS23M_Quote#0021</v>
      </c>
      <c r="G28" s="183" t="str">
        <f>_xll.ohRangeRetrieveError(F28)</f>
        <v/>
      </c>
      <c r="H28" s="182"/>
    </row>
    <row r="29" spans="1:8" x14ac:dyDescent="0.25">
      <c r="A29" s="187"/>
      <c r="B29" s="186"/>
      <c r="C29" s="186" t="s">
        <v>187</v>
      </c>
      <c r="D29" s="192" t="s">
        <v>108</v>
      </c>
      <c r="E29" s="184" t="str">
        <f>Currency&amp;$B29&amp;$C29&amp;$D29&amp;QuoteSuffix</f>
        <v>USDOIS2Y_Quote</v>
      </c>
      <c r="F29" s="184" t="str">
        <f>_xll.qlSimpleQuote(Currency&amp;$B29&amp;$C29&amp;$D29&amp;QuoteSuffix,,RateTickValue,Permanent,Trigger,ObjectOverwrite)</f>
        <v>USDOIS2Y_Quote#0021</v>
      </c>
      <c r="G29" s="183" t="str">
        <f>_xll.ohRangeRetrieveError(F29)</f>
        <v/>
      </c>
      <c r="H29" s="182"/>
    </row>
    <row r="30" spans="1:8" x14ac:dyDescent="0.25">
      <c r="A30" s="187"/>
      <c r="B30" s="186"/>
      <c r="C30" s="186" t="s">
        <v>187</v>
      </c>
      <c r="D30" s="192" t="s">
        <v>197</v>
      </c>
      <c r="E30" s="184" t="str">
        <f>Currency&amp;$B30&amp;$C30&amp;$D30&amp;QuoteSuffix</f>
        <v>USDOIS27M_Quote</v>
      </c>
      <c r="F30" s="184" t="str">
        <f>_xll.qlSimpleQuote(Currency&amp;$B30&amp;$C30&amp;$D30&amp;QuoteSuffix,,RateTickValue,Permanent,Trigger,ObjectOverwrite)</f>
        <v>USDOIS27M_Quote#0021</v>
      </c>
      <c r="G30" s="183" t="str">
        <f>_xll.ohRangeRetrieveError(F30)</f>
        <v/>
      </c>
      <c r="H30" s="182"/>
    </row>
    <row r="31" spans="1:8" x14ac:dyDescent="0.25">
      <c r="A31" s="187"/>
      <c r="B31" s="186"/>
      <c r="C31" s="186" t="s">
        <v>187</v>
      </c>
      <c r="D31" s="192" t="s">
        <v>196</v>
      </c>
      <c r="E31" s="184" t="str">
        <f>Currency&amp;$B31&amp;$C31&amp;$D31&amp;QuoteSuffix</f>
        <v>USDOIS30M_Quote</v>
      </c>
      <c r="F31" s="184" t="str">
        <f>_xll.qlSimpleQuote(Currency&amp;$B31&amp;$C31&amp;$D31&amp;QuoteSuffix,,RateTickValue,Permanent,Trigger,ObjectOverwrite)</f>
        <v>USDOIS30M_Quote#0021</v>
      </c>
      <c r="G31" s="183" t="str">
        <f>_xll.ohRangeRetrieveError(F31)</f>
        <v/>
      </c>
      <c r="H31" s="182"/>
    </row>
    <row r="32" spans="1:8" x14ac:dyDescent="0.25">
      <c r="A32" s="187"/>
      <c r="B32" s="186"/>
      <c r="C32" s="186" t="s">
        <v>187</v>
      </c>
      <c r="D32" s="192" t="s">
        <v>195</v>
      </c>
      <c r="E32" s="184" t="str">
        <f>Currency&amp;$B32&amp;$C32&amp;$D32&amp;QuoteSuffix</f>
        <v>USDOIS33M_Quote</v>
      </c>
      <c r="F32" s="184" t="str">
        <f>_xll.qlSimpleQuote(Currency&amp;$B32&amp;$C32&amp;$D32&amp;QuoteSuffix,,RateTickValue,Permanent,Trigger,ObjectOverwrite)</f>
        <v>USDOIS33M_Quote#0021</v>
      </c>
      <c r="G32" s="183" t="str">
        <f>_xll.ohRangeRetrieveError(F32)</f>
        <v/>
      </c>
      <c r="H32" s="182"/>
    </row>
    <row r="33" spans="1:8" x14ac:dyDescent="0.25">
      <c r="A33" s="187"/>
      <c r="B33" s="186"/>
      <c r="C33" s="186" t="s">
        <v>187</v>
      </c>
      <c r="D33" s="192" t="s">
        <v>107</v>
      </c>
      <c r="E33" s="184" t="str">
        <f>Currency&amp;$B33&amp;$C33&amp;$D33&amp;QuoteSuffix</f>
        <v>USDOIS3Y_Quote</v>
      </c>
      <c r="F33" s="184" t="str">
        <f>_xll.qlSimpleQuote(Currency&amp;$B33&amp;$C33&amp;$D33&amp;QuoteSuffix,,RateTickValue,Permanent,Trigger,ObjectOverwrite)</f>
        <v>USDOIS3Y_Quote#0021</v>
      </c>
      <c r="G33" s="183" t="str">
        <f>_xll.ohRangeRetrieveError(F33)</f>
        <v/>
      </c>
      <c r="H33" s="182"/>
    </row>
    <row r="34" spans="1:8" x14ac:dyDescent="0.25">
      <c r="A34" s="187"/>
      <c r="B34" s="186"/>
      <c r="C34" s="186" t="s">
        <v>187</v>
      </c>
      <c r="D34" s="192" t="s">
        <v>194</v>
      </c>
      <c r="E34" s="184" t="str">
        <f>Currency&amp;$B34&amp;$C34&amp;$D34&amp;QuoteSuffix</f>
        <v>USDOIS39M_Quote</v>
      </c>
      <c r="F34" s="184" t="str">
        <f>_xll.qlSimpleQuote(Currency&amp;$B34&amp;$C34&amp;$D34&amp;QuoteSuffix,,RateTickValue,Permanent,Trigger,ObjectOverwrite)</f>
        <v>USDOIS39M_Quote#0021</v>
      </c>
      <c r="G34" s="183" t="str">
        <f>_xll.ohRangeRetrieveError(F34)</f>
        <v/>
      </c>
      <c r="H34" s="182"/>
    </row>
    <row r="35" spans="1:8" x14ac:dyDescent="0.25">
      <c r="A35" s="187"/>
      <c r="B35" s="186"/>
      <c r="C35" s="186" t="s">
        <v>187</v>
      </c>
      <c r="D35" s="192" t="s">
        <v>193</v>
      </c>
      <c r="E35" s="184" t="str">
        <f>Currency&amp;$B35&amp;$C35&amp;$D35&amp;QuoteSuffix</f>
        <v>USDOIS42M_Quote</v>
      </c>
      <c r="F35" s="184" t="str">
        <f>_xll.qlSimpleQuote(Currency&amp;$B35&amp;$C35&amp;$D35&amp;QuoteSuffix,,RateTickValue,Permanent,Trigger,ObjectOverwrite)</f>
        <v>USDOIS42M_Quote#0021</v>
      </c>
      <c r="G35" s="183" t="str">
        <f>_xll.ohRangeRetrieveError(F35)</f>
        <v/>
      </c>
      <c r="H35" s="182"/>
    </row>
    <row r="36" spans="1:8" x14ac:dyDescent="0.25">
      <c r="A36" s="187"/>
      <c r="B36" s="186"/>
      <c r="C36" s="186" t="s">
        <v>187</v>
      </c>
      <c r="D36" s="192" t="s">
        <v>192</v>
      </c>
      <c r="E36" s="184" t="str">
        <f>Currency&amp;$B36&amp;$C36&amp;$D36&amp;QuoteSuffix</f>
        <v>USDOIS45M_Quote</v>
      </c>
      <c r="F36" s="184" t="str">
        <f>_xll.qlSimpleQuote(Currency&amp;$B36&amp;$C36&amp;$D36&amp;QuoteSuffix,,RateTickValue,Permanent,Trigger,ObjectOverwrite)</f>
        <v>USDOIS45M_Quote#0021</v>
      </c>
      <c r="G36" s="183" t="str">
        <f>_xll.ohRangeRetrieveError(F36)</f>
        <v/>
      </c>
      <c r="H36" s="182"/>
    </row>
    <row r="37" spans="1:8" x14ac:dyDescent="0.25">
      <c r="A37" s="187"/>
      <c r="B37" s="186"/>
      <c r="C37" s="186" t="s">
        <v>187</v>
      </c>
      <c r="D37" s="192" t="s">
        <v>106</v>
      </c>
      <c r="E37" s="184" t="str">
        <f>Currency&amp;$B37&amp;$C37&amp;$D37&amp;QuoteSuffix</f>
        <v>USDOIS4Y_Quote</v>
      </c>
      <c r="F37" s="184" t="str">
        <f>_xll.qlSimpleQuote(Currency&amp;$B37&amp;$C37&amp;$D37&amp;QuoteSuffix,,RateTickValue,Permanent,Trigger,ObjectOverwrite)</f>
        <v>USDOIS4Y_Quote#0021</v>
      </c>
      <c r="G37" s="183" t="str">
        <f>_xll.ohRangeRetrieveError(F37)</f>
        <v/>
      </c>
      <c r="H37" s="182"/>
    </row>
    <row r="38" spans="1:8" x14ac:dyDescent="0.25">
      <c r="A38" s="187"/>
      <c r="B38" s="186"/>
      <c r="C38" s="186" t="s">
        <v>187</v>
      </c>
      <c r="D38" s="192" t="s">
        <v>191</v>
      </c>
      <c r="E38" s="184" t="str">
        <f>Currency&amp;$B38&amp;$C38&amp;$D38&amp;QuoteSuffix</f>
        <v>USDOIS51M_Quote</v>
      </c>
      <c r="F38" s="184" t="str">
        <f>_xll.qlSimpleQuote(Currency&amp;$B38&amp;$C38&amp;$D38&amp;QuoteSuffix,,RateTickValue,Permanent,Trigger,ObjectOverwrite)</f>
        <v>USDOIS51M_Quote#0021</v>
      </c>
      <c r="G38" s="183" t="str">
        <f>_xll.ohRangeRetrieveError(F38)</f>
        <v/>
      </c>
      <c r="H38" s="182"/>
    </row>
    <row r="39" spans="1:8" x14ac:dyDescent="0.25">
      <c r="A39" s="187"/>
      <c r="B39" s="186"/>
      <c r="C39" s="186" t="s">
        <v>187</v>
      </c>
      <c r="D39" s="192" t="s">
        <v>190</v>
      </c>
      <c r="E39" s="184" t="str">
        <f>Currency&amp;$B39&amp;$C39&amp;$D39&amp;QuoteSuffix</f>
        <v>USDOIS54M_Quote</v>
      </c>
      <c r="F39" s="184" t="str">
        <f>_xll.qlSimpleQuote(Currency&amp;$B39&amp;$C39&amp;$D39&amp;QuoteSuffix,,RateTickValue,Permanent,Trigger,ObjectOverwrite)</f>
        <v>USDOIS54M_Quote#0021</v>
      </c>
      <c r="G39" s="183" t="str">
        <f>_xll.ohRangeRetrieveError(F39)</f>
        <v/>
      </c>
      <c r="H39" s="182"/>
    </row>
    <row r="40" spans="1:8" x14ac:dyDescent="0.25">
      <c r="A40" s="187"/>
      <c r="B40" s="186"/>
      <c r="C40" s="186" t="s">
        <v>187</v>
      </c>
      <c r="D40" s="192" t="s">
        <v>189</v>
      </c>
      <c r="E40" s="184" t="str">
        <f>Currency&amp;$B40&amp;$C40&amp;$D40&amp;QuoteSuffix</f>
        <v>USDOIS57M_Quote</v>
      </c>
      <c r="F40" s="184" t="str">
        <f>_xll.qlSimpleQuote(Currency&amp;$B40&amp;$C40&amp;$D40&amp;QuoteSuffix,,RateTickValue,Permanent,Trigger,ObjectOverwrite)</f>
        <v>USDOIS57M_Quote#0021</v>
      </c>
      <c r="G40" s="183" t="str">
        <f>_xll.ohRangeRetrieveError(F40)</f>
        <v/>
      </c>
      <c r="H40" s="182"/>
    </row>
    <row r="41" spans="1:8" x14ac:dyDescent="0.25">
      <c r="A41" s="187"/>
      <c r="B41" s="186"/>
      <c r="C41" s="186" t="s">
        <v>187</v>
      </c>
      <c r="D41" s="192" t="s">
        <v>105</v>
      </c>
      <c r="E41" s="184" t="str">
        <f>Currency&amp;$B41&amp;$C41&amp;$D41&amp;QuoteSuffix</f>
        <v>USDOIS5Y_Quote</v>
      </c>
      <c r="F41" s="184" t="str">
        <f>_xll.qlSimpleQuote(Currency&amp;$B41&amp;$C41&amp;$D41&amp;QuoteSuffix,,RateTickValue,Permanent,Trigger,ObjectOverwrite)</f>
        <v>USDOIS5Y_Quote#0021</v>
      </c>
      <c r="G41" s="183" t="str">
        <f>_xll.ohRangeRetrieveError(F41)</f>
        <v/>
      </c>
      <c r="H41" s="182"/>
    </row>
    <row r="42" spans="1:8" x14ac:dyDescent="0.25">
      <c r="A42" s="187"/>
      <c r="B42" s="186"/>
      <c r="C42" s="186" t="s">
        <v>187</v>
      </c>
      <c r="D42" s="192" t="s">
        <v>104</v>
      </c>
      <c r="E42" s="184" t="str">
        <f>Currency&amp;$B42&amp;$C42&amp;$D42&amp;QuoteSuffix</f>
        <v>USDOIS6Y_Quote</v>
      </c>
      <c r="F42" s="184" t="str">
        <f>_xll.qlSimpleQuote(Currency&amp;$B42&amp;$C42&amp;$D42&amp;QuoteSuffix,,RateTickValue,Permanent,Trigger,ObjectOverwrite)</f>
        <v>USDOIS6Y_Quote#0021</v>
      </c>
      <c r="G42" s="183" t="str">
        <f>_xll.ohRangeRetrieveError(F42)</f>
        <v/>
      </c>
      <c r="H42" s="182"/>
    </row>
    <row r="43" spans="1:8" x14ac:dyDescent="0.25">
      <c r="A43" s="187"/>
      <c r="B43" s="186"/>
      <c r="C43" s="186" t="s">
        <v>187</v>
      </c>
      <c r="D43" s="192" t="s">
        <v>103</v>
      </c>
      <c r="E43" s="184" t="str">
        <f>Currency&amp;$B43&amp;$C43&amp;$D43&amp;QuoteSuffix</f>
        <v>USDOIS7Y_Quote</v>
      </c>
      <c r="F43" s="184" t="str">
        <f>_xll.qlSimpleQuote(Currency&amp;$B43&amp;$C43&amp;$D43&amp;QuoteSuffix,,RateTickValue,Permanent,Trigger,ObjectOverwrite)</f>
        <v>USDOIS7Y_Quote#0021</v>
      </c>
      <c r="G43" s="183" t="str">
        <f>_xll.ohRangeRetrieveError(F43)</f>
        <v/>
      </c>
      <c r="H43" s="182"/>
    </row>
    <row r="44" spans="1:8" x14ac:dyDescent="0.25">
      <c r="A44" s="187"/>
      <c r="B44" s="186"/>
      <c r="C44" s="186" t="s">
        <v>187</v>
      </c>
      <c r="D44" s="192" t="s">
        <v>102</v>
      </c>
      <c r="E44" s="184" t="str">
        <f>Currency&amp;$B44&amp;$C44&amp;$D44&amp;QuoteSuffix</f>
        <v>USDOIS8Y_Quote</v>
      </c>
      <c r="F44" s="184" t="str">
        <f>_xll.qlSimpleQuote(Currency&amp;$B44&amp;$C44&amp;$D44&amp;QuoteSuffix,,RateTickValue,Permanent,Trigger,ObjectOverwrite)</f>
        <v>USDOIS8Y_Quote#0021</v>
      </c>
      <c r="G44" s="183" t="str">
        <f>_xll.ohRangeRetrieveError(F44)</f>
        <v/>
      </c>
      <c r="H44" s="182"/>
    </row>
    <row r="45" spans="1:8" x14ac:dyDescent="0.25">
      <c r="A45" s="187"/>
      <c r="B45" s="186"/>
      <c r="C45" s="186" t="s">
        <v>187</v>
      </c>
      <c r="D45" s="192" t="s">
        <v>101</v>
      </c>
      <c r="E45" s="184" t="str">
        <f>Currency&amp;$B45&amp;$C45&amp;$D45&amp;QuoteSuffix</f>
        <v>USDOIS9Y_Quote</v>
      </c>
      <c r="F45" s="184" t="str">
        <f>_xll.qlSimpleQuote(Currency&amp;$B45&amp;$C45&amp;$D45&amp;QuoteSuffix,,RateTickValue,Permanent,Trigger,ObjectOverwrite)</f>
        <v>USDOIS9Y_Quote#0021</v>
      </c>
      <c r="G45" s="183" t="str">
        <f>_xll.ohRangeRetrieveError(F45)</f>
        <v/>
      </c>
      <c r="H45" s="182"/>
    </row>
    <row r="46" spans="1:8" x14ac:dyDescent="0.25">
      <c r="A46" s="187"/>
      <c r="B46" s="186"/>
      <c r="C46" s="186" t="s">
        <v>187</v>
      </c>
      <c r="D46" s="192" t="s">
        <v>100</v>
      </c>
      <c r="E46" s="184" t="str">
        <f>Currency&amp;$B46&amp;$C46&amp;$D46&amp;QuoteSuffix</f>
        <v>USDOIS10Y_Quote</v>
      </c>
      <c r="F46" s="184" t="str">
        <f>_xll.qlSimpleQuote(Currency&amp;$B46&amp;$C46&amp;$D46&amp;QuoteSuffix,,RateTickValue,Permanent,Trigger,ObjectOverwrite)</f>
        <v>USDOIS10Y_Quote#0021</v>
      </c>
      <c r="G46" s="183" t="str">
        <f>_xll.ohRangeRetrieveError(F46)</f>
        <v/>
      </c>
      <c r="H46" s="182"/>
    </row>
    <row r="47" spans="1:8" x14ac:dyDescent="0.25">
      <c r="A47" s="187"/>
      <c r="B47" s="186"/>
      <c r="C47" s="186" t="s">
        <v>187</v>
      </c>
      <c r="D47" s="192" t="s">
        <v>98</v>
      </c>
      <c r="E47" s="184" t="str">
        <f>Currency&amp;$B47&amp;$C47&amp;$D47&amp;QuoteSuffix</f>
        <v>USDOIS12Y_Quote</v>
      </c>
      <c r="F47" s="184" t="str">
        <f>_xll.qlSimpleQuote(Currency&amp;$B47&amp;$C47&amp;$D47&amp;QuoteSuffix,,RateTickValue,Permanent,Trigger,ObjectOverwrite)</f>
        <v>USDOIS12Y_Quote#0021</v>
      </c>
      <c r="G47" s="183" t="str">
        <f>_xll.ohRangeRetrieveError(F47)</f>
        <v/>
      </c>
      <c r="H47" s="182"/>
    </row>
    <row r="48" spans="1:8" x14ac:dyDescent="0.25">
      <c r="A48" s="187"/>
      <c r="B48" s="186"/>
      <c r="C48" s="186" t="s">
        <v>187</v>
      </c>
      <c r="D48" s="192" t="s">
        <v>95</v>
      </c>
      <c r="E48" s="184" t="str">
        <f>Currency&amp;$B48&amp;$C48&amp;$D48&amp;QuoteSuffix</f>
        <v>USDOIS15Y_Quote</v>
      </c>
      <c r="F48" s="184" t="str">
        <f>_xll.qlSimpleQuote(Currency&amp;$B48&amp;$C48&amp;$D48&amp;QuoteSuffix,,RateTickValue,Permanent,Trigger,ObjectOverwrite)</f>
        <v>USDOIS15Y_Quote#0021</v>
      </c>
      <c r="G48" s="183" t="str">
        <f>_xll.ohRangeRetrieveError(F48)</f>
        <v/>
      </c>
      <c r="H48" s="182"/>
    </row>
    <row r="49" spans="1:8" x14ac:dyDescent="0.25">
      <c r="A49" s="187"/>
      <c r="B49" s="186"/>
      <c r="C49" s="186" t="s">
        <v>187</v>
      </c>
      <c r="D49" s="192" t="s">
        <v>90</v>
      </c>
      <c r="E49" s="184" t="str">
        <f>Currency&amp;$B49&amp;$C49&amp;$D49&amp;QuoteSuffix</f>
        <v>USDOIS20Y_Quote</v>
      </c>
      <c r="F49" s="184" t="str">
        <f>_xll.qlSimpleQuote(Currency&amp;$B49&amp;$C49&amp;$D49&amp;QuoteSuffix,,RateTickValue,Permanent,Trigger,ObjectOverwrite)</f>
        <v>USDOIS20Y_Quote#0021</v>
      </c>
      <c r="G49" s="183" t="str">
        <f>_xll.ohRangeRetrieveError(F49)</f>
        <v/>
      </c>
      <c r="H49" s="182"/>
    </row>
    <row r="50" spans="1:8" x14ac:dyDescent="0.25">
      <c r="A50" s="187"/>
      <c r="B50" s="186"/>
      <c r="C50" s="186" t="s">
        <v>187</v>
      </c>
      <c r="D50" s="192" t="s">
        <v>85</v>
      </c>
      <c r="E50" s="184" t="str">
        <f>Currency&amp;$B50&amp;$C50&amp;$D50&amp;QuoteSuffix</f>
        <v>USDOIS25Y_Quote</v>
      </c>
      <c r="F50" s="184" t="str">
        <f>_xll.qlSimpleQuote(Currency&amp;$B50&amp;$C50&amp;$D50&amp;QuoteSuffix,,RateTickValue,Permanent,Trigger,ObjectOverwrite)</f>
        <v>USDOIS25Y_Quote#0021</v>
      </c>
      <c r="G50" s="183" t="str">
        <f>_xll.ohRangeRetrieveError(F50)</f>
        <v/>
      </c>
      <c r="H50" s="182"/>
    </row>
    <row r="51" spans="1:8" x14ac:dyDescent="0.25">
      <c r="A51" s="187"/>
      <c r="B51" s="186"/>
      <c r="C51" s="186" t="s">
        <v>187</v>
      </c>
      <c r="D51" s="192" t="s">
        <v>83</v>
      </c>
      <c r="E51" s="184" t="str">
        <f>Currency&amp;$B51&amp;$C51&amp;$D51&amp;QuoteSuffix</f>
        <v>USDOIS27Y_Quote</v>
      </c>
      <c r="F51" s="184" t="str">
        <f>_xll.qlSimpleQuote(Currency&amp;$B51&amp;$C51&amp;$D51&amp;QuoteSuffix,,RateTickValue,Permanent,Trigger,ObjectOverwrite)</f>
        <v>USDOIS27Y_Quote#0021</v>
      </c>
      <c r="G51" s="183" t="str">
        <f>_xll.ohRangeRetrieveError(F51)</f>
        <v/>
      </c>
      <c r="H51" s="182"/>
    </row>
    <row r="52" spans="1:8" x14ac:dyDescent="0.25">
      <c r="A52" s="187"/>
      <c r="B52" s="186"/>
      <c r="C52" s="186" t="s">
        <v>187</v>
      </c>
      <c r="D52" s="192" t="s">
        <v>80</v>
      </c>
      <c r="E52" s="184" t="str">
        <f>Currency&amp;$B52&amp;$C52&amp;$D52&amp;QuoteSuffix</f>
        <v>USDOIS30Y_Quote</v>
      </c>
      <c r="F52" s="184" t="str">
        <f>_xll.qlSimpleQuote(Currency&amp;$B52&amp;$C52&amp;$D52&amp;QuoteSuffix,,RateTickValue,Permanent,Trigger,ObjectOverwrite)</f>
        <v>USDOIS30Y_Quote#0021</v>
      </c>
      <c r="G52" s="183" t="str">
        <f>_xll.ohRangeRetrieveError(F52)</f>
        <v/>
      </c>
      <c r="H52" s="182"/>
    </row>
    <row r="53" spans="1:8" x14ac:dyDescent="0.25">
      <c r="A53" s="187"/>
      <c r="B53" s="186"/>
      <c r="C53" s="186" t="s">
        <v>187</v>
      </c>
      <c r="D53" s="192" t="s">
        <v>75</v>
      </c>
      <c r="E53" s="184" t="str">
        <f>Currency&amp;$B53&amp;$C53&amp;$D53&amp;QuoteSuffix</f>
        <v>USDOIS35Y_Quote</v>
      </c>
      <c r="F53" s="184" t="str">
        <f>_xll.qlSimpleQuote(Currency&amp;$B53&amp;$C53&amp;$D53&amp;QuoteSuffix,,RateTickValue,Permanent,Trigger,ObjectOverwrite)</f>
        <v>USDOIS35Y_Quote#0021</v>
      </c>
      <c r="G53" s="183" t="str">
        <f>_xll.ohRangeRetrieveError(F53)</f>
        <v/>
      </c>
      <c r="H53" s="182"/>
    </row>
    <row r="54" spans="1:8" x14ac:dyDescent="0.25">
      <c r="A54" s="187"/>
      <c r="B54" s="186"/>
      <c r="C54" s="186" t="s">
        <v>187</v>
      </c>
      <c r="D54" s="192" t="s">
        <v>70</v>
      </c>
      <c r="E54" s="184" t="str">
        <f>Currency&amp;$B54&amp;$C54&amp;$D54&amp;QuoteSuffix</f>
        <v>USDOIS40Y_Quote</v>
      </c>
      <c r="F54" s="184" t="str">
        <f>_xll.qlSimpleQuote(Currency&amp;$B54&amp;$C54&amp;$D54&amp;QuoteSuffix,,RateTickValue,Permanent,Trigger,ObjectOverwrite)</f>
        <v>USDOIS40Y_Quote#0021</v>
      </c>
      <c r="G54" s="183" t="str">
        <f>_xll.ohRangeRetrieveError(F54)</f>
        <v/>
      </c>
      <c r="H54" s="182"/>
    </row>
    <row r="55" spans="1:8" x14ac:dyDescent="0.25">
      <c r="A55" s="187"/>
      <c r="B55" s="186"/>
      <c r="C55" s="186" t="s">
        <v>187</v>
      </c>
      <c r="D55" s="192" t="s">
        <v>65</v>
      </c>
      <c r="E55" s="184" t="str">
        <f>Currency&amp;$B55&amp;$C55&amp;$D55&amp;QuoteSuffix</f>
        <v>USDOIS45Y_Quote</v>
      </c>
      <c r="F55" s="184" t="str">
        <f>_xll.qlSimpleQuote(Currency&amp;$B55&amp;$C55&amp;$D55&amp;QuoteSuffix,,RateTickValue,Permanent,Trigger,ObjectOverwrite)</f>
        <v>USDOIS45Y_Quote#0021</v>
      </c>
      <c r="G55" s="183" t="str">
        <f>_xll.ohRangeRetrieveError(F55)</f>
        <v/>
      </c>
      <c r="H55" s="182"/>
    </row>
    <row r="56" spans="1:8" x14ac:dyDescent="0.25">
      <c r="A56" s="187"/>
      <c r="B56" s="186"/>
      <c r="C56" s="186" t="s">
        <v>187</v>
      </c>
      <c r="D56" s="192" t="s">
        <v>60</v>
      </c>
      <c r="E56" s="184" t="str">
        <f>Currency&amp;$B56&amp;$C56&amp;$D56&amp;QuoteSuffix</f>
        <v>USDOIS50Y_Quote</v>
      </c>
      <c r="F56" s="184" t="str">
        <f>_xll.qlSimpleQuote(Currency&amp;$B56&amp;$C56&amp;$D56&amp;QuoteSuffix,,RateTickValue,Permanent,Trigger,ObjectOverwrite)</f>
        <v>USDOIS50Y_Quote#0021</v>
      </c>
      <c r="G56" s="183" t="str">
        <f>_xll.ohRangeRetrieveError(F56)</f>
        <v/>
      </c>
      <c r="H56" s="182"/>
    </row>
    <row r="57" spans="1:8" x14ac:dyDescent="0.25">
      <c r="A57" s="187"/>
      <c r="B57" s="191"/>
      <c r="C57" s="191"/>
      <c r="D57" s="190"/>
      <c r="E57" s="189"/>
      <c r="F57" s="189"/>
      <c r="G57" s="188"/>
      <c r="H57" s="182"/>
    </row>
    <row r="58" spans="1:8" x14ac:dyDescent="0.25">
      <c r="A58" s="187"/>
      <c r="B58" s="186" t="s">
        <v>188</v>
      </c>
      <c r="C58" s="186" t="s">
        <v>187</v>
      </c>
      <c r="D58" s="185" t="str">
        <f>_xll.qlECBNextCode(_xll.qlSettingsEvaluationDate(Trigger)-365)</f>
        <v>JAN13</v>
      </c>
      <c r="E58" s="184" t="str">
        <f>Currency&amp;$B58&amp;$C58&amp;$D58&amp;QuoteSuffix</f>
        <v>USDFEDOISJAN13_Quote</v>
      </c>
      <c r="F58" s="184" t="str">
        <f>_xll.qlSimpleQuote(Currency&amp;$B58&amp;$C58&amp;$D58&amp;QuoteSuffix,,RateTickValue,Permanent,Trigger,ObjectOverwrite)</f>
        <v>USDFEDOISJAN13_Quote#0021</v>
      </c>
      <c r="G58" s="183" t="str">
        <f>_xll.ohRangeRetrieveError(F58)</f>
        <v/>
      </c>
      <c r="H58" s="182"/>
    </row>
    <row r="59" spans="1:8" x14ac:dyDescent="0.25">
      <c r="A59" s="187"/>
      <c r="B59" s="186" t="s">
        <v>188</v>
      </c>
      <c r="C59" s="186" t="s">
        <v>187</v>
      </c>
      <c r="D59" s="185" t="str">
        <f>_xll.qlECBNextCode(_xll.qlECBdate(D58))</f>
        <v>FEB13</v>
      </c>
      <c r="E59" s="184" t="str">
        <f>Currency&amp;$B59&amp;$C59&amp;$D59&amp;QuoteSuffix</f>
        <v>USDFEDOISFEB13_Quote</v>
      </c>
      <c r="F59" s="184" t="str">
        <f>_xll.qlSimpleQuote(Currency&amp;$B59&amp;$C59&amp;$D59&amp;QuoteSuffix,,RateTickValue,Permanent,Trigger,ObjectOverwrite)</f>
        <v>USDFEDOISFEB13_Quote#0021</v>
      </c>
      <c r="G59" s="183" t="str">
        <f>_xll.ohRangeRetrieveError(F59)</f>
        <v/>
      </c>
      <c r="H59" s="182"/>
    </row>
    <row r="60" spans="1:8" x14ac:dyDescent="0.25">
      <c r="A60" s="187"/>
      <c r="B60" s="186" t="s">
        <v>188</v>
      </c>
      <c r="C60" s="186" t="s">
        <v>187</v>
      </c>
      <c r="D60" s="185" t="str">
        <f>_xll.qlECBNextCode(_xll.qlECBdate(D59))</f>
        <v>MAR13</v>
      </c>
      <c r="E60" s="184" t="str">
        <f>Currency&amp;$B60&amp;$C60&amp;$D60&amp;QuoteSuffix</f>
        <v>USDFEDOISMAR13_Quote</v>
      </c>
      <c r="F60" s="184" t="str">
        <f>_xll.qlSimpleQuote(Currency&amp;$B60&amp;$C60&amp;$D60&amp;QuoteSuffix,,RateTickValue,Permanent,Trigger,ObjectOverwrite)</f>
        <v>USDFEDOISMAR13_Quote#0021</v>
      </c>
      <c r="G60" s="183" t="str">
        <f>_xll.ohRangeRetrieveError(F60)</f>
        <v/>
      </c>
      <c r="H60" s="182"/>
    </row>
    <row r="61" spans="1:8" x14ac:dyDescent="0.25">
      <c r="A61" s="187"/>
      <c r="B61" s="186" t="s">
        <v>188</v>
      </c>
      <c r="C61" s="186" t="s">
        <v>187</v>
      </c>
      <c r="D61" s="185" t="str">
        <f>_xll.qlECBNextCode(_xll.qlECBdate(D60))</f>
        <v>APR13</v>
      </c>
      <c r="E61" s="184" t="str">
        <f>Currency&amp;$B61&amp;$C61&amp;$D61&amp;QuoteSuffix</f>
        <v>USDFEDOISAPR13_Quote</v>
      </c>
      <c r="F61" s="184" t="str">
        <f>_xll.qlSimpleQuote(Currency&amp;$B61&amp;$C61&amp;$D61&amp;QuoteSuffix,,RateTickValue,Permanent,Trigger,ObjectOverwrite)</f>
        <v>USDFEDOISAPR13_Quote#0021</v>
      </c>
      <c r="G61" s="183" t="str">
        <f>_xll.ohRangeRetrieveError(F61)</f>
        <v/>
      </c>
      <c r="H61" s="182"/>
    </row>
    <row r="62" spans="1:8" x14ac:dyDescent="0.25">
      <c r="A62" s="187"/>
      <c r="B62" s="186" t="s">
        <v>188</v>
      </c>
      <c r="C62" s="186" t="s">
        <v>187</v>
      </c>
      <c r="D62" s="185" t="str">
        <f>_xll.qlECBNextCode(_xll.qlECBdate(D61))</f>
        <v>MAY13</v>
      </c>
      <c r="E62" s="184" t="str">
        <f>Currency&amp;$B62&amp;$C62&amp;$D62&amp;QuoteSuffix</f>
        <v>USDFEDOISMAY13_Quote</v>
      </c>
      <c r="F62" s="184" t="str">
        <f>_xll.qlSimpleQuote(Currency&amp;$B62&amp;$C62&amp;$D62&amp;QuoteSuffix,,RateTickValue,Permanent,Trigger,ObjectOverwrite)</f>
        <v>USDFEDOISMAY13_Quote#0021</v>
      </c>
      <c r="G62" s="183" t="str">
        <f>_xll.ohRangeRetrieveError(F62)</f>
        <v/>
      </c>
      <c r="H62" s="182"/>
    </row>
    <row r="63" spans="1:8" x14ac:dyDescent="0.25">
      <c r="A63" s="187"/>
      <c r="B63" s="186" t="s">
        <v>188</v>
      </c>
      <c r="C63" s="186" t="s">
        <v>187</v>
      </c>
      <c r="D63" s="185" t="str">
        <f>_xll.qlECBNextCode(_xll.qlECBdate(D62))</f>
        <v>JUN13</v>
      </c>
      <c r="E63" s="184" t="str">
        <f>Currency&amp;$B63&amp;$C63&amp;$D63&amp;QuoteSuffix</f>
        <v>USDFEDOISJUN13_Quote</v>
      </c>
      <c r="F63" s="184" t="str">
        <f>_xll.qlSimpleQuote(Currency&amp;$B63&amp;$C63&amp;$D63&amp;QuoteSuffix,,RateTickValue,Permanent,Trigger,ObjectOverwrite)</f>
        <v>USDFEDOISJUN13_Quote#0021</v>
      </c>
      <c r="G63" s="183" t="str">
        <f>_xll.ohRangeRetrieveError(F63)</f>
        <v/>
      </c>
      <c r="H63" s="182"/>
    </row>
    <row r="64" spans="1:8" x14ac:dyDescent="0.25">
      <c r="A64" s="187"/>
      <c r="B64" s="186" t="s">
        <v>188</v>
      </c>
      <c r="C64" s="186" t="s">
        <v>187</v>
      </c>
      <c r="D64" s="185" t="str">
        <f>_xll.qlECBNextCode(_xll.qlECBdate(D63))</f>
        <v>JUL13</v>
      </c>
      <c r="E64" s="184" t="str">
        <f>Currency&amp;$B64&amp;$C64&amp;$D64&amp;QuoteSuffix</f>
        <v>USDFEDOISJUL13_Quote</v>
      </c>
      <c r="F64" s="184" t="str">
        <f>_xll.qlSimpleQuote(Currency&amp;$B64&amp;$C64&amp;$D64&amp;QuoteSuffix,,RateTickValue,Permanent,Trigger,ObjectOverwrite)</f>
        <v>USDFEDOISJUL13_Quote#0021</v>
      </c>
      <c r="G64" s="183" t="str">
        <f>_xll.ohRangeRetrieveError(F64)</f>
        <v/>
      </c>
      <c r="H64" s="182"/>
    </row>
    <row r="65" spans="1:8" x14ac:dyDescent="0.25">
      <c r="A65" s="187"/>
      <c r="B65" s="186" t="s">
        <v>188</v>
      </c>
      <c r="C65" s="186" t="s">
        <v>187</v>
      </c>
      <c r="D65" s="185" t="str">
        <f>_xll.qlECBNextCode(_xll.qlECBdate(D64))</f>
        <v>AUG13</v>
      </c>
      <c r="E65" s="184" t="str">
        <f>Currency&amp;$B65&amp;$C65&amp;$D65&amp;QuoteSuffix</f>
        <v>USDFEDOISAUG13_Quote</v>
      </c>
      <c r="F65" s="184" t="str">
        <f>_xll.qlSimpleQuote(Currency&amp;$B65&amp;$C65&amp;$D65&amp;QuoteSuffix,,RateTickValue,Permanent,Trigger,ObjectOverwrite)</f>
        <v>USDFEDOISAUG13_Quote#0021</v>
      </c>
      <c r="G65" s="183" t="str">
        <f>_xll.ohRangeRetrieveError(F65)</f>
        <v/>
      </c>
      <c r="H65" s="182"/>
    </row>
    <row r="66" spans="1:8" x14ac:dyDescent="0.25">
      <c r="A66" s="187"/>
      <c r="B66" s="186" t="s">
        <v>188</v>
      </c>
      <c r="C66" s="186" t="s">
        <v>187</v>
      </c>
      <c r="D66" s="185" t="str">
        <f>_xll.qlECBNextCode(_xll.qlECBdate(D65))</f>
        <v>SEP13</v>
      </c>
      <c r="E66" s="184" t="str">
        <f>Currency&amp;$B66&amp;$C66&amp;$D66&amp;QuoteSuffix</f>
        <v>USDFEDOISSEP13_Quote</v>
      </c>
      <c r="F66" s="184" t="str">
        <f>_xll.qlSimpleQuote(Currency&amp;$B66&amp;$C66&amp;$D66&amp;QuoteSuffix,,RateTickValue,Permanent,Trigger,ObjectOverwrite)</f>
        <v>USDFEDOISSEP13_Quote#0021</v>
      </c>
      <c r="G66" s="183" t="str">
        <f>_xll.ohRangeRetrieveError(F66)</f>
        <v/>
      </c>
      <c r="H66" s="182"/>
    </row>
    <row r="67" spans="1:8" x14ac:dyDescent="0.25">
      <c r="A67" s="187"/>
      <c r="B67" s="186" t="s">
        <v>188</v>
      </c>
      <c r="C67" s="186" t="s">
        <v>187</v>
      </c>
      <c r="D67" s="185" t="str">
        <f>_xll.qlECBNextCode(_xll.qlECBdate(D66))</f>
        <v>OCT13</v>
      </c>
      <c r="E67" s="184" t="str">
        <f>Currency&amp;$B67&amp;$C67&amp;$D67&amp;QuoteSuffix</f>
        <v>USDFEDOISOCT13_Quote</v>
      </c>
      <c r="F67" s="184" t="str">
        <f>_xll.qlSimpleQuote(Currency&amp;$B67&amp;$C67&amp;$D67&amp;QuoteSuffix,,RateTickValue,Permanent,Trigger,ObjectOverwrite)</f>
        <v>USDFEDOISOCT13_Quote#0021</v>
      </c>
      <c r="G67" s="183" t="str">
        <f>_xll.ohRangeRetrieveError(F67)</f>
        <v/>
      </c>
      <c r="H67" s="182"/>
    </row>
    <row r="68" spans="1:8" x14ac:dyDescent="0.25">
      <c r="A68" s="187"/>
      <c r="B68" s="186" t="s">
        <v>188</v>
      </c>
      <c r="C68" s="186" t="s">
        <v>187</v>
      </c>
      <c r="D68" s="185" t="str">
        <f>_xll.qlECBNextCode(_xll.qlECBdate(D67))</f>
        <v>NOV13</v>
      </c>
      <c r="E68" s="184" t="str">
        <f>Currency&amp;$B68&amp;$C68&amp;$D68&amp;QuoteSuffix</f>
        <v>USDFEDOISNOV13_Quote</v>
      </c>
      <c r="F68" s="184" t="str">
        <f>_xll.qlSimpleQuote(Currency&amp;$B68&amp;$C68&amp;$D68&amp;QuoteSuffix,,RateTickValue,Permanent,Trigger,ObjectOverwrite)</f>
        <v>USDFEDOISNOV13_Quote#0021</v>
      </c>
      <c r="G68" s="183" t="str">
        <f>_xll.ohRangeRetrieveError(F68)</f>
        <v/>
      </c>
      <c r="H68" s="182"/>
    </row>
    <row r="69" spans="1:8" x14ac:dyDescent="0.25">
      <c r="A69" s="187"/>
      <c r="B69" s="186" t="s">
        <v>188</v>
      </c>
      <c r="C69" s="186" t="s">
        <v>187</v>
      </c>
      <c r="D69" s="185" t="str">
        <f>_xll.qlECBNextCode(_xll.qlECBdate(D68))</f>
        <v>DEC13</v>
      </c>
      <c r="E69" s="184" t="str">
        <f>Currency&amp;$B69&amp;$C69&amp;$D69&amp;QuoteSuffix</f>
        <v>USDFEDOISDEC13_Quote</v>
      </c>
      <c r="F69" s="184" t="str">
        <f>_xll.qlSimpleQuote(Currency&amp;$B69&amp;$C69&amp;$D69&amp;QuoteSuffix,,RateTickValue,Permanent,Trigger,ObjectOverwrite)</f>
        <v>USDFEDOISDEC13_Quote#0021</v>
      </c>
      <c r="G69" s="183" t="str">
        <f>_xll.ohRangeRetrieveError(F69)</f>
        <v/>
      </c>
      <c r="H69" s="182"/>
    </row>
    <row r="70" spans="1:8" x14ac:dyDescent="0.25">
      <c r="A70" s="187"/>
      <c r="B70" s="186" t="s">
        <v>188</v>
      </c>
      <c r="C70" s="186" t="s">
        <v>187</v>
      </c>
      <c r="D70" s="185" t="e">
        <f>_xll.qlECBNextCode(_xll.qlECBdate(D69))</f>
        <v>#NUM!</v>
      </c>
      <c r="E70" s="184" t="e">
        <f>Currency&amp;$B70&amp;$C70&amp;$D70&amp;QuoteSuffix</f>
        <v>#NUM!</v>
      </c>
      <c r="F70" s="184" t="e">
        <f>_xll.qlSimpleQuote(Currency&amp;$B70&amp;$C70&amp;$D70&amp;QuoteSuffix,,RateTickValue,Permanent,Trigger,ObjectOverwrite)</f>
        <v>#VALUE!</v>
      </c>
      <c r="G70" s="183" t="str">
        <f ca="1">_xll.ohRangeRetrieveError(F70)</f>
        <v/>
      </c>
      <c r="H70" s="182"/>
    </row>
    <row r="71" spans="1:8" x14ac:dyDescent="0.25">
      <c r="A71" s="187"/>
      <c r="B71" s="186" t="s">
        <v>188</v>
      </c>
      <c r="C71" s="186" t="s">
        <v>187</v>
      </c>
      <c r="D71" s="185" t="e">
        <f>_xll.qlECBNextCode(_xll.qlECBdate(D70))</f>
        <v>#NUM!</v>
      </c>
      <c r="E71" s="184" t="e">
        <f>Currency&amp;$B71&amp;$C71&amp;$D71&amp;QuoteSuffix</f>
        <v>#NUM!</v>
      </c>
      <c r="F71" s="184" t="e">
        <f>_xll.qlSimpleQuote(Currency&amp;$B71&amp;$C71&amp;$D71&amp;QuoteSuffix,,RateTickValue,Permanent,Trigger,ObjectOverwrite)</f>
        <v>#VALUE!</v>
      </c>
      <c r="G71" s="183" t="str">
        <f ca="1">_xll.ohRangeRetrieveError(F71)</f>
        <v/>
      </c>
      <c r="H71" s="182"/>
    </row>
    <row r="72" spans="1:8" x14ac:dyDescent="0.25">
      <c r="A72" s="187"/>
      <c r="B72" s="186" t="s">
        <v>188</v>
      </c>
      <c r="C72" s="186" t="s">
        <v>187</v>
      </c>
      <c r="D72" s="185" t="e">
        <f>_xll.qlECBNextCode(_xll.qlECBdate(D71))</f>
        <v>#NUM!</v>
      </c>
      <c r="E72" s="184" t="e">
        <f>Currency&amp;$B72&amp;$C72&amp;$D72&amp;QuoteSuffix</f>
        <v>#NUM!</v>
      </c>
      <c r="F72" s="184" t="e">
        <f>_xll.qlSimpleQuote(Currency&amp;$B72&amp;$C72&amp;$D72&amp;QuoteSuffix,,RateTickValue,Permanent,Trigger,ObjectOverwrite)</f>
        <v>#VALUE!</v>
      </c>
      <c r="G72" s="183" t="str">
        <f ca="1">_xll.ohRangeRetrieveError(F72)</f>
        <v/>
      </c>
      <c r="H72" s="182"/>
    </row>
    <row r="73" spans="1:8" x14ac:dyDescent="0.25">
      <c r="A73" s="187"/>
      <c r="B73" s="186" t="s">
        <v>188</v>
      </c>
      <c r="C73" s="186" t="s">
        <v>187</v>
      </c>
      <c r="D73" s="185" t="e">
        <f>_xll.qlECBNextCode(_xll.qlECBdate(D72))</f>
        <v>#NUM!</v>
      </c>
      <c r="E73" s="184" t="e">
        <f>Currency&amp;$B73&amp;$C73&amp;$D73&amp;QuoteSuffix</f>
        <v>#NUM!</v>
      </c>
      <c r="F73" s="184" t="e">
        <f>_xll.qlSimpleQuote(Currency&amp;$B73&amp;$C73&amp;$D73&amp;QuoteSuffix,,RateTickValue,Permanent,Trigger,ObjectOverwrite)</f>
        <v>#VALUE!</v>
      </c>
      <c r="G73" s="183" t="str">
        <f ca="1">_xll.ohRangeRetrieveError(F73)</f>
        <v/>
      </c>
      <c r="H73" s="182"/>
    </row>
    <row r="74" spans="1:8" x14ac:dyDescent="0.25">
      <c r="A74" s="187"/>
      <c r="B74" s="186" t="s">
        <v>188</v>
      </c>
      <c r="C74" s="186" t="s">
        <v>187</v>
      </c>
      <c r="D74" s="185" t="e">
        <f>_xll.qlECBNextCode(_xll.qlECBdate(D73))</f>
        <v>#NUM!</v>
      </c>
      <c r="E74" s="184" t="e">
        <f>Currency&amp;$B74&amp;$C74&amp;$D74&amp;QuoteSuffix</f>
        <v>#NUM!</v>
      </c>
      <c r="F74" s="184" t="e">
        <f>_xll.qlSimpleQuote(Currency&amp;$B74&amp;$C74&amp;$D74&amp;QuoteSuffix,,RateTickValue,Permanent,Trigger,ObjectOverwrite)</f>
        <v>#VALUE!</v>
      </c>
      <c r="G74" s="183" t="str">
        <f ca="1">_xll.ohRangeRetrieveError(F74)</f>
        <v/>
      </c>
      <c r="H74" s="182"/>
    </row>
    <row r="75" spans="1:8" x14ac:dyDescent="0.25">
      <c r="A75" s="187"/>
      <c r="B75" s="186" t="s">
        <v>188</v>
      </c>
      <c r="C75" s="186" t="s">
        <v>187</v>
      </c>
      <c r="D75" s="185" t="e">
        <f>_xll.qlECBNextCode(_xll.qlECBdate(D74))</f>
        <v>#NUM!</v>
      </c>
      <c r="E75" s="184" t="e">
        <f>Currency&amp;$B75&amp;$C75&amp;$D75&amp;QuoteSuffix</f>
        <v>#NUM!</v>
      </c>
      <c r="F75" s="184" t="e">
        <f>_xll.qlSimpleQuote(Currency&amp;$B75&amp;$C75&amp;$D75&amp;QuoteSuffix,,RateTickValue,Permanent,Trigger,ObjectOverwrite)</f>
        <v>#VALUE!</v>
      </c>
      <c r="G75" s="183" t="str">
        <f ca="1">_xll.ohRangeRetrieveError(F75)</f>
        <v/>
      </c>
      <c r="H75" s="182"/>
    </row>
    <row r="76" spans="1:8" x14ac:dyDescent="0.25">
      <c r="A76" s="187"/>
      <c r="B76" s="186" t="s">
        <v>188</v>
      </c>
      <c r="C76" s="186" t="s">
        <v>187</v>
      </c>
      <c r="D76" s="185" t="e">
        <f>_xll.qlECBNextCode(_xll.qlECBdate(D75))</f>
        <v>#NUM!</v>
      </c>
      <c r="E76" s="184" t="e">
        <f>Currency&amp;$B76&amp;$C76&amp;$D76&amp;QuoteSuffix</f>
        <v>#NUM!</v>
      </c>
      <c r="F76" s="184" t="e">
        <f>_xll.qlSimpleQuote(Currency&amp;$B76&amp;$C76&amp;$D76&amp;QuoteSuffix,,RateTickValue,Permanent,Trigger,ObjectOverwrite)</f>
        <v>#VALUE!</v>
      </c>
      <c r="G76" s="183" t="str">
        <f ca="1">_xll.ohRangeRetrieveError(F76)</f>
        <v/>
      </c>
      <c r="H76" s="182"/>
    </row>
    <row r="77" spans="1:8" x14ac:dyDescent="0.25">
      <c r="A77" s="187"/>
      <c r="B77" s="186" t="s">
        <v>188</v>
      </c>
      <c r="C77" s="186" t="s">
        <v>187</v>
      </c>
      <c r="D77" s="185" t="e">
        <f>_xll.qlECBNextCode(_xll.qlECBdate(D76))</f>
        <v>#NUM!</v>
      </c>
      <c r="E77" s="184" t="e">
        <f>Currency&amp;$B77&amp;$C77&amp;$D77&amp;QuoteSuffix</f>
        <v>#NUM!</v>
      </c>
      <c r="F77" s="184" t="e">
        <f>_xll.qlSimpleQuote(Currency&amp;$B77&amp;$C77&amp;$D77&amp;QuoteSuffix,,RateTickValue,Permanent,Trigger,ObjectOverwrite)</f>
        <v>#VALUE!</v>
      </c>
      <c r="G77" s="183" t="str">
        <f ca="1">_xll.ohRangeRetrieveError(F77)</f>
        <v/>
      </c>
      <c r="H77" s="182"/>
    </row>
    <row r="78" spans="1:8" x14ac:dyDescent="0.25">
      <c r="A78" s="187"/>
      <c r="B78" s="186" t="s">
        <v>188</v>
      </c>
      <c r="C78" s="186" t="s">
        <v>187</v>
      </c>
      <c r="D78" s="185" t="e">
        <f>_xll.qlECBNextCode(_xll.qlECBdate(D77))</f>
        <v>#NUM!</v>
      </c>
      <c r="E78" s="184" t="e">
        <f>Currency&amp;$B78&amp;$C78&amp;$D78&amp;QuoteSuffix</f>
        <v>#NUM!</v>
      </c>
      <c r="F78" s="184" t="e">
        <f>_xll.qlSimpleQuote(Currency&amp;$B78&amp;$C78&amp;$D78&amp;QuoteSuffix,,RateTickValue,Permanent,Trigger,ObjectOverwrite)</f>
        <v>#VALUE!</v>
      </c>
      <c r="G78" s="183" t="str">
        <f ca="1">_xll.ohRangeRetrieveError(F78)</f>
        <v/>
      </c>
      <c r="H78" s="182"/>
    </row>
    <row r="79" spans="1:8" x14ac:dyDescent="0.25">
      <c r="A79" s="187"/>
      <c r="B79" s="186" t="s">
        <v>188</v>
      </c>
      <c r="C79" s="186" t="s">
        <v>187</v>
      </c>
      <c r="D79" s="185" t="e">
        <f>_xll.qlECBNextCode(_xll.qlECBdate(D78))</f>
        <v>#NUM!</v>
      </c>
      <c r="E79" s="184" t="e">
        <f>Currency&amp;$B79&amp;$C79&amp;$D79&amp;QuoteSuffix</f>
        <v>#NUM!</v>
      </c>
      <c r="F79" s="184" t="e">
        <f>_xll.qlSimpleQuote(Currency&amp;$B79&amp;$C79&amp;$D79&amp;QuoteSuffix,,RateTickValue,Permanent,Trigger,ObjectOverwrite)</f>
        <v>#VALUE!</v>
      </c>
      <c r="G79" s="183" t="str">
        <f ca="1">_xll.ohRangeRetrieveError(F79)</f>
        <v/>
      </c>
      <c r="H79" s="182"/>
    </row>
    <row r="80" spans="1:8" x14ac:dyDescent="0.25">
      <c r="A80" s="187"/>
      <c r="B80" s="186" t="s">
        <v>188</v>
      </c>
      <c r="C80" s="186" t="s">
        <v>187</v>
      </c>
      <c r="D80" s="185" t="e">
        <f>_xll.qlECBNextCode(_xll.qlECBdate(D79))</f>
        <v>#NUM!</v>
      </c>
      <c r="E80" s="184" t="e">
        <f>Currency&amp;$B80&amp;$C80&amp;$D80&amp;QuoteSuffix</f>
        <v>#NUM!</v>
      </c>
      <c r="F80" s="184" t="e">
        <f>_xll.qlSimpleQuote(Currency&amp;$B80&amp;$C80&amp;$D80&amp;QuoteSuffix,,RateTickValue,Permanent,Trigger,ObjectOverwrite)</f>
        <v>#VALUE!</v>
      </c>
      <c r="G80" s="183" t="str">
        <f ca="1">_xll.ohRangeRetrieveError(F80)</f>
        <v/>
      </c>
      <c r="H80" s="182"/>
    </row>
    <row r="81" spans="1:8" x14ac:dyDescent="0.25">
      <c r="A81" s="187"/>
      <c r="B81" s="186" t="s">
        <v>188</v>
      </c>
      <c r="C81" s="186" t="s">
        <v>187</v>
      </c>
      <c r="D81" s="185" t="e">
        <f>_xll.qlECBNextCode(_xll.qlECBdate(D80))</f>
        <v>#NUM!</v>
      </c>
      <c r="E81" s="184" t="e">
        <f>Currency&amp;$B81&amp;$C81&amp;$D81&amp;QuoteSuffix</f>
        <v>#NUM!</v>
      </c>
      <c r="F81" s="184" t="e">
        <f>_xll.qlSimpleQuote(Currency&amp;$B81&amp;$C81&amp;$D81&amp;QuoteSuffix,,RateTickValue,Permanent,Trigger,ObjectOverwrite)</f>
        <v>#VALUE!</v>
      </c>
      <c r="G81" s="183" t="str">
        <f ca="1">_xll.ohRangeRetrieveError(F81)</f>
        <v/>
      </c>
      <c r="H81" s="182"/>
    </row>
    <row r="82" spans="1:8" x14ac:dyDescent="0.25">
      <c r="A82" s="187"/>
      <c r="B82" s="186" t="s">
        <v>188</v>
      </c>
      <c r="C82" s="186" t="s">
        <v>187</v>
      </c>
      <c r="D82" s="185" t="e">
        <f>_xll.qlECBNextCode(_xll.qlECBdate(D81))</f>
        <v>#NUM!</v>
      </c>
      <c r="E82" s="184" t="e">
        <f>Currency&amp;$B82&amp;$C82&amp;$D82&amp;QuoteSuffix</f>
        <v>#NUM!</v>
      </c>
      <c r="F82" s="184" t="e">
        <f>_xll.qlSimpleQuote(Currency&amp;$B82&amp;$C82&amp;$D82&amp;QuoteSuffix,,RateTickValue,Permanent,Trigger,ObjectOverwrite)</f>
        <v>#VALUE!</v>
      </c>
      <c r="G82" s="183" t="str">
        <f ca="1">_xll.ohRangeRetrieveError(F82)</f>
        <v/>
      </c>
      <c r="H82" s="182"/>
    </row>
    <row r="83" spans="1:8" x14ac:dyDescent="0.25">
      <c r="A83" s="187"/>
      <c r="B83" s="186" t="s">
        <v>188</v>
      </c>
      <c r="C83" s="186" t="s">
        <v>187</v>
      </c>
      <c r="D83" s="185" t="e">
        <f>_xll.qlECBNextCode(_xll.qlECBdate(D82))</f>
        <v>#NUM!</v>
      </c>
      <c r="E83" s="184" t="e">
        <f>Currency&amp;$B83&amp;$C83&amp;$D83&amp;QuoteSuffix</f>
        <v>#NUM!</v>
      </c>
      <c r="F83" s="184" t="e">
        <f>_xll.qlSimpleQuote(Currency&amp;$B83&amp;$C83&amp;$D83&amp;QuoteSuffix,,RateTickValue,Permanent,Trigger,ObjectOverwrite)</f>
        <v>#VALUE!</v>
      </c>
      <c r="G83" s="183" t="str">
        <f ca="1">_xll.ohRangeRetrieveError(F83)</f>
        <v/>
      </c>
      <c r="H83" s="182"/>
    </row>
    <row r="84" spans="1:8" x14ac:dyDescent="0.25">
      <c r="A84" s="187"/>
      <c r="B84" s="186" t="s">
        <v>188</v>
      </c>
      <c r="C84" s="186" t="s">
        <v>187</v>
      </c>
      <c r="D84" s="185" t="e">
        <f>_xll.qlECBNextCode(_xll.qlECBdate(D83))</f>
        <v>#NUM!</v>
      </c>
      <c r="E84" s="184" t="e">
        <f>Currency&amp;$B84&amp;$C84&amp;$D84&amp;QuoteSuffix</f>
        <v>#NUM!</v>
      </c>
      <c r="F84" s="184" t="e">
        <f>_xll.qlSimpleQuote(Currency&amp;$B84&amp;$C84&amp;$D84&amp;QuoteSuffix,,RateTickValue,Permanent,Trigger,ObjectOverwrite)</f>
        <v>#VALUE!</v>
      </c>
      <c r="G84" s="183" t="str">
        <f ca="1">_xll.ohRangeRetrieveError(F84)</f>
        <v/>
      </c>
      <c r="H84" s="182"/>
    </row>
    <row r="85" spans="1:8" x14ac:dyDescent="0.25">
      <c r="A85" s="187"/>
      <c r="B85" s="186" t="s">
        <v>188</v>
      </c>
      <c r="C85" s="186" t="s">
        <v>187</v>
      </c>
      <c r="D85" s="185" t="e">
        <f>_xll.qlECBNextCode(_xll.qlECBdate(D84))</f>
        <v>#NUM!</v>
      </c>
      <c r="E85" s="184" t="e">
        <f>Currency&amp;$B85&amp;$C85&amp;$D85&amp;QuoteSuffix</f>
        <v>#NUM!</v>
      </c>
      <c r="F85" s="184" t="e">
        <f>_xll.qlSimpleQuote(Currency&amp;$B85&amp;$C85&amp;$D85&amp;QuoteSuffix,,RateTickValue,Permanent,Trigger,ObjectOverwrite)</f>
        <v>#VALUE!</v>
      </c>
      <c r="G85" s="183" t="str">
        <f ca="1">_xll.ohRangeRetrieveError(F85)</f>
        <v/>
      </c>
      <c r="H85" s="182"/>
    </row>
    <row r="86" spans="1:8" x14ac:dyDescent="0.25">
      <c r="A86" s="187"/>
      <c r="B86" s="186" t="s">
        <v>188</v>
      </c>
      <c r="C86" s="186" t="s">
        <v>187</v>
      </c>
      <c r="D86" s="185" t="e">
        <f>_xll.qlECBNextCode(_xll.qlECBdate(D85))</f>
        <v>#NUM!</v>
      </c>
      <c r="E86" s="184" t="e">
        <f>Currency&amp;$B86&amp;$C86&amp;$D86&amp;QuoteSuffix</f>
        <v>#NUM!</v>
      </c>
      <c r="F86" s="184" t="e">
        <f>_xll.qlSimpleQuote(Currency&amp;$B86&amp;$C86&amp;$D86&amp;QuoteSuffix,,RateTickValue,Permanent,Trigger,ObjectOverwrite)</f>
        <v>#VALUE!</v>
      </c>
      <c r="G86" s="183" t="str">
        <f ca="1">_xll.ohRangeRetrieveError(F86)</f>
        <v/>
      </c>
      <c r="H86" s="182"/>
    </row>
    <row r="87" spans="1:8" x14ac:dyDescent="0.25">
      <c r="A87" s="187"/>
      <c r="B87" s="186" t="s">
        <v>188</v>
      </c>
      <c r="C87" s="186" t="s">
        <v>187</v>
      </c>
      <c r="D87" s="185" t="e">
        <f>_xll.qlECBNextCode(_xll.qlECBdate(D86))</f>
        <v>#NUM!</v>
      </c>
      <c r="E87" s="184" t="e">
        <f>Currency&amp;$B87&amp;$C87&amp;$D87&amp;QuoteSuffix</f>
        <v>#NUM!</v>
      </c>
      <c r="F87" s="184" t="e">
        <f>_xll.qlSimpleQuote(Currency&amp;$B87&amp;$C87&amp;$D87&amp;QuoteSuffix,,RateTickValue,Permanent,Trigger,ObjectOverwrite)</f>
        <v>#VALUE!</v>
      </c>
      <c r="G87" s="183" t="str">
        <f ca="1">_xll.ohRangeRetrieveError(F87)</f>
        <v/>
      </c>
      <c r="H87" s="182"/>
    </row>
    <row r="88" spans="1:8" x14ac:dyDescent="0.25">
      <c r="A88" s="187"/>
      <c r="B88" s="186" t="s">
        <v>188</v>
      </c>
      <c r="C88" s="186" t="s">
        <v>187</v>
      </c>
      <c r="D88" s="185" t="e">
        <f>_xll.qlECBNextCode(_xll.qlECBdate(D87))</f>
        <v>#NUM!</v>
      </c>
      <c r="E88" s="184" t="e">
        <f>Currency&amp;$B88&amp;$C88&amp;$D88&amp;QuoteSuffix</f>
        <v>#NUM!</v>
      </c>
      <c r="F88" s="184" t="e">
        <f>_xll.qlSimpleQuote(Currency&amp;$B88&amp;$C88&amp;$D88&amp;QuoteSuffix,,RateTickValue,Permanent,Trigger,ObjectOverwrite)</f>
        <v>#VALUE!</v>
      </c>
      <c r="G88" s="183" t="str">
        <f ca="1">_xll.ohRangeRetrieveError(F88)</f>
        <v/>
      </c>
      <c r="H88" s="182"/>
    </row>
    <row r="89" spans="1:8" x14ac:dyDescent="0.25">
      <c r="A89" s="187"/>
      <c r="B89" s="186" t="s">
        <v>188</v>
      </c>
      <c r="C89" s="186" t="s">
        <v>187</v>
      </c>
      <c r="D89" s="185" t="e">
        <f>_xll.qlECBNextCode(_xll.qlECBdate(D88))</f>
        <v>#NUM!</v>
      </c>
      <c r="E89" s="184" t="e">
        <f>Currency&amp;$B89&amp;$C89&amp;$D89&amp;QuoteSuffix</f>
        <v>#NUM!</v>
      </c>
      <c r="F89" s="184" t="e">
        <f>_xll.qlSimpleQuote(Currency&amp;$B89&amp;$C89&amp;$D89&amp;QuoteSuffix,,RateTickValue,Permanent,Trigger,ObjectOverwrite)</f>
        <v>#VALUE!</v>
      </c>
      <c r="G89" s="183" t="str">
        <f ca="1">_xll.ohRangeRetrieveError(F89)</f>
        <v/>
      </c>
      <c r="H89" s="182"/>
    </row>
    <row r="90" spans="1:8" x14ac:dyDescent="0.25">
      <c r="A90" s="187"/>
      <c r="B90" s="186" t="s">
        <v>188</v>
      </c>
      <c r="C90" s="186" t="s">
        <v>187</v>
      </c>
      <c r="D90" s="185" t="e">
        <f>_xll.qlECBNextCode(_xll.qlECBdate(D89))</f>
        <v>#NUM!</v>
      </c>
      <c r="E90" s="184" t="e">
        <f>Currency&amp;$B90&amp;$C90&amp;$D90&amp;QuoteSuffix</f>
        <v>#NUM!</v>
      </c>
      <c r="F90" s="184" t="e">
        <f>_xll.qlSimpleQuote(Currency&amp;$B90&amp;$C90&amp;$D90&amp;QuoteSuffix,,RateTickValue,Permanent,Trigger,ObjectOverwrite)</f>
        <v>#VALUE!</v>
      </c>
      <c r="G90" s="183" t="str">
        <f ca="1">_xll.ohRangeRetrieveError(F90)</f>
        <v/>
      </c>
      <c r="H90" s="182"/>
    </row>
    <row r="91" spans="1:8" x14ac:dyDescent="0.25">
      <c r="A91" s="187"/>
      <c r="B91" s="186" t="s">
        <v>188</v>
      </c>
      <c r="C91" s="186" t="s">
        <v>187</v>
      </c>
      <c r="D91" s="185" t="e">
        <f>_xll.qlECBNextCode(_xll.qlECBdate(D90))</f>
        <v>#NUM!</v>
      </c>
      <c r="E91" s="184" t="e">
        <f>Currency&amp;$B91&amp;$C91&amp;$D91&amp;QuoteSuffix</f>
        <v>#NUM!</v>
      </c>
      <c r="F91" s="184" t="e">
        <f>_xll.qlSimpleQuote(Currency&amp;$B91&amp;$C91&amp;$D91&amp;QuoteSuffix,,RateTickValue,Permanent,Trigger,ObjectOverwrite)</f>
        <v>#VALUE!</v>
      </c>
      <c r="G91" s="183" t="str">
        <f ca="1">_xll.ohRangeRetrieveError(F91)</f>
        <v/>
      </c>
      <c r="H91" s="182"/>
    </row>
    <row r="92" spans="1:8" x14ac:dyDescent="0.25">
      <c r="A92" s="187"/>
      <c r="B92" s="186" t="s">
        <v>188</v>
      </c>
      <c r="C92" s="186" t="s">
        <v>187</v>
      </c>
      <c r="D92" s="185" t="e">
        <f>_xll.qlECBNextCode(_xll.qlECBdate(D91))</f>
        <v>#NUM!</v>
      </c>
      <c r="E92" s="184" t="e">
        <f>Currency&amp;$B92&amp;$C92&amp;$D92&amp;QuoteSuffix</f>
        <v>#NUM!</v>
      </c>
      <c r="F92" s="184" t="e">
        <f>_xll.qlSimpleQuote(Currency&amp;$B92&amp;$C92&amp;$D92&amp;QuoteSuffix,,RateTickValue,Permanent,Trigger,ObjectOverwrite)</f>
        <v>#VALUE!</v>
      </c>
      <c r="G92" s="183" t="str">
        <f ca="1">_xll.ohRangeRetrieveError(F92)</f>
        <v/>
      </c>
      <c r="H92" s="182"/>
    </row>
    <row r="93" spans="1:8" x14ac:dyDescent="0.25">
      <c r="A93" s="187"/>
      <c r="B93" s="186" t="s">
        <v>188</v>
      </c>
      <c r="C93" s="186" t="s">
        <v>187</v>
      </c>
      <c r="D93" s="185" t="e">
        <f>_xll.qlECBNextCode(_xll.qlECBdate(D92))</f>
        <v>#NUM!</v>
      </c>
      <c r="E93" s="184" t="e">
        <f>Currency&amp;$B93&amp;$C93&amp;$D93&amp;QuoteSuffix</f>
        <v>#NUM!</v>
      </c>
      <c r="F93" s="184" t="e">
        <f>_xll.qlSimpleQuote(Currency&amp;$B93&amp;$C93&amp;$D93&amp;QuoteSuffix,,RateTickValue,Permanent,Trigger,ObjectOverwrite)</f>
        <v>#VALUE!</v>
      </c>
      <c r="G93" s="183" t="str">
        <f ca="1">_xll.ohRangeRetrieveError(F93)</f>
        <v/>
      </c>
      <c r="H93" s="182"/>
    </row>
    <row r="94" spans="1:8" ht="14.25" thickBot="1" x14ac:dyDescent="0.3">
      <c r="A94" s="181"/>
      <c r="B94" s="180"/>
      <c r="C94" s="180"/>
      <c r="D94" s="180"/>
      <c r="E94" s="180"/>
      <c r="F94" s="179"/>
      <c r="G94" s="179"/>
      <c r="H94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/>
  </sheetViews>
  <sheetFormatPr defaultRowHeight="12.75" x14ac:dyDescent="0.2"/>
  <cols>
    <col min="1" max="1" width="3.7109375" style="20" customWidth="1"/>
    <col min="2" max="2" width="4.85546875" style="123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22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30" t="s">
        <v>218</v>
      </c>
      <c r="B1" s="212"/>
      <c r="C1" s="212"/>
      <c r="D1" s="212"/>
      <c r="E1" s="210"/>
      <c r="F1" s="211"/>
      <c r="G1" s="210"/>
      <c r="H1" s="209"/>
    </row>
    <row r="2" spans="1:8" x14ac:dyDescent="0.2">
      <c r="A2" s="130"/>
      <c r="B2" s="208"/>
      <c r="C2" s="207"/>
      <c r="D2" s="97"/>
      <c r="E2" s="96" t="str">
        <f>Currency&amp;"_010_Sw"&amp;"1M.xml"</f>
        <v>USD_010_Sw1M.xml</v>
      </c>
      <c r="F2" s="95">
        <f ca="1">IF(Serialize,_xll.ohObjectSave(F3:F13,SerializationPath&amp;E2,FileOverwrite,Serialize),"---")</f>
        <v>11</v>
      </c>
      <c r="G2" s="79" t="str">
        <f ca="1">_xll.ohRangeRetrieveError(F2)</f>
        <v/>
      </c>
      <c r="H2" s="52"/>
    </row>
    <row r="3" spans="1:8" x14ac:dyDescent="0.2">
      <c r="A3" s="130"/>
      <c r="B3" s="206"/>
      <c r="C3" s="82">
        <v>2</v>
      </c>
      <c r="D3" s="81" t="s">
        <v>206</v>
      </c>
      <c r="E3" s="80" t="str">
        <f>Currency&amp;$C3&amp;$D3&amp;$B3&amp;QuoteSuffix</f>
        <v>USD2X1S_Quote</v>
      </c>
      <c r="F3" s="80" t="str">
        <f>_xll.qlSimpleQuote(Currency&amp;$C3&amp;$D3&amp;$B3&amp;QuoteSuffix,,RateTickValue,Permanent,Trigger,ObjectOverwrite)</f>
        <v>USD2X1S_Quote#0020</v>
      </c>
      <c r="G3" s="30" t="str">
        <f>_xll.ohRangeRetrieveError(F3)</f>
        <v/>
      </c>
      <c r="H3" s="52"/>
    </row>
    <row r="4" spans="1:8" x14ac:dyDescent="0.2">
      <c r="A4" s="130"/>
      <c r="B4" s="205"/>
      <c r="C4" s="204">
        <v>3</v>
      </c>
      <c r="D4" s="203" t="s">
        <v>206</v>
      </c>
      <c r="E4" s="80" t="str">
        <f>Currency&amp;$C4&amp;$D4&amp;$B4&amp;QuoteSuffix</f>
        <v>USD3X1S_Quote</v>
      </c>
      <c r="F4" s="80" t="str">
        <f>_xll.qlSimpleQuote(Currency&amp;$C4&amp;$D4&amp;$B4&amp;QuoteSuffix,,RateTickValue,Permanent,Trigger,ObjectOverwrite)</f>
        <v>USD3X1S_Quote#0020</v>
      </c>
      <c r="G4" s="202" t="str">
        <f>_xll.ohRangeRetrieveError(F4)</f>
        <v/>
      </c>
      <c r="H4" s="52"/>
    </row>
    <row r="5" spans="1:8" x14ac:dyDescent="0.2">
      <c r="A5" s="130"/>
      <c r="B5" s="205"/>
      <c r="C5" s="204">
        <v>4</v>
      </c>
      <c r="D5" s="203" t="s">
        <v>206</v>
      </c>
      <c r="E5" s="80" t="str">
        <f>Currency&amp;$C5&amp;$D5&amp;$B5&amp;QuoteSuffix</f>
        <v>USD4X1S_Quote</v>
      </c>
      <c r="F5" s="80" t="str">
        <f>_xll.qlSimpleQuote(Currency&amp;$C5&amp;$D5&amp;$B5&amp;QuoteSuffix,,RateTickValue,Permanent,Trigger,ObjectOverwrite)</f>
        <v>USD4X1S_Quote#0020</v>
      </c>
      <c r="G5" s="202" t="str">
        <f>_xll.ohRangeRetrieveError(F5)</f>
        <v/>
      </c>
      <c r="H5" s="52"/>
    </row>
    <row r="6" spans="1:8" x14ac:dyDescent="0.2">
      <c r="A6" s="130"/>
      <c r="B6" s="205"/>
      <c r="C6" s="204">
        <v>5</v>
      </c>
      <c r="D6" s="203" t="s">
        <v>206</v>
      </c>
      <c r="E6" s="80" t="str">
        <f>Currency&amp;$C6&amp;$D6&amp;$B6&amp;QuoteSuffix</f>
        <v>USD5X1S_Quote</v>
      </c>
      <c r="F6" s="80" t="str">
        <f>_xll.qlSimpleQuote(Currency&amp;$C6&amp;$D6&amp;$B6&amp;QuoteSuffix,,RateTickValue,Permanent,Trigger,ObjectOverwrite)</f>
        <v>USD5X1S_Quote#0020</v>
      </c>
      <c r="G6" s="202" t="str">
        <f>_xll.ohRangeRetrieveError(F6)</f>
        <v/>
      </c>
      <c r="H6" s="52"/>
    </row>
    <row r="7" spans="1:8" x14ac:dyDescent="0.2">
      <c r="A7" s="130"/>
      <c r="B7" s="205"/>
      <c r="C7" s="204">
        <v>6</v>
      </c>
      <c r="D7" s="203" t="s">
        <v>206</v>
      </c>
      <c r="E7" s="80" t="str">
        <f>Currency&amp;$C7&amp;$D7&amp;$B7&amp;QuoteSuffix</f>
        <v>USD6X1S_Quote</v>
      </c>
      <c r="F7" s="80" t="str">
        <f>_xll.qlSimpleQuote(Currency&amp;$C7&amp;$D7&amp;$B7&amp;QuoteSuffix,,RateTickValue,Permanent,Trigger,ObjectOverwrite)</f>
        <v>USD6X1S_Quote#0020</v>
      </c>
      <c r="G7" s="202" t="str">
        <f>_xll.ohRangeRetrieveError(F7)</f>
        <v/>
      </c>
      <c r="H7" s="52"/>
    </row>
    <row r="8" spans="1:8" x14ac:dyDescent="0.2">
      <c r="A8" s="130"/>
      <c r="B8" s="205"/>
      <c r="C8" s="204">
        <v>7</v>
      </c>
      <c r="D8" s="203" t="s">
        <v>206</v>
      </c>
      <c r="E8" s="80" t="str">
        <f>Currency&amp;$C8&amp;$D8&amp;$B8&amp;QuoteSuffix</f>
        <v>USD7X1S_Quote</v>
      </c>
      <c r="F8" s="80" t="str">
        <f>_xll.qlSimpleQuote(Currency&amp;$C8&amp;$D8&amp;$B8&amp;QuoteSuffix,,RateTickValue,Permanent,Trigger,ObjectOverwrite)</f>
        <v>USD7X1S_Quote#0020</v>
      </c>
      <c r="G8" s="202" t="str">
        <f>_xll.ohRangeRetrieveError(F8)</f>
        <v/>
      </c>
      <c r="H8" s="52"/>
    </row>
    <row r="9" spans="1:8" x14ac:dyDescent="0.2">
      <c r="A9" s="130"/>
      <c r="B9" s="205"/>
      <c r="C9" s="204">
        <v>8</v>
      </c>
      <c r="D9" s="203" t="s">
        <v>206</v>
      </c>
      <c r="E9" s="80" t="str">
        <f>Currency&amp;$C9&amp;$D9&amp;$B9&amp;QuoteSuffix</f>
        <v>USD8X1S_Quote</v>
      </c>
      <c r="F9" s="80" t="str">
        <f>_xll.qlSimpleQuote(Currency&amp;$C9&amp;$D9&amp;$B9&amp;QuoteSuffix,,RateTickValue,Permanent,Trigger,ObjectOverwrite)</f>
        <v>USD8X1S_Quote#0020</v>
      </c>
      <c r="G9" s="202" t="str">
        <f>_xll.ohRangeRetrieveError(F9)</f>
        <v/>
      </c>
      <c r="H9" s="52"/>
    </row>
    <row r="10" spans="1:8" x14ac:dyDescent="0.2">
      <c r="A10" s="130"/>
      <c r="B10" s="205"/>
      <c r="C10" s="204">
        <v>9</v>
      </c>
      <c r="D10" s="203" t="s">
        <v>206</v>
      </c>
      <c r="E10" s="80" t="str">
        <f>Currency&amp;$C10&amp;$D10&amp;$B10&amp;QuoteSuffix</f>
        <v>USD9X1S_Quote</v>
      </c>
      <c r="F10" s="80" t="str">
        <f>_xll.qlSimpleQuote(Currency&amp;$C10&amp;$D10&amp;$B10&amp;QuoteSuffix,,RateTickValue,Permanent,Trigger,ObjectOverwrite)</f>
        <v>USD9X1S_Quote#0020</v>
      </c>
      <c r="G10" s="202" t="str">
        <f>_xll.ohRangeRetrieveError(F10)</f>
        <v/>
      </c>
      <c r="H10" s="52"/>
    </row>
    <row r="11" spans="1:8" x14ac:dyDescent="0.2">
      <c r="A11" s="130"/>
      <c r="B11" s="205"/>
      <c r="C11" s="204">
        <v>10</v>
      </c>
      <c r="D11" s="203" t="s">
        <v>206</v>
      </c>
      <c r="E11" s="80" t="str">
        <f>Currency&amp;$C11&amp;$D11&amp;$B11&amp;QuoteSuffix</f>
        <v>USD10X1S_Quote</v>
      </c>
      <c r="F11" s="80" t="str">
        <f>_xll.qlSimpleQuote(Currency&amp;$C11&amp;$D11&amp;$B11&amp;QuoteSuffix,,RateTickValue,Permanent,Trigger,ObjectOverwrite)</f>
        <v>USD10X1S_Quote#0020</v>
      </c>
      <c r="G11" s="202" t="str">
        <f>_xll.ohRangeRetrieveError(F11)</f>
        <v/>
      </c>
      <c r="H11" s="52"/>
    </row>
    <row r="12" spans="1:8" x14ac:dyDescent="0.2">
      <c r="A12" s="130"/>
      <c r="B12" s="205"/>
      <c r="C12" s="204">
        <v>11</v>
      </c>
      <c r="D12" s="203" t="s">
        <v>206</v>
      </c>
      <c r="E12" s="80" t="str">
        <f>Currency&amp;$C12&amp;$D12&amp;$B12&amp;QuoteSuffix</f>
        <v>USD11X1S_Quote</v>
      </c>
      <c r="F12" s="80" t="str">
        <f>_xll.qlSimpleQuote(Currency&amp;$C12&amp;$D12&amp;$B12&amp;QuoteSuffix,,RateTickValue,Permanent,Trigger,ObjectOverwrite)</f>
        <v>USD11X1S_Quote#0020</v>
      </c>
      <c r="G12" s="202" t="str">
        <f>_xll.ohRangeRetrieveError(F12)</f>
        <v/>
      </c>
      <c r="H12" s="52"/>
    </row>
    <row r="13" spans="1:8" x14ac:dyDescent="0.2">
      <c r="A13" s="130"/>
      <c r="B13" s="205"/>
      <c r="C13" s="204">
        <v>12</v>
      </c>
      <c r="D13" s="203" t="s">
        <v>206</v>
      </c>
      <c r="E13" s="80" t="str">
        <f>Currency&amp;$C13&amp;$D13&amp;$B13&amp;QuoteSuffix</f>
        <v>USD12X1S_Quote</v>
      </c>
      <c r="F13" s="80" t="str">
        <f>_xll.qlSimpleQuote(Currency&amp;$C13&amp;$D13&amp;$B13&amp;QuoteSuffix,,RateTickValue,Permanent,Trigger,ObjectOverwrite)</f>
        <v>USD12X1S_Quote#0020</v>
      </c>
      <c r="G13" s="202" t="str">
        <f>_xll.ohRangeRetrieveError(F13)</f>
        <v/>
      </c>
      <c r="H13" s="52"/>
    </row>
    <row r="14" spans="1:8" ht="13.5" thickBot="1" x14ac:dyDescent="0.25">
      <c r="A14" s="51"/>
      <c r="B14" s="50"/>
      <c r="C14" s="50"/>
      <c r="D14" s="50"/>
      <c r="E14" s="50"/>
      <c r="F14" s="124"/>
      <c r="G14" s="124"/>
      <c r="H14" s="49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defaultRowHeight="12.75" x14ac:dyDescent="0.2"/>
  <cols>
    <col min="1" max="1" width="3.7109375" style="20" customWidth="1"/>
    <col min="2" max="2" width="4.85546875" style="123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22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30" t="s">
        <v>218</v>
      </c>
      <c r="B1" s="212"/>
      <c r="C1" s="212"/>
      <c r="D1" s="212"/>
      <c r="E1" s="210"/>
      <c r="F1" s="211"/>
      <c r="G1" s="210"/>
      <c r="H1" s="209"/>
    </row>
    <row r="2" spans="1:8" x14ac:dyDescent="0.2">
      <c r="A2" s="130"/>
      <c r="B2" s="216"/>
      <c r="C2" s="215"/>
      <c r="D2" s="97"/>
      <c r="E2" s="96" t="str">
        <f>Currency&amp;"_010_Sw"&amp;"IMM.xml"</f>
        <v>USD_010_SwIMM.xml</v>
      </c>
      <c r="F2" s="95">
        <f ca="1">IF(Serialize,_xll.ohObjectSave(F3:F9,SerializationPath&amp;E2,FileOverwrite,Serialize),"---")</f>
        <v>7</v>
      </c>
      <c r="G2" s="79" t="str">
        <f ca="1">_xll.ohRangeRetrieveError(F2)</f>
        <v/>
      </c>
      <c r="H2" s="52"/>
    </row>
    <row r="3" spans="1:8" x14ac:dyDescent="0.2">
      <c r="A3" s="130"/>
      <c r="B3" s="214"/>
      <c r="C3" s="81" t="s">
        <v>207</v>
      </c>
      <c r="D3" s="81">
        <v>12</v>
      </c>
      <c r="E3" s="80" t="str">
        <f>Currency&amp;$C3&amp;$D3&amp;$B3&amp;QuoteSuffix</f>
        <v>USD1S12_Quote</v>
      </c>
      <c r="F3" s="80" t="str">
        <f>_xll.qlSimpleQuote(Currency&amp;$C3&amp;$D3&amp;$B3&amp;QuoteSuffix,,RateTickValue,Permanent,Trigger,ObjectOverwrite)</f>
        <v>USD1S12_Quote#0019</v>
      </c>
      <c r="G3" s="30" t="str">
        <f>_xll.ohRangeRetrieveError(F3)</f>
        <v/>
      </c>
      <c r="H3" s="52"/>
    </row>
    <row r="4" spans="1:8" x14ac:dyDescent="0.2">
      <c r="A4" s="130"/>
      <c r="B4" s="213"/>
      <c r="C4" s="203" t="s">
        <v>208</v>
      </c>
      <c r="D4" s="203">
        <v>12</v>
      </c>
      <c r="E4" s="80" t="str">
        <f>Currency&amp;$C4&amp;$D4&amp;$B4&amp;QuoteSuffix</f>
        <v>USD2S12_Quote</v>
      </c>
      <c r="F4" s="80" t="str">
        <f>_xll.qlSimpleQuote(Currency&amp;$C4&amp;$D4&amp;$B4&amp;QuoteSuffix,,RateTickValue,Permanent,Trigger,ObjectOverwrite)</f>
        <v>USD2S12_Quote#0019</v>
      </c>
      <c r="G4" s="202" t="str">
        <f>_xll.ohRangeRetrieveError(F4)</f>
        <v/>
      </c>
      <c r="H4" s="52"/>
    </row>
    <row r="5" spans="1:8" x14ac:dyDescent="0.2">
      <c r="A5" s="130"/>
      <c r="B5" s="213"/>
      <c r="C5" s="203" t="s">
        <v>210</v>
      </c>
      <c r="D5" s="203">
        <v>12</v>
      </c>
      <c r="E5" s="80" t="str">
        <f>Currency&amp;$C5&amp;$D5&amp;$B5&amp;QuoteSuffix</f>
        <v>USD3S12_Quote</v>
      </c>
      <c r="F5" s="80" t="str">
        <f>_xll.qlSimpleQuote(Currency&amp;$C5&amp;$D5&amp;$B5&amp;QuoteSuffix,,RateTickValue,Permanent,Trigger,ObjectOverwrite)</f>
        <v>USD3S12_Quote#0019</v>
      </c>
      <c r="G5" s="202" t="str">
        <f>_xll.ohRangeRetrieveError(F5)</f>
        <v/>
      </c>
      <c r="H5" s="52"/>
    </row>
    <row r="6" spans="1:8" x14ac:dyDescent="0.2">
      <c r="A6" s="130"/>
      <c r="B6" s="213"/>
      <c r="C6" s="203" t="s">
        <v>209</v>
      </c>
      <c r="D6" s="203">
        <v>12</v>
      </c>
      <c r="E6" s="80" t="str">
        <f>Currency&amp;$C6&amp;$D6&amp;$B6&amp;QuoteSuffix</f>
        <v>USD4S12_Quote</v>
      </c>
      <c r="F6" s="80" t="str">
        <f>_xll.qlSimpleQuote(Currency&amp;$C6&amp;$D6&amp;$B6&amp;QuoteSuffix,,RateTickValue,Permanent,Trigger,ObjectOverwrite)</f>
        <v>USD4S12_Quote#0019</v>
      </c>
      <c r="G6" s="202" t="str">
        <f>_xll.ohRangeRetrieveError(F6)</f>
        <v/>
      </c>
      <c r="H6" s="52"/>
    </row>
    <row r="7" spans="1:8" x14ac:dyDescent="0.2">
      <c r="A7" s="130"/>
      <c r="B7" s="213"/>
      <c r="C7" s="203" t="s">
        <v>207</v>
      </c>
      <c r="D7" s="203">
        <v>24</v>
      </c>
      <c r="E7" s="80" t="str">
        <f>Currency&amp;$C7&amp;$D7&amp;$B7&amp;QuoteSuffix</f>
        <v>USD1S24_Quote</v>
      </c>
      <c r="F7" s="80" t="str">
        <f>_xll.qlSimpleQuote(Currency&amp;$C7&amp;$D7&amp;$B7&amp;QuoteSuffix,,RateTickValue,Permanent,Trigger,ObjectOverwrite)</f>
        <v>USD1S24_Quote#0019</v>
      </c>
      <c r="G7" s="202" t="str">
        <f>_xll.ohRangeRetrieveError(F7)</f>
        <v/>
      </c>
      <c r="H7" s="52"/>
    </row>
    <row r="8" spans="1:8" x14ac:dyDescent="0.2">
      <c r="A8" s="130"/>
      <c r="B8" s="213"/>
      <c r="C8" s="203" t="s">
        <v>208</v>
      </c>
      <c r="D8" s="203">
        <v>24</v>
      </c>
      <c r="E8" s="80" t="str">
        <f>Currency&amp;$C8&amp;$D8&amp;$B8&amp;QuoteSuffix</f>
        <v>USD2S24_Quote</v>
      </c>
      <c r="F8" s="80" t="str">
        <f>_xll.qlSimpleQuote(Currency&amp;$C8&amp;$D8&amp;$B8&amp;QuoteSuffix,,RateTickValue,Permanent,Trigger,ObjectOverwrite)</f>
        <v>USD2S24_Quote#0019</v>
      </c>
      <c r="G8" s="202" t="str">
        <f>_xll.ohRangeRetrieveError(F8)</f>
        <v/>
      </c>
      <c r="H8" s="52"/>
    </row>
    <row r="9" spans="1:8" x14ac:dyDescent="0.2">
      <c r="A9" s="130"/>
      <c r="B9" s="213"/>
      <c r="C9" s="203" t="s">
        <v>207</v>
      </c>
      <c r="D9" s="203">
        <v>36</v>
      </c>
      <c r="E9" s="80" t="str">
        <f>Currency&amp;$C9&amp;$D9&amp;$B9&amp;QuoteSuffix</f>
        <v>USD1S36_Quote</v>
      </c>
      <c r="F9" s="80" t="str">
        <f>_xll.qlSimpleQuote(Currency&amp;$C9&amp;$D9&amp;$B9&amp;QuoteSuffix,,RateTickValue,Permanent,Trigger,ObjectOverwrite)</f>
        <v>USD1S36_Quote#0019</v>
      </c>
      <c r="G9" s="202" t="str">
        <f>_xll.ohRangeRetrieveError(F9)</f>
        <v/>
      </c>
      <c r="H9" s="52"/>
    </row>
    <row r="10" spans="1:8" ht="13.5" thickBot="1" x14ac:dyDescent="0.25">
      <c r="A10" s="51"/>
      <c r="B10" s="50"/>
      <c r="C10" s="50"/>
      <c r="D10" s="50"/>
      <c r="E10" s="50"/>
      <c r="F10" s="124"/>
      <c r="G10" s="124"/>
      <c r="H10" s="49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2.75" x14ac:dyDescent="0.2"/>
  <cols>
    <col min="1" max="1" width="3.7109375" style="20" customWidth="1"/>
    <col min="2" max="2" width="6.5703125" style="123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22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12" ht="13.5" thickBot="1" x14ac:dyDescent="0.25">
      <c r="A1" s="230" t="s">
        <v>218</v>
      </c>
      <c r="B1" s="212"/>
      <c r="C1" s="212"/>
      <c r="D1" s="212"/>
      <c r="E1" s="210"/>
      <c r="F1" s="211"/>
      <c r="G1" s="210"/>
      <c r="H1" s="209"/>
    </row>
    <row r="2" spans="1:12" x14ac:dyDescent="0.2">
      <c r="A2" s="130"/>
      <c r="B2" s="97" t="s">
        <v>136</v>
      </c>
      <c r="C2" s="97"/>
      <c r="D2" s="97"/>
      <c r="E2" s="96" t="str">
        <f>Currency&amp;"_010_Sw"&amp;$C$3&amp;$D$3&amp;".xml"</f>
        <v>USD_010_SwAM3L.xml</v>
      </c>
      <c r="F2" s="95">
        <f ca="1">IF(Serialize,_xll.ohObjectSave(F3:F39,SerializationPath&amp;E2,FileOverwrite,Serialize),"---")</f>
        <v>37</v>
      </c>
      <c r="G2" s="79" t="str">
        <f ca="1">_xll.ohRangeRetrieveError(F2)</f>
        <v/>
      </c>
      <c r="H2" s="52"/>
      <c r="J2" s="221" t="s">
        <v>216</v>
      </c>
      <c r="K2" s="220" t="s">
        <v>215</v>
      </c>
      <c r="L2" s="219" t="s">
        <v>214</v>
      </c>
    </row>
    <row r="3" spans="1:12" x14ac:dyDescent="0.2">
      <c r="A3" s="130"/>
      <c r="B3" s="206" t="s">
        <v>29</v>
      </c>
      <c r="C3" s="82" t="str">
        <f t="array" ref="C3:C39">VLOOKUP(Currency,SwapMainSetConventions,2)</f>
        <v>AM</v>
      </c>
      <c r="D3" s="82" t="str">
        <f t="array" ref="D3:D39">VLOOKUP(Currency,SwapMainSetConventions,3)</f>
        <v>3L</v>
      </c>
      <c r="E3" s="80" t="str">
        <f>Currency&amp;$C3&amp;$D3&amp;$B3&amp;QuoteSuffix</f>
        <v>USDAM3L1Y_Quote</v>
      </c>
      <c r="F3" s="80" t="str">
        <f>_xll.qlSimpleQuote(Currency&amp;$C3&amp;$D3&amp;$B3&amp;QuoteSuffix,,RateTickValue,Permanent,Trigger,ObjectOverwrite)</f>
        <v>USDAM3L1Y_Quote#0018</v>
      </c>
      <c r="G3" s="30" t="str">
        <f>_xll.ohRangeRetrieveError(F3)</f>
        <v/>
      </c>
      <c r="H3" s="52"/>
      <c r="J3" s="218" t="s">
        <v>132</v>
      </c>
      <c r="K3" s="89" t="s">
        <v>213</v>
      </c>
      <c r="L3" s="88" t="s">
        <v>125</v>
      </c>
    </row>
    <row r="4" spans="1:12" x14ac:dyDescent="0.2">
      <c r="A4" s="130"/>
      <c r="B4" s="205" t="s">
        <v>135</v>
      </c>
      <c r="C4" s="82" t="str">
        <v>AM</v>
      </c>
      <c r="D4" s="82" t="str">
        <v>3L</v>
      </c>
      <c r="E4" s="80" t="str">
        <f>Currency&amp;$C4&amp;$D4&amp;$B4&amp;QuoteSuffix</f>
        <v>USDAM3L15M_Quote</v>
      </c>
      <c r="F4" s="80" t="str">
        <f>_xll.qlSimpleQuote(Currency&amp;$C4&amp;$D4&amp;$B4&amp;QuoteSuffix,,RateTickValue,Permanent,Trigger,ObjectOverwrite)</f>
        <v>USDAM3L15M_Quote#0018</v>
      </c>
      <c r="G4" s="202" t="str">
        <f>_xll.ohRangeRetrieveError(F4)</f>
        <v/>
      </c>
      <c r="H4" s="52"/>
      <c r="J4" s="218" t="s">
        <v>131</v>
      </c>
      <c r="K4" s="89" t="s">
        <v>213</v>
      </c>
      <c r="L4" s="88" t="s">
        <v>137</v>
      </c>
    </row>
    <row r="5" spans="1:12" x14ac:dyDescent="0.2">
      <c r="A5" s="130"/>
      <c r="B5" s="205" t="s">
        <v>134</v>
      </c>
      <c r="C5" s="82" t="str">
        <v>AM</v>
      </c>
      <c r="D5" s="82" t="str">
        <v>3L</v>
      </c>
      <c r="E5" s="80" t="str">
        <f>Currency&amp;$C5&amp;$D5&amp;$B5&amp;QuoteSuffix</f>
        <v>USDAM3L18M_Quote</v>
      </c>
      <c r="F5" s="80" t="str">
        <f>_xll.qlSimpleQuote(Currency&amp;$C5&amp;$D5&amp;$B5&amp;QuoteSuffix,,RateTickValue,Permanent,Trigger,ObjectOverwrite)</f>
        <v>USDAM3L18M_Quote#0018</v>
      </c>
      <c r="G5" s="202" t="str">
        <f>_xll.ohRangeRetrieveError(F5)</f>
        <v/>
      </c>
      <c r="H5" s="52"/>
      <c r="J5" s="218" t="s">
        <v>128</v>
      </c>
      <c r="K5" s="89" t="s">
        <v>211</v>
      </c>
      <c r="L5" s="88" t="s">
        <v>125</v>
      </c>
    </row>
    <row r="6" spans="1:12" x14ac:dyDescent="0.2">
      <c r="A6" s="130"/>
      <c r="B6" s="205" t="s">
        <v>133</v>
      </c>
      <c r="C6" s="82" t="str">
        <v>AM</v>
      </c>
      <c r="D6" s="82" t="str">
        <v>3L</v>
      </c>
      <c r="E6" s="80" t="str">
        <f>Currency&amp;$C6&amp;$D6&amp;$B6&amp;QuoteSuffix</f>
        <v>USDAM3L21M_Quote</v>
      </c>
      <c r="F6" s="80" t="str">
        <f>_xll.qlSimpleQuote(Currency&amp;$C6&amp;$D6&amp;$B6&amp;QuoteSuffix,,RateTickValue,Permanent,Trigger,ObjectOverwrite)</f>
        <v>USDAM3L21M_Quote#0018</v>
      </c>
      <c r="G6" s="202" t="str">
        <f>_xll.ohRangeRetrieveError(F6)</f>
        <v/>
      </c>
      <c r="H6" s="52"/>
      <c r="J6" s="218" t="s">
        <v>127</v>
      </c>
      <c r="K6" s="89" t="s">
        <v>212</v>
      </c>
      <c r="L6" s="88" t="s">
        <v>125</v>
      </c>
    </row>
    <row r="7" spans="1:12" ht="13.5" thickBot="1" x14ac:dyDescent="0.25">
      <c r="A7" s="130"/>
      <c r="B7" s="205" t="s">
        <v>108</v>
      </c>
      <c r="C7" s="82" t="str">
        <v>AM</v>
      </c>
      <c r="D7" s="82" t="str">
        <v>3L</v>
      </c>
      <c r="E7" s="80" t="str">
        <f>Currency&amp;$C7&amp;$D7&amp;$B7&amp;QuoteSuffix</f>
        <v>USDAM3L2Y_Quote</v>
      </c>
      <c r="F7" s="80" t="str">
        <f>_xll.qlSimpleQuote(Currency&amp;$C7&amp;$D7&amp;$B7&amp;QuoteSuffix,,RateTickValue,Permanent,Trigger,ObjectOverwrite)</f>
        <v>USDAM3L2Y_Quote#0018</v>
      </c>
      <c r="G7" s="202" t="str">
        <f>_xll.ohRangeRetrieveError(F7)</f>
        <v/>
      </c>
      <c r="H7" s="52"/>
      <c r="J7" s="217" t="s">
        <v>122</v>
      </c>
      <c r="K7" s="86" t="s">
        <v>211</v>
      </c>
      <c r="L7" s="85" t="s">
        <v>125</v>
      </c>
    </row>
    <row r="8" spans="1:12" x14ac:dyDescent="0.2">
      <c r="A8" s="130"/>
      <c r="B8" s="205" t="s">
        <v>107</v>
      </c>
      <c r="C8" s="82" t="str">
        <v>AM</v>
      </c>
      <c r="D8" s="82" t="str">
        <v>3L</v>
      </c>
      <c r="E8" s="80" t="str">
        <f>Currency&amp;$C8&amp;$D8&amp;$B8&amp;QuoteSuffix</f>
        <v>USDAM3L3Y_Quote</v>
      </c>
      <c r="F8" s="80" t="str">
        <f>_xll.qlSimpleQuote(Currency&amp;$C8&amp;$D8&amp;$B8&amp;QuoteSuffix,,RateTickValue,Permanent,Trigger,ObjectOverwrite)</f>
        <v>USDAM3L3Y_Quote#0018</v>
      </c>
      <c r="G8" s="202" t="str">
        <f>_xll.ohRangeRetrieveError(F8)</f>
        <v/>
      </c>
      <c r="H8" s="52"/>
    </row>
    <row r="9" spans="1:12" x14ac:dyDescent="0.2">
      <c r="A9" s="130"/>
      <c r="B9" s="205" t="s">
        <v>106</v>
      </c>
      <c r="C9" s="82" t="str">
        <v>AM</v>
      </c>
      <c r="D9" s="82" t="str">
        <v>3L</v>
      </c>
      <c r="E9" s="80" t="str">
        <f>Currency&amp;$C9&amp;$D9&amp;$B9&amp;QuoteSuffix</f>
        <v>USDAM3L4Y_Quote</v>
      </c>
      <c r="F9" s="80" t="str">
        <f>_xll.qlSimpleQuote(Currency&amp;$C9&amp;$D9&amp;$B9&amp;QuoteSuffix,,RateTickValue,Permanent,Trigger,ObjectOverwrite)</f>
        <v>USDAM3L4Y_Quote#0018</v>
      </c>
      <c r="G9" s="202" t="str">
        <f>_xll.ohRangeRetrieveError(F9)</f>
        <v/>
      </c>
      <c r="H9" s="52"/>
    </row>
    <row r="10" spans="1:12" x14ac:dyDescent="0.2">
      <c r="A10" s="130"/>
      <c r="B10" s="205" t="s">
        <v>105</v>
      </c>
      <c r="C10" s="82" t="str">
        <v>AM</v>
      </c>
      <c r="D10" s="82" t="str">
        <v>3L</v>
      </c>
      <c r="E10" s="80" t="str">
        <f>Currency&amp;$C10&amp;$D10&amp;$B10&amp;QuoteSuffix</f>
        <v>USDAM3L5Y_Quote</v>
      </c>
      <c r="F10" s="80" t="str">
        <f>_xll.qlSimpleQuote(Currency&amp;$C10&amp;$D10&amp;$B10&amp;QuoteSuffix,,RateTickValue,Permanent,Trigger,ObjectOverwrite)</f>
        <v>USDAM3L5Y_Quote#0018</v>
      </c>
      <c r="G10" s="202" t="str">
        <f>_xll.ohRangeRetrieveError(F10)</f>
        <v/>
      </c>
      <c r="H10" s="52"/>
    </row>
    <row r="11" spans="1:12" x14ac:dyDescent="0.2">
      <c r="A11" s="130"/>
      <c r="B11" s="205" t="s">
        <v>104</v>
      </c>
      <c r="C11" s="82" t="str">
        <v>AM</v>
      </c>
      <c r="D11" s="82" t="str">
        <v>3L</v>
      </c>
      <c r="E11" s="80" t="str">
        <f>Currency&amp;$C11&amp;$D11&amp;$B11&amp;QuoteSuffix</f>
        <v>USDAM3L6Y_Quote</v>
      </c>
      <c r="F11" s="80" t="str">
        <f>_xll.qlSimpleQuote(Currency&amp;$C11&amp;$D11&amp;$B11&amp;QuoteSuffix,,RateTickValue,Permanent,Trigger,ObjectOverwrite)</f>
        <v>USDAM3L6Y_Quote#0018</v>
      </c>
      <c r="G11" s="202" t="str">
        <f>_xll.ohRangeRetrieveError(F11)</f>
        <v/>
      </c>
      <c r="H11" s="52"/>
    </row>
    <row r="12" spans="1:12" x14ac:dyDescent="0.2">
      <c r="A12" s="130"/>
      <c r="B12" s="205" t="s">
        <v>103</v>
      </c>
      <c r="C12" s="82" t="str">
        <v>AM</v>
      </c>
      <c r="D12" s="82" t="str">
        <v>3L</v>
      </c>
      <c r="E12" s="80" t="str">
        <f>Currency&amp;$C12&amp;$D12&amp;$B12&amp;QuoteSuffix</f>
        <v>USDAM3L7Y_Quote</v>
      </c>
      <c r="F12" s="80" t="str">
        <f>_xll.qlSimpleQuote(Currency&amp;$C12&amp;$D12&amp;$B12&amp;QuoteSuffix,,RateTickValue,Permanent,Trigger,ObjectOverwrite)</f>
        <v>USDAM3L7Y_Quote#0018</v>
      </c>
      <c r="G12" s="202" t="str">
        <f>_xll.ohRangeRetrieveError(F12)</f>
        <v/>
      </c>
      <c r="H12" s="52"/>
    </row>
    <row r="13" spans="1:12" x14ac:dyDescent="0.2">
      <c r="A13" s="130"/>
      <c r="B13" s="205" t="s">
        <v>102</v>
      </c>
      <c r="C13" s="82" t="str">
        <v>AM</v>
      </c>
      <c r="D13" s="82" t="str">
        <v>3L</v>
      </c>
      <c r="E13" s="80" t="str">
        <f>Currency&amp;$C13&amp;$D13&amp;$B13&amp;QuoteSuffix</f>
        <v>USDAM3L8Y_Quote</v>
      </c>
      <c r="F13" s="80" t="str">
        <f>_xll.qlSimpleQuote(Currency&amp;$C13&amp;$D13&amp;$B13&amp;QuoteSuffix,,RateTickValue,Permanent,Trigger,ObjectOverwrite)</f>
        <v>USDAM3L8Y_Quote#0018</v>
      </c>
      <c r="G13" s="202" t="str">
        <f>_xll.ohRangeRetrieveError(F13)</f>
        <v/>
      </c>
      <c r="H13" s="52"/>
    </row>
    <row r="14" spans="1:12" x14ac:dyDescent="0.2">
      <c r="A14" s="130"/>
      <c r="B14" s="205" t="s">
        <v>101</v>
      </c>
      <c r="C14" s="82" t="str">
        <v>AM</v>
      </c>
      <c r="D14" s="82" t="str">
        <v>3L</v>
      </c>
      <c r="E14" s="80" t="str">
        <f>Currency&amp;$C14&amp;$D14&amp;$B14&amp;QuoteSuffix</f>
        <v>USDAM3L9Y_Quote</v>
      </c>
      <c r="F14" s="80" t="str">
        <f>_xll.qlSimpleQuote(Currency&amp;$C14&amp;$D14&amp;$B14&amp;QuoteSuffix,,RateTickValue,Permanent,Trigger,ObjectOverwrite)</f>
        <v>USDAM3L9Y_Quote#0018</v>
      </c>
      <c r="G14" s="202" t="str">
        <f>_xll.ohRangeRetrieveError(F14)</f>
        <v/>
      </c>
      <c r="H14" s="52"/>
    </row>
    <row r="15" spans="1:12" x14ac:dyDescent="0.2">
      <c r="A15" s="130"/>
      <c r="B15" s="205" t="s">
        <v>100</v>
      </c>
      <c r="C15" s="82" t="str">
        <v>AM</v>
      </c>
      <c r="D15" s="82" t="str">
        <v>3L</v>
      </c>
      <c r="E15" s="80" t="str">
        <f>Currency&amp;$C15&amp;$D15&amp;$B15&amp;QuoteSuffix</f>
        <v>USDAM3L10Y_Quote</v>
      </c>
      <c r="F15" s="80" t="str">
        <f>_xll.qlSimpleQuote(Currency&amp;$C15&amp;$D15&amp;$B15&amp;QuoteSuffix,,RateTickValue,Permanent,Trigger,ObjectOverwrite)</f>
        <v>USDAM3L10Y_Quote#0018</v>
      </c>
      <c r="G15" s="202" t="str">
        <f>_xll.ohRangeRetrieveError(F15)</f>
        <v/>
      </c>
      <c r="H15" s="52"/>
    </row>
    <row r="16" spans="1:12" x14ac:dyDescent="0.2">
      <c r="A16" s="130"/>
      <c r="B16" s="205" t="s">
        <v>99</v>
      </c>
      <c r="C16" s="82" t="str">
        <v>AM</v>
      </c>
      <c r="D16" s="82" t="str">
        <v>3L</v>
      </c>
      <c r="E16" s="80" t="str">
        <f>Currency&amp;$C16&amp;$D16&amp;$B16&amp;QuoteSuffix</f>
        <v>USDAM3L11Y_Quote</v>
      </c>
      <c r="F16" s="80" t="str">
        <f>_xll.qlSimpleQuote(Currency&amp;$C16&amp;$D16&amp;$B16&amp;QuoteSuffix,,RateTickValue,Permanent,Trigger,ObjectOverwrite)</f>
        <v>USDAM3L11Y_Quote#0018</v>
      </c>
      <c r="G16" s="202" t="str">
        <f>_xll.ohRangeRetrieveError(F16)</f>
        <v/>
      </c>
      <c r="H16" s="52"/>
    </row>
    <row r="17" spans="1:8" x14ac:dyDescent="0.2">
      <c r="A17" s="130"/>
      <c r="B17" s="205" t="s">
        <v>98</v>
      </c>
      <c r="C17" s="82" t="str">
        <v>AM</v>
      </c>
      <c r="D17" s="82" t="str">
        <v>3L</v>
      </c>
      <c r="E17" s="80" t="str">
        <f>Currency&amp;$C17&amp;$D17&amp;$B17&amp;QuoteSuffix</f>
        <v>USDAM3L12Y_Quote</v>
      </c>
      <c r="F17" s="80" t="str">
        <f>_xll.qlSimpleQuote(Currency&amp;$C17&amp;$D17&amp;$B17&amp;QuoteSuffix,,RateTickValue,Permanent,Trigger,ObjectOverwrite)</f>
        <v>USDAM3L12Y_Quote#0018</v>
      </c>
      <c r="G17" s="202" t="str">
        <f>_xll.ohRangeRetrieveError(F17)</f>
        <v/>
      </c>
      <c r="H17" s="52"/>
    </row>
    <row r="18" spans="1:8" x14ac:dyDescent="0.2">
      <c r="A18" s="130"/>
      <c r="B18" s="205" t="s">
        <v>97</v>
      </c>
      <c r="C18" s="82" t="str">
        <v>AM</v>
      </c>
      <c r="D18" s="82" t="str">
        <v>3L</v>
      </c>
      <c r="E18" s="80" t="str">
        <f>Currency&amp;$C18&amp;$D18&amp;$B18&amp;QuoteSuffix</f>
        <v>USDAM3L13Y_Quote</v>
      </c>
      <c r="F18" s="80" t="str">
        <f>_xll.qlSimpleQuote(Currency&amp;$C18&amp;$D18&amp;$B18&amp;QuoteSuffix,,RateTickValue,Permanent,Trigger,ObjectOverwrite)</f>
        <v>USDAM3L13Y_Quote#0018</v>
      </c>
      <c r="G18" s="202" t="str">
        <f>_xll.ohRangeRetrieveError(F18)</f>
        <v/>
      </c>
      <c r="H18" s="52"/>
    </row>
    <row r="19" spans="1:8" x14ac:dyDescent="0.2">
      <c r="A19" s="130"/>
      <c r="B19" s="205" t="s">
        <v>96</v>
      </c>
      <c r="C19" s="82" t="str">
        <v>AM</v>
      </c>
      <c r="D19" s="82" t="str">
        <v>3L</v>
      </c>
      <c r="E19" s="80" t="str">
        <f>Currency&amp;$C19&amp;$D19&amp;$B19&amp;QuoteSuffix</f>
        <v>USDAM3L14Y_Quote</v>
      </c>
      <c r="F19" s="80" t="str">
        <f>_xll.qlSimpleQuote(Currency&amp;$C19&amp;$D19&amp;$B19&amp;QuoteSuffix,,RateTickValue,Permanent,Trigger,ObjectOverwrite)</f>
        <v>USDAM3L14Y_Quote#0018</v>
      </c>
      <c r="G19" s="202" t="str">
        <f>_xll.ohRangeRetrieveError(F19)</f>
        <v/>
      </c>
      <c r="H19" s="52"/>
    </row>
    <row r="20" spans="1:8" x14ac:dyDescent="0.2">
      <c r="A20" s="130"/>
      <c r="B20" s="205" t="s">
        <v>95</v>
      </c>
      <c r="C20" s="82" t="str">
        <v>AM</v>
      </c>
      <c r="D20" s="82" t="str">
        <v>3L</v>
      </c>
      <c r="E20" s="80" t="str">
        <f>Currency&amp;$C20&amp;$D20&amp;$B20&amp;QuoteSuffix</f>
        <v>USDAM3L15Y_Quote</v>
      </c>
      <c r="F20" s="80" t="str">
        <f>_xll.qlSimpleQuote(Currency&amp;$C20&amp;$D20&amp;$B20&amp;QuoteSuffix,,RateTickValue,Permanent,Trigger,ObjectOverwrite)</f>
        <v>USDAM3L15Y_Quote#0018</v>
      </c>
      <c r="G20" s="202" t="str">
        <f>_xll.ohRangeRetrieveError(F20)</f>
        <v/>
      </c>
      <c r="H20" s="52"/>
    </row>
    <row r="21" spans="1:8" x14ac:dyDescent="0.2">
      <c r="A21" s="130"/>
      <c r="B21" s="205" t="s">
        <v>94</v>
      </c>
      <c r="C21" s="82" t="str">
        <v>AM</v>
      </c>
      <c r="D21" s="82" t="str">
        <v>3L</v>
      </c>
      <c r="E21" s="80" t="str">
        <f>Currency&amp;$C21&amp;$D21&amp;$B21&amp;QuoteSuffix</f>
        <v>USDAM3L16Y_Quote</v>
      </c>
      <c r="F21" s="80" t="str">
        <f>_xll.qlSimpleQuote(Currency&amp;$C21&amp;$D21&amp;$B21&amp;QuoteSuffix,,RateTickValue,Permanent,Trigger,ObjectOverwrite)</f>
        <v>USDAM3L16Y_Quote#0018</v>
      </c>
      <c r="G21" s="202" t="str">
        <f>_xll.ohRangeRetrieveError(F21)</f>
        <v/>
      </c>
      <c r="H21" s="52"/>
    </row>
    <row r="22" spans="1:8" x14ac:dyDescent="0.2">
      <c r="A22" s="130"/>
      <c r="B22" s="205" t="s">
        <v>93</v>
      </c>
      <c r="C22" s="82" t="str">
        <v>AM</v>
      </c>
      <c r="D22" s="82" t="str">
        <v>3L</v>
      </c>
      <c r="E22" s="80" t="str">
        <f>Currency&amp;$C22&amp;$D22&amp;$B22&amp;QuoteSuffix</f>
        <v>USDAM3L17Y_Quote</v>
      </c>
      <c r="F22" s="80" t="str">
        <f>_xll.qlSimpleQuote(Currency&amp;$C22&amp;$D22&amp;$B22&amp;QuoteSuffix,,RateTickValue,Permanent,Trigger,ObjectOverwrite)</f>
        <v>USDAM3L17Y_Quote#0018</v>
      </c>
      <c r="G22" s="202" t="str">
        <f>_xll.ohRangeRetrieveError(F22)</f>
        <v/>
      </c>
      <c r="H22" s="52"/>
    </row>
    <row r="23" spans="1:8" x14ac:dyDescent="0.2">
      <c r="A23" s="130"/>
      <c r="B23" s="205" t="s">
        <v>92</v>
      </c>
      <c r="C23" s="82" t="str">
        <v>AM</v>
      </c>
      <c r="D23" s="82" t="str">
        <v>3L</v>
      </c>
      <c r="E23" s="80" t="str">
        <f>Currency&amp;$C23&amp;$D23&amp;$B23&amp;QuoteSuffix</f>
        <v>USDAM3L18Y_Quote</v>
      </c>
      <c r="F23" s="80" t="str">
        <f>_xll.qlSimpleQuote(Currency&amp;$C23&amp;$D23&amp;$B23&amp;QuoteSuffix,,RateTickValue,Permanent,Trigger,ObjectOverwrite)</f>
        <v>USDAM3L18Y_Quote#0018</v>
      </c>
      <c r="G23" s="202" t="str">
        <f>_xll.ohRangeRetrieveError(F23)</f>
        <v/>
      </c>
      <c r="H23" s="52"/>
    </row>
    <row r="24" spans="1:8" x14ac:dyDescent="0.2">
      <c r="A24" s="130"/>
      <c r="B24" s="205" t="s">
        <v>91</v>
      </c>
      <c r="C24" s="82" t="str">
        <v>AM</v>
      </c>
      <c r="D24" s="82" t="str">
        <v>3L</v>
      </c>
      <c r="E24" s="80" t="str">
        <f>Currency&amp;$C24&amp;$D24&amp;$B24&amp;QuoteSuffix</f>
        <v>USDAM3L19Y_Quote</v>
      </c>
      <c r="F24" s="80" t="str">
        <f>_xll.qlSimpleQuote(Currency&amp;$C24&amp;$D24&amp;$B24&amp;QuoteSuffix,,RateTickValue,Permanent,Trigger,ObjectOverwrite)</f>
        <v>USDAM3L19Y_Quote#0018</v>
      </c>
      <c r="G24" s="202" t="str">
        <f>_xll.ohRangeRetrieveError(F24)</f>
        <v/>
      </c>
      <c r="H24" s="52"/>
    </row>
    <row r="25" spans="1:8" x14ac:dyDescent="0.2">
      <c r="A25" s="130"/>
      <c r="B25" s="205" t="s">
        <v>90</v>
      </c>
      <c r="C25" s="82" t="str">
        <v>AM</v>
      </c>
      <c r="D25" s="82" t="str">
        <v>3L</v>
      </c>
      <c r="E25" s="80" t="str">
        <f>Currency&amp;$C25&amp;$D25&amp;$B25&amp;QuoteSuffix</f>
        <v>USDAM3L20Y_Quote</v>
      </c>
      <c r="F25" s="80" t="str">
        <f>_xll.qlSimpleQuote(Currency&amp;$C25&amp;$D25&amp;$B25&amp;QuoteSuffix,,RateTickValue,Permanent,Trigger,ObjectOverwrite)</f>
        <v>USDAM3L20Y_Quote#0018</v>
      </c>
      <c r="G25" s="202" t="str">
        <f>_xll.ohRangeRetrieveError(F25)</f>
        <v/>
      </c>
      <c r="H25" s="52"/>
    </row>
    <row r="26" spans="1:8" x14ac:dyDescent="0.2">
      <c r="A26" s="130"/>
      <c r="B26" s="205" t="s">
        <v>89</v>
      </c>
      <c r="C26" s="82" t="str">
        <v>AM</v>
      </c>
      <c r="D26" s="82" t="str">
        <v>3L</v>
      </c>
      <c r="E26" s="80" t="str">
        <f>Currency&amp;$C26&amp;$D26&amp;$B26&amp;QuoteSuffix</f>
        <v>USDAM3L21Y_Quote</v>
      </c>
      <c r="F26" s="80" t="str">
        <f>_xll.qlSimpleQuote(Currency&amp;$C26&amp;$D26&amp;$B26&amp;QuoteSuffix,,RateTickValue,Permanent,Trigger,ObjectOverwrite)</f>
        <v>USDAM3L21Y_Quote#0018</v>
      </c>
      <c r="G26" s="202" t="str">
        <f>_xll.ohRangeRetrieveError(F26)</f>
        <v/>
      </c>
      <c r="H26" s="52"/>
    </row>
    <row r="27" spans="1:8" x14ac:dyDescent="0.2">
      <c r="A27" s="130"/>
      <c r="B27" s="205" t="s">
        <v>88</v>
      </c>
      <c r="C27" s="82" t="str">
        <v>AM</v>
      </c>
      <c r="D27" s="82" t="str">
        <v>3L</v>
      </c>
      <c r="E27" s="80" t="str">
        <f>Currency&amp;$C27&amp;$D27&amp;$B27&amp;QuoteSuffix</f>
        <v>USDAM3L22Y_Quote</v>
      </c>
      <c r="F27" s="80" t="str">
        <f>_xll.qlSimpleQuote(Currency&amp;$C27&amp;$D27&amp;$B27&amp;QuoteSuffix,,RateTickValue,Permanent,Trigger,ObjectOverwrite)</f>
        <v>USDAM3L22Y_Quote#0018</v>
      </c>
      <c r="G27" s="202" t="str">
        <f>_xll.ohRangeRetrieveError(F27)</f>
        <v/>
      </c>
      <c r="H27" s="52"/>
    </row>
    <row r="28" spans="1:8" x14ac:dyDescent="0.2">
      <c r="A28" s="130"/>
      <c r="B28" s="205" t="s">
        <v>87</v>
      </c>
      <c r="C28" s="82" t="str">
        <v>AM</v>
      </c>
      <c r="D28" s="82" t="str">
        <v>3L</v>
      </c>
      <c r="E28" s="80" t="str">
        <f>Currency&amp;$C28&amp;$D28&amp;$B28&amp;QuoteSuffix</f>
        <v>USDAM3L23Y_Quote</v>
      </c>
      <c r="F28" s="80" t="str">
        <f>_xll.qlSimpleQuote(Currency&amp;$C28&amp;$D28&amp;$B28&amp;QuoteSuffix,,RateTickValue,Permanent,Trigger,ObjectOverwrite)</f>
        <v>USDAM3L23Y_Quote#0018</v>
      </c>
      <c r="G28" s="202" t="str">
        <f>_xll.ohRangeRetrieveError(F28)</f>
        <v/>
      </c>
      <c r="H28" s="52"/>
    </row>
    <row r="29" spans="1:8" x14ac:dyDescent="0.2">
      <c r="A29" s="130"/>
      <c r="B29" s="205" t="s">
        <v>86</v>
      </c>
      <c r="C29" s="82" t="str">
        <v>AM</v>
      </c>
      <c r="D29" s="82" t="str">
        <v>3L</v>
      </c>
      <c r="E29" s="80" t="str">
        <f>Currency&amp;$C29&amp;$D29&amp;$B29&amp;QuoteSuffix</f>
        <v>USDAM3L24Y_Quote</v>
      </c>
      <c r="F29" s="80" t="str">
        <f>_xll.qlSimpleQuote(Currency&amp;$C29&amp;$D29&amp;$B29&amp;QuoteSuffix,,RateTickValue,Permanent,Trigger,ObjectOverwrite)</f>
        <v>USDAM3L24Y_Quote#0018</v>
      </c>
      <c r="G29" s="202" t="str">
        <f>_xll.ohRangeRetrieveError(F29)</f>
        <v/>
      </c>
      <c r="H29" s="52"/>
    </row>
    <row r="30" spans="1:8" x14ac:dyDescent="0.2">
      <c r="A30" s="130"/>
      <c r="B30" s="205" t="s">
        <v>85</v>
      </c>
      <c r="C30" s="82" t="str">
        <v>AM</v>
      </c>
      <c r="D30" s="82" t="str">
        <v>3L</v>
      </c>
      <c r="E30" s="80" t="str">
        <f>Currency&amp;$C30&amp;$D30&amp;$B30&amp;QuoteSuffix</f>
        <v>USDAM3L25Y_Quote</v>
      </c>
      <c r="F30" s="80" t="str">
        <f>_xll.qlSimpleQuote(Currency&amp;$C30&amp;$D30&amp;$B30&amp;QuoteSuffix,,RateTickValue,Permanent,Trigger,ObjectOverwrite)</f>
        <v>USDAM3L25Y_Quote#0018</v>
      </c>
      <c r="G30" s="202" t="str">
        <f>_xll.ohRangeRetrieveError(F30)</f>
        <v/>
      </c>
      <c r="H30" s="52"/>
    </row>
    <row r="31" spans="1:8" x14ac:dyDescent="0.2">
      <c r="A31" s="130"/>
      <c r="B31" s="205" t="s">
        <v>84</v>
      </c>
      <c r="C31" s="82" t="str">
        <v>AM</v>
      </c>
      <c r="D31" s="82" t="str">
        <v>3L</v>
      </c>
      <c r="E31" s="80" t="str">
        <f>Currency&amp;$C31&amp;$D31&amp;$B31&amp;QuoteSuffix</f>
        <v>USDAM3L26Y_Quote</v>
      </c>
      <c r="F31" s="80" t="str">
        <f>_xll.qlSimpleQuote(Currency&amp;$C31&amp;$D31&amp;$B31&amp;QuoteSuffix,,RateTickValue,Permanent,Trigger,ObjectOverwrite)</f>
        <v>USDAM3L26Y_Quote#0018</v>
      </c>
      <c r="G31" s="202" t="str">
        <f>_xll.ohRangeRetrieveError(F31)</f>
        <v/>
      </c>
      <c r="H31" s="52"/>
    </row>
    <row r="32" spans="1:8" x14ac:dyDescent="0.2">
      <c r="A32" s="130"/>
      <c r="B32" s="205" t="s">
        <v>83</v>
      </c>
      <c r="C32" s="82" t="str">
        <v>AM</v>
      </c>
      <c r="D32" s="82" t="str">
        <v>3L</v>
      </c>
      <c r="E32" s="80" t="str">
        <f>Currency&amp;$C32&amp;$D32&amp;$B32&amp;QuoteSuffix</f>
        <v>USDAM3L27Y_Quote</v>
      </c>
      <c r="F32" s="80" t="str">
        <f>_xll.qlSimpleQuote(Currency&amp;$C32&amp;$D32&amp;$B32&amp;QuoteSuffix,,RateTickValue,Permanent,Trigger,ObjectOverwrite)</f>
        <v>USDAM3L27Y_Quote#0018</v>
      </c>
      <c r="G32" s="202" t="str">
        <f>_xll.ohRangeRetrieveError(F32)</f>
        <v/>
      </c>
      <c r="H32" s="52"/>
    </row>
    <row r="33" spans="1:8" x14ac:dyDescent="0.2">
      <c r="A33" s="130"/>
      <c r="B33" s="205" t="s">
        <v>82</v>
      </c>
      <c r="C33" s="82" t="str">
        <v>AM</v>
      </c>
      <c r="D33" s="82" t="str">
        <v>3L</v>
      </c>
      <c r="E33" s="80" t="str">
        <f>Currency&amp;$C33&amp;$D33&amp;$B33&amp;QuoteSuffix</f>
        <v>USDAM3L28Y_Quote</v>
      </c>
      <c r="F33" s="80" t="str">
        <f>_xll.qlSimpleQuote(Currency&amp;$C33&amp;$D33&amp;$B33&amp;QuoteSuffix,,RateTickValue,Permanent,Trigger,ObjectOverwrite)</f>
        <v>USDAM3L28Y_Quote#0018</v>
      </c>
      <c r="G33" s="202" t="str">
        <f>_xll.ohRangeRetrieveError(F33)</f>
        <v/>
      </c>
      <c r="H33" s="52"/>
    </row>
    <row r="34" spans="1:8" x14ac:dyDescent="0.2">
      <c r="A34" s="130"/>
      <c r="B34" s="205" t="s">
        <v>81</v>
      </c>
      <c r="C34" s="82" t="str">
        <v>AM</v>
      </c>
      <c r="D34" s="82" t="str">
        <v>3L</v>
      </c>
      <c r="E34" s="80" t="str">
        <f>Currency&amp;$C34&amp;$D34&amp;$B34&amp;QuoteSuffix</f>
        <v>USDAM3L29Y_Quote</v>
      </c>
      <c r="F34" s="80" t="str">
        <f>_xll.qlSimpleQuote(Currency&amp;$C34&amp;$D34&amp;$B34&amp;QuoteSuffix,,RateTickValue,Permanent,Trigger,ObjectOverwrite)</f>
        <v>USDAM3L29Y_Quote#0018</v>
      </c>
      <c r="G34" s="202" t="str">
        <f>_xll.ohRangeRetrieveError(F34)</f>
        <v/>
      </c>
      <c r="H34" s="52"/>
    </row>
    <row r="35" spans="1:8" x14ac:dyDescent="0.2">
      <c r="A35" s="130"/>
      <c r="B35" s="205" t="s">
        <v>80</v>
      </c>
      <c r="C35" s="82" t="str">
        <v>AM</v>
      </c>
      <c r="D35" s="82" t="str">
        <v>3L</v>
      </c>
      <c r="E35" s="80" t="str">
        <f>Currency&amp;$C35&amp;$D35&amp;$B35&amp;QuoteSuffix</f>
        <v>USDAM3L30Y_Quote</v>
      </c>
      <c r="F35" s="80" t="str">
        <f>_xll.qlSimpleQuote(Currency&amp;$C35&amp;$D35&amp;$B35&amp;QuoteSuffix,,RateTickValue,Permanent,Trigger,ObjectOverwrite)</f>
        <v>USDAM3L30Y_Quote#0018</v>
      </c>
      <c r="G35" s="202" t="str">
        <f>_xll.ohRangeRetrieveError(F35)</f>
        <v/>
      </c>
      <c r="H35" s="52"/>
    </row>
    <row r="36" spans="1:8" x14ac:dyDescent="0.2">
      <c r="A36" s="130"/>
      <c r="B36" s="205" t="s">
        <v>75</v>
      </c>
      <c r="C36" s="82" t="str">
        <v>AM</v>
      </c>
      <c r="D36" s="82" t="str">
        <v>3L</v>
      </c>
      <c r="E36" s="80" t="str">
        <f>Currency&amp;$C36&amp;$D36&amp;$B36&amp;QuoteSuffix</f>
        <v>USDAM3L35Y_Quote</v>
      </c>
      <c r="F36" s="80" t="str">
        <f>_xll.qlSimpleQuote(Currency&amp;$C36&amp;$D36&amp;$B36&amp;QuoteSuffix,,RateTickValue,Permanent,Trigger,ObjectOverwrite)</f>
        <v>USDAM3L35Y_Quote#0018</v>
      </c>
      <c r="G36" s="202" t="str">
        <f>_xll.ohRangeRetrieveError(F36)</f>
        <v/>
      </c>
      <c r="H36" s="52"/>
    </row>
    <row r="37" spans="1:8" x14ac:dyDescent="0.2">
      <c r="A37" s="130"/>
      <c r="B37" s="205" t="s">
        <v>70</v>
      </c>
      <c r="C37" s="82" t="str">
        <v>AM</v>
      </c>
      <c r="D37" s="82" t="str">
        <v>3L</v>
      </c>
      <c r="E37" s="80" t="str">
        <f>Currency&amp;$C37&amp;$D37&amp;$B37&amp;QuoteSuffix</f>
        <v>USDAM3L40Y_Quote</v>
      </c>
      <c r="F37" s="80" t="str">
        <f>_xll.qlSimpleQuote(Currency&amp;$C37&amp;$D37&amp;$B37&amp;QuoteSuffix,,RateTickValue,Permanent,Trigger,ObjectOverwrite)</f>
        <v>USDAM3L40Y_Quote#0018</v>
      </c>
      <c r="G37" s="202" t="str">
        <f>_xll.ohRangeRetrieveError(F37)</f>
        <v/>
      </c>
      <c r="H37" s="52"/>
    </row>
    <row r="38" spans="1:8" x14ac:dyDescent="0.2">
      <c r="A38" s="130"/>
      <c r="B38" s="205" t="s">
        <v>60</v>
      </c>
      <c r="C38" s="82" t="str">
        <v>AM</v>
      </c>
      <c r="D38" s="82" t="str">
        <v>3L</v>
      </c>
      <c r="E38" s="80" t="str">
        <f>Currency&amp;$C38&amp;$D38&amp;$B38&amp;QuoteSuffix</f>
        <v>USDAM3L50Y_Quote</v>
      </c>
      <c r="F38" s="80" t="str">
        <f>_xll.qlSimpleQuote(Currency&amp;$C38&amp;$D38&amp;$B38&amp;QuoteSuffix,,RateTickValue,Permanent,Trigger,ObjectOverwrite)</f>
        <v>USDAM3L50Y_Quote#0018</v>
      </c>
      <c r="G38" s="202" t="str">
        <f>_xll.ohRangeRetrieveError(F38)</f>
        <v/>
      </c>
      <c r="H38" s="52"/>
    </row>
    <row r="39" spans="1:8" x14ac:dyDescent="0.2">
      <c r="A39" s="130"/>
      <c r="B39" s="205" t="s">
        <v>50</v>
      </c>
      <c r="C39" s="82" t="str">
        <v>AM</v>
      </c>
      <c r="D39" s="82" t="str">
        <v>3L</v>
      </c>
      <c r="E39" s="80" t="str">
        <f>Currency&amp;$C39&amp;$D39&amp;$B39&amp;QuoteSuffix</f>
        <v>USDAM3L60Y_Quote</v>
      </c>
      <c r="F39" s="80" t="str">
        <f>_xll.qlSimpleQuote(Currency&amp;$C39&amp;$D39&amp;$B39&amp;QuoteSuffix,,RateTickValue,Permanent,Trigger,ObjectOverwrite)</f>
        <v>USDAM3L60Y_Quote#0018</v>
      </c>
      <c r="G39" s="202" t="str">
        <f>_xll.ohRangeRetrieveError(F39)</f>
        <v/>
      </c>
      <c r="H39" s="52"/>
    </row>
    <row r="40" spans="1:8" ht="13.5" thickBot="1" x14ac:dyDescent="0.25">
      <c r="A40" s="51"/>
      <c r="B40" s="50"/>
      <c r="C40" s="50"/>
      <c r="D40" s="50"/>
      <c r="E40" s="50"/>
      <c r="F40" s="124"/>
      <c r="G40" s="124"/>
      <c r="H40" s="49"/>
    </row>
  </sheetData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1.25" x14ac:dyDescent="0.2"/>
  <cols>
    <col min="1" max="1" width="3.7109375" style="111" customWidth="1"/>
    <col min="2" max="2" width="6.5703125" style="21" bestFit="1" customWidth="1"/>
    <col min="3" max="3" width="3.140625" style="111" bestFit="1" customWidth="1"/>
    <col min="4" max="4" width="2.7109375" style="111" bestFit="1" customWidth="1"/>
    <col min="5" max="5" width="18" style="111" bestFit="1" customWidth="1"/>
    <col min="6" max="6" width="20.140625" style="222" bestFit="1" customWidth="1"/>
    <col min="7" max="7" width="38.28515625" style="111" customWidth="1"/>
    <col min="8" max="8" width="4.42578125" style="111" customWidth="1"/>
    <col min="9" max="9" width="2.42578125" style="111" customWidth="1"/>
    <col min="10" max="10" width="8.5703125" style="111" bestFit="1" customWidth="1"/>
    <col min="11" max="11" width="3.28515625" style="111" bestFit="1" customWidth="1"/>
    <col min="12" max="12" width="9.5703125" style="111" bestFit="1" customWidth="1"/>
    <col min="13" max="16384" width="9.140625" style="111"/>
  </cols>
  <sheetData>
    <row r="1" spans="1:12" ht="12" thickBot="1" x14ac:dyDescent="0.25">
      <c r="A1" s="230" t="s">
        <v>218</v>
      </c>
      <c r="B1" s="212"/>
      <c r="C1" s="212"/>
      <c r="D1" s="212"/>
      <c r="E1" s="163"/>
      <c r="F1" s="229"/>
      <c r="G1" s="163"/>
      <c r="H1" s="209"/>
    </row>
    <row r="2" spans="1:12" x14ac:dyDescent="0.2">
      <c r="A2" s="130"/>
      <c r="B2" s="97" t="s">
        <v>136</v>
      </c>
      <c r="C2" s="97"/>
      <c r="D2" s="97"/>
      <c r="E2" s="96" t="str">
        <f>Currency&amp;"_010_Sw"&amp;$C$3&amp;$D$3&amp;".xml"</f>
        <v>USD_010_SwAM6L.xml</v>
      </c>
      <c r="F2" s="95">
        <f ca="1">IF(Serialize,_xll.ohObjectSave(F3:F39,SerializationPath&amp;E2,FileOverwrite,Serialize),"---")</f>
        <v>37</v>
      </c>
      <c r="G2" s="79" t="str">
        <f ca="1">_xll.ohRangeRetrieveError(F2)</f>
        <v/>
      </c>
      <c r="H2" s="52"/>
      <c r="J2" s="221" t="s">
        <v>217</v>
      </c>
      <c r="K2" s="220" t="s">
        <v>215</v>
      </c>
      <c r="L2" s="219" t="s">
        <v>214</v>
      </c>
    </row>
    <row r="3" spans="1:12" x14ac:dyDescent="0.2">
      <c r="A3" s="130"/>
      <c r="B3" s="225" t="s">
        <v>29</v>
      </c>
      <c r="C3" s="82" t="str">
        <f t="array" ref="C3:C39">VLOOKUP(Currency,SwapSecondarySetConventions,2)</f>
        <v>AM</v>
      </c>
      <c r="D3" s="82" t="str">
        <f t="array" ref="D3:D39">VLOOKUP(Currency,SwapSecondarySetConventions,3)</f>
        <v>6L</v>
      </c>
      <c r="E3" s="80" t="str">
        <f>Currency&amp;$C3&amp;$D3&amp;$B3&amp;QuoteSuffix</f>
        <v>USDAM6L1Y_Quote</v>
      </c>
      <c r="F3" s="80" t="str">
        <f>_xll.qlSimpleQuote(Currency&amp;$C3&amp;$D3&amp;$B3&amp;QuoteSuffix,,RateTickValue,Permanent,Trigger,ObjectOverwrite)</f>
        <v>USDAM6L1Y_Quote#0017</v>
      </c>
      <c r="G3" s="79" t="str">
        <f>_xll.ohRangeRetrieveError(F3)</f>
        <v/>
      </c>
      <c r="H3" s="52"/>
      <c r="J3" s="218" t="s">
        <v>132</v>
      </c>
      <c r="K3" s="227" t="s">
        <v>213</v>
      </c>
      <c r="L3" s="226" t="s">
        <v>126</v>
      </c>
    </row>
    <row r="4" spans="1:12" x14ac:dyDescent="0.2">
      <c r="A4" s="130"/>
      <c r="B4" s="228" t="s">
        <v>135</v>
      </c>
      <c r="C4" s="82" t="str">
        <v>AM</v>
      </c>
      <c r="D4" s="82" t="str">
        <v>6L</v>
      </c>
      <c r="E4" s="80" t="str">
        <f>Currency&amp;$C4&amp;$D4&amp;$B4&amp;QuoteSuffix</f>
        <v>USDAM6L15M_Quote</v>
      </c>
      <c r="F4" s="80" t="str">
        <f>_xll.qlSimpleQuote(Currency&amp;$C4&amp;$D4&amp;$B4&amp;QuoteSuffix,,RateTickValue,Permanent,Trigger,ObjectOverwrite)</f>
        <v>USDAM6L15M_Quote#0017</v>
      </c>
      <c r="G4" s="79" t="str">
        <f>_xll.ohRangeRetrieveError(F4)</f>
        <v/>
      </c>
      <c r="H4" s="52"/>
      <c r="J4" s="218" t="s">
        <v>131</v>
      </c>
      <c r="K4" s="89" t="s">
        <v>213</v>
      </c>
      <c r="L4" s="88" t="s">
        <v>129</v>
      </c>
    </row>
    <row r="5" spans="1:12" x14ac:dyDescent="0.2">
      <c r="A5" s="130"/>
      <c r="B5" s="228" t="s">
        <v>134</v>
      </c>
      <c r="C5" s="82" t="str">
        <v>AM</v>
      </c>
      <c r="D5" s="82" t="str">
        <v>6L</v>
      </c>
      <c r="E5" s="80" t="str">
        <f>Currency&amp;$C5&amp;$D5&amp;$B5&amp;QuoteSuffix</f>
        <v>USDAM6L18M_Quote</v>
      </c>
      <c r="F5" s="80" t="str">
        <f>_xll.qlSimpleQuote(Currency&amp;$C5&amp;$D5&amp;$B5&amp;QuoteSuffix,,RateTickValue,Permanent,Trigger,ObjectOverwrite)</f>
        <v>USDAM6L18M_Quote#0017</v>
      </c>
      <c r="G5" s="79" t="str">
        <f>_xll.ohRangeRetrieveError(F5)</f>
        <v/>
      </c>
      <c r="H5" s="52"/>
      <c r="J5" s="218" t="s">
        <v>128</v>
      </c>
      <c r="K5" s="89" t="s">
        <v>212</v>
      </c>
      <c r="L5" s="88" t="s">
        <v>126</v>
      </c>
    </row>
    <row r="6" spans="1:12" x14ac:dyDescent="0.2">
      <c r="A6" s="130"/>
      <c r="B6" s="228" t="s">
        <v>133</v>
      </c>
      <c r="C6" s="82" t="str">
        <v>AM</v>
      </c>
      <c r="D6" s="82" t="str">
        <v>6L</v>
      </c>
      <c r="E6" s="80" t="str">
        <f>Currency&amp;$C6&amp;$D6&amp;$B6&amp;QuoteSuffix</f>
        <v>USDAM6L21M_Quote</v>
      </c>
      <c r="F6" s="80" t="str">
        <f>_xll.qlSimpleQuote(Currency&amp;$C6&amp;$D6&amp;$B6&amp;QuoteSuffix,,RateTickValue,Permanent,Trigger,ObjectOverwrite)</f>
        <v>USDAM6L21M_Quote#0017</v>
      </c>
      <c r="G6" s="79" t="str">
        <f>_xll.ohRangeRetrieveError(F6)</f>
        <v/>
      </c>
      <c r="H6" s="52"/>
      <c r="J6" s="218" t="s">
        <v>127</v>
      </c>
      <c r="K6" s="227" t="s">
        <v>212</v>
      </c>
      <c r="L6" s="226" t="s">
        <v>126</v>
      </c>
    </row>
    <row r="7" spans="1:12" ht="12" thickBot="1" x14ac:dyDescent="0.25">
      <c r="A7" s="130"/>
      <c r="B7" s="225" t="s">
        <v>108</v>
      </c>
      <c r="C7" s="82" t="str">
        <v>AM</v>
      </c>
      <c r="D7" s="82" t="str">
        <v>6L</v>
      </c>
      <c r="E7" s="80" t="str">
        <f>Currency&amp;$C7&amp;$D7&amp;$B7&amp;QuoteSuffix</f>
        <v>USDAM6L2Y_Quote</v>
      </c>
      <c r="F7" s="80" t="str">
        <f>_xll.qlSimpleQuote(Currency&amp;$C7&amp;$D7&amp;$B7&amp;QuoteSuffix,,RateTickValue,Permanent,Trigger,ObjectOverwrite)</f>
        <v>USDAM6L2Y_Quote#0017</v>
      </c>
      <c r="G7" s="79" t="str">
        <f>_xll.ohRangeRetrieveError(F7)</f>
        <v/>
      </c>
      <c r="H7" s="52"/>
      <c r="J7" s="217" t="s">
        <v>122</v>
      </c>
      <c r="K7" s="86" t="s">
        <v>211</v>
      </c>
      <c r="L7" s="85" t="s">
        <v>126</v>
      </c>
    </row>
    <row r="8" spans="1:12" x14ac:dyDescent="0.2">
      <c r="A8" s="130"/>
      <c r="B8" s="225" t="s">
        <v>107</v>
      </c>
      <c r="C8" s="82" t="str">
        <v>AM</v>
      </c>
      <c r="D8" s="82" t="str">
        <v>6L</v>
      </c>
      <c r="E8" s="80" t="str">
        <f>Currency&amp;$C8&amp;$D8&amp;$B8&amp;QuoteSuffix</f>
        <v>USDAM6L3Y_Quote</v>
      </c>
      <c r="F8" s="80" t="str">
        <f>_xll.qlSimpleQuote(Currency&amp;$C8&amp;$D8&amp;$B8&amp;QuoteSuffix,,RateTickValue,Permanent,Trigger,ObjectOverwrite)</f>
        <v>USDAM6L3Y_Quote#0017</v>
      </c>
      <c r="G8" s="79" t="str">
        <f>_xll.ohRangeRetrieveError(F8)</f>
        <v/>
      </c>
      <c r="H8" s="52"/>
    </row>
    <row r="9" spans="1:12" x14ac:dyDescent="0.2">
      <c r="A9" s="130"/>
      <c r="B9" s="225" t="s">
        <v>106</v>
      </c>
      <c r="C9" s="82" t="str">
        <v>AM</v>
      </c>
      <c r="D9" s="82" t="str">
        <v>6L</v>
      </c>
      <c r="E9" s="80" t="str">
        <f>Currency&amp;$C9&amp;$D9&amp;$B9&amp;QuoteSuffix</f>
        <v>USDAM6L4Y_Quote</v>
      </c>
      <c r="F9" s="80" t="str">
        <f>_xll.qlSimpleQuote(Currency&amp;$C9&amp;$D9&amp;$B9&amp;QuoteSuffix,,RateTickValue,Permanent,Trigger,ObjectOverwrite)</f>
        <v>USDAM6L4Y_Quote#0017</v>
      </c>
      <c r="G9" s="79" t="str">
        <f>_xll.ohRangeRetrieveError(F9)</f>
        <v/>
      </c>
      <c r="H9" s="52"/>
    </row>
    <row r="10" spans="1:12" x14ac:dyDescent="0.2">
      <c r="A10" s="130"/>
      <c r="B10" s="225" t="s">
        <v>105</v>
      </c>
      <c r="C10" s="82" t="str">
        <v>AM</v>
      </c>
      <c r="D10" s="82" t="str">
        <v>6L</v>
      </c>
      <c r="E10" s="80" t="str">
        <f>Currency&amp;$C10&amp;$D10&amp;$B10&amp;QuoteSuffix</f>
        <v>USDAM6L5Y_Quote</v>
      </c>
      <c r="F10" s="80" t="str">
        <f>_xll.qlSimpleQuote(Currency&amp;$C10&amp;$D10&amp;$B10&amp;QuoteSuffix,,RateTickValue,Permanent,Trigger,ObjectOverwrite)</f>
        <v>USDAM6L5Y_Quote#0017</v>
      </c>
      <c r="G10" s="79" t="str">
        <f>_xll.ohRangeRetrieveError(F10)</f>
        <v/>
      </c>
      <c r="H10" s="52"/>
    </row>
    <row r="11" spans="1:12" x14ac:dyDescent="0.2">
      <c r="A11" s="130"/>
      <c r="B11" s="225" t="s">
        <v>104</v>
      </c>
      <c r="C11" s="82" t="str">
        <v>AM</v>
      </c>
      <c r="D11" s="82" t="str">
        <v>6L</v>
      </c>
      <c r="E11" s="80" t="str">
        <f>Currency&amp;$C11&amp;$D11&amp;$B11&amp;QuoteSuffix</f>
        <v>USDAM6L6Y_Quote</v>
      </c>
      <c r="F11" s="80" t="str">
        <f>_xll.qlSimpleQuote(Currency&amp;$C11&amp;$D11&amp;$B11&amp;QuoteSuffix,,RateTickValue,Permanent,Trigger,ObjectOverwrite)</f>
        <v>USDAM6L6Y_Quote#0017</v>
      </c>
      <c r="G11" s="79" t="str">
        <f>_xll.ohRangeRetrieveError(F11)</f>
        <v/>
      </c>
      <c r="H11" s="52"/>
    </row>
    <row r="12" spans="1:12" x14ac:dyDescent="0.2">
      <c r="A12" s="130"/>
      <c r="B12" s="225" t="s">
        <v>103</v>
      </c>
      <c r="C12" s="82" t="str">
        <v>AM</v>
      </c>
      <c r="D12" s="82" t="str">
        <v>6L</v>
      </c>
      <c r="E12" s="80" t="str">
        <f>Currency&amp;$C12&amp;$D12&amp;$B12&amp;QuoteSuffix</f>
        <v>USDAM6L7Y_Quote</v>
      </c>
      <c r="F12" s="80" t="str">
        <f>_xll.qlSimpleQuote(Currency&amp;$C12&amp;$D12&amp;$B12&amp;QuoteSuffix,,RateTickValue,Permanent,Trigger,ObjectOverwrite)</f>
        <v>USDAM6L7Y_Quote#0017</v>
      </c>
      <c r="G12" s="79" t="str">
        <f>_xll.ohRangeRetrieveError(F12)</f>
        <v/>
      </c>
      <c r="H12" s="52"/>
    </row>
    <row r="13" spans="1:12" x14ac:dyDescent="0.2">
      <c r="A13" s="130"/>
      <c r="B13" s="225" t="s">
        <v>102</v>
      </c>
      <c r="C13" s="82" t="str">
        <v>AM</v>
      </c>
      <c r="D13" s="82" t="str">
        <v>6L</v>
      </c>
      <c r="E13" s="80" t="str">
        <f>Currency&amp;$C13&amp;$D13&amp;$B13&amp;QuoteSuffix</f>
        <v>USDAM6L8Y_Quote</v>
      </c>
      <c r="F13" s="80" t="str">
        <f>_xll.qlSimpleQuote(Currency&amp;$C13&amp;$D13&amp;$B13&amp;QuoteSuffix,,RateTickValue,Permanent,Trigger,ObjectOverwrite)</f>
        <v>USDAM6L8Y_Quote#0017</v>
      </c>
      <c r="G13" s="79" t="str">
        <f>_xll.ohRangeRetrieveError(F13)</f>
        <v/>
      </c>
      <c r="H13" s="52"/>
    </row>
    <row r="14" spans="1:12" x14ac:dyDescent="0.2">
      <c r="A14" s="130"/>
      <c r="B14" s="225" t="s">
        <v>101</v>
      </c>
      <c r="C14" s="82" t="str">
        <v>AM</v>
      </c>
      <c r="D14" s="82" t="str">
        <v>6L</v>
      </c>
      <c r="E14" s="80" t="str">
        <f>Currency&amp;$C14&amp;$D14&amp;$B14&amp;QuoteSuffix</f>
        <v>USDAM6L9Y_Quote</v>
      </c>
      <c r="F14" s="80" t="str">
        <f>_xll.qlSimpleQuote(Currency&amp;$C14&amp;$D14&amp;$B14&amp;QuoteSuffix,,RateTickValue,Permanent,Trigger,ObjectOverwrite)</f>
        <v>USDAM6L9Y_Quote#0017</v>
      </c>
      <c r="G14" s="79" t="str">
        <f>_xll.ohRangeRetrieveError(F14)</f>
        <v/>
      </c>
      <c r="H14" s="52"/>
    </row>
    <row r="15" spans="1:12" x14ac:dyDescent="0.2">
      <c r="A15" s="130"/>
      <c r="B15" s="225" t="s">
        <v>100</v>
      </c>
      <c r="C15" s="82" t="str">
        <v>AM</v>
      </c>
      <c r="D15" s="82" t="str">
        <v>6L</v>
      </c>
      <c r="E15" s="80" t="str">
        <f>Currency&amp;$C15&amp;$D15&amp;$B15&amp;QuoteSuffix</f>
        <v>USDAM6L10Y_Quote</v>
      </c>
      <c r="F15" s="80" t="str">
        <f>_xll.qlSimpleQuote(Currency&amp;$C15&amp;$D15&amp;$B15&amp;QuoteSuffix,,RateTickValue,Permanent,Trigger,ObjectOverwrite)</f>
        <v>USDAM6L10Y_Quote#0017</v>
      </c>
      <c r="G15" s="79" t="str">
        <f>_xll.ohRangeRetrieveError(F15)</f>
        <v/>
      </c>
      <c r="H15" s="52"/>
    </row>
    <row r="16" spans="1:12" x14ac:dyDescent="0.2">
      <c r="A16" s="130"/>
      <c r="B16" s="225" t="s">
        <v>99</v>
      </c>
      <c r="C16" s="82" t="str">
        <v>AM</v>
      </c>
      <c r="D16" s="82" t="str">
        <v>6L</v>
      </c>
      <c r="E16" s="80" t="str">
        <f>Currency&amp;$C16&amp;$D16&amp;$B16&amp;QuoteSuffix</f>
        <v>USDAM6L11Y_Quote</v>
      </c>
      <c r="F16" s="80" t="str">
        <f>_xll.qlSimpleQuote(Currency&amp;$C16&amp;$D16&amp;$B16&amp;QuoteSuffix,,RateTickValue,Permanent,Trigger,ObjectOverwrite)</f>
        <v>USDAM6L11Y_Quote#0017</v>
      </c>
      <c r="G16" s="79" t="str">
        <f>_xll.ohRangeRetrieveError(F16)</f>
        <v/>
      </c>
      <c r="H16" s="52"/>
    </row>
    <row r="17" spans="1:8" x14ac:dyDescent="0.2">
      <c r="A17" s="130"/>
      <c r="B17" s="225" t="s">
        <v>98</v>
      </c>
      <c r="C17" s="82" t="str">
        <v>AM</v>
      </c>
      <c r="D17" s="82" t="str">
        <v>6L</v>
      </c>
      <c r="E17" s="80" t="str">
        <f>Currency&amp;$C17&amp;$D17&amp;$B17&amp;QuoteSuffix</f>
        <v>USDAM6L12Y_Quote</v>
      </c>
      <c r="F17" s="80" t="str">
        <f>_xll.qlSimpleQuote(Currency&amp;$C17&amp;$D17&amp;$B17&amp;QuoteSuffix,,RateTickValue,Permanent,Trigger,ObjectOverwrite)</f>
        <v>USDAM6L12Y_Quote#0017</v>
      </c>
      <c r="G17" s="79" t="str">
        <f>_xll.ohRangeRetrieveError(F17)</f>
        <v/>
      </c>
      <c r="H17" s="52"/>
    </row>
    <row r="18" spans="1:8" x14ac:dyDescent="0.2">
      <c r="A18" s="130"/>
      <c r="B18" s="225" t="s">
        <v>97</v>
      </c>
      <c r="C18" s="82" t="str">
        <v>AM</v>
      </c>
      <c r="D18" s="82" t="str">
        <v>6L</v>
      </c>
      <c r="E18" s="80" t="str">
        <f>Currency&amp;$C18&amp;$D18&amp;$B18&amp;QuoteSuffix</f>
        <v>USDAM6L13Y_Quote</v>
      </c>
      <c r="F18" s="80" t="str">
        <f>_xll.qlSimpleQuote(Currency&amp;$C18&amp;$D18&amp;$B18&amp;QuoteSuffix,,RateTickValue,Permanent,Trigger,ObjectOverwrite)</f>
        <v>USDAM6L13Y_Quote#0017</v>
      </c>
      <c r="G18" s="79" t="str">
        <f>_xll.ohRangeRetrieveError(F18)</f>
        <v/>
      </c>
      <c r="H18" s="52"/>
    </row>
    <row r="19" spans="1:8" x14ac:dyDescent="0.2">
      <c r="A19" s="130"/>
      <c r="B19" s="225" t="s">
        <v>96</v>
      </c>
      <c r="C19" s="82" t="str">
        <v>AM</v>
      </c>
      <c r="D19" s="82" t="str">
        <v>6L</v>
      </c>
      <c r="E19" s="80" t="str">
        <f>Currency&amp;$C19&amp;$D19&amp;$B19&amp;QuoteSuffix</f>
        <v>USDAM6L14Y_Quote</v>
      </c>
      <c r="F19" s="80" t="str">
        <f>_xll.qlSimpleQuote(Currency&amp;$C19&amp;$D19&amp;$B19&amp;QuoteSuffix,,RateTickValue,Permanent,Trigger,ObjectOverwrite)</f>
        <v>USDAM6L14Y_Quote#0017</v>
      </c>
      <c r="G19" s="79" t="str">
        <f>_xll.ohRangeRetrieveError(F19)</f>
        <v/>
      </c>
      <c r="H19" s="52"/>
    </row>
    <row r="20" spans="1:8" x14ac:dyDescent="0.2">
      <c r="A20" s="130"/>
      <c r="B20" s="225" t="s">
        <v>95</v>
      </c>
      <c r="C20" s="82" t="str">
        <v>AM</v>
      </c>
      <c r="D20" s="82" t="str">
        <v>6L</v>
      </c>
      <c r="E20" s="80" t="str">
        <f>Currency&amp;$C20&amp;$D20&amp;$B20&amp;QuoteSuffix</f>
        <v>USDAM6L15Y_Quote</v>
      </c>
      <c r="F20" s="80" t="str">
        <f>_xll.qlSimpleQuote(Currency&amp;$C20&amp;$D20&amp;$B20&amp;QuoteSuffix,,RateTickValue,Permanent,Trigger,ObjectOverwrite)</f>
        <v>USDAM6L15Y_Quote#0017</v>
      </c>
      <c r="G20" s="79" t="str">
        <f>_xll.ohRangeRetrieveError(F20)</f>
        <v/>
      </c>
      <c r="H20" s="52"/>
    </row>
    <row r="21" spans="1:8" x14ac:dyDescent="0.2">
      <c r="A21" s="130"/>
      <c r="B21" s="225" t="s">
        <v>94</v>
      </c>
      <c r="C21" s="82" t="str">
        <v>AM</v>
      </c>
      <c r="D21" s="82" t="str">
        <v>6L</v>
      </c>
      <c r="E21" s="80" t="str">
        <f>Currency&amp;$C21&amp;$D21&amp;$B21&amp;QuoteSuffix</f>
        <v>USDAM6L16Y_Quote</v>
      </c>
      <c r="F21" s="80" t="str">
        <f>_xll.qlSimpleQuote(Currency&amp;$C21&amp;$D21&amp;$B21&amp;QuoteSuffix,,RateTickValue,Permanent,Trigger,ObjectOverwrite)</f>
        <v>USDAM6L16Y_Quote#0017</v>
      </c>
      <c r="G21" s="79" t="str">
        <f>_xll.ohRangeRetrieveError(F21)</f>
        <v/>
      </c>
      <c r="H21" s="52"/>
    </row>
    <row r="22" spans="1:8" x14ac:dyDescent="0.2">
      <c r="A22" s="130"/>
      <c r="B22" s="225" t="s">
        <v>93</v>
      </c>
      <c r="C22" s="82" t="str">
        <v>AM</v>
      </c>
      <c r="D22" s="82" t="str">
        <v>6L</v>
      </c>
      <c r="E22" s="80" t="str">
        <f>Currency&amp;$C22&amp;$D22&amp;$B22&amp;QuoteSuffix</f>
        <v>USDAM6L17Y_Quote</v>
      </c>
      <c r="F22" s="80" t="str">
        <f>_xll.qlSimpleQuote(Currency&amp;$C22&amp;$D22&amp;$B22&amp;QuoteSuffix,,RateTickValue,Permanent,Trigger,ObjectOverwrite)</f>
        <v>USDAM6L17Y_Quote#0017</v>
      </c>
      <c r="G22" s="79" t="str">
        <f>_xll.ohRangeRetrieveError(F22)</f>
        <v/>
      </c>
      <c r="H22" s="52"/>
    </row>
    <row r="23" spans="1:8" x14ac:dyDescent="0.2">
      <c r="A23" s="130"/>
      <c r="B23" s="225" t="s">
        <v>92</v>
      </c>
      <c r="C23" s="82" t="str">
        <v>AM</v>
      </c>
      <c r="D23" s="82" t="str">
        <v>6L</v>
      </c>
      <c r="E23" s="80" t="str">
        <f>Currency&amp;$C23&amp;$D23&amp;$B23&amp;QuoteSuffix</f>
        <v>USDAM6L18Y_Quote</v>
      </c>
      <c r="F23" s="80" t="str">
        <f>_xll.qlSimpleQuote(Currency&amp;$C23&amp;$D23&amp;$B23&amp;QuoteSuffix,,RateTickValue,Permanent,Trigger,ObjectOverwrite)</f>
        <v>USDAM6L18Y_Quote#0017</v>
      </c>
      <c r="G23" s="79" t="str">
        <f>_xll.ohRangeRetrieveError(F23)</f>
        <v/>
      </c>
      <c r="H23" s="52"/>
    </row>
    <row r="24" spans="1:8" x14ac:dyDescent="0.2">
      <c r="A24" s="130"/>
      <c r="B24" s="225" t="s">
        <v>91</v>
      </c>
      <c r="C24" s="82" t="str">
        <v>AM</v>
      </c>
      <c r="D24" s="82" t="str">
        <v>6L</v>
      </c>
      <c r="E24" s="80" t="str">
        <f>Currency&amp;$C24&amp;$D24&amp;$B24&amp;QuoteSuffix</f>
        <v>USDAM6L19Y_Quote</v>
      </c>
      <c r="F24" s="80" t="str">
        <f>_xll.qlSimpleQuote(Currency&amp;$C24&amp;$D24&amp;$B24&amp;QuoteSuffix,,RateTickValue,Permanent,Trigger,ObjectOverwrite)</f>
        <v>USDAM6L19Y_Quote#0017</v>
      </c>
      <c r="G24" s="79" t="str">
        <f>_xll.ohRangeRetrieveError(F24)</f>
        <v/>
      </c>
      <c r="H24" s="52"/>
    </row>
    <row r="25" spans="1:8" x14ac:dyDescent="0.2">
      <c r="A25" s="130"/>
      <c r="B25" s="225" t="s">
        <v>90</v>
      </c>
      <c r="C25" s="82" t="str">
        <v>AM</v>
      </c>
      <c r="D25" s="82" t="str">
        <v>6L</v>
      </c>
      <c r="E25" s="80" t="str">
        <f>Currency&amp;$C25&amp;$D25&amp;$B25&amp;QuoteSuffix</f>
        <v>USDAM6L20Y_Quote</v>
      </c>
      <c r="F25" s="80" t="str">
        <f>_xll.qlSimpleQuote(Currency&amp;$C25&amp;$D25&amp;$B25&amp;QuoteSuffix,,RateTickValue,Permanent,Trigger,ObjectOverwrite)</f>
        <v>USDAM6L20Y_Quote#0017</v>
      </c>
      <c r="G25" s="79" t="str">
        <f>_xll.ohRangeRetrieveError(F25)</f>
        <v/>
      </c>
      <c r="H25" s="52"/>
    </row>
    <row r="26" spans="1:8" x14ac:dyDescent="0.2">
      <c r="A26" s="130"/>
      <c r="B26" s="225" t="s">
        <v>89</v>
      </c>
      <c r="C26" s="82" t="str">
        <v>AM</v>
      </c>
      <c r="D26" s="82" t="str">
        <v>6L</v>
      </c>
      <c r="E26" s="80" t="str">
        <f>Currency&amp;$C26&amp;$D26&amp;$B26&amp;QuoteSuffix</f>
        <v>USDAM6L21Y_Quote</v>
      </c>
      <c r="F26" s="80" t="str">
        <f>_xll.qlSimpleQuote(Currency&amp;$C26&amp;$D26&amp;$B26&amp;QuoteSuffix,,RateTickValue,Permanent,Trigger,ObjectOverwrite)</f>
        <v>USDAM6L21Y_Quote#0017</v>
      </c>
      <c r="G26" s="79" t="str">
        <f>_xll.ohRangeRetrieveError(F26)</f>
        <v/>
      </c>
      <c r="H26" s="52"/>
    </row>
    <row r="27" spans="1:8" x14ac:dyDescent="0.2">
      <c r="A27" s="130"/>
      <c r="B27" s="225" t="s">
        <v>88</v>
      </c>
      <c r="C27" s="82" t="str">
        <v>AM</v>
      </c>
      <c r="D27" s="82" t="str">
        <v>6L</v>
      </c>
      <c r="E27" s="80" t="str">
        <f>Currency&amp;$C27&amp;$D27&amp;$B27&amp;QuoteSuffix</f>
        <v>USDAM6L22Y_Quote</v>
      </c>
      <c r="F27" s="80" t="str">
        <f>_xll.qlSimpleQuote(Currency&amp;$C27&amp;$D27&amp;$B27&amp;QuoteSuffix,,RateTickValue,Permanent,Trigger,ObjectOverwrite)</f>
        <v>USDAM6L22Y_Quote#0017</v>
      </c>
      <c r="G27" s="79" t="str">
        <f>_xll.ohRangeRetrieveError(F27)</f>
        <v/>
      </c>
      <c r="H27" s="52"/>
    </row>
    <row r="28" spans="1:8" x14ac:dyDescent="0.2">
      <c r="A28" s="130"/>
      <c r="B28" s="225" t="s">
        <v>87</v>
      </c>
      <c r="C28" s="82" t="str">
        <v>AM</v>
      </c>
      <c r="D28" s="82" t="str">
        <v>6L</v>
      </c>
      <c r="E28" s="80" t="str">
        <f>Currency&amp;$C28&amp;$D28&amp;$B28&amp;QuoteSuffix</f>
        <v>USDAM6L23Y_Quote</v>
      </c>
      <c r="F28" s="80" t="str">
        <f>_xll.qlSimpleQuote(Currency&amp;$C28&amp;$D28&amp;$B28&amp;QuoteSuffix,,RateTickValue,Permanent,Trigger,ObjectOverwrite)</f>
        <v>USDAM6L23Y_Quote#0017</v>
      </c>
      <c r="G28" s="79" t="str">
        <f>_xll.ohRangeRetrieveError(F28)</f>
        <v/>
      </c>
      <c r="H28" s="52"/>
    </row>
    <row r="29" spans="1:8" x14ac:dyDescent="0.2">
      <c r="A29" s="130"/>
      <c r="B29" s="225" t="s">
        <v>86</v>
      </c>
      <c r="C29" s="82" t="str">
        <v>AM</v>
      </c>
      <c r="D29" s="82" t="str">
        <v>6L</v>
      </c>
      <c r="E29" s="80" t="str">
        <f>Currency&amp;$C29&amp;$D29&amp;$B29&amp;QuoteSuffix</f>
        <v>USDAM6L24Y_Quote</v>
      </c>
      <c r="F29" s="80" t="str">
        <f>_xll.qlSimpleQuote(Currency&amp;$C29&amp;$D29&amp;$B29&amp;QuoteSuffix,,RateTickValue,Permanent,Trigger,ObjectOverwrite)</f>
        <v>USDAM6L24Y_Quote#0017</v>
      </c>
      <c r="G29" s="79" t="str">
        <f>_xll.ohRangeRetrieveError(F29)</f>
        <v/>
      </c>
      <c r="H29" s="52"/>
    </row>
    <row r="30" spans="1:8" x14ac:dyDescent="0.2">
      <c r="A30" s="130"/>
      <c r="B30" s="225" t="s">
        <v>85</v>
      </c>
      <c r="C30" s="82" t="str">
        <v>AM</v>
      </c>
      <c r="D30" s="82" t="str">
        <v>6L</v>
      </c>
      <c r="E30" s="80" t="str">
        <f>Currency&amp;$C30&amp;$D30&amp;$B30&amp;QuoteSuffix</f>
        <v>USDAM6L25Y_Quote</v>
      </c>
      <c r="F30" s="80" t="str">
        <f>_xll.qlSimpleQuote(Currency&amp;$C30&amp;$D30&amp;$B30&amp;QuoteSuffix,,RateTickValue,Permanent,Trigger,ObjectOverwrite)</f>
        <v>USDAM6L25Y_Quote#0017</v>
      </c>
      <c r="G30" s="79" t="str">
        <f>_xll.ohRangeRetrieveError(F30)</f>
        <v/>
      </c>
      <c r="H30" s="52"/>
    </row>
    <row r="31" spans="1:8" x14ac:dyDescent="0.2">
      <c r="A31" s="130"/>
      <c r="B31" s="225" t="s">
        <v>84</v>
      </c>
      <c r="C31" s="82" t="str">
        <v>AM</v>
      </c>
      <c r="D31" s="82" t="str">
        <v>6L</v>
      </c>
      <c r="E31" s="80" t="str">
        <f>Currency&amp;$C31&amp;$D31&amp;$B31&amp;QuoteSuffix</f>
        <v>USDAM6L26Y_Quote</v>
      </c>
      <c r="F31" s="80" t="str">
        <f>_xll.qlSimpleQuote(Currency&amp;$C31&amp;$D31&amp;$B31&amp;QuoteSuffix,,RateTickValue,Permanent,Trigger,ObjectOverwrite)</f>
        <v>USDAM6L26Y_Quote#0017</v>
      </c>
      <c r="G31" s="79" t="str">
        <f>_xll.ohRangeRetrieveError(F31)</f>
        <v/>
      </c>
      <c r="H31" s="52"/>
    </row>
    <row r="32" spans="1:8" x14ac:dyDescent="0.2">
      <c r="A32" s="130"/>
      <c r="B32" s="225" t="s">
        <v>83</v>
      </c>
      <c r="C32" s="82" t="str">
        <v>AM</v>
      </c>
      <c r="D32" s="82" t="str">
        <v>6L</v>
      </c>
      <c r="E32" s="80" t="str">
        <f>Currency&amp;$C32&amp;$D32&amp;$B32&amp;QuoteSuffix</f>
        <v>USDAM6L27Y_Quote</v>
      </c>
      <c r="F32" s="80" t="str">
        <f>_xll.qlSimpleQuote(Currency&amp;$C32&amp;$D32&amp;$B32&amp;QuoteSuffix,,RateTickValue,Permanent,Trigger,ObjectOverwrite)</f>
        <v>USDAM6L27Y_Quote#0017</v>
      </c>
      <c r="G32" s="79" t="str">
        <f>_xll.ohRangeRetrieveError(F32)</f>
        <v/>
      </c>
      <c r="H32" s="52"/>
    </row>
    <row r="33" spans="1:8" x14ac:dyDescent="0.2">
      <c r="A33" s="130"/>
      <c r="B33" s="225" t="s">
        <v>82</v>
      </c>
      <c r="C33" s="82" t="str">
        <v>AM</v>
      </c>
      <c r="D33" s="82" t="str">
        <v>6L</v>
      </c>
      <c r="E33" s="80" t="str">
        <f>Currency&amp;$C33&amp;$D33&amp;$B33&amp;QuoteSuffix</f>
        <v>USDAM6L28Y_Quote</v>
      </c>
      <c r="F33" s="80" t="str">
        <f>_xll.qlSimpleQuote(Currency&amp;$C33&amp;$D33&amp;$B33&amp;QuoteSuffix,,RateTickValue,Permanent,Trigger,ObjectOverwrite)</f>
        <v>USDAM6L28Y_Quote#0017</v>
      </c>
      <c r="G33" s="79" t="str">
        <f>_xll.ohRangeRetrieveError(F33)</f>
        <v/>
      </c>
      <c r="H33" s="52"/>
    </row>
    <row r="34" spans="1:8" x14ac:dyDescent="0.2">
      <c r="A34" s="130"/>
      <c r="B34" s="225" t="s">
        <v>81</v>
      </c>
      <c r="C34" s="82" t="str">
        <v>AM</v>
      </c>
      <c r="D34" s="82" t="str">
        <v>6L</v>
      </c>
      <c r="E34" s="80" t="str">
        <f>Currency&amp;$C34&amp;$D34&amp;$B34&amp;QuoteSuffix</f>
        <v>USDAM6L29Y_Quote</v>
      </c>
      <c r="F34" s="80" t="str">
        <f>_xll.qlSimpleQuote(Currency&amp;$C34&amp;$D34&amp;$B34&amp;QuoteSuffix,,RateTickValue,Permanent,Trigger,ObjectOverwrite)</f>
        <v>USDAM6L29Y_Quote#0017</v>
      </c>
      <c r="G34" s="79" t="str">
        <f>_xll.ohRangeRetrieveError(F34)</f>
        <v/>
      </c>
      <c r="H34" s="52"/>
    </row>
    <row r="35" spans="1:8" x14ac:dyDescent="0.2">
      <c r="A35" s="130"/>
      <c r="B35" s="225" t="s">
        <v>80</v>
      </c>
      <c r="C35" s="82" t="str">
        <v>AM</v>
      </c>
      <c r="D35" s="82" t="str">
        <v>6L</v>
      </c>
      <c r="E35" s="80" t="str">
        <f>Currency&amp;$C35&amp;$D35&amp;$B35&amp;QuoteSuffix</f>
        <v>USDAM6L30Y_Quote</v>
      </c>
      <c r="F35" s="80" t="str">
        <f>_xll.qlSimpleQuote(Currency&amp;$C35&amp;$D35&amp;$B35&amp;QuoteSuffix,,RateTickValue,Permanent,Trigger,ObjectOverwrite)</f>
        <v>USDAM6L30Y_Quote#0017</v>
      </c>
      <c r="G35" s="79" t="str">
        <f>_xll.ohRangeRetrieveError(F35)</f>
        <v/>
      </c>
      <c r="H35" s="52"/>
    </row>
    <row r="36" spans="1:8" x14ac:dyDescent="0.2">
      <c r="A36" s="130"/>
      <c r="B36" s="225" t="s">
        <v>75</v>
      </c>
      <c r="C36" s="82" t="str">
        <v>AM</v>
      </c>
      <c r="D36" s="82" t="str">
        <v>6L</v>
      </c>
      <c r="E36" s="80" t="str">
        <f>Currency&amp;$C36&amp;$D36&amp;$B36&amp;QuoteSuffix</f>
        <v>USDAM6L35Y_Quote</v>
      </c>
      <c r="F36" s="80" t="str">
        <f>_xll.qlSimpleQuote(Currency&amp;$C36&amp;$D36&amp;$B36&amp;QuoteSuffix,,RateTickValue,Permanent,Trigger,ObjectOverwrite)</f>
        <v>USDAM6L35Y_Quote#0017</v>
      </c>
      <c r="G36" s="79" t="str">
        <f>_xll.ohRangeRetrieveError(F36)</f>
        <v/>
      </c>
      <c r="H36" s="52"/>
    </row>
    <row r="37" spans="1:8" x14ac:dyDescent="0.2">
      <c r="A37" s="130"/>
      <c r="B37" s="225" t="s">
        <v>70</v>
      </c>
      <c r="C37" s="82" t="str">
        <v>AM</v>
      </c>
      <c r="D37" s="82" t="str">
        <v>6L</v>
      </c>
      <c r="E37" s="80" t="str">
        <f>Currency&amp;$C37&amp;$D37&amp;$B37&amp;QuoteSuffix</f>
        <v>USDAM6L40Y_Quote</v>
      </c>
      <c r="F37" s="80" t="str">
        <f>_xll.qlSimpleQuote(Currency&amp;$C37&amp;$D37&amp;$B37&amp;QuoteSuffix,,RateTickValue,Permanent,Trigger,ObjectOverwrite)</f>
        <v>USDAM6L40Y_Quote#0017</v>
      </c>
      <c r="G37" s="79" t="str">
        <f>_xll.ohRangeRetrieveError(F37)</f>
        <v/>
      </c>
      <c r="H37" s="52"/>
    </row>
    <row r="38" spans="1:8" x14ac:dyDescent="0.2">
      <c r="A38" s="130"/>
      <c r="B38" s="225" t="s">
        <v>60</v>
      </c>
      <c r="C38" s="82" t="str">
        <v>AM</v>
      </c>
      <c r="D38" s="82" t="str">
        <v>6L</v>
      </c>
      <c r="E38" s="80" t="str">
        <f>Currency&amp;$C38&amp;$D38&amp;$B38&amp;QuoteSuffix</f>
        <v>USDAM6L50Y_Quote</v>
      </c>
      <c r="F38" s="80" t="str">
        <f>_xll.qlSimpleQuote(Currency&amp;$C38&amp;$D38&amp;$B38&amp;QuoteSuffix,,RateTickValue,Permanent,Trigger,ObjectOverwrite)</f>
        <v>USDAM6L50Y_Quote#0017</v>
      </c>
      <c r="G38" s="79" t="str">
        <f>_xll.ohRangeRetrieveError(F38)</f>
        <v/>
      </c>
      <c r="H38" s="52"/>
    </row>
    <row r="39" spans="1:8" x14ac:dyDescent="0.2">
      <c r="A39" s="130"/>
      <c r="B39" s="225" t="s">
        <v>50</v>
      </c>
      <c r="C39" s="82" t="str">
        <v>AM</v>
      </c>
      <c r="D39" s="82" t="str">
        <v>6L</v>
      </c>
      <c r="E39" s="80" t="str">
        <f>Currency&amp;$C39&amp;$D39&amp;$B39&amp;QuoteSuffix</f>
        <v>USDAM6L60Y_Quote</v>
      </c>
      <c r="F39" s="80" t="str">
        <f>_xll.qlSimpleQuote(Currency&amp;$C39&amp;$D39&amp;$B39&amp;QuoteSuffix,,RateTickValue,Permanent,Trigger,ObjectOverwrite)</f>
        <v>USDAM6L60Y_Quote#0017</v>
      </c>
      <c r="G39" s="79" t="str">
        <f>_xll.ohRangeRetrieveError(F39)</f>
        <v/>
      </c>
      <c r="H39" s="52"/>
    </row>
    <row r="40" spans="1:8" ht="12" thickBot="1" x14ac:dyDescent="0.25">
      <c r="A40" s="224"/>
      <c r="B40" s="223"/>
      <c r="C40" s="223"/>
      <c r="D40" s="223"/>
      <c r="E40" s="223"/>
      <c r="F40" s="223"/>
      <c r="G40" s="223"/>
      <c r="H40" s="49"/>
    </row>
  </sheetData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/>
  </sheetViews>
  <sheetFormatPr defaultColWidth="8" defaultRowHeight="11.25" x14ac:dyDescent="0.2"/>
  <cols>
    <col min="1" max="1" width="3.28515625" style="173" customWidth="1"/>
    <col min="2" max="2" width="4.28515625" style="173" customWidth="1"/>
    <col min="3" max="3" width="15.5703125" style="173" bestFit="1" customWidth="1"/>
    <col min="4" max="4" width="101.42578125" style="173" bestFit="1" customWidth="1"/>
    <col min="5" max="5" width="3.7109375" style="173" customWidth="1"/>
    <col min="6" max="6" width="35.28515625" style="173" customWidth="1"/>
    <col min="7" max="7" width="4.28515625" style="173" customWidth="1"/>
    <col min="8" max="16384" width="8" style="173"/>
  </cols>
  <sheetData>
    <row r="1" spans="1:5" ht="13.5" thickBot="1" x14ac:dyDescent="0.25">
      <c r="A1" s="173" t="s">
        <v>218</v>
      </c>
      <c r="B1" s="174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09" t="s">
        <v>145</v>
      </c>
      <c r="C2" s="108"/>
      <c r="D2" s="108"/>
      <c r="E2" s="107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09" t="s">
        <v>144</v>
      </c>
      <c r="C12" s="108"/>
      <c r="D12" s="108"/>
      <c r="E12" s="107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6">
        <v>1E-4</v>
      </c>
      <c r="E16" s="14"/>
    </row>
    <row r="17" spans="2:5" x14ac:dyDescent="0.2">
      <c r="B17" s="9"/>
      <c r="C17" s="16" t="s">
        <v>140</v>
      </c>
      <c r="D17" s="105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1.25" x14ac:dyDescent="0.2"/>
  <cols>
    <col min="1" max="1" width="5" style="111" customWidth="1"/>
    <col min="2" max="2" width="6.140625" style="111" bestFit="1" customWidth="1"/>
    <col min="3" max="3" width="25.42578125" style="111" bestFit="1" customWidth="1"/>
    <col min="4" max="4" width="26.7109375" style="111" bestFit="1" customWidth="1"/>
    <col min="5" max="5" width="36.85546875" style="111" bestFit="1" customWidth="1"/>
    <col min="6" max="6" width="5" style="111" customWidth="1"/>
    <col min="7" max="16384" width="9.140625" style="111"/>
  </cols>
  <sheetData>
    <row r="1" spans="1:6" x14ac:dyDescent="0.2">
      <c r="A1" s="166" t="s">
        <v>223</v>
      </c>
      <c r="B1" s="239">
        <v>1</v>
      </c>
      <c r="C1" s="240" t="s">
        <v>221</v>
      </c>
      <c r="D1" s="239"/>
      <c r="E1" s="239"/>
      <c r="F1" s="238"/>
    </row>
    <row r="2" spans="1:6" x14ac:dyDescent="0.2">
      <c r="A2" s="130"/>
      <c r="B2" s="237"/>
      <c r="C2" s="236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31"/>
    </row>
    <row r="3" spans="1:6" x14ac:dyDescent="0.2">
      <c r="A3" s="130"/>
      <c r="B3" s="235" t="s">
        <v>220</v>
      </c>
      <c r="C3" s="133" t="str">
        <f>Currency&amp;$B3&amp;"_SYNTH"&amp;Tenor&amp;QuoteSuffix</f>
        <v>USDTOY_SYNTHON_Quote</v>
      </c>
      <c r="D3" s="135" t="str">
        <f>_xll.qlSimpleQuote(C3,1,RateTickValue,Permanent,Trigger,ObjectOverwrite)</f>
        <v>USDTOY_SYNTHON_Quote#0015</v>
      </c>
      <c r="E3" s="234" t="str">
        <f>_xll.ohRangeRetrieveError(D3)</f>
        <v/>
      </c>
      <c r="F3" s="231"/>
    </row>
    <row r="4" spans="1:6" x14ac:dyDescent="0.2">
      <c r="A4" s="130"/>
      <c r="B4" s="233" t="s">
        <v>219</v>
      </c>
      <c r="C4" s="126" t="str">
        <f>Currency&amp;$B4&amp;"_SYNTH"&amp;Tenor&amp;QuoteSuffix</f>
        <v>USDTOY2_SYNTHON_Quote</v>
      </c>
      <c r="D4" s="131" t="str">
        <f>_xll.qlSimpleQuote(C4,1,RateTickValue,Permanent,Trigger,ObjectOverwrite)</f>
        <v>USDTOY2_SYNTHON_Quote#0015</v>
      </c>
      <c r="E4" s="232" t="str">
        <f>_xll.ohRangeRetrieveError(D4)</f>
        <v/>
      </c>
      <c r="F4" s="231"/>
    </row>
    <row r="5" spans="1:6" ht="12" thickBot="1" x14ac:dyDescent="0.25">
      <c r="A5" s="51"/>
      <c r="B5" s="50"/>
      <c r="C5" s="50"/>
      <c r="D5" s="50"/>
      <c r="E5" s="50"/>
      <c r="F5" s="49"/>
    </row>
  </sheetData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/>
  </sheetViews>
  <sheetFormatPr defaultRowHeight="11.25" x14ac:dyDescent="0.2"/>
  <cols>
    <col min="1" max="1" width="5" style="111" customWidth="1"/>
    <col min="2" max="2" width="6.140625" style="111" bestFit="1" customWidth="1"/>
    <col min="3" max="3" width="25.42578125" style="111" bestFit="1" customWidth="1"/>
    <col min="4" max="4" width="26.7109375" style="111" bestFit="1" customWidth="1"/>
    <col min="5" max="5" width="36.85546875" style="111" bestFit="1" customWidth="1"/>
    <col min="6" max="6" width="5" style="111" customWidth="1"/>
    <col min="7" max="16384" width="9.140625" style="111"/>
  </cols>
  <sheetData>
    <row r="1" spans="1:6" x14ac:dyDescent="0.2">
      <c r="A1" s="166" t="s">
        <v>223</v>
      </c>
      <c r="B1" s="239">
        <v>1</v>
      </c>
      <c r="C1" s="240" t="str">
        <f>_xll.qlPeriodEquivalent(Months&amp;"M")</f>
        <v>1M</v>
      </c>
      <c r="D1" s="239"/>
      <c r="E1" s="239"/>
      <c r="F1" s="238"/>
    </row>
    <row r="2" spans="1:6" x14ac:dyDescent="0.2">
      <c r="A2" s="130"/>
      <c r="B2" s="237"/>
      <c r="C2" s="236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31"/>
    </row>
    <row r="3" spans="1:6" x14ac:dyDescent="0.2">
      <c r="A3" s="130"/>
      <c r="B3" s="243" t="s">
        <v>164</v>
      </c>
      <c r="C3" s="137" t="str">
        <f>Currency&amp;$B3&amp;"_SYNTH"&amp;Tenor&amp;QuoteSuffix</f>
        <v>USDOND_SYNTH1M_Quote</v>
      </c>
      <c r="D3" s="139" t="str">
        <f>_xll.qlSimpleQuote(C3,,RateTickValue,Permanent,Trigger,ObjectOverwrite)</f>
        <v>USDOND_SYNTH1M_Quote#0014</v>
      </c>
      <c r="E3" s="241" t="str">
        <f>_xll.ohRangeRetrieveError(D3)</f>
        <v/>
      </c>
      <c r="F3" s="231"/>
    </row>
    <row r="4" spans="1:6" x14ac:dyDescent="0.2">
      <c r="A4" s="130"/>
      <c r="B4" s="243" t="s">
        <v>163</v>
      </c>
      <c r="C4" s="137" t="str">
        <f>Currency&amp;$B4&amp;"_SYNTH"&amp;Tenor&amp;QuoteSuffix</f>
        <v>USDTND_SYNTH1M_Quote</v>
      </c>
      <c r="D4" s="139" t="str">
        <f>_xll.qlSimpleQuote(C4,,RateTickValue,Permanent,Trigger,ObjectOverwrite)</f>
        <v>USDTND_SYNTH1M_Quote#0014</v>
      </c>
      <c r="E4" s="241" t="str">
        <f>_xll.ohRangeRetrieveError(D4)</f>
        <v/>
      </c>
      <c r="F4" s="231"/>
    </row>
    <row r="5" spans="1:6" x14ac:dyDescent="0.2">
      <c r="A5" s="130"/>
      <c r="B5" s="243" t="s">
        <v>162</v>
      </c>
      <c r="C5" s="137" t="str">
        <f>Currency&amp;$B5&amp;"_SYNTH"&amp;Tenor&amp;QuoteSuffix</f>
        <v>USDSND_SYNTH1M_Quote</v>
      </c>
      <c r="D5" s="139" t="str">
        <f>_xll.qlSimpleQuote(C5,,RateTickValue,Permanent,Trigger,ObjectOverwrite)</f>
        <v>USDSND_SYNTH1M_Quote#0014</v>
      </c>
      <c r="E5" s="241" t="str">
        <f>_xll.ohRangeRetrieveError(D5)</f>
        <v/>
      </c>
      <c r="F5" s="231"/>
    </row>
    <row r="6" spans="1:6" x14ac:dyDescent="0.2">
      <c r="A6" s="130"/>
      <c r="B6" s="243" t="s">
        <v>161</v>
      </c>
      <c r="C6" s="137" t="str">
        <f>Currency&amp;$B6&amp;"_SYNTH"&amp;Tenor&amp;QuoteSuffix</f>
        <v>USDSWD_SYNTH1M_Quote</v>
      </c>
      <c r="D6" s="139" t="str">
        <f>_xll.qlSimpleQuote(C6,,RateTickValue,Permanent,Trigger,ObjectOverwrite)</f>
        <v>USDSWD_SYNTH1M_Quote#0014</v>
      </c>
      <c r="E6" s="241" t="str">
        <f>_xll.ohRangeRetrieveError(D6)</f>
        <v/>
      </c>
      <c r="F6" s="231"/>
    </row>
    <row r="7" spans="1:6" x14ac:dyDescent="0.2">
      <c r="A7" s="130"/>
      <c r="B7" s="243" t="s">
        <v>160</v>
      </c>
      <c r="C7" s="137" t="str">
        <f>Currency&amp;$B7&amp;"_SYNTH"&amp;Tenor&amp;QuoteSuffix</f>
        <v>USD2WD_SYNTH1M_Quote</v>
      </c>
      <c r="D7" s="139" t="str">
        <f>_xll.qlSimpleQuote(C7,,RateTickValue,Permanent,Trigger,ObjectOverwrite)</f>
        <v>USD2WD_SYNTH1M_Quote#0014</v>
      </c>
      <c r="E7" s="241" t="str">
        <f>_xll.ohRangeRetrieveError(D7)</f>
        <v/>
      </c>
      <c r="F7" s="231"/>
    </row>
    <row r="8" spans="1:6" x14ac:dyDescent="0.2">
      <c r="A8" s="130"/>
      <c r="B8" s="243" t="s">
        <v>159</v>
      </c>
      <c r="C8" s="137" t="str">
        <f>Currency&amp;$B8&amp;"_SYNTH"&amp;Tenor&amp;QuoteSuffix</f>
        <v>USD3WD_SYNTH1M_Quote</v>
      </c>
      <c r="D8" s="139" t="str">
        <f>_xll.qlSimpleQuote(C8,,RateTickValue,Permanent,Trigger,ObjectOverwrite)</f>
        <v>USD3WD_SYNTH1M_Quote#0014</v>
      </c>
      <c r="E8" s="241" t="str">
        <f>_xll.ohRangeRetrieveError(D8)</f>
        <v/>
      </c>
      <c r="F8" s="231"/>
    </row>
    <row r="9" spans="1:6" x14ac:dyDescent="0.2">
      <c r="A9" s="130"/>
      <c r="B9" s="242" t="s">
        <v>158</v>
      </c>
      <c r="C9" s="137" t="str">
        <f>Currency&amp;$B9&amp;"_SYNTH"&amp;Tenor&amp;QuoteSuffix</f>
        <v>USD1MD_SYNTH1M_Quote</v>
      </c>
      <c r="D9" s="137" t="str">
        <f>_xll.qlSimpleQuote(C9,,RateTickValue,Permanent,Trigger,ObjectOverwrite)</f>
        <v>USD1MD_SYNTH1M_Quote#0014</v>
      </c>
      <c r="E9" s="241" t="str">
        <f>_xll.ohRangeRetrieveError(D9)</f>
        <v/>
      </c>
      <c r="F9" s="231"/>
    </row>
    <row r="10" spans="1:6" x14ac:dyDescent="0.2">
      <c r="A10" s="130"/>
      <c r="B10" s="235" t="s">
        <v>220</v>
      </c>
      <c r="C10" s="133" t="str">
        <f>Currency&amp;$B10&amp;"_SYNTH"&amp;Tenor&amp;QuoteSuffix</f>
        <v>USDTOY_SYNTH1M_Quote</v>
      </c>
      <c r="D10" s="135" t="str">
        <f>_xll.qlSimpleQuote(C10,1,RateTickValue,Permanent,Trigger,ObjectOverwrite)</f>
        <v>USDTOY_SYNTH1M_Quote#0014</v>
      </c>
      <c r="E10" s="234" t="str">
        <f>_xll.ohRangeRetrieveError(D10)</f>
        <v/>
      </c>
      <c r="F10" s="231"/>
    </row>
    <row r="11" spans="1:6" x14ac:dyDescent="0.2">
      <c r="A11" s="130"/>
      <c r="B11" s="233" t="s">
        <v>219</v>
      </c>
      <c r="C11" s="126" t="str">
        <f>Currency&amp;$B11&amp;"_SYNTH"&amp;Tenor&amp;QuoteSuffix</f>
        <v>USDTOY2_SYNTH1M_Quote</v>
      </c>
      <c r="D11" s="131" t="str">
        <f>_xll.qlSimpleQuote(C11,1,RateTickValue,Permanent,Trigger,ObjectOverwrite)</f>
        <v>USDTOY2_SYNTH1M_Quote#0014</v>
      </c>
      <c r="E11" s="232" t="str">
        <f>_xll.ohRangeRetrieveError(D11)</f>
        <v/>
      </c>
      <c r="F11" s="231"/>
    </row>
    <row r="12" spans="1:6" ht="12" thickBot="1" x14ac:dyDescent="0.25">
      <c r="A12" s="51"/>
      <c r="B12" s="50"/>
      <c r="C12" s="50"/>
      <c r="D12" s="50"/>
      <c r="E12" s="50"/>
      <c r="F12" s="49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/>
  </sheetViews>
  <sheetFormatPr defaultRowHeight="11.25" x14ac:dyDescent="0.2"/>
  <cols>
    <col min="1" max="1" width="5" style="111" customWidth="1"/>
    <col min="2" max="2" width="6.140625" style="111" bestFit="1" customWidth="1"/>
    <col min="3" max="3" width="25.42578125" style="111" bestFit="1" customWidth="1"/>
    <col min="4" max="4" width="26.7109375" style="111" bestFit="1" customWidth="1"/>
    <col min="5" max="5" width="36.85546875" style="111" bestFit="1" customWidth="1"/>
    <col min="6" max="6" width="5" style="111" customWidth="1"/>
    <col min="7" max="16384" width="9.140625" style="111"/>
  </cols>
  <sheetData>
    <row r="1" spans="1:6" x14ac:dyDescent="0.2">
      <c r="A1" s="166" t="s">
        <v>223</v>
      </c>
      <c r="B1" s="239">
        <v>3</v>
      </c>
      <c r="C1" s="240" t="str">
        <f>_xll.qlPeriodEquivalent(Months&amp;"M")</f>
        <v>3M</v>
      </c>
      <c r="D1" s="239"/>
      <c r="E1" s="239"/>
      <c r="F1" s="238"/>
    </row>
    <row r="2" spans="1:6" x14ac:dyDescent="0.2">
      <c r="A2" s="130"/>
      <c r="B2" s="249"/>
      <c r="C2" s="236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31"/>
    </row>
    <row r="3" spans="1:6" x14ac:dyDescent="0.2">
      <c r="A3" s="130"/>
      <c r="B3" s="243" t="s">
        <v>164</v>
      </c>
      <c r="C3" s="137" t="str">
        <f>Currency&amp;$B3&amp;"_SYNTH"&amp;Tenor&amp;QuoteSuffix</f>
        <v>USDOND_SYNTH3M_Quote</v>
      </c>
      <c r="D3" s="137" t="str">
        <f>_xll.qlSimpleQuote(C3,,RateTickValue,Permanent,Trigger,ObjectOverwrite)</f>
        <v>USDOND_SYNTH3M_Quote#0013</v>
      </c>
      <c r="E3" s="248" t="str">
        <f>_xll.ohRangeRetrieveError(D3)</f>
        <v/>
      </c>
      <c r="F3" s="231"/>
    </row>
    <row r="4" spans="1:6" x14ac:dyDescent="0.2">
      <c r="A4" s="130"/>
      <c r="B4" s="243" t="s">
        <v>163</v>
      </c>
      <c r="C4" s="137" t="str">
        <f>Currency&amp;$B4&amp;"_SYNTH"&amp;Tenor&amp;QuoteSuffix</f>
        <v>USDTND_SYNTH3M_Quote</v>
      </c>
      <c r="D4" s="137" t="str">
        <f>_xll.qlSimpleQuote(C4,,RateTickValue,Permanent,Trigger,ObjectOverwrite)</f>
        <v>USDTND_SYNTH3M_Quote#0013</v>
      </c>
      <c r="E4" s="248" t="str">
        <f>_xll.ohRangeRetrieveError(D4)</f>
        <v/>
      </c>
      <c r="F4" s="231"/>
    </row>
    <row r="5" spans="1:6" x14ac:dyDescent="0.2">
      <c r="A5" s="130"/>
      <c r="B5" s="242" t="s">
        <v>162</v>
      </c>
      <c r="C5" s="137" t="str">
        <f>Currency&amp;$B5&amp;"_SYNTH"&amp;Tenor&amp;QuoteSuffix</f>
        <v>USDSND_SYNTH3M_Quote</v>
      </c>
      <c r="D5" s="137" t="str">
        <f>_xll.qlSimpleQuote(C5,,RateTickValue,Permanent,Trigger,ObjectOverwrite)</f>
        <v>USDSND_SYNTH3M_Quote#0013</v>
      </c>
      <c r="E5" s="248" t="str">
        <f>_xll.ohRangeRetrieveError(D5)</f>
        <v/>
      </c>
      <c r="F5" s="231"/>
    </row>
    <row r="6" spans="1:6" x14ac:dyDescent="0.2">
      <c r="A6" s="130"/>
      <c r="B6" s="242" t="s">
        <v>161</v>
      </c>
      <c r="C6" s="137" t="str">
        <f>Currency&amp;$B6&amp;"_SYNTH"&amp;Tenor&amp;QuoteSuffix</f>
        <v>USDSWD_SYNTH3M_Quote</v>
      </c>
      <c r="D6" s="137" t="str">
        <f>_xll.qlSimpleQuote(C6,,RateTickValue,Permanent,Trigger,ObjectOverwrite)</f>
        <v>USDSWD_SYNTH3M_Quote#0013</v>
      </c>
      <c r="E6" s="248" t="str">
        <f>_xll.ohRangeRetrieveError(D6)</f>
        <v/>
      </c>
      <c r="F6" s="231"/>
    </row>
    <row r="7" spans="1:6" x14ac:dyDescent="0.2">
      <c r="A7" s="130"/>
      <c r="B7" s="242" t="s">
        <v>160</v>
      </c>
      <c r="C7" s="137" t="str">
        <f>Currency&amp;$B7&amp;"_SYNTH"&amp;Tenor&amp;QuoteSuffix</f>
        <v>USD2WD_SYNTH3M_Quote</v>
      </c>
      <c r="D7" s="137" t="str">
        <f>_xll.qlSimpleQuote(C7,,RateTickValue,Permanent,Trigger,ObjectOverwrite)</f>
        <v>USD2WD_SYNTH3M_Quote#0013</v>
      </c>
      <c r="E7" s="248" t="str">
        <f>_xll.ohRangeRetrieveError(D7)</f>
        <v/>
      </c>
      <c r="F7" s="231"/>
    </row>
    <row r="8" spans="1:6" x14ac:dyDescent="0.2">
      <c r="A8" s="130"/>
      <c r="B8" s="242" t="s">
        <v>159</v>
      </c>
      <c r="C8" s="137" t="str">
        <f>Currency&amp;$B8&amp;"_SYNTH"&amp;Tenor&amp;QuoteSuffix</f>
        <v>USD3WD_SYNTH3M_Quote</v>
      </c>
      <c r="D8" s="137" t="str">
        <f>_xll.qlSimpleQuote(C8,,RateTickValue,Permanent,Trigger,ObjectOverwrite)</f>
        <v>USD3WD_SYNTH3M_Quote#0013</v>
      </c>
      <c r="E8" s="248" t="str">
        <f>_xll.ohRangeRetrieveError(D8)</f>
        <v/>
      </c>
      <c r="F8" s="231"/>
    </row>
    <row r="9" spans="1:6" x14ac:dyDescent="0.2">
      <c r="A9" s="130"/>
      <c r="B9" s="242" t="s">
        <v>158</v>
      </c>
      <c r="C9" s="137" t="str">
        <f>Currency&amp;$B9&amp;"_SYNTH"&amp;Tenor&amp;QuoteSuffix</f>
        <v>USD1MD_SYNTH3M_Quote</v>
      </c>
      <c r="D9" s="137" t="str">
        <f>_xll.qlSimpleQuote(C9,,RateTickValue,Permanent,Trigger,ObjectOverwrite)</f>
        <v>USD1MD_SYNTH3M_Quote#0013</v>
      </c>
      <c r="E9" s="248" t="str">
        <f>_xll.ohRangeRetrieveError(D9)</f>
        <v/>
      </c>
      <c r="F9" s="231"/>
    </row>
    <row r="10" spans="1:6" x14ac:dyDescent="0.2">
      <c r="A10" s="130"/>
      <c r="B10" s="242" t="s">
        <v>157</v>
      </c>
      <c r="C10" s="137" t="str">
        <f>Currency&amp;$B10&amp;"_SYNTH"&amp;Tenor&amp;QuoteSuffix</f>
        <v>USD2MD_SYNTH3M_Quote</v>
      </c>
      <c r="D10" s="137" t="str">
        <f>_xll.qlSimpleQuote(C10,,RateTickValue,Permanent,Trigger,ObjectOverwrite)</f>
        <v>USD2MD_SYNTH3M_Quote#0013</v>
      </c>
      <c r="E10" s="248" t="str">
        <f>_xll.ohRangeRetrieveError(D10)</f>
        <v/>
      </c>
      <c r="F10" s="231"/>
    </row>
    <row r="11" spans="1:6" x14ac:dyDescent="0.2">
      <c r="A11" s="130"/>
      <c r="B11" s="242" t="s">
        <v>156</v>
      </c>
      <c r="C11" s="137" t="str">
        <f>Currency&amp;$B11&amp;"_SYNTH"&amp;Tenor&amp;QuoteSuffix</f>
        <v>USD3MD_SYNTH3M_Quote</v>
      </c>
      <c r="D11" s="137" t="str">
        <f>_xll.qlSimpleQuote(C11,,RateTickValue,Permanent,Trigger,ObjectOverwrite)</f>
        <v>USD3MD_SYNTH3M_Quote#0013</v>
      </c>
      <c r="E11" s="248" t="str">
        <f>_xll.ohRangeRetrieveError(D11)</f>
        <v/>
      </c>
      <c r="F11" s="231"/>
    </row>
    <row r="12" spans="1:6" x14ac:dyDescent="0.2">
      <c r="A12" s="130"/>
      <c r="B12" s="247" t="s">
        <v>220</v>
      </c>
      <c r="C12" s="133" t="str">
        <f>Currency&amp;$B12&amp;"_SYNTH"&amp;Tenor&amp;QuoteSuffix</f>
        <v>USDTOY_SYNTH3M_Quote</v>
      </c>
      <c r="D12" s="133" t="str">
        <f>_xll.qlSimpleQuote(C12,1,RateTickValue,Permanent,Trigger,ObjectOverwrite)</f>
        <v>USDTOY_SYNTH3M_Quote#0013</v>
      </c>
      <c r="E12" s="246" t="str">
        <f>_xll.ohRangeRetrieveError(D12)</f>
        <v/>
      </c>
      <c r="F12" s="231"/>
    </row>
    <row r="13" spans="1:6" x14ac:dyDescent="0.2">
      <c r="A13" s="130"/>
      <c r="B13" s="245" t="s">
        <v>219</v>
      </c>
      <c r="C13" s="126" t="str">
        <f>Currency&amp;$B13&amp;"_SYNTH"&amp;Tenor&amp;QuoteSuffix</f>
        <v>USDTOY2_SYNTH3M_Quote</v>
      </c>
      <c r="D13" s="126" t="str">
        <f>_xll.qlSimpleQuote(C13,1,RateTickValue,Permanent,Trigger,ObjectOverwrite)</f>
        <v>USDTOY2_SYNTH3M_Quote#0013</v>
      </c>
      <c r="E13" s="244" t="str">
        <f>_xll.ohRangeRetrieveError(D13)</f>
        <v/>
      </c>
      <c r="F13" s="231"/>
    </row>
    <row r="14" spans="1:6" ht="12" thickBot="1" x14ac:dyDescent="0.25">
      <c r="A14" s="51"/>
      <c r="B14" s="50"/>
      <c r="C14" s="50"/>
      <c r="D14" s="50"/>
      <c r="E14" s="50"/>
      <c r="F14" s="49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/>
  </sheetViews>
  <sheetFormatPr defaultRowHeight="11.25" x14ac:dyDescent="0.2"/>
  <cols>
    <col min="1" max="1" width="5" style="111" customWidth="1"/>
    <col min="2" max="2" width="7.28515625" style="111" bestFit="1" customWidth="1"/>
    <col min="3" max="3" width="25.42578125" style="111" bestFit="1" customWidth="1"/>
    <col min="4" max="4" width="26.7109375" style="111" bestFit="1" customWidth="1"/>
    <col min="5" max="5" width="36.85546875" style="111" bestFit="1" customWidth="1"/>
    <col min="6" max="6" width="5" style="111" customWidth="1"/>
    <col min="7" max="16384" width="9.140625" style="111"/>
  </cols>
  <sheetData>
    <row r="1" spans="1:6" x14ac:dyDescent="0.2">
      <c r="A1" s="166" t="s">
        <v>223</v>
      </c>
      <c r="B1" s="239">
        <v>6</v>
      </c>
      <c r="C1" s="240" t="str">
        <f>_xll.qlPeriodEquivalent(Months&amp;"M")</f>
        <v>6M</v>
      </c>
      <c r="D1" s="239"/>
      <c r="E1" s="239"/>
      <c r="F1" s="238"/>
    </row>
    <row r="2" spans="1:6" x14ac:dyDescent="0.2">
      <c r="A2" s="130"/>
      <c r="B2" s="237"/>
      <c r="C2" s="236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31"/>
    </row>
    <row r="3" spans="1:6" x14ac:dyDescent="0.2">
      <c r="A3" s="130"/>
      <c r="B3" s="235" t="s">
        <v>164</v>
      </c>
      <c r="C3" s="133" t="str">
        <f>Currency&amp;$B3&amp;"_SYNTH"&amp;Tenor&amp;QuoteSuffix</f>
        <v>USDOND_SYNTH6M_Quote</v>
      </c>
      <c r="D3" s="133" t="str">
        <f>_xll.qlSimpleQuote(C3,,RateTickValue,Permanent,Trigger,ObjectOverwrite)</f>
        <v>USDOND_SYNTH6M_Quote#0012</v>
      </c>
      <c r="E3" s="246" t="str">
        <f>_xll.ohRangeRetrieveError(D3)</f>
        <v/>
      </c>
      <c r="F3" s="231"/>
    </row>
    <row r="4" spans="1:6" x14ac:dyDescent="0.2">
      <c r="A4" s="130"/>
      <c r="B4" s="243" t="s">
        <v>163</v>
      </c>
      <c r="C4" s="137" t="str">
        <f>Currency&amp;$B4&amp;"_SYNTH"&amp;Tenor&amp;QuoteSuffix</f>
        <v>USDTND_SYNTH6M_Quote</v>
      </c>
      <c r="D4" s="137" t="str">
        <f>_xll.qlSimpleQuote(C4,,RateTickValue,Permanent,Trigger,ObjectOverwrite)</f>
        <v>USDTND_SYNTH6M_Quote#0012</v>
      </c>
      <c r="E4" s="248" t="str">
        <f>_xll.ohRangeRetrieveError(D4)</f>
        <v/>
      </c>
      <c r="F4" s="231"/>
    </row>
    <row r="5" spans="1:6" x14ac:dyDescent="0.2">
      <c r="A5" s="130"/>
      <c r="B5" s="242" t="s">
        <v>162</v>
      </c>
      <c r="C5" s="137" t="str">
        <f>Currency&amp;$B5&amp;"_SYNTH"&amp;Tenor&amp;QuoteSuffix</f>
        <v>USDSND_SYNTH6M_Quote</v>
      </c>
      <c r="D5" s="137" t="str">
        <f>_xll.qlSimpleQuote(C5,,RateTickValue,Permanent,Trigger,ObjectOverwrite)</f>
        <v>USDSND_SYNTH6M_Quote#0012</v>
      </c>
      <c r="E5" s="248" t="str">
        <f>_xll.ohRangeRetrieveError(D5)</f>
        <v/>
      </c>
      <c r="F5" s="231"/>
    </row>
    <row r="6" spans="1:6" x14ac:dyDescent="0.2">
      <c r="A6" s="130"/>
      <c r="B6" s="242" t="s">
        <v>161</v>
      </c>
      <c r="C6" s="137" t="str">
        <f>Currency&amp;$B6&amp;"_SYNTH"&amp;Tenor&amp;QuoteSuffix</f>
        <v>USDSWD_SYNTH6M_Quote</v>
      </c>
      <c r="D6" s="137" t="str">
        <f>_xll.qlSimpleQuote(C6,,RateTickValue,Permanent,Trigger,ObjectOverwrite)</f>
        <v>USDSWD_SYNTH6M_Quote#0012</v>
      </c>
      <c r="E6" s="248" t="str">
        <f>_xll.ohRangeRetrieveError(D6)</f>
        <v/>
      </c>
      <c r="F6" s="231"/>
    </row>
    <row r="7" spans="1:6" x14ac:dyDescent="0.2">
      <c r="A7" s="130"/>
      <c r="B7" s="242" t="s">
        <v>160</v>
      </c>
      <c r="C7" s="137" t="str">
        <f>Currency&amp;$B7&amp;"_SYNTH"&amp;Tenor&amp;QuoteSuffix</f>
        <v>USD2WD_SYNTH6M_Quote</v>
      </c>
      <c r="D7" s="137" t="str">
        <f>_xll.qlSimpleQuote(C7,,RateTickValue,Permanent,Trigger,ObjectOverwrite)</f>
        <v>USD2WD_SYNTH6M_Quote#0012</v>
      </c>
      <c r="E7" s="248" t="str">
        <f>_xll.ohRangeRetrieveError(D7)</f>
        <v/>
      </c>
      <c r="F7" s="231"/>
    </row>
    <row r="8" spans="1:6" x14ac:dyDescent="0.2">
      <c r="A8" s="130"/>
      <c r="B8" s="242" t="s">
        <v>159</v>
      </c>
      <c r="C8" s="137" t="str">
        <f>Currency&amp;$B8&amp;"_SYNTH"&amp;Tenor&amp;QuoteSuffix</f>
        <v>USD3WD_SYNTH6M_Quote</v>
      </c>
      <c r="D8" s="137" t="str">
        <f>_xll.qlSimpleQuote(C8,,RateTickValue,Permanent,Trigger,ObjectOverwrite)</f>
        <v>USD3WD_SYNTH6M_Quote#0012</v>
      </c>
      <c r="E8" s="248" t="str">
        <f>_xll.ohRangeRetrieveError(D8)</f>
        <v/>
      </c>
      <c r="F8" s="231"/>
    </row>
    <row r="9" spans="1:6" x14ac:dyDescent="0.2">
      <c r="A9" s="130"/>
      <c r="B9" s="242" t="s">
        <v>158</v>
      </c>
      <c r="C9" s="137" t="str">
        <f>Currency&amp;$B9&amp;"_SYNTH"&amp;Tenor&amp;QuoteSuffix</f>
        <v>USD1MD_SYNTH6M_Quote</v>
      </c>
      <c r="D9" s="137" t="str">
        <f>_xll.qlSimpleQuote(C9,,RateTickValue,Permanent,Trigger,ObjectOverwrite)</f>
        <v>USD1MD_SYNTH6M_Quote#0012</v>
      </c>
      <c r="E9" s="248" t="str">
        <f>_xll.ohRangeRetrieveError(D9)</f>
        <v/>
      </c>
      <c r="F9" s="231"/>
    </row>
    <row r="10" spans="1:6" x14ac:dyDescent="0.2">
      <c r="A10" s="130"/>
      <c r="B10" s="242" t="s">
        <v>157</v>
      </c>
      <c r="C10" s="137" t="str">
        <f>Currency&amp;$B10&amp;"_SYNTH"&amp;Tenor&amp;QuoteSuffix</f>
        <v>USD2MD_SYNTH6M_Quote</v>
      </c>
      <c r="D10" s="137" t="str">
        <f>_xll.qlSimpleQuote(C10,,RateTickValue,Permanent,Trigger,ObjectOverwrite)</f>
        <v>USD2MD_SYNTH6M_Quote#0012</v>
      </c>
      <c r="E10" s="248" t="str">
        <f>_xll.ohRangeRetrieveError(D10)</f>
        <v/>
      </c>
      <c r="F10" s="231"/>
    </row>
    <row r="11" spans="1:6" x14ac:dyDescent="0.2">
      <c r="A11" s="130"/>
      <c r="B11" s="242" t="s">
        <v>156</v>
      </c>
      <c r="C11" s="137" t="str">
        <f>Currency&amp;$B11&amp;"_SYNTH"&amp;Tenor&amp;QuoteSuffix</f>
        <v>USD3MD_SYNTH6M_Quote</v>
      </c>
      <c r="D11" s="137" t="str">
        <f>_xll.qlSimpleQuote(C11,,RateTickValue,Permanent,Trigger,ObjectOverwrite)</f>
        <v>USD3MD_SYNTH6M_Quote#0012</v>
      </c>
      <c r="E11" s="248" t="str">
        <f>_xll.ohRangeRetrieveError(D11)</f>
        <v/>
      </c>
      <c r="F11" s="231"/>
    </row>
    <row r="12" spans="1:6" x14ac:dyDescent="0.2">
      <c r="A12" s="130"/>
      <c r="B12" s="242" t="s">
        <v>155</v>
      </c>
      <c r="C12" s="137" t="str">
        <f>Currency&amp;$B12&amp;"_SYNTH"&amp;Tenor&amp;QuoteSuffix</f>
        <v>USD4MD_SYNTH6M_Quote</v>
      </c>
      <c r="D12" s="137" t="str">
        <f>_xll.qlSimpleQuote(C12,,RateTickValue,Permanent,Trigger,ObjectOverwrite)</f>
        <v>USD4MD_SYNTH6M_Quote#0012</v>
      </c>
      <c r="E12" s="248" t="str">
        <f>_xll.ohRangeRetrieveError(D12)</f>
        <v/>
      </c>
      <c r="F12" s="231"/>
    </row>
    <row r="13" spans="1:6" x14ac:dyDescent="0.2">
      <c r="A13" s="130"/>
      <c r="B13" s="242" t="s">
        <v>154</v>
      </c>
      <c r="C13" s="137" t="str">
        <f>Currency&amp;$B13&amp;"_SYNTH"&amp;Tenor&amp;QuoteSuffix</f>
        <v>USD5MD_SYNTH6M_Quote</v>
      </c>
      <c r="D13" s="137" t="str">
        <f>_xll.qlSimpleQuote(C13,,RateTickValue,Permanent,Trigger,ObjectOverwrite)</f>
        <v>USD5MD_SYNTH6M_Quote#0012</v>
      </c>
      <c r="E13" s="248" t="str">
        <f>_xll.ohRangeRetrieveError(D13)</f>
        <v/>
      </c>
      <c r="F13" s="231"/>
    </row>
    <row r="14" spans="1:6" x14ac:dyDescent="0.2">
      <c r="A14" s="130"/>
      <c r="B14" s="245" t="s">
        <v>153</v>
      </c>
      <c r="C14" s="126" t="str">
        <f>Currency&amp;$B14&amp;"_SYNTH"&amp;Tenor&amp;QuoteSuffix</f>
        <v>USD6MD_SYNTH6M_Quote</v>
      </c>
      <c r="D14" s="126" t="str">
        <f>_xll.qlSimpleQuote(C14,,RateTickValue,Permanent,Trigger,ObjectOverwrite)</f>
        <v>USD6MD_SYNTH6M_Quote#0012</v>
      </c>
      <c r="E14" s="244" t="str">
        <f>_xll.ohRangeRetrieveError(D14)</f>
        <v/>
      </c>
      <c r="F14" s="231"/>
    </row>
    <row r="15" spans="1:6" x14ac:dyDescent="0.2">
      <c r="A15" s="130"/>
      <c r="B15" s="242" t="s">
        <v>220</v>
      </c>
      <c r="C15" s="137" t="str">
        <f>Currency&amp;$B15&amp;"_SYNTH"&amp;Tenor&amp;QuoteSuffix</f>
        <v>USDTOY_SYNTH6M_Quote</v>
      </c>
      <c r="D15" s="137" t="str">
        <f>_xll.qlSimpleQuote(C15,1,RateTickValue,Permanent,Trigger,ObjectOverwrite)</f>
        <v>USDTOY_SYNTH6M_Quote#0012</v>
      </c>
      <c r="E15" s="248" t="str">
        <f>_xll.ohRangeRetrieveError(D15)</f>
        <v/>
      </c>
      <c r="F15" s="231"/>
    </row>
    <row r="16" spans="1:6" x14ac:dyDescent="0.2">
      <c r="A16" s="130"/>
      <c r="B16" s="245" t="s">
        <v>219</v>
      </c>
      <c r="C16" s="126" t="str">
        <f>Currency&amp;$B16&amp;"_SYNTH"&amp;Tenor&amp;QuoteSuffix</f>
        <v>USDTOY2_SYNTH6M_Quote</v>
      </c>
      <c r="D16" s="126" t="str">
        <f>_xll.qlSimpleQuote(C16,1,RateTickValue,Permanent,Trigger,ObjectOverwrite)</f>
        <v>USDTOY2_SYNTH6M_Quote#0012</v>
      </c>
      <c r="E16" s="244" t="str">
        <f>_xll.ohRangeRetrieveError(D16)</f>
        <v/>
      </c>
      <c r="F16" s="231"/>
    </row>
    <row r="17" spans="1:6" ht="12" thickBot="1" x14ac:dyDescent="0.25">
      <c r="A17" s="51"/>
      <c r="B17" s="50"/>
      <c r="C17" s="50"/>
      <c r="D17" s="50"/>
      <c r="E17" s="50"/>
      <c r="F17" s="49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workbookViewId="0"/>
  </sheetViews>
  <sheetFormatPr defaultRowHeight="11.25" x14ac:dyDescent="0.2"/>
  <cols>
    <col min="1" max="1" width="5" style="111" customWidth="1"/>
    <col min="2" max="2" width="6.140625" style="111" bestFit="1" customWidth="1"/>
    <col min="3" max="3" width="25.140625" style="111" bestFit="1" customWidth="1"/>
    <col min="4" max="4" width="26.7109375" style="111" bestFit="1" customWidth="1"/>
    <col min="5" max="5" width="36.85546875" style="111" bestFit="1" customWidth="1"/>
    <col min="6" max="6" width="5" style="111" customWidth="1"/>
    <col min="7" max="16384" width="9.140625" style="111"/>
  </cols>
  <sheetData>
    <row r="1" spans="1:6" x14ac:dyDescent="0.2">
      <c r="A1" s="166" t="s">
        <v>223</v>
      </c>
      <c r="B1" s="239">
        <v>12</v>
      </c>
      <c r="C1" s="240" t="str">
        <f>_xll.qlPeriodEquivalent(Months&amp;"M")</f>
        <v>1Y</v>
      </c>
      <c r="D1" s="239"/>
      <c r="E1" s="239"/>
      <c r="F1" s="238"/>
    </row>
    <row r="2" spans="1:6" x14ac:dyDescent="0.2">
      <c r="A2" s="130"/>
      <c r="B2" s="249"/>
      <c r="C2" s="236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31"/>
    </row>
    <row r="3" spans="1:6" x14ac:dyDescent="0.2">
      <c r="A3" s="130"/>
      <c r="B3" s="243" t="s">
        <v>164</v>
      </c>
      <c r="C3" s="137" t="str">
        <f>Currency&amp;$B3&amp;"_SYNTH"&amp;Tenor&amp;QuoteSuffix</f>
        <v>USDOND_SYNTH1Y_Quote</v>
      </c>
      <c r="D3" s="137" t="str">
        <f>_xll.qlSimpleQuote(C3,,RateTickValue,Permanent,Trigger,ObjectOverwrite)</f>
        <v>USDOND_SYNTH1Y_Quote#0011</v>
      </c>
      <c r="E3" s="248" t="str">
        <f>_xll.ohRangeRetrieveError(D3)</f>
        <v/>
      </c>
      <c r="F3" s="231"/>
    </row>
    <row r="4" spans="1:6" x14ac:dyDescent="0.2">
      <c r="A4" s="130"/>
      <c r="B4" s="243" t="s">
        <v>163</v>
      </c>
      <c r="C4" s="137" t="str">
        <f>Currency&amp;$B4&amp;"_SYNTH"&amp;Tenor&amp;QuoteSuffix</f>
        <v>USDTND_SYNTH1Y_Quote</v>
      </c>
      <c r="D4" s="137" t="str">
        <f>_xll.qlSimpleQuote(C4,,RateTickValue,Permanent,Trigger,ObjectOverwrite)</f>
        <v>USDTND_SYNTH1Y_Quote#0011</v>
      </c>
      <c r="E4" s="248" t="str">
        <f>_xll.ohRangeRetrieveError(D4)</f>
        <v/>
      </c>
      <c r="F4" s="231"/>
    </row>
    <row r="5" spans="1:6" x14ac:dyDescent="0.2">
      <c r="A5" s="130"/>
      <c r="B5" s="242" t="s">
        <v>162</v>
      </c>
      <c r="C5" s="137" t="str">
        <f>Currency&amp;$B5&amp;"_SYNTH"&amp;Tenor&amp;QuoteSuffix</f>
        <v>USDSND_SYNTH1Y_Quote</v>
      </c>
      <c r="D5" s="137" t="str">
        <f>_xll.qlSimpleQuote(C5,,RateTickValue,Permanent,Trigger,ObjectOverwrite)</f>
        <v>USDSND_SYNTH1Y_Quote#0011</v>
      </c>
      <c r="E5" s="248" t="str">
        <f>_xll.ohRangeRetrieveError(D5)</f>
        <v/>
      </c>
      <c r="F5" s="231"/>
    </row>
    <row r="6" spans="1:6" x14ac:dyDescent="0.2">
      <c r="A6" s="130"/>
      <c r="B6" s="242" t="s">
        <v>161</v>
      </c>
      <c r="C6" s="137" t="str">
        <f>Currency&amp;$B6&amp;"_SYNTH"&amp;Tenor&amp;QuoteSuffix</f>
        <v>USDSWD_SYNTH1Y_Quote</v>
      </c>
      <c r="D6" s="137" t="str">
        <f>_xll.qlSimpleQuote(C6,,RateTickValue,Permanent,Trigger,ObjectOverwrite)</f>
        <v>USDSWD_SYNTH1Y_Quote#0011</v>
      </c>
      <c r="E6" s="248" t="str">
        <f>_xll.ohRangeRetrieveError(D6)</f>
        <v/>
      </c>
      <c r="F6" s="231"/>
    </row>
    <row r="7" spans="1:6" x14ac:dyDescent="0.2">
      <c r="A7" s="130"/>
      <c r="B7" s="242" t="s">
        <v>160</v>
      </c>
      <c r="C7" s="137" t="str">
        <f>Currency&amp;$B7&amp;"_SYNTH"&amp;Tenor&amp;QuoteSuffix</f>
        <v>USD2WD_SYNTH1Y_Quote</v>
      </c>
      <c r="D7" s="137" t="str">
        <f>_xll.qlSimpleQuote(C7,,RateTickValue,Permanent,Trigger,ObjectOverwrite)</f>
        <v>USD2WD_SYNTH1Y_Quote#0011</v>
      </c>
      <c r="E7" s="248" t="str">
        <f>_xll.ohRangeRetrieveError(D7)</f>
        <v/>
      </c>
      <c r="F7" s="231"/>
    </row>
    <row r="8" spans="1:6" x14ac:dyDescent="0.2">
      <c r="A8" s="130"/>
      <c r="B8" s="242" t="s">
        <v>159</v>
      </c>
      <c r="C8" s="137" t="str">
        <f>Currency&amp;$B8&amp;"_SYNTH"&amp;Tenor&amp;QuoteSuffix</f>
        <v>USD3WD_SYNTH1Y_Quote</v>
      </c>
      <c r="D8" s="137" t="str">
        <f>_xll.qlSimpleQuote(C8,,RateTickValue,Permanent,Trigger,ObjectOverwrite)</f>
        <v>USD3WD_SYNTH1Y_Quote#0011</v>
      </c>
      <c r="E8" s="248" t="str">
        <f>_xll.ohRangeRetrieveError(D8)</f>
        <v/>
      </c>
      <c r="F8" s="231"/>
    </row>
    <row r="9" spans="1:6" x14ac:dyDescent="0.2">
      <c r="A9" s="130"/>
      <c r="B9" s="242" t="s">
        <v>158</v>
      </c>
      <c r="C9" s="137" t="str">
        <f>Currency&amp;$B9&amp;"_SYNTH"&amp;Tenor&amp;QuoteSuffix</f>
        <v>USD1MD_SYNTH1Y_Quote</v>
      </c>
      <c r="D9" s="137" t="str">
        <f>_xll.qlSimpleQuote(C9,,RateTickValue,Permanent,Trigger,ObjectOverwrite)</f>
        <v>USD1MD_SYNTH1Y_Quote#0011</v>
      </c>
      <c r="E9" s="248" t="str">
        <f>_xll.ohRangeRetrieveError(D9)</f>
        <v/>
      </c>
      <c r="F9" s="231"/>
    </row>
    <row r="10" spans="1:6" x14ac:dyDescent="0.2">
      <c r="A10" s="130"/>
      <c r="B10" s="242" t="s">
        <v>157</v>
      </c>
      <c r="C10" s="137" t="str">
        <f>Currency&amp;$B10&amp;"_SYNTH"&amp;Tenor&amp;QuoteSuffix</f>
        <v>USD2MD_SYNTH1Y_Quote</v>
      </c>
      <c r="D10" s="137" t="str">
        <f>_xll.qlSimpleQuote(C10,,RateTickValue,Permanent,Trigger,ObjectOverwrite)</f>
        <v>USD2MD_SYNTH1Y_Quote#0011</v>
      </c>
      <c r="E10" s="248" t="str">
        <f>_xll.ohRangeRetrieveError(D10)</f>
        <v/>
      </c>
      <c r="F10" s="231"/>
    </row>
    <row r="11" spans="1:6" x14ac:dyDescent="0.2">
      <c r="A11" s="130"/>
      <c r="B11" s="242" t="s">
        <v>156</v>
      </c>
      <c r="C11" s="137" t="str">
        <f>Currency&amp;$B11&amp;"_SYNTH"&amp;Tenor&amp;QuoteSuffix</f>
        <v>USD3MD_SYNTH1Y_Quote</v>
      </c>
      <c r="D11" s="137" t="str">
        <f>_xll.qlSimpleQuote(C11,,RateTickValue,Permanent,Trigger,ObjectOverwrite)</f>
        <v>USD3MD_SYNTH1Y_Quote#0011</v>
      </c>
      <c r="E11" s="248" t="str">
        <f>_xll.ohRangeRetrieveError(D11)</f>
        <v/>
      </c>
      <c r="F11" s="231"/>
    </row>
    <row r="12" spans="1:6" x14ac:dyDescent="0.2">
      <c r="A12" s="130"/>
      <c r="B12" s="242" t="s">
        <v>155</v>
      </c>
      <c r="C12" s="137" t="str">
        <f>Currency&amp;$B12&amp;"_SYNTH"&amp;Tenor&amp;QuoteSuffix</f>
        <v>USD4MD_SYNTH1Y_Quote</v>
      </c>
      <c r="D12" s="137" t="str">
        <f>_xll.qlSimpleQuote(C12,,RateTickValue,Permanent,Trigger,ObjectOverwrite)</f>
        <v>USD4MD_SYNTH1Y_Quote#0011</v>
      </c>
      <c r="E12" s="248" t="str">
        <f>_xll.ohRangeRetrieveError(D12)</f>
        <v/>
      </c>
      <c r="F12" s="231"/>
    </row>
    <row r="13" spans="1:6" x14ac:dyDescent="0.2">
      <c r="A13" s="130"/>
      <c r="B13" s="242" t="s">
        <v>154</v>
      </c>
      <c r="C13" s="137" t="str">
        <f>Currency&amp;$B13&amp;"_SYNTH"&amp;Tenor&amp;QuoteSuffix</f>
        <v>USD5MD_SYNTH1Y_Quote</v>
      </c>
      <c r="D13" s="137" t="str">
        <f>_xll.qlSimpleQuote(C13,,RateTickValue,Permanent,Trigger,ObjectOverwrite)</f>
        <v>USD5MD_SYNTH1Y_Quote#0011</v>
      </c>
      <c r="E13" s="248" t="str">
        <f>_xll.ohRangeRetrieveError(D13)</f>
        <v/>
      </c>
      <c r="F13" s="231"/>
    </row>
    <row r="14" spans="1:6" x14ac:dyDescent="0.2">
      <c r="A14" s="130"/>
      <c r="B14" s="242" t="s">
        <v>153</v>
      </c>
      <c r="C14" s="137" t="str">
        <f>Currency&amp;$B14&amp;"_SYNTH"&amp;Tenor&amp;QuoteSuffix</f>
        <v>USD6MD_SYNTH1Y_Quote</v>
      </c>
      <c r="D14" s="137" t="str">
        <f>_xll.qlSimpleQuote(C14,,RateTickValue,Permanent,Trigger,ObjectOverwrite)</f>
        <v>USD6MD_SYNTH1Y_Quote#0011</v>
      </c>
      <c r="E14" s="248" t="str">
        <f>_xll.ohRangeRetrieveError(D14)</f>
        <v/>
      </c>
      <c r="F14" s="231"/>
    </row>
    <row r="15" spans="1:6" x14ac:dyDescent="0.2">
      <c r="A15" s="130"/>
      <c r="B15" s="242" t="s">
        <v>152</v>
      </c>
      <c r="C15" s="137" t="str">
        <f>Currency&amp;$B15&amp;"_SYNTH"&amp;Tenor&amp;QuoteSuffix</f>
        <v>USD7MD_SYNTH1Y_Quote</v>
      </c>
      <c r="D15" s="137" t="str">
        <f>_xll.qlSimpleQuote(C15,,RateTickValue,Permanent,Trigger,ObjectOverwrite)</f>
        <v>USD7MD_SYNTH1Y_Quote#0011</v>
      </c>
      <c r="E15" s="248" t="str">
        <f>_xll.ohRangeRetrieveError(D15)</f>
        <v/>
      </c>
      <c r="F15" s="231"/>
    </row>
    <row r="16" spans="1:6" x14ac:dyDescent="0.2">
      <c r="A16" s="130"/>
      <c r="B16" s="242" t="s">
        <v>151</v>
      </c>
      <c r="C16" s="137" t="str">
        <f>Currency&amp;$B16&amp;"_SYNTH"&amp;Tenor&amp;QuoteSuffix</f>
        <v>USD8MD_SYNTH1Y_Quote</v>
      </c>
      <c r="D16" s="137" t="str">
        <f>_xll.qlSimpleQuote(C16,,RateTickValue,Permanent,Trigger,ObjectOverwrite)</f>
        <v>USD8MD_SYNTH1Y_Quote#0011</v>
      </c>
      <c r="E16" s="248" t="str">
        <f>_xll.ohRangeRetrieveError(D16)</f>
        <v/>
      </c>
      <c r="F16" s="231"/>
    </row>
    <row r="17" spans="1:6" x14ac:dyDescent="0.2">
      <c r="A17" s="130"/>
      <c r="B17" s="242" t="s">
        <v>150</v>
      </c>
      <c r="C17" s="137" t="str">
        <f>Currency&amp;$B17&amp;"_SYNTH"&amp;Tenor&amp;QuoteSuffix</f>
        <v>USD9MD_SYNTH1Y_Quote</v>
      </c>
      <c r="D17" s="137" t="str">
        <f>_xll.qlSimpleQuote(C17,,RateTickValue,Permanent,Trigger,ObjectOverwrite)</f>
        <v>USD9MD_SYNTH1Y_Quote#0011</v>
      </c>
      <c r="E17" s="248" t="str">
        <f>_xll.ohRangeRetrieveError(D17)</f>
        <v/>
      </c>
      <c r="F17" s="231"/>
    </row>
    <row r="18" spans="1:6" x14ac:dyDescent="0.2">
      <c r="A18" s="130"/>
      <c r="B18" s="242" t="s">
        <v>149</v>
      </c>
      <c r="C18" s="137" t="str">
        <f>Currency&amp;$B18&amp;"_SYNTH"&amp;Tenor&amp;QuoteSuffix</f>
        <v>USD10MD_SYNTH1Y_Quote</v>
      </c>
      <c r="D18" s="137" t="str">
        <f>_xll.qlSimpleQuote(C18,,RateTickValue,Permanent,Trigger,ObjectOverwrite)</f>
        <v>USD10MD_SYNTH1Y_Quote#0011</v>
      </c>
      <c r="E18" s="248" t="str">
        <f>_xll.ohRangeRetrieveError(D18)</f>
        <v/>
      </c>
      <c r="F18" s="231"/>
    </row>
    <row r="19" spans="1:6" x14ac:dyDescent="0.2">
      <c r="A19" s="130"/>
      <c r="B19" s="242" t="s">
        <v>148</v>
      </c>
      <c r="C19" s="137" t="str">
        <f>Currency&amp;$B19&amp;"_SYNTH"&amp;Tenor&amp;QuoteSuffix</f>
        <v>USD11MD_SYNTH1Y_Quote</v>
      </c>
      <c r="D19" s="137" t="str">
        <f>_xll.qlSimpleQuote(C19,,RateTickValue,Permanent,Trigger,ObjectOverwrite)</f>
        <v>USD11MD_SYNTH1Y_Quote#0011</v>
      </c>
      <c r="E19" s="248" t="str">
        <f>_xll.ohRangeRetrieveError(D19)</f>
        <v/>
      </c>
      <c r="F19" s="231"/>
    </row>
    <row r="20" spans="1:6" x14ac:dyDescent="0.2">
      <c r="A20" s="130"/>
      <c r="B20" s="245" t="s">
        <v>147</v>
      </c>
      <c r="C20" s="126" t="str">
        <f>Currency&amp;$B20&amp;"_SYNTH"&amp;Tenor&amp;QuoteSuffix</f>
        <v>USD1YD_SYNTH1Y_Quote</v>
      </c>
      <c r="D20" s="126" t="str">
        <f>_xll.qlSimpleQuote(C20,,RateTickValue,Permanent,Trigger,ObjectOverwrite)</f>
        <v>USD1YD_SYNTH1Y_Quote#0011</v>
      </c>
      <c r="E20" s="244" t="str">
        <f>_xll.ohRangeRetrieveError(D20)</f>
        <v/>
      </c>
      <c r="F20" s="231"/>
    </row>
    <row r="21" spans="1:6" x14ac:dyDescent="0.2">
      <c r="A21" s="130">
        <v>1</v>
      </c>
      <c r="B21" s="247" t="str">
        <f>A21&amp;"x"&amp;A21+Months&amp;"F"</f>
        <v>1x13F</v>
      </c>
      <c r="C21" s="133" t="str">
        <f>Currency&amp;$B21&amp;"_SYNTH"&amp;Tenor&amp;QuoteSuffix</f>
        <v>USD1x13F_SYNTH1Y_Quote</v>
      </c>
      <c r="D21" s="133" t="str">
        <f>_xll.qlSimpleQuote(C21,,RateTickValue,Permanent,Trigger,ObjectOverwrite)</f>
        <v>USD1x13F_SYNTH1Y_Quote#0011</v>
      </c>
      <c r="E21" s="246" t="str">
        <f>_xll.ohRangeRetrieveError(D21)</f>
        <v/>
      </c>
      <c r="F21" s="231"/>
    </row>
    <row r="22" spans="1:6" x14ac:dyDescent="0.2">
      <c r="A22" s="130">
        <v>2</v>
      </c>
      <c r="B22" s="242" t="str">
        <f>A22&amp;"x"&amp;A22+Months&amp;"F"</f>
        <v>2x14F</v>
      </c>
      <c r="C22" s="137" t="str">
        <f>Currency&amp;$B22&amp;"_SYNTH"&amp;Tenor&amp;QuoteSuffix</f>
        <v>USD2x14F_SYNTH1Y_Quote</v>
      </c>
      <c r="D22" s="137" t="str">
        <f>_xll.qlSimpleQuote(C22,,RateTickValue,Permanent,Trigger,ObjectOverwrite)</f>
        <v>USD2x14F_SYNTH1Y_Quote#0011</v>
      </c>
      <c r="E22" s="248" t="str">
        <f>_xll.ohRangeRetrieveError(D22)</f>
        <v/>
      </c>
      <c r="F22" s="231"/>
    </row>
    <row r="23" spans="1:6" x14ac:dyDescent="0.2">
      <c r="A23" s="130">
        <v>3</v>
      </c>
      <c r="B23" s="242" t="str">
        <f>A23&amp;"x"&amp;A23+Months&amp;"F"</f>
        <v>3x15F</v>
      </c>
      <c r="C23" s="137" t="str">
        <f>Currency&amp;$B23&amp;"_SYNTH"&amp;Tenor&amp;QuoteSuffix</f>
        <v>USD3x15F_SYNTH1Y_Quote</v>
      </c>
      <c r="D23" s="137" t="str">
        <f>_xll.qlSimpleQuote(C23,,RateTickValue,Permanent,Trigger,ObjectOverwrite)</f>
        <v>USD3x15F_SYNTH1Y_Quote#0011</v>
      </c>
      <c r="E23" s="248" t="str">
        <f>_xll.ohRangeRetrieveError(D23)</f>
        <v/>
      </c>
      <c r="F23" s="231"/>
    </row>
    <row r="24" spans="1:6" x14ac:dyDescent="0.2">
      <c r="A24" s="130">
        <v>4</v>
      </c>
      <c r="B24" s="242" t="str">
        <f>A24&amp;"x"&amp;A24+Months&amp;"F"</f>
        <v>4x16F</v>
      </c>
      <c r="C24" s="137" t="str">
        <f>Currency&amp;$B24&amp;"_SYNTH"&amp;Tenor&amp;QuoteSuffix</f>
        <v>USD4x16F_SYNTH1Y_Quote</v>
      </c>
      <c r="D24" s="137" t="str">
        <f>_xll.qlSimpleQuote(C24,,RateTickValue,Permanent,Trigger,ObjectOverwrite)</f>
        <v>USD4x16F_SYNTH1Y_Quote#0011</v>
      </c>
      <c r="E24" s="248" t="str">
        <f>_xll.ohRangeRetrieveError(D24)</f>
        <v/>
      </c>
      <c r="F24" s="231"/>
    </row>
    <row r="25" spans="1:6" x14ac:dyDescent="0.2">
      <c r="A25" s="130">
        <v>5</v>
      </c>
      <c r="B25" s="242" t="str">
        <f>A25&amp;"x"&amp;A25+Months&amp;"F"</f>
        <v>5x17F</v>
      </c>
      <c r="C25" s="137" t="str">
        <f>Currency&amp;$B25&amp;"_SYNTH"&amp;Tenor&amp;QuoteSuffix</f>
        <v>USD5x17F_SYNTH1Y_Quote</v>
      </c>
      <c r="D25" s="137" t="str">
        <f>_xll.qlSimpleQuote(C25,,RateTickValue,Permanent,Trigger,ObjectOverwrite)</f>
        <v>USD5x17F_SYNTH1Y_Quote#0011</v>
      </c>
      <c r="E25" s="248" t="str">
        <f>_xll.ohRangeRetrieveError(D25)</f>
        <v/>
      </c>
      <c r="F25" s="231"/>
    </row>
    <row r="26" spans="1:6" x14ac:dyDescent="0.2">
      <c r="A26" s="130">
        <v>6</v>
      </c>
      <c r="B26" s="242" t="str">
        <f>A26&amp;"x"&amp;A26+Months&amp;"F"</f>
        <v>6x18F</v>
      </c>
      <c r="C26" s="137" t="str">
        <f>Currency&amp;$B26&amp;"_SYNTH"&amp;Tenor&amp;QuoteSuffix</f>
        <v>USD6x18F_SYNTH1Y_Quote</v>
      </c>
      <c r="D26" s="137" t="str">
        <f>_xll.qlSimpleQuote(C26,,RateTickValue,Permanent,Trigger,ObjectOverwrite)</f>
        <v>USD6x18F_SYNTH1Y_Quote#0011</v>
      </c>
      <c r="E26" s="248" t="str">
        <f>_xll.ohRangeRetrieveError(D26)</f>
        <v/>
      </c>
      <c r="F26" s="231"/>
    </row>
    <row r="27" spans="1:6" x14ac:dyDescent="0.2">
      <c r="A27" s="130">
        <v>7</v>
      </c>
      <c r="B27" s="242" t="str">
        <f>A27&amp;"x"&amp;A27+Months&amp;"F"</f>
        <v>7x19F</v>
      </c>
      <c r="C27" s="137" t="str">
        <f>Currency&amp;$B27&amp;"_SYNTH"&amp;Tenor&amp;QuoteSuffix</f>
        <v>USD7x19F_SYNTH1Y_Quote</v>
      </c>
      <c r="D27" s="137" t="str">
        <f>_xll.qlSimpleQuote(C27,,RateTickValue,Permanent,Trigger,ObjectOverwrite)</f>
        <v>USD7x19F_SYNTH1Y_Quote#0011</v>
      </c>
      <c r="E27" s="248" t="str">
        <f>_xll.ohRangeRetrieveError(D27)</f>
        <v/>
      </c>
      <c r="F27" s="231"/>
    </row>
    <row r="28" spans="1:6" x14ac:dyDescent="0.2">
      <c r="A28" s="130">
        <v>8</v>
      </c>
      <c r="B28" s="242" t="str">
        <f>A28&amp;"x"&amp;A28+Months&amp;"F"</f>
        <v>8x20F</v>
      </c>
      <c r="C28" s="137" t="str">
        <f>Currency&amp;$B28&amp;"_SYNTH"&amp;Tenor&amp;QuoteSuffix</f>
        <v>USD8x20F_SYNTH1Y_Quote</v>
      </c>
      <c r="D28" s="137" t="str">
        <f>_xll.qlSimpleQuote(C28,,RateTickValue,Permanent,Trigger,ObjectOverwrite)</f>
        <v>USD8x20F_SYNTH1Y_Quote#0011</v>
      </c>
      <c r="E28" s="248" t="str">
        <f>_xll.ohRangeRetrieveError(D28)</f>
        <v/>
      </c>
      <c r="F28" s="231"/>
    </row>
    <row r="29" spans="1:6" x14ac:dyDescent="0.2">
      <c r="A29" s="130">
        <v>9</v>
      </c>
      <c r="B29" s="242" t="str">
        <f>A29&amp;"x"&amp;A29+Months&amp;"F"</f>
        <v>9x21F</v>
      </c>
      <c r="C29" s="137" t="str">
        <f>Currency&amp;$B29&amp;"_SYNTH"&amp;Tenor&amp;QuoteSuffix</f>
        <v>USD9x21F_SYNTH1Y_Quote</v>
      </c>
      <c r="D29" s="137" t="str">
        <f>_xll.qlSimpleQuote(C29,,RateTickValue,Permanent,Trigger,ObjectOverwrite)</f>
        <v>USD9x21F_SYNTH1Y_Quote#0011</v>
      </c>
      <c r="E29" s="248" t="str">
        <f>_xll.ohRangeRetrieveError(D29)</f>
        <v/>
      </c>
      <c r="F29" s="231"/>
    </row>
    <row r="30" spans="1:6" x14ac:dyDescent="0.2">
      <c r="A30" s="130">
        <v>10</v>
      </c>
      <c r="B30" s="242" t="str">
        <f>A30&amp;"x"&amp;A30+Months&amp;"F"</f>
        <v>10x22F</v>
      </c>
      <c r="C30" s="137" t="str">
        <f>Currency&amp;$B30&amp;"_SYNTH"&amp;Tenor&amp;QuoteSuffix</f>
        <v>USD10x22F_SYNTH1Y_Quote</v>
      </c>
      <c r="D30" s="137" t="str">
        <f>_xll.qlSimpleQuote(C30,,RateTickValue,Permanent,Trigger,ObjectOverwrite)</f>
        <v>USD10x22F_SYNTH1Y_Quote#0011</v>
      </c>
      <c r="E30" s="248" t="str">
        <f>_xll.ohRangeRetrieveError(D30)</f>
        <v/>
      </c>
      <c r="F30" s="231"/>
    </row>
    <row r="31" spans="1:6" x14ac:dyDescent="0.2">
      <c r="A31" s="130">
        <v>11</v>
      </c>
      <c r="B31" s="242" t="str">
        <f>A31&amp;"x"&amp;A31+Months&amp;"F"</f>
        <v>11x23F</v>
      </c>
      <c r="C31" s="137" t="str">
        <f>Currency&amp;$B31&amp;"_SYNTH"&amp;Tenor&amp;QuoteSuffix</f>
        <v>USD11x23F_SYNTH1Y_Quote</v>
      </c>
      <c r="D31" s="137" t="str">
        <f>_xll.qlSimpleQuote(C31,,RateTickValue,Permanent,Trigger,ObjectOverwrite)</f>
        <v>USD11x23F_SYNTH1Y_Quote#0011</v>
      </c>
      <c r="E31" s="248" t="str">
        <f>_xll.ohRangeRetrieveError(D31)</f>
        <v/>
      </c>
      <c r="F31" s="231"/>
    </row>
    <row r="32" spans="1:6" x14ac:dyDescent="0.2">
      <c r="A32" s="130">
        <v>13</v>
      </c>
      <c r="B32" s="242" t="str">
        <f>A32&amp;"x"&amp;A32+Months&amp;"F"</f>
        <v>13x25F</v>
      </c>
      <c r="C32" s="137" t="str">
        <f>Currency&amp;$B32&amp;"_SYNTH"&amp;Tenor&amp;QuoteSuffix</f>
        <v>USD13x25F_SYNTH1Y_Quote</v>
      </c>
      <c r="D32" s="137" t="str">
        <f>_xll.qlSimpleQuote(C32,,RateTickValue,Permanent,Trigger,ObjectOverwrite)</f>
        <v>USD13x25F_SYNTH1Y_Quote#0011</v>
      </c>
      <c r="E32" s="248" t="str">
        <f>_xll.ohRangeRetrieveError(D32)</f>
        <v/>
      </c>
      <c r="F32" s="231"/>
    </row>
    <row r="33" spans="1:6" x14ac:dyDescent="0.2">
      <c r="A33" s="130">
        <v>14</v>
      </c>
      <c r="B33" s="242" t="str">
        <f>A33&amp;"x"&amp;A33+Months&amp;"F"</f>
        <v>14x26F</v>
      </c>
      <c r="C33" s="137" t="str">
        <f>Currency&amp;$B33&amp;"_SYNTH"&amp;Tenor&amp;QuoteSuffix</f>
        <v>USD14x26F_SYNTH1Y_Quote</v>
      </c>
      <c r="D33" s="137" t="str">
        <f>_xll.qlSimpleQuote(C33,,RateTickValue,Permanent,Trigger,ObjectOverwrite)</f>
        <v>USD14x26F_SYNTH1Y_Quote#0011</v>
      </c>
      <c r="E33" s="248" t="str">
        <f>_xll.ohRangeRetrieveError(D33)</f>
        <v/>
      </c>
      <c r="F33" s="231"/>
    </row>
    <row r="34" spans="1:6" x14ac:dyDescent="0.2">
      <c r="A34" s="130">
        <v>15</v>
      </c>
      <c r="B34" s="242" t="str">
        <f>A34&amp;"x"&amp;A34+Months&amp;"F"</f>
        <v>15x27F</v>
      </c>
      <c r="C34" s="137" t="str">
        <f>Currency&amp;$B34&amp;"_SYNTH"&amp;Tenor&amp;QuoteSuffix</f>
        <v>USD15x27F_SYNTH1Y_Quote</v>
      </c>
      <c r="D34" s="137" t="str">
        <f>_xll.qlSimpleQuote(C34,,RateTickValue,Permanent,Trigger,ObjectOverwrite)</f>
        <v>USD15x27F_SYNTH1Y_Quote#0011</v>
      </c>
      <c r="E34" s="248" t="str">
        <f>_xll.ohRangeRetrieveError(D34)</f>
        <v/>
      </c>
      <c r="F34" s="231"/>
    </row>
    <row r="35" spans="1:6" x14ac:dyDescent="0.2">
      <c r="A35" s="130">
        <v>16</v>
      </c>
      <c r="B35" s="242" t="str">
        <f>A35&amp;"x"&amp;A35+Months&amp;"F"</f>
        <v>16x28F</v>
      </c>
      <c r="C35" s="137" t="str">
        <f>Currency&amp;$B35&amp;"_SYNTH"&amp;Tenor&amp;QuoteSuffix</f>
        <v>USD16x28F_SYNTH1Y_Quote</v>
      </c>
      <c r="D35" s="137" t="str">
        <f>_xll.qlSimpleQuote(C35,,RateTickValue,Permanent,Trigger,ObjectOverwrite)</f>
        <v>USD16x28F_SYNTH1Y_Quote#0011</v>
      </c>
      <c r="E35" s="248" t="str">
        <f>_xll.ohRangeRetrieveError(D35)</f>
        <v/>
      </c>
      <c r="F35" s="231"/>
    </row>
    <row r="36" spans="1:6" x14ac:dyDescent="0.2">
      <c r="A36" s="130">
        <v>17</v>
      </c>
      <c r="B36" s="242" t="str">
        <f>A36&amp;"x"&amp;A36+Months&amp;"F"</f>
        <v>17x29F</v>
      </c>
      <c r="C36" s="137" t="str">
        <f>Currency&amp;$B36&amp;"_SYNTH"&amp;Tenor&amp;QuoteSuffix</f>
        <v>USD17x29F_SYNTH1Y_Quote</v>
      </c>
      <c r="D36" s="137" t="str">
        <f>_xll.qlSimpleQuote(C36,,RateTickValue,Permanent,Trigger,ObjectOverwrite)</f>
        <v>USD17x29F_SYNTH1Y_Quote#0011</v>
      </c>
      <c r="E36" s="248" t="str">
        <f>_xll.ohRangeRetrieveError(D36)</f>
        <v/>
      </c>
      <c r="F36" s="231"/>
    </row>
    <row r="37" spans="1:6" x14ac:dyDescent="0.2">
      <c r="A37" s="130">
        <v>18</v>
      </c>
      <c r="B37" s="242" t="str">
        <f>A37&amp;"x"&amp;A37+Months&amp;"F"</f>
        <v>18x30F</v>
      </c>
      <c r="C37" s="137" t="str">
        <f>Currency&amp;$B37&amp;"_SYNTH"&amp;Tenor&amp;QuoteSuffix</f>
        <v>USD18x30F_SYNTH1Y_Quote</v>
      </c>
      <c r="D37" s="137" t="str">
        <f>_xll.qlSimpleQuote(C37,,RateTickValue,Permanent,Trigger,ObjectOverwrite)</f>
        <v>USD18x30F_SYNTH1Y_Quote#0011</v>
      </c>
      <c r="E37" s="248" t="str">
        <f>_xll.ohRangeRetrieveError(D37)</f>
        <v/>
      </c>
      <c r="F37" s="231"/>
    </row>
    <row r="38" spans="1:6" x14ac:dyDescent="0.2">
      <c r="A38" s="130">
        <v>19</v>
      </c>
      <c r="B38" s="242" t="str">
        <f>A38&amp;"x"&amp;A38+Months&amp;"F"</f>
        <v>19x31F</v>
      </c>
      <c r="C38" s="137" t="str">
        <f>Currency&amp;$B38&amp;"_SYNTH"&amp;Tenor&amp;QuoteSuffix</f>
        <v>USD19x31F_SYNTH1Y_Quote</v>
      </c>
      <c r="D38" s="137" t="str">
        <f>_xll.qlSimpleQuote(C38,,RateTickValue,Permanent,Trigger,ObjectOverwrite)</f>
        <v>USD19x31F_SYNTH1Y_Quote#0011</v>
      </c>
      <c r="E38" s="248" t="str">
        <f>_xll.ohRangeRetrieveError(D38)</f>
        <v/>
      </c>
      <c r="F38" s="231"/>
    </row>
    <row r="39" spans="1:6" x14ac:dyDescent="0.2">
      <c r="A39" s="130">
        <v>20</v>
      </c>
      <c r="B39" s="242" t="str">
        <f>A39&amp;"x"&amp;A39+Months&amp;"F"</f>
        <v>20x32F</v>
      </c>
      <c r="C39" s="137" t="str">
        <f>Currency&amp;$B39&amp;"_SYNTH"&amp;Tenor&amp;QuoteSuffix</f>
        <v>USD20x32F_SYNTH1Y_Quote</v>
      </c>
      <c r="D39" s="137" t="str">
        <f>_xll.qlSimpleQuote(C39,,RateTickValue,Permanent,Trigger,ObjectOverwrite)</f>
        <v>USD20x32F_SYNTH1Y_Quote#0011</v>
      </c>
      <c r="E39" s="248" t="str">
        <f>_xll.ohRangeRetrieveError(D39)</f>
        <v/>
      </c>
      <c r="F39" s="231"/>
    </row>
    <row r="40" spans="1:6" x14ac:dyDescent="0.2">
      <c r="A40" s="130">
        <v>21</v>
      </c>
      <c r="B40" s="242" t="str">
        <f>A40&amp;"x"&amp;A40+Months&amp;"F"</f>
        <v>21x33F</v>
      </c>
      <c r="C40" s="137" t="str">
        <f>Currency&amp;$B40&amp;"_SYNTH"&amp;Tenor&amp;QuoteSuffix</f>
        <v>USD21x33F_SYNTH1Y_Quote</v>
      </c>
      <c r="D40" s="137" t="str">
        <f>_xll.qlSimpleQuote(C40,,RateTickValue,Permanent,Trigger,ObjectOverwrite)</f>
        <v>USD21x33F_SYNTH1Y_Quote#0011</v>
      </c>
      <c r="E40" s="248" t="str">
        <f>_xll.ohRangeRetrieveError(D40)</f>
        <v/>
      </c>
      <c r="F40" s="231"/>
    </row>
    <row r="41" spans="1:6" x14ac:dyDescent="0.2">
      <c r="A41" s="130">
        <v>22</v>
      </c>
      <c r="B41" s="242" t="str">
        <f>A41&amp;"x"&amp;A41+Months&amp;"F"</f>
        <v>22x34F</v>
      </c>
      <c r="C41" s="137" t="str">
        <f>Currency&amp;$B41&amp;"_SYNTH"&amp;Tenor&amp;QuoteSuffix</f>
        <v>USD22x34F_SYNTH1Y_Quote</v>
      </c>
      <c r="D41" s="137" t="str">
        <f>_xll.qlSimpleQuote(C41,,RateTickValue,Permanent,Trigger,ObjectOverwrite)</f>
        <v>USD22x34F_SYNTH1Y_Quote#0011</v>
      </c>
      <c r="E41" s="248" t="str">
        <f>_xll.ohRangeRetrieveError(D41)</f>
        <v/>
      </c>
      <c r="F41" s="231"/>
    </row>
    <row r="42" spans="1:6" x14ac:dyDescent="0.2">
      <c r="A42" s="130">
        <v>23</v>
      </c>
      <c r="B42" s="242" t="str">
        <f>A42&amp;"x"&amp;A42+Months&amp;"F"</f>
        <v>23x35F</v>
      </c>
      <c r="C42" s="137" t="str">
        <f>Currency&amp;$B42&amp;"_SYNTH"&amp;Tenor&amp;QuoteSuffix</f>
        <v>USD23x35F_SYNTH1Y_Quote</v>
      </c>
      <c r="D42" s="137" t="str">
        <f>_xll.qlSimpleQuote(C42,,RateTickValue,Permanent,Trigger,ObjectOverwrite)</f>
        <v>USD23x35F_SYNTH1Y_Quote#0011</v>
      </c>
      <c r="E42" s="248" t="str">
        <f>_xll.ohRangeRetrieveError(D42)</f>
        <v/>
      </c>
      <c r="F42" s="231"/>
    </row>
    <row r="43" spans="1:6" x14ac:dyDescent="0.2">
      <c r="A43" s="130">
        <v>25</v>
      </c>
      <c r="B43" s="242" t="str">
        <f>A43&amp;"x"&amp;A43+Months&amp;"F"</f>
        <v>25x37F</v>
      </c>
      <c r="C43" s="137" t="str">
        <f>Currency&amp;$B43&amp;"_SYNTH"&amp;Tenor&amp;QuoteSuffix</f>
        <v>USD25x37F_SYNTH1Y_Quote</v>
      </c>
      <c r="D43" s="137" t="str">
        <f>_xll.qlSimpleQuote(C43,,RateTickValue,Permanent,Trigger,ObjectOverwrite)</f>
        <v>USD25x37F_SYNTH1Y_Quote#0011</v>
      </c>
      <c r="E43" s="248" t="str">
        <f>_xll.ohRangeRetrieveError(D43)</f>
        <v/>
      </c>
      <c r="F43" s="231"/>
    </row>
    <row r="44" spans="1:6" x14ac:dyDescent="0.2">
      <c r="A44" s="130">
        <v>26</v>
      </c>
      <c r="B44" s="242" t="str">
        <f>A44&amp;"x"&amp;A44+Months&amp;"F"</f>
        <v>26x38F</v>
      </c>
      <c r="C44" s="137" t="str">
        <f>Currency&amp;$B44&amp;"_SYNTH"&amp;Tenor&amp;QuoteSuffix</f>
        <v>USD26x38F_SYNTH1Y_Quote</v>
      </c>
      <c r="D44" s="137" t="str">
        <f>_xll.qlSimpleQuote(C44,,RateTickValue,Permanent,Trigger,ObjectOverwrite)</f>
        <v>USD26x38F_SYNTH1Y_Quote#0011</v>
      </c>
      <c r="E44" s="248" t="str">
        <f>_xll.ohRangeRetrieveError(D44)</f>
        <v/>
      </c>
      <c r="F44" s="231"/>
    </row>
    <row r="45" spans="1:6" x14ac:dyDescent="0.2">
      <c r="A45" s="130">
        <v>27</v>
      </c>
      <c r="B45" s="242" t="str">
        <f>A45&amp;"x"&amp;A45+Months&amp;"F"</f>
        <v>27x39F</v>
      </c>
      <c r="C45" s="137" t="str">
        <f>Currency&amp;$B45&amp;"_SYNTH"&amp;Tenor&amp;QuoteSuffix</f>
        <v>USD27x39F_SYNTH1Y_Quote</v>
      </c>
      <c r="D45" s="137" t="str">
        <f>_xll.qlSimpleQuote(C45,,RateTickValue,Permanent,Trigger,ObjectOverwrite)</f>
        <v>USD27x39F_SYNTH1Y_Quote#0011</v>
      </c>
      <c r="E45" s="248" t="str">
        <f>_xll.ohRangeRetrieveError(D45)</f>
        <v/>
      </c>
      <c r="F45" s="231"/>
    </row>
    <row r="46" spans="1:6" x14ac:dyDescent="0.2">
      <c r="A46" s="130">
        <v>28</v>
      </c>
      <c r="B46" s="242" t="str">
        <f>A46&amp;"x"&amp;A46+Months&amp;"F"</f>
        <v>28x40F</v>
      </c>
      <c r="C46" s="137" t="str">
        <f>Currency&amp;$B46&amp;"_SYNTH"&amp;Tenor&amp;QuoteSuffix</f>
        <v>USD28x40F_SYNTH1Y_Quote</v>
      </c>
      <c r="D46" s="137" t="str">
        <f>_xll.qlSimpleQuote(C46,,RateTickValue,Permanent,Trigger,ObjectOverwrite)</f>
        <v>USD28x40F_SYNTH1Y_Quote#0011</v>
      </c>
      <c r="E46" s="248" t="str">
        <f>_xll.ohRangeRetrieveError(D46)</f>
        <v/>
      </c>
      <c r="F46" s="231"/>
    </row>
    <row r="47" spans="1:6" x14ac:dyDescent="0.2">
      <c r="A47" s="130">
        <v>29</v>
      </c>
      <c r="B47" s="242" t="str">
        <f>A47&amp;"x"&amp;A47+Months&amp;"F"</f>
        <v>29x41F</v>
      </c>
      <c r="C47" s="137" t="str">
        <f>Currency&amp;$B47&amp;"_SYNTH"&amp;Tenor&amp;QuoteSuffix</f>
        <v>USD29x41F_SYNTH1Y_Quote</v>
      </c>
      <c r="D47" s="137" t="str">
        <f>_xll.qlSimpleQuote(C47,,RateTickValue,Permanent,Trigger,ObjectOverwrite)</f>
        <v>USD29x41F_SYNTH1Y_Quote#0011</v>
      </c>
      <c r="E47" s="248" t="str">
        <f>_xll.ohRangeRetrieveError(D47)</f>
        <v/>
      </c>
      <c r="F47" s="231"/>
    </row>
    <row r="48" spans="1:6" x14ac:dyDescent="0.2">
      <c r="A48" s="130">
        <v>30</v>
      </c>
      <c r="B48" s="242" t="str">
        <f>A48&amp;"x"&amp;A48+Months&amp;"F"</f>
        <v>30x42F</v>
      </c>
      <c r="C48" s="137" t="str">
        <f>Currency&amp;$B48&amp;"_SYNTH"&amp;Tenor&amp;QuoteSuffix</f>
        <v>USD30x42F_SYNTH1Y_Quote</v>
      </c>
      <c r="D48" s="137" t="str">
        <f>_xll.qlSimpleQuote(C48,,RateTickValue,Permanent,Trigger,ObjectOverwrite)</f>
        <v>USD30x42F_SYNTH1Y_Quote#0011</v>
      </c>
      <c r="E48" s="248" t="str">
        <f>_xll.ohRangeRetrieveError(D48)</f>
        <v/>
      </c>
      <c r="F48" s="231"/>
    </row>
    <row r="49" spans="1:6" x14ac:dyDescent="0.2">
      <c r="A49" s="130">
        <v>31</v>
      </c>
      <c r="B49" s="242" t="str">
        <f>A49&amp;"x"&amp;A49+Months&amp;"F"</f>
        <v>31x43F</v>
      </c>
      <c r="C49" s="137" t="str">
        <f>Currency&amp;$B49&amp;"_SYNTH"&amp;Tenor&amp;QuoteSuffix</f>
        <v>USD31x43F_SYNTH1Y_Quote</v>
      </c>
      <c r="D49" s="137" t="str">
        <f>_xll.qlSimpleQuote(C49,,RateTickValue,Permanent,Trigger,ObjectOverwrite)</f>
        <v>USD31x43F_SYNTH1Y_Quote#0011</v>
      </c>
      <c r="E49" s="248" t="str">
        <f>_xll.ohRangeRetrieveError(D49)</f>
        <v/>
      </c>
      <c r="F49" s="231"/>
    </row>
    <row r="50" spans="1:6" x14ac:dyDescent="0.2">
      <c r="A50" s="130">
        <v>32</v>
      </c>
      <c r="B50" s="242" t="str">
        <f>A50&amp;"x"&amp;A50+Months&amp;"F"</f>
        <v>32x44F</v>
      </c>
      <c r="C50" s="137" t="str">
        <f>Currency&amp;$B50&amp;"_SYNTH"&amp;Tenor&amp;QuoteSuffix</f>
        <v>USD32x44F_SYNTH1Y_Quote</v>
      </c>
      <c r="D50" s="137" t="str">
        <f>_xll.qlSimpleQuote(C50,,RateTickValue,Permanent,Trigger,ObjectOverwrite)</f>
        <v>USD32x44F_SYNTH1Y_Quote#0011</v>
      </c>
      <c r="E50" s="248" t="str">
        <f>_xll.ohRangeRetrieveError(D50)</f>
        <v/>
      </c>
      <c r="F50" s="231"/>
    </row>
    <row r="51" spans="1:6" x14ac:dyDescent="0.2">
      <c r="A51" s="130">
        <v>33</v>
      </c>
      <c r="B51" s="242" t="str">
        <f>A51&amp;"x"&amp;A51+Months&amp;"F"</f>
        <v>33x45F</v>
      </c>
      <c r="C51" s="137" t="str">
        <f>Currency&amp;$B51&amp;"_SYNTH"&amp;Tenor&amp;QuoteSuffix</f>
        <v>USD33x45F_SYNTH1Y_Quote</v>
      </c>
      <c r="D51" s="137" t="str">
        <f>_xll.qlSimpleQuote(C51,,RateTickValue,Permanent,Trigger,ObjectOverwrite)</f>
        <v>USD33x45F_SYNTH1Y_Quote#0011</v>
      </c>
      <c r="E51" s="248" t="str">
        <f>_xll.ohRangeRetrieveError(D51)</f>
        <v/>
      </c>
      <c r="F51" s="231"/>
    </row>
    <row r="52" spans="1:6" x14ac:dyDescent="0.2">
      <c r="A52" s="130">
        <v>34</v>
      </c>
      <c r="B52" s="242" t="str">
        <f>A52&amp;"x"&amp;A52+Months&amp;"F"</f>
        <v>34x46F</v>
      </c>
      <c r="C52" s="137" t="str">
        <f>Currency&amp;$B52&amp;"_SYNTH"&amp;Tenor&amp;QuoteSuffix</f>
        <v>USD34x46F_SYNTH1Y_Quote</v>
      </c>
      <c r="D52" s="137" t="str">
        <f>_xll.qlSimpleQuote(C52,,RateTickValue,Permanent,Trigger,ObjectOverwrite)</f>
        <v>USD34x46F_SYNTH1Y_Quote#0011</v>
      </c>
      <c r="E52" s="248" t="str">
        <f>_xll.ohRangeRetrieveError(D52)</f>
        <v/>
      </c>
      <c r="F52" s="231"/>
    </row>
    <row r="53" spans="1:6" x14ac:dyDescent="0.2">
      <c r="A53" s="130">
        <v>35</v>
      </c>
      <c r="B53" s="242" t="str">
        <f>A53&amp;"x"&amp;A53+Months&amp;"F"</f>
        <v>35x47F</v>
      </c>
      <c r="C53" s="137" t="str">
        <f>Currency&amp;$B53&amp;"_SYNTH"&amp;Tenor&amp;QuoteSuffix</f>
        <v>USD35x47F_SYNTH1Y_Quote</v>
      </c>
      <c r="D53" s="137" t="str">
        <f>_xll.qlSimpleQuote(C53,,RateTickValue,Permanent,Trigger,ObjectOverwrite)</f>
        <v>USD35x47F_SYNTH1Y_Quote#0011</v>
      </c>
      <c r="E53" s="248" t="str">
        <f>_xll.ohRangeRetrieveError(D53)</f>
        <v/>
      </c>
      <c r="F53" s="231"/>
    </row>
    <row r="54" spans="1:6" x14ac:dyDescent="0.2">
      <c r="A54" s="130">
        <v>37</v>
      </c>
      <c r="B54" s="242" t="str">
        <f>A54&amp;"x"&amp;A54+Months&amp;"F"</f>
        <v>37x49F</v>
      </c>
      <c r="C54" s="137" t="str">
        <f>Currency&amp;$B54&amp;"_SYNTH"&amp;Tenor&amp;QuoteSuffix</f>
        <v>USD37x49F_SYNTH1Y_Quote</v>
      </c>
      <c r="D54" s="137" t="str">
        <f>_xll.qlSimpleQuote(C54,,RateTickValue,Permanent,Trigger,ObjectOverwrite)</f>
        <v>USD37x49F_SYNTH1Y_Quote#0011</v>
      </c>
      <c r="E54" s="248" t="str">
        <f>_xll.ohRangeRetrieveError(D54)</f>
        <v/>
      </c>
      <c r="F54" s="231"/>
    </row>
    <row r="55" spans="1:6" x14ac:dyDescent="0.2">
      <c r="A55" s="130">
        <v>38</v>
      </c>
      <c r="B55" s="242" t="str">
        <f>A55&amp;"x"&amp;A55+Months&amp;"F"</f>
        <v>38x50F</v>
      </c>
      <c r="C55" s="137" t="str">
        <f>Currency&amp;$B55&amp;"_SYNTH"&amp;Tenor&amp;QuoteSuffix</f>
        <v>USD38x50F_SYNTH1Y_Quote</v>
      </c>
      <c r="D55" s="137" t="str">
        <f>_xll.qlSimpleQuote(C55,,RateTickValue,Permanent,Trigger,ObjectOverwrite)</f>
        <v>USD38x50F_SYNTH1Y_Quote#0011</v>
      </c>
      <c r="E55" s="248" t="str">
        <f>_xll.ohRangeRetrieveError(D55)</f>
        <v/>
      </c>
      <c r="F55" s="231"/>
    </row>
    <row r="56" spans="1:6" x14ac:dyDescent="0.2">
      <c r="A56" s="130">
        <v>39</v>
      </c>
      <c r="B56" s="242" t="str">
        <f>A56&amp;"x"&amp;A56+Months&amp;"F"</f>
        <v>39x51F</v>
      </c>
      <c r="C56" s="137" t="str">
        <f>Currency&amp;$B56&amp;"_SYNTH"&amp;Tenor&amp;QuoteSuffix</f>
        <v>USD39x51F_SYNTH1Y_Quote</v>
      </c>
      <c r="D56" s="137" t="str">
        <f>_xll.qlSimpleQuote(C56,,RateTickValue,Permanent,Trigger,ObjectOverwrite)</f>
        <v>USD39x51F_SYNTH1Y_Quote#0011</v>
      </c>
      <c r="E56" s="248" t="str">
        <f>_xll.ohRangeRetrieveError(D56)</f>
        <v/>
      </c>
      <c r="F56" s="231"/>
    </row>
    <row r="57" spans="1:6" x14ac:dyDescent="0.2">
      <c r="A57" s="130">
        <v>40</v>
      </c>
      <c r="B57" s="242" t="str">
        <f>A57&amp;"x"&amp;A57+Months&amp;"F"</f>
        <v>40x52F</v>
      </c>
      <c r="C57" s="137" t="str">
        <f>Currency&amp;$B57&amp;"_SYNTH"&amp;Tenor&amp;QuoteSuffix</f>
        <v>USD40x52F_SYNTH1Y_Quote</v>
      </c>
      <c r="D57" s="137" t="str">
        <f>_xll.qlSimpleQuote(C57,,RateTickValue,Permanent,Trigger,ObjectOverwrite)</f>
        <v>USD40x52F_SYNTH1Y_Quote#0011</v>
      </c>
      <c r="E57" s="248" t="str">
        <f>_xll.ohRangeRetrieveError(D57)</f>
        <v/>
      </c>
      <c r="F57" s="231"/>
    </row>
    <row r="58" spans="1:6" x14ac:dyDescent="0.2">
      <c r="A58" s="130">
        <v>41</v>
      </c>
      <c r="B58" s="242" t="str">
        <f>A58&amp;"x"&amp;A58+Months&amp;"F"</f>
        <v>41x53F</v>
      </c>
      <c r="C58" s="137" t="str">
        <f>Currency&amp;$B58&amp;"_SYNTH"&amp;Tenor&amp;QuoteSuffix</f>
        <v>USD41x53F_SYNTH1Y_Quote</v>
      </c>
      <c r="D58" s="137" t="str">
        <f>_xll.qlSimpleQuote(C58,,RateTickValue,Permanent,Trigger,ObjectOverwrite)</f>
        <v>USD41x53F_SYNTH1Y_Quote#0011</v>
      </c>
      <c r="E58" s="248" t="str">
        <f>_xll.ohRangeRetrieveError(D58)</f>
        <v/>
      </c>
      <c r="F58" s="231"/>
    </row>
    <row r="59" spans="1:6" x14ac:dyDescent="0.2">
      <c r="A59" s="130">
        <v>42</v>
      </c>
      <c r="B59" s="242" t="str">
        <f>A59&amp;"x"&amp;A59+Months&amp;"F"</f>
        <v>42x54F</v>
      </c>
      <c r="C59" s="137" t="str">
        <f>Currency&amp;$B59&amp;"_SYNTH"&amp;Tenor&amp;QuoteSuffix</f>
        <v>USD42x54F_SYNTH1Y_Quote</v>
      </c>
      <c r="D59" s="137" t="str">
        <f>_xll.qlSimpleQuote(C59,,RateTickValue,Permanent,Trigger,ObjectOverwrite)</f>
        <v>USD42x54F_SYNTH1Y_Quote#0011</v>
      </c>
      <c r="E59" s="248" t="str">
        <f>_xll.ohRangeRetrieveError(D59)</f>
        <v/>
      </c>
      <c r="F59" s="231"/>
    </row>
    <row r="60" spans="1:6" x14ac:dyDescent="0.2">
      <c r="A60" s="130">
        <v>43</v>
      </c>
      <c r="B60" s="242" t="str">
        <f>A60&amp;"x"&amp;A60+Months&amp;"F"</f>
        <v>43x55F</v>
      </c>
      <c r="C60" s="137" t="str">
        <f>Currency&amp;$B60&amp;"_SYNTH"&amp;Tenor&amp;QuoteSuffix</f>
        <v>USD43x55F_SYNTH1Y_Quote</v>
      </c>
      <c r="D60" s="137" t="str">
        <f>_xll.qlSimpleQuote(C60,,RateTickValue,Permanent,Trigger,ObjectOverwrite)</f>
        <v>USD43x55F_SYNTH1Y_Quote#0011</v>
      </c>
      <c r="E60" s="248" t="str">
        <f>_xll.ohRangeRetrieveError(D60)</f>
        <v/>
      </c>
      <c r="F60" s="231"/>
    </row>
    <row r="61" spans="1:6" x14ac:dyDescent="0.2">
      <c r="A61" s="130">
        <v>44</v>
      </c>
      <c r="B61" s="242" t="str">
        <f>A61&amp;"x"&amp;A61+Months&amp;"F"</f>
        <v>44x56F</v>
      </c>
      <c r="C61" s="137" t="str">
        <f>Currency&amp;$B61&amp;"_SYNTH"&amp;Tenor&amp;QuoteSuffix</f>
        <v>USD44x56F_SYNTH1Y_Quote</v>
      </c>
      <c r="D61" s="137" t="str">
        <f>_xll.qlSimpleQuote(C61,,RateTickValue,Permanent,Trigger,ObjectOverwrite)</f>
        <v>USD44x56F_SYNTH1Y_Quote#0011</v>
      </c>
      <c r="E61" s="248" t="str">
        <f>_xll.ohRangeRetrieveError(D61)</f>
        <v/>
      </c>
      <c r="F61" s="231"/>
    </row>
    <row r="62" spans="1:6" x14ac:dyDescent="0.2">
      <c r="A62" s="130">
        <v>45</v>
      </c>
      <c r="B62" s="242" t="str">
        <f>A62&amp;"x"&amp;A62+Months&amp;"F"</f>
        <v>45x57F</v>
      </c>
      <c r="C62" s="137" t="str">
        <f>Currency&amp;$B62&amp;"_SYNTH"&amp;Tenor&amp;QuoteSuffix</f>
        <v>USD45x57F_SYNTH1Y_Quote</v>
      </c>
      <c r="D62" s="137" t="str">
        <f>_xll.qlSimpleQuote(C62,,RateTickValue,Permanent,Trigger,ObjectOverwrite)</f>
        <v>USD45x57F_SYNTH1Y_Quote#0011</v>
      </c>
      <c r="E62" s="248" t="str">
        <f>_xll.ohRangeRetrieveError(D62)</f>
        <v/>
      </c>
      <c r="F62" s="231"/>
    </row>
    <row r="63" spans="1:6" x14ac:dyDescent="0.2">
      <c r="A63" s="130">
        <v>46</v>
      </c>
      <c r="B63" s="242" t="str">
        <f>A63&amp;"x"&amp;A63+Months&amp;"F"</f>
        <v>46x58F</v>
      </c>
      <c r="C63" s="137" t="str">
        <f>Currency&amp;$B63&amp;"_SYNTH"&amp;Tenor&amp;QuoteSuffix</f>
        <v>USD46x58F_SYNTH1Y_Quote</v>
      </c>
      <c r="D63" s="137" t="str">
        <f>_xll.qlSimpleQuote(C63,,RateTickValue,Permanent,Trigger,ObjectOverwrite)</f>
        <v>USD46x58F_SYNTH1Y_Quote#0011</v>
      </c>
      <c r="E63" s="248" t="str">
        <f>_xll.ohRangeRetrieveError(D63)</f>
        <v/>
      </c>
      <c r="F63" s="231"/>
    </row>
    <row r="64" spans="1:6" x14ac:dyDescent="0.2">
      <c r="A64" s="130">
        <v>47</v>
      </c>
      <c r="B64" s="245" t="str">
        <f>A64&amp;"x"&amp;A64+Months&amp;"F"</f>
        <v>47x59F</v>
      </c>
      <c r="C64" s="126" t="str">
        <f>Currency&amp;$B64&amp;"_SYNTH"&amp;Tenor&amp;QuoteSuffix</f>
        <v>USD47x59F_SYNTH1Y_Quote</v>
      </c>
      <c r="D64" s="126" t="str">
        <f>_xll.qlSimpleQuote(C64,,RateTickValue,Permanent,Trigger,ObjectOverwrite)</f>
        <v>USD47x59F_SYNTH1Y_Quote#0011</v>
      </c>
      <c r="E64" s="244" t="str">
        <f>_xll.ohRangeRetrieveError(D64)</f>
        <v/>
      </c>
      <c r="F64" s="231"/>
    </row>
    <row r="65" spans="1:6" ht="12" thickBot="1" x14ac:dyDescent="0.25">
      <c r="A65" s="51"/>
      <c r="B65" s="50"/>
      <c r="C65" s="50"/>
      <c r="D65" s="50"/>
      <c r="E65" s="50"/>
      <c r="F65" s="49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7"/>
  <sheetViews>
    <sheetView workbookViewId="0"/>
  </sheetViews>
  <sheetFormatPr defaultColWidth="8" defaultRowHeight="11.25" x14ac:dyDescent="0.2"/>
  <cols>
    <col min="1" max="1" width="6.140625" style="173" customWidth="1"/>
    <col min="2" max="2" width="4.28515625" style="173" customWidth="1"/>
    <col min="3" max="3" width="15.5703125" style="173" bestFit="1" customWidth="1"/>
    <col min="4" max="4" width="101.42578125" style="173" bestFit="1" customWidth="1"/>
    <col min="5" max="5" width="4.7109375" style="173" customWidth="1"/>
    <col min="6" max="6" width="35.28515625" style="173" customWidth="1"/>
    <col min="7" max="7" width="4.28515625" style="173" customWidth="1"/>
    <col min="8" max="16384" width="8" style="173"/>
  </cols>
  <sheetData>
    <row r="1" spans="1:5" ht="13.5" thickBot="1" x14ac:dyDescent="0.25">
      <c r="A1" s="173" t="s">
        <v>223</v>
      </c>
      <c r="B1" s="174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55" t="s">
        <v>27</v>
      </c>
      <c r="C2" s="254"/>
      <c r="D2" s="254"/>
      <c r="E2" s="25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55" t="s">
        <v>222</v>
      </c>
      <c r="C12" s="254"/>
      <c r="D12" s="254"/>
      <c r="E12" s="253"/>
    </row>
    <row r="13" spans="1:5" x14ac:dyDescent="0.2">
      <c r="B13" s="161"/>
      <c r="C13" s="252"/>
      <c r="D13" s="252"/>
      <c r="E13" s="149"/>
    </row>
    <row r="14" spans="1:5" x14ac:dyDescent="0.2">
      <c r="B14" s="161"/>
      <c r="C14" s="16" t="s">
        <v>20</v>
      </c>
      <c r="D14" s="15" t="s">
        <v>122</v>
      </c>
      <c r="E14" s="149"/>
    </row>
    <row r="15" spans="1:5" x14ac:dyDescent="0.2">
      <c r="B15" s="161"/>
      <c r="C15" s="16" t="s">
        <v>143</v>
      </c>
      <c r="D15" s="15" t="s">
        <v>142</v>
      </c>
      <c r="E15" s="149"/>
    </row>
    <row r="16" spans="1:5" x14ac:dyDescent="0.2">
      <c r="B16" s="161"/>
      <c r="C16" s="16" t="s">
        <v>141</v>
      </c>
      <c r="D16" s="251">
        <v>1E-4</v>
      </c>
      <c r="E16" s="149"/>
    </row>
    <row r="17" spans="2:5" ht="12" thickBot="1" x14ac:dyDescent="0.25">
      <c r="B17" s="250"/>
      <c r="C17" s="147"/>
      <c r="D17" s="147"/>
      <c r="E17" s="146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73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30" t="s">
        <v>229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65"/>
      <c r="M1" s="209"/>
    </row>
    <row r="2" spans="1:20" ht="22.5" x14ac:dyDescent="0.2">
      <c r="A2" s="130"/>
      <c r="B2" s="263"/>
      <c r="C2" s="264"/>
      <c r="D2" s="263"/>
      <c r="E2" s="263" t="s">
        <v>227</v>
      </c>
      <c r="F2" s="263"/>
      <c r="G2" s="263"/>
      <c r="H2" s="263" t="s">
        <v>226</v>
      </c>
      <c r="I2" s="263" t="s">
        <v>225</v>
      </c>
      <c r="J2" s="262" t="str">
        <f>Currency&amp;"_020_Sw"&amp;$C$3&amp;$D$3&amp;"_Fwd"&amp;$E$3&amp;IF(H3=0,,"_Spr"&amp;$F3&amp;$G3)&amp;".xml"</f>
        <v>USD_020_SwAM3L_Fwd1w.xml</v>
      </c>
      <c r="K2" s="261" t="e">
        <f ca="1">IF(Serialize,_xll.ohObjectSave(K3:K36,SerializationPath&amp;J2,FileOverwrite,Serialize),"---")</f>
        <v>#NUM!</v>
      </c>
      <c r="L2" s="259" t="e">
        <f ca="1">_xll.ohRangeRetrieveError(K2)</f>
        <v>#NUM!</v>
      </c>
      <c r="M2" s="52"/>
      <c r="O2" s="221"/>
      <c r="P2" s="220"/>
      <c r="Q2" s="220"/>
      <c r="R2" s="220"/>
      <c r="S2" s="220"/>
      <c r="T2" s="219"/>
    </row>
    <row r="3" spans="1:20" x14ac:dyDescent="0.2">
      <c r="A3" s="130"/>
      <c r="B3" s="258" t="s">
        <v>29</v>
      </c>
      <c r="C3" s="203" t="str">
        <f>VLOOKUP(Currency,$O$3:$T$7,2)</f>
        <v>AM</v>
      </c>
      <c r="D3" s="203" t="str">
        <f>VLOOKUP(Currency,$O$3:$T$7,3)</f>
        <v>3L</v>
      </c>
      <c r="E3" s="203" t="str">
        <f>VLOOKUP(Currency,$O$3:$T$7,4)</f>
        <v>1w</v>
      </c>
      <c r="F3" s="203">
        <f>VLOOKUP(Currency,$O$3:$T$7,5)</f>
        <v>0</v>
      </c>
      <c r="G3" s="203">
        <f>VLOOKUP(Currency,$O$3:$T$7,6)</f>
        <v>0</v>
      </c>
      <c r="H3" s="257">
        <f>IF(F3=0,0,Currency&amp;$F3&amp;$G3&amp;$B3&amp;QuoteSuffix)</f>
        <v>0</v>
      </c>
      <c r="I3" s="260" t="str">
        <f>PROPER(Currency)&amp;FamilyName&amp;"Swap"&amp;FixingType&amp;$B3</f>
        <v>UsdLiborSwapForBasisCalc1Y</v>
      </c>
      <c r="J3" s="256" t="str">
        <f>Currency&amp;$C3&amp;$D3&amp;$B3&amp;"_"&amp;"Fwd"&amp;E3&amp;IF(H3=0,,"_Spr"&amp;$F3&amp;$G3)&amp;QuoteSuffix</f>
        <v>USDAM3L1Y_Fwd1w_Quote</v>
      </c>
      <c r="K3" s="256"/>
      <c r="L3" s="259" t="str">
        <f>_xll.ohRangeRetrieveError(K3)</f>
        <v/>
      </c>
      <c r="M3" s="52"/>
      <c r="O3" s="90" t="s">
        <v>132</v>
      </c>
      <c r="P3" s="89" t="s">
        <v>213</v>
      </c>
      <c r="Q3" s="89" t="s">
        <v>126</v>
      </c>
      <c r="R3" s="89" t="s">
        <v>224</v>
      </c>
      <c r="S3" s="89"/>
      <c r="T3" s="88"/>
    </row>
    <row r="4" spans="1:20" x14ac:dyDescent="0.2">
      <c r="A4" s="130"/>
      <c r="B4" s="258" t="s">
        <v>108</v>
      </c>
      <c r="C4" s="203" t="str">
        <f>VLOOKUP(Currency,$O$3:$T$7,2)</f>
        <v>AM</v>
      </c>
      <c r="D4" s="203" t="str">
        <f>VLOOKUP(Currency,$O$3:$T$7,3)</f>
        <v>3L</v>
      </c>
      <c r="E4" s="203" t="str">
        <f>VLOOKUP(Currency,$O$3:$T$7,4)</f>
        <v>1w</v>
      </c>
      <c r="F4" s="203">
        <f>VLOOKUP(Currency,$O$3:$T$7,5)</f>
        <v>0</v>
      </c>
      <c r="G4" s="203">
        <f>VLOOKUP(Currency,$O$3:$T$7,6)</f>
        <v>0</v>
      </c>
      <c r="H4" s="257">
        <f>IF(F4=0,0,Currency&amp;$F4&amp;$G4&amp;$B4&amp;QuoteSuffix)</f>
        <v>0</v>
      </c>
      <c r="I4" s="114" t="str">
        <f>PROPER(Currency)&amp;FamilyName&amp;"Swap"&amp;FixingType&amp;$B4</f>
        <v>UsdLiborSwapForBasisCalc2Y</v>
      </c>
      <c r="J4" s="256" t="str">
        <f>Currency&amp;$C4&amp;$D4&amp;$B4&amp;"_"&amp;"Fwd"&amp;E4&amp;IF(H4=0,,"_Spr"&amp;$F4&amp;$G4)&amp;QuoteSuffix</f>
        <v>USDAM3L2Y_Fwd1w_Quote</v>
      </c>
      <c r="K4" s="256"/>
      <c r="L4" s="259" t="str">
        <f>_xll.ohRangeRetrieveError(K4)</f>
        <v/>
      </c>
      <c r="M4" s="52"/>
      <c r="O4" s="90" t="s">
        <v>131</v>
      </c>
      <c r="P4" s="89" t="s">
        <v>213</v>
      </c>
      <c r="Q4" s="89" t="s">
        <v>129</v>
      </c>
      <c r="R4" s="89" t="s">
        <v>224</v>
      </c>
      <c r="S4" s="89"/>
      <c r="T4" s="88"/>
    </row>
    <row r="5" spans="1:20" x14ac:dyDescent="0.2">
      <c r="A5" s="130"/>
      <c r="B5" s="258" t="s">
        <v>107</v>
      </c>
      <c r="C5" s="203" t="str">
        <f>VLOOKUP(Currency,$O$3:$T$7,2)</f>
        <v>AM</v>
      </c>
      <c r="D5" s="203" t="str">
        <f>VLOOKUP(Currency,$O$3:$T$7,3)</f>
        <v>3L</v>
      </c>
      <c r="E5" s="203" t="str">
        <f>VLOOKUP(Currency,$O$3:$T$7,4)</f>
        <v>1w</v>
      </c>
      <c r="F5" s="203">
        <f>VLOOKUP(Currency,$O$3:$T$7,5)</f>
        <v>0</v>
      </c>
      <c r="G5" s="203">
        <f>VLOOKUP(Currency,$O$3:$T$7,6)</f>
        <v>0</v>
      </c>
      <c r="H5" s="257">
        <f>IF(F5=0,0,Currency&amp;$F5&amp;$G5&amp;$B5&amp;QuoteSuffix)</f>
        <v>0</v>
      </c>
      <c r="I5" s="114" t="str">
        <f>PROPER(Currency)&amp;FamilyName&amp;"Swap"&amp;FixingType&amp;$B5</f>
        <v>UsdLiborSwapForBasisCalc3Y</v>
      </c>
      <c r="J5" s="256" t="str">
        <f>Currency&amp;$C5&amp;$D5&amp;$B5&amp;"_"&amp;"Fwd"&amp;E5&amp;IF(H5=0,,"_Spr"&amp;$F5&amp;$G5)&amp;QuoteSuffix</f>
        <v>USDAM3L3Y_Fwd1w_Quote</v>
      </c>
      <c r="K5" s="256"/>
      <c r="L5" s="259" t="str">
        <f>_xll.ohRangeRetrieveError(K5)</f>
        <v/>
      </c>
      <c r="M5" s="52"/>
      <c r="O5" s="90" t="s">
        <v>128</v>
      </c>
      <c r="P5" s="89" t="s">
        <v>212</v>
      </c>
      <c r="Q5" s="89" t="s">
        <v>126</v>
      </c>
      <c r="R5" s="89" t="s">
        <v>224</v>
      </c>
      <c r="S5" s="89"/>
      <c r="T5" s="88"/>
    </row>
    <row r="6" spans="1:20" x14ac:dyDescent="0.2">
      <c r="A6" s="130"/>
      <c r="B6" s="258" t="s">
        <v>106</v>
      </c>
      <c r="C6" s="203" t="str">
        <f>VLOOKUP(Currency,$O$3:$T$7,2)</f>
        <v>AM</v>
      </c>
      <c r="D6" s="203" t="str">
        <f>VLOOKUP(Currency,$O$3:$T$7,3)</f>
        <v>3L</v>
      </c>
      <c r="E6" s="203" t="str">
        <f>VLOOKUP(Currency,$O$3:$T$7,4)</f>
        <v>1w</v>
      </c>
      <c r="F6" s="203">
        <f>VLOOKUP(Currency,$O$3:$T$7,5)</f>
        <v>0</v>
      </c>
      <c r="G6" s="203">
        <f>VLOOKUP(Currency,$O$3:$T$7,6)</f>
        <v>0</v>
      </c>
      <c r="H6" s="257">
        <f>IF(F6=0,0,Currency&amp;$F6&amp;$G6&amp;$B6&amp;QuoteSuffix)</f>
        <v>0</v>
      </c>
      <c r="I6" s="114" t="str">
        <f>PROPER(Currency)&amp;FamilyName&amp;"Swap"&amp;FixingType&amp;$B6</f>
        <v>UsdLiborSwapForBasisCalc4Y</v>
      </c>
      <c r="J6" s="256" t="str">
        <f>Currency&amp;$C6&amp;$D6&amp;$B6&amp;"_"&amp;"Fwd"&amp;E6&amp;IF(H6=0,,"_Spr"&amp;$F6&amp;$G6)&amp;QuoteSuffix</f>
        <v>USDAM3L4Y_Fwd1w_Quote</v>
      </c>
      <c r="K6" s="256"/>
      <c r="L6" s="259" t="str">
        <f>_xll.ohRangeRetrieveError(K6)</f>
        <v/>
      </c>
      <c r="M6" s="52"/>
      <c r="O6" s="90" t="s">
        <v>127</v>
      </c>
      <c r="P6" s="89" t="s">
        <v>212</v>
      </c>
      <c r="Q6" s="89" t="s">
        <v>126</v>
      </c>
      <c r="R6" s="89" t="s">
        <v>224</v>
      </c>
      <c r="S6" s="89"/>
      <c r="T6" s="88"/>
    </row>
    <row r="7" spans="1:20" ht="12" thickBot="1" x14ac:dyDescent="0.25">
      <c r="A7" s="130"/>
      <c r="B7" s="258" t="s">
        <v>105</v>
      </c>
      <c r="C7" s="203" t="str">
        <f>VLOOKUP(Currency,$O$3:$T$7,2)</f>
        <v>AM</v>
      </c>
      <c r="D7" s="203" t="str">
        <f>VLOOKUP(Currency,$O$3:$T$7,3)</f>
        <v>3L</v>
      </c>
      <c r="E7" s="203" t="str">
        <f>VLOOKUP(Currency,$O$3:$T$7,4)</f>
        <v>1w</v>
      </c>
      <c r="F7" s="203">
        <f>VLOOKUP(Currency,$O$3:$T$7,5)</f>
        <v>0</v>
      </c>
      <c r="G7" s="203">
        <f>VLOOKUP(Currency,$O$3:$T$7,6)</f>
        <v>0</v>
      </c>
      <c r="H7" s="257">
        <f>IF(F7=0,0,Currency&amp;$F7&amp;$G7&amp;$B7&amp;QuoteSuffix)</f>
        <v>0</v>
      </c>
      <c r="I7" s="114" t="str">
        <f>PROPER(Currency)&amp;FamilyName&amp;"Swap"&amp;FixingType&amp;$B7</f>
        <v>UsdLiborSwapForBasisCalc5Y</v>
      </c>
      <c r="J7" s="256" t="str">
        <f>Currency&amp;$C7&amp;$D7&amp;$B7&amp;"_"&amp;"Fwd"&amp;E7&amp;IF(H7=0,,"_Spr"&amp;$F7&amp;$G7)&amp;QuoteSuffix</f>
        <v>USDAM3L5Y_Fwd1w_Quote</v>
      </c>
      <c r="K7" s="256"/>
      <c r="L7" s="259" t="str">
        <f>_xll.ohRangeRetrieveError(K7)</f>
        <v/>
      </c>
      <c r="M7" s="52"/>
      <c r="O7" s="87" t="s">
        <v>122</v>
      </c>
      <c r="P7" s="86" t="s">
        <v>211</v>
      </c>
      <c r="Q7" s="86" t="s">
        <v>125</v>
      </c>
      <c r="R7" s="86" t="s">
        <v>224</v>
      </c>
      <c r="S7" s="86"/>
      <c r="T7" s="85"/>
    </row>
    <row r="8" spans="1:20" x14ac:dyDescent="0.2">
      <c r="A8" s="130"/>
      <c r="B8" s="258" t="s">
        <v>104</v>
      </c>
      <c r="C8" s="203" t="str">
        <f>VLOOKUP(Currency,$O$3:$T$7,2)</f>
        <v>AM</v>
      </c>
      <c r="D8" s="203" t="str">
        <f>VLOOKUP(Currency,$O$3:$T$7,3)</f>
        <v>3L</v>
      </c>
      <c r="E8" s="203" t="str">
        <f>VLOOKUP(Currency,$O$3:$T$7,4)</f>
        <v>1w</v>
      </c>
      <c r="F8" s="203">
        <f>VLOOKUP(Currency,$O$3:$T$7,5)</f>
        <v>0</v>
      </c>
      <c r="G8" s="203">
        <f>VLOOKUP(Currency,$O$3:$T$7,6)</f>
        <v>0</v>
      </c>
      <c r="H8" s="257">
        <f>IF(F8=0,0,Currency&amp;$F8&amp;$G8&amp;$B8&amp;QuoteSuffix)</f>
        <v>0</v>
      </c>
      <c r="I8" s="114" t="str">
        <f>PROPER(Currency)&amp;FamilyName&amp;"Swap"&amp;FixingType&amp;$B8</f>
        <v>UsdLiborSwapForBasisCalc6Y</v>
      </c>
      <c r="J8" s="256" t="str">
        <f>Currency&amp;$C8&amp;$D8&amp;$B8&amp;"_"&amp;"Fwd"&amp;E8&amp;IF(H8=0,,"_Spr"&amp;$F8&amp;$G8)&amp;QuoteSuffix</f>
        <v>USDAM3L6Y_Fwd1w_Quote</v>
      </c>
      <c r="K8" s="256"/>
      <c r="L8" s="259" t="str">
        <f>_xll.ohRangeRetrieveError(K8)</f>
        <v/>
      </c>
      <c r="M8" s="52"/>
    </row>
    <row r="9" spans="1:20" x14ac:dyDescent="0.2">
      <c r="A9" s="130"/>
      <c r="B9" s="258" t="s">
        <v>103</v>
      </c>
      <c r="C9" s="203" t="str">
        <f>VLOOKUP(Currency,$O$3:$T$7,2)</f>
        <v>AM</v>
      </c>
      <c r="D9" s="203" t="str">
        <f>VLOOKUP(Currency,$O$3:$T$7,3)</f>
        <v>3L</v>
      </c>
      <c r="E9" s="203" t="str">
        <f>VLOOKUP(Currency,$O$3:$T$7,4)</f>
        <v>1w</v>
      </c>
      <c r="F9" s="203">
        <f>VLOOKUP(Currency,$O$3:$T$7,5)</f>
        <v>0</v>
      </c>
      <c r="G9" s="203">
        <f>VLOOKUP(Currency,$O$3:$T$7,6)</f>
        <v>0</v>
      </c>
      <c r="H9" s="257">
        <f>IF(F9=0,0,Currency&amp;$F9&amp;$G9&amp;$B9&amp;QuoteSuffix)</f>
        <v>0</v>
      </c>
      <c r="I9" s="114" t="str">
        <f>PROPER(Currency)&amp;FamilyName&amp;"Swap"&amp;FixingType&amp;$B9</f>
        <v>UsdLiborSwapForBasisCalc7Y</v>
      </c>
      <c r="J9" s="256" t="str">
        <f>Currency&amp;$C9&amp;$D9&amp;$B9&amp;"_"&amp;"Fwd"&amp;E9&amp;IF(H9=0,,"_Spr"&amp;$F9&amp;$G9)&amp;QuoteSuffix</f>
        <v>USDAM3L7Y_Fwd1w_Quote</v>
      </c>
      <c r="K9" s="256"/>
      <c r="L9" s="259" t="str">
        <f>_xll.ohRangeRetrieveError(K9)</f>
        <v/>
      </c>
      <c r="M9" s="52"/>
    </row>
    <row r="10" spans="1:20" x14ac:dyDescent="0.2">
      <c r="A10" s="130"/>
      <c r="B10" s="258" t="s">
        <v>102</v>
      </c>
      <c r="C10" s="203" t="str">
        <f>VLOOKUP(Currency,$O$3:$T$7,2)</f>
        <v>AM</v>
      </c>
      <c r="D10" s="203" t="str">
        <f>VLOOKUP(Currency,$O$3:$T$7,3)</f>
        <v>3L</v>
      </c>
      <c r="E10" s="203" t="str">
        <f>VLOOKUP(Currency,$O$3:$T$7,4)</f>
        <v>1w</v>
      </c>
      <c r="F10" s="203">
        <f>VLOOKUP(Currency,$O$3:$T$7,5)</f>
        <v>0</v>
      </c>
      <c r="G10" s="203">
        <f>VLOOKUP(Currency,$O$3:$T$7,6)</f>
        <v>0</v>
      </c>
      <c r="H10" s="257">
        <f>IF(F10=0,0,Currency&amp;$F10&amp;$G10&amp;$B10&amp;QuoteSuffix)</f>
        <v>0</v>
      </c>
      <c r="I10" s="114" t="str">
        <f>PROPER(Currency)&amp;FamilyName&amp;"Swap"&amp;FixingType&amp;$B10</f>
        <v>UsdLiborSwapForBasisCalc8Y</v>
      </c>
      <c r="J10" s="256" t="str">
        <f>Currency&amp;$C10&amp;$D10&amp;$B10&amp;"_"&amp;"Fwd"&amp;E10&amp;IF(H10=0,,"_Spr"&amp;$F10&amp;$G10)&amp;QuoteSuffix</f>
        <v>USDAM3L8Y_Fwd1w_Quote</v>
      </c>
      <c r="K10" s="256"/>
      <c r="L10" s="259" t="str">
        <f>_xll.ohRangeRetrieveError(K10)</f>
        <v/>
      </c>
      <c r="M10" s="52"/>
    </row>
    <row r="11" spans="1:20" x14ac:dyDescent="0.2">
      <c r="A11" s="130"/>
      <c r="B11" s="258" t="s">
        <v>101</v>
      </c>
      <c r="C11" s="203" t="str">
        <f>VLOOKUP(Currency,$O$3:$T$7,2)</f>
        <v>AM</v>
      </c>
      <c r="D11" s="203" t="str">
        <f>VLOOKUP(Currency,$O$3:$T$7,3)</f>
        <v>3L</v>
      </c>
      <c r="E11" s="203" t="str">
        <f>VLOOKUP(Currency,$O$3:$T$7,4)</f>
        <v>1w</v>
      </c>
      <c r="F11" s="203">
        <f>VLOOKUP(Currency,$O$3:$T$7,5)</f>
        <v>0</v>
      </c>
      <c r="G11" s="203">
        <f>VLOOKUP(Currency,$O$3:$T$7,6)</f>
        <v>0</v>
      </c>
      <c r="H11" s="257">
        <f>IF(F11=0,0,Currency&amp;$F11&amp;$G11&amp;$B11&amp;QuoteSuffix)</f>
        <v>0</v>
      </c>
      <c r="I11" s="114" t="str">
        <f>PROPER(Currency)&amp;FamilyName&amp;"Swap"&amp;FixingType&amp;$B11</f>
        <v>UsdLiborSwapForBasisCalc9Y</v>
      </c>
      <c r="J11" s="256" t="str">
        <f>Currency&amp;$C11&amp;$D11&amp;$B11&amp;"_"&amp;"Fwd"&amp;E11&amp;IF(H11=0,,"_Spr"&amp;$F11&amp;$G11)&amp;QuoteSuffix</f>
        <v>USDAM3L9Y_Fwd1w_Quote</v>
      </c>
      <c r="K11" s="256"/>
      <c r="L11" s="259" t="str">
        <f>_xll.ohRangeRetrieveError(K11)</f>
        <v/>
      </c>
      <c r="M11" s="52"/>
    </row>
    <row r="12" spans="1:20" x14ac:dyDescent="0.2">
      <c r="A12" s="130"/>
      <c r="B12" s="258" t="s">
        <v>100</v>
      </c>
      <c r="C12" s="203" t="str">
        <f>VLOOKUP(Currency,$O$3:$T$7,2)</f>
        <v>AM</v>
      </c>
      <c r="D12" s="203" t="str">
        <f>VLOOKUP(Currency,$O$3:$T$7,3)</f>
        <v>3L</v>
      </c>
      <c r="E12" s="203" t="str">
        <f>VLOOKUP(Currency,$O$3:$T$7,4)</f>
        <v>1w</v>
      </c>
      <c r="F12" s="203">
        <f>VLOOKUP(Currency,$O$3:$T$7,5)</f>
        <v>0</v>
      </c>
      <c r="G12" s="203">
        <f>VLOOKUP(Currency,$O$3:$T$7,6)</f>
        <v>0</v>
      </c>
      <c r="H12" s="257">
        <f>IF(F12=0,0,Currency&amp;$F12&amp;$G12&amp;$B12&amp;QuoteSuffix)</f>
        <v>0</v>
      </c>
      <c r="I12" s="114" t="str">
        <f>PROPER(Currency)&amp;FamilyName&amp;"Swap"&amp;FixingType&amp;$B12</f>
        <v>UsdLiborSwapForBasisCalc10Y</v>
      </c>
      <c r="J12" s="256" t="str">
        <f>Currency&amp;$C12&amp;$D12&amp;$B12&amp;"_"&amp;"Fwd"&amp;E12&amp;IF(H12=0,,"_Spr"&amp;$F12&amp;$G12)&amp;QuoteSuffix</f>
        <v>USDAM3L10Y_Fwd1w_Quote</v>
      </c>
      <c r="K12" s="256"/>
      <c r="L12" s="259" t="str">
        <f>_xll.ohRangeRetrieveError(K12)</f>
        <v/>
      </c>
      <c r="M12" s="52"/>
    </row>
    <row r="13" spans="1:20" x14ac:dyDescent="0.2">
      <c r="A13" s="130"/>
      <c r="B13" s="258" t="s">
        <v>99</v>
      </c>
      <c r="C13" s="203" t="str">
        <f>VLOOKUP(Currency,$O$3:$T$7,2)</f>
        <v>AM</v>
      </c>
      <c r="D13" s="203" t="str">
        <f>VLOOKUP(Currency,$O$3:$T$7,3)</f>
        <v>3L</v>
      </c>
      <c r="E13" s="203" t="str">
        <f>VLOOKUP(Currency,$O$3:$T$7,4)</f>
        <v>1w</v>
      </c>
      <c r="F13" s="203">
        <f>VLOOKUP(Currency,$O$3:$T$7,5)</f>
        <v>0</v>
      </c>
      <c r="G13" s="203">
        <f>VLOOKUP(Currency,$O$3:$T$7,6)</f>
        <v>0</v>
      </c>
      <c r="H13" s="257">
        <f>IF(F13=0,0,Currency&amp;$F13&amp;$G13&amp;$B13&amp;QuoteSuffix)</f>
        <v>0</v>
      </c>
      <c r="I13" s="114" t="str">
        <f>PROPER(Currency)&amp;FamilyName&amp;"Swap"&amp;FixingType&amp;$B13</f>
        <v>UsdLiborSwapForBasisCalc11Y</v>
      </c>
      <c r="J13" s="256" t="str">
        <f>Currency&amp;$C13&amp;$D13&amp;$B13&amp;"_"&amp;"Fwd"&amp;E13&amp;IF(H13=0,,"_Spr"&amp;$F13&amp;$G13)&amp;QuoteSuffix</f>
        <v>USDAM3L11Y_Fwd1w_Quote</v>
      </c>
      <c r="K13" s="256"/>
      <c r="L13" s="259" t="str">
        <f>_xll.ohRangeRetrieveError(K13)</f>
        <v/>
      </c>
      <c r="M13" s="52"/>
    </row>
    <row r="14" spans="1:20" x14ac:dyDescent="0.2">
      <c r="A14" s="130"/>
      <c r="B14" s="258" t="s">
        <v>98</v>
      </c>
      <c r="C14" s="203" t="str">
        <f>VLOOKUP(Currency,$O$3:$T$7,2)</f>
        <v>AM</v>
      </c>
      <c r="D14" s="203" t="str">
        <f>VLOOKUP(Currency,$O$3:$T$7,3)</f>
        <v>3L</v>
      </c>
      <c r="E14" s="203" t="str">
        <f>VLOOKUP(Currency,$O$3:$T$7,4)</f>
        <v>1w</v>
      </c>
      <c r="F14" s="203">
        <f>VLOOKUP(Currency,$O$3:$T$7,5)</f>
        <v>0</v>
      </c>
      <c r="G14" s="203">
        <f>VLOOKUP(Currency,$O$3:$T$7,6)</f>
        <v>0</v>
      </c>
      <c r="H14" s="257">
        <f>IF(F14=0,0,Currency&amp;$F14&amp;$G14&amp;$B14&amp;QuoteSuffix)</f>
        <v>0</v>
      </c>
      <c r="I14" s="114" t="str">
        <f>PROPER(Currency)&amp;FamilyName&amp;"Swap"&amp;FixingType&amp;$B14</f>
        <v>UsdLiborSwapForBasisCalc12Y</v>
      </c>
      <c r="J14" s="256" t="str">
        <f>Currency&amp;$C14&amp;$D14&amp;$B14&amp;"_"&amp;"Fwd"&amp;E14&amp;IF(H14=0,,"_Spr"&amp;$F14&amp;$G14)&amp;QuoteSuffix</f>
        <v>USDAM3L12Y_Fwd1w_Quote</v>
      </c>
      <c r="K14" s="256"/>
      <c r="L14" s="259" t="str">
        <f>_xll.ohRangeRetrieveError(K14)</f>
        <v/>
      </c>
      <c r="M14" s="52"/>
    </row>
    <row r="15" spans="1:20" x14ac:dyDescent="0.2">
      <c r="A15" s="130"/>
      <c r="B15" s="258" t="s">
        <v>97</v>
      </c>
      <c r="C15" s="203" t="str">
        <f>VLOOKUP(Currency,$O$3:$T$7,2)</f>
        <v>AM</v>
      </c>
      <c r="D15" s="203" t="str">
        <f>VLOOKUP(Currency,$O$3:$T$7,3)</f>
        <v>3L</v>
      </c>
      <c r="E15" s="203" t="str">
        <f>VLOOKUP(Currency,$O$3:$T$7,4)</f>
        <v>1w</v>
      </c>
      <c r="F15" s="203">
        <f>VLOOKUP(Currency,$O$3:$T$7,5)</f>
        <v>0</v>
      </c>
      <c r="G15" s="203">
        <f>VLOOKUP(Currency,$O$3:$T$7,6)</f>
        <v>0</v>
      </c>
      <c r="H15" s="257">
        <f>IF(F15=0,0,Currency&amp;$F15&amp;$G15&amp;$B15&amp;QuoteSuffix)</f>
        <v>0</v>
      </c>
      <c r="I15" s="114" t="str">
        <f>PROPER(Currency)&amp;FamilyName&amp;"Swap"&amp;FixingType&amp;$B15</f>
        <v>UsdLiborSwapForBasisCalc13Y</v>
      </c>
      <c r="J15" s="256" t="str">
        <f>Currency&amp;$C15&amp;$D15&amp;$B15&amp;"_"&amp;"Fwd"&amp;E15&amp;IF(H15=0,,"_Spr"&amp;$F15&amp;$G15)&amp;QuoteSuffix</f>
        <v>USDAM3L13Y_Fwd1w_Quote</v>
      </c>
      <c r="K15" s="256"/>
      <c r="L15" s="259" t="str">
        <f>_xll.ohRangeRetrieveError(K15)</f>
        <v/>
      </c>
      <c r="M15" s="52"/>
    </row>
    <row r="16" spans="1:20" x14ac:dyDescent="0.2">
      <c r="A16" s="130"/>
      <c r="B16" s="258" t="s">
        <v>96</v>
      </c>
      <c r="C16" s="203" t="str">
        <f>VLOOKUP(Currency,$O$3:$T$7,2)</f>
        <v>AM</v>
      </c>
      <c r="D16" s="203" t="str">
        <f>VLOOKUP(Currency,$O$3:$T$7,3)</f>
        <v>3L</v>
      </c>
      <c r="E16" s="203" t="str">
        <f>VLOOKUP(Currency,$O$3:$T$7,4)</f>
        <v>1w</v>
      </c>
      <c r="F16" s="203">
        <f>VLOOKUP(Currency,$O$3:$T$7,5)</f>
        <v>0</v>
      </c>
      <c r="G16" s="203">
        <f>VLOOKUP(Currency,$O$3:$T$7,6)</f>
        <v>0</v>
      </c>
      <c r="H16" s="257">
        <f>IF(F16=0,0,Currency&amp;$F16&amp;$G16&amp;$B16&amp;QuoteSuffix)</f>
        <v>0</v>
      </c>
      <c r="I16" s="114" t="str">
        <f>PROPER(Currency)&amp;FamilyName&amp;"Swap"&amp;FixingType&amp;$B16</f>
        <v>UsdLiborSwapForBasisCalc14Y</v>
      </c>
      <c r="J16" s="256" t="str">
        <f>Currency&amp;$C16&amp;$D16&amp;$B16&amp;"_"&amp;"Fwd"&amp;E16&amp;IF(H16=0,,"_Spr"&amp;$F16&amp;$G16)&amp;QuoteSuffix</f>
        <v>USDAM3L14Y_Fwd1w_Quote</v>
      </c>
      <c r="K16" s="256"/>
      <c r="L16" s="259" t="str">
        <f>_xll.ohRangeRetrieveError(K16)</f>
        <v/>
      </c>
      <c r="M16" s="52"/>
    </row>
    <row r="17" spans="1:13" x14ac:dyDescent="0.2">
      <c r="A17" s="130"/>
      <c r="B17" s="258" t="s">
        <v>95</v>
      </c>
      <c r="C17" s="203" t="str">
        <f>VLOOKUP(Currency,$O$3:$T$7,2)</f>
        <v>AM</v>
      </c>
      <c r="D17" s="203" t="str">
        <f>VLOOKUP(Currency,$O$3:$T$7,3)</f>
        <v>3L</v>
      </c>
      <c r="E17" s="203" t="str">
        <f>VLOOKUP(Currency,$O$3:$T$7,4)</f>
        <v>1w</v>
      </c>
      <c r="F17" s="203">
        <f>VLOOKUP(Currency,$O$3:$T$7,5)</f>
        <v>0</v>
      </c>
      <c r="G17" s="203">
        <f>VLOOKUP(Currency,$O$3:$T$7,6)</f>
        <v>0</v>
      </c>
      <c r="H17" s="257">
        <f>IF(F17=0,0,Currency&amp;$F17&amp;$G17&amp;$B17&amp;QuoteSuffix)</f>
        <v>0</v>
      </c>
      <c r="I17" s="114" t="str">
        <f>PROPER(Currency)&amp;FamilyName&amp;"Swap"&amp;FixingType&amp;$B17</f>
        <v>UsdLiborSwapForBasisCalc15Y</v>
      </c>
      <c r="J17" s="256" t="str">
        <f>Currency&amp;$C17&amp;$D17&amp;$B17&amp;"_"&amp;"Fwd"&amp;E17&amp;IF(H17=0,,"_Spr"&amp;$F17&amp;$G17)&amp;QuoteSuffix</f>
        <v>USDAM3L15Y_Fwd1w_Quote</v>
      </c>
      <c r="K17" s="256"/>
      <c r="L17" s="259" t="str">
        <f>_xll.ohRangeRetrieveError(K17)</f>
        <v/>
      </c>
      <c r="M17" s="52"/>
    </row>
    <row r="18" spans="1:13" x14ac:dyDescent="0.2">
      <c r="A18" s="130"/>
      <c r="B18" s="258" t="s">
        <v>94</v>
      </c>
      <c r="C18" s="203" t="str">
        <f>VLOOKUP(Currency,$O$3:$T$7,2)</f>
        <v>AM</v>
      </c>
      <c r="D18" s="203" t="str">
        <f>VLOOKUP(Currency,$O$3:$T$7,3)</f>
        <v>3L</v>
      </c>
      <c r="E18" s="203" t="str">
        <f>VLOOKUP(Currency,$O$3:$T$7,4)</f>
        <v>1w</v>
      </c>
      <c r="F18" s="203">
        <f>VLOOKUP(Currency,$O$3:$T$7,5)</f>
        <v>0</v>
      </c>
      <c r="G18" s="203">
        <f>VLOOKUP(Currency,$O$3:$T$7,6)</f>
        <v>0</v>
      </c>
      <c r="H18" s="257">
        <f>IF(F18=0,0,Currency&amp;$F18&amp;$G18&amp;$B18&amp;QuoteSuffix)</f>
        <v>0</v>
      </c>
      <c r="I18" s="114" t="str">
        <f>PROPER(Currency)&amp;FamilyName&amp;"Swap"&amp;FixingType&amp;$B18</f>
        <v>UsdLiborSwapForBasisCalc16Y</v>
      </c>
      <c r="J18" s="256" t="str">
        <f>Currency&amp;$C18&amp;$D18&amp;$B18&amp;"_"&amp;"Fwd"&amp;E18&amp;IF(H18=0,,"_Spr"&amp;$F18&amp;$G18)&amp;QuoteSuffix</f>
        <v>USDAM3L16Y_Fwd1w_Quote</v>
      </c>
      <c r="K18" s="256"/>
      <c r="L18" s="259" t="str">
        <f>_xll.ohRangeRetrieveError(K18)</f>
        <v/>
      </c>
      <c r="M18" s="52"/>
    </row>
    <row r="19" spans="1:13" x14ac:dyDescent="0.2">
      <c r="A19" s="130"/>
      <c r="B19" s="258" t="s">
        <v>93</v>
      </c>
      <c r="C19" s="203" t="str">
        <f>VLOOKUP(Currency,$O$3:$T$7,2)</f>
        <v>AM</v>
      </c>
      <c r="D19" s="203" t="str">
        <f>VLOOKUP(Currency,$O$3:$T$7,3)</f>
        <v>3L</v>
      </c>
      <c r="E19" s="203" t="str">
        <f>VLOOKUP(Currency,$O$3:$T$7,4)</f>
        <v>1w</v>
      </c>
      <c r="F19" s="203">
        <f>VLOOKUP(Currency,$O$3:$T$7,5)</f>
        <v>0</v>
      </c>
      <c r="G19" s="203">
        <f>VLOOKUP(Currency,$O$3:$T$7,6)</f>
        <v>0</v>
      </c>
      <c r="H19" s="257">
        <f>IF(F19=0,0,Currency&amp;$F19&amp;$G19&amp;$B19&amp;QuoteSuffix)</f>
        <v>0</v>
      </c>
      <c r="I19" s="114" t="str">
        <f>PROPER(Currency)&amp;FamilyName&amp;"Swap"&amp;FixingType&amp;$B19</f>
        <v>UsdLiborSwapForBasisCalc17Y</v>
      </c>
      <c r="J19" s="256" t="str">
        <f>Currency&amp;$C19&amp;$D19&amp;$B19&amp;"_"&amp;"Fwd"&amp;E19&amp;IF(H19=0,,"_Spr"&amp;$F19&amp;$G19)&amp;QuoteSuffix</f>
        <v>USDAM3L17Y_Fwd1w_Quote</v>
      </c>
      <c r="K19" s="256"/>
      <c r="L19" s="259" t="str">
        <f>_xll.ohRangeRetrieveError(K19)</f>
        <v/>
      </c>
      <c r="M19" s="52"/>
    </row>
    <row r="20" spans="1:13" x14ac:dyDescent="0.2">
      <c r="A20" s="130"/>
      <c r="B20" s="258" t="s">
        <v>92</v>
      </c>
      <c r="C20" s="203" t="str">
        <f>VLOOKUP(Currency,$O$3:$T$7,2)</f>
        <v>AM</v>
      </c>
      <c r="D20" s="203" t="str">
        <f>VLOOKUP(Currency,$O$3:$T$7,3)</f>
        <v>3L</v>
      </c>
      <c r="E20" s="203" t="str">
        <f>VLOOKUP(Currency,$O$3:$T$7,4)</f>
        <v>1w</v>
      </c>
      <c r="F20" s="203">
        <f>VLOOKUP(Currency,$O$3:$T$7,5)</f>
        <v>0</v>
      </c>
      <c r="G20" s="203">
        <f>VLOOKUP(Currency,$O$3:$T$7,6)</f>
        <v>0</v>
      </c>
      <c r="H20" s="257">
        <f>IF(F20=0,0,Currency&amp;$F20&amp;$G20&amp;$B20&amp;QuoteSuffix)</f>
        <v>0</v>
      </c>
      <c r="I20" s="114" t="str">
        <f>PROPER(Currency)&amp;FamilyName&amp;"Swap"&amp;FixingType&amp;$B20</f>
        <v>UsdLiborSwapForBasisCalc18Y</v>
      </c>
      <c r="J20" s="256" t="str">
        <f>Currency&amp;$C20&amp;$D20&amp;$B20&amp;"_"&amp;"Fwd"&amp;E20&amp;IF(H20=0,,"_Spr"&amp;$F20&amp;$G20)&amp;QuoteSuffix</f>
        <v>USDAM3L18Y_Fwd1w_Quote</v>
      </c>
      <c r="K20" s="256"/>
      <c r="L20" s="259" t="str">
        <f>_xll.ohRangeRetrieveError(K20)</f>
        <v/>
      </c>
      <c r="M20" s="52"/>
    </row>
    <row r="21" spans="1:13" x14ac:dyDescent="0.2">
      <c r="A21" s="130"/>
      <c r="B21" s="258" t="s">
        <v>91</v>
      </c>
      <c r="C21" s="203" t="str">
        <f>VLOOKUP(Currency,$O$3:$T$7,2)</f>
        <v>AM</v>
      </c>
      <c r="D21" s="203" t="str">
        <f>VLOOKUP(Currency,$O$3:$T$7,3)</f>
        <v>3L</v>
      </c>
      <c r="E21" s="203" t="str">
        <f>VLOOKUP(Currency,$O$3:$T$7,4)</f>
        <v>1w</v>
      </c>
      <c r="F21" s="203">
        <f>VLOOKUP(Currency,$O$3:$T$7,5)</f>
        <v>0</v>
      </c>
      <c r="G21" s="203">
        <f>VLOOKUP(Currency,$O$3:$T$7,6)</f>
        <v>0</v>
      </c>
      <c r="H21" s="257">
        <f>IF(F21=0,0,Currency&amp;$F21&amp;$G21&amp;$B21&amp;QuoteSuffix)</f>
        <v>0</v>
      </c>
      <c r="I21" s="114" t="str">
        <f>PROPER(Currency)&amp;FamilyName&amp;"Swap"&amp;FixingType&amp;$B21</f>
        <v>UsdLiborSwapForBasisCalc19Y</v>
      </c>
      <c r="J21" s="256" t="str">
        <f>Currency&amp;$C21&amp;$D21&amp;$B21&amp;"_"&amp;"Fwd"&amp;E21&amp;IF(H21=0,,"_Spr"&amp;$F21&amp;$G21)&amp;QuoteSuffix</f>
        <v>USDAM3L19Y_Fwd1w_Quote</v>
      </c>
      <c r="K21" s="256"/>
      <c r="L21" s="259" t="str">
        <f>_xll.ohRangeRetrieveError(K21)</f>
        <v/>
      </c>
      <c r="M21" s="52"/>
    </row>
    <row r="22" spans="1:13" x14ac:dyDescent="0.2">
      <c r="A22" s="130"/>
      <c r="B22" s="258" t="s">
        <v>90</v>
      </c>
      <c r="C22" s="203" t="str">
        <f>VLOOKUP(Currency,$O$3:$T$7,2)</f>
        <v>AM</v>
      </c>
      <c r="D22" s="203" t="str">
        <f>VLOOKUP(Currency,$O$3:$T$7,3)</f>
        <v>3L</v>
      </c>
      <c r="E22" s="203" t="str">
        <f>VLOOKUP(Currency,$O$3:$T$7,4)</f>
        <v>1w</v>
      </c>
      <c r="F22" s="203">
        <f>VLOOKUP(Currency,$O$3:$T$7,5)</f>
        <v>0</v>
      </c>
      <c r="G22" s="203">
        <f>VLOOKUP(Currency,$O$3:$T$7,6)</f>
        <v>0</v>
      </c>
      <c r="H22" s="257">
        <f>IF(F22=0,0,Currency&amp;$F22&amp;$G22&amp;$B22&amp;QuoteSuffix)</f>
        <v>0</v>
      </c>
      <c r="I22" s="114" t="str">
        <f>PROPER(Currency)&amp;FamilyName&amp;"Swap"&amp;FixingType&amp;$B22</f>
        <v>UsdLiborSwapForBasisCalc20Y</v>
      </c>
      <c r="J22" s="256" t="str">
        <f>Currency&amp;$C22&amp;$D22&amp;$B22&amp;"_"&amp;"Fwd"&amp;E22&amp;IF(H22=0,,"_Spr"&amp;$F22&amp;$G22)&amp;QuoteSuffix</f>
        <v>USDAM3L20Y_Fwd1w_Quote</v>
      </c>
      <c r="K22" s="256"/>
      <c r="L22" s="259" t="str">
        <f>_xll.ohRangeRetrieveError(K22)</f>
        <v/>
      </c>
      <c r="M22" s="52"/>
    </row>
    <row r="23" spans="1:13" x14ac:dyDescent="0.2">
      <c r="A23" s="130"/>
      <c r="B23" s="258" t="s">
        <v>89</v>
      </c>
      <c r="C23" s="203" t="str">
        <f>VLOOKUP(Currency,$O$3:$T$7,2)</f>
        <v>AM</v>
      </c>
      <c r="D23" s="203" t="str">
        <f>VLOOKUP(Currency,$O$3:$T$7,3)</f>
        <v>3L</v>
      </c>
      <c r="E23" s="203" t="str">
        <f>VLOOKUP(Currency,$O$3:$T$7,4)</f>
        <v>1w</v>
      </c>
      <c r="F23" s="203">
        <f>VLOOKUP(Currency,$O$3:$T$7,5)</f>
        <v>0</v>
      </c>
      <c r="G23" s="203">
        <f>VLOOKUP(Currency,$O$3:$T$7,6)</f>
        <v>0</v>
      </c>
      <c r="H23" s="257">
        <f>IF(F23=0,0,Currency&amp;$F23&amp;$G23&amp;$B23&amp;QuoteSuffix)</f>
        <v>0</v>
      </c>
      <c r="I23" s="114" t="str">
        <f>PROPER(Currency)&amp;FamilyName&amp;"Swap"&amp;FixingType&amp;$B23</f>
        <v>UsdLiborSwapForBasisCalc21Y</v>
      </c>
      <c r="J23" s="256" t="str">
        <f>Currency&amp;$C23&amp;$D23&amp;$B23&amp;"_"&amp;"Fwd"&amp;E23&amp;IF(H23=0,,"_Spr"&amp;$F23&amp;$G23)&amp;QuoteSuffix</f>
        <v>USDAM3L21Y_Fwd1w_Quote</v>
      </c>
      <c r="K23" s="256"/>
      <c r="L23" s="259" t="str">
        <f>_xll.ohRangeRetrieveError(K23)</f>
        <v/>
      </c>
      <c r="M23" s="52"/>
    </row>
    <row r="24" spans="1:13" x14ac:dyDescent="0.2">
      <c r="A24" s="130"/>
      <c r="B24" s="258" t="s">
        <v>88</v>
      </c>
      <c r="C24" s="203" t="str">
        <f>VLOOKUP(Currency,$O$3:$T$7,2)</f>
        <v>AM</v>
      </c>
      <c r="D24" s="203" t="str">
        <f>VLOOKUP(Currency,$O$3:$T$7,3)</f>
        <v>3L</v>
      </c>
      <c r="E24" s="203" t="str">
        <f>VLOOKUP(Currency,$O$3:$T$7,4)</f>
        <v>1w</v>
      </c>
      <c r="F24" s="203">
        <f>VLOOKUP(Currency,$O$3:$T$7,5)</f>
        <v>0</v>
      </c>
      <c r="G24" s="203">
        <f>VLOOKUP(Currency,$O$3:$T$7,6)</f>
        <v>0</v>
      </c>
      <c r="H24" s="257">
        <f>IF(F24=0,0,Currency&amp;$F24&amp;$G24&amp;$B24&amp;QuoteSuffix)</f>
        <v>0</v>
      </c>
      <c r="I24" s="114" t="str">
        <f>PROPER(Currency)&amp;FamilyName&amp;"Swap"&amp;FixingType&amp;$B24</f>
        <v>UsdLiborSwapForBasisCalc22Y</v>
      </c>
      <c r="J24" s="256" t="str">
        <f>Currency&amp;$C24&amp;$D24&amp;$B24&amp;"_"&amp;"Fwd"&amp;E24&amp;IF(H24=0,,"_Spr"&amp;$F24&amp;$G24)&amp;QuoteSuffix</f>
        <v>USDAM3L22Y_Fwd1w_Quote</v>
      </c>
      <c r="K24" s="256"/>
      <c r="L24" s="259" t="str">
        <f>_xll.ohRangeRetrieveError(K24)</f>
        <v/>
      </c>
      <c r="M24" s="52"/>
    </row>
    <row r="25" spans="1:13" x14ac:dyDescent="0.2">
      <c r="A25" s="130"/>
      <c r="B25" s="258" t="s">
        <v>87</v>
      </c>
      <c r="C25" s="203" t="str">
        <f>VLOOKUP(Currency,$O$3:$T$7,2)</f>
        <v>AM</v>
      </c>
      <c r="D25" s="203" t="str">
        <f>VLOOKUP(Currency,$O$3:$T$7,3)</f>
        <v>3L</v>
      </c>
      <c r="E25" s="203" t="str">
        <f>VLOOKUP(Currency,$O$3:$T$7,4)</f>
        <v>1w</v>
      </c>
      <c r="F25" s="203">
        <f>VLOOKUP(Currency,$O$3:$T$7,5)</f>
        <v>0</v>
      </c>
      <c r="G25" s="203">
        <f>VLOOKUP(Currency,$O$3:$T$7,6)</f>
        <v>0</v>
      </c>
      <c r="H25" s="257">
        <f>IF(F25=0,0,Currency&amp;$F25&amp;$G25&amp;$B25&amp;QuoteSuffix)</f>
        <v>0</v>
      </c>
      <c r="I25" s="114" t="str">
        <f>PROPER(Currency)&amp;FamilyName&amp;"Swap"&amp;FixingType&amp;$B25</f>
        <v>UsdLiborSwapForBasisCalc23Y</v>
      </c>
      <c r="J25" s="256" t="str">
        <f>Currency&amp;$C25&amp;$D25&amp;$B25&amp;"_"&amp;"Fwd"&amp;E25&amp;IF(H25=0,,"_Spr"&amp;$F25&amp;$G25)&amp;QuoteSuffix</f>
        <v>USDAM3L23Y_Fwd1w_Quote</v>
      </c>
      <c r="K25" s="256"/>
      <c r="L25" s="259" t="str">
        <f>_xll.ohRangeRetrieveError(K25)</f>
        <v/>
      </c>
      <c r="M25" s="52"/>
    </row>
    <row r="26" spans="1:13" x14ac:dyDescent="0.2">
      <c r="A26" s="130"/>
      <c r="B26" s="258" t="s">
        <v>86</v>
      </c>
      <c r="C26" s="203" t="str">
        <f>VLOOKUP(Currency,$O$3:$T$7,2)</f>
        <v>AM</v>
      </c>
      <c r="D26" s="203" t="str">
        <f>VLOOKUP(Currency,$O$3:$T$7,3)</f>
        <v>3L</v>
      </c>
      <c r="E26" s="203" t="str">
        <f>VLOOKUP(Currency,$O$3:$T$7,4)</f>
        <v>1w</v>
      </c>
      <c r="F26" s="203">
        <f>VLOOKUP(Currency,$O$3:$T$7,5)</f>
        <v>0</v>
      </c>
      <c r="G26" s="203">
        <f>VLOOKUP(Currency,$O$3:$T$7,6)</f>
        <v>0</v>
      </c>
      <c r="H26" s="257">
        <f>IF(F26=0,0,Currency&amp;$F26&amp;$G26&amp;$B26&amp;QuoteSuffix)</f>
        <v>0</v>
      </c>
      <c r="I26" s="114" t="str">
        <f>PROPER(Currency)&amp;FamilyName&amp;"Swap"&amp;FixingType&amp;$B26</f>
        <v>UsdLiborSwapForBasisCalc24Y</v>
      </c>
      <c r="J26" s="256" t="str">
        <f>Currency&amp;$C26&amp;$D26&amp;$B26&amp;"_"&amp;"Fwd"&amp;E26&amp;IF(H26=0,,"_Spr"&amp;$F26&amp;$G26)&amp;QuoteSuffix</f>
        <v>USDAM3L24Y_Fwd1w_Quote</v>
      </c>
      <c r="K26" s="256"/>
      <c r="L26" s="259" t="str">
        <f>_xll.ohRangeRetrieveError(K26)</f>
        <v/>
      </c>
      <c r="M26" s="52"/>
    </row>
    <row r="27" spans="1:13" x14ac:dyDescent="0.2">
      <c r="A27" s="130"/>
      <c r="B27" s="258" t="s">
        <v>85</v>
      </c>
      <c r="C27" s="203" t="str">
        <f>VLOOKUP(Currency,$O$3:$T$7,2)</f>
        <v>AM</v>
      </c>
      <c r="D27" s="203" t="str">
        <f>VLOOKUP(Currency,$O$3:$T$7,3)</f>
        <v>3L</v>
      </c>
      <c r="E27" s="203" t="str">
        <f>VLOOKUP(Currency,$O$3:$T$7,4)</f>
        <v>1w</v>
      </c>
      <c r="F27" s="203">
        <f>VLOOKUP(Currency,$O$3:$T$7,5)</f>
        <v>0</v>
      </c>
      <c r="G27" s="203">
        <f>VLOOKUP(Currency,$O$3:$T$7,6)</f>
        <v>0</v>
      </c>
      <c r="H27" s="257">
        <f>IF(F27=0,0,Currency&amp;$F27&amp;$G27&amp;$B27&amp;QuoteSuffix)</f>
        <v>0</v>
      </c>
      <c r="I27" s="114" t="str">
        <f>PROPER(Currency)&amp;FamilyName&amp;"Swap"&amp;FixingType&amp;$B27</f>
        <v>UsdLiborSwapForBasisCalc25Y</v>
      </c>
      <c r="J27" s="256" t="str">
        <f>Currency&amp;$C27&amp;$D27&amp;$B27&amp;"_"&amp;"Fwd"&amp;E27&amp;IF(H27=0,,"_Spr"&amp;$F27&amp;$G27)&amp;QuoteSuffix</f>
        <v>USDAM3L25Y_Fwd1w_Quote</v>
      </c>
      <c r="K27" s="256"/>
      <c r="L27" s="259" t="str">
        <f>_xll.ohRangeRetrieveError(K27)</f>
        <v/>
      </c>
      <c r="M27" s="52"/>
    </row>
    <row r="28" spans="1:13" x14ac:dyDescent="0.2">
      <c r="A28" s="130"/>
      <c r="B28" s="258" t="s">
        <v>84</v>
      </c>
      <c r="C28" s="203" t="str">
        <f>VLOOKUP(Currency,$O$3:$T$7,2)</f>
        <v>AM</v>
      </c>
      <c r="D28" s="203" t="str">
        <f>VLOOKUP(Currency,$O$3:$T$7,3)</f>
        <v>3L</v>
      </c>
      <c r="E28" s="203" t="str">
        <f>VLOOKUP(Currency,$O$3:$T$7,4)</f>
        <v>1w</v>
      </c>
      <c r="F28" s="203">
        <f>VLOOKUP(Currency,$O$3:$T$7,5)</f>
        <v>0</v>
      </c>
      <c r="G28" s="203">
        <f>VLOOKUP(Currency,$O$3:$T$7,6)</f>
        <v>0</v>
      </c>
      <c r="H28" s="257">
        <f>IF(F28=0,0,Currency&amp;$F28&amp;$G28&amp;$B28&amp;QuoteSuffix)</f>
        <v>0</v>
      </c>
      <c r="I28" s="114" t="str">
        <f>PROPER(Currency)&amp;FamilyName&amp;"Swap"&amp;FixingType&amp;$B28</f>
        <v>UsdLiborSwapForBasisCalc26Y</v>
      </c>
      <c r="J28" s="256" t="str">
        <f>Currency&amp;$C28&amp;$D28&amp;$B28&amp;"_"&amp;"Fwd"&amp;E28&amp;IF(H28=0,,"_Spr"&amp;$F28&amp;$G28)&amp;QuoteSuffix</f>
        <v>USDAM3L26Y_Fwd1w_Quote</v>
      </c>
      <c r="K28" s="256"/>
      <c r="L28" s="259" t="str">
        <f>_xll.ohRangeRetrieveError(K28)</f>
        <v/>
      </c>
      <c r="M28" s="52"/>
    </row>
    <row r="29" spans="1:13" x14ac:dyDescent="0.2">
      <c r="A29" s="130"/>
      <c r="B29" s="258" t="s">
        <v>83</v>
      </c>
      <c r="C29" s="203" t="str">
        <f>VLOOKUP(Currency,$O$3:$T$7,2)</f>
        <v>AM</v>
      </c>
      <c r="D29" s="203" t="str">
        <f>VLOOKUP(Currency,$O$3:$T$7,3)</f>
        <v>3L</v>
      </c>
      <c r="E29" s="203" t="str">
        <f>VLOOKUP(Currency,$O$3:$T$7,4)</f>
        <v>1w</v>
      </c>
      <c r="F29" s="203">
        <f>VLOOKUP(Currency,$O$3:$T$7,5)</f>
        <v>0</v>
      </c>
      <c r="G29" s="203">
        <f>VLOOKUP(Currency,$O$3:$T$7,6)</f>
        <v>0</v>
      </c>
      <c r="H29" s="257">
        <f>IF(F29=0,0,Currency&amp;$F29&amp;$G29&amp;$B29&amp;QuoteSuffix)</f>
        <v>0</v>
      </c>
      <c r="I29" s="114" t="str">
        <f>PROPER(Currency)&amp;FamilyName&amp;"Swap"&amp;FixingType&amp;$B29</f>
        <v>UsdLiborSwapForBasisCalc27Y</v>
      </c>
      <c r="J29" s="256" t="str">
        <f>Currency&amp;$C29&amp;$D29&amp;$B29&amp;"_"&amp;"Fwd"&amp;E29&amp;IF(H29=0,,"_Spr"&amp;$F29&amp;$G29)&amp;QuoteSuffix</f>
        <v>USDAM3L27Y_Fwd1w_Quote</v>
      </c>
      <c r="K29" s="256"/>
      <c r="L29" s="259" t="str">
        <f>_xll.ohRangeRetrieveError(K29)</f>
        <v/>
      </c>
      <c r="M29" s="52"/>
    </row>
    <row r="30" spans="1:13" x14ac:dyDescent="0.2">
      <c r="A30" s="130"/>
      <c r="B30" s="258" t="s">
        <v>82</v>
      </c>
      <c r="C30" s="203" t="str">
        <f>VLOOKUP(Currency,$O$3:$T$7,2)</f>
        <v>AM</v>
      </c>
      <c r="D30" s="203" t="str">
        <f>VLOOKUP(Currency,$O$3:$T$7,3)</f>
        <v>3L</v>
      </c>
      <c r="E30" s="203" t="str">
        <f>VLOOKUP(Currency,$O$3:$T$7,4)</f>
        <v>1w</v>
      </c>
      <c r="F30" s="203">
        <f>VLOOKUP(Currency,$O$3:$T$7,5)</f>
        <v>0</v>
      </c>
      <c r="G30" s="203">
        <f>VLOOKUP(Currency,$O$3:$T$7,6)</f>
        <v>0</v>
      </c>
      <c r="H30" s="257">
        <f>IF(F30=0,0,Currency&amp;$F30&amp;$G30&amp;$B30&amp;QuoteSuffix)</f>
        <v>0</v>
      </c>
      <c r="I30" s="114" t="str">
        <f>PROPER(Currency)&amp;FamilyName&amp;"Swap"&amp;FixingType&amp;$B30</f>
        <v>UsdLiborSwapForBasisCalc28Y</v>
      </c>
      <c r="J30" s="256" t="str">
        <f>Currency&amp;$C30&amp;$D30&amp;$B30&amp;"_"&amp;"Fwd"&amp;E30&amp;IF(H30=0,,"_Spr"&amp;$F30&amp;$G30)&amp;QuoteSuffix</f>
        <v>USDAM3L28Y_Fwd1w_Quote</v>
      </c>
      <c r="K30" s="256"/>
      <c r="L30" s="259" t="str">
        <f>_xll.ohRangeRetrieveError(K30)</f>
        <v/>
      </c>
      <c r="M30" s="52"/>
    </row>
    <row r="31" spans="1:13" x14ac:dyDescent="0.2">
      <c r="A31" s="130"/>
      <c r="B31" s="258" t="s">
        <v>81</v>
      </c>
      <c r="C31" s="203" t="str">
        <f>VLOOKUP(Currency,$O$3:$T$7,2)</f>
        <v>AM</v>
      </c>
      <c r="D31" s="203" t="str">
        <f>VLOOKUP(Currency,$O$3:$T$7,3)</f>
        <v>3L</v>
      </c>
      <c r="E31" s="203" t="str">
        <f>VLOOKUP(Currency,$O$3:$T$7,4)</f>
        <v>1w</v>
      </c>
      <c r="F31" s="203">
        <f>VLOOKUP(Currency,$O$3:$T$7,5)</f>
        <v>0</v>
      </c>
      <c r="G31" s="203">
        <f>VLOOKUP(Currency,$O$3:$T$7,6)</f>
        <v>0</v>
      </c>
      <c r="H31" s="257">
        <f>IF(F31=0,0,Currency&amp;$F31&amp;$G31&amp;$B31&amp;QuoteSuffix)</f>
        <v>0</v>
      </c>
      <c r="I31" s="114" t="str">
        <f>PROPER(Currency)&amp;FamilyName&amp;"Swap"&amp;FixingType&amp;$B31</f>
        <v>UsdLiborSwapForBasisCalc29Y</v>
      </c>
      <c r="J31" s="256" t="str">
        <f>Currency&amp;$C31&amp;$D31&amp;$B31&amp;"_"&amp;"Fwd"&amp;E31&amp;IF(H31=0,,"_Spr"&amp;$F31&amp;$G31)&amp;QuoteSuffix</f>
        <v>USDAM3L29Y_Fwd1w_Quote</v>
      </c>
      <c r="K31" s="256"/>
      <c r="L31" s="259" t="str">
        <f>_xll.ohRangeRetrieveError(K31)</f>
        <v/>
      </c>
      <c r="M31" s="52"/>
    </row>
    <row r="32" spans="1:13" x14ac:dyDescent="0.2">
      <c r="A32" s="130"/>
      <c r="B32" s="258" t="s">
        <v>80</v>
      </c>
      <c r="C32" s="203" t="str">
        <f>VLOOKUP(Currency,$O$3:$T$7,2)</f>
        <v>AM</v>
      </c>
      <c r="D32" s="203" t="str">
        <f>VLOOKUP(Currency,$O$3:$T$7,3)</f>
        <v>3L</v>
      </c>
      <c r="E32" s="203" t="str">
        <f>VLOOKUP(Currency,$O$3:$T$7,4)</f>
        <v>1w</v>
      </c>
      <c r="F32" s="203">
        <f>VLOOKUP(Currency,$O$3:$T$7,5)</f>
        <v>0</v>
      </c>
      <c r="G32" s="203">
        <f>VLOOKUP(Currency,$O$3:$T$7,6)</f>
        <v>0</v>
      </c>
      <c r="H32" s="257">
        <f>IF(F32=0,0,Currency&amp;$F32&amp;$G32&amp;$B32&amp;QuoteSuffix)</f>
        <v>0</v>
      </c>
      <c r="I32" s="114" t="str">
        <f>PROPER(Currency)&amp;FamilyName&amp;"Swap"&amp;FixingType&amp;$B32</f>
        <v>UsdLiborSwapForBasisCalc30Y</v>
      </c>
      <c r="J32" s="256" t="str">
        <f>Currency&amp;$C32&amp;$D32&amp;$B32&amp;"_"&amp;"Fwd"&amp;E32&amp;IF(H32=0,,"_Spr"&amp;$F32&amp;$G32)&amp;QuoteSuffix</f>
        <v>USDAM3L30Y_Fwd1w_Quote</v>
      </c>
      <c r="K32" s="256"/>
      <c r="L32" s="259" t="str">
        <f>_xll.ohRangeRetrieveError(K32)</f>
        <v/>
      </c>
      <c r="M32" s="52"/>
    </row>
    <row r="33" spans="1:13" x14ac:dyDescent="0.2">
      <c r="A33" s="130"/>
      <c r="B33" s="258" t="s">
        <v>75</v>
      </c>
      <c r="C33" s="203" t="str">
        <f>VLOOKUP(Currency,$O$3:$T$7,2)</f>
        <v>AM</v>
      </c>
      <c r="D33" s="203" t="str">
        <f>VLOOKUP(Currency,$O$3:$T$7,3)</f>
        <v>3L</v>
      </c>
      <c r="E33" s="203" t="str">
        <f>VLOOKUP(Currency,$O$3:$T$7,4)</f>
        <v>1w</v>
      </c>
      <c r="F33" s="203">
        <f>VLOOKUP(Currency,$O$3:$T$7,5)</f>
        <v>0</v>
      </c>
      <c r="G33" s="203">
        <f>VLOOKUP(Currency,$O$3:$T$7,6)</f>
        <v>0</v>
      </c>
      <c r="H33" s="257">
        <f>IF(F33=0,0,Currency&amp;$F33&amp;$G33&amp;$B33&amp;QuoteSuffix)</f>
        <v>0</v>
      </c>
      <c r="I33" s="114" t="str">
        <f>PROPER(Currency)&amp;FamilyName&amp;"Swap"&amp;FixingType&amp;$B33</f>
        <v>UsdLiborSwapForBasisCalc35Y</v>
      </c>
      <c r="J33" s="256" t="str">
        <f>Currency&amp;$C33&amp;$D33&amp;$B33&amp;"_"&amp;"Fwd"&amp;E33&amp;IF(H33=0,,"_Spr"&amp;$F33&amp;$G33)&amp;QuoteSuffix</f>
        <v>USDAM3L35Y_Fwd1w_Quote</v>
      </c>
      <c r="K33" s="256"/>
      <c r="L33" s="259" t="str">
        <f>_xll.ohRangeRetrieveError(K33)</f>
        <v/>
      </c>
      <c r="M33" s="52"/>
    </row>
    <row r="34" spans="1:13" x14ac:dyDescent="0.2">
      <c r="A34" s="130"/>
      <c r="B34" s="258" t="s">
        <v>70</v>
      </c>
      <c r="C34" s="203" t="str">
        <f>VLOOKUP(Currency,$O$3:$T$7,2)</f>
        <v>AM</v>
      </c>
      <c r="D34" s="203" t="str">
        <f>VLOOKUP(Currency,$O$3:$T$7,3)</f>
        <v>3L</v>
      </c>
      <c r="E34" s="203" t="str">
        <f>VLOOKUP(Currency,$O$3:$T$7,4)</f>
        <v>1w</v>
      </c>
      <c r="F34" s="203">
        <f>VLOOKUP(Currency,$O$3:$T$7,5)</f>
        <v>0</v>
      </c>
      <c r="G34" s="203">
        <f>VLOOKUP(Currency,$O$3:$T$7,6)</f>
        <v>0</v>
      </c>
      <c r="H34" s="257">
        <f>IF(F34=0,0,Currency&amp;$F34&amp;$G34&amp;$B34&amp;QuoteSuffix)</f>
        <v>0</v>
      </c>
      <c r="I34" s="114" t="str">
        <f>PROPER(Currency)&amp;FamilyName&amp;"Swap"&amp;FixingType&amp;$B34</f>
        <v>UsdLiborSwapForBasisCalc40Y</v>
      </c>
      <c r="J34" s="256" t="str">
        <f>Currency&amp;$C34&amp;$D34&amp;$B34&amp;"_"&amp;"Fwd"&amp;E34&amp;IF(H34=0,,"_Spr"&amp;$F34&amp;$G34)&amp;QuoteSuffix</f>
        <v>USDAM3L40Y_Fwd1w_Quote</v>
      </c>
      <c r="K34" s="256"/>
      <c r="L34" s="259" t="str">
        <f>_xll.ohRangeRetrieveError(K34)</f>
        <v/>
      </c>
      <c r="M34" s="52"/>
    </row>
    <row r="35" spans="1:13" x14ac:dyDescent="0.2">
      <c r="A35" s="130"/>
      <c r="B35" s="258" t="s">
        <v>60</v>
      </c>
      <c r="C35" s="203" t="str">
        <f>VLOOKUP(Currency,$O$3:$T$7,2)</f>
        <v>AM</v>
      </c>
      <c r="D35" s="203" t="str">
        <f>VLOOKUP(Currency,$O$3:$T$7,3)</f>
        <v>3L</v>
      </c>
      <c r="E35" s="203" t="str">
        <f>VLOOKUP(Currency,$O$3:$T$7,4)</f>
        <v>1w</v>
      </c>
      <c r="F35" s="203">
        <f>VLOOKUP(Currency,$O$3:$T$7,5)</f>
        <v>0</v>
      </c>
      <c r="G35" s="203">
        <f>VLOOKUP(Currency,$O$3:$T$7,6)</f>
        <v>0</v>
      </c>
      <c r="H35" s="257">
        <f>IF(F35=0,0,Currency&amp;$F35&amp;$G35&amp;$B35&amp;QuoteSuffix)</f>
        <v>0</v>
      </c>
      <c r="I35" s="114" t="str">
        <f>PROPER(Currency)&amp;FamilyName&amp;"Swap"&amp;FixingType&amp;$B35</f>
        <v>UsdLiborSwapForBasisCalc50Y</v>
      </c>
      <c r="J35" s="256" t="str">
        <f>Currency&amp;$C35&amp;$D35&amp;$B35&amp;"_"&amp;"Fwd"&amp;E35&amp;IF(H35=0,,"_Spr"&amp;$F35&amp;$G35)&amp;QuoteSuffix</f>
        <v>USDAM3L50Y_Fwd1w_Quote</v>
      </c>
      <c r="K35" s="256"/>
      <c r="L35" s="259" t="str">
        <f>_xll.ohRangeRetrieveError(K35)</f>
        <v/>
      </c>
      <c r="M35" s="52"/>
    </row>
    <row r="36" spans="1:13" x14ac:dyDescent="0.2">
      <c r="A36" s="130"/>
      <c r="B36" s="258" t="s">
        <v>50</v>
      </c>
      <c r="C36" s="203" t="str">
        <f>VLOOKUP(Currency,$O$3:$T$7,2)</f>
        <v>AM</v>
      </c>
      <c r="D36" s="203" t="str">
        <f>VLOOKUP(Currency,$O$3:$T$7,3)</f>
        <v>3L</v>
      </c>
      <c r="E36" s="203" t="str">
        <f>VLOOKUP(Currency,$O$3:$T$7,4)</f>
        <v>1w</v>
      </c>
      <c r="F36" s="203">
        <f>VLOOKUP(Currency,$O$3:$T$7,5)</f>
        <v>0</v>
      </c>
      <c r="G36" s="203">
        <f>VLOOKUP(Currency,$O$3:$T$7,6)</f>
        <v>0</v>
      </c>
      <c r="H36" s="257">
        <f>IF(F36=0,0,Currency&amp;$F36&amp;$G36&amp;$B36&amp;QuoteSuffix)</f>
        <v>0</v>
      </c>
      <c r="I36" s="114" t="str">
        <f>PROPER(Currency)&amp;FamilyName&amp;"Swap"&amp;FixingType&amp;$B36</f>
        <v>UsdLiborSwapForBasisCalc60Y</v>
      </c>
      <c r="J36" s="256" t="str">
        <f>Currency&amp;$C36&amp;$D36&amp;$B36&amp;"_"&amp;"Fwd"&amp;E36&amp;IF(H36=0,,"_Spr"&amp;$F36&amp;$G36)&amp;QuoteSuffix</f>
        <v>USDAM3L60Y_Fwd1w_Quote</v>
      </c>
      <c r="K36" s="256"/>
      <c r="L36" s="79" t="str">
        <f>_xll.ohRangeRetrieveError(K36)</f>
        <v/>
      </c>
      <c r="M36" s="52"/>
    </row>
    <row r="37" spans="1:13" ht="12" thickBot="1" x14ac:dyDescent="0.25">
      <c r="A37" s="51"/>
      <c r="B37" s="50"/>
      <c r="C37" s="50"/>
      <c r="D37" s="50"/>
      <c r="E37" s="50"/>
      <c r="F37" s="50"/>
      <c r="G37" s="50"/>
      <c r="H37" s="50"/>
      <c r="I37" s="50"/>
      <c r="J37" s="50"/>
      <c r="K37" s="124"/>
      <c r="L37" s="124"/>
      <c r="M37" s="49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30" t="s">
        <v>229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65"/>
      <c r="M1" s="209"/>
    </row>
    <row r="2" spans="1:20" ht="22.5" x14ac:dyDescent="0.2">
      <c r="A2" s="130"/>
      <c r="B2" s="97"/>
      <c r="C2" s="97"/>
      <c r="D2" s="97"/>
      <c r="E2" s="97" t="s">
        <v>227</v>
      </c>
      <c r="F2" s="97"/>
      <c r="G2" s="97"/>
      <c r="H2" s="97" t="s">
        <v>226</v>
      </c>
      <c r="I2" s="97" t="s">
        <v>225</v>
      </c>
      <c r="J2" s="262" t="str">
        <f>Currency&amp;"_020_Sw"&amp;$C$3&amp;$D$3&amp;"_"&amp;"Fwd"&amp;$E$3&amp;IF(H3=0,,"_Spr"&amp;$F3&amp;$G3)&amp;".xml"</f>
        <v>USD_020_SwAM6L_Fwd1w.xml</v>
      </c>
      <c r="K2" s="117" t="e">
        <f ca="1">IF(Serialize,_xll.ohObjectSave(K3:K36,SerializationPath&amp;J2,FileOverwrite,Serialize),"---")</f>
        <v>#NUM!</v>
      </c>
      <c r="L2" s="79" t="e">
        <f ca="1">_xll.ohRangeRetrieveError(K2)</f>
        <v>#NUM!</v>
      </c>
      <c r="M2" s="52"/>
      <c r="O2" s="221"/>
      <c r="P2" s="220"/>
      <c r="Q2" s="220"/>
      <c r="R2" s="220"/>
      <c r="S2" s="220"/>
      <c r="T2" s="219"/>
    </row>
    <row r="3" spans="1:20" x14ac:dyDescent="0.2">
      <c r="A3" s="130"/>
      <c r="B3" s="83" t="s">
        <v>29</v>
      </c>
      <c r="C3" s="203" t="str">
        <f>VLOOKUP(Currency,$O$3:$T$7,2)</f>
        <v>AM</v>
      </c>
      <c r="D3" s="203" t="str">
        <f>VLOOKUP(Currency,$O$3:$T$7,3)</f>
        <v>6L</v>
      </c>
      <c r="E3" s="203" t="str">
        <f>VLOOKUP(Currency,$O$3:$T$7,4)</f>
        <v>1w</v>
      </c>
      <c r="F3" s="203">
        <f>VLOOKUP(Currency,$O$3:$T$7,5)</f>
        <v>0</v>
      </c>
      <c r="G3" s="203">
        <f>VLOOKUP(Currency,$O$3:$T$7,6)</f>
        <v>0</v>
      </c>
      <c r="H3" s="257">
        <f>IF(F3=0,0,Currency&amp;$F3&amp;$G3&amp;$B3&amp;QuoteSuffix)</f>
        <v>0</v>
      </c>
      <c r="I3" s="260" t="str">
        <f>PROPER(Currency)&amp;FamilyName&amp;"Swap"&amp;FixingType&amp;$B3</f>
        <v>UsdLiborSwapForBasisCalc1Y</v>
      </c>
      <c r="J3" s="256" t="str">
        <f>Currency&amp;$C3&amp;$D3&amp;$B3&amp;"_"&amp;"Fwd"&amp;E3&amp;IF(H3=0,,"_S"&amp;$F3&amp;$G3)&amp;QuoteSuffix</f>
        <v>USDAM6L1Y_Fwd1w_Quote</v>
      </c>
      <c r="K3" s="256"/>
      <c r="L3" s="266" t="str">
        <f>_xll.ohRangeRetrieveError(K3)</f>
        <v/>
      </c>
      <c r="M3" s="52"/>
      <c r="O3" s="90" t="s">
        <v>132</v>
      </c>
      <c r="P3" s="89" t="s">
        <v>213</v>
      </c>
      <c r="Q3" s="89" t="s">
        <v>126</v>
      </c>
      <c r="R3" s="89" t="s">
        <v>224</v>
      </c>
      <c r="S3" s="89"/>
      <c r="T3" s="88"/>
    </row>
    <row r="4" spans="1:20" x14ac:dyDescent="0.2">
      <c r="A4" s="130"/>
      <c r="B4" s="83" t="s">
        <v>108</v>
      </c>
      <c r="C4" s="203" t="str">
        <f>VLOOKUP(Currency,$O$3:$T$7,2)</f>
        <v>AM</v>
      </c>
      <c r="D4" s="203" t="str">
        <f>VLOOKUP(Currency,$O$3:$T$7,3)</f>
        <v>6L</v>
      </c>
      <c r="E4" s="203" t="str">
        <f>VLOOKUP(Currency,$O$3:$T$7,4)</f>
        <v>1w</v>
      </c>
      <c r="F4" s="203">
        <f>VLOOKUP(Currency,$O$3:$T$7,5)</f>
        <v>0</v>
      </c>
      <c r="G4" s="203">
        <f>VLOOKUP(Currency,$O$3:$T$7,6)</f>
        <v>0</v>
      </c>
      <c r="H4" s="257">
        <f>IF(F4=0,0,Currency&amp;$F4&amp;$G4&amp;$B4&amp;QuoteSuffix)</f>
        <v>0</v>
      </c>
      <c r="I4" s="114" t="str">
        <f>PROPER(Currency)&amp;FamilyName&amp;"Swap"&amp;FixingType&amp;$B4</f>
        <v>UsdLiborSwapForBasisCalc2Y</v>
      </c>
      <c r="J4" s="256" t="str">
        <f>Currency&amp;$C4&amp;$D4&amp;$B4&amp;"_"&amp;"Fwd"&amp;E4&amp;IF(H4=0,,"_S"&amp;$F4&amp;$G4)&amp;QuoteSuffix</f>
        <v>USDAM6L2Y_Fwd1w_Quote</v>
      </c>
      <c r="K4" s="256"/>
      <c r="L4" s="266" t="str">
        <f>_xll.ohRangeRetrieveError(K4)</f>
        <v/>
      </c>
      <c r="M4" s="52"/>
      <c r="O4" s="90" t="s">
        <v>131</v>
      </c>
      <c r="P4" s="89" t="s">
        <v>213</v>
      </c>
      <c r="Q4" s="89" t="s">
        <v>129</v>
      </c>
      <c r="R4" s="89" t="s">
        <v>224</v>
      </c>
      <c r="S4" s="89"/>
      <c r="T4" s="88"/>
    </row>
    <row r="5" spans="1:20" x14ac:dyDescent="0.2">
      <c r="A5" s="130"/>
      <c r="B5" s="83" t="s">
        <v>107</v>
      </c>
      <c r="C5" s="203" t="str">
        <f>VLOOKUP(Currency,$O$3:$T$7,2)</f>
        <v>AM</v>
      </c>
      <c r="D5" s="203" t="str">
        <f>VLOOKUP(Currency,$O$3:$T$7,3)</f>
        <v>6L</v>
      </c>
      <c r="E5" s="203" t="str">
        <f>VLOOKUP(Currency,$O$3:$T$7,4)</f>
        <v>1w</v>
      </c>
      <c r="F5" s="203">
        <f>VLOOKUP(Currency,$O$3:$T$7,5)</f>
        <v>0</v>
      </c>
      <c r="G5" s="203">
        <f>VLOOKUP(Currency,$O$3:$T$7,6)</f>
        <v>0</v>
      </c>
      <c r="H5" s="257">
        <f>IF(F5=0,0,Currency&amp;$F5&amp;$G5&amp;$B5&amp;QuoteSuffix)</f>
        <v>0</v>
      </c>
      <c r="I5" s="114" t="str">
        <f>PROPER(Currency)&amp;FamilyName&amp;"Swap"&amp;FixingType&amp;$B5</f>
        <v>UsdLiborSwapForBasisCalc3Y</v>
      </c>
      <c r="J5" s="256" t="str">
        <f>Currency&amp;$C5&amp;$D5&amp;$B5&amp;"_"&amp;"Fwd"&amp;E5&amp;IF(H5=0,,"_S"&amp;$F5&amp;$G5)&amp;QuoteSuffix</f>
        <v>USDAM6L3Y_Fwd1w_Quote</v>
      </c>
      <c r="K5" s="256"/>
      <c r="L5" s="266" t="str">
        <f>_xll.ohRangeRetrieveError(K5)</f>
        <v/>
      </c>
      <c r="M5" s="52"/>
      <c r="O5" s="90" t="s">
        <v>128</v>
      </c>
      <c r="P5" s="89" t="s">
        <v>212</v>
      </c>
      <c r="Q5" s="89" t="s">
        <v>126</v>
      </c>
      <c r="R5" s="89" t="s">
        <v>224</v>
      </c>
      <c r="S5" s="89"/>
      <c r="T5" s="88"/>
    </row>
    <row r="6" spans="1:20" x14ac:dyDescent="0.2">
      <c r="A6" s="130"/>
      <c r="B6" s="83" t="s">
        <v>106</v>
      </c>
      <c r="C6" s="203" t="str">
        <f>VLOOKUP(Currency,$O$3:$T$7,2)</f>
        <v>AM</v>
      </c>
      <c r="D6" s="203" t="str">
        <f>VLOOKUP(Currency,$O$3:$T$7,3)</f>
        <v>6L</v>
      </c>
      <c r="E6" s="203" t="str">
        <f>VLOOKUP(Currency,$O$3:$T$7,4)</f>
        <v>1w</v>
      </c>
      <c r="F6" s="203">
        <f>VLOOKUP(Currency,$O$3:$T$7,5)</f>
        <v>0</v>
      </c>
      <c r="G6" s="203">
        <f>VLOOKUP(Currency,$O$3:$T$7,6)</f>
        <v>0</v>
      </c>
      <c r="H6" s="257">
        <f>IF(F6=0,0,Currency&amp;$F6&amp;$G6&amp;$B6&amp;QuoteSuffix)</f>
        <v>0</v>
      </c>
      <c r="I6" s="114" t="str">
        <f>PROPER(Currency)&amp;FamilyName&amp;"Swap"&amp;FixingType&amp;$B6</f>
        <v>UsdLiborSwapForBasisCalc4Y</v>
      </c>
      <c r="J6" s="256" t="str">
        <f>Currency&amp;$C6&amp;$D6&amp;$B6&amp;"_"&amp;"Fwd"&amp;E6&amp;IF(H6=0,,"_S"&amp;$F6&amp;$G6)&amp;QuoteSuffix</f>
        <v>USDAM6L4Y_Fwd1w_Quote</v>
      </c>
      <c r="K6" s="256"/>
      <c r="L6" s="266" t="str">
        <f>_xll.ohRangeRetrieveError(K6)</f>
        <v/>
      </c>
      <c r="M6" s="52"/>
      <c r="O6" s="90" t="s">
        <v>127</v>
      </c>
      <c r="P6" s="89" t="s">
        <v>212</v>
      </c>
      <c r="Q6" s="89" t="s">
        <v>126</v>
      </c>
      <c r="R6" s="89" t="s">
        <v>224</v>
      </c>
      <c r="S6" s="89"/>
      <c r="T6" s="88"/>
    </row>
    <row r="7" spans="1:20" ht="12" thickBot="1" x14ac:dyDescent="0.25">
      <c r="A7" s="130"/>
      <c r="B7" s="83" t="s">
        <v>105</v>
      </c>
      <c r="C7" s="203" t="str">
        <f>VLOOKUP(Currency,$O$3:$T$7,2)</f>
        <v>AM</v>
      </c>
      <c r="D7" s="203" t="str">
        <f>VLOOKUP(Currency,$O$3:$T$7,3)</f>
        <v>6L</v>
      </c>
      <c r="E7" s="203" t="str">
        <f>VLOOKUP(Currency,$O$3:$T$7,4)</f>
        <v>1w</v>
      </c>
      <c r="F7" s="203">
        <f>VLOOKUP(Currency,$O$3:$T$7,5)</f>
        <v>0</v>
      </c>
      <c r="G7" s="203">
        <f>VLOOKUP(Currency,$O$3:$T$7,6)</f>
        <v>0</v>
      </c>
      <c r="H7" s="257">
        <f>IF(F7=0,0,Currency&amp;$F7&amp;$G7&amp;$B7&amp;QuoteSuffix)</f>
        <v>0</v>
      </c>
      <c r="I7" s="114" t="str">
        <f>PROPER(Currency)&amp;FamilyName&amp;"Swap"&amp;FixingType&amp;$B7</f>
        <v>UsdLiborSwapForBasisCalc5Y</v>
      </c>
      <c r="J7" s="256" t="str">
        <f>Currency&amp;$C7&amp;$D7&amp;$B7&amp;"_"&amp;"Fwd"&amp;E7&amp;IF(H7=0,,"_S"&amp;$F7&amp;$G7)&amp;QuoteSuffix</f>
        <v>USDAM6L5Y_Fwd1w_Quote</v>
      </c>
      <c r="K7" s="256"/>
      <c r="L7" s="266" t="str">
        <f>_xll.ohRangeRetrieveError(K7)</f>
        <v/>
      </c>
      <c r="M7" s="52"/>
      <c r="O7" s="87" t="s">
        <v>122</v>
      </c>
      <c r="P7" s="86" t="s">
        <v>211</v>
      </c>
      <c r="Q7" s="267" t="s">
        <v>126</v>
      </c>
      <c r="R7" s="86" t="s">
        <v>224</v>
      </c>
      <c r="S7" s="86"/>
      <c r="T7" s="85"/>
    </row>
    <row r="8" spans="1:20" x14ac:dyDescent="0.2">
      <c r="A8" s="130"/>
      <c r="B8" s="83" t="s">
        <v>104</v>
      </c>
      <c r="C8" s="203" t="str">
        <f>VLOOKUP(Currency,$O$3:$T$7,2)</f>
        <v>AM</v>
      </c>
      <c r="D8" s="203" t="str">
        <f>VLOOKUP(Currency,$O$3:$T$7,3)</f>
        <v>6L</v>
      </c>
      <c r="E8" s="203" t="str">
        <f>VLOOKUP(Currency,$O$3:$T$7,4)</f>
        <v>1w</v>
      </c>
      <c r="F8" s="203">
        <f>VLOOKUP(Currency,$O$3:$T$7,5)</f>
        <v>0</v>
      </c>
      <c r="G8" s="203">
        <f>VLOOKUP(Currency,$O$3:$T$7,6)</f>
        <v>0</v>
      </c>
      <c r="H8" s="257">
        <f>IF(F8=0,0,Currency&amp;$F8&amp;$G8&amp;$B8&amp;QuoteSuffix)</f>
        <v>0</v>
      </c>
      <c r="I8" s="114" t="str">
        <f>PROPER(Currency)&amp;FamilyName&amp;"Swap"&amp;FixingType&amp;$B8</f>
        <v>UsdLiborSwapForBasisCalc6Y</v>
      </c>
      <c r="J8" s="256" t="str">
        <f>Currency&amp;$C8&amp;$D8&amp;$B8&amp;"_"&amp;"Fwd"&amp;E8&amp;IF(H8=0,,"_S"&amp;$F8&amp;$G8)&amp;QuoteSuffix</f>
        <v>USDAM6L6Y_Fwd1w_Quote</v>
      </c>
      <c r="K8" s="256"/>
      <c r="L8" s="266" t="str">
        <f>_xll.ohRangeRetrieveError(K8)</f>
        <v/>
      </c>
      <c r="M8" s="52"/>
    </row>
    <row r="9" spans="1:20" x14ac:dyDescent="0.2">
      <c r="A9" s="130"/>
      <c r="B9" s="83" t="s">
        <v>103</v>
      </c>
      <c r="C9" s="203" t="str">
        <f>VLOOKUP(Currency,$O$3:$T$7,2)</f>
        <v>AM</v>
      </c>
      <c r="D9" s="203" t="str">
        <f>VLOOKUP(Currency,$O$3:$T$7,3)</f>
        <v>6L</v>
      </c>
      <c r="E9" s="203" t="str">
        <f>VLOOKUP(Currency,$O$3:$T$7,4)</f>
        <v>1w</v>
      </c>
      <c r="F9" s="203">
        <f>VLOOKUP(Currency,$O$3:$T$7,5)</f>
        <v>0</v>
      </c>
      <c r="G9" s="203">
        <f>VLOOKUP(Currency,$O$3:$T$7,6)</f>
        <v>0</v>
      </c>
      <c r="H9" s="257">
        <f>IF(F9=0,0,Currency&amp;$F9&amp;$G9&amp;$B9&amp;QuoteSuffix)</f>
        <v>0</v>
      </c>
      <c r="I9" s="114" t="str">
        <f>PROPER(Currency)&amp;FamilyName&amp;"Swap"&amp;FixingType&amp;$B9</f>
        <v>UsdLiborSwapForBasisCalc7Y</v>
      </c>
      <c r="J9" s="256" t="str">
        <f>Currency&amp;$C9&amp;$D9&amp;$B9&amp;"_"&amp;"Fwd"&amp;E9&amp;IF(H9=0,,"_S"&amp;$F9&amp;$G9)&amp;QuoteSuffix</f>
        <v>USDAM6L7Y_Fwd1w_Quote</v>
      </c>
      <c r="K9" s="256"/>
      <c r="L9" s="266" t="str">
        <f>_xll.ohRangeRetrieveError(K9)</f>
        <v/>
      </c>
      <c r="M9" s="52"/>
    </row>
    <row r="10" spans="1:20" x14ac:dyDescent="0.2">
      <c r="A10" s="130"/>
      <c r="B10" s="83" t="s">
        <v>102</v>
      </c>
      <c r="C10" s="203" t="str">
        <f>VLOOKUP(Currency,$O$3:$T$7,2)</f>
        <v>AM</v>
      </c>
      <c r="D10" s="203" t="str">
        <f>VLOOKUP(Currency,$O$3:$T$7,3)</f>
        <v>6L</v>
      </c>
      <c r="E10" s="203" t="str">
        <f>VLOOKUP(Currency,$O$3:$T$7,4)</f>
        <v>1w</v>
      </c>
      <c r="F10" s="203">
        <f>VLOOKUP(Currency,$O$3:$T$7,5)</f>
        <v>0</v>
      </c>
      <c r="G10" s="203">
        <f>VLOOKUP(Currency,$O$3:$T$7,6)</f>
        <v>0</v>
      </c>
      <c r="H10" s="257">
        <f>IF(F10=0,0,Currency&amp;$F10&amp;$G10&amp;$B10&amp;QuoteSuffix)</f>
        <v>0</v>
      </c>
      <c r="I10" s="114" t="str">
        <f>PROPER(Currency)&amp;FamilyName&amp;"Swap"&amp;FixingType&amp;$B10</f>
        <v>UsdLiborSwapForBasisCalc8Y</v>
      </c>
      <c r="J10" s="256" t="str">
        <f>Currency&amp;$C10&amp;$D10&amp;$B10&amp;"_"&amp;"Fwd"&amp;E10&amp;IF(H10=0,,"_S"&amp;$F10&amp;$G10)&amp;QuoteSuffix</f>
        <v>USDAM6L8Y_Fwd1w_Quote</v>
      </c>
      <c r="K10" s="256"/>
      <c r="L10" s="266" t="str">
        <f>_xll.ohRangeRetrieveError(K10)</f>
        <v/>
      </c>
      <c r="M10" s="52"/>
    </row>
    <row r="11" spans="1:20" x14ac:dyDescent="0.2">
      <c r="A11" s="130"/>
      <c r="B11" s="83" t="s">
        <v>101</v>
      </c>
      <c r="C11" s="203" t="str">
        <f>VLOOKUP(Currency,$O$3:$T$7,2)</f>
        <v>AM</v>
      </c>
      <c r="D11" s="203" t="str">
        <f>VLOOKUP(Currency,$O$3:$T$7,3)</f>
        <v>6L</v>
      </c>
      <c r="E11" s="203" t="str">
        <f>VLOOKUP(Currency,$O$3:$T$7,4)</f>
        <v>1w</v>
      </c>
      <c r="F11" s="203">
        <f>VLOOKUP(Currency,$O$3:$T$7,5)</f>
        <v>0</v>
      </c>
      <c r="G11" s="203">
        <f>VLOOKUP(Currency,$O$3:$T$7,6)</f>
        <v>0</v>
      </c>
      <c r="H11" s="257">
        <f>IF(F11=0,0,Currency&amp;$F11&amp;$G11&amp;$B11&amp;QuoteSuffix)</f>
        <v>0</v>
      </c>
      <c r="I11" s="114" t="str">
        <f>PROPER(Currency)&amp;FamilyName&amp;"Swap"&amp;FixingType&amp;$B11</f>
        <v>UsdLiborSwapForBasisCalc9Y</v>
      </c>
      <c r="J11" s="256" t="str">
        <f>Currency&amp;$C11&amp;$D11&amp;$B11&amp;"_"&amp;"Fwd"&amp;E11&amp;IF(H11=0,,"_S"&amp;$F11&amp;$G11)&amp;QuoteSuffix</f>
        <v>USDAM6L9Y_Fwd1w_Quote</v>
      </c>
      <c r="K11" s="256"/>
      <c r="L11" s="266" t="str">
        <f>_xll.ohRangeRetrieveError(K11)</f>
        <v/>
      </c>
      <c r="M11" s="52"/>
    </row>
    <row r="12" spans="1:20" x14ac:dyDescent="0.2">
      <c r="A12" s="130"/>
      <c r="B12" s="83" t="s">
        <v>100</v>
      </c>
      <c r="C12" s="203" t="str">
        <f>VLOOKUP(Currency,$O$3:$T$7,2)</f>
        <v>AM</v>
      </c>
      <c r="D12" s="203" t="str">
        <f>VLOOKUP(Currency,$O$3:$T$7,3)</f>
        <v>6L</v>
      </c>
      <c r="E12" s="203" t="str">
        <f>VLOOKUP(Currency,$O$3:$T$7,4)</f>
        <v>1w</v>
      </c>
      <c r="F12" s="203">
        <f>VLOOKUP(Currency,$O$3:$T$7,5)</f>
        <v>0</v>
      </c>
      <c r="G12" s="203">
        <f>VLOOKUP(Currency,$O$3:$T$7,6)</f>
        <v>0</v>
      </c>
      <c r="H12" s="257">
        <f>IF(F12=0,0,Currency&amp;$F12&amp;$G12&amp;$B12&amp;QuoteSuffix)</f>
        <v>0</v>
      </c>
      <c r="I12" s="114" t="str">
        <f>PROPER(Currency)&amp;FamilyName&amp;"Swap"&amp;FixingType&amp;$B12</f>
        <v>UsdLiborSwapForBasisCalc10Y</v>
      </c>
      <c r="J12" s="256" t="str">
        <f>Currency&amp;$C12&amp;$D12&amp;$B12&amp;"_"&amp;"Fwd"&amp;E12&amp;IF(H12=0,,"_S"&amp;$F12&amp;$G12)&amp;QuoteSuffix</f>
        <v>USDAM6L10Y_Fwd1w_Quote</v>
      </c>
      <c r="K12" s="256"/>
      <c r="L12" s="266" t="str">
        <f>_xll.ohRangeRetrieveError(K12)</f>
        <v/>
      </c>
      <c r="M12" s="52"/>
    </row>
    <row r="13" spans="1:20" x14ac:dyDescent="0.2">
      <c r="A13" s="130"/>
      <c r="B13" s="83" t="s">
        <v>99</v>
      </c>
      <c r="C13" s="203" t="str">
        <f>VLOOKUP(Currency,$O$3:$T$7,2)</f>
        <v>AM</v>
      </c>
      <c r="D13" s="203" t="str">
        <f>VLOOKUP(Currency,$O$3:$T$7,3)</f>
        <v>6L</v>
      </c>
      <c r="E13" s="203" t="str">
        <f>VLOOKUP(Currency,$O$3:$T$7,4)</f>
        <v>1w</v>
      </c>
      <c r="F13" s="203">
        <f>VLOOKUP(Currency,$O$3:$T$7,5)</f>
        <v>0</v>
      </c>
      <c r="G13" s="203">
        <f>VLOOKUP(Currency,$O$3:$T$7,6)</f>
        <v>0</v>
      </c>
      <c r="H13" s="257">
        <f>IF(F13=0,0,Currency&amp;$F13&amp;$G13&amp;$B13&amp;QuoteSuffix)</f>
        <v>0</v>
      </c>
      <c r="I13" s="114" t="str">
        <f>PROPER(Currency)&amp;FamilyName&amp;"Swap"&amp;FixingType&amp;$B13</f>
        <v>UsdLiborSwapForBasisCalc11Y</v>
      </c>
      <c r="J13" s="256" t="str">
        <f>Currency&amp;$C13&amp;$D13&amp;$B13&amp;"_"&amp;"Fwd"&amp;E13&amp;IF(H13=0,,"_S"&amp;$F13&amp;$G13)&amp;QuoteSuffix</f>
        <v>USDAM6L11Y_Fwd1w_Quote</v>
      </c>
      <c r="K13" s="256"/>
      <c r="L13" s="266" t="str">
        <f>_xll.ohRangeRetrieveError(K13)</f>
        <v/>
      </c>
      <c r="M13" s="52"/>
    </row>
    <row r="14" spans="1:20" x14ac:dyDescent="0.2">
      <c r="A14" s="130"/>
      <c r="B14" s="83" t="s">
        <v>98</v>
      </c>
      <c r="C14" s="203" t="str">
        <f>VLOOKUP(Currency,$O$3:$T$7,2)</f>
        <v>AM</v>
      </c>
      <c r="D14" s="203" t="str">
        <f>VLOOKUP(Currency,$O$3:$T$7,3)</f>
        <v>6L</v>
      </c>
      <c r="E14" s="203" t="str">
        <f>VLOOKUP(Currency,$O$3:$T$7,4)</f>
        <v>1w</v>
      </c>
      <c r="F14" s="203">
        <f>VLOOKUP(Currency,$O$3:$T$7,5)</f>
        <v>0</v>
      </c>
      <c r="G14" s="203">
        <f>VLOOKUP(Currency,$O$3:$T$7,6)</f>
        <v>0</v>
      </c>
      <c r="H14" s="257">
        <f>IF(F14=0,0,Currency&amp;$F14&amp;$G14&amp;$B14&amp;QuoteSuffix)</f>
        <v>0</v>
      </c>
      <c r="I14" s="114" t="str">
        <f>PROPER(Currency)&amp;FamilyName&amp;"Swap"&amp;FixingType&amp;$B14</f>
        <v>UsdLiborSwapForBasisCalc12Y</v>
      </c>
      <c r="J14" s="256" t="str">
        <f>Currency&amp;$C14&amp;$D14&amp;$B14&amp;"_"&amp;"Fwd"&amp;E14&amp;IF(H14=0,,"_S"&amp;$F14&amp;$G14)&amp;QuoteSuffix</f>
        <v>USDAM6L12Y_Fwd1w_Quote</v>
      </c>
      <c r="K14" s="256"/>
      <c r="L14" s="266" t="str">
        <f>_xll.ohRangeRetrieveError(K14)</f>
        <v/>
      </c>
      <c r="M14" s="52"/>
    </row>
    <row r="15" spans="1:20" x14ac:dyDescent="0.2">
      <c r="A15" s="130"/>
      <c r="B15" s="83" t="s">
        <v>97</v>
      </c>
      <c r="C15" s="203" t="str">
        <f>VLOOKUP(Currency,$O$3:$T$7,2)</f>
        <v>AM</v>
      </c>
      <c r="D15" s="203" t="str">
        <f>VLOOKUP(Currency,$O$3:$T$7,3)</f>
        <v>6L</v>
      </c>
      <c r="E15" s="203" t="str">
        <f>VLOOKUP(Currency,$O$3:$T$7,4)</f>
        <v>1w</v>
      </c>
      <c r="F15" s="203">
        <f>VLOOKUP(Currency,$O$3:$T$7,5)</f>
        <v>0</v>
      </c>
      <c r="G15" s="203">
        <f>VLOOKUP(Currency,$O$3:$T$7,6)</f>
        <v>0</v>
      </c>
      <c r="H15" s="257">
        <f>IF(F15=0,0,Currency&amp;$F15&amp;$G15&amp;$B15&amp;QuoteSuffix)</f>
        <v>0</v>
      </c>
      <c r="I15" s="114" t="str">
        <f>PROPER(Currency)&amp;FamilyName&amp;"Swap"&amp;FixingType&amp;$B15</f>
        <v>UsdLiborSwapForBasisCalc13Y</v>
      </c>
      <c r="J15" s="256" t="str">
        <f>Currency&amp;$C15&amp;$D15&amp;$B15&amp;"_"&amp;"Fwd"&amp;E15&amp;IF(H15=0,,"_S"&amp;$F15&amp;$G15)&amp;QuoteSuffix</f>
        <v>USDAM6L13Y_Fwd1w_Quote</v>
      </c>
      <c r="K15" s="256"/>
      <c r="L15" s="266" t="str">
        <f>_xll.ohRangeRetrieveError(K15)</f>
        <v/>
      </c>
      <c r="M15" s="52"/>
    </row>
    <row r="16" spans="1:20" x14ac:dyDescent="0.2">
      <c r="A16" s="130"/>
      <c r="B16" s="83" t="s">
        <v>96</v>
      </c>
      <c r="C16" s="203" t="str">
        <f>VLOOKUP(Currency,$O$3:$T$7,2)</f>
        <v>AM</v>
      </c>
      <c r="D16" s="203" t="str">
        <f>VLOOKUP(Currency,$O$3:$T$7,3)</f>
        <v>6L</v>
      </c>
      <c r="E16" s="203" t="str">
        <f>VLOOKUP(Currency,$O$3:$T$7,4)</f>
        <v>1w</v>
      </c>
      <c r="F16" s="203">
        <f>VLOOKUP(Currency,$O$3:$T$7,5)</f>
        <v>0</v>
      </c>
      <c r="G16" s="203">
        <f>VLOOKUP(Currency,$O$3:$T$7,6)</f>
        <v>0</v>
      </c>
      <c r="H16" s="257">
        <f>IF(F16=0,0,Currency&amp;$F16&amp;$G16&amp;$B16&amp;QuoteSuffix)</f>
        <v>0</v>
      </c>
      <c r="I16" s="114" t="str">
        <f>PROPER(Currency)&amp;FamilyName&amp;"Swap"&amp;FixingType&amp;$B16</f>
        <v>UsdLiborSwapForBasisCalc14Y</v>
      </c>
      <c r="J16" s="256" t="str">
        <f>Currency&amp;$C16&amp;$D16&amp;$B16&amp;"_"&amp;"Fwd"&amp;E16&amp;IF(H16=0,,"_S"&amp;$F16&amp;$G16)&amp;QuoteSuffix</f>
        <v>USDAM6L14Y_Fwd1w_Quote</v>
      </c>
      <c r="K16" s="256"/>
      <c r="L16" s="266" t="str">
        <f>_xll.ohRangeRetrieveError(K16)</f>
        <v/>
      </c>
      <c r="M16" s="52"/>
    </row>
    <row r="17" spans="1:13" x14ac:dyDescent="0.2">
      <c r="A17" s="130"/>
      <c r="B17" s="83" t="s">
        <v>95</v>
      </c>
      <c r="C17" s="203" t="str">
        <f>VLOOKUP(Currency,$O$3:$T$7,2)</f>
        <v>AM</v>
      </c>
      <c r="D17" s="203" t="str">
        <f>VLOOKUP(Currency,$O$3:$T$7,3)</f>
        <v>6L</v>
      </c>
      <c r="E17" s="203" t="str">
        <f>VLOOKUP(Currency,$O$3:$T$7,4)</f>
        <v>1w</v>
      </c>
      <c r="F17" s="203">
        <f>VLOOKUP(Currency,$O$3:$T$7,5)</f>
        <v>0</v>
      </c>
      <c r="G17" s="203">
        <f>VLOOKUP(Currency,$O$3:$T$7,6)</f>
        <v>0</v>
      </c>
      <c r="H17" s="257">
        <f>IF(F17=0,0,Currency&amp;$F17&amp;$G17&amp;$B17&amp;QuoteSuffix)</f>
        <v>0</v>
      </c>
      <c r="I17" s="114" t="str">
        <f>PROPER(Currency)&amp;FamilyName&amp;"Swap"&amp;FixingType&amp;$B17</f>
        <v>UsdLiborSwapForBasisCalc15Y</v>
      </c>
      <c r="J17" s="256" t="str">
        <f>Currency&amp;$C17&amp;$D17&amp;$B17&amp;"_"&amp;"Fwd"&amp;E17&amp;IF(H17=0,,"_S"&amp;$F17&amp;$G17)&amp;QuoteSuffix</f>
        <v>USDAM6L15Y_Fwd1w_Quote</v>
      </c>
      <c r="K17" s="256"/>
      <c r="L17" s="266" t="str">
        <f>_xll.ohRangeRetrieveError(K17)</f>
        <v/>
      </c>
      <c r="M17" s="52"/>
    </row>
    <row r="18" spans="1:13" x14ac:dyDescent="0.2">
      <c r="A18" s="130"/>
      <c r="B18" s="83" t="s">
        <v>94</v>
      </c>
      <c r="C18" s="203" t="str">
        <f>VLOOKUP(Currency,$O$3:$T$7,2)</f>
        <v>AM</v>
      </c>
      <c r="D18" s="203" t="str">
        <f>VLOOKUP(Currency,$O$3:$T$7,3)</f>
        <v>6L</v>
      </c>
      <c r="E18" s="203" t="str">
        <f>VLOOKUP(Currency,$O$3:$T$7,4)</f>
        <v>1w</v>
      </c>
      <c r="F18" s="203">
        <f>VLOOKUP(Currency,$O$3:$T$7,5)</f>
        <v>0</v>
      </c>
      <c r="G18" s="203">
        <f>VLOOKUP(Currency,$O$3:$T$7,6)</f>
        <v>0</v>
      </c>
      <c r="H18" s="257">
        <f>IF(F18=0,0,Currency&amp;$F18&amp;$G18&amp;$B18&amp;QuoteSuffix)</f>
        <v>0</v>
      </c>
      <c r="I18" s="114" t="str">
        <f>PROPER(Currency)&amp;FamilyName&amp;"Swap"&amp;FixingType&amp;$B18</f>
        <v>UsdLiborSwapForBasisCalc16Y</v>
      </c>
      <c r="J18" s="256" t="str">
        <f>Currency&amp;$C18&amp;$D18&amp;$B18&amp;"_"&amp;"Fwd"&amp;E18&amp;IF(H18=0,,"_S"&amp;$F18&amp;$G18)&amp;QuoteSuffix</f>
        <v>USDAM6L16Y_Fwd1w_Quote</v>
      </c>
      <c r="K18" s="256"/>
      <c r="L18" s="266" t="str">
        <f>_xll.ohRangeRetrieveError(K18)</f>
        <v/>
      </c>
      <c r="M18" s="52"/>
    </row>
    <row r="19" spans="1:13" x14ac:dyDescent="0.2">
      <c r="A19" s="130"/>
      <c r="B19" s="83" t="s">
        <v>93</v>
      </c>
      <c r="C19" s="203" t="str">
        <f>VLOOKUP(Currency,$O$3:$T$7,2)</f>
        <v>AM</v>
      </c>
      <c r="D19" s="203" t="str">
        <f>VLOOKUP(Currency,$O$3:$T$7,3)</f>
        <v>6L</v>
      </c>
      <c r="E19" s="203" t="str">
        <f>VLOOKUP(Currency,$O$3:$T$7,4)</f>
        <v>1w</v>
      </c>
      <c r="F19" s="203">
        <f>VLOOKUP(Currency,$O$3:$T$7,5)</f>
        <v>0</v>
      </c>
      <c r="G19" s="203">
        <f>VLOOKUP(Currency,$O$3:$T$7,6)</f>
        <v>0</v>
      </c>
      <c r="H19" s="257">
        <f>IF(F19=0,0,Currency&amp;$F19&amp;$G19&amp;$B19&amp;QuoteSuffix)</f>
        <v>0</v>
      </c>
      <c r="I19" s="114" t="str">
        <f>PROPER(Currency)&amp;FamilyName&amp;"Swap"&amp;FixingType&amp;$B19</f>
        <v>UsdLiborSwapForBasisCalc17Y</v>
      </c>
      <c r="J19" s="256" t="str">
        <f>Currency&amp;$C19&amp;$D19&amp;$B19&amp;"_"&amp;"Fwd"&amp;E19&amp;IF(H19=0,,"_S"&amp;$F19&amp;$G19)&amp;QuoteSuffix</f>
        <v>USDAM6L17Y_Fwd1w_Quote</v>
      </c>
      <c r="K19" s="256"/>
      <c r="L19" s="266" t="str">
        <f>_xll.ohRangeRetrieveError(K19)</f>
        <v/>
      </c>
      <c r="M19" s="52"/>
    </row>
    <row r="20" spans="1:13" x14ac:dyDescent="0.2">
      <c r="A20" s="130"/>
      <c r="B20" s="83" t="s">
        <v>92</v>
      </c>
      <c r="C20" s="203" t="str">
        <f>VLOOKUP(Currency,$O$3:$T$7,2)</f>
        <v>AM</v>
      </c>
      <c r="D20" s="203" t="str">
        <f>VLOOKUP(Currency,$O$3:$T$7,3)</f>
        <v>6L</v>
      </c>
      <c r="E20" s="203" t="str">
        <f>VLOOKUP(Currency,$O$3:$T$7,4)</f>
        <v>1w</v>
      </c>
      <c r="F20" s="203">
        <f>VLOOKUP(Currency,$O$3:$T$7,5)</f>
        <v>0</v>
      </c>
      <c r="G20" s="203">
        <f>VLOOKUP(Currency,$O$3:$T$7,6)</f>
        <v>0</v>
      </c>
      <c r="H20" s="257">
        <f>IF(F20=0,0,Currency&amp;$F20&amp;$G20&amp;$B20&amp;QuoteSuffix)</f>
        <v>0</v>
      </c>
      <c r="I20" s="114" t="str">
        <f>PROPER(Currency)&amp;FamilyName&amp;"Swap"&amp;FixingType&amp;$B20</f>
        <v>UsdLiborSwapForBasisCalc18Y</v>
      </c>
      <c r="J20" s="256" t="str">
        <f>Currency&amp;$C20&amp;$D20&amp;$B20&amp;"_"&amp;"Fwd"&amp;E20&amp;IF(H20=0,,"_S"&amp;$F20&amp;$G20)&amp;QuoteSuffix</f>
        <v>USDAM6L18Y_Fwd1w_Quote</v>
      </c>
      <c r="K20" s="256"/>
      <c r="L20" s="266" t="str">
        <f>_xll.ohRangeRetrieveError(K20)</f>
        <v/>
      </c>
      <c r="M20" s="52"/>
    </row>
    <row r="21" spans="1:13" x14ac:dyDescent="0.2">
      <c r="A21" s="130"/>
      <c r="B21" s="83" t="s">
        <v>91</v>
      </c>
      <c r="C21" s="203" t="str">
        <f>VLOOKUP(Currency,$O$3:$T$7,2)</f>
        <v>AM</v>
      </c>
      <c r="D21" s="203" t="str">
        <f>VLOOKUP(Currency,$O$3:$T$7,3)</f>
        <v>6L</v>
      </c>
      <c r="E21" s="203" t="str">
        <f>VLOOKUP(Currency,$O$3:$T$7,4)</f>
        <v>1w</v>
      </c>
      <c r="F21" s="203">
        <f>VLOOKUP(Currency,$O$3:$T$7,5)</f>
        <v>0</v>
      </c>
      <c r="G21" s="203">
        <f>VLOOKUP(Currency,$O$3:$T$7,6)</f>
        <v>0</v>
      </c>
      <c r="H21" s="257">
        <f>IF(F21=0,0,Currency&amp;$F21&amp;$G21&amp;$B21&amp;QuoteSuffix)</f>
        <v>0</v>
      </c>
      <c r="I21" s="114" t="str">
        <f>PROPER(Currency)&amp;FamilyName&amp;"Swap"&amp;FixingType&amp;$B21</f>
        <v>UsdLiborSwapForBasisCalc19Y</v>
      </c>
      <c r="J21" s="256" t="str">
        <f>Currency&amp;$C21&amp;$D21&amp;$B21&amp;"_"&amp;"Fwd"&amp;E21&amp;IF(H21=0,,"_S"&amp;$F21&amp;$G21)&amp;QuoteSuffix</f>
        <v>USDAM6L19Y_Fwd1w_Quote</v>
      </c>
      <c r="K21" s="256"/>
      <c r="L21" s="266" t="str">
        <f>_xll.ohRangeRetrieveError(K21)</f>
        <v/>
      </c>
      <c r="M21" s="52"/>
    </row>
    <row r="22" spans="1:13" x14ac:dyDescent="0.2">
      <c r="A22" s="130"/>
      <c r="B22" s="83" t="s">
        <v>90</v>
      </c>
      <c r="C22" s="203" t="str">
        <f>VLOOKUP(Currency,$O$3:$T$7,2)</f>
        <v>AM</v>
      </c>
      <c r="D22" s="203" t="str">
        <f>VLOOKUP(Currency,$O$3:$T$7,3)</f>
        <v>6L</v>
      </c>
      <c r="E22" s="203" t="str">
        <f>VLOOKUP(Currency,$O$3:$T$7,4)</f>
        <v>1w</v>
      </c>
      <c r="F22" s="203">
        <f>VLOOKUP(Currency,$O$3:$T$7,5)</f>
        <v>0</v>
      </c>
      <c r="G22" s="203">
        <f>VLOOKUP(Currency,$O$3:$T$7,6)</f>
        <v>0</v>
      </c>
      <c r="H22" s="257">
        <f>IF(F22=0,0,Currency&amp;$F22&amp;$G22&amp;$B22&amp;QuoteSuffix)</f>
        <v>0</v>
      </c>
      <c r="I22" s="114" t="str">
        <f>PROPER(Currency)&amp;FamilyName&amp;"Swap"&amp;FixingType&amp;$B22</f>
        <v>UsdLiborSwapForBasisCalc20Y</v>
      </c>
      <c r="J22" s="256" t="str">
        <f>Currency&amp;$C22&amp;$D22&amp;$B22&amp;"_"&amp;"Fwd"&amp;E22&amp;IF(H22=0,,"_S"&amp;$F22&amp;$G22)&amp;QuoteSuffix</f>
        <v>USDAM6L20Y_Fwd1w_Quote</v>
      </c>
      <c r="K22" s="256"/>
      <c r="L22" s="266" t="str">
        <f>_xll.ohRangeRetrieveError(K22)</f>
        <v/>
      </c>
      <c r="M22" s="52"/>
    </row>
    <row r="23" spans="1:13" x14ac:dyDescent="0.2">
      <c r="A23" s="130"/>
      <c r="B23" s="83" t="s">
        <v>89</v>
      </c>
      <c r="C23" s="203" t="str">
        <f>VLOOKUP(Currency,$O$3:$T$7,2)</f>
        <v>AM</v>
      </c>
      <c r="D23" s="203" t="str">
        <f>VLOOKUP(Currency,$O$3:$T$7,3)</f>
        <v>6L</v>
      </c>
      <c r="E23" s="203" t="str">
        <f>VLOOKUP(Currency,$O$3:$T$7,4)</f>
        <v>1w</v>
      </c>
      <c r="F23" s="203">
        <f>VLOOKUP(Currency,$O$3:$T$7,5)</f>
        <v>0</v>
      </c>
      <c r="G23" s="203">
        <f>VLOOKUP(Currency,$O$3:$T$7,6)</f>
        <v>0</v>
      </c>
      <c r="H23" s="257">
        <f>IF(F23=0,0,Currency&amp;$F23&amp;$G23&amp;$B23&amp;QuoteSuffix)</f>
        <v>0</v>
      </c>
      <c r="I23" s="114" t="str">
        <f>PROPER(Currency)&amp;FamilyName&amp;"Swap"&amp;FixingType&amp;$B23</f>
        <v>UsdLiborSwapForBasisCalc21Y</v>
      </c>
      <c r="J23" s="256" t="str">
        <f>Currency&amp;$C23&amp;$D23&amp;$B23&amp;"_"&amp;"Fwd"&amp;E23&amp;IF(H23=0,,"_S"&amp;$F23&amp;$G23)&amp;QuoteSuffix</f>
        <v>USDAM6L21Y_Fwd1w_Quote</v>
      </c>
      <c r="K23" s="256"/>
      <c r="L23" s="266" t="str">
        <f>_xll.ohRangeRetrieveError(K23)</f>
        <v/>
      </c>
      <c r="M23" s="52"/>
    </row>
    <row r="24" spans="1:13" x14ac:dyDescent="0.2">
      <c r="A24" s="130"/>
      <c r="B24" s="83" t="s">
        <v>88</v>
      </c>
      <c r="C24" s="203" t="str">
        <f>VLOOKUP(Currency,$O$3:$T$7,2)</f>
        <v>AM</v>
      </c>
      <c r="D24" s="203" t="str">
        <f>VLOOKUP(Currency,$O$3:$T$7,3)</f>
        <v>6L</v>
      </c>
      <c r="E24" s="203" t="str">
        <f>VLOOKUP(Currency,$O$3:$T$7,4)</f>
        <v>1w</v>
      </c>
      <c r="F24" s="203">
        <f>VLOOKUP(Currency,$O$3:$T$7,5)</f>
        <v>0</v>
      </c>
      <c r="G24" s="203">
        <f>VLOOKUP(Currency,$O$3:$T$7,6)</f>
        <v>0</v>
      </c>
      <c r="H24" s="257">
        <f>IF(F24=0,0,Currency&amp;$F24&amp;$G24&amp;$B24&amp;QuoteSuffix)</f>
        <v>0</v>
      </c>
      <c r="I24" s="114" t="str">
        <f>PROPER(Currency)&amp;FamilyName&amp;"Swap"&amp;FixingType&amp;$B24</f>
        <v>UsdLiborSwapForBasisCalc22Y</v>
      </c>
      <c r="J24" s="256" t="str">
        <f>Currency&amp;$C24&amp;$D24&amp;$B24&amp;"_"&amp;"Fwd"&amp;E24&amp;IF(H24=0,,"_S"&amp;$F24&amp;$G24)&amp;QuoteSuffix</f>
        <v>USDAM6L22Y_Fwd1w_Quote</v>
      </c>
      <c r="K24" s="256"/>
      <c r="L24" s="266" t="str">
        <f>_xll.ohRangeRetrieveError(K24)</f>
        <v/>
      </c>
      <c r="M24" s="52"/>
    </row>
    <row r="25" spans="1:13" x14ac:dyDescent="0.2">
      <c r="A25" s="130"/>
      <c r="B25" s="83" t="s">
        <v>87</v>
      </c>
      <c r="C25" s="203" t="str">
        <f>VLOOKUP(Currency,$O$3:$T$7,2)</f>
        <v>AM</v>
      </c>
      <c r="D25" s="203" t="str">
        <f>VLOOKUP(Currency,$O$3:$T$7,3)</f>
        <v>6L</v>
      </c>
      <c r="E25" s="203" t="str">
        <f>VLOOKUP(Currency,$O$3:$T$7,4)</f>
        <v>1w</v>
      </c>
      <c r="F25" s="203">
        <f>VLOOKUP(Currency,$O$3:$T$7,5)</f>
        <v>0</v>
      </c>
      <c r="G25" s="203">
        <f>VLOOKUP(Currency,$O$3:$T$7,6)</f>
        <v>0</v>
      </c>
      <c r="H25" s="257">
        <f>IF(F25=0,0,Currency&amp;$F25&amp;$G25&amp;$B25&amp;QuoteSuffix)</f>
        <v>0</v>
      </c>
      <c r="I25" s="114" t="str">
        <f>PROPER(Currency)&amp;FamilyName&amp;"Swap"&amp;FixingType&amp;$B25</f>
        <v>UsdLiborSwapForBasisCalc23Y</v>
      </c>
      <c r="J25" s="256" t="str">
        <f>Currency&amp;$C25&amp;$D25&amp;$B25&amp;"_"&amp;"Fwd"&amp;E25&amp;IF(H25=0,,"_S"&amp;$F25&amp;$G25)&amp;QuoteSuffix</f>
        <v>USDAM6L23Y_Fwd1w_Quote</v>
      </c>
      <c r="K25" s="256"/>
      <c r="L25" s="266" t="str">
        <f>_xll.ohRangeRetrieveError(K25)</f>
        <v/>
      </c>
      <c r="M25" s="52"/>
    </row>
    <row r="26" spans="1:13" x14ac:dyDescent="0.2">
      <c r="A26" s="130"/>
      <c r="B26" s="83" t="s">
        <v>86</v>
      </c>
      <c r="C26" s="203" t="str">
        <f>VLOOKUP(Currency,$O$3:$T$7,2)</f>
        <v>AM</v>
      </c>
      <c r="D26" s="203" t="str">
        <f>VLOOKUP(Currency,$O$3:$T$7,3)</f>
        <v>6L</v>
      </c>
      <c r="E26" s="203" t="str">
        <f>VLOOKUP(Currency,$O$3:$T$7,4)</f>
        <v>1w</v>
      </c>
      <c r="F26" s="203">
        <f>VLOOKUP(Currency,$O$3:$T$7,5)</f>
        <v>0</v>
      </c>
      <c r="G26" s="203">
        <f>VLOOKUP(Currency,$O$3:$T$7,6)</f>
        <v>0</v>
      </c>
      <c r="H26" s="257">
        <f>IF(F26=0,0,Currency&amp;$F26&amp;$G26&amp;$B26&amp;QuoteSuffix)</f>
        <v>0</v>
      </c>
      <c r="I26" s="114" t="str">
        <f>PROPER(Currency)&amp;FamilyName&amp;"Swap"&amp;FixingType&amp;$B26</f>
        <v>UsdLiborSwapForBasisCalc24Y</v>
      </c>
      <c r="J26" s="256" t="str">
        <f>Currency&amp;$C26&amp;$D26&amp;$B26&amp;"_"&amp;"Fwd"&amp;E26&amp;IF(H26=0,,"_S"&amp;$F26&amp;$G26)&amp;QuoteSuffix</f>
        <v>USDAM6L24Y_Fwd1w_Quote</v>
      </c>
      <c r="K26" s="256"/>
      <c r="L26" s="266" t="str">
        <f>_xll.ohRangeRetrieveError(K26)</f>
        <v/>
      </c>
      <c r="M26" s="52"/>
    </row>
    <row r="27" spans="1:13" x14ac:dyDescent="0.2">
      <c r="A27" s="130"/>
      <c r="B27" s="83" t="s">
        <v>85</v>
      </c>
      <c r="C27" s="203" t="str">
        <f>VLOOKUP(Currency,$O$3:$T$7,2)</f>
        <v>AM</v>
      </c>
      <c r="D27" s="203" t="str">
        <f>VLOOKUP(Currency,$O$3:$T$7,3)</f>
        <v>6L</v>
      </c>
      <c r="E27" s="203" t="str">
        <f>VLOOKUP(Currency,$O$3:$T$7,4)</f>
        <v>1w</v>
      </c>
      <c r="F27" s="203">
        <f>VLOOKUP(Currency,$O$3:$T$7,5)</f>
        <v>0</v>
      </c>
      <c r="G27" s="203">
        <f>VLOOKUP(Currency,$O$3:$T$7,6)</f>
        <v>0</v>
      </c>
      <c r="H27" s="257">
        <f>IF(F27=0,0,Currency&amp;$F27&amp;$G27&amp;$B27&amp;QuoteSuffix)</f>
        <v>0</v>
      </c>
      <c r="I27" s="114" t="str">
        <f>PROPER(Currency)&amp;FamilyName&amp;"Swap"&amp;FixingType&amp;$B27</f>
        <v>UsdLiborSwapForBasisCalc25Y</v>
      </c>
      <c r="J27" s="256" t="str">
        <f>Currency&amp;$C27&amp;$D27&amp;$B27&amp;"_"&amp;"Fwd"&amp;E27&amp;IF(H27=0,,"_S"&amp;$F27&amp;$G27)&amp;QuoteSuffix</f>
        <v>USDAM6L25Y_Fwd1w_Quote</v>
      </c>
      <c r="K27" s="256"/>
      <c r="L27" s="266" t="str">
        <f>_xll.ohRangeRetrieveError(K27)</f>
        <v/>
      </c>
      <c r="M27" s="52"/>
    </row>
    <row r="28" spans="1:13" x14ac:dyDescent="0.2">
      <c r="A28" s="130"/>
      <c r="B28" s="83" t="s">
        <v>84</v>
      </c>
      <c r="C28" s="203" t="str">
        <f>VLOOKUP(Currency,$O$3:$T$7,2)</f>
        <v>AM</v>
      </c>
      <c r="D28" s="203" t="str">
        <f>VLOOKUP(Currency,$O$3:$T$7,3)</f>
        <v>6L</v>
      </c>
      <c r="E28" s="203" t="str">
        <f>VLOOKUP(Currency,$O$3:$T$7,4)</f>
        <v>1w</v>
      </c>
      <c r="F28" s="203">
        <f>VLOOKUP(Currency,$O$3:$T$7,5)</f>
        <v>0</v>
      </c>
      <c r="G28" s="203">
        <f>VLOOKUP(Currency,$O$3:$T$7,6)</f>
        <v>0</v>
      </c>
      <c r="H28" s="257">
        <f>IF(F28=0,0,Currency&amp;$F28&amp;$G28&amp;$B28&amp;QuoteSuffix)</f>
        <v>0</v>
      </c>
      <c r="I28" s="114" t="str">
        <f>PROPER(Currency)&amp;FamilyName&amp;"Swap"&amp;FixingType&amp;$B28</f>
        <v>UsdLiborSwapForBasisCalc26Y</v>
      </c>
      <c r="J28" s="256" t="str">
        <f>Currency&amp;$C28&amp;$D28&amp;$B28&amp;"_"&amp;"Fwd"&amp;E28&amp;IF(H28=0,,"_S"&amp;$F28&amp;$G28)&amp;QuoteSuffix</f>
        <v>USDAM6L26Y_Fwd1w_Quote</v>
      </c>
      <c r="K28" s="256"/>
      <c r="L28" s="266" t="str">
        <f>_xll.ohRangeRetrieveError(K28)</f>
        <v/>
      </c>
      <c r="M28" s="52"/>
    </row>
    <row r="29" spans="1:13" x14ac:dyDescent="0.2">
      <c r="A29" s="130"/>
      <c r="B29" s="83" t="s">
        <v>83</v>
      </c>
      <c r="C29" s="203" t="str">
        <f>VLOOKUP(Currency,$O$3:$T$7,2)</f>
        <v>AM</v>
      </c>
      <c r="D29" s="203" t="str">
        <f>VLOOKUP(Currency,$O$3:$T$7,3)</f>
        <v>6L</v>
      </c>
      <c r="E29" s="203" t="str">
        <f>VLOOKUP(Currency,$O$3:$T$7,4)</f>
        <v>1w</v>
      </c>
      <c r="F29" s="203">
        <f>VLOOKUP(Currency,$O$3:$T$7,5)</f>
        <v>0</v>
      </c>
      <c r="G29" s="203">
        <f>VLOOKUP(Currency,$O$3:$T$7,6)</f>
        <v>0</v>
      </c>
      <c r="H29" s="257">
        <f>IF(F29=0,0,Currency&amp;$F29&amp;$G29&amp;$B29&amp;QuoteSuffix)</f>
        <v>0</v>
      </c>
      <c r="I29" s="114" t="str">
        <f>PROPER(Currency)&amp;FamilyName&amp;"Swap"&amp;FixingType&amp;$B29</f>
        <v>UsdLiborSwapForBasisCalc27Y</v>
      </c>
      <c r="J29" s="256" t="str">
        <f>Currency&amp;$C29&amp;$D29&amp;$B29&amp;"_"&amp;"Fwd"&amp;E29&amp;IF(H29=0,,"_S"&amp;$F29&amp;$G29)&amp;QuoteSuffix</f>
        <v>USDAM6L27Y_Fwd1w_Quote</v>
      </c>
      <c r="K29" s="256"/>
      <c r="L29" s="266" t="str">
        <f>_xll.ohRangeRetrieveError(K29)</f>
        <v/>
      </c>
      <c r="M29" s="52"/>
    </row>
    <row r="30" spans="1:13" x14ac:dyDescent="0.2">
      <c r="A30" s="130"/>
      <c r="B30" s="83" t="s">
        <v>82</v>
      </c>
      <c r="C30" s="203" t="str">
        <f>VLOOKUP(Currency,$O$3:$T$7,2)</f>
        <v>AM</v>
      </c>
      <c r="D30" s="203" t="str">
        <f>VLOOKUP(Currency,$O$3:$T$7,3)</f>
        <v>6L</v>
      </c>
      <c r="E30" s="203" t="str">
        <f>VLOOKUP(Currency,$O$3:$T$7,4)</f>
        <v>1w</v>
      </c>
      <c r="F30" s="203">
        <f>VLOOKUP(Currency,$O$3:$T$7,5)</f>
        <v>0</v>
      </c>
      <c r="G30" s="203">
        <f>VLOOKUP(Currency,$O$3:$T$7,6)</f>
        <v>0</v>
      </c>
      <c r="H30" s="257">
        <f>IF(F30=0,0,Currency&amp;$F30&amp;$G30&amp;$B30&amp;QuoteSuffix)</f>
        <v>0</v>
      </c>
      <c r="I30" s="114" t="str">
        <f>PROPER(Currency)&amp;FamilyName&amp;"Swap"&amp;FixingType&amp;$B30</f>
        <v>UsdLiborSwapForBasisCalc28Y</v>
      </c>
      <c r="J30" s="256" t="str">
        <f>Currency&amp;$C30&amp;$D30&amp;$B30&amp;"_"&amp;"Fwd"&amp;E30&amp;IF(H30=0,,"_S"&amp;$F30&amp;$G30)&amp;QuoteSuffix</f>
        <v>USDAM6L28Y_Fwd1w_Quote</v>
      </c>
      <c r="K30" s="256"/>
      <c r="L30" s="266" t="str">
        <f>_xll.ohRangeRetrieveError(K30)</f>
        <v/>
      </c>
      <c r="M30" s="52"/>
    </row>
    <row r="31" spans="1:13" x14ac:dyDescent="0.2">
      <c r="A31" s="130"/>
      <c r="B31" s="83" t="s">
        <v>81</v>
      </c>
      <c r="C31" s="203" t="str">
        <f>VLOOKUP(Currency,$O$3:$T$7,2)</f>
        <v>AM</v>
      </c>
      <c r="D31" s="203" t="str">
        <f>VLOOKUP(Currency,$O$3:$T$7,3)</f>
        <v>6L</v>
      </c>
      <c r="E31" s="203" t="str">
        <f>VLOOKUP(Currency,$O$3:$T$7,4)</f>
        <v>1w</v>
      </c>
      <c r="F31" s="203">
        <f>VLOOKUP(Currency,$O$3:$T$7,5)</f>
        <v>0</v>
      </c>
      <c r="G31" s="203">
        <f>VLOOKUP(Currency,$O$3:$T$7,6)</f>
        <v>0</v>
      </c>
      <c r="H31" s="257">
        <f>IF(F31=0,0,Currency&amp;$F31&amp;$G31&amp;$B31&amp;QuoteSuffix)</f>
        <v>0</v>
      </c>
      <c r="I31" s="114" t="str">
        <f>PROPER(Currency)&amp;FamilyName&amp;"Swap"&amp;FixingType&amp;$B31</f>
        <v>UsdLiborSwapForBasisCalc29Y</v>
      </c>
      <c r="J31" s="256" t="str">
        <f>Currency&amp;$C31&amp;$D31&amp;$B31&amp;"_"&amp;"Fwd"&amp;E31&amp;IF(H31=0,,"_S"&amp;$F31&amp;$G31)&amp;QuoteSuffix</f>
        <v>USDAM6L29Y_Fwd1w_Quote</v>
      </c>
      <c r="K31" s="256"/>
      <c r="L31" s="266" t="str">
        <f>_xll.ohRangeRetrieveError(K31)</f>
        <v/>
      </c>
      <c r="M31" s="52"/>
    </row>
    <row r="32" spans="1:13" x14ac:dyDescent="0.2">
      <c r="A32" s="130"/>
      <c r="B32" s="83" t="s">
        <v>80</v>
      </c>
      <c r="C32" s="203" t="str">
        <f>VLOOKUP(Currency,$O$3:$T$7,2)</f>
        <v>AM</v>
      </c>
      <c r="D32" s="203" t="str">
        <f>VLOOKUP(Currency,$O$3:$T$7,3)</f>
        <v>6L</v>
      </c>
      <c r="E32" s="203" t="str">
        <f>VLOOKUP(Currency,$O$3:$T$7,4)</f>
        <v>1w</v>
      </c>
      <c r="F32" s="203">
        <f>VLOOKUP(Currency,$O$3:$T$7,5)</f>
        <v>0</v>
      </c>
      <c r="G32" s="203">
        <f>VLOOKUP(Currency,$O$3:$T$7,6)</f>
        <v>0</v>
      </c>
      <c r="H32" s="257">
        <f>IF(F32=0,0,Currency&amp;$F32&amp;$G32&amp;$B32&amp;QuoteSuffix)</f>
        <v>0</v>
      </c>
      <c r="I32" s="114" t="str">
        <f>PROPER(Currency)&amp;FamilyName&amp;"Swap"&amp;FixingType&amp;$B32</f>
        <v>UsdLiborSwapForBasisCalc30Y</v>
      </c>
      <c r="J32" s="256" t="str">
        <f>Currency&amp;$C32&amp;$D32&amp;$B32&amp;"_"&amp;"Fwd"&amp;E32&amp;IF(H32=0,,"_S"&amp;$F32&amp;$G32)&amp;QuoteSuffix</f>
        <v>USDAM6L30Y_Fwd1w_Quote</v>
      </c>
      <c r="K32" s="256"/>
      <c r="L32" s="266" t="str">
        <f>_xll.ohRangeRetrieveError(K32)</f>
        <v/>
      </c>
      <c r="M32" s="52"/>
    </row>
    <row r="33" spans="1:13" x14ac:dyDescent="0.2">
      <c r="A33" s="130"/>
      <c r="B33" s="83" t="s">
        <v>75</v>
      </c>
      <c r="C33" s="203" t="str">
        <f>VLOOKUP(Currency,$O$3:$T$7,2)</f>
        <v>AM</v>
      </c>
      <c r="D33" s="203" t="str">
        <f>VLOOKUP(Currency,$O$3:$T$7,3)</f>
        <v>6L</v>
      </c>
      <c r="E33" s="203" t="str">
        <f>VLOOKUP(Currency,$O$3:$T$7,4)</f>
        <v>1w</v>
      </c>
      <c r="F33" s="203">
        <f>VLOOKUP(Currency,$O$3:$T$7,5)</f>
        <v>0</v>
      </c>
      <c r="G33" s="203">
        <f>VLOOKUP(Currency,$O$3:$T$7,6)</f>
        <v>0</v>
      </c>
      <c r="H33" s="257">
        <f>IF(F33=0,0,Currency&amp;$F33&amp;$G33&amp;$B33&amp;QuoteSuffix)</f>
        <v>0</v>
      </c>
      <c r="I33" s="114" t="str">
        <f>PROPER(Currency)&amp;FamilyName&amp;"Swap"&amp;FixingType&amp;$B33</f>
        <v>UsdLiborSwapForBasisCalc35Y</v>
      </c>
      <c r="J33" s="256" t="str">
        <f>Currency&amp;$C33&amp;$D33&amp;$B33&amp;"_"&amp;"Fwd"&amp;E33&amp;IF(H33=0,,"_S"&amp;$F33&amp;$G33)&amp;QuoteSuffix</f>
        <v>USDAM6L35Y_Fwd1w_Quote</v>
      </c>
      <c r="K33" s="256"/>
      <c r="L33" s="266" t="str">
        <f>_xll.ohRangeRetrieveError(K33)</f>
        <v/>
      </c>
      <c r="M33" s="52"/>
    </row>
    <row r="34" spans="1:13" x14ac:dyDescent="0.2">
      <c r="A34" s="130"/>
      <c r="B34" s="83" t="s">
        <v>70</v>
      </c>
      <c r="C34" s="203" t="str">
        <f>VLOOKUP(Currency,$O$3:$T$7,2)</f>
        <v>AM</v>
      </c>
      <c r="D34" s="203" t="str">
        <f>VLOOKUP(Currency,$O$3:$T$7,3)</f>
        <v>6L</v>
      </c>
      <c r="E34" s="203" t="str">
        <f>VLOOKUP(Currency,$O$3:$T$7,4)</f>
        <v>1w</v>
      </c>
      <c r="F34" s="203">
        <f>VLOOKUP(Currency,$O$3:$T$7,5)</f>
        <v>0</v>
      </c>
      <c r="G34" s="203">
        <f>VLOOKUP(Currency,$O$3:$T$7,6)</f>
        <v>0</v>
      </c>
      <c r="H34" s="257">
        <f>IF(F34=0,0,Currency&amp;$F34&amp;$G34&amp;$B34&amp;QuoteSuffix)</f>
        <v>0</v>
      </c>
      <c r="I34" s="114" t="str">
        <f>PROPER(Currency)&amp;FamilyName&amp;"Swap"&amp;FixingType&amp;$B34</f>
        <v>UsdLiborSwapForBasisCalc40Y</v>
      </c>
      <c r="J34" s="256" t="str">
        <f>Currency&amp;$C34&amp;$D34&amp;$B34&amp;"_"&amp;"Fwd"&amp;E34&amp;IF(H34=0,,"_S"&amp;$F34&amp;$G34)&amp;QuoteSuffix</f>
        <v>USDAM6L40Y_Fwd1w_Quote</v>
      </c>
      <c r="K34" s="256"/>
      <c r="L34" s="266" t="str">
        <f>_xll.ohRangeRetrieveError(K34)</f>
        <v/>
      </c>
      <c r="M34" s="52"/>
    </row>
    <row r="35" spans="1:13" x14ac:dyDescent="0.2">
      <c r="A35" s="130"/>
      <c r="B35" s="83" t="s">
        <v>60</v>
      </c>
      <c r="C35" s="203" t="str">
        <f>VLOOKUP(Currency,$O$3:$T$7,2)</f>
        <v>AM</v>
      </c>
      <c r="D35" s="203" t="str">
        <f>VLOOKUP(Currency,$O$3:$T$7,3)</f>
        <v>6L</v>
      </c>
      <c r="E35" s="203" t="str">
        <f>VLOOKUP(Currency,$O$3:$T$7,4)</f>
        <v>1w</v>
      </c>
      <c r="F35" s="203">
        <f>VLOOKUP(Currency,$O$3:$T$7,5)</f>
        <v>0</v>
      </c>
      <c r="G35" s="203">
        <f>VLOOKUP(Currency,$O$3:$T$7,6)</f>
        <v>0</v>
      </c>
      <c r="H35" s="257">
        <f>IF(F35=0,0,Currency&amp;$F35&amp;$G35&amp;$B35&amp;QuoteSuffix)</f>
        <v>0</v>
      </c>
      <c r="I35" s="114" t="str">
        <f>PROPER(Currency)&amp;FamilyName&amp;"Swap"&amp;FixingType&amp;$B35</f>
        <v>UsdLiborSwapForBasisCalc50Y</v>
      </c>
      <c r="J35" s="256" t="str">
        <f>Currency&amp;$C35&amp;$D35&amp;$B35&amp;"_"&amp;"Fwd"&amp;E35&amp;IF(H35=0,,"_S"&amp;$F35&amp;$G35)&amp;QuoteSuffix</f>
        <v>USDAM6L50Y_Fwd1w_Quote</v>
      </c>
      <c r="K35" s="256"/>
      <c r="L35" s="266" t="str">
        <f>_xll.ohRangeRetrieveError(K35)</f>
        <v/>
      </c>
      <c r="M35" s="52"/>
    </row>
    <row r="36" spans="1:13" x14ac:dyDescent="0.2">
      <c r="A36" s="130"/>
      <c r="B36" s="83" t="s">
        <v>50</v>
      </c>
      <c r="C36" s="203" t="str">
        <f>VLOOKUP(Currency,$O$3:$T$7,2)</f>
        <v>AM</v>
      </c>
      <c r="D36" s="203" t="str">
        <f>VLOOKUP(Currency,$O$3:$T$7,3)</f>
        <v>6L</v>
      </c>
      <c r="E36" s="203" t="str">
        <f>VLOOKUP(Currency,$O$3:$T$7,4)</f>
        <v>1w</v>
      </c>
      <c r="F36" s="203">
        <f>VLOOKUP(Currency,$O$3:$T$7,5)</f>
        <v>0</v>
      </c>
      <c r="G36" s="203">
        <f>VLOOKUP(Currency,$O$3:$T$7,6)</f>
        <v>0</v>
      </c>
      <c r="H36" s="257">
        <f>IF(F36=0,0,Currency&amp;$F36&amp;$G36&amp;$B36&amp;QuoteSuffix)</f>
        <v>0</v>
      </c>
      <c r="I36" s="114" t="str">
        <f>PROPER(Currency)&amp;FamilyName&amp;"Swap"&amp;FixingType&amp;$B36</f>
        <v>UsdLiborSwapForBasisCalc60Y</v>
      </c>
      <c r="J36" s="256" t="str">
        <f>Currency&amp;$C36&amp;$D36&amp;$B36&amp;"_"&amp;"Fwd"&amp;E36&amp;IF(H36=0,,"_S"&amp;$F36&amp;$G36)&amp;QuoteSuffix</f>
        <v>USDAM6L60Y_Fwd1w_Quote</v>
      </c>
      <c r="K36" s="256"/>
      <c r="L36" s="266" t="str">
        <f>_xll.ohRangeRetrieveError(K36)</f>
        <v/>
      </c>
      <c r="M36" s="52"/>
    </row>
    <row r="37" spans="1:13" ht="12" thickBot="1" x14ac:dyDescent="0.25">
      <c r="A37" s="51"/>
      <c r="B37" s="50"/>
      <c r="C37" s="50"/>
      <c r="D37" s="50"/>
      <c r="E37" s="50"/>
      <c r="F37" s="50"/>
      <c r="G37" s="50"/>
      <c r="H37" s="50"/>
      <c r="I37" s="50"/>
      <c r="J37" s="50"/>
      <c r="K37" s="124"/>
      <c r="L37" s="124"/>
      <c r="M37" s="49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30" t="s">
        <v>229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65"/>
      <c r="M1" s="209"/>
    </row>
    <row r="2" spans="1:20" ht="22.5" x14ac:dyDescent="0.2">
      <c r="A2" s="130"/>
      <c r="B2" s="97"/>
      <c r="C2" s="97"/>
      <c r="D2" s="97"/>
      <c r="E2" s="97" t="s">
        <v>227</v>
      </c>
      <c r="F2" s="97"/>
      <c r="G2" s="97"/>
      <c r="H2" s="97" t="s">
        <v>226</v>
      </c>
      <c r="I2" s="97" t="s">
        <v>225</v>
      </c>
      <c r="J2" s="262" t="str">
        <f>Currency&amp;"_020_Sw"&amp;$C$3&amp;$D$3&amp;IF(H3=0,,"_Spr"&amp;$F3&amp;$G3)&amp;".xml"</f>
        <v>USD_020_SwAM3L_Spr6L3L.xml</v>
      </c>
      <c r="K2" s="117">
        <f ca="1">IF(Serialize,_xll.ohObjectSave(K3:K36,SerializationPath&amp;J2,FileOverwrite,Serialize),"---")</f>
        <v>34</v>
      </c>
      <c r="L2" s="79" t="str">
        <f ca="1">_xll.ohRangeRetrieveError(K2)</f>
        <v/>
      </c>
      <c r="M2" s="52"/>
      <c r="O2" s="221"/>
      <c r="P2" s="220"/>
      <c r="Q2" s="220"/>
      <c r="R2" s="220"/>
      <c r="S2" s="220"/>
      <c r="T2" s="219"/>
    </row>
    <row r="3" spans="1:20" x14ac:dyDescent="0.2">
      <c r="A3" s="130"/>
      <c r="B3" s="83" t="s">
        <v>29</v>
      </c>
      <c r="C3" s="203" t="str">
        <f>VLOOKUP(Currency,$O$3:$T$7,2)</f>
        <v>AM</v>
      </c>
      <c r="D3" s="203" t="str">
        <f>VLOOKUP(Currency,$O$3:$T$7,3)</f>
        <v>3L</v>
      </c>
      <c r="E3" s="269" t="s">
        <v>228</v>
      </c>
      <c r="F3" s="203" t="str">
        <f>VLOOKUP(Currency,$O$3:$T$7,5)</f>
        <v>6L</v>
      </c>
      <c r="G3" s="203" t="str">
        <f>VLOOKUP(Currency,$O$3:$T$7,6)</f>
        <v>3L</v>
      </c>
      <c r="H3" s="257" t="str">
        <f>IF(F3=0,0,Currency&amp;$F3&amp;$G3&amp;$B3&amp;QuoteSuffix)</f>
        <v>USD6L3L1Y_Quote</v>
      </c>
      <c r="I3" s="260" t="str">
        <f>PROPER(Currency)&amp;FamilyName&amp;"Swap"&amp;FixingType&amp;$B3</f>
        <v>UsdLiborSwapForBasisCalc1Y</v>
      </c>
      <c r="J3" s="256" t="str">
        <f>Currency&amp;$C3&amp;$D3&amp;$B3&amp;IF(H3=0,,"_S"&amp;$F3&amp;$G3)&amp;QuoteSuffix</f>
        <v>USDAM3L1Y_S6L3L_Quote</v>
      </c>
      <c r="K3" s="256" t="str">
        <f>_xll.qlForwardSwapQuote(J3,I3,H3,E3,Permanent,Trigger,ObjectOverwrite)</f>
        <v>USDAM3L1Y_S6L3L_Quote#0007</v>
      </c>
      <c r="L3" s="266" t="str">
        <f>_xll.ohRangeRetrieveError(K3)</f>
        <v/>
      </c>
      <c r="M3" s="52"/>
      <c r="O3" s="90" t="s">
        <v>132</v>
      </c>
      <c r="P3" s="89" t="s">
        <v>213</v>
      </c>
      <c r="Q3" s="89" t="s">
        <v>125</v>
      </c>
      <c r="R3" s="89" t="s">
        <v>224</v>
      </c>
      <c r="S3" s="89"/>
      <c r="T3" s="88"/>
    </row>
    <row r="4" spans="1:20" x14ac:dyDescent="0.2">
      <c r="A4" s="130"/>
      <c r="B4" s="83" t="s">
        <v>108</v>
      </c>
      <c r="C4" s="203" t="str">
        <f>VLOOKUP(Currency,$O$3:$T$7,2)</f>
        <v>AM</v>
      </c>
      <c r="D4" s="203" t="str">
        <f>VLOOKUP(Currency,$O$3:$T$7,3)</f>
        <v>3L</v>
      </c>
      <c r="E4" s="203" t="str">
        <f>E3</f>
        <v>0D</v>
      </c>
      <c r="F4" s="203" t="str">
        <f>VLOOKUP(Currency,$O$3:$T$7,5)</f>
        <v>6L</v>
      </c>
      <c r="G4" s="203" t="str">
        <f>VLOOKUP(Currency,$O$3:$T$7,6)</f>
        <v>3L</v>
      </c>
      <c r="H4" s="257" t="str">
        <f>IF(F4=0,0,Currency&amp;$F4&amp;$G4&amp;$B4&amp;QuoteSuffix)</f>
        <v>USD6L3L2Y_Quote</v>
      </c>
      <c r="I4" s="114" t="str">
        <f>PROPER(Currency)&amp;FamilyName&amp;"Swap"&amp;FixingType&amp;$B4</f>
        <v>UsdLiborSwapForBasisCalc2Y</v>
      </c>
      <c r="J4" s="256" t="str">
        <f>Currency&amp;$C4&amp;$D4&amp;$B4&amp;IF(H4=0,,"_S"&amp;$F4&amp;$G4)&amp;QuoteSuffix</f>
        <v>USDAM3L2Y_S6L3L_Quote</v>
      </c>
      <c r="K4" s="256" t="str">
        <f>_xll.qlForwardSwapQuote(J4,I4,H4,E4,Permanent,Trigger,ObjectOverwrite)</f>
        <v>USDAM3L2Y_S6L3L_Quote#0007</v>
      </c>
      <c r="L4" s="266" t="str">
        <f>_xll.ohRangeRetrieveError(K4)</f>
        <v/>
      </c>
      <c r="M4" s="52"/>
      <c r="O4" s="90" t="s">
        <v>131</v>
      </c>
      <c r="P4" s="89" t="s">
        <v>213</v>
      </c>
      <c r="Q4" s="268" t="s">
        <v>137</v>
      </c>
      <c r="R4" s="89" t="s">
        <v>224</v>
      </c>
      <c r="S4" s="89" t="s">
        <v>137</v>
      </c>
      <c r="T4" s="88" t="s">
        <v>129</v>
      </c>
    </row>
    <row r="5" spans="1:20" x14ac:dyDescent="0.2">
      <c r="A5" s="130"/>
      <c r="B5" s="83" t="s">
        <v>107</v>
      </c>
      <c r="C5" s="203" t="str">
        <f>VLOOKUP(Currency,$O$3:$T$7,2)</f>
        <v>AM</v>
      </c>
      <c r="D5" s="203" t="str">
        <f>VLOOKUP(Currency,$O$3:$T$7,3)</f>
        <v>3L</v>
      </c>
      <c r="E5" s="203" t="str">
        <f>E4</f>
        <v>0D</v>
      </c>
      <c r="F5" s="203" t="str">
        <f>VLOOKUP(Currency,$O$3:$T$7,5)</f>
        <v>6L</v>
      </c>
      <c r="G5" s="203" t="str">
        <f>VLOOKUP(Currency,$O$3:$T$7,6)</f>
        <v>3L</v>
      </c>
      <c r="H5" s="257" t="str">
        <f>IF(F5=0,0,Currency&amp;$F5&amp;$G5&amp;$B5&amp;QuoteSuffix)</f>
        <v>USD6L3L3Y_Quote</v>
      </c>
      <c r="I5" s="114" t="str">
        <f>PROPER(Currency)&amp;FamilyName&amp;"Swap"&amp;FixingType&amp;$B5</f>
        <v>UsdLiborSwapForBasisCalc3Y</v>
      </c>
      <c r="J5" s="256" t="str">
        <f>Currency&amp;$C5&amp;$D5&amp;$B5&amp;IF(H5=0,,"_S"&amp;$F5&amp;$G5)&amp;QuoteSuffix</f>
        <v>USDAM3L3Y_S6L3L_Quote</v>
      </c>
      <c r="K5" s="256" t="str">
        <f>_xll.qlForwardSwapQuote(J5,I5,H5,E5,Permanent,Trigger,ObjectOverwrite)</f>
        <v>USDAM3L3Y_S6L3L_Quote#0007</v>
      </c>
      <c r="L5" s="266" t="str">
        <f>_xll.ohRangeRetrieveError(K5)</f>
        <v/>
      </c>
      <c r="M5" s="52"/>
      <c r="O5" s="90" t="s">
        <v>128</v>
      </c>
      <c r="P5" s="89" t="s">
        <v>212</v>
      </c>
      <c r="Q5" s="89" t="s">
        <v>125</v>
      </c>
      <c r="R5" s="89" t="s">
        <v>224</v>
      </c>
      <c r="S5" s="89"/>
      <c r="T5" s="88"/>
    </row>
    <row r="6" spans="1:20" x14ac:dyDescent="0.2">
      <c r="A6" s="130"/>
      <c r="B6" s="83" t="s">
        <v>106</v>
      </c>
      <c r="C6" s="203" t="str">
        <f>VLOOKUP(Currency,$O$3:$T$7,2)</f>
        <v>AM</v>
      </c>
      <c r="D6" s="203" t="str">
        <f>VLOOKUP(Currency,$O$3:$T$7,3)</f>
        <v>3L</v>
      </c>
      <c r="E6" s="203" t="str">
        <f>E5</f>
        <v>0D</v>
      </c>
      <c r="F6" s="203" t="str">
        <f>VLOOKUP(Currency,$O$3:$T$7,5)</f>
        <v>6L</v>
      </c>
      <c r="G6" s="203" t="str">
        <f>VLOOKUP(Currency,$O$3:$T$7,6)</f>
        <v>3L</v>
      </c>
      <c r="H6" s="257" t="str">
        <f>IF(F6=0,0,Currency&amp;$F6&amp;$G6&amp;$B6&amp;QuoteSuffix)</f>
        <v>USD6L3L4Y_Quote</v>
      </c>
      <c r="I6" s="114" t="str">
        <f>PROPER(Currency)&amp;FamilyName&amp;"Swap"&amp;FixingType&amp;$B6</f>
        <v>UsdLiborSwapForBasisCalc4Y</v>
      </c>
      <c r="J6" s="256" t="str">
        <f>Currency&amp;$C6&amp;$D6&amp;$B6&amp;IF(H6=0,,"_S"&amp;$F6&amp;$G6)&amp;QuoteSuffix</f>
        <v>USDAM3L4Y_S6L3L_Quote</v>
      </c>
      <c r="K6" s="256" t="str">
        <f>_xll.qlForwardSwapQuote(J6,I6,H6,E6,Permanent,Trigger,ObjectOverwrite)</f>
        <v>USDAM3L4Y_S6L3L_Quote#0007</v>
      </c>
      <c r="L6" s="266" t="str">
        <f>_xll.ohRangeRetrieveError(K6)</f>
        <v/>
      </c>
      <c r="M6" s="52"/>
      <c r="O6" s="90" t="s">
        <v>127</v>
      </c>
      <c r="P6" s="89" t="s">
        <v>212</v>
      </c>
      <c r="Q6" s="89" t="s">
        <v>125</v>
      </c>
      <c r="R6" s="89" t="s">
        <v>224</v>
      </c>
      <c r="S6" s="89"/>
      <c r="T6" s="88"/>
    </row>
    <row r="7" spans="1:20" ht="12" thickBot="1" x14ac:dyDescent="0.25">
      <c r="A7" s="130"/>
      <c r="B7" s="83" t="s">
        <v>105</v>
      </c>
      <c r="C7" s="203" t="str">
        <f>VLOOKUP(Currency,$O$3:$T$7,2)</f>
        <v>AM</v>
      </c>
      <c r="D7" s="203" t="str">
        <f>VLOOKUP(Currency,$O$3:$T$7,3)</f>
        <v>3L</v>
      </c>
      <c r="E7" s="203" t="str">
        <f>E6</f>
        <v>0D</v>
      </c>
      <c r="F7" s="203" t="str">
        <f>VLOOKUP(Currency,$O$3:$T$7,5)</f>
        <v>6L</v>
      </c>
      <c r="G7" s="203" t="str">
        <f>VLOOKUP(Currency,$O$3:$T$7,6)</f>
        <v>3L</v>
      </c>
      <c r="H7" s="257" t="str">
        <f>IF(F7=0,0,Currency&amp;$F7&amp;$G7&amp;$B7&amp;QuoteSuffix)</f>
        <v>USD6L3L5Y_Quote</v>
      </c>
      <c r="I7" s="114" t="str">
        <f>PROPER(Currency)&amp;FamilyName&amp;"Swap"&amp;FixingType&amp;$B7</f>
        <v>UsdLiborSwapForBasisCalc5Y</v>
      </c>
      <c r="J7" s="256" t="str">
        <f>Currency&amp;$C7&amp;$D7&amp;$B7&amp;IF(H7=0,,"_S"&amp;$F7&amp;$G7)&amp;QuoteSuffix</f>
        <v>USDAM3L5Y_S6L3L_Quote</v>
      </c>
      <c r="K7" s="256" t="str">
        <f>_xll.qlForwardSwapQuote(J7,I7,H7,E7,Permanent,Trigger,ObjectOverwrite)</f>
        <v>USDAM3L5Y_S6L3L_Quote#0007</v>
      </c>
      <c r="L7" s="266" t="str">
        <f>_xll.ohRangeRetrieveError(K7)</f>
        <v/>
      </c>
      <c r="M7" s="52"/>
      <c r="O7" s="87" t="s">
        <v>122</v>
      </c>
      <c r="P7" s="86" t="s">
        <v>211</v>
      </c>
      <c r="Q7" s="86" t="s">
        <v>125</v>
      </c>
      <c r="R7" s="86" t="s">
        <v>224</v>
      </c>
      <c r="S7" s="86" t="s">
        <v>126</v>
      </c>
      <c r="T7" s="85" t="s">
        <v>125</v>
      </c>
    </row>
    <row r="8" spans="1:20" x14ac:dyDescent="0.2">
      <c r="A8" s="130"/>
      <c r="B8" s="83" t="s">
        <v>104</v>
      </c>
      <c r="C8" s="203" t="str">
        <f>VLOOKUP(Currency,$O$3:$T$7,2)</f>
        <v>AM</v>
      </c>
      <c r="D8" s="203" t="str">
        <f>VLOOKUP(Currency,$O$3:$T$7,3)</f>
        <v>3L</v>
      </c>
      <c r="E8" s="203" t="str">
        <f>E7</f>
        <v>0D</v>
      </c>
      <c r="F8" s="203" t="str">
        <f>VLOOKUP(Currency,$O$3:$T$7,5)</f>
        <v>6L</v>
      </c>
      <c r="G8" s="203" t="str">
        <f>VLOOKUP(Currency,$O$3:$T$7,6)</f>
        <v>3L</v>
      </c>
      <c r="H8" s="257" t="str">
        <f>IF(F8=0,0,Currency&amp;$F8&amp;$G8&amp;$B8&amp;QuoteSuffix)</f>
        <v>USD6L3L6Y_Quote</v>
      </c>
      <c r="I8" s="114" t="str">
        <f>PROPER(Currency)&amp;FamilyName&amp;"Swap"&amp;FixingType&amp;$B8</f>
        <v>UsdLiborSwapForBasisCalc6Y</v>
      </c>
      <c r="J8" s="256" t="str">
        <f>Currency&amp;$C8&amp;$D8&amp;$B8&amp;IF(H8=0,,"_S"&amp;$F8&amp;$G8)&amp;QuoteSuffix</f>
        <v>USDAM3L6Y_S6L3L_Quote</v>
      </c>
      <c r="K8" s="256" t="str">
        <f>_xll.qlForwardSwapQuote(J8,I8,H8,E8,Permanent,Trigger,ObjectOverwrite)</f>
        <v>USDAM3L6Y_S6L3L_Quote#0007</v>
      </c>
      <c r="L8" s="266" t="str">
        <f>_xll.ohRangeRetrieveError(K8)</f>
        <v/>
      </c>
      <c r="M8" s="52"/>
    </row>
    <row r="9" spans="1:20" x14ac:dyDescent="0.2">
      <c r="A9" s="130"/>
      <c r="B9" s="83" t="s">
        <v>103</v>
      </c>
      <c r="C9" s="203" t="str">
        <f>VLOOKUP(Currency,$O$3:$T$7,2)</f>
        <v>AM</v>
      </c>
      <c r="D9" s="203" t="str">
        <f>VLOOKUP(Currency,$O$3:$T$7,3)</f>
        <v>3L</v>
      </c>
      <c r="E9" s="203" t="str">
        <f>E8</f>
        <v>0D</v>
      </c>
      <c r="F9" s="203" t="str">
        <f>VLOOKUP(Currency,$O$3:$T$7,5)</f>
        <v>6L</v>
      </c>
      <c r="G9" s="203" t="str">
        <f>VLOOKUP(Currency,$O$3:$T$7,6)</f>
        <v>3L</v>
      </c>
      <c r="H9" s="257" t="str">
        <f>IF(F9=0,0,Currency&amp;$F9&amp;$G9&amp;$B9&amp;QuoteSuffix)</f>
        <v>USD6L3L7Y_Quote</v>
      </c>
      <c r="I9" s="114" t="str">
        <f>PROPER(Currency)&amp;FamilyName&amp;"Swap"&amp;FixingType&amp;$B9</f>
        <v>UsdLiborSwapForBasisCalc7Y</v>
      </c>
      <c r="J9" s="256" t="str">
        <f>Currency&amp;$C9&amp;$D9&amp;$B9&amp;IF(H9=0,,"_S"&amp;$F9&amp;$G9)&amp;QuoteSuffix</f>
        <v>USDAM3L7Y_S6L3L_Quote</v>
      </c>
      <c r="K9" s="256" t="str">
        <f>_xll.qlForwardSwapQuote(J9,I9,H9,E9,Permanent,Trigger,ObjectOverwrite)</f>
        <v>USDAM3L7Y_S6L3L_Quote#0007</v>
      </c>
      <c r="L9" s="266" t="str">
        <f>_xll.ohRangeRetrieveError(K9)</f>
        <v/>
      </c>
      <c r="M9" s="52"/>
    </row>
    <row r="10" spans="1:20" x14ac:dyDescent="0.2">
      <c r="A10" s="130"/>
      <c r="B10" s="83" t="s">
        <v>102</v>
      </c>
      <c r="C10" s="203" t="str">
        <f>VLOOKUP(Currency,$O$3:$T$7,2)</f>
        <v>AM</v>
      </c>
      <c r="D10" s="203" t="str">
        <f>VLOOKUP(Currency,$O$3:$T$7,3)</f>
        <v>3L</v>
      </c>
      <c r="E10" s="203" t="str">
        <f>E9</f>
        <v>0D</v>
      </c>
      <c r="F10" s="203" t="str">
        <f>VLOOKUP(Currency,$O$3:$T$7,5)</f>
        <v>6L</v>
      </c>
      <c r="G10" s="203" t="str">
        <f>VLOOKUP(Currency,$O$3:$T$7,6)</f>
        <v>3L</v>
      </c>
      <c r="H10" s="257" t="str">
        <f>IF(F10=0,0,Currency&amp;$F10&amp;$G10&amp;$B10&amp;QuoteSuffix)</f>
        <v>USD6L3L8Y_Quote</v>
      </c>
      <c r="I10" s="114" t="str">
        <f>PROPER(Currency)&amp;FamilyName&amp;"Swap"&amp;FixingType&amp;$B10</f>
        <v>UsdLiborSwapForBasisCalc8Y</v>
      </c>
      <c r="J10" s="256" t="str">
        <f>Currency&amp;$C10&amp;$D10&amp;$B10&amp;IF(H10=0,,"_S"&amp;$F10&amp;$G10)&amp;QuoteSuffix</f>
        <v>USDAM3L8Y_S6L3L_Quote</v>
      </c>
      <c r="K10" s="256" t="str">
        <f>_xll.qlForwardSwapQuote(J10,I10,H10,E10,Permanent,Trigger,ObjectOverwrite)</f>
        <v>USDAM3L8Y_S6L3L_Quote#0007</v>
      </c>
      <c r="L10" s="266" t="str">
        <f>_xll.ohRangeRetrieveError(K10)</f>
        <v/>
      </c>
      <c r="M10" s="52"/>
    </row>
    <row r="11" spans="1:20" x14ac:dyDescent="0.2">
      <c r="A11" s="130"/>
      <c r="B11" s="83" t="s">
        <v>101</v>
      </c>
      <c r="C11" s="203" t="str">
        <f>VLOOKUP(Currency,$O$3:$T$7,2)</f>
        <v>AM</v>
      </c>
      <c r="D11" s="203" t="str">
        <f>VLOOKUP(Currency,$O$3:$T$7,3)</f>
        <v>3L</v>
      </c>
      <c r="E11" s="203" t="str">
        <f>E10</f>
        <v>0D</v>
      </c>
      <c r="F11" s="203" t="str">
        <f>VLOOKUP(Currency,$O$3:$T$7,5)</f>
        <v>6L</v>
      </c>
      <c r="G11" s="203" t="str">
        <f>VLOOKUP(Currency,$O$3:$T$7,6)</f>
        <v>3L</v>
      </c>
      <c r="H11" s="257" t="str">
        <f>IF(F11=0,0,Currency&amp;$F11&amp;$G11&amp;$B11&amp;QuoteSuffix)</f>
        <v>USD6L3L9Y_Quote</v>
      </c>
      <c r="I11" s="114" t="str">
        <f>PROPER(Currency)&amp;FamilyName&amp;"Swap"&amp;FixingType&amp;$B11</f>
        <v>UsdLiborSwapForBasisCalc9Y</v>
      </c>
      <c r="J11" s="256" t="str">
        <f>Currency&amp;$C11&amp;$D11&amp;$B11&amp;IF(H11=0,,"_S"&amp;$F11&amp;$G11)&amp;QuoteSuffix</f>
        <v>USDAM3L9Y_S6L3L_Quote</v>
      </c>
      <c r="K11" s="256" t="str">
        <f>_xll.qlForwardSwapQuote(J11,I11,H11,E11,Permanent,Trigger,ObjectOverwrite)</f>
        <v>USDAM3L9Y_S6L3L_Quote#0007</v>
      </c>
      <c r="L11" s="266" t="str">
        <f>_xll.ohRangeRetrieveError(K11)</f>
        <v/>
      </c>
      <c r="M11" s="52"/>
    </row>
    <row r="12" spans="1:20" x14ac:dyDescent="0.2">
      <c r="A12" s="130"/>
      <c r="B12" s="83" t="s">
        <v>100</v>
      </c>
      <c r="C12" s="203" t="str">
        <f>VLOOKUP(Currency,$O$3:$T$7,2)</f>
        <v>AM</v>
      </c>
      <c r="D12" s="203" t="str">
        <f>VLOOKUP(Currency,$O$3:$T$7,3)</f>
        <v>3L</v>
      </c>
      <c r="E12" s="203" t="str">
        <f>E11</f>
        <v>0D</v>
      </c>
      <c r="F12" s="203" t="str">
        <f>VLOOKUP(Currency,$O$3:$T$7,5)</f>
        <v>6L</v>
      </c>
      <c r="G12" s="203" t="str">
        <f>VLOOKUP(Currency,$O$3:$T$7,6)</f>
        <v>3L</v>
      </c>
      <c r="H12" s="257" t="str">
        <f>IF(F12=0,0,Currency&amp;$F12&amp;$G12&amp;$B12&amp;QuoteSuffix)</f>
        <v>USD6L3L10Y_Quote</v>
      </c>
      <c r="I12" s="114" t="str">
        <f>PROPER(Currency)&amp;FamilyName&amp;"Swap"&amp;FixingType&amp;$B12</f>
        <v>UsdLiborSwapForBasisCalc10Y</v>
      </c>
      <c r="J12" s="256" t="str">
        <f>Currency&amp;$C12&amp;$D12&amp;$B12&amp;IF(H12=0,,"_S"&amp;$F12&amp;$G12)&amp;QuoteSuffix</f>
        <v>USDAM3L10Y_S6L3L_Quote</v>
      </c>
      <c r="K12" s="256" t="str">
        <f>_xll.qlForwardSwapQuote(J12,I12,H12,E12,Permanent,Trigger,ObjectOverwrite)</f>
        <v>USDAM3L10Y_S6L3L_Quote#0007</v>
      </c>
      <c r="L12" s="266" t="str">
        <f>_xll.ohRangeRetrieveError(K12)</f>
        <v/>
      </c>
      <c r="M12" s="52"/>
    </row>
    <row r="13" spans="1:20" x14ac:dyDescent="0.2">
      <c r="A13" s="130"/>
      <c r="B13" s="83" t="s">
        <v>99</v>
      </c>
      <c r="C13" s="203" t="str">
        <f>VLOOKUP(Currency,$O$3:$T$7,2)</f>
        <v>AM</v>
      </c>
      <c r="D13" s="203" t="str">
        <f>VLOOKUP(Currency,$O$3:$T$7,3)</f>
        <v>3L</v>
      </c>
      <c r="E13" s="203" t="str">
        <f>E12</f>
        <v>0D</v>
      </c>
      <c r="F13" s="203" t="str">
        <f>VLOOKUP(Currency,$O$3:$T$7,5)</f>
        <v>6L</v>
      </c>
      <c r="G13" s="203" t="str">
        <f>VLOOKUP(Currency,$O$3:$T$7,6)</f>
        <v>3L</v>
      </c>
      <c r="H13" s="257" t="str">
        <f>IF(F13=0,0,Currency&amp;$F13&amp;$G13&amp;$B13&amp;QuoteSuffix)</f>
        <v>USD6L3L11Y_Quote</v>
      </c>
      <c r="I13" s="114" t="str">
        <f>PROPER(Currency)&amp;FamilyName&amp;"Swap"&amp;FixingType&amp;$B13</f>
        <v>UsdLiborSwapForBasisCalc11Y</v>
      </c>
      <c r="J13" s="256" t="str">
        <f>Currency&amp;$C13&amp;$D13&amp;$B13&amp;IF(H13=0,,"_S"&amp;$F13&amp;$G13)&amp;QuoteSuffix</f>
        <v>USDAM3L11Y_S6L3L_Quote</v>
      </c>
      <c r="K13" s="256" t="str">
        <f>_xll.qlForwardSwapQuote(J13,I13,H13,E13,Permanent,Trigger,ObjectOverwrite)</f>
        <v>USDAM3L11Y_S6L3L_Quote#0007</v>
      </c>
      <c r="L13" s="266" t="str">
        <f>_xll.ohRangeRetrieveError(K13)</f>
        <v/>
      </c>
      <c r="M13" s="52"/>
    </row>
    <row r="14" spans="1:20" x14ac:dyDescent="0.2">
      <c r="A14" s="130"/>
      <c r="B14" s="83" t="s">
        <v>98</v>
      </c>
      <c r="C14" s="203" t="str">
        <f>VLOOKUP(Currency,$O$3:$T$7,2)</f>
        <v>AM</v>
      </c>
      <c r="D14" s="203" t="str">
        <f>VLOOKUP(Currency,$O$3:$T$7,3)</f>
        <v>3L</v>
      </c>
      <c r="E14" s="203" t="str">
        <f>E13</f>
        <v>0D</v>
      </c>
      <c r="F14" s="203" t="str">
        <f>VLOOKUP(Currency,$O$3:$T$7,5)</f>
        <v>6L</v>
      </c>
      <c r="G14" s="203" t="str">
        <f>VLOOKUP(Currency,$O$3:$T$7,6)</f>
        <v>3L</v>
      </c>
      <c r="H14" s="257" t="str">
        <f>IF(F14=0,0,Currency&amp;$F14&amp;$G14&amp;$B14&amp;QuoteSuffix)</f>
        <v>USD6L3L12Y_Quote</v>
      </c>
      <c r="I14" s="114" t="str">
        <f>PROPER(Currency)&amp;FamilyName&amp;"Swap"&amp;FixingType&amp;$B14</f>
        <v>UsdLiborSwapForBasisCalc12Y</v>
      </c>
      <c r="J14" s="256" t="str">
        <f>Currency&amp;$C14&amp;$D14&amp;$B14&amp;IF(H14=0,,"_S"&amp;$F14&amp;$G14)&amp;QuoteSuffix</f>
        <v>USDAM3L12Y_S6L3L_Quote</v>
      </c>
      <c r="K14" s="256" t="str">
        <f>_xll.qlForwardSwapQuote(J14,I14,H14,E14,Permanent,Trigger,ObjectOverwrite)</f>
        <v>USDAM3L12Y_S6L3L_Quote#0007</v>
      </c>
      <c r="L14" s="266" t="str">
        <f>_xll.ohRangeRetrieveError(K14)</f>
        <v/>
      </c>
      <c r="M14" s="52"/>
    </row>
    <row r="15" spans="1:20" x14ac:dyDescent="0.2">
      <c r="A15" s="130"/>
      <c r="B15" s="83" t="s">
        <v>97</v>
      </c>
      <c r="C15" s="203" t="str">
        <f>VLOOKUP(Currency,$O$3:$T$7,2)</f>
        <v>AM</v>
      </c>
      <c r="D15" s="203" t="str">
        <f>VLOOKUP(Currency,$O$3:$T$7,3)</f>
        <v>3L</v>
      </c>
      <c r="E15" s="203" t="str">
        <f>E14</f>
        <v>0D</v>
      </c>
      <c r="F15" s="203" t="str">
        <f>VLOOKUP(Currency,$O$3:$T$7,5)</f>
        <v>6L</v>
      </c>
      <c r="G15" s="203" t="str">
        <f>VLOOKUP(Currency,$O$3:$T$7,6)</f>
        <v>3L</v>
      </c>
      <c r="H15" s="257" t="str">
        <f>IF(F15=0,0,Currency&amp;$F15&amp;$G15&amp;$B15&amp;QuoteSuffix)</f>
        <v>USD6L3L13Y_Quote</v>
      </c>
      <c r="I15" s="114" t="str">
        <f>PROPER(Currency)&amp;FamilyName&amp;"Swap"&amp;FixingType&amp;$B15</f>
        <v>UsdLiborSwapForBasisCalc13Y</v>
      </c>
      <c r="J15" s="256" t="str">
        <f>Currency&amp;$C15&amp;$D15&amp;$B15&amp;IF(H15=0,,"_S"&amp;$F15&amp;$G15)&amp;QuoteSuffix</f>
        <v>USDAM3L13Y_S6L3L_Quote</v>
      </c>
      <c r="K15" s="256" t="str">
        <f>_xll.qlForwardSwapQuote(J15,I15,H15,E15,Permanent,Trigger,ObjectOverwrite)</f>
        <v>USDAM3L13Y_S6L3L_Quote#0007</v>
      </c>
      <c r="L15" s="266" t="str">
        <f>_xll.ohRangeRetrieveError(K15)</f>
        <v/>
      </c>
      <c r="M15" s="52"/>
    </row>
    <row r="16" spans="1:20" x14ac:dyDescent="0.2">
      <c r="A16" s="130"/>
      <c r="B16" s="83" t="s">
        <v>96</v>
      </c>
      <c r="C16" s="203" t="str">
        <f>VLOOKUP(Currency,$O$3:$T$7,2)</f>
        <v>AM</v>
      </c>
      <c r="D16" s="203" t="str">
        <f>VLOOKUP(Currency,$O$3:$T$7,3)</f>
        <v>3L</v>
      </c>
      <c r="E16" s="203" t="str">
        <f>E15</f>
        <v>0D</v>
      </c>
      <c r="F16" s="203" t="str">
        <f>VLOOKUP(Currency,$O$3:$T$7,5)</f>
        <v>6L</v>
      </c>
      <c r="G16" s="203" t="str">
        <f>VLOOKUP(Currency,$O$3:$T$7,6)</f>
        <v>3L</v>
      </c>
      <c r="H16" s="257" t="str">
        <f>IF(F16=0,0,Currency&amp;$F16&amp;$G16&amp;$B16&amp;QuoteSuffix)</f>
        <v>USD6L3L14Y_Quote</v>
      </c>
      <c r="I16" s="114" t="str">
        <f>PROPER(Currency)&amp;FamilyName&amp;"Swap"&amp;FixingType&amp;$B16</f>
        <v>UsdLiborSwapForBasisCalc14Y</v>
      </c>
      <c r="J16" s="256" t="str">
        <f>Currency&amp;$C16&amp;$D16&amp;$B16&amp;IF(H16=0,,"_S"&amp;$F16&amp;$G16)&amp;QuoteSuffix</f>
        <v>USDAM3L14Y_S6L3L_Quote</v>
      </c>
      <c r="K16" s="256" t="str">
        <f>_xll.qlForwardSwapQuote(J16,I16,H16,E16,Permanent,Trigger,ObjectOverwrite)</f>
        <v>USDAM3L14Y_S6L3L_Quote#0007</v>
      </c>
      <c r="L16" s="266" t="str">
        <f>_xll.ohRangeRetrieveError(K16)</f>
        <v/>
      </c>
      <c r="M16" s="52"/>
    </row>
    <row r="17" spans="1:13" x14ac:dyDescent="0.2">
      <c r="A17" s="130"/>
      <c r="B17" s="83" t="s">
        <v>95</v>
      </c>
      <c r="C17" s="203" t="str">
        <f>VLOOKUP(Currency,$O$3:$T$7,2)</f>
        <v>AM</v>
      </c>
      <c r="D17" s="203" t="str">
        <f>VLOOKUP(Currency,$O$3:$T$7,3)</f>
        <v>3L</v>
      </c>
      <c r="E17" s="203" t="str">
        <f>E16</f>
        <v>0D</v>
      </c>
      <c r="F17" s="203" t="str">
        <f>VLOOKUP(Currency,$O$3:$T$7,5)</f>
        <v>6L</v>
      </c>
      <c r="G17" s="203" t="str">
        <f>VLOOKUP(Currency,$O$3:$T$7,6)</f>
        <v>3L</v>
      </c>
      <c r="H17" s="257" t="str">
        <f>IF(F17=0,0,Currency&amp;$F17&amp;$G17&amp;$B17&amp;QuoteSuffix)</f>
        <v>USD6L3L15Y_Quote</v>
      </c>
      <c r="I17" s="114" t="str">
        <f>PROPER(Currency)&amp;FamilyName&amp;"Swap"&amp;FixingType&amp;$B17</f>
        <v>UsdLiborSwapForBasisCalc15Y</v>
      </c>
      <c r="J17" s="256" t="str">
        <f>Currency&amp;$C17&amp;$D17&amp;$B17&amp;IF(H17=0,,"_S"&amp;$F17&amp;$G17)&amp;QuoteSuffix</f>
        <v>USDAM3L15Y_S6L3L_Quote</v>
      </c>
      <c r="K17" s="256" t="str">
        <f>_xll.qlForwardSwapQuote(J17,I17,H17,E17,Permanent,Trigger,ObjectOverwrite)</f>
        <v>USDAM3L15Y_S6L3L_Quote#0007</v>
      </c>
      <c r="L17" s="266" t="str">
        <f>_xll.ohRangeRetrieveError(K17)</f>
        <v/>
      </c>
      <c r="M17" s="52"/>
    </row>
    <row r="18" spans="1:13" x14ac:dyDescent="0.2">
      <c r="A18" s="130"/>
      <c r="B18" s="83" t="s">
        <v>94</v>
      </c>
      <c r="C18" s="203" t="str">
        <f>VLOOKUP(Currency,$O$3:$T$7,2)</f>
        <v>AM</v>
      </c>
      <c r="D18" s="203" t="str">
        <f>VLOOKUP(Currency,$O$3:$T$7,3)</f>
        <v>3L</v>
      </c>
      <c r="E18" s="203" t="str">
        <f>E17</f>
        <v>0D</v>
      </c>
      <c r="F18" s="203" t="str">
        <f>VLOOKUP(Currency,$O$3:$T$7,5)</f>
        <v>6L</v>
      </c>
      <c r="G18" s="203" t="str">
        <f>VLOOKUP(Currency,$O$3:$T$7,6)</f>
        <v>3L</v>
      </c>
      <c r="H18" s="257" t="str">
        <f>IF(F18=0,0,Currency&amp;$F18&amp;$G18&amp;$B18&amp;QuoteSuffix)</f>
        <v>USD6L3L16Y_Quote</v>
      </c>
      <c r="I18" s="114" t="str">
        <f>PROPER(Currency)&amp;FamilyName&amp;"Swap"&amp;FixingType&amp;$B18</f>
        <v>UsdLiborSwapForBasisCalc16Y</v>
      </c>
      <c r="J18" s="256" t="str">
        <f>Currency&amp;$C18&amp;$D18&amp;$B18&amp;IF(H18=0,,"_S"&amp;$F18&amp;$G18)&amp;QuoteSuffix</f>
        <v>USDAM3L16Y_S6L3L_Quote</v>
      </c>
      <c r="K18" s="256" t="str">
        <f>_xll.qlForwardSwapQuote(J18,I18,H18,E18,Permanent,Trigger,ObjectOverwrite)</f>
        <v>USDAM3L16Y_S6L3L_Quote#0007</v>
      </c>
      <c r="L18" s="266" t="str">
        <f>_xll.ohRangeRetrieveError(K18)</f>
        <v/>
      </c>
      <c r="M18" s="52"/>
    </row>
    <row r="19" spans="1:13" x14ac:dyDescent="0.2">
      <c r="A19" s="130"/>
      <c r="B19" s="83" t="s">
        <v>93</v>
      </c>
      <c r="C19" s="203" t="str">
        <f>VLOOKUP(Currency,$O$3:$T$7,2)</f>
        <v>AM</v>
      </c>
      <c r="D19" s="203" t="str">
        <f>VLOOKUP(Currency,$O$3:$T$7,3)</f>
        <v>3L</v>
      </c>
      <c r="E19" s="203" t="str">
        <f>E18</f>
        <v>0D</v>
      </c>
      <c r="F19" s="203" t="str">
        <f>VLOOKUP(Currency,$O$3:$T$7,5)</f>
        <v>6L</v>
      </c>
      <c r="G19" s="203" t="str">
        <f>VLOOKUP(Currency,$O$3:$T$7,6)</f>
        <v>3L</v>
      </c>
      <c r="H19" s="257" t="str">
        <f>IF(F19=0,0,Currency&amp;$F19&amp;$G19&amp;$B19&amp;QuoteSuffix)</f>
        <v>USD6L3L17Y_Quote</v>
      </c>
      <c r="I19" s="114" t="str">
        <f>PROPER(Currency)&amp;FamilyName&amp;"Swap"&amp;FixingType&amp;$B19</f>
        <v>UsdLiborSwapForBasisCalc17Y</v>
      </c>
      <c r="J19" s="256" t="str">
        <f>Currency&amp;$C19&amp;$D19&amp;$B19&amp;IF(H19=0,,"_S"&amp;$F19&amp;$G19)&amp;QuoteSuffix</f>
        <v>USDAM3L17Y_S6L3L_Quote</v>
      </c>
      <c r="K19" s="256" t="str">
        <f>_xll.qlForwardSwapQuote(J19,I19,H19,E19,Permanent,Trigger,ObjectOverwrite)</f>
        <v>USDAM3L17Y_S6L3L_Quote#0007</v>
      </c>
      <c r="L19" s="266" t="str">
        <f>_xll.ohRangeRetrieveError(K19)</f>
        <v/>
      </c>
      <c r="M19" s="52"/>
    </row>
    <row r="20" spans="1:13" x14ac:dyDescent="0.2">
      <c r="A20" s="130"/>
      <c r="B20" s="83" t="s">
        <v>92</v>
      </c>
      <c r="C20" s="203" t="str">
        <f>VLOOKUP(Currency,$O$3:$T$7,2)</f>
        <v>AM</v>
      </c>
      <c r="D20" s="203" t="str">
        <f>VLOOKUP(Currency,$O$3:$T$7,3)</f>
        <v>3L</v>
      </c>
      <c r="E20" s="203" t="str">
        <f>E19</f>
        <v>0D</v>
      </c>
      <c r="F20" s="203" t="str">
        <f>VLOOKUP(Currency,$O$3:$T$7,5)</f>
        <v>6L</v>
      </c>
      <c r="G20" s="203" t="str">
        <f>VLOOKUP(Currency,$O$3:$T$7,6)</f>
        <v>3L</v>
      </c>
      <c r="H20" s="257" t="str">
        <f>IF(F20=0,0,Currency&amp;$F20&amp;$G20&amp;$B20&amp;QuoteSuffix)</f>
        <v>USD6L3L18Y_Quote</v>
      </c>
      <c r="I20" s="114" t="str">
        <f>PROPER(Currency)&amp;FamilyName&amp;"Swap"&amp;FixingType&amp;$B20</f>
        <v>UsdLiborSwapForBasisCalc18Y</v>
      </c>
      <c r="J20" s="256" t="str">
        <f>Currency&amp;$C20&amp;$D20&amp;$B20&amp;IF(H20=0,,"_S"&amp;$F20&amp;$G20)&amp;QuoteSuffix</f>
        <v>USDAM3L18Y_S6L3L_Quote</v>
      </c>
      <c r="K20" s="256" t="str">
        <f>_xll.qlForwardSwapQuote(J20,I20,H20,E20,Permanent,Trigger,ObjectOverwrite)</f>
        <v>USDAM3L18Y_S6L3L_Quote#0007</v>
      </c>
      <c r="L20" s="266" t="str">
        <f>_xll.ohRangeRetrieveError(K20)</f>
        <v/>
      </c>
      <c r="M20" s="52"/>
    </row>
    <row r="21" spans="1:13" x14ac:dyDescent="0.2">
      <c r="A21" s="130"/>
      <c r="B21" s="83" t="s">
        <v>91</v>
      </c>
      <c r="C21" s="203" t="str">
        <f>VLOOKUP(Currency,$O$3:$T$7,2)</f>
        <v>AM</v>
      </c>
      <c r="D21" s="203" t="str">
        <f>VLOOKUP(Currency,$O$3:$T$7,3)</f>
        <v>3L</v>
      </c>
      <c r="E21" s="203" t="str">
        <f>E20</f>
        <v>0D</v>
      </c>
      <c r="F21" s="203" t="str">
        <f>VLOOKUP(Currency,$O$3:$T$7,5)</f>
        <v>6L</v>
      </c>
      <c r="G21" s="203" t="str">
        <f>VLOOKUP(Currency,$O$3:$T$7,6)</f>
        <v>3L</v>
      </c>
      <c r="H21" s="257" t="str">
        <f>IF(F21=0,0,Currency&amp;$F21&amp;$G21&amp;$B21&amp;QuoteSuffix)</f>
        <v>USD6L3L19Y_Quote</v>
      </c>
      <c r="I21" s="114" t="str">
        <f>PROPER(Currency)&amp;FamilyName&amp;"Swap"&amp;FixingType&amp;$B21</f>
        <v>UsdLiborSwapForBasisCalc19Y</v>
      </c>
      <c r="J21" s="256" t="str">
        <f>Currency&amp;$C21&amp;$D21&amp;$B21&amp;IF(H21=0,,"_S"&amp;$F21&amp;$G21)&amp;QuoteSuffix</f>
        <v>USDAM3L19Y_S6L3L_Quote</v>
      </c>
      <c r="K21" s="256" t="str">
        <f>_xll.qlForwardSwapQuote(J21,I21,H21,E21,Permanent,Trigger,ObjectOverwrite)</f>
        <v>USDAM3L19Y_S6L3L_Quote#0007</v>
      </c>
      <c r="L21" s="266" t="str">
        <f>_xll.ohRangeRetrieveError(K21)</f>
        <v/>
      </c>
      <c r="M21" s="52"/>
    </row>
    <row r="22" spans="1:13" x14ac:dyDescent="0.2">
      <c r="A22" s="130"/>
      <c r="B22" s="83" t="s">
        <v>90</v>
      </c>
      <c r="C22" s="203" t="str">
        <f>VLOOKUP(Currency,$O$3:$T$7,2)</f>
        <v>AM</v>
      </c>
      <c r="D22" s="203" t="str">
        <f>VLOOKUP(Currency,$O$3:$T$7,3)</f>
        <v>3L</v>
      </c>
      <c r="E22" s="203" t="str">
        <f>E21</f>
        <v>0D</v>
      </c>
      <c r="F22" s="203" t="str">
        <f>VLOOKUP(Currency,$O$3:$T$7,5)</f>
        <v>6L</v>
      </c>
      <c r="G22" s="203" t="str">
        <f>VLOOKUP(Currency,$O$3:$T$7,6)</f>
        <v>3L</v>
      </c>
      <c r="H22" s="257" t="str">
        <f>IF(F22=0,0,Currency&amp;$F22&amp;$G22&amp;$B22&amp;QuoteSuffix)</f>
        <v>USD6L3L20Y_Quote</v>
      </c>
      <c r="I22" s="114" t="str">
        <f>PROPER(Currency)&amp;FamilyName&amp;"Swap"&amp;FixingType&amp;$B22</f>
        <v>UsdLiborSwapForBasisCalc20Y</v>
      </c>
      <c r="J22" s="256" t="str">
        <f>Currency&amp;$C22&amp;$D22&amp;$B22&amp;IF(H22=0,,"_S"&amp;$F22&amp;$G22)&amp;QuoteSuffix</f>
        <v>USDAM3L20Y_S6L3L_Quote</v>
      </c>
      <c r="K22" s="256" t="str">
        <f>_xll.qlForwardSwapQuote(J22,I22,H22,E22,Permanent,Trigger,ObjectOverwrite)</f>
        <v>USDAM3L20Y_S6L3L_Quote#0007</v>
      </c>
      <c r="L22" s="266" t="str">
        <f>_xll.ohRangeRetrieveError(K22)</f>
        <v/>
      </c>
      <c r="M22" s="52"/>
    </row>
    <row r="23" spans="1:13" x14ac:dyDescent="0.2">
      <c r="A23" s="130"/>
      <c r="B23" s="83" t="s">
        <v>89</v>
      </c>
      <c r="C23" s="203" t="str">
        <f>VLOOKUP(Currency,$O$3:$T$7,2)</f>
        <v>AM</v>
      </c>
      <c r="D23" s="203" t="str">
        <f>VLOOKUP(Currency,$O$3:$T$7,3)</f>
        <v>3L</v>
      </c>
      <c r="E23" s="203" t="str">
        <f>E22</f>
        <v>0D</v>
      </c>
      <c r="F23" s="203" t="str">
        <f>VLOOKUP(Currency,$O$3:$T$7,5)</f>
        <v>6L</v>
      </c>
      <c r="G23" s="203" t="str">
        <f>VLOOKUP(Currency,$O$3:$T$7,6)</f>
        <v>3L</v>
      </c>
      <c r="H23" s="257" t="str">
        <f>IF(F23=0,0,Currency&amp;$F23&amp;$G23&amp;$B23&amp;QuoteSuffix)</f>
        <v>USD6L3L21Y_Quote</v>
      </c>
      <c r="I23" s="114" t="str">
        <f>PROPER(Currency)&amp;FamilyName&amp;"Swap"&amp;FixingType&amp;$B23</f>
        <v>UsdLiborSwapForBasisCalc21Y</v>
      </c>
      <c r="J23" s="256" t="str">
        <f>Currency&amp;$C23&amp;$D23&amp;$B23&amp;IF(H23=0,,"_S"&amp;$F23&amp;$G23)&amp;QuoteSuffix</f>
        <v>USDAM3L21Y_S6L3L_Quote</v>
      </c>
      <c r="K23" s="256" t="str">
        <f>_xll.qlForwardSwapQuote(J23,I23,H23,E23,Permanent,Trigger,ObjectOverwrite)</f>
        <v>USDAM3L21Y_S6L3L_Quote#0007</v>
      </c>
      <c r="L23" s="266" t="str">
        <f>_xll.ohRangeRetrieveError(K23)</f>
        <v/>
      </c>
      <c r="M23" s="52"/>
    </row>
    <row r="24" spans="1:13" x14ac:dyDescent="0.2">
      <c r="A24" s="130"/>
      <c r="B24" s="83" t="s">
        <v>88</v>
      </c>
      <c r="C24" s="203" t="str">
        <f>VLOOKUP(Currency,$O$3:$T$7,2)</f>
        <v>AM</v>
      </c>
      <c r="D24" s="203" t="str">
        <f>VLOOKUP(Currency,$O$3:$T$7,3)</f>
        <v>3L</v>
      </c>
      <c r="E24" s="203" t="str">
        <f>E23</f>
        <v>0D</v>
      </c>
      <c r="F24" s="203" t="str">
        <f>VLOOKUP(Currency,$O$3:$T$7,5)</f>
        <v>6L</v>
      </c>
      <c r="G24" s="203" t="str">
        <f>VLOOKUP(Currency,$O$3:$T$7,6)</f>
        <v>3L</v>
      </c>
      <c r="H24" s="257" t="str">
        <f>IF(F24=0,0,Currency&amp;$F24&amp;$G24&amp;$B24&amp;QuoteSuffix)</f>
        <v>USD6L3L22Y_Quote</v>
      </c>
      <c r="I24" s="114" t="str">
        <f>PROPER(Currency)&amp;FamilyName&amp;"Swap"&amp;FixingType&amp;$B24</f>
        <v>UsdLiborSwapForBasisCalc22Y</v>
      </c>
      <c r="J24" s="256" t="str">
        <f>Currency&amp;$C24&amp;$D24&amp;$B24&amp;IF(H24=0,,"_S"&amp;$F24&amp;$G24)&amp;QuoteSuffix</f>
        <v>USDAM3L22Y_S6L3L_Quote</v>
      </c>
      <c r="K24" s="256" t="str">
        <f>_xll.qlForwardSwapQuote(J24,I24,H24,E24,Permanent,Trigger,ObjectOverwrite)</f>
        <v>USDAM3L22Y_S6L3L_Quote#0007</v>
      </c>
      <c r="L24" s="266" t="str">
        <f>_xll.ohRangeRetrieveError(K24)</f>
        <v/>
      </c>
      <c r="M24" s="52"/>
    </row>
    <row r="25" spans="1:13" x14ac:dyDescent="0.2">
      <c r="A25" s="130"/>
      <c r="B25" s="83" t="s">
        <v>87</v>
      </c>
      <c r="C25" s="203" t="str">
        <f>VLOOKUP(Currency,$O$3:$T$7,2)</f>
        <v>AM</v>
      </c>
      <c r="D25" s="203" t="str">
        <f>VLOOKUP(Currency,$O$3:$T$7,3)</f>
        <v>3L</v>
      </c>
      <c r="E25" s="203" t="str">
        <f>E24</f>
        <v>0D</v>
      </c>
      <c r="F25" s="203" t="str">
        <f>VLOOKUP(Currency,$O$3:$T$7,5)</f>
        <v>6L</v>
      </c>
      <c r="G25" s="203" t="str">
        <f>VLOOKUP(Currency,$O$3:$T$7,6)</f>
        <v>3L</v>
      </c>
      <c r="H25" s="257" t="str">
        <f>IF(F25=0,0,Currency&amp;$F25&amp;$G25&amp;$B25&amp;QuoteSuffix)</f>
        <v>USD6L3L23Y_Quote</v>
      </c>
      <c r="I25" s="114" t="str">
        <f>PROPER(Currency)&amp;FamilyName&amp;"Swap"&amp;FixingType&amp;$B25</f>
        <v>UsdLiborSwapForBasisCalc23Y</v>
      </c>
      <c r="J25" s="256" t="str">
        <f>Currency&amp;$C25&amp;$D25&amp;$B25&amp;IF(H25=0,,"_S"&amp;$F25&amp;$G25)&amp;QuoteSuffix</f>
        <v>USDAM3L23Y_S6L3L_Quote</v>
      </c>
      <c r="K25" s="256" t="str">
        <f>_xll.qlForwardSwapQuote(J25,I25,H25,E25,Permanent,Trigger,ObjectOverwrite)</f>
        <v>USDAM3L23Y_S6L3L_Quote#0007</v>
      </c>
      <c r="L25" s="266" t="str">
        <f>_xll.ohRangeRetrieveError(K25)</f>
        <v/>
      </c>
      <c r="M25" s="52"/>
    </row>
    <row r="26" spans="1:13" x14ac:dyDescent="0.2">
      <c r="A26" s="130"/>
      <c r="B26" s="83" t="s">
        <v>86</v>
      </c>
      <c r="C26" s="203" t="str">
        <f>VLOOKUP(Currency,$O$3:$T$7,2)</f>
        <v>AM</v>
      </c>
      <c r="D26" s="203" t="str">
        <f>VLOOKUP(Currency,$O$3:$T$7,3)</f>
        <v>3L</v>
      </c>
      <c r="E26" s="203" t="str">
        <f>E25</f>
        <v>0D</v>
      </c>
      <c r="F26" s="203" t="str">
        <f>VLOOKUP(Currency,$O$3:$T$7,5)</f>
        <v>6L</v>
      </c>
      <c r="G26" s="203" t="str">
        <f>VLOOKUP(Currency,$O$3:$T$7,6)</f>
        <v>3L</v>
      </c>
      <c r="H26" s="257" t="str">
        <f>IF(F26=0,0,Currency&amp;$F26&amp;$G26&amp;$B26&amp;QuoteSuffix)</f>
        <v>USD6L3L24Y_Quote</v>
      </c>
      <c r="I26" s="114" t="str">
        <f>PROPER(Currency)&amp;FamilyName&amp;"Swap"&amp;FixingType&amp;$B26</f>
        <v>UsdLiborSwapForBasisCalc24Y</v>
      </c>
      <c r="J26" s="256" t="str">
        <f>Currency&amp;$C26&amp;$D26&amp;$B26&amp;IF(H26=0,,"_S"&amp;$F26&amp;$G26)&amp;QuoteSuffix</f>
        <v>USDAM3L24Y_S6L3L_Quote</v>
      </c>
      <c r="K26" s="256" t="str">
        <f>_xll.qlForwardSwapQuote(J26,I26,H26,E26,Permanent,Trigger,ObjectOverwrite)</f>
        <v>USDAM3L24Y_S6L3L_Quote#0007</v>
      </c>
      <c r="L26" s="266" t="str">
        <f>_xll.ohRangeRetrieveError(K26)</f>
        <v/>
      </c>
      <c r="M26" s="52"/>
    </row>
    <row r="27" spans="1:13" x14ac:dyDescent="0.2">
      <c r="A27" s="130"/>
      <c r="B27" s="83" t="s">
        <v>85</v>
      </c>
      <c r="C27" s="203" t="str">
        <f>VLOOKUP(Currency,$O$3:$T$7,2)</f>
        <v>AM</v>
      </c>
      <c r="D27" s="203" t="str">
        <f>VLOOKUP(Currency,$O$3:$T$7,3)</f>
        <v>3L</v>
      </c>
      <c r="E27" s="203" t="str">
        <f>E26</f>
        <v>0D</v>
      </c>
      <c r="F27" s="203" t="str">
        <f>VLOOKUP(Currency,$O$3:$T$7,5)</f>
        <v>6L</v>
      </c>
      <c r="G27" s="203" t="str">
        <f>VLOOKUP(Currency,$O$3:$T$7,6)</f>
        <v>3L</v>
      </c>
      <c r="H27" s="257" t="str">
        <f>IF(F27=0,0,Currency&amp;$F27&amp;$G27&amp;$B27&amp;QuoteSuffix)</f>
        <v>USD6L3L25Y_Quote</v>
      </c>
      <c r="I27" s="114" t="str">
        <f>PROPER(Currency)&amp;FamilyName&amp;"Swap"&amp;FixingType&amp;$B27</f>
        <v>UsdLiborSwapForBasisCalc25Y</v>
      </c>
      <c r="J27" s="256" t="str">
        <f>Currency&amp;$C27&amp;$D27&amp;$B27&amp;IF(H27=0,,"_S"&amp;$F27&amp;$G27)&amp;QuoteSuffix</f>
        <v>USDAM3L25Y_S6L3L_Quote</v>
      </c>
      <c r="K27" s="256" t="str">
        <f>_xll.qlForwardSwapQuote(J27,I27,H27,E27,Permanent,Trigger,ObjectOverwrite)</f>
        <v>USDAM3L25Y_S6L3L_Quote#0007</v>
      </c>
      <c r="L27" s="266" t="str">
        <f>_xll.ohRangeRetrieveError(K27)</f>
        <v/>
      </c>
      <c r="M27" s="52"/>
    </row>
    <row r="28" spans="1:13" x14ac:dyDescent="0.2">
      <c r="A28" s="130"/>
      <c r="B28" s="83" t="s">
        <v>84</v>
      </c>
      <c r="C28" s="203" t="str">
        <f>VLOOKUP(Currency,$O$3:$T$7,2)</f>
        <v>AM</v>
      </c>
      <c r="D28" s="203" t="str">
        <f>VLOOKUP(Currency,$O$3:$T$7,3)</f>
        <v>3L</v>
      </c>
      <c r="E28" s="203" t="str">
        <f>E27</f>
        <v>0D</v>
      </c>
      <c r="F28" s="203" t="str">
        <f>VLOOKUP(Currency,$O$3:$T$7,5)</f>
        <v>6L</v>
      </c>
      <c r="G28" s="203" t="str">
        <f>VLOOKUP(Currency,$O$3:$T$7,6)</f>
        <v>3L</v>
      </c>
      <c r="H28" s="257" t="str">
        <f>IF(F28=0,0,Currency&amp;$F28&amp;$G28&amp;$B28&amp;QuoteSuffix)</f>
        <v>USD6L3L26Y_Quote</v>
      </c>
      <c r="I28" s="114" t="str">
        <f>PROPER(Currency)&amp;FamilyName&amp;"Swap"&amp;FixingType&amp;$B28</f>
        <v>UsdLiborSwapForBasisCalc26Y</v>
      </c>
      <c r="J28" s="256" t="str">
        <f>Currency&amp;$C28&amp;$D28&amp;$B28&amp;IF(H28=0,,"_S"&amp;$F28&amp;$G28)&amp;QuoteSuffix</f>
        <v>USDAM3L26Y_S6L3L_Quote</v>
      </c>
      <c r="K28" s="256" t="str">
        <f>_xll.qlForwardSwapQuote(J28,I28,H28,E28,Permanent,Trigger,ObjectOverwrite)</f>
        <v>USDAM3L26Y_S6L3L_Quote#0007</v>
      </c>
      <c r="L28" s="266" t="str">
        <f>_xll.ohRangeRetrieveError(K28)</f>
        <v/>
      </c>
      <c r="M28" s="52"/>
    </row>
    <row r="29" spans="1:13" x14ac:dyDescent="0.2">
      <c r="A29" s="130"/>
      <c r="B29" s="83" t="s">
        <v>83</v>
      </c>
      <c r="C29" s="203" t="str">
        <f>VLOOKUP(Currency,$O$3:$T$7,2)</f>
        <v>AM</v>
      </c>
      <c r="D29" s="203" t="str">
        <f>VLOOKUP(Currency,$O$3:$T$7,3)</f>
        <v>3L</v>
      </c>
      <c r="E29" s="203" t="str">
        <f>E28</f>
        <v>0D</v>
      </c>
      <c r="F29" s="203" t="str">
        <f>VLOOKUP(Currency,$O$3:$T$7,5)</f>
        <v>6L</v>
      </c>
      <c r="G29" s="203" t="str">
        <f>VLOOKUP(Currency,$O$3:$T$7,6)</f>
        <v>3L</v>
      </c>
      <c r="H29" s="257" t="str">
        <f>IF(F29=0,0,Currency&amp;$F29&amp;$G29&amp;$B29&amp;QuoteSuffix)</f>
        <v>USD6L3L27Y_Quote</v>
      </c>
      <c r="I29" s="114" t="str">
        <f>PROPER(Currency)&amp;FamilyName&amp;"Swap"&amp;FixingType&amp;$B29</f>
        <v>UsdLiborSwapForBasisCalc27Y</v>
      </c>
      <c r="J29" s="256" t="str">
        <f>Currency&amp;$C29&amp;$D29&amp;$B29&amp;IF(H29=0,,"_S"&amp;$F29&amp;$G29)&amp;QuoteSuffix</f>
        <v>USDAM3L27Y_S6L3L_Quote</v>
      </c>
      <c r="K29" s="256" t="str">
        <f>_xll.qlForwardSwapQuote(J29,I29,H29,E29,Permanent,Trigger,ObjectOverwrite)</f>
        <v>USDAM3L27Y_S6L3L_Quote#0007</v>
      </c>
      <c r="L29" s="266" t="str">
        <f>_xll.ohRangeRetrieveError(K29)</f>
        <v/>
      </c>
      <c r="M29" s="52"/>
    </row>
    <row r="30" spans="1:13" x14ac:dyDescent="0.2">
      <c r="A30" s="130"/>
      <c r="B30" s="83" t="s">
        <v>82</v>
      </c>
      <c r="C30" s="203" t="str">
        <f>VLOOKUP(Currency,$O$3:$T$7,2)</f>
        <v>AM</v>
      </c>
      <c r="D30" s="203" t="str">
        <f>VLOOKUP(Currency,$O$3:$T$7,3)</f>
        <v>3L</v>
      </c>
      <c r="E30" s="203" t="str">
        <f>E29</f>
        <v>0D</v>
      </c>
      <c r="F30" s="203" t="str">
        <f>VLOOKUP(Currency,$O$3:$T$7,5)</f>
        <v>6L</v>
      </c>
      <c r="G30" s="203" t="str">
        <f>VLOOKUP(Currency,$O$3:$T$7,6)</f>
        <v>3L</v>
      </c>
      <c r="H30" s="257" t="str">
        <f>IF(F30=0,0,Currency&amp;$F30&amp;$G30&amp;$B30&amp;QuoteSuffix)</f>
        <v>USD6L3L28Y_Quote</v>
      </c>
      <c r="I30" s="114" t="str">
        <f>PROPER(Currency)&amp;FamilyName&amp;"Swap"&amp;FixingType&amp;$B30</f>
        <v>UsdLiborSwapForBasisCalc28Y</v>
      </c>
      <c r="J30" s="256" t="str">
        <f>Currency&amp;$C30&amp;$D30&amp;$B30&amp;IF(H30=0,,"_S"&amp;$F30&amp;$G30)&amp;QuoteSuffix</f>
        <v>USDAM3L28Y_S6L3L_Quote</v>
      </c>
      <c r="K30" s="256" t="str">
        <f>_xll.qlForwardSwapQuote(J30,I30,H30,E30,Permanent,Trigger,ObjectOverwrite)</f>
        <v>USDAM3L28Y_S6L3L_Quote#0007</v>
      </c>
      <c r="L30" s="266" t="str">
        <f>_xll.ohRangeRetrieveError(K30)</f>
        <v/>
      </c>
      <c r="M30" s="52"/>
    </row>
    <row r="31" spans="1:13" x14ac:dyDescent="0.2">
      <c r="A31" s="130"/>
      <c r="B31" s="83" t="s">
        <v>81</v>
      </c>
      <c r="C31" s="203" t="str">
        <f>VLOOKUP(Currency,$O$3:$T$7,2)</f>
        <v>AM</v>
      </c>
      <c r="D31" s="203" t="str">
        <f>VLOOKUP(Currency,$O$3:$T$7,3)</f>
        <v>3L</v>
      </c>
      <c r="E31" s="203" t="str">
        <f>E30</f>
        <v>0D</v>
      </c>
      <c r="F31" s="203" t="str">
        <f>VLOOKUP(Currency,$O$3:$T$7,5)</f>
        <v>6L</v>
      </c>
      <c r="G31" s="203" t="str">
        <f>VLOOKUP(Currency,$O$3:$T$7,6)</f>
        <v>3L</v>
      </c>
      <c r="H31" s="257" t="str">
        <f>IF(F31=0,0,Currency&amp;$F31&amp;$G31&amp;$B31&amp;QuoteSuffix)</f>
        <v>USD6L3L29Y_Quote</v>
      </c>
      <c r="I31" s="114" t="str">
        <f>PROPER(Currency)&amp;FamilyName&amp;"Swap"&amp;FixingType&amp;$B31</f>
        <v>UsdLiborSwapForBasisCalc29Y</v>
      </c>
      <c r="J31" s="256" t="str">
        <f>Currency&amp;$C31&amp;$D31&amp;$B31&amp;IF(H31=0,,"_S"&amp;$F31&amp;$G31)&amp;QuoteSuffix</f>
        <v>USDAM3L29Y_S6L3L_Quote</v>
      </c>
      <c r="K31" s="256" t="str">
        <f>_xll.qlForwardSwapQuote(J31,I31,H31,E31,Permanent,Trigger,ObjectOverwrite)</f>
        <v>USDAM3L29Y_S6L3L_Quote#0007</v>
      </c>
      <c r="L31" s="266" t="str">
        <f>_xll.ohRangeRetrieveError(K31)</f>
        <v/>
      </c>
      <c r="M31" s="52"/>
    </row>
    <row r="32" spans="1:13" x14ac:dyDescent="0.2">
      <c r="A32" s="130"/>
      <c r="B32" s="83" t="s">
        <v>80</v>
      </c>
      <c r="C32" s="203" t="str">
        <f>VLOOKUP(Currency,$O$3:$T$7,2)</f>
        <v>AM</v>
      </c>
      <c r="D32" s="203" t="str">
        <f>VLOOKUP(Currency,$O$3:$T$7,3)</f>
        <v>3L</v>
      </c>
      <c r="E32" s="203" t="str">
        <f>E31</f>
        <v>0D</v>
      </c>
      <c r="F32" s="203" t="str">
        <f>VLOOKUP(Currency,$O$3:$T$7,5)</f>
        <v>6L</v>
      </c>
      <c r="G32" s="203" t="str">
        <f>VLOOKUP(Currency,$O$3:$T$7,6)</f>
        <v>3L</v>
      </c>
      <c r="H32" s="257" t="str">
        <f>IF(F32=0,0,Currency&amp;$F32&amp;$G32&amp;$B32&amp;QuoteSuffix)</f>
        <v>USD6L3L30Y_Quote</v>
      </c>
      <c r="I32" s="114" t="str">
        <f>PROPER(Currency)&amp;FamilyName&amp;"Swap"&amp;FixingType&amp;$B32</f>
        <v>UsdLiborSwapForBasisCalc30Y</v>
      </c>
      <c r="J32" s="256" t="str">
        <f>Currency&amp;$C32&amp;$D32&amp;$B32&amp;IF(H32=0,,"_S"&amp;$F32&amp;$G32)&amp;QuoteSuffix</f>
        <v>USDAM3L30Y_S6L3L_Quote</v>
      </c>
      <c r="K32" s="256" t="str">
        <f>_xll.qlForwardSwapQuote(J32,I32,H32,E32,Permanent,Trigger,ObjectOverwrite)</f>
        <v>USDAM3L30Y_S6L3L_Quote#0007</v>
      </c>
      <c r="L32" s="266" t="str">
        <f>_xll.ohRangeRetrieveError(K32)</f>
        <v/>
      </c>
      <c r="M32" s="52"/>
    </row>
    <row r="33" spans="1:13" x14ac:dyDescent="0.2">
      <c r="A33" s="130"/>
      <c r="B33" s="83" t="s">
        <v>75</v>
      </c>
      <c r="C33" s="203" t="str">
        <f>VLOOKUP(Currency,$O$3:$T$7,2)</f>
        <v>AM</v>
      </c>
      <c r="D33" s="203" t="str">
        <f>VLOOKUP(Currency,$O$3:$T$7,3)</f>
        <v>3L</v>
      </c>
      <c r="E33" s="203" t="str">
        <f>E32</f>
        <v>0D</v>
      </c>
      <c r="F33" s="203" t="str">
        <f>VLOOKUP(Currency,$O$3:$T$7,5)</f>
        <v>6L</v>
      </c>
      <c r="G33" s="203" t="str">
        <f>VLOOKUP(Currency,$O$3:$T$7,6)</f>
        <v>3L</v>
      </c>
      <c r="H33" s="257" t="str">
        <f>IF(F33=0,0,Currency&amp;$F33&amp;$G33&amp;$B33&amp;QuoteSuffix)</f>
        <v>USD6L3L35Y_Quote</v>
      </c>
      <c r="I33" s="114" t="str">
        <f>PROPER(Currency)&amp;FamilyName&amp;"Swap"&amp;FixingType&amp;$B33</f>
        <v>UsdLiborSwapForBasisCalc35Y</v>
      </c>
      <c r="J33" s="256" t="str">
        <f>Currency&amp;$C33&amp;$D33&amp;$B33&amp;IF(H33=0,,"_S"&amp;$F33&amp;$G33)&amp;QuoteSuffix</f>
        <v>USDAM3L35Y_S6L3L_Quote</v>
      </c>
      <c r="K33" s="256" t="str">
        <f>_xll.qlForwardSwapQuote(J33,I33,H33,E33,Permanent,Trigger,ObjectOverwrite)</f>
        <v>USDAM3L35Y_S6L3L_Quote#0007</v>
      </c>
      <c r="L33" s="266" t="str">
        <f>_xll.ohRangeRetrieveError(K33)</f>
        <v/>
      </c>
      <c r="M33" s="52"/>
    </row>
    <row r="34" spans="1:13" x14ac:dyDescent="0.2">
      <c r="A34" s="130"/>
      <c r="B34" s="83" t="s">
        <v>70</v>
      </c>
      <c r="C34" s="203" t="str">
        <f>VLOOKUP(Currency,$O$3:$T$7,2)</f>
        <v>AM</v>
      </c>
      <c r="D34" s="203" t="str">
        <f>VLOOKUP(Currency,$O$3:$T$7,3)</f>
        <v>3L</v>
      </c>
      <c r="E34" s="203" t="str">
        <f>E33</f>
        <v>0D</v>
      </c>
      <c r="F34" s="203" t="str">
        <f>VLOOKUP(Currency,$O$3:$T$7,5)</f>
        <v>6L</v>
      </c>
      <c r="G34" s="203" t="str">
        <f>VLOOKUP(Currency,$O$3:$T$7,6)</f>
        <v>3L</v>
      </c>
      <c r="H34" s="257" t="str">
        <f>IF(F34=0,0,Currency&amp;$F34&amp;$G34&amp;$B34&amp;QuoteSuffix)</f>
        <v>USD6L3L40Y_Quote</v>
      </c>
      <c r="I34" s="114" t="str">
        <f>PROPER(Currency)&amp;FamilyName&amp;"Swap"&amp;FixingType&amp;$B34</f>
        <v>UsdLiborSwapForBasisCalc40Y</v>
      </c>
      <c r="J34" s="256" t="str">
        <f>Currency&amp;$C34&amp;$D34&amp;$B34&amp;IF(H34=0,,"_S"&amp;$F34&amp;$G34)&amp;QuoteSuffix</f>
        <v>USDAM3L40Y_S6L3L_Quote</v>
      </c>
      <c r="K34" s="256" t="str">
        <f>_xll.qlForwardSwapQuote(J34,I34,H34,E34,Permanent,Trigger,ObjectOverwrite)</f>
        <v>USDAM3L40Y_S6L3L_Quote#0007</v>
      </c>
      <c r="L34" s="266" t="str">
        <f>_xll.ohRangeRetrieveError(K34)</f>
        <v/>
      </c>
      <c r="M34" s="52"/>
    </row>
    <row r="35" spans="1:13" x14ac:dyDescent="0.2">
      <c r="A35" s="130"/>
      <c r="B35" s="83" t="s">
        <v>60</v>
      </c>
      <c r="C35" s="203" t="str">
        <f>VLOOKUP(Currency,$O$3:$T$7,2)</f>
        <v>AM</v>
      </c>
      <c r="D35" s="203" t="str">
        <f>VLOOKUP(Currency,$O$3:$T$7,3)</f>
        <v>3L</v>
      </c>
      <c r="E35" s="203" t="str">
        <f>E34</f>
        <v>0D</v>
      </c>
      <c r="F35" s="203" t="str">
        <f>VLOOKUP(Currency,$O$3:$T$7,5)</f>
        <v>6L</v>
      </c>
      <c r="G35" s="203" t="str">
        <f>VLOOKUP(Currency,$O$3:$T$7,6)</f>
        <v>3L</v>
      </c>
      <c r="H35" s="257" t="str">
        <f>IF(F35=0,0,Currency&amp;$F35&amp;$G35&amp;$B35&amp;QuoteSuffix)</f>
        <v>USD6L3L50Y_Quote</v>
      </c>
      <c r="I35" s="114" t="str">
        <f>PROPER(Currency)&amp;FamilyName&amp;"Swap"&amp;FixingType&amp;$B35</f>
        <v>UsdLiborSwapForBasisCalc50Y</v>
      </c>
      <c r="J35" s="256" t="str">
        <f>Currency&amp;$C35&amp;$D35&amp;$B35&amp;IF(H35=0,,"_S"&amp;$F35&amp;$G35)&amp;QuoteSuffix</f>
        <v>USDAM3L50Y_S6L3L_Quote</v>
      </c>
      <c r="K35" s="256" t="str">
        <f>_xll.qlForwardSwapQuote(J35,I35,H35,E35,Permanent,Trigger,ObjectOverwrite)</f>
        <v>USDAM3L50Y_S6L3L_Quote#0007</v>
      </c>
      <c r="L35" s="266" t="str">
        <f>_xll.ohRangeRetrieveError(K35)</f>
        <v/>
      </c>
      <c r="M35" s="52"/>
    </row>
    <row r="36" spans="1:13" x14ac:dyDescent="0.2">
      <c r="A36" s="130"/>
      <c r="B36" s="83" t="s">
        <v>50</v>
      </c>
      <c r="C36" s="203" t="str">
        <f>VLOOKUP(Currency,$O$3:$T$7,2)</f>
        <v>AM</v>
      </c>
      <c r="D36" s="203" t="str">
        <f>VLOOKUP(Currency,$O$3:$T$7,3)</f>
        <v>3L</v>
      </c>
      <c r="E36" s="203" t="str">
        <f>E35</f>
        <v>0D</v>
      </c>
      <c r="F36" s="203" t="str">
        <f>VLOOKUP(Currency,$O$3:$T$7,5)</f>
        <v>6L</v>
      </c>
      <c r="G36" s="203" t="str">
        <f>VLOOKUP(Currency,$O$3:$T$7,6)</f>
        <v>3L</v>
      </c>
      <c r="H36" s="257" t="str">
        <f>IF(F36=0,0,Currency&amp;$F36&amp;$G36&amp;$B36&amp;QuoteSuffix)</f>
        <v>USD6L3L60Y_Quote</v>
      </c>
      <c r="I36" s="114" t="str">
        <f>PROPER(Currency)&amp;FamilyName&amp;"Swap"&amp;FixingType&amp;$B36</f>
        <v>UsdLiborSwapForBasisCalc60Y</v>
      </c>
      <c r="J36" s="256" t="str">
        <f>Currency&amp;$C36&amp;$D36&amp;$B36&amp;IF(H36=0,,"_S"&amp;$F36&amp;$G36)&amp;QuoteSuffix</f>
        <v>USDAM3L60Y_S6L3L_Quote</v>
      </c>
      <c r="K36" s="256" t="str">
        <f>_xll.qlForwardSwapQuote(J36,I36,H36,E36,Permanent,Trigger,ObjectOverwrite)</f>
        <v>USDAM3L60Y_S6L3L_Quote#0007</v>
      </c>
      <c r="L36" s="266" t="str">
        <f>_xll.ohRangeRetrieveError(K36)</f>
        <v/>
      </c>
      <c r="M36" s="52"/>
    </row>
    <row r="37" spans="1:13" ht="12" thickBot="1" x14ac:dyDescent="0.25">
      <c r="A37" s="51"/>
      <c r="B37" s="50"/>
      <c r="C37" s="50"/>
      <c r="D37" s="50"/>
      <c r="E37" s="50"/>
      <c r="F37" s="50"/>
      <c r="G37" s="50"/>
      <c r="H37" s="50"/>
      <c r="I37" s="50"/>
      <c r="J37" s="50"/>
      <c r="K37" s="124"/>
      <c r="L37" s="124"/>
      <c r="M37" s="49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30" t="s">
        <v>229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65"/>
      <c r="M1" s="209"/>
    </row>
    <row r="2" spans="1:20" ht="22.5" x14ac:dyDescent="0.2">
      <c r="A2" s="130"/>
      <c r="B2" s="97"/>
      <c r="C2" s="97"/>
      <c r="D2" s="97"/>
      <c r="E2" s="97" t="s">
        <v>227</v>
      </c>
      <c r="F2" s="97"/>
      <c r="G2" s="97"/>
      <c r="H2" s="97" t="s">
        <v>226</v>
      </c>
      <c r="I2" s="97" t="s">
        <v>225</v>
      </c>
      <c r="J2" s="262" t="str">
        <f>Currency&amp;"_020_Sw"&amp;$C$3&amp;$D$3&amp;IF(H3=0,,"_Spr"&amp;$F3&amp;$G3)&amp;".xml"</f>
        <v>USD_020_SwAM3L_Spr12L3L.xml</v>
      </c>
      <c r="K2" s="117">
        <f ca="1">IF(Serialize,_xll.ohObjectSave(K3:K36,SerializationPath&amp;J2,FileOverwrite,Serialize),"---")</f>
        <v>34</v>
      </c>
      <c r="L2" s="79" t="str">
        <f ca="1">_xll.ohRangeRetrieveError(K2)</f>
        <v/>
      </c>
      <c r="M2" s="52"/>
      <c r="O2" s="221"/>
      <c r="P2" s="220"/>
      <c r="Q2" s="220"/>
      <c r="R2" s="220"/>
      <c r="S2" s="220"/>
      <c r="T2" s="219"/>
    </row>
    <row r="3" spans="1:20" x14ac:dyDescent="0.2">
      <c r="A3" s="130"/>
      <c r="B3" s="83" t="s">
        <v>29</v>
      </c>
      <c r="C3" s="203" t="str">
        <f>VLOOKUP(Currency,$O$3:$T$7,2)</f>
        <v>AM</v>
      </c>
      <c r="D3" s="203" t="str">
        <f>VLOOKUP(Currency,$O$3:$T$7,3)</f>
        <v>3L</v>
      </c>
      <c r="E3" s="269" t="s">
        <v>228</v>
      </c>
      <c r="F3" s="203" t="str">
        <f>VLOOKUP(Currency,$O$3:$T$7,5)</f>
        <v>12L</v>
      </c>
      <c r="G3" s="203" t="str">
        <f>VLOOKUP(Currency,$O$3:$T$7,6)</f>
        <v>3L</v>
      </c>
      <c r="H3" s="257" t="str">
        <f>IF(F3=0,0,Currency&amp;$F3&amp;$G3&amp;$B3&amp;QuoteSuffix)</f>
        <v>USD12L3L1Y_Quote</v>
      </c>
      <c r="I3" s="260" t="str">
        <f>PROPER(Currency)&amp;FamilyName&amp;"Swap"&amp;FixingType&amp;$B3</f>
        <v>UsdLiborSwapForBasisCalc1Y</v>
      </c>
      <c r="J3" s="256" t="str">
        <f>Currency&amp;$C3&amp;$D3&amp;$B3&amp;IF(H3=0,,"_S"&amp;$F3&amp;$G3)&amp;QuoteSuffix</f>
        <v>USDAM3L1Y_S12L3L_Quote</v>
      </c>
      <c r="K3" s="256" t="str">
        <f>_xll.qlForwardSwapQuote(J3,I3,H3,E3,Permanent,Trigger,ObjectOverwrite)</f>
        <v>USDAM3L1Y_S12L3L_Quote#0006</v>
      </c>
      <c r="L3" s="266" t="str">
        <f>_xll.ohRangeRetrieveError(K3)</f>
        <v/>
      </c>
      <c r="M3" s="52"/>
      <c r="O3" s="90" t="s">
        <v>132</v>
      </c>
      <c r="P3" s="89" t="s">
        <v>213</v>
      </c>
      <c r="Q3" s="89" t="s">
        <v>126</v>
      </c>
      <c r="R3" s="89" t="s">
        <v>224</v>
      </c>
      <c r="S3" s="89" t="s">
        <v>126</v>
      </c>
      <c r="T3" s="88" t="s">
        <v>138</v>
      </c>
    </row>
    <row r="4" spans="1:20" x14ac:dyDescent="0.2">
      <c r="A4" s="130"/>
      <c r="B4" s="83" t="s">
        <v>108</v>
      </c>
      <c r="C4" s="203" t="str">
        <f>VLOOKUP(Currency,$O$3:$T$7,2)</f>
        <v>AM</v>
      </c>
      <c r="D4" s="203" t="str">
        <f>VLOOKUP(Currency,$O$3:$T$7,3)</f>
        <v>3L</v>
      </c>
      <c r="E4" s="203" t="str">
        <f>E3</f>
        <v>0D</v>
      </c>
      <c r="F4" s="203" t="str">
        <f>VLOOKUP(Currency,$O$3:$T$7,5)</f>
        <v>12L</v>
      </c>
      <c r="G4" s="203" t="str">
        <f>VLOOKUP(Currency,$O$3:$T$7,6)</f>
        <v>3L</v>
      </c>
      <c r="H4" s="257" t="str">
        <f>IF(F4=0,0,Currency&amp;$F4&amp;$G4&amp;$B4&amp;QuoteSuffix)</f>
        <v>USD12L3L2Y_Quote</v>
      </c>
      <c r="I4" s="114" t="str">
        <f>PROPER(Currency)&amp;FamilyName&amp;"Swap"&amp;FixingType&amp;$B4</f>
        <v>UsdLiborSwapForBasisCalc2Y</v>
      </c>
      <c r="J4" s="256" t="str">
        <f>Currency&amp;$C4&amp;$D4&amp;$B4&amp;IF(H4=0,,"_S"&amp;$F4&amp;$G4)&amp;QuoteSuffix</f>
        <v>USDAM3L2Y_S12L3L_Quote</v>
      </c>
      <c r="K4" s="256" t="str">
        <f>_xll.qlForwardSwapQuote(J4,I4,H4,E4,Permanent,Trigger,ObjectOverwrite)</f>
        <v>USDAM3L2Y_S12L3L_Quote#0006</v>
      </c>
      <c r="L4" s="266" t="str">
        <f>_xll.ohRangeRetrieveError(K4)</f>
        <v/>
      </c>
      <c r="M4" s="52"/>
      <c r="O4" s="90" t="s">
        <v>131</v>
      </c>
      <c r="P4" s="89" t="s">
        <v>213</v>
      </c>
      <c r="Q4" s="89" t="s">
        <v>129</v>
      </c>
      <c r="R4" s="89" t="s">
        <v>224</v>
      </c>
      <c r="S4" s="89" t="s">
        <v>129</v>
      </c>
      <c r="T4" s="88" t="s">
        <v>139</v>
      </c>
    </row>
    <row r="5" spans="1:20" x14ac:dyDescent="0.2">
      <c r="A5" s="130"/>
      <c r="B5" s="83" t="s">
        <v>107</v>
      </c>
      <c r="C5" s="203" t="str">
        <f>VLOOKUP(Currency,$O$3:$T$7,2)</f>
        <v>AM</v>
      </c>
      <c r="D5" s="203" t="str">
        <f>VLOOKUP(Currency,$O$3:$T$7,3)</f>
        <v>3L</v>
      </c>
      <c r="E5" s="203" t="str">
        <f>E4</f>
        <v>0D</v>
      </c>
      <c r="F5" s="203" t="str">
        <f>VLOOKUP(Currency,$O$3:$T$7,5)</f>
        <v>12L</v>
      </c>
      <c r="G5" s="203" t="str">
        <f>VLOOKUP(Currency,$O$3:$T$7,6)</f>
        <v>3L</v>
      </c>
      <c r="H5" s="257" t="str">
        <f>IF(F5=0,0,Currency&amp;$F5&amp;$G5&amp;$B5&amp;QuoteSuffix)</f>
        <v>USD12L3L3Y_Quote</v>
      </c>
      <c r="I5" s="114" t="str">
        <f>PROPER(Currency)&amp;FamilyName&amp;"Swap"&amp;FixingType&amp;$B5</f>
        <v>UsdLiborSwapForBasisCalc3Y</v>
      </c>
      <c r="J5" s="256" t="str">
        <f>Currency&amp;$C5&amp;$D5&amp;$B5&amp;IF(H5=0,,"_S"&amp;$F5&amp;$G5)&amp;QuoteSuffix</f>
        <v>USDAM3L3Y_S12L3L_Quote</v>
      </c>
      <c r="K5" s="256" t="str">
        <f>_xll.qlForwardSwapQuote(J5,I5,H5,E5,Permanent,Trigger,ObjectOverwrite)</f>
        <v>USDAM3L3Y_S12L3L_Quote#0006</v>
      </c>
      <c r="L5" s="266" t="str">
        <f>_xll.ohRangeRetrieveError(K5)</f>
        <v/>
      </c>
      <c r="M5" s="52"/>
      <c r="O5" s="90" t="s">
        <v>128</v>
      </c>
      <c r="P5" s="89" t="s">
        <v>212</v>
      </c>
      <c r="Q5" s="89" t="s">
        <v>126</v>
      </c>
      <c r="R5" s="89" t="s">
        <v>224</v>
      </c>
      <c r="S5" s="89" t="s">
        <v>126</v>
      </c>
      <c r="T5" s="88" t="s">
        <v>138</v>
      </c>
    </row>
    <row r="6" spans="1:20" x14ac:dyDescent="0.2">
      <c r="A6" s="130"/>
      <c r="B6" s="83" t="s">
        <v>106</v>
      </c>
      <c r="C6" s="203" t="str">
        <f>VLOOKUP(Currency,$O$3:$T$7,2)</f>
        <v>AM</v>
      </c>
      <c r="D6" s="203" t="str">
        <f>VLOOKUP(Currency,$O$3:$T$7,3)</f>
        <v>3L</v>
      </c>
      <c r="E6" s="203" t="str">
        <f>E5</f>
        <v>0D</v>
      </c>
      <c r="F6" s="203" t="str">
        <f>VLOOKUP(Currency,$O$3:$T$7,5)</f>
        <v>12L</v>
      </c>
      <c r="G6" s="203" t="str">
        <f>VLOOKUP(Currency,$O$3:$T$7,6)</f>
        <v>3L</v>
      </c>
      <c r="H6" s="257" t="str">
        <f>IF(F6=0,0,Currency&amp;$F6&amp;$G6&amp;$B6&amp;QuoteSuffix)</f>
        <v>USD12L3L4Y_Quote</v>
      </c>
      <c r="I6" s="114" t="str">
        <f>PROPER(Currency)&amp;FamilyName&amp;"Swap"&amp;FixingType&amp;$B6</f>
        <v>UsdLiborSwapForBasisCalc4Y</v>
      </c>
      <c r="J6" s="256" t="str">
        <f>Currency&amp;$C6&amp;$D6&amp;$B6&amp;IF(H6=0,,"_S"&amp;$F6&amp;$G6)&amp;QuoteSuffix</f>
        <v>USDAM3L4Y_S12L3L_Quote</v>
      </c>
      <c r="K6" s="256" t="str">
        <f>_xll.qlForwardSwapQuote(J6,I6,H6,E6,Permanent,Trigger,ObjectOverwrite)</f>
        <v>USDAM3L4Y_S12L3L_Quote#0006</v>
      </c>
      <c r="L6" s="266" t="str">
        <f>_xll.ohRangeRetrieveError(K6)</f>
        <v/>
      </c>
      <c r="M6" s="52"/>
      <c r="O6" s="90" t="s">
        <v>127</v>
      </c>
      <c r="P6" s="89" t="s">
        <v>212</v>
      </c>
      <c r="Q6" s="89" t="s">
        <v>126</v>
      </c>
      <c r="R6" s="89" t="s">
        <v>224</v>
      </c>
      <c r="S6" s="89" t="s">
        <v>126</v>
      </c>
      <c r="T6" s="88" t="s">
        <v>138</v>
      </c>
    </row>
    <row r="7" spans="1:20" ht="12" thickBot="1" x14ac:dyDescent="0.25">
      <c r="A7" s="130"/>
      <c r="B7" s="83" t="s">
        <v>105</v>
      </c>
      <c r="C7" s="203" t="str">
        <f>VLOOKUP(Currency,$O$3:$T$7,2)</f>
        <v>AM</v>
      </c>
      <c r="D7" s="203" t="str">
        <f>VLOOKUP(Currency,$O$3:$T$7,3)</f>
        <v>3L</v>
      </c>
      <c r="E7" s="203" t="str">
        <f>E6</f>
        <v>0D</v>
      </c>
      <c r="F7" s="203" t="str">
        <f>VLOOKUP(Currency,$O$3:$T$7,5)</f>
        <v>12L</v>
      </c>
      <c r="G7" s="203" t="str">
        <f>VLOOKUP(Currency,$O$3:$T$7,6)</f>
        <v>3L</v>
      </c>
      <c r="H7" s="257" t="str">
        <f>IF(F7=0,0,Currency&amp;$F7&amp;$G7&amp;$B7&amp;QuoteSuffix)</f>
        <v>USD12L3L5Y_Quote</v>
      </c>
      <c r="I7" s="114" t="str">
        <f>PROPER(Currency)&amp;FamilyName&amp;"Swap"&amp;FixingType&amp;$B7</f>
        <v>UsdLiborSwapForBasisCalc5Y</v>
      </c>
      <c r="J7" s="256" t="str">
        <f>Currency&amp;$C7&amp;$D7&amp;$B7&amp;IF(H7=0,,"_S"&amp;$F7&amp;$G7)&amp;QuoteSuffix</f>
        <v>USDAM3L5Y_S12L3L_Quote</v>
      </c>
      <c r="K7" s="256" t="str">
        <f>_xll.qlForwardSwapQuote(J7,I7,H7,E7,Permanent,Trigger,ObjectOverwrite)</f>
        <v>USDAM3L5Y_S12L3L_Quote#0006</v>
      </c>
      <c r="L7" s="266" t="str">
        <f>_xll.ohRangeRetrieveError(K7)</f>
        <v/>
      </c>
      <c r="M7" s="52"/>
      <c r="O7" s="87" t="s">
        <v>122</v>
      </c>
      <c r="P7" s="86" t="s">
        <v>211</v>
      </c>
      <c r="Q7" s="86" t="s">
        <v>125</v>
      </c>
      <c r="R7" s="86" t="s">
        <v>224</v>
      </c>
      <c r="S7" s="86" t="s">
        <v>138</v>
      </c>
      <c r="T7" s="85" t="s">
        <v>125</v>
      </c>
    </row>
    <row r="8" spans="1:20" x14ac:dyDescent="0.2">
      <c r="A8" s="130"/>
      <c r="B8" s="83" t="s">
        <v>104</v>
      </c>
      <c r="C8" s="203" t="str">
        <f>VLOOKUP(Currency,$O$3:$T$7,2)</f>
        <v>AM</v>
      </c>
      <c r="D8" s="203" t="str">
        <f>VLOOKUP(Currency,$O$3:$T$7,3)</f>
        <v>3L</v>
      </c>
      <c r="E8" s="203" t="str">
        <f>E7</f>
        <v>0D</v>
      </c>
      <c r="F8" s="203" t="str">
        <f>VLOOKUP(Currency,$O$3:$T$7,5)</f>
        <v>12L</v>
      </c>
      <c r="G8" s="203" t="str">
        <f>VLOOKUP(Currency,$O$3:$T$7,6)</f>
        <v>3L</v>
      </c>
      <c r="H8" s="257" t="str">
        <f>IF(F8=0,0,Currency&amp;$F8&amp;$G8&amp;$B8&amp;QuoteSuffix)</f>
        <v>USD12L3L6Y_Quote</v>
      </c>
      <c r="I8" s="114" t="str">
        <f>PROPER(Currency)&amp;FamilyName&amp;"Swap"&amp;FixingType&amp;$B8</f>
        <v>UsdLiborSwapForBasisCalc6Y</v>
      </c>
      <c r="J8" s="256" t="str">
        <f>Currency&amp;$C8&amp;$D8&amp;$B8&amp;IF(H8=0,,"_S"&amp;$F8&amp;$G8)&amp;QuoteSuffix</f>
        <v>USDAM3L6Y_S12L3L_Quote</v>
      </c>
      <c r="K8" s="256" t="str">
        <f>_xll.qlForwardSwapQuote(J8,I8,H8,E8,Permanent,Trigger,ObjectOverwrite)</f>
        <v>USDAM3L6Y_S12L3L_Quote#0006</v>
      </c>
      <c r="L8" s="266" t="str">
        <f>_xll.ohRangeRetrieveError(K8)</f>
        <v/>
      </c>
      <c r="M8" s="52"/>
    </row>
    <row r="9" spans="1:20" x14ac:dyDescent="0.2">
      <c r="A9" s="130"/>
      <c r="B9" s="83" t="s">
        <v>103</v>
      </c>
      <c r="C9" s="203" t="str">
        <f>VLOOKUP(Currency,$O$3:$T$7,2)</f>
        <v>AM</v>
      </c>
      <c r="D9" s="203" t="str">
        <f>VLOOKUP(Currency,$O$3:$T$7,3)</f>
        <v>3L</v>
      </c>
      <c r="E9" s="203" t="str">
        <f>E8</f>
        <v>0D</v>
      </c>
      <c r="F9" s="203" t="str">
        <f>VLOOKUP(Currency,$O$3:$T$7,5)</f>
        <v>12L</v>
      </c>
      <c r="G9" s="203" t="str">
        <f>VLOOKUP(Currency,$O$3:$T$7,6)</f>
        <v>3L</v>
      </c>
      <c r="H9" s="257" t="str">
        <f>IF(F9=0,0,Currency&amp;$F9&amp;$G9&amp;$B9&amp;QuoteSuffix)</f>
        <v>USD12L3L7Y_Quote</v>
      </c>
      <c r="I9" s="114" t="str">
        <f>PROPER(Currency)&amp;FamilyName&amp;"Swap"&amp;FixingType&amp;$B9</f>
        <v>UsdLiborSwapForBasisCalc7Y</v>
      </c>
      <c r="J9" s="256" t="str">
        <f>Currency&amp;$C9&amp;$D9&amp;$B9&amp;IF(H9=0,,"_S"&amp;$F9&amp;$G9)&amp;QuoteSuffix</f>
        <v>USDAM3L7Y_S12L3L_Quote</v>
      </c>
      <c r="K9" s="256" t="str">
        <f>_xll.qlForwardSwapQuote(J9,I9,H9,E9,Permanent,Trigger,ObjectOverwrite)</f>
        <v>USDAM3L7Y_S12L3L_Quote#0006</v>
      </c>
      <c r="L9" s="266" t="str">
        <f>_xll.ohRangeRetrieveError(K9)</f>
        <v/>
      </c>
      <c r="M9" s="52"/>
    </row>
    <row r="10" spans="1:20" x14ac:dyDescent="0.2">
      <c r="A10" s="130"/>
      <c r="B10" s="83" t="s">
        <v>102</v>
      </c>
      <c r="C10" s="203" t="str">
        <f>VLOOKUP(Currency,$O$3:$T$7,2)</f>
        <v>AM</v>
      </c>
      <c r="D10" s="203" t="str">
        <f>VLOOKUP(Currency,$O$3:$T$7,3)</f>
        <v>3L</v>
      </c>
      <c r="E10" s="203" t="str">
        <f>E9</f>
        <v>0D</v>
      </c>
      <c r="F10" s="203" t="str">
        <f>VLOOKUP(Currency,$O$3:$T$7,5)</f>
        <v>12L</v>
      </c>
      <c r="G10" s="203" t="str">
        <f>VLOOKUP(Currency,$O$3:$T$7,6)</f>
        <v>3L</v>
      </c>
      <c r="H10" s="257" t="str">
        <f>IF(F10=0,0,Currency&amp;$F10&amp;$G10&amp;$B10&amp;QuoteSuffix)</f>
        <v>USD12L3L8Y_Quote</v>
      </c>
      <c r="I10" s="114" t="str">
        <f>PROPER(Currency)&amp;FamilyName&amp;"Swap"&amp;FixingType&amp;$B10</f>
        <v>UsdLiborSwapForBasisCalc8Y</v>
      </c>
      <c r="J10" s="256" t="str">
        <f>Currency&amp;$C10&amp;$D10&amp;$B10&amp;IF(H10=0,,"_S"&amp;$F10&amp;$G10)&amp;QuoteSuffix</f>
        <v>USDAM3L8Y_S12L3L_Quote</v>
      </c>
      <c r="K10" s="256" t="str">
        <f>_xll.qlForwardSwapQuote(J10,I10,H10,E10,Permanent,Trigger,ObjectOverwrite)</f>
        <v>USDAM3L8Y_S12L3L_Quote#0006</v>
      </c>
      <c r="L10" s="266" t="str">
        <f>_xll.ohRangeRetrieveError(K10)</f>
        <v/>
      </c>
      <c r="M10" s="52"/>
    </row>
    <row r="11" spans="1:20" x14ac:dyDescent="0.2">
      <c r="A11" s="130"/>
      <c r="B11" s="83" t="s">
        <v>101</v>
      </c>
      <c r="C11" s="203" t="str">
        <f>VLOOKUP(Currency,$O$3:$T$7,2)</f>
        <v>AM</v>
      </c>
      <c r="D11" s="203" t="str">
        <f>VLOOKUP(Currency,$O$3:$T$7,3)</f>
        <v>3L</v>
      </c>
      <c r="E11" s="203" t="str">
        <f>E10</f>
        <v>0D</v>
      </c>
      <c r="F11" s="203" t="str">
        <f>VLOOKUP(Currency,$O$3:$T$7,5)</f>
        <v>12L</v>
      </c>
      <c r="G11" s="203" t="str">
        <f>VLOOKUP(Currency,$O$3:$T$7,6)</f>
        <v>3L</v>
      </c>
      <c r="H11" s="257" t="str">
        <f>IF(F11=0,0,Currency&amp;$F11&amp;$G11&amp;$B11&amp;QuoteSuffix)</f>
        <v>USD12L3L9Y_Quote</v>
      </c>
      <c r="I11" s="114" t="str">
        <f>PROPER(Currency)&amp;FamilyName&amp;"Swap"&amp;FixingType&amp;$B11</f>
        <v>UsdLiborSwapForBasisCalc9Y</v>
      </c>
      <c r="J11" s="256" t="str">
        <f>Currency&amp;$C11&amp;$D11&amp;$B11&amp;IF(H11=0,,"_S"&amp;$F11&amp;$G11)&amp;QuoteSuffix</f>
        <v>USDAM3L9Y_S12L3L_Quote</v>
      </c>
      <c r="K11" s="256" t="str">
        <f>_xll.qlForwardSwapQuote(J11,I11,H11,E11,Permanent,Trigger,ObjectOverwrite)</f>
        <v>USDAM3L9Y_S12L3L_Quote#0006</v>
      </c>
      <c r="L11" s="266" t="str">
        <f>_xll.ohRangeRetrieveError(K11)</f>
        <v/>
      </c>
      <c r="M11" s="52"/>
    </row>
    <row r="12" spans="1:20" x14ac:dyDescent="0.2">
      <c r="A12" s="130"/>
      <c r="B12" s="83" t="s">
        <v>100</v>
      </c>
      <c r="C12" s="203" t="str">
        <f>VLOOKUP(Currency,$O$3:$T$7,2)</f>
        <v>AM</v>
      </c>
      <c r="D12" s="203" t="str">
        <f>VLOOKUP(Currency,$O$3:$T$7,3)</f>
        <v>3L</v>
      </c>
      <c r="E12" s="203" t="str">
        <f>E11</f>
        <v>0D</v>
      </c>
      <c r="F12" s="203" t="str">
        <f>VLOOKUP(Currency,$O$3:$T$7,5)</f>
        <v>12L</v>
      </c>
      <c r="G12" s="203" t="str">
        <f>VLOOKUP(Currency,$O$3:$T$7,6)</f>
        <v>3L</v>
      </c>
      <c r="H12" s="257" t="str">
        <f>IF(F12=0,0,Currency&amp;$F12&amp;$G12&amp;$B12&amp;QuoteSuffix)</f>
        <v>USD12L3L10Y_Quote</v>
      </c>
      <c r="I12" s="114" t="str">
        <f>PROPER(Currency)&amp;FamilyName&amp;"Swap"&amp;FixingType&amp;$B12</f>
        <v>UsdLiborSwapForBasisCalc10Y</v>
      </c>
      <c r="J12" s="256" t="str">
        <f>Currency&amp;$C12&amp;$D12&amp;$B12&amp;IF(H12=0,,"_S"&amp;$F12&amp;$G12)&amp;QuoteSuffix</f>
        <v>USDAM3L10Y_S12L3L_Quote</v>
      </c>
      <c r="K12" s="256" t="str">
        <f>_xll.qlForwardSwapQuote(J12,I12,H12,E12,Permanent,Trigger,ObjectOverwrite)</f>
        <v>USDAM3L10Y_S12L3L_Quote#0006</v>
      </c>
      <c r="L12" s="266" t="str">
        <f>_xll.ohRangeRetrieveError(K12)</f>
        <v/>
      </c>
      <c r="M12" s="52"/>
    </row>
    <row r="13" spans="1:20" x14ac:dyDescent="0.2">
      <c r="A13" s="130"/>
      <c r="B13" s="83" t="s">
        <v>99</v>
      </c>
      <c r="C13" s="203" t="str">
        <f>VLOOKUP(Currency,$O$3:$T$7,2)</f>
        <v>AM</v>
      </c>
      <c r="D13" s="203" t="str">
        <f>VLOOKUP(Currency,$O$3:$T$7,3)</f>
        <v>3L</v>
      </c>
      <c r="E13" s="203" t="str">
        <f>E12</f>
        <v>0D</v>
      </c>
      <c r="F13" s="203" t="str">
        <f>VLOOKUP(Currency,$O$3:$T$7,5)</f>
        <v>12L</v>
      </c>
      <c r="G13" s="203" t="str">
        <f>VLOOKUP(Currency,$O$3:$T$7,6)</f>
        <v>3L</v>
      </c>
      <c r="H13" s="257" t="str">
        <f>IF(F13=0,0,Currency&amp;$F13&amp;$G13&amp;$B13&amp;QuoteSuffix)</f>
        <v>USD12L3L11Y_Quote</v>
      </c>
      <c r="I13" s="114" t="str">
        <f>PROPER(Currency)&amp;FamilyName&amp;"Swap"&amp;FixingType&amp;$B13</f>
        <v>UsdLiborSwapForBasisCalc11Y</v>
      </c>
      <c r="J13" s="256" t="str">
        <f>Currency&amp;$C13&amp;$D13&amp;$B13&amp;IF(H13=0,,"_S"&amp;$F13&amp;$G13)&amp;QuoteSuffix</f>
        <v>USDAM3L11Y_S12L3L_Quote</v>
      </c>
      <c r="K13" s="256" t="str">
        <f>_xll.qlForwardSwapQuote(J13,I13,H13,E13,Permanent,Trigger,ObjectOverwrite)</f>
        <v>USDAM3L11Y_S12L3L_Quote#0006</v>
      </c>
      <c r="L13" s="266" t="str">
        <f>_xll.ohRangeRetrieveError(K13)</f>
        <v/>
      </c>
      <c r="M13" s="52"/>
    </row>
    <row r="14" spans="1:20" x14ac:dyDescent="0.2">
      <c r="A14" s="130"/>
      <c r="B14" s="83" t="s">
        <v>98</v>
      </c>
      <c r="C14" s="203" t="str">
        <f>VLOOKUP(Currency,$O$3:$T$7,2)</f>
        <v>AM</v>
      </c>
      <c r="D14" s="203" t="str">
        <f>VLOOKUP(Currency,$O$3:$T$7,3)</f>
        <v>3L</v>
      </c>
      <c r="E14" s="203" t="str">
        <f>E13</f>
        <v>0D</v>
      </c>
      <c r="F14" s="203" t="str">
        <f>VLOOKUP(Currency,$O$3:$T$7,5)</f>
        <v>12L</v>
      </c>
      <c r="G14" s="203" t="str">
        <f>VLOOKUP(Currency,$O$3:$T$7,6)</f>
        <v>3L</v>
      </c>
      <c r="H14" s="257" t="str">
        <f>IF(F14=0,0,Currency&amp;$F14&amp;$G14&amp;$B14&amp;QuoteSuffix)</f>
        <v>USD12L3L12Y_Quote</v>
      </c>
      <c r="I14" s="114" t="str">
        <f>PROPER(Currency)&amp;FamilyName&amp;"Swap"&amp;FixingType&amp;$B14</f>
        <v>UsdLiborSwapForBasisCalc12Y</v>
      </c>
      <c r="J14" s="256" t="str">
        <f>Currency&amp;$C14&amp;$D14&amp;$B14&amp;IF(H14=0,,"_S"&amp;$F14&amp;$G14)&amp;QuoteSuffix</f>
        <v>USDAM3L12Y_S12L3L_Quote</v>
      </c>
      <c r="K14" s="256" t="str">
        <f>_xll.qlForwardSwapQuote(J14,I14,H14,E14,Permanent,Trigger,ObjectOverwrite)</f>
        <v>USDAM3L12Y_S12L3L_Quote#0006</v>
      </c>
      <c r="L14" s="266" t="str">
        <f>_xll.ohRangeRetrieveError(K14)</f>
        <v/>
      </c>
      <c r="M14" s="52"/>
    </row>
    <row r="15" spans="1:20" x14ac:dyDescent="0.2">
      <c r="A15" s="130"/>
      <c r="B15" s="83" t="s">
        <v>97</v>
      </c>
      <c r="C15" s="203" t="str">
        <f>VLOOKUP(Currency,$O$3:$T$7,2)</f>
        <v>AM</v>
      </c>
      <c r="D15" s="203" t="str">
        <f>VLOOKUP(Currency,$O$3:$T$7,3)</f>
        <v>3L</v>
      </c>
      <c r="E15" s="203" t="str">
        <f>E14</f>
        <v>0D</v>
      </c>
      <c r="F15" s="203" t="str">
        <f>VLOOKUP(Currency,$O$3:$T$7,5)</f>
        <v>12L</v>
      </c>
      <c r="G15" s="203" t="str">
        <f>VLOOKUP(Currency,$O$3:$T$7,6)</f>
        <v>3L</v>
      </c>
      <c r="H15" s="257" t="str">
        <f>IF(F15=0,0,Currency&amp;$F15&amp;$G15&amp;$B15&amp;QuoteSuffix)</f>
        <v>USD12L3L13Y_Quote</v>
      </c>
      <c r="I15" s="114" t="str">
        <f>PROPER(Currency)&amp;FamilyName&amp;"Swap"&amp;FixingType&amp;$B15</f>
        <v>UsdLiborSwapForBasisCalc13Y</v>
      </c>
      <c r="J15" s="256" t="str">
        <f>Currency&amp;$C15&amp;$D15&amp;$B15&amp;IF(H15=0,,"_S"&amp;$F15&amp;$G15)&amp;QuoteSuffix</f>
        <v>USDAM3L13Y_S12L3L_Quote</v>
      </c>
      <c r="K15" s="256" t="str">
        <f>_xll.qlForwardSwapQuote(J15,I15,H15,E15,Permanent,Trigger,ObjectOverwrite)</f>
        <v>USDAM3L13Y_S12L3L_Quote#0006</v>
      </c>
      <c r="L15" s="266" t="str">
        <f>_xll.ohRangeRetrieveError(K15)</f>
        <v/>
      </c>
      <c r="M15" s="52"/>
    </row>
    <row r="16" spans="1:20" x14ac:dyDescent="0.2">
      <c r="A16" s="130"/>
      <c r="B16" s="83" t="s">
        <v>96</v>
      </c>
      <c r="C16" s="203" t="str">
        <f>VLOOKUP(Currency,$O$3:$T$7,2)</f>
        <v>AM</v>
      </c>
      <c r="D16" s="203" t="str">
        <f>VLOOKUP(Currency,$O$3:$T$7,3)</f>
        <v>3L</v>
      </c>
      <c r="E16" s="203" t="str">
        <f>E15</f>
        <v>0D</v>
      </c>
      <c r="F16" s="203" t="str">
        <f>VLOOKUP(Currency,$O$3:$T$7,5)</f>
        <v>12L</v>
      </c>
      <c r="G16" s="203" t="str">
        <f>VLOOKUP(Currency,$O$3:$T$7,6)</f>
        <v>3L</v>
      </c>
      <c r="H16" s="257" t="str">
        <f>IF(F16=0,0,Currency&amp;$F16&amp;$G16&amp;$B16&amp;QuoteSuffix)</f>
        <v>USD12L3L14Y_Quote</v>
      </c>
      <c r="I16" s="114" t="str">
        <f>PROPER(Currency)&amp;FamilyName&amp;"Swap"&amp;FixingType&amp;$B16</f>
        <v>UsdLiborSwapForBasisCalc14Y</v>
      </c>
      <c r="J16" s="256" t="str">
        <f>Currency&amp;$C16&amp;$D16&amp;$B16&amp;IF(H16=0,,"_S"&amp;$F16&amp;$G16)&amp;QuoteSuffix</f>
        <v>USDAM3L14Y_S12L3L_Quote</v>
      </c>
      <c r="K16" s="256" t="str">
        <f>_xll.qlForwardSwapQuote(J16,I16,H16,E16,Permanent,Trigger,ObjectOverwrite)</f>
        <v>USDAM3L14Y_S12L3L_Quote#0006</v>
      </c>
      <c r="L16" s="266" t="str">
        <f>_xll.ohRangeRetrieveError(K16)</f>
        <v/>
      </c>
      <c r="M16" s="52"/>
    </row>
    <row r="17" spans="1:13" x14ac:dyDescent="0.2">
      <c r="A17" s="130"/>
      <c r="B17" s="83" t="s">
        <v>95</v>
      </c>
      <c r="C17" s="203" t="str">
        <f>VLOOKUP(Currency,$O$3:$T$7,2)</f>
        <v>AM</v>
      </c>
      <c r="D17" s="203" t="str">
        <f>VLOOKUP(Currency,$O$3:$T$7,3)</f>
        <v>3L</v>
      </c>
      <c r="E17" s="203" t="str">
        <f>E16</f>
        <v>0D</v>
      </c>
      <c r="F17" s="203" t="str">
        <f>VLOOKUP(Currency,$O$3:$T$7,5)</f>
        <v>12L</v>
      </c>
      <c r="G17" s="203" t="str">
        <f>VLOOKUP(Currency,$O$3:$T$7,6)</f>
        <v>3L</v>
      </c>
      <c r="H17" s="257" t="str">
        <f>IF(F17=0,0,Currency&amp;$F17&amp;$G17&amp;$B17&amp;QuoteSuffix)</f>
        <v>USD12L3L15Y_Quote</v>
      </c>
      <c r="I17" s="114" t="str">
        <f>PROPER(Currency)&amp;FamilyName&amp;"Swap"&amp;FixingType&amp;$B17</f>
        <v>UsdLiborSwapForBasisCalc15Y</v>
      </c>
      <c r="J17" s="256" t="str">
        <f>Currency&amp;$C17&amp;$D17&amp;$B17&amp;IF(H17=0,,"_S"&amp;$F17&amp;$G17)&amp;QuoteSuffix</f>
        <v>USDAM3L15Y_S12L3L_Quote</v>
      </c>
      <c r="K17" s="256" t="str">
        <f>_xll.qlForwardSwapQuote(J17,I17,H17,E17,Permanent,Trigger,ObjectOverwrite)</f>
        <v>USDAM3L15Y_S12L3L_Quote#0006</v>
      </c>
      <c r="L17" s="266" t="str">
        <f>_xll.ohRangeRetrieveError(K17)</f>
        <v/>
      </c>
      <c r="M17" s="52"/>
    </row>
    <row r="18" spans="1:13" x14ac:dyDescent="0.2">
      <c r="A18" s="130"/>
      <c r="B18" s="83" t="s">
        <v>94</v>
      </c>
      <c r="C18" s="203" t="str">
        <f>VLOOKUP(Currency,$O$3:$T$7,2)</f>
        <v>AM</v>
      </c>
      <c r="D18" s="203" t="str">
        <f>VLOOKUP(Currency,$O$3:$T$7,3)</f>
        <v>3L</v>
      </c>
      <c r="E18" s="203" t="str">
        <f>E17</f>
        <v>0D</v>
      </c>
      <c r="F18" s="203" t="str">
        <f>VLOOKUP(Currency,$O$3:$T$7,5)</f>
        <v>12L</v>
      </c>
      <c r="G18" s="203" t="str">
        <f>VLOOKUP(Currency,$O$3:$T$7,6)</f>
        <v>3L</v>
      </c>
      <c r="H18" s="257" t="str">
        <f>IF(F18=0,0,Currency&amp;$F18&amp;$G18&amp;$B18&amp;QuoteSuffix)</f>
        <v>USD12L3L16Y_Quote</v>
      </c>
      <c r="I18" s="114" t="str">
        <f>PROPER(Currency)&amp;FamilyName&amp;"Swap"&amp;FixingType&amp;$B18</f>
        <v>UsdLiborSwapForBasisCalc16Y</v>
      </c>
      <c r="J18" s="256" t="str">
        <f>Currency&amp;$C18&amp;$D18&amp;$B18&amp;IF(H18=0,,"_S"&amp;$F18&amp;$G18)&amp;QuoteSuffix</f>
        <v>USDAM3L16Y_S12L3L_Quote</v>
      </c>
      <c r="K18" s="256" t="str">
        <f>_xll.qlForwardSwapQuote(J18,I18,H18,E18,Permanent,Trigger,ObjectOverwrite)</f>
        <v>USDAM3L16Y_S12L3L_Quote#0006</v>
      </c>
      <c r="L18" s="266" t="str">
        <f>_xll.ohRangeRetrieveError(K18)</f>
        <v/>
      </c>
      <c r="M18" s="52"/>
    </row>
    <row r="19" spans="1:13" x14ac:dyDescent="0.2">
      <c r="A19" s="130"/>
      <c r="B19" s="83" t="s">
        <v>93</v>
      </c>
      <c r="C19" s="203" t="str">
        <f>VLOOKUP(Currency,$O$3:$T$7,2)</f>
        <v>AM</v>
      </c>
      <c r="D19" s="203" t="str">
        <f>VLOOKUP(Currency,$O$3:$T$7,3)</f>
        <v>3L</v>
      </c>
      <c r="E19" s="203" t="str">
        <f>E18</f>
        <v>0D</v>
      </c>
      <c r="F19" s="203" t="str">
        <f>VLOOKUP(Currency,$O$3:$T$7,5)</f>
        <v>12L</v>
      </c>
      <c r="G19" s="203" t="str">
        <f>VLOOKUP(Currency,$O$3:$T$7,6)</f>
        <v>3L</v>
      </c>
      <c r="H19" s="257" t="str">
        <f>IF(F19=0,0,Currency&amp;$F19&amp;$G19&amp;$B19&amp;QuoteSuffix)</f>
        <v>USD12L3L17Y_Quote</v>
      </c>
      <c r="I19" s="114" t="str">
        <f>PROPER(Currency)&amp;FamilyName&amp;"Swap"&amp;FixingType&amp;$B19</f>
        <v>UsdLiborSwapForBasisCalc17Y</v>
      </c>
      <c r="J19" s="256" t="str">
        <f>Currency&amp;$C19&amp;$D19&amp;$B19&amp;IF(H19=0,,"_S"&amp;$F19&amp;$G19)&amp;QuoteSuffix</f>
        <v>USDAM3L17Y_S12L3L_Quote</v>
      </c>
      <c r="K19" s="256" t="str">
        <f>_xll.qlForwardSwapQuote(J19,I19,H19,E19,Permanent,Trigger,ObjectOverwrite)</f>
        <v>USDAM3L17Y_S12L3L_Quote#0006</v>
      </c>
      <c r="L19" s="266" t="str">
        <f>_xll.ohRangeRetrieveError(K19)</f>
        <v/>
      </c>
      <c r="M19" s="52"/>
    </row>
    <row r="20" spans="1:13" x14ac:dyDescent="0.2">
      <c r="A20" s="130"/>
      <c r="B20" s="83" t="s">
        <v>92</v>
      </c>
      <c r="C20" s="203" t="str">
        <f>VLOOKUP(Currency,$O$3:$T$7,2)</f>
        <v>AM</v>
      </c>
      <c r="D20" s="203" t="str">
        <f>VLOOKUP(Currency,$O$3:$T$7,3)</f>
        <v>3L</v>
      </c>
      <c r="E20" s="203" t="str">
        <f>E19</f>
        <v>0D</v>
      </c>
      <c r="F20" s="203" t="str">
        <f>VLOOKUP(Currency,$O$3:$T$7,5)</f>
        <v>12L</v>
      </c>
      <c r="G20" s="203" t="str">
        <f>VLOOKUP(Currency,$O$3:$T$7,6)</f>
        <v>3L</v>
      </c>
      <c r="H20" s="257" t="str">
        <f>IF(F20=0,0,Currency&amp;$F20&amp;$G20&amp;$B20&amp;QuoteSuffix)</f>
        <v>USD12L3L18Y_Quote</v>
      </c>
      <c r="I20" s="114" t="str">
        <f>PROPER(Currency)&amp;FamilyName&amp;"Swap"&amp;FixingType&amp;$B20</f>
        <v>UsdLiborSwapForBasisCalc18Y</v>
      </c>
      <c r="J20" s="256" t="str">
        <f>Currency&amp;$C20&amp;$D20&amp;$B20&amp;IF(H20=0,,"_S"&amp;$F20&amp;$G20)&amp;QuoteSuffix</f>
        <v>USDAM3L18Y_S12L3L_Quote</v>
      </c>
      <c r="K20" s="256" t="str">
        <f>_xll.qlForwardSwapQuote(J20,I20,H20,E20,Permanent,Trigger,ObjectOverwrite)</f>
        <v>USDAM3L18Y_S12L3L_Quote#0006</v>
      </c>
      <c r="L20" s="266" t="str">
        <f>_xll.ohRangeRetrieveError(K20)</f>
        <v/>
      </c>
      <c r="M20" s="52"/>
    </row>
    <row r="21" spans="1:13" x14ac:dyDescent="0.2">
      <c r="A21" s="130"/>
      <c r="B21" s="83" t="s">
        <v>91</v>
      </c>
      <c r="C21" s="203" t="str">
        <f>VLOOKUP(Currency,$O$3:$T$7,2)</f>
        <v>AM</v>
      </c>
      <c r="D21" s="203" t="str">
        <f>VLOOKUP(Currency,$O$3:$T$7,3)</f>
        <v>3L</v>
      </c>
      <c r="E21" s="203" t="str">
        <f>E20</f>
        <v>0D</v>
      </c>
      <c r="F21" s="203" t="str">
        <f>VLOOKUP(Currency,$O$3:$T$7,5)</f>
        <v>12L</v>
      </c>
      <c r="G21" s="203" t="str">
        <f>VLOOKUP(Currency,$O$3:$T$7,6)</f>
        <v>3L</v>
      </c>
      <c r="H21" s="257" t="str">
        <f>IF(F21=0,0,Currency&amp;$F21&amp;$G21&amp;$B21&amp;QuoteSuffix)</f>
        <v>USD12L3L19Y_Quote</v>
      </c>
      <c r="I21" s="114" t="str">
        <f>PROPER(Currency)&amp;FamilyName&amp;"Swap"&amp;FixingType&amp;$B21</f>
        <v>UsdLiborSwapForBasisCalc19Y</v>
      </c>
      <c r="J21" s="256" t="str">
        <f>Currency&amp;$C21&amp;$D21&amp;$B21&amp;IF(H21=0,,"_S"&amp;$F21&amp;$G21)&amp;QuoteSuffix</f>
        <v>USDAM3L19Y_S12L3L_Quote</v>
      </c>
      <c r="K21" s="256" t="str">
        <f>_xll.qlForwardSwapQuote(J21,I21,H21,E21,Permanent,Trigger,ObjectOverwrite)</f>
        <v>USDAM3L19Y_S12L3L_Quote#0006</v>
      </c>
      <c r="L21" s="266" t="str">
        <f>_xll.ohRangeRetrieveError(K21)</f>
        <v/>
      </c>
      <c r="M21" s="52"/>
    </row>
    <row r="22" spans="1:13" x14ac:dyDescent="0.2">
      <c r="A22" s="130"/>
      <c r="B22" s="83" t="s">
        <v>90</v>
      </c>
      <c r="C22" s="203" t="str">
        <f>VLOOKUP(Currency,$O$3:$T$7,2)</f>
        <v>AM</v>
      </c>
      <c r="D22" s="203" t="str">
        <f>VLOOKUP(Currency,$O$3:$T$7,3)</f>
        <v>3L</v>
      </c>
      <c r="E22" s="203" t="str">
        <f>E21</f>
        <v>0D</v>
      </c>
      <c r="F22" s="203" t="str">
        <f>VLOOKUP(Currency,$O$3:$T$7,5)</f>
        <v>12L</v>
      </c>
      <c r="G22" s="203" t="str">
        <f>VLOOKUP(Currency,$O$3:$T$7,6)</f>
        <v>3L</v>
      </c>
      <c r="H22" s="257" t="str">
        <f>IF(F22=0,0,Currency&amp;$F22&amp;$G22&amp;$B22&amp;QuoteSuffix)</f>
        <v>USD12L3L20Y_Quote</v>
      </c>
      <c r="I22" s="114" t="str">
        <f>PROPER(Currency)&amp;FamilyName&amp;"Swap"&amp;FixingType&amp;$B22</f>
        <v>UsdLiborSwapForBasisCalc20Y</v>
      </c>
      <c r="J22" s="256" t="str">
        <f>Currency&amp;$C22&amp;$D22&amp;$B22&amp;IF(H22=0,,"_S"&amp;$F22&amp;$G22)&amp;QuoteSuffix</f>
        <v>USDAM3L20Y_S12L3L_Quote</v>
      </c>
      <c r="K22" s="256" t="str">
        <f>_xll.qlForwardSwapQuote(J22,I22,H22,E22,Permanent,Trigger,ObjectOverwrite)</f>
        <v>USDAM3L20Y_S12L3L_Quote#0006</v>
      </c>
      <c r="L22" s="266" t="str">
        <f>_xll.ohRangeRetrieveError(K22)</f>
        <v/>
      </c>
      <c r="M22" s="52"/>
    </row>
    <row r="23" spans="1:13" x14ac:dyDescent="0.2">
      <c r="A23" s="130"/>
      <c r="B23" s="83" t="s">
        <v>89</v>
      </c>
      <c r="C23" s="203" t="str">
        <f>VLOOKUP(Currency,$O$3:$T$7,2)</f>
        <v>AM</v>
      </c>
      <c r="D23" s="203" t="str">
        <f>VLOOKUP(Currency,$O$3:$T$7,3)</f>
        <v>3L</v>
      </c>
      <c r="E23" s="203" t="str">
        <f>E22</f>
        <v>0D</v>
      </c>
      <c r="F23" s="203" t="str">
        <f>VLOOKUP(Currency,$O$3:$T$7,5)</f>
        <v>12L</v>
      </c>
      <c r="G23" s="203" t="str">
        <f>VLOOKUP(Currency,$O$3:$T$7,6)</f>
        <v>3L</v>
      </c>
      <c r="H23" s="257" t="str">
        <f>IF(F23=0,0,Currency&amp;$F23&amp;$G23&amp;$B23&amp;QuoteSuffix)</f>
        <v>USD12L3L21Y_Quote</v>
      </c>
      <c r="I23" s="114" t="str">
        <f>PROPER(Currency)&amp;FamilyName&amp;"Swap"&amp;FixingType&amp;$B23</f>
        <v>UsdLiborSwapForBasisCalc21Y</v>
      </c>
      <c r="J23" s="256" t="str">
        <f>Currency&amp;$C23&amp;$D23&amp;$B23&amp;IF(H23=0,,"_S"&amp;$F23&amp;$G23)&amp;QuoteSuffix</f>
        <v>USDAM3L21Y_S12L3L_Quote</v>
      </c>
      <c r="K23" s="256" t="str">
        <f>_xll.qlForwardSwapQuote(J23,I23,H23,E23,Permanent,Trigger,ObjectOverwrite)</f>
        <v>USDAM3L21Y_S12L3L_Quote#0006</v>
      </c>
      <c r="L23" s="266" t="str">
        <f>_xll.ohRangeRetrieveError(K23)</f>
        <v/>
      </c>
      <c r="M23" s="52"/>
    </row>
    <row r="24" spans="1:13" x14ac:dyDescent="0.2">
      <c r="A24" s="130"/>
      <c r="B24" s="83" t="s">
        <v>88</v>
      </c>
      <c r="C24" s="203" t="str">
        <f>VLOOKUP(Currency,$O$3:$T$7,2)</f>
        <v>AM</v>
      </c>
      <c r="D24" s="203" t="str">
        <f>VLOOKUP(Currency,$O$3:$T$7,3)</f>
        <v>3L</v>
      </c>
      <c r="E24" s="203" t="str">
        <f>E23</f>
        <v>0D</v>
      </c>
      <c r="F24" s="203" t="str">
        <f>VLOOKUP(Currency,$O$3:$T$7,5)</f>
        <v>12L</v>
      </c>
      <c r="G24" s="203" t="str">
        <f>VLOOKUP(Currency,$O$3:$T$7,6)</f>
        <v>3L</v>
      </c>
      <c r="H24" s="257" t="str">
        <f>IF(F24=0,0,Currency&amp;$F24&amp;$G24&amp;$B24&amp;QuoteSuffix)</f>
        <v>USD12L3L22Y_Quote</v>
      </c>
      <c r="I24" s="114" t="str">
        <f>PROPER(Currency)&amp;FamilyName&amp;"Swap"&amp;FixingType&amp;$B24</f>
        <v>UsdLiborSwapForBasisCalc22Y</v>
      </c>
      <c r="J24" s="256" t="str">
        <f>Currency&amp;$C24&amp;$D24&amp;$B24&amp;IF(H24=0,,"_S"&amp;$F24&amp;$G24)&amp;QuoteSuffix</f>
        <v>USDAM3L22Y_S12L3L_Quote</v>
      </c>
      <c r="K24" s="256" t="str">
        <f>_xll.qlForwardSwapQuote(J24,I24,H24,E24,Permanent,Trigger,ObjectOverwrite)</f>
        <v>USDAM3L22Y_S12L3L_Quote#0006</v>
      </c>
      <c r="L24" s="266" t="str">
        <f>_xll.ohRangeRetrieveError(K24)</f>
        <v/>
      </c>
      <c r="M24" s="52"/>
    </row>
    <row r="25" spans="1:13" x14ac:dyDescent="0.2">
      <c r="A25" s="130"/>
      <c r="B25" s="83" t="s">
        <v>87</v>
      </c>
      <c r="C25" s="203" t="str">
        <f>VLOOKUP(Currency,$O$3:$T$7,2)</f>
        <v>AM</v>
      </c>
      <c r="D25" s="203" t="str">
        <f>VLOOKUP(Currency,$O$3:$T$7,3)</f>
        <v>3L</v>
      </c>
      <c r="E25" s="203" t="str">
        <f>E24</f>
        <v>0D</v>
      </c>
      <c r="F25" s="203" t="str">
        <f>VLOOKUP(Currency,$O$3:$T$7,5)</f>
        <v>12L</v>
      </c>
      <c r="G25" s="203" t="str">
        <f>VLOOKUP(Currency,$O$3:$T$7,6)</f>
        <v>3L</v>
      </c>
      <c r="H25" s="257" t="str">
        <f>IF(F25=0,0,Currency&amp;$F25&amp;$G25&amp;$B25&amp;QuoteSuffix)</f>
        <v>USD12L3L23Y_Quote</v>
      </c>
      <c r="I25" s="114" t="str">
        <f>PROPER(Currency)&amp;FamilyName&amp;"Swap"&amp;FixingType&amp;$B25</f>
        <v>UsdLiborSwapForBasisCalc23Y</v>
      </c>
      <c r="J25" s="256" t="str">
        <f>Currency&amp;$C25&amp;$D25&amp;$B25&amp;IF(H25=0,,"_S"&amp;$F25&amp;$G25)&amp;QuoteSuffix</f>
        <v>USDAM3L23Y_S12L3L_Quote</v>
      </c>
      <c r="K25" s="256" t="str">
        <f>_xll.qlForwardSwapQuote(J25,I25,H25,E25,Permanent,Trigger,ObjectOverwrite)</f>
        <v>USDAM3L23Y_S12L3L_Quote#0006</v>
      </c>
      <c r="L25" s="266" t="str">
        <f>_xll.ohRangeRetrieveError(K25)</f>
        <v/>
      </c>
      <c r="M25" s="52"/>
    </row>
    <row r="26" spans="1:13" x14ac:dyDescent="0.2">
      <c r="A26" s="130"/>
      <c r="B26" s="83" t="s">
        <v>86</v>
      </c>
      <c r="C26" s="203" t="str">
        <f>VLOOKUP(Currency,$O$3:$T$7,2)</f>
        <v>AM</v>
      </c>
      <c r="D26" s="203" t="str">
        <f>VLOOKUP(Currency,$O$3:$T$7,3)</f>
        <v>3L</v>
      </c>
      <c r="E26" s="203" t="str">
        <f>E25</f>
        <v>0D</v>
      </c>
      <c r="F26" s="203" t="str">
        <f>VLOOKUP(Currency,$O$3:$T$7,5)</f>
        <v>12L</v>
      </c>
      <c r="G26" s="203" t="str">
        <f>VLOOKUP(Currency,$O$3:$T$7,6)</f>
        <v>3L</v>
      </c>
      <c r="H26" s="257" t="str">
        <f>IF(F26=0,0,Currency&amp;$F26&amp;$G26&amp;$B26&amp;QuoteSuffix)</f>
        <v>USD12L3L24Y_Quote</v>
      </c>
      <c r="I26" s="114" t="str">
        <f>PROPER(Currency)&amp;FamilyName&amp;"Swap"&amp;FixingType&amp;$B26</f>
        <v>UsdLiborSwapForBasisCalc24Y</v>
      </c>
      <c r="J26" s="256" t="str">
        <f>Currency&amp;$C26&amp;$D26&amp;$B26&amp;IF(H26=0,,"_S"&amp;$F26&amp;$G26)&amp;QuoteSuffix</f>
        <v>USDAM3L24Y_S12L3L_Quote</v>
      </c>
      <c r="K26" s="256" t="str">
        <f>_xll.qlForwardSwapQuote(J26,I26,H26,E26,Permanent,Trigger,ObjectOverwrite)</f>
        <v>USDAM3L24Y_S12L3L_Quote#0006</v>
      </c>
      <c r="L26" s="266" t="str">
        <f>_xll.ohRangeRetrieveError(K26)</f>
        <v/>
      </c>
      <c r="M26" s="52"/>
    </row>
    <row r="27" spans="1:13" x14ac:dyDescent="0.2">
      <c r="A27" s="130"/>
      <c r="B27" s="83" t="s">
        <v>85</v>
      </c>
      <c r="C27" s="203" t="str">
        <f>VLOOKUP(Currency,$O$3:$T$7,2)</f>
        <v>AM</v>
      </c>
      <c r="D27" s="203" t="str">
        <f>VLOOKUP(Currency,$O$3:$T$7,3)</f>
        <v>3L</v>
      </c>
      <c r="E27" s="203" t="str">
        <f>E26</f>
        <v>0D</v>
      </c>
      <c r="F27" s="203" t="str">
        <f>VLOOKUP(Currency,$O$3:$T$7,5)</f>
        <v>12L</v>
      </c>
      <c r="G27" s="203" t="str">
        <f>VLOOKUP(Currency,$O$3:$T$7,6)</f>
        <v>3L</v>
      </c>
      <c r="H27" s="257" t="str">
        <f>IF(F27=0,0,Currency&amp;$F27&amp;$G27&amp;$B27&amp;QuoteSuffix)</f>
        <v>USD12L3L25Y_Quote</v>
      </c>
      <c r="I27" s="114" t="str">
        <f>PROPER(Currency)&amp;FamilyName&amp;"Swap"&amp;FixingType&amp;$B27</f>
        <v>UsdLiborSwapForBasisCalc25Y</v>
      </c>
      <c r="J27" s="256" t="str">
        <f>Currency&amp;$C27&amp;$D27&amp;$B27&amp;IF(H27=0,,"_S"&amp;$F27&amp;$G27)&amp;QuoteSuffix</f>
        <v>USDAM3L25Y_S12L3L_Quote</v>
      </c>
      <c r="K27" s="256" t="str">
        <f>_xll.qlForwardSwapQuote(J27,I27,H27,E27,Permanent,Trigger,ObjectOverwrite)</f>
        <v>USDAM3L25Y_S12L3L_Quote#0006</v>
      </c>
      <c r="L27" s="266" t="str">
        <f>_xll.ohRangeRetrieveError(K27)</f>
        <v/>
      </c>
      <c r="M27" s="52"/>
    </row>
    <row r="28" spans="1:13" x14ac:dyDescent="0.2">
      <c r="A28" s="130"/>
      <c r="B28" s="83" t="s">
        <v>84</v>
      </c>
      <c r="C28" s="203" t="str">
        <f>VLOOKUP(Currency,$O$3:$T$7,2)</f>
        <v>AM</v>
      </c>
      <c r="D28" s="203" t="str">
        <f>VLOOKUP(Currency,$O$3:$T$7,3)</f>
        <v>3L</v>
      </c>
      <c r="E28" s="203" t="str">
        <f>E27</f>
        <v>0D</v>
      </c>
      <c r="F28" s="203" t="str">
        <f>VLOOKUP(Currency,$O$3:$T$7,5)</f>
        <v>12L</v>
      </c>
      <c r="G28" s="203" t="str">
        <f>VLOOKUP(Currency,$O$3:$T$7,6)</f>
        <v>3L</v>
      </c>
      <c r="H28" s="257" t="str">
        <f>IF(F28=0,0,Currency&amp;$F28&amp;$G28&amp;$B28&amp;QuoteSuffix)</f>
        <v>USD12L3L26Y_Quote</v>
      </c>
      <c r="I28" s="114" t="str">
        <f>PROPER(Currency)&amp;FamilyName&amp;"Swap"&amp;FixingType&amp;$B28</f>
        <v>UsdLiborSwapForBasisCalc26Y</v>
      </c>
      <c r="J28" s="256" t="str">
        <f>Currency&amp;$C28&amp;$D28&amp;$B28&amp;IF(H28=0,,"_S"&amp;$F28&amp;$G28)&amp;QuoteSuffix</f>
        <v>USDAM3L26Y_S12L3L_Quote</v>
      </c>
      <c r="K28" s="256" t="str">
        <f>_xll.qlForwardSwapQuote(J28,I28,H28,E28,Permanent,Trigger,ObjectOverwrite)</f>
        <v>USDAM3L26Y_S12L3L_Quote#0006</v>
      </c>
      <c r="L28" s="266" t="str">
        <f>_xll.ohRangeRetrieveError(K28)</f>
        <v/>
      </c>
      <c r="M28" s="52"/>
    </row>
    <row r="29" spans="1:13" x14ac:dyDescent="0.2">
      <c r="A29" s="130"/>
      <c r="B29" s="83" t="s">
        <v>83</v>
      </c>
      <c r="C29" s="203" t="str">
        <f>VLOOKUP(Currency,$O$3:$T$7,2)</f>
        <v>AM</v>
      </c>
      <c r="D29" s="203" t="str">
        <f>VLOOKUP(Currency,$O$3:$T$7,3)</f>
        <v>3L</v>
      </c>
      <c r="E29" s="203" t="str">
        <f>E28</f>
        <v>0D</v>
      </c>
      <c r="F29" s="203" t="str">
        <f>VLOOKUP(Currency,$O$3:$T$7,5)</f>
        <v>12L</v>
      </c>
      <c r="G29" s="203" t="str">
        <f>VLOOKUP(Currency,$O$3:$T$7,6)</f>
        <v>3L</v>
      </c>
      <c r="H29" s="257" t="str">
        <f>IF(F29=0,0,Currency&amp;$F29&amp;$G29&amp;$B29&amp;QuoteSuffix)</f>
        <v>USD12L3L27Y_Quote</v>
      </c>
      <c r="I29" s="114" t="str">
        <f>PROPER(Currency)&amp;FamilyName&amp;"Swap"&amp;FixingType&amp;$B29</f>
        <v>UsdLiborSwapForBasisCalc27Y</v>
      </c>
      <c r="J29" s="256" t="str">
        <f>Currency&amp;$C29&amp;$D29&amp;$B29&amp;IF(H29=0,,"_S"&amp;$F29&amp;$G29)&amp;QuoteSuffix</f>
        <v>USDAM3L27Y_S12L3L_Quote</v>
      </c>
      <c r="K29" s="256" t="str">
        <f>_xll.qlForwardSwapQuote(J29,I29,H29,E29,Permanent,Trigger,ObjectOverwrite)</f>
        <v>USDAM3L27Y_S12L3L_Quote#0006</v>
      </c>
      <c r="L29" s="266" t="str">
        <f>_xll.ohRangeRetrieveError(K29)</f>
        <v/>
      </c>
      <c r="M29" s="52"/>
    </row>
    <row r="30" spans="1:13" x14ac:dyDescent="0.2">
      <c r="A30" s="130"/>
      <c r="B30" s="83" t="s">
        <v>82</v>
      </c>
      <c r="C30" s="203" t="str">
        <f>VLOOKUP(Currency,$O$3:$T$7,2)</f>
        <v>AM</v>
      </c>
      <c r="D30" s="203" t="str">
        <f>VLOOKUP(Currency,$O$3:$T$7,3)</f>
        <v>3L</v>
      </c>
      <c r="E30" s="203" t="str">
        <f>E29</f>
        <v>0D</v>
      </c>
      <c r="F30" s="203" t="str">
        <f>VLOOKUP(Currency,$O$3:$T$7,5)</f>
        <v>12L</v>
      </c>
      <c r="G30" s="203" t="str">
        <f>VLOOKUP(Currency,$O$3:$T$7,6)</f>
        <v>3L</v>
      </c>
      <c r="H30" s="257" t="str">
        <f>IF(F30=0,0,Currency&amp;$F30&amp;$G30&amp;$B30&amp;QuoteSuffix)</f>
        <v>USD12L3L28Y_Quote</v>
      </c>
      <c r="I30" s="114" t="str">
        <f>PROPER(Currency)&amp;FamilyName&amp;"Swap"&amp;FixingType&amp;$B30</f>
        <v>UsdLiborSwapForBasisCalc28Y</v>
      </c>
      <c r="J30" s="256" t="str">
        <f>Currency&amp;$C30&amp;$D30&amp;$B30&amp;IF(H30=0,,"_S"&amp;$F30&amp;$G30)&amp;QuoteSuffix</f>
        <v>USDAM3L28Y_S12L3L_Quote</v>
      </c>
      <c r="K30" s="256" t="str">
        <f>_xll.qlForwardSwapQuote(J30,I30,H30,E30,Permanent,Trigger,ObjectOverwrite)</f>
        <v>USDAM3L28Y_S12L3L_Quote#0006</v>
      </c>
      <c r="L30" s="266" t="str">
        <f>_xll.ohRangeRetrieveError(K30)</f>
        <v/>
      </c>
      <c r="M30" s="52"/>
    </row>
    <row r="31" spans="1:13" x14ac:dyDescent="0.2">
      <c r="A31" s="130"/>
      <c r="B31" s="83" t="s">
        <v>81</v>
      </c>
      <c r="C31" s="203" t="str">
        <f>VLOOKUP(Currency,$O$3:$T$7,2)</f>
        <v>AM</v>
      </c>
      <c r="D31" s="203" t="str">
        <f>VLOOKUP(Currency,$O$3:$T$7,3)</f>
        <v>3L</v>
      </c>
      <c r="E31" s="203" t="str">
        <f>E30</f>
        <v>0D</v>
      </c>
      <c r="F31" s="203" t="str">
        <f>VLOOKUP(Currency,$O$3:$T$7,5)</f>
        <v>12L</v>
      </c>
      <c r="G31" s="203" t="str">
        <f>VLOOKUP(Currency,$O$3:$T$7,6)</f>
        <v>3L</v>
      </c>
      <c r="H31" s="257" t="str">
        <f>IF(F31=0,0,Currency&amp;$F31&amp;$G31&amp;$B31&amp;QuoteSuffix)</f>
        <v>USD12L3L29Y_Quote</v>
      </c>
      <c r="I31" s="114" t="str">
        <f>PROPER(Currency)&amp;FamilyName&amp;"Swap"&amp;FixingType&amp;$B31</f>
        <v>UsdLiborSwapForBasisCalc29Y</v>
      </c>
      <c r="J31" s="256" t="str">
        <f>Currency&amp;$C31&amp;$D31&amp;$B31&amp;IF(H31=0,,"_S"&amp;$F31&amp;$G31)&amp;QuoteSuffix</f>
        <v>USDAM3L29Y_S12L3L_Quote</v>
      </c>
      <c r="K31" s="256" t="str">
        <f>_xll.qlForwardSwapQuote(J31,I31,H31,E31,Permanent,Trigger,ObjectOverwrite)</f>
        <v>USDAM3L29Y_S12L3L_Quote#0006</v>
      </c>
      <c r="L31" s="266" t="str">
        <f>_xll.ohRangeRetrieveError(K31)</f>
        <v/>
      </c>
      <c r="M31" s="52"/>
    </row>
    <row r="32" spans="1:13" x14ac:dyDescent="0.2">
      <c r="A32" s="130"/>
      <c r="B32" s="83" t="s">
        <v>80</v>
      </c>
      <c r="C32" s="203" t="str">
        <f>VLOOKUP(Currency,$O$3:$T$7,2)</f>
        <v>AM</v>
      </c>
      <c r="D32" s="203" t="str">
        <f>VLOOKUP(Currency,$O$3:$T$7,3)</f>
        <v>3L</v>
      </c>
      <c r="E32" s="203" t="str">
        <f>E31</f>
        <v>0D</v>
      </c>
      <c r="F32" s="203" t="str">
        <f>VLOOKUP(Currency,$O$3:$T$7,5)</f>
        <v>12L</v>
      </c>
      <c r="G32" s="203" t="str">
        <f>VLOOKUP(Currency,$O$3:$T$7,6)</f>
        <v>3L</v>
      </c>
      <c r="H32" s="257" t="str">
        <f>IF(F32=0,0,Currency&amp;$F32&amp;$G32&amp;$B32&amp;QuoteSuffix)</f>
        <v>USD12L3L30Y_Quote</v>
      </c>
      <c r="I32" s="114" t="str">
        <f>PROPER(Currency)&amp;FamilyName&amp;"Swap"&amp;FixingType&amp;$B32</f>
        <v>UsdLiborSwapForBasisCalc30Y</v>
      </c>
      <c r="J32" s="256" t="str">
        <f>Currency&amp;$C32&amp;$D32&amp;$B32&amp;IF(H32=0,,"_S"&amp;$F32&amp;$G32)&amp;QuoteSuffix</f>
        <v>USDAM3L30Y_S12L3L_Quote</v>
      </c>
      <c r="K32" s="256" t="str">
        <f>_xll.qlForwardSwapQuote(J32,I32,H32,E32,Permanent,Trigger,ObjectOverwrite)</f>
        <v>USDAM3L30Y_S12L3L_Quote#0006</v>
      </c>
      <c r="L32" s="266" t="str">
        <f>_xll.ohRangeRetrieveError(K32)</f>
        <v/>
      </c>
      <c r="M32" s="52"/>
    </row>
    <row r="33" spans="1:13" x14ac:dyDescent="0.2">
      <c r="A33" s="130"/>
      <c r="B33" s="83" t="s">
        <v>75</v>
      </c>
      <c r="C33" s="203" t="str">
        <f>VLOOKUP(Currency,$O$3:$T$7,2)</f>
        <v>AM</v>
      </c>
      <c r="D33" s="203" t="str">
        <f>VLOOKUP(Currency,$O$3:$T$7,3)</f>
        <v>3L</v>
      </c>
      <c r="E33" s="203" t="str">
        <f>E32</f>
        <v>0D</v>
      </c>
      <c r="F33" s="203" t="str">
        <f>VLOOKUP(Currency,$O$3:$T$7,5)</f>
        <v>12L</v>
      </c>
      <c r="G33" s="203" t="str">
        <f>VLOOKUP(Currency,$O$3:$T$7,6)</f>
        <v>3L</v>
      </c>
      <c r="H33" s="257" t="str">
        <f>IF(F33=0,0,Currency&amp;$F33&amp;$G33&amp;$B33&amp;QuoteSuffix)</f>
        <v>USD12L3L35Y_Quote</v>
      </c>
      <c r="I33" s="114" t="str">
        <f>PROPER(Currency)&amp;FamilyName&amp;"Swap"&amp;FixingType&amp;$B33</f>
        <v>UsdLiborSwapForBasisCalc35Y</v>
      </c>
      <c r="J33" s="256" t="str">
        <f>Currency&amp;$C33&amp;$D33&amp;$B33&amp;IF(H33=0,,"_S"&amp;$F33&amp;$G33)&amp;QuoteSuffix</f>
        <v>USDAM3L35Y_S12L3L_Quote</v>
      </c>
      <c r="K33" s="256" t="str">
        <f>_xll.qlForwardSwapQuote(J33,I33,H33,E33,Permanent,Trigger,ObjectOverwrite)</f>
        <v>USDAM3L35Y_S12L3L_Quote#0006</v>
      </c>
      <c r="L33" s="266" t="str">
        <f>_xll.ohRangeRetrieveError(K33)</f>
        <v/>
      </c>
      <c r="M33" s="52"/>
    </row>
    <row r="34" spans="1:13" x14ac:dyDescent="0.2">
      <c r="A34" s="130"/>
      <c r="B34" s="83" t="s">
        <v>70</v>
      </c>
      <c r="C34" s="203" t="str">
        <f>VLOOKUP(Currency,$O$3:$T$7,2)</f>
        <v>AM</v>
      </c>
      <c r="D34" s="203" t="str">
        <f>VLOOKUP(Currency,$O$3:$T$7,3)</f>
        <v>3L</v>
      </c>
      <c r="E34" s="203" t="str">
        <f>E33</f>
        <v>0D</v>
      </c>
      <c r="F34" s="203" t="str">
        <f>VLOOKUP(Currency,$O$3:$T$7,5)</f>
        <v>12L</v>
      </c>
      <c r="G34" s="203" t="str">
        <f>VLOOKUP(Currency,$O$3:$T$7,6)</f>
        <v>3L</v>
      </c>
      <c r="H34" s="257" t="str">
        <f>IF(F34=0,0,Currency&amp;$F34&amp;$G34&amp;$B34&amp;QuoteSuffix)</f>
        <v>USD12L3L40Y_Quote</v>
      </c>
      <c r="I34" s="114" t="str">
        <f>PROPER(Currency)&amp;FamilyName&amp;"Swap"&amp;FixingType&amp;$B34</f>
        <v>UsdLiborSwapForBasisCalc40Y</v>
      </c>
      <c r="J34" s="256" t="str">
        <f>Currency&amp;$C34&amp;$D34&amp;$B34&amp;IF(H34=0,,"_S"&amp;$F34&amp;$G34)&amp;QuoteSuffix</f>
        <v>USDAM3L40Y_S12L3L_Quote</v>
      </c>
      <c r="K34" s="256" t="str">
        <f>_xll.qlForwardSwapQuote(J34,I34,H34,E34,Permanent,Trigger,ObjectOverwrite)</f>
        <v>USDAM3L40Y_S12L3L_Quote#0006</v>
      </c>
      <c r="L34" s="266" t="str">
        <f>_xll.ohRangeRetrieveError(K34)</f>
        <v/>
      </c>
      <c r="M34" s="52"/>
    </row>
    <row r="35" spans="1:13" x14ac:dyDescent="0.2">
      <c r="A35" s="130"/>
      <c r="B35" s="83" t="s">
        <v>60</v>
      </c>
      <c r="C35" s="203" t="str">
        <f>VLOOKUP(Currency,$O$3:$T$7,2)</f>
        <v>AM</v>
      </c>
      <c r="D35" s="203" t="str">
        <f>VLOOKUP(Currency,$O$3:$T$7,3)</f>
        <v>3L</v>
      </c>
      <c r="E35" s="203" t="str">
        <f>E34</f>
        <v>0D</v>
      </c>
      <c r="F35" s="203" t="str">
        <f>VLOOKUP(Currency,$O$3:$T$7,5)</f>
        <v>12L</v>
      </c>
      <c r="G35" s="203" t="str">
        <f>VLOOKUP(Currency,$O$3:$T$7,6)</f>
        <v>3L</v>
      </c>
      <c r="H35" s="257" t="str">
        <f>IF(F35=0,0,Currency&amp;$F35&amp;$G35&amp;$B35&amp;QuoteSuffix)</f>
        <v>USD12L3L50Y_Quote</v>
      </c>
      <c r="I35" s="114" t="str">
        <f>PROPER(Currency)&amp;FamilyName&amp;"Swap"&amp;FixingType&amp;$B35</f>
        <v>UsdLiborSwapForBasisCalc50Y</v>
      </c>
      <c r="J35" s="256" t="str">
        <f>Currency&amp;$C35&amp;$D35&amp;$B35&amp;IF(H35=0,,"_S"&amp;$F35&amp;$G35)&amp;QuoteSuffix</f>
        <v>USDAM3L50Y_S12L3L_Quote</v>
      </c>
      <c r="K35" s="256" t="str">
        <f>_xll.qlForwardSwapQuote(J35,I35,H35,E35,Permanent,Trigger,ObjectOverwrite)</f>
        <v>USDAM3L50Y_S12L3L_Quote#0006</v>
      </c>
      <c r="L35" s="266" t="str">
        <f>_xll.ohRangeRetrieveError(K35)</f>
        <v/>
      </c>
      <c r="M35" s="52"/>
    </row>
    <row r="36" spans="1:13" x14ac:dyDescent="0.2">
      <c r="A36" s="130"/>
      <c r="B36" s="83" t="s">
        <v>50</v>
      </c>
      <c r="C36" s="203" t="str">
        <f>VLOOKUP(Currency,$O$3:$T$7,2)</f>
        <v>AM</v>
      </c>
      <c r="D36" s="203" t="str">
        <f>VLOOKUP(Currency,$O$3:$T$7,3)</f>
        <v>3L</v>
      </c>
      <c r="E36" s="203" t="str">
        <f>E35</f>
        <v>0D</v>
      </c>
      <c r="F36" s="203" t="str">
        <f>VLOOKUP(Currency,$O$3:$T$7,5)</f>
        <v>12L</v>
      </c>
      <c r="G36" s="203" t="str">
        <f>VLOOKUP(Currency,$O$3:$T$7,6)</f>
        <v>3L</v>
      </c>
      <c r="H36" s="257" t="str">
        <f>IF(F36=0,0,Currency&amp;$F36&amp;$G36&amp;$B36&amp;QuoteSuffix)</f>
        <v>USD12L3L60Y_Quote</v>
      </c>
      <c r="I36" s="114" t="str">
        <f>PROPER(Currency)&amp;FamilyName&amp;"Swap"&amp;FixingType&amp;$B36</f>
        <v>UsdLiborSwapForBasisCalc60Y</v>
      </c>
      <c r="J36" s="256" t="str">
        <f>Currency&amp;$C36&amp;$D36&amp;$B36&amp;IF(H36=0,,"_S"&amp;$F36&amp;$G36)&amp;QuoteSuffix</f>
        <v>USDAM3L60Y_S12L3L_Quote</v>
      </c>
      <c r="K36" s="256" t="str">
        <f>_xll.qlForwardSwapQuote(J36,I36,H36,E36,Permanent,Trigger,ObjectOverwrite)</f>
        <v>USDAM3L60Y_S12L3L_Quote#0006</v>
      </c>
      <c r="L36" s="266" t="str">
        <f>_xll.ohRangeRetrieveError(K36)</f>
        <v/>
      </c>
      <c r="M36" s="52"/>
    </row>
    <row r="37" spans="1:13" ht="12" thickBot="1" x14ac:dyDescent="0.25">
      <c r="A37" s="51"/>
      <c r="B37" s="50"/>
      <c r="C37" s="50"/>
      <c r="D37" s="50"/>
      <c r="E37" s="50"/>
      <c r="F37" s="50"/>
      <c r="G37" s="50"/>
      <c r="H37" s="50"/>
      <c r="I37" s="50"/>
      <c r="J37" s="50"/>
      <c r="K37" s="124"/>
      <c r="L37" s="124"/>
      <c r="M37" s="49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/>
  </sheetViews>
  <sheetFormatPr defaultColWidth="8" defaultRowHeight="11.25" x14ac:dyDescent="0.2"/>
  <cols>
    <col min="1" max="1" width="3.28515625" style="29" customWidth="1"/>
    <col min="2" max="2" width="4.28515625" style="29" customWidth="1"/>
    <col min="3" max="3" width="15.5703125" style="29" bestFit="1" customWidth="1"/>
    <col min="4" max="4" width="98.7109375" style="29" bestFit="1" customWidth="1"/>
    <col min="5" max="5" width="3.7109375" style="29" customWidth="1"/>
    <col min="6" max="6" width="35.28515625" style="29" customWidth="1"/>
    <col min="7" max="7" width="4.28515625" style="29" customWidth="1"/>
    <col min="8" max="16384" width="8" style="29"/>
  </cols>
  <sheetData>
    <row r="1" spans="1:5" ht="13.5" thickBot="1" x14ac:dyDescent="0.25">
      <c r="A1" s="29" t="s">
        <v>229</v>
      </c>
      <c r="B1" s="72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109" t="s">
        <v>145</v>
      </c>
      <c r="C2" s="108"/>
      <c r="D2" s="108"/>
      <c r="E2" s="107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09" t="s">
        <v>144</v>
      </c>
      <c r="C12" s="108"/>
      <c r="D12" s="108"/>
      <c r="E12" s="107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49</v>
      </c>
      <c r="D15" s="15" t="s">
        <v>48</v>
      </c>
      <c r="E15" s="14"/>
    </row>
    <row r="16" spans="1:5" x14ac:dyDescent="0.2">
      <c r="B16" s="9"/>
      <c r="C16" s="16" t="s">
        <v>111</v>
      </c>
      <c r="D16" s="15" t="s">
        <v>119</v>
      </c>
      <c r="E16" s="14"/>
    </row>
    <row r="17" spans="2:5" x14ac:dyDescent="0.2">
      <c r="B17" s="9"/>
      <c r="C17" s="16" t="s">
        <v>143</v>
      </c>
      <c r="D17" s="24" t="s">
        <v>142</v>
      </c>
      <c r="E17" s="14"/>
    </row>
    <row r="18" spans="2:5" x14ac:dyDescent="0.2">
      <c r="B18" s="9"/>
      <c r="C18" s="16" t="s">
        <v>141</v>
      </c>
      <c r="D18" s="106">
        <v>1E-4</v>
      </c>
      <c r="E18" s="14"/>
    </row>
    <row r="19" spans="2:5" x14ac:dyDescent="0.2">
      <c r="B19" s="9"/>
      <c r="C19" s="16" t="s">
        <v>140</v>
      </c>
      <c r="D19" s="105">
        <v>-0.01</v>
      </c>
      <c r="E19" s="14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6"/>
  <sheetViews>
    <sheetView workbookViewId="0"/>
  </sheetViews>
  <sheetFormatPr defaultRowHeight="11.25" x14ac:dyDescent="0.2"/>
  <cols>
    <col min="1" max="1" width="3.28515625" style="111" customWidth="1"/>
    <col min="2" max="2" width="3.5703125" style="111" bestFit="1" customWidth="1"/>
    <col min="3" max="3" width="5.7109375" style="111" bestFit="1" customWidth="1"/>
    <col min="4" max="4" width="5.42578125" style="111" bestFit="1" customWidth="1"/>
    <col min="5" max="5" width="15.85546875" style="111" bestFit="1" customWidth="1"/>
    <col min="6" max="6" width="25" style="111" bestFit="1" customWidth="1"/>
    <col min="7" max="7" width="26.42578125" style="111" bestFit="1" customWidth="1"/>
    <col min="8" max="8" width="53.140625" style="111" customWidth="1"/>
    <col min="9" max="16384" width="9.140625" style="111"/>
  </cols>
  <sheetData>
    <row r="1" spans="1:8" x14ac:dyDescent="0.2">
      <c r="A1" s="111" t="s">
        <v>233</v>
      </c>
    </row>
    <row r="2" spans="1:8" x14ac:dyDescent="0.2">
      <c r="E2" s="274" t="s">
        <v>232</v>
      </c>
      <c r="F2" s="273" t="str">
        <f>PROPER(Currency)&amp;"HW_Volatility_Quote"</f>
        <v>UsdHW_Volatility_Quote</v>
      </c>
    </row>
    <row r="3" spans="1:8" x14ac:dyDescent="0.2">
      <c r="E3" s="274" t="s">
        <v>231</v>
      </c>
      <c r="F3" s="273" t="str">
        <f>PROPER(Currency)&amp;"HW_MeanReversion_Quote"</f>
        <v>UsdHW_MeanReversion_Quote</v>
      </c>
    </row>
    <row r="4" spans="1:8" x14ac:dyDescent="0.2">
      <c r="E4" s="274" t="s">
        <v>118</v>
      </c>
      <c r="F4" s="273" t="str">
        <f>PROPER(Currency)&amp;FamilyName&amp;$G$4</f>
        <v>UsdLibor1M</v>
      </c>
      <c r="G4" s="272" t="s">
        <v>40</v>
      </c>
    </row>
    <row r="6" spans="1:8" ht="22.5" x14ac:dyDescent="0.2">
      <c r="A6" s="161"/>
      <c r="B6" s="97" t="s">
        <v>183</v>
      </c>
      <c r="C6" s="208" t="s">
        <v>182</v>
      </c>
      <c r="D6" s="208" t="s">
        <v>181</v>
      </c>
      <c r="E6" s="208" t="s">
        <v>230</v>
      </c>
      <c r="F6" s="96" t="str">
        <f>Currency&amp;"_020_Futures"&amp;G4&amp;"ConvAdj.xml"</f>
        <v>USD_020_Futures1MConvAdj.xml</v>
      </c>
      <c r="G6" s="117">
        <f ca="1">IF(Serialize,_xll.ohObjectSave(G7:G126,SerializationPath&amp;F6,FileOverwrite,Serialize),"---")</f>
        <v>120</v>
      </c>
      <c r="H6" s="79" t="str">
        <f ca="1">_xll.ohRangeRetrieveError(G6)</f>
        <v/>
      </c>
    </row>
    <row r="7" spans="1:8" x14ac:dyDescent="0.2">
      <c r="A7" s="155"/>
      <c r="B7" s="160">
        <v>1</v>
      </c>
      <c r="C7" s="158" t="b">
        <v>0</v>
      </c>
      <c r="D7" s="158" t="str">
        <f t="array" ref="D7:D126">_xll.qlIMMNextCodes(_xll.qlSettingsEvaluationDate(Trigger)-1,$C7:$C126)</f>
        <v>Z3</v>
      </c>
      <c r="E7" s="270" t="str">
        <f>Currency&amp;"FUT"&amp;$G$4&amp;$D7&amp;QuoteSuffix</f>
        <v>USDFUT1MZ3_Quote</v>
      </c>
      <c r="F7" s="271" t="str">
        <f>Currency&amp;"FUT"&amp;$G$4&amp;$D7&amp;"ConvAdj"&amp;QuoteSuffix</f>
        <v>USDFUT1MZ3ConvAdj_Quote</v>
      </c>
      <c r="G7" s="270" t="str">
        <f>_xll.qlFuturesConvAdjustmentQuote($F7,IborIndex,$D7,$E7,Volatility,MeanReversion,Permanent,Trigger,ObjectOverwrite)</f>
        <v>USDFUT1MZ3ConvAdj_Quote#0004</v>
      </c>
      <c r="H7" s="79" t="str">
        <f>_xll.ohRangeRetrieveError(G7)</f>
        <v/>
      </c>
    </row>
    <row r="8" spans="1:8" x14ac:dyDescent="0.2">
      <c r="A8" s="155"/>
      <c r="B8" s="154">
        <v>2</v>
      </c>
      <c r="C8" s="152" t="b">
        <v>0</v>
      </c>
      <c r="D8" s="152" t="str">
        <v>F4</v>
      </c>
      <c r="E8" s="270" t="str">
        <f>Currency&amp;"FUT"&amp;$G$4&amp;$D8&amp;QuoteSuffix</f>
        <v>USDFUT1MF4_Quote</v>
      </c>
      <c r="F8" s="271" t="str">
        <f>Currency&amp;"FUT"&amp;$G$4&amp;$D8&amp;"ConvAdj"&amp;QuoteSuffix</f>
        <v>USDFUT1MF4ConvAdj_Quote</v>
      </c>
      <c r="G8" s="270" t="str">
        <f>_xll.qlFuturesConvAdjustmentQuote($F8,IborIndex,$D8,$E8,Volatility,MeanReversion,Permanent,Trigger,ObjectOverwrite)</f>
        <v>USDFUT1MF4ConvAdj_Quote#0004</v>
      </c>
      <c r="H8" s="79" t="str">
        <f>_xll.ohRangeRetrieveError(G8)</f>
        <v/>
      </c>
    </row>
    <row r="9" spans="1:8" x14ac:dyDescent="0.2">
      <c r="A9" s="155"/>
      <c r="B9" s="154">
        <v>3</v>
      </c>
      <c r="C9" s="152" t="b">
        <v>0</v>
      </c>
      <c r="D9" s="152" t="str">
        <v>G4</v>
      </c>
      <c r="E9" s="270" t="str">
        <f>Currency&amp;"FUT"&amp;$G$4&amp;$D9&amp;QuoteSuffix</f>
        <v>USDFUT1MG4_Quote</v>
      </c>
      <c r="F9" s="271" t="str">
        <f>Currency&amp;"FUT"&amp;$G$4&amp;$D9&amp;"ConvAdj"&amp;QuoteSuffix</f>
        <v>USDFUT1MG4ConvAdj_Quote</v>
      </c>
      <c r="G9" s="270" t="str">
        <f>_xll.qlFuturesConvAdjustmentQuote($F9,IborIndex,$D9,$E9,Volatility,MeanReversion,Permanent,Trigger,ObjectOverwrite)</f>
        <v>USDFUT1MG4ConvAdj_Quote#0004</v>
      </c>
      <c r="H9" s="79" t="str">
        <f>_xll.ohRangeRetrieveError(G9)</f>
        <v/>
      </c>
    </row>
    <row r="10" spans="1:8" x14ac:dyDescent="0.2">
      <c r="A10" s="155"/>
      <c r="B10" s="154">
        <v>4</v>
      </c>
      <c r="C10" s="152" t="b">
        <v>0</v>
      </c>
      <c r="D10" s="152" t="str">
        <v>H4</v>
      </c>
      <c r="E10" s="270" t="str">
        <f>Currency&amp;"FUT"&amp;$G$4&amp;$D10&amp;QuoteSuffix</f>
        <v>USDFUT1MH4_Quote</v>
      </c>
      <c r="F10" s="271" t="str">
        <f>Currency&amp;"FUT"&amp;$G$4&amp;$D10&amp;"ConvAdj"&amp;QuoteSuffix</f>
        <v>USDFUT1MH4ConvAdj_Quote</v>
      </c>
      <c r="G10" s="270" t="str">
        <f>_xll.qlFuturesConvAdjustmentQuote($F10,IborIndex,$D10,$E10,Volatility,MeanReversion,Permanent,Trigger,ObjectOverwrite)</f>
        <v>USDFUT1MH4ConvAdj_Quote#0004</v>
      </c>
      <c r="H10" s="79" t="str">
        <f>_xll.ohRangeRetrieveError(G10)</f>
        <v/>
      </c>
    </row>
    <row r="11" spans="1:8" x14ac:dyDescent="0.2">
      <c r="A11" s="155"/>
      <c r="B11" s="154">
        <v>5</v>
      </c>
      <c r="C11" s="152" t="b">
        <v>0</v>
      </c>
      <c r="D11" s="152" t="str">
        <v>J4</v>
      </c>
      <c r="E11" s="270" t="str">
        <f>Currency&amp;"FUT"&amp;$G$4&amp;$D11&amp;QuoteSuffix</f>
        <v>USDFUT1MJ4_Quote</v>
      </c>
      <c r="F11" s="271" t="str">
        <f>Currency&amp;"FUT"&amp;$G$4&amp;$D11&amp;"ConvAdj"&amp;QuoteSuffix</f>
        <v>USDFUT1MJ4ConvAdj_Quote</v>
      </c>
      <c r="G11" s="270" t="str">
        <f>_xll.qlFuturesConvAdjustmentQuote($F11,IborIndex,$D11,$E11,Volatility,MeanReversion,Permanent,Trigger,ObjectOverwrite)</f>
        <v>USDFUT1MJ4ConvAdj_Quote#0004</v>
      </c>
      <c r="H11" s="79" t="str">
        <f>_xll.ohRangeRetrieveError(G11)</f>
        <v/>
      </c>
    </row>
    <row r="12" spans="1:8" x14ac:dyDescent="0.2">
      <c r="A12" s="155"/>
      <c r="B12" s="154">
        <v>6</v>
      </c>
      <c r="C12" s="152" t="b">
        <v>0</v>
      </c>
      <c r="D12" s="152" t="str">
        <v>K4</v>
      </c>
      <c r="E12" s="270" t="str">
        <f>Currency&amp;"FUT"&amp;$G$4&amp;$D12&amp;QuoteSuffix</f>
        <v>USDFUT1MK4_Quote</v>
      </c>
      <c r="F12" s="271" t="str">
        <f>Currency&amp;"FUT"&amp;$G$4&amp;$D12&amp;"ConvAdj"&amp;QuoteSuffix</f>
        <v>USDFUT1MK4ConvAdj_Quote</v>
      </c>
      <c r="G12" s="270" t="str">
        <f>_xll.qlFuturesConvAdjustmentQuote($F12,IborIndex,$D12,$E12,Volatility,MeanReversion,Permanent,Trigger,ObjectOverwrite)</f>
        <v>USDFUT1MK4ConvAdj_Quote#0004</v>
      </c>
      <c r="H12" s="79" t="str">
        <f>_xll.ohRangeRetrieveError(G12)</f>
        <v/>
      </c>
    </row>
    <row r="13" spans="1:8" x14ac:dyDescent="0.2">
      <c r="A13" s="155"/>
      <c r="B13" s="154">
        <v>7</v>
      </c>
      <c r="C13" s="152" t="b">
        <v>0</v>
      </c>
      <c r="D13" s="152" t="str">
        <v>M4</v>
      </c>
      <c r="E13" s="270" t="str">
        <f>Currency&amp;"FUT"&amp;$G$4&amp;$D13&amp;QuoteSuffix</f>
        <v>USDFUT1MM4_Quote</v>
      </c>
      <c r="F13" s="271" t="str">
        <f>Currency&amp;"FUT"&amp;$G$4&amp;$D13&amp;"ConvAdj"&amp;QuoteSuffix</f>
        <v>USDFUT1MM4ConvAdj_Quote</v>
      </c>
      <c r="G13" s="270" t="str">
        <f>_xll.qlFuturesConvAdjustmentQuote($F13,IborIndex,$D13,$E13,Volatility,MeanReversion,Permanent,Trigger,ObjectOverwrite)</f>
        <v>USDFUT1MM4ConvAdj_Quote#0004</v>
      </c>
      <c r="H13" s="79" t="str">
        <f>_xll.ohRangeRetrieveError(G13)</f>
        <v/>
      </c>
    </row>
    <row r="14" spans="1:8" x14ac:dyDescent="0.2">
      <c r="A14" s="155"/>
      <c r="B14" s="154">
        <v>8</v>
      </c>
      <c r="C14" s="152" t="b">
        <v>0</v>
      </c>
      <c r="D14" s="152" t="str">
        <v>N4</v>
      </c>
      <c r="E14" s="270" t="str">
        <f>Currency&amp;"FUT"&amp;$G$4&amp;$D14&amp;QuoteSuffix</f>
        <v>USDFUT1MN4_Quote</v>
      </c>
      <c r="F14" s="271" t="str">
        <f>Currency&amp;"FUT"&amp;$G$4&amp;$D14&amp;"ConvAdj"&amp;QuoteSuffix</f>
        <v>USDFUT1MN4ConvAdj_Quote</v>
      </c>
      <c r="G14" s="270" t="str">
        <f>_xll.qlFuturesConvAdjustmentQuote($F14,IborIndex,$D14,$E14,Volatility,MeanReversion,Permanent,Trigger,ObjectOverwrite)</f>
        <v>USDFUT1MN4ConvAdj_Quote#0004</v>
      </c>
      <c r="H14" s="79" t="str">
        <f>_xll.ohRangeRetrieveError(G14)</f>
        <v/>
      </c>
    </row>
    <row r="15" spans="1:8" x14ac:dyDescent="0.2">
      <c r="A15" s="155"/>
      <c r="B15" s="154">
        <v>9</v>
      </c>
      <c r="C15" s="152" t="b">
        <v>0</v>
      </c>
      <c r="D15" s="152" t="str">
        <v>Q4</v>
      </c>
      <c r="E15" s="270" t="str">
        <f>Currency&amp;"FUT"&amp;$G$4&amp;$D15&amp;QuoteSuffix</f>
        <v>USDFUT1MQ4_Quote</v>
      </c>
      <c r="F15" s="271" t="str">
        <f>Currency&amp;"FUT"&amp;$G$4&amp;$D15&amp;"ConvAdj"&amp;QuoteSuffix</f>
        <v>USDFUT1MQ4ConvAdj_Quote</v>
      </c>
      <c r="G15" s="270" t="str">
        <f>_xll.qlFuturesConvAdjustmentQuote($F15,IborIndex,$D15,$E15,Volatility,MeanReversion,Permanent,Trigger,ObjectOverwrite)</f>
        <v>USDFUT1MQ4ConvAdj_Quote#0004</v>
      </c>
      <c r="H15" s="79" t="str">
        <f>_xll.ohRangeRetrieveError(G15)</f>
        <v/>
      </c>
    </row>
    <row r="16" spans="1:8" x14ac:dyDescent="0.2">
      <c r="A16" s="155"/>
      <c r="B16" s="154">
        <v>10</v>
      </c>
      <c r="C16" s="152" t="b">
        <v>0</v>
      </c>
      <c r="D16" s="152" t="str">
        <v>U4</v>
      </c>
      <c r="E16" s="270" t="str">
        <f>Currency&amp;"FUT"&amp;$G$4&amp;$D16&amp;QuoteSuffix</f>
        <v>USDFUT1MU4_Quote</v>
      </c>
      <c r="F16" s="271" t="str">
        <f>Currency&amp;"FUT"&amp;$G$4&amp;$D16&amp;"ConvAdj"&amp;QuoteSuffix</f>
        <v>USDFUT1MU4ConvAdj_Quote</v>
      </c>
      <c r="G16" s="270" t="str">
        <f>_xll.qlFuturesConvAdjustmentQuote($F16,IborIndex,$D16,$E16,Volatility,MeanReversion,Permanent,Trigger,ObjectOverwrite)</f>
        <v>USDFUT1MU4ConvAdj_Quote#0004</v>
      </c>
      <c r="H16" s="79" t="str">
        <f>_xll.ohRangeRetrieveError(G16)</f>
        <v/>
      </c>
    </row>
    <row r="17" spans="1:8" x14ac:dyDescent="0.2">
      <c r="A17" s="155"/>
      <c r="B17" s="154">
        <v>11</v>
      </c>
      <c r="C17" s="152" t="b">
        <v>0</v>
      </c>
      <c r="D17" s="152" t="str">
        <v>V4</v>
      </c>
      <c r="E17" s="270" t="str">
        <f>Currency&amp;"FUT"&amp;$G$4&amp;$D17&amp;QuoteSuffix</f>
        <v>USDFUT1MV4_Quote</v>
      </c>
      <c r="F17" s="271" t="str">
        <f>Currency&amp;"FUT"&amp;$G$4&amp;$D17&amp;"ConvAdj"&amp;QuoteSuffix</f>
        <v>USDFUT1MV4ConvAdj_Quote</v>
      </c>
      <c r="G17" s="270" t="str">
        <f>_xll.qlFuturesConvAdjustmentQuote($F17,IborIndex,$D17,$E17,Volatility,MeanReversion,Permanent,Trigger,ObjectOverwrite)</f>
        <v>USDFUT1MV4ConvAdj_Quote#0004</v>
      </c>
      <c r="H17" s="79" t="str">
        <f>_xll.ohRangeRetrieveError(G17)</f>
        <v/>
      </c>
    </row>
    <row r="18" spans="1:8" x14ac:dyDescent="0.2">
      <c r="A18" s="155"/>
      <c r="B18" s="154">
        <v>12</v>
      </c>
      <c r="C18" s="152" t="b">
        <v>0</v>
      </c>
      <c r="D18" s="152" t="str">
        <v>X4</v>
      </c>
      <c r="E18" s="270" t="str">
        <f>Currency&amp;"FUT"&amp;$G$4&amp;$D18&amp;QuoteSuffix</f>
        <v>USDFUT1MX4_Quote</v>
      </c>
      <c r="F18" s="271" t="str">
        <f>Currency&amp;"FUT"&amp;$G$4&amp;$D18&amp;"ConvAdj"&amp;QuoteSuffix</f>
        <v>USDFUT1MX4ConvAdj_Quote</v>
      </c>
      <c r="G18" s="270" t="str">
        <f>_xll.qlFuturesConvAdjustmentQuote($F18,IborIndex,$D18,$E18,Volatility,MeanReversion,Permanent,Trigger,ObjectOverwrite)</f>
        <v>USDFUT1MX4ConvAdj_Quote#0004</v>
      </c>
      <c r="H18" s="79" t="str">
        <f>_xll.ohRangeRetrieveError(G18)</f>
        <v/>
      </c>
    </row>
    <row r="19" spans="1:8" x14ac:dyDescent="0.2">
      <c r="A19" s="155"/>
      <c r="B19" s="154">
        <v>13</v>
      </c>
      <c r="C19" s="152" t="b">
        <v>0</v>
      </c>
      <c r="D19" s="152" t="str">
        <v>Z4</v>
      </c>
      <c r="E19" s="270" t="str">
        <f>Currency&amp;"FUT"&amp;$G$4&amp;$D19&amp;QuoteSuffix</f>
        <v>USDFUT1MZ4_Quote</v>
      </c>
      <c r="F19" s="271" t="str">
        <f>Currency&amp;"FUT"&amp;$G$4&amp;$D19&amp;"ConvAdj"&amp;QuoteSuffix</f>
        <v>USDFUT1MZ4ConvAdj_Quote</v>
      </c>
      <c r="G19" s="270" t="str">
        <f>_xll.qlFuturesConvAdjustmentQuote($F19,IborIndex,$D19,$E19,Volatility,MeanReversion,Permanent,Trigger,ObjectOverwrite)</f>
        <v>USDFUT1MZ4ConvAdj_Quote#0004</v>
      </c>
      <c r="H19" s="79" t="str">
        <f>_xll.ohRangeRetrieveError(G19)</f>
        <v/>
      </c>
    </row>
    <row r="20" spans="1:8" x14ac:dyDescent="0.2">
      <c r="A20" s="155"/>
      <c r="B20" s="154">
        <v>14</v>
      </c>
      <c r="C20" s="152" t="b">
        <v>0</v>
      </c>
      <c r="D20" s="152" t="str">
        <v>F5</v>
      </c>
      <c r="E20" s="270" t="str">
        <f>Currency&amp;"FUT"&amp;$G$4&amp;$D20&amp;QuoteSuffix</f>
        <v>USDFUT1MF5_Quote</v>
      </c>
      <c r="F20" s="271" t="str">
        <f>Currency&amp;"FUT"&amp;$G$4&amp;$D20&amp;"ConvAdj"&amp;QuoteSuffix</f>
        <v>USDFUT1MF5ConvAdj_Quote</v>
      </c>
      <c r="G20" s="270" t="str">
        <f>_xll.qlFuturesConvAdjustmentQuote($F20,IborIndex,$D20,$E20,Volatility,MeanReversion,Permanent,Trigger,ObjectOverwrite)</f>
        <v>USDFUT1MF5ConvAdj_Quote#0004</v>
      </c>
      <c r="H20" s="79" t="str">
        <f>_xll.ohRangeRetrieveError(G20)</f>
        <v/>
      </c>
    </row>
    <row r="21" spans="1:8" x14ac:dyDescent="0.2">
      <c r="A21" s="155"/>
      <c r="B21" s="154">
        <v>15</v>
      </c>
      <c r="C21" s="152" t="b">
        <v>0</v>
      </c>
      <c r="D21" s="152" t="str">
        <v>G5</v>
      </c>
      <c r="E21" s="270" t="str">
        <f>Currency&amp;"FUT"&amp;$G$4&amp;$D21&amp;QuoteSuffix</f>
        <v>USDFUT1MG5_Quote</v>
      </c>
      <c r="F21" s="271" t="str">
        <f>Currency&amp;"FUT"&amp;$G$4&amp;$D21&amp;"ConvAdj"&amp;QuoteSuffix</f>
        <v>USDFUT1MG5ConvAdj_Quote</v>
      </c>
      <c r="G21" s="270" t="str">
        <f>_xll.qlFuturesConvAdjustmentQuote($F21,IborIndex,$D21,$E21,Volatility,MeanReversion,Permanent,Trigger,ObjectOverwrite)</f>
        <v>USDFUT1MG5ConvAdj_Quote#0004</v>
      </c>
      <c r="H21" s="79" t="str">
        <f>_xll.ohRangeRetrieveError(G21)</f>
        <v/>
      </c>
    </row>
    <row r="22" spans="1:8" x14ac:dyDescent="0.2">
      <c r="A22" s="155"/>
      <c r="B22" s="154">
        <v>16</v>
      </c>
      <c r="C22" s="152" t="b">
        <v>0</v>
      </c>
      <c r="D22" s="152" t="str">
        <v>H5</v>
      </c>
      <c r="E22" s="270" t="str">
        <f>Currency&amp;"FUT"&amp;$G$4&amp;$D22&amp;QuoteSuffix</f>
        <v>USDFUT1MH5_Quote</v>
      </c>
      <c r="F22" s="271" t="str">
        <f>Currency&amp;"FUT"&amp;$G$4&amp;$D22&amp;"ConvAdj"&amp;QuoteSuffix</f>
        <v>USDFUT1MH5ConvAdj_Quote</v>
      </c>
      <c r="G22" s="270" t="str">
        <f>_xll.qlFuturesConvAdjustmentQuote($F22,IborIndex,$D22,$E22,Volatility,MeanReversion,Permanent,Trigger,ObjectOverwrite)</f>
        <v>USDFUT1MH5ConvAdj_Quote#0004</v>
      </c>
      <c r="H22" s="79" t="str">
        <f>_xll.ohRangeRetrieveError(G22)</f>
        <v/>
      </c>
    </row>
    <row r="23" spans="1:8" x14ac:dyDescent="0.2">
      <c r="A23" s="155"/>
      <c r="B23" s="154">
        <v>17</v>
      </c>
      <c r="C23" s="152" t="b">
        <v>0</v>
      </c>
      <c r="D23" s="152" t="str">
        <v>J5</v>
      </c>
      <c r="E23" s="270" t="str">
        <f>Currency&amp;"FUT"&amp;$G$4&amp;$D23&amp;QuoteSuffix</f>
        <v>USDFUT1MJ5_Quote</v>
      </c>
      <c r="F23" s="271" t="str">
        <f>Currency&amp;"FUT"&amp;$G$4&amp;$D23&amp;"ConvAdj"&amp;QuoteSuffix</f>
        <v>USDFUT1MJ5ConvAdj_Quote</v>
      </c>
      <c r="G23" s="270" t="str">
        <f>_xll.qlFuturesConvAdjustmentQuote($F23,IborIndex,$D23,$E23,Volatility,MeanReversion,Permanent,Trigger,ObjectOverwrite)</f>
        <v>USDFUT1MJ5ConvAdj_Quote#0004</v>
      </c>
      <c r="H23" s="79" t="str">
        <f>_xll.ohRangeRetrieveError(G23)</f>
        <v/>
      </c>
    </row>
    <row r="24" spans="1:8" x14ac:dyDescent="0.2">
      <c r="A24" s="155"/>
      <c r="B24" s="154">
        <v>18</v>
      </c>
      <c r="C24" s="152" t="b">
        <v>0</v>
      </c>
      <c r="D24" s="152" t="str">
        <v>K5</v>
      </c>
      <c r="E24" s="270" t="str">
        <f>Currency&amp;"FUT"&amp;$G$4&amp;$D24&amp;QuoteSuffix</f>
        <v>USDFUT1MK5_Quote</v>
      </c>
      <c r="F24" s="271" t="str">
        <f>Currency&amp;"FUT"&amp;$G$4&amp;$D24&amp;"ConvAdj"&amp;QuoteSuffix</f>
        <v>USDFUT1MK5ConvAdj_Quote</v>
      </c>
      <c r="G24" s="270" t="str">
        <f>_xll.qlFuturesConvAdjustmentQuote($F24,IborIndex,$D24,$E24,Volatility,MeanReversion,Permanent,Trigger,ObjectOverwrite)</f>
        <v>USDFUT1MK5ConvAdj_Quote#0004</v>
      </c>
      <c r="H24" s="79" t="str">
        <f>_xll.ohRangeRetrieveError(G24)</f>
        <v/>
      </c>
    </row>
    <row r="25" spans="1:8" x14ac:dyDescent="0.2">
      <c r="A25" s="155"/>
      <c r="B25" s="154">
        <v>19</v>
      </c>
      <c r="C25" s="152" t="b">
        <v>0</v>
      </c>
      <c r="D25" s="152" t="str">
        <v>M5</v>
      </c>
      <c r="E25" s="270" t="str">
        <f>Currency&amp;"FUT"&amp;$G$4&amp;$D25&amp;QuoteSuffix</f>
        <v>USDFUT1MM5_Quote</v>
      </c>
      <c r="F25" s="271" t="str">
        <f>Currency&amp;"FUT"&amp;$G$4&amp;$D25&amp;"ConvAdj"&amp;QuoteSuffix</f>
        <v>USDFUT1MM5ConvAdj_Quote</v>
      </c>
      <c r="G25" s="270" t="str">
        <f>_xll.qlFuturesConvAdjustmentQuote($F25,IborIndex,$D25,$E25,Volatility,MeanReversion,Permanent,Trigger,ObjectOverwrite)</f>
        <v>USDFUT1MM5ConvAdj_Quote#0004</v>
      </c>
      <c r="H25" s="79" t="str">
        <f>_xll.ohRangeRetrieveError(G25)</f>
        <v/>
      </c>
    </row>
    <row r="26" spans="1:8" x14ac:dyDescent="0.2">
      <c r="A26" s="155"/>
      <c r="B26" s="154">
        <v>20</v>
      </c>
      <c r="C26" s="152" t="b">
        <v>0</v>
      </c>
      <c r="D26" s="152" t="str">
        <v>N5</v>
      </c>
      <c r="E26" s="270" t="str">
        <f>Currency&amp;"FUT"&amp;$G$4&amp;$D26&amp;QuoteSuffix</f>
        <v>USDFUT1MN5_Quote</v>
      </c>
      <c r="F26" s="271" t="str">
        <f>Currency&amp;"FUT"&amp;$G$4&amp;$D26&amp;"ConvAdj"&amp;QuoteSuffix</f>
        <v>USDFUT1MN5ConvAdj_Quote</v>
      </c>
      <c r="G26" s="270" t="str">
        <f>_xll.qlFuturesConvAdjustmentQuote($F26,IborIndex,$D26,$E26,Volatility,MeanReversion,Permanent,Trigger,ObjectOverwrite)</f>
        <v>USDFUT1MN5ConvAdj_Quote#0004</v>
      </c>
      <c r="H26" s="79" t="str">
        <f>_xll.ohRangeRetrieveError(G26)</f>
        <v/>
      </c>
    </row>
    <row r="27" spans="1:8" x14ac:dyDescent="0.2">
      <c r="A27" s="155"/>
      <c r="B27" s="154">
        <v>21</v>
      </c>
      <c r="C27" s="152" t="b">
        <v>0</v>
      </c>
      <c r="D27" s="152" t="str">
        <v>Q5</v>
      </c>
      <c r="E27" s="270" t="str">
        <f>Currency&amp;"FUT"&amp;$G$4&amp;$D27&amp;QuoteSuffix</f>
        <v>USDFUT1MQ5_Quote</v>
      </c>
      <c r="F27" s="271" t="str">
        <f>Currency&amp;"FUT"&amp;$G$4&amp;$D27&amp;"ConvAdj"&amp;QuoteSuffix</f>
        <v>USDFUT1MQ5ConvAdj_Quote</v>
      </c>
      <c r="G27" s="270" t="str">
        <f>_xll.qlFuturesConvAdjustmentQuote($F27,IborIndex,$D27,$E27,Volatility,MeanReversion,Permanent,Trigger,ObjectOverwrite)</f>
        <v>USDFUT1MQ5ConvAdj_Quote#0004</v>
      </c>
      <c r="H27" s="79" t="str">
        <f>_xll.ohRangeRetrieveError(G27)</f>
        <v/>
      </c>
    </row>
    <row r="28" spans="1:8" x14ac:dyDescent="0.2">
      <c r="A28" s="155"/>
      <c r="B28" s="154">
        <v>22</v>
      </c>
      <c r="C28" s="152" t="b">
        <v>0</v>
      </c>
      <c r="D28" s="152" t="str">
        <v>U5</v>
      </c>
      <c r="E28" s="270" t="str">
        <f>Currency&amp;"FUT"&amp;$G$4&amp;$D28&amp;QuoteSuffix</f>
        <v>USDFUT1MU5_Quote</v>
      </c>
      <c r="F28" s="271" t="str">
        <f>Currency&amp;"FUT"&amp;$G$4&amp;$D28&amp;"ConvAdj"&amp;QuoteSuffix</f>
        <v>USDFUT1MU5ConvAdj_Quote</v>
      </c>
      <c r="G28" s="270" t="str">
        <f>_xll.qlFuturesConvAdjustmentQuote($F28,IborIndex,$D28,$E28,Volatility,MeanReversion,Permanent,Trigger,ObjectOverwrite)</f>
        <v>USDFUT1MU5ConvAdj_Quote#0004</v>
      </c>
      <c r="H28" s="79" t="str">
        <f>_xll.ohRangeRetrieveError(G28)</f>
        <v/>
      </c>
    </row>
    <row r="29" spans="1:8" x14ac:dyDescent="0.2">
      <c r="A29" s="155"/>
      <c r="B29" s="154">
        <v>23</v>
      </c>
      <c r="C29" s="152" t="b">
        <v>0</v>
      </c>
      <c r="D29" s="152" t="str">
        <v>V5</v>
      </c>
      <c r="E29" s="270" t="str">
        <f>Currency&amp;"FUT"&amp;$G$4&amp;$D29&amp;QuoteSuffix</f>
        <v>USDFUT1MV5_Quote</v>
      </c>
      <c r="F29" s="271" t="str">
        <f>Currency&amp;"FUT"&amp;$G$4&amp;$D29&amp;"ConvAdj"&amp;QuoteSuffix</f>
        <v>USDFUT1MV5ConvAdj_Quote</v>
      </c>
      <c r="G29" s="270" t="str">
        <f>_xll.qlFuturesConvAdjustmentQuote($F29,IborIndex,$D29,$E29,Volatility,MeanReversion,Permanent,Trigger,ObjectOverwrite)</f>
        <v>USDFUT1MV5ConvAdj_Quote#0004</v>
      </c>
      <c r="H29" s="79" t="str">
        <f>_xll.ohRangeRetrieveError(G29)</f>
        <v/>
      </c>
    </row>
    <row r="30" spans="1:8" x14ac:dyDescent="0.2">
      <c r="A30" s="155"/>
      <c r="B30" s="154">
        <v>24</v>
      </c>
      <c r="C30" s="152" t="b">
        <v>0</v>
      </c>
      <c r="D30" s="152" t="str">
        <v>X5</v>
      </c>
      <c r="E30" s="270" t="str">
        <f>Currency&amp;"FUT"&amp;$G$4&amp;$D30&amp;QuoteSuffix</f>
        <v>USDFUT1MX5_Quote</v>
      </c>
      <c r="F30" s="271" t="str">
        <f>Currency&amp;"FUT"&amp;$G$4&amp;$D30&amp;"ConvAdj"&amp;QuoteSuffix</f>
        <v>USDFUT1MX5ConvAdj_Quote</v>
      </c>
      <c r="G30" s="270" t="str">
        <f>_xll.qlFuturesConvAdjustmentQuote($F30,IborIndex,$D30,$E30,Volatility,MeanReversion,Permanent,Trigger,ObjectOverwrite)</f>
        <v>USDFUT1MX5ConvAdj_Quote#0004</v>
      </c>
      <c r="H30" s="79" t="str">
        <f>_xll.ohRangeRetrieveError(G30)</f>
        <v/>
      </c>
    </row>
    <row r="31" spans="1:8" x14ac:dyDescent="0.2">
      <c r="A31" s="155"/>
      <c r="B31" s="154">
        <v>25</v>
      </c>
      <c r="C31" s="152" t="b">
        <v>0</v>
      </c>
      <c r="D31" s="152" t="str">
        <v>Z5</v>
      </c>
      <c r="E31" s="270" t="str">
        <f>Currency&amp;"FUT"&amp;$G$4&amp;$D31&amp;QuoteSuffix</f>
        <v>USDFUT1MZ5_Quote</v>
      </c>
      <c r="F31" s="271" t="str">
        <f>Currency&amp;"FUT"&amp;$G$4&amp;$D31&amp;"ConvAdj"&amp;QuoteSuffix</f>
        <v>USDFUT1MZ5ConvAdj_Quote</v>
      </c>
      <c r="G31" s="270" t="str">
        <f>_xll.qlFuturesConvAdjustmentQuote($F31,IborIndex,$D31,$E31,Volatility,MeanReversion,Permanent,Trigger,ObjectOverwrite)</f>
        <v>USDFUT1MZ5ConvAdj_Quote#0004</v>
      </c>
      <c r="H31" s="79" t="str">
        <f>_xll.ohRangeRetrieveError(G31)</f>
        <v/>
      </c>
    </row>
    <row r="32" spans="1:8" x14ac:dyDescent="0.2">
      <c r="A32" s="155"/>
      <c r="B32" s="154">
        <v>26</v>
      </c>
      <c r="C32" s="152" t="b">
        <v>0</v>
      </c>
      <c r="D32" s="152" t="str">
        <v>F6</v>
      </c>
      <c r="E32" s="270" t="str">
        <f>Currency&amp;"FUT"&amp;$G$4&amp;$D32&amp;QuoteSuffix</f>
        <v>USDFUT1MF6_Quote</v>
      </c>
      <c r="F32" s="271" t="str">
        <f>Currency&amp;"FUT"&amp;$G$4&amp;$D32&amp;"ConvAdj"&amp;QuoteSuffix</f>
        <v>USDFUT1MF6ConvAdj_Quote</v>
      </c>
      <c r="G32" s="270" t="str">
        <f>_xll.qlFuturesConvAdjustmentQuote($F32,IborIndex,$D32,$E32,Volatility,MeanReversion,Permanent,Trigger,ObjectOverwrite)</f>
        <v>USDFUT1MF6ConvAdj_Quote#0004</v>
      </c>
      <c r="H32" s="79" t="str">
        <f>_xll.ohRangeRetrieveError(G32)</f>
        <v/>
      </c>
    </row>
    <row r="33" spans="1:8" x14ac:dyDescent="0.2">
      <c r="A33" s="155"/>
      <c r="B33" s="154">
        <v>27</v>
      </c>
      <c r="C33" s="152" t="b">
        <v>0</v>
      </c>
      <c r="D33" s="152" t="str">
        <v>G6</v>
      </c>
      <c r="E33" s="270" t="str">
        <f>Currency&amp;"FUT"&amp;$G$4&amp;$D33&amp;QuoteSuffix</f>
        <v>USDFUT1MG6_Quote</v>
      </c>
      <c r="F33" s="271" t="str">
        <f>Currency&amp;"FUT"&amp;$G$4&amp;$D33&amp;"ConvAdj"&amp;QuoteSuffix</f>
        <v>USDFUT1MG6ConvAdj_Quote</v>
      </c>
      <c r="G33" s="270" t="str">
        <f>_xll.qlFuturesConvAdjustmentQuote($F33,IborIndex,$D33,$E33,Volatility,MeanReversion,Permanent,Trigger,ObjectOverwrite)</f>
        <v>USDFUT1MG6ConvAdj_Quote#0004</v>
      </c>
      <c r="H33" s="79" t="str">
        <f>_xll.ohRangeRetrieveError(G33)</f>
        <v/>
      </c>
    </row>
    <row r="34" spans="1:8" x14ac:dyDescent="0.2">
      <c r="A34" s="155"/>
      <c r="B34" s="154">
        <v>28</v>
      </c>
      <c r="C34" s="152" t="b">
        <v>0</v>
      </c>
      <c r="D34" s="152" t="str">
        <v>H6</v>
      </c>
      <c r="E34" s="270" t="str">
        <f>Currency&amp;"FUT"&amp;$G$4&amp;$D34&amp;QuoteSuffix</f>
        <v>USDFUT1MH6_Quote</v>
      </c>
      <c r="F34" s="271" t="str">
        <f>Currency&amp;"FUT"&amp;$G$4&amp;$D34&amp;"ConvAdj"&amp;QuoteSuffix</f>
        <v>USDFUT1MH6ConvAdj_Quote</v>
      </c>
      <c r="G34" s="270" t="str">
        <f>_xll.qlFuturesConvAdjustmentQuote($F34,IborIndex,$D34,$E34,Volatility,MeanReversion,Permanent,Trigger,ObjectOverwrite)</f>
        <v>USDFUT1MH6ConvAdj_Quote#0004</v>
      </c>
      <c r="H34" s="79" t="str">
        <f>_xll.ohRangeRetrieveError(G34)</f>
        <v/>
      </c>
    </row>
    <row r="35" spans="1:8" x14ac:dyDescent="0.2">
      <c r="A35" s="155"/>
      <c r="B35" s="154">
        <v>29</v>
      </c>
      <c r="C35" s="152" t="b">
        <v>0</v>
      </c>
      <c r="D35" s="152" t="str">
        <v>J6</v>
      </c>
      <c r="E35" s="270" t="str">
        <f>Currency&amp;"FUT"&amp;$G$4&amp;$D35&amp;QuoteSuffix</f>
        <v>USDFUT1MJ6_Quote</v>
      </c>
      <c r="F35" s="271" t="str">
        <f>Currency&amp;"FUT"&amp;$G$4&amp;$D35&amp;"ConvAdj"&amp;QuoteSuffix</f>
        <v>USDFUT1MJ6ConvAdj_Quote</v>
      </c>
      <c r="G35" s="270" t="str">
        <f>_xll.qlFuturesConvAdjustmentQuote($F35,IborIndex,$D35,$E35,Volatility,MeanReversion,Permanent,Trigger,ObjectOverwrite)</f>
        <v>USDFUT1MJ6ConvAdj_Quote#0004</v>
      </c>
      <c r="H35" s="79" t="str">
        <f>_xll.ohRangeRetrieveError(G35)</f>
        <v/>
      </c>
    </row>
    <row r="36" spans="1:8" x14ac:dyDescent="0.2">
      <c r="A36" s="155"/>
      <c r="B36" s="154">
        <v>30</v>
      </c>
      <c r="C36" s="152" t="b">
        <v>0</v>
      </c>
      <c r="D36" s="152" t="str">
        <v>K6</v>
      </c>
      <c r="E36" s="270" t="str">
        <f>Currency&amp;"FUT"&amp;$G$4&amp;$D36&amp;QuoteSuffix</f>
        <v>USDFUT1MK6_Quote</v>
      </c>
      <c r="F36" s="271" t="str">
        <f>Currency&amp;"FUT"&amp;$G$4&amp;$D36&amp;"ConvAdj"&amp;QuoteSuffix</f>
        <v>USDFUT1MK6ConvAdj_Quote</v>
      </c>
      <c r="G36" s="270" t="str">
        <f>_xll.qlFuturesConvAdjustmentQuote($F36,IborIndex,$D36,$E36,Volatility,MeanReversion,Permanent,Trigger,ObjectOverwrite)</f>
        <v>USDFUT1MK6ConvAdj_Quote#0004</v>
      </c>
      <c r="H36" s="79" t="str">
        <f>_xll.ohRangeRetrieveError(G36)</f>
        <v/>
      </c>
    </row>
    <row r="37" spans="1:8" x14ac:dyDescent="0.2">
      <c r="A37" s="155"/>
      <c r="B37" s="154">
        <v>31</v>
      </c>
      <c r="C37" s="152" t="b">
        <v>0</v>
      </c>
      <c r="D37" s="152" t="str">
        <v>M6</v>
      </c>
      <c r="E37" s="270" t="str">
        <f>Currency&amp;"FUT"&amp;$G$4&amp;$D37&amp;QuoteSuffix</f>
        <v>USDFUT1MM6_Quote</v>
      </c>
      <c r="F37" s="271" t="str">
        <f>Currency&amp;"FUT"&amp;$G$4&amp;$D37&amp;"ConvAdj"&amp;QuoteSuffix</f>
        <v>USDFUT1MM6ConvAdj_Quote</v>
      </c>
      <c r="G37" s="270" t="str">
        <f>_xll.qlFuturesConvAdjustmentQuote($F37,IborIndex,$D37,$E37,Volatility,MeanReversion,Permanent,Trigger,ObjectOverwrite)</f>
        <v>USDFUT1MM6ConvAdj_Quote#0004</v>
      </c>
      <c r="H37" s="79" t="str">
        <f>_xll.ohRangeRetrieveError(G37)</f>
        <v/>
      </c>
    </row>
    <row r="38" spans="1:8" x14ac:dyDescent="0.2">
      <c r="A38" s="155"/>
      <c r="B38" s="154">
        <v>32</v>
      </c>
      <c r="C38" s="152" t="b">
        <v>0</v>
      </c>
      <c r="D38" s="152" t="str">
        <v>N6</v>
      </c>
      <c r="E38" s="270" t="str">
        <f>Currency&amp;"FUT"&amp;$G$4&amp;$D38&amp;QuoteSuffix</f>
        <v>USDFUT1MN6_Quote</v>
      </c>
      <c r="F38" s="271" t="str">
        <f>Currency&amp;"FUT"&amp;$G$4&amp;$D38&amp;"ConvAdj"&amp;QuoteSuffix</f>
        <v>USDFUT1MN6ConvAdj_Quote</v>
      </c>
      <c r="G38" s="270" t="str">
        <f>_xll.qlFuturesConvAdjustmentQuote($F38,IborIndex,$D38,$E38,Volatility,MeanReversion,Permanent,Trigger,ObjectOverwrite)</f>
        <v>USDFUT1MN6ConvAdj_Quote#0004</v>
      </c>
      <c r="H38" s="79" t="str">
        <f>_xll.ohRangeRetrieveError(G38)</f>
        <v/>
      </c>
    </row>
    <row r="39" spans="1:8" x14ac:dyDescent="0.2">
      <c r="A39" s="155"/>
      <c r="B39" s="154">
        <v>33</v>
      </c>
      <c r="C39" s="152" t="b">
        <v>0</v>
      </c>
      <c r="D39" s="152" t="str">
        <v>Q6</v>
      </c>
      <c r="E39" s="270" t="str">
        <f>Currency&amp;"FUT"&amp;$G$4&amp;$D39&amp;QuoteSuffix</f>
        <v>USDFUT1MQ6_Quote</v>
      </c>
      <c r="F39" s="271" t="str">
        <f>Currency&amp;"FUT"&amp;$G$4&amp;$D39&amp;"ConvAdj"&amp;QuoteSuffix</f>
        <v>USDFUT1MQ6ConvAdj_Quote</v>
      </c>
      <c r="G39" s="270" t="str">
        <f>_xll.qlFuturesConvAdjustmentQuote($F39,IborIndex,$D39,$E39,Volatility,MeanReversion,Permanent,Trigger,ObjectOverwrite)</f>
        <v>USDFUT1MQ6ConvAdj_Quote#0004</v>
      </c>
      <c r="H39" s="79" t="str">
        <f>_xll.ohRangeRetrieveError(G39)</f>
        <v/>
      </c>
    </row>
    <row r="40" spans="1:8" x14ac:dyDescent="0.2">
      <c r="A40" s="155"/>
      <c r="B40" s="154">
        <v>34</v>
      </c>
      <c r="C40" s="152" t="b">
        <v>0</v>
      </c>
      <c r="D40" s="152" t="str">
        <v>U6</v>
      </c>
      <c r="E40" s="270" t="str">
        <f>Currency&amp;"FUT"&amp;$G$4&amp;$D40&amp;QuoteSuffix</f>
        <v>USDFUT1MU6_Quote</v>
      </c>
      <c r="F40" s="271" t="str">
        <f>Currency&amp;"FUT"&amp;$G$4&amp;$D40&amp;"ConvAdj"&amp;QuoteSuffix</f>
        <v>USDFUT1MU6ConvAdj_Quote</v>
      </c>
      <c r="G40" s="270" t="str">
        <f>_xll.qlFuturesConvAdjustmentQuote($F40,IborIndex,$D40,$E40,Volatility,MeanReversion,Permanent,Trigger,ObjectOverwrite)</f>
        <v>USDFUT1MU6ConvAdj_Quote#0004</v>
      </c>
      <c r="H40" s="79" t="str">
        <f>_xll.ohRangeRetrieveError(G40)</f>
        <v/>
      </c>
    </row>
    <row r="41" spans="1:8" x14ac:dyDescent="0.2">
      <c r="A41" s="155"/>
      <c r="B41" s="154">
        <v>35</v>
      </c>
      <c r="C41" s="152" t="b">
        <v>0</v>
      </c>
      <c r="D41" s="152" t="str">
        <v>V6</v>
      </c>
      <c r="E41" s="270" t="str">
        <f>Currency&amp;"FUT"&amp;$G$4&amp;$D41&amp;QuoteSuffix</f>
        <v>USDFUT1MV6_Quote</v>
      </c>
      <c r="F41" s="271" t="str">
        <f>Currency&amp;"FUT"&amp;$G$4&amp;$D41&amp;"ConvAdj"&amp;QuoteSuffix</f>
        <v>USDFUT1MV6ConvAdj_Quote</v>
      </c>
      <c r="G41" s="270" t="str">
        <f>_xll.qlFuturesConvAdjustmentQuote($F41,IborIndex,$D41,$E41,Volatility,MeanReversion,Permanent,Trigger,ObjectOverwrite)</f>
        <v>USDFUT1MV6ConvAdj_Quote#0004</v>
      </c>
      <c r="H41" s="79" t="str">
        <f>_xll.ohRangeRetrieveError(G41)</f>
        <v/>
      </c>
    </row>
    <row r="42" spans="1:8" x14ac:dyDescent="0.2">
      <c r="A42" s="155"/>
      <c r="B42" s="154">
        <v>36</v>
      </c>
      <c r="C42" s="152" t="b">
        <v>0</v>
      </c>
      <c r="D42" s="152" t="str">
        <v>X6</v>
      </c>
      <c r="E42" s="270" t="str">
        <f>Currency&amp;"FUT"&amp;$G$4&amp;$D42&amp;QuoteSuffix</f>
        <v>USDFUT1MX6_Quote</v>
      </c>
      <c r="F42" s="271" t="str">
        <f>Currency&amp;"FUT"&amp;$G$4&amp;$D42&amp;"ConvAdj"&amp;QuoteSuffix</f>
        <v>USDFUT1MX6ConvAdj_Quote</v>
      </c>
      <c r="G42" s="270" t="str">
        <f>_xll.qlFuturesConvAdjustmentQuote($F42,IborIndex,$D42,$E42,Volatility,MeanReversion,Permanent,Trigger,ObjectOverwrite)</f>
        <v>USDFUT1MX6ConvAdj_Quote#0004</v>
      </c>
      <c r="H42" s="79" t="str">
        <f>_xll.ohRangeRetrieveError(G42)</f>
        <v/>
      </c>
    </row>
    <row r="43" spans="1:8" x14ac:dyDescent="0.2">
      <c r="A43" s="155"/>
      <c r="B43" s="154">
        <v>37</v>
      </c>
      <c r="C43" s="152" t="b">
        <v>0</v>
      </c>
      <c r="D43" s="152" t="str">
        <v>Z6</v>
      </c>
      <c r="E43" s="270" t="str">
        <f>Currency&amp;"FUT"&amp;$G$4&amp;$D43&amp;QuoteSuffix</f>
        <v>USDFUT1MZ6_Quote</v>
      </c>
      <c r="F43" s="271" t="str">
        <f>Currency&amp;"FUT"&amp;$G$4&amp;$D43&amp;"ConvAdj"&amp;QuoteSuffix</f>
        <v>USDFUT1MZ6ConvAdj_Quote</v>
      </c>
      <c r="G43" s="270" t="str">
        <f>_xll.qlFuturesConvAdjustmentQuote($F43,IborIndex,$D43,$E43,Volatility,MeanReversion,Permanent,Trigger,ObjectOverwrite)</f>
        <v>USDFUT1MZ6ConvAdj_Quote#0004</v>
      </c>
      <c r="H43" s="79" t="str">
        <f>_xll.ohRangeRetrieveError(G43)</f>
        <v/>
      </c>
    </row>
    <row r="44" spans="1:8" x14ac:dyDescent="0.2">
      <c r="A44" s="155"/>
      <c r="B44" s="154">
        <v>38</v>
      </c>
      <c r="C44" s="152" t="b">
        <v>0</v>
      </c>
      <c r="D44" s="152" t="str">
        <v>F7</v>
      </c>
      <c r="E44" s="270" t="str">
        <f>Currency&amp;"FUT"&amp;$G$4&amp;$D44&amp;QuoteSuffix</f>
        <v>USDFUT1MF7_Quote</v>
      </c>
      <c r="F44" s="271" t="str">
        <f>Currency&amp;"FUT"&amp;$G$4&amp;$D44&amp;"ConvAdj"&amp;QuoteSuffix</f>
        <v>USDFUT1MF7ConvAdj_Quote</v>
      </c>
      <c r="G44" s="270" t="str">
        <f>_xll.qlFuturesConvAdjustmentQuote($F44,IborIndex,$D44,$E44,Volatility,MeanReversion,Permanent,Trigger,ObjectOverwrite)</f>
        <v>USDFUT1MF7ConvAdj_Quote#0004</v>
      </c>
      <c r="H44" s="79" t="str">
        <f>_xll.ohRangeRetrieveError(G44)</f>
        <v/>
      </c>
    </row>
    <row r="45" spans="1:8" x14ac:dyDescent="0.2">
      <c r="A45" s="155"/>
      <c r="B45" s="154">
        <v>39</v>
      </c>
      <c r="C45" s="152" t="b">
        <v>0</v>
      </c>
      <c r="D45" s="152" t="str">
        <v>G7</v>
      </c>
      <c r="E45" s="270" t="str">
        <f>Currency&amp;"FUT"&amp;$G$4&amp;$D45&amp;QuoteSuffix</f>
        <v>USDFUT1MG7_Quote</v>
      </c>
      <c r="F45" s="271" t="str">
        <f>Currency&amp;"FUT"&amp;$G$4&amp;$D45&amp;"ConvAdj"&amp;QuoteSuffix</f>
        <v>USDFUT1MG7ConvAdj_Quote</v>
      </c>
      <c r="G45" s="270" t="str">
        <f>_xll.qlFuturesConvAdjustmentQuote($F45,IborIndex,$D45,$E45,Volatility,MeanReversion,Permanent,Trigger,ObjectOverwrite)</f>
        <v>USDFUT1MG7ConvAdj_Quote#0004</v>
      </c>
      <c r="H45" s="79" t="str">
        <f>_xll.ohRangeRetrieveError(G45)</f>
        <v/>
      </c>
    </row>
    <row r="46" spans="1:8" x14ac:dyDescent="0.2">
      <c r="A46" s="155"/>
      <c r="B46" s="154">
        <v>40</v>
      </c>
      <c r="C46" s="152" t="b">
        <v>0</v>
      </c>
      <c r="D46" s="152" t="str">
        <v>H7</v>
      </c>
      <c r="E46" s="270" t="str">
        <f>Currency&amp;"FUT"&amp;$G$4&amp;$D46&amp;QuoteSuffix</f>
        <v>USDFUT1MH7_Quote</v>
      </c>
      <c r="F46" s="271" t="str">
        <f>Currency&amp;"FUT"&amp;$G$4&amp;$D46&amp;"ConvAdj"&amp;QuoteSuffix</f>
        <v>USDFUT1MH7ConvAdj_Quote</v>
      </c>
      <c r="G46" s="270" t="str">
        <f>_xll.qlFuturesConvAdjustmentQuote($F46,IborIndex,$D46,$E46,Volatility,MeanReversion,Permanent,Trigger,ObjectOverwrite)</f>
        <v>USDFUT1MH7ConvAdj_Quote#0004</v>
      </c>
      <c r="H46" s="79" t="str">
        <f>_xll.ohRangeRetrieveError(G46)</f>
        <v/>
      </c>
    </row>
    <row r="47" spans="1:8" x14ac:dyDescent="0.2">
      <c r="A47" s="155"/>
      <c r="B47" s="154">
        <v>41</v>
      </c>
      <c r="C47" s="152" t="b">
        <v>0</v>
      </c>
      <c r="D47" s="152" t="str">
        <v>J7</v>
      </c>
      <c r="E47" s="270" t="str">
        <f>Currency&amp;"FUT"&amp;$G$4&amp;$D47&amp;QuoteSuffix</f>
        <v>USDFUT1MJ7_Quote</v>
      </c>
      <c r="F47" s="271" t="str">
        <f>Currency&amp;"FUT"&amp;$G$4&amp;$D47&amp;"ConvAdj"&amp;QuoteSuffix</f>
        <v>USDFUT1MJ7ConvAdj_Quote</v>
      </c>
      <c r="G47" s="270" t="str">
        <f>_xll.qlFuturesConvAdjustmentQuote($F47,IborIndex,$D47,$E47,Volatility,MeanReversion,Permanent,Trigger,ObjectOverwrite)</f>
        <v>USDFUT1MJ7ConvAdj_Quote#0004</v>
      </c>
      <c r="H47" s="79" t="str">
        <f>_xll.ohRangeRetrieveError(G47)</f>
        <v/>
      </c>
    </row>
    <row r="48" spans="1:8" x14ac:dyDescent="0.2">
      <c r="A48" s="155"/>
      <c r="B48" s="154">
        <v>42</v>
      </c>
      <c r="C48" s="152" t="b">
        <v>0</v>
      </c>
      <c r="D48" s="152" t="str">
        <v>K7</v>
      </c>
      <c r="E48" s="270" t="str">
        <f>Currency&amp;"FUT"&amp;$G$4&amp;$D48&amp;QuoteSuffix</f>
        <v>USDFUT1MK7_Quote</v>
      </c>
      <c r="F48" s="271" t="str">
        <f>Currency&amp;"FUT"&amp;$G$4&amp;$D48&amp;"ConvAdj"&amp;QuoteSuffix</f>
        <v>USDFUT1MK7ConvAdj_Quote</v>
      </c>
      <c r="G48" s="270" t="str">
        <f>_xll.qlFuturesConvAdjustmentQuote($F48,IborIndex,$D48,$E48,Volatility,MeanReversion,Permanent,Trigger,ObjectOverwrite)</f>
        <v>USDFUT1MK7ConvAdj_Quote#0004</v>
      </c>
      <c r="H48" s="79" t="str">
        <f>_xll.ohRangeRetrieveError(G48)</f>
        <v/>
      </c>
    </row>
    <row r="49" spans="1:8" x14ac:dyDescent="0.2">
      <c r="A49" s="155"/>
      <c r="B49" s="154">
        <v>43</v>
      </c>
      <c r="C49" s="152" t="b">
        <v>0</v>
      </c>
      <c r="D49" s="152" t="str">
        <v>M7</v>
      </c>
      <c r="E49" s="270" t="str">
        <f>Currency&amp;"FUT"&amp;$G$4&amp;$D49&amp;QuoteSuffix</f>
        <v>USDFUT1MM7_Quote</v>
      </c>
      <c r="F49" s="271" t="str">
        <f>Currency&amp;"FUT"&amp;$G$4&amp;$D49&amp;"ConvAdj"&amp;QuoteSuffix</f>
        <v>USDFUT1MM7ConvAdj_Quote</v>
      </c>
      <c r="G49" s="270" t="str">
        <f>_xll.qlFuturesConvAdjustmentQuote($F49,IborIndex,$D49,$E49,Volatility,MeanReversion,Permanent,Trigger,ObjectOverwrite)</f>
        <v>USDFUT1MM7ConvAdj_Quote#0004</v>
      </c>
      <c r="H49" s="79" t="str">
        <f>_xll.ohRangeRetrieveError(G49)</f>
        <v/>
      </c>
    </row>
    <row r="50" spans="1:8" x14ac:dyDescent="0.2">
      <c r="A50" s="155"/>
      <c r="B50" s="154">
        <v>44</v>
      </c>
      <c r="C50" s="152" t="b">
        <v>0</v>
      </c>
      <c r="D50" s="152" t="str">
        <v>N7</v>
      </c>
      <c r="E50" s="270" t="str">
        <f>Currency&amp;"FUT"&amp;$G$4&amp;$D50&amp;QuoteSuffix</f>
        <v>USDFUT1MN7_Quote</v>
      </c>
      <c r="F50" s="271" t="str">
        <f>Currency&amp;"FUT"&amp;$G$4&amp;$D50&amp;"ConvAdj"&amp;QuoteSuffix</f>
        <v>USDFUT1MN7ConvAdj_Quote</v>
      </c>
      <c r="G50" s="270" t="str">
        <f>_xll.qlFuturesConvAdjustmentQuote($F50,IborIndex,$D50,$E50,Volatility,MeanReversion,Permanent,Trigger,ObjectOverwrite)</f>
        <v>USDFUT1MN7ConvAdj_Quote#0004</v>
      </c>
      <c r="H50" s="79" t="str">
        <f>_xll.ohRangeRetrieveError(G50)</f>
        <v/>
      </c>
    </row>
    <row r="51" spans="1:8" x14ac:dyDescent="0.2">
      <c r="A51" s="155"/>
      <c r="B51" s="154">
        <v>45</v>
      </c>
      <c r="C51" s="152" t="b">
        <v>0</v>
      </c>
      <c r="D51" s="152" t="str">
        <v>Q7</v>
      </c>
      <c r="E51" s="270" t="str">
        <f>Currency&amp;"FUT"&amp;$G$4&amp;$D51&amp;QuoteSuffix</f>
        <v>USDFUT1MQ7_Quote</v>
      </c>
      <c r="F51" s="271" t="str">
        <f>Currency&amp;"FUT"&amp;$G$4&amp;$D51&amp;"ConvAdj"&amp;QuoteSuffix</f>
        <v>USDFUT1MQ7ConvAdj_Quote</v>
      </c>
      <c r="G51" s="270" t="str">
        <f>_xll.qlFuturesConvAdjustmentQuote($F51,IborIndex,$D51,$E51,Volatility,MeanReversion,Permanent,Trigger,ObjectOverwrite)</f>
        <v>USDFUT1MQ7ConvAdj_Quote#0004</v>
      </c>
      <c r="H51" s="79" t="str">
        <f>_xll.ohRangeRetrieveError(G51)</f>
        <v/>
      </c>
    </row>
    <row r="52" spans="1:8" x14ac:dyDescent="0.2">
      <c r="A52" s="155"/>
      <c r="B52" s="154">
        <v>46</v>
      </c>
      <c r="C52" s="152" t="b">
        <v>0</v>
      </c>
      <c r="D52" s="152" t="str">
        <v>U7</v>
      </c>
      <c r="E52" s="270" t="str">
        <f>Currency&amp;"FUT"&amp;$G$4&amp;$D52&amp;QuoteSuffix</f>
        <v>USDFUT1MU7_Quote</v>
      </c>
      <c r="F52" s="271" t="str">
        <f>Currency&amp;"FUT"&amp;$G$4&amp;$D52&amp;"ConvAdj"&amp;QuoteSuffix</f>
        <v>USDFUT1MU7ConvAdj_Quote</v>
      </c>
      <c r="G52" s="270" t="str">
        <f>_xll.qlFuturesConvAdjustmentQuote($F52,IborIndex,$D52,$E52,Volatility,MeanReversion,Permanent,Trigger,ObjectOverwrite)</f>
        <v>USDFUT1MU7ConvAdj_Quote#0004</v>
      </c>
      <c r="H52" s="79" t="str">
        <f>_xll.ohRangeRetrieveError(G52)</f>
        <v/>
      </c>
    </row>
    <row r="53" spans="1:8" x14ac:dyDescent="0.2">
      <c r="A53" s="155"/>
      <c r="B53" s="154">
        <v>47</v>
      </c>
      <c r="C53" s="152" t="b">
        <v>0</v>
      </c>
      <c r="D53" s="152" t="str">
        <v>V7</v>
      </c>
      <c r="E53" s="270" t="str">
        <f>Currency&amp;"FUT"&amp;$G$4&amp;$D53&amp;QuoteSuffix</f>
        <v>USDFUT1MV7_Quote</v>
      </c>
      <c r="F53" s="271" t="str">
        <f>Currency&amp;"FUT"&amp;$G$4&amp;$D53&amp;"ConvAdj"&amp;QuoteSuffix</f>
        <v>USDFUT1MV7ConvAdj_Quote</v>
      </c>
      <c r="G53" s="270" t="str">
        <f>_xll.qlFuturesConvAdjustmentQuote($F53,IborIndex,$D53,$E53,Volatility,MeanReversion,Permanent,Trigger,ObjectOverwrite)</f>
        <v>USDFUT1MV7ConvAdj_Quote#0004</v>
      </c>
      <c r="H53" s="79" t="str">
        <f>_xll.ohRangeRetrieveError(G53)</f>
        <v/>
      </c>
    </row>
    <row r="54" spans="1:8" x14ac:dyDescent="0.2">
      <c r="A54" s="155"/>
      <c r="B54" s="154">
        <v>48</v>
      </c>
      <c r="C54" s="152" t="b">
        <v>0</v>
      </c>
      <c r="D54" s="152" t="str">
        <v>X7</v>
      </c>
      <c r="E54" s="270" t="str">
        <f>Currency&amp;"FUT"&amp;$G$4&amp;$D54&amp;QuoteSuffix</f>
        <v>USDFUT1MX7_Quote</v>
      </c>
      <c r="F54" s="271" t="str">
        <f>Currency&amp;"FUT"&amp;$G$4&amp;$D54&amp;"ConvAdj"&amp;QuoteSuffix</f>
        <v>USDFUT1MX7ConvAdj_Quote</v>
      </c>
      <c r="G54" s="270" t="str">
        <f>_xll.qlFuturesConvAdjustmentQuote($F54,IborIndex,$D54,$E54,Volatility,MeanReversion,Permanent,Trigger,ObjectOverwrite)</f>
        <v>USDFUT1MX7ConvAdj_Quote#0004</v>
      </c>
      <c r="H54" s="79" t="str">
        <f>_xll.ohRangeRetrieveError(G54)</f>
        <v/>
      </c>
    </row>
    <row r="55" spans="1:8" x14ac:dyDescent="0.2">
      <c r="A55" s="155"/>
      <c r="B55" s="154">
        <v>49</v>
      </c>
      <c r="C55" s="152" t="b">
        <v>0</v>
      </c>
      <c r="D55" s="152" t="str">
        <v>Z7</v>
      </c>
      <c r="E55" s="270" t="str">
        <f>Currency&amp;"FUT"&amp;$G$4&amp;$D55&amp;QuoteSuffix</f>
        <v>USDFUT1MZ7_Quote</v>
      </c>
      <c r="F55" s="271" t="str">
        <f>Currency&amp;"FUT"&amp;$G$4&amp;$D55&amp;"ConvAdj"&amp;QuoteSuffix</f>
        <v>USDFUT1MZ7ConvAdj_Quote</v>
      </c>
      <c r="G55" s="270" t="str">
        <f>_xll.qlFuturesConvAdjustmentQuote($F55,IborIndex,$D55,$E55,Volatility,MeanReversion,Permanent,Trigger,ObjectOverwrite)</f>
        <v>USDFUT1MZ7ConvAdj_Quote#0004</v>
      </c>
      <c r="H55" s="79" t="str">
        <f>_xll.ohRangeRetrieveError(G55)</f>
        <v/>
      </c>
    </row>
    <row r="56" spans="1:8" x14ac:dyDescent="0.2">
      <c r="A56" s="155"/>
      <c r="B56" s="154">
        <v>50</v>
      </c>
      <c r="C56" s="152" t="b">
        <v>0</v>
      </c>
      <c r="D56" s="152" t="str">
        <v>F8</v>
      </c>
      <c r="E56" s="270" t="str">
        <f>Currency&amp;"FUT"&amp;$G$4&amp;$D56&amp;QuoteSuffix</f>
        <v>USDFUT1MF8_Quote</v>
      </c>
      <c r="F56" s="271" t="str">
        <f>Currency&amp;"FUT"&amp;$G$4&amp;$D56&amp;"ConvAdj"&amp;QuoteSuffix</f>
        <v>USDFUT1MF8ConvAdj_Quote</v>
      </c>
      <c r="G56" s="270" t="str">
        <f>_xll.qlFuturesConvAdjustmentQuote($F56,IborIndex,$D56,$E56,Volatility,MeanReversion,Permanent,Trigger,ObjectOverwrite)</f>
        <v>USDFUT1MF8ConvAdj_Quote#0004</v>
      </c>
      <c r="H56" s="79" t="str">
        <f>_xll.ohRangeRetrieveError(G56)</f>
        <v/>
      </c>
    </row>
    <row r="57" spans="1:8" x14ac:dyDescent="0.2">
      <c r="A57" s="155"/>
      <c r="B57" s="154">
        <v>51</v>
      </c>
      <c r="C57" s="152" t="b">
        <v>0</v>
      </c>
      <c r="D57" s="152" t="str">
        <v>G8</v>
      </c>
      <c r="E57" s="270" t="str">
        <f>Currency&amp;"FUT"&amp;$G$4&amp;$D57&amp;QuoteSuffix</f>
        <v>USDFUT1MG8_Quote</v>
      </c>
      <c r="F57" s="271" t="str">
        <f>Currency&amp;"FUT"&amp;$G$4&amp;$D57&amp;"ConvAdj"&amp;QuoteSuffix</f>
        <v>USDFUT1MG8ConvAdj_Quote</v>
      </c>
      <c r="G57" s="270" t="str">
        <f>_xll.qlFuturesConvAdjustmentQuote($F57,IborIndex,$D57,$E57,Volatility,MeanReversion,Permanent,Trigger,ObjectOverwrite)</f>
        <v>USDFUT1MG8ConvAdj_Quote#0004</v>
      </c>
      <c r="H57" s="79" t="str">
        <f>_xll.ohRangeRetrieveError(G57)</f>
        <v/>
      </c>
    </row>
    <row r="58" spans="1:8" x14ac:dyDescent="0.2">
      <c r="A58" s="155"/>
      <c r="B58" s="154">
        <v>52</v>
      </c>
      <c r="C58" s="152" t="b">
        <v>0</v>
      </c>
      <c r="D58" s="152" t="str">
        <v>H8</v>
      </c>
      <c r="E58" s="270" t="str">
        <f>Currency&amp;"FUT"&amp;$G$4&amp;$D58&amp;QuoteSuffix</f>
        <v>USDFUT1MH8_Quote</v>
      </c>
      <c r="F58" s="271" t="str">
        <f>Currency&amp;"FUT"&amp;$G$4&amp;$D58&amp;"ConvAdj"&amp;QuoteSuffix</f>
        <v>USDFUT1MH8ConvAdj_Quote</v>
      </c>
      <c r="G58" s="270" t="str">
        <f>_xll.qlFuturesConvAdjustmentQuote($F58,IborIndex,$D58,$E58,Volatility,MeanReversion,Permanent,Trigger,ObjectOverwrite)</f>
        <v>USDFUT1MH8ConvAdj_Quote#0004</v>
      </c>
      <c r="H58" s="79" t="str">
        <f>_xll.ohRangeRetrieveError(G58)</f>
        <v/>
      </c>
    </row>
    <row r="59" spans="1:8" x14ac:dyDescent="0.2">
      <c r="A59" s="155"/>
      <c r="B59" s="154">
        <v>53</v>
      </c>
      <c r="C59" s="152" t="b">
        <v>0</v>
      </c>
      <c r="D59" s="152" t="str">
        <v>J8</v>
      </c>
      <c r="E59" s="270" t="str">
        <f>Currency&amp;"FUT"&amp;$G$4&amp;$D59&amp;QuoteSuffix</f>
        <v>USDFUT1MJ8_Quote</v>
      </c>
      <c r="F59" s="271" t="str">
        <f>Currency&amp;"FUT"&amp;$G$4&amp;$D59&amp;"ConvAdj"&amp;QuoteSuffix</f>
        <v>USDFUT1MJ8ConvAdj_Quote</v>
      </c>
      <c r="G59" s="270" t="str">
        <f>_xll.qlFuturesConvAdjustmentQuote($F59,IborIndex,$D59,$E59,Volatility,MeanReversion,Permanent,Trigger,ObjectOverwrite)</f>
        <v>USDFUT1MJ8ConvAdj_Quote#0004</v>
      </c>
      <c r="H59" s="79" t="str">
        <f>_xll.ohRangeRetrieveError(G59)</f>
        <v/>
      </c>
    </row>
    <row r="60" spans="1:8" x14ac:dyDescent="0.2">
      <c r="A60" s="155"/>
      <c r="B60" s="154">
        <v>54</v>
      </c>
      <c r="C60" s="152" t="b">
        <v>0</v>
      </c>
      <c r="D60" s="152" t="str">
        <v>K8</v>
      </c>
      <c r="E60" s="270" t="str">
        <f>Currency&amp;"FUT"&amp;$G$4&amp;$D60&amp;QuoteSuffix</f>
        <v>USDFUT1MK8_Quote</v>
      </c>
      <c r="F60" s="271" t="str">
        <f>Currency&amp;"FUT"&amp;$G$4&amp;$D60&amp;"ConvAdj"&amp;QuoteSuffix</f>
        <v>USDFUT1MK8ConvAdj_Quote</v>
      </c>
      <c r="G60" s="270" t="str">
        <f>_xll.qlFuturesConvAdjustmentQuote($F60,IborIndex,$D60,$E60,Volatility,MeanReversion,Permanent,Trigger,ObjectOverwrite)</f>
        <v>USDFUT1MK8ConvAdj_Quote#0004</v>
      </c>
      <c r="H60" s="79" t="str">
        <f>_xll.ohRangeRetrieveError(G60)</f>
        <v/>
      </c>
    </row>
    <row r="61" spans="1:8" x14ac:dyDescent="0.2">
      <c r="A61" s="155"/>
      <c r="B61" s="154">
        <v>55</v>
      </c>
      <c r="C61" s="152" t="b">
        <v>0</v>
      </c>
      <c r="D61" s="152" t="str">
        <v>M8</v>
      </c>
      <c r="E61" s="270" t="str">
        <f>Currency&amp;"FUT"&amp;$G$4&amp;$D61&amp;QuoteSuffix</f>
        <v>USDFUT1MM8_Quote</v>
      </c>
      <c r="F61" s="271" t="str">
        <f>Currency&amp;"FUT"&amp;$G$4&amp;$D61&amp;"ConvAdj"&amp;QuoteSuffix</f>
        <v>USDFUT1MM8ConvAdj_Quote</v>
      </c>
      <c r="G61" s="270" t="str">
        <f>_xll.qlFuturesConvAdjustmentQuote($F61,IborIndex,$D61,$E61,Volatility,MeanReversion,Permanent,Trigger,ObjectOverwrite)</f>
        <v>USDFUT1MM8ConvAdj_Quote#0004</v>
      </c>
      <c r="H61" s="79" t="str">
        <f>_xll.ohRangeRetrieveError(G61)</f>
        <v/>
      </c>
    </row>
    <row r="62" spans="1:8" x14ac:dyDescent="0.2">
      <c r="A62" s="155"/>
      <c r="B62" s="154">
        <v>56</v>
      </c>
      <c r="C62" s="152" t="b">
        <v>0</v>
      </c>
      <c r="D62" s="152" t="str">
        <v>N8</v>
      </c>
      <c r="E62" s="270" t="str">
        <f>Currency&amp;"FUT"&amp;$G$4&amp;$D62&amp;QuoteSuffix</f>
        <v>USDFUT1MN8_Quote</v>
      </c>
      <c r="F62" s="271" t="str">
        <f>Currency&amp;"FUT"&amp;$G$4&amp;$D62&amp;"ConvAdj"&amp;QuoteSuffix</f>
        <v>USDFUT1MN8ConvAdj_Quote</v>
      </c>
      <c r="G62" s="270" t="str">
        <f>_xll.qlFuturesConvAdjustmentQuote($F62,IborIndex,$D62,$E62,Volatility,MeanReversion,Permanent,Trigger,ObjectOverwrite)</f>
        <v>USDFUT1MN8ConvAdj_Quote#0004</v>
      </c>
      <c r="H62" s="79" t="str">
        <f>_xll.ohRangeRetrieveError(G62)</f>
        <v/>
      </c>
    </row>
    <row r="63" spans="1:8" x14ac:dyDescent="0.2">
      <c r="A63" s="155"/>
      <c r="B63" s="154">
        <v>57</v>
      </c>
      <c r="C63" s="152" t="b">
        <v>0</v>
      </c>
      <c r="D63" s="152" t="str">
        <v>Q8</v>
      </c>
      <c r="E63" s="270" t="str">
        <f>Currency&amp;"FUT"&amp;$G$4&amp;$D63&amp;QuoteSuffix</f>
        <v>USDFUT1MQ8_Quote</v>
      </c>
      <c r="F63" s="271" t="str">
        <f>Currency&amp;"FUT"&amp;$G$4&amp;$D63&amp;"ConvAdj"&amp;QuoteSuffix</f>
        <v>USDFUT1MQ8ConvAdj_Quote</v>
      </c>
      <c r="G63" s="270" t="str">
        <f>_xll.qlFuturesConvAdjustmentQuote($F63,IborIndex,$D63,$E63,Volatility,MeanReversion,Permanent,Trigger,ObjectOverwrite)</f>
        <v>USDFUT1MQ8ConvAdj_Quote#0004</v>
      </c>
      <c r="H63" s="79" t="str">
        <f>_xll.ohRangeRetrieveError(G63)</f>
        <v/>
      </c>
    </row>
    <row r="64" spans="1:8" x14ac:dyDescent="0.2">
      <c r="A64" s="155"/>
      <c r="B64" s="154">
        <v>58</v>
      </c>
      <c r="C64" s="152" t="b">
        <v>0</v>
      </c>
      <c r="D64" s="152" t="str">
        <v>U8</v>
      </c>
      <c r="E64" s="270" t="str">
        <f>Currency&amp;"FUT"&amp;$G$4&amp;$D64&amp;QuoteSuffix</f>
        <v>USDFUT1MU8_Quote</v>
      </c>
      <c r="F64" s="271" t="str">
        <f>Currency&amp;"FUT"&amp;$G$4&amp;$D64&amp;"ConvAdj"&amp;QuoteSuffix</f>
        <v>USDFUT1MU8ConvAdj_Quote</v>
      </c>
      <c r="G64" s="270" t="str">
        <f>_xll.qlFuturesConvAdjustmentQuote($F64,IborIndex,$D64,$E64,Volatility,MeanReversion,Permanent,Trigger,ObjectOverwrite)</f>
        <v>USDFUT1MU8ConvAdj_Quote#0004</v>
      </c>
      <c r="H64" s="79" t="str">
        <f>_xll.ohRangeRetrieveError(G64)</f>
        <v/>
      </c>
    </row>
    <row r="65" spans="1:8" x14ac:dyDescent="0.2">
      <c r="A65" s="155"/>
      <c r="B65" s="154">
        <v>59</v>
      </c>
      <c r="C65" s="152" t="b">
        <v>0</v>
      </c>
      <c r="D65" s="152" t="str">
        <v>V8</v>
      </c>
      <c r="E65" s="270" t="str">
        <f>Currency&amp;"FUT"&amp;$G$4&amp;$D65&amp;QuoteSuffix</f>
        <v>USDFUT1MV8_Quote</v>
      </c>
      <c r="F65" s="271" t="str">
        <f>Currency&amp;"FUT"&amp;$G$4&amp;$D65&amp;"ConvAdj"&amp;QuoteSuffix</f>
        <v>USDFUT1MV8ConvAdj_Quote</v>
      </c>
      <c r="G65" s="270" t="str">
        <f>_xll.qlFuturesConvAdjustmentQuote($F65,IborIndex,$D65,$E65,Volatility,MeanReversion,Permanent,Trigger,ObjectOverwrite)</f>
        <v>USDFUT1MV8ConvAdj_Quote#0004</v>
      </c>
      <c r="H65" s="79" t="str">
        <f>_xll.ohRangeRetrieveError(G65)</f>
        <v/>
      </c>
    </row>
    <row r="66" spans="1:8" x14ac:dyDescent="0.2">
      <c r="A66" s="155"/>
      <c r="B66" s="154">
        <v>60</v>
      </c>
      <c r="C66" s="152" t="b">
        <v>0</v>
      </c>
      <c r="D66" s="152" t="str">
        <v>X8</v>
      </c>
      <c r="E66" s="270" t="str">
        <f>Currency&amp;"FUT"&amp;$G$4&amp;$D66&amp;QuoteSuffix</f>
        <v>USDFUT1MX8_Quote</v>
      </c>
      <c r="F66" s="271" t="str">
        <f>Currency&amp;"FUT"&amp;$G$4&amp;$D66&amp;"ConvAdj"&amp;QuoteSuffix</f>
        <v>USDFUT1MX8ConvAdj_Quote</v>
      </c>
      <c r="G66" s="270" t="str">
        <f>_xll.qlFuturesConvAdjustmentQuote($F66,IborIndex,$D66,$E66,Volatility,MeanReversion,Permanent,Trigger,ObjectOverwrite)</f>
        <v>USDFUT1MX8ConvAdj_Quote#0004</v>
      </c>
      <c r="H66" s="79" t="str">
        <f>_xll.ohRangeRetrieveError(G66)</f>
        <v/>
      </c>
    </row>
    <row r="67" spans="1:8" x14ac:dyDescent="0.2">
      <c r="A67" s="155"/>
      <c r="B67" s="154">
        <v>61</v>
      </c>
      <c r="C67" s="152" t="b">
        <v>0</v>
      </c>
      <c r="D67" s="152" t="str">
        <v>Z8</v>
      </c>
      <c r="E67" s="270" t="str">
        <f>Currency&amp;"FUT"&amp;$G$4&amp;$D67&amp;QuoteSuffix</f>
        <v>USDFUT1MZ8_Quote</v>
      </c>
      <c r="F67" s="271" t="str">
        <f>Currency&amp;"FUT"&amp;$G$4&amp;$D67&amp;"ConvAdj"&amp;QuoteSuffix</f>
        <v>USDFUT1MZ8ConvAdj_Quote</v>
      </c>
      <c r="G67" s="270" t="str">
        <f>_xll.qlFuturesConvAdjustmentQuote($F67,IborIndex,$D67,$E67,Volatility,MeanReversion,Permanent,Trigger,ObjectOverwrite)</f>
        <v>USDFUT1MZ8ConvAdj_Quote#0004</v>
      </c>
      <c r="H67" s="79" t="str">
        <f>_xll.ohRangeRetrieveError(G67)</f>
        <v/>
      </c>
    </row>
    <row r="68" spans="1:8" x14ac:dyDescent="0.2">
      <c r="A68" s="155"/>
      <c r="B68" s="154">
        <v>62</v>
      </c>
      <c r="C68" s="152" t="b">
        <v>0</v>
      </c>
      <c r="D68" s="152" t="str">
        <v>F9</v>
      </c>
      <c r="E68" s="270" t="str">
        <f>Currency&amp;"FUT"&amp;$G$4&amp;$D68&amp;QuoteSuffix</f>
        <v>USDFUT1MF9_Quote</v>
      </c>
      <c r="F68" s="271" t="str">
        <f>Currency&amp;"FUT"&amp;$G$4&amp;$D68&amp;"ConvAdj"&amp;QuoteSuffix</f>
        <v>USDFUT1MF9ConvAdj_Quote</v>
      </c>
      <c r="G68" s="270" t="str">
        <f>_xll.qlFuturesConvAdjustmentQuote($F68,IborIndex,$D68,$E68,Volatility,MeanReversion,Permanent,Trigger,ObjectOverwrite)</f>
        <v>USDFUT1MF9ConvAdj_Quote#0004</v>
      </c>
      <c r="H68" s="79" t="str">
        <f>_xll.ohRangeRetrieveError(G68)</f>
        <v/>
      </c>
    </row>
    <row r="69" spans="1:8" x14ac:dyDescent="0.2">
      <c r="A69" s="155"/>
      <c r="B69" s="154">
        <v>63</v>
      </c>
      <c r="C69" s="152" t="b">
        <v>0</v>
      </c>
      <c r="D69" s="152" t="str">
        <v>G9</v>
      </c>
      <c r="E69" s="270" t="str">
        <f>Currency&amp;"FUT"&amp;$G$4&amp;$D69&amp;QuoteSuffix</f>
        <v>USDFUT1MG9_Quote</v>
      </c>
      <c r="F69" s="271" t="str">
        <f>Currency&amp;"FUT"&amp;$G$4&amp;$D69&amp;"ConvAdj"&amp;QuoteSuffix</f>
        <v>USDFUT1MG9ConvAdj_Quote</v>
      </c>
      <c r="G69" s="270" t="str">
        <f>_xll.qlFuturesConvAdjustmentQuote($F69,IborIndex,$D69,$E69,Volatility,MeanReversion,Permanent,Trigger,ObjectOverwrite)</f>
        <v>USDFUT1MG9ConvAdj_Quote#0004</v>
      </c>
      <c r="H69" s="79" t="str">
        <f>_xll.ohRangeRetrieveError(G69)</f>
        <v/>
      </c>
    </row>
    <row r="70" spans="1:8" x14ac:dyDescent="0.2">
      <c r="A70" s="155"/>
      <c r="B70" s="154">
        <v>64</v>
      </c>
      <c r="C70" s="152" t="b">
        <v>0</v>
      </c>
      <c r="D70" s="152" t="str">
        <v>H9</v>
      </c>
      <c r="E70" s="270" t="str">
        <f>Currency&amp;"FUT"&amp;$G$4&amp;$D70&amp;QuoteSuffix</f>
        <v>USDFUT1MH9_Quote</v>
      </c>
      <c r="F70" s="271" t="str">
        <f>Currency&amp;"FUT"&amp;$G$4&amp;$D70&amp;"ConvAdj"&amp;QuoteSuffix</f>
        <v>USDFUT1MH9ConvAdj_Quote</v>
      </c>
      <c r="G70" s="270" t="str">
        <f>_xll.qlFuturesConvAdjustmentQuote($F70,IborIndex,$D70,$E70,Volatility,MeanReversion,Permanent,Trigger,ObjectOverwrite)</f>
        <v>USDFUT1MH9ConvAdj_Quote#0004</v>
      </c>
      <c r="H70" s="79" t="str">
        <f>_xll.ohRangeRetrieveError(G70)</f>
        <v/>
      </c>
    </row>
    <row r="71" spans="1:8" x14ac:dyDescent="0.2">
      <c r="A71" s="155"/>
      <c r="B71" s="154">
        <v>65</v>
      </c>
      <c r="C71" s="152" t="b">
        <v>0</v>
      </c>
      <c r="D71" s="152" t="str">
        <v>J9</v>
      </c>
      <c r="E71" s="270" t="str">
        <f>Currency&amp;"FUT"&amp;$G$4&amp;$D71&amp;QuoteSuffix</f>
        <v>USDFUT1MJ9_Quote</v>
      </c>
      <c r="F71" s="271" t="str">
        <f>Currency&amp;"FUT"&amp;$G$4&amp;$D71&amp;"ConvAdj"&amp;QuoteSuffix</f>
        <v>USDFUT1MJ9ConvAdj_Quote</v>
      </c>
      <c r="G71" s="270" t="str">
        <f>_xll.qlFuturesConvAdjustmentQuote($F71,IborIndex,$D71,$E71,Volatility,MeanReversion,Permanent,Trigger,ObjectOverwrite)</f>
        <v>USDFUT1MJ9ConvAdj_Quote#0004</v>
      </c>
      <c r="H71" s="79" t="str">
        <f>_xll.ohRangeRetrieveError(G71)</f>
        <v/>
      </c>
    </row>
    <row r="72" spans="1:8" x14ac:dyDescent="0.2">
      <c r="A72" s="155"/>
      <c r="B72" s="154">
        <v>66</v>
      </c>
      <c r="C72" s="152" t="b">
        <v>0</v>
      </c>
      <c r="D72" s="152" t="str">
        <v>K9</v>
      </c>
      <c r="E72" s="270" t="str">
        <f>Currency&amp;"FUT"&amp;$G$4&amp;$D72&amp;QuoteSuffix</f>
        <v>USDFUT1MK9_Quote</v>
      </c>
      <c r="F72" s="271" t="str">
        <f>Currency&amp;"FUT"&amp;$G$4&amp;$D72&amp;"ConvAdj"&amp;QuoteSuffix</f>
        <v>USDFUT1MK9ConvAdj_Quote</v>
      </c>
      <c r="G72" s="270" t="str">
        <f>_xll.qlFuturesConvAdjustmentQuote($F72,IborIndex,$D72,$E72,Volatility,MeanReversion,Permanent,Trigger,ObjectOverwrite)</f>
        <v>USDFUT1MK9ConvAdj_Quote#0004</v>
      </c>
      <c r="H72" s="79" t="str">
        <f>_xll.ohRangeRetrieveError(G72)</f>
        <v/>
      </c>
    </row>
    <row r="73" spans="1:8" x14ac:dyDescent="0.2">
      <c r="A73" s="155"/>
      <c r="B73" s="154">
        <v>67</v>
      </c>
      <c r="C73" s="152" t="b">
        <v>0</v>
      </c>
      <c r="D73" s="152" t="str">
        <v>M9</v>
      </c>
      <c r="E73" s="270" t="str">
        <f>Currency&amp;"FUT"&amp;$G$4&amp;$D73&amp;QuoteSuffix</f>
        <v>USDFUT1MM9_Quote</v>
      </c>
      <c r="F73" s="271" t="str">
        <f>Currency&amp;"FUT"&amp;$G$4&amp;$D73&amp;"ConvAdj"&amp;QuoteSuffix</f>
        <v>USDFUT1MM9ConvAdj_Quote</v>
      </c>
      <c r="G73" s="270" t="str">
        <f>_xll.qlFuturesConvAdjustmentQuote($F73,IborIndex,$D73,$E73,Volatility,MeanReversion,Permanent,Trigger,ObjectOverwrite)</f>
        <v>USDFUT1MM9ConvAdj_Quote#0004</v>
      </c>
      <c r="H73" s="79" t="str">
        <f>_xll.ohRangeRetrieveError(G73)</f>
        <v/>
      </c>
    </row>
    <row r="74" spans="1:8" x14ac:dyDescent="0.2">
      <c r="A74" s="155"/>
      <c r="B74" s="154">
        <v>68</v>
      </c>
      <c r="C74" s="152" t="b">
        <v>0</v>
      </c>
      <c r="D74" s="152" t="str">
        <v>N9</v>
      </c>
      <c r="E74" s="270" t="str">
        <f>Currency&amp;"FUT"&amp;$G$4&amp;$D74&amp;QuoteSuffix</f>
        <v>USDFUT1MN9_Quote</v>
      </c>
      <c r="F74" s="271" t="str">
        <f>Currency&amp;"FUT"&amp;$G$4&amp;$D74&amp;"ConvAdj"&amp;QuoteSuffix</f>
        <v>USDFUT1MN9ConvAdj_Quote</v>
      </c>
      <c r="G74" s="270" t="str">
        <f>_xll.qlFuturesConvAdjustmentQuote($F74,IborIndex,$D74,$E74,Volatility,MeanReversion,Permanent,Trigger,ObjectOverwrite)</f>
        <v>USDFUT1MN9ConvAdj_Quote#0004</v>
      </c>
      <c r="H74" s="79" t="str">
        <f>_xll.ohRangeRetrieveError(G74)</f>
        <v/>
      </c>
    </row>
    <row r="75" spans="1:8" x14ac:dyDescent="0.2">
      <c r="A75" s="155"/>
      <c r="B75" s="154">
        <v>69</v>
      </c>
      <c r="C75" s="152" t="b">
        <v>0</v>
      </c>
      <c r="D75" s="152" t="str">
        <v>Q9</v>
      </c>
      <c r="E75" s="270" t="str">
        <f>Currency&amp;"FUT"&amp;$G$4&amp;$D75&amp;QuoteSuffix</f>
        <v>USDFUT1MQ9_Quote</v>
      </c>
      <c r="F75" s="271" t="str">
        <f>Currency&amp;"FUT"&amp;$G$4&amp;$D75&amp;"ConvAdj"&amp;QuoteSuffix</f>
        <v>USDFUT1MQ9ConvAdj_Quote</v>
      </c>
      <c r="G75" s="270" t="str">
        <f>_xll.qlFuturesConvAdjustmentQuote($F75,IborIndex,$D75,$E75,Volatility,MeanReversion,Permanent,Trigger,ObjectOverwrite)</f>
        <v>USDFUT1MQ9ConvAdj_Quote#0004</v>
      </c>
      <c r="H75" s="79" t="str">
        <f>_xll.ohRangeRetrieveError(G75)</f>
        <v/>
      </c>
    </row>
    <row r="76" spans="1:8" x14ac:dyDescent="0.2">
      <c r="A76" s="155"/>
      <c r="B76" s="154">
        <v>70</v>
      </c>
      <c r="C76" s="152" t="b">
        <v>0</v>
      </c>
      <c r="D76" s="152" t="str">
        <v>U9</v>
      </c>
      <c r="E76" s="270" t="str">
        <f>Currency&amp;"FUT"&amp;$G$4&amp;$D76&amp;QuoteSuffix</f>
        <v>USDFUT1MU9_Quote</v>
      </c>
      <c r="F76" s="271" t="str">
        <f>Currency&amp;"FUT"&amp;$G$4&amp;$D76&amp;"ConvAdj"&amp;QuoteSuffix</f>
        <v>USDFUT1MU9ConvAdj_Quote</v>
      </c>
      <c r="G76" s="270" t="str">
        <f>_xll.qlFuturesConvAdjustmentQuote($F76,IborIndex,$D76,$E76,Volatility,MeanReversion,Permanent,Trigger,ObjectOverwrite)</f>
        <v>USDFUT1MU9ConvAdj_Quote#0004</v>
      </c>
      <c r="H76" s="79" t="str">
        <f>_xll.ohRangeRetrieveError(G76)</f>
        <v/>
      </c>
    </row>
    <row r="77" spans="1:8" x14ac:dyDescent="0.2">
      <c r="A77" s="155"/>
      <c r="B77" s="154">
        <v>71</v>
      </c>
      <c r="C77" s="152" t="b">
        <v>0</v>
      </c>
      <c r="D77" s="152" t="str">
        <v>V9</v>
      </c>
      <c r="E77" s="270" t="str">
        <f>Currency&amp;"FUT"&amp;$G$4&amp;$D77&amp;QuoteSuffix</f>
        <v>USDFUT1MV9_Quote</v>
      </c>
      <c r="F77" s="271" t="str">
        <f>Currency&amp;"FUT"&amp;$G$4&amp;$D77&amp;"ConvAdj"&amp;QuoteSuffix</f>
        <v>USDFUT1MV9ConvAdj_Quote</v>
      </c>
      <c r="G77" s="270" t="str">
        <f>_xll.qlFuturesConvAdjustmentQuote($F77,IborIndex,$D77,$E77,Volatility,MeanReversion,Permanent,Trigger,ObjectOverwrite)</f>
        <v>USDFUT1MV9ConvAdj_Quote#0004</v>
      </c>
      <c r="H77" s="79" t="str">
        <f>_xll.ohRangeRetrieveError(G77)</f>
        <v/>
      </c>
    </row>
    <row r="78" spans="1:8" x14ac:dyDescent="0.2">
      <c r="A78" s="155"/>
      <c r="B78" s="154">
        <v>72</v>
      </c>
      <c r="C78" s="152" t="b">
        <v>0</v>
      </c>
      <c r="D78" s="152" t="str">
        <v>X9</v>
      </c>
      <c r="E78" s="270" t="str">
        <f>Currency&amp;"FUT"&amp;$G$4&amp;$D78&amp;QuoteSuffix</f>
        <v>USDFUT1MX9_Quote</v>
      </c>
      <c r="F78" s="271" t="str">
        <f>Currency&amp;"FUT"&amp;$G$4&amp;$D78&amp;"ConvAdj"&amp;QuoteSuffix</f>
        <v>USDFUT1MX9ConvAdj_Quote</v>
      </c>
      <c r="G78" s="270" t="str">
        <f>_xll.qlFuturesConvAdjustmentQuote($F78,IborIndex,$D78,$E78,Volatility,MeanReversion,Permanent,Trigger,ObjectOverwrite)</f>
        <v>USDFUT1MX9ConvAdj_Quote#0004</v>
      </c>
      <c r="H78" s="79" t="str">
        <f>_xll.ohRangeRetrieveError(G78)</f>
        <v/>
      </c>
    </row>
    <row r="79" spans="1:8" x14ac:dyDescent="0.2">
      <c r="A79" s="155"/>
      <c r="B79" s="154">
        <v>73</v>
      </c>
      <c r="C79" s="152" t="b">
        <v>0</v>
      </c>
      <c r="D79" s="152" t="str">
        <v>Z9</v>
      </c>
      <c r="E79" s="270" t="str">
        <f>Currency&amp;"FUT"&amp;$G$4&amp;$D79&amp;QuoteSuffix</f>
        <v>USDFUT1MZ9_Quote</v>
      </c>
      <c r="F79" s="271" t="str">
        <f>Currency&amp;"FUT"&amp;$G$4&amp;$D79&amp;"ConvAdj"&amp;QuoteSuffix</f>
        <v>USDFUT1MZ9ConvAdj_Quote</v>
      </c>
      <c r="G79" s="270" t="str">
        <f>_xll.qlFuturesConvAdjustmentQuote($F79,IborIndex,$D79,$E79,Volatility,MeanReversion,Permanent,Trigger,ObjectOverwrite)</f>
        <v>USDFUT1MZ9ConvAdj_Quote#0004</v>
      </c>
      <c r="H79" s="79" t="str">
        <f>_xll.ohRangeRetrieveError(G79)</f>
        <v/>
      </c>
    </row>
    <row r="80" spans="1:8" x14ac:dyDescent="0.2">
      <c r="A80" s="155"/>
      <c r="B80" s="154">
        <v>74</v>
      </c>
      <c r="C80" s="152" t="b">
        <v>0</v>
      </c>
      <c r="D80" s="152" t="str">
        <v>F0</v>
      </c>
      <c r="E80" s="270" t="str">
        <f>Currency&amp;"FUT"&amp;$G$4&amp;$D80&amp;QuoteSuffix</f>
        <v>USDFUT1MF0_Quote</v>
      </c>
      <c r="F80" s="271" t="str">
        <f>Currency&amp;"FUT"&amp;$G$4&amp;$D80&amp;"ConvAdj"&amp;QuoteSuffix</f>
        <v>USDFUT1MF0ConvAdj_Quote</v>
      </c>
      <c r="G80" s="270" t="str">
        <f>_xll.qlFuturesConvAdjustmentQuote($F80,IborIndex,$D80,$E80,Volatility,MeanReversion,Permanent,Trigger,ObjectOverwrite)</f>
        <v>USDFUT1MF0ConvAdj_Quote#0004</v>
      </c>
      <c r="H80" s="79" t="str">
        <f>_xll.ohRangeRetrieveError(G80)</f>
        <v/>
      </c>
    </row>
    <row r="81" spans="1:8" x14ac:dyDescent="0.2">
      <c r="A81" s="155"/>
      <c r="B81" s="154">
        <v>75</v>
      </c>
      <c r="C81" s="152" t="b">
        <v>0</v>
      </c>
      <c r="D81" s="152" t="str">
        <v>G0</v>
      </c>
      <c r="E81" s="270" t="str">
        <f>Currency&amp;"FUT"&amp;$G$4&amp;$D81&amp;QuoteSuffix</f>
        <v>USDFUT1MG0_Quote</v>
      </c>
      <c r="F81" s="271" t="str">
        <f>Currency&amp;"FUT"&amp;$G$4&amp;$D81&amp;"ConvAdj"&amp;QuoteSuffix</f>
        <v>USDFUT1MG0ConvAdj_Quote</v>
      </c>
      <c r="G81" s="270" t="str">
        <f>_xll.qlFuturesConvAdjustmentQuote($F81,IborIndex,$D81,$E81,Volatility,MeanReversion,Permanent,Trigger,ObjectOverwrite)</f>
        <v>USDFUT1MG0ConvAdj_Quote#0004</v>
      </c>
      <c r="H81" s="79" t="str">
        <f>_xll.ohRangeRetrieveError(G81)</f>
        <v/>
      </c>
    </row>
    <row r="82" spans="1:8" x14ac:dyDescent="0.2">
      <c r="A82" s="155"/>
      <c r="B82" s="154">
        <v>76</v>
      </c>
      <c r="C82" s="152" t="b">
        <v>0</v>
      </c>
      <c r="D82" s="152" t="str">
        <v>H0</v>
      </c>
      <c r="E82" s="270" t="str">
        <f>Currency&amp;"FUT"&amp;$G$4&amp;$D82&amp;QuoteSuffix</f>
        <v>USDFUT1MH0_Quote</v>
      </c>
      <c r="F82" s="271" t="str">
        <f>Currency&amp;"FUT"&amp;$G$4&amp;$D82&amp;"ConvAdj"&amp;QuoteSuffix</f>
        <v>USDFUT1MH0ConvAdj_Quote</v>
      </c>
      <c r="G82" s="270" t="str">
        <f>_xll.qlFuturesConvAdjustmentQuote($F82,IborIndex,$D82,$E82,Volatility,MeanReversion,Permanent,Trigger,ObjectOverwrite)</f>
        <v>USDFUT1MH0ConvAdj_Quote#0004</v>
      </c>
      <c r="H82" s="79" t="str">
        <f>_xll.ohRangeRetrieveError(G82)</f>
        <v/>
      </c>
    </row>
    <row r="83" spans="1:8" x14ac:dyDescent="0.2">
      <c r="A83" s="155"/>
      <c r="B83" s="154">
        <v>77</v>
      </c>
      <c r="C83" s="152" t="b">
        <v>0</v>
      </c>
      <c r="D83" s="152" t="str">
        <v>J0</v>
      </c>
      <c r="E83" s="270" t="str">
        <f>Currency&amp;"FUT"&amp;$G$4&amp;$D83&amp;QuoteSuffix</f>
        <v>USDFUT1MJ0_Quote</v>
      </c>
      <c r="F83" s="271" t="str">
        <f>Currency&amp;"FUT"&amp;$G$4&amp;$D83&amp;"ConvAdj"&amp;QuoteSuffix</f>
        <v>USDFUT1MJ0ConvAdj_Quote</v>
      </c>
      <c r="G83" s="270" t="str">
        <f>_xll.qlFuturesConvAdjustmentQuote($F83,IborIndex,$D83,$E83,Volatility,MeanReversion,Permanent,Trigger,ObjectOverwrite)</f>
        <v>USDFUT1MJ0ConvAdj_Quote#0004</v>
      </c>
      <c r="H83" s="79" t="str">
        <f>_xll.ohRangeRetrieveError(G83)</f>
        <v/>
      </c>
    </row>
    <row r="84" spans="1:8" x14ac:dyDescent="0.2">
      <c r="A84" s="155"/>
      <c r="B84" s="154">
        <v>78</v>
      </c>
      <c r="C84" s="152" t="b">
        <v>0</v>
      </c>
      <c r="D84" s="152" t="str">
        <v>K0</v>
      </c>
      <c r="E84" s="270" t="str">
        <f>Currency&amp;"FUT"&amp;$G$4&amp;$D84&amp;QuoteSuffix</f>
        <v>USDFUT1MK0_Quote</v>
      </c>
      <c r="F84" s="271" t="str">
        <f>Currency&amp;"FUT"&amp;$G$4&amp;$D84&amp;"ConvAdj"&amp;QuoteSuffix</f>
        <v>USDFUT1MK0ConvAdj_Quote</v>
      </c>
      <c r="G84" s="270" t="str">
        <f>_xll.qlFuturesConvAdjustmentQuote($F84,IborIndex,$D84,$E84,Volatility,MeanReversion,Permanent,Trigger,ObjectOverwrite)</f>
        <v>USDFUT1MK0ConvAdj_Quote#0004</v>
      </c>
      <c r="H84" s="79" t="str">
        <f>_xll.ohRangeRetrieveError(G84)</f>
        <v/>
      </c>
    </row>
    <row r="85" spans="1:8" x14ac:dyDescent="0.2">
      <c r="A85" s="155"/>
      <c r="B85" s="154">
        <v>79</v>
      </c>
      <c r="C85" s="152" t="b">
        <v>0</v>
      </c>
      <c r="D85" s="152" t="str">
        <v>M0</v>
      </c>
      <c r="E85" s="270" t="str">
        <f>Currency&amp;"FUT"&amp;$G$4&amp;$D85&amp;QuoteSuffix</f>
        <v>USDFUT1MM0_Quote</v>
      </c>
      <c r="F85" s="271" t="str">
        <f>Currency&amp;"FUT"&amp;$G$4&amp;$D85&amp;"ConvAdj"&amp;QuoteSuffix</f>
        <v>USDFUT1MM0ConvAdj_Quote</v>
      </c>
      <c r="G85" s="270" t="str">
        <f>_xll.qlFuturesConvAdjustmentQuote($F85,IborIndex,$D85,$E85,Volatility,MeanReversion,Permanent,Trigger,ObjectOverwrite)</f>
        <v>USDFUT1MM0ConvAdj_Quote#0004</v>
      </c>
      <c r="H85" s="79" t="str">
        <f>_xll.ohRangeRetrieveError(G85)</f>
        <v/>
      </c>
    </row>
    <row r="86" spans="1:8" x14ac:dyDescent="0.2">
      <c r="A86" s="155"/>
      <c r="B86" s="154">
        <v>80</v>
      </c>
      <c r="C86" s="152" t="b">
        <v>0</v>
      </c>
      <c r="D86" s="152" t="str">
        <v>N0</v>
      </c>
      <c r="E86" s="270" t="str">
        <f>Currency&amp;"FUT"&amp;$G$4&amp;$D86&amp;QuoteSuffix</f>
        <v>USDFUT1MN0_Quote</v>
      </c>
      <c r="F86" s="271" t="str">
        <f>Currency&amp;"FUT"&amp;$G$4&amp;$D86&amp;"ConvAdj"&amp;QuoteSuffix</f>
        <v>USDFUT1MN0ConvAdj_Quote</v>
      </c>
      <c r="G86" s="270" t="str">
        <f>_xll.qlFuturesConvAdjustmentQuote($F86,IborIndex,$D86,$E86,Volatility,MeanReversion,Permanent,Trigger,ObjectOverwrite)</f>
        <v>USDFUT1MN0ConvAdj_Quote#0004</v>
      </c>
      <c r="H86" s="79" t="str">
        <f>_xll.ohRangeRetrieveError(G86)</f>
        <v/>
      </c>
    </row>
    <row r="87" spans="1:8" x14ac:dyDescent="0.2">
      <c r="A87" s="155"/>
      <c r="B87" s="154">
        <v>81</v>
      </c>
      <c r="C87" s="152" t="b">
        <v>0</v>
      </c>
      <c r="D87" s="152" t="str">
        <v>Q0</v>
      </c>
      <c r="E87" s="270" t="str">
        <f>Currency&amp;"FUT"&amp;$G$4&amp;$D87&amp;QuoteSuffix</f>
        <v>USDFUT1MQ0_Quote</v>
      </c>
      <c r="F87" s="271" t="str">
        <f>Currency&amp;"FUT"&amp;$G$4&amp;$D87&amp;"ConvAdj"&amp;QuoteSuffix</f>
        <v>USDFUT1MQ0ConvAdj_Quote</v>
      </c>
      <c r="G87" s="270" t="str">
        <f>_xll.qlFuturesConvAdjustmentQuote($F87,IborIndex,$D87,$E87,Volatility,MeanReversion,Permanent,Trigger,ObjectOverwrite)</f>
        <v>USDFUT1MQ0ConvAdj_Quote#0004</v>
      </c>
      <c r="H87" s="79" t="str">
        <f>_xll.ohRangeRetrieveError(G87)</f>
        <v/>
      </c>
    </row>
    <row r="88" spans="1:8" x14ac:dyDescent="0.2">
      <c r="A88" s="155"/>
      <c r="B88" s="154">
        <v>82</v>
      </c>
      <c r="C88" s="152" t="b">
        <v>0</v>
      </c>
      <c r="D88" s="152" t="str">
        <v>U0</v>
      </c>
      <c r="E88" s="270" t="str">
        <f>Currency&amp;"FUT"&amp;$G$4&amp;$D88&amp;QuoteSuffix</f>
        <v>USDFUT1MU0_Quote</v>
      </c>
      <c r="F88" s="271" t="str">
        <f>Currency&amp;"FUT"&amp;$G$4&amp;$D88&amp;"ConvAdj"&amp;QuoteSuffix</f>
        <v>USDFUT1MU0ConvAdj_Quote</v>
      </c>
      <c r="G88" s="270" t="str">
        <f>_xll.qlFuturesConvAdjustmentQuote($F88,IborIndex,$D88,$E88,Volatility,MeanReversion,Permanent,Trigger,ObjectOverwrite)</f>
        <v>USDFUT1MU0ConvAdj_Quote#0004</v>
      </c>
      <c r="H88" s="79" t="str">
        <f>_xll.ohRangeRetrieveError(G88)</f>
        <v/>
      </c>
    </row>
    <row r="89" spans="1:8" x14ac:dyDescent="0.2">
      <c r="A89" s="155"/>
      <c r="B89" s="154">
        <v>83</v>
      </c>
      <c r="C89" s="152" t="b">
        <v>0</v>
      </c>
      <c r="D89" s="152" t="str">
        <v>V0</v>
      </c>
      <c r="E89" s="270" t="str">
        <f>Currency&amp;"FUT"&amp;$G$4&amp;$D89&amp;QuoteSuffix</f>
        <v>USDFUT1MV0_Quote</v>
      </c>
      <c r="F89" s="271" t="str">
        <f>Currency&amp;"FUT"&amp;$G$4&amp;$D89&amp;"ConvAdj"&amp;QuoteSuffix</f>
        <v>USDFUT1MV0ConvAdj_Quote</v>
      </c>
      <c r="G89" s="270" t="str">
        <f>_xll.qlFuturesConvAdjustmentQuote($F89,IborIndex,$D89,$E89,Volatility,MeanReversion,Permanent,Trigger,ObjectOverwrite)</f>
        <v>USDFUT1MV0ConvAdj_Quote#0004</v>
      </c>
      <c r="H89" s="79" t="str">
        <f>_xll.ohRangeRetrieveError(G89)</f>
        <v/>
      </c>
    </row>
    <row r="90" spans="1:8" x14ac:dyDescent="0.2">
      <c r="A90" s="155"/>
      <c r="B90" s="154">
        <v>84</v>
      </c>
      <c r="C90" s="152" t="b">
        <v>0</v>
      </c>
      <c r="D90" s="152" t="str">
        <v>X0</v>
      </c>
      <c r="E90" s="270" t="str">
        <f>Currency&amp;"FUT"&amp;$G$4&amp;$D90&amp;QuoteSuffix</f>
        <v>USDFUT1MX0_Quote</v>
      </c>
      <c r="F90" s="271" t="str">
        <f>Currency&amp;"FUT"&amp;$G$4&amp;$D90&amp;"ConvAdj"&amp;QuoteSuffix</f>
        <v>USDFUT1MX0ConvAdj_Quote</v>
      </c>
      <c r="G90" s="270" t="str">
        <f>_xll.qlFuturesConvAdjustmentQuote($F90,IborIndex,$D90,$E90,Volatility,MeanReversion,Permanent,Trigger,ObjectOverwrite)</f>
        <v>USDFUT1MX0ConvAdj_Quote#0004</v>
      </c>
      <c r="H90" s="79" t="str">
        <f>_xll.ohRangeRetrieveError(G90)</f>
        <v/>
      </c>
    </row>
    <row r="91" spans="1:8" x14ac:dyDescent="0.2">
      <c r="A91" s="155"/>
      <c r="B91" s="154">
        <v>85</v>
      </c>
      <c r="C91" s="152" t="b">
        <v>0</v>
      </c>
      <c r="D91" s="152" t="str">
        <v>Z0</v>
      </c>
      <c r="E91" s="270" t="str">
        <f>Currency&amp;"FUT"&amp;$G$4&amp;$D91&amp;QuoteSuffix</f>
        <v>USDFUT1MZ0_Quote</v>
      </c>
      <c r="F91" s="271" t="str">
        <f>Currency&amp;"FUT"&amp;$G$4&amp;$D91&amp;"ConvAdj"&amp;QuoteSuffix</f>
        <v>USDFUT1MZ0ConvAdj_Quote</v>
      </c>
      <c r="G91" s="270" t="str">
        <f>_xll.qlFuturesConvAdjustmentQuote($F91,IborIndex,$D91,$E91,Volatility,MeanReversion,Permanent,Trigger,ObjectOverwrite)</f>
        <v>USDFUT1MZ0ConvAdj_Quote#0004</v>
      </c>
      <c r="H91" s="79" t="str">
        <f>_xll.ohRangeRetrieveError(G91)</f>
        <v/>
      </c>
    </row>
    <row r="92" spans="1:8" x14ac:dyDescent="0.2">
      <c r="A92" s="155"/>
      <c r="B92" s="154">
        <v>86</v>
      </c>
      <c r="C92" s="152" t="b">
        <v>0</v>
      </c>
      <c r="D92" s="152" t="str">
        <v>F1</v>
      </c>
      <c r="E92" s="270" t="str">
        <f>Currency&amp;"FUT"&amp;$G$4&amp;$D92&amp;QuoteSuffix</f>
        <v>USDFUT1MF1_Quote</v>
      </c>
      <c r="F92" s="271" t="str">
        <f>Currency&amp;"FUT"&amp;$G$4&amp;$D92&amp;"ConvAdj"&amp;QuoteSuffix</f>
        <v>USDFUT1MF1ConvAdj_Quote</v>
      </c>
      <c r="G92" s="270" t="str">
        <f>_xll.qlFuturesConvAdjustmentQuote($F92,IborIndex,$D92,$E92,Volatility,MeanReversion,Permanent,Trigger,ObjectOverwrite)</f>
        <v>USDFUT1MF1ConvAdj_Quote#0004</v>
      </c>
      <c r="H92" s="79" t="str">
        <f>_xll.ohRangeRetrieveError(G92)</f>
        <v/>
      </c>
    </row>
    <row r="93" spans="1:8" x14ac:dyDescent="0.2">
      <c r="A93" s="155"/>
      <c r="B93" s="154">
        <v>87</v>
      </c>
      <c r="C93" s="152" t="b">
        <v>0</v>
      </c>
      <c r="D93" s="152" t="str">
        <v>G1</v>
      </c>
      <c r="E93" s="270" t="str">
        <f>Currency&amp;"FUT"&amp;$G$4&amp;$D93&amp;QuoteSuffix</f>
        <v>USDFUT1MG1_Quote</v>
      </c>
      <c r="F93" s="271" t="str">
        <f>Currency&amp;"FUT"&amp;$G$4&amp;$D93&amp;"ConvAdj"&amp;QuoteSuffix</f>
        <v>USDFUT1MG1ConvAdj_Quote</v>
      </c>
      <c r="G93" s="270" t="str">
        <f>_xll.qlFuturesConvAdjustmentQuote($F93,IborIndex,$D93,$E93,Volatility,MeanReversion,Permanent,Trigger,ObjectOverwrite)</f>
        <v>USDFUT1MG1ConvAdj_Quote#0004</v>
      </c>
      <c r="H93" s="79" t="str">
        <f>_xll.ohRangeRetrieveError(G93)</f>
        <v/>
      </c>
    </row>
    <row r="94" spans="1:8" x14ac:dyDescent="0.2">
      <c r="A94" s="155"/>
      <c r="B94" s="154">
        <v>88</v>
      </c>
      <c r="C94" s="152" t="b">
        <v>0</v>
      </c>
      <c r="D94" s="152" t="str">
        <v>H1</v>
      </c>
      <c r="E94" s="270" t="str">
        <f>Currency&amp;"FUT"&amp;$G$4&amp;$D94&amp;QuoteSuffix</f>
        <v>USDFUT1MH1_Quote</v>
      </c>
      <c r="F94" s="271" t="str">
        <f>Currency&amp;"FUT"&amp;$G$4&amp;$D94&amp;"ConvAdj"&amp;QuoteSuffix</f>
        <v>USDFUT1MH1ConvAdj_Quote</v>
      </c>
      <c r="G94" s="270" t="str">
        <f>_xll.qlFuturesConvAdjustmentQuote($F94,IborIndex,$D94,$E94,Volatility,MeanReversion,Permanent,Trigger,ObjectOverwrite)</f>
        <v>USDFUT1MH1ConvAdj_Quote#0004</v>
      </c>
      <c r="H94" s="79" t="str">
        <f>_xll.ohRangeRetrieveError(G94)</f>
        <v/>
      </c>
    </row>
    <row r="95" spans="1:8" x14ac:dyDescent="0.2">
      <c r="A95" s="155"/>
      <c r="B95" s="154">
        <v>89</v>
      </c>
      <c r="C95" s="152" t="b">
        <v>0</v>
      </c>
      <c r="D95" s="152" t="str">
        <v>J1</v>
      </c>
      <c r="E95" s="270" t="str">
        <f>Currency&amp;"FUT"&amp;$G$4&amp;$D95&amp;QuoteSuffix</f>
        <v>USDFUT1MJ1_Quote</v>
      </c>
      <c r="F95" s="271" t="str">
        <f>Currency&amp;"FUT"&amp;$G$4&amp;$D95&amp;"ConvAdj"&amp;QuoteSuffix</f>
        <v>USDFUT1MJ1ConvAdj_Quote</v>
      </c>
      <c r="G95" s="270" t="str">
        <f>_xll.qlFuturesConvAdjustmentQuote($F95,IborIndex,$D95,$E95,Volatility,MeanReversion,Permanent,Trigger,ObjectOverwrite)</f>
        <v>USDFUT1MJ1ConvAdj_Quote#0004</v>
      </c>
      <c r="H95" s="79" t="str">
        <f>_xll.ohRangeRetrieveError(G95)</f>
        <v/>
      </c>
    </row>
    <row r="96" spans="1:8" x14ac:dyDescent="0.2">
      <c r="A96" s="155"/>
      <c r="B96" s="154">
        <v>90</v>
      </c>
      <c r="C96" s="152" t="b">
        <v>0</v>
      </c>
      <c r="D96" s="152" t="str">
        <v>K1</v>
      </c>
      <c r="E96" s="270" t="str">
        <f>Currency&amp;"FUT"&amp;$G$4&amp;$D96&amp;QuoteSuffix</f>
        <v>USDFUT1MK1_Quote</v>
      </c>
      <c r="F96" s="271" t="str">
        <f>Currency&amp;"FUT"&amp;$G$4&amp;$D96&amp;"ConvAdj"&amp;QuoteSuffix</f>
        <v>USDFUT1MK1ConvAdj_Quote</v>
      </c>
      <c r="G96" s="270" t="str">
        <f>_xll.qlFuturesConvAdjustmentQuote($F96,IborIndex,$D96,$E96,Volatility,MeanReversion,Permanent,Trigger,ObjectOverwrite)</f>
        <v>USDFUT1MK1ConvAdj_Quote#0004</v>
      </c>
      <c r="H96" s="79" t="str">
        <f>_xll.ohRangeRetrieveError(G96)</f>
        <v/>
      </c>
    </row>
    <row r="97" spans="1:8" x14ac:dyDescent="0.2">
      <c r="A97" s="155"/>
      <c r="B97" s="154">
        <v>91</v>
      </c>
      <c r="C97" s="152" t="b">
        <v>0</v>
      </c>
      <c r="D97" s="152" t="str">
        <v>M1</v>
      </c>
      <c r="E97" s="270" t="str">
        <f>Currency&amp;"FUT"&amp;$G$4&amp;$D97&amp;QuoteSuffix</f>
        <v>USDFUT1MM1_Quote</v>
      </c>
      <c r="F97" s="271" t="str">
        <f>Currency&amp;"FUT"&amp;$G$4&amp;$D97&amp;"ConvAdj"&amp;QuoteSuffix</f>
        <v>USDFUT1MM1ConvAdj_Quote</v>
      </c>
      <c r="G97" s="270" t="str">
        <f>_xll.qlFuturesConvAdjustmentQuote($F97,IborIndex,$D97,$E97,Volatility,MeanReversion,Permanent,Trigger,ObjectOverwrite)</f>
        <v>USDFUT1MM1ConvAdj_Quote#0004</v>
      </c>
      <c r="H97" s="79" t="str">
        <f>_xll.ohRangeRetrieveError(G97)</f>
        <v/>
      </c>
    </row>
    <row r="98" spans="1:8" x14ac:dyDescent="0.2">
      <c r="A98" s="155"/>
      <c r="B98" s="154">
        <v>92</v>
      </c>
      <c r="C98" s="152" t="b">
        <v>0</v>
      </c>
      <c r="D98" s="152" t="str">
        <v>N1</v>
      </c>
      <c r="E98" s="270" t="str">
        <f>Currency&amp;"FUT"&amp;$G$4&amp;$D98&amp;QuoteSuffix</f>
        <v>USDFUT1MN1_Quote</v>
      </c>
      <c r="F98" s="271" t="str">
        <f>Currency&amp;"FUT"&amp;$G$4&amp;$D98&amp;"ConvAdj"&amp;QuoteSuffix</f>
        <v>USDFUT1MN1ConvAdj_Quote</v>
      </c>
      <c r="G98" s="270" t="str">
        <f>_xll.qlFuturesConvAdjustmentQuote($F98,IborIndex,$D98,$E98,Volatility,MeanReversion,Permanent,Trigger,ObjectOverwrite)</f>
        <v>USDFUT1MN1ConvAdj_Quote#0004</v>
      </c>
      <c r="H98" s="79" t="str">
        <f>_xll.ohRangeRetrieveError(G98)</f>
        <v/>
      </c>
    </row>
    <row r="99" spans="1:8" x14ac:dyDescent="0.2">
      <c r="A99" s="155"/>
      <c r="B99" s="154">
        <v>93</v>
      </c>
      <c r="C99" s="152" t="b">
        <v>0</v>
      </c>
      <c r="D99" s="152" t="str">
        <v>Q1</v>
      </c>
      <c r="E99" s="270" t="str">
        <f>Currency&amp;"FUT"&amp;$G$4&amp;$D99&amp;QuoteSuffix</f>
        <v>USDFUT1MQ1_Quote</v>
      </c>
      <c r="F99" s="271" t="str">
        <f>Currency&amp;"FUT"&amp;$G$4&amp;$D99&amp;"ConvAdj"&amp;QuoteSuffix</f>
        <v>USDFUT1MQ1ConvAdj_Quote</v>
      </c>
      <c r="G99" s="270" t="str">
        <f>_xll.qlFuturesConvAdjustmentQuote($F99,IborIndex,$D99,$E99,Volatility,MeanReversion,Permanent,Trigger,ObjectOverwrite)</f>
        <v>USDFUT1MQ1ConvAdj_Quote#0004</v>
      </c>
      <c r="H99" s="79" t="str">
        <f>_xll.ohRangeRetrieveError(G99)</f>
        <v/>
      </c>
    </row>
    <row r="100" spans="1:8" x14ac:dyDescent="0.2">
      <c r="A100" s="155"/>
      <c r="B100" s="154">
        <v>94</v>
      </c>
      <c r="C100" s="152" t="b">
        <v>0</v>
      </c>
      <c r="D100" s="152" t="str">
        <v>U1</v>
      </c>
      <c r="E100" s="270" t="str">
        <f>Currency&amp;"FUT"&amp;$G$4&amp;$D100&amp;QuoteSuffix</f>
        <v>USDFUT1MU1_Quote</v>
      </c>
      <c r="F100" s="271" t="str">
        <f>Currency&amp;"FUT"&amp;$G$4&amp;$D100&amp;"ConvAdj"&amp;QuoteSuffix</f>
        <v>USDFUT1MU1ConvAdj_Quote</v>
      </c>
      <c r="G100" s="270" t="str">
        <f>_xll.qlFuturesConvAdjustmentQuote($F100,IborIndex,$D100,$E100,Volatility,MeanReversion,Permanent,Trigger,ObjectOverwrite)</f>
        <v>USDFUT1MU1ConvAdj_Quote#0004</v>
      </c>
      <c r="H100" s="79" t="str">
        <f>_xll.ohRangeRetrieveError(G100)</f>
        <v/>
      </c>
    </row>
    <row r="101" spans="1:8" x14ac:dyDescent="0.2">
      <c r="A101" s="155"/>
      <c r="B101" s="154">
        <v>95</v>
      </c>
      <c r="C101" s="152" t="b">
        <v>0</v>
      </c>
      <c r="D101" s="152" t="str">
        <v>V1</v>
      </c>
      <c r="E101" s="270" t="str">
        <f>Currency&amp;"FUT"&amp;$G$4&amp;$D101&amp;QuoteSuffix</f>
        <v>USDFUT1MV1_Quote</v>
      </c>
      <c r="F101" s="271" t="str">
        <f>Currency&amp;"FUT"&amp;$G$4&amp;$D101&amp;"ConvAdj"&amp;QuoteSuffix</f>
        <v>USDFUT1MV1ConvAdj_Quote</v>
      </c>
      <c r="G101" s="270" t="str">
        <f>_xll.qlFuturesConvAdjustmentQuote($F101,IborIndex,$D101,$E101,Volatility,MeanReversion,Permanent,Trigger,ObjectOverwrite)</f>
        <v>USDFUT1MV1ConvAdj_Quote#0004</v>
      </c>
      <c r="H101" s="79" t="str">
        <f>_xll.ohRangeRetrieveError(G101)</f>
        <v/>
      </c>
    </row>
    <row r="102" spans="1:8" x14ac:dyDescent="0.2">
      <c r="A102" s="155"/>
      <c r="B102" s="154">
        <v>96</v>
      </c>
      <c r="C102" s="152" t="b">
        <v>0</v>
      </c>
      <c r="D102" s="152" t="str">
        <v>X1</v>
      </c>
      <c r="E102" s="270" t="str">
        <f>Currency&amp;"FUT"&amp;$G$4&amp;$D102&amp;QuoteSuffix</f>
        <v>USDFUT1MX1_Quote</v>
      </c>
      <c r="F102" s="271" t="str">
        <f>Currency&amp;"FUT"&amp;$G$4&amp;$D102&amp;"ConvAdj"&amp;QuoteSuffix</f>
        <v>USDFUT1MX1ConvAdj_Quote</v>
      </c>
      <c r="G102" s="270" t="str">
        <f>_xll.qlFuturesConvAdjustmentQuote($F102,IborIndex,$D102,$E102,Volatility,MeanReversion,Permanent,Trigger,ObjectOverwrite)</f>
        <v>USDFUT1MX1ConvAdj_Quote#0004</v>
      </c>
      <c r="H102" s="79" t="str">
        <f>_xll.ohRangeRetrieveError(G102)</f>
        <v/>
      </c>
    </row>
    <row r="103" spans="1:8" x14ac:dyDescent="0.2">
      <c r="A103" s="155"/>
      <c r="B103" s="154">
        <v>97</v>
      </c>
      <c r="C103" s="152" t="b">
        <v>0</v>
      </c>
      <c r="D103" s="152" t="str">
        <v>Z1</v>
      </c>
      <c r="E103" s="270" t="str">
        <f>Currency&amp;"FUT"&amp;$G$4&amp;$D103&amp;QuoteSuffix</f>
        <v>USDFUT1MZ1_Quote</v>
      </c>
      <c r="F103" s="271" t="str">
        <f>Currency&amp;"FUT"&amp;$G$4&amp;$D103&amp;"ConvAdj"&amp;QuoteSuffix</f>
        <v>USDFUT1MZ1ConvAdj_Quote</v>
      </c>
      <c r="G103" s="270" t="str">
        <f>_xll.qlFuturesConvAdjustmentQuote($F103,IborIndex,$D103,$E103,Volatility,MeanReversion,Permanent,Trigger,ObjectOverwrite)</f>
        <v>USDFUT1MZ1ConvAdj_Quote#0004</v>
      </c>
      <c r="H103" s="79" t="str">
        <f>_xll.ohRangeRetrieveError(G103)</f>
        <v/>
      </c>
    </row>
    <row r="104" spans="1:8" x14ac:dyDescent="0.2">
      <c r="A104" s="155"/>
      <c r="B104" s="154">
        <v>98</v>
      </c>
      <c r="C104" s="152" t="b">
        <v>0</v>
      </c>
      <c r="D104" s="152" t="str">
        <v>F2</v>
      </c>
      <c r="E104" s="270" t="str">
        <f>Currency&amp;"FUT"&amp;$G$4&amp;$D104&amp;QuoteSuffix</f>
        <v>USDFUT1MF2_Quote</v>
      </c>
      <c r="F104" s="271" t="str">
        <f>Currency&amp;"FUT"&amp;$G$4&amp;$D104&amp;"ConvAdj"&amp;QuoteSuffix</f>
        <v>USDFUT1MF2ConvAdj_Quote</v>
      </c>
      <c r="G104" s="270" t="str">
        <f>_xll.qlFuturesConvAdjustmentQuote($F104,IborIndex,$D104,$E104,Volatility,MeanReversion,Permanent,Trigger,ObjectOverwrite)</f>
        <v>USDFUT1MF2ConvAdj_Quote#0004</v>
      </c>
      <c r="H104" s="79" t="str">
        <f>_xll.ohRangeRetrieveError(G104)</f>
        <v/>
      </c>
    </row>
    <row r="105" spans="1:8" x14ac:dyDescent="0.2">
      <c r="A105" s="155"/>
      <c r="B105" s="154">
        <v>99</v>
      </c>
      <c r="C105" s="152" t="b">
        <v>0</v>
      </c>
      <c r="D105" s="152" t="str">
        <v>G2</v>
      </c>
      <c r="E105" s="270" t="str">
        <f>Currency&amp;"FUT"&amp;$G$4&amp;$D105&amp;QuoteSuffix</f>
        <v>USDFUT1MG2_Quote</v>
      </c>
      <c r="F105" s="271" t="str">
        <f>Currency&amp;"FUT"&amp;$G$4&amp;$D105&amp;"ConvAdj"&amp;QuoteSuffix</f>
        <v>USDFUT1MG2ConvAdj_Quote</v>
      </c>
      <c r="G105" s="270" t="str">
        <f>_xll.qlFuturesConvAdjustmentQuote($F105,IborIndex,$D105,$E105,Volatility,MeanReversion,Permanent,Trigger,ObjectOverwrite)</f>
        <v>USDFUT1MG2ConvAdj_Quote#0004</v>
      </c>
      <c r="H105" s="79" t="str">
        <f>_xll.ohRangeRetrieveError(G105)</f>
        <v/>
      </c>
    </row>
    <row r="106" spans="1:8" x14ac:dyDescent="0.2">
      <c r="A106" s="155"/>
      <c r="B106" s="154">
        <v>100</v>
      </c>
      <c r="C106" s="152" t="b">
        <v>0</v>
      </c>
      <c r="D106" s="152" t="str">
        <v>H2</v>
      </c>
      <c r="E106" s="270" t="str">
        <f>Currency&amp;"FUT"&amp;$G$4&amp;$D106&amp;QuoteSuffix</f>
        <v>USDFUT1MH2_Quote</v>
      </c>
      <c r="F106" s="271" t="str">
        <f>Currency&amp;"FUT"&amp;$G$4&amp;$D106&amp;"ConvAdj"&amp;QuoteSuffix</f>
        <v>USDFUT1MH2ConvAdj_Quote</v>
      </c>
      <c r="G106" s="270" t="str">
        <f>_xll.qlFuturesConvAdjustmentQuote($F106,IborIndex,$D106,$E106,Volatility,MeanReversion,Permanent,Trigger,ObjectOverwrite)</f>
        <v>USDFUT1MH2ConvAdj_Quote#0004</v>
      </c>
      <c r="H106" s="79" t="str">
        <f>_xll.ohRangeRetrieveError(G106)</f>
        <v/>
      </c>
    </row>
    <row r="107" spans="1:8" x14ac:dyDescent="0.2">
      <c r="A107" s="155"/>
      <c r="B107" s="154">
        <v>101</v>
      </c>
      <c r="C107" s="152" t="b">
        <v>0</v>
      </c>
      <c r="D107" s="152" t="str">
        <v>J2</v>
      </c>
      <c r="E107" s="270" t="str">
        <f>Currency&amp;"FUT"&amp;$G$4&amp;$D107&amp;QuoteSuffix</f>
        <v>USDFUT1MJ2_Quote</v>
      </c>
      <c r="F107" s="271" t="str">
        <f>Currency&amp;"FUT"&amp;$G$4&amp;$D107&amp;"ConvAdj"&amp;QuoteSuffix</f>
        <v>USDFUT1MJ2ConvAdj_Quote</v>
      </c>
      <c r="G107" s="270" t="str">
        <f>_xll.qlFuturesConvAdjustmentQuote($F107,IborIndex,$D107,$E107,Volatility,MeanReversion,Permanent,Trigger,ObjectOverwrite)</f>
        <v>USDFUT1MJ2ConvAdj_Quote#0004</v>
      </c>
      <c r="H107" s="79" t="str">
        <f>_xll.ohRangeRetrieveError(G107)</f>
        <v/>
      </c>
    </row>
    <row r="108" spans="1:8" x14ac:dyDescent="0.2">
      <c r="A108" s="155"/>
      <c r="B108" s="154">
        <v>102</v>
      </c>
      <c r="C108" s="152" t="b">
        <v>0</v>
      </c>
      <c r="D108" s="152" t="str">
        <v>K2</v>
      </c>
      <c r="E108" s="270" t="str">
        <f>Currency&amp;"FUT"&amp;$G$4&amp;$D108&amp;QuoteSuffix</f>
        <v>USDFUT1MK2_Quote</v>
      </c>
      <c r="F108" s="271" t="str">
        <f>Currency&amp;"FUT"&amp;$G$4&amp;$D108&amp;"ConvAdj"&amp;QuoteSuffix</f>
        <v>USDFUT1MK2ConvAdj_Quote</v>
      </c>
      <c r="G108" s="270" t="str">
        <f>_xll.qlFuturesConvAdjustmentQuote($F108,IborIndex,$D108,$E108,Volatility,MeanReversion,Permanent,Trigger,ObjectOverwrite)</f>
        <v>USDFUT1MK2ConvAdj_Quote#0004</v>
      </c>
      <c r="H108" s="79" t="str">
        <f>_xll.ohRangeRetrieveError(G108)</f>
        <v/>
      </c>
    </row>
    <row r="109" spans="1:8" x14ac:dyDescent="0.2">
      <c r="A109" s="155"/>
      <c r="B109" s="154">
        <v>103</v>
      </c>
      <c r="C109" s="152" t="b">
        <v>0</v>
      </c>
      <c r="D109" s="152" t="str">
        <v>M2</v>
      </c>
      <c r="E109" s="270" t="str">
        <f>Currency&amp;"FUT"&amp;$G$4&amp;$D109&amp;QuoteSuffix</f>
        <v>USDFUT1MM2_Quote</v>
      </c>
      <c r="F109" s="271" t="str">
        <f>Currency&amp;"FUT"&amp;$G$4&amp;$D109&amp;"ConvAdj"&amp;QuoteSuffix</f>
        <v>USDFUT1MM2ConvAdj_Quote</v>
      </c>
      <c r="G109" s="270" t="str">
        <f>_xll.qlFuturesConvAdjustmentQuote($F109,IborIndex,$D109,$E109,Volatility,MeanReversion,Permanent,Trigger,ObjectOverwrite)</f>
        <v>USDFUT1MM2ConvAdj_Quote#0004</v>
      </c>
      <c r="H109" s="79" t="str">
        <f>_xll.ohRangeRetrieveError(G109)</f>
        <v/>
      </c>
    </row>
    <row r="110" spans="1:8" x14ac:dyDescent="0.2">
      <c r="A110" s="155"/>
      <c r="B110" s="154">
        <v>104</v>
      </c>
      <c r="C110" s="152" t="b">
        <v>0</v>
      </c>
      <c r="D110" s="152" t="str">
        <v>N2</v>
      </c>
      <c r="E110" s="270" t="str">
        <f>Currency&amp;"FUT"&amp;$G$4&amp;$D110&amp;QuoteSuffix</f>
        <v>USDFUT1MN2_Quote</v>
      </c>
      <c r="F110" s="271" t="str">
        <f>Currency&amp;"FUT"&amp;$G$4&amp;$D110&amp;"ConvAdj"&amp;QuoteSuffix</f>
        <v>USDFUT1MN2ConvAdj_Quote</v>
      </c>
      <c r="G110" s="270" t="str">
        <f>_xll.qlFuturesConvAdjustmentQuote($F110,IborIndex,$D110,$E110,Volatility,MeanReversion,Permanent,Trigger,ObjectOverwrite)</f>
        <v>USDFUT1MN2ConvAdj_Quote#0004</v>
      </c>
      <c r="H110" s="79" t="str">
        <f>_xll.ohRangeRetrieveError(G110)</f>
        <v/>
      </c>
    </row>
    <row r="111" spans="1:8" x14ac:dyDescent="0.2">
      <c r="A111" s="155"/>
      <c r="B111" s="154">
        <v>105</v>
      </c>
      <c r="C111" s="152" t="b">
        <v>0</v>
      </c>
      <c r="D111" s="152" t="str">
        <v>Q2</v>
      </c>
      <c r="E111" s="270" t="str">
        <f>Currency&amp;"FUT"&amp;$G$4&amp;$D111&amp;QuoteSuffix</f>
        <v>USDFUT1MQ2_Quote</v>
      </c>
      <c r="F111" s="271" t="str">
        <f>Currency&amp;"FUT"&amp;$G$4&amp;$D111&amp;"ConvAdj"&amp;QuoteSuffix</f>
        <v>USDFUT1MQ2ConvAdj_Quote</v>
      </c>
      <c r="G111" s="270" t="str">
        <f>_xll.qlFuturesConvAdjustmentQuote($F111,IborIndex,$D111,$E111,Volatility,MeanReversion,Permanent,Trigger,ObjectOverwrite)</f>
        <v>USDFUT1MQ2ConvAdj_Quote#0004</v>
      </c>
      <c r="H111" s="79" t="str">
        <f>_xll.ohRangeRetrieveError(G111)</f>
        <v/>
      </c>
    </row>
    <row r="112" spans="1:8" x14ac:dyDescent="0.2">
      <c r="A112" s="155"/>
      <c r="B112" s="154">
        <v>106</v>
      </c>
      <c r="C112" s="152" t="b">
        <v>0</v>
      </c>
      <c r="D112" s="152" t="str">
        <v>U2</v>
      </c>
      <c r="E112" s="270" t="str">
        <f>Currency&amp;"FUT"&amp;$G$4&amp;$D112&amp;QuoteSuffix</f>
        <v>USDFUT1MU2_Quote</v>
      </c>
      <c r="F112" s="271" t="str">
        <f>Currency&amp;"FUT"&amp;$G$4&amp;$D112&amp;"ConvAdj"&amp;QuoteSuffix</f>
        <v>USDFUT1MU2ConvAdj_Quote</v>
      </c>
      <c r="G112" s="270" t="str">
        <f>_xll.qlFuturesConvAdjustmentQuote($F112,IborIndex,$D112,$E112,Volatility,MeanReversion,Permanent,Trigger,ObjectOverwrite)</f>
        <v>USDFUT1MU2ConvAdj_Quote#0004</v>
      </c>
      <c r="H112" s="79" t="str">
        <f>_xll.ohRangeRetrieveError(G112)</f>
        <v/>
      </c>
    </row>
    <row r="113" spans="1:8" x14ac:dyDescent="0.2">
      <c r="A113" s="155"/>
      <c r="B113" s="154">
        <v>107</v>
      </c>
      <c r="C113" s="152" t="b">
        <v>0</v>
      </c>
      <c r="D113" s="152" t="str">
        <v>V2</v>
      </c>
      <c r="E113" s="270" t="str">
        <f>Currency&amp;"FUT"&amp;$G$4&amp;$D113&amp;QuoteSuffix</f>
        <v>USDFUT1MV2_Quote</v>
      </c>
      <c r="F113" s="271" t="str">
        <f>Currency&amp;"FUT"&amp;$G$4&amp;$D113&amp;"ConvAdj"&amp;QuoteSuffix</f>
        <v>USDFUT1MV2ConvAdj_Quote</v>
      </c>
      <c r="G113" s="270" t="str">
        <f>_xll.qlFuturesConvAdjustmentQuote($F113,IborIndex,$D113,$E113,Volatility,MeanReversion,Permanent,Trigger,ObjectOverwrite)</f>
        <v>USDFUT1MV2ConvAdj_Quote#0004</v>
      </c>
      <c r="H113" s="79" t="str">
        <f>_xll.ohRangeRetrieveError(G113)</f>
        <v/>
      </c>
    </row>
    <row r="114" spans="1:8" x14ac:dyDescent="0.2">
      <c r="A114" s="155"/>
      <c r="B114" s="154">
        <v>108</v>
      </c>
      <c r="C114" s="152" t="b">
        <v>0</v>
      </c>
      <c r="D114" s="152" t="str">
        <v>X2</v>
      </c>
      <c r="E114" s="270" t="str">
        <f>Currency&amp;"FUT"&amp;$G$4&amp;$D114&amp;QuoteSuffix</f>
        <v>USDFUT1MX2_Quote</v>
      </c>
      <c r="F114" s="271" t="str">
        <f>Currency&amp;"FUT"&amp;$G$4&amp;$D114&amp;"ConvAdj"&amp;QuoteSuffix</f>
        <v>USDFUT1MX2ConvAdj_Quote</v>
      </c>
      <c r="G114" s="270" t="str">
        <f>_xll.qlFuturesConvAdjustmentQuote($F114,IborIndex,$D114,$E114,Volatility,MeanReversion,Permanent,Trigger,ObjectOverwrite)</f>
        <v>USDFUT1MX2ConvAdj_Quote#0004</v>
      </c>
      <c r="H114" s="79" t="str">
        <f>_xll.ohRangeRetrieveError(G114)</f>
        <v/>
      </c>
    </row>
    <row r="115" spans="1:8" x14ac:dyDescent="0.2">
      <c r="A115" s="155"/>
      <c r="B115" s="154">
        <v>109</v>
      </c>
      <c r="C115" s="152" t="b">
        <v>0</v>
      </c>
      <c r="D115" s="152" t="str">
        <v>Z2</v>
      </c>
      <c r="E115" s="270" t="str">
        <f>Currency&amp;"FUT"&amp;$G$4&amp;$D115&amp;QuoteSuffix</f>
        <v>USDFUT1MZ2_Quote</v>
      </c>
      <c r="F115" s="271" t="str">
        <f>Currency&amp;"FUT"&amp;$G$4&amp;$D115&amp;"ConvAdj"&amp;QuoteSuffix</f>
        <v>USDFUT1MZ2ConvAdj_Quote</v>
      </c>
      <c r="G115" s="270" t="str">
        <f>_xll.qlFuturesConvAdjustmentQuote($F115,IborIndex,$D115,$E115,Volatility,MeanReversion,Permanent,Trigger,ObjectOverwrite)</f>
        <v>USDFUT1MZ2ConvAdj_Quote#0004</v>
      </c>
      <c r="H115" s="79" t="str">
        <f>_xll.ohRangeRetrieveError(G115)</f>
        <v/>
      </c>
    </row>
    <row r="116" spans="1:8" x14ac:dyDescent="0.2">
      <c r="A116" s="155"/>
      <c r="B116" s="154">
        <v>110</v>
      </c>
      <c r="C116" s="152" t="b">
        <v>0</v>
      </c>
      <c r="D116" s="152" t="str">
        <v>F3</v>
      </c>
      <c r="E116" s="270" t="str">
        <f>Currency&amp;"FUT"&amp;$G$4&amp;$D116&amp;QuoteSuffix</f>
        <v>USDFUT1MF3_Quote</v>
      </c>
      <c r="F116" s="271" t="str">
        <f>Currency&amp;"FUT"&amp;$G$4&amp;$D116&amp;"ConvAdj"&amp;QuoteSuffix</f>
        <v>USDFUT1MF3ConvAdj_Quote</v>
      </c>
      <c r="G116" s="270" t="str">
        <f>_xll.qlFuturesConvAdjustmentQuote($F116,IborIndex,$D116,$E116,Volatility,MeanReversion,Permanent,Trigger,ObjectOverwrite)</f>
        <v>USDFUT1MF3ConvAdj_Quote#0004</v>
      </c>
      <c r="H116" s="79" t="str">
        <f>_xll.ohRangeRetrieveError(G116)</f>
        <v/>
      </c>
    </row>
    <row r="117" spans="1:8" x14ac:dyDescent="0.2">
      <c r="A117" s="155"/>
      <c r="B117" s="154">
        <v>111</v>
      </c>
      <c r="C117" s="152" t="b">
        <v>0</v>
      </c>
      <c r="D117" s="152" t="str">
        <v>G3</v>
      </c>
      <c r="E117" s="270" t="str">
        <f>Currency&amp;"FUT"&amp;$G$4&amp;$D117&amp;QuoteSuffix</f>
        <v>USDFUT1MG3_Quote</v>
      </c>
      <c r="F117" s="271" t="str">
        <f>Currency&amp;"FUT"&amp;$G$4&amp;$D117&amp;"ConvAdj"&amp;QuoteSuffix</f>
        <v>USDFUT1MG3ConvAdj_Quote</v>
      </c>
      <c r="G117" s="270" t="str">
        <f>_xll.qlFuturesConvAdjustmentQuote($F117,IborIndex,$D117,$E117,Volatility,MeanReversion,Permanent,Trigger,ObjectOverwrite)</f>
        <v>USDFUT1MG3ConvAdj_Quote#0004</v>
      </c>
      <c r="H117" s="79" t="str">
        <f>_xll.ohRangeRetrieveError(G117)</f>
        <v/>
      </c>
    </row>
    <row r="118" spans="1:8" x14ac:dyDescent="0.2">
      <c r="A118" s="155"/>
      <c r="B118" s="154">
        <v>112</v>
      </c>
      <c r="C118" s="152" t="b">
        <v>0</v>
      </c>
      <c r="D118" s="152" t="str">
        <v>H3</v>
      </c>
      <c r="E118" s="270" t="str">
        <f>Currency&amp;"FUT"&amp;$G$4&amp;$D118&amp;QuoteSuffix</f>
        <v>USDFUT1MH3_Quote</v>
      </c>
      <c r="F118" s="271" t="str">
        <f>Currency&amp;"FUT"&amp;$G$4&amp;$D118&amp;"ConvAdj"&amp;QuoteSuffix</f>
        <v>USDFUT1MH3ConvAdj_Quote</v>
      </c>
      <c r="G118" s="270" t="str">
        <f>_xll.qlFuturesConvAdjustmentQuote($F118,IborIndex,$D118,$E118,Volatility,MeanReversion,Permanent,Trigger,ObjectOverwrite)</f>
        <v>USDFUT1MH3ConvAdj_Quote#0004</v>
      </c>
      <c r="H118" s="79" t="str">
        <f>_xll.ohRangeRetrieveError(G118)</f>
        <v/>
      </c>
    </row>
    <row r="119" spans="1:8" x14ac:dyDescent="0.2">
      <c r="A119" s="155"/>
      <c r="B119" s="154">
        <v>113</v>
      </c>
      <c r="C119" s="152" t="b">
        <v>0</v>
      </c>
      <c r="D119" s="152" t="str">
        <v>J3</v>
      </c>
      <c r="E119" s="270" t="str">
        <f>Currency&amp;"FUT"&amp;$G$4&amp;$D119&amp;QuoteSuffix</f>
        <v>USDFUT1MJ3_Quote</v>
      </c>
      <c r="F119" s="271" t="str">
        <f>Currency&amp;"FUT"&amp;$G$4&amp;$D119&amp;"ConvAdj"&amp;QuoteSuffix</f>
        <v>USDFUT1MJ3ConvAdj_Quote</v>
      </c>
      <c r="G119" s="270" t="str">
        <f>_xll.qlFuturesConvAdjustmentQuote($F119,IborIndex,$D119,$E119,Volatility,MeanReversion,Permanent,Trigger,ObjectOverwrite)</f>
        <v>USDFUT1MJ3ConvAdj_Quote#0004</v>
      </c>
      <c r="H119" s="79" t="str">
        <f>_xll.ohRangeRetrieveError(G119)</f>
        <v/>
      </c>
    </row>
    <row r="120" spans="1:8" x14ac:dyDescent="0.2">
      <c r="A120" s="155"/>
      <c r="B120" s="154">
        <v>114</v>
      </c>
      <c r="C120" s="152" t="b">
        <v>0</v>
      </c>
      <c r="D120" s="152" t="str">
        <v>K3</v>
      </c>
      <c r="E120" s="270" t="str">
        <f>Currency&amp;"FUT"&amp;$G$4&amp;$D120&amp;QuoteSuffix</f>
        <v>USDFUT1MK3_Quote</v>
      </c>
      <c r="F120" s="271" t="str">
        <f>Currency&amp;"FUT"&amp;$G$4&amp;$D120&amp;"ConvAdj"&amp;QuoteSuffix</f>
        <v>USDFUT1MK3ConvAdj_Quote</v>
      </c>
      <c r="G120" s="270" t="str">
        <f>_xll.qlFuturesConvAdjustmentQuote($F120,IborIndex,$D120,$E120,Volatility,MeanReversion,Permanent,Trigger,ObjectOverwrite)</f>
        <v>USDFUT1MK3ConvAdj_Quote#0004</v>
      </c>
      <c r="H120" s="79" t="str">
        <f>_xll.ohRangeRetrieveError(G120)</f>
        <v/>
      </c>
    </row>
    <row r="121" spans="1:8" x14ac:dyDescent="0.2">
      <c r="A121" s="155"/>
      <c r="B121" s="154">
        <v>115</v>
      </c>
      <c r="C121" s="152" t="b">
        <v>0</v>
      </c>
      <c r="D121" s="152" t="str">
        <v>M3</v>
      </c>
      <c r="E121" s="270" t="str">
        <f>Currency&amp;"FUT"&amp;$G$4&amp;$D121&amp;QuoteSuffix</f>
        <v>USDFUT1MM3_Quote</v>
      </c>
      <c r="F121" s="271" t="str">
        <f>Currency&amp;"FUT"&amp;$G$4&amp;$D121&amp;"ConvAdj"&amp;QuoteSuffix</f>
        <v>USDFUT1MM3ConvAdj_Quote</v>
      </c>
      <c r="G121" s="270" t="str">
        <f>_xll.qlFuturesConvAdjustmentQuote($F121,IborIndex,$D121,$E121,Volatility,MeanReversion,Permanent,Trigger,ObjectOverwrite)</f>
        <v>USDFUT1MM3ConvAdj_Quote#0004</v>
      </c>
      <c r="H121" s="79" t="str">
        <f>_xll.ohRangeRetrieveError(G121)</f>
        <v/>
      </c>
    </row>
    <row r="122" spans="1:8" x14ac:dyDescent="0.2">
      <c r="A122" s="155"/>
      <c r="B122" s="154">
        <v>116</v>
      </c>
      <c r="C122" s="152" t="b">
        <v>0</v>
      </c>
      <c r="D122" s="152" t="str">
        <v>N3</v>
      </c>
      <c r="E122" s="270" t="str">
        <f>Currency&amp;"FUT"&amp;$G$4&amp;$D122&amp;QuoteSuffix</f>
        <v>USDFUT1MN3_Quote</v>
      </c>
      <c r="F122" s="271" t="str">
        <f>Currency&amp;"FUT"&amp;$G$4&amp;$D122&amp;"ConvAdj"&amp;QuoteSuffix</f>
        <v>USDFUT1MN3ConvAdj_Quote</v>
      </c>
      <c r="G122" s="270" t="str">
        <f>_xll.qlFuturesConvAdjustmentQuote($F122,IborIndex,$D122,$E122,Volatility,MeanReversion,Permanent,Trigger,ObjectOverwrite)</f>
        <v>USDFUT1MN3ConvAdj_Quote#0004</v>
      </c>
      <c r="H122" s="79" t="str">
        <f>_xll.ohRangeRetrieveError(G122)</f>
        <v/>
      </c>
    </row>
    <row r="123" spans="1:8" x14ac:dyDescent="0.2">
      <c r="A123" s="155"/>
      <c r="B123" s="154">
        <v>117</v>
      </c>
      <c r="C123" s="152" t="b">
        <v>0</v>
      </c>
      <c r="D123" s="152" t="str">
        <v>Q3</v>
      </c>
      <c r="E123" s="270" t="str">
        <f>Currency&amp;"FUT"&amp;$G$4&amp;$D123&amp;QuoteSuffix</f>
        <v>USDFUT1MQ3_Quote</v>
      </c>
      <c r="F123" s="271" t="str">
        <f>Currency&amp;"FUT"&amp;$G$4&amp;$D123&amp;"ConvAdj"&amp;QuoteSuffix</f>
        <v>USDFUT1MQ3ConvAdj_Quote</v>
      </c>
      <c r="G123" s="270" t="str">
        <f>_xll.qlFuturesConvAdjustmentQuote($F123,IborIndex,$D123,$E123,Volatility,MeanReversion,Permanent,Trigger,ObjectOverwrite)</f>
        <v>USDFUT1MQ3ConvAdj_Quote#0004</v>
      </c>
      <c r="H123" s="79" t="str">
        <f>_xll.ohRangeRetrieveError(G123)</f>
        <v/>
      </c>
    </row>
    <row r="124" spans="1:8" x14ac:dyDescent="0.2">
      <c r="A124" s="155"/>
      <c r="B124" s="154">
        <v>118</v>
      </c>
      <c r="C124" s="152" t="b">
        <v>0</v>
      </c>
      <c r="D124" s="152" t="str">
        <v>U3</v>
      </c>
      <c r="E124" s="270" t="str">
        <f>Currency&amp;"FUT"&amp;$G$4&amp;$D124&amp;QuoteSuffix</f>
        <v>USDFUT1MU3_Quote</v>
      </c>
      <c r="F124" s="271" t="str">
        <f>Currency&amp;"FUT"&amp;$G$4&amp;$D124&amp;"ConvAdj"&amp;QuoteSuffix</f>
        <v>USDFUT1MU3ConvAdj_Quote</v>
      </c>
      <c r="G124" s="270" t="str">
        <f>_xll.qlFuturesConvAdjustmentQuote($F124,IborIndex,$D124,$E124,Volatility,MeanReversion,Permanent,Trigger,ObjectOverwrite)</f>
        <v>USDFUT1MU3ConvAdj_Quote#0004</v>
      </c>
      <c r="H124" s="79" t="str">
        <f>_xll.ohRangeRetrieveError(G124)</f>
        <v/>
      </c>
    </row>
    <row r="125" spans="1:8" x14ac:dyDescent="0.2">
      <c r="A125" s="155"/>
      <c r="B125" s="154">
        <v>119</v>
      </c>
      <c r="C125" s="152" t="b">
        <v>0</v>
      </c>
      <c r="D125" s="152" t="str">
        <v>V3</v>
      </c>
      <c r="E125" s="270" t="str">
        <f>Currency&amp;"FUT"&amp;$G$4&amp;$D125&amp;QuoteSuffix</f>
        <v>USDFUT1MV3_Quote</v>
      </c>
      <c r="F125" s="271" t="str">
        <f>Currency&amp;"FUT"&amp;$G$4&amp;$D125&amp;"ConvAdj"&amp;QuoteSuffix</f>
        <v>USDFUT1MV3ConvAdj_Quote</v>
      </c>
      <c r="G125" s="270" t="str">
        <f>_xll.qlFuturesConvAdjustmentQuote($F125,IborIndex,$D125,$E125,Volatility,MeanReversion,Permanent,Trigger,ObjectOverwrite)</f>
        <v>USDFUT1MV3ConvAdj_Quote#0004</v>
      </c>
      <c r="H125" s="79" t="str">
        <f>_xll.ohRangeRetrieveError(G125)</f>
        <v/>
      </c>
    </row>
    <row r="126" spans="1:8" ht="12" thickBot="1" x14ac:dyDescent="0.25">
      <c r="A126" s="148"/>
      <c r="B126" s="154">
        <v>120</v>
      </c>
      <c r="C126" s="152" t="b">
        <v>0</v>
      </c>
      <c r="D126" s="152" t="str">
        <v>X3</v>
      </c>
      <c r="E126" s="270" t="str">
        <f>Currency&amp;"FUT"&amp;$G$4&amp;$D126&amp;QuoteSuffix</f>
        <v>USDFUT1MX3_Quote</v>
      </c>
      <c r="F126" s="271" t="str">
        <f>Currency&amp;"FUT"&amp;$G$4&amp;$D126&amp;"ConvAdj"&amp;QuoteSuffix</f>
        <v>USDFUT1MX3ConvAdj_Quote</v>
      </c>
      <c r="G126" s="270" t="str">
        <f>_xll.qlFuturesConvAdjustmentQuote($F126,IborIndex,$D126,$E126,Volatility,MeanReversion,Permanent,Trigger,ObjectOverwrite)</f>
        <v>USDFUT1MX3ConvAdj_Quote#0004</v>
      </c>
      <c r="H126" s="79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6"/>
  <sheetViews>
    <sheetView workbookViewId="0"/>
  </sheetViews>
  <sheetFormatPr defaultRowHeight="11.25" x14ac:dyDescent="0.2"/>
  <cols>
    <col min="1" max="1" width="3.28515625" style="111" customWidth="1"/>
    <col min="2" max="2" width="3.5703125" style="111" bestFit="1" customWidth="1"/>
    <col min="3" max="3" width="5.7109375" style="111" bestFit="1" customWidth="1"/>
    <col min="4" max="4" width="5.42578125" style="111" bestFit="1" customWidth="1"/>
    <col min="5" max="5" width="15.85546875" style="111" bestFit="1" customWidth="1"/>
    <col min="6" max="6" width="25" style="111" bestFit="1" customWidth="1"/>
    <col min="7" max="7" width="26.42578125" style="111" bestFit="1" customWidth="1"/>
    <col min="8" max="8" width="53.140625" style="111" customWidth="1"/>
    <col min="9" max="16384" width="9.140625" style="111"/>
  </cols>
  <sheetData>
    <row r="1" spans="1:8" x14ac:dyDescent="0.2">
      <c r="A1" s="111" t="s">
        <v>233</v>
      </c>
    </row>
    <row r="2" spans="1:8" x14ac:dyDescent="0.2">
      <c r="E2" s="274" t="s">
        <v>232</v>
      </c>
      <c r="F2" s="273" t="str">
        <f>PROPER(Currency)&amp;"HW_Volatility_Quote"</f>
        <v>UsdHW_Volatility_Quote</v>
      </c>
    </row>
    <row r="3" spans="1:8" x14ac:dyDescent="0.2">
      <c r="E3" s="274" t="s">
        <v>231</v>
      </c>
      <c r="F3" s="273" t="str">
        <f>PROPER(Currency)&amp;"HW_MeanReversion_Quote"</f>
        <v>UsdHW_MeanReversion_Quote</v>
      </c>
    </row>
    <row r="4" spans="1:8" x14ac:dyDescent="0.2">
      <c r="E4" s="274" t="s">
        <v>118</v>
      </c>
      <c r="F4" s="273" t="str">
        <f>PROPER(Currency)&amp;FamilyName&amp;$G$4</f>
        <v>UsdLibor3M</v>
      </c>
      <c r="G4" s="272" t="s">
        <v>38</v>
      </c>
    </row>
    <row r="6" spans="1:8" ht="22.5" x14ac:dyDescent="0.2">
      <c r="A6" s="161"/>
      <c r="B6" s="97" t="s">
        <v>183</v>
      </c>
      <c r="C6" s="208" t="s">
        <v>182</v>
      </c>
      <c r="D6" s="208" t="s">
        <v>181</v>
      </c>
      <c r="E6" s="208" t="s">
        <v>230</v>
      </c>
      <c r="F6" s="96" t="str">
        <f>Currency&amp;"_020_Futures"&amp;G4&amp;"ConvAdj.xml"</f>
        <v>USD_020_Futures3MConvAdj.xml</v>
      </c>
      <c r="G6" s="117">
        <f ca="1">IF(Serialize,_xll.ohObjectSave(G7:G126,SerializationPath&amp;F6,FileOverwrite,Serialize),"---")</f>
        <v>120</v>
      </c>
      <c r="H6" s="79" t="str">
        <f ca="1">_xll.ohRangeRetrieveError(G6)</f>
        <v/>
      </c>
    </row>
    <row r="7" spans="1:8" x14ac:dyDescent="0.2">
      <c r="A7" s="155"/>
      <c r="B7" s="160">
        <v>1</v>
      </c>
      <c r="C7" s="158" t="b">
        <v>0</v>
      </c>
      <c r="D7" s="158" t="str">
        <f t="array" ref="D7:D126">_xll.qlIMMNextCodes(_xll.qlSettingsEvaluationDate(Trigger)-1,$C7:$C126)</f>
        <v>Z3</v>
      </c>
      <c r="E7" s="270" t="str">
        <f>Currency&amp;"FUT"&amp;$G$4&amp;$D7&amp;QuoteSuffix</f>
        <v>USDFUT3MZ3_Quote</v>
      </c>
      <c r="F7" s="271" t="str">
        <f>Currency&amp;"FUT"&amp;$G$4&amp;$D7&amp;"ConvAdj"&amp;QuoteSuffix</f>
        <v>USDFUT3MZ3ConvAdj_Quote</v>
      </c>
      <c r="G7" s="270" t="str">
        <f>_xll.qlFuturesConvAdjustmentQuote($F7,IborIndex,$D7,$E7,Volatility,MeanReversion,Permanent,Trigger,ObjectOverwrite)</f>
        <v>USDFUT3MZ3ConvAdj_Quote#0003</v>
      </c>
      <c r="H7" s="79" t="str">
        <f>_xll.ohRangeRetrieveError(G7)</f>
        <v/>
      </c>
    </row>
    <row r="8" spans="1:8" x14ac:dyDescent="0.2">
      <c r="A8" s="155"/>
      <c r="B8" s="154">
        <v>2</v>
      </c>
      <c r="C8" s="152" t="b">
        <v>0</v>
      </c>
      <c r="D8" s="152" t="str">
        <v>F4</v>
      </c>
      <c r="E8" s="270" t="str">
        <f>Currency&amp;"FUT"&amp;$G$4&amp;$D8&amp;QuoteSuffix</f>
        <v>USDFUT3MF4_Quote</v>
      </c>
      <c r="F8" s="271" t="str">
        <f>Currency&amp;"FUT"&amp;$G$4&amp;$D8&amp;"ConvAdj"&amp;QuoteSuffix</f>
        <v>USDFUT3MF4ConvAdj_Quote</v>
      </c>
      <c r="G8" s="270" t="str">
        <f>_xll.qlFuturesConvAdjustmentQuote($F8,IborIndex,$D8,$E8,Volatility,MeanReversion,Permanent,Trigger,ObjectOverwrite)</f>
        <v>USDFUT3MF4ConvAdj_Quote#0003</v>
      </c>
      <c r="H8" s="79" t="str">
        <f>_xll.ohRangeRetrieveError(G8)</f>
        <v/>
      </c>
    </row>
    <row r="9" spans="1:8" x14ac:dyDescent="0.2">
      <c r="A9" s="155"/>
      <c r="B9" s="154">
        <v>3</v>
      </c>
      <c r="C9" s="152" t="b">
        <v>0</v>
      </c>
      <c r="D9" s="152" t="str">
        <v>G4</v>
      </c>
      <c r="E9" s="270" t="str">
        <f>Currency&amp;"FUT"&amp;$G$4&amp;$D9&amp;QuoteSuffix</f>
        <v>USDFUT3MG4_Quote</v>
      </c>
      <c r="F9" s="271" t="str">
        <f>Currency&amp;"FUT"&amp;$G$4&amp;$D9&amp;"ConvAdj"&amp;QuoteSuffix</f>
        <v>USDFUT3MG4ConvAdj_Quote</v>
      </c>
      <c r="G9" s="270" t="str">
        <f>_xll.qlFuturesConvAdjustmentQuote($F9,IborIndex,$D9,$E9,Volatility,MeanReversion,Permanent,Trigger,ObjectOverwrite)</f>
        <v>USDFUT3MG4ConvAdj_Quote#0003</v>
      </c>
      <c r="H9" s="79" t="str">
        <f>_xll.ohRangeRetrieveError(G9)</f>
        <v/>
      </c>
    </row>
    <row r="10" spans="1:8" x14ac:dyDescent="0.2">
      <c r="A10" s="155"/>
      <c r="B10" s="154">
        <v>4</v>
      </c>
      <c r="C10" s="152" t="b">
        <v>0</v>
      </c>
      <c r="D10" s="152" t="str">
        <v>H4</v>
      </c>
      <c r="E10" s="270" t="str">
        <f>Currency&amp;"FUT"&amp;$G$4&amp;$D10&amp;QuoteSuffix</f>
        <v>USDFUT3MH4_Quote</v>
      </c>
      <c r="F10" s="271" t="str">
        <f>Currency&amp;"FUT"&amp;$G$4&amp;$D10&amp;"ConvAdj"&amp;QuoteSuffix</f>
        <v>USDFUT3MH4ConvAdj_Quote</v>
      </c>
      <c r="G10" s="270" t="str">
        <f>_xll.qlFuturesConvAdjustmentQuote($F10,IborIndex,$D10,$E10,Volatility,MeanReversion,Permanent,Trigger,ObjectOverwrite)</f>
        <v>USDFUT3MH4ConvAdj_Quote#0003</v>
      </c>
      <c r="H10" s="79" t="str">
        <f>_xll.ohRangeRetrieveError(G10)</f>
        <v/>
      </c>
    </row>
    <row r="11" spans="1:8" x14ac:dyDescent="0.2">
      <c r="A11" s="155"/>
      <c r="B11" s="154">
        <v>5</v>
      </c>
      <c r="C11" s="152" t="b">
        <v>0</v>
      </c>
      <c r="D11" s="152" t="str">
        <v>J4</v>
      </c>
      <c r="E11" s="270" t="str">
        <f>Currency&amp;"FUT"&amp;$G$4&amp;$D11&amp;QuoteSuffix</f>
        <v>USDFUT3MJ4_Quote</v>
      </c>
      <c r="F11" s="271" t="str">
        <f>Currency&amp;"FUT"&amp;$G$4&amp;$D11&amp;"ConvAdj"&amp;QuoteSuffix</f>
        <v>USDFUT3MJ4ConvAdj_Quote</v>
      </c>
      <c r="G11" s="270" t="str">
        <f>_xll.qlFuturesConvAdjustmentQuote($F11,IborIndex,$D11,$E11,Volatility,MeanReversion,Permanent,Trigger,ObjectOverwrite)</f>
        <v>USDFUT3MJ4ConvAdj_Quote#0003</v>
      </c>
      <c r="H11" s="79" t="str">
        <f>_xll.ohRangeRetrieveError(G11)</f>
        <v/>
      </c>
    </row>
    <row r="12" spans="1:8" x14ac:dyDescent="0.2">
      <c r="A12" s="155"/>
      <c r="B12" s="154">
        <v>6</v>
      </c>
      <c r="C12" s="152" t="b">
        <v>0</v>
      </c>
      <c r="D12" s="152" t="str">
        <v>K4</v>
      </c>
      <c r="E12" s="270" t="str">
        <f>Currency&amp;"FUT"&amp;$G$4&amp;$D12&amp;QuoteSuffix</f>
        <v>USDFUT3MK4_Quote</v>
      </c>
      <c r="F12" s="271" t="str">
        <f>Currency&amp;"FUT"&amp;$G$4&amp;$D12&amp;"ConvAdj"&amp;QuoteSuffix</f>
        <v>USDFUT3MK4ConvAdj_Quote</v>
      </c>
      <c r="G12" s="270" t="str">
        <f>_xll.qlFuturesConvAdjustmentQuote($F12,IborIndex,$D12,$E12,Volatility,MeanReversion,Permanent,Trigger,ObjectOverwrite)</f>
        <v>USDFUT3MK4ConvAdj_Quote#0003</v>
      </c>
      <c r="H12" s="79" t="str">
        <f>_xll.ohRangeRetrieveError(G12)</f>
        <v/>
      </c>
    </row>
    <row r="13" spans="1:8" x14ac:dyDescent="0.2">
      <c r="A13" s="155"/>
      <c r="B13" s="154">
        <v>7</v>
      </c>
      <c r="C13" s="152" t="b">
        <v>0</v>
      </c>
      <c r="D13" s="152" t="str">
        <v>M4</v>
      </c>
      <c r="E13" s="270" t="str">
        <f>Currency&amp;"FUT"&amp;$G$4&amp;$D13&amp;QuoteSuffix</f>
        <v>USDFUT3MM4_Quote</v>
      </c>
      <c r="F13" s="271" t="str">
        <f>Currency&amp;"FUT"&amp;$G$4&amp;$D13&amp;"ConvAdj"&amp;QuoteSuffix</f>
        <v>USDFUT3MM4ConvAdj_Quote</v>
      </c>
      <c r="G13" s="270" t="str">
        <f>_xll.qlFuturesConvAdjustmentQuote($F13,IborIndex,$D13,$E13,Volatility,MeanReversion,Permanent,Trigger,ObjectOverwrite)</f>
        <v>USDFUT3MM4ConvAdj_Quote#0003</v>
      </c>
      <c r="H13" s="79" t="str">
        <f>_xll.ohRangeRetrieveError(G13)</f>
        <v/>
      </c>
    </row>
    <row r="14" spans="1:8" x14ac:dyDescent="0.2">
      <c r="A14" s="155"/>
      <c r="B14" s="154">
        <v>8</v>
      </c>
      <c r="C14" s="152" t="b">
        <v>0</v>
      </c>
      <c r="D14" s="152" t="str">
        <v>N4</v>
      </c>
      <c r="E14" s="270" t="str">
        <f>Currency&amp;"FUT"&amp;$G$4&amp;$D14&amp;QuoteSuffix</f>
        <v>USDFUT3MN4_Quote</v>
      </c>
      <c r="F14" s="271" t="str">
        <f>Currency&amp;"FUT"&amp;$G$4&amp;$D14&amp;"ConvAdj"&amp;QuoteSuffix</f>
        <v>USDFUT3MN4ConvAdj_Quote</v>
      </c>
      <c r="G14" s="270" t="str">
        <f>_xll.qlFuturesConvAdjustmentQuote($F14,IborIndex,$D14,$E14,Volatility,MeanReversion,Permanent,Trigger,ObjectOverwrite)</f>
        <v>USDFUT3MN4ConvAdj_Quote#0003</v>
      </c>
      <c r="H14" s="79" t="str">
        <f>_xll.ohRangeRetrieveError(G14)</f>
        <v/>
      </c>
    </row>
    <row r="15" spans="1:8" x14ac:dyDescent="0.2">
      <c r="A15" s="155"/>
      <c r="B15" s="154">
        <v>9</v>
      </c>
      <c r="C15" s="152" t="b">
        <v>0</v>
      </c>
      <c r="D15" s="152" t="str">
        <v>Q4</v>
      </c>
      <c r="E15" s="270" t="str">
        <f>Currency&amp;"FUT"&amp;$G$4&amp;$D15&amp;QuoteSuffix</f>
        <v>USDFUT3MQ4_Quote</v>
      </c>
      <c r="F15" s="271" t="str">
        <f>Currency&amp;"FUT"&amp;$G$4&amp;$D15&amp;"ConvAdj"&amp;QuoteSuffix</f>
        <v>USDFUT3MQ4ConvAdj_Quote</v>
      </c>
      <c r="G15" s="270" t="str">
        <f>_xll.qlFuturesConvAdjustmentQuote($F15,IborIndex,$D15,$E15,Volatility,MeanReversion,Permanent,Trigger,ObjectOverwrite)</f>
        <v>USDFUT3MQ4ConvAdj_Quote#0003</v>
      </c>
      <c r="H15" s="79" t="str">
        <f>_xll.ohRangeRetrieveError(G15)</f>
        <v/>
      </c>
    </row>
    <row r="16" spans="1:8" x14ac:dyDescent="0.2">
      <c r="A16" s="155"/>
      <c r="B16" s="154">
        <v>10</v>
      </c>
      <c r="C16" s="152" t="b">
        <v>0</v>
      </c>
      <c r="D16" s="152" t="str">
        <v>U4</v>
      </c>
      <c r="E16" s="270" t="str">
        <f>Currency&amp;"FUT"&amp;$G$4&amp;$D16&amp;QuoteSuffix</f>
        <v>USDFUT3MU4_Quote</v>
      </c>
      <c r="F16" s="271" t="str">
        <f>Currency&amp;"FUT"&amp;$G$4&amp;$D16&amp;"ConvAdj"&amp;QuoteSuffix</f>
        <v>USDFUT3MU4ConvAdj_Quote</v>
      </c>
      <c r="G16" s="270" t="str">
        <f>_xll.qlFuturesConvAdjustmentQuote($F16,IborIndex,$D16,$E16,Volatility,MeanReversion,Permanent,Trigger,ObjectOverwrite)</f>
        <v>USDFUT3MU4ConvAdj_Quote#0003</v>
      </c>
      <c r="H16" s="79" t="str">
        <f>_xll.ohRangeRetrieveError(G16)</f>
        <v/>
      </c>
    </row>
    <row r="17" spans="1:8" x14ac:dyDescent="0.2">
      <c r="A17" s="155"/>
      <c r="B17" s="154">
        <v>11</v>
      </c>
      <c r="C17" s="152" t="b">
        <v>0</v>
      </c>
      <c r="D17" s="152" t="str">
        <v>V4</v>
      </c>
      <c r="E17" s="270" t="str">
        <f>Currency&amp;"FUT"&amp;$G$4&amp;$D17&amp;QuoteSuffix</f>
        <v>USDFUT3MV4_Quote</v>
      </c>
      <c r="F17" s="271" t="str">
        <f>Currency&amp;"FUT"&amp;$G$4&amp;$D17&amp;"ConvAdj"&amp;QuoteSuffix</f>
        <v>USDFUT3MV4ConvAdj_Quote</v>
      </c>
      <c r="G17" s="270" t="str">
        <f>_xll.qlFuturesConvAdjustmentQuote($F17,IborIndex,$D17,$E17,Volatility,MeanReversion,Permanent,Trigger,ObjectOverwrite)</f>
        <v>USDFUT3MV4ConvAdj_Quote#0003</v>
      </c>
      <c r="H17" s="79" t="str">
        <f>_xll.ohRangeRetrieveError(G17)</f>
        <v/>
      </c>
    </row>
    <row r="18" spans="1:8" x14ac:dyDescent="0.2">
      <c r="A18" s="155"/>
      <c r="B18" s="154">
        <v>12</v>
      </c>
      <c r="C18" s="152" t="b">
        <v>0</v>
      </c>
      <c r="D18" s="152" t="str">
        <v>X4</v>
      </c>
      <c r="E18" s="270" t="str">
        <f>Currency&amp;"FUT"&amp;$G$4&amp;$D18&amp;QuoteSuffix</f>
        <v>USDFUT3MX4_Quote</v>
      </c>
      <c r="F18" s="271" t="str">
        <f>Currency&amp;"FUT"&amp;$G$4&amp;$D18&amp;"ConvAdj"&amp;QuoteSuffix</f>
        <v>USDFUT3MX4ConvAdj_Quote</v>
      </c>
      <c r="G18" s="270" t="str">
        <f>_xll.qlFuturesConvAdjustmentQuote($F18,IborIndex,$D18,$E18,Volatility,MeanReversion,Permanent,Trigger,ObjectOverwrite)</f>
        <v>USDFUT3MX4ConvAdj_Quote#0003</v>
      </c>
      <c r="H18" s="79" t="str">
        <f>_xll.ohRangeRetrieveError(G18)</f>
        <v/>
      </c>
    </row>
    <row r="19" spans="1:8" x14ac:dyDescent="0.2">
      <c r="A19" s="155"/>
      <c r="B19" s="154">
        <v>13</v>
      </c>
      <c r="C19" s="152" t="b">
        <v>0</v>
      </c>
      <c r="D19" s="152" t="str">
        <v>Z4</v>
      </c>
      <c r="E19" s="270" t="str">
        <f>Currency&amp;"FUT"&amp;$G$4&amp;$D19&amp;QuoteSuffix</f>
        <v>USDFUT3MZ4_Quote</v>
      </c>
      <c r="F19" s="271" t="str">
        <f>Currency&amp;"FUT"&amp;$G$4&amp;$D19&amp;"ConvAdj"&amp;QuoteSuffix</f>
        <v>USDFUT3MZ4ConvAdj_Quote</v>
      </c>
      <c r="G19" s="270" t="str">
        <f>_xll.qlFuturesConvAdjustmentQuote($F19,IborIndex,$D19,$E19,Volatility,MeanReversion,Permanent,Trigger,ObjectOverwrite)</f>
        <v>USDFUT3MZ4ConvAdj_Quote#0003</v>
      </c>
      <c r="H19" s="79" t="str">
        <f>_xll.ohRangeRetrieveError(G19)</f>
        <v/>
      </c>
    </row>
    <row r="20" spans="1:8" x14ac:dyDescent="0.2">
      <c r="A20" s="155"/>
      <c r="B20" s="154">
        <v>14</v>
      </c>
      <c r="C20" s="152" t="b">
        <v>0</v>
      </c>
      <c r="D20" s="152" t="str">
        <v>F5</v>
      </c>
      <c r="E20" s="270" t="str">
        <f>Currency&amp;"FUT"&amp;$G$4&amp;$D20&amp;QuoteSuffix</f>
        <v>USDFUT3MF5_Quote</v>
      </c>
      <c r="F20" s="271" t="str">
        <f>Currency&amp;"FUT"&amp;$G$4&amp;$D20&amp;"ConvAdj"&amp;QuoteSuffix</f>
        <v>USDFUT3MF5ConvAdj_Quote</v>
      </c>
      <c r="G20" s="270" t="str">
        <f>_xll.qlFuturesConvAdjustmentQuote($F20,IborIndex,$D20,$E20,Volatility,MeanReversion,Permanent,Trigger,ObjectOverwrite)</f>
        <v>USDFUT3MF5ConvAdj_Quote#0003</v>
      </c>
      <c r="H20" s="79" t="str">
        <f>_xll.ohRangeRetrieveError(G20)</f>
        <v/>
      </c>
    </row>
    <row r="21" spans="1:8" x14ac:dyDescent="0.2">
      <c r="A21" s="155"/>
      <c r="B21" s="154">
        <v>15</v>
      </c>
      <c r="C21" s="152" t="b">
        <v>0</v>
      </c>
      <c r="D21" s="152" t="str">
        <v>G5</v>
      </c>
      <c r="E21" s="270" t="str">
        <f>Currency&amp;"FUT"&amp;$G$4&amp;$D21&amp;QuoteSuffix</f>
        <v>USDFUT3MG5_Quote</v>
      </c>
      <c r="F21" s="271" t="str">
        <f>Currency&amp;"FUT"&amp;$G$4&amp;$D21&amp;"ConvAdj"&amp;QuoteSuffix</f>
        <v>USDFUT3MG5ConvAdj_Quote</v>
      </c>
      <c r="G21" s="270" t="str">
        <f>_xll.qlFuturesConvAdjustmentQuote($F21,IborIndex,$D21,$E21,Volatility,MeanReversion,Permanent,Trigger,ObjectOverwrite)</f>
        <v>USDFUT3MG5ConvAdj_Quote#0003</v>
      </c>
      <c r="H21" s="79" t="str">
        <f>_xll.ohRangeRetrieveError(G21)</f>
        <v/>
      </c>
    </row>
    <row r="22" spans="1:8" x14ac:dyDescent="0.2">
      <c r="A22" s="155"/>
      <c r="B22" s="154">
        <v>16</v>
      </c>
      <c r="C22" s="152" t="b">
        <v>0</v>
      </c>
      <c r="D22" s="152" t="str">
        <v>H5</v>
      </c>
      <c r="E22" s="270" t="str">
        <f>Currency&amp;"FUT"&amp;$G$4&amp;$D22&amp;QuoteSuffix</f>
        <v>USDFUT3MH5_Quote</v>
      </c>
      <c r="F22" s="271" t="str">
        <f>Currency&amp;"FUT"&amp;$G$4&amp;$D22&amp;"ConvAdj"&amp;QuoteSuffix</f>
        <v>USDFUT3MH5ConvAdj_Quote</v>
      </c>
      <c r="G22" s="270" t="str">
        <f>_xll.qlFuturesConvAdjustmentQuote($F22,IborIndex,$D22,$E22,Volatility,MeanReversion,Permanent,Trigger,ObjectOverwrite)</f>
        <v>USDFUT3MH5ConvAdj_Quote#0003</v>
      </c>
      <c r="H22" s="79" t="str">
        <f>_xll.ohRangeRetrieveError(G22)</f>
        <v/>
      </c>
    </row>
    <row r="23" spans="1:8" x14ac:dyDescent="0.2">
      <c r="A23" s="155"/>
      <c r="B23" s="154">
        <v>17</v>
      </c>
      <c r="C23" s="152" t="b">
        <v>0</v>
      </c>
      <c r="D23" s="152" t="str">
        <v>J5</v>
      </c>
      <c r="E23" s="270" t="str">
        <f>Currency&amp;"FUT"&amp;$G$4&amp;$D23&amp;QuoteSuffix</f>
        <v>USDFUT3MJ5_Quote</v>
      </c>
      <c r="F23" s="271" t="str">
        <f>Currency&amp;"FUT"&amp;$G$4&amp;$D23&amp;"ConvAdj"&amp;QuoteSuffix</f>
        <v>USDFUT3MJ5ConvAdj_Quote</v>
      </c>
      <c r="G23" s="270" t="str">
        <f>_xll.qlFuturesConvAdjustmentQuote($F23,IborIndex,$D23,$E23,Volatility,MeanReversion,Permanent,Trigger,ObjectOverwrite)</f>
        <v>USDFUT3MJ5ConvAdj_Quote#0003</v>
      </c>
      <c r="H23" s="79" t="str">
        <f>_xll.ohRangeRetrieveError(G23)</f>
        <v/>
      </c>
    </row>
    <row r="24" spans="1:8" x14ac:dyDescent="0.2">
      <c r="A24" s="155"/>
      <c r="B24" s="154">
        <v>18</v>
      </c>
      <c r="C24" s="152" t="b">
        <v>0</v>
      </c>
      <c r="D24" s="152" t="str">
        <v>K5</v>
      </c>
      <c r="E24" s="270" t="str">
        <f>Currency&amp;"FUT"&amp;$G$4&amp;$D24&amp;QuoteSuffix</f>
        <v>USDFUT3MK5_Quote</v>
      </c>
      <c r="F24" s="271" t="str">
        <f>Currency&amp;"FUT"&amp;$G$4&amp;$D24&amp;"ConvAdj"&amp;QuoteSuffix</f>
        <v>USDFUT3MK5ConvAdj_Quote</v>
      </c>
      <c r="G24" s="270" t="str">
        <f>_xll.qlFuturesConvAdjustmentQuote($F24,IborIndex,$D24,$E24,Volatility,MeanReversion,Permanent,Trigger,ObjectOverwrite)</f>
        <v>USDFUT3MK5ConvAdj_Quote#0003</v>
      </c>
      <c r="H24" s="79" t="str">
        <f>_xll.ohRangeRetrieveError(G24)</f>
        <v/>
      </c>
    </row>
    <row r="25" spans="1:8" x14ac:dyDescent="0.2">
      <c r="A25" s="155"/>
      <c r="B25" s="154">
        <v>19</v>
      </c>
      <c r="C25" s="152" t="b">
        <v>0</v>
      </c>
      <c r="D25" s="152" t="str">
        <v>M5</v>
      </c>
      <c r="E25" s="270" t="str">
        <f>Currency&amp;"FUT"&amp;$G$4&amp;$D25&amp;QuoteSuffix</f>
        <v>USDFUT3MM5_Quote</v>
      </c>
      <c r="F25" s="271" t="str">
        <f>Currency&amp;"FUT"&amp;$G$4&amp;$D25&amp;"ConvAdj"&amp;QuoteSuffix</f>
        <v>USDFUT3MM5ConvAdj_Quote</v>
      </c>
      <c r="G25" s="270" t="str">
        <f>_xll.qlFuturesConvAdjustmentQuote($F25,IborIndex,$D25,$E25,Volatility,MeanReversion,Permanent,Trigger,ObjectOverwrite)</f>
        <v>USDFUT3MM5ConvAdj_Quote#0003</v>
      </c>
      <c r="H25" s="79" t="str">
        <f>_xll.ohRangeRetrieveError(G25)</f>
        <v/>
      </c>
    </row>
    <row r="26" spans="1:8" x14ac:dyDescent="0.2">
      <c r="A26" s="155"/>
      <c r="B26" s="154">
        <v>20</v>
      </c>
      <c r="C26" s="152" t="b">
        <v>0</v>
      </c>
      <c r="D26" s="152" t="str">
        <v>N5</v>
      </c>
      <c r="E26" s="270" t="str">
        <f>Currency&amp;"FUT"&amp;$G$4&amp;$D26&amp;QuoteSuffix</f>
        <v>USDFUT3MN5_Quote</v>
      </c>
      <c r="F26" s="271" t="str">
        <f>Currency&amp;"FUT"&amp;$G$4&amp;$D26&amp;"ConvAdj"&amp;QuoteSuffix</f>
        <v>USDFUT3MN5ConvAdj_Quote</v>
      </c>
      <c r="G26" s="270" t="str">
        <f>_xll.qlFuturesConvAdjustmentQuote($F26,IborIndex,$D26,$E26,Volatility,MeanReversion,Permanent,Trigger,ObjectOverwrite)</f>
        <v>USDFUT3MN5ConvAdj_Quote#0003</v>
      </c>
      <c r="H26" s="79" t="str">
        <f>_xll.ohRangeRetrieveError(G26)</f>
        <v/>
      </c>
    </row>
    <row r="27" spans="1:8" x14ac:dyDescent="0.2">
      <c r="A27" s="155"/>
      <c r="B27" s="154">
        <v>21</v>
      </c>
      <c r="C27" s="152" t="b">
        <v>0</v>
      </c>
      <c r="D27" s="152" t="str">
        <v>Q5</v>
      </c>
      <c r="E27" s="270" t="str">
        <f>Currency&amp;"FUT"&amp;$G$4&amp;$D27&amp;QuoteSuffix</f>
        <v>USDFUT3MQ5_Quote</v>
      </c>
      <c r="F27" s="271" t="str">
        <f>Currency&amp;"FUT"&amp;$G$4&amp;$D27&amp;"ConvAdj"&amp;QuoteSuffix</f>
        <v>USDFUT3MQ5ConvAdj_Quote</v>
      </c>
      <c r="G27" s="270" t="str">
        <f>_xll.qlFuturesConvAdjustmentQuote($F27,IborIndex,$D27,$E27,Volatility,MeanReversion,Permanent,Trigger,ObjectOverwrite)</f>
        <v>USDFUT3MQ5ConvAdj_Quote#0003</v>
      </c>
      <c r="H27" s="79" t="str">
        <f>_xll.ohRangeRetrieveError(G27)</f>
        <v/>
      </c>
    </row>
    <row r="28" spans="1:8" x14ac:dyDescent="0.2">
      <c r="A28" s="155"/>
      <c r="B28" s="154">
        <v>22</v>
      </c>
      <c r="C28" s="152" t="b">
        <v>0</v>
      </c>
      <c r="D28" s="152" t="str">
        <v>U5</v>
      </c>
      <c r="E28" s="270" t="str">
        <f>Currency&amp;"FUT"&amp;$G$4&amp;$D28&amp;QuoteSuffix</f>
        <v>USDFUT3MU5_Quote</v>
      </c>
      <c r="F28" s="271" t="str">
        <f>Currency&amp;"FUT"&amp;$G$4&amp;$D28&amp;"ConvAdj"&amp;QuoteSuffix</f>
        <v>USDFUT3MU5ConvAdj_Quote</v>
      </c>
      <c r="G28" s="270" t="str">
        <f>_xll.qlFuturesConvAdjustmentQuote($F28,IborIndex,$D28,$E28,Volatility,MeanReversion,Permanent,Trigger,ObjectOverwrite)</f>
        <v>USDFUT3MU5ConvAdj_Quote#0003</v>
      </c>
      <c r="H28" s="79" t="str">
        <f>_xll.ohRangeRetrieveError(G28)</f>
        <v/>
      </c>
    </row>
    <row r="29" spans="1:8" x14ac:dyDescent="0.2">
      <c r="A29" s="155"/>
      <c r="B29" s="154">
        <v>23</v>
      </c>
      <c r="C29" s="152" t="b">
        <v>0</v>
      </c>
      <c r="D29" s="152" t="str">
        <v>V5</v>
      </c>
      <c r="E29" s="270" t="str">
        <f>Currency&amp;"FUT"&amp;$G$4&amp;$D29&amp;QuoteSuffix</f>
        <v>USDFUT3MV5_Quote</v>
      </c>
      <c r="F29" s="271" t="str">
        <f>Currency&amp;"FUT"&amp;$G$4&amp;$D29&amp;"ConvAdj"&amp;QuoteSuffix</f>
        <v>USDFUT3MV5ConvAdj_Quote</v>
      </c>
      <c r="G29" s="270" t="str">
        <f>_xll.qlFuturesConvAdjustmentQuote($F29,IborIndex,$D29,$E29,Volatility,MeanReversion,Permanent,Trigger,ObjectOverwrite)</f>
        <v>USDFUT3MV5ConvAdj_Quote#0003</v>
      </c>
      <c r="H29" s="79" t="str">
        <f>_xll.ohRangeRetrieveError(G29)</f>
        <v/>
      </c>
    </row>
    <row r="30" spans="1:8" x14ac:dyDescent="0.2">
      <c r="A30" s="155"/>
      <c r="B30" s="154">
        <v>24</v>
      </c>
      <c r="C30" s="152" t="b">
        <v>0</v>
      </c>
      <c r="D30" s="152" t="str">
        <v>X5</v>
      </c>
      <c r="E30" s="270" t="str">
        <f>Currency&amp;"FUT"&amp;$G$4&amp;$D30&amp;QuoteSuffix</f>
        <v>USDFUT3MX5_Quote</v>
      </c>
      <c r="F30" s="271" t="str">
        <f>Currency&amp;"FUT"&amp;$G$4&amp;$D30&amp;"ConvAdj"&amp;QuoteSuffix</f>
        <v>USDFUT3MX5ConvAdj_Quote</v>
      </c>
      <c r="G30" s="270" t="str">
        <f>_xll.qlFuturesConvAdjustmentQuote($F30,IborIndex,$D30,$E30,Volatility,MeanReversion,Permanent,Trigger,ObjectOverwrite)</f>
        <v>USDFUT3MX5ConvAdj_Quote#0003</v>
      </c>
      <c r="H30" s="79" t="str">
        <f>_xll.ohRangeRetrieveError(G30)</f>
        <v/>
      </c>
    </row>
    <row r="31" spans="1:8" x14ac:dyDescent="0.2">
      <c r="A31" s="155"/>
      <c r="B31" s="154">
        <v>25</v>
      </c>
      <c r="C31" s="152" t="b">
        <v>0</v>
      </c>
      <c r="D31" s="152" t="str">
        <v>Z5</v>
      </c>
      <c r="E31" s="270" t="str">
        <f>Currency&amp;"FUT"&amp;$G$4&amp;$D31&amp;QuoteSuffix</f>
        <v>USDFUT3MZ5_Quote</v>
      </c>
      <c r="F31" s="271" t="str">
        <f>Currency&amp;"FUT"&amp;$G$4&amp;$D31&amp;"ConvAdj"&amp;QuoteSuffix</f>
        <v>USDFUT3MZ5ConvAdj_Quote</v>
      </c>
      <c r="G31" s="270" t="str">
        <f>_xll.qlFuturesConvAdjustmentQuote($F31,IborIndex,$D31,$E31,Volatility,MeanReversion,Permanent,Trigger,ObjectOverwrite)</f>
        <v>USDFUT3MZ5ConvAdj_Quote#0003</v>
      </c>
      <c r="H31" s="79" t="str">
        <f>_xll.ohRangeRetrieveError(G31)</f>
        <v/>
      </c>
    </row>
    <row r="32" spans="1:8" x14ac:dyDescent="0.2">
      <c r="A32" s="155"/>
      <c r="B32" s="154">
        <v>26</v>
      </c>
      <c r="C32" s="152" t="b">
        <v>0</v>
      </c>
      <c r="D32" s="152" t="str">
        <v>F6</v>
      </c>
      <c r="E32" s="270" t="str">
        <f>Currency&amp;"FUT"&amp;$G$4&amp;$D32&amp;QuoteSuffix</f>
        <v>USDFUT3MF6_Quote</v>
      </c>
      <c r="F32" s="271" t="str">
        <f>Currency&amp;"FUT"&amp;$G$4&amp;$D32&amp;"ConvAdj"&amp;QuoteSuffix</f>
        <v>USDFUT3MF6ConvAdj_Quote</v>
      </c>
      <c r="G32" s="270" t="str">
        <f>_xll.qlFuturesConvAdjustmentQuote($F32,IborIndex,$D32,$E32,Volatility,MeanReversion,Permanent,Trigger,ObjectOverwrite)</f>
        <v>USDFUT3MF6ConvAdj_Quote#0003</v>
      </c>
      <c r="H32" s="79" t="str">
        <f>_xll.ohRangeRetrieveError(G32)</f>
        <v/>
      </c>
    </row>
    <row r="33" spans="1:8" x14ac:dyDescent="0.2">
      <c r="A33" s="155"/>
      <c r="B33" s="154">
        <v>27</v>
      </c>
      <c r="C33" s="152" t="b">
        <v>0</v>
      </c>
      <c r="D33" s="152" t="str">
        <v>G6</v>
      </c>
      <c r="E33" s="270" t="str">
        <f>Currency&amp;"FUT"&amp;$G$4&amp;$D33&amp;QuoteSuffix</f>
        <v>USDFUT3MG6_Quote</v>
      </c>
      <c r="F33" s="271" t="str">
        <f>Currency&amp;"FUT"&amp;$G$4&amp;$D33&amp;"ConvAdj"&amp;QuoteSuffix</f>
        <v>USDFUT3MG6ConvAdj_Quote</v>
      </c>
      <c r="G33" s="270" t="str">
        <f>_xll.qlFuturesConvAdjustmentQuote($F33,IborIndex,$D33,$E33,Volatility,MeanReversion,Permanent,Trigger,ObjectOverwrite)</f>
        <v>USDFUT3MG6ConvAdj_Quote#0003</v>
      </c>
      <c r="H33" s="79" t="str">
        <f>_xll.ohRangeRetrieveError(G33)</f>
        <v/>
      </c>
    </row>
    <row r="34" spans="1:8" x14ac:dyDescent="0.2">
      <c r="A34" s="155"/>
      <c r="B34" s="154">
        <v>28</v>
      </c>
      <c r="C34" s="152" t="b">
        <v>0</v>
      </c>
      <c r="D34" s="152" t="str">
        <v>H6</v>
      </c>
      <c r="E34" s="270" t="str">
        <f>Currency&amp;"FUT"&amp;$G$4&amp;$D34&amp;QuoteSuffix</f>
        <v>USDFUT3MH6_Quote</v>
      </c>
      <c r="F34" s="271" t="str">
        <f>Currency&amp;"FUT"&amp;$G$4&amp;$D34&amp;"ConvAdj"&amp;QuoteSuffix</f>
        <v>USDFUT3MH6ConvAdj_Quote</v>
      </c>
      <c r="G34" s="270" t="str">
        <f>_xll.qlFuturesConvAdjustmentQuote($F34,IborIndex,$D34,$E34,Volatility,MeanReversion,Permanent,Trigger,ObjectOverwrite)</f>
        <v>USDFUT3MH6ConvAdj_Quote#0003</v>
      </c>
      <c r="H34" s="79" t="str">
        <f>_xll.ohRangeRetrieveError(G34)</f>
        <v/>
      </c>
    </row>
    <row r="35" spans="1:8" x14ac:dyDescent="0.2">
      <c r="A35" s="155"/>
      <c r="B35" s="154">
        <v>29</v>
      </c>
      <c r="C35" s="152" t="b">
        <v>0</v>
      </c>
      <c r="D35" s="152" t="str">
        <v>J6</v>
      </c>
      <c r="E35" s="270" t="str">
        <f>Currency&amp;"FUT"&amp;$G$4&amp;$D35&amp;QuoteSuffix</f>
        <v>USDFUT3MJ6_Quote</v>
      </c>
      <c r="F35" s="271" t="str">
        <f>Currency&amp;"FUT"&amp;$G$4&amp;$D35&amp;"ConvAdj"&amp;QuoteSuffix</f>
        <v>USDFUT3MJ6ConvAdj_Quote</v>
      </c>
      <c r="G35" s="270" t="str">
        <f>_xll.qlFuturesConvAdjustmentQuote($F35,IborIndex,$D35,$E35,Volatility,MeanReversion,Permanent,Trigger,ObjectOverwrite)</f>
        <v>USDFUT3MJ6ConvAdj_Quote#0003</v>
      </c>
      <c r="H35" s="79" t="str">
        <f>_xll.ohRangeRetrieveError(G35)</f>
        <v/>
      </c>
    </row>
    <row r="36" spans="1:8" x14ac:dyDescent="0.2">
      <c r="A36" s="155"/>
      <c r="B36" s="154">
        <v>30</v>
      </c>
      <c r="C36" s="152" t="b">
        <v>0</v>
      </c>
      <c r="D36" s="152" t="str">
        <v>K6</v>
      </c>
      <c r="E36" s="270" t="str">
        <f>Currency&amp;"FUT"&amp;$G$4&amp;$D36&amp;QuoteSuffix</f>
        <v>USDFUT3MK6_Quote</v>
      </c>
      <c r="F36" s="271" t="str">
        <f>Currency&amp;"FUT"&amp;$G$4&amp;$D36&amp;"ConvAdj"&amp;QuoteSuffix</f>
        <v>USDFUT3MK6ConvAdj_Quote</v>
      </c>
      <c r="G36" s="270" t="str">
        <f>_xll.qlFuturesConvAdjustmentQuote($F36,IborIndex,$D36,$E36,Volatility,MeanReversion,Permanent,Trigger,ObjectOverwrite)</f>
        <v>USDFUT3MK6ConvAdj_Quote#0003</v>
      </c>
      <c r="H36" s="79" t="str">
        <f>_xll.ohRangeRetrieveError(G36)</f>
        <v/>
      </c>
    </row>
    <row r="37" spans="1:8" x14ac:dyDescent="0.2">
      <c r="A37" s="155"/>
      <c r="B37" s="154">
        <v>31</v>
      </c>
      <c r="C37" s="152" t="b">
        <v>0</v>
      </c>
      <c r="D37" s="152" t="str">
        <v>M6</v>
      </c>
      <c r="E37" s="270" t="str">
        <f>Currency&amp;"FUT"&amp;$G$4&amp;$D37&amp;QuoteSuffix</f>
        <v>USDFUT3MM6_Quote</v>
      </c>
      <c r="F37" s="271" t="str">
        <f>Currency&amp;"FUT"&amp;$G$4&amp;$D37&amp;"ConvAdj"&amp;QuoteSuffix</f>
        <v>USDFUT3MM6ConvAdj_Quote</v>
      </c>
      <c r="G37" s="270" t="str">
        <f>_xll.qlFuturesConvAdjustmentQuote($F37,IborIndex,$D37,$E37,Volatility,MeanReversion,Permanent,Trigger,ObjectOverwrite)</f>
        <v>USDFUT3MM6ConvAdj_Quote#0003</v>
      </c>
      <c r="H37" s="79" t="str">
        <f>_xll.ohRangeRetrieveError(G37)</f>
        <v/>
      </c>
    </row>
    <row r="38" spans="1:8" x14ac:dyDescent="0.2">
      <c r="A38" s="155"/>
      <c r="B38" s="154">
        <v>32</v>
      </c>
      <c r="C38" s="152" t="b">
        <v>0</v>
      </c>
      <c r="D38" s="152" t="str">
        <v>N6</v>
      </c>
      <c r="E38" s="270" t="str">
        <f>Currency&amp;"FUT"&amp;$G$4&amp;$D38&amp;QuoteSuffix</f>
        <v>USDFUT3MN6_Quote</v>
      </c>
      <c r="F38" s="271" t="str">
        <f>Currency&amp;"FUT"&amp;$G$4&amp;$D38&amp;"ConvAdj"&amp;QuoteSuffix</f>
        <v>USDFUT3MN6ConvAdj_Quote</v>
      </c>
      <c r="G38" s="270" t="str">
        <f>_xll.qlFuturesConvAdjustmentQuote($F38,IborIndex,$D38,$E38,Volatility,MeanReversion,Permanent,Trigger,ObjectOverwrite)</f>
        <v>USDFUT3MN6ConvAdj_Quote#0003</v>
      </c>
      <c r="H38" s="79" t="str">
        <f>_xll.ohRangeRetrieveError(G38)</f>
        <v/>
      </c>
    </row>
    <row r="39" spans="1:8" x14ac:dyDescent="0.2">
      <c r="A39" s="155"/>
      <c r="B39" s="154">
        <v>33</v>
      </c>
      <c r="C39" s="152" t="b">
        <v>0</v>
      </c>
      <c r="D39" s="152" t="str">
        <v>Q6</v>
      </c>
      <c r="E39" s="270" t="str">
        <f>Currency&amp;"FUT"&amp;$G$4&amp;$D39&amp;QuoteSuffix</f>
        <v>USDFUT3MQ6_Quote</v>
      </c>
      <c r="F39" s="271" t="str">
        <f>Currency&amp;"FUT"&amp;$G$4&amp;$D39&amp;"ConvAdj"&amp;QuoteSuffix</f>
        <v>USDFUT3MQ6ConvAdj_Quote</v>
      </c>
      <c r="G39" s="270" t="str">
        <f>_xll.qlFuturesConvAdjustmentQuote($F39,IborIndex,$D39,$E39,Volatility,MeanReversion,Permanent,Trigger,ObjectOverwrite)</f>
        <v>USDFUT3MQ6ConvAdj_Quote#0003</v>
      </c>
      <c r="H39" s="79" t="str">
        <f>_xll.ohRangeRetrieveError(G39)</f>
        <v/>
      </c>
    </row>
    <row r="40" spans="1:8" x14ac:dyDescent="0.2">
      <c r="A40" s="155"/>
      <c r="B40" s="154">
        <v>34</v>
      </c>
      <c r="C40" s="152" t="b">
        <v>0</v>
      </c>
      <c r="D40" s="152" t="str">
        <v>U6</v>
      </c>
      <c r="E40" s="270" t="str">
        <f>Currency&amp;"FUT"&amp;$G$4&amp;$D40&amp;QuoteSuffix</f>
        <v>USDFUT3MU6_Quote</v>
      </c>
      <c r="F40" s="271" t="str">
        <f>Currency&amp;"FUT"&amp;$G$4&amp;$D40&amp;"ConvAdj"&amp;QuoteSuffix</f>
        <v>USDFUT3MU6ConvAdj_Quote</v>
      </c>
      <c r="G40" s="270" t="str">
        <f>_xll.qlFuturesConvAdjustmentQuote($F40,IborIndex,$D40,$E40,Volatility,MeanReversion,Permanent,Trigger,ObjectOverwrite)</f>
        <v>USDFUT3MU6ConvAdj_Quote#0003</v>
      </c>
      <c r="H40" s="79" t="str">
        <f>_xll.ohRangeRetrieveError(G40)</f>
        <v/>
      </c>
    </row>
    <row r="41" spans="1:8" x14ac:dyDescent="0.2">
      <c r="A41" s="155"/>
      <c r="B41" s="154">
        <v>35</v>
      </c>
      <c r="C41" s="152" t="b">
        <v>0</v>
      </c>
      <c r="D41" s="152" t="str">
        <v>V6</v>
      </c>
      <c r="E41" s="270" t="str">
        <f>Currency&amp;"FUT"&amp;$G$4&amp;$D41&amp;QuoteSuffix</f>
        <v>USDFUT3MV6_Quote</v>
      </c>
      <c r="F41" s="271" t="str">
        <f>Currency&amp;"FUT"&amp;$G$4&amp;$D41&amp;"ConvAdj"&amp;QuoteSuffix</f>
        <v>USDFUT3MV6ConvAdj_Quote</v>
      </c>
      <c r="G41" s="270" t="str">
        <f>_xll.qlFuturesConvAdjustmentQuote($F41,IborIndex,$D41,$E41,Volatility,MeanReversion,Permanent,Trigger,ObjectOverwrite)</f>
        <v>USDFUT3MV6ConvAdj_Quote#0003</v>
      </c>
      <c r="H41" s="79" t="str">
        <f>_xll.ohRangeRetrieveError(G41)</f>
        <v/>
      </c>
    </row>
    <row r="42" spans="1:8" x14ac:dyDescent="0.2">
      <c r="A42" s="155"/>
      <c r="B42" s="154">
        <v>36</v>
      </c>
      <c r="C42" s="152" t="b">
        <v>0</v>
      </c>
      <c r="D42" s="152" t="str">
        <v>X6</v>
      </c>
      <c r="E42" s="270" t="str">
        <f>Currency&amp;"FUT"&amp;$G$4&amp;$D42&amp;QuoteSuffix</f>
        <v>USDFUT3MX6_Quote</v>
      </c>
      <c r="F42" s="271" t="str">
        <f>Currency&amp;"FUT"&amp;$G$4&amp;$D42&amp;"ConvAdj"&amp;QuoteSuffix</f>
        <v>USDFUT3MX6ConvAdj_Quote</v>
      </c>
      <c r="G42" s="270" t="str">
        <f>_xll.qlFuturesConvAdjustmentQuote($F42,IborIndex,$D42,$E42,Volatility,MeanReversion,Permanent,Trigger,ObjectOverwrite)</f>
        <v>USDFUT3MX6ConvAdj_Quote#0003</v>
      </c>
      <c r="H42" s="79" t="str">
        <f>_xll.ohRangeRetrieveError(G42)</f>
        <v/>
      </c>
    </row>
    <row r="43" spans="1:8" x14ac:dyDescent="0.2">
      <c r="A43" s="155"/>
      <c r="B43" s="154">
        <v>37</v>
      </c>
      <c r="C43" s="152" t="b">
        <v>0</v>
      </c>
      <c r="D43" s="152" t="str">
        <v>Z6</v>
      </c>
      <c r="E43" s="270" t="str">
        <f>Currency&amp;"FUT"&amp;$G$4&amp;$D43&amp;QuoteSuffix</f>
        <v>USDFUT3MZ6_Quote</v>
      </c>
      <c r="F43" s="271" t="str">
        <f>Currency&amp;"FUT"&amp;$G$4&amp;$D43&amp;"ConvAdj"&amp;QuoteSuffix</f>
        <v>USDFUT3MZ6ConvAdj_Quote</v>
      </c>
      <c r="G43" s="270" t="str">
        <f>_xll.qlFuturesConvAdjustmentQuote($F43,IborIndex,$D43,$E43,Volatility,MeanReversion,Permanent,Trigger,ObjectOverwrite)</f>
        <v>USDFUT3MZ6ConvAdj_Quote#0003</v>
      </c>
      <c r="H43" s="79" t="str">
        <f>_xll.ohRangeRetrieveError(G43)</f>
        <v/>
      </c>
    </row>
    <row r="44" spans="1:8" x14ac:dyDescent="0.2">
      <c r="A44" s="155"/>
      <c r="B44" s="154">
        <v>38</v>
      </c>
      <c r="C44" s="152" t="b">
        <v>0</v>
      </c>
      <c r="D44" s="152" t="str">
        <v>F7</v>
      </c>
      <c r="E44" s="270" t="str">
        <f>Currency&amp;"FUT"&amp;$G$4&amp;$D44&amp;QuoteSuffix</f>
        <v>USDFUT3MF7_Quote</v>
      </c>
      <c r="F44" s="271" t="str">
        <f>Currency&amp;"FUT"&amp;$G$4&amp;$D44&amp;"ConvAdj"&amp;QuoteSuffix</f>
        <v>USDFUT3MF7ConvAdj_Quote</v>
      </c>
      <c r="G44" s="270" t="str">
        <f>_xll.qlFuturesConvAdjustmentQuote($F44,IborIndex,$D44,$E44,Volatility,MeanReversion,Permanent,Trigger,ObjectOverwrite)</f>
        <v>USDFUT3MF7ConvAdj_Quote#0003</v>
      </c>
      <c r="H44" s="79" t="str">
        <f>_xll.ohRangeRetrieveError(G44)</f>
        <v/>
      </c>
    </row>
    <row r="45" spans="1:8" x14ac:dyDescent="0.2">
      <c r="A45" s="155"/>
      <c r="B45" s="154">
        <v>39</v>
      </c>
      <c r="C45" s="152" t="b">
        <v>0</v>
      </c>
      <c r="D45" s="152" t="str">
        <v>G7</v>
      </c>
      <c r="E45" s="270" t="str">
        <f>Currency&amp;"FUT"&amp;$G$4&amp;$D45&amp;QuoteSuffix</f>
        <v>USDFUT3MG7_Quote</v>
      </c>
      <c r="F45" s="271" t="str">
        <f>Currency&amp;"FUT"&amp;$G$4&amp;$D45&amp;"ConvAdj"&amp;QuoteSuffix</f>
        <v>USDFUT3MG7ConvAdj_Quote</v>
      </c>
      <c r="G45" s="270" t="str">
        <f>_xll.qlFuturesConvAdjustmentQuote($F45,IborIndex,$D45,$E45,Volatility,MeanReversion,Permanent,Trigger,ObjectOverwrite)</f>
        <v>USDFUT3MG7ConvAdj_Quote#0003</v>
      </c>
      <c r="H45" s="79" t="str">
        <f>_xll.ohRangeRetrieveError(G45)</f>
        <v/>
      </c>
    </row>
    <row r="46" spans="1:8" x14ac:dyDescent="0.2">
      <c r="A46" s="155"/>
      <c r="B46" s="154">
        <v>40</v>
      </c>
      <c r="C46" s="152" t="b">
        <v>0</v>
      </c>
      <c r="D46" s="152" t="str">
        <v>H7</v>
      </c>
      <c r="E46" s="270" t="str">
        <f>Currency&amp;"FUT"&amp;$G$4&amp;$D46&amp;QuoteSuffix</f>
        <v>USDFUT3MH7_Quote</v>
      </c>
      <c r="F46" s="271" t="str">
        <f>Currency&amp;"FUT"&amp;$G$4&amp;$D46&amp;"ConvAdj"&amp;QuoteSuffix</f>
        <v>USDFUT3MH7ConvAdj_Quote</v>
      </c>
      <c r="G46" s="270" t="str">
        <f>_xll.qlFuturesConvAdjustmentQuote($F46,IborIndex,$D46,$E46,Volatility,MeanReversion,Permanent,Trigger,ObjectOverwrite)</f>
        <v>USDFUT3MH7ConvAdj_Quote#0003</v>
      </c>
      <c r="H46" s="79" t="str">
        <f>_xll.ohRangeRetrieveError(G46)</f>
        <v/>
      </c>
    </row>
    <row r="47" spans="1:8" x14ac:dyDescent="0.2">
      <c r="A47" s="155"/>
      <c r="B47" s="154">
        <v>41</v>
      </c>
      <c r="C47" s="152" t="b">
        <v>0</v>
      </c>
      <c r="D47" s="152" t="str">
        <v>J7</v>
      </c>
      <c r="E47" s="270" t="str">
        <f>Currency&amp;"FUT"&amp;$G$4&amp;$D47&amp;QuoteSuffix</f>
        <v>USDFUT3MJ7_Quote</v>
      </c>
      <c r="F47" s="271" t="str">
        <f>Currency&amp;"FUT"&amp;$G$4&amp;$D47&amp;"ConvAdj"&amp;QuoteSuffix</f>
        <v>USDFUT3MJ7ConvAdj_Quote</v>
      </c>
      <c r="G47" s="270" t="str">
        <f>_xll.qlFuturesConvAdjustmentQuote($F47,IborIndex,$D47,$E47,Volatility,MeanReversion,Permanent,Trigger,ObjectOverwrite)</f>
        <v>USDFUT3MJ7ConvAdj_Quote#0003</v>
      </c>
      <c r="H47" s="79" t="str">
        <f>_xll.ohRangeRetrieveError(G47)</f>
        <v/>
      </c>
    </row>
    <row r="48" spans="1:8" x14ac:dyDescent="0.2">
      <c r="A48" s="155"/>
      <c r="B48" s="154">
        <v>42</v>
      </c>
      <c r="C48" s="152" t="b">
        <v>0</v>
      </c>
      <c r="D48" s="152" t="str">
        <v>K7</v>
      </c>
      <c r="E48" s="270" t="str">
        <f>Currency&amp;"FUT"&amp;$G$4&amp;$D48&amp;QuoteSuffix</f>
        <v>USDFUT3MK7_Quote</v>
      </c>
      <c r="F48" s="271" t="str">
        <f>Currency&amp;"FUT"&amp;$G$4&amp;$D48&amp;"ConvAdj"&amp;QuoteSuffix</f>
        <v>USDFUT3MK7ConvAdj_Quote</v>
      </c>
      <c r="G48" s="270" t="str">
        <f>_xll.qlFuturesConvAdjustmentQuote($F48,IborIndex,$D48,$E48,Volatility,MeanReversion,Permanent,Trigger,ObjectOverwrite)</f>
        <v>USDFUT3MK7ConvAdj_Quote#0003</v>
      </c>
      <c r="H48" s="79" t="str">
        <f>_xll.ohRangeRetrieveError(G48)</f>
        <v/>
      </c>
    </row>
    <row r="49" spans="1:8" x14ac:dyDescent="0.2">
      <c r="A49" s="155"/>
      <c r="B49" s="154">
        <v>43</v>
      </c>
      <c r="C49" s="152" t="b">
        <v>0</v>
      </c>
      <c r="D49" s="152" t="str">
        <v>M7</v>
      </c>
      <c r="E49" s="270" t="str">
        <f>Currency&amp;"FUT"&amp;$G$4&amp;$D49&amp;QuoteSuffix</f>
        <v>USDFUT3MM7_Quote</v>
      </c>
      <c r="F49" s="271" t="str">
        <f>Currency&amp;"FUT"&amp;$G$4&amp;$D49&amp;"ConvAdj"&amp;QuoteSuffix</f>
        <v>USDFUT3MM7ConvAdj_Quote</v>
      </c>
      <c r="G49" s="270" t="str">
        <f>_xll.qlFuturesConvAdjustmentQuote($F49,IborIndex,$D49,$E49,Volatility,MeanReversion,Permanent,Trigger,ObjectOverwrite)</f>
        <v>USDFUT3MM7ConvAdj_Quote#0003</v>
      </c>
      <c r="H49" s="79" t="str">
        <f>_xll.ohRangeRetrieveError(G49)</f>
        <v/>
      </c>
    </row>
    <row r="50" spans="1:8" x14ac:dyDescent="0.2">
      <c r="A50" s="155"/>
      <c r="B50" s="154">
        <v>44</v>
      </c>
      <c r="C50" s="152" t="b">
        <v>0</v>
      </c>
      <c r="D50" s="152" t="str">
        <v>N7</v>
      </c>
      <c r="E50" s="270" t="str">
        <f>Currency&amp;"FUT"&amp;$G$4&amp;$D50&amp;QuoteSuffix</f>
        <v>USDFUT3MN7_Quote</v>
      </c>
      <c r="F50" s="271" t="str">
        <f>Currency&amp;"FUT"&amp;$G$4&amp;$D50&amp;"ConvAdj"&amp;QuoteSuffix</f>
        <v>USDFUT3MN7ConvAdj_Quote</v>
      </c>
      <c r="G50" s="270" t="str">
        <f>_xll.qlFuturesConvAdjustmentQuote($F50,IborIndex,$D50,$E50,Volatility,MeanReversion,Permanent,Trigger,ObjectOverwrite)</f>
        <v>USDFUT3MN7ConvAdj_Quote#0003</v>
      </c>
      <c r="H50" s="79" t="str">
        <f>_xll.ohRangeRetrieveError(G50)</f>
        <v/>
      </c>
    </row>
    <row r="51" spans="1:8" x14ac:dyDescent="0.2">
      <c r="A51" s="155"/>
      <c r="B51" s="154">
        <v>45</v>
      </c>
      <c r="C51" s="152" t="b">
        <v>0</v>
      </c>
      <c r="D51" s="152" t="str">
        <v>Q7</v>
      </c>
      <c r="E51" s="270" t="str">
        <f>Currency&amp;"FUT"&amp;$G$4&amp;$D51&amp;QuoteSuffix</f>
        <v>USDFUT3MQ7_Quote</v>
      </c>
      <c r="F51" s="271" t="str">
        <f>Currency&amp;"FUT"&amp;$G$4&amp;$D51&amp;"ConvAdj"&amp;QuoteSuffix</f>
        <v>USDFUT3MQ7ConvAdj_Quote</v>
      </c>
      <c r="G51" s="270" t="str">
        <f>_xll.qlFuturesConvAdjustmentQuote($F51,IborIndex,$D51,$E51,Volatility,MeanReversion,Permanent,Trigger,ObjectOverwrite)</f>
        <v>USDFUT3MQ7ConvAdj_Quote#0003</v>
      </c>
      <c r="H51" s="79" t="str">
        <f>_xll.ohRangeRetrieveError(G51)</f>
        <v/>
      </c>
    </row>
    <row r="52" spans="1:8" x14ac:dyDescent="0.2">
      <c r="A52" s="155"/>
      <c r="B52" s="154">
        <v>46</v>
      </c>
      <c r="C52" s="152" t="b">
        <v>0</v>
      </c>
      <c r="D52" s="152" t="str">
        <v>U7</v>
      </c>
      <c r="E52" s="270" t="str">
        <f>Currency&amp;"FUT"&amp;$G$4&amp;$D52&amp;QuoteSuffix</f>
        <v>USDFUT3MU7_Quote</v>
      </c>
      <c r="F52" s="271" t="str">
        <f>Currency&amp;"FUT"&amp;$G$4&amp;$D52&amp;"ConvAdj"&amp;QuoteSuffix</f>
        <v>USDFUT3MU7ConvAdj_Quote</v>
      </c>
      <c r="G52" s="270" t="str">
        <f>_xll.qlFuturesConvAdjustmentQuote($F52,IborIndex,$D52,$E52,Volatility,MeanReversion,Permanent,Trigger,ObjectOverwrite)</f>
        <v>USDFUT3MU7ConvAdj_Quote#0003</v>
      </c>
      <c r="H52" s="79" t="str">
        <f>_xll.ohRangeRetrieveError(G52)</f>
        <v/>
      </c>
    </row>
    <row r="53" spans="1:8" x14ac:dyDescent="0.2">
      <c r="A53" s="155"/>
      <c r="B53" s="154">
        <v>47</v>
      </c>
      <c r="C53" s="152" t="b">
        <v>0</v>
      </c>
      <c r="D53" s="152" t="str">
        <v>V7</v>
      </c>
      <c r="E53" s="270" t="str">
        <f>Currency&amp;"FUT"&amp;$G$4&amp;$D53&amp;QuoteSuffix</f>
        <v>USDFUT3MV7_Quote</v>
      </c>
      <c r="F53" s="271" t="str">
        <f>Currency&amp;"FUT"&amp;$G$4&amp;$D53&amp;"ConvAdj"&amp;QuoteSuffix</f>
        <v>USDFUT3MV7ConvAdj_Quote</v>
      </c>
      <c r="G53" s="270" t="str">
        <f>_xll.qlFuturesConvAdjustmentQuote($F53,IborIndex,$D53,$E53,Volatility,MeanReversion,Permanent,Trigger,ObjectOverwrite)</f>
        <v>USDFUT3MV7ConvAdj_Quote#0003</v>
      </c>
      <c r="H53" s="79" t="str">
        <f>_xll.ohRangeRetrieveError(G53)</f>
        <v/>
      </c>
    </row>
    <row r="54" spans="1:8" x14ac:dyDescent="0.2">
      <c r="A54" s="155"/>
      <c r="B54" s="154">
        <v>48</v>
      </c>
      <c r="C54" s="152" t="b">
        <v>0</v>
      </c>
      <c r="D54" s="152" t="str">
        <v>X7</v>
      </c>
      <c r="E54" s="270" t="str">
        <f>Currency&amp;"FUT"&amp;$G$4&amp;$D54&amp;QuoteSuffix</f>
        <v>USDFUT3MX7_Quote</v>
      </c>
      <c r="F54" s="271" t="str">
        <f>Currency&amp;"FUT"&amp;$G$4&amp;$D54&amp;"ConvAdj"&amp;QuoteSuffix</f>
        <v>USDFUT3MX7ConvAdj_Quote</v>
      </c>
      <c r="G54" s="270" t="str">
        <f>_xll.qlFuturesConvAdjustmentQuote($F54,IborIndex,$D54,$E54,Volatility,MeanReversion,Permanent,Trigger,ObjectOverwrite)</f>
        <v>USDFUT3MX7ConvAdj_Quote#0003</v>
      </c>
      <c r="H54" s="79" t="str">
        <f>_xll.ohRangeRetrieveError(G54)</f>
        <v/>
      </c>
    </row>
    <row r="55" spans="1:8" x14ac:dyDescent="0.2">
      <c r="A55" s="155"/>
      <c r="B55" s="154">
        <v>49</v>
      </c>
      <c r="C55" s="152" t="b">
        <v>0</v>
      </c>
      <c r="D55" s="152" t="str">
        <v>Z7</v>
      </c>
      <c r="E55" s="270" t="str">
        <f>Currency&amp;"FUT"&amp;$G$4&amp;$D55&amp;QuoteSuffix</f>
        <v>USDFUT3MZ7_Quote</v>
      </c>
      <c r="F55" s="271" t="str">
        <f>Currency&amp;"FUT"&amp;$G$4&amp;$D55&amp;"ConvAdj"&amp;QuoteSuffix</f>
        <v>USDFUT3MZ7ConvAdj_Quote</v>
      </c>
      <c r="G55" s="270" t="str">
        <f>_xll.qlFuturesConvAdjustmentQuote($F55,IborIndex,$D55,$E55,Volatility,MeanReversion,Permanent,Trigger,ObjectOverwrite)</f>
        <v>USDFUT3MZ7ConvAdj_Quote#0003</v>
      </c>
      <c r="H55" s="79" t="str">
        <f>_xll.ohRangeRetrieveError(G55)</f>
        <v/>
      </c>
    </row>
    <row r="56" spans="1:8" x14ac:dyDescent="0.2">
      <c r="A56" s="155"/>
      <c r="B56" s="154">
        <v>50</v>
      </c>
      <c r="C56" s="152" t="b">
        <v>0</v>
      </c>
      <c r="D56" s="152" t="str">
        <v>F8</v>
      </c>
      <c r="E56" s="270" t="str">
        <f>Currency&amp;"FUT"&amp;$G$4&amp;$D56&amp;QuoteSuffix</f>
        <v>USDFUT3MF8_Quote</v>
      </c>
      <c r="F56" s="271" t="str">
        <f>Currency&amp;"FUT"&amp;$G$4&amp;$D56&amp;"ConvAdj"&amp;QuoteSuffix</f>
        <v>USDFUT3MF8ConvAdj_Quote</v>
      </c>
      <c r="G56" s="270" t="str">
        <f>_xll.qlFuturesConvAdjustmentQuote($F56,IborIndex,$D56,$E56,Volatility,MeanReversion,Permanent,Trigger,ObjectOverwrite)</f>
        <v>USDFUT3MF8ConvAdj_Quote#0003</v>
      </c>
      <c r="H56" s="79" t="str">
        <f>_xll.ohRangeRetrieveError(G56)</f>
        <v/>
      </c>
    </row>
    <row r="57" spans="1:8" x14ac:dyDescent="0.2">
      <c r="A57" s="155"/>
      <c r="B57" s="154">
        <v>51</v>
      </c>
      <c r="C57" s="152" t="b">
        <v>0</v>
      </c>
      <c r="D57" s="152" t="str">
        <v>G8</v>
      </c>
      <c r="E57" s="270" t="str">
        <f>Currency&amp;"FUT"&amp;$G$4&amp;$D57&amp;QuoteSuffix</f>
        <v>USDFUT3MG8_Quote</v>
      </c>
      <c r="F57" s="271" t="str">
        <f>Currency&amp;"FUT"&amp;$G$4&amp;$D57&amp;"ConvAdj"&amp;QuoteSuffix</f>
        <v>USDFUT3MG8ConvAdj_Quote</v>
      </c>
      <c r="G57" s="270" t="str">
        <f>_xll.qlFuturesConvAdjustmentQuote($F57,IborIndex,$D57,$E57,Volatility,MeanReversion,Permanent,Trigger,ObjectOverwrite)</f>
        <v>USDFUT3MG8ConvAdj_Quote#0003</v>
      </c>
      <c r="H57" s="79" t="str">
        <f>_xll.ohRangeRetrieveError(G57)</f>
        <v/>
      </c>
    </row>
    <row r="58" spans="1:8" x14ac:dyDescent="0.2">
      <c r="A58" s="155"/>
      <c r="B58" s="154">
        <v>52</v>
      </c>
      <c r="C58" s="152" t="b">
        <v>0</v>
      </c>
      <c r="D58" s="152" t="str">
        <v>H8</v>
      </c>
      <c r="E58" s="270" t="str">
        <f>Currency&amp;"FUT"&amp;$G$4&amp;$D58&amp;QuoteSuffix</f>
        <v>USDFUT3MH8_Quote</v>
      </c>
      <c r="F58" s="271" t="str">
        <f>Currency&amp;"FUT"&amp;$G$4&amp;$D58&amp;"ConvAdj"&amp;QuoteSuffix</f>
        <v>USDFUT3MH8ConvAdj_Quote</v>
      </c>
      <c r="G58" s="270" t="str">
        <f>_xll.qlFuturesConvAdjustmentQuote($F58,IborIndex,$D58,$E58,Volatility,MeanReversion,Permanent,Trigger,ObjectOverwrite)</f>
        <v>USDFUT3MH8ConvAdj_Quote#0003</v>
      </c>
      <c r="H58" s="79" t="str">
        <f>_xll.ohRangeRetrieveError(G58)</f>
        <v/>
      </c>
    </row>
    <row r="59" spans="1:8" x14ac:dyDescent="0.2">
      <c r="A59" s="155"/>
      <c r="B59" s="154">
        <v>53</v>
      </c>
      <c r="C59" s="152" t="b">
        <v>0</v>
      </c>
      <c r="D59" s="152" t="str">
        <v>J8</v>
      </c>
      <c r="E59" s="270" t="str">
        <f>Currency&amp;"FUT"&amp;$G$4&amp;$D59&amp;QuoteSuffix</f>
        <v>USDFUT3MJ8_Quote</v>
      </c>
      <c r="F59" s="271" t="str">
        <f>Currency&amp;"FUT"&amp;$G$4&amp;$D59&amp;"ConvAdj"&amp;QuoteSuffix</f>
        <v>USDFUT3MJ8ConvAdj_Quote</v>
      </c>
      <c r="G59" s="270" t="str">
        <f>_xll.qlFuturesConvAdjustmentQuote($F59,IborIndex,$D59,$E59,Volatility,MeanReversion,Permanent,Trigger,ObjectOverwrite)</f>
        <v>USDFUT3MJ8ConvAdj_Quote#0003</v>
      </c>
      <c r="H59" s="79" t="str">
        <f>_xll.ohRangeRetrieveError(G59)</f>
        <v/>
      </c>
    </row>
    <row r="60" spans="1:8" x14ac:dyDescent="0.2">
      <c r="A60" s="155"/>
      <c r="B60" s="154">
        <v>54</v>
      </c>
      <c r="C60" s="152" t="b">
        <v>0</v>
      </c>
      <c r="D60" s="152" t="str">
        <v>K8</v>
      </c>
      <c r="E60" s="270" t="str">
        <f>Currency&amp;"FUT"&amp;$G$4&amp;$D60&amp;QuoteSuffix</f>
        <v>USDFUT3MK8_Quote</v>
      </c>
      <c r="F60" s="271" t="str">
        <f>Currency&amp;"FUT"&amp;$G$4&amp;$D60&amp;"ConvAdj"&amp;QuoteSuffix</f>
        <v>USDFUT3MK8ConvAdj_Quote</v>
      </c>
      <c r="G60" s="270" t="str">
        <f>_xll.qlFuturesConvAdjustmentQuote($F60,IborIndex,$D60,$E60,Volatility,MeanReversion,Permanent,Trigger,ObjectOverwrite)</f>
        <v>USDFUT3MK8ConvAdj_Quote#0003</v>
      </c>
      <c r="H60" s="79" t="str">
        <f>_xll.ohRangeRetrieveError(G60)</f>
        <v/>
      </c>
    </row>
    <row r="61" spans="1:8" x14ac:dyDescent="0.2">
      <c r="A61" s="155"/>
      <c r="B61" s="154">
        <v>55</v>
      </c>
      <c r="C61" s="152" t="b">
        <v>0</v>
      </c>
      <c r="D61" s="152" t="str">
        <v>M8</v>
      </c>
      <c r="E61" s="270" t="str">
        <f>Currency&amp;"FUT"&amp;$G$4&amp;$D61&amp;QuoteSuffix</f>
        <v>USDFUT3MM8_Quote</v>
      </c>
      <c r="F61" s="271" t="str">
        <f>Currency&amp;"FUT"&amp;$G$4&amp;$D61&amp;"ConvAdj"&amp;QuoteSuffix</f>
        <v>USDFUT3MM8ConvAdj_Quote</v>
      </c>
      <c r="G61" s="270" t="str">
        <f>_xll.qlFuturesConvAdjustmentQuote($F61,IborIndex,$D61,$E61,Volatility,MeanReversion,Permanent,Trigger,ObjectOverwrite)</f>
        <v>USDFUT3MM8ConvAdj_Quote#0003</v>
      </c>
      <c r="H61" s="79" t="str">
        <f>_xll.ohRangeRetrieveError(G61)</f>
        <v/>
      </c>
    </row>
    <row r="62" spans="1:8" x14ac:dyDescent="0.2">
      <c r="A62" s="155"/>
      <c r="B62" s="154">
        <v>56</v>
      </c>
      <c r="C62" s="152" t="b">
        <v>0</v>
      </c>
      <c r="D62" s="152" t="str">
        <v>N8</v>
      </c>
      <c r="E62" s="270" t="str">
        <f>Currency&amp;"FUT"&amp;$G$4&amp;$D62&amp;QuoteSuffix</f>
        <v>USDFUT3MN8_Quote</v>
      </c>
      <c r="F62" s="271" t="str">
        <f>Currency&amp;"FUT"&amp;$G$4&amp;$D62&amp;"ConvAdj"&amp;QuoteSuffix</f>
        <v>USDFUT3MN8ConvAdj_Quote</v>
      </c>
      <c r="G62" s="270" t="str">
        <f>_xll.qlFuturesConvAdjustmentQuote($F62,IborIndex,$D62,$E62,Volatility,MeanReversion,Permanent,Trigger,ObjectOverwrite)</f>
        <v>USDFUT3MN8ConvAdj_Quote#0003</v>
      </c>
      <c r="H62" s="79" t="str">
        <f>_xll.ohRangeRetrieveError(G62)</f>
        <v/>
      </c>
    </row>
    <row r="63" spans="1:8" x14ac:dyDescent="0.2">
      <c r="A63" s="155"/>
      <c r="B63" s="154">
        <v>57</v>
      </c>
      <c r="C63" s="152" t="b">
        <v>0</v>
      </c>
      <c r="D63" s="152" t="str">
        <v>Q8</v>
      </c>
      <c r="E63" s="270" t="str">
        <f>Currency&amp;"FUT"&amp;$G$4&amp;$D63&amp;QuoteSuffix</f>
        <v>USDFUT3MQ8_Quote</v>
      </c>
      <c r="F63" s="271" t="str">
        <f>Currency&amp;"FUT"&amp;$G$4&amp;$D63&amp;"ConvAdj"&amp;QuoteSuffix</f>
        <v>USDFUT3MQ8ConvAdj_Quote</v>
      </c>
      <c r="G63" s="270" t="str">
        <f>_xll.qlFuturesConvAdjustmentQuote($F63,IborIndex,$D63,$E63,Volatility,MeanReversion,Permanent,Trigger,ObjectOverwrite)</f>
        <v>USDFUT3MQ8ConvAdj_Quote#0003</v>
      </c>
      <c r="H63" s="79" t="str">
        <f>_xll.ohRangeRetrieveError(G63)</f>
        <v/>
      </c>
    </row>
    <row r="64" spans="1:8" x14ac:dyDescent="0.2">
      <c r="A64" s="155"/>
      <c r="B64" s="154">
        <v>58</v>
      </c>
      <c r="C64" s="152" t="b">
        <v>0</v>
      </c>
      <c r="D64" s="152" t="str">
        <v>U8</v>
      </c>
      <c r="E64" s="270" t="str">
        <f>Currency&amp;"FUT"&amp;$G$4&amp;$D64&amp;QuoteSuffix</f>
        <v>USDFUT3MU8_Quote</v>
      </c>
      <c r="F64" s="271" t="str">
        <f>Currency&amp;"FUT"&amp;$G$4&amp;$D64&amp;"ConvAdj"&amp;QuoteSuffix</f>
        <v>USDFUT3MU8ConvAdj_Quote</v>
      </c>
      <c r="G64" s="270" t="str">
        <f>_xll.qlFuturesConvAdjustmentQuote($F64,IborIndex,$D64,$E64,Volatility,MeanReversion,Permanent,Trigger,ObjectOverwrite)</f>
        <v>USDFUT3MU8ConvAdj_Quote#0003</v>
      </c>
      <c r="H64" s="79" t="str">
        <f>_xll.ohRangeRetrieveError(G64)</f>
        <v/>
      </c>
    </row>
    <row r="65" spans="1:8" x14ac:dyDescent="0.2">
      <c r="A65" s="155"/>
      <c r="B65" s="154">
        <v>59</v>
      </c>
      <c r="C65" s="152" t="b">
        <v>0</v>
      </c>
      <c r="D65" s="152" t="str">
        <v>V8</v>
      </c>
      <c r="E65" s="270" t="str">
        <f>Currency&amp;"FUT"&amp;$G$4&amp;$D65&amp;QuoteSuffix</f>
        <v>USDFUT3MV8_Quote</v>
      </c>
      <c r="F65" s="271" t="str">
        <f>Currency&amp;"FUT"&amp;$G$4&amp;$D65&amp;"ConvAdj"&amp;QuoteSuffix</f>
        <v>USDFUT3MV8ConvAdj_Quote</v>
      </c>
      <c r="G65" s="270" t="str">
        <f>_xll.qlFuturesConvAdjustmentQuote($F65,IborIndex,$D65,$E65,Volatility,MeanReversion,Permanent,Trigger,ObjectOverwrite)</f>
        <v>USDFUT3MV8ConvAdj_Quote#0003</v>
      </c>
      <c r="H65" s="79" t="str">
        <f>_xll.ohRangeRetrieveError(G65)</f>
        <v/>
      </c>
    </row>
    <row r="66" spans="1:8" x14ac:dyDescent="0.2">
      <c r="A66" s="155"/>
      <c r="B66" s="154">
        <v>60</v>
      </c>
      <c r="C66" s="152" t="b">
        <v>0</v>
      </c>
      <c r="D66" s="152" t="str">
        <v>X8</v>
      </c>
      <c r="E66" s="270" t="str">
        <f>Currency&amp;"FUT"&amp;$G$4&amp;$D66&amp;QuoteSuffix</f>
        <v>USDFUT3MX8_Quote</v>
      </c>
      <c r="F66" s="271" t="str">
        <f>Currency&amp;"FUT"&amp;$G$4&amp;$D66&amp;"ConvAdj"&amp;QuoteSuffix</f>
        <v>USDFUT3MX8ConvAdj_Quote</v>
      </c>
      <c r="G66" s="270" t="str">
        <f>_xll.qlFuturesConvAdjustmentQuote($F66,IborIndex,$D66,$E66,Volatility,MeanReversion,Permanent,Trigger,ObjectOverwrite)</f>
        <v>USDFUT3MX8ConvAdj_Quote#0003</v>
      </c>
      <c r="H66" s="79" t="str">
        <f>_xll.ohRangeRetrieveError(G66)</f>
        <v/>
      </c>
    </row>
    <row r="67" spans="1:8" x14ac:dyDescent="0.2">
      <c r="A67" s="155"/>
      <c r="B67" s="154">
        <v>61</v>
      </c>
      <c r="C67" s="152" t="b">
        <v>0</v>
      </c>
      <c r="D67" s="152" t="str">
        <v>Z8</v>
      </c>
      <c r="E67" s="270" t="str">
        <f>Currency&amp;"FUT"&amp;$G$4&amp;$D67&amp;QuoteSuffix</f>
        <v>USDFUT3MZ8_Quote</v>
      </c>
      <c r="F67" s="271" t="str">
        <f>Currency&amp;"FUT"&amp;$G$4&amp;$D67&amp;"ConvAdj"&amp;QuoteSuffix</f>
        <v>USDFUT3MZ8ConvAdj_Quote</v>
      </c>
      <c r="G67" s="270" t="str">
        <f>_xll.qlFuturesConvAdjustmentQuote($F67,IborIndex,$D67,$E67,Volatility,MeanReversion,Permanent,Trigger,ObjectOverwrite)</f>
        <v>USDFUT3MZ8ConvAdj_Quote#0003</v>
      </c>
      <c r="H67" s="79" t="str">
        <f>_xll.ohRangeRetrieveError(G67)</f>
        <v/>
      </c>
    </row>
    <row r="68" spans="1:8" x14ac:dyDescent="0.2">
      <c r="A68" s="155"/>
      <c r="B68" s="154">
        <v>62</v>
      </c>
      <c r="C68" s="152" t="b">
        <v>0</v>
      </c>
      <c r="D68" s="152" t="str">
        <v>F9</v>
      </c>
      <c r="E68" s="270" t="str">
        <f>Currency&amp;"FUT"&amp;$G$4&amp;$D68&amp;QuoteSuffix</f>
        <v>USDFUT3MF9_Quote</v>
      </c>
      <c r="F68" s="271" t="str">
        <f>Currency&amp;"FUT"&amp;$G$4&amp;$D68&amp;"ConvAdj"&amp;QuoteSuffix</f>
        <v>USDFUT3MF9ConvAdj_Quote</v>
      </c>
      <c r="G68" s="270" t="str">
        <f>_xll.qlFuturesConvAdjustmentQuote($F68,IborIndex,$D68,$E68,Volatility,MeanReversion,Permanent,Trigger,ObjectOverwrite)</f>
        <v>USDFUT3MF9ConvAdj_Quote#0003</v>
      </c>
      <c r="H68" s="79" t="str">
        <f>_xll.ohRangeRetrieveError(G68)</f>
        <v/>
      </c>
    </row>
    <row r="69" spans="1:8" x14ac:dyDescent="0.2">
      <c r="A69" s="155"/>
      <c r="B69" s="154">
        <v>63</v>
      </c>
      <c r="C69" s="152" t="b">
        <v>0</v>
      </c>
      <c r="D69" s="152" t="str">
        <v>G9</v>
      </c>
      <c r="E69" s="270" t="str">
        <f>Currency&amp;"FUT"&amp;$G$4&amp;$D69&amp;QuoteSuffix</f>
        <v>USDFUT3MG9_Quote</v>
      </c>
      <c r="F69" s="271" t="str">
        <f>Currency&amp;"FUT"&amp;$G$4&amp;$D69&amp;"ConvAdj"&amp;QuoteSuffix</f>
        <v>USDFUT3MG9ConvAdj_Quote</v>
      </c>
      <c r="G69" s="270" t="str">
        <f>_xll.qlFuturesConvAdjustmentQuote($F69,IborIndex,$D69,$E69,Volatility,MeanReversion,Permanent,Trigger,ObjectOverwrite)</f>
        <v>USDFUT3MG9ConvAdj_Quote#0003</v>
      </c>
      <c r="H69" s="79" t="str">
        <f>_xll.ohRangeRetrieveError(G69)</f>
        <v/>
      </c>
    </row>
    <row r="70" spans="1:8" x14ac:dyDescent="0.2">
      <c r="A70" s="155"/>
      <c r="B70" s="154">
        <v>64</v>
      </c>
      <c r="C70" s="152" t="b">
        <v>0</v>
      </c>
      <c r="D70" s="152" t="str">
        <v>H9</v>
      </c>
      <c r="E70" s="270" t="str">
        <f>Currency&amp;"FUT"&amp;$G$4&amp;$D70&amp;QuoteSuffix</f>
        <v>USDFUT3MH9_Quote</v>
      </c>
      <c r="F70" s="271" t="str">
        <f>Currency&amp;"FUT"&amp;$G$4&amp;$D70&amp;"ConvAdj"&amp;QuoteSuffix</f>
        <v>USDFUT3MH9ConvAdj_Quote</v>
      </c>
      <c r="G70" s="270" t="str">
        <f>_xll.qlFuturesConvAdjustmentQuote($F70,IborIndex,$D70,$E70,Volatility,MeanReversion,Permanent,Trigger,ObjectOverwrite)</f>
        <v>USDFUT3MH9ConvAdj_Quote#0003</v>
      </c>
      <c r="H70" s="79" t="str">
        <f>_xll.ohRangeRetrieveError(G70)</f>
        <v/>
      </c>
    </row>
    <row r="71" spans="1:8" x14ac:dyDescent="0.2">
      <c r="A71" s="155"/>
      <c r="B71" s="154">
        <v>65</v>
      </c>
      <c r="C71" s="152" t="b">
        <v>0</v>
      </c>
      <c r="D71" s="152" t="str">
        <v>J9</v>
      </c>
      <c r="E71" s="270" t="str">
        <f>Currency&amp;"FUT"&amp;$G$4&amp;$D71&amp;QuoteSuffix</f>
        <v>USDFUT3MJ9_Quote</v>
      </c>
      <c r="F71" s="271" t="str">
        <f>Currency&amp;"FUT"&amp;$G$4&amp;$D71&amp;"ConvAdj"&amp;QuoteSuffix</f>
        <v>USDFUT3MJ9ConvAdj_Quote</v>
      </c>
      <c r="G71" s="270" t="str">
        <f>_xll.qlFuturesConvAdjustmentQuote($F71,IborIndex,$D71,$E71,Volatility,MeanReversion,Permanent,Trigger,ObjectOverwrite)</f>
        <v>USDFUT3MJ9ConvAdj_Quote#0003</v>
      </c>
      <c r="H71" s="79" t="str">
        <f>_xll.ohRangeRetrieveError(G71)</f>
        <v/>
      </c>
    </row>
    <row r="72" spans="1:8" x14ac:dyDescent="0.2">
      <c r="A72" s="155"/>
      <c r="B72" s="154">
        <v>66</v>
      </c>
      <c r="C72" s="152" t="b">
        <v>0</v>
      </c>
      <c r="D72" s="152" t="str">
        <v>K9</v>
      </c>
      <c r="E72" s="270" t="str">
        <f>Currency&amp;"FUT"&amp;$G$4&amp;$D72&amp;QuoteSuffix</f>
        <v>USDFUT3MK9_Quote</v>
      </c>
      <c r="F72" s="271" t="str">
        <f>Currency&amp;"FUT"&amp;$G$4&amp;$D72&amp;"ConvAdj"&amp;QuoteSuffix</f>
        <v>USDFUT3MK9ConvAdj_Quote</v>
      </c>
      <c r="G72" s="270" t="str">
        <f>_xll.qlFuturesConvAdjustmentQuote($F72,IborIndex,$D72,$E72,Volatility,MeanReversion,Permanent,Trigger,ObjectOverwrite)</f>
        <v>USDFUT3MK9ConvAdj_Quote#0003</v>
      </c>
      <c r="H72" s="79" t="str">
        <f>_xll.ohRangeRetrieveError(G72)</f>
        <v/>
      </c>
    </row>
    <row r="73" spans="1:8" x14ac:dyDescent="0.2">
      <c r="A73" s="155"/>
      <c r="B73" s="154">
        <v>67</v>
      </c>
      <c r="C73" s="152" t="b">
        <v>0</v>
      </c>
      <c r="D73" s="152" t="str">
        <v>M9</v>
      </c>
      <c r="E73" s="270" t="str">
        <f>Currency&amp;"FUT"&amp;$G$4&amp;$D73&amp;QuoteSuffix</f>
        <v>USDFUT3MM9_Quote</v>
      </c>
      <c r="F73" s="271" t="str">
        <f>Currency&amp;"FUT"&amp;$G$4&amp;$D73&amp;"ConvAdj"&amp;QuoteSuffix</f>
        <v>USDFUT3MM9ConvAdj_Quote</v>
      </c>
      <c r="G73" s="270" t="str">
        <f>_xll.qlFuturesConvAdjustmentQuote($F73,IborIndex,$D73,$E73,Volatility,MeanReversion,Permanent,Trigger,ObjectOverwrite)</f>
        <v>USDFUT3MM9ConvAdj_Quote#0003</v>
      </c>
      <c r="H73" s="79" t="str">
        <f>_xll.ohRangeRetrieveError(G73)</f>
        <v/>
      </c>
    </row>
    <row r="74" spans="1:8" x14ac:dyDescent="0.2">
      <c r="A74" s="155"/>
      <c r="B74" s="154">
        <v>68</v>
      </c>
      <c r="C74" s="152" t="b">
        <v>0</v>
      </c>
      <c r="D74" s="152" t="str">
        <v>N9</v>
      </c>
      <c r="E74" s="270" t="str">
        <f>Currency&amp;"FUT"&amp;$G$4&amp;$D74&amp;QuoteSuffix</f>
        <v>USDFUT3MN9_Quote</v>
      </c>
      <c r="F74" s="271" t="str">
        <f>Currency&amp;"FUT"&amp;$G$4&amp;$D74&amp;"ConvAdj"&amp;QuoteSuffix</f>
        <v>USDFUT3MN9ConvAdj_Quote</v>
      </c>
      <c r="G74" s="270" t="str">
        <f>_xll.qlFuturesConvAdjustmentQuote($F74,IborIndex,$D74,$E74,Volatility,MeanReversion,Permanent,Trigger,ObjectOverwrite)</f>
        <v>USDFUT3MN9ConvAdj_Quote#0003</v>
      </c>
      <c r="H74" s="79" t="str">
        <f>_xll.ohRangeRetrieveError(G74)</f>
        <v/>
      </c>
    </row>
    <row r="75" spans="1:8" x14ac:dyDescent="0.2">
      <c r="A75" s="155"/>
      <c r="B75" s="154">
        <v>69</v>
      </c>
      <c r="C75" s="152" t="b">
        <v>0</v>
      </c>
      <c r="D75" s="152" t="str">
        <v>Q9</v>
      </c>
      <c r="E75" s="270" t="str">
        <f>Currency&amp;"FUT"&amp;$G$4&amp;$D75&amp;QuoteSuffix</f>
        <v>USDFUT3MQ9_Quote</v>
      </c>
      <c r="F75" s="271" t="str">
        <f>Currency&amp;"FUT"&amp;$G$4&amp;$D75&amp;"ConvAdj"&amp;QuoteSuffix</f>
        <v>USDFUT3MQ9ConvAdj_Quote</v>
      </c>
      <c r="G75" s="270" t="str">
        <f>_xll.qlFuturesConvAdjustmentQuote($F75,IborIndex,$D75,$E75,Volatility,MeanReversion,Permanent,Trigger,ObjectOverwrite)</f>
        <v>USDFUT3MQ9ConvAdj_Quote#0003</v>
      </c>
      <c r="H75" s="79" t="str">
        <f>_xll.ohRangeRetrieveError(G75)</f>
        <v/>
      </c>
    </row>
    <row r="76" spans="1:8" x14ac:dyDescent="0.2">
      <c r="A76" s="155"/>
      <c r="B76" s="154">
        <v>70</v>
      </c>
      <c r="C76" s="152" t="b">
        <v>0</v>
      </c>
      <c r="D76" s="152" t="str">
        <v>U9</v>
      </c>
      <c r="E76" s="270" t="str">
        <f>Currency&amp;"FUT"&amp;$G$4&amp;$D76&amp;QuoteSuffix</f>
        <v>USDFUT3MU9_Quote</v>
      </c>
      <c r="F76" s="271" t="str">
        <f>Currency&amp;"FUT"&amp;$G$4&amp;$D76&amp;"ConvAdj"&amp;QuoteSuffix</f>
        <v>USDFUT3MU9ConvAdj_Quote</v>
      </c>
      <c r="G76" s="270" t="str">
        <f>_xll.qlFuturesConvAdjustmentQuote($F76,IborIndex,$D76,$E76,Volatility,MeanReversion,Permanent,Trigger,ObjectOverwrite)</f>
        <v>USDFUT3MU9ConvAdj_Quote#0003</v>
      </c>
      <c r="H76" s="79" t="str">
        <f>_xll.ohRangeRetrieveError(G76)</f>
        <v/>
      </c>
    </row>
    <row r="77" spans="1:8" x14ac:dyDescent="0.2">
      <c r="A77" s="155"/>
      <c r="B77" s="154">
        <v>71</v>
      </c>
      <c r="C77" s="152" t="b">
        <v>0</v>
      </c>
      <c r="D77" s="152" t="str">
        <v>V9</v>
      </c>
      <c r="E77" s="270" t="str">
        <f>Currency&amp;"FUT"&amp;$G$4&amp;$D77&amp;QuoteSuffix</f>
        <v>USDFUT3MV9_Quote</v>
      </c>
      <c r="F77" s="271" t="str">
        <f>Currency&amp;"FUT"&amp;$G$4&amp;$D77&amp;"ConvAdj"&amp;QuoteSuffix</f>
        <v>USDFUT3MV9ConvAdj_Quote</v>
      </c>
      <c r="G77" s="270" t="str">
        <f>_xll.qlFuturesConvAdjustmentQuote($F77,IborIndex,$D77,$E77,Volatility,MeanReversion,Permanent,Trigger,ObjectOverwrite)</f>
        <v>USDFUT3MV9ConvAdj_Quote#0003</v>
      </c>
      <c r="H77" s="79" t="str">
        <f>_xll.ohRangeRetrieveError(G77)</f>
        <v/>
      </c>
    </row>
    <row r="78" spans="1:8" x14ac:dyDescent="0.2">
      <c r="A78" s="155"/>
      <c r="B78" s="154">
        <v>72</v>
      </c>
      <c r="C78" s="152" t="b">
        <v>0</v>
      </c>
      <c r="D78" s="152" t="str">
        <v>X9</v>
      </c>
      <c r="E78" s="270" t="str">
        <f>Currency&amp;"FUT"&amp;$G$4&amp;$D78&amp;QuoteSuffix</f>
        <v>USDFUT3MX9_Quote</v>
      </c>
      <c r="F78" s="271" t="str">
        <f>Currency&amp;"FUT"&amp;$G$4&amp;$D78&amp;"ConvAdj"&amp;QuoteSuffix</f>
        <v>USDFUT3MX9ConvAdj_Quote</v>
      </c>
      <c r="G78" s="270" t="str">
        <f>_xll.qlFuturesConvAdjustmentQuote($F78,IborIndex,$D78,$E78,Volatility,MeanReversion,Permanent,Trigger,ObjectOverwrite)</f>
        <v>USDFUT3MX9ConvAdj_Quote#0003</v>
      </c>
      <c r="H78" s="79" t="str">
        <f>_xll.ohRangeRetrieveError(G78)</f>
        <v/>
      </c>
    </row>
    <row r="79" spans="1:8" x14ac:dyDescent="0.2">
      <c r="A79" s="155"/>
      <c r="B79" s="154">
        <v>73</v>
      </c>
      <c r="C79" s="152" t="b">
        <v>0</v>
      </c>
      <c r="D79" s="152" t="str">
        <v>Z9</v>
      </c>
      <c r="E79" s="270" t="str">
        <f>Currency&amp;"FUT"&amp;$G$4&amp;$D79&amp;QuoteSuffix</f>
        <v>USDFUT3MZ9_Quote</v>
      </c>
      <c r="F79" s="271" t="str">
        <f>Currency&amp;"FUT"&amp;$G$4&amp;$D79&amp;"ConvAdj"&amp;QuoteSuffix</f>
        <v>USDFUT3MZ9ConvAdj_Quote</v>
      </c>
      <c r="G79" s="270" t="str">
        <f>_xll.qlFuturesConvAdjustmentQuote($F79,IborIndex,$D79,$E79,Volatility,MeanReversion,Permanent,Trigger,ObjectOverwrite)</f>
        <v>USDFUT3MZ9ConvAdj_Quote#0003</v>
      </c>
      <c r="H79" s="79" t="str">
        <f>_xll.ohRangeRetrieveError(G79)</f>
        <v/>
      </c>
    </row>
    <row r="80" spans="1:8" x14ac:dyDescent="0.2">
      <c r="A80" s="155"/>
      <c r="B80" s="154">
        <v>74</v>
      </c>
      <c r="C80" s="152" t="b">
        <v>0</v>
      </c>
      <c r="D80" s="152" t="str">
        <v>F0</v>
      </c>
      <c r="E80" s="270" t="str">
        <f>Currency&amp;"FUT"&amp;$G$4&amp;$D80&amp;QuoteSuffix</f>
        <v>USDFUT3MF0_Quote</v>
      </c>
      <c r="F80" s="271" t="str">
        <f>Currency&amp;"FUT"&amp;$G$4&amp;$D80&amp;"ConvAdj"&amp;QuoteSuffix</f>
        <v>USDFUT3MF0ConvAdj_Quote</v>
      </c>
      <c r="G80" s="270" t="str">
        <f>_xll.qlFuturesConvAdjustmentQuote($F80,IborIndex,$D80,$E80,Volatility,MeanReversion,Permanent,Trigger,ObjectOverwrite)</f>
        <v>USDFUT3MF0ConvAdj_Quote#0003</v>
      </c>
      <c r="H80" s="79" t="str">
        <f>_xll.ohRangeRetrieveError(G80)</f>
        <v/>
      </c>
    </row>
    <row r="81" spans="1:8" x14ac:dyDescent="0.2">
      <c r="A81" s="155"/>
      <c r="B81" s="154">
        <v>75</v>
      </c>
      <c r="C81" s="152" t="b">
        <v>0</v>
      </c>
      <c r="D81" s="152" t="str">
        <v>G0</v>
      </c>
      <c r="E81" s="270" t="str">
        <f>Currency&amp;"FUT"&amp;$G$4&amp;$D81&amp;QuoteSuffix</f>
        <v>USDFUT3MG0_Quote</v>
      </c>
      <c r="F81" s="271" t="str">
        <f>Currency&amp;"FUT"&amp;$G$4&amp;$D81&amp;"ConvAdj"&amp;QuoteSuffix</f>
        <v>USDFUT3MG0ConvAdj_Quote</v>
      </c>
      <c r="G81" s="270" t="str">
        <f>_xll.qlFuturesConvAdjustmentQuote($F81,IborIndex,$D81,$E81,Volatility,MeanReversion,Permanent,Trigger,ObjectOverwrite)</f>
        <v>USDFUT3MG0ConvAdj_Quote#0003</v>
      </c>
      <c r="H81" s="79" t="str">
        <f>_xll.ohRangeRetrieveError(G81)</f>
        <v/>
      </c>
    </row>
    <row r="82" spans="1:8" x14ac:dyDescent="0.2">
      <c r="A82" s="155"/>
      <c r="B82" s="154">
        <v>76</v>
      </c>
      <c r="C82" s="152" t="b">
        <v>0</v>
      </c>
      <c r="D82" s="152" t="str">
        <v>H0</v>
      </c>
      <c r="E82" s="270" t="str">
        <f>Currency&amp;"FUT"&amp;$G$4&amp;$D82&amp;QuoteSuffix</f>
        <v>USDFUT3MH0_Quote</v>
      </c>
      <c r="F82" s="271" t="str">
        <f>Currency&amp;"FUT"&amp;$G$4&amp;$D82&amp;"ConvAdj"&amp;QuoteSuffix</f>
        <v>USDFUT3MH0ConvAdj_Quote</v>
      </c>
      <c r="G82" s="270" t="str">
        <f>_xll.qlFuturesConvAdjustmentQuote($F82,IborIndex,$D82,$E82,Volatility,MeanReversion,Permanent,Trigger,ObjectOverwrite)</f>
        <v>USDFUT3MH0ConvAdj_Quote#0003</v>
      </c>
      <c r="H82" s="79" t="str">
        <f>_xll.ohRangeRetrieveError(G82)</f>
        <v/>
      </c>
    </row>
    <row r="83" spans="1:8" x14ac:dyDescent="0.2">
      <c r="A83" s="155"/>
      <c r="B83" s="154">
        <v>77</v>
      </c>
      <c r="C83" s="152" t="b">
        <v>0</v>
      </c>
      <c r="D83" s="152" t="str">
        <v>J0</v>
      </c>
      <c r="E83" s="270" t="str">
        <f>Currency&amp;"FUT"&amp;$G$4&amp;$D83&amp;QuoteSuffix</f>
        <v>USDFUT3MJ0_Quote</v>
      </c>
      <c r="F83" s="271" t="str">
        <f>Currency&amp;"FUT"&amp;$G$4&amp;$D83&amp;"ConvAdj"&amp;QuoteSuffix</f>
        <v>USDFUT3MJ0ConvAdj_Quote</v>
      </c>
      <c r="G83" s="270" t="str">
        <f>_xll.qlFuturesConvAdjustmentQuote($F83,IborIndex,$D83,$E83,Volatility,MeanReversion,Permanent,Trigger,ObjectOverwrite)</f>
        <v>USDFUT3MJ0ConvAdj_Quote#0003</v>
      </c>
      <c r="H83" s="79" t="str">
        <f>_xll.ohRangeRetrieveError(G83)</f>
        <v/>
      </c>
    </row>
    <row r="84" spans="1:8" x14ac:dyDescent="0.2">
      <c r="A84" s="155"/>
      <c r="B84" s="154">
        <v>78</v>
      </c>
      <c r="C84" s="152" t="b">
        <v>0</v>
      </c>
      <c r="D84" s="152" t="str">
        <v>K0</v>
      </c>
      <c r="E84" s="270" t="str">
        <f>Currency&amp;"FUT"&amp;$G$4&amp;$D84&amp;QuoteSuffix</f>
        <v>USDFUT3MK0_Quote</v>
      </c>
      <c r="F84" s="271" t="str">
        <f>Currency&amp;"FUT"&amp;$G$4&amp;$D84&amp;"ConvAdj"&amp;QuoteSuffix</f>
        <v>USDFUT3MK0ConvAdj_Quote</v>
      </c>
      <c r="G84" s="270" t="str">
        <f>_xll.qlFuturesConvAdjustmentQuote($F84,IborIndex,$D84,$E84,Volatility,MeanReversion,Permanent,Trigger,ObjectOverwrite)</f>
        <v>USDFUT3MK0ConvAdj_Quote#0003</v>
      </c>
      <c r="H84" s="79" t="str">
        <f>_xll.ohRangeRetrieveError(G84)</f>
        <v/>
      </c>
    </row>
    <row r="85" spans="1:8" x14ac:dyDescent="0.2">
      <c r="A85" s="155"/>
      <c r="B85" s="154">
        <v>79</v>
      </c>
      <c r="C85" s="152" t="b">
        <v>0</v>
      </c>
      <c r="D85" s="152" t="str">
        <v>M0</v>
      </c>
      <c r="E85" s="270" t="str">
        <f>Currency&amp;"FUT"&amp;$G$4&amp;$D85&amp;QuoteSuffix</f>
        <v>USDFUT3MM0_Quote</v>
      </c>
      <c r="F85" s="271" t="str">
        <f>Currency&amp;"FUT"&amp;$G$4&amp;$D85&amp;"ConvAdj"&amp;QuoteSuffix</f>
        <v>USDFUT3MM0ConvAdj_Quote</v>
      </c>
      <c r="G85" s="270" t="str">
        <f>_xll.qlFuturesConvAdjustmentQuote($F85,IborIndex,$D85,$E85,Volatility,MeanReversion,Permanent,Trigger,ObjectOverwrite)</f>
        <v>USDFUT3MM0ConvAdj_Quote#0003</v>
      </c>
      <c r="H85" s="79" t="str">
        <f>_xll.ohRangeRetrieveError(G85)</f>
        <v/>
      </c>
    </row>
    <row r="86" spans="1:8" x14ac:dyDescent="0.2">
      <c r="A86" s="155"/>
      <c r="B86" s="154">
        <v>80</v>
      </c>
      <c r="C86" s="152" t="b">
        <v>0</v>
      </c>
      <c r="D86" s="152" t="str">
        <v>N0</v>
      </c>
      <c r="E86" s="270" t="str">
        <f>Currency&amp;"FUT"&amp;$G$4&amp;$D86&amp;QuoteSuffix</f>
        <v>USDFUT3MN0_Quote</v>
      </c>
      <c r="F86" s="271" t="str">
        <f>Currency&amp;"FUT"&amp;$G$4&amp;$D86&amp;"ConvAdj"&amp;QuoteSuffix</f>
        <v>USDFUT3MN0ConvAdj_Quote</v>
      </c>
      <c r="G86" s="270" t="str">
        <f>_xll.qlFuturesConvAdjustmentQuote($F86,IborIndex,$D86,$E86,Volatility,MeanReversion,Permanent,Trigger,ObjectOverwrite)</f>
        <v>USDFUT3MN0ConvAdj_Quote#0003</v>
      </c>
      <c r="H86" s="79" t="str">
        <f>_xll.ohRangeRetrieveError(G86)</f>
        <v/>
      </c>
    </row>
    <row r="87" spans="1:8" x14ac:dyDescent="0.2">
      <c r="A87" s="155"/>
      <c r="B87" s="154">
        <v>81</v>
      </c>
      <c r="C87" s="152" t="b">
        <v>0</v>
      </c>
      <c r="D87" s="152" t="str">
        <v>Q0</v>
      </c>
      <c r="E87" s="270" t="str">
        <f>Currency&amp;"FUT"&amp;$G$4&amp;$D87&amp;QuoteSuffix</f>
        <v>USDFUT3MQ0_Quote</v>
      </c>
      <c r="F87" s="271" t="str">
        <f>Currency&amp;"FUT"&amp;$G$4&amp;$D87&amp;"ConvAdj"&amp;QuoteSuffix</f>
        <v>USDFUT3MQ0ConvAdj_Quote</v>
      </c>
      <c r="G87" s="270" t="str">
        <f>_xll.qlFuturesConvAdjustmentQuote($F87,IborIndex,$D87,$E87,Volatility,MeanReversion,Permanent,Trigger,ObjectOverwrite)</f>
        <v>USDFUT3MQ0ConvAdj_Quote#0003</v>
      </c>
      <c r="H87" s="79" t="str">
        <f>_xll.ohRangeRetrieveError(G87)</f>
        <v/>
      </c>
    </row>
    <row r="88" spans="1:8" x14ac:dyDescent="0.2">
      <c r="A88" s="155"/>
      <c r="B88" s="154">
        <v>82</v>
      </c>
      <c r="C88" s="152" t="b">
        <v>0</v>
      </c>
      <c r="D88" s="152" t="str">
        <v>U0</v>
      </c>
      <c r="E88" s="270" t="str">
        <f>Currency&amp;"FUT"&amp;$G$4&amp;$D88&amp;QuoteSuffix</f>
        <v>USDFUT3MU0_Quote</v>
      </c>
      <c r="F88" s="271" t="str">
        <f>Currency&amp;"FUT"&amp;$G$4&amp;$D88&amp;"ConvAdj"&amp;QuoteSuffix</f>
        <v>USDFUT3MU0ConvAdj_Quote</v>
      </c>
      <c r="G88" s="270" t="str">
        <f>_xll.qlFuturesConvAdjustmentQuote($F88,IborIndex,$D88,$E88,Volatility,MeanReversion,Permanent,Trigger,ObjectOverwrite)</f>
        <v>USDFUT3MU0ConvAdj_Quote#0003</v>
      </c>
      <c r="H88" s="79" t="str">
        <f>_xll.ohRangeRetrieveError(G88)</f>
        <v/>
      </c>
    </row>
    <row r="89" spans="1:8" x14ac:dyDescent="0.2">
      <c r="A89" s="155"/>
      <c r="B89" s="154">
        <v>83</v>
      </c>
      <c r="C89" s="152" t="b">
        <v>0</v>
      </c>
      <c r="D89" s="152" t="str">
        <v>V0</v>
      </c>
      <c r="E89" s="270" t="str">
        <f>Currency&amp;"FUT"&amp;$G$4&amp;$D89&amp;QuoteSuffix</f>
        <v>USDFUT3MV0_Quote</v>
      </c>
      <c r="F89" s="271" t="str">
        <f>Currency&amp;"FUT"&amp;$G$4&amp;$D89&amp;"ConvAdj"&amp;QuoteSuffix</f>
        <v>USDFUT3MV0ConvAdj_Quote</v>
      </c>
      <c r="G89" s="270" t="str">
        <f>_xll.qlFuturesConvAdjustmentQuote($F89,IborIndex,$D89,$E89,Volatility,MeanReversion,Permanent,Trigger,ObjectOverwrite)</f>
        <v>USDFUT3MV0ConvAdj_Quote#0003</v>
      </c>
      <c r="H89" s="79" t="str">
        <f>_xll.ohRangeRetrieveError(G89)</f>
        <v/>
      </c>
    </row>
    <row r="90" spans="1:8" x14ac:dyDescent="0.2">
      <c r="A90" s="155"/>
      <c r="B90" s="154">
        <v>84</v>
      </c>
      <c r="C90" s="152" t="b">
        <v>0</v>
      </c>
      <c r="D90" s="152" t="str">
        <v>X0</v>
      </c>
      <c r="E90" s="270" t="str">
        <f>Currency&amp;"FUT"&amp;$G$4&amp;$D90&amp;QuoteSuffix</f>
        <v>USDFUT3MX0_Quote</v>
      </c>
      <c r="F90" s="271" t="str">
        <f>Currency&amp;"FUT"&amp;$G$4&amp;$D90&amp;"ConvAdj"&amp;QuoteSuffix</f>
        <v>USDFUT3MX0ConvAdj_Quote</v>
      </c>
      <c r="G90" s="270" t="str">
        <f>_xll.qlFuturesConvAdjustmentQuote($F90,IborIndex,$D90,$E90,Volatility,MeanReversion,Permanent,Trigger,ObjectOverwrite)</f>
        <v>USDFUT3MX0ConvAdj_Quote#0003</v>
      </c>
      <c r="H90" s="79" t="str">
        <f>_xll.ohRangeRetrieveError(G90)</f>
        <v/>
      </c>
    </row>
    <row r="91" spans="1:8" x14ac:dyDescent="0.2">
      <c r="A91" s="155"/>
      <c r="B91" s="154">
        <v>85</v>
      </c>
      <c r="C91" s="152" t="b">
        <v>0</v>
      </c>
      <c r="D91" s="152" t="str">
        <v>Z0</v>
      </c>
      <c r="E91" s="270" t="str">
        <f>Currency&amp;"FUT"&amp;$G$4&amp;$D91&amp;QuoteSuffix</f>
        <v>USDFUT3MZ0_Quote</v>
      </c>
      <c r="F91" s="271" t="str">
        <f>Currency&amp;"FUT"&amp;$G$4&amp;$D91&amp;"ConvAdj"&amp;QuoteSuffix</f>
        <v>USDFUT3MZ0ConvAdj_Quote</v>
      </c>
      <c r="G91" s="270" t="str">
        <f>_xll.qlFuturesConvAdjustmentQuote($F91,IborIndex,$D91,$E91,Volatility,MeanReversion,Permanent,Trigger,ObjectOverwrite)</f>
        <v>USDFUT3MZ0ConvAdj_Quote#0003</v>
      </c>
      <c r="H91" s="79" t="str">
        <f>_xll.ohRangeRetrieveError(G91)</f>
        <v/>
      </c>
    </row>
    <row r="92" spans="1:8" x14ac:dyDescent="0.2">
      <c r="A92" s="155"/>
      <c r="B92" s="154">
        <v>86</v>
      </c>
      <c r="C92" s="152" t="b">
        <v>0</v>
      </c>
      <c r="D92" s="152" t="str">
        <v>F1</v>
      </c>
      <c r="E92" s="270" t="str">
        <f>Currency&amp;"FUT"&amp;$G$4&amp;$D92&amp;QuoteSuffix</f>
        <v>USDFUT3MF1_Quote</v>
      </c>
      <c r="F92" s="271" t="str">
        <f>Currency&amp;"FUT"&amp;$G$4&amp;$D92&amp;"ConvAdj"&amp;QuoteSuffix</f>
        <v>USDFUT3MF1ConvAdj_Quote</v>
      </c>
      <c r="G92" s="270" t="str">
        <f>_xll.qlFuturesConvAdjustmentQuote($F92,IborIndex,$D92,$E92,Volatility,MeanReversion,Permanent,Trigger,ObjectOverwrite)</f>
        <v>USDFUT3MF1ConvAdj_Quote#0003</v>
      </c>
      <c r="H92" s="79" t="str">
        <f>_xll.ohRangeRetrieveError(G92)</f>
        <v/>
      </c>
    </row>
    <row r="93" spans="1:8" x14ac:dyDescent="0.2">
      <c r="A93" s="155"/>
      <c r="B93" s="154">
        <v>87</v>
      </c>
      <c r="C93" s="152" t="b">
        <v>0</v>
      </c>
      <c r="D93" s="152" t="str">
        <v>G1</v>
      </c>
      <c r="E93" s="270" t="str">
        <f>Currency&amp;"FUT"&amp;$G$4&amp;$D93&amp;QuoteSuffix</f>
        <v>USDFUT3MG1_Quote</v>
      </c>
      <c r="F93" s="271" t="str">
        <f>Currency&amp;"FUT"&amp;$G$4&amp;$D93&amp;"ConvAdj"&amp;QuoteSuffix</f>
        <v>USDFUT3MG1ConvAdj_Quote</v>
      </c>
      <c r="G93" s="270" t="str">
        <f>_xll.qlFuturesConvAdjustmentQuote($F93,IborIndex,$D93,$E93,Volatility,MeanReversion,Permanent,Trigger,ObjectOverwrite)</f>
        <v>USDFUT3MG1ConvAdj_Quote#0003</v>
      </c>
      <c r="H93" s="79" t="str">
        <f>_xll.ohRangeRetrieveError(G93)</f>
        <v/>
      </c>
    </row>
    <row r="94" spans="1:8" x14ac:dyDescent="0.2">
      <c r="A94" s="155"/>
      <c r="B94" s="154">
        <v>88</v>
      </c>
      <c r="C94" s="152" t="b">
        <v>0</v>
      </c>
      <c r="D94" s="152" t="str">
        <v>H1</v>
      </c>
      <c r="E94" s="270" t="str">
        <f>Currency&amp;"FUT"&amp;$G$4&amp;$D94&amp;QuoteSuffix</f>
        <v>USDFUT3MH1_Quote</v>
      </c>
      <c r="F94" s="271" t="str">
        <f>Currency&amp;"FUT"&amp;$G$4&amp;$D94&amp;"ConvAdj"&amp;QuoteSuffix</f>
        <v>USDFUT3MH1ConvAdj_Quote</v>
      </c>
      <c r="G94" s="270" t="str">
        <f>_xll.qlFuturesConvAdjustmentQuote($F94,IborIndex,$D94,$E94,Volatility,MeanReversion,Permanent,Trigger,ObjectOverwrite)</f>
        <v>USDFUT3MH1ConvAdj_Quote#0003</v>
      </c>
      <c r="H94" s="79" t="str">
        <f>_xll.ohRangeRetrieveError(G94)</f>
        <v/>
      </c>
    </row>
    <row r="95" spans="1:8" x14ac:dyDescent="0.2">
      <c r="A95" s="155"/>
      <c r="B95" s="154">
        <v>89</v>
      </c>
      <c r="C95" s="152" t="b">
        <v>0</v>
      </c>
      <c r="D95" s="152" t="str">
        <v>J1</v>
      </c>
      <c r="E95" s="270" t="str">
        <f>Currency&amp;"FUT"&amp;$G$4&amp;$D95&amp;QuoteSuffix</f>
        <v>USDFUT3MJ1_Quote</v>
      </c>
      <c r="F95" s="271" t="str">
        <f>Currency&amp;"FUT"&amp;$G$4&amp;$D95&amp;"ConvAdj"&amp;QuoteSuffix</f>
        <v>USDFUT3MJ1ConvAdj_Quote</v>
      </c>
      <c r="G95" s="270" t="str">
        <f>_xll.qlFuturesConvAdjustmentQuote($F95,IborIndex,$D95,$E95,Volatility,MeanReversion,Permanent,Trigger,ObjectOverwrite)</f>
        <v>USDFUT3MJ1ConvAdj_Quote#0003</v>
      </c>
      <c r="H95" s="79" t="str">
        <f>_xll.ohRangeRetrieveError(G95)</f>
        <v/>
      </c>
    </row>
    <row r="96" spans="1:8" x14ac:dyDescent="0.2">
      <c r="A96" s="155"/>
      <c r="B96" s="154">
        <v>90</v>
      </c>
      <c r="C96" s="152" t="b">
        <v>0</v>
      </c>
      <c r="D96" s="152" t="str">
        <v>K1</v>
      </c>
      <c r="E96" s="270" t="str">
        <f>Currency&amp;"FUT"&amp;$G$4&amp;$D96&amp;QuoteSuffix</f>
        <v>USDFUT3MK1_Quote</v>
      </c>
      <c r="F96" s="271" t="str">
        <f>Currency&amp;"FUT"&amp;$G$4&amp;$D96&amp;"ConvAdj"&amp;QuoteSuffix</f>
        <v>USDFUT3MK1ConvAdj_Quote</v>
      </c>
      <c r="G96" s="270" t="str">
        <f>_xll.qlFuturesConvAdjustmentQuote($F96,IborIndex,$D96,$E96,Volatility,MeanReversion,Permanent,Trigger,ObjectOverwrite)</f>
        <v>USDFUT3MK1ConvAdj_Quote#0003</v>
      </c>
      <c r="H96" s="79" t="str">
        <f>_xll.ohRangeRetrieveError(G96)</f>
        <v/>
      </c>
    </row>
    <row r="97" spans="1:8" x14ac:dyDescent="0.2">
      <c r="A97" s="155"/>
      <c r="B97" s="154">
        <v>91</v>
      </c>
      <c r="C97" s="152" t="b">
        <v>0</v>
      </c>
      <c r="D97" s="152" t="str">
        <v>M1</v>
      </c>
      <c r="E97" s="270" t="str">
        <f>Currency&amp;"FUT"&amp;$G$4&amp;$D97&amp;QuoteSuffix</f>
        <v>USDFUT3MM1_Quote</v>
      </c>
      <c r="F97" s="271" t="str">
        <f>Currency&amp;"FUT"&amp;$G$4&amp;$D97&amp;"ConvAdj"&amp;QuoteSuffix</f>
        <v>USDFUT3MM1ConvAdj_Quote</v>
      </c>
      <c r="G97" s="270" t="str">
        <f>_xll.qlFuturesConvAdjustmentQuote($F97,IborIndex,$D97,$E97,Volatility,MeanReversion,Permanent,Trigger,ObjectOverwrite)</f>
        <v>USDFUT3MM1ConvAdj_Quote#0003</v>
      </c>
      <c r="H97" s="79" t="str">
        <f>_xll.ohRangeRetrieveError(G97)</f>
        <v/>
      </c>
    </row>
    <row r="98" spans="1:8" x14ac:dyDescent="0.2">
      <c r="A98" s="155"/>
      <c r="B98" s="154">
        <v>92</v>
      </c>
      <c r="C98" s="152" t="b">
        <v>0</v>
      </c>
      <c r="D98" s="152" t="str">
        <v>N1</v>
      </c>
      <c r="E98" s="270" t="str">
        <f>Currency&amp;"FUT"&amp;$G$4&amp;$D98&amp;QuoteSuffix</f>
        <v>USDFUT3MN1_Quote</v>
      </c>
      <c r="F98" s="271" t="str">
        <f>Currency&amp;"FUT"&amp;$G$4&amp;$D98&amp;"ConvAdj"&amp;QuoteSuffix</f>
        <v>USDFUT3MN1ConvAdj_Quote</v>
      </c>
      <c r="G98" s="270" t="str">
        <f>_xll.qlFuturesConvAdjustmentQuote($F98,IborIndex,$D98,$E98,Volatility,MeanReversion,Permanent,Trigger,ObjectOverwrite)</f>
        <v>USDFUT3MN1ConvAdj_Quote#0003</v>
      </c>
      <c r="H98" s="79" t="str">
        <f>_xll.ohRangeRetrieveError(G98)</f>
        <v/>
      </c>
    </row>
    <row r="99" spans="1:8" x14ac:dyDescent="0.2">
      <c r="A99" s="155"/>
      <c r="B99" s="154">
        <v>93</v>
      </c>
      <c r="C99" s="152" t="b">
        <v>0</v>
      </c>
      <c r="D99" s="152" t="str">
        <v>Q1</v>
      </c>
      <c r="E99" s="270" t="str">
        <f>Currency&amp;"FUT"&amp;$G$4&amp;$D99&amp;QuoteSuffix</f>
        <v>USDFUT3MQ1_Quote</v>
      </c>
      <c r="F99" s="271" t="str">
        <f>Currency&amp;"FUT"&amp;$G$4&amp;$D99&amp;"ConvAdj"&amp;QuoteSuffix</f>
        <v>USDFUT3MQ1ConvAdj_Quote</v>
      </c>
      <c r="G99" s="270" t="str">
        <f>_xll.qlFuturesConvAdjustmentQuote($F99,IborIndex,$D99,$E99,Volatility,MeanReversion,Permanent,Trigger,ObjectOverwrite)</f>
        <v>USDFUT3MQ1ConvAdj_Quote#0003</v>
      </c>
      <c r="H99" s="79" t="str">
        <f>_xll.ohRangeRetrieveError(G99)</f>
        <v/>
      </c>
    </row>
    <row r="100" spans="1:8" x14ac:dyDescent="0.2">
      <c r="A100" s="155"/>
      <c r="B100" s="154">
        <v>94</v>
      </c>
      <c r="C100" s="152" t="b">
        <v>0</v>
      </c>
      <c r="D100" s="152" t="str">
        <v>U1</v>
      </c>
      <c r="E100" s="270" t="str">
        <f>Currency&amp;"FUT"&amp;$G$4&amp;$D100&amp;QuoteSuffix</f>
        <v>USDFUT3MU1_Quote</v>
      </c>
      <c r="F100" s="271" t="str">
        <f>Currency&amp;"FUT"&amp;$G$4&amp;$D100&amp;"ConvAdj"&amp;QuoteSuffix</f>
        <v>USDFUT3MU1ConvAdj_Quote</v>
      </c>
      <c r="G100" s="270" t="str">
        <f>_xll.qlFuturesConvAdjustmentQuote($F100,IborIndex,$D100,$E100,Volatility,MeanReversion,Permanent,Trigger,ObjectOverwrite)</f>
        <v>USDFUT3MU1ConvAdj_Quote#0003</v>
      </c>
      <c r="H100" s="79" t="str">
        <f>_xll.ohRangeRetrieveError(G100)</f>
        <v/>
      </c>
    </row>
    <row r="101" spans="1:8" x14ac:dyDescent="0.2">
      <c r="A101" s="155"/>
      <c r="B101" s="154">
        <v>95</v>
      </c>
      <c r="C101" s="152" t="b">
        <v>0</v>
      </c>
      <c r="D101" s="152" t="str">
        <v>V1</v>
      </c>
      <c r="E101" s="270" t="str">
        <f>Currency&amp;"FUT"&amp;$G$4&amp;$D101&amp;QuoteSuffix</f>
        <v>USDFUT3MV1_Quote</v>
      </c>
      <c r="F101" s="271" t="str">
        <f>Currency&amp;"FUT"&amp;$G$4&amp;$D101&amp;"ConvAdj"&amp;QuoteSuffix</f>
        <v>USDFUT3MV1ConvAdj_Quote</v>
      </c>
      <c r="G101" s="270" t="str">
        <f>_xll.qlFuturesConvAdjustmentQuote($F101,IborIndex,$D101,$E101,Volatility,MeanReversion,Permanent,Trigger,ObjectOverwrite)</f>
        <v>USDFUT3MV1ConvAdj_Quote#0003</v>
      </c>
      <c r="H101" s="79" t="str">
        <f>_xll.ohRangeRetrieveError(G101)</f>
        <v/>
      </c>
    </row>
    <row r="102" spans="1:8" x14ac:dyDescent="0.2">
      <c r="A102" s="155"/>
      <c r="B102" s="154">
        <v>96</v>
      </c>
      <c r="C102" s="152" t="b">
        <v>0</v>
      </c>
      <c r="D102" s="152" t="str">
        <v>X1</v>
      </c>
      <c r="E102" s="270" t="str">
        <f>Currency&amp;"FUT"&amp;$G$4&amp;$D102&amp;QuoteSuffix</f>
        <v>USDFUT3MX1_Quote</v>
      </c>
      <c r="F102" s="271" t="str">
        <f>Currency&amp;"FUT"&amp;$G$4&amp;$D102&amp;"ConvAdj"&amp;QuoteSuffix</f>
        <v>USDFUT3MX1ConvAdj_Quote</v>
      </c>
      <c r="G102" s="270" t="str">
        <f>_xll.qlFuturesConvAdjustmentQuote($F102,IborIndex,$D102,$E102,Volatility,MeanReversion,Permanent,Trigger,ObjectOverwrite)</f>
        <v>USDFUT3MX1ConvAdj_Quote#0003</v>
      </c>
      <c r="H102" s="79" t="str">
        <f>_xll.ohRangeRetrieveError(G102)</f>
        <v/>
      </c>
    </row>
    <row r="103" spans="1:8" x14ac:dyDescent="0.2">
      <c r="A103" s="155"/>
      <c r="B103" s="154">
        <v>97</v>
      </c>
      <c r="C103" s="152" t="b">
        <v>0</v>
      </c>
      <c r="D103" s="152" t="str">
        <v>Z1</v>
      </c>
      <c r="E103" s="270" t="str">
        <f>Currency&amp;"FUT"&amp;$G$4&amp;$D103&amp;QuoteSuffix</f>
        <v>USDFUT3MZ1_Quote</v>
      </c>
      <c r="F103" s="271" t="str">
        <f>Currency&amp;"FUT"&amp;$G$4&amp;$D103&amp;"ConvAdj"&amp;QuoteSuffix</f>
        <v>USDFUT3MZ1ConvAdj_Quote</v>
      </c>
      <c r="G103" s="270" t="str">
        <f>_xll.qlFuturesConvAdjustmentQuote($F103,IborIndex,$D103,$E103,Volatility,MeanReversion,Permanent,Trigger,ObjectOverwrite)</f>
        <v>USDFUT3MZ1ConvAdj_Quote#0003</v>
      </c>
      <c r="H103" s="79" t="str">
        <f>_xll.ohRangeRetrieveError(G103)</f>
        <v/>
      </c>
    </row>
    <row r="104" spans="1:8" x14ac:dyDescent="0.2">
      <c r="A104" s="155"/>
      <c r="B104" s="154">
        <v>98</v>
      </c>
      <c r="C104" s="152" t="b">
        <v>0</v>
      </c>
      <c r="D104" s="152" t="str">
        <v>F2</v>
      </c>
      <c r="E104" s="270" t="str">
        <f>Currency&amp;"FUT"&amp;$G$4&amp;$D104&amp;QuoteSuffix</f>
        <v>USDFUT3MF2_Quote</v>
      </c>
      <c r="F104" s="271" t="str">
        <f>Currency&amp;"FUT"&amp;$G$4&amp;$D104&amp;"ConvAdj"&amp;QuoteSuffix</f>
        <v>USDFUT3MF2ConvAdj_Quote</v>
      </c>
      <c r="G104" s="270" t="str">
        <f>_xll.qlFuturesConvAdjustmentQuote($F104,IborIndex,$D104,$E104,Volatility,MeanReversion,Permanent,Trigger,ObjectOverwrite)</f>
        <v>USDFUT3MF2ConvAdj_Quote#0003</v>
      </c>
      <c r="H104" s="79" t="str">
        <f>_xll.ohRangeRetrieveError(G104)</f>
        <v/>
      </c>
    </row>
    <row r="105" spans="1:8" x14ac:dyDescent="0.2">
      <c r="A105" s="155"/>
      <c r="B105" s="154">
        <v>99</v>
      </c>
      <c r="C105" s="152" t="b">
        <v>0</v>
      </c>
      <c r="D105" s="152" t="str">
        <v>G2</v>
      </c>
      <c r="E105" s="270" t="str">
        <f>Currency&amp;"FUT"&amp;$G$4&amp;$D105&amp;QuoteSuffix</f>
        <v>USDFUT3MG2_Quote</v>
      </c>
      <c r="F105" s="271" t="str">
        <f>Currency&amp;"FUT"&amp;$G$4&amp;$D105&amp;"ConvAdj"&amp;QuoteSuffix</f>
        <v>USDFUT3MG2ConvAdj_Quote</v>
      </c>
      <c r="G105" s="270" t="str">
        <f>_xll.qlFuturesConvAdjustmentQuote($F105,IborIndex,$D105,$E105,Volatility,MeanReversion,Permanent,Trigger,ObjectOverwrite)</f>
        <v>USDFUT3MG2ConvAdj_Quote#0003</v>
      </c>
      <c r="H105" s="79" t="str">
        <f>_xll.ohRangeRetrieveError(G105)</f>
        <v/>
      </c>
    </row>
    <row r="106" spans="1:8" x14ac:dyDescent="0.2">
      <c r="A106" s="155"/>
      <c r="B106" s="154">
        <v>100</v>
      </c>
      <c r="C106" s="152" t="b">
        <v>0</v>
      </c>
      <c r="D106" s="152" t="str">
        <v>H2</v>
      </c>
      <c r="E106" s="270" t="str">
        <f>Currency&amp;"FUT"&amp;$G$4&amp;$D106&amp;QuoteSuffix</f>
        <v>USDFUT3MH2_Quote</v>
      </c>
      <c r="F106" s="271" t="str">
        <f>Currency&amp;"FUT"&amp;$G$4&amp;$D106&amp;"ConvAdj"&amp;QuoteSuffix</f>
        <v>USDFUT3MH2ConvAdj_Quote</v>
      </c>
      <c r="G106" s="270" t="str">
        <f>_xll.qlFuturesConvAdjustmentQuote($F106,IborIndex,$D106,$E106,Volatility,MeanReversion,Permanent,Trigger,ObjectOverwrite)</f>
        <v>USDFUT3MH2ConvAdj_Quote#0003</v>
      </c>
      <c r="H106" s="79" t="str">
        <f>_xll.ohRangeRetrieveError(G106)</f>
        <v/>
      </c>
    </row>
    <row r="107" spans="1:8" x14ac:dyDescent="0.2">
      <c r="A107" s="155"/>
      <c r="B107" s="154">
        <v>101</v>
      </c>
      <c r="C107" s="152" t="b">
        <v>0</v>
      </c>
      <c r="D107" s="152" t="str">
        <v>J2</v>
      </c>
      <c r="E107" s="270" t="str">
        <f>Currency&amp;"FUT"&amp;$G$4&amp;$D107&amp;QuoteSuffix</f>
        <v>USDFUT3MJ2_Quote</v>
      </c>
      <c r="F107" s="271" t="str">
        <f>Currency&amp;"FUT"&amp;$G$4&amp;$D107&amp;"ConvAdj"&amp;QuoteSuffix</f>
        <v>USDFUT3MJ2ConvAdj_Quote</v>
      </c>
      <c r="G107" s="270" t="str">
        <f>_xll.qlFuturesConvAdjustmentQuote($F107,IborIndex,$D107,$E107,Volatility,MeanReversion,Permanent,Trigger,ObjectOverwrite)</f>
        <v>USDFUT3MJ2ConvAdj_Quote#0003</v>
      </c>
      <c r="H107" s="79" t="str">
        <f>_xll.ohRangeRetrieveError(G107)</f>
        <v/>
      </c>
    </row>
    <row r="108" spans="1:8" x14ac:dyDescent="0.2">
      <c r="A108" s="155"/>
      <c r="B108" s="154">
        <v>102</v>
      </c>
      <c r="C108" s="152" t="b">
        <v>0</v>
      </c>
      <c r="D108" s="152" t="str">
        <v>K2</v>
      </c>
      <c r="E108" s="270" t="str">
        <f>Currency&amp;"FUT"&amp;$G$4&amp;$D108&amp;QuoteSuffix</f>
        <v>USDFUT3MK2_Quote</v>
      </c>
      <c r="F108" s="271" t="str">
        <f>Currency&amp;"FUT"&amp;$G$4&amp;$D108&amp;"ConvAdj"&amp;QuoteSuffix</f>
        <v>USDFUT3MK2ConvAdj_Quote</v>
      </c>
      <c r="G108" s="270" t="str">
        <f>_xll.qlFuturesConvAdjustmentQuote($F108,IborIndex,$D108,$E108,Volatility,MeanReversion,Permanent,Trigger,ObjectOverwrite)</f>
        <v>USDFUT3MK2ConvAdj_Quote#0003</v>
      </c>
      <c r="H108" s="79" t="str">
        <f>_xll.ohRangeRetrieveError(G108)</f>
        <v/>
      </c>
    </row>
    <row r="109" spans="1:8" x14ac:dyDescent="0.2">
      <c r="A109" s="155"/>
      <c r="B109" s="154">
        <v>103</v>
      </c>
      <c r="C109" s="152" t="b">
        <v>0</v>
      </c>
      <c r="D109" s="152" t="str">
        <v>M2</v>
      </c>
      <c r="E109" s="270" t="str">
        <f>Currency&amp;"FUT"&amp;$G$4&amp;$D109&amp;QuoteSuffix</f>
        <v>USDFUT3MM2_Quote</v>
      </c>
      <c r="F109" s="271" t="str">
        <f>Currency&amp;"FUT"&amp;$G$4&amp;$D109&amp;"ConvAdj"&amp;QuoteSuffix</f>
        <v>USDFUT3MM2ConvAdj_Quote</v>
      </c>
      <c r="G109" s="270" t="str">
        <f>_xll.qlFuturesConvAdjustmentQuote($F109,IborIndex,$D109,$E109,Volatility,MeanReversion,Permanent,Trigger,ObjectOverwrite)</f>
        <v>USDFUT3MM2ConvAdj_Quote#0003</v>
      </c>
      <c r="H109" s="79" t="str">
        <f>_xll.ohRangeRetrieveError(G109)</f>
        <v/>
      </c>
    </row>
    <row r="110" spans="1:8" x14ac:dyDescent="0.2">
      <c r="A110" s="155"/>
      <c r="B110" s="154">
        <v>104</v>
      </c>
      <c r="C110" s="152" t="b">
        <v>0</v>
      </c>
      <c r="D110" s="152" t="str">
        <v>N2</v>
      </c>
      <c r="E110" s="270" t="str">
        <f>Currency&amp;"FUT"&amp;$G$4&amp;$D110&amp;QuoteSuffix</f>
        <v>USDFUT3MN2_Quote</v>
      </c>
      <c r="F110" s="271" t="str">
        <f>Currency&amp;"FUT"&amp;$G$4&amp;$D110&amp;"ConvAdj"&amp;QuoteSuffix</f>
        <v>USDFUT3MN2ConvAdj_Quote</v>
      </c>
      <c r="G110" s="270" t="str">
        <f>_xll.qlFuturesConvAdjustmentQuote($F110,IborIndex,$D110,$E110,Volatility,MeanReversion,Permanent,Trigger,ObjectOverwrite)</f>
        <v>USDFUT3MN2ConvAdj_Quote#0003</v>
      </c>
      <c r="H110" s="79" t="str">
        <f>_xll.ohRangeRetrieveError(G110)</f>
        <v/>
      </c>
    </row>
    <row r="111" spans="1:8" x14ac:dyDescent="0.2">
      <c r="A111" s="155"/>
      <c r="B111" s="154">
        <v>105</v>
      </c>
      <c r="C111" s="152" t="b">
        <v>0</v>
      </c>
      <c r="D111" s="152" t="str">
        <v>Q2</v>
      </c>
      <c r="E111" s="270" t="str">
        <f>Currency&amp;"FUT"&amp;$G$4&amp;$D111&amp;QuoteSuffix</f>
        <v>USDFUT3MQ2_Quote</v>
      </c>
      <c r="F111" s="271" t="str">
        <f>Currency&amp;"FUT"&amp;$G$4&amp;$D111&amp;"ConvAdj"&amp;QuoteSuffix</f>
        <v>USDFUT3MQ2ConvAdj_Quote</v>
      </c>
      <c r="G111" s="270" t="str">
        <f>_xll.qlFuturesConvAdjustmentQuote($F111,IborIndex,$D111,$E111,Volatility,MeanReversion,Permanent,Trigger,ObjectOverwrite)</f>
        <v>USDFUT3MQ2ConvAdj_Quote#0003</v>
      </c>
      <c r="H111" s="79" t="str">
        <f>_xll.ohRangeRetrieveError(G111)</f>
        <v/>
      </c>
    </row>
    <row r="112" spans="1:8" x14ac:dyDescent="0.2">
      <c r="A112" s="155"/>
      <c r="B112" s="154">
        <v>106</v>
      </c>
      <c r="C112" s="152" t="b">
        <v>0</v>
      </c>
      <c r="D112" s="152" t="str">
        <v>U2</v>
      </c>
      <c r="E112" s="270" t="str">
        <f>Currency&amp;"FUT"&amp;$G$4&amp;$D112&amp;QuoteSuffix</f>
        <v>USDFUT3MU2_Quote</v>
      </c>
      <c r="F112" s="271" t="str">
        <f>Currency&amp;"FUT"&amp;$G$4&amp;$D112&amp;"ConvAdj"&amp;QuoteSuffix</f>
        <v>USDFUT3MU2ConvAdj_Quote</v>
      </c>
      <c r="G112" s="270" t="str">
        <f>_xll.qlFuturesConvAdjustmentQuote($F112,IborIndex,$D112,$E112,Volatility,MeanReversion,Permanent,Trigger,ObjectOverwrite)</f>
        <v>USDFUT3MU2ConvAdj_Quote#0003</v>
      </c>
      <c r="H112" s="79" t="str">
        <f>_xll.ohRangeRetrieveError(G112)</f>
        <v/>
      </c>
    </row>
    <row r="113" spans="1:8" x14ac:dyDescent="0.2">
      <c r="A113" s="155"/>
      <c r="B113" s="154">
        <v>107</v>
      </c>
      <c r="C113" s="152" t="b">
        <v>0</v>
      </c>
      <c r="D113" s="152" t="str">
        <v>V2</v>
      </c>
      <c r="E113" s="270" t="str">
        <f>Currency&amp;"FUT"&amp;$G$4&amp;$D113&amp;QuoteSuffix</f>
        <v>USDFUT3MV2_Quote</v>
      </c>
      <c r="F113" s="271" t="str">
        <f>Currency&amp;"FUT"&amp;$G$4&amp;$D113&amp;"ConvAdj"&amp;QuoteSuffix</f>
        <v>USDFUT3MV2ConvAdj_Quote</v>
      </c>
      <c r="G113" s="270" t="str">
        <f>_xll.qlFuturesConvAdjustmentQuote($F113,IborIndex,$D113,$E113,Volatility,MeanReversion,Permanent,Trigger,ObjectOverwrite)</f>
        <v>USDFUT3MV2ConvAdj_Quote#0003</v>
      </c>
      <c r="H113" s="79" t="str">
        <f>_xll.ohRangeRetrieveError(G113)</f>
        <v/>
      </c>
    </row>
    <row r="114" spans="1:8" x14ac:dyDescent="0.2">
      <c r="A114" s="155"/>
      <c r="B114" s="154">
        <v>108</v>
      </c>
      <c r="C114" s="152" t="b">
        <v>0</v>
      </c>
      <c r="D114" s="152" t="str">
        <v>X2</v>
      </c>
      <c r="E114" s="270" t="str">
        <f>Currency&amp;"FUT"&amp;$G$4&amp;$D114&amp;QuoteSuffix</f>
        <v>USDFUT3MX2_Quote</v>
      </c>
      <c r="F114" s="271" t="str">
        <f>Currency&amp;"FUT"&amp;$G$4&amp;$D114&amp;"ConvAdj"&amp;QuoteSuffix</f>
        <v>USDFUT3MX2ConvAdj_Quote</v>
      </c>
      <c r="G114" s="270" t="str">
        <f>_xll.qlFuturesConvAdjustmentQuote($F114,IborIndex,$D114,$E114,Volatility,MeanReversion,Permanent,Trigger,ObjectOverwrite)</f>
        <v>USDFUT3MX2ConvAdj_Quote#0003</v>
      </c>
      <c r="H114" s="79" t="str">
        <f>_xll.ohRangeRetrieveError(G114)</f>
        <v/>
      </c>
    </row>
    <row r="115" spans="1:8" x14ac:dyDescent="0.2">
      <c r="A115" s="155"/>
      <c r="B115" s="154">
        <v>109</v>
      </c>
      <c r="C115" s="152" t="b">
        <v>0</v>
      </c>
      <c r="D115" s="152" t="str">
        <v>Z2</v>
      </c>
      <c r="E115" s="270" t="str">
        <f>Currency&amp;"FUT"&amp;$G$4&amp;$D115&amp;QuoteSuffix</f>
        <v>USDFUT3MZ2_Quote</v>
      </c>
      <c r="F115" s="271" t="str">
        <f>Currency&amp;"FUT"&amp;$G$4&amp;$D115&amp;"ConvAdj"&amp;QuoteSuffix</f>
        <v>USDFUT3MZ2ConvAdj_Quote</v>
      </c>
      <c r="G115" s="270" t="str">
        <f>_xll.qlFuturesConvAdjustmentQuote($F115,IborIndex,$D115,$E115,Volatility,MeanReversion,Permanent,Trigger,ObjectOverwrite)</f>
        <v>USDFUT3MZ2ConvAdj_Quote#0003</v>
      </c>
      <c r="H115" s="79" t="str">
        <f>_xll.ohRangeRetrieveError(G115)</f>
        <v/>
      </c>
    </row>
    <row r="116" spans="1:8" x14ac:dyDescent="0.2">
      <c r="A116" s="155"/>
      <c r="B116" s="154">
        <v>110</v>
      </c>
      <c r="C116" s="152" t="b">
        <v>0</v>
      </c>
      <c r="D116" s="152" t="str">
        <v>F3</v>
      </c>
      <c r="E116" s="270" t="str">
        <f>Currency&amp;"FUT"&amp;$G$4&amp;$D116&amp;QuoteSuffix</f>
        <v>USDFUT3MF3_Quote</v>
      </c>
      <c r="F116" s="271" t="str">
        <f>Currency&amp;"FUT"&amp;$G$4&amp;$D116&amp;"ConvAdj"&amp;QuoteSuffix</f>
        <v>USDFUT3MF3ConvAdj_Quote</v>
      </c>
      <c r="G116" s="270" t="str">
        <f>_xll.qlFuturesConvAdjustmentQuote($F116,IborIndex,$D116,$E116,Volatility,MeanReversion,Permanent,Trigger,ObjectOverwrite)</f>
        <v>USDFUT3MF3ConvAdj_Quote#0003</v>
      </c>
      <c r="H116" s="79" t="str">
        <f>_xll.ohRangeRetrieveError(G116)</f>
        <v/>
      </c>
    </row>
    <row r="117" spans="1:8" x14ac:dyDescent="0.2">
      <c r="A117" s="155"/>
      <c r="B117" s="154">
        <v>111</v>
      </c>
      <c r="C117" s="152" t="b">
        <v>0</v>
      </c>
      <c r="D117" s="152" t="str">
        <v>G3</v>
      </c>
      <c r="E117" s="270" t="str">
        <f>Currency&amp;"FUT"&amp;$G$4&amp;$D117&amp;QuoteSuffix</f>
        <v>USDFUT3MG3_Quote</v>
      </c>
      <c r="F117" s="271" t="str">
        <f>Currency&amp;"FUT"&amp;$G$4&amp;$D117&amp;"ConvAdj"&amp;QuoteSuffix</f>
        <v>USDFUT3MG3ConvAdj_Quote</v>
      </c>
      <c r="G117" s="270" t="str">
        <f>_xll.qlFuturesConvAdjustmentQuote($F117,IborIndex,$D117,$E117,Volatility,MeanReversion,Permanent,Trigger,ObjectOverwrite)</f>
        <v>USDFUT3MG3ConvAdj_Quote#0003</v>
      </c>
      <c r="H117" s="79" t="str">
        <f>_xll.ohRangeRetrieveError(G117)</f>
        <v/>
      </c>
    </row>
    <row r="118" spans="1:8" x14ac:dyDescent="0.2">
      <c r="A118" s="155"/>
      <c r="B118" s="154">
        <v>112</v>
      </c>
      <c r="C118" s="152" t="b">
        <v>0</v>
      </c>
      <c r="D118" s="152" t="str">
        <v>H3</v>
      </c>
      <c r="E118" s="270" t="str">
        <f>Currency&amp;"FUT"&amp;$G$4&amp;$D118&amp;QuoteSuffix</f>
        <v>USDFUT3MH3_Quote</v>
      </c>
      <c r="F118" s="271" t="str">
        <f>Currency&amp;"FUT"&amp;$G$4&amp;$D118&amp;"ConvAdj"&amp;QuoteSuffix</f>
        <v>USDFUT3MH3ConvAdj_Quote</v>
      </c>
      <c r="G118" s="270" t="str">
        <f>_xll.qlFuturesConvAdjustmentQuote($F118,IborIndex,$D118,$E118,Volatility,MeanReversion,Permanent,Trigger,ObjectOverwrite)</f>
        <v>USDFUT3MH3ConvAdj_Quote#0003</v>
      </c>
      <c r="H118" s="79" t="str">
        <f>_xll.ohRangeRetrieveError(G118)</f>
        <v/>
      </c>
    </row>
    <row r="119" spans="1:8" x14ac:dyDescent="0.2">
      <c r="A119" s="155"/>
      <c r="B119" s="154">
        <v>113</v>
      </c>
      <c r="C119" s="152" t="b">
        <v>0</v>
      </c>
      <c r="D119" s="152" t="str">
        <v>J3</v>
      </c>
      <c r="E119" s="270" t="str">
        <f>Currency&amp;"FUT"&amp;$G$4&amp;$D119&amp;QuoteSuffix</f>
        <v>USDFUT3MJ3_Quote</v>
      </c>
      <c r="F119" s="271" t="str">
        <f>Currency&amp;"FUT"&amp;$G$4&amp;$D119&amp;"ConvAdj"&amp;QuoteSuffix</f>
        <v>USDFUT3MJ3ConvAdj_Quote</v>
      </c>
      <c r="G119" s="270" t="str">
        <f>_xll.qlFuturesConvAdjustmentQuote($F119,IborIndex,$D119,$E119,Volatility,MeanReversion,Permanent,Trigger,ObjectOverwrite)</f>
        <v>USDFUT3MJ3ConvAdj_Quote#0003</v>
      </c>
      <c r="H119" s="79" t="str">
        <f>_xll.ohRangeRetrieveError(G119)</f>
        <v/>
      </c>
    </row>
    <row r="120" spans="1:8" x14ac:dyDescent="0.2">
      <c r="A120" s="155"/>
      <c r="B120" s="154">
        <v>114</v>
      </c>
      <c r="C120" s="152" t="b">
        <v>0</v>
      </c>
      <c r="D120" s="152" t="str">
        <v>K3</v>
      </c>
      <c r="E120" s="270" t="str">
        <f>Currency&amp;"FUT"&amp;$G$4&amp;$D120&amp;QuoteSuffix</f>
        <v>USDFUT3MK3_Quote</v>
      </c>
      <c r="F120" s="271" t="str">
        <f>Currency&amp;"FUT"&amp;$G$4&amp;$D120&amp;"ConvAdj"&amp;QuoteSuffix</f>
        <v>USDFUT3MK3ConvAdj_Quote</v>
      </c>
      <c r="G120" s="270" t="str">
        <f>_xll.qlFuturesConvAdjustmentQuote($F120,IborIndex,$D120,$E120,Volatility,MeanReversion,Permanent,Trigger,ObjectOverwrite)</f>
        <v>USDFUT3MK3ConvAdj_Quote#0003</v>
      </c>
      <c r="H120" s="79" t="str">
        <f>_xll.ohRangeRetrieveError(G120)</f>
        <v/>
      </c>
    </row>
    <row r="121" spans="1:8" x14ac:dyDescent="0.2">
      <c r="A121" s="155"/>
      <c r="B121" s="154">
        <v>115</v>
      </c>
      <c r="C121" s="152" t="b">
        <v>0</v>
      </c>
      <c r="D121" s="152" t="str">
        <v>M3</v>
      </c>
      <c r="E121" s="270" t="str">
        <f>Currency&amp;"FUT"&amp;$G$4&amp;$D121&amp;QuoteSuffix</f>
        <v>USDFUT3MM3_Quote</v>
      </c>
      <c r="F121" s="271" t="str">
        <f>Currency&amp;"FUT"&amp;$G$4&amp;$D121&amp;"ConvAdj"&amp;QuoteSuffix</f>
        <v>USDFUT3MM3ConvAdj_Quote</v>
      </c>
      <c r="G121" s="270" t="str">
        <f>_xll.qlFuturesConvAdjustmentQuote($F121,IborIndex,$D121,$E121,Volatility,MeanReversion,Permanent,Trigger,ObjectOverwrite)</f>
        <v>USDFUT3MM3ConvAdj_Quote#0003</v>
      </c>
      <c r="H121" s="79" t="str">
        <f>_xll.ohRangeRetrieveError(G121)</f>
        <v/>
      </c>
    </row>
    <row r="122" spans="1:8" x14ac:dyDescent="0.2">
      <c r="A122" s="155"/>
      <c r="B122" s="154">
        <v>116</v>
      </c>
      <c r="C122" s="152" t="b">
        <v>0</v>
      </c>
      <c r="D122" s="152" t="str">
        <v>N3</v>
      </c>
      <c r="E122" s="270" t="str">
        <f>Currency&amp;"FUT"&amp;$G$4&amp;$D122&amp;QuoteSuffix</f>
        <v>USDFUT3MN3_Quote</v>
      </c>
      <c r="F122" s="271" t="str">
        <f>Currency&amp;"FUT"&amp;$G$4&amp;$D122&amp;"ConvAdj"&amp;QuoteSuffix</f>
        <v>USDFUT3MN3ConvAdj_Quote</v>
      </c>
      <c r="G122" s="270" t="str">
        <f>_xll.qlFuturesConvAdjustmentQuote($F122,IborIndex,$D122,$E122,Volatility,MeanReversion,Permanent,Trigger,ObjectOverwrite)</f>
        <v>USDFUT3MN3ConvAdj_Quote#0003</v>
      </c>
      <c r="H122" s="79" t="str">
        <f>_xll.ohRangeRetrieveError(G122)</f>
        <v/>
      </c>
    </row>
    <row r="123" spans="1:8" x14ac:dyDescent="0.2">
      <c r="A123" s="155"/>
      <c r="B123" s="154">
        <v>117</v>
      </c>
      <c r="C123" s="152" t="b">
        <v>0</v>
      </c>
      <c r="D123" s="152" t="str">
        <v>Q3</v>
      </c>
      <c r="E123" s="270" t="str">
        <f>Currency&amp;"FUT"&amp;$G$4&amp;$D123&amp;QuoteSuffix</f>
        <v>USDFUT3MQ3_Quote</v>
      </c>
      <c r="F123" s="271" t="str">
        <f>Currency&amp;"FUT"&amp;$G$4&amp;$D123&amp;"ConvAdj"&amp;QuoteSuffix</f>
        <v>USDFUT3MQ3ConvAdj_Quote</v>
      </c>
      <c r="G123" s="270" t="str">
        <f>_xll.qlFuturesConvAdjustmentQuote($F123,IborIndex,$D123,$E123,Volatility,MeanReversion,Permanent,Trigger,ObjectOverwrite)</f>
        <v>USDFUT3MQ3ConvAdj_Quote#0003</v>
      </c>
      <c r="H123" s="79" t="str">
        <f>_xll.ohRangeRetrieveError(G123)</f>
        <v/>
      </c>
    </row>
    <row r="124" spans="1:8" x14ac:dyDescent="0.2">
      <c r="A124" s="155"/>
      <c r="B124" s="154">
        <v>118</v>
      </c>
      <c r="C124" s="152" t="b">
        <v>0</v>
      </c>
      <c r="D124" s="152" t="str">
        <v>U3</v>
      </c>
      <c r="E124" s="270" t="str">
        <f>Currency&amp;"FUT"&amp;$G$4&amp;$D124&amp;QuoteSuffix</f>
        <v>USDFUT3MU3_Quote</v>
      </c>
      <c r="F124" s="271" t="str">
        <f>Currency&amp;"FUT"&amp;$G$4&amp;$D124&amp;"ConvAdj"&amp;QuoteSuffix</f>
        <v>USDFUT3MU3ConvAdj_Quote</v>
      </c>
      <c r="G124" s="270" t="str">
        <f>_xll.qlFuturesConvAdjustmentQuote($F124,IborIndex,$D124,$E124,Volatility,MeanReversion,Permanent,Trigger,ObjectOverwrite)</f>
        <v>USDFUT3MU3ConvAdj_Quote#0003</v>
      </c>
      <c r="H124" s="79" t="str">
        <f>_xll.ohRangeRetrieveError(G124)</f>
        <v/>
      </c>
    </row>
    <row r="125" spans="1:8" x14ac:dyDescent="0.2">
      <c r="A125" s="155"/>
      <c r="B125" s="154">
        <v>119</v>
      </c>
      <c r="C125" s="152" t="b">
        <v>0</v>
      </c>
      <c r="D125" s="152" t="str">
        <v>V3</v>
      </c>
      <c r="E125" s="270" t="str">
        <f>Currency&amp;"FUT"&amp;$G$4&amp;$D125&amp;QuoteSuffix</f>
        <v>USDFUT3MV3_Quote</v>
      </c>
      <c r="F125" s="271" t="str">
        <f>Currency&amp;"FUT"&amp;$G$4&amp;$D125&amp;"ConvAdj"&amp;QuoteSuffix</f>
        <v>USDFUT3MV3ConvAdj_Quote</v>
      </c>
      <c r="G125" s="270" t="str">
        <f>_xll.qlFuturesConvAdjustmentQuote($F125,IborIndex,$D125,$E125,Volatility,MeanReversion,Permanent,Trigger,ObjectOverwrite)</f>
        <v>USDFUT3MV3ConvAdj_Quote#0003</v>
      </c>
      <c r="H125" s="79" t="str">
        <f>_xll.ohRangeRetrieveError(G125)</f>
        <v/>
      </c>
    </row>
    <row r="126" spans="1:8" ht="12" thickBot="1" x14ac:dyDescent="0.25">
      <c r="A126" s="148"/>
      <c r="B126" s="154">
        <v>120</v>
      </c>
      <c r="C126" s="152" t="b">
        <v>0</v>
      </c>
      <c r="D126" s="152" t="str">
        <v>X3</v>
      </c>
      <c r="E126" s="270" t="str">
        <f>Currency&amp;"FUT"&amp;$G$4&amp;$D126&amp;QuoteSuffix</f>
        <v>USDFUT3MX3_Quote</v>
      </c>
      <c r="F126" s="271" t="str">
        <f>Currency&amp;"FUT"&amp;$G$4&amp;$D126&amp;"ConvAdj"&amp;QuoteSuffix</f>
        <v>USDFUT3MX3ConvAdj_Quote</v>
      </c>
      <c r="G126" s="270" t="str">
        <f>_xll.qlFuturesConvAdjustmentQuote($F126,IborIndex,$D126,$E126,Volatility,MeanReversion,Permanent,Trigger,ObjectOverwrite)</f>
        <v>USDFUT3MX3ConvAdj_Quote#0003</v>
      </c>
      <c r="H126" s="79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"/>
  <sheetViews>
    <sheetView tabSelected="1" workbookViewId="0"/>
  </sheetViews>
  <sheetFormatPr defaultColWidth="8" defaultRowHeight="11.25" x14ac:dyDescent="0.2"/>
  <cols>
    <col min="1" max="1" width="6.140625" style="173" customWidth="1"/>
    <col min="2" max="2" width="4.28515625" style="173" customWidth="1"/>
    <col min="3" max="3" width="15.5703125" style="173" bestFit="1" customWidth="1"/>
    <col min="4" max="4" width="79.42578125" style="173" bestFit="1" customWidth="1"/>
    <col min="5" max="5" width="4.7109375" style="173" customWidth="1"/>
    <col min="6" max="6" width="35.28515625" style="173" customWidth="1"/>
    <col min="7" max="7" width="4.28515625" style="173" customWidth="1"/>
    <col min="8" max="16384" width="8" style="173"/>
  </cols>
  <sheetData>
    <row r="1" spans="1:5" ht="13.5" thickBot="1" x14ac:dyDescent="0.25">
      <c r="A1" s="173" t="s">
        <v>233</v>
      </c>
      <c r="B1" s="174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55" t="s">
        <v>27</v>
      </c>
      <c r="C2" s="254"/>
      <c r="D2" s="254"/>
      <c r="E2" s="253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109" t="s">
        <v>144</v>
      </c>
      <c r="C12" s="108"/>
      <c r="D12" s="108"/>
      <c r="E12" s="107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49</v>
      </c>
      <c r="D15" s="15" t="s">
        <v>48</v>
      </c>
      <c r="E15" s="14"/>
    </row>
    <row r="16" spans="1:5" x14ac:dyDescent="0.2">
      <c r="B16" s="9"/>
      <c r="C16" s="16" t="s">
        <v>143</v>
      </c>
      <c r="D16" s="24" t="s">
        <v>142</v>
      </c>
      <c r="E16" s="14"/>
    </row>
    <row r="17" spans="2:5" x14ac:dyDescent="0.2">
      <c r="B17" s="9"/>
      <c r="C17" s="16" t="s">
        <v>141</v>
      </c>
      <c r="D17" s="106">
        <v>1E-4</v>
      </c>
      <c r="E17" s="14"/>
    </row>
    <row r="18" spans="2:5" x14ac:dyDescent="0.2">
      <c r="B18" s="9"/>
      <c r="C18" s="16" t="s">
        <v>140</v>
      </c>
      <c r="D18" s="105">
        <v>-0.01</v>
      </c>
      <c r="E18" s="14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352</vt:i4>
      </vt:variant>
    </vt:vector>
  </HeadingPairs>
  <TitlesOfParts>
    <vt:vector size="390" baseType="lpstr">
      <vt:lpstr>USD</vt:lpstr>
      <vt:lpstr>RelinkableHandles</vt:lpstr>
      <vt:lpstr>Libor</vt:lpstr>
      <vt:lpstr>LiborSwapIsdaFixAm</vt:lpstr>
      <vt:lpstr>LiborSwapIsdaFixPm</vt:lpstr>
      <vt:lpstr>LiborSwapForBasisCalc</vt:lpstr>
      <vt:lpstr>UsdLibor</vt:lpstr>
      <vt:lpstr>BasisSwap1MxM</vt:lpstr>
      <vt:lpstr>BasisSwap3M6M</vt:lpstr>
      <vt:lpstr>BasisSwapxM12M</vt:lpstr>
      <vt:lpstr>USD_010_BasisSwapQuotes</vt:lpstr>
      <vt:lpstr>Deposits</vt:lpstr>
      <vt:lpstr>FRA</vt:lpstr>
      <vt:lpstr>Futures1M</vt:lpstr>
      <vt:lpstr>Futures3M</vt:lpstr>
      <vt:lpstr>ImmFra6M </vt:lpstr>
      <vt:lpstr>FuturesHWConvAdj</vt:lpstr>
      <vt:lpstr>USD_010_DepoFRAFuturesQuotes</vt:lpstr>
      <vt:lpstr>OIS</vt:lpstr>
      <vt:lpstr>Swaps1M</vt:lpstr>
      <vt:lpstr>SwapsIMMDated</vt:lpstr>
      <vt:lpstr>Swap3M</vt:lpstr>
      <vt:lpstr>Swap6M</vt:lpstr>
      <vt:lpstr>USD_010_SwapQuotes</vt:lpstr>
      <vt:lpstr>ON</vt:lpstr>
      <vt:lpstr>1M</vt:lpstr>
      <vt:lpstr>3M</vt:lpstr>
      <vt:lpstr>6M</vt:lpstr>
      <vt:lpstr>1Y</vt:lpstr>
      <vt:lpstr>USD_015_SyntheticQuotes</vt:lpstr>
      <vt:lpstr>1M (2)</vt:lpstr>
      <vt:lpstr>3M (2)</vt:lpstr>
      <vt:lpstr>6M (2)</vt:lpstr>
      <vt:lpstr>1Y (2)</vt:lpstr>
      <vt:lpstr>USD_020_ForwardSwapQuotes</vt:lpstr>
      <vt:lpstr>1M (3)</vt:lpstr>
      <vt:lpstr>3M (3)</vt:lpstr>
      <vt:lpstr>USD_020_FuturesConvAdjQuotes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BasisSwap1MxM!Currency</vt:lpstr>
      <vt:lpstr>BasisSwap3M6M!Currency</vt:lpstr>
      <vt:lpstr>BasisSwapxM12M!Currency</vt:lpstr>
      <vt:lpstr>Deposits!Currency</vt:lpstr>
      <vt:lpstr>FRA!Currency</vt:lpstr>
      <vt:lpstr>Futures1M!Currency</vt:lpstr>
      <vt:lpstr>Futures3M!Currency</vt:lpstr>
      <vt:lpstr>FuturesHWConvAdj!Currency</vt:lpstr>
      <vt:lpstr>'ImmFra6M '!Currency</vt:lpstr>
      <vt:lpstr>OIS!Currency</vt:lpstr>
      <vt:lpstr>ON!Currency</vt:lpstr>
      <vt:lpstr>Swap3M!Currency</vt:lpstr>
      <vt:lpstr>Swap6M!Currency</vt:lpstr>
      <vt:lpstr>Swaps1M!Currency</vt:lpstr>
      <vt:lpstr>SwapsIMMDated!Currency</vt:lpstr>
      <vt:lpstr>USD!Currency</vt:lpstr>
      <vt:lpstr>USD_010_BasisSwapQuotes!Currency</vt:lpstr>
      <vt:lpstr>USD_010_DepoFRAFuturesQuotes!Currency</vt:lpstr>
      <vt:lpstr>USD_010_SwapQuotes!Currency</vt:lpstr>
      <vt:lpstr>USD_015_SyntheticQuotes!Currency</vt:lpstr>
      <vt:lpstr>USD_020_ForwardSwapQuotes!Currency</vt:lpstr>
      <vt:lpstr>USD_020_FuturesConvAdjQuotes!Currency</vt:lpstr>
      <vt:lpstr>Currency</vt:lpstr>
      <vt:lpstr>Discounting</vt:lpstr>
      <vt:lpstr>Discounting2</vt:lpstr>
      <vt:lpstr>'1M (3)'!FamilyName</vt:lpstr>
      <vt:lpstr>'3M (3)'!FamilyName</vt:lpstr>
      <vt:lpstr>Libor!FamilyName</vt:lpstr>
      <vt:lpstr>LiborSwapForBasisCalc!FamilyName</vt:lpstr>
      <vt:lpstr>LiborSwapIsdaFixAm!FamilyName</vt:lpstr>
      <vt:lpstr>LiborSwapIsdaFixPm!FamilyName</vt:lpstr>
      <vt:lpstr>USD_020_FuturesConvAdjQuotes!FamilyName</vt:lpstr>
      <vt:lpstr>FamilyName</vt:lpstr>
      <vt:lpstr>Libor!FileName</vt:lpstr>
      <vt:lpstr>LiborSwapForBasisCalc!FileName</vt:lpstr>
      <vt:lpstr>LiborSwapIsdaFixAm!FileName</vt:lpstr>
      <vt:lpstr>LiborSwapIsdaFixPm!FileName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BasisSwap1MxM!FileOverwrite</vt:lpstr>
      <vt:lpstr>BasisSwap3M6M!FileOverwrite</vt:lpstr>
      <vt:lpstr>BasisSwapxM12M!FileOverwrite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'ImmFra6M '!FileOverwrite</vt:lpstr>
      <vt:lpstr>Libor!FileOverwrite</vt:lpstr>
      <vt:lpstr>LiborSwapForBasisCalc!FileOverwrite</vt:lpstr>
      <vt:lpstr>LiborSwapIsdaFixAm!FileOverwrite</vt:lpstr>
      <vt:lpstr>LiborSwapIsdaFixPm!FileOverwrite</vt:lpstr>
      <vt:lpstr>OIS!FileOverwrite</vt:lpstr>
      <vt:lpstr>ON!FileOverwrite</vt:lpstr>
      <vt:lpstr>Swap3M!FileOverwrite</vt:lpstr>
      <vt:lpstr>Swap6M!FileOverwrite</vt:lpstr>
      <vt:lpstr>Swaps1M!FileOverwrite</vt:lpstr>
      <vt:lpstr>SwapsIMMDated!FileOverwrite</vt:lpstr>
      <vt:lpstr>USD_010_BasisSwapQuotes!FileOverwrite</vt:lpstr>
      <vt:lpstr>USD_010_DepoFRAFuturesQuotes!FileOverwrite</vt:lpstr>
      <vt:lpstr>USD_010_SwapQuotes!FileOverwrite</vt:lpstr>
      <vt:lpstr>USD_015_SyntheticQuotes!FileOverwrite</vt:lpstr>
      <vt:lpstr>USD_020_ForwardSwapQuotes!FileOverwrite</vt:lpstr>
      <vt:lpstr>USD_020_FuturesConvAdjQuotes!FileOverwrite</vt:lpstr>
      <vt:lpstr>UsdLibor!FileOverwrite</vt:lpstr>
      <vt:lpstr>FileOverwrite</vt:lpstr>
      <vt:lpstr>LiborSwapForBasisCalc!FixingType</vt:lpstr>
      <vt:lpstr>LiborSwapIsdaFixAm!FixingType</vt:lpstr>
      <vt:lpstr>LiborSwapIsdaFixPm!FixingType</vt:lpstr>
      <vt:lpstr>FixingType</vt:lpstr>
      <vt:lpstr>'1M (3)'!IborIndex</vt:lpstr>
      <vt:lpstr>'3M (3)'!IborIndex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BasisSwap1MxM!ObjectOverwrite</vt:lpstr>
      <vt:lpstr>BasisSwap3M6M!ObjectOverwrite</vt:lpstr>
      <vt:lpstr>BasisSwapxM12M!ObjectOverwrite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'ImmFra6M '!ObjectOverwrite</vt:lpstr>
      <vt:lpstr>Libor!ObjectOverwrite</vt:lpstr>
      <vt:lpstr>LiborSwapForBasisCalc!ObjectOverwrite</vt:lpstr>
      <vt:lpstr>LiborSwapIsdaFixAm!ObjectOverwrite</vt:lpstr>
      <vt:lpstr>LiborSwapIsdaFixPm!ObjectOverwrite</vt:lpstr>
      <vt:lpstr>OIS!ObjectOverwrite</vt:lpstr>
      <vt:lpstr>ON!ObjectOverwrite</vt:lpstr>
      <vt:lpstr>Swap3M!ObjectOverwrite</vt:lpstr>
      <vt:lpstr>Swap6M!ObjectOverwrite</vt:lpstr>
      <vt:lpstr>Swaps1M!ObjectOverwrite</vt:lpstr>
      <vt:lpstr>SwapsIMMDated!ObjectOverwrite</vt:lpstr>
      <vt:lpstr>USD_010_BasisSwapQuotes!ObjectOverwrite</vt:lpstr>
      <vt:lpstr>USD_010_DepoFRAFuturesQuotes!ObjectOverwrite</vt:lpstr>
      <vt:lpstr>USD_010_SwapQuotes!ObjectOverwrite</vt:lpstr>
      <vt:lpstr>USD_015_SyntheticQuotes!ObjectOverwrite</vt:lpstr>
      <vt:lpstr>USD_020_ForwardSwapQuotes!ObjectOverwrite</vt:lpstr>
      <vt:lpstr>USD_020_FuturesConvAdjQuotes!ObjectOverwrite</vt:lpstr>
      <vt:lpstr>UsdLibor!ObjectOverwrite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BasisSwap1MxM!Permanent</vt:lpstr>
      <vt:lpstr>BasisSwap3M6M!Permanent</vt:lpstr>
      <vt:lpstr>BasisSwapxM12M!Permanent</vt:lpstr>
      <vt:lpstr>Deposits!Permanent</vt:lpstr>
      <vt:lpstr>FRA!Permanent</vt:lpstr>
      <vt:lpstr>Futures1M!Permanent</vt:lpstr>
      <vt:lpstr>Futures3M!Permanent</vt:lpstr>
      <vt:lpstr>FuturesHWConvAdj!Permanent</vt:lpstr>
      <vt:lpstr>'ImmFra6M '!Permanent</vt:lpstr>
      <vt:lpstr>Libor!Permanent</vt:lpstr>
      <vt:lpstr>LiborSwapForBasisCalc!Permanent</vt:lpstr>
      <vt:lpstr>LiborSwapIsdaFixAm!Permanent</vt:lpstr>
      <vt:lpstr>LiborSwapIsdaFixPm!Permanent</vt:lpstr>
      <vt:lpstr>OIS!Permanent</vt:lpstr>
      <vt:lpstr>ON!Permanent</vt:lpstr>
      <vt:lpstr>Swap3M!Permanent</vt:lpstr>
      <vt:lpstr>Swap6M!Permanent</vt:lpstr>
      <vt:lpstr>Swaps1M!Permanent</vt:lpstr>
      <vt:lpstr>SwapsIMMDated!Permanent</vt:lpstr>
      <vt:lpstr>USD_010_BasisSwapQuotes!Permanent</vt:lpstr>
      <vt:lpstr>USD_010_DepoFRAFuturesQuotes!Permanent</vt:lpstr>
      <vt:lpstr>USD_010_SwapQuotes!Permanent</vt:lpstr>
      <vt:lpstr>USD_015_SyntheticQuotes!Permanent</vt:lpstr>
      <vt:lpstr>USD_020_ForwardSwapQuotes!Permanent</vt:lpstr>
      <vt:lpstr>USD_020_FuturesConvAdjQuotes!Permanent</vt:lpstr>
      <vt:lpstr>UsdLibor!Permanent</vt:lpstr>
      <vt:lpstr>Permanent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'ImmFra6M '!PriceTickValue</vt:lpstr>
      <vt:lpstr>USD_010_DepoFRAFuturesQuotes!PriceTickValue</vt:lpstr>
      <vt:lpstr>USD_010_SwapQuotes!PriceTickValue</vt:lpstr>
      <vt:lpstr>USD_020_ForwardSwapQuotes!PriceTickValue</vt:lpstr>
      <vt:lpstr>USD_020_FuturesConvAdjQuotes!PriceTickValue</vt:lpstr>
      <vt:lpstr>PriceTickValue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USD_010_DepoFRAFuturesQuotes!QuoteSuffix</vt:lpstr>
      <vt:lpstr>USD_010_SwapQuotes!QuoteSuffix</vt:lpstr>
      <vt:lpstr>USD_015_SyntheticQuotes!QuoteSuffix</vt:lpstr>
      <vt:lpstr>USD_020_ForwardSwapQuotes!QuoteSuffix</vt:lpstr>
      <vt:lpstr>USD_020_FuturesConvAdjQuotes!QuoteSuffix</vt:lpstr>
      <vt:lpstr>QuoteSuffix</vt:lpstr>
      <vt:lpstr>'1M'!RateTickValue</vt:lpstr>
      <vt:lpstr>'1Y'!RateTickValue</vt:lpstr>
      <vt:lpstr>'3M'!RateTickValue</vt:lpstr>
      <vt:lpstr>'6M'!RateTickValue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USD_010_DepoFRAFuturesQuotes!RateTickValue</vt:lpstr>
      <vt:lpstr>USD_010_SwapQuotes!RateTickValue</vt:lpstr>
      <vt:lpstr>USD_015_SyntheticQuotes!RateTickValue</vt:lpstr>
      <vt:lpstr>USD_020_ForwardSwapQuotes!RateTickValue</vt:lpstr>
      <vt:lpstr>USD_020_FuturesConvAdjQuotes!RateTickValue</vt:lpstr>
      <vt:lpstr>RateTickValue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BasisSwap1MxM!SerializationPath</vt:lpstr>
      <vt:lpstr>BasisSwap3M6M!SerializationPath</vt:lpstr>
      <vt:lpstr>BasisSwapxM12M!SerializationPath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'ImmFra6M '!SerializationPath</vt:lpstr>
      <vt:lpstr>Libor!SerializationPath</vt:lpstr>
      <vt:lpstr>LiborSwapForBasisCalc!SerializationPath</vt:lpstr>
      <vt:lpstr>LiborSwapIsdaFixAm!SerializationPath</vt:lpstr>
      <vt:lpstr>LiborSwapIsdaFixPm!SerializationPath</vt:lpstr>
      <vt:lpstr>OIS!SerializationPath</vt:lpstr>
      <vt:lpstr>ON!SerializationPath</vt:lpstr>
      <vt:lpstr>Swap3M!SerializationPath</vt:lpstr>
      <vt:lpstr>Swap6M!SerializationPath</vt:lpstr>
      <vt:lpstr>Swaps1M!SerializationPath</vt:lpstr>
      <vt:lpstr>SwapsIMMDated!SerializationPath</vt:lpstr>
      <vt:lpstr>USD_010_BasisSwapQuotes!SerializationPath</vt:lpstr>
      <vt:lpstr>USD_010_DepoFRAFuturesQuotes!SerializationPath</vt:lpstr>
      <vt:lpstr>USD_010_SwapQuotes!SerializationPath</vt:lpstr>
      <vt:lpstr>USD_015_SyntheticQuotes!SerializationPath</vt:lpstr>
      <vt:lpstr>USD_020_ForwardSwapQuotes!SerializationPath</vt:lpstr>
      <vt:lpstr>USD_020_FuturesConvAdjQuotes!SerializationPath</vt:lpstr>
      <vt:lpstr>UsdLibor!SerializationPath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BasisSwap1MxM!Serialize</vt:lpstr>
      <vt:lpstr>BasisSwap3M6M!Serialize</vt:lpstr>
      <vt:lpstr>BasisSwapxM12M!Serialize</vt:lpstr>
      <vt:lpstr>Deposits!Serialize</vt:lpstr>
      <vt:lpstr>FRA!Serialize</vt:lpstr>
      <vt:lpstr>Futures1M!Serialize</vt:lpstr>
      <vt:lpstr>Futures3M!Serialize</vt:lpstr>
      <vt:lpstr>FuturesHWConvAdj!Serialize</vt:lpstr>
      <vt:lpstr>'ImmFra6M '!Serialize</vt:lpstr>
      <vt:lpstr>Libor!Serialize</vt:lpstr>
      <vt:lpstr>LiborSwapForBasisCalc!Serialize</vt:lpstr>
      <vt:lpstr>LiborSwapIsdaFixAm!Serialize</vt:lpstr>
      <vt:lpstr>LiborSwapIsdaFixPm!Serialize</vt:lpstr>
      <vt:lpstr>OIS!Serialize</vt:lpstr>
      <vt:lpstr>ON!Serialize</vt:lpstr>
      <vt:lpstr>Swap3M!Serialize</vt:lpstr>
      <vt:lpstr>Swap6M!Serialize</vt:lpstr>
      <vt:lpstr>Swaps1M!Serialize</vt:lpstr>
      <vt:lpstr>SwapsIMMDated!Serialize</vt:lpstr>
      <vt:lpstr>USD_010_BasisSwapQuotes!Serialize</vt:lpstr>
      <vt:lpstr>USD_010_DepoFRAFuturesQuotes!Serialize</vt:lpstr>
      <vt:lpstr>USD_010_SwapQuotes!Serialize</vt:lpstr>
      <vt:lpstr>USD_015_SyntheticQuotes!Serialize</vt:lpstr>
      <vt:lpstr>USD_020_ForwardSwapQuotes!Serialize</vt:lpstr>
      <vt:lpstr>USD_020_FuturesConvAdjQuotes!Serialize</vt:lpstr>
      <vt:lpstr>UsdLibor!Serialize</vt:lpstr>
      <vt:lpstr>Serialize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BasisSwap1MxM!Trigger</vt:lpstr>
      <vt:lpstr>BasisSwap3M6M!Trigger</vt:lpstr>
      <vt:lpstr>BasisSwapxM12M!Trigger</vt:lpstr>
      <vt:lpstr>Deposits!Trigger</vt:lpstr>
      <vt:lpstr>FRA!Trigger</vt:lpstr>
      <vt:lpstr>Futures1M!Trigger</vt:lpstr>
      <vt:lpstr>Futures3M!Trigger</vt:lpstr>
      <vt:lpstr>FuturesHWConvAdj!Trigger</vt:lpstr>
      <vt:lpstr>'ImmFra6M '!Trigger</vt:lpstr>
      <vt:lpstr>Libor!Trigger</vt:lpstr>
      <vt:lpstr>LiborSwapForBasisCalc!Trigger</vt:lpstr>
      <vt:lpstr>LiborSwapIsdaFixAm!Trigger</vt:lpstr>
      <vt:lpstr>LiborSwapIsdaFixPm!Trigger</vt:lpstr>
      <vt:lpstr>OIS!Trigger</vt:lpstr>
      <vt:lpstr>ON!Trigger</vt:lpstr>
      <vt:lpstr>Swap3M!Trigger</vt:lpstr>
      <vt:lpstr>Swap6M!Trigger</vt:lpstr>
      <vt:lpstr>Swaps1M!Trigger</vt:lpstr>
      <vt:lpstr>SwapsIMMDated!Trigger</vt:lpstr>
      <vt:lpstr>USD_010_BasisSwapQuotes!Trigger</vt:lpstr>
      <vt:lpstr>USD_010_DepoFRAFuturesQuotes!Trigger</vt:lpstr>
      <vt:lpstr>USD_010_SwapQuotes!Trigger</vt:lpstr>
      <vt:lpstr>USD_015_SyntheticQuotes!Trigger</vt:lpstr>
      <vt:lpstr>USD_020_ForwardSwapQuotes!Trigger</vt:lpstr>
      <vt:lpstr>USD_020_FuturesConvAdjQuotes!Trigger</vt:lpstr>
      <vt:lpstr>UsdLibor!Trigger</vt:lpstr>
      <vt:lpstr>Trigger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2013-12-12T22:06:09Z</dcterms:modified>
</cp:coreProperties>
</file>
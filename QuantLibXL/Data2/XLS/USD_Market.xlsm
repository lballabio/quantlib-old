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643" firstSheet="12" activeTab="19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P5" i="20" l="1" a="1"/>
  <c r="P6" i="20" s="1"/>
  <c r="P5" i="20"/>
  <c r="AN2" i="17" l="1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8" i="17"/>
  <c r="AP8" i="17"/>
  <c r="AO10" i="17"/>
  <c r="AO7" i="17"/>
  <c r="AO9" i="17"/>
  <c r="AN11" i="17" l="1"/>
  <c r="AM12" i="17"/>
  <c r="AN12" i="17"/>
  <c r="AM13" i="17"/>
  <c r="AP9" i="17"/>
  <c r="AO12" i="17"/>
  <c r="AP10" i="17"/>
  <c r="AP7" i="17"/>
  <c r="AO11" i="17"/>
  <c r="AN13" i="17" l="1"/>
  <c r="AM14" i="17"/>
  <c r="AN14" i="17"/>
  <c r="AM15" i="17"/>
  <c r="AP12" i="17"/>
  <c r="AP11" i="17"/>
  <c r="AO13" i="17"/>
  <c r="AO14" i="17"/>
  <c r="AN15" i="17" l="1"/>
  <c r="AM16" i="17"/>
  <c r="AN16" i="17"/>
  <c r="AM17" i="17"/>
  <c r="AN17" i="17"/>
  <c r="AM18" i="17"/>
  <c r="AP14" i="17"/>
  <c r="AO17" i="17"/>
  <c r="AP17" i="17"/>
  <c r="AO15" i="17"/>
  <c r="AO16" i="17"/>
  <c r="AP13" i="17"/>
  <c r="AN18" i="17" l="1"/>
  <c r="AL5" i="18"/>
  <c r="AP16" i="17"/>
  <c r="AP15" i="17"/>
  <c r="AO18" i="17"/>
  <c r="AK6" i="18" a="1"/>
  <c r="D6" i="17" a="1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/>
  <c r="AK37" i="18"/>
  <c r="AK38" i="18"/>
  <c r="AK39" i="18"/>
  <c r="AL39" i="18" s="1"/>
  <c r="AK40" i="18"/>
  <c r="AL40" i="18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O8" i="31"/>
  <c r="O13" i="31"/>
  <c r="O14" i="31"/>
  <c r="O9" i="31"/>
  <c r="O6" i="31"/>
  <c r="O7" i="31"/>
  <c r="O12" i="31"/>
  <c r="O5" i="31"/>
  <c r="O11" i="31"/>
  <c r="O10" i="3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5" i="64"/>
  <c r="E7" i="64"/>
  <c r="E20" i="64"/>
  <c r="E22" i="64"/>
  <c r="E6" i="64"/>
  <c r="E16" i="64"/>
  <c r="E21" i="64"/>
  <c r="E11" i="64"/>
  <c r="E14" i="64"/>
  <c r="E8" i="64"/>
  <c r="E18" i="64"/>
  <c r="E17" i="64"/>
  <c r="E9" i="64"/>
  <c r="E10" i="64"/>
  <c r="E13" i="64"/>
  <c r="E19" i="64"/>
  <c r="E12" i="64"/>
  <c r="M5" i="8" l="1"/>
  <c r="M7" i="8" s="1"/>
  <c r="S5" i="8"/>
  <c r="S7" i="8" s="1"/>
  <c r="P7" i="8"/>
  <c r="Q7" i="8" s="1"/>
  <c r="U7" i="8" s="1"/>
  <c r="P8" i="8"/>
  <c r="Q8" i="8" s="1"/>
  <c r="T7" i="8"/>
  <c r="W7" i="8"/>
  <c r="F9" i="64"/>
  <c r="F15" i="64"/>
  <c r="F20" i="64"/>
  <c r="F8" i="64"/>
  <c r="I6" i="64"/>
  <c r="F13" i="64"/>
  <c r="F16" i="64"/>
  <c r="F22" i="64"/>
  <c r="F17" i="64"/>
  <c r="F10" i="64"/>
  <c r="F11" i="64"/>
  <c r="F7" i="64"/>
  <c r="F6" i="64"/>
  <c r="F14" i="64"/>
  <c r="F18" i="64"/>
  <c r="I7" i="64"/>
  <c r="F12" i="64"/>
  <c r="F21" i="64"/>
  <c r="F19" i="64"/>
  <c r="M6" i="8"/>
  <c r="M8" i="8" l="1"/>
  <c r="V7" i="8"/>
  <c r="X7" i="8" s="1"/>
  <c r="S8" i="8"/>
  <c r="U8" i="8"/>
  <c r="M9" i="8"/>
  <c r="P9" i="8"/>
  <c r="Q9" i="8" s="1"/>
  <c r="S9" i="8"/>
  <c r="T9" i="8"/>
  <c r="T8" i="8"/>
  <c r="W8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1" i="8"/>
  <c r="T20" i="8"/>
  <c r="W10" i="8"/>
  <c r="T18" i="8"/>
  <c r="W17" i="8"/>
  <c r="W16" i="8"/>
  <c r="T15" i="8"/>
  <c r="W15" i="8"/>
  <c r="T13" i="8"/>
  <c r="T21" i="8"/>
  <c r="W19" i="8"/>
  <c r="W20" i="8"/>
  <c r="T16" i="8"/>
  <c r="T7" i="7"/>
  <c r="T12" i="8"/>
  <c r="T17" i="8"/>
  <c r="W13" i="8"/>
  <c r="T14" i="8"/>
  <c r="W12" i="8"/>
  <c r="W18" i="8"/>
  <c r="W21" i="8"/>
  <c r="W14" i="8"/>
  <c r="W11" i="8"/>
  <c r="T19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T9" i="7"/>
  <c r="Q8" i="7"/>
  <c r="U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W20" i="7"/>
  <c r="T16" i="7"/>
  <c r="X5" i="26"/>
  <c r="T12" i="7"/>
  <c r="T14" i="7"/>
  <c r="T19" i="7"/>
  <c r="T17" i="7"/>
  <c r="T10" i="7"/>
  <c r="T11" i="7"/>
  <c r="U8" i="7"/>
  <c r="W17" i="7"/>
  <c r="T21" i="7"/>
  <c r="T20" i="7"/>
  <c r="T13" i="7"/>
  <c r="T15" i="7"/>
  <c r="W7" i="7"/>
  <c r="T18" i="7"/>
  <c r="Q9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9" i="7"/>
  <c r="Q15" i="7"/>
  <c r="Q11" i="7"/>
  <c r="X6" i="26"/>
  <c r="Q12" i="7"/>
  <c r="Q13" i="7"/>
  <c r="Q16" i="7"/>
  <c r="Q14" i="7"/>
  <c r="Q18" i="7"/>
  <c r="Q21" i="7"/>
  <c r="U9" i="7"/>
  <c r="Q10" i="7"/>
  <c r="W8" i="7"/>
  <c r="V9" i="7" l="1"/>
  <c r="X9" i="7" s="1"/>
  <c r="R6" i="26"/>
  <c r="AB6" i="26" s="1"/>
  <c r="AK6" i="26"/>
  <c r="P7" i="26"/>
  <c r="Q7" i="26"/>
  <c r="U15" i="7"/>
  <c r="U10" i="7"/>
  <c r="U12" i="7"/>
  <c r="U19" i="7"/>
  <c r="W9" i="7"/>
  <c r="U14" i="7"/>
  <c r="U16" i="7"/>
  <c r="U21" i="7"/>
  <c r="U11" i="7"/>
  <c r="U18" i="7"/>
  <c r="U13" i="7"/>
  <c r="X7" i="26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0" i="7"/>
  <c r="W12" i="7"/>
  <c r="W19" i="7"/>
  <c r="W16" i="7"/>
  <c r="X8" i="26"/>
  <c r="W14" i="7"/>
  <c r="W15" i="7"/>
  <c r="W18" i="7"/>
  <c r="W21" i="7"/>
  <c r="W11" i="7"/>
  <c r="W13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19" i="26"/>
  <c r="AD5" i="26"/>
  <c r="AD31" i="26"/>
  <c r="AD34" i="26"/>
  <c r="AD35" i="26"/>
  <c r="AD8" i="26"/>
  <c r="AD10" i="26"/>
  <c r="AD9" i="26"/>
  <c r="AD40" i="26"/>
  <c r="AD30" i="26"/>
  <c r="AD41" i="26"/>
  <c r="AD26" i="26"/>
  <c r="AD22" i="26"/>
  <c r="AD37" i="26"/>
  <c r="AD39" i="26"/>
  <c r="AD18" i="26"/>
  <c r="AD14" i="26"/>
  <c r="AD7" i="26"/>
  <c r="AD28" i="26"/>
  <c r="AD21" i="26"/>
  <c r="AD27" i="26"/>
  <c r="AD38" i="26"/>
  <c r="AD29" i="26"/>
  <c r="AD25" i="26"/>
  <c r="AD17" i="26"/>
  <c r="AD16" i="26"/>
  <c r="AD13" i="26"/>
  <c r="AD33" i="26"/>
  <c r="AD11" i="26"/>
  <c r="AD6" i="26"/>
  <c r="AD32" i="26"/>
  <c r="AD15" i="26"/>
  <c r="AD23" i="26"/>
  <c r="AD12" i="26"/>
  <c r="AD20" i="26"/>
  <c r="AD24" i="26"/>
  <c r="AD36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12" i="18"/>
  <c r="U34" i="18"/>
  <c r="U37" i="18"/>
  <c r="U9" i="18"/>
  <c r="U14" i="18"/>
  <c r="U36" i="18"/>
  <c r="U21" i="18"/>
  <c r="U6" i="18"/>
  <c r="U47" i="18"/>
  <c r="U11" i="18"/>
  <c r="U26" i="18"/>
  <c r="U22" i="18"/>
  <c r="U38" i="18"/>
  <c r="U8" i="18"/>
  <c r="U18" i="18"/>
  <c r="U25" i="18"/>
  <c r="U23" i="18"/>
  <c r="U15" i="18"/>
  <c r="U19" i="18"/>
  <c r="U45" i="18"/>
  <c r="U17" i="18"/>
  <c r="U41" i="18"/>
  <c r="U31" i="18"/>
  <c r="U39" i="18"/>
  <c r="U35" i="18"/>
  <c r="U42" i="18"/>
  <c r="U16" i="18"/>
  <c r="U24" i="18"/>
  <c r="U43" i="18"/>
  <c r="U44" i="18"/>
  <c r="U28" i="18"/>
  <c r="U32" i="18"/>
  <c r="U10" i="18"/>
  <c r="U20" i="18"/>
  <c r="U27" i="18"/>
  <c r="U7" i="18"/>
  <c r="U29" i="18"/>
  <c r="U33" i="18"/>
  <c r="U40" i="18"/>
  <c r="U30" i="18"/>
  <c r="U46" i="18"/>
  <c r="U13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AF47" i="18"/>
  <c r="U14" i="17"/>
  <c r="U15" i="17"/>
  <c r="U16" i="17"/>
  <c r="U8" i="17"/>
  <c r="U17" i="17"/>
  <c r="U6" i="17"/>
  <c r="U10" i="17"/>
  <c r="U11" i="17"/>
  <c r="U12" i="17"/>
  <c r="U7" i="17"/>
  <c r="U9" i="17"/>
  <c r="U13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20" i="16"/>
  <c r="Y19" i="16"/>
  <c r="Y9" i="16"/>
  <c r="Y12" i="16"/>
  <c r="Y16" i="16"/>
  <c r="Y14" i="16"/>
  <c r="Y7" i="16"/>
  <c r="Y10" i="16"/>
  <c r="Y13" i="16"/>
  <c r="Y18" i="16"/>
  <c r="Y8" i="16"/>
  <c r="Y15" i="16"/>
  <c r="Y11" i="16"/>
  <c r="Y17" i="16"/>
  <c r="U27" i="15"/>
  <c r="J4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6" i="24"/>
  <c r="T5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9" i="24"/>
  <c r="Z6" i="24"/>
  <c r="Z5" i="24"/>
  <c r="Z7" i="24"/>
  <c r="Z10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R26" i="12" s="1"/>
  <c r="Q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Y7" i="6"/>
  <c r="V7" i="6"/>
  <c r="V8" i="6"/>
  <c r="V6" i="6"/>
  <c r="S5" i="6"/>
  <c r="V9" i="6"/>
  <c r="Y6" i="6"/>
  <c r="X6" i="6" l="1"/>
  <c r="X7" i="6"/>
  <c r="W5" i="6"/>
  <c r="W9" i="6"/>
  <c r="X9" i="6" s="1"/>
  <c r="Z9" i="6" s="1"/>
  <c r="O10" i="6"/>
  <c r="R10" i="6"/>
  <c r="S10" i="6" s="1"/>
  <c r="U10" i="6"/>
  <c r="S8" i="6"/>
  <c r="Y5" i="6"/>
  <c r="Y9" i="6"/>
  <c r="V10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Y14" i="6"/>
  <c r="W8" i="6"/>
  <c r="V18" i="6"/>
  <c r="Y15" i="6"/>
  <c r="Y19" i="6"/>
  <c r="V21" i="6"/>
  <c r="V19" i="6"/>
  <c r="V22" i="6"/>
  <c r="V11" i="6"/>
  <c r="V20" i="6"/>
  <c r="Y20" i="6"/>
  <c r="Y21" i="6"/>
  <c r="Y17" i="6"/>
  <c r="V12" i="6"/>
  <c r="V14" i="6"/>
  <c r="Y18" i="6"/>
  <c r="Y10" i="6"/>
  <c r="V15" i="6"/>
  <c r="V17" i="6"/>
  <c r="V13" i="6"/>
  <c r="V16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22" i="6"/>
  <c r="S16" i="6"/>
  <c r="S12" i="6"/>
  <c r="S13" i="6"/>
  <c r="Y8" i="6"/>
  <c r="S11" i="6"/>
  <c r="AO6" i="17"/>
  <c r="J12" i="56" l="1"/>
  <c r="J13" i="56"/>
  <c r="W16" i="6"/>
  <c r="W22" i="6"/>
  <c r="W12" i="6"/>
  <c r="W13" i="6"/>
  <c r="W11" i="6"/>
  <c r="J14" i="56"/>
  <c r="AP6" i="17"/>
  <c r="E5" i="64"/>
  <c r="F5" i="64" s="1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22" i="6"/>
  <c r="Y12" i="6"/>
  <c r="Y11" i="6"/>
  <c r="Y13" i="6"/>
  <c r="Y16" i="6"/>
  <c r="E26" i="71"/>
  <c r="E12" i="71"/>
  <c r="E10" i="71"/>
  <c r="E13" i="71"/>
  <c r="E8" i="71"/>
  <c r="E25" i="71"/>
  <c r="E20" i="71"/>
  <c r="E27" i="71"/>
  <c r="E11" i="71"/>
  <c r="E6" i="71"/>
  <c r="E21" i="71"/>
  <c r="E9" i="71"/>
  <c r="E33" i="71"/>
  <c r="E16" i="71"/>
  <c r="E28" i="71"/>
  <c r="E24" i="71"/>
  <c r="E15" i="71"/>
  <c r="E32" i="71"/>
  <c r="E29" i="71"/>
  <c r="E14" i="71"/>
  <c r="E31" i="71"/>
  <c r="E7" i="71"/>
  <c r="E30" i="71"/>
  <c r="E17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41" i="67"/>
  <c r="G60" i="68"/>
  <c r="F9" i="65"/>
  <c r="G43" i="66"/>
  <c r="G43" i="67"/>
  <c r="G61" i="66"/>
  <c r="G39" i="68"/>
  <c r="G59" i="67"/>
  <c r="F15" i="71"/>
  <c r="G64" i="67"/>
  <c r="G55" i="66"/>
  <c r="G27" i="67"/>
  <c r="G35" i="68"/>
  <c r="F30" i="71"/>
  <c r="G34" i="67"/>
  <c r="G13" i="67"/>
  <c r="G25" i="66"/>
  <c r="G58" i="67"/>
  <c r="G52" i="68"/>
  <c r="G30" i="66"/>
  <c r="G30" i="67"/>
  <c r="G46" i="66"/>
  <c r="G61" i="68"/>
  <c r="G35" i="66"/>
  <c r="G65" i="67"/>
  <c r="G8" i="68"/>
  <c r="G39" i="67"/>
  <c r="G56" i="68"/>
  <c r="I21" i="64"/>
  <c r="F15" i="65"/>
  <c r="F21" i="71"/>
  <c r="I16" i="64"/>
  <c r="G36" i="67"/>
  <c r="G16" i="67"/>
  <c r="F7" i="71"/>
  <c r="G56" i="66"/>
  <c r="G27" i="68"/>
  <c r="G55" i="68"/>
  <c r="I17" i="64"/>
  <c r="I14" i="64"/>
  <c r="G54" i="68"/>
  <c r="G49" i="67"/>
  <c r="G25" i="67"/>
  <c r="G48" i="66"/>
  <c r="I9" i="64"/>
  <c r="G9" i="68"/>
  <c r="G66" i="68"/>
  <c r="F10" i="71"/>
  <c r="I13" i="64"/>
  <c r="G10" i="67"/>
  <c r="G10" i="66"/>
  <c r="G21" i="67"/>
  <c r="G51" i="67"/>
  <c r="G20" i="67"/>
  <c r="G42" i="68"/>
  <c r="I10" i="64"/>
  <c r="G19" i="66"/>
  <c r="G13" i="66"/>
  <c r="G40" i="67"/>
  <c r="G59" i="68"/>
  <c r="F24" i="71"/>
  <c r="G34" i="68"/>
  <c r="F33" i="71"/>
  <c r="F28" i="71"/>
  <c r="G48" i="67"/>
  <c r="F20" i="65"/>
  <c r="I19" i="64"/>
  <c r="G22" i="67"/>
  <c r="G36" i="66"/>
  <c r="G16" i="68"/>
  <c r="G22" i="68"/>
  <c r="G53" i="66"/>
  <c r="G28" i="66"/>
  <c r="F12" i="71"/>
  <c r="G51" i="66"/>
  <c r="G54" i="66"/>
  <c r="G33" i="66"/>
  <c r="G11" i="66"/>
  <c r="G20" i="68"/>
  <c r="G47" i="67"/>
  <c r="G58" i="66"/>
  <c r="F19" i="65"/>
  <c r="G15" i="66"/>
  <c r="G28" i="68"/>
  <c r="G34" i="66"/>
  <c r="G36" i="68"/>
  <c r="G21" i="68"/>
  <c r="G29" i="68"/>
  <c r="G19" i="67"/>
  <c r="G9" i="67"/>
  <c r="F11" i="71"/>
  <c r="G66" i="66"/>
  <c r="I18" i="64"/>
  <c r="G45" i="68"/>
  <c r="G42" i="67"/>
  <c r="G42" i="66"/>
  <c r="G21" i="66"/>
  <c r="F13" i="71"/>
  <c r="G17" i="67"/>
  <c r="G64" i="68"/>
  <c r="F14" i="65"/>
  <c r="G18" i="68"/>
  <c r="G13" i="68"/>
  <c r="G30" i="68"/>
  <c r="F12" i="65"/>
  <c r="G17" i="68"/>
  <c r="G50" i="68"/>
  <c r="G37" i="67"/>
  <c r="F14" i="71"/>
  <c r="G9" i="66"/>
  <c r="G45" i="66"/>
  <c r="G62" i="68"/>
  <c r="G47" i="66"/>
  <c r="F20" i="71"/>
  <c r="F13" i="65"/>
  <c r="G49" i="68"/>
  <c r="G44" i="66"/>
  <c r="G26" i="68"/>
  <c r="G19" i="68"/>
  <c r="G12" i="68"/>
  <c r="F11" i="65"/>
  <c r="G41" i="68"/>
  <c r="G44" i="67"/>
  <c r="F17" i="65"/>
  <c r="F16" i="71"/>
  <c r="F32" i="71"/>
  <c r="G29" i="67"/>
  <c r="G53" i="67"/>
  <c r="G18" i="66"/>
  <c r="G62" i="66"/>
  <c r="G51" i="68"/>
  <c r="G15" i="67"/>
  <c r="G56" i="67"/>
  <c r="G22" i="66"/>
  <c r="G27" i="66"/>
  <c r="G52" i="67"/>
  <c r="G29" i="66"/>
  <c r="G12" i="66"/>
  <c r="J7" i="64"/>
  <c r="G10" i="68"/>
  <c r="F10" i="65"/>
  <c r="G24" i="68"/>
  <c r="G40" i="68"/>
  <c r="G15" i="68"/>
  <c r="G63" i="66"/>
  <c r="G32" i="67"/>
  <c r="F18" i="65"/>
  <c r="I11" i="64"/>
  <c r="G37" i="66"/>
  <c r="G11" i="67"/>
  <c r="G59" i="66"/>
  <c r="F6" i="65"/>
  <c r="G49" i="66"/>
  <c r="G31" i="66"/>
  <c r="G24" i="67"/>
  <c r="F29" i="71"/>
  <c r="G31" i="67"/>
  <c r="G11" i="68"/>
  <c r="G32" i="66"/>
  <c r="G40" i="66"/>
  <c r="G39" i="66"/>
  <c r="G47" i="68"/>
  <c r="G12" i="67"/>
  <c r="F8" i="71"/>
  <c r="G58" i="68"/>
  <c r="I22" i="64"/>
  <c r="G46" i="67"/>
  <c r="G57" i="67"/>
  <c r="G61" i="67"/>
  <c r="G53" i="68"/>
  <c r="G7" i="66"/>
  <c r="G54" i="67"/>
  <c r="I8" i="64"/>
  <c r="G38" i="68"/>
  <c r="G17" i="66"/>
  <c r="G37" i="68"/>
  <c r="G24" i="66"/>
  <c r="G32" i="68"/>
  <c r="G44" i="68"/>
  <c r="G18" i="67"/>
  <c r="F8" i="65"/>
  <c r="G66" i="67"/>
  <c r="G7" i="67"/>
  <c r="F16" i="65"/>
  <c r="I15" i="64"/>
  <c r="G33" i="67"/>
  <c r="F27" i="71"/>
  <c r="G16" i="66"/>
  <c r="G46" i="68"/>
  <c r="F26" i="71"/>
  <c r="F31" i="71"/>
  <c r="G60" i="67"/>
  <c r="G33" i="68"/>
  <c r="G14" i="67"/>
  <c r="G63" i="68"/>
  <c r="G48" i="68"/>
  <c r="G14" i="66"/>
  <c r="F17" i="71"/>
  <c r="G41" i="66"/>
  <c r="G8" i="66"/>
  <c r="G57" i="66"/>
  <c r="G52" i="66"/>
  <c r="F6" i="71"/>
  <c r="G55" i="67"/>
  <c r="G28" i="67"/>
  <c r="G62" i="67"/>
  <c r="I12" i="64"/>
  <c r="F9" i="71"/>
  <c r="G35" i="67"/>
  <c r="G7" i="68"/>
  <c r="G23" i="67"/>
  <c r="G38" i="66"/>
  <c r="G38" i="67"/>
  <c r="G26" i="67"/>
  <c r="G25" i="68"/>
  <c r="G26" i="66"/>
  <c r="G65" i="68"/>
  <c r="I20" i="64"/>
  <c r="G43" i="68"/>
  <c r="G23" i="68"/>
  <c r="G65" i="66"/>
  <c r="G57" i="68"/>
  <c r="G20" i="66"/>
  <c r="F25" i="71"/>
  <c r="G64" i="66"/>
  <c r="G14" i="68"/>
  <c r="G31" i="68"/>
  <c r="G45" i="67"/>
  <c r="G23" i="66"/>
  <c r="G50" i="67"/>
  <c r="F7" i="65"/>
  <c r="G63" i="67"/>
  <c r="G60" i="66"/>
  <c r="G8" i="67"/>
  <c r="G50" i="66"/>
  <c r="E5" i="71"/>
  <c r="E19" i="71"/>
  <c r="G6" i="66"/>
  <c r="F23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J13" i="64"/>
  <c r="G18" i="65"/>
  <c r="H47" i="66"/>
  <c r="H26" i="66"/>
  <c r="H12" i="66"/>
  <c r="J22" i="64"/>
  <c r="K10" i="64"/>
  <c r="H66" i="67"/>
  <c r="H37" i="68"/>
  <c r="H60" i="66"/>
  <c r="H59" i="68"/>
  <c r="J20" i="64"/>
  <c r="H27" i="67"/>
  <c r="H10" i="68"/>
  <c r="H62" i="67"/>
  <c r="H46" i="68"/>
  <c r="H15" i="66"/>
  <c r="L7" i="64"/>
  <c r="J8" i="64"/>
  <c r="H44" i="68"/>
  <c r="K19" i="64"/>
  <c r="H63" i="68"/>
  <c r="H50" i="67"/>
  <c r="H8" i="68"/>
  <c r="H16" i="67"/>
  <c r="H11" i="66"/>
  <c r="H60" i="67"/>
  <c r="H41" i="68"/>
  <c r="H12" i="68"/>
  <c r="H62" i="68"/>
  <c r="H33" i="66"/>
  <c r="H50" i="68"/>
  <c r="H61" i="67"/>
  <c r="K18" i="64"/>
  <c r="J17" i="64"/>
  <c r="K12" i="64"/>
  <c r="H57" i="68"/>
  <c r="H56" i="68"/>
  <c r="H55" i="66"/>
  <c r="H65" i="66"/>
  <c r="H22" i="66"/>
  <c r="H51" i="67"/>
  <c r="H65" i="67"/>
  <c r="H44" i="66"/>
  <c r="H38" i="68"/>
  <c r="H35" i="68"/>
  <c r="K13" i="64"/>
  <c r="H20" i="67"/>
  <c r="J10" i="64"/>
  <c r="H45" i="66"/>
  <c r="H45" i="67"/>
  <c r="H60" i="68"/>
  <c r="H7" i="68"/>
  <c r="H27" i="66"/>
  <c r="H22" i="67"/>
  <c r="H44" i="67"/>
  <c r="H22" i="68"/>
  <c r="H14" i="68"/>
  <c r="G20" i="65"/>
  <c r="H8" i="67"/>
  <c r="H37" i="66"/>
  <c r="H54" i="67"/>
  <c r="H26" i="68"/>
  <c r="H24" i="68"/>
  <c r="H17" i="67"/>
  <c r="H42" i="66"/>
  <c r="G19" i="65"/>
  <c r="J11" i="64"/>
  <c r="H45" i="68"/>
  <c r="H55" i="68"/>
  <c r="H21" i="66"/>
  <c r="H31" i="67"/>
  <c r="G7" i="65"/>
  <c r="H58" i="66"/>
  <c r="H64" i="66"/>
  <c r="H20" i="66"/>
  <c r="H9" i="66"/>
  <c r="H55" i="67"/>
  <c r="H29" i="67"/>
  <c r="H49" i="68"/>
  <c r="H18" i="66"/>
  <c r="H48" i="66"/>
  <c r="H41" i="66"/>
  <c r="H64" i="68"/>
  <c r="H25" i="68"/>
  <c r="H31" i="66"/>
  <c r="K14" i="64"/>
  <c r="H18" i="67"/>
  <c r="H52" i="66"/>
  <c r="H30" i="68"/>
  <c r="H42" i="68"/>
  <c r="H15" i="68"/>
  <c r="H13" i="68"/>
  <c r="H13" i="66"/>
  <c r="G12" i="65"/>
  <c r="K16" i="64"/>
  <c r="H43" i="66"/>
  <c r="K15" i="64"/>
  <c r="H35" i="66"/>
  <c r="H30" i="67"/>
  <c r="H34" i="66"/>
  <c r="K20" i="64"/>
  <c r="H36" i="67"/>
  <c r="H43" i="67"/>
  <c r="H46" i="66"/>
  <c r="H43" i="68"/>
  <c r="H40" i="68"/>
  <c r="H48" i="68"/>
  <c r="H53" i="68"/>
  <c r="H63" i="66"/>
  <c r="H47" i="68"/>
  <c r="H31" i="68"/>
  <c r="H14" i="66"/>
  <c r="H59" i="66"/>
  <c r="H27" i="68"/>
  <c r="H61" i="66"/>
  <c r="H35" i="67"/>
  <c r="H42" i="67"/>
  <c r="H34" i="67"/>
  <c r="J15" i="64"/>
  <c r="H19" i="67"/>
  <c r="H59" i="67"/>
  <c r="J16" i="64"/>
  <c r="J21" i="64"/>
  <c r="K6" i="64"/>
  <c r="H16" i="66"/>
  <c r="H17" i="68"/>
  <c r="H64" i="67"/>
  <c r="H61" i="68"/>
  <c r="H49" i="66"/>
  <c r="H36" i="66"/>
  <c r="H66" i="66"/>
  <c r="G15" i="65"/>
  <c r="H24" i="66"/>
  <c r="H66" i="68"/>
  <c r="H24" i="67"/>
  <c r="H13" i="67"/>
  <c r="K21" i="64"/>
  <c r="J14" i="64"/>
  <c r="H58" i="67"/>
  <c r="H34" i="68"/>
  <c r="H40" i="67"/>
  <c r="G6" i="65"/>
  <c r="G14" i="65"/>
  <c r="H32" i="68"/>
  <c r="H54" i="68"/>
  <c r="H23" i="68"/>
  <c r="H9" i="68"/>
  <c r="H36" i="68"/>
  <c r="H29" i="68"/>
  <c r="H39" i="68"/>
  <c r="H40" i="66"/>
  <c r="H15" i="67"/>
  <c r="H38" i="67"/>
  <c r="H14" i="67"/>
  <c r="J12" i="64"/>
  <c r="H39" i="67"/>
  <c r="H32" i="67"/>
  <c r="H28" i="67"/>
  <c r="H65" i="68"/>
  <c r="K9" i="64"/>
  <c r="G13" i="65"/>
  <c r="H18" i="68"/>
  <c r="H7" i="66"/>
  <c r="H11" i="67"/>
  <c r="K22" i="64"/>
  <c r="H58" i="68"/>
  <c r="H56" i="66"/>
  <c r="H46" i="67"/>
  <c r="H48" i="67"/>
  <c r="H63" i="67"/>
  <c r="H30" i="66"/>
  <c r="H33" i="68"/>
  <c r="H23" i="67"/>
  <c r="H53" i="66"/>
  <c r="H19" i="66"/>
  <c r="H28" i="66"/>
  <c r="H28" i="68"/>
  <c r="H11" i="68"/>
  <c r="H50" i="66"/>
  <c r="H51" i="68"/>
  <c r="K17" i="64"/>
  <c r="H12" i="67"/>
  <c r="H9" i="67"/>
  <c r="H26" i="67"/>
  <c r="H25" i="67"/>
  <c r="H8" i="66"/>
  <c r="G9" i="65"/>
  <c r="H19" i="68"/>
  <c r="H56" i="67"/>
  <c r="H57" i="66"/>
  <c r="H39" i="66"/>
  <c r="H37" i="67"/>
  <c r="H53" i="67"/>
  <c r="G16" i="65"/>
  <c r="H54" i="66"/>
  <c r="H7" i="67"/>
  <c r="H21" i="67"/>
  <c r="H52" i="67"/>
  <c r="H10" i="66"/>
  <c r="J19" i="64"/>
  <c r="H52" i="68"/>
  <c r="H29" i="66"/>
  <c r="H23" i="66"/>
  <c r="H57" i="67"/>
  <c r="H49" i="67"/>
  <c r="H32" i="66"/>
  <c r="J9" i="64"/>
  <c r="H17" i="66"/>
  <c r="G11" i="65"/>
  <c r="K11" i="64"/>
  <c r="H10" i="67"/>
  <c r="G10" i="65"/>
  <c r="H25" i="66"/>
  <c r="G17" i="65"/>
  <c r="H16" i="68"/>
  <c r="H62" i="66"/>
  <c r="H33" i="67"/>
  <c r="H21" i="68"/>
  <c r="G8" i="65"/>
  <c r="H38" i="66"/>
  <c r="J18" i="64"/>
  <c r="H51" i="66"/>
  <c r="H47" i="67"/>
  <c r="K7" i="64"/>
  <c r="H20" i="68"/>
  <c r="K8" i="64"/>
  <c r="H41" i="67"/>
  <c r="L13" i="64"/>
  <c r="G6" i="68"/>
  <c r="I5" i="64"/>
  <c r="D3" i="61"/>
  <c r="F5" i="65"/>
  <c r="F19" i="71"/>
  <c r="G6" i="67"/>
  <c r="H6" i="66"/>
  <c r="D3" i="62"/>
  <c r="F5" i="71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7" i="62"/>
  <c r="S18" i="62"/>
  <c r="K15" i="61"/>
  <c r="N14" i="61"/>
  <c r="N10" i="62"/>
  <c r="N6" i="61"/>
  <c r="K6" i="61"/>
  <c r="K20" i="62"/>
  <c r="S21" i="62"/>
  <c r="K8" i="61"/>
  <c r="K21" i="62"/>
  <c r="N15" i="62"/>
  <c r="K16" i="62"/>
  <c r="N7" i="61"/>
  <c r="K10" i="62"/>
  <c r="N10" i="61"/>
  <c r="K15" i="62"/>
  <c r="N17" i="61"/>
  <c r="N9" i="62"/>
  <c r="N8" i="62"/>
  <c r="K7" i="61"/>
  <c r="K19" i="61"/>
  <c r="K4" i="61"/>
  <c r="K9" i="61"/>
  <c r="K10" i="61"/>
  <c r="S19" i="62"/>
  <c r="S8" i="62"/>
  <c r="N16" i="61"/>
  <c r="N13" i="61"/>
  <c r="K5" i="62"/>
  <c r="K5" i="61"/>
  <c r="K12" i="61"/>
  <c r="K14" i="61"/>
  <c r="K13" i="61"/>
  <c r="K19" i="62"/>
  <c r="N14" i="62"/>
  <c r="S11" i="62"/>
  <c r="K11" i="62"/>
  <c r="N21" i="61"/>
  <c r="N9" i="61"/>
  <c r="N11" i="62"/>
  <c r="S16" i="62"/>
  <c r="N8" i="61"/>
  <c r="N12" i="62"/>
  <c r="S9" i="62"/>
  <c r="K11" i="61"/>
  <c r="N20" i="62"/>
  <c r="N15" i="61"/>
  <c r="N18" i="62"/>
  <c r="S20" i="62"/>
  <c r="K21" i="61"/>
  <c r="K8" i="62"/>
  <c r="S13" i="62"/>
  <c r="K18" i="62"/>
  <c r="K4" i="62"/>
  <c r="S7" i="62"/>
  <c r="K13" i="62"/>
  <c r="N18" i="61"/>
  <c r="N5" i="61"/>
  <c r="S17" i="62"/>
  <c r="S14" i="62"/>
  <c r="K14" i="62"/>
  <c r="N20" i="61"/>
  <c r="S10" i="62"/>
  <c r="N4" i="62"/>
  <c r="N12" i="61"/>
  <c r="N11" i="61"/>
  <c r="N4" i="61"/>
  <c r="K17" i="61"/>
  <c r="N21" i="62"/>
  <c r="K17" i="62"/>
  <c r="K20" i="61"/>
  <c r="K16" i="61"/>
  <c r="S12" i="62"/>
  <c r="S15" i="62"/>
  <c r="K12" i="62"/>
  <c r="S4" i="62"/>
  <c r="K7" i="62"/>
  <c r="N17" i="62"/>
  <c r="N19" i="62"/>
  <c r="K18" i="61"/>
  <c r="N19" i="61"/>
  <c r="N13" i="62"/>
  <c r="N5" i="62"/>
  <c r="K9" i="62"/>
  <c r="N16" i="62"/>
  <c r="L12" i="64"/>
  <c r="L22" i="64"/>
  <c r="L15" i="64"/>
  <c r="L11" i="64"/>
  <c r="L8" i="64"/>
  <c r="L10" i="64"/>
  <c r="L20" i="64"/>
  <c r="L19" i="64"/>
  <c r="L21" i="64"/>
  <c r="L9" i="64"/>
  <c r="L16" i="64"/>
  <c r="L17" i="64"/>
  <c r="L14" i="64"/>
  <c r="L18" i="64"/>
  <c r="H6" i="68"/>
  <c r="D3" i="60"/>
  <c r="H6" i="67"/>
  <c r="K5" i="64"/>
  <c r="G5" i="65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K7" i="60"/>
  <c r="K9" i="60"/>
  <c r="N14" i="60"/>
  <c r="K5" i="60"/>
  <c r="K8" i="60"/>
  <c r="K18" i="60"/>
  <c r="N15" i="60"/>
  <c r="K6" i="60"/>
  <c r="K11" i="60"/>
  <c r="N5" i="60"/>
  <c r="N9" i="60"/>
  <c r="K10" i="60"/>
  <c r="N8" i="60"/>
  <c r="K4" i="60"/>
  <c r="N10" i="60"/>
  <c r="K17" i="60"/>
  <c r="N6" i="60"/>
  <c r="N16" i="60"/>
  <c r="N12" i="60"/>
  <c r="N4" i="60"/>
  <c r="K14" i="60"/>
  <c r="N7" i="60"/>
  <c r="N18" i="60"/>
  <c r="N13" i="60"/>
  <c r="K15" i="60"/>
  <c r="N11" i="60"/>
  <c r="K12" i="60"/>
  <c r="K1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K7" i="55"/>
  <c r="K8" i="55"/>
  <c r="K5" i="55"/>
  <c r="Q3" i="55"/>
  <c r="K10" i="55"/>
  <c r="K6" i="55"/>
  <c r="B1" i="56"/>
  <c r="F4" i="55"/>
  <c r="P5" i="55" l="1" a="1"/>
  <c r="F5" i="55" a="1"/>
  <c r="P5" i="55" l="1"/>
  <c r="P10" i="55"/>
  <c r="P8" i="55"/>
  <c r="P6" i="55"/>
  <c r="P9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8" i="34"/>
  <c r="L4" i="34"/>
  <c r="L20" i="35"/>
  <c r="L33" i="34"/>
  <c r="L32" i="35"/>
  <c r="L6" i="34"/>
  <c r="L35" i="35"/>
  <c r="L22" i="34"/>
  <c r="L10" i="34"/>
  <c r="L16" i="34"/>
  <c r="L27" i="34"/>
  <c r="L30" i="35"/>
  <c r="L16" i="35"/>
  <c r="L5" i="35"/>
  <c r="L31" i="34"/>
  <c r="L23" i="35"/>
  <c r="L29" i="34"/>
  <c r="L36" i="34"/>
  <c r="L28" i="35"/>
  <c r="L17" i="35"/>
  <c r="L20" i="34"/>
  <c r="L18" i="34"/>
  <c r="L14" i="35"/>
  <c r="L8" i="35"/>
  <c r="L11" i="34"/>
  <c r="L30" i="34"/>
  <c r="L21" i="35"/>
  <c r="L12" i="35"/>
  <c r="L3" i="34"/>
  <c r="L9" i="35"/>
  <c r="L36" i="35"/>
  <c r="L5" i="34"/>
  <c r="L27" i="35"/>
  <c r="L25" i="35"/>
  <c r="L34" i="34"/>
  <c r="L15" i="34"/>
  <c r="L33" i="35"/>
  <c r="L35" i="34"/>
  <c r="L34" i="35"/>
  <c r="L29" i="35"/>
  <c r="L10" i="35"/>
  <c r="L15" i="35"/>
  <c r="L13" i="35"/>
  <c r="L19" i="34"/>
  <c r="L14" i="34"/>
  <c r="L25" i="34"/>
  <c r="L28" i="34"/>
  <c r="L12" i="34"/>
  <c r="L24" i="35"/>
  <c r="L7" i="34"/>
  <c r="L4" i="35"/>
  <c r="L19" i="35"/>
  <c r="L22" i="35"/>
  <c r="L13" i="34"/>
  <c r="L31" i="35"/>
  <c r="L17" i="34"/>
  <c r="L6" i="35"/>
  <c r="L11" i="35"/>
  <c r="L3" i="35"/>
  <c r="L24" i="34"/>
  <c r="L26" i="35"/>
  <c r="L7" i="35"/>
  <c r="L18" i="35"/>
  <c r="L23" i="34"/>
  <c r="L32" i="34"/>
  <c r="L21" i="34"/>
  <c r="L9" i="34"/>
  <c r="L26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8" i="36"/>
  <c r="K7" i="36"/>
  <c r="K28" i="36"/>
  <c r="K27" i="37"/>
  <c r="K33" i="36"/>
  <c r="K15" i="37"/>
  <c r="K35" i="37"/>
  <c r="K31" i="36"/>
  <c r="K34" i="36"/>
  <c r="K20" i="37"/>
  <c r="K3" i="36"/>
  <c r="K23" i="36"/>
  <c r="K21" i="36"/>
  <c r="K14" i="37"/>
  <c r="K32" i="37"/>
  <c r="K12" i="37"/>
  <c r="K9" i="36"/>
  <c r="K28" i="37"/>
  <c r="K25" i="37"/>
  <c r="K30" i="37"/>
  <c r="K24" i="37"/>
  <c r="K15" i="36"/>
  <c r="K7" i="37"/>
  <c r="K21" i="37"/>
  <c r="K26" i="36"/>
  <c r="K9" i="37"/>
  <c r="K11" i="36"/>
  <c r="K8" i="37"/>
  <c r="K17" i="36"/>
  <c r="K32" i="36"/>
  <c r="K3" i="37"/>
  <c r="K19" i="36"/>
  <c r="K29" i="37"/>
  <c r="K20" i="36"/>
  <c r="K26" i="37"/>
  <c r="K10" i="36"/>
  <c r="K19" i="37"/>
  <c r="K18" i="37"/>
  <c r="K36" i="36"/>
  <c r="K23" i="37"/>
  <c r="K24" i="36"/>
  <c r="K16" i="36"/>
  <c r="K10" i="37"/>
  <c r="K13" i="37"/>
  <c r="K4" i="36"/>
  <c r="K35" i="36"/>
  <c r="K11" i="37"/>
  <c r="K33" i="37"/>
  <c r="K4" i="37"/>
  <c r="K16" i="37"/>
  <c r="K14" i="36"/>
  <c r="K5" i="36"/>
  <c r="K22" i="37"/>
  <c r="K13" i="36"/>
  <c r="K22" i="36"/>
  <c r="K12" i="36"/>
  <c r="K6" i="36"/>
  <c r="K31" i="37"/>
  <c r="K18" i="36"/>
  <c r="K27" i="36"/>
  <c r="K30" i="36"/>
  <c r="K17" i="37"/>
  <c r="K5" i="37"/>
  <c r="K29" i="36"/>
  <c r="K34" i="37"/>
  <c r="K25" i="36"/>
  <c r="K6" i="37"/>
  <c r="K36" i="37"/>
  <c r="K2" i="35"/>
  <c r="K2" i="34"/>
  <c r="J2" i="36" l="1"/>
  <c r="J2" i="37"/>
  <c r="C1" i="32"/>
  <c r="L9" i="36"/>
  <c r="L4" i="37"/>
  <c r="L18" i="36"/>
  <c r="L4" i="36"/>
  <c r="L10" i="36"/>
  <c r="L26" i="36"/>
  <c r="L15" i="36"/>
  <c r="L21" i="36"/>
  <c r="L32" i="36"/>
  <c r="L13" i="36"/>
  <c r="L32" i="37"/>
  <c r="L35" i="36"/>
  <c r="L28" i="37"/>
  <c r="L13" i="37"/>
  <c r="L34" i="37"/>
  <c r="L25" i="37"/>
  <c r="L11" i="37"/>
  <c r="L14" i="37"/>
  <c r="L29" i="36"/>
  <c r="L36" i="37"/>
  <c r="L14" i="36"/>
  <c r="L18" i="37"/>
  <c r="L34" i="36"/>
  <c r="L29" i="37"/>
  <c r="L7" i="37"/>
  <c r="L23" i="36"/>
  <c r="L19" i="36"/>
  <c r="L25" i="36"/>
  <c r="L35" i="37"/>
  <c r="L23" i="37"/>
  <c r="L16" i="37"/>
  <c r="L3" i="37"/>
  <c r="L36" i="36"/>
  <c r="L27" i="37"/>
  <c r="L15" i="37"/>
  <c r="L33" i="37"/>
  <c r="L5" i="37"/>
  <c r="L17" i="36"/>
  <c r="L30" i="36"/>
  <c r="L24" i="36"/>
  <c r="L9" i="37"/>
  <c r="L6" i="36"/>
  <c r="L11" i="36"/>
  <c r="L20" i="37"/>
  <c r="L12" i="37"/>
  <c r="L33" i="36"/>
  <c r="L17" i="37"/>
  <c r="L27" i="36"/>
  <c r="L8" i="37"/>
  <c r="L20" i="36"/>
  <c r="L22" i="36"/>
  <c r="L19" i="37"/>
  <c r="L10" i="37"/>
  <c r="L22" i="37"/>
  <c r="L12" i="36"/>
  <c r="L31" i="37"/>
  <c r="L24" i="37"/>
  <c r="L16" i="36"/>
  <c r="L26" i="37"/>
  <c r="L3" i="36"/>
  <c r="L28" i="36"/>
  <c r="L21" i="37"/>
  <c r="L5" i="36"/>
  <c r="L31" i="36"/>
  <c r="L6" i="37"/>
  <c r="L7" i="36"/>
  <c r="L8" i="36"/>
  <c r="L30" i="37"/>
  <c r="K2" i="36"/>
  <c r="L2" i="34"/>
  <c r="K2" i="37"/>
  <c r="L2" i="35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2" i="32"/>
  <c r="D9" i="32"/>
  <c r="D51" i="32"/>
  <c r="D17" i="32"/>
  <c r="D49" i="32"/>
  <c r="D43" i="32"/>
  <c r="D61" i="32"/>
  <c r="D31" i="32"/>
  <c r="D13" i="32"/>
  <c r="D35" i="32"/>
  <c r="D37" i="32"/>
  <c r="D6" i="32"/>
  <c r="D48" i="32"/>
  <c r="D30" i="32"/>
  <c r="D62" i="32"/>
  <c r="D41" i="32"/>
  <c r="D45" i="32"/>
  <c r="D22" i="32"/>
  <c r="D28" i="32"/>
  <c r="D12" i="32"/>
  <c r="D29" i="32"/>
  <c r="D23" i="32"/>
  <c r="D24" i="32"/>
  <c r="D34" i="32"/>
  <c r="D52" i="32"/>
  <c r="D54" i="32"/>
  <c r="D57" i="32"/>
  <c r="D5" i="32"/>
  <c r="D21" i="32"/>
  <c r="D11" i="32"/>
  <c r="D63" i="32"/>
  <c r="D33" i="32"/>
  <c r="D44" i="32"/>
  <c r="D25" i="32"/>
  <c r="D60" i="32"/>
  <c r="D47" i="32"/>
  <c r="D50" i="32"/>
  <c r="D15" i="32"/>
  <c r="D4" i="32"/>
  <c r="D36" i="32"/>
  <c r="D56" i="32"/>
  <c r="D19" i="32"/>
  <c r="D20" i="32"/>
  <c r="D38" i="32"/>
  <c r="D59" i="32"/>
  <c r="D16" i="32"/>
  <c r="D18" i="32"/>
  <c r="D8" i="32"/>
  <c r="D58" i="32"/>
  <c r="D39" i="32"/>
  <c r="D14" i="32"/>
  <c r="D3" i="32"/>
  <c r="D64" i="32"/>
  <c r="D26" i="32"/>
  <c r="D55" i="32"/>
  <c r="D7" i="32"/>
  <c r="D53" i="32"/>
  <c r="D27" i="32"/>
  <c r="D10" i="32"/>
  <c r="D40" i="32"/>
  <c r="D32" i="32"/>
  <c r="D46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10" i="32"/>
  <c r="E53" i="32"/>
  <c r="E9" i="32"/>
  <c r="E6" i="32"/>
  <c r="E27" i="32"/>
  <c r="E15" i="32"/>
  <c r="E16" i="32"/>
  <c r="E44" i="32"/>
  <c r="D4" i="31"/>
  <c r="E22" i="32"/>
  <c r="E55" i="32"/>
  <c r="E32" i="32"/>
  <c r="E39" i="32"/>
  <c r="E63" i="32"/>
  <c r="E18" i="32"/>
  <c r="E36" i="32"/>
  <c r="E33" i="32"/>
  <c r="E58" i="32"/>
  <c r="E25" i="32"/>
  <c r="E51" i="32"/>
  <c r="E41" i="32"/>
  <c r="E29" i="32"/>
  <c r="E42" i="32"/>
  <c r="E28" i="32"/>
  <c r="E11" i="32"/>
  <c r="D13" i="31"/>
  <c r="E14" i="32"/>
  <c r="E48" i="32"/>
  <c r="E19" i="32"/>
  <c r="E8" i="32"/>
  <c r="E62" i="32"/>
  <c r="E49" i="32"/>
  <c r="E12" i="32"/>
  <c r="E35" i="32"/>
  <c r="E31" i="32"/>
  <c r="E23" i="32"/>
  <c r="D16" i="31"/>
  <c r="E59" i="32"/>
  <c r="D12" i="31"/>
  <c r="E52" i="32"/>
  <c r="E37" i="32"/>
  <c r="E3" i="32"/>
  <c r="E5" i="32"/>
  <c r="E64" i="32"/>
  <c r="E46" i="32"/>
  <c r="E24" i="32"/>
  <c r="E50" i="32"/>
  <c r="D7" i="31"/>
  <c r="D11" i="31"/>
  <c r="D6" i="31"/>
  <c r="E57" i="32"/>
  <c r="D14" i="31"/>
  <c r="E20" i="32"/>
  <c r="E61" i="32"/>
  <c r="D10" i="31"/>
  <c r="D8" i="31"/>
  <c r="E30" i="32"/>
  <c r="E17" i="32"/>
  <c r="E38" i="32"/>
  <c r="E34" i="32"/>
  <c r="E43" i="32"/>
  <c r="E4" i="32"/>
  <c r="E54" i="32"/>
  <c r="E47" i="32"/>
  <c r="E7" i="32"/>
  <c r="E45" i="32"/>
  <c r="E60" i="32"/>
  <c r="E40" i="32"/>
  <c r="D15" i="31"/>
  <c r="E13" i="32"/>
  <c r="E21" i="32"/>
  <c r="D3" i="31"/>
  <c r="E56" i="32"/>
  <c r="D5" i="31"/>
  <c r="D9" i="31"/>
  <c r="E26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3" i="30"/>
  <c r="D10" i="30"/>
  <c r="D7" i="30"/>
  <c r="E13" i="31"/>
  <c r="D12" i="30"/>
  <c r="E9" i="31"/>
  <c r="E15" i="31"/>
  <c r="D4" i="30"/>
  <c r="D13" i="30"/>
  <c r="E3" i="31"/>
  <c r="E5" i="31"/>
  <c r="D5" i="30"/>
  <c r="E16" i="31"/>
  <c r="E7" i="31"/>
  <c r="E14" i="31"/>
  <c r="E8" i="31"/>
  <c r="D8" i="30"/>
  <c r="E11" i="31"/>
  <c r="E12" i="31"/>
  <c r="D6" i="30"/>
  <c r="D11" i="30"/>
  <c r="E4" i="31"/>
  <c r="E6" i="31"/>
  <c r="E10" i="31"/>
  <c r="D9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O11" i="30"/>
  <c r="E8" i="30"/>
  <c r="E11" i="30"/>
  <c r="E6" i="30"/>
  <c r="E10" i="30"/>
  <c r="D4" i="28"/>
  <c r="D9" i="29"/>
  <c r="O9" i="30"/>
  <c r="O7" i="30"/>
  <c r="E4" i="30"/>
  <c r="E12" i="30"/>
  <c r="E3" i="30"/>
  <c r="D4" i="29"/>
  <c r="E5" i="30"/>
  <c r="O6" i="30"/>
  <c r="O8" i="30"/>
  <c r="D3" i="28"/>
  <c r="D7" i="29"/>
  <c r="E13" i="30"/>
  <c r="D8" i="29"/>
  <c r="D11" i="29"/>
  <c r="D6" i="29"/>
  <c r="D10" i="29"/>
  <c r="E9" i="30"/>
  <c r="D5" i="29"/>
  <c r="O5" i="30"/>
  <c r="D3" i="29"/>
  <c r="E7" i="30"/>
  <c r="O10" i="30"/>
  <c r="D2" i="30"/>
  <c r="D2" i="31"/>
  <c r="D2" i="29"/>
  <c r="D2" i="32"/>
  <c r="D2" i="28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55" i="22"/>
  <c r="F31" i="22"/>
  <c r="F15" i="23"/>
  <c r="F7" i="23"/>
  <c r="F35" i="22"/>
  <c r="O9" i="29"/>
  <c r="F17" i="22"/>
  <c r="F37" i="22"/>
  <c r="F21" i="22"/>
  <c r="F22" i="22"/>
  <c r="O7" i="29"/>
  <c r="F46" i="22"/>
  <c r="F13" i="23"/>
  <c r="E11" i="29"/>
  <c r="F18" i="22"/>
  <c r="F6" i="22"/>
  <c r="F27" i="22"/>
  <c r="E6" i="29"/>
  <c r="F9" i="23"/>
  <c r="F53" i="22"/>
  <c r="F56" i="22"/>
  <c r="F26" i="22"/>
  <c r="F43" i="22"/>
  <c r="F29" i="22"/>
  <c r="F30" i="22"/>
  <c r="F36" i="22"/>
  <c r="F6" i="24"/>
  <c r="E7" i="29"/>
  <c r="F8" i="23"/>
  <c r="F28" i="22"/>
  <c r="F48" i="22"/>
  <c r="F12" i="23"/>
  <c r="F10" i="23"/>
  <c r="F8" i="24"/>
  <c r="F54" i="22"/>
  <c r="F11" i="22"/>
  <c r="F19" i="22"/>
  <c r="F49" i="22"/>
  <c r="E3" i="28"/>
  <c r="F32" i="22"/>
  <c r="F8" i="22"/>
  <c r="F11" i="23"/>
  <c r="D60" i="22"/>
  <c r="F24" i="22"/>
  <c r="F9" i="22"/>
  <c r="F5" i="22"/>
  <c r="F41" i="22"/>
  <c r="E3" i="29"/>
  <c r="E4" i="29"/>
  <c r="O6" i="29"/>
  <c r="O5" i="29"/>
  <c r="F42" i="22"/>
  <c r="E4" i="28"/>
  <c r="F5" i="24"/>
  <c r="F20" i="22"/>
  <c r="F45" i="22"/>
  <c r="F14" i="22"/>
  <c r="F9" i="24"/>
  <c r="F40" i="22"/>
  <c r="F7" i="24"/>
  <c r="O8" i="29"/>
  <c r="F34" i="22"/>
  <c r="F23" i="22"/>
  <c r="F25" i="22"/>
  <c r="F15" i="22"/>
  <c r="F52" i="22"/>
  <c r="F58" i="22"/>
  <c r="F33" i="22"/>
  <c r="F6" i="23"/>
  <c r="F51" i="22"/>
  <c r="F57" i="22"/>
  <c r="F7" i="22"/>
  <c r="F14" i="23"/>
  <c r="F39" i="22"/>
  <c r="F16" i="22"/>
  <c r="F12" i="22"/>
  <c r="F38" i="22"/>
  <c r="F47" i="22"/>
  <c r="E5" i="29"/>
  <c r="F13" i="22"/>
  <c r="E9" i="29"/>
  <c r="E10" i="29"/>
  <c r="F44" i="22"/>
  <c r="F10" i="24"/>
  <c r="F5" i="23"/>
  <c r="E8" i="29"/>
  <c r="F10" i="22"/>
  <c r="F11" i="24"/>
  <c r="F50" i="22"/>
  <c r="E2" i="31"/>
  <c r="E2" i="28"/>
  <c r="E2" i="30"/>
  <c r="E2" i="29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58" i="22"/>
  <c r="Y46" i="22"/>
  <c r="G37" i="22"/>
  <c r="F60" i="22"/>
  <c r="G17" i="22"/>
  <c r="F11" i="25"/>
  <c r="G31" i="22"/>
  <c r="Y13" i="22"/>
  <c r="G19" i="22"/>
  <c r="G26" i="22"/>
  <c r="G52" i="22"/>
  <c r="F19" i="25"/>
  <c r="Y45" i="22"/>
  <c r="Y54" i="22"/>
  <c r="G15" i="23"/>
  <c r="G7" i="22"/>
  <c r="Y14" i="22"/>
  <c r="Y52" i="22"/>
  <c r="Y29" i="22"/>
  <c r="Y28" i="22"/>
  <c r="F8" i="25"/>
  <c r="Y9" i="22"/>
  <c r="G10" i="22"/>
  <c r="Y22" i="22"/>
  <c r="Y15" i="22"/>
  <c r="Y33" i="22"/>
  <c r="G16" i="22"/>
  <c r="Y10" i="23"/>
  <c r="Y58" i="22"/>
  <c r="F37" i="25"/>
  <c r="G43" i="22"/>
  <c r="G7" i="24"/>
  <c r="Y24" i="22"/>
  <c r="Y51" i="22"/>
  <c r="Y10" i="22"/>
  <c r="G40" i="22"/>
  <c r="F12" i="25"/>
  <c r="G12" i="23"/>
  <c r="D61" i="22"/>
  <c r="Y40" i="22"/>
  <c r="G9" i="23"/>
  <c r="Y20" i="22"/>
  <c r="G5" i="23"/>
  <c r="Y36" i="22"/>
  <c r="F27" i="26"/>
  <c r="F19" i="26"/>
  <c r="G36" i="22"/>
  <c r="G45" i="22"/>
  <c r="G23" i="22"/>
  <c r="F16" i="26"/>
  <c r="G5" i="24"/>
  <c r="G49" i="22"/>
  <c r="G35" i="22"/>
  <c r="Y12" i="23"/>
  <c r="G53" i="22"/>
  <c r="F32" i="26"/>
  <c r="Y5" i="23"/>
  <c r="Y50" i="22"/>
  <c r="Y12" i="22"/>
  <c r="Y19" i="22"/>
  <c r="Y31" i="22"/>
  <c r="Y6" i="23"/>
  <c r="F29" i="25"/>
  <c r="F16" i="25"/>
  <c r="Y17" i="22"/>
  <c r="Y5" i="22"/>
  <c r="G48" i="22"/>
  <c r="G15" i="22"/>
  <c r="G22" i="22"/>
  <c r="G18" i="22"/>
  <c r="G29" i="22"/>
  <c r="G8" i="23"/>
  <c r="G55" i="22"/>
  <c r="G28" i="22"/>
  <c r="F13" i="25"/>
  <c r="G41" i="22"/>
  <c r="G11" i="23"/>
  <c r="F11" i="26"/>
  <c r="Y9" i="23"/>
  <c r="Y7" i="22"/>
  <c r="Y23" i="22"/>
  <c r="Y41" i="22"/>
  <c r="Y16" i="22"/>
  <c r="Y11" i="22"/>
  <c r="F24" i="25"/>
  <c r="G14" i="22"/>
  <c r="G20" i="22"/>
  <c r="G7" i="23"/>
  <c r="G39" i="22"/>
  <c r="G34" i="22"/>
  <c r="Y38" i="22"/>
  <c r="Y34" i="22"/>
  <c r="Y39" i="22"/>
  <c r="G8" i="22"/>
  <c r="F29" i="26"/>
  <c r="Y30" i="22"/>
  <c r="Y27" i="22"/>
  <c r="G9" i="24"/>
  <c r="Y53" i="22"/>
  <c r="G27" i="22"/>
  <c r="G42" i="22"/>
  <c r="G33" i="22"/>
  <c r="Y11" i="23"/>
  <c r="Y35" i="22"/>
  <c r="G51" i="22"/>
  <c r="Y18" i="22"/>
  <c r="Y32" i="22"/>
  <c r="G10" i="24"/>
  <c r="G32" i="22"/>
  <c r="G56" i="22"/>
  <c r="G10" i="23"/>
  <c r="G11" i="22"/>
  <c r="Y42" i="22"/>
  <c r="G30" i="22"/>
  <c r="G47" i="22"/>
  <c r="Y14" i="23"/>
  <c r="Y49" i="22"/>
  <c r="F35" i="26"/>
  <c r="G46" i="22"/>
  <c r="Y43" i="22"/>
  <c r="G13" i="23"/>
  <c r="G54" i="22"/>
  <c r="G8" i="24"/>
  <c r="Y37" i="22"/>
  <c r="Y47" i="22"/>
  <c r="G57" i="22"/>
  <c r="Y44" i="22"/>
  <c r="G24" i="22"/>
  <c r="Y57" i="22"/>
  <c r="G13" i="22"/>
  <c r="Y8" i="23"/>
  <c r="G14" i="23"/>
  <c r="Y55" i="22"/>
  <c r="G44" i="22"/>
  <c r="G12" i="22"/>
  <c r="Y48" i="22"/>
  <c r="Y6" i="22"/>
  <c r="G38" i="22"/>
  <c r="Y25" i="22"/>
  <c r="G25" i="22"/>
  <c r="G6" i="24"/>
  <c r="Y26" i="22"/>
  <c r="Y21" i="22"/>
  <c r="Y15" i="23"/>
  <c r="F24" i="26"/>
  <c r="Y56" i="22"/>
  <c r="Y7" i="23"/>
  <c r="G5" i="22"/>
  <c r="G9" i="22"/>
  <c r="G6" i="22"/>
  <c r="G50" i="22"/>
  <c r="G21" i="22"/>
  <c r="Y13" i="23"/>
  <c r="F40" i="26"/>
  <c r="G6" i="23"/>
  <c r="G11" i="24"/>
  <c r="Y8" i="22"/>
  <c r="F8" i="26"/>
  <c r="F21" i="25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G13" i="25"/>
  <c r="F21" i="26"/>
  <c r="F10" i="25"/>
  <c r="G24" i="26"/>
  <c r="F20" i="26"/>
  <c r="AC29" i="25"/>
  <c r="AC13" i="25"/>
  <c r="F39" i="26"/>
  <c r="F38" i="25"/>
  <c r="F30" i="26"/>
  <c r="F6" i="25"/>
  <c r="F15" i="26"/>
  <c r="F27" i="25"/>
  <c r="G40" i="26"/>
  <c r="F34" i="25"/>
  <c r="F38" i="26"/>
  <c r="G21" i="25"/>
  <c r="F6" i="26"/>
  <c r="F14" i="25"/>
  <c r="AC8" i="25"/>
  <c r="G29" i="26"/>
  <c r="F41" i="25"/>
  <c r="AC19" i="25"/>
  <c r="G60" i="22"/>
  <c r="AC16" i="25"/>
  <c r="F42" i="25"/>
  <c r="AC24" i="25"/>
  <c r="G24" i="25"/>
  <c r="G32" i="26"/>
  <c r="G27" i="26"/>
  <c r="F14" i="26"/>
  <c r="G16" i="26"/>
  <c r="F13" i="26"/>
  <c r="G29" i="25"/>
  <c r="G19" i="25"/>
  <c r="F7" i="26"/>
  <c r="G8" i="25"/>
  <c r="AC12" i="25"/>
  <c r="F31" i="25"/>
  <c r="F26" i="26"/>
  <c r="F25" i="25"/>
  <c r="F9" i="25"/>
  <c r="G8" i="26"/>
  <c r="F36" i="26"/>
  <c r="G19" i="26"/>
  <c r="F37" i="26"/>
  <c r="G12" i="25"/>
  <c r="G16" i="25"/>
  <c r="F41" i="26"/>
  <c r="F17" i="25"/>
  <c r="F15" i="25"/>
  <c r="F33" i="26"/>
  <c r="F18" i="25"/>
  <c r="G37" i="25"/>
  <c r="AC11" i="25"/>
  <c r="F7" i="25"/>
  <c r="F31" i="26"/>
  <c r="F35" i="25"/>
  <c r="F18" i="26"/>
  <c r="F22" i="26"/>
  <c r="F32" i="25"/>
  <c r="F20" i="25"/>
  <c r="F12" i="26"/>
  <c r="F25" i="26"/>
  <c r="F17" i="26"/>
  <c r="F36" i="25"/>
  <c r="F26" i="25"/>
  <c r="F39" i="25"/>
  <c r="AC37" i="25"/>
  <c r="F10" i="26"/>
  <c r="F42" i="26"/>
  <c r="F40" i="25"/>
  <c r="F34" i="26"/>
  <c r="G11" i="25"/>
  <c r="F23" i="26"/>
  <c r="F61" i="22"/>
  <c r="F23" i="25"/>
  <c r="G11" i="26"/>
  <c r="G35" i="26"/>
  <c r="F9" i="26"/>
  <c r="AC21" i="25"/>
  <c r="F30" i="25"/>
  <c r="F33" i="25"/>
  <c r="F28" i="26"/>
  <c r="F28" i="25"/>
  <c r="D62" i="22"/>
  <c r="F22" i="25"/>
  <c r="E62" i="22" l="1"/>
  <c r="G17" i="26"/>
  <c r="G28" i="25"/>
  <c r="G42" i="26"/>
  <c r="AC25" i="25"/>
  <c r="G39" i="25"/>
  <c r="G33" i="26"/>
  <c r="G38" i="25"/>
  <c r="G15" i="25"/>
  <c r="AC10" i="25"/>
  <c r="G31" i="25"/>
  <c r="AC6" i="25"/>
  <c r="G20" i="25"/>
  <c r="G34" i="25"/>
  <c r="AC26" i="25"/>
  <c r="G15" i="26"/>
  <c r="AC23" i="25"/>
  <c r="AC27" i="25"/>
  <c r="G41" i="25"/>
  <c r="G35" i="25"/>
  <c r="G28" i="26"/>
  <c r="AC36" i="25"/>
  <c r="AC15" i="25"/>
  <c r="G18" i="26"/>
  <c r="AC42" i="25"/>
  <c r="G23" i="26"/>
  <c r="AC40" i="25"/>
  <c r="AC7" i="25"/>
  <c r="G26" i="25"/>
  <c r="G17" i="25"/>
  <c r="AC9" i="25"/>
  <c r="G32" i="25"/>
  <c r="AC35" i="25"/>
  <c r="AC33" i="25"/>
  <c r="G26" i="26"/>
  <c r="G61" i="22"/>
  <c r="G23" i="25"/>
  <c r="AC34" i="25"/>
  <c r="AC18" i="25"/>
  <c r="G10" i="25"/>
  <c r="G34" i="26"/>
  <c r="G31" i="26"/>
  <c r="G30" i="26"/>
  <c r="G7" i="25"/>
  <c r="G10" i="26"/>
  <c r="G36" i="26"/>
  <c r="G37" i="26"/>
  <c r="G39" i="26"/>
  <c r="F62" i="22"/>
  <c r="G18" i="25"/>
  <c r="G14" i="25"/>
  <c r="G41" i="26"/>
  <c r="G13" i="26"/>
  <c r="G7" i="26"/>
  <c r="G21" i="26"/>
  <c r="G6" i="26"/>
  <c r="G20" i="26"/>
  <c r="G27" i="25"/>
  <c r="AC39" i="25"/>
  <c r="G25" i="26"/>
  <c r="AC22" i="25"/>
  <c r="G25" i="25"/>
  <c r="AC20" i="25"/>
  <c r="G22" i="25"/>
  <c r="G12" i="26"/>
  <c r="G9" i="26"/>
  <c r="G22" i="26"/>
  <c r="G40" i="25"/>
  <c r="G36" i="25"/>
  <c r="G33" i="25"/>
  <c r="G6" i="25"/>
  <c r="G30" i="25"/>
  <c r="G9" i="25"/>
  <c r="AC17" i="25"/>
  <c r="AC14" i="25"/>
  <c r="AC32" i="25"/>
  <c r="AC41" i="25"/>
  <c r="G14" i="26"/>
  <c r="AC28" i="25"/>
  <c r="G38" i="26"/>
  <c r="AC31" i="25"/>
  <c r="D63" i="22"/>
  <c r="G42" i="25"/>
  <c r="AC38" i="25"/>
  <c r="AC30" i="25"/>
  <c r="E63" i="22" l="1"/>
  <c r="D64" i="22"/>
  <c r="G62" i="22"/>
  <c r="F63" i="22"/>
  <c r="E64" i="22" l="1"/>
  <c r="F64" i="22"/>
  <c r="G63" i="22"/>
  <c r="D65" i="22"/>
  <c r="E65" i="22" l="1"/>
  <c r="G64" i="22"/>
  <c r="D66" i="22"/>
  <c r="F65" i="22"/>
  <c r="E66" i="22" l="1"/>
  <c r="F66" i="22"/>
  <c r="G65" i="22"/>
  <c r="D67" i="22"/>
  <c r="D68" i="22"/>
  <c r="E67" i="22" l="1"/>
  <c r="E68" i="22"/>
  <c r="D69" i="22"/>
  <c r="F68" i="22"/>
  <c r="F67" i="22"/>
  <c r="G66" i="22"/>
  <c r="E69" i="22" l="1"/>
  <c r="F69" i="22"/>
  <c r="D70" i="22"/>
  <c r="G68" i="22"/>
  <c r="G67" i="22"/>
  <c r="E70" i="22" l="1"/>
  <c r="D71" i="22"/>
  <c r="G69" i="22"/>
  <c r="F70" i="22"/>
  <c r="E71" i="22" l="1"/>
  <c r="F71" i="22"/>
  <c r="D72" i="22"/>
  <c r="G70" i="22"/>
  <c r="E72" i="22" l="1"/>
  <c r="F72" i="22"/>
  <c r="G71" i="22"/>
  <c r="D73" i="22"/>
  <c r="G72" i="22"/>
  <c r="E73" i="22" l="1"/>
  <c r="F73" i="22"/>
  <c r="D74" i="22"/>
  <c r="G73" i="22"/>
  <c r="E74" i="22" l="1"/>
  <c r="D75" i="22"/>
  <c r="F74" i="22"/>
  <c r="G74" i="22"/>
  <c r="E75" i="22" l="1"/>
  <c r="F75" i="22"/>
  <c r="D76" i="22"/>
  <c r="G75" i="22"/>
  <c r="E76" i="22" l="1"/>
  <c r="D77" i="22"/>
  <c r="F76" i="22"/>
  <c r="G76" i="22"/>
  <c r="E77" i="22" l="1"/>
  <c r="D78" i="22"/>
  <c r="D79" i="22"/>
  <c r="F77" i="22"/>
  <c r="G77" i="22"/>
  <c r="E78" i="22" l="1"/>
  <c r="E79" i="22"/>
  <c r="D80" i="22"/>
  <c r="F78" i="22"/>
  <c r="F79" i="22"/>
  <c r="G78" i="22"/>
  <c r="G79" i="22"/>
  <c r="E80" i="22" l="1"/>
  <c r="F80" i="22"/>
  <c r="D81" i="22"/>
  <c r="D82" i="22" s="1"/>
  <c r="F5" i="25"/>
  <c r="G80" i="22"/>
  <c r="F4" i="23"/>
  <c r="F4" i="24"/>
  <c r="F5" i="26"/>
  <c r="E81" i="22" l="1"/>
  <c r="E82" i="22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11" i="15"/>
  <c r="E11" i="16"/>
  <c r="E33" i="16"/>
  <c r="E5" i="16"/>
  <c r="E16" i="16"/>
  <c r="D12" i="15"/>
  <c r="D19" i="15"/>
  <c r="E10" i="16"/>
  <c r="D22" i="15"/>
  <c r="E14" i="16"/>
  <c r="E31" i="16"/>
  <c r="E22" i="16"/>
  <c r="D17" i="15"/>
  <c r="E35" i="16"/>
  <c r="D15" i="15"/>
  <c r="E12" i="16"/>
  <c r="E30" i="16"/>
  <c r="D18" i="15"/>
  <c r="D14" i="15"/>
  <c r="E34" i="16"/>
  <c r="D7" i="15"/>
  <c r="E6" i="16"/>
  <c r="D3" i="19" a="1"/>
  <c r="E21" i="16"/>
  <c r="D9" i="15"/>
  <c r="D21" i="15"/>
  <c r="E24" i="16"/>
  <c r="E18" i="16"/>
  <c r="E15" i="16"/>
  <c r="D10" i="15"/>
  <c r="E23" i="16"/>
  <c r="C5" i="20"/>
  <c r="Q5" i="20" s="1"/>
  <c r="F82" i="22"/>
  <c r="D13" i="15"/>
  <c r="E13" i="16"/>
  <c r="E4" i="16"/>
  <c r="D8" i="15"/>
  <c r="E25" i="16"/>
  <c r="D20" i="15"/>
  <c r="D83" i="22"/>
  <c r="D84" i="22" s="1"/>
  <c r="E19" i="16"/>
  <c r="E3" i="16"/>
  <c r="E7" i="16"/>
  <c r="D16" i="15"/>
  <c r="E32" i="16"/>
  <c r="E17" i="16"/>
  <c r="E27" i="16"/>
  <c r="E26" i="16"/>
  <c r="D6" i="15"/>
  <c r="E29" i="16"/>
  <c r="D5" i="15"/>
  <c r="E20" i="16"/>
  <c r="F81" i="22"/>
  <c r="E8" i="16"/>
  <c r="C6" i="20"/>
  <c r="Q6" i="20" s="1"/>
  <c r="Q3" i="20" s="1"/>
  <c r="E28" i="16"/>
  <c r="E9" i="16"/>
  <c r="G5" i="25"/>
  <c r="G5" i="26"/>
  <c r="AC5" i="25"/>
  <c r="G4" i="24"/>
  <c r="G4" i="23"/>
  <c r="G81" i="22"/>
  <c r="G82" i="22"/>
  <c r="AM2" i="18" l="1"/>
  <c r="AM3" i="18"/>
  <c r="E83" i="22"/>
  <c r="E84" i="22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E13" i="15"/>
  <c r="F18" i="19"/>
  <c r="F52" i="19"/>
  <c r="F27" i="18"/>
  <c r="F19" i="18"/>
  <c r="F14" i="18"/>
  <c r="F26" i="19"/>
  <c r="F101" i="19"/>
  <c r="P15" i="15"/>
  <c r="F115" i="19"/>
  <c r="E9" i="15"/>
  <c r="E14" i="15"/>
  <c r="F36" i="18"/>
  <c r="F118" i="19"/>
  <c r="F37" i="19"/>
  <c r="F23" i="18"/>
  <c r="F7" i="18"/>
  <c r="F36" i="19"/>
  <c r="F14" i="17"/>
  <c r="F10" i="18"/>
  <c r="P11" i="15"/>
  <c r="F97" i="19"/>
  <c r="F80" i="19"/>
  <c r="F33" i="16"/>
  <c r="F15" i="16"/>
  <c r="E12" i="15"/>
  <c r="F75" i="19"/>
  <c r="F12" i="19"/>
  <c r="F16" i="16"/>
  <c r="F95" i="19"/>
  <c r="F3" i="16"/>
  <c r="F79" i="19"/>
  <c r="E10" i="15"/>
  <c r="F9" i="18"/>
  <c r="F6" i="16"/>
  <c r="F96" i="19"/>
  <c r="F47" i="18"/>
  <c r="F16" i="18"/>
  <c r="F91" i="19"/>
  <c r="F51" i="19"/>
  <c r="P6" i="15"/>
  <c r="P14" i="15"/>
  <c r="F65" i="19"/>
  <c r="F32" i="16"/>
  <c r="F64" i="19"/>
  <c r="E17" i="15"/>
  <c r="F20" i="16"/>
  <c r="F24" i="16"/>
  <c r="F31" i="16"/>
  <c r="F16" i="17"/>
  <c r="F6" i="18"/>
  <c r="F121" i="19"/>
  <c r="F100" i="19"/>
  <c r="E20" i="15"/>
  <c r="F66" i="19"/>
  <c r="F112" i="19"/>
  <c r="E6" i="15"/>
  <c r="E5" i="15"/>
  <c r="E11" i="15"/>
  <c r="F17" i="18"/>
  <c r="F119" i="19"/>
  <c r="F50" i="19"/>
  <c r="F57" i="19"/>
  <c r="P7" i="15"/>
  <c r="F53" i="19"/>
  <c r="F68" i="19"/>
  <c r="D85" i="22"/>
  <c r="P21" i="15"/>
  <c r="F41" i="18"/>
  <c r="F107" i="19"/>
  <c r="F59" i="19"/>
  <c r="F30" i="16"/>
  <c r="F55" i="19"/>
  <c r="F8" i="18"/>
  <c r="P10" i="15"/>
  <c r="F72" i="19"/>
  <c r="F88" i="19"/>
  <c r="P5" i="15"/>
  <c r="F28" i="16"/>
  <c r="F117" i="19"/>
  <c r="F93" i="19"/>
  <c r="F39" i="18"/>
  <c r="F17" i="17"/>
  <c r="F86" i="19"/>
  <c r="P9" i="15"/>
  <c r="F4" i="16"/>
  <c r="F104" i="19"/>
  <c r="F13" i="19"/>
  <c r="F69" i="19"/>
  <c r="F9" i="19"/>
  <c r="F40" i="19"/>
  <c r="F35" i="16"/>
  <c r="F24" i="18"/>
  <c r="F7" i="17"/>
  <c r="F28" i="19"/>
  <c r="F113" i="19"/>
  <c r="F43" i="19"/>
  <c r="F83" i="22"/>
  <c r="F60" i="19"/>
  <c r="F15" i="18"/>
  <c r="F48" i="19"/>
  <c r="F23" i="16"/>
  <c r="E19" i="15"/>
  <c r="E22" i="15"/>
  <c r="F30" i="19"/>
  <c r="F58" i="19"/>
  <c r="F94" i="19"/>
  <c r="F24" i="19"/>
  <c r="F77" i="19"/>
  <c r="F10" i="17"/>
  <c r="F116" i="19"/>
  <c r="F98" i="19"/>
  <c r="F78" i="19"/>
  <c r="F10" i="19"/>
  <c r="F42" i="19"/>
  <c r="F67" i="19"/>
  <c r="F6" i="19"/>
  <c r="F21" i="19"/>
  <c r="F44" i="19"/>
  <c r="F44" i="18"/>
  <c r="F12" i="17"/>
  <c r="F70" i="19"/>
  <c r="F56" i="19"/>
  <c r="F33" i="18"/>
  <c r="F103" i="19"/>
  <c r="F14" i="16"/>
  <c r="E18" i="15"/>
  <c r="E8" i="15"/>
  <c r="F46" i="19"/>
  <c r="E16" i="15"/>
  <c r="F84" i="19"/>
  <c r="F89" i="19"/>
  <c r="F42" i="18"/>
  <c r="F3" i="19"/>
  <c r="F47" i="19"/>
  <c r="F41" i="19"/>
  <c r="F25" i="16"/>
  <c r="F10" i="16"/>
  <c r="F108" i="19"/>
  <c r="F30" i="18"/>
  <c r="F63" i="19"/>
  <c r="F76" i="19"/>
  <c r="F22" i="16"/>
  <c r="F22" i="18"/>
  <c r="F32" i="18"/>
  <c r="F114" i="19"/>
  <c r="F43" i="18"/>
  <c r="F90" i="19"/>
  <c r="F32" i="19"/>
  <c r="F109" i="19"/>
  <c r="F8" i="19"/>
  <c r="F34" i="18"/>
  <c r="P22" i="15"/>
  <c r="F54" i="19"/>
  <c r="F18" i="18"/>
  <c r="F38" i="19"/>
  <c r="F39" i="19"/>
  <c r="P17" i="15"/>
  <c r="D6" i="20"/>
  <c r="F19" i="19"/>
  <c r="F27" i="16"/>
  <c r="F82" i="19"/>
  <c r="P13" i="15"/>
  <c r="F18" i="16"/>
  <c r="F85" i="19"/>
  <c r="F45" i="18"/>
  <c r="F110" i="19"/>
  <c r="F29" i="18"/>
  <c r="F8" i="17"/>
  <c r="F15" i="17"/>
  <c r="F13" i="18"/>
  <c r="F15" i="19"/>
  <c r="F25" i="18"/>
  <c r="F102" i="19"/>
  <c r="F13" i="16"/>
  <c r="F17" i="16"/>
  <c r="E15" i="15"/>
  <c r="F25" i="19"/>
  <c r="F87" i="19"/>
  <c r="E7" i="15"/>
  <c r="F8" i="16"/>
  <c r="F22" i="19"/>
  <c r="F99" i="19"/>
  <c r="F92" i="19"/>
  <c r="F11" i="18"/>
  <c r="P12" i="15"/>
  <c r="F122" i="19"/>
  <c r="F7" i="19"/>
  <c r="F35" i="18"/>
  <c r="F16" i="19"/>
  <c r="F105" i="19"/>
  <c r="F40" i="18"/>
  <c r="F12" i="16"/>
  <c r="F14" i="19"/>
  <c r="P18" i="15"/>
  <c r="P8" i="15"/>
  <c r="F29" i="19"/>
  <c r="F83" i="19"/>
  <c r="F20" i="18"/>
  <c r="F106" i="19"/>
  <c r="F20" i="19"/>
  <c r="F71" i="19"/>
  <c r="F73" i="19"/>
  <c r="P16" i="15"/>
  <c r="F13" i="17"/>
  <c r="F120" i="19"/>
  <c r="F21" i="16"/>
  <c r="F5" i="16"/>
  <c r="F11" i="19"/>
  <c r="D5" i="20"/>
  <c r="P19" i="15"/>
  <c r="F23" i="19"/>
  <c r="F11" i="16"/>
  <c r="F62" i="19"/>
  <c r="F111" i="19"/>
  <c r="F46" i="18"/>
  <c r="F34" i="16"/>
  <c r="F4" i="19"/>
  <c r="F27" i="19"/>
  <c r="F26" i="16"/>
  <c r="F34" i="19"/>
  <c r="E21" i="15"/>
  <c r="F28" i="18"/>
  <c r="F45" i="19"/>
  <c r="F74" i="19"/>
  <c r="P20" i="15"/>
  <c r="F37" i="18"/>
  <c r="F17" i="19"/>
  <c r="F49" i="19"/>
  <c r="F19" i="16"/>
  <c r="F12" i="18"/>
  <c r="F7" i="16"/>
  <c r="F31" i="19"/>
  <c r="F21" i="18"/>
  <c r="F5" i="19"/>
  <c r="F11" i="17"/>
  <c r="F26" i="18"/>
  <c r="F33" i="19"/>
  <c r="F31" i="18"/>
  <c r="F9" i="17"/>
  <c r="F38" i="18"/>
  <c r="F61" i="19"/>
  <c r="F81" i="19"/>
  <c r="F84" i="22"/>
  <c r="F9" i="16"/>
  <c r="F29" i="16"/>
  <c r="F35" i="19"/>
  <c r="F6" i="17"/>
  <c r="F5" i="18"/>
  <c r="E2" i="16"/>
  <c r="C4" i="20"/>
  <c r="F5" i="17"/>
  <c r="G83" i="22"/>
  <c r="G84" i="22"/>
  <c r="F2" i="19"/>
  <c r="D4" i="15"/>
  <c r="E85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46" i="19"/>
  <c r="Z39" i="18"/>
  <c r="G6" i="19"/>
  <c r="G47" i="18"/>
  <c r="G52" i="19"/>
  <c r="Z43" i="18"/>
  <c r="G9" i="17"/>
  <c r="G117" i="19"/>
  <c r="G13" i="18"/>
  <c r="G49" i="19"/>
  <c r="G21" i="18"/>
  <c r="G15" i="17"/>
  <c r="G53" i="19"/>
  <c r="Z24" i="18"/>
  <c r="G41" i="19"/>
  <c r="G111" i="19"/>
  <c r="G110" i="19"/>
  <c r="G7" i="18"/>
  <c r="G43" i="19"/>
  <c r="G21" i="19"/>
  <c r="G7" i="17"/>
  <c r="G109" i="19"/>
  <c r="Z30" i="18"/>
  <c r="G70" i="19"/>
  <c r="G12" i="17"/>
  <c r="G39" i="19"/>
  <c r="G101" i="19"/>
  <c r="Z10" i="18"/>
  <c r="G66" i="19"/>
  <c r="G15" i="19"/>
  <c r="G58" i="19"/>
  <c r="G45" i="18"/>
  <c r="Z14" i="18"/>
  <c r="G119" i="19"/>
  <c r="G10" i="17"/>
  <c r="G64" i="19"/>
  <c r="G13" i="17"/>
  <c r="G71" i="19"/>
  <c r="G25" i="18"/>
  <c r="G50" i="19"/>
  <c r="G3" i="19"/>
  <c r="G31" i="18"/>
  <c r="G9" i="18"/>
  <c r="G107" i="19"/>
  <c r="G82" i="19"/>
  <c r="G8" i="18"/>
  <c r="G97" i="19"/>
  <c r="Z36" i="18"/>
  <c r="G91" i="19"/>
  <c r="G93" i="19"/>
  <c r="G55" i="19"/>
  <c r="G106" i="19"/>
  <c r="G74" i="19"/>
  <c r="G46" i="18"/>
  <c r="G37" i="18"/>
  <c r="G27" i="18"/>
  <c r="G90" i="19"/>
  <c r="G31" i="19"/>
  <c r="G76" i="19"/>
  <c r="G89" i="19"/>
  <c r="Z7" i="18"/>
  <c r="G57" i="19"/>
  <c r="Z33" i="18"/>
  <c r="G10" i="18"/>
  <c r="G81" i="19"/>
  <c r="Z22" i="18"/>
  <c r="G102" i="19"/>
  <c r="G11" i="17"/>
  <c r="Z26" i="18"/>
  <c r="Z9" i="18"/>
  <c r="G5" i="19"/>
  <c r="Z11" i="18"/>
  <c r="G8" i="17"/>
  <c r="G12" i="18"/>
  <c r="G99" i="19"/>
  <c r="G28" i="19"/>
  <c r="G6" i="18"/>
  <c r="G38" i="18"/>
  <c r="Z18" i="18"/>
  <c r="G11" i="19"/>
  <c r="G120" i="19"/>
  <c r="G112" i="19"/>
  <c r="Z28" i="18"/>
  <c r="G14" i="18"/>
  <c r="G10" i="19"/>
  <c r="Z37" i="18"/>
  <c r="G35" i="18"/>
  <c r="Z41" i="18"/>
  <c r="G113" i="19"/>
  <c r="G9" i="19"/>
  <c r="G100" i="19"/>
  <c r="G18" i="19"/>
  <c r="G42" i="19"/>
  <c r="G22" i="18"/>
  <c r="G65" i="19"/>
  <c r="Z47" i="18"/>
  <c r="Z31" i="18"/>
  <c r="G17" i="19"/>
  <c r="G96" i="19"/>
  <c r="G43" i="18"/>
  <c r="Z21" i="18"/>
  <c r="Z38" i="18"/>
  <c r="G29" i="18"/>
  <c r="G42" i="18"/>
  <c r="Z25" i="18"/>
  <c r="G29" i="19"/>
  <c r="G104" i="19"/>
  <c r="G34" i="18"/>
  <c r="G62" i="19"/>
  <c r="G20" i="19"/>
  <c r="Z46" i="18"/>
  <c r="G34" i="19"/>
  <c r="G68" i="19"/>
  <c r="G19" i="18"/>
  <c r="G44" i="18"/>
  <c r="G23" i="18"/>
  <c r="G44" i="19"/>
  <c r="G86" i="19"/>
  <c r="Z27" i="18"/>
  <c r="Z40" i="18"/>
  <c r="G20" i="18"/>
  <c r="G122" i="19"/>
  <c r="G16" i="19"/>
  <c r="G27" i="19"/>
  <c r="G14" i="17"/>
  <c r="G30" i="19"/>
  <c r="G18" i="18"/>
  <c r="Z29" i="18"/>
  <c r="G26" i="18"/>
  <c r="G51" i="19"/>
  <c r="G45" i="19"/>
  <c r="G60" i="19"/>
  <c r="G67" i="19"/>
  <c r="G33" i="19"/>
  <c r="G78" i="19"/>
  <c r="Z6" i="18"/>
  <c r="G103" i="19"/>
  <c r="G83" i="19"/>
  <c r="G63" i="19"/>
  <c r="Z20" i="18"/>
  <c r="G38" i="19"/>
  <c r="G32" i="18"/>
  <c r="G40" i="19"/>
  <c r="Z23" i="18"/>
  <c r="G48" i="19"/>
  <c r="G88" i="19"/>
  <c r="G85" i="19"/>
  <c r="G24" i="19"/>
  <c r="G36" i="18"/>
  <c r="G30" i="18"/>
  <c r="G35" i="19"/>
  <c r="G37" i="19"/>
  <c r="G77" i="19"/>
  <c r="G28" i="18"/>
  <c r="Z13" i="18"/>
  <c r="G95" i="19"/>
  <c r="Z32" i="18"/>
  <c r="G114" i="19"/>
  <c r="G80" i="19"/>
  <c r="Z8" i="18"/>
  <c r="G4" i="19"/>
  <c r="G17" i="17"/>
  <c r="G54" i="19"/>
  <c r="G36" i="19"/>
  <c r="G115" i="19"/>
  <c r="Z44" i="18"/>
  <c r="G15" i="18"/>
  <c r="G26" i="19"/>
  <c r="G13" i="19"/>
  <c r="G16" i="18"/>
  <c r="G23" i="19"/>
  <c r="D86" i="22"/>
  <c r="D87" i="22" s="1"/>
  <c r="G6" i="17"/>
  <c r="G24" i="18"/>
  <c r="G108" i="19"/>
  <c r="Z42" i="18"/>
  <c r="Z45" i="18"/>
  <c r="G47" i="19"/>
  <c r="Z34" i="18"/>
  <c r="G19" i="19"/>
  <c r="G105" i="19"/>
  <c r="G98" i="19"/>
  <c r="G8" i="19"/>
  <c r="G116" i="19"/>
  <c r="Z35" i="18"/>
  <c r="G39" i="18"/>
  <c r="G32" i="19"/>
  <c r="Z17" i="18"/>
  <c r="G75" i="19"/>
  <c r="Z16" i="18"/>
  <c r="G7" i="19"/>
  <c r="G40" i="18"/>
  <c r="Z19" i="18"/>
  <c r="G94" i="19"/>
  <c r="G17" i="18"/>
  <c r="G92" i="19"/>
  <c r="G59" i="19"/>
  <c r="G61" i="19"/>
  <c r="Z12" i="18"/>
  <c r="G25" i="19"/>
  <c r="G33" i="18"/>
  <c r="G14" i="19"/>
  <c r="G16" i="17"/>
  <c r="G72" i="19"/>
  <c r="G41" i="18"/>
  <c r="G11" i="18"/>
  <c r="G56" i="19"/>
  <c r="G79" i="19"/>
  <c r="G118" i="19"/>
  <c r="G22" i="19"/>
  <c r="F85" i="22"/>
  <c r="G69" i="19"/>
  <c r="G73" i="19"/>
  <c r="Z15" i="18"/>
  <c r="G12" i="19"/>
  <c r="G87" i="19"/>
  <c r="G84" i="19"/>
  <c r="G121" i="19"/>
  <c r="G85" i="22"/>
  <c r="E4" i="15"/>
  <c r="G2" i="19"/>
  <c r="G5" i="18"/>
  <c r="D4" i="20"/>
  <c r="F2" i="16"/>
  <c r="G5" i="17"/>
  <c r="E86" i="22" l="1"/>
  <c r="E87" i="22"/>
  <c r="E5" i="13"/>
  <c r="E5" i="11"/>
  <c r="E5" i="12"/>
  <c r="C6" i="13"/>
  <c r="C6" i="12"/>
  <c r="C6" i="11"/>
  <c r="D88" i="22"/>
  <c r="F5" i="11"/>
  <c r="F5" i="13"/>
  <c r="F86" i="22"/>
  <c r="F87" i="22"/>
  <c r="F5" i="12"/>
  <c r="G86" i="22"/>
  <c r="G87" i="22"/>
  <c r="E88" i="22" l="1"/>
  <c r="C7" i="13"/>
  <c r="E6" i="13"/>
  <c r="E4" i="12"/>
  <c r="C7" i="12"/>
  <c r="E6" i="12"/>
  <c r="E4" i="11"/>
  <c r="C7" i="11"/>
  <c r="E6" i="11"/>
  <c r="F6" i="12"/>
  <c r="G5" i="11"/>
  <c r="D89" i="22"/>
  <c r="F88" i="22"/>
  <c r="AC5" i="11"/>
  <c r="F6" i="13"/>
  <c r="G5" i="13"/>
  <c r="F6" i="11"/>
  <c r="G5" i="12"/>
  <c r="G88" i="22"/>
  <c r="E89" i="22" l="1"/>
  <c r="C8" i="13"/>
  <c r="E7" i="13"/>
  <c r="E7" i="12"/>
  <c r="C8" i="12"/>
  <c r="E7" i="11"/>
  <c r="C8" i="11"/>
  <c r="AC6" i="11"/>
  <c r="D90" i="22"/>
  <c r="F7" i="11"/>
  <c r="G6" i="12"/>
  <c r="G6" i="11"/>
  <c r="F89" i="22"/>
  <c r="F7" i="13"/>
  <c r="G6" i="13"/>
  <c r="F7" i="12"/>
  <c r="G89" i="22"/>
  <c r="E90" i="22" l="1"/>
  <c r="E8" i="13"/>
  <c r="C9" i="13"/>
  <c r="C9" i="12"/>
  <c r="E8" i="12"/>
  <c r="E8" i="11"/>
  <c r="C9" i="11"/>
  <c r="G7" i="13"/>
  <c r="F8" i="13"/>
  <c r="F8" i="11"/>
  <c r="D91" i="22"/>
  <c r="AC7" i="11"/>
  <c r="F90" i="22"/>
  <c r="G7" i="12"/>
  <c r="G7" i="11"/>
  <c r="F8" i="12"/>
  <c r="G90" i="22"/>
  <c r="E91" i="22" l="1"/>
  <c r="E4" i="13"/>
  <c r="C10" i="13"/>
  <c r="E9" i="13"/>
  <c r="E9" i="12"/>
  <c r="C10" i="12"/>
  <c r="C10" i="11"/>
  <c r="E9" i="11"/>
  <c r="G8" i="11"/>
  <c r="D92" i="22"/>
  <c r="D93" i="22"/>
  <c r="F9" i="11"/>
  <c r="F91" i="22"/>
  <c r="G8" i="12"/>
  <c r="G8" i="13"/>
  <c r="F9" i="13"/>
  <c r="AC8" i="11"/>
  <c r="F9" i="12"/>
  <c r="G91" i="22"/>
  <c r="E92" i="22" l="1"/>
  <c r="E93" i="22"/>
  <c r="E10" i="13"/>
  <c r="C11" i="13"/>
  <c r="E10" i="12"/>
  <c r="C11" i="12"/>
  <c r="E10" i="11"/>
  <c r="C11" i="11"/>
  <c r="F10" i="11"/>
  <c r="AC9" i="11"/>
  <c r="F93" i="22"/>
  <c r="G9" i="13"/>
  <c r="D94" i="22"/>
  <c r="G9" i="11"/>
  <c r="F10" i="13"/>
  <c r="G9" i="12"/>
  <c r="F10" i="12"/>
  <c r="F92" i="22"/>
  <c r="G92" i="22"/>
  <c r="G93" i="22"/>
  <c r="E94" i="22" l="1"/>
  <c r="E11" i="13"/>
  <c r="C12" i="13"/>
  <c r="E11" i="12"/>
  <c r="C12" i="12"/>
  <c r="C12" i="11"/>
  <c r="E11" i="11"/>
  <c r="F11" i="11"/>
  <c r="F11" i="12"/>
  <c r="G10" i="13"/>
  <c r="G10" i="11"/>
  <c r="D95" i="22"/>
  <c r="G10" i="12"/>
  <c r="F11" i="13"/>
  <c r="AC10" i="11"/>
  <c r="F94" i="22"/>
  <c r="G94" i="22"/>
  <c r="E95" i="22" l="1"/>
  <c r="E12" i="13"/>
  <c r="C13" i="13"/>
  <c r="E12" i="12"/>
  <c r="C13" i="12"/>
  <c r="E12" i="11"/>
  <c r="C13" i="11"/>
  <c r="AC11" i="11"/>
  <c r="F12" i="11"/>
  <c r="G11" i="12"/>
  <c r="F95" i="22"/>
  <c r="F12" i="13"/>
  <c r="G11" i="13"/>
  <c r="F12" i="12"/>
  <c r="G11" i="11"/>
  <c r="G95" i="22"/>
  <c r="F4" i="22"/>
  <c r="E13" i="13" l="1"/>
  <c r="C14" i="13"/>
  <c r="E13" i="12"/>
  <c r="C14" i="12"/>
  <c r="E13" i="11"/>
  <c r="C14" i="11"/>
  <c r="G12" i="11"/>
  <c r="F13" i="11"/>
  <c r="AC12" i="11"/>
  <c r="G12" i="13"/>
  <c r="F13" i="12"/>
  <c r="G12" i="12"/>
  <c r="F13" i="13"/>
  <c r="G4" i="22"/>
  <c r="C15" i="13" l="1"/>
  <c r="E14" i="13"/>
  <c r="C15" i="12"/>
  <c r="E14" i="12"/>
  <c r="C15" i="11"/>
  <c r="E14" i="11"/>
  <c r="F14" i="12"/>
  <c r="G13" i="11"/>
  <c r="G13" i="12"/>
  <c r="G13" i="13"/>
  <c r="F14" i="13"/>
  <c r="AC13" i="11"/>
  <c r="F14" i="11"/>
  <c r="C16" i="13" l="1"/>
  <c r="E15" i="13"/>
  <c r="E15" i="12"/>
  <c r="C16" i="12"/>
  <c r="E15" i="11"/>
  <c r="C16" i="11"/>
  <c r="G14" i="11"/>
  <c r="AC14" i="11"/>
  <c r="F15" i="11"/>
  <c r="F15" i="13"/>
  <c r="F15" i="12"/>
  <c r="G14" i="12"/>
  <c r="G14" i="13"/>
  <c r="E16" i="13" l="1"/>
  <c r="C17" i="13"/>
  <c r="C17" i="12"/>
  <c r="E16" i="12"/>
  <c r="E16" i="11"/>
  <c r="C17" i="11"/>
  <c r="AC15" i="11"/>
  <c r="G15" i="11"/>
  <c r="F16" i="12"/>
  <c r="G15" i="13"/>
  <c r="F16" i="13"/>
  <c r="G15" i="12"/>
  <c r="F16" i="11"/>
  <c r="E17" i="13" l="1"/>
  <c r="C18" i="13"/>
  <c r="C18" i="12"/>
  <c r="E17" i="12"/>
  <c r="C18" i="11"/>
  <c r="E17" i="11"/>
  <c r="G16" i="12"/>
  <c r="F17" i="13"/>
  <c r="AC16" i="11"/>
  <c r="F17" i="11"/>
  <c r="G16" i="13"/>
  <c r="G16" i="11"/>
  <c r="F17" i="12"/>
  <c r="C19" i="13" l="1"/>
  <c r="E18" i="13"/>
  <c r="E18" i="12"/>
  <c r="C19" i="12"/>
  <c r="E18" i="11"/>
  <c r="C19" i="11"/>
  <c r="F18" i="12"/>
  <c r="G17" i="12"/>
  <c r="F18" i="13"/>
  <c r="G17" i="13"/>
  <c r="AC17" i="11"/>
  <c r="F18" i="11"/>
  <c r="G17" i="11"/>
  <c r="E19" i="13" l="1"/>
  <c r="C20" i="13"/>
  <c r="C20" i="12"/>
  <c r="E19" i="12"/>
  <c r="C20" i="11"/>
  <c r="E19" i="11"/>
  <c r="G18" i="11"/>
  <c r="AC18" i="11"/>
  <c r="F19" i="12"/>
  <c r="G18" i="13"/>
  <c r="G18" i="12"/>
  <c r="F19" i="13"/>
  <c r="F19" i="11"/>
  <c r="E20" i="13" l="1"/>
  <c r="C21" i="13"/>
  <c r="C21" i="12"/>
  <c r="E20" i="12"/>
  <c r="E20" i="11"/>
  <c r="C21" i="11"/>
  <c r="G19" i="12"/>
  <c r="G19" i="13"/>
  <c r="G19" i="11"/>
  <c r="F20" i="11"/>
  <c r="F20" i="13"/>
  <c r="AC19" i="11"/>
  <c r="F20" i="12"/>
  <c r="E21" i="13" l="1"/>
  <c r="C22" i="13"/>
  <c r="E21" i="12"/>
  <c r="C22" i="12"/>
  <c r="E21" i="11"/>
  <c r="C22" i="11"/>
  <c r="G20" i="11"/>
  <c r="F21" i="12"/>
  <c r="G20" i="13"/>
  <c r="AC20" i="11"/>
  <c r="F21" i="11"/>
  <c r="G20" i="12"/>
  <c r="F21" i="13"/>
  <c r="C23" i="13" l="1"/>
  <c r="E22" i="13"/>
  <c r="C23" i="12"/>
  <c r="E22" i="12"/>
  <c r="C23" i="11"/>
  <c r="E22" i="11"/>
  <c r="G21" i="11"/>
  <c r="G21" i="13"/>
  <c r="G21" i="12"/>
  <c r="F22" i="11"/>
  <c r="AC21" i="11"/>
  <c r="F22" i="12"/>
  <c r="F22" i="13"/>
  <c r="C24" i="13" l="1"/>
  <c r="E23" i="13"/>
  <c r="E23" i="12"/>
  <c r="C24" i="12"/>
  <c r="E23" i="11"/>
  <c r="C24" i="11"/>
  <c r="AC22" i="11"/>
  <c r="G22" i="11"/>
  <c r="G22" i="12"/>
  <c r="F23" i="12"/>
  <c r="G22" i="13"/>
  <c r="F23" i="11"/>
  <c r="F23" i="13"/>
  <c r="E24" i="13" l="1"/>
  <c r="C25" i="13"/>
  <c r="E24" i="12"/>
  <c r="C25" i="12"/>
  <c r="E24" i="11"/>
  <c r="C25" i="11"/>
  <c r="F24" i="11"/>
  <c r="F24" i="13"/>
  <c r="G23" i="11"/>
  <c r="G23" i="13"/>
  <c r="AC23" i="11"/>
  <c r="G23" i="12"/>
  <c r="F24" i="12"/>
  <c r="E25" i="13" l="1"/>
  <c r="C26" i="13"/>
  <c r="C26" i="12"/>
  <c r="E25" i="12"/>
  <c r="C26" i="11"/>
  <c r="E25" i="11"/>
  <c r="F25" i="12"/>
  <c r="G24" i="12"/>
  <c r="F25" i="11"/>
  <c r="F25" i="13"/>
  <c r="G24" i="11"/>
  <c r="G24" i="13"/>
  <c r="AC24" i="11"/>
  <c r="C27" i="13" l="1"/>
  <c r="E26" i="13"/>
  <c r="E26" i="12"/>
  <c r="C27" i="12"/>
  <c r="E26" i="11"/>
  <c r="C27" i="11"/>
  <c r="AC25" i="11"/>
  <c r="G25" i="11"/>
  <c r="G25" i="12"/>
  <c r="F26" i="13"/>
  <c r="F26" i="12"/>
  <c r="F26" i="11"/>
  <c r="G25" i="13"/>
  <c r="E27" i="13" l="1"/>
  <c r="C28" i="13"/>
  <c r="C28" i="12"/>
  <c r="E27" i="12"/>
  <c r="C28" i="11"/>
  <c r="E27" i="11"/>
  <c r="F27" i="11"/>
  <c r="G26" i="12"/>
  <c r="G26" i="13"/>
  <c r="AC26" i="11"/>
  <c r="F27" i="12"/>
  <c r="F27" i="13"/>
  <c r="G26" i="11"/>
  <c r="C29" i="13" l="1"/>
  <c r="E28" i="13"/>
  <c r="E28" i="12"/>
  <c r="C29" i="12"/>
  <c r="C29" i="11"/>
  <c r="E28" i="11"/>
  <c r="F28" i="12"/>
  <c r="G27" i="12"/>
  <c r="F28" i="13"/>
  <c r="G27" i="11"/>
  <c r="G27" i="13"/>
  <c r="F28" i="11"/>
  <c r="AC27" i="11"/>
  <c r="E29" i="13" l="1"/>
  <c r="C30" i="13"/>
  <c r="E29" i="12"/>
  <c r="C30" i="12"/>
  <c r="E29" i="11"/>
  <c r="C30" i="11"/>
  <c r="F29" i="11"/>
  <c r="F29" i="13"/>
  <c r="G28" i="12"/>
  <c r="G28" i="11"/>
  <c r="F29" i="12"/>
  <c r="AC28" i="11"/>
  <c r="G28" i="13"/>
  <c r="C31" i="13" l="1"/>
  <c r="E30" i="13"/>
  <c r="C31" i="12"/>
  <c r="E30" i="12"/>
  <c r="C31" i="11"/>
  <c r="E30" i="11"/>
  <c r="AC29" i="11"/>
  <c r="F30" i="12"/>
  <c r="G29" i="13"/>
  <c r="F30" i="11"/>
  <c r="G29" i="11"/>
  <c r="G29" i="12"/>
  <c r="F30" i="13"/>
  <c r="C32" i="13" l="1"/>
  <c r="E31" i="13"/>
  <c r="E31" i="12"/>
  <c r="C32" i="12"/>
  <c r="E31" i="11"/>
  <c r="C32" i="11"/>
  <c r="G30" i="12"/>
  <c r="G30" i="11"/>
  <c r="G30" i="13"/>
  <c r="AC30" i="11"/>
  <c r="F31" i="12"/>
  <c r="F31" i="11"/>
  <c r="F31" i="13"/>
  <c r="E32" i="13" l="1"/>
  <c r="C33" i="13"/>
  <c r="E32" i="12"/>
  <c r="C33" i="12"/>
  <c r="E32" i="11"/>
  <c r="C33" i="11"/>
  <c r="G31" i="12"/>
  <c r="AC31" i="11"/>
  <c r="G31" i="13"/>
  <c r="F32" i="12"/>
  <c r="F32" i="13"/>
  <c r="G31" i="11"/>
  <c r="F32" i="11"/>
  <c r="E33" i="13" l="1"/>
  <c r="C34" i="13"/>
  <c r="C34" i="12"/>
  <c r="E33" i="12"/>
  <c r="C34" i="11"/>
  <c r="E33" i="11"/>
  <c r="AC32" i="11"/>
  <c r="F33" i="13"/>
  <c r="G32" i="13"/>
  <c r="F33" i="11"/>
  <c r="G32" i="12"/>
  <c r="F33" i="12"/>
  <c r="G32" i="11"/>
  <c r="C35" i="13" l="1"/>
  <c r="E34" i="13"/>
  <c r="E34" i="12"/>
  <c r="C35" i="12"/>
  <c r="E34" i="11"/>
  <c r="C35" i="11"/>
  <c r="AC33" i="11"/>
  <c r="F34" i="11"/>
  <c r="F34" i="12"/>
  <c r="G33" i="13"/>
  <c r="F34" i="13"/>
  <c r="G33" i="12"/>
  <c r="G33" i="11"/>
  <c r="E35" i="13" l="1"/>
  <c r="C36" i="13"/>
  <c r="C36" i="12"/>
  <c r="E35" i="12"/>
  <c r="C36" i="11"/>
  <c r="E35" i="11"/>
  <c r="F35" i="11"/>
  <c r="AC34" i="11"/>
  <c r="F35" i="13"/>
  <c r="G34" i="12"/>
  <c r="G34" i="13"/>
  <c r="G34" i="11"/>
  <c r="F35" i="12"/>
  <c r="E36" i="13" l="1"/>
  <c r="C37" i="13"/>
  <c r="E36" i="12"/>
  <c r="C37" i="12"/>
  <c r="E36" i="11"/>
  <c r="C37" i="11"/>
  <c r="F36" i="11"/>
  <c r="F36" i="12"/>
  <c r="G35" i="12"/>
  <c r="G35" i="13"/>
  <c r="F36" i="13"/>
  <c r="AC35" i="11"/>
  <c r="G35" i="11"/>
  <c r="E37" i="13" l="1"/>
  <c r="C38" i="13"/>
  <c r="E37" i="12"/>
  <c r="C38" i="12"/>
  <c r="E37" i="11"/>
  <c r="C38" i="11"/>
  <c r="F37" i="13"/>
  <c r="F37" i="12"/>
  <c r="G36" i="11"/>
  <c r="G36" i="12"/>
  <c r="F37" i="11"/>
  <c r="G36" i="13"/>
  <c r="AC36" i="11"/>
  <c r="C39" i="13" l="1"/>
  <c r="E38" i="13"/>
  <c r="C39" i="12"/>
  <c r="E38" i="12"/>
  <c r="C39" i="11"/>
  <c r="E38" i="11"/>
  <c r="G37" i="11"/>
  <c r="G37" i="13"/>
  <c r="G37" i="12"/>
  <c r="F38" i="13"/>
  <c r="AC37" i="11"/>
  <c r="F38" i="11"/>
  <c r="F38" i="12"/>
  <c r="C40" i="13" l="1"/>
  <c r="E39" i="13"/>
  <c r="C40" i="12"/>
  <c r="E39" i="12"/>
  <c r="E39" i="11"/>
  <c r="C40" i="11"/>
  <c r="F39" i="12"/>
  <c r="G38" i="11"/>
  <c r="G38" i="12"/>
  <c r="F39" i="11"/>
  <c r="F39" i="13"/>
  <c r="AC38" i="11"/>
  <c r="G38" i="13"/>
  <c r="E40" i="13" l="1"/>
  <c r="C41" i="13"/>
  <c r="E40" i="12"/>
  <c r="C41" i="12"/>
  <c r="E40" i="11"/>
  <c r="C41" i="11"/>
  <c r="G39" i="12"/>
  <c r="G39" i="11"/>
  <c r="F40" i="12"/>
  <c r="AC39" i="11"/>
  <c r="G39" i="13"/>
  <c r="F40" i="13"/>
  <c r="F40" i="11"/>
  <c r="E41" i="13" l="1"/>
  <c r="C42" i="13"/>
  <c r="E42" i="13" s="1"/>
  <c r="C42" i="12"/>
  <c r="E42" i="12" s="1"/>
  <c r="E41" i="12"/>
  <c r="C42" i="11"/>
  <c r="E42" i="11" s="1"/>
  <c r="E41" i="11"/>
  <c r="F42" i="13"/>
  <c r="F41" i="13"/>
  <c r="AC40" i="11"/>
  <c r="F41" i="11"/>
  <c r="F41" i="12"/>
  <c r="F42" i="12"/>
  <c r="G40" i="11"/>
  <c r="G40" i="13"/>
  <c r="G40" i="12"/>
  <c r="F42" i="11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58" i="8"/>
  <c r="F49" i="7"/>
  <c r="F13" i="7"/>
  <c r="F9" i="6"/>
  <c r="F39" i="7"/>
  <c r="F53" i="8"/>
  <c r="F51" i="8"/>
  <c r="F25" i="7"/>
  <c r="F45" i="7"/>
  <c r="F11" i="8"/>
  <c r="F61" i="7"/>
  <c r="G42" i="11"/>
  <c r="F66" i="8"/>
  <c r="F32" i="7"/>
  <c r="F22" i="7"/>
  <c r="F50" i="7"/>
  <c r="F37" i="8"/>
  <c r="F41" i="8"/>
  <c r="F50" i="8"/>
  <c r="F7" i="6"/>
  <c r="F47" i="8"/>
  <c r="F63" i="8"/>
  <c r="F17" i="6"/>
  <c r="F42" i="8"/>
  <c r="F57" i="7"/>
  <c r="F54" i="7"/>
  <c r="F59" i="7"/>
  <c r="F11" i="6"/>
  <c r="F26" i="8"/>
  <c r="F52" i="8"/>
  <c r="F65" i="8"/>
  <c r="F8" i="6"/>
  <c r="F52" i="7"/>
  <c r="F36" i="8"/>
  <c r="F15" i="6"/>
  <c r="F18" i="7"/>
  <c r="F48" i="7"/>
  <c r="F30" i="8"/>
  <c r="F31" i="8"/>
  <c r="F45" i="8"/>
  <c r="F21" i="7"/>
  <c r="F38" i="7"/>
  <c r="F60" i="8"/>
  <c r="F21" i="6"/>
  <c r="F41" i="7"/>
  <c r="F40" i="7"/>
  <c r="F36" i="7"/>
  <c r="F31" i="7"/>
  <c r="F24" i="8"/>
  <c r="F16" i="8"/>
  <c r="F64" i="7"/>
  <c r="F21" i="8"/>
  <c r="F17" i="8"/>
  <c r="F61" i="8"/>
  <c r="F37" i="7"/>
  <c r="F27" i="8"/>
  <c r="F8" i="8"/>
  <c r="F43" i="7"/>
  <c r="F27" i="7"/>
  <c r="G41" i="12"/>
  <c r="F10" i="6"/>
  <c r="F55" i="8"/>
  <c r="F56" i="7"/>
  <c r="F38" i="8"/>
  <c r="F10" i="7"/>
  <c r="F64" i="8"/>
  <c r="F39" i="8"/>
  <c r="F33" i="8"/>
  <c r="F9" i="8"/>
  <c r="F19" i="6"/>
  <c r="F40" i="8"/>
  <c r="F47" i="7"/>
  <c r="F11" i="7"/>
  <c r="F6" i="6"/>
  <c r="F18" i="8"/>
  <c r="F28" i="8"/>
  <c r="F14" i="7"/>
  <c r="F44" i="8"/>
  <c r="F16" i="6"/>
  <c r="F35" i="7"/>
  <c r="F25" i="8"/>
  <c r="F14" i="8"/>
  <c r="F59" i="8"/>
  <c r="F58" i="7"/>
  <c r="F46" i="7"/>
  <c r="F43" i="8"/>
  <c r="F12" i="8"/>
  <c r="F16" i="7"/>
  <c r="F34" i="8"/>
  <c r="G41" i="11"/>
  <c r="F13" i="8"/>
  <c r="G42" i="12"/>
  <c r="F24" i="7"/>
  <c r="F23" i="8"/>
  <c r="F65" i="7"/>
  <c r="F56" i="8"/>
  <c r="F17" i="7"/>
  <c r="F15" i="8"/>
  <c r="F20" i="7"/>
  <c r="F28" i="7"/>
  <c r="F48" i="8"/>
  <c r="F46" i="8"/>
  <c r="F32" i="8"/>
  <c r="F26" i="7"/>
  <c r="F12" i="7"/>
  <c r="F15" i="7"/>
  <c r="F20" i="8"/>
  <c r="G42" i="13"/>
  <c r="F53" i="7"/>
  <c r="F63" i="7"/>
  <c r="F57" i="8"/>
  <c r="AC42" i="11"/>
  <c r="F22" i="6"/>
  <c r="G41" i="13"/>
  <c r="F12" i="6"/>
  <c r="F33" i="7"/>
  <c r="F22" i="8"/>
  <c r="F7" i="7"/>
  <c r="F60" i="7"/>
  <c r="F18" i="6"/>
  <c r="F62" i="7"/>
  <c r="F49" i="8"/>
  <c r="F8" i="7"/>
  <c r="F10" i="8"/>
  <c r="F19" i="8"/>
  <c r="F20" i="6"/>
  <c r="F19" i="7"/>
  <c r="F54" i="8"/>
  <c r="F23" i="7"/>
  <c r="F9" i="7"/>
  <c r="AC41" i="11"/>
  <c r="F13" i="6"/>
  <c r="F7" i="8"/>
  <c r="F44" i="7"/>
  <c r="F29" i="8"/>
  <c r="F42" i="7"/>
  <c r="F30" i="7"/>
  <c r="F66" i="7"/>
  <c r="F51" i="7"/>
  <c r="F35" i="8"/>
  <c r="F34" i="7"/>
  <c r="F62" i="8"/>
  <c r="F29" i="7"/>
  <c r="F14" i="6"/>
  <c r="F55" i="7"/>
  <c r="G4" i="11"/>
  <c r="G4" i="12"/>
  <c r="G4" i="13"/>
  <c r="AM4" i="18" l="1"/>
  <c r="F7" i="9"/>
  <c r="AM6" i="18"/>
  <c r="AQ6" i="18" s="1"/>
  <c r="S3" i="13"/>
  <c r="X5" i="13" s="1" a="1"/>
  <c r="AM30" i="18"/>
  <c r="AM28" i="18"/>
  <c r="AM24" i="18"/>
  <c r="AM18" i="18"/>
  <c r="AM37" i="18"/>
  <c r="AN30" i="18"/>
  <c r="G62" i="8"/>
  <c r="G47" i="8"/>
  <c r="F12" i="9"/>
  <c r="G65" i="8"/>
  <c r="G31" i="8"/>
  <c r="G27" i="7"/>
  <c r="F57" i="9"/>
  <c r="G41" i="7"/>
  <c r="G36" i="8"/>
  <c r="F35" i="9"/>
  <c r="G14" i="8"/>
  <c r="F49" i="9"/>
  <c r="F32" i="9"/>
  <c r="G60" i="8"/>
  <c r="H22" i="6"/>
  <c r="G59" i="8"/>
  <c r="G52" i="8"/>
  <c r="G20" i="7"/>
  <c r="F59" i="9"/>
  <c r="F68" i="9"/>
  <c r="F22" i="9"/>
  <c r="F30" i="9"/>
  <c r="G14" i="6"/>
  <c r="H15" i="6"/>
  <c r="G30" i="8"/>
  <c r="G41" i="8"/>
  <c r="AM29" i="18"/>
  <c r="AN24" i="18"/>
  <c r="G26" i="8"/>
  <c r="F48" i="9"/>
  <c r="H19" i="6"/>
  <c r="H7" i="6"/>
  <c r="G23" i="8"/>
  <c r="F15" i="9"/>
  <c r="G12" i="7"/>
  <c r="F38" i="9"/>
  <c r="AM32" i="18"/>
  <c r="AN28" i="18"/>
  <c r="G39" i="8"/>
  <c r="H6" i="6"/>
  <c r="G43" i="8"/>
  <c r="G46" i="7"/>
  <c r="G9" i="7"/>
  <c r="G18" i="8"/>
  <c r="G37" i="7"/>
  <c r="G44" i="8"/>
  <c r="F13" i="9"/>
  <c r="G64" i="7"/>
  <c r="G21" i="8"/>
  <c r="G38" i="9"/>
  <c r="G61" i="7"/>
  <c r="F11" i="9"/>
  <c r="AM8" i="18"/>
  <c r="AN8" i="18" s="1"/>
  <c r="G11" i="7"/>
  <c r="F65" i="9"/>
  <c r="G10" i="8"/>
  <c r="F37" i="9"/>
  <c r="G8" i="8"/>
  <c r="G32" i="7"/>
  <c r="H10" i="6"/>
  <c r="AM42" i="18"/>
  <c r="AN42" i="18" s="1"/>
  <c r="AM11" i="18"/>
  <c r="AN11" i="18" s="1"/>
  <c r="AM16" i="18"/>
  <c r="AM23" i="18"/>
  <c r="AM39" i="18"/>
  <c r="AN39" i="18"/>
  <c r="G24" i="8"/>
  <c r="G44" i="7"/>
  <c r="F45" i="9"/>
  <c r="G22" i="7"/>
  <c r="F41" i="9"/>
  <c r="G59" i="7"/>
  <c r="G20" i="8"/>
  <c r="G13" i="6"/>
  <c r="G24" i="7"/>
  <c r="F16" i="9"/>
  <c r="G29" i="8"/>
  <c r="G22" i="6"/>
  <c r="H8" i="6"/>
  <c r="F66" i="9"/>
  <c r="G17" i="8"/>
  <c r="G62" i="7"/>
  <c r="G45" i="7"/>
  <c r="G60" i="7"/>
  <c r="G25" i="8"/>
  <c r="G49" i="7"/>
  <c r="G7" i="6"/>
  <c r="G10" i="6"/>
  <c r="G39" i="7"/>
  <c r="F25" i="9"/>
  <c r="G9" i="8"/>
  <c r="G57" i="8"/>
  <c r="G7" i="8"/>
  <c r="H13" i="6"/>
  <c r="G53" i="8"/>
  <c r="AM15" i="18"/>
  <c r="AN15" i="18" s="1"/>
  <c r="AM7" i="18"/>
  <c r="AM12" i="18"/>
  <c r="AN12" i="18" s="1"/>
  <c r="F23" i="9"/>
  <c r="G23" i="9" s="1"/>
  <c r="F18" i="9"/>
  <c r="G54" i="8"/>
  <c r="H16" i="6"/>
  <c r="G8" i="7"/>
  <c r="G18" i="7"/>
  <c r="G51" i="8"/>
  <c r="G43" i="7"/>
  <c r="G13" i="8"/>
  <c r="AM34" i="18"/>
  <c r="AM26" i="18"/>
  <c r="AM41" i="18"/>
  <c r="AN41" i="18" s="1"/>
  <c r="G55" i="8"/>
  <c r="G9" i="6"/>
  <c r="G28" i="7"/>
  <c r="G26" i="7"/>
  <c r="F63" i="9"/>
  <c r="G63" i="9" s="1"/>
  <c r="G7" i="7"/>
  <c r="H21" i="6"/>
  <c r="G34" i="7"/>
  <c r="F39" i="9"/>
  <c r="F52" i="9"/>
  <c r="AM31" i="18"/>
  <c r="F51" i="9"/>
  <c r="G27" i="8"/>
  <c r="G58" i="7"/>
  <c r="G16" i="7"/>
  <c r="H17" i="6"/>
  <c r="F50" i="9"/>
  <c r="F44" i="9"/>
  <c r="AM10" i="18"/>
  <c r="AM25" i="18"/>
  <c r="AN25" i="18" s="1"/>
  <c r="AM13" i="18"/>
  <c r="AM47" i="18"/>
  <c r="AN47" i="18" s="1"/>
  <c r="AM35" i="18"/>
  <c r="AN35" i="18" s="1"/>
  <c r="AM46" i="18"/>
  <c r="AN37" i="18"/>
  <c r="AN13" i="18"/>
  <c r="AN7" i="18"/>
  <c r="G63" i="8"/>
  <c r="H11" i="6"/>
  <c r="G42" i="7"/>
  <c r="G52" i="7"/>
  <c r="F26" i="9"/>
  <c r="G13" i="7"/>
  <c r="G37" i="8"/>
  <c r="F27" i="9"/>
  <c r="F20" i="9"/>
  <c r="G32" i="8"/>
  <c r="F17" i="9"/>
  <c r="G23" i="7"/>
  <c r="G25" i="7"/>
  <c r="G20" i="6"/>
  <c r="F60" i="9"/>
  <c r="G48" i="7"/>
  <c r="G15" i="8"/>
  <c r="G40" i="8"/>
  <c r="G46" i="8"/>
  <c r="G65" i="7"/>
  <c r="F34" i="9"/>
  <c r="G34" i="9" s="1"/>
  <c r="G50" i="8"/>
  <c r="G22" i="8"/>
  <c r="F28" i="9"/>
  <c r="G12" i="6"/>
  <c r="G49" i="9"/>
  <c r="AM22" i="18"/>
  <c r="AM43" i="18"/>
  <c r="AN43" i="18" s="1"/>
  <c r="G40" i="7"/>
  <c r="G15" i="6"/>
  <c r="G35" i="8"/>
  <c r="G45" i="8"/>
  <c r="G12" i="8"/>
  <c r="G66" i="9"/>
  <c r="G16" i="9"/>
  <c r="G28" i="8"/>
  <c r="G17" i="6"/>
  <c r="F69" i="9"/>
  <c r="AM21" i="18"/>
  <c r="AN32" i="18"/>
  <c r="AN23" i="18"/>
  <c r="F54" i="9"/>
  <c r="G54" i="9" s="1"/>
  <c r="G50" i="7"/>
  <c r="H18" i="6"/>
  <c r="F36" i="9"/>
  <c r="F42" i="9"/>
  <c r="G18" i="9"/>
  <c r="G34" i="8"/>
  <c r="G26" i="9"/>
  <c r="G33" i="8"/>
  <c r="F43" i="9"/>
  <c r="AM38" i="18"/>
  <c r="AN38" i="18" s="1"/>
  <c r="AM20" i="18"/>
  <c r="AN20" i="18" s="1"/>
  <c r="AN10" i="18"/>
  <c r="F33" i="9"/>
  <c r="G64" i="8"/>
  <c r="G51" i="7"/>
  <c r="G38" i="7"/>
  <c r="G19" i="6"/>
  <c r="F67" i="9"/>
  <c r="AN6" i="18"/>
  <c r="AM36" i="18"/>
  <c r="AN36" i="18" s="1"/>
  <c r="AM33" i="18"/>
  <c r="AM17" i="18"/>
  <c r="AM14" i="18"/>
  <c r="AN14" i="18" s="1"/>
  <c r="AN34" i="18"/>
  <c r="AN33" i="18"/>
  <c r="AN17" i="18"/>
  <c r="AN26" i="18"/>
  <c r="AN18" i="18"/>
  <c r="G30" i="7"/>
  <c r="G21" i="6"/>
  <c r="G29" i="7"/>
  <c r="G31" i="7"/>
  <c r="F53" i="9"/>
  <c r="G18" i="6"/>
  <c r="I18" i="6" s="1"/>
  <c r="G10" i="7"/>
  <c r="G17" i="7"/>
  <c r="G53" i="7"/>
  <c r="F47" i="9"/>
  <c r="G47" i="9" s="1"/>
  <c r="H20" i="6"/>
  <c r="G61" i="8"/>
  <c r="G21" i="7"/>
  <c r="F24" i="9"/>
  <c r="G36" i="7"/>
  <c r="H12" i="6"/>
  <c r="G49" i="8"/>
  <c r="G38" i="8"/>
  <c r="G42" i="8"/>
  <c r="G35" i="7"/>
  <c r="G11" i="8"/>
  <c r="G56" i="7"/>
  <c r="F58" i="9"/>
  <c r="G55" i="7"/>
  <c r="G8" i="6"/>
  <c r="I8" i="6" s="1"/>
  <c r="G15" i="7"/>
  <c r="G14" i="7"/>
  <c r="G54" i="7"/>
  <c r="F31" i="9"/>
  <c r="AM45" i="18"/>
  <c r="AM19" i="18"/>
  <c r="AN19" i="18" s="1"/>
  <c r="AM9" i="18"/>
  <c r="AN9" i="18" s="1"/>
  <c r="AM40" i="18"/>
  <c r="AN40" i="18" s="1"/>
  <c r="AM44" i="18"/>
  <c r="AN44" i="18" s="1"/>
  <c r="AN45" i="18"/>
  <c r="AN46" i="18"/>
  <c r="AN31" i="18"/>
  <c r="AN21" i="18"/>
  <c r="AN22" i="18"/>
  <c r="AN16" i="18"/>
  <c r="F21" i="9"/>
  <c r="F29" i="9"/>
  <c r="G66" i="8"/>
  <c r="F40" i="9"/>
  <c r="G63" i="7"/>
  <c r="G16" i="6"/>
  <c r="I16" i="6" s="1"/>
  <c r="G66" i="7"/>
  <c r="G19" i="8"/>
  <c r="F64" i="9"/>
  <c r="G19" i="7"/>
  <c r="G48" i="8"/>
  <c r="G58" i="8"/>
  <c r="G56" i="8"/>
  <c r="F19" i="9"/>
  <c r="F46" i="9"/>
  <c r="G16" i="8"/>
  <c r="F10" i="9"/>
  <c r="H9" i="6"/>
  <c r="G33" i="7"/>
  <c r="F62" i="9"/>
  <c r="F56" i="9"/>
  <c r="F61" i="9"/>
  <c r="AM27" i="18"/>
  <c r="AN27" i="18" s="1"/>
  <c r="AN29" i="18"/>
  <c r="F14" i="9"/>
  <c r="G14" i="9" s="1"/>
  <c r="H14" i="6"/>
  <c r="G57" i="7"/>
  <c r="G11" i="6"/>
  <c r="I11" i="6" s="1"/>
  <c r="I15" i="6"/>
  <c r="F55" i="9"/>
  <c r="G47" i="7"/>
  <c r="Y3" i="22"/>
  <c r="F6" i="8"/>
  <c r="F5" i="6"/>
  <c r="F6" i="7"/>
  <c r="F9" i="9"/>
  <c r="X6" i="13" l="1"/>
  <c r="X13" i="13"/>
  <c r="X21" i="13"/>
  <c r="X29" i="13"/>
  <c r="X37" i="13"/>
  <c r="X22" i="13"/>
  <c r="X38" i="13"/>
  <c r="X39" i="13" s="1"/>
  <c r="X40" i="13" s="1"/>
  <c r="X41" i="13" s="1"/>
  <c r="X42" i="13" s="1"/>
  <c r="X17" i="13"/>
  <c r="X10" i="13"/>
  <c r="X34" i="13"/>
  <c r="X35" i="13"/>
  <c r="X36" i="13"/>
  <c r="X5" i="13"/>
  <c r="X14" i="13"/>
  <c r="X30" i="13"/>
  <c r="X25" i="13"/>
  <c r="X26" i="13"/>
  <c r="X11" i="13"/>
  <c r="X27" i="13"/>
  <c r="X12" i="13"/>
  <c r="X28" i="13"/>
  <c r="X7" i="13"/>
  <c r="X15" i="13"/>
  <c r="X23" i="13"/>
  <c r="X31" i="13"/>
  <c r="X8" i="13"/>
  <c r="X16" i="13"/>
  <c r="X24" i="13"/>
  <c r="X32" i="13"/>
  <c r="X9" i="13"/>
  <c r="X33" i="13"/>
  <c r="X18" i="13"/>
  <c r="X19" i="13"/>
  <c r="X20" i="13"/>
  <c r="S3" i="12"/>
  <c r="G55" i="9"/>
  <c r="G28" i="9"/>
  <c r="I14" i="6"/>
  <c r="G37" i="9"/>
  <c r="G51" i="9"/>
  <c r="G36" i="9"/>
  <c r="G11" i="9"/>
  <c r="G41" i="9"/>
  <c r="G50" i="9"/>
  <c r="G57" i="9"/>
  <c r="G67" i="9"/>
  <c r="G39" i="9"/>
  <c r="G69" i="9"/>
  <c r="G40" i="9"/>
  <c r="I10" i="6"/>
  <c r="G15" i="9"/>
  <c r="I19" i="6"/>
  <c r="G65" i="9"/>
  <c r="G43" i="9"/>
  <c r="G33" i="9"/>
  <c r="G62" i="9"/>
  <c r="G60" i="9"/>
  <c r="G30" i="9"/>
  <c r="G27" i="9"/>
  <c r="G31" i="9"/>
  <c r="G12" i="9"/>
  <c r="I22" i="6"/>
  <c r="G68" i="9"/>
  <c r="G32" i="9"/>
  <c r="G48" i="9"/>
  <c r="G56" i="9"/>
  <c r="I13" i="6"/>
  <c r="G19" i="9"/>
  <c r="G58" i="9"/>
  <c r="I20" i="6"/>
  <c r="G45" i="9"/>
  <c r="G61" i="9"/>
  <c r="G52" i="9"/>
  <c r="G21" i="9"/>
  <c r="G10" i="9"/>
  <c r="G44" i="9"/>
  <c r="G59" i="9"/>
  <c r="G29" i="9"/>
  <c r="G46" i="9"/>
  <c r="G22" i="9"/>
  <c r="G25" i="9"/>
  <c r="I17" i="6"/>
  <c r="G64" i="9"/>
  <c r="G42" i="9"/>
  <c r="G24" i="9"/>
  <c r="I21" i="6"/>
  <c r="G53" i="9"/>
  <c r="I12" i="6"/>
  <c r="G35" i="9"/>
  <c r="I7" i="6"/>
  <c r="I9" i="6"/>
  <c r="G13" i="9"/>
  <c r="G20" i="9"/>
  <c r="G17" i="9"/>
  <c r="G9" i="9"/>
  <c r="G6" i="7"/>
  <c r="H5" i="6"/>
  <c r="G6" i="8"/>
  <c r="AC5" i="13" l="1" a="1"/>
  <c r="AC42" i="13" s="1"/>
  <c r="X5" i="12" a="1"/>
  <c r="AD42" i="13"/>
  <c r="AC15" i="13" l="1"/>
  <c r="AC40" i="13"/>
  <c r="AC26" i="13"/>
  <c r="AC12" i="13"/>
  <c r="AC24" i="13"/>
  <c r="AC5" i="13"/>
  <c r="AC7" i="13"/>
  <c r="AC18" i="13"/>
  <c r="AC23" i="13"/>
  <c r="AC34" i="13"/>
  <c r="AC6" i="13"/>
  <c r="AC17" i="13"/>
  <c r="AC36" i="13"/>
  <c r="AC39" i="13"/>
  <c r="AC33" i="13"/>
  <c r="AC27" i="13"/>
  <c r="AC21" i="13"/>
  <c r="AC38" i="13"/>
  <c r="AC10" i="13"/>
  <c r="AC29" i="13"/>
  <c r="AC32" i="13"/>
  <c r="AC37" i="13"/>
  <c r="AC9" i="13"/>
  <c r="AC13" i="13"/>
  <c r="AC31" i="13"/>
  <c r="AC11" i="13"/>
  <c r="AC14" i="13"/>
  <c r="AC25" i="13"/>
  <c r="AC19" i="13"/>
  <c r="AC20" i="13"/>
  <c r="AC22" i="13"/>
  <c r="AC8" i="13"/>
  <c r="AC30" i="13"/>
  <c r="AC16" i="13"/>
  <c r="AC41" i="13"/>
  <c r="AC35" i="13"/>
  <c r="AC28" i="13"/>
  <c r="X6" i="12"/>
  <c r="X7" i="12"/>
  <c r="X8" i="12"/>
  <c r="X5" i="12"/>
  <c r="X9" i="12"/>
  <c r="AD17" i="13"/>
  <c r="AD6" i="13"/>
  <c r="AD20" i="13"/>
  <c r="AD41" i="13"/>
  <c r="AD14" i="13"/>
  <c r="AD37" i="13"/>
  <c r="AD38" i="13"/>
  <c r="AD24" i="13"/>
  <c r="AD16" i="13"/>
  <c r="AD11" i="13"/>
  <c r="AD40" i="13"/>
  <c r="AD35" i="13"/>
  <c r="AD23" i="13"/>
  <c r="AD19" i="13"/>
  <c r="AD7" i="13"/>
  <c r="AD31" i="13"/>
  <c r="AD8" i="13"/>
  <c r="AD15" i="13"/>
  <c r="AD27" i="13"/>
  <c r="AD25" i="13"/>
  <c r="AD34" i="13"/>
  <c r="AD30" i="13"/>
  <c r="AD18" i="13"/>
  <c r="AD13" i="13"/>
  <c r="AD36" i="13"/>
  <c r="AD9" i="13"/>
  <c r="AD28" i="13"/>
  <c r="AD33" i="13"/>
  <c r="AD22" i="13"/>
  <c r="AD29" i="13"/>
  <c r="AD39" i="13"/>
  <c r="AD12" i="13"/>
  <c r="AD32" i="13"/>
  <c r="AD5" i="13"/>
  <c r="AD10" i="13"/>
  <c r="AD21" i="13"/>
  <c r="AD26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D3" i="13"/>
  <c r="AC5" i="12" l="1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40" i="12"/>
  <c r="AD6" i="12"/>
  <c r="AD32" i="12"/>
  <c r="AD5" i="12"/>
  <c r="AD30" i="12"/>
  <c r="AD13" i="12"/>
  <c r="AD22" i="12"/>
  <c r="AD36" i="12"/>
  <c r="AD28" i="12"/>
  <c r="AD18" i="12"/>
  <c r="AD26" i="12"/>
  <c r="AD34" i="12"/>
  <c r="AD8" i="12"/>
  <c r="AD12" i="12"/>
  <c r="AD14" i="12"/>
  <c r="AD38" i="12"/>
  <c r="AD20" i="12"/>
  <c r="AD19" i="12"/>
  <c r="AD27" i="12"/>
  <c r="AD11" i="12"/>
  <c r="AD17" i="12"/>
  <c r="AD7" i="12"/>
  <c r="AD10" i="12"/>
  <c r="AD24" i="12"/>
  <c r="AD37" i="12"/>
  <c r="AD33" i="12"/>
  <c r="AD9" i="12"/>
  <c r="AD35" i="12"/>
  <c r="AD41" i="12"/>
  <c r="AD39" i="12"/>
  <c r="AD29" i="12"/>
  <c r="AD31" i="12"/>
  <c r="AD15" i="12"/>
  <c r="AD23" i="12"/>
  <c r="AD21" i="12"/>
  <c r="AD16" i="12"/>
  <c r="AD25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M6" i="17" a="1"/>
  <c r="P3" i="15"/>
  <c r="Y3" i="23"/>
  <c r="Z3" i="24"/>
  <c r="Y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M6" i="18" a="1"/>
  <c r="AA12" i="17"/>
  <c r="AA15" i="17"/>
  <c r="AA16" i="17"/>
  <c r="AA6" i="17"/>
  <c r="AA8" i="17"/>
  <c r="AA13" i="17"/>
  <c r="AA11" i="17"/>
  <c r="AA7" i="17"/>
  <c r="AA9" i="17"/>
  <c r="AA14" i="17"/>
  <c r="AA17" i="17"/>
  <c r="AA10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Z4" i="18"/>
  <c r="O3" i="30"/>
  <c r="O3" i="31"/>
  <c r="AD3" i="26"/>
  <c r="O3" i="29"/>
  <c r="AM5" i="18"/>
  <c r="AN5" i="18"/>
  <c r="AC3" i="25"/>
  <c r="D7" i="5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<sst xmlns="http://schemas.openxmlformats.org/spreadsheetml/2006/main" count="3660" uniqueCount="381">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</sst>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921472"/>
        <c:axId val="376927744"/>
      </c:scatterChart>
      <c:valAx>
        <c:axId val="37692147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927744"/>
        <c:crosses val="autoZero"/>
        <c:crossBetween val="midCat"/>
      </c:valAx>
      <c:valAx>
        <c:axId val="376927744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9214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3" customWidth="1"/>
    <col min="3" max="3" width="14.85546875" style="513" bestFit="1" customWidth="1"/>
    <col min="4" max="4" width="21.42578125" style="513" bestFit="1" customWidth="1"/>
    <col min="5" max="5" width="20.7109375" style="513" bestFit="1" customWidth="1"/>
    <col min="6" max="8" width="2.7109375" style="513" customWidth="1"/>
    <col min="9" max="9" width="12.140625" style="513" bestFit="1" customWidth="1"/>
    <col min="10" max="10" width="53.7109375" style="513" bestFit="1" customWidth="1"/>
    <col min="11" max="11" width="2.7109375" style="513" customWidth="1"/>
    <col min="12" max="16384" width="9.140625" style="513"/>
  </cols>
  <sheetData>
    <row r="1" spans="1:11" ht="13.5" thickBot="1" x14ac:dyDescent="0.25">
      <c r="A1" s="513" t="s">
        <v>313</v>
      </c>
      <c r="B1" s="513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7" t="s">
        <v>312</v>
      </c>
      <c r="C2" s="568"/>
      <c r="D2" s="568"/>
      <c r="E2" s="568"/>
      <c r="F2" s="569"/>
      <c r="H2" s="567" t="s">
        <v>27</v>
      </c>
      <c r="I2" s="568"/>
      <c r="J2" s="568"/>
      <c r="K2" s="569"/>
    </row>
    <row r="3" spans="1:11" x14ac:dyDescent="0.2">
      <c r="B3" s="407"/>
      <c r="C3" s="429"/>
      <c r="D3" s="429"/>
      <c r="E3" s="429"/>
      <c r="F3" s="428"/>
      <c r="H3" s="9"/>
      <c r="I3" s="13"/>
      <c r="J3" s="13"/>
      <c r="K3" s="5"/>
    </row>
    <row r="4" spans="1:11" x14ac:dyDescent="0.2">
      <c r="B4" s="407"/>
      <c r="C4" s="427" t="s">
        <v>20</v>
      </c>
      <c r="D4" s="426" t="s">
        <v>122</v>
      </c>
      <c r="E4" s="417"/>
      <c r="F4" s="409"/>
      <c r="H4" s="9"/>
      <c r="I4" s="16" t="s">
        <v>26</v>
      </c>
      <c r="J4" s="516">
        <v>41654.070659722223</v>
      </c>
      <c r="K4" s="14"/>
    </row>
    <row r="5" spans="1:11" x14ac:dyDescent="0.2">
      <c r="B5" s="407"/>
      <c r="C5" s="423" t="s">
        <v>26</v>
      </c>
      <c r="D5" s="425">
        <v>41621.603217592594</v>
      </c>
      <c r="E5" s="417"/>
      <c r="F5" s="409"/>
      <c r="H5" s="9"/>
      <c r="I5" s="16" t="s">
        <v>25</v>
      </c>
      <c r="J5" s="516" t="b">
        <v>1</v>
      </c>
      <c r="K5" s="14"/>
    </row>
    <row r="6" spans="1:11" x14ac:dyDescent="0.2">
      <c r="B6" s="407"/>
      <c r="C6" s="423" t="s">
        <v>311</v>
      </c>
      <c r="D6" s="424" t="s">
        <v>310</v>
      </c>
      <c r="E6" s="417"/>
      <c r="F6" s="409"/>
      <c r="H6" s="9"/>
      <c r="I6" s="16" t="s">
        <v>24</v>
      </c>
      <c r="J6" s="516" t="b">
        <v>0</v>
      </c>
      <c r="K6" s="14"/>
    </row>
    <row r="7" spans="1:11" x14ac:dyDescent="0.2">
      <c r="B7" s="407"/>
      <c r="C7" s="423" t="s">
        <v>309</v>
      </c>
      <c r="D7" s="422">
        <f ca="1">_xll.ohTrigger(Deposits!P3,FRA!Y5,Futures3M!Z4,FuturesHWConvAdj!Q3,Swaps1M!Y3,Swap3M!AC3,SwapsIMMDated!Z3,Swap6M!AD3,BasisSwap1MxM!AC3,BasisSwap3M6M!AD3,BasisSwapxM12M!AD3,OIS!Y3)</f>
        <v>39</v>
      </c>
      <c r="E7" s="417"/>
      <c r="F7" s="409"/>
      <c r="H7" s="9"/>
      <c r="I7" s="16" t="s">
        <v>23</v>
      </c>
      <c r="J7" s="516" t="b">
        <v>1</v>
      </c>
      <c r="K7" s="14"/>
    </row>
    <row r="8" spans="1:11" x14ac:dyDescent="0.2">
      <c r="B8" s="407"/>
      <c r="C8" s="421" t="s">
        <v>308</v>
      </c>
      <c r="D8" s="420" t="s">
        <v>307</v>
      </c>
      <c r="E8" s="417"/>
      <c r="F8" s="409"/>
      <c r="H8" s="9"/>
      <c r="I8" s="16" t="s">
        <v>22</v>
      </c>
      <c r="J8" s="517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07"/>
      <c r="C9" s="417"/>
      <c r="D9" s="370"/>
      <c r="E9" s="417"/>
      <c r="F9" s="409"/>
      <c r="H9" s="9"/>
      <c r="I9" s="16" t="s">
        <v>21</v>
      </c>
      <c r="J9" s="518" t="b">
        <v>1</v>
      </c>
      <c r="K9" s="14"/>
    </row>
    <row r="10" spans="1:11" x14ac:dyDescent="0.2">
      <c r="B10" s="407"/>
      <c r="C10" s="419" t="s">
        <v>259</v>
      </c>
      <c r="D10" s="418" t="s">
        <v>306</v>
      </c>
      <c r="E10" s="417"/>
      <c r="F10" s="409"/>
      <c r="H10" s="9"/>
      <c r="I10" s="16" t="s">
        <v>20</v>
      </c>
      <c r="J10" s="10" t="s">
        <v>122</v>
      </c>
      <c r="K10" s="14"/>
    </row>
    <row r="11" spans="1:11" x14ac:dyDescent="0.2">
      <c r="B11" s="407"/>
      <c r="C11" s="416" t="s">
        <v>248</v>
      </c>
      <c r="D11" s="415" t="str">
        <f>""</f>
        <v/>
      </c>
      <c r="E11" s="417"/>
      <c r="F11" s="409"/>
      <c r="H11" s="9"/>
      <c r="I11" s="16" t="s">
        <v>20</v>
      </c>
      <c r="J11" s="10" t="s">
        <v>131</v>
      </c>
      <c r="K11" s="14"/>
    </row>
    <row r="12" spans="1:11" x14ac:dyDescent="0.2">
      <c r="B12" s="407"/>
      <c r="C12" s="416" t="s">
        <v>235</v>
      </c>
      <c r="D12" s="415" t="s">
        <v>247</v>
      </c>
      <c r="E12" s="412"/>
      <c r="F12" s="409"/>
      <c r="H12" s="9"/>
      <c r="I12" s="16" t="s">
        <v>121</v>
      </c>
      <c r="J12" s="516" t="str">
        <f>Currency&amp;"YC"</f>
        <v>USDYC</v>
      </c>
      <c r="K12" s="14"/>
    </row>
    <row r="13" spans="1:11" x14ac:dyDescent="0.2">
      <c r="B13" s="407"/>
      <c r="C13" s="416" t="s">
        <v>246</v>
      </c>
      <c r="D13" s="415" t="s">
        <v>246</v>
      </c>
      <c r="E13" s="412"/>
      <c r="F13" s="409"/>
      <c r="H13" s="9"/>
      <c r="I13" s="16" t="s">
        <v>120</v>
      </c>
      <c r="J13" s="516" t="str">
        <f>Currency&amp;"YCSTD"</f>
        <v>USDYCSTD</v>
      </c>
      <c r="K13" s="14"/>
    </row>
    <row r="14" spans="1:11" x14ac:dyDescent="0.2">
      <c r="B14" s="407"/>
      <c r="C14" s="416" t="s">
        <v>244</v>
      </c>
      <c r="D14" s="415" t="s">
        <v>243</v>
      </c>
      <c r="E14" s="412"/>
      <c r="F14" s="409"/>
      <c r="H14" s="504"/>
      <c r="I14" s="519" t="s">
        <v>339</v>
      </c>
      <c r="J14" s="520">
        <f>_xll.qlSettingsEvaluationDate(Trigger)</f>
        <v>41654</v>
      </c>
      <c r="K14" s="503"/>
    </row>
    <row r="15" spans="1:11" ht="13.5" thickBot="1" x14ac:dyDescent="0.25">
      <c r="B15" s="407"/>
      <c r="C15" s="416" t="s">
        <v>242</v>
      </c>
      <c r="D15" s="415" t="s">
        <v>241</v>
      </c>
      <c r="E15" s="412"/>
      <c r="F15" s="409"/>
      <c r="H15" s="4"/>
      <c r="I15" s="3"/>
      <c r="J15" s="3"/>
      <c r="K15" s="2"/>
    </row>
    <row r="16" spans="1:11" ht="13.5" thickBot="1" x14ac:dyDescent="0.25">
      <c r="B16" s="407"/>
      <c r="C16" s="416" t="s">
        <v>240</v>
      </c>
      <c r="D16" s="415" t="s">
        <v>305</v>
      </c>
      <c r="E16" s="412"/>
      <c r="F16" s="409"/>
      <c r="H16" s="515"/>
      <c r="I16" s="515"/>
      <c r="J16" s="515"/>
      <c r="K16" s="515"/>
    </row>
    <row r="17" spans="2:11" ht="15.75" x14ac:dyDescent="0.25">
      <c r="B17" s="407"/>
      <c r="C17" s="414" t="s">
        <v>304</v>
      </c>
      <c r="D17" s="413" t="s">
        <v>303</v>
      </c>
      <c r="E17" s="412"/>
      <c r="F17" s="409"/>
      <c r="H17" s="567" t="s">
        <v>144</v>
      </c>
      <c r="I17" s="568"/>
      <c r="J17" s="568"/>
      <c r="K17" s="569"/>
    </row>
    <row r="18" spans="2:11" x14ac:dyDescent="0.2">
      <c r="B18" s="407"/>
      <c r="C18" s="406"/>
      <c r="D18" s="406"/>
      <c r="E18" s="406"/>
      <c r="F18" s="409"/>
      <c r="H18" s="9"/>
      <c r="I18" s="13"/>
      <c r="J18" s="13"/>
      <c r="K18" s="5"/>
    </row>
    <row r="19" spans="2:11" x14ac:dyDescent="0.2">
      <c r="B19" s="407"/>
      <c r="C19" s="406"/>
      <c r="D19" s="406"/>
      <c r="E19" s="406"/>
      <c r="F19" s="409"/>
      <c r="H19" s="9"/>
      <c r="I19" s="16" t="s">
        <v>143</v>
      </c>
      <c r="J19" s="23" t="s">
        <v>142</v>
      </c>
      <c r="K19" s="14"/>
    </row>
    <row r="20" spans="2:11" x14ac:dyDescent="0.2">
      <c r="B20" s="407"/>
      <c r="C20" s="406"/>
      <c r="D20" s="405" t="s">
        <v>302</v>
      </c>
      <c r="E20" s="411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7"/>
      <c r="C21" s="406"/>
      <c r="D21" s="410"/>
      <c r="E21" s="408"/>
      <c r="F21" s="409"/>
      <c r="H21" s="9"/>
      <c r="I21" s="16" t="s">
        <v>140</v>
      </c>
      <c r="J21" s="99">
        <v>-0.01</v>
      </c>
      <c r="K21" s="14"/>
    </row>
    <row r="22" spans="2:11" x14ac:dyDescent="0.2">
      <c r="B22" s="407"/>
      <c r="C22" s="406"/>
      <c r="D22" s="405"/>
      <c r="E22" s="40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7"/>
      <c r="C23" s="406"/>
      <c r="D23" s="405" t="s">
        <v>301</v>
      </c>
      <c r="E23" s="404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4"/>
      <c r="D25" s="514"/>
      <c r="E25" s="514"/>
      <c r="F25" s="514"/>
    </row>
    <row r="26" spans="2:11" x14ac:dyDescent="0.2">
      <c r="C26" s="514"/>
      <c r="D26" s="514"/>
      <c r="E26" s="514"/>
      <c r="F26" s="514"/>
    </row>
    <row r="27" spans="2:11" x14ac:dyDescent="0.2">
      <c r="C27" s="514"/>
      <c r="D27" s="514"/>
      <c r="E27" s="514"/>
      <c r="F27" s="514"/>
    </row>
    <row r="28" spans="2:11" x14ac:dyDescent="0.2">
      <c r="C28" s="514"/>
      <c r="D28" s="514"/>
      <c r="E28" s="514"/>
      <c r="F28" s="514"/>
    </row>
    <row r="29" spans="2:11" x14ac:dyDescent="0.2">
      <c r="C29" s="514"/>
      <c r="D29" s="514"/>
      <c r="E29" s="514"/>
      <c r="F29" s="514"/>
    </row>
    <row r="30" spans="2:11" x14ac:dyDescent="0.2">
      <c r="C30" s="514"/>
      <c r="D30" s="514"/>
      <c r="E30" s="514"/>
      <c r="F30" s="51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UsdYC#0003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UsdYCSTD#0003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UsdLiborYCON#0003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UsdLiborYC1M#0003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UsdLiborYC3M#0003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UsdLiborYC6M#0003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UsdLiborYC1Y#0003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UsdLiborYCON-Mx#0003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UsdLiborYC1M-Mx#0003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UsdLiborYC3M-Mx#0003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UsdLiborYC6M-Mx#0003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UsdLiborYC1Y-Mx#0003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UsdSwaptionATMVol#0003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UsdSwaptionVol#0003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Usd3MFutOptionVol#0003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Usd1MCapletVol#0003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Usd3MCapletVol#0003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Usd6MCapletVol#0003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Usd1YCapletVol#0003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Usd3MFutOptionVolEx#0003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Usd1MCapletVolEx#0003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Usd3MCapletVolEx#0003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Usd6MCapletVolEx#0003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Usd1YCapletVolEx#0003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EURYC#0003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Eonia2#0003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EURYCSTD#0003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Eonia#0003</v>
      </c>
      <c r="J7" s="25" t="str">
        <f>_xll.qlLastFixingQuote(H7&amp;"LastFixing_Quote",I7,Permanent,Trigger,ObjectOverwrite)</f>
        <v>EoniaLastFixing_Quote#0003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EURiborYCON#0003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EuriborSW#0003</v>
      </c>
      <c r="J8" s="25" t="str">
        <f>_xll.qlLastFixingQuote(H8&amp;"LastFixing_Quote",I8,Permanent,Trigger,ObjectOverwrite)</f>
        <v>EuriborSWLastFixing_Quote#0003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EURiborYC1M#0003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Euribor2W#0003</v>
      </c>
      <c r="J9" s="25" t="str">
        <f>_xll.qlLastFixingQuote(H9&amp;"LastFixing_Quote",I9,Permanent,Trigger,ObjectOverwrite)</f>
        <v>Euribor2WLastFixing_Quote#0003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EURiborYC3M#0003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Euribor3W#0003</v>
      </c>
      <c r="J10" s="25" t="str">
        <f>_xll.qlLastFixingQuote(H10&amp;"LastFixing_Quote",I10,Permanent,Trigger,ObjectOverwrite)</f>
        <v>Euribor3WLastFixing_Quote#0003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EURiborYC6M#0003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Euribor1M#0003</v>
      </c>
      <c r="J11" s="25" t="str">
        <f>_xll.qlLastFixingQuote(H11&amp;"LastFixing_Quote",I11,Permanent,Trigger,ObjectOverwrite)</f>
        <v>Euribor1MLastFixing_Quote#0003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EURiborYC1Y#0003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Euribor2M#0003</v>
      </c>
      <c r="J12" s="25" t="str">
        <f>_xll.qlLastFixingQuote(H12&amp;"LastFixing_Quote",I12,Permanent,Trigger,ObjectOverwrite)</f>
        <v>Euribor2MLastFixing_Quote#0003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EURiborYCON-Mx#0003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Euribor3M#0003</v>
      </c>
      <c r="J13" s="25" t="str">
        <f>_xll.qlLastFixingQuote(H13&amp;"LastFixing_Quote",I13,Permanent,Trigger,ObjectOverwrite)</f>
        <v>Euribor3MLastFixing_Quote#0003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EURiborYC1M-Mx#0003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Euribor4M#0003</v>
      </c>
      <c r="J14" s="25" t="str">
        <f>_xll.qlLastFixingQuote(H14&amp;"LastFixing_Quote",I14,Permanent,Trigger,ObjectOverwrite)</f>
        <v>Euribor4MLastFixing_Quote#0003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EURiborYC3M-Mx#0003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Euribor5M#0003</v>
      </c>
      <c r="J15" s="25" t="str">
        <f>_xll.qlLastFixingQuote(H15&amp;"LastFixing_Quote",I15,Permanent,Trigger,ObjectOverwrite)</f>
        <v>Euribor5MLastFixing_Quote#0003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EURiborYC6M-Mx#0003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Euribor6M#0003</v>
      </c>
      <c r="J16" s="25" t="str">
        <f>_xll.qlLastFixingQuote(H16&amp;"LastFixing_Quote",I16,Permanent,Trigger,ObjectOverwrite)</f>
        <v>Euribor6MLastFixing_Quote#0003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EURiborYC1Y-Mx#0003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Euribor7M#0003</v>
      </c>
      <c r="J17" s="25" t="str">
        <f>_xll.qlLastFixingQuote(H17&amp;"LastFixing_Quote",I17,Permanent,Trigger,ObjectOverwrite)</f>
        <v>Euribor7MLastFixing_Quote#0003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EURLiborYCON#0003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Euribor8M#0003</v>
      </c>
      <c r="J18" s="25" t="str">
        <f>_xll.qlLastFixingQuote(H18&amp;"LastFixing_Quote",I18,Permanent,Trigger,ObjectOverwrite)</f>
        <v>Euribor8MLastFixing_Quote#0003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EURLiborYC1M#0003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Euribor9M#0003</v>
      </c>
      <c r="J19" s="25" t="str">
        <f>_xll.qlLastFixingQuote(H19&amp;"LastFixing_Quote",I19,Permanent,Trigger,ObjectOverwrite)</f>
        <v>Euribor9MLastFixing_Quote#0003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EURLiborYC3M#0003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Euribor10M#0003</v>
      </c>
      <c r="J20" s="25" t="str">
        <f>_xll.qlLastFixingQuote(H20&amp;"LastFixing_Quote",I20,Permanent,Trigger,ObjectOverwrite)</f>
        <v>Euribor10MLastFixing_Quote#0003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EURLiborYC6M#0003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Euribor11M#0003</v>
      </c>
      <c r="J21" s="25" t="str">
        <f>_xll.qlLastFixingQuote(H21&amp;"LastFixing_Quote",I21,Permanent,Trigger,ObjectOverwrite)</f>
        <v>Euribor11MLastFixing_Quote#0003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EURLiborYC1Y#0003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Euribor1Y#0003</v>
      </c>
      <c r="J22" s="25" t="str">
        <f>_xll.qlLastFixingQuote(H22&amp;"LastFixing_Quote",I22,Permanent,Trigger,ObjectOverwrite)</f>
        <v>Euribor1YLastFixing_Quote#0003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8" t="s">
        <v>43</v>
      </c>
      <c r="D6" s="51" t="s">
        <v>345</v>
      </c>
      <c r="E6" s="50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Euribor365SW#0003</v>
      </c>
      <c r="G6" s="7" t="str">
        <f>_xll.ohRangeRetrieveError(F6)</f>
        <v/>
      </c>
      <c r="H6" s="5"/>
    </row>
    <row r="7" spans="1:8" s="24" customFormat="1" x14ac:dyDescent="0.2">
      <c r="B7" s="29"/>
      <c r="C7" s="508" t="s">
        <v>42</v>
      </c>
      <c r="D7" s="51" t="s">
        <v>345</v>
      </c>
      <c r="E7" s="507" t="str">
        <f t="shared" si="0"/>
        <v>Euribor3652W</v>
      </c>
      <c r="F7" s="25" t="str">
        <f>_xll.qlEuribor365($E7,$C7,Currency&amp;$D7,Permanent,Trigger,ObjectOverwrite)</f>
        <v>Euribor3652W#0003</v>
      </c>
      <c r="G7" s="7" t="str">
        <f>_xll.ohRangeRetrieveError(F7)</f>
        <v/>
      </c>
      <c r="H7" s="5"/>
    </row>
    <row r="8" spans="1:8" s="24" customFormat="1" x14ac:dyDescent="0.2">
      <c r="B8" s="29"/>
      <c r="C8" s="508" t="s">
        <v>41</v>
      </c>
      <c r="D8" s="51" t="s">
        <v>344</v>
      </c>
      <c r="E8" s="507" t="str">
        <f t="shared" si="0"/>
        <v>Euribor3653W</v>
      </c>
      <c r="F8" s="25" t="str">
        <f>_xll.qlEuribor365($E8,$C8,Currency&amp;$D8,Permanent,Trigger,ObjectOverwrite)</f>
        <v>Euribor3653W#0003</v>
      </c>
      <c r="G8" s="7" t="str">
        <f>_xll.ohRangeRetrieveError(F8)</f>
        <v/>
      </c>
      <c r="H8" s="5"/>
    </row>
    <row r="9" spans="1:8" s="24" customFormat="1" x14ac:dyDescent="0.2">
      <c r="B9" s="29"/>
      <c r="C9" s="508" t="s">
        <v>40</v>
      </c>
      <c r="D9" s="51" t="s">
        <v>344</v>
      </c>
      <c r="E9" s="507" t="str">
        <f t="shared" si="0"/>
        <v>Euribor3651M</v>
      </c>
      <c r="F9" s="25" t="str">
        <f>_xll.qlEuribor365($E9,$C9,Currency&amp;$D9,Permanent,Trigger,ObjectOverwrite)</f>
        <v>Euribor3651M#0003</v>
      </c>
      <c r="G9" s="7" t="str">
        <f>_xll.ohRangeRetrieveError(F9)</f>
        <v/>
      </c>
      <c r="H9" s="5"/>
    </row>
    <row r="10" spans="1:8" s="24" customFormat="1" x14ac:dyDescent="0.2">
      <c r="B10" s="29"/>
      <c r="C10" s="508" t="s">
        <v>39</v>
      </c>
      <c r="D10" s="51" t="s">
        <v>343</v>
      </c>
      <c r="E10" s="507" t="str">
        <f t="shared" si="0"/>
        <v>Euribor3652M</v>
      </c>
      <c r="F10" s="25" t="str">
        <f>_xll.qlEuribor365($E10,$C10,Currency&amp;$D10,Permanent,Trigger,ObjectOverwrite)</f>
        <v>Euribor3652M#0003</v>
      </c>
      <c r="G10" s="7" t="str">
        <f>_xll.ohRangeRetrieveError(F10)</f>
        <v/>
      </c>
      <c r="H10" s="5"/>
    </row>
    <row r="11" spans="1:8" s="24" customFormat="1" x14ac:dyDescent="0.2">
      <c r="B11" s="29"/>
      <c r="C11" s="508" t="s">
        <v>38</v>
      </c>
      <c r="D11" s="51" t="s">
        <v>343</v>
      </c>
      <c r="E11" s="507" t="str">
        <f t="shared" si="0"/>
        <v>Euribor3653M</v>
      </c>
      <c r="F11" s="25" t="str">
        <f>_xll.qlEuribor365($E11,$C11,Currency&amp;$D11,Permanent,Trigger,ObjectOverwrite)</f>
        <v>Euribor3653M#0003</v>
      </c>
      <c r="G11" s="7" t="str">
        <f>_xll.ohRangeRetrieveError(F11)</f>
        <v/>
      </c>
      <c r="H11" s="5"/>
    </row>
    <row r="12" spans="1:8" s="24" customFormat="1" x14ac:dyDescent="0.2">
      <c r="B12" s="29"/>
      <c r="C12" s="508" t="s">
        <v>37</v>
      </c>
      <c r="D12" s="51" t="s">
        <v>343</v>
      </c>
      <c r="E12" s="507" t="str">
        <f t="shared" si="0"/>
        <v>Euribor3654M</v>
      </c>
      <c r="F12" s="25" t="str">
        <f>_xll.qlEuribor365($E12,$C12,Currency&amp;$D12,Permanent,Trigger,ObjectOverwrite)</f>
        <v>Euribor3654M#0003</v>
      </c>
      <c r="G12" s="7" t="str">
        <f>_xll.ohRangeRetrieveError(F12)</f>
        <v/>
      </c>
      <c r="H12" s="5"/>
    </row>
    <row r="13" spans="1:8" s="24" customFormat="1" x14ac:dyDescent="0.2">
      <c r="B13" s="29"/>
      <c r="C13" s="508" t="s">
        <v>36</v>
      </c>
      <c r="D13" s="51" t="s">
        <v>342</v>
      </c>
      <c r="E13" s="507" t="str">
        <f t="shared" si="0"/>
        <v>Euribor3655M</v>
      </c>
      <c r="F13" s="25" t="str">
        <f>_xll.qlEuribor365($E13,$C13,Currency&amp;$D13,Permanent,Trigger,ObjectOverwrite)</f>
        <v>Euribor3655M#0003</v>
      </c>
      <c r="G13" s="7" t="str">
        <f>_xll.ohRangeRetrieveError(F13)</f>
        <v/>
      </c>
      <c r="H13" s="5"/>
    </row>
    <row r="14" spans="1:8" s="24" customFormat="1" x14ac:dyDescent="0.2">
      <c r="B14" s="29"/>
      <c r="C14" s="508" t="s">
        <v>35</v>
      </c>
      <c r="D14" s="51" t="s">
        <v>342</v>
      </c>
      <c r="E14" s="507" t="str">
        <f t="shared" si="0"/>
        <v>Euribor3656M</v>
      </c>
      <c r="F14" s="25" t="str">
        <f>_xll.qlEuribor365($E14,$C14,Currency&amp;$D14,Permanent,Trigger,ObjectOverwrite)</f>
        <v>Euribor3656M#0003</v>
      </c>
      <c r="G14" s="7" t="str">
        <f>_xll.ohRangeRetrieveError(F14)</f>
        <v/>
      </c>
      <c r="H14" s="5"/>
    </row>
    <row r="15" spans="1:8" s="24" customFormat="1" x14ac:dyDescent="0.2">
      <c r="B15" s="29"/>
      <c r="C15" s="508" t="s">
        <v>34</v>
      </c>
      <c r="D15" s="51" t="s">
        <v>342</v>
      </c>
      <c r="E15" s="507" t="str">
        <f t="shared" si="0"/>
        <v>Euribor3657M</v>
      </c>
      <c r="F15" s="25" t="str">
        <f>_xll.qlEuribor365($E15,$C15,Currency&amp;$D15,Permanent,Trigger,ObjectOverwrite)</f>
        <v>Euribor3657M#0003</v>
      </c>
      <c r="G15" s="7" t="str">
        <f>_xll.ohRangeRetrieveError(F15)</f>
        <v/>
      </c>
      <c r="H15" s="5"/>
    </row>
    <row r="16" spans="1:8" s="24" customFormat="1" x14ac:dyDescent="0.2">
      <c r="B16" s="29"/>
      <c r="C16" s="508" t="s">
        <v>33</v>
      </c>
      <c r="D16" s="51" t="s">
        <v>342</v>
      </c>
      <c r="E16" s="507" t="str">
        <f t="shared" si="0"/>
        <v>Euribor3658M</v>
      </c>
      <c r="F16" s="25" t="str">
        <f>_xll.qlEuribor365($E16,$C16,Currency&amp;$D16,Permanent,Trigger,ObjectOverwrite)</f>
        <v>Euribor3658M#0003</v>
      </c>
      <c r="G16" s="7" t="str">
        <f>_xll.ohRangeRetrieveError(F16)</f>
        <v/>
      </c>
      <c r="H16" s="5"/>
    </row>
    <row r="17" spans="2:8" s="24" customFormat="1" x14ac:dyDescent="0.2">
      <c r="B17" s="29"/>
      <c r="C17" s="508" t="s">
        <v>32</v>
      </c>
      <c r="D17" s="51" t="s">
        <v>341</v>
      </c>
      <c r="E17" s="507" t="str">
        <f t="shared" si="0"/>
        <v>Euribor3659M</v>
      </c>
      <c r="F17" s="25" t="str">
        <f>_xll.qlEuribor365($E17,$C17,Currency&amp;$D17,Permanent,Trigger,ObjectOverwrite)</f>
        <v>Euribor3659M#0003</v>
      </c>
      <c r="G17" s="7" t="str">
        <f>_xll.ohRangeRetrieveError(F17)</f>
        <v/>
      </c>
      <c r="H17" s="5"/>
    </row>
    <row r="18" spans="2:8" s="24" customFormat="1" x14ac:dyDescent="0.2">
      <c r="B18" s="29"/>
      <c r="C18" s="508" t="s">
        <v>31</v>
      </c>
      <c r="D18" s="51" t="s">
        <v>341</v>
      </c>
      <c r="E18" s="507" t="str">
        <f t="shared" si="0"/>
        <v>Euribor36510M</v>
      </c>
      <c r="F18" s="25" t="str">
        <f>_xll.qlEuribor365($E18,$C18,Currency&amp;$D18,Permanent,Trigger,ObjectOverwrite)</f>
        <v>Euribor36510M#0003</v>
      </c>
      <c r="G18" s="7" t="str">
        <f>_xll.ohRangeRetrieveError(F18)</f>
        <v/>
      </c>
      <c r="H18" s="5"/>
    </row>
    <row r="19" spans="2:8" s="24" customFormat="1" x14ac:dyDescent="0.2">
      <c r="B19" s="29"/>
      <c r="C19" s="508" t="s">
        <v>30</v>
      </c>
      <c r="D19" s="51" t="s">
        <v>341</v>
      </c>
      <c r="E19" s="507" t="str">
        <f t="shared" si="0"/>
        <v>Euribor36511M</v>
      </c>
      <c r="F19" s="25" t="str">
        <f>_xll.qlEuribor365($E19,$C19,Currency&amp;$D19,Permanent,Trigger,ObjectOverwrite)</f>
        <v>Euribor36511M#0003</v>
      </c>
      <c r="G19" s="7" t="str">
        <f>_xll.ohRangeRetrieveError(F19)</f>
        <v/>
      </c>
      <c r="H19" s="5"/>
    </row>
    <row r="20" spans="2:8" s="24" customFormat="1" x14ac:dyDescent="0.2">
      <c r="B20" s="29"/>
      <c r="C20" s="508" t="s">
        <v>29</v>
      </c>
      <c r="D20" s="51" t="s">
        <v>341</v>
      </c>
      <c r="E20" s="507" t="str">
        <f t="shared" si="0"/>
        <v>Euribor3651Y</v>
      </c>
      <c r="F20" s="25" t="str">
        <f>_xll.qlEuribor365($E20,$C20,Currency&amp;$D20,Permanent,Trigger,ObjectOverwrite)</f>
        <v>Euribor3651Y#0003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EuriborSwapIsdaFixA1Y#0003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EuriborSwapIsdaFixA2Y#0003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EuriborSwapIsdaFixA3Y#0003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EuriborSwapIsdaFixA4Y#0003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EuriborSwapIsdaFixA5Y#0003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EuriborSwapIsdaFixA6Y#0003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EuriborSwapIsdaFixA7Y#0003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EuriborSwapIsdaFixA8Y#0003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EuriborSwapIsdaFixA9Y#0003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EuriborSwapIsdaFixA10Y#0003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EuriborSwapIsdaFixA11Y#0003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EuriborSwapIsdaFixA12Y#0003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EuriborSwapIsdaFixA13Y#0003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EuriborSwapIsdaFixA14Y#0003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EuriborSwapIsdaFixA15Y#0003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EuriborSwapIsdaFixA16Y#0003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EuriborSwapIsdaFixA17Y#0003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EuriborSwapIsdaFixA18Y#0003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EuriborSwapIsdaFixA19Y#0003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EuriborSwapIsdaFixA20Y#0003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EuriborSwapIsdaFixA21Y#0003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EuriborSwapIsdaFixA22Y#0003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EuriborSwapIsdaFixA23Y#0003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EuriborSwapIsdaFixA24Y#0003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EuriborSwapIsdaFixA25Y#0003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EuriborSwapIsdaFixA26Y#0003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EuriborSwapIsdaFixA27Y#0003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EuriborSwapIsdaFixA28Y#0003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EuriborSwapIsdaFixA29Y#0003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EuriborSwapIsdaFixA30Y#0003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EuriborSwapIsdaFixA31Y#0003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EuriborSwapIsdaFixA32Y#0003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EuriborSwapIsdaFixA33Y#0003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EuriborSwapIsdaFixA34Y#0003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EuriborSwapIsdaFixA35Y#0003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EuriborSwapIsdaFixA36Y#0003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EuriborSwapIsdaFixA37Y#0003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EuriborSwapIsdaFixA38Y#0003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EuriborSwapIsdaFixA39Y#0003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EuriborSwapIsdaFixA40Y#0003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EuriborSwapIsdaFixA41Y#0003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EuriborSwapIsdaFixA42Y#0003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EuriborSwapIsdaFixA43Y#0003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EuriborSwapIsdaFixA44Y#0003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EuriborSwapIsdaFixA45Y#0003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EuriborSwapIsdaFixA46Y#0003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EuriborSwapIsdaFixA47Y#0003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EuriborSwapIsdaFixA48Y#0003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EuriborSwapIsdaFixA49Y#0003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EuriborSwapIsdaFixA50Y#0003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EuriborSwapIsdaFixA51Y#0003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EuriborSwapIsdaFixA52Y#0003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EuriborSwapIsdaFixA53Y#0003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EuriborSwapIsdaFixA54Y#0003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EuriborSwapIsdaFixA55Y#0003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EuriborSwapIsdaFixA56Y#0003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EuriborSwapIsdaFixA57Y#0003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EuriborSwapIsdaFixA58Y#0003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EuriborSwapIsdaFixA59Y#0003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EuriborSwapIsdaFixA60Y#0003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EuriborSwapIsdaFixB1Y#0003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EuriborSwapIsdaFixB2Y#0003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EuriborSwapIsdaFixB3Y#0003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EuriborSwapIsdaFixB4Y#0003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EuriborSwapIsdaFixB5Y#0003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EuriborSwapIsdaFixB6Y#0003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EuriborSwapIsdaFixB7Y#0003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EuriborSwapIsdaFixB8Y#0003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EuriborSwapIsdaFixB9Y#0003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EuriborSwapIsdaFixB10Y#0003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EuriborSwapIsdaFixB11Y#0003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EuriborSwapIsdaFixB12Y#0003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EuriborSwapIsdaFixB13Y#0003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EuriborSwapIsdaFixB14Y#0003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EuriborSwapIsdaFixB15Y#0003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EuriborSwapIsdaFixB16Y#0003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EuriborSwapIsdaFixB17Y#0003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EuriborSwapIsdaFixB18Y#0003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EuriborSwapIsdaFixB19Y#0003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EuriborSwapIsdaFixB20Y#0003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EuriborSwapIsdaFixB21Y#0003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EuriborSwapIsdaFixB22Y#0003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EuriborSwapIsdaFixB23Y#0003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EuriborSwapIsdaFixB24Y#0003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EuriborSwapIsdaFixB25Y#0003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EuriborSwapIsdaFixB26Y#0003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EuriborSwapIsdaFixB27Y#0003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EuriborSwapIsdaFixB28Y#0003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EuriborSwapIsdaFixB29Y#0003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EuriborSwapIsdaFixB30Y#0003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EuriborSwapIsdaFixB31Y#0003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EuriborSwapIsdaFixB32Y#0003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EuriborSwapIsdaFixB33Y#0003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EuriborSwapIsdaFixB34Y#0003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EuriborSwapIsdaFixB35Y#0003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EuriborSwapIsdaFixB36Y#0003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EuriborSwapIsdaFixB37Y#0003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EuriborSwapIsdaFixB38Y#0003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EuriborSwapIsdaFixB39Y#0003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EuriborSwapIsdaFixB40Y#0003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EuriborSwapIsdaFixB41Y#0003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EuriborSwapIsdaFixB42Y#0003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EuriborSwapIsdaFixB43Y#0003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EuriborSwapIsdaFixB44Y#0003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EuriborSwapIsdaFixB45Y#0003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EuriborSwapIsdaFixB46Y#0003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EuriborSwapIsdaFixB47Y#0003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EuriborSwapIsdaFixB48Y#0003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EuriborSwapIsdaFixB49Y#0003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EuriborSwapIsdaFixB50Y#0003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EuriborSwapIsdaFixB51Y#0003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EuriborSwapIsdaFixB52Y#0003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EuriborSwapIsdaFixB53Y#0003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EuriborSwapIsdaFixB54Y#0003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EuriborSwapIsdaFixB55Y#0003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EuriborSwapIsdaFixB56Y#0003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EuriborSwapIsdaFixB57Y#0003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EuriborSwapIsdaFixB58Y#0003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EuriborSwapIsdaFixB59Y#0003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EuriborSwapIsdaFixB60Y#0003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EuriborSwapIfrFix1Y#0003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EuriborSwapIfrFix2Y#0003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EuriborSwapIfrFix3Y#0003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EuriborSwapIfrFix4Y#0003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EuriborSwapIfrFix5Y#0003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EuriborSwapIfrFix6Y#0003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EuriborSwapIfrFix7Y#0003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EuriborSwapIfrFix8Y#0003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EuriborSwapIfrFix9Y#0003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EuriborSwapIfrFix10Y#0003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EuriborSwapIfrFix11Y#0003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EuriborSwapIfrFix12Y#0003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EuriborSwapIfrFix13Y#0003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EuriborSwapIfrFix14Y#0003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EuriborSwapIfrFix15Y#0003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EuriborSwapIfrFix16Y#0003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EuriborSwapIfrFix17Y#0003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EuriborSwapIfrFix18Y#0003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EuriborSwapIfrFix19Y#0003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EuriborSwapIfrFix20Y#0003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EuriborSwapIfrFix21Y#0003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EuriborSwapIfrFix22Y#0003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EuriborSwapIfrFix23Y#0003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EuriborSwapIfrFix24Y#0003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EuriborSwapIfrFix25Y#0003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EuriborSwapIfrFix26Y#0003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EuriborSwapIfrFix27Y#0003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EuriborSwapIfrFix28Y#0003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EuriborSwapIfrFix29Y#0003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EuriborSwapIfrFix30Y#0003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EuriborSwapIfrFix31Y#0003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EuriborSwapIfrFix32Y#0003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EuriborSwapIfrFix33Y#0003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EuriborSwapIfrFix34Y#0003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EuriborSwapIfrFix35Y#0003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EuriborSwapIfrFix36Y#0003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EuriborSwapIfrFix37Y#0003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EuriborSwapIfrFix38Y#0003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EuriborSwapIfrFix39Y#0003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EuriborSwapIfrFix40Y#0003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EuriborSwapIfrFix41Y#0003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EuriborSwapIfrFix42Y#0003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EuriborSwapIfrFix43Y#0003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EuriborSwapIfrFix44Y#0003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EuriborSwapIfrFix45Y#0003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EuriborSwapIfrFix46Y#0003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EuriborSwapIfrFix47Y#0003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EuriborSwapIfrFix48Y#0003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EuriborSwapIfrFix49Y#0003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EuriborSwapIfrFix50Y#0003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EuriborSwapIfrFix51Y#0003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EuriborSwapIfrFix52Y#0003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EuriborSwapIfrFix53Y#0003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EuriborSwapIfrFix54Y#0003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EuriborSwapIfrFix55Y#0003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EuriborSwapIfrFix56Y#0003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EuriborSwapIfrFix57Y#0003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EuriborSwapIfrFix58Y#0003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EuriborSwapIfrFix59Y#0003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EuriborSwapIfrFix60Y#0003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5" t="s">
        <v>340</v>
      </c>
      <c r="M2" s="431"/>
      <c r="N2" s="431"/>
      <c r="O2" s="436"/>
      <c r="P2" s="444"/>
      <c r="Q2" s="490"/>
      <c r="R2" s="490"/>
      <c r="S2" s="431"/>
      <c r="T2" s="436"/>
      <c r="U2" s="431"/>
      <c r="V2" s="431"/>
      <c r="W2" s="431"/>
      <c r="X2" s="431"/>
      <c r="Y2" s="431"/>
      <c r="Z2" s="431"/>
      <c r="AA2" s="431"/>
      <c r="AB2" s="43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1"/>
      <c r="M3" s="489"/>
      <c r="N3" s="483"/>
      <c r="O3" s="488" t="str">
        <f>VLOOKUP(Currency,Traits,2,FALSE)</f>
        <v>FSR</v>
      </c>
      <c r="P3" s="487"/>
      <c r="Q3" s="486"/>
      <c r="R3" s="486"/>
      <c r="S3" s="483"/>
      <c r="T3" s="483"/>
      <c r="U3" s="485" t="str">
        <f>VLOOKUP(Currency,Traits,3,FALSE)</f>
        <v>Libor</v>
      </c>
      <c r="V3" s="483"/>
      <c r="W3" s="483"/>
      <c r="X3" s="484">
        <f>MAX(Z5:Z22)</f>
        <v>0</v>
      </c>
      <c r="Y3" s="483"/>
      <c r="Z3" s="483"/>
      <c r="AA3" s="482"/>
      <c r="AB3" s="43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1"/>
      <c r="M4" s="460"/>
      <c r="N4" s="480" t="s">
        <v>47</v>
      </c>
      <c r="O4" s="479" t="e">
        <f ca="1">_xll.RData(O5:O22,P4:Q4,"RTFEED:IDN",,,P5)</f>
        <v>#NAME?</v>
      </c>
      <c r="P4" s="479" t="s">
        <v>322</v>
      </c>
      <c r="Q4" s="479" t="s">
        <v>250</v>
      </c>
      <c r="R4" s="479" t="s">
        <v>321</v>
      </c>
      <c r="S4" s="478" t="s">
        <v>320</v>
      </c>
      <c r="T4" s="481"/>
      <c r="U4" s="480" t="s">
        <v>262</v>
      </c>
      <c r="V4" s="479" t="s">
        <v>319</v>
      </c>
      <c r="W4" s="479" t="s">
        <v>318</v>
      </c>
      <c r="X4" s="479" t="s">
        <v>317</v>
      </c>
      <c r="Y4" s="478" t="s">
        <v>316</v>
      </c>
      <c r="Z4" s="477"/>
      <c r="AA4" s="450"/>
      <c r="AB4" s="43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1"/>
      <c r="M5" s="460"/>
      <c r="N5" s="476" t="s">
        <v>220</v>
      </c>
      <c r="O5" s="471" t="str">
        <f t="shared" ref="O5:O22" si="0">Currency&amp;$N5&amp;$O$3&amp;"="</f>
        <v>USDONFSR=</v>
      </c>
      <c r="P5" s="475">
        <v>41570</v>
      </c>
      <c r="Q5" s="474">
        <v>0.1051</v>
      </c>
      <c r="R5" s="474" t="b">
        <f t="shared" ref="R5:R22" si="1">IF(AND(ISNUMBER($Q5),$Q5&lt;&gt;0%),TRUE,FALSE)</f>
        <v>1</v>
      </c>
      <c r="S5" s="473" t="e">
        <f>IF($R5,_xll.qlIndexAddFixings($U5,$P5,$Q5/100,TRUE,ISERROR($V5)),NA())</f>
        <v>#NUM!</v>
      </c>
      <c r="T5" s="455"/>
      <c r="U5" s="472" t="str">
        <f t="shared" ref="U5:U22" si="2">PROPER(Currency)&amp;$U$3&amp;$N5</f>
        <v>UsdLiborON</v>
      </c>
      <c r="V5" s="471" t="e">
        <f>_xll.qlIndexFixing($U5,$P5,TRUE,$R5)</f>
        <v>#NUM!</v>
      </c>
      <c r="W5" s="471" t="e">
        <f>IF($S5,_xll.qlIndexFixing($U5,$P5,FALSE,$R5),"-")</f>
        <v>#NUM!</v>
      </c>
      <c r="X5" s="471" t="e">
        <f t="shared" ref="X5:X22" si="3">V5-W5</f>
        <v>#NUM!</v>
      </c>
      <c r="Y5" s="470" t="e">
        <f>_xll.qlIndexFixing($U5,$P5,TRUE,$W5)</f>
        <v>#NUM!</v>
      </c>
      <c r="Z5" s="469">
        <f>IF(ISERROR(X5),0,ABS(X5))</f>
        <v>0</v>
      </c>
      <c r="AA5" s="450"/>
      <c r="AB5" s="43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FedFund2#0003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1"/>
      <c r="M6" s="460"/>
      <c r="N6" s="468" t="s">
        <v>252</v>
      </c>
      <c r="O6" s="463" t="str">
        <f t="shared" si="0"/>
        <v>USDTNFSR=</v>
      </c>
      <c r="P6" s="467" t="s">
        <v>245</v>
      </c>
      <c r="Q6" s="466" t="s">
        <v>245</v>
      </c>
      <c r="R6" s="466" t="b">
        <f t="shared" si="1"/>
        <v>0</v>
      </c>
      <c r="S6" s="465" t="e">
        <f>IF($R6,_xll.qlIndexAddFixings($U6,$P6,$Q6/100,TRUE,ISERROR($V6)),NA())</f>
        <v>#N/A</v>
      </c>
      <c r="T6" s="455"/>
      <c r="U6" s="464" t="str">
        <f t="shared" si="2"/>
        <v>UsdLiborTN</v>
      </c>
      <c r="V6" s="463" t="e">
        <f>_xll.qlIndexFixing($U6,$P6,TRUE,$R6)</f>
        <v>#NUM!</v>
      </c>
      <c r="W6" s="463" t="e">
        <f>IF($S6,_xll.qlIndexFixing($U6,$P6,FALSE,$R6),"-")</f>
        <v>#N/A</v>
      </c>
      <c r="X6" s="463" t="e">
        <f t="shared" si="3"/>
        <v>#NUM!</v>
      </c>
      <c r="Y6" s="462" t="e">
        <f>_xll.qlIndexFixing($U6,$P6,TRUE,$W6)</f>
        <v>#NUM!</v>
      </c>
      <c r="Z6" s="461"/>
      <c r="AA6" s="450"/>
      <c r="AB6" s="43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FedFund#0003</v>
      </c>
      <c r="G7" s="25" t="str">
        <f>_xll.qlLastFixingQuote(E7&amp;"LastFixing_Quote",F7,Permanent,Trigger,ObjectOverwrite)</f>
        <v>FedFundLastFixing_Quote#0003</v>
      </c>
      <c r="H7" s="7" t="str">
        <f>_xll.ohRangeRetrieveError(F7)</f>
        <v/>
      </c>
      <c r="I7" s="7" t="str">
        <f>_xll.ohRangeRetrieveError(G7)</f>
        <v/>
      </c>
      <c r="J7" s="5"/>
      <c r="L7" s="431"/>
      <c r="M7" s="460"/>
      <c r="N7" s="468" t="s">
        <v>249</v>
      </c>
      <c r="O7" s="463" t="str">
        <f t="shared" si="0"/>
        <v>USDSNFSR=</v>
      </c>
      <c r="P7" s="467" t="s">
        <v>245</v>
      </c>
      <c r="Q7" s="466" t="s">
        <v>245</v>
      </c>
      <c r="R7" s="466" t="b">
        <f t="shared" si="1"/>
        <v>0</v>
      </c>
      <c r="S7" s="465" t="e">
        <f>IF($R7,_xll.qlIndexAddFixings($U7,$P7,$Q7/100,TRUE,ISERROR($V7)),NA())</f>
        <v>#N/A</v>
      </c>
      <c r="T7" s="455"/>
      <c r="U7" s="464" t="str">
        <f t="shared" si="2"/>
        <v>UsdLiborSN</v>
      </c>
      <c r="V7" s="463" t="e">
        <f>_xll.qlIndexFixing($U7,$P7,TRUE,$R7)</f>
        <v>#NUM!</v>
      </c>
      <c r="W7" s="463" t="e">
        <f>IF($S7,_xll.qlIndexFixing($U7,$P7,FALSE,$R7),"-")</f>
        <v>#N/A</v>
      </c>
      <c r="X7" s="463" t="e">
        <f t="shared" si="3"/>
        <v>#NUM!</v>
      </c>
      <c r="Y7" s="462" t="e">
        <f>_xll.qlIndexFixing($U7,$P7,TRUE,$W7)</f>
        <v>#NUM!</v>
      </c>
      <c r="Z7" s="461"/>
      <c r="AA7" s="450"/>
      <c r="AB7" s="43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UsdLiborSW#0003</v>
      </c>
      <c r="G8" s="25" t="str">
        <f>_xll.qlLastFixingQuote(E8&amp;"LastFixing_Quote",F8,Permanent,Trigger,ObjectOverwrite)</f>
        <v>UsdLiborSWLastFixing_Quote#0003</v>
      </c>
      <c r="H8" s="7" t="str">
        <f>_xll.ohRangeRetrieveError(F8)</f>
        <v/>
      </c>
      <c r="I8" s="7" t="str">
        <f>_xll.ohRangeRetrieveError(G8)</f>
        <v/>
      </c>
      <c r="J8" s="5"/>
      <c r="L8" s="431"/>
      <c r="M8" s="460"/>
      <c r="N8" s="468" t="s">
        <v>43</v>
      </c>
      <c r="O8" s="463" t="str">
        <f t="shared" si="0"/>
        <v>USDSWFSR=</v>
      </c>
      <c r="P8" s="467">
        <v>41570</v>
      </c>
      <c r="Q8" s="466">
        <v>0.1389</v>
      </c>
      <c r="R8" s="466" t="b">
        <f t="shared" si="1"/>
        <v>1</v>
      </c>
      <c r="S8" s="465" t="b">
        <f>IF($R8,_xll.qlIndexAddFixings($U8,$P8,$Q8/100,TRUE,ISERROR($V8)),NA())</f>
        <v>1</v>
      </c>
      <c r="T8" s="455"/>
      <c r="U8" s="464" t="str">
        <f t="shared" si="2"/>
        <v>UsdLiborSW</v>
      </c>
      <c r="V8" s="463">
        <f>_xll.qlIndexFixing($U8,$P8,TRUE,$R8)</f>
        <v>1.389E-3</v>
      </c>
      <c r="W8" s="463">
        <f>IF($S8,_xll.qlIndexFixing($U8,$P8,FALSE,$R8),"-")</f>
        <v>1.389E-3</v>
      </c>
      <c r="X8" s="463">
        <f t="shared" si="3"/>
        <v>0</v>
      </c>
      <c r="Y8" s="462">
        <f>_xll.qlIndexFixing($U8,$P8,TRUE,$W8)</f>
        <v>1.389E-3</v>
      </c>
      <c r="Z8" s="461">
        <f t="shared" ref="Z8:Z22" si="5">IF(ISERROR(X8),0,ABS(X8))</f>
        <v>0</v>
      </c>
      <c r="AA8" s="450"/>
      <c r="AB8" s="43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UsdLibor2W#0003</v>
      </c>
      <c r="G9" s="25" t="str">
        <f>_xll.qlLastFixingQuote(E9&amp;"LastFixing_Quote",F9,Permanent,Trigger,ObjectOverwrite)</f>
        <v>UsdLibor2WLastFixing_Quote#0003</v>
      </c>
      <c r="H9" s="7" t="str">
        <f>_xll.ohRangeRetrieveError(F9)</f>
        <v/>
      </c>
      <c r="I9" s="7" t="str">
        <f>_xll.ohRangeRetrieveError(G9)</f>
        <v/>
      </c>
      <c r="J9" s="5"/>
      <c r="L9" s="431"/>
      <c r="M9" s="460"/>
      <c r="N9" s="468" t="s">
        <v>42</v>
      </c>
      <c r="O9" s="463" t="str">
        <f t="shared" si="0"/>
        <v>USD2WFSR=</v>
      </c>
      <c r="P9" s="467">
        <v>41428</v>
      </c>
      <c r="Q9" s="466">
        <v>0</v>
      </c>
      <c r="R9" s="466" t="b">
        <f t="shared" si="1"/>
        <v>0</v>
      </c>
      <c r="S9" s="465" t="e">
        <f>IF($R9,_xll.qlIndexAddFixings($U9,$P9,$Q9/100,TRUE,ISERROR($V9)),NA())</f>
        <v>#N/A</v>
      </c>
      <c r="T9" s="455"/>
      <c r="U9" s="464" t="str">
        <f t="shared" si="2"/>
        <v>UsdLibor2W</v>
      </c>
      <c r="V9" s="463" t="e">
        <f>_xll.qlIndexFixing($U9,$P9,TRUE,$R9)</f>
        <v>#NUM!</v>
      </c>
      <c r="W9" s="463" t="e">
        <f>IF($S9,_xll.qlIndexFixing($U9,$P9,FALSE,$R9),"-")</f>
        <v>#N/A</v>
      </c>
      <c r="X9" s="463" t="e">
        <f t="shared" si="3"/>
        <v>#NUM!</v>
      </c>
      <c r="Y9" s="462" t="e">
        <f>_xll.qlIndexFixing($U9,$P9,TRUE,$W9)</f>
        <v>#NUM!</v>
      </c>
      <c r="Z9" s="461">
        <f t="shared" si="5"/>
        <v>0</v>
      </c>
      <c r="AA9" s="450"/>
      <c r="AB9" s="43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UsdLibor3W#0003</v>
      </c>
      <c r="G10" s="25" t="str">
        <f>_xll.qlLastFixingQuote(E10&amp;"LastFixing_Quote",F10,Permanent,Trigger,ObjectOverwrite)</f>
        <v>UsdLibor3WLastFixing_Quote#0003</v>
      </c>
      <c r="H10" s="7" t="str">
        <f>_xll.ohRangeRetrieveError(F10)</f>
        <v/>
      </c>
      <c r="I10" s="7" t="str">
        <f>_xll.ohRangeRetrieveError(G10)</f>
        <v/>
      </c>
      <c r="J10" s="5"/>
      <c r="L10" s="431"/>
      <c r="M10" s="460"/>
      <c r="N10" s="468" t="s">
        <v>41</v>
      </c>
      <c r="O10" s="463" t="str">
        <f t="shared" si="0"/>
        <v>USD3WFSR=</v>
      </c>
      <c r="P10" s="467" t="s">
        <v>245</v>
      </c>
      <c r="Q10" s="466" t="s">
        <v>245</v>
      </c>
      <c r="R10" s="466" t="b">
        <f t="shared" si="1"/>
        <v>0</v>
      </c>
      <c r="S10" s="465" t="e">
        <f>IF($R10,_xll.qlIndexAddFixings($U10,$P10,$Q10/100,TRUE,ISERROR($V10)),NA())</f>
        <v>#N/A</v>
      </c>
      <c r="T10" s="455"/>
      <c r="U10" s="464" t="str">
        <f t="shared" si="2"/>
        <v>UsdLibor3W</v>
      </c>
      <c r="V10" s="463" t="e">
        <f>_xll.qlIndexFixing($U10,$P10,TRUE,$R10)</f>
        <v>#NUM!</v>
      </c>
      <c r="W10" s="463" t="e">
        <f>IF($S10,_xll.qlIndexFixing($U10,$P10,FALSE,$R10),"-")</f>
        <v>#N/A</v>
      </c>
      <c r="X10" s="463" t="e">
        <f t="shared" si="3"/>
        <v>#NUM!</v>
      </c>
      <c r="Y10" s="462" t="e">
        <f>_xll.qlIndexFixing($U10,$P10,TRUE,$W10)</f>
        <v>#NUM!</v>
      </c>
      <c r="Z10" s="461">
        <f t="shared" si="5"/>
        <v>0</v>
      </c>
      <c r="AA10" s="450"/>
      <c r="AB10" s="43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UsdLibor1M#0003</v>
      </c>
      <c r="G11" s="25" t="str">
        <f>_xll.qlLastFixingQuote(E11&amp;"LastFixing_Quote",F11,Permanent,Trigger,ObjectOverwrite)</f>
        <v>UsdLibor1MLastFixing_Quote#0003</v>
      </c>
      <c r="H11" s="7" t="str">
        <f>_xll.ohRangeRetrieveError(F11)</f>
        <v/>
      </c>
      <c r="I11" s="7" t="str">
        <f>_xll.ohRangeRetrieveError(G11)</f>
        <v/>
      </c>
      <c r="J11" s="5"/>
      <c r="L11" s="431"/>
      <c r="M11" s="460"/>
      <c r="N11" s="468" t="s">
        <v>40</v>
      </c>
      <c r="O11" s="463" t="str">
        <f t="shared" si="0"/>
        <v>USD1MFSR=</v>
      </c>
      <c r="P11" s="467">
        <v>41570</v>
      </c>
      <c r="Q11" s="466">
        <v>0.17019999999999999</v>
      </c>
      <c r="R11" s="466" t="b">
        <f t="shared" si="1"/>
        <v>1</v>
      </c>
      <c r="S11" s="465" t="b">
        <f>IF($R11,_xll.qlIndexAddFixings($U11,$P11,$Q11/100,TRUE,ISERROR($V11)),NA())</f>
        <v>1</v>
      </c>
      <c r="T11" s="455"/>
      <c r="U11" s="464" t="str">
        <f t="shared" si="2"/>
        <v>UsdLibor1M</v>
      </c>
      <c r="V11" s="463">
        <f>_xll.qlIndexFixing($U11,$P11,TRUE,$R11)</f>
        <v>1.702E-3</v>
      </c>
      <c r="W11" s="463">
        <f>IF($S11,_xll.qlIndexFixing($U11,$P11,FALSE,$R11),"-")</f>
        <v>1.702E-3</v>
      </c>
      <c r="X11" s="463">
        <f t="shared" si="3"/>
        <v>0</v>
      </c>
      <c r="Y11" s="462">
        <f>_xll.qlIndexFixing($U11,$P11,TRUE,$W11)</f>
        <v>1.702E-3</v>
      </c>
      <c r="Z11" s="461">
        <f t="shared" si="5"/>
        <v>0</v>
      </c>
      <c r="AA11" s="450"/>
      <c r="AB11" s="43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UsdLibor2M#0003</v>
      </c>
      <c r="G12" s="25" t="str">
        <f>_xll.qlLastFixingQuote(E12&amp;"LastFixing_Quote",F12,Permanent,Trigger,ObjectOverwrite)</f>
        <v>UsdLibor2MLastFixing_Quote#0003</v>
      </c>
      <c r="H12" s="7" t="str">
        <f>_xll.ohRangeRetrieveError(F12)</f>
        <v/>
      </c>
      <c r="I12" s="7" t="str">
        <f>_xll.ohRangeRetrieveError(G12)</f>
        <v/>
      </c>
      <c r="J12" s="5"/>
      <c r="L12" s="431"/>
      <c r="M12" s="460"/>
      <c r="N12" s="468" t="s">
        <v>39</v>
      </c>
      <c r="O12" s="463" t="str">
        <f t="shared" si="0"/>
        <v>USD2MFSR=</v>
      </c>
      <c r="P12" s="467">
        <v>41570</v>
      </c>
      <c r="Q12" s="466">
        <v>0.20974999999999999</v>
      </c>
      <c r="R12" s="466" t="b">
        <f t="shared" si="1"/>
        <v>1</v>
      </c>
      <c r="S12" s="465" t="b">
        <f>IF($R12,_xll.qlIndexAddFixings($U12,$P12,$Q12/100,TRUE,ISERROR($V12)),NA())</f>
        <v>1</v>
      </c>
      <c r="T12" s="455"/>
      <c r="U12" s="464" t="str">
        <f t="shared" si="2"/>
        <v>UsdLibor2M</v>
      </c>
      <c r="V12" s="463">
        <f>_xll.qlIndexFixing($U12,$P12,TRUE,$R12)</f>
        <v>2.0975E-3</v>
      </c>
      <c r="W12" s="463">
        <f>IF($S12,_xll.qlIndexFixing($U12,$P12,FALSE,$R12),"-")</f>
        <v>2.0975E-3</v>
      </c>
      <c r="X12" s="463">
        <f t="shared" si="3"/>
        <v>0</v>
      </c>
      <c r="Y12" s="462">
        <f>_xll.qlIndexFixing($U12,$P12,TRUE,$W12)</f>
        <v>2.0975E-3</v>
      </c>
      <c r="Z12" s="461">
        <f t="shared" si="5"/>
        <v>0</v>
      </c>
      <c r="AA12" s="450"/>
      <c r="AB12" s="43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UsdLibor3M#0003</v>
      </c>
      <c r="G13" s="25" t="str">
        <f>_xll.qlLastFixingQuote(E13&amp;"LastFixing_Quote",F13,Permanent,Trigger,ObjectOverwrite)</f>
        <v>UsdLibor3MLastFixing_Quote#0003</v>
      </c>
      <c r="H13" s="7" t="str">
        <f>_xll.ohRangeRetrieveError(F13)</f>
        <v/>
      </c>
      <c r="I13" s="7" t="str">
        <f>_xll.ohRangeRetrieveError(G13)</f>
        <v/>
      </c>
      <c r="J13" s="5"/>
      <c r="L13" s="431"/>
      <c r="M13" s="460"/>
      <c r="N13" s="468" t="s">
        <v>38</v>
      </c>
      <c r="O13" s="463" t="str">
        <f t="shared" si="0"/>
        <v>USD3MFSR=</v>
      </c>
      <c r="P13" s="467">
        <v>41570</v>
      </c>
      <c r="Q13" s="466">
        <v>0.23835000000000001</v>
      </c>
      <c r="R13" s="466" t="b">
        <f t="shared" si="1"/>
        <v>1</v>
      </c>
      <c r="S13" s="465" t="b">
        <f>IF($R13,_xll.qlIndexAddFixings($U13,$P13,$Q13/100,TRUE,ISERROR($V13)),NA())</f>
        <v>1</v>
      </c>
      <c r="T13" s="455"/>
      <c r="U13" s="464" t="str">
        <f t="shared" si="2"/>
        <v>UsdLibor3M</v>
      </c>
      <c r="V13" s="463">
        <f>_xll.qlIndexFixing($U13,$P13,TRUE,$R13)</f>
        <v>2.3835000000000002E-3</v>
      </c>
      <c r="W13" s="463">
        <f>IF($S13,_xll.qlIndexFixing($U13,$P13,FALSE,$R13),"-")</f>
        <v>2.3835000000000002E-3</v>
      </c>
      <c r="X13" s="463">
        <f t="shared" si="3"/>
        <v>0</v>
      </c>
      <c r="Y13" s="462">
        <f>_xll.qlIndexFixing($U13,$P13,TRUE,$W13)</f>
        <v>2.3835000000000002E-3</v>
      </c>
      <c r="Z13" s="461">
        <f t="shared" si="5"/>
        <v>0</v>
      </c>
      <c r="AA13" s="450"/>
      <c r="AB13" s="43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UsdLibor4M#0003</v>
      </c>
      <c r="G14" s="25" t="str">
        <f>_xll.qlLastFixingQuote(E14&amp;"LastFixing_Quote",F14,Permanent,Trigger,ObjectOverwrite)</f>
        <v>UsdLibor4MLastFixing_Quote#0003</v>
      </c>
      <c r="H14" s="7" t="str">
        <f>_xll.ohRangeRetrieveError(F14)</f>
        <v/>
      </c>
      <c r="I14" s="7" t="str">
        <f>_xll.ohRangeRetrieveError(G14)</f>
        <v/>
      </c>
      <c r="J14" s="5"/>
      <c r="L14" s="431"/>
      <c r="M14" s="460"/>
      <c r="N14" s="468" t="s">
        <v>37</v>
      </c>
      <c r="O14" s="463" t="str">
        <f t="shared" si="0"/>
        <v>USD4MFSR=</v>
      </c>
      <c r="P14" s="467">
        <v>41428</v>
      </c>
      <c r="Q14" s="466">
        <v>0</v>
      </c>
      <c r="R14" s="466" t="b">
        <f t="shared" si="1"/>
        <v>0</v>
      </c>
      <c r="S14" s="465" t="e">
        <f>IF($R14,_xll.qlIndexAddFixings($U14,$P14,$Q14/100,TRUE,ISERROR($V14)),NA())</f>
        <v>#N/A</v>
      </c>
      <c r="T14" s="455"/>
      <c r="U14" s="464" t="str">
        <f t="shared" si="2"/>
        <v>UsdLibor4M</v>
      </c>
      <c r="V14" s="463" t="e">
        <f>_xll.qlIndexFixing($U14,$P14,TRUE,$R14)</f>
        <v>#NUM!</v>
      </c>
      <c r="W14" s="463" t="e">
        <f>IF($S14,_xll.qlIndexFixing($U14,$P14,FALSE,$R14),"-")</f>
        <v>#N/A</v>
      </c>
      <c r="X14" s="463" t="e">
        <f t="shared" si="3"/>
        <v>#NUM!</v>
      </c>
      <c r="Y14" s="462" t="e">
        <f>_xll.qlIndexFixing($U14,$P14,TRUE,$W14)</f>
        <v>#NUM!</v>
      </c>
      <c r="Z14" s="461">
        <f t="shared" si="5"/>
        <v>0</v>
      </c>
      <c r="AA14" s="450"/>
      <c r="AB14" s="43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UsdLibor5M#0003</v>
      </c>
      <c r="G15" s="25" t="str">
        <f>_xll.qlLastFixingQuote(E15&amp;"LastFixing_Quote",F15,Permanent,Trigger,ObjectOverwrite)</f>
        <v>UsdLibor5MLastFixing_Quote#0003</v>
      </c>
      <c r="H15" s="7" t="str">
        <f>_xll.ohRangeRetrieveError(F15)</f>
        <v/>
      </c>
      <c r="I15" s="7" t="str">
        <f>_xll.ohRangeRetrieveError(G15)</f>
        <v/>
      </c>
      <c r="J15" s="5"/>
      <c r="L15" s="431"/>
      <c r="M15" s="460"/>
      <c r="N15" s="468" t="s">
        <v>36</v>
      </c>
      <c r="O15" s="463" t="str">
        <f t="shared" si="0"/>
        <v>USD5MFSR=</v>
      </c>
      <c r="P15" s="467">
        <v>41428</v>
      </c>
      <c r="Q15" s="466">
        <v>0</v>
      </c>
      <c r="R15" s="466" t="b">
        <f t="shared" si="1"/>
        <v>0</v>
      </c>
      <c r="S15" s="465" t="e">
        <f>IF($R15,_xll.qlIndexAddFixings($U15,$P15,$Q15/100,TRUE,ISERROR($V15)),NA())</f>
        <v>#N/A</v>
      </c>
      <c r="T15" s="455"/>
      <c r="U15" s="464" t="str">
        <f t="shared" si="2"/>
        <v>UsdLibor5M</v>
      </c>
      <c r="V15" s="463" t="e">
        <f>_xll.qlIndexFixing($U15,$P15,TRUE,$R15)</f>
        <v>#NUM!</v>
      </c>
      <c r="W15" s="463" t="e">
        <f>IF($S15,_xll.qlIndexFixing($U15,$P15,FALSE,$R15),"-")</f>
        <v>#N/A</v>
      </c>
      <c r="X15" s="463" t="e">
        <f t="shared" si="3"/>
        <v>#NUM!</v>
      </c>
      <c r="Y15" s="462" t="e">
        <f>_xll.qlIndexFixing($U15,$P15,TRUE,$W15)</f>
        <v>#NUM!</v>
      </c>
      <c r="Z15" s="461">
        <f t="shared" si="5"/>
        <v>0</v>
      </c>
      <c r="AA15" s="450"/>
      <c r="AB15" s="43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UsdLibor6M#0003</v>
      </c>
      <c r="G16" s="25" t="str">
        <f>_xll.qlLastFixingQuote(E16&amp;"LastFixing_Quote",F16,Permanent,Trigger,ObjectOverwrite)</f>
        <v>UsdLibor6MLastFixing_Quote#0003</v>
      </c>
      <c r="H16" s="7" t="str">
        <f>_xll.ohRangeRetrieveError(F16)</f>
        <v/>
      </c>
      <c r="I16" s="7" t="str">
        <f>_xll.ohRangeRetrieveError(G16)</f>
        <v/>
      </c>
      <c r="J16" s="5"/>
      <c r="L16" s="431"/>
      <c r="M16" s="460"/>
      <c r="N16" s="468" t="s">
        <v>35</v>
      </c>
      <c r="O16" s="463" t="str">
        <f t="shared" si="0"/>
        <v>USD6MFSR=</v>
      </c>
      <c r="P16" s="467">
        <v>41570</v>
      </c>
      <c r="Q16" s="466">
        <v>0.35570000000000002</v>
      </c>
      <c r="R16" s="466" t="b">
        <f t="shared" si="1"/>
        <v>1</v>
      </c>
      <c r="S16" s="465" t="b">
        <f>IF($R16,_xll.qlIndexAddFixings($U16,$P16,$Q16/100,TRUE,ISERROR($V16)),NA())</f>
        <v>1</v>
      </c>
      <c r="T16" s="455"/>
      <c r="U16" s="464" t="str">
        <f t="shared" si="2"/>
        <v>UsdLibor6M</v>
      </c>
      <c r="V16" s="463">
        <f>_xll.qlIndexFixing($U16,$P16,TRUE,$R16)</f>
        <v>3.5570000000000003E-3</v>
      </c>
      <c r="W16" s="463">
        <f>IF($S16,_xll.qlIndexFixing($U16,$P16,FALSE,$R16),"-")</f>
        <v>3.5570000000000003E-3</v>
      </c>
      <c r="X16" s="463">
        <f t="shared" si="3"/>
        <v>0</v>
      </c>
      <c r="Y16" s="462">
        <f>_xll.qlIndexFixing($U16,$P16,TRUE,$W16)</f>
        <v>3.5570000000000003E-3</v>
      </c>
      <c r="Z16" s="461">
        <f t="shared" si="5"/>
        <v>0</v>
      </c>
      <c r="AA16" s="450"/>
      <c r="AB16" s="43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UsdLibor7M#0003</v>
      </c>
      <c r="G17" s="25" t="str">
        <f>_xll.qlLastFixingQuote(E17&amp;"LastFixing_Quote",F17,Permanent,Trigger,ObjectOverwrite)</f>
        <v>UsdLibor7MLastFixing_Quote#0003</v>
      </c>
      <c r="H17" s="7" t="str">
        <f>_xll.ohRangeRetrieveError(F17)</f>
        <v/>
      </c>
      <c r="I17" s="7" t="str">
        <f>_xll.ohRangeRetrieveError(G17)</f>
        <v/>
      </c>
      <c r="J17" s="5"/>
      <c r="L17" s="431"/>
      <c r="M17" s="460"/>
      <c r="N17" s="468" t="s">
        <v>34</v>
      </c>
      <c r="O17" s="463" t="str">
        <f t="shared" si="0"/>
        <v>USD7MFSR=</v>
      </c>
      <c r="P17" s="467">
        <v>41428</v>
      </c>
      <c r="Q17" s="466">
        <v>0</v>
      </c>
      <c r="R17" s="466" t="b">
        <f t="shared" si="1"/>
        <v>0</v>
      </c>
      <c r="S17" s="465" t="e">
        <f>IF($R17,_xll.qlIndexAddFixings($U17,$P17,$Q17/100,TRUE,ISERROR($V17)),NA())</f>
        <v>#N/A</v>
      </c>
      <c r="T17" s="455"/>
      <c r="U17" s="464" t="str">
        <f t="shared" si="2"/>
        <v>UsdLibor7M</v>
      </c>
      <c r="V17" s="463" t="e">
        <f>_xll.qlIndexFixing($U17,$P17,TRUE,$R17)</f>
        <v>#NUM!</v>
      </c>
      <c r="W17" s="463" t="e">
        <f>IF($S17,_xll.qlIndexFixing($U17,$P17,FALSE,$R17),"-")</f>
        <v>#N/A</v>
      </c>
      <c r="X17" s="463" t="e">
        <f t="shared" si="3"/>
        <v>#NUM!</v>
      </c>
      <c r="Y17" s="462" t="e">
        <f>_xll.qlIndexFixing($U17,$P17,TRUE,$W17)</f>
        <v>#NUM!</v>
      </c>
      <c r="Z17" s="461">
        <f t="shared" si="5"/>
        <v>0</v>
      </c>
      <c r="AA17" s="450"/>
      <c r="AB17" s="43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UsdLibor8M#0003</v>
      </c>
      <c r="G18" s="25" t="str">
        <f>_xll.qlLastFixingQuote(E18&amp;"LastFixing_Quote",F18,Permanent,Trigger,ObjectOverwrite)</f>
        <v>UsdLibor8MLastFixing_Quote#0003</v>
      </c>
      <c r="H18" s="7" t="str">
        <f>_xll.ohRangeRetrieveError(F18)</f>
        <v/>
      </c>
      <c r="I18" s="7" t="str">
        <f>_xll.ohRangeRetrieveError(G18)</f>
        <v/>
      </c>
      <c r="J18" s="5"/>
      <c r="L18" s="431"/>
      <c r="M18" s="460"/>
      <c r="N18" s="468" t="s">
        <v>33</v>
      </c>
      <c r="O18" s="463" t="str">
        <f t="shared" si="0"/>
        <v>USD8MFSR=</v>
      </c>
      <c r="P18" s="467">
        <v>41428</v>
      </c>
      <c r="Q18" s="466">
        <v>0</v>
      </c>
      <c r="R18" s="466" t="b">
        <f t="shared" si="1"/>
        <v>0</v>
      </c>
      <c r="S18" s="465" t="e">
        <f>IF($R18,_xll.qlIndexAddFixings($U18,$P18,$Q18/100,TRUE,ISERROR($V18)),NA())</f>
        <v>#N/A</v>
      </c>
      <c r="T18" s="455"/>
      <c r="U18" s="464" t="str">
        <f t="shared" si="2"/>
        <v>UsdLibor8M</v>
      </c>
      <c r="V18" s="463" t="e">
        <f>_xll.qlIndexFixing($U18,$P18,TRUE,$R18)</f>
        <v>#NUM!</v>
      </c>
      <c r="W18" s="463" t="e">
        <f>IF($S18,_xll.qlIndexFixing($U18,$P18,FALSE,$R18),"-")</f>
        <v>#N/A</v>
      </c>
      <c r="X18" s="463" t="e">
        <f t="shared" si="3"/>
        <v>#NUM!</v>
      </c>
      <c r="Y18" s="462" t="e">
        <f>_xll.qlIndexFixing($U18,$P18,TRUE,$W18)</f>
        <v>#NUM!</v>
      </c>
      <c r="Z18" s="461">
        <f t="shared" si="5"/>
        <v>0</v>
      </c>
      <c r="AA18" s="450"/>
      <c r="AB18" s="43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UsdLibor9M#0003</v>
      </c>
      <c r="G19" s="25" t="str">
        <f>_xll.qlLastFixingQuote(E19&amp;"LastFixing_Quote",F19,Permanent,Trigger,ObjectOverwrite)</f>
        <v>UsdLibor9MLastFixing_Quote#0003</v>
      </c>
      <c r="H19" s="7" t="str">
        <f>_xll.ohRangeRetrieveError(F19)</f>
        <v/>
      </c>
      <c r="I19" s="7" t="str">
        <f>_xll.ohRangeRetrieveError(G19)</f>
        <v/>
      </c>
      <c r="J19" s="5"/>
      <c r="L19" s="431"/>
      <c r="M19" s="460"/>
      <c r="N19" s="468" t="s">
        <v>32</v>
      </c>
      <c r="O19" s="463" t="str">
        <f t="shared" si="0"/>
        <v>USD9MFSR=</v>
      </c>
      <c r="P19" s="467">
        <v>41428</v>
      </c>
      <c r="Q19" s="466">
        <v>0</v>
      </c>
      <c r="R19" s="466" t="b">
        <f t="shared" si="1"/>
        <v>0</v>
      </c>
      <c r="S19" s="465" t="e">
        <f>IF($R19,_xll.qlIndexAddFixings($U19,$P19,$Q19/100,TRUE,ISERROR($V19)),NA())</f>
        <v>#N/A</v>
      </c>
      <c r="T19" s="455"/>
      <c r="U19" s="464" t="str">
        <f t="shared" si="2"/>
        <v>UsdLibor9M</v>
      </c>
      <c r="V19" s="463" t="e">
        <f>_xll.qlIndexFixing($U19,$P19,TRUE,$R19)</f>
        <v>#NUM!</v>
      </c>
      <c r="W19" s="463" t="e">
        <f>IF($S19,_xll.qlIndexFixing($U19,$P19,FALSE,$R19),"-")</f>
        <v>#N/A</v>
      </c>
      <c r="X19" s="463" t="e">
        <f t="shared" si="3"/>
        <v>#NUM!</v>
      </c>
      <c r="Y19" s="462" t="e">
        <f>_xll.qlIndexFixing($U19,$P19,TRUE,$W19)</f>
        <v>#NUM!</v>
      </c>
      <c r="Z19" s="461">
        <f t="shared" si="5"/>
        <v>0</v>
      </c>
      <c r="AA19" s="450"/>
      <c r="AB19" s="43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UsdLibor10M#0003</v>
      </c>
      <c r="G20" s="25" t="str">
        <f>_xll.qlLastFixingQuote(E20&amp;"LastFixing_Quote",F20,Permanent,Trigger,ObjectOverwrite)</f>
        <v>UsdLibor10MLastFixing_Quote#0003</v>
      </c>
      <c r="H20" s="7" t="str">
        <f>_xll.ohRangeRetrieveError(F20)</f>
        <v/>
      </c>
      <c r="I20" s="7" t="str">
        <f>_xll.ohRangeRetrieveError(G20)</f>
        <v/>
      </c>
      <c r="J20" s="5"/>
      <c r="L20" s="431"/>
      <c r="M20" s="460"/>
      <c r="N20" s="468" t="s">
        <v>31</v>
      </c>
      <c r="O20" s="463" t="str">
        <f t="shared" si="0"/>
        <v>USD10MFSR=</v>
      </c>
      <c r="P20" s="467">
        <v>41428</v>
      </c>
      <c r="Q20" s="466">
        <v>0</v>
      </c>
      <c r="R20" s="466" t="b">
        <f t="shared" si="1"/>
        <v>0</v>
      </c>
      <c r="S20" s="465" t="e">
        <f>IF($R20,_xll.qlIndexAddFixings($U20,$P20,$Q20/100,TRUE,ISERROR($V20)),NA())</f>
        <v>#N/A</v>
      </c>
      <c r="T20" s="455"/>
      <c r="U20" s="464" t="str">
        <f t="shared" si="2"/>
        <v>UsdLibor10M</v>
      </c>
      <c r="V20" s="463" t="e">
        <f>_xll.qlIndexFixing($U20,$P20,TRUE,$R20)</f>
        <v>#NUM!</v>
      </c>
      <c r="W20" s="463" t="e">
        <f>IF($S20,_xll.qlIndexFixing($U20,$P20,FALSE,$R20),"-")</f>
        <v>#N/A</v>
      </c>
      <c r="X20" s="463" t="e">
        <f t="shared" si="3"/>
        <v>#NUM!</v>
      </c>
      <c r="Y20" s="462" t="e">
        <f>_xll.qlIndexFixing($U20,$P20,TRUE,$W20)</f>
        <v>#NUM!</v>
      </c>
      <c r="Z20" s="461">
        <f t="shared" si="5"/>
        <v>0</v>
      </c>
      <c r="AA20" s="450"/>
      <c r="AB20" s="43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UsdLibor11M#0003</v>
      </c>
      <c r="G21" s="25" t="str">
        <f>_xll.qlLastFixingQuote(E21&amp;"LastFixing_Quote",F21,Permanent,Trigger,ObjectOverwrite)</f>
        <v>UsdLibor11MLastFixing_Quote#0003</v>
      </c>
      <c r="H21" s="7" t="str">
        <f>_xll.ohRangeRetrieveError(F21)</f>
        <v/>
      </c>
      <c r="I21" s="7" t="str">
        <f>_xll.ohRangeRetrieveError(G21)</f>
        <v/>
      </c>
      <c r="J21" s="5"/>
      <c r="L21" s="431"/>
      <c r="M21" s="460"/>
      <c r="N21" s="468" t="s">
        <v>30</v>
      </c>
      <c r="O21" s="463" t="str">
        <f t="shared" si="0"/>
        <v>USD11MFSR=</v>
      </c>
      <c r="P21" s="467">
        <v>41428</v>
      </c>
      <c r="Q21" s="466">
        <v>0</v>
      </c>
      <c r="R21" s="466" t="b">
        <f t="shared" si="1"/>
        <v>0</v>
      </c>
      <c r="S21" s="465" t="e">
        <f>IF($R21,_xll.qlIndexAddFixings($U21,$P21,$Q21/100,TRUE,ISERROR($V21)),NA())</f>
        <v>#N/A</v>
      </c>
      <c r="T21" s="455"/>
      <c r="U21" s="464" t="str">
        <f t="shared" si="2"/>
        <v>UsdLibor11M</v>
      </c>
      <c r="V21" s="463" t="e">
        <f>_xll.qlIndexFixing($U21,$P21,TRUE,$R21)</f>
        <v>#NUM!</v>
      </c>
      <c r="W21" s="463" t="e">
        <f>IF($S21,_xll.qlIndexFixing($U21,$P21,FALSE,$R21),"-")</f>
        <v>#N/A</v>
      </c>
      <c r="X21" s="463" t="e">
        <f t="shared" si="3"/>
        <v>#NUM!</v>
      </c>
      <c r="Y21" s="462" t="e">
        <f>_xll.qlIndexFixing($U21,$P21,TRUE,$W21)</f>
        <v>#NUM!</v>
      </c>
      <c r="Z21" s="461">
        <f t="shared" si="5"/>
        <v>0</v>
      </c>
      <c r="AA21" s="450"/>
      <c r="AB21" s="43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UsdLibor1Y#0003</v>
      </c>
      <c r="G22" s="25" t="str">
        <f>_xll.qlLastFixingQuote(E22&amp;"LastFixing_Quote",F22,Permanent,Trigger,ObjectOverwrite)</f>
        <v>UsdLibor1YLastFixing_Quote#0003</v>
      </c>
      <c r="H22" s="7" t="str">
        <f>_xll.ohRangeRetrieveError(F22)</f>
        <v/>
      </c>
      <c r="I22" s="7" t="str">
        <f>_xll.ohRangeRetrieveError(G22)</f>
        <v/>
      </c>
      <c r="J22" s="5"/>
      <c r="L22" s="431"/>
      <c r="M22" s="460"/>
      <c r="N22" s="459" t="s">
        <v>29</v>
      </c>
      <c r="O22" s="453" t="str">
        <f t="shared" si="0"/>
        <v>USD1YFSR=</v>
      </c>
      <c r="P22" s="458">
        <v>41570</v>
      </c>
      <c r="Q22" s="457">
        <v>0.60860000000000003</v>
      </c>
      <c r="R22" s="457" t="b">
        <f t="shared" si="1"/>
        <v>1</v>
      </c>
      <c r="S22" s="456" t="b">
        <f>IF($R22,_xll.qlIndexAddFixings($U22,$P22,$Q22/100,TRUE,ISERROR($V22)),NA())</f>
        <v>1</v>
      </c>
      <c r="T22" s="455"/>
      <c r="U22" s="454" t="str">
        <f t="shared" si="2"/>
        <v>UsdLibor1Y</v>
      </c>
      <c r="V22" s="453">
        <f>_xll.qlIndexFixing($U22,$P22,TRUE,$R22)</f>
        <v>6.0860000000000003E-3</v>
      </c>
      <c r="W22" s="453">
        <f>IF($S22,_xll.qlIndexFixing($U22,$P22,FALSE,$R22),"-")</f>
        <v>6.0860000000000003E-3</v>
      </c>
      <c r="X22" s="453">
        <f t="shared" si="3"/>
        <v>0</v>
      </c>
      <c r="Y22" s="452">
        <f>_xll.qlIndexFixing($U22,$P22,TRUE,$W22)</f>
        <v>6.0860000000000003E-3</v>
      </c>
      <c r="Z22" s="451">
        <f t="shared" si="5"/>
        <v>0</v>
      </c>
      <c r="AA22" s="450"/>
      <c r="AB22" s="43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1"/>
      <c r="M23" s="449"/>
      <c r="N23" s="446"/>
      <c r="O23" s="446"/>
      <c r="P23" s="448"/>
      <c r="Q23" s="447"/>
      <c r="R23" s="447"/>
      <c r="S23" s="446"/>
      <c r="T23" s="446"/>
      <c r="U23" s="446"/>
      <c r="V23" s="446"/>
      <c r="W23" s="446"/>
      <c r="X23" s="446"/>
      <c r="Y23" s="446"/>
      <c r="Z23" s="446"/>
      <c r="AA23" s="445"/>
      <c r="AB23" s="431"/>
    </row>
    <row r="24" spans="2:28" s="24" customFormat="1" ht="12" thickBot="1" x14ac:dyDescent="0.25">
      <c r="L24" s="431"/>
      <c r="M24" s="431"/>
      <c r="N24" s="431"/>
      <c r="O24" s="431"/>
      <c r="P24" s="444"/>
      <c r="Q24" s="443"/>
      <c r="R24" s="443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</row>
    <row r="25" spans="2:28" x14ac:dyDescent="0.2">
      <c r="L25" s="431"/>
      <c r="M25" s="431"/>
      <c r="N25" s="442" t="s">
        <v>132</v>
      </c>
      <c r="O25" s="441" t="s">
        <v>251</v>
      </c>
      <c r="P25" s="440" t="s">
        <v>48</v>
      </c>
      <c r="Q25" s="439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</row>
    <row r="26" spans="2:28" x14ac:dyDescent="0.2">
      <c r="L26" s="431"/>
      <c r="M26" s="431"/>
      <c r="N26" s="437" t="s">
        <v>131</v>
      </c>
      <c r="O26" s="436" t="s">
        <v>251</v>
      </c>
      <c r="P26" s="435" t="s">
        <v>48</v>
      </c>
      <c r="Q26" s="431"/>
      <c r="R26" s="431"/>
      <c r="S26" s="431"/>
      <c r="T26" s="431"/>
      <c r="U26" s="438"/>
      <c r="V26" s="431"/>
      <c r="W26" s="431"/>
      <c r="X26" s="431"/>
      <c r="Y26" s="431"/>
      <c r="Z26" s="431"/>
      <c r="AA26" s="431"/>
      <c r="AB26" s="431"/>
    </row>
    <row r="27" spans="2:28" x14ac:dyDescent="0.2">
      <c r="L27" s="431"/>
      <c r="M27" s="431"/>
      <c r="N27" s="437" t="s">
        <v>315</v>
      </c>
      <c r="O27" s="436" t="s">
        <v>251</v>
      </c>
      <c r="P27" s="435" t="s">
        <v>48</v>
      </c>
      <c r="Q27" s="431"/>
      <c r="R27" s="431"/>
      <c r="S27" s="431"/>
      <c r="T27" s="431"/>
      <c r="U27" s="438"/>
      <c r="V27" s="431"/>
      <c r="W27" s="431"/>
      <c r="X27" s="431"/>
      <c r="Y27" s="431"/>
      <c r="Z27" s="431"/>
      <c r="AA27" s="431"/>
      <c r="AB27" s="431"/>
    </row>
    <row r="28" spans="2:28" x14ac:dyDescent="0.2">
      <c r="L28" s="431"/>
      <c r="M28" s="431"/>
      <c r="N28" s="437" t="s">
        <v>314</v>
      </c>
      <c r="O28" s="436" t="s">
        <v>251</v>
      </c>
      <c r="P28" s="435" t="s">
        <v>48</v>
      </c>
      <c r="Q28" s="431"/>
      <c r="R28" s="431"/>
      <c r="S28" s="431"/>
      <c r="T28" s="431"/>
      <c r="U28" s="438"/>
      <c r="V28" s="431"/>
      <c r="W28" s="431"/>
      <c r="X28" s="431"/>
      <c r="Y28" s="431"/>
      <c r="Z28" s="431"/>
      <c r="AA28" s="431"/>
      <c r="AB28" s="431"/>
    </row>
    <row r="29" spans="2:28" x14ac:dyDescent="0.2">
      <c r="L29" s="431"/>
      <c r="M29" s="431"/>
      <c r="N29" s="437" t="s">
        <v>128</v>
      </c>
      <c r="O29" s="436" t="s">
        <v>251</v>
      </c>
      <c r="P29" s="435" t="s">
        <v>48</v>
      </c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31"/>
    </row>
    <row r="30" spans="2:28" x14ac:dyDescent="0.2">
      <c r="L30" s="431"/>
      <c r="M30" s="431"/>
      <c r="N30" s="437" t="s">
        <v>127</v>
      </c>
      <c r="O30" s="436" t="s">
        <v>251</v>
      </c>
      <c r="P30" s="435" t="s">
        <v>48</v>
      </c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31"/>
    </row>
    <row r="31" spans="2:28" ht="13.5" thickBot="1" x14ac:dyDescent="0.25">
      <c r="L31" s="431"/>
      <c r="M31" s="431"/>
      <c r="N31" s="434" t="s">
        <v>122</v>
      </c>
      <c r="O31" s="433" t="s">
        <v>251</v>
      </c>
      <c r="P31" s="432" t="s">
        <v>48</v>
      </c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</row>
    <row r="32" spans="2:28" x14ac:dyDescent="0.2"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</v>
      </c>
      <c r="N5" s="487"/>
      <c r="O5" s="486"/>
      <c r="P5" s="486"/>
      <c r="Q5" s="483"/>
      <c r="R5" s="483"/>
      <c r="S5" s="485" t="str">
        <f>VLOOKUP(Currency,Traits,3,FALSE)</f>
        <v>LiborSwapIsdaFixAm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UsdLiborSwapIsdaFixAm1Y#0003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USDSFIX1Y=</v>
      </c>
      <c r="N7" s="475">
        <v>41570</v>
      </c>
      <c r="O7" s="474">
        <v>0.29699999999999999</v>
      </c>
      <c r="P7" s="474" t="b">
        <f t="shared" ref="P7:P21" si="2">IF(AND(ISNUMBER($O7),$O7&lt;&gt;0%),TRUE,FALSE)</f>
        <v>1</v>
      </c>
      <c r="Q7" s="473" t="b">
        <f>IF($P7,_xll.qlIndexAddFixings($S7,$N7,$O7/100,TRUE,ISERROR($T7)),NA())</f>
        <v>1</v>
      </c>
      <c r="R7" s="455"/>
      <c r="S7" s="472" t="str">
        <f t="shared" ref="S7:S21" si="3">PROPER(Currency)&amp;$S$5&amp;$L7</f>
        <v>UsdLiborSwapIsdaFixAm1Y</v>
      </c>
      <c r="T7" s="471">
        <f>_xll.qlIndexFixing($S7,$N7,TRUE,$P7)</f>
        <v>2.97E-3</v>
      </c>
      <c r="U7" s="471">
        <f>IF($Q7,_xll.qlIndexFixing($S7,$N7,FALSE,$P7),"-")</f>
        <v>2.97E-3</v>
      </c>
      <c r="V7" s="471">
        <f t="shared" ref="V7:V21" si="4">T7-U7</f>
        <v>0</v>
      </c>
      <c r="W7" s="470">
        <f>_xll.qlIndexFixing($S7,$N7,TRUE,$U7)</f>
        <v>2.97E-3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UsdLiborSwapIsdaFixAm2Y#0003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USDSFIX2Y=</v>
      </c>
      <c r="N8" s="467">
        <v>41570</v>
      </c>
      <c r="O8" s="466">
        <v>0.42899999999999999</v>
      </c>
      <c r="P8" s="466" t="b">
        <f t="shared" si="2"/>
        <v>1</v>
      </c>
      <c r="Q8" s="465" t="b">
        <f>IF($P8,_xll.qlIndexAddFixings($S8,$N8,$O8/100,TRUE,ISERROR($T8)),NA())</f>
        <v>1</v>
      </c>
      <c r="R8" s="455"/>
      <c r="S8" s="464" t="str">
        <f t="shared" si="3"/>
        <v>UsdLiborSwapIsdaFixAm2Y</v>
      </c>
      <c r="T8" s="463">
        <f>_xll.qlIndexFixing($S8,$N8,TRUE,$P8)</f>
        <v>4.2899999999999995E-3</v>
      </c>
      <c r="U8" s="463">
        <f>IF($Q8,_xll.qlIndexFixing($S8,$N8,FALSE,$P8),"-")</f>
        <v>4.2899999999999995E-3</v>
      </c>
      <c r="V8" s="463">
        <f t="shared" si="4"/>
        <v>0</v>
      </c>
      <c r="W8" s="462">
        <f>_xll.qlIndexFixing($S8,$N8,TRUE,$U8)</f>
        <v>4.2899999999999995E-3</v>
      </c>
      <c r="X8" s="494">
        <f t="shared" si="5"/>
        <v>0</v>
      </c>
      <c r="Y8" s="45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UsdLiborSwapIsdaFixAm3Y#0003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USDSFIX3Y=</v>
      </c>
      <c r="N9" s="467">
        <v>41570</v>
      </c>
      <c r="O9" s="466">
        <v>0.68799999999999994</v>
      </c>
      <c r="P9" s="466" t="b">
        <f t="shared" si="2"/>
        <v>1</v>
      </c>
      <c r="Q9" s="465" t="b">
        <f>IF($P9,_xll.qlIndexAddFixings($S9,$N9,$O9/100,TRUE,ISERROR($T9)),NA())</f>
        <v>1</v>
      </c>
      <c r="R9" s="455"/>
      <c r="S9" s="464" t="str">
        <f t="shared" si="3"/>
        <v>UsdLiborSwapIsdaFixAm3Y</v>
      </c>
      <c r="T9" s="463">
        <f>_xll.qlIndexFixing($S9,$N9,TRUE,$P9)</f>
        <v>6.8799999999999998E-3</v>
      </c>
      <c r="U9" s="463">
        <f>IF($Q9,_xll.qlIndexFixing($S9,$N9,FALSE,$P9),"-")</f>
        <v>6.8799999999999998E-3</v>
      </c>
      <c r="V9" s="463">
        <f t="shared" si="4"/>
        <v>0</v>
      </c>
      <c r="W9" s="462">
        <f>_xll.qlIndexFixing($S9,$N9,TRUE,$U9)</f>
        <v>6.8799999999999998E-3</v>
      </c>
      <c r="X9" s="494">
        <f t="shared" si="5"/>
        <v>0</v>
      </c>
      <c r="Y9" s="45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UsdLiborSwapIsdaFixAm4Y#0003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USDSFIX4Y=</v>
      </c>
      <c r="N10" s="467">
        <v>41570</v>
      </c>
      <c r="O10" s="466">
        <v>1.0469999999999999</v>
      </c>
      <c r="P10" s="466" t="b">
        <f t="shared" si="2"/>
        <v>1</v>
      </c>
      <c r="Q10" s="465" t="b">
        <f>IF($P10,_xll.qlIndexAddFixings($S10,$N10,$O10/100,TRUE,ISERROR($T10)),NA())</f>
        <v>1</v>
      </c>
      <c r="R10" s="455"/>
      <c r="S10" s="464" t="str">
        <f t="shared" si="3"/>
        <v>UsdLiborSwapIsdaFixAm4Y</v>
      </c>
      <c r="T10" s="463">
        <f>_xll.qlIndexFixing($S10,$N10,TRUE,$P10)</f>
        <v>1.047E-2</v>
      </c>
      <c r="U10" s="463">
        <f>IF($Q10,_xll.qlIndexFixing($S10,$N10,FALSE,$P10),"-")</f>
        <v>1.047E-2</v>
      </c>
      <c r="V10" s="463">
        <f t="shared" si="4"/>
        <v>0</v>
      </c>
      <c r="W10" s="462">
        <f>_xll.qlIndexFixing($S10,$N10,TRUE,$U10)</f>
        <v>1.047E-2</v>
      </c>
      <c r="X10" s="494">
        <f t="shared" si="5"/>
        <v>0</v>
      </c>
      <c r="Y10" s="45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UsdLiborSwapIsdaFixAm5Y#0003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USDSFIX5Y=</v>
      </c>
      <c r="N11" s="467">
        <v>41570</v>
      </c>
      <c r="O11" s="466">
        <v>1.4159999999999999</v>
      </c>
      <c r="P11" s="466" t="b">
        <f t="shared" si="2"/>
        <v>1</v>
      </c>
      <c r="Q11" s="465" t="b">
        <f>IF($P11,_xll.qlIndexAddFixings($S11,$N11,$O11/100,TRUE,ISERROR($T11)),NA())</f>
        <v>1</v>
      </c>
      <c r="R11" s="455"/>
      <c r="S11" s="464" t="str">
        <f t="shared" si="3"/>
        <v>UsdLiborSwapIsdaFixAm5Y</v>
      </c>
      <c r="T11" s="463">
        <f>_xll.qlIndexFixing($S11,$N11,TRUE,$P11)</f>
        <v>1.4159999999999999E-2</v>
      </c>
      <c r="U11" s="463">
        <f>IF($Q11,_xll.qlIndexFixing($S11,$N11,FALSE,$P11),"-")</f>
        <v>1.4159999999999999E-2</v>
      </c>
      <c r="V11" s="463">
        <f t="shared" si="4"/>
        <v>0</v>
      </c>
      <c r="W11" s="462">
        <f>_xll.qlIndexFixing($S11,$N11,TRUE,$U11)</f>
        <v>1.4159999999999999E-2</v>
      </c>
      <c r="X11" s="494">
        <f t="shared" si="5"/>
        <v>0</v>
      </c>
      <c r="Y11" s="45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UsdLiborSwapIsdaFixAm6Y#0003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USDSFIX6Y=</v>
      </c>
      <c r="N12" s="467">
        <v>41570</v>
      </c>
      <c r="O12" s="466">
        <v>1.748</v>
      </c>
      <c r="P12" s="466" t="b">
        <f t="shared" si="2"/>
        <v>1</v>
      </c>
      <c r="Q12" s="465" t="b">
        <f>IF($P12,_xll.qlIndexAddFixings($S12,$N12,$O12/100,TRUE,ISERROR($T12)),NA())</f>
        <v>1</v>
      </c>
      <c r="R12" s="455"/>
      <c r="S12" s="464" t="str">
        <f t="shared" si="3"/>
        <v>UsdLiborSwapIsdaFixAm6Y</v>
      </c>
      <c r="T12" s="463">
        <f>_xll.qlIndexFixing($S12,$N12,TRUE,$P12)</f>
        <v>1.7479999999999999E-2</v>
      </c>
      <c r="U12" s="463">
        <f>IF($Q12,_xll.qlIndexFixing($S12,$N12,FALSE,$P12),"-")</f>
        <v>1.7479999999999999E-2</v>
      </c>
      <c r="V12" s="463">
        <f t="shared" si="4"/>
        <v>0</v>
      </c>
      <c r="W12" s="462">
        <f>_xll.qlIndexFixing($S12,$N12,TRUE,$U12)</f>
        <v>1.7479999999999999E-2</v>
      </c>
      <c r="X12" s="494">
        <f t="shared" si="5"/>
        <v>0</v>
      </c>
      <c r="Y12" s="45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UsdLiborSwapIsdaFixAm7Y#0003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USDSFIX7Y=</v>
      </c>
      <c r="N13" s="467">
        <v>41570</v>
      </c>
      <c r="O13" s="466">
        <v>2.0310000000000001</v>
      </c>
      <c r="P13" s="466" t="b">
        <f t="shared" si="2"/>
        <v>1</v>
      </c>
      <c r="Q13" s="465" t="b">
        <f>IF($P13,_xll.qlIndexAddFixings($S13,$N13,$O13/100,TRUE,ISERROR($T13)),NA())</f>
        <v>1</v>
      </c>
      <c r="R13" s="455"/>
      <c r="S13" s="464" t="str">
        <f t="shared" si="3"/>
        <v>UsdLiborSwapIsdaFixAm7Y</v>
      </c>
      <c r="T13" s="463">
        <f>_xll.qlIndexFixing($S13,$N13,TRUE,$P13)</f>
        <v>2.0310000000000002E-2</v>
      </c>
      <c r="U13" s="463">
        <f>IF($Q13,_xll.qlIndexFixing($S13,$N13,FALSE,$P13),"-")</f>
        <v>2.0310000000000002E-2</v>
      </c>
      <c r="V13" s="463">
        <f t="shared" si="4"/>
        <v>0</v>
      </c>
      <c r="W13" s="462">
        <f>_xll.qlIndexFixing($S13,$N13,TRUE,$U13)</f>
        <v>2.0310000000000002E-2</v>
      </c>
      <c r="X13" s="494">
        <f t="shared" si="5"/>
        <v>0</v>
      </c>
      <c r="Y13" s="45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UsdLiborSwapIsdaFixAm8Y#0003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USDSFIX8Y=</v>
      </c>
      <c r="N14" s="467">
        <v>41570</v>
      </c>
      <c r="O14" s="466">
        <v>2.2650000000000001</v>
      </c>
      <c r="P14" s="466" t="b">
        <f t="shared" si="2"/>
        <v>1</v>
      </c>
      <c r="Q14" s="465" t="b">
        <f>IF($P14,_xll.qlIndexAddFixings($S14,$N14,$O14/100,TRUE,ISERROR($T14)),NA())</f>
        <v>1</v>
      </c>
      <c r="R14" s="455"/>
      <c r="S14" s="464" t="str">
        <f t="shared" si="3"/>
        <v>UsdLiborSwapIsdaFixAm8Y</v>
      </c>
      <c r="T14" s="463">
        <f>_xll.qlIndexFixing($S14,$N14,TRUE,$P14)</f>
        <v>2.265E-2</v>
      </c>
      <c r="U14" s="463">
        <f>IF($Q14,_xll.qlIndexFixing($S14,$N14,FALSE,$P14),"-")</f>
        <v>2.265E-2</v>
      </c>
      <c r="V14" s="463">
        <f t="shared" si="4"/>
        <v>0</v>
      </c>
      <c r="W14" s="462">
        <f>_xll.qlIndexFixing($S14,$N14,TRUE,$U14)</f>
        <v>2.265E-2</v>
      </c>
      <c r="X14" s="494">
        <f t="shared" si="5"/>
        <v>0</v>
      </c>
      <c r="Y14" s="45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UsdLiborSwapIsdaFixAm9Y#0003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USDSFIX9Y=</v>
      </c>
      <c r="N15" s="467">
        <v>41570</v>
      </c>
      <c r="O15" s="466">
        <v>2.4620000000000002</v>
      </c>
      <c r="P15" s="466" t="b">
        <f t="shared" si="2"/>
        <v>1</v>
      </c>
      <c r="Q15" s="465" t="b">
        <f>IF($P15,_xll.qlIndexAddFixings($S15,$N15,$O15/100,TRUE,ISERROR($T15)),NA())</f>
        <v>1</v>
      </c>
      <c r="R15" s="455"/>
      <c r="S15" s="464" t="str">
        <f t="shared" si="3"/>
        <v>UsdLiborSwapIsdaFixAm9Y</v>
      </c>
      <c r="T15" s="463">
        <f>_xll.qlIndexFixing($S15,$N15,TRUE,$P15)</f>
        <v>2.4620000000000003E-2</v>
      </c>
      <c r="U15" s="463">
        <f>IF($Q15,_xll.qlIndexFixing($S15,$N15,FALSE,$P15),"-")</f>
        <v>2.4620000000000003E-2</v>
      </c>
      <c r="V15" s="463">
        <f t="shared" si="4"/>
        <v>0</v>
      </c>
      <c r="W15" s="462">
        <f>_xll.qlIndexFixing($S15,$N15,TRUE,$U15)</f>
        <v>2.4620000000000003E-2</v>
      </c>
      <c r="X15" s="494">
        <f t="shared" si="5"/>
        <v>0</v>
      </c>
      <c r="Y15" s="45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UsdLiborSwapIsdaFixAm10Y#0003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USDSFIX10Y=</v>
      </c>
      <c r="N16" s="467">
        <v>41570</v>
      </c>
      <c r="O16" s="466">
        <v>2.63</v>
      </c>
      <c r="P16" s="466" t="b">
        <f t="shared" si="2"/>
        <v>1</v>
      </c>
      <c r="Q16" s="465" t="b">
        <f>IF($P16,_xll.qlIndexAddFixings($S16,$N16,$O16/100,TRUE,ISERROR($T16)),NA())</f>
        <v>1</v>
      </c>
      <c r="R16" s="455"/>
      <c r="S16" s="464" t="str">
        <f t="shared" si="3"/>
        <v>UsdLiborSwapIsdaFixAm10Y</v>
      </c>
      <c r="T16" s="463">
        <f>_xll.qlIndexFixing($S16,$N16,TRUE,$P16)</f>
        <v>2.63E-2</v>
      </c>
      <c r="U16" s="463">
        <f>IF($Q16,_xll.qlIndexFixing($S16,$N16,FALSE,$P16),"-")</f>
        <v>2.63E-2</v>
      </c>
      <c r="V16" s="463">
        <f t="shared" si="4"/>
        <v>0</v>
      </c>
      <c r="W16" s="462">
        <f>_xll.qlIndexFixing($S16,$N16,TRUE,$U16)</f>
        <v>2.63E-2</v>
      </c>
      <c r="X16" s="494">
        <f t="shared" si="5"/>
        <v>0</v>
      </c>
      <c r="Y16" s="45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UsdLiborSwapIsdaFixAm11Y#0003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UsdLiborSwapIsdaFixAm12Y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UsdLiborSwapIsdaFixAm12Y#0003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USDSFIX15Y=</v>
      </c>
      <c r="N18" s="467">
        <v>41570</v>
      </c>
      <c r="O18" s="466">
        <v>3.1549999999999998</v>
      </c>
      <c r="P18" s="466" t="b">
        <f t="shared" si="2"/>
        <v>1</v>
      </c>
      <c r="Q18" s="465" t="b">
        <f>IF($P18,_xll.qlIndexAddFixings($S18,$N18,$O18/100,TRUE,ISERROR($T18)),NA())</f>
        <v>1</v>
      </c>
      <c r="R18" s="455"/>
      <c r="S18" s="464" t="str">
        <f t="shared" si="3"/>
        <v>UsdLiborSwapIsdaFixAm15Y</v>
      </c>
      <c r="T18" s="463">
        <f>_xll.qlIndexFixing($S18,$N18,TRUE,$P18)</f>
        <v>3.1549999999999995E-2</v>
      </c>
      <c r="U18" s="463">
        <f>IF($Q18,_xll.qlIndexFixing($S18,$N18,FALSE,$P18),"-")</f>
        <v>3.1549999999999995E-2</v>
      </c>
      <c r="V18" s="463">
        <f t="shared" si="4"/>
        <v>0</v>
      </c>
      <c r="W18" s="462">
        <f>_xll.qlIndexFixing($S18,$N18,TRUE,$U18)</f>
        <v>3.1549999999999995E-2</v>
      </c>
      <c r="X18" s="494">
        <f t="shared" si="5"/>
        <v>0</v>
      </c>
      <c r="Y18" s="45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UsdLiborSwapIsdaFixAm13Y#0003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USDSFIX20Y=</v>
      </c>
      <c r="N19" s="467">
        <v>41570</v>
      </c>
      <c r="O19" s="466">
        <v>3.3809999999999998</v>
      </c>
      <c r="P19" s="466" t="b">
        <f t="shared" si="2"/>
        <v>1</v>
      </c>
      <c r="Q19" s="465" t="b">
        <f>IF($P19,_xll.qlIndexAddFixings($S19,$N19,$O19/100,TRUE,ISERROR($T19)),NA())</f>
        <v>1</v>
      </c>
      <c r="R19" s="455"/>
      <c r="S19" s="464" t="str">
        <f t="shared" si="3"/>
        <v>UsdLiborSwapIsdaFixAm20Y</v>
      </c>
      <c r="T19" s="463">
        <f>_xll.qlIndexFixing($S19,$N19,TRUE,$P19)</f>
        <v>3.381E-2</v>
      </c>
      <c r="U19" s="463">
        <f>IF($Q19,_xll.qlIndexFixing($S19,$N19,FALSE,$P19),"-")</f>
        <v>3.381E-2</v>
      </c>
      <c r="V19" s="463">
        <f t="shared" si="4"/>
        <v>0</v>
      </c>
      <c r="W19" s="462">
        <f>_xll.qlIndexFixing($S19,$N19,TRUE,$U19)</f>
        <v>3.381E-2</v>
      </c>
      <c r="X19" s="494">
        <f t="shared" si="5"/>
        <v>0</v>
      </c>
      <c r="Y19" s="45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UsdLiborSwapIsdaFixAm14Y#0003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USDSFIX25Y=</v>
      </c>
      <c r="N20" s="467">
        <v>40340</v>
      </c>
      <c r="O20" s="466">
        <v>0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UsdLiborSwapIsdaFixAm25Y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UsdLiborSwapIsdaFixAm15Y#0003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USDSFIX30Y=</v>
      </c>
      <c r="N21" s="458">
        <v>41570</v>
      </c>
      <c r="O21" s="457">
        <v>3.5529999999999999</v>
      </c>
      <c r="P21" s="457" t="b">
        <f t="shared" si="2"/>
        <v>1</v>
      </c>
      <c r="Q21" s="456" t="b">
        <f>IF($P21,_xll.qlIndexAddFixings($S21,$N21,$O21/100,TRUE,ISERROR($T21)),NA())</f>
        <v>1</v>
      </c>
      <c r="R21" s="455"/>
      <c r="S21" s="454" t="str">
        <f t="shared" si="3"/>
        <v>UsdLiborSwapIsdaFixAm30Y</v>
      </c>
      <c r="T21" s="453">
        <f>_xll.qlIndexFixing($S21,$N21,TRUE,$P21)</f>
        <v>3.5529999999999999E-2</v>
      </c>
      <c r="U21" s="453">
        <f>IF($Q21,_xll.qlIndexFixing($S21,$N21,FALSE,$P21),"-")</f>
        <v>3.5529999999999999E-2</v>
      </c>
      <c r="V21" s="453">
        <f t="shared" si="4"/>
        <v>0</v>
      </c>
      <c r="W21" s="452">
        <f>_xll.qlIndexFixing($S21,$N21,TRUE,$U21)</f>
        <v>3.5529999999999999E-2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UsdLiborSwapIsdaFixAm16Y#0003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UsdLiborSwapIsdaFixAm17Y#0003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UsdLiborSwapIsdaFixAm18Y#0003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41" t="s">
        <v>324</v>
      </c>
      <c r="N24" s="440" t="s">
        <v>325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UsdLiborSwapIsdaFixAm19Y#0003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327</v>
      </c>
      <c r="N25" s="435" t="s">
        <v>326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UsdLiborSwapIsdaFixAm20Y#0003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324</v>
      </c>
      <c r="N26" s="435" t="s">
        <v>323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UsdLiborSwapIsdaFixAm21Y#0003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36" t="s">
        <v>324</v>
      </c>
      <c r="N27" s="435" t="s">
        <v>325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UsdLiborSwapIsdaFixAm22Y#0003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36" t="s">
        <v>324</v>
      </c>
      <c r="N28" s="435" t="s">
        <v>325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UsdLiborSwapIsdaFixAm23Y#0003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324</v>
      </c>
      <c r="N29" s="435" t="s">
        <v>323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UsdLiborSwapIsdaFixAm24Y#0003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324</v>
      </c>
      <c r="N30" s="491" t="s">
        <v>323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UsdLiborSwapIsdaFixAm25Y#0003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UsdLiborSwapIsdaFixAm26Y#0003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UsdLiborSwapIsdaFixAm27Y#0003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UsdLiborSwapIsdaFixAm28Y#0003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UsdLiborSwapIsdaFixAm29Y#0003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UsdLiborSwapIsdaFixAm30Y#0003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UsdLiborSwapIsdaFixAm31Y#0003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UsdLiborSwapIsdaFixAm32Y#0003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UsdLiborSwapIsdaFixAm33Y#0003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UsdLiborSwapIsdaFixAm34Y#0003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UsdLiborSwapIsdaFixAm35Y#0003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UsdLiborSwapIsdaFixAm36Y#0003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UsdLiborSwapIsdaFixAm37Y#0003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UsdLiborSwapIsdaFixAm38Y#0003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UsdLiborSwapIsdaFixAm39Y#0003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UsdLiborSwapIsdaFixAm40Y#0003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UsdLiborSwapIsdaFixAm41Y#0003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UsdLiborSwapIsdaFixAm42Y#0003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UsdLiborSwapIsdaFixAm43Y#0003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UsdLiborSwapIsdaFixAm44Y#0003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UsdLiborSwapIsdaFixAm45Y#0003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UsdLiborSwapIsdaFixAm46Y#0003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UsdLiborSwapIsdaFixAm47Y#0003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UsdLiborSwapIsdaFixAm48Y#0003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UsdLiborSwapIsdaFixAm49Y#0003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UsdLiborSwapIsdaFixAm50Y#0003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UsdLiborSwapIsdaFixAm51Y#0003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UsdLiborSwapIsdaFixAm52Y#0003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UsdLiborSwapIsdaFixAm53Y#0003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UsdLiborSwapIsdaFixAm54Y#0003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UsdLiborSwapIsdaFixAm55Y#0003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UsdLiborSwapIsdaFixAm56Y#0003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UsdLiborSwapIsdaFixAm57Y#0003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UsdLiborSwapIsdaFixAm58Y#0003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UsdLiborSwapIsdaFixAm59Y#0003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UsdLiborSwapIsdaFixAm60Y#0003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SFIXP</v>
      </c>
      <c r="N5" s="487"/>
      <c r="O5" s="486"/>
      <c r="P5" s="486"/>
      <c r="Q5" s="483"/>
      <c r="R5" s="483"/>
      <c r="S5" s="485" t="str">
        <f>VLOOKUP(Currency,Traits,3,FALSE)</f>
        <v>LiborSwapIsdaFixPm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UsdLiborSwapIsdaFixPm1Y#0003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USDSFIXP1Y=</v>
      </c>
      <c r="N7" s="475">
        <v>41570</v>
      </c>
      <c r="O7" s="474">
        <v>0</v>
      </c>
      <c r="P7" s="474" t="b">
        <f t="shared" ref="P7:P21" si="2">IF(AND(ISNUMBER($O7),$O7&lt;&gt;0%),TRUE,FALSE)</f>
        <v>0</v>
      </c>
      <c r="Q7" s="473" t="e">
        <f>IF($P7,_xll.qlIndexAddFixings($S7,$N7,$O7/100,TRUE,ISERROR($T7)),NA())</f>
        <v>#N/A</v>
      </c>
      <c r="R7" s="455"/>
      <c r="S7" s="472" t="str">
        <f t="shared" ref="S7:S21" si="3">PROPER(Currency)&amp;$S$5&amp;$L7</f>
        <v>UsdLiborSwapIsdaFixPm1Y</v>
      </c>
      <c r="T7" s="471" t="e">
        <f>_xll.qlIndexFixing($S7,$N7,TRUE,$P7)</f>
        <v>#NUM!</v>
      </c>
      <c r="U7" s="471" t="e">
        <f>IF($Q7,_xll.qlIndexFixing($S7,$N7,FALSE,$P7),"-")</f>
        <v>#N/A</v>
      </c>
      <c r="V7" s="471" t="e">
        <f t="shared" ref="V7:V21" si="4">T7-U7</f>
        <v>#NUM!</v>
      </c>
      <c r="W7" s="470" t="e">
        <f>_xll.qlIndexFixing($S7,$N7,TRUE,$U7)</f>
        <v>#NUM!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UsdLiborSwapIsdaFixPm2Y#0003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USDSFIXP2Y=</v>
      </c>
      <c r="N8" s="467" t="s">
        <v>245</v>
      </c>
      <c r="O8" s="466" t="s">
        <v>245</v>
      </c>
      <c r="P8" s="466" t="b">
        <f t="shared" si="2"/>
        <v>0</v>
      </c>
      <c r="Q8" s="465" t="e">
        <f>IF($P8,_xll.qlIndexAddFixings($S8,$N8,$O8/100,TRUE,ISERROR($T8)),NA())</f>
        <v>#N/A</v>
      </c>
      <c r="R8" s="455"/>
      <c r="S8" s="464" t="str">
        <f t="shared" si="3"/>
        <v>UsdLiborSwapIsdaFixPm2Y</v>
      </c>
      <c r="T8" s="463" t="e">
        <f>_xll.qlIndexFixing($S8,$N8,TRUE,$P8)</f>
        <v>#NUM!</v>
      </c>
      <c r="U8" s="463" t="e">
        <f>IF($Q8,_xll.qlIndexFixing($S8,$N8,FALSE,$P8),"-")</f>
        <v>#N/A</v>
      </c>
      <c r="V8" s="463" t="e">
        <f t="shared" si="4"/>
        <v>#NUM!</v>
      </c>
      <c r="W8" s="462" t="e">
        <f>_xll.qlIndexFixing($S8,$N8,TRUE,$U8)</f>
        <v>#NUM!</v>
      </c>
      <c r="X8" s="494">
        <f t="shared" si="5"/>
        <v>0</v>
      </c>
      <c r="Y8" s="45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UsdLiborSwapIsdaFixPm3Y#0003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USDSFIXP3Y=</v>
      </c>
      <c r="N9" s="467" t="s">
        <v>245</v>
      </c>
      <c r="O9" s="466" t="s">
        <v>245</v>
      </c>
      <c r="P9" s="466" t="b">
        <f t="shared" si="2"/>
        <v>0</v>
      </c>
      <c r="Q9" s="465" t="e">
        <f>IF($P9,_xll.qlIndexAddFixings($S9,$N9,$O9/100,TRUE,ISERROR($T9)),NA())</f>
        <v>#N/A</v>
      </c>
      <c r="R9" s="455"/>
      <c r="S9" s="464" t="str">
        <f t="shared" si="3"/>
        <v>UsdLiborSwapIsdaFixPm3Y</v>
      </c>
      <c r="T9" s="463" t="e">
        <f>_xll.qlIndexFixing($S9,$N9,TRUE,$P9)</f>
        <v>#NUM!</v>
      </c>
      <c r="U9" s="463" t="e">
        <f>IF($Q9,_xll.qlIndexFixing($S9,$N9,FALSE,$P9),"-")</f>
        <v>#N/A</v>
      </c>
      <c r="V9" s="463" t="e">
        <f t="shared" si="4"/>
        <v>#NUM!</v>
      </c>
      <c r="W9" s="462" t="e">
        <f>_xll.qlIndexFixing($S9,$N9,TRUE,$U9)</f>
        <v>#NUM!</v>
      </c>
      <c r="X9" s="494">
        <f t="shared" si="5"/>
        <v>0</v>
      </c>
      <c r="Y9" s="45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UsdLiborSwapIsdaFixPm4Y#0003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USDSFIXP4Y=</v>
      </c>
      <c r="N10" s="467" t="s">
        <v>245</v>
      </c>
      <c r="O10" s="466" t="s">
        <v>245</v>
      </c>
      <c r="P10" s="466" t="b">
        <f t="shared" si="2"/>
        <v>0</v>
      </c>
      <c r="Q10" s="465" t="e">
        <f>IF($P10,_xll.qlIndexAddFixings($S10,$N10,$O10/100,TRUE,ISERROR($T10)),NA())</f>
        <v>#N/A</v>
      </c>
      <c r="R10" s="455"/>
      <c r="S10" s="464" t="str">
        <f t="shared" si="3"/>
        <v>UsdLiborSwapIsdaFixPm4Y</v>
      </c>
      <c r="T10" s="463" t="e">
        <f>_xll.qlIndexFixing($S10,$N10,TRUE,$P10)</f>
        <v>#NUM!</v>
      </c>
      <c r="U10" s="463" t="e">
        <f>IF($Q10,_xll.qlIndexFixing($S10,$N10,FALSE,$P10),"-")</f>
        <v>#N/A</v>
      </c>
      <c r="V10" s="463" t="e">
        <f t="shared" si="4"/>
        <v>#NUM!</v>
      </c>
      <c r="W10" s="462" t="e">
        <f>_xll.qlIndexFixing($S10,$N10,TRUE,$U10)</f>
        <v>#NUM!</v>
      </c>
      <c r="X10" s="494">
        <f t="shared" si="5"/>
        <v>0</v>
      </c>
      <c r="Y10" s="45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UsdLiborSwapIsdaFixPm5Y#0003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USDSFIXP5Y=</v>
      </c>
      <c r="N11" s="467" t="s">
        <v>245</v>
      </c>
      <c r="O11" s="466" t="s">
        <v>245</v>
      </c>
      <c r="P11" s="466" t="b">
        <f t="shared" si="2"/>
        <v>0</v>
      </c>
      <c r="Q11" s="465" t="e">
        <f>IF($P11,_xll.qlIndexAddFixings($S11,$N11,$O11/100,TRUE,ISERROR($T11)),NA())</f>
        <v>#N/A</v>
      </c>
      <c r="R11" s="455"/>
      <c r="S11" s="464" t="str">
        <f t="shared" si="3"/>
        <v>UsdLiborSwapIsdaFixPm5Y</v>
      </c>
      <c r="T11" s="463" t="e">
        <f>_xll.qlIndexFixing($S11,$N11,TRUE,$P11)</f>
        <v>#NUM!</v>
      </c>
      <c r="U11" s="463" t="e">
        <f>IF($Q11,_xll.qlIndexFixing($S11,$N11,FALSE,$P11),"-")</f>
        <v>#N/A</v>
      </c>
      <c r="V11" s="463" t="e">
        <f t="shared" si="4"/>
        <v>#NUM!</v>
      </c>
      <c r="W11" s="462" t="e">
        <f>_xll.qlIndexFixing($S11,$N11,TRUE,$U11)</f>
        <v>#NUM!</v>
      </c>
      <c r="X11" s="494">
        <f t="shared" si="5"/>
        <v>0</v>
      </c>
      <c r="Y11" s="45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UsdLiborSwapIsdaFixPm6Y#0003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USDSFIXP6Y=</v>
      </c>
      <c r="N12" s="467" t="s">
        <v>245</v>
      </c>
      <c r="O12" s="466" t="s">
        <v>245</v>
      </c>
      <c r="P12" s="466" t="b">
        <f t="shared" si="2"/>
        <v>0</v>
      </c>
      <c r="Q12" s="465" t="e">
        <f>IF($P12,_xll.qlIndexAddFixings($S12,$N12,$O12/100,TRUE,ISERROR($T12)),NA())</f>
        <v>#N/A</v>
      </c>
      <c r="R12" s="455"/>
      <c r="S12" s="464" t="str">
        <f t="shared" si="3"/>
        <v>UsdLiborSwapIsdaFixPm6Y</v>
      </c>
      <c r="T12" s="463" t="e">
        <f>_xll.qlIndexFixing($S12,$N12,TRUE,$P12)</f>
        <v>#NUM!</v>
      </c>
      <c r="U12" s="463" t="e">
        <f>IF($Q12,_xll.qlIndexFixing($S12,$N12,FALSE,$P12),"-")</f>
        <v>#N/A</v>
      </c>
      <c r="V12" s="463" t="e">
        <f t="shared" si="4"/>
        <v>#NUM!</v>
      </c>
      <c r="W12" s="462" t="e">
        <f>_xll.qlIndexFixing($S12,$N12,TRUE,$U12)</f>
        <v>#NUM!</v>
      </c>
      <c r="X12" s="494">
        <f t="shared" si="5"/>
        <v>0</v>
      </c>
      <c r="Y12" s="45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UsdLiborSwapIsdaFixPm7Y#0003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USDSFIXP7Y=</v>
      </c>
      <c r="N13" s="467" t="s">
        <v>245</v>
      </c>
      <c r="O13" s="466" t="s">
        <v>245</v>
      </c>
      <c r="P13" s="466" t="b">
        <f t="shared" si="2"/>
        <v>0</v>
      </c>
      <c r="Q13" s="465" t="e">
        <f>IF($P13,_xll.qlIndexAddFixings($S13,$N13,$O13/100,TRUE,ISERROR($T13)),NA())</f>
        <v>#N/A</v>
      </c>
      <c r="R13" s="455"/>
      <c r="S13" s="464" t="str">
        <f t="shared" si="3"/>
        <v>UsdLiborSwapIsdaFixPm7Y</v>
      </c>
      <c r="T13" s="463" t="e">
        <f>_xll.qlIndexFixing($S13,$N13,TRUE,$P13)</f>
        <v>#NUM!</v>
      </c>
      <c r="U13" s="463" t="e">
        <f>IF($Q13,_xll.qlIndexFixing($S13,$N13,FALSE,$P13),"-")</f>
        <v>#N/A</v>
      </c>
      <c r="V13" s="463" t="e">
        <f t="shared" si="4"/>
        <v>#NUM!</v>
      </c>
      <c r="W13" s="462" t="e">
        <f>_xll.qlIndexFixing($S13,$N13,TRUE,$U13)</f>
        <v>#NUM!</v>
      </c>
      <c r="X13" s="494">
        <f t="shared" si="5"/>
        <v>0</v>
      </c>
      <c r="Y13" s="45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UsdLiborSwapIsdaFixPm8Y#0003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USDSFIXP8Y=</v>
      </c>
      <c r="N14" s="467" t="s">
        <v>245</v>
      </c>
      <c r="O14" s="466" t="s">
        <v>245</v>
      </c>
      <c r="P14" s="466" t="b">
        <f t="shared" si="2"/>
        <v>0</v>
      </c>
      <c r="Q14" s="465" t="e">
        <f>IF($P14,_xll.qlIndexAddFixings($S14,$N14,$O14/100,TRUE,ISERROR($T14)),NA())</f>
        <v>#N/A</v>
      </c>
      <c r="R14" s="455"/>
      <c r="S14" s="464" t="str">
        <f t="shared" si="3"/>
        <v>UsdLiborSwapIsdaFixPm8Y</v>
      </c>
      <c r="T14" s="463" t="e">
        <f>_xll.qlIndexFixing($S14,$N14,TRUE,$P14)</f>
        <v>#NUM!</v>
      </c>
      <c r="U14" s="463" t="e">
        <f>IF($Q14,_xll.qlIndexFixing($S14,$N14,FALSE,$P14),"-")</f>
        <v>#N/A</v>
      </c>
      <c r="V14" s="463" t="e">
        <f t="shared" si="4"/>
        <v>#NUM!</v>
      </c>
      <c r="W14" s="462" t="e">
        <f>_xll.qlIndexFixing($S14,$N14,TRUE,$U14)</f>
        <v>#NUM!</v>
      </c>
      <c r="X14" s="494">
        <f t="shared" si="5"/>
        <v>0</v>
      </c>
      <c r="Y14" s="45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UsdLiborSwapIsdaFixPm9Y#0003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USDSFIXP9Y=</v>
      </c>
      <c r="N15" s="467" t="s">
        <v>245</v>
      </c>
      <c r="O15" s="466" t="s">
        <v>245</v>
      </c>
      <c r="P15" s="466" t="b">
        <f t="shared" si="2"/>
        <v>0</v>
      </c>
      <c r="Q15" s="465" t="e">
        <f>IF($P15,_xll.qlIndexAddFixings($S15,$N15,$O15/100,TRUE,ISERROR($T15)),NA())</f>
        <v>#N/A</v>
      </c>
      <c r="R15" s="455"/>
      <c r="S15" s="464" t="str">
        <f t="shared" si="3"/>
        <v>UsdLiborSwapIsdaFixPm9Y</v>
      </c>
      <c r="T15" s="463" t="e">
        <f>_xll.qlIndexFixing($S15,$N15,TRUE,$P15)</f>
        <v>#NUM!</v>
      </c>
      <c r="U15" s="463" t="e">
        <f>IF($Q15,_xll.qlIndexFixing($S15,$N15,FALSE,$P15),"-")</f>
        <v>#N/A</v>
      </c>
      <c r="V15" s="463" t="e">
        <f t="shared" si="4"/>
        <v>#NUM!</v>
      </c>
      <c r="W15" s="462" t="e">
        <f>_xll.qlIndexFixing($S15,$N15,TRUE,$U15)</f>
        <v>#NUM!</v>
      </c>
      <c r="X15" s="494">
        <f t="shared" si="5"/>
        <v>0</v>
      </c>
      <c r="Y15" s="45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UsdLiborSwapIsdaFixPm10Y#0003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USDSFIXP10Y=</v>
      </c>
      <c r="N16" s="467" t="s">
        <v>245</v>
      </c>
      <c r="O16" s="466" t="s">
        <v>245</v>
      </c>
      <c r="P16" s="466" t="b">
        <f t="shared" si="2"/>
        <v>0</v>
      </c>
      <c r="Q16" s="465" t="e">
        <f>IF($P16,_xll.qlIndexAddFixings($S16,$N16,$O16/100,TRUE,ISERROR($T16)),NA())</f>
        <v>#N/A</v>
      </c>
      <c r="R16" s="455"/>
      <c r="S16" s="464" t="str">
        <f t="shared" si="3"/>
        <v>UsdLiborSwapIsdaFixPm10Y</v>
      </c>
      <c r="T16" s="463" t="e">
        <f>_xll.qlIndexFixing($S16,$N16,TRUE,$P16)</f>
        <v>#NUM!</v>
      </c>
      <c r="U16" s="463" t="e">
        <f>IF($Q16,_xll.qlIndexFixing($S16,$N16,FALSE,$P16),"-")</f>
        <v>#N/A</v>
      </c>
      <c r="V16" s="463" t="e">
        <f t="shared" si="4"/>
        <v>#NUM!</v>
      </c>
      <c r="W16" s="462" t="e">
        <f>_xll.qlIndexFixing($S16,$N16,TRUE,$U16)</f>
        <v>#NUM!</v>
      </c>
      <c r="X16" s="494">
        <f t="shared" si="5"/>
        <v>0</v>
      </c>
      <c r="Y16" s="45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UsdLiborSwapIsdaFixPm11Y#0003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USDSFIXP12Y=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UsdLiborSwapIsdaFixPm12Y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UsdLiborSwapIsdaFixPm12Y#0003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USDSFIXP15Y=</v>
      </c>
      <c r="N18" s="467" t="s">
        <v>245</v>
      </c>
      <c r="O18" s="466" t="s">
        <v>245</v>
      </c>
      <c r="P18" s="466" t="b">
        <f t="shared" si="2"/>
        <v>0</v>
      </c>
      <c r="Q18" s="465" t="e">
        <f>IF($P18,_xll.qlIndexAddFixings($S18,$N18,$O18/100,TRUE,ISERROR($T18)),NA())</f>
        <v>#N/A</v>
      </c>
      <c r="R18" s="455"/>
      <c r="S18" s="464" t="str">
        <f t="shared" si="3"/>
        <v>UsdLiborSwapIsdaFixPm15Y</v>
      </c>
      <c r="T18" s="463" t="e">
        <f>_xll.qlIndexFixing($S18,$N18,TRUE,$P18)</f>
        <v>#NUM!</v>
      </c>
      <c r="U18" s="463" t="e">
        <f>IF($Q18,_xll.qlIndexFixing($S18,$N18,FALSE,$P18),"-")</f>
        <v>#N/A</v>
      </c>
      <c r="V18" s="463" t="e">
        <f t="shared" si="4"/>
        <v>#NUM!</v>
      </c>
      <c r="W18" s="462" t="e">
        <f>_xll.qlIndexFixing($S18,$N18,TRUE,$U18)</f>
        <v>#NUM!</v>
      </c>
      <c r="X18" s="494">
        <f t="shared" si="5"/>
        <v>0</v>
      </c>
      <c r="Y18" s="45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UsdLiborSwapIsdaFixPm13Y#0003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USDSFIXP20Y=</v>
      </c>
      <c r="N19" s="467" t="s">
        <v>245</v>
      </c>
      <c r="O19" s="466" t="s">
        <v>245</v>
      </c>
      <c r="P19" s="466" t="b">
        <f t="shared" si="2"/>
        <v>0</v>
      </c>
      <c r="Q19" s="465" t="e">
        <f>IF($P19,_xll.qlIndexAddFixings($S19,$N19,$O19/100,TRUE,ISERROR($T19)),NA())</f>
        <v>#N/A</v>
      </c>
      <c r="R19" s="455"/>
      <c r="S19" s="464" t="str">
        <f t="shared" si="3"/>
        <v>UsdLiborSwapIsdaFixPm20Y</v>
      </c>
      <c r="T19" s="463" t="e">
        <f>_xll.qlIndexFixing($S19,$N19,TRUE,$P19)</f>
        <v>#NUM!</v>
      </c>
      <c r="U19" s="463" t="e">
        <f>IF($Q19,_xll.qlIndexFixing($S19,$N19,FALSE,$P19),"-")</f>
        <v>#N/A</v>
      </c>
      <c r="V19" s="463" t="e">
        <f t="shared" si="4"/>
        <v>#NUM!</v>
      </c>
      <c r="W19" s="462" t="e">
        <f>_xll.qlIndexFixing($S19,$N19,TRUE,$U19)</f>
        <v>#NUM!</v>
      </c>
      <c r="X19" s="494">
        <f t="shared" si="5"/>
        <v>0</v>
      </c>
      <c r="Y19" s="45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UsdLiborSwapIsdaFixPm14Y#0003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USDSFIXP25Y=</v>
      </c>
      <c r="N20" s="467" t="s">
        <v>245</v>
      </c>
      <c r="O20" s="466" t="s">
        <v>245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UsdLiborSwapIsdaFixPm25Y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UsdLiborSwapIsdaFixPm15Y#0003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USDSFIXP30Y=</v>
      </c>
      <c r="N21" s="458" t="s">
        <v>245</v>
      </c>
      <c r="O21" s="457" t="s">
        <v>245</v>
      </c>
      <c r="P21" s="457" t="b">
        <f t="shared" si="2"/>
        <v>0</v>
      </c>
      <c r="Q21" s="456" t="e">
        <f>IF($P21,_xll.qlIndexAddFixings($S21,$N21,$O21/100,TRUE,ISERROR($T21)),NA())</f>
        <v>#N/A</v>
      </c>
      <c r="R21" s="455"/>
      <c r="S21" s="454" t="str">
        <f t="shared" si="3"/>
        <v>UsdLiborSwapIsdaFixPm30Y</v>
      </c>
      <c r="T21" s="453" t="e">
        <f>_xll.qlIndexFixing($S21,$N21,TRUE,$P21)</f>
        <v>#NUM!</v>
      </c>
      <c r="U21" s="453" t="e">
        <f>IF($Q21,_xll.qlIndexFixing($S21,$N21,FALSE,$P21),"-")</f>
        <v>#N/A</v>
      </c>
      <c r="V21" s="453" t="e">
        <f t="shared" si="4"/>
        <v>#NUM!</v>
      </c>
      <c r="W21" s="452" t="e">
        <f>_xll.qlIndexFixing($S21,$N21,TRUE,$U21)</f>
        <v>#NUM!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UsdLiborSwapIsdaFixPm16Y#0003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UsdLiborSwapIsdaFixPm17Y#0003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UsdLiborSwapIsdaFixPm18Y#0003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98" t="s">
        <v>331</v>
      </c>
      <c r="N24" s="497" t="s">
        <v>331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UsdLiborSwapIsdaFixPm19Y#0003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333</v>
      </c>
      <c r="N25" s="435" t="s">
        <v>332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UsdLiborSwapIsdaFixPm20Y#0003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330</v>
      </c>
      <c r="N26" s="435" t="s">
        <v>329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UsdLiborSwapIsdaFixPm21Y#0003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96" t="s">
        <v>331</v>
      </c>
      <c r="N27" s="495" t="s">
        <v>331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UsdLiborSwapIsdaFixPm22Y#0003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96" t="s">
        <v>331</v>
      </c>
      <c r="N28" s="495" t="s">
        <v>331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UsdLiborSwapIsdaFixPm23Y#0003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330</v>
      </c>
      <c r="N29" s="435" t="s">
        <v>329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UsdLiborSwapIsdaFixPm24Y#0003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330</v>
      </c>
      <c r="N30" s="491" t="s">
        <v>329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UsdLiborSwapIsdaFixPm25Y#0003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UsdLiborSwapIsdaFixPm26Y#0003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UsdLiborSwapIsdaFixPm27Y#0003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UsdLiborSwapIsdaFixPm28Y#0003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UsdLiborSwapIsdaFixPm29Y#0003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UsdLiborSwapIsdaFixPm30Y#0003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UsdLiborSwapIsdaFixPm31Y#0003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UsdLiborSwapIsdaFixPm32Y#0003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UsdLiborSwapIsdaFixPm33Y#0003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UsdLiborSwapIsdaFixPm34Y#0003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UsdLiborSwapIsdaFixPm35Y#0003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UsdLiborSwapIsdaFixPm36Y#0003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UsdLiborSwapIsdaFixPm37Y#0003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UsdLiborSwapIsdaFixPm38Y#0003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UsdLiborSwapIsdaFixPm39Y#0003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UsdLiborSwapIsdaFixPm40Y#0003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UsdLiborSwapIsdaFixPm41Y#0003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UsdLiborSwapIsdaFixPm42Y#0003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UsdLiborSwapIsdaFixPm43Y#0003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UsdLiborSwapIsdaFixPm44Y#0003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UsdLiborSwapIsdaFixPm45Y#0003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UsdLiborSwapIsdaFixPm46Y#0003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UsdLiborSwapIsdaFixPm47Y#0003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UsdLiborSwapIsdaFixPm48Y#0003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UsdLiborSwapIsdaFixPm49Y#0003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UsdLiborSwapIsdaFixPm50Y#0003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UsdLiborSwapIsdaFixPm51Y#0003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UsdLiborSwapIsdaFixPm52Y#0003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UsdLiborSwapIsdaFixPm53Y#0003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UsdLiborSwapIsdaFixPm54Y#0003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UsdLiborSwapIsdaFixPm55Y#0003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UsdLiborSwapIsdaFixPm56Y#0003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UsdLiborSwapIsdaFixPm57Y#0003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UsdLiborSwapIsdaFixPm58Y#0003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UsdLiborSwapIsdaFixPm59Y#0003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UsdLiborSwapIsdaFixPm60Y#0003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UsdLiborSwapForBasisCalc1Y#0003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UsdLiborSwapForBasisCalc2Y#0003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UsdLiborSwapForBasisCalc3Y#0003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UsdLiborSwapForBasisCalc4Y#0003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UsdLiborSwapForBasisCalc5Y#0003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UsdLiborSwapForBasisCalc6Y#0003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UsdLiborSwapForBasisCalc7Y#0003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UsdLiborSwapForBasisCalc8Y#0003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UsdLiborSwapForBasisCalc9Y#0003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UsdLiborSwapForBasisCalc10Y#0003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UsdLiborSwapForBasisCalc11Y#0003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UsdLiborSwapForBasisCalc12Y#0003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UsdLiborSwapForBasisCalc13Y#0003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UsdLiborSwapForBasisCalc14Y#0003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UsdLiborSwapForBasisCalc15Y#0003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UsdLiborSwapForBasisCalc16Y#0003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UsdLiborSwapForBasisCalc17Y#0003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UsdLiborSwapForBasisCalc18Y#0003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UsdLiborSwapForBasisCalc19Y#0003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UsdLiborSwapForBasisCalc20Y#0003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UsdLiborSwapForBasisCalc21Y#0003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UsdLiborSwapForBasisCalc22Y#0003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UsdLiborSwapForBasisCalc23Y#0003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UsdLiborSwapForBasisCalc24Y#0003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UsdLiborSwapForBasisCalc25Y#0003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UsdLiborSwapForBasisCalc26Y#0003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UsdLiborSwapForBasisCalc27Y#0003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UsdLiborSwapForBasisCalc28Y#0003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UsdLiborSwapForBasisCalc29Y#0003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UsdLiborSwapForBasisCalc30Y#0003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UsdLiborSwapForBasisCalc31Y#0003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UsdLiborSwapForBasisCalc32Y#0003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UsdLiborSwapForBasisCalc33Y#0003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UsdLiborSwapForBasisCalc34Y#0003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UsdLiborSwapForBasisCalc35Y#0003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UsdLiborSwapForBasisCalc36Y#0003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UsdLiborSwapForBasisCalc37Y#0003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UsdLiborSwapForBasisCalc38Y#0003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UsdLiborSwapForBasisCalc39Y#0003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UsdLiborSwapForBasisCalc40Y#0003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UsdLiborSwapForBasisCalc41Y#0003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UsdLiborSwapForBasisCalc42Y#0003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UsdLiborSwapForBasisCalc43Y#0003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UsdLiborSwapForBasisCalc44Y#0003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UsdLiborSwapForBasisCalc45Y#0003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UsdLiborSwapForBasisCalc46Y#0003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UsdLiborSwapForBasisCalc47Y#0003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UsdLiborSwapForBasisCalc48Y#0003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UsdLiborSwapForBasisCalc49Y#0003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UsdLiborSwapForBasisCalc50Y#0003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UsdLiborSwapForBasisCalc51Y#0003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UsdLiborSwapForBasisCalc52Y#0003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UsdLiborSwapForBasisCalc53Y#0003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UsdLiborSwapForBasisCalc54Y#0003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UsdLiborSwapForBasisCalc55Y#0003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UsdLiborSwapForBasisCalc56Y#0003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UsdLiborSwapForBasisCalc57Y#0003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UsdLiborSwapForBasisCalc58Y#0003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UsdLiborSwapForBasisCalc59Y#0003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UsdLiborSwapForBasisCalc60Y#0003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obj_00588#0002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USD3L1L6M_Quote#0003</v>
      </c>
      <c r="G5" s="73" t="str">
        <f>_xll.ohRangeRetrieveError(F5)</f>
        <v/>
      </c>
      <c r="H5" s="72"/>
      <c r="I5" s="21"/>
      <c r="J5" s="21"/>
      <c r="K5" s="21"/>
      <c r="L5" s="21"/>
      <c r="N5" s="400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8">
        <v>6.8</v>
      </c>
      <c r="U5" s="398">
        <v>0</v>
      </c>
      <c r="V5" s="398">
        <f>_xll.qlMidEquivalent(T5,U5)</f>
        <v>6.8</v>
      </c>
      <c r="W5" s="264" t="b">
        <f t="shared" ref="W5:W42" si="2">IF(ISNUMBER(V5),TRUE,FALSE)</f>
        <v>1</v>
      </c>
      <c r="X5" s="399">
        <f t="array" ref="X5:X38">_xll.qlInterpolationInterpolate(S3,N5:N42)</f>
        <v>6.8</v>
      </c>
      <c r="Y5" s="266"/>
      <c r="Z5" s="396">
        <v>6.7</v>
      </c>
      <c r="AA5" s="266"/>
      <c r="AB5" s="555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USD3L1L1Y_Quote#0003</v>
      </c>
      <c r="G6" s="73" t="str">
        <f>_xll.ohRangeRetrieveError(F6)</f>
        <v/>
      </c>
      <c r="H6" s="72"/>
      <c r="I6" s="21"/>
      <c r="J6" s="21"/>
      <c r="K6" s="21"/>
      <c r="L6" s="21"/>
      <c r="N6" s="400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398">
        <v>7.4</v>
      </c>
      <c r="U6" s="398">
        <v>0</v>
      </c>
      <c r="V6" s="398">
        <f>_xll.qlMidEquivalent(T6,U6)</f>
        <v>7.4</v>
      </c>
      <c r="W6" s="264" t="b">
        <f t="shared" si="2"/>
        <v>1</v>
      </c>
      <c r="X6" s="399">
        <v>7.4</v>
      </c>
      <c r="Y6" s="266"/>
      <c r="Z6" s="396">
        <v>7.4</v>
      </c>
      <c r="AA6" s="266"/>
      <c r="AB6" s="555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USD3L1L15M_Quote#0003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7.5734375000000007</v>
      </c>
      <c r="Y7" s="266"/>
      <c r="Z7" s="396">
        <v>7.5734375000000007</v>
      </c>
      <c r="AA7" s="266"/>
      <c r="AB7" s="555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USD3L1L18M_Quote#0003</v>
      </c>
      <c r="G8" s="73" t="str">
        <f>_xll.ohRangeRetrieveError(F8)</f>
        <v/>
      </c>
      <c r="H8" s="72"/>
      <c r="I8" s="20"/>
      <c r="J8" s="20"/>
      <c r="K8" s="20"/>
      <c r="L8" s="20"/>
      <c r="N8" s="400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7.6625000000000005</v>
      </c>
      <c r="Y8" s="266"/>
      <c r="Z8" s="396">
        <v>7.6625000000000005</v>
      </c>
      <c r="AA8" s="266"/>
      <c r="AB8" s="555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USD3L1L21M_Quote#0003</v>
      </c>
      <c r="G9" s="73" t="str">
        <f>_xll.ohRangeRetrieveError(F9)</f>
        <v/>
      </c>
      <c r="H9" s="72"/>
      <c r="I9" s="20"/>
      <c r="J9" s="20"/>
      <c r="K9" s="20"/>
      <c r="L9" s="20"/>
      <c r="N9" s="400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7.6953125</v>
      </c>
      <c r="Y9" s="266"/>
      <c r="Z9" s="396">
        <v>7.6953125</v>
      </c>
      <c r="AA9" s="266"/>
      <c r="AB9" s="555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USD3L1L2Y_Quote#0003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398">
        <v>7.7</v>
      </c>
      <c r="U10" s="398">
        <v>0</v>
      </c>
      <c r="V10" s="398">
        <f>_xll.qlMidEquivalent(T10,U10)</f>
        <v>7.7</v>
      </c>
      <c r="W10" s="264" t="b">
        <f t="shared" si="2"/>
        <v>1</v>
      </c>
      <c r="X10" s="399">
        <v>7.7</v>
      </c>
      <c r="Y10" s="266"/>
      <c r="Z10" s="396">
        <v>7.7</v>
      </c>
      <c r="AA10" s="266"/>
      <c r="AB10" s="555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USD3L1L3Y_Quote#0003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398">
        <v>7.6</v>
      </c>
      <c r="U11" s="398">
        <v>0</v>
      </c>
      <c r="V11" s="398">
        <f>_xll.qlMidEquivalent(T11,U11)</f>
        <v>7.6</v>
      </c>
      <c r="W11" s="264" t="b">
        <f t="shared" si="2"/>
        <v>1</v>
      </c>
      <c r="X11" s="399">
        <v>7.6</v>
      </c>
      <c r="Y11" s="266"/>
      <c r="Z11" s="396">
        <v>7.6</v>
      </c>
      <c r="AA11" s="266"/>
      <c r="AB11" s="555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USD3L1L4Y_Quote#0003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398">
        <v>7.5</v>
      </c>
      <c r="U12" s="398">
        <v>0</v>
      </c>
      <c r="V12" s="398">
        <f>_xll.qlMidEquivalent(T12,U12)</f>
        <v>7.5</v>
      </c>
      <c r="W12" s="264" t="b">
        <f t="shared" si="2"/>
        <v>1</v>
      </c>
      <c r="X12" s="399">
        <v>7.5</v>
      </c>
      <c r="Y12" s="266"/>
      <c r="Z12" s="396">
        <v>7.5</v>
      </c>
      <c r="AA12" s="266"/>
      <c r="AB12" s="555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USD3L1L5Y_Quote#0003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398">
        <v>7.4</v>
      </c>
      <c r="U13" s="398">
        <v>0</v>
      </c>
      <c r="V13" s="398">
        <f>_xll.qlMidEquivalent(T13,U13)</f>
        <v>7.4</v>
      </c>
      <c r="W13" s="264" t="b">
        <f t="shared" si="2"/>
        <v>1</v>
      </c>
      <c r="X13" s="399">
        <v>7.4</v>
      </c>
      <c r="Y13" s="266"/>
      <c r="Z13" s="396">
        <v>7.4</v>
      </c>
      <c r="AA13" s="266"/>
      <c r="AB13" s="555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USD3L1L6Y_Quote#0003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398">
        <v>7.2</v>
      </c>
      <c r="U14" s="398">
        <v>0</v>
      </c>
      <c r="V14" s="398">
        <f>_xll.qlMidEquivalent(T14,U14)</f>
        <v>7.2</v>
      </c>
      <c r="W14" s="264" t="b">
        <f t="shared" si="2"/>
        <v>1</v>
      </c>
      <c r="X14" s="399">
        <v>7.2</v>
      </c>
      <c r="Y14" s="266"/>
      <c r="Z14" s="396">
        <v>7.1</v>
      </c>
      <c r="AA14" s="266"/>
      <c r="AB14" s="555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398">
        <v>6.9</v>
      </c>
      <c r="U15" s="398">
        <v>0</v>
      </c>
      <c r="V15" s="398">
        <f>_xll.qlMidEquivalent(T15,U15)</f>
        <v>6.9</v>
      </c>
      <c r="W15" s="264" t="b">
        <f t="shared" si="2"/>
        <v>1</v>
      </c>
      <c r="X15" s="399">
        <v>6.9</v>
      </c>
      <c r="Y15" s="266"/>
      <c r="Z15" s="396">
        <v>6.9</v>
      </c>
      <c r="AA15" s="266"/>
      <c r="AB15" s="555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398">
        <v>6.5</v>
      </c>
      <c r="U16" s="398">
        <v>0</v>
      </c>
      <c r="V16" s="398">
        <f>_xll.qlMidEquivalent(T16,U16)</f>
        <v>6.5</v>
      </c>
      <c r="W16" s="264" t="b">
        <f t="shared" si="2"/>
        <v>1</v>
      </c>
      <c r="X16" s="399">
        <v>6.5</v>
      </c>
      <c r="Y16" s="266"/>
      <c r="Z16" s="396">
        <v>6.5</v>
      </c>
      <c r="AA16" s="266"/>
      <c r="AB16" s="555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398">
        <v>6.2</v>
      </c>
      <c r="U17" s="398">
        <v>0</v>
      </c>
      <c r="V17" s="398">
        <f>_xll.qlMidEquivalent(T17,U17)</f>
        <v>6.2</v>
      </c>
      <c r="W17" s="264" t="b">
        <f t="shared" si="2"/>
        <v>1</v>
      </c>
      <c r="X17" s="399">
        <v>6.2</v>
      </c>
      <c r="Y17" s="266"/>
      <c r="Z17" s="396">
        <v>6.2</v>
      </c>
      <c r="AA17" s="266"/>
      <c r="AB17" s="555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398">
        <v>5.8</v>
      </c>
      <c r="U18" s="398">
        <v>0</v>
      </c>
      <c r="V18" s="398">
        <f>_xll.qlMidEquivalent(T18,U18)</f>
        <v>5.8</v>
      </c>
      <c r="W18" s="264" t="b">
        <f t="shared" si="2"/>
        <v>1</v>
      </c>
      <c r="X18" s="399">
        <v>5.8</v>
      </c>
      <c r="Y18" s="266"/>
      <c r="Z18" s="396">
        <v>5.8</v>
      </c>
      <c r="AA18" s="266"/>
      <c r="AB18" s="555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5.4599600912493669</v>
      </c>
      <c r="Y19" s="266"/>
      <c r="Z19" s="396">
        <v>5.459271628909641</v>
      </c>
      <c r="AA19" s="266"/>
      <c r="AB19" s="555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398">
        <v>5.2</v>
      </c>
      <c r="U20" s="398">
        <v>0</v>
      </c>
      <c r="V20" s="398">
        <f>_xll.qlMidEquivalent(T20,U20)</f>
        <v>5.2</v>
      </c>
      <c r="W20" s="264" t="b">
        <f t="shared" si="2"/>
        <v>1</v>
      </c>
      <c r="X20" s="399">
        <v>5.2</v>
      </c>
      <c r="Y20" s="266"/>
      <c r="Z20" s="396">
        <v>5.2</v>
      </c>
      <c r="AA20" s="266"/>
      <c r="AB20" s="555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4.9762689728823704</v>
      </c>
      <c r="Y21" s="266"/>
      <c r="Z21" s="396">
        <v>4.9766154400837639</v>
      </c>
      <c r="AA21" s="266"/>
      <c r="AB21" s="555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4.7773654100412521</v>
      </c>
      <c r="Y22" s="266"/>
      <c r="Z22" s="396">
        <v>4.7776120796248538</v>
      </c>
      <c r="AA22" s="266"/>
      <c r="AB22" s="555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398">
        <v>4.5999999999999996</v>
      </c>
      <c r="U23" s="398">
        <v>0</v>
      </c>
      <c r="V23" s="398">
        <f>_xll.qlMidEquivalent(T23,U23)</f>
        <v>4.5999999999999996</v>
      </c>
      <c r="W23" s="264" t="b">
        <f t="shared" si="2"/>
        <v>1</v>
      </c>
      <c r="X23" s="399">
        <v>4.5999999999999996</v>
      </c>
      <c r="Y23" s="266"/>
      <c r="Z23" s="396">
        <v>4.5999999999999996</v>
      </c>
      <c r="AA23" s="266"/>
      <c r="AB23" s="555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4.4415144765610917</v>
      </c>
      <c r="Y24" s="266"/>
      <c r="Z24" s="396">
        <v>4.4413639892853558</v>
      </c>
      <c r="AA24" s="266"/>
      <c r="AB24" s="555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4.3017747546435201</v>
      </c>
      <c r="Y25" s="266"/>
      <c r="Z25" s="396">
        <v>4.3015876623547671</v>
      </c>
      <c r="AA25" s="266"/>
      <c r="AB25" s="555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4.1812777944454016</v>
      </c>
      <c r="Y26" s="266"/>
      <c r="Z26" s="396">
        <v>4.1811293407815002</v>
      </c>
      <c r="AA26" s="266"/>
      <c r="AB26" s="555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4.0805205561648554</v>
      </c>
      <c r="Y27" s="266"/>
      <c r="Z27" s="396">
        <v>4.080447346138822</v>
      </c>
      <c r="AA27" s="266"/>
      <c r="AB27" s="555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398">
        <v>4</v>
      </c>
      <c r="U28" s="398">
        <v>0</v>
      </c>
      <c r="V28" s="398">
        <f>_xll.qlMidEquivalent(T28,U28)</f>
        <v>4</v>
      </c>
      <c r="W28" s="264" t="b">
        <f t="shared" si="2"/>
        <v>1</v>
      </c>
      <c r="X28" s="399">
        <v>4</v>
      </c>
      <c r="Y28" s="266"/>
      <c r="Z28" s="396">
        <v>4</v>
      </c>
      <c r="AA28" s="266"/>
      <c r="AB28" s="555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3.9392663576861913</v>
      </c>
      <c r="Y29" s="266"/>
      <c r="Z29" s="396">
        <v>3.9393070299228765</v>
      </c>
      <c r="AA29" s="266"/>
      <c r="AB29" s="555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3.8940829471077389</v>
      </c>
      <c r="Y30" s="266"/>
      <c r="Z30" s="396">
        <v>3.8941337874035957</v>
      </c>
      <c r="AA30" s="266"/>
      <c r="AB30" s="555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3.8592663576861912</v>
      </c>
      <c r="Y31" s="266"/>
      <c r="Z31" s="396">
        <v>3.8593070299228764</v>
      </c>
      <c r="AA31" s="266"/>
      <c r="AB31" s="555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3.8296331788430953</v>
      </c>
      <c r="Y32" s="266"/>
      <c r="Z32" s="396">
        <v>3.8296535149614384</v>
      </c>
      <c r="AA32" s="266"/>
      <c r="AB32" s="555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398">
        <v>3.8</v>
      </c>
      <c r="U33" s="398">
        <v>0</v>
      </c>
      <c r="V33" s="398">
        <f>_xll.qlMidEquivalent(T33,U33)</f>
        <v>3.8</v>
      </c>
      <c r="W33" s="264" t="b">
        <f t="shared" si="2"/>
        <v>1</v>
      </c>
      <c r="X33" s="399">
        <v>3.8</v>
      </c>
      <c r="Y33" s="266"/>
      <c r="Z33" s="396">
        <v>3.8</v>
      </c>
      <c r="AA33" s="266"/>
      <c r="AB33" s="555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3.7662200926941423</v>
      </c>
      <c r="Y34" s="266"/>
      <c r="Z34" s="396">
        <v>3.7662078910231367</v>
      </c>
      <c r="AA34" s="266"/>
      <c r="AB34" s="555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3.7282934569255235</v>
      </c>
      <c r="Y35" s="266"/>
      <c r="Z35" s="396">
        <v>3.7282771880308494</v>
      </c>
      <c r="AA35" s="266"/>
      <c r="AB35" s="555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3.6872567748098328</v>
      </c>
      <c r="Y36" s="266"/>
      <c r="Z36" s="396">
        <v>3.6872425395269932</v>
      </c>
      <c r="AA36" s="266"/>
      <c r="AB36" s="555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3.6441467284627618</v>
      </c>
      <c r="Y37" s="266"/>
      <c r="Z37" s="396">
        <v>3.6441385940154247</v>
      </c>
      <c r="AA37" s="266"/>
      <c r="AB37" s="555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398">
        <v>3.6</v>
      </c>
      <c r="U38" s="398">
        <v>0</v>
      </c>
      <c r="V38" s="398">
        <f>_xll.qlMidEquivalent(T38,U38)</f>
        <v>3.6</v>
      </c>
      <c r="W38" s="264" t="b">
        <f t="shared" si="2"/>
        <v>1</v>
      </c>
      <c r="X38" s="399">
        <v>3.6</v>
      </c>
      <c r="Y38" s="266"/>
      <c r="Z38" s="396">
        <v>3.6</v>
      </c>
      <c r="AA38" s="266"/>
      <c r="AB38" s="555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3.6</v>
      </c>
      <c r="Y39" s="266"/>
      <c r="Z39" s="396">
        <v>3.6</v>
      </c>
      <c r="AA39" s="266"/>
      <c r="AB39" s="555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3.6</v>
      </c>
      <c r="Y40" s="266"/>
      <c r="Z40" s="396">
        <v>3.6</v>
      </c>
      <c r="AA40" s="266"/>
      <c r="AB40" s="555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3.6</v>
      </c>
      <c r="Y41" s="266"/>
      <c r="Z41" s="396">
        <v>3.6</v>
      </c>
      <c r="AA41" s="266"/>
      <c r="AB41" s="555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3.6</v>
      </c>
      <c r="Y42" s="266"/>
      <c r="Z42" s="392">
        <v>3.6</v>
      </c>
      <c r="AA42" s="266"/>
      <c r="AB42" s="556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obj_00587#0002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USD6L3L6M_Quote#0003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8">
        <v>10.3</v>
      </c>
      <c r="U5" s="398">
        <v>0</v>
      </c>
      <c r="V5" s="398">
        <f>_xll.qlMidEquivalent(T5,U5)</f>
        <v>10.3</v>
      </c>
      <c r="W5" s="264" t="b">
        <f t="shared" ref="W5:W42" si="2">IF(ISNUMBER(V5),TRUE,FALSE)</f>
        <v>1</v>
      </c>
      <c r="X5" s="399">
        <f t="array" ref="X5:X38">_xll.qlInterpolationInterpolate(S3,N5:N42)</f>
        <v>10.3</v>
      </c>
      <c r="Y5" s="266"/>
      <c r="Z5" s="396">
        <v>10.4</v>
      </c>
      <c r="AA5" s="266"/>
      <c r="AB5" s="319" t="str">
        <f t="shared" ref="AB5:AB42" si="3">$R5&amp;$AC$2</f>
        <v>USD6L3L6M_Quote</v>
      </c>
      <c r="AC5" s="395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0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USD6L3L1Y_Quote#0003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398">
        <v>10.199999999999999</v>
      </c>
      <c r="U6" s="398">
        <v>0</v>
      </c>
      <c r="V6" s="398">
        <f>_xll.qlMidEquivalent(T6,U6)</f>
        <v>10.199999999999999</v>
      </c>
      <c r="W6" s="264" t="b">
        <f t="shared" si="2"/>
        <v>1</v>
      </c>
      <c r="X6" s="399">
        <v>10.199999999999999</v>
      </c>
      <c r="Y6" s="266"/>
      <c r="Z6" s="396">
        <v>10.199999999999999</v>
      </c>
      <c r="AA6" s="266"/>
      <c r="AB6" s="319" t="str">
        <f t="shared" si="3"/>
        <v>USD6L3L1Y_Quote</v>
      </c>
      <c r="AC6" s="395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0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USD6L3L15M_Quote#0003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10.20593130314503</v>
      </c>
      <c r="Y7" s="266"/>
      <c r="Z7" s="396">
        <v>10.186508208428252</v>
      </c>
      <c r="AA7" s="266"/>
      <c r="AB7" s="319" t="str">
        <f t="shared" si="3"/>
        <v>USD6L3L15M_Quote</v>
      </c>
      <c r="AC7" s="395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0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USD6L3L18M_Quote#0003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10.249362606290063</v>
      </c>
      <c r="Y8" s="266"/>
      <c r="Z8" s="396">
        <v>10.229266416856504</v>
      </c>
      <c r="AA8" s="266"/>
      <c r="AB8" s="319" t="str">
        <f t="shared" si="3"/>
        <v>USD6L3L18M_Quote</v>
      </c>
      <c r="AC8" s="395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0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USD6L3L21M_Quote#0003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10.318112606290065</v>
      </c>
      <c r="Y9" s="266"/>
      <c r="Z9" s="396">
        <v>10.307391416856504</v>
      </c>
      <c r="AA9" s="266"/>
      <c r="AB9" s="319" t="str">
        <f t="shared" si="3"/>
        <v>USD6L3L21M_Quote</v>
      </c>
      <c r="AC9" s="395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0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USD6L3L2Y_Quote#0003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398">
        <v>10.4</v>
      </c>
      <c r="U10" s="398">
        <v>0</v>
      </c>
      <c r="V10" s="398">
        <f>_xll.qlMidEquivalent(T10,U10)</f>
        <v>10.4</v>
      </c>
      <c r="W10" s="264" t="b">
        <f t="shared" si="2"/>
        <v>1</v>
      </c>
      <c r="X10" s="399">
        <v>10.4</v>
      </c>
      <c r="Y10" s="266"/>
      <c r="Z10" s="396">
        <v>10.4</v>
      </c>
      <c r="AA10" s="266"/>
      <c r="AB10" s="319" t="str">
        <f t="shared" si="3"/>
        <v>USD6L3L2Y_Quote</v>
      </c>
      <c r="AC10" s="395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0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USD6L3L3Y_Quote#0003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398">
        <v>10.7</v>
      </c>
      <c r="U11" s="398">
        <v>0</v>
      </c>
      <c r="V11" s="398">
        <f>_xll.qlMidEquivalent(T11,U11)</f>
        <v>10.7</v>
      </c>
      <c r="W11" s="264" t="b">
        <f t="shared" si="2"/>
        <v>1</v>
      </c>
      <c r="X11" s="399">
        <v>10.7</v>
      </c>
      <c r="Y11" s="266"/>
      <c r="Z11" s="396">
        <v>10.7</v>
      </c>
      <c r="AA11" s="266"/>
      <c r="AB11" s="319" t="str">
        <f t="shared" si="3"/>
        <v>USD6L3L3Y_Quote</v>
      </c>
      <c r="AC11" s="395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0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USD6L3L4Y_Quote#0003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398">
        <v>10.8</v>
      </c>
      <c r="U12" s="398">
        <v>0</v>
      </c>
      <c r="V12" s="398">
        <f>_xll.qlMidEquivalent(T12,U12)</f>
        <v>10.8</v>
      </c>
      <c r="W12" s="264" t="b">
        <f t="shared" si="2"/>
        <v>1</v>
      </c>
      <c r="X12" s="399">
        <v>10.8</v>
      </c>
      <c r="Y12" s="266"/>
      <c r="Z12" s="396">
        <v>10.8</v>
      </c>
      <c r="AA12" s="266"/>
      <c r="AB12" s="319" t="str">
        <f t="shared" si="3"/>
        <v>USD6L3L4Y_Quote</v>
      </c>
      <c r="AC12" s="395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0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USD6L3L5Y_Quote#0003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398">
        <v>10.8</v>
      </c>
      <c r="U13" s="398">
        <v>0</v>
      </c>
      <c r="V13" s="398">
        <f>_xll.qlMidEquivalent(T13,U13)</f>
        <v>10.8</v>
      </c>
      <c r="W13" s="264" t="b">
        <f t="shared" si="2"/>
        <v>1</v>
      </c>
      <c r="X13" s="399">
        <v>10.8</v>
      </c>
      <c r="Y13" s="266"/>
      <c r="Z13" s="396">
        <v>10.8</v>
      </c>
      <c r="AA13" s="266"/>
      <c r="AB13" s="319" t="str">
        <f t="shared" si="3"/>
        <v>USD6L3L5Y_Quote</v>
      </c>
      <c r="AC13" s="395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0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USD6L3L6Y_Quote#0003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398">
        <v>11</v>
      </c>
      <c r="U14" s="398">
        <v>0</v>
      </c>
      <c r="V14" s="398">
        <f>_xll.qlMidEquivalent(T14,U14)</f>
        <v>11</v>
      </c>
      <c r="W14" s="264" t="b">
        <f t="shared" si="2"/>
        <v>1</v>
      </c>
      <c r="X14" s="399">
        <v>11</v>
      </c>
      <c r="Y14" s="266"/>
      <c r="Z14" s="396">
        <v>11</v>
      </c>
      <c r="AA14" s="266"/>
      <c r="AB14" s="319" t="str">
        <f t="shared" si="3"/>
        <v>USD6L3L6Y_Quote</v>
      </c>
      <c r="AC14" s="395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0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398">
        <v>11.1</v>
      </c>
      <c r="U15" s="398">
        <v>0</v>
      </c>
      <c r="V15" s="398">
        <f>_xll.qlMidEquivalent(T15,U15)</f>
        <v>11.1</v>
      </c>
      <c r="W15" s="264" t="b">
        <f t="shared" si="2"/>
        <v>1</v>
      </c>
      <c r="X15" s="399">
        <v>11.1</v>
      </c>
      <c r="Y15" s="266"/>
      <c r="Z15" s="396">
        <v>11.1</v>
      </c>
      <c r="AA15" s="266"/>
      <c r="AB15" s="319" t="str">
        <f t="shared" si="3"/>
        <v>USD6L3L7Y_Quote</v>
      </c>
      <c r="AC15" s="395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0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398">
        <v>11.2</v>
      </c>
      <c r="U16" s="398">
        <v>0</v>
      </c>
      <c r="V16" s="398">
        <f>_xll.qlMidEquivalent(T16,U16)</f>
        <v>11.2</v>
      </c>
      <c r="W16" s="264" t="b">
        <f t="shared" si="2"/>
        <v>1</v>
      </c>
      <c r="X16" s="399">
        <v>11.2</v>
      </c>
      <c r="Y16" s="266"/>
      <c r="Z16" s="396">
        <v>11.2</v>
      </c>
      <c r="AA16" s="266"/>
      <c r="AB16" s="319" t="str">
        <f t="shared" si="3"/>
        <v>USD6L3L8Y_Quote</v>
      </c>
      <c r="AC16" s="395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0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398">
        <v>11.2</v>
      </c>
      <c r="U17" s="398">
        <v>0</v>
      </c>
      <c r="V17" s="398">
        <f>_xll.qlMidEquivalent(T17,U17)</f>
        <v>11.2</v>
      </c>
      <c r="W17" s="264" t="b">
        <f t="shared" si="2"/>
        <v>1</v>
      </c>
      <c r="X17" s="399">
        <v>11.2</v>
      </c>
      <c r="Y17" s="266"/>
      <c r="Z17" s="396">
        <v>11.2</v>
      </c>
      <c r="AA17" s="266"/>
      <c r="AB17" s="319" t="str">
        <f t="shared" si="3"/>
        <v>USD6L3L9Y_Quote</v>
      </c>
      <c r="AC17" s="395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0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398">
        <v>11.3</v>
      </c>
      <c r="U18" s="398">
        <v>0</v>
      </c>
      <c r="V18" s="398">
        <f>_xll.qlMidEquivalent(T18,U18)</f>
        <v>11.3</v>
      </c>
      <c r="W18" s="264" t="b">
        <f t="shared" si="2"/>
        <v>1</v>
      </c>
      <c r="X18" s="399">
        <v>11.3</v>
      </c>
      <c r="Y18" s="266"/>
      <c r="Z18" s="396">
        <v>11.3</v>
      </c>
      <c r="AA18" s="266"/>
      <c r="AB18" s="319" t="str">
        <f t="shared" si="3"/>
        <v>USD6L3L10Y_Quote</v>
      </c>
      <c r="AC18" s="395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0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11.3</v>
      </c>
      <c r="Y19" s="266"/>
      <c r="Z19" s="396">
        <v>11.3</v>
      </c>
      <c r="AA19" s="266"/>
      <c r="AB19" s="319" t="str">
        <f t="shared" si="3"/>
        <v>USD6L3L11Y_Quote</v>
      </c>
      <c r="AC19" s="395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0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398">
        <v>11.3</v>
      </c>
      <c r="U20" s="398">
        <v>0</v>
      </c>
      <c r="V20" s="398">
        <f>_xll.qlMidEquivalent(T20,U20)</f>
        <v>11.3</v>
      </c>
      <c r="W20" s="264" t="b">
        <f t="shared" si="2"/>
        <v>1</v>
      </c>
      <c r="X20" s="399">
        <v>11.3</v>
      </c>
      <c r="Y20" s="266"/>
      <c r="Z20" s="396">
        <v>11.3</v>
      </c>
      <c r="AA20" s="266"/>
      <c r="AB20" s="319" t="str">
        <f t="shared" si="3"/>
        <v>USD6L3L12Y_Quote</v>
      </c>
      <c r="AC20" s="395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0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11.325925925925926</v>
      </c>
      <c r="Y21" s="266"/>
      <c r="Z21" s="396">
        <v>11.325925925925926</v>
      </c>
      <c r="AA21" s="266"/>
      <c r="AB21" s="319" t="str">
        <f t="shared" si="3"/>
        <v>USD6L3L13Y_Quote</v>
      </c>
      <c r="AC21" s="395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0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11.374074074074075</v>
      </c>
      <c r="Y22" s="266"/>
      <c r="Z22" s="396">
        <v>11.374074074074075</v>
      </c>
      <c r="AA22" s="266"/>
      <c r="AB22" s="319" t="str">
        <f t="shared" si="3"/>
        <v>USD6L3L14Y_Quote</v>
      </c>
      <c r="AC22" s="395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0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398">
        <v>11.4</v>
      </c>
      <c r="U23" s="398">
        <v>0</v>
      </c>
      <c r="V23" s="398">
        <f>_xll.qlMidEquivalent(T23,U23)</f>
        <v>11.4</v>
      </c>
      <c r="W23" s="264" t="b">
        <f t="shared" si="2"/>
        <v>1</v>
      </c>
      <c r="X23" s="399">
        <v>11.4</v>
      </c>
      <c r="Y23" s="266"/>
      <c r="Z23" s="396">
        <v>11.4</v>
      </c>
      <c r="AA23" s="266"/>
      <c r="AB23" s="319" t="str">
        <f t="shared" si="3"/>
        <v>USD6L3L15Y_Quote</v>
      </c>
      <c r="AC23" s="395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0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11.4</v>
      </c>
      <c r="Y24" s="266"/>
      <c r="Z24" s="396">
        <v>11.4</v>
      </c>
      <c r="AA24" s="266"/>
      <c r="AB24" s="319" t="str">
        <f t="shared" si="3"/>
        <v>USD6L3L16Y_Quote</v>
      </c>
      <c r="AC24" s="395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0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11.4</v>
      </c>
      <c r="Y25" s="266"/>
      <c r="Z25" s="396">
        <v>11.4</v>
      </c>
      <c r="AA25" s="266"/>
      <c r="AB25" s="319" t="str">
        <f t="shared" si="3"/>
        <v>USD6L3L17Y_Quote</v>
      </c>
      <c r="AC25" s="395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0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11.4</v>
      </c>
      <c r="Y26" s="266"/>
      <c r="Z26" s="396">
        <v>11.4</v>
      </c>
      <c r="AA26" s="266"/>
      <c r="AB26" s="319" t="str">
        <f t="shared" si="3"/>
        <v>USD6L3L18Y_Quote</v>
      </c>
      <c r="AC26" s="395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0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11.4</v>
      </c>
      <c r="Y27" s="266"/>
      <c r="Z27" s="396">
        <v>11.4</v>
      </c>
      <c r="AA27" s="266"/>
      <c r="AB27" s="319" t="str">
        <f t="shared" si="3"/>
        <v>USD6L3L19Y_Quote</v>
      </c>
      <c r="AC27" s="395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0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398">
        <v>11.4</v>
      </c>
      <c r="U28" s="398">
        <v>0</v>
      </c>
      <c r="V28" s="398">
        <f>_xll.qlMidEquivalent(T28,U28)</f>
        <v>11.4</v>
      </c>
      <c r="W28" s="264" t="b">
        <f t="shared" si="2"/>
        <v>1</v>
      </c>
      <c r="X28" s="399">
        <v>11.4</v>
      </c>
      <c r="Y28" s="266"/>
      <c r="Z28" s="396">
        <v>11.4</v>
      </c>
      <c r="AA28" s="266"/>
      <c r="AB28" s="319" t="str">
        <f t="shared" si="3"/>
        <v>USD6L3L20Y_Quote</v>
      </c>
      <c r="AC28" s="395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0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11.4</v>
      </c>
      <c r="Y29" s="266"/>
      <c r="Z29" s="396">
        <v>11.4</v>
      </c>
      <c r="AA29" s="266"/>
      <c r="AB29" s="319" t="str">
        <f t="shared" si="3"/>
        <v>USD6L3L21Y_Quote</v>
      </c>
      <c r="AC29" s="395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0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11.4</v>
      </c>
      <c r="Y30" s="266"/>
      <c r="Z30" s="396">
        <v>11.4</v>
      </c>
      <c r="AA30" s="266"/>
      <c r="AB30" s="319" t="str">
        <f t="shared" si="3"/>
        <v>USD6L3L22Y_Quote</v>
      </c>
      <c r="AC30" s="395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0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11.4</v>
      </c>
      <c r="Y31" s="266"/>
      <c r="Z31" s="396">
        <v>11.4</v>
      </c>
      <c r="AA31" s="266"/>
      <c r="AB31" s="319" t="str">
        <f t="shared" si="3"/>
        <v>USD6L3L23Y_Quote</v>
      </c>
      <c r="AC31" s="395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0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11.4</v>
      </c>
      <c r="Y32" s="266"/>
      <c r="Z32" s="396">
        <v>11.4</v>
      </c>
      <c r="AA32" s="266"/>
      <c r="AB32" s="319" t="str">
        <f t="shared" si="3"/>
        <v>USD6L3L24Y_Quote</v>
      </c>
      <c r="AC32" s="395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0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398">
        <v>11.4</v>
      </c>
      <c r="U33" s="398">
        <v>0</v>
      </c>
      <c r="V33" s="398">
        <f>_xll.qlMidEquivalent(T33,U33)</f>
        <v>11.4</v>
      </c>
      <c r="W33" s="264" t="b">
        <f t="shared" si="2"/>
        <v>1</v>
      </c>
      <c r="X33" s="399">
        <v>11.4</v>
      </c>
      <c r="Y33" s="266"/>
      <c r="Z33" s="396">
        <v>11.4</v>
      </c>
      <c r="AA33" s="266"/>
      <c r="AB33" s="319" t="str">
        <f t="shared" si="3"/>
        <v>USD6L3L25Y_Quote</v>
      </c>
      <c r="AC33" s="395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0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11.4</v>
      </c>
      <c r="Y34" s="266"/>
      <c r="Z34" s="396">
        <v>11.4</v>
      </c>
      <c r="AA34" s="266"/>
      <c r="AB34" s="319" t="str">
        <f t="shared" si="3"/>
        <v>USD6L3L26Y_Quote</v>
      </c>
      <c r="AC34" s="395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0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11.4</v>
      </c>
      <c r="Y35" s="266"/>
      <c r="Z35" s="396">
        <v>11.4</v>
      </c>
      <c r="AA35" s="266"/>
      <c r="AB35" s="319" t="str">
        <f t="shared" si="3"/>
        <v>USD6L3L27Y_Quote</v>
      </c>
      <c r="AC35" s="395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0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11.4</v>
      </c>
      <c r="Y36" s="266"/>
      <c r="Z36" s="396">
        <v>11.4</v>
      </c>
      <c r="AA36" s="266"/>
      <c r="AB36" s="319" t="str">
        <f t="shared" si="3"/>
        <v>USD6L3L28Y_Quote</v>
      </c>
      <c r="AC36" s="395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0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11.4</v>
      </c>
      <c r="Y37" s="266"/>
      <c r="Z37" s="396">
        <v>11.4</v>
      </c>
      <c r="AA37" s="266"/>
      <c r="AB37" s="319" t="str">
        <f t="shared" si="3"/>
        <v>USD6L3L29Y_Quote</v>
      </c>
      <c r="AC37" s="395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0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398">
        <v>11.4</v>
      </c>
      <c r="U38" s="398">
        <v>0</v>
      </c>
      <c r="V38" s="398">
        <f>_xll.qlMidEquivalent(T38,U38)</f>
        <v>11.4</v>
      </c>
      <c r="W38" s="264" t="b">
        <f t="shared" si="2"/>
        <v>1</v>
      </c>
      <c r="X38" s="399">
        <v>11.4</v>
      </c>
      <c r="Y38" s="266"/>
      <c r="Z38" s="396">
        <v>11.4</v>
      </c>
      <c r="AA38" s="266"/>
      <c r="AB38" s="319" t="str">
        <f t="shared" si="3"/>
        <v>USD6L3L30Y_Quote</v>
      </c>
      <c r="AC38" s="395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0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11.4</v>
      </c>
      <c r="Y39" s="266"/>
      <c r="Z39" s="396">
        <v>11.4</v>
      </c>
      <c r="AA39" s="266"/>
      <c r="AB39" s="319" t="str">
        <f t="shared" si="3"/>
        <v>USD6L3L35Y_Quote</v>
      </c>
      <c r="AC39" s="395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0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11.4</v>
      </c>
      <c r="Y40" s="266"/>
      <c r="Z40" s="396">
        <v>11.4</v>
      </c>
      <c r="AA40" s="266"/>
      <c r="AB40" s="319" t="str">
        <f t="shared" si="3"/>
        <v>USD6L3L40Y_Quote</v>
      </c>
      <c r="AC40" s="395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0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11.4</v>
      </c>
      <c r="Y41" s="266"/>
      <c r="Z41" s="396">
        <v>11.4</v>
      </c>
      <c r="AA41" s="266"/>
      <c r="AB41" s="319" t="str">
        <f t="shared" si="3"/>
        <v>USD6L3L50Y_Quote</v>
      </c>
      <c r="AC41" s="395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0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11.4</v>
      </c>
      <c r="Y42" s="266"/>
      <c r="Z42" s="392">
        <v>11.4</v>
      </c>
      <c r="AA42" s="266"/>
      <c r="AB42" s="314" t="str">
        <f t="shared" si="3"/>
        <v>USD6L3L60Y_Quote</v>
      </c>
      <c r="AC42" s="391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0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obj_00586#0002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USD12L3L6M_Quote#0003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8" t="s">
        <v>245</v>
      </c>
      <c r="U5" s="398" t="s">
        <v>245</v>
      </c>
      <c r="V5" s="398" t="e">
        <f>_xll.qlMidEquivalent(T5,U5)</f>
        <v>#NUM!</v>
      </c>
      <c r="W5" s="264" t="b">
        <f t="shared" ref="W5:W42" si="2">IF(ISNUMBER(V5),TRUE,FALSE)</f>
        <v>0</v>
      </c>
      <c r="X5" s="399" t="e">
        <f t="array" ref="X5:X38">_xll.qlInterpolationInterpolate(S3,N5:N42)</f>
        <v>#NUM!</v>
      </c>
      <c r="Y5" s="266"/>
      <c r="Z5" s="396" t="e">
        <v>#NUM!</v>
      </c>
      <c r="AA5" s="266"/>
      <c r="AB5" s="319" t="str">
        <f t="shared" ref="AB5:AB42" si="3">$R5&amp;$AC$2</f>
        <v>USD12L3L6M_Quote</v>
      </c>
      <c r="AC5" s="395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USD12L3L1Y_Quote#0003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398">
        <v>31.4</v>
      </c>
      <c r="U6" s="398">
        <v>0</v>
      </c>
      <c r="V6" s="398">
        <f>_xll.qlMidEquivalent(T6,U6)</f>
        <v>31.4</v>
      </c>
      <c r="W6" s="264" t="b">
        <f t="shared" si="2"/>
        <v>1</v>
      </c>
      <c r="X6" s="399">
        <v>31.4</v>
      </c>
      <c r="Y6" s="266"/>
      <c r="Z6" s="396">
        <v>31.4</v>
      </c>
      <c r="AA6" s="266"/>
      <c r="AB6" s="319" t="str">
        <f t="shared" si="3"/>
        <v>USD12L3L1Y_Quote</v>
      </c>
      <c r="AC6" s="395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USD12L3L15M_Quote#0003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31.176530133774591</v>
      </c>
      <c r="Y7" s="266"/>
      <c r="Z7" s="396">
        <v>31.176530133774591</v>
      </c>
      <c r="AA7" s="266"/>
      <c r="AB7" s="319" t="str">
        <f t="shared" si="3"/>
        <v>USD12L3L15M_Quote</v>
      </c>
      <c r="AC7" s="395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USD12L3L18M_Quote#0003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30.962448214039345</v>
      </c>
      <c r="Y8" s="266"/>
      <c r="Z8" s="396">
        <v>30.962448214039345</v>
      </c>
      <c r="AA8" s="266"/>
      <c r="AB8" s="319" t="str">
        <f t="shared" si="3"/>
        <v>USD12L3L18M_Quote</v>
      </c>
      <c r="AC8" s="395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USD12L3L21M_Quote#0003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30.767142187284428</v>
      </c>
      <c r="Y9" s="266"/>
      <c r="Z9" s="396">
        <v>30.767142187284428</v>
      </c>
      <c r="AA9" s="266"/>
      <c r="AB9" s="319" t="str">
        <f t="shared" si="3"/>
        <v>USD12L3L21M_Quote</v>
      </c>
      <c r="AC9" s="395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USD12L3L2Y_Quote#0003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398">
        <v>30.6</v>
      </c>
      <c r="U10" s="398">
        <v>0</v>
      </c>
      <c r="V10" s="398">
        <f>_xll.qlMidEquivalent(T10,U10)</f>
        <v>30.6</v>
      </c>
      <c r="W10" s="264" t="b">
        <f t="shared" si="2"/>
        <v>1</v>
      </c>
      <c r="X10" s="399">
        <v>30.6</v>
      </c>
      <c r="Y10" s="266"/>
      <c r="Z10" s="396">
        <v>30.6</v>
      </c>
      <c r="AA10" s="266"/>
      <c r="AB10" s="319" t="str">
        <f t="shared" si="3"/>
        <v>USD12L3L2Y_Quote</v>
      </c>
      <c r="AC10" s="395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USD12L3L3Y_Quote#0003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398">
        <v>30.2</v>
      </c>
      <c r="U11" s="398">
        <v>0</v>
      </c>
      <c r="V11" s="398">
        <f>_xll.qlMidEquivalent(T11,U11)</f>
        <v>30.2</v>
      </c>
      <c r="W11" s="264" t="b">
        <f t="shared" si="2"/>
        <v>1</v>
      </c>
      <c r="X11" s="399">
        <v>30.2</v>
      </c>
      <c r="Y11" s="266"/>
      <c r="Z11" s="396">
        <v>30.2</v>
      </c>
      <c r="AA11" s="266"/>
      <c r="AB11" s="319" t="str">
        <f t="shared" si="3"/>
        <v>USD12L3L3Y_Quote</v>
      </c>
      <c r="AC11" s="395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USD12L3L4Y_Quote#0003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398">
        <v>29.9</v>
      </c>
      <c r="U12" s="398">
        <v>0</v>
      </c>
      <c r="V12" s="398">
        <f>_xll.qlMidEquivalent(T12,U12)</f>
        <v>29.9</v>
      </c>
      <c r="W12" s="264" t="b">
        <f t="shared" si="2"/>
        <v>1</v>
      </c>
      <c r="X12" s="399">
        <v>29.9</v>
      </c>
      <c r="Y12" s="266"/>
      <c r="Z12" s="396">
        <v>29.9</v>
      </c>
      <c r="AA12" s="266"/>
      <c r="AB12" s="319" t="str">
        <f t="shared" si="3"/>
        <v>USD12L3L4Y_Quote</v>
      </c>
      <c r="AC12" s="395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USD12L3L5Y_Quote#0003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398">
        <v>29.6</v>
      </c>
      <c r="U13" s="398">
        <v>0</v>
      </c>
      <c r="V13" s="398">
        <f>_xll.qlMidEquivalent(T13,U13)</f>
        <v>29.6</v>
      </c>
      <c r="W13" s="264" t="b">
        <f t="shared" si="2"/>
        <v>1</v>
      </c>
      <c r="X13" s="399">
        <v>29.6</v>
      </c>
      <c r="Y13" s="266"/>
      <c r="Z13" s="396">
        <v>29.6</v>
      </c>
      <c r="AA13" s="266"/>
      <c r="AB13" s="319" t="str">
        <f t="shared" si="3"/>
        <v>USD12L3L5Y_Quote</v>
      </c>
      <c r="AC13" s="395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USD12L3L6Y_Quote#0003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398">
        <v>29.3</v>
      </c>
      <c r="U14" s="398">
        <v>0</v>
      </c>
      <c r="V14" s="398">
        <f>_xll.qlMidEquivalent(T14,U14)</f>
        <v>29.3</v>
      </c>
      <c r="W14" s="264" t="b">
        <f t="shared" si="2"/>
        <v>1</v>
      </c>
      <c r="X14" s="399">
        <v>29.3</v>
      </c>
      <c r="Y14" s="266"/>
      <c r="Z14" s="396">
        <v>29.3</v>
      </c>
      <c r="AA14" s="266"/>
      <c r="AB14" s="319" t="str">
        <f t="shared" si="3"/>
        <v>USD12L3L6Y_Quote</v>
      </c>
      <c r="AC14" s="395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398">
        <v>29.1</v>
      </c>
      <c r="U15" s="398">
        <v>0</v>
      </c>
      <c r="V15" s="398">
        <f>_xll.qlMidEquivalent(T15,U15)</f>
        <v>29.1</v>
      </c>
      <c r="W15" s="264" t="b">
        <f t="shared" si="2"/>
        <v>1</v>
      </c>
      <c r="X15" s="399">
        <v>29.1</v>
      </c>
      <c r="Y15" s="266"/>
      <c r="Z15" s="396">
        <v>29.1</v>
      </c>
      <c r="AA15" s="266"/>
      <c r="AB15" s="319" t="str">
        <f t="shared" si="3"/>
        <v>USD12L3L7Y_Quote</v>
      </c>
      <c r="AC15" s="395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398">
        <v>28.9</v>
      </c>
      <c r="U16" s="398">
        <v>0</v>
      </c>
      <c r="V16" s="398">
        <f>_xll.qlMidEquivalent(T16,U16)</f>
        <v>28.9</v>
      </c>
      <c r="W16" s="264" t="b">
        <f t="shared" si="2"/>
        <v>1</v>
      </c>
      <c r="X16" s="399">
        <v>28.9</v>
      </c>
      <c r="Y16" s="266"/>
      <c r="Z16" s="396">
        <v>28.9</v>
      </c>
      <c r="AA16" s="266"/>
      <c r="AB16" s="319" t="str">
        <f t="shared" si="3"/>
        <v>USD12L3L8Y_Quote</v>
      </c>
      <c r="AC16" s="395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398">
        <v>28.7</v>
      </c>
      <c r="U17" s="398">
        <v>0</v>
      </c>
      <c r="V17" s="398">
        <f>_xll.qlMidEquivalent(T17,U17)</f>
        <v>28.7</v>
      </c>
      <c r="W17" s="264" t="b">
        <f t="shared" si="2"/>
        <v>1</v>
      </c>
      <c r="X17" s="399">
        <v>28.7</v>
      </c>
      <c r="Y17" s="266"/>
      <c r="Z17" s="396">
        <v>28.7</v>
      </c>
      <c r="AA17" s="266"/>
      <c r="AB17" s="319" t="str">
        <f t="shared" si="3"/>
        <v>USD12L3L9Y_Quote</v>
      </c>
      <c r="AC17" s="395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398">
        <v>28.5</v>
      </c>
      <c r="U18" s="398">
        <v>0</v>
      </c>
      <c r="V18" s="398">
        <f>_xll.qlMidEquivalent(T18,U18)</f>
        <v>28.5</v>
      </c>
      <c r="W18" s="264" t="b">
        <f t="shared" si="2"/>
        <v>1</v>
      </c>
      <c r="X18" s="399">
        <v>28.5</v>
      </c>
      <c r="Y18" s="266"/>
      <c r="Z18" s="396">
        <v>28.5</v>
      </c>
      <c r="AA18" s="266"/>
      <c r="AB18" s="319" t="str">
        <f t="shared" si="3"/>
        <v>USD12L3L10Y_Quote</v>
      </c>
      <c r="AC18" s="395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28.297088844695441</v>
      </c>
      <c r="Y19" s="266"/>
      <c r="Z19" s="396">
        <v>28.297088844695441</v>
      </c>
      <c r="AA19" s="266"/>
      <c r="AB19" s="319" t="str">
        <f t="shared" si="3"/>
        <v>USD12L3L11Y_Quote</v>
      </c>
      <c r="AC19" s="395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398">
        <v>28.1</v>
      </c>
      <c r="U20" s="398">
        <v>0</v>
      </c>
      <c r="V20" s="398">
        <f>_xll.qlMidEquivalent(T20,U20)</f>
        <v>28.1</v>
      </c>
      <c r="W20" s="264" t="b">
        <f t="shared" si="2"/>
        <v>1</v>
      </c>
      <c r="X20" s="399">
        <v>28.1</v>
      </c>
      <c r="Y20" s="266"/>
      <c r="Z20" s="396">
        <v>28.1</v>
      </c>
      <c r="AA20" s="266"/>
      <c r="AB20" s="319" t="str">
        <f t="shared" si="3"/>
        <v>USD12L3L12Y_Quote</v>
      </c>
      <c r="AC20" s="395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27.91789306687464</v>
      </c>
      <c r="Y21" s="266"/>
      <c r="Z21" s="396">
        <v>27.91789306687464</v>
      </c>
      <c r="AA21" s="266"/>
      <c r="AB21" s="319" t="str">
        <f t="shared" si="3"/>
        <v>USD12L3L13Y_Quote</v>
      </c>
      <c r="AC21" s="395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27.75163039000314</v>
      </c>
      <c r="Y22" s="266"/>
      <c r="Z22" s="396">
        <v>27.75163039000314</v>
      </c>
      <c r="AA22" s="266"/>
      <c r="AB22" s="319" t="str">
        <f t="shared" si="3"/>
        <v>USD12L3L14Y_Quote</v>
      </c>
      <c r="AC22" s="395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398">
        <v>27.6</v>
      </c>
      <c r="U23" s="398">
        <v>0</v>
      </c>
      <c r="V23" s="398">
        <f>_xll.qlMidEquivalent(T23,U23)</f>
        <v>27.6</v>
      </c>
      <c r="W23" s="264" t="b">
        <f t="shared" si="2"/>
        <v>1</v>
      </c>
      <c r="X23" s="399">
        <v>27.6</v>
      </c>
      <c r="Y23" s="266"/>
      <c r="Z23" s="396">
        <v>27.6</v>
      </c>
      <c r="AA23" s="266"/>
      <c r="AB23" s="319" t="str">
        <f t="shared" si="3"/>
        <v>USD12L3L15Y_Quote</v>
      </c>
      <c r="AC23" s="395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27.461638620083583</v>
      </c>
      <c r="Y24" s="266"/>
      <c r="Z24" s="396">
        <v>27.461638620083583</v>
      </c>
      <c r="AA24" s="266"/>
      <c r="AB24" s="319" t="str">
        <f t="shared" si="3"/>
        <v>USD12L3L16Y_Quote</v>
      </c>
      <c r="AC24" s="395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27.334577743887696</v>
      </c>
      <c r="Y25" s="266"/>
      <c r="Z25" s="396">
        <v>27.334577743887696</v>
      </c>
      <c r="AA25" s="266"/>
      <c r="AB25" s="319" t="str">
        <f t="shared" si="3"/>
        <v>USD12L3L17Y_Quote</v>
      </c>
      <c r="AC25" s="395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27.216697557650019</v>
      </c>
      <c r="Y26" s="266"/>
      <c r="Z26" s="396">
        <v>27.216697557650019</v>
      </c>
      <c r="AA26" s="266"/>
      <c r="AB26" s="319" t="str">
        <f t="shared" si="3"/>
        <v>USD12L3L18Y_Quote</v>
      </c>
      <c r="AC26" s="395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27.105878247608228</v>
      </c>
      <c r="Y27" s="266"/>
      <c r="Z27" s="396">
        <v>27.105878247608228</v>
      </c>
      <c r="AA27" s="266"/>
      <c r="AB27" s="319" t="str">
        <f t="shared" si="3"/>
        <v>USD12L3L19Y_Quote</v>
      </c>
      <c r="AC27" s="395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398">
        <v>27</v>
      </c>
      <c r="U28" s="398">
        <v>0</v>
      </c>
      <c r="V28" s="398">
        <f>_xll.qlMidEquivalent(T28,U28)</f>
        <v>27</v>
      </c>
      <c r="W28" s="264" t="b">
        <f t="shared" si="2"/>
        <v>1</v>
      </c>
      <c r="X28" s="399">
        <v>27</v>
      </c>
      <c r="Y28" s="266"/>
      <c r="Z28" s="396">
        <v>27</v>
      </c>
      <c r="AA28" s="266"/>
      <c r="AB28" s="319" t="str">
        <f t="shared" si="3"/>
        <v>USD12L3L20Y_Quote</v>
      </c>
      <c r="AC28" s="395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26.897178751328763</v>
      </c>
      <c r="Y29" s="266"/>
      <c r="Z29" s="396">
        <v>26.897178751328763</v>
      </c>
      <c r="AA29" s="266"/>
      <c r="AB29" s="319" t="str">
        <f t="shared" si="3"/>
        <v>USD12L3L21Y_Quote</v>
      </c>
      <c r="AC29" s="395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26.796473439160952</v>
      </c>
      <c r="Y30" s="266"/>
      <c r="Z30" s="396">
        <v>26.796473439160952</v>
      </c>
      <c r="AA30" s="266"/>
      <c r="AB30" s="319" t="str">
        <f t="shared" si="3"/>
        <v>USD12L3L22Y_Quote</v>
      </c>
      <c r="AC30" s="395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26.69717875132876</v>
      </c>
      <c r="Y31" s="266"/>
      <c r="Z31" s="396">
        <v>26.69717875132876</v>
      </c>
      <c r="AA31" s="266"/>
      <c r="AB31" s="319" t="str">
        <f t="shared" si="3"/>
        <v>USD12L3L23Y_Quote</v>
      </c>
      <c r="AC31" s="395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26.598589375664382</v>
      </c>
      <c r="Y32" s="266"/>
      <c r="Z32" s="396">
        <v>26.598589375664382</v>
      </c>
      <c r="AA32" s="266"/>
      <c r="AB32" s="319" t="str">
        <f t="shared" si="3"/>
        <v>USD12L3L24Y_Quote</v>
      </c>
      <c r="AC32" s="395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398">
        <v>26.5</v>
      </c>
      <c r="U33" s="398">
        <v>0</v>
      </c>
      <c r="V33" s="398">
        <f>_xll.qlMidEquivalent(T33,U33)</f>
        <v>26.5</v>
      </c>
      <c r="W33" s="264" t="b">
        <f t="shared" si="2"/>
        <v>1</v>
      </c>
      <c r="X33" s="399">
        <v>26.5</v>
      </c>
      <c r="Y33" s="266"/>
      <c r="Z33" s="396">
        <v>26.5</v>
      </c>
      <c r="AA33" s="266"/>
      <c r="AB33" s="319" t="str">
        <f t="shared" si="3"/>
        <v>USD12L3L25Y_Quote</v>
      </c>
      <c r="AC33" s="395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26.400846374601372</v>
      </c>
      <c r="Y34" s="266"/>
      <c r="Z34" s="396">
        <v>26.400846374601372</v>
      </c>
      <c r="AA34" s="266"/>
      <c r="AB34" s="319" t="str">
        <f t="shared" si="3"/>
        <v>USD12L3L26Y_Quote</v>
      </c>
      <c r="AC34" s="395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26.301128499468497</v>
      </c>
      <c r="Y35" s="266"/>
      <c r="Z35" s="396">
        <v>26.301128499468497</v>
      </c>
      <c r="AA35" s="266"/>
      <c r="AB35" s="319" t="str">
        <f t="shared" si="3"/>
        <v>USD12L3L27Y_Quote</v>
      </c>
      <c r="AC35" s="395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26.200987437034932</v>
      </c>
      <c r="Y36" s="266"/>
      <c r="Z36" s="396">
        <v>26.200987437034932</v>
      </c>
      <c r="AA36" s="266"/>
      <c r="AB36" s="319" t="str">
        <f t="shared" si="3"/>
        <v>USD12L3L28Y_Quote</v>
      </c>
      <c r="AC36" s="395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26.100564249734248</v>
      </c>
      <c r="Y37" s="266"/>
      <c r="Z37" s="396">
        <v>26.100564249734248</v>
      </c>
      <c r="AA37" s="266"/>
      <c r="AB37" s="319" t="str">
        <f t="shared" si="3"/>
        <v>USD12L3L29Y_Quote</v>
      </c>
      <c r="AC37" s="395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398">
        <v>26</v>
      </c>
      <c r="U38" s="398">
        <v>0</v>
      </c>
      <c r="V38" s="398">
        <f>_xll.qlMidEquivalent(T38,U38)</f>
        <v>26</v>
      </c>
      <c r="W38" s="264" t="b">
        <f t="shared" si="2"/>
        <v>1</v>
      </c>
      <c r="X38" s="399">
        <v>26</v>
      </c>
      <c r="Y38" s="266"/>
      <c r="Z38" s="396">
        <v>26</v>
      </c>
      <c r="AA38" s="266"/>
      <c r="AB38" s="319" t="str">
        <f t="shared" si="3"/>
        <v>USD12L3L30Y_Quote</v>
      </c>
      <c r="AC38" s="395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26</v>
      </c>
      <c r="Y39" s="266"/>
      <c r="Z39" s="396">
        <v>26</v>
      </c>
      <c r="AA39" s="266"/>
      <c r="AB39" s="319" t="str">
        <f t="shared" si="3"/>
        <v>USD12L3L35Y_Quote</v>
      </c>
      <c r="AC39" s="395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26</v>
      </c>
      <c r="Y40" s="266"/>
      <c r="Z40" s="396">
        <v>26</v>
      </c>
      <c r="AA40" s="266"/>
      <c r="AB40" s="319" t="str">
        <f t="shared" si="3"/>
        <v>USD12L3L40Y_Quote</v>
      </c>
      <c r="AC40" s="395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26</v>
      </c>
      <c r="Y41" s="266"/>
      <c r="Z41" s="396">
        <v>26</v>
      </c>
      <c r="AA41" s="266"/>
      <c r="AB41" s="319" t="str">
        <f t="shared" si="3"/>
        <v>USD12L3L50Y_Quote</v>
      </c>
      <c r="AC41" s="395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26</v>
      </c>
      <c r="Y42" s="266"/>
      <c r="Z42" s="392">
        <v>26</v>
      </c>
      <c r="AA42" s="266"/>
      <c r="AB42" s="314" t="str">
        <f t="shared" si="3"/>
        <v>USD12L3L60Y_Quote</v>
      </c>
      <c r="AC42" s="391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3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USDOND_Quote#0003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USDTND_Quote#0003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USDSND_Quote#0003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USDSWD_Quote#0003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USD2WD_Quote#0003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USD3WD_Quote#0003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USD1MD_Quote#0003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USD2MD_Quote#0003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USD3MD_Quote#0003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USD4MD_Quote#0003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USD5MD_Quote#0003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USD6MD_Quote#0003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USD7MD_Quote#0003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USD8MD_Quote#0003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USD9MD_Quote#0003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USD10MD_Quote#0003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USD11MD_Quote#0003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USD1YD_Quote#0003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USDT1F1_Quote#0003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USDTOM1F1_Quote#0003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USDT3F1_Quote#0003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3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USDTOM3F1_Quote#0003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USD1x4F_Quote#0003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USD2x5F_Quote#0003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USD3x6F_Quote#0003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USD4x7F_Quote#0003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USD5x8F_Quote#0003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USD6x9F_Quote#0003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USDT6F1_Quote#0003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USDTOM6F1_Quote#0003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USD1x7F_Quote#0003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USD2x8F_Quote#0003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USD3x9F_Quote#0003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USD4x10F_Quote#0003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USD5x11F_Quote#0003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USD6x12F_Quote#0003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USD7x13F_Quote#0003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USD8x14F_Quote#0003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USD9x15F_Quote#0003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USD10x16F_Quote#0003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USD11x17F_Quote#0003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USD12x18F_Quote#0003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USD13x19F_Quote#0003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USD14x20F_Quote#0003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USD15x21F_Quote#0003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USD16x22F_Quote#0003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USD17x23F_Quote#0003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USD18x24F_Quote#0003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USDT12F1_Quote#0003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USDTOM12F1_Quote#0003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USD12x24F_Quote#0003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I1" s="152" t="s">
        <v>231</v>
      </c>
      <c r="AQ1" s="357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  <c r="AI2" s="152"/>
      <c r="AM2" s="257" t="s">
        <v>230</v>
      </c>
      <c r="AN2" s="256" t="str">
        <f>PROPER(Currency)&amp;"HW_Volatility_Quote"</f>
        <v>UsdHW_Volatility_Quote</v>
      </c>
      <c r="AQ2" s="357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  <c r="AI3" s="152"/>
      <c r="AM3" s="257" t="s">
        <v>229</v>
      </c>
      <c r="AN3" s="256" t="str">
        <f>PROPER(Currency)&amp;"HW_MeanReversion_Quote"</f>
        <v>UsdHW_MeanReversion_Quote</v>
      </c>
      <c r="AQ3" s="357"/>
    </row>
    <row r="4" spans="1:44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3</v>
      </c>
      <c r="AB4" s="357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7"/>
    </row>
    <row r="5" spans="1:44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  <c r="AI5" s="152"/>
      <c r="AQ5" s="357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F4</v>
      </c>
      <c r="E6" s="142" t="str">
        <f t="shared" ref="E6:E17" si="0">Currency&amp;$D$4&amp;$E$4&amp;$D6&amp;QuoteSuffix</f>
        <v>USDFUT1MF4_Quote</v>
      </c>
      <c r="F6" s="148" t="str">
        <f>_xll.qlSimpleQuote(E6,,PriceTickValue,Permanent,Trigger,ObjectOverwrite)</f>
        <v>USDFUT1MF4_Quote#0003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182</v>
      </c>
      <c r="AK6" s="197" t="s">
        <v>181</v>
      </c>
      <c r="AL6" s="197" t="s">
        <v>180</v>
      </c>
      <c r="AM6" s="197" t="s">
        <v>228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7"/>
    </row>
    <row r="7" spans="1:44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USDFUT1MG4_Quote#0003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F4</v>
      </c>
      <c r="AM7" s="253" t="str">
        <f t="shared" ref="AM7:AM18" si="2">Currency&amp;"FUT"&amp;$AO$4&amp;$AL7&amp;QuoteSuffix</f>
        <v>USDFUT1MF4_Quote</v>
      </c>
      <c r="AN7" s="254" t="str">
        <f t="shared" ref="AN7:AN18" si="3">Currency&amp;"FUT"&amp;$AO$4&amp;$AL7&amp;"ConvAdj"&amp;QuoteSuffix</f>
        <v>USDFUT1MF4ConvAdj_Quote</v>
      </c>
      <c r="AO7" s="253" t="str">
        <f>_xll.qlFuturesConvAdjustmentQuote($AN7,IborIndex,$AL7,$AM7,Volatility,MeanReversion,Permanent,Trigger,ObjectOverwrite)</f>
        <v>USDFUT1MF4ConvAdj_Quote#0002</v>
      </c>
      <c r="AP7" s="73" t="str">
        <f>_xll.ohRangeRetrieveError(AO7)</f>
        <v/>
      </c>
      <c r="AQ7" s="357"/>
    </row>
    <row r="8" spans="1:44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USDFUT1MH4_Quote#0003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G4</v>
      </c>
      <c r="AM8" s="253" t="str">
        <f t="shared" si="2"/>
        <v>USDFUT1MG4_Quote</v>
      </c>
      <c r="AN8" s="254" t="str">
        <f t="shared" si="3"/>
        <v>USDFUT1MG4ConvAdj_Quote</v>
      </c>
      <c r="AO8" s="253" t="str">
        <f>_xll.qlFuturesConvAdjustmentQuote($AN8,IborIndex,$AL8,$AM8,Volatility,MeanReversion,Permanent,Trigger,ObjectOverwrite)</f>
        <v>USDFUT1MG4ConvAdj_Quote#0002</v>
      </c>
      <c r="AP8" s="73" t="str">
        <f>_xll.ohRangeRetrieveError(AO8)</f>
        <v/>
      </c>
      <c r="AQ8" s="357"/>
    </row>
    <row r="9" spans="1:44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USDFUT1MJ4_Quote#0003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H4</v>
      </c>
      <c r="AM9" s="253" t="str">
        <f t="shared" si="2"/>
        <v>USDFUT1MH4_Quote</v>
      </c>
      <c r="AN9" s="254" t="str">
        <f t="shared" si="3"/>
        <v>USDFUT1MH4ConvAdj_Quote</v>
      </c>
      <c r="AO9" s="253" t="str">
        <f>_xll.qlFuturesConvAdjustmentQuote($AN9,IborIndex,$AL9,$AM9,Volatility,MeanReversion,Permanent,Trigger,ObjectOverwrite)</f>
        <v>USDFUT1MH4ConvAdj_Quote#0002</v>
      </c>
      <c r="AP9" s="73" t="str">
        <f>_xll.ohRangeRetrieveError(AO9)</f>
        <v/>
      </c>
      <c r="AQ9" s="357"/>
      <c r="AR9" s="565"/>
    </row>
    <row r="10" spans="1:44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USDFUT1MK4_Quote#0003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J4</v>
      </c>
      <c r="AM10" s="253" t="str">
        <f t="shared" si="2"/>
        <v>USDFUT1MJ4_Quote</v>
      </c>
      <c r="AN10" s="254" t="str">
        <f t="shared" si="3"/>
        <v>USDFUT1MJ4ConvAdj_Quote</v>
      </c>
      <c r="AO10" s="253" t="str">
        <f>_xll.qlFuturesConvAdjustmentQuote($AN10,IborIndex,$AL10,$AM10,Volatility,MeanReversion,Permanent,Trigger,ObjectOverwrite)</f>
        <v>USDFUT1MJ4ConvAdj_Quote#0002</v>
      </c>
      <c r="AP10" s="73" t="str">
        <f>_xll.ohRangeRetrieveError(AO10)</f>
        <v/>
      </c>
      <c r="AQ10" s="357"/>
    </row>
    <row r="11" spans="1:44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USDFUT1MM4_Quote#0003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K4</v>
      </c>
      <c r="AM11" s="253" t="str">
        <f t="shared" si="2"/>
        <v>USDFUT1MK4_Quote</v>
      </c>
      <c r="AN11" s="254" t="str">
        <f t="shared" si="3"/>
        <v>USDFUT1MK4ConvAdj_Quote</v>
      </c>
      <c r="AO11" s="253" t="str">
        <f>_xll.qlFuturesConvAdjustmentQuote($AN11,IborIndex,$AL11,$AM11,Volatility,MeanReversion,Permanent,Trigger,ObjectOverwrite)</f>
        <v>USDFUT1MK4ConvAdj_Quote#0002</v>
      </c>
      <c r="AP11" s="73" t="str">
        <f>_xll.ohRangeRetrieveError(AO11)</f>
        <v/>
      </c>
      <c r="AQ11" s="357"/>
    </row>
    <row r="12" spans="1:44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USDFUT1MN4_Quote#0003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M4</v>
      </c>
      <c r="AM12" s="253" t="str">
        <f t="shared" si="2"/>
        <v>USDFUT1MM4_Quote</v>
      </c>
      <c r="AN12" s="254" t="str">
        <f t="shared" si="3"/>
        <v>USDFUT1MM4ConvAdj_Quote</v>
      </c>
      <c r="AO12" s="253" t="str">
        <f>_xll.qlFuturesConvAdjustmentQuote($AN12,IborIndex,$AL12,$AM12,Volatility,MeanReversion,Permanent,Trigger,ObjectOverwrite)</f>
        <v>USDFUT1MM4ConvAdj_Quote#0002</v>
      </c>
      <c r="AP12" s="73" t="str">
        <f>_xll.ohRangeRetrieveError(AO12)</f>
        <v/>
      </c>
      <c r="AQ12" s="357"/>
    </row>
    <row r="13" spans="1:44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USDFUT1MQ4_Quote#0003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N4</v>
      </c>
      <c r="AM13" s="253" t="str">
        <f t="shared" si="2"/>
        <v>USDFUT1MN4_Quote</v>
      </c>
      <c r="AN13" s="254" t="str">
        <f t="shared" si="3"/>
        <v>USDFUT1MN4ConvAdj_Quote</v>
      </c>
      <c r="AO13" s="253" t="str">
        <f>_xll.qlFuturesConvAdjustmentQuote($AN13,IborIndex,$AL13,$AM13,Volatility,MeanReversion,Permanent,Trigger,ObjectOverwrite)</f>
        <v>USDFUT1MN4ConvAdj_Quote#0002</v>
      </c>
      <c r="AP13" s="73" t="str">
        <f>_xll.ohRangeRetrieveError(AO13)</f>
        <v/>
      </c>
      <c r="AQ13" s="357"/>
    </row>
    <row r="14" spans="1:44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USDFUT1MU4_Quote#0003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Q4</v>
      </c>
      <c r="AM14" s="253" t="str">
        <f t="shared" si="2"/>
        <v>USDFUT1MQ4_Quote</v>
      </c>
      <c r="AN14" s="254" t="str">
        <f t="shared" si="3"/>
        <v>USDFUT1MQ4ConvAdj_Quote</v>
      </c>
      <c r="AO14" s="253" t="str">
        <f>_xll.qlFuturesConvAdjustmentQuote($AN14,IborIndex,$AL14,$AM14,Volatility,MeanReversion,Permanent,Trigger,ObjectOverwrite)</f>
        <v>USDFUT1MQ4ConvAdj_Quote#0002</v>
      </c>
      <c r="AP14" s="73" t="str">
        <f>_xll.ohRangeRetrieveError(AO14)</f>
        <v/>
      </c>
      <c r="AQ14" s="357"/>
    </row>
    <row r="15" spans="1:44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USDFUT1MV4_Quote#0003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U4</v>
      </c>
      <c r="AM15" s="253" t="str">
        <f t="shared" si="2"/>
        <v>USDFUT1MU4_Quote</v>
      </c>
      <c r="AN15" s="254" t="str">
        <f t="shared" si="3"/>
        <v>USDFUT1MU4ConvAdj_Quote</v>
      </c>
      <c r="AO15" s="253" t="str">
        <f>_xll.qlFuturesConvAdjustmentQuote($AN15,IborIndex,$AL15,$AM15,Volatility,MeanReversion,Permanent,Trigger,ObjectOverwrite)</f>
        <v>USDFUT1MU4ConvAdj_Quote#0002</v>
      </c>
      <c r="AP15" s="73" t="str">
        <f>_xll.ohRangeRetrieveError(AO15)</f>
        <v/>
      </c>
      <c r="AQ15" s="357"/>
    </row>
    <row r="16" spans="1:44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USDFUT1MX4_Quote#0003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V4</v>
      </c>
      <c r="AM16" s="253" t="str">
        <f t="shared" si="2"/>
        <v>USDFUT1MV4_Quote</v>
      </c>
      <c r="AN16" s="254" t="str">
        <f t="shared" si="3"/>
        <v>USDFUT1MV4ConvAdj_Quote</v>
      </c>
      <c r="AO16" s="253" t="str">
        <f>_xll.qlFuturesConvAdjustmentQuote($AN16,IborIndex,$AL16,$AM16,Volatility,MeanReversion,Permanent,Trigger,ObjectOverwrite)</f>
        <v>USDFUT1MV4ConvAdj_Quote#0002</v>
      </c>
      <c r="AP16" s="73" t="str">
        <f>_xll.ohRangeRetrieveError(AO16)</f>
        <v/>
      </c>
      <c r="AQ16" s="357"/>
    </row>
    <row r="17" spans="1:4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USDFUT1MZ4_Quote#0003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X4</v>
      </c>
      <c r="AM17" s="253" t="str">
        <f t="shared" si="2"/>
        <v>USDFUT1MX4_Quote</v>
      </c>
      <c r="AN17" s="254" t="str">
        <f t="shared" si="3"/>
        <v>USDFUT1MX4ConvAdj_Quote</v>
      </c>
      <c r="AO17" s="253" t="str">
        <f>_xll.qlFuturesConvAdjustmentQuote($AN17,IborIndex,$AL17,$AM17,Volatility,MeanReversion,Permanent,Trigger,ObjectOverwrite)</f>
        <v>USDFUT1MX4ConvAdj_Quote#0002</v>
      </c>
      <c r="AP17" s="73" t="str">
        <f>_xll.ohRangeRetrieveError(AO17)</f>
        <v/>
      </c>
      <c r="AQ17" s="357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Z4</v>
      </c>
      <c r="AM18" s="253" t="str">
        <f t="shared" si="2"/>
        <v>USDFUT1MZ4_Quote</v>
      </c>
      <c r="AN18" s="254" t="str">
        <f t="shared" si="3"/>
        <v>USDFUT1MZ4ConvAdj_Quote</v>
      </c>
      <c r="AO18" s="253" t="str">
        <f>_xll.qlFuturesConvAdjustmentQuote($AN18,IborIndex,$AL18,$AM18,Volatility,MeanReversion,Permanent,Trigger,ObjectOverwrite)</f>
        <v>USDFUT1MZ4ConvAdj_Quote#0002</v>
      </c>
      <c r="AP18" s="73" t="str">
        <f>_xll.ohRangeRetrieveError(AO18)</f>
        <v/>
      </c>
      <c r="AQ18" s="357"/>
    </row>
    <row r="19" spans="1:43" ht="12" thickBot="1" x14ac:dyDescent="0.25">
      <c r="AI19" s="335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5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topLeftCell="AD1" workbookViewId="0">
      <selection activeCell="AQ7" sqref="AQ7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31.28515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  <c r="AH1" s="152" t="s">
        <v>231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  <c r="AH2" s="152"/>
      <c r="AL2" s="257" t="s">
        <v>230</v>
      </c>
      <c r="AM2" s="256" t="str">
        <f>FuturesHWConvAdj!C5</f>
        <v>USDHW_Volatility_Quote#0004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  <c r="AH3" s="152"/>
      <c r="AL3" s="257" t="s">
        <v>229</v>
      </c>
      <c r="AM3" s="256" t="str">
        <f>FuturesHWConvAdj!C6</f>
        <v>USDHW_MeanReversion_Quote#0004</v>
      </c>
      <c r="AO3" s="47"/>
    </row>
    <row r="4" spans="1:4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3</v>
      </c>
      <c r="AA4" s="357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UsdLibor3M#0003</v>
      </c>
      <c r="AN4" s="255" t="s">
        <v>38</v>
      </c>
      <c r="AO4" s="47"/>
    </row>
    <row r="5" spans="1:4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  <c r="AH5" s="152"/>
      <c r="AI5" s="91" t="s">
        <v>182</v>
      </c>
      <c r="AJ5" s="197" t="s">
        <v>181</v>
      </c>
      <c r="AK5" s="197" t="s">
        <v>180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USDFUT3MF4_Quote#0003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>
        <f t="array" ref="Y6:Y47">QuoteLive</f>
        <v>99.758749999999992</v>
      </c>
      <c r="Z6" s="286" t="e">
        <f>_xll.qlSimpleQuoteSetValue(F6,Y6,Trigger)</f>
        <v>#N/A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F4</v>
      </c>
      <c r="AL6" s="254" t="str">
        <f t="shared" ref="AL6:AL47" si="2">Currency&amp;"FUT"&amp;$AN$4&amp;$AK6&amp;"ConvAdj"&amp;QuoteSuffix</f>
        <v>USDFUT3MF4ConvAdj_Quote</v>
      </c>
      <c r="AM6" s="253" t="str">
        <f>_xll.qlFuturesConvAdjustmentQuote(AL6,IborIndex,AK6,F6,Volatility,MeanReversion,Permanent,AND(ISERROR(Z6),ISERROR(FuturesHWConvAdj!Q5:Q6)),ObjectOverwrite)</f>
        <v>USDFUT3MF4ConvAdj_Quote#0008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USDFUT3MG4_Quote#0003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>
        <v>99.747500000000002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G4</v>
      </c>
      <c r="AL7" s="254" t="str">
        <f t="shared" si="2"/>
        <v>USDFUT3MG4ConvAdj_Quote</v>
      </c>
      <c r="AM7" s="253" t="str">
        <f>_xll.qlFuturesConvAdjustmentQuote(AL7,IborIndex,AK7,F7,Volatility,MeanReversion,Permanent,AND(ISERROR(Z7),ISERROR(FuturesHWConvAdj!Q6:Q7)),ObjectOverwrite)</f>
        <v>USDFUT3MG4ConvAdj_Quote#0004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USDFUT3MH4_Quote#0003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>
        <v>99.737499999999997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H4</v>
      </c>
      <c r="AL8" s="254" t="str">
        <f t="shared" si="2"/>
        <v>USDFUT3MH4ConvAdj_Quote</v>
      </c>
      <c r="AM8" s="253" t="str">
        <f>_xll.qlFuturesConvAdjustmentQuote(AL8,IborIndex,AK8,F8,Volatility,MeanReversion,Permanent,AND(ISERROR(Z8),ISERROR(FuturesHWConvAdj!Q7:Q8)),ObjectOverwrite)</f>
        <v>USDFUT3MH4ConvAdj_Quote#0004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USDFUT3MJ4_Quote#0003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>
        <v>99.727499999999992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J4</v>
      </c>
      <c r="AL9" s="254" t="str">
        <f t="shared" si="2"/>
        <v>USDFUT3MJ4ConvAdj_Quote</v>
      </c>
      <c r="AM9" s="253" t="str">
        <f>_xll.qlFuturesConvAdjustmentQuote(AL9,IborIndex,AK9,F9,Volatility,MeanReversion,Permanent,AND(ISERROR(Z9),ISERROR(FuturesHWConvAdj!Q8:Q9)),ObjectOverwrite)</f>
        <v>USDFUT3MJ4ConvAdj_Quote#0004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USDFUT3MK4_Quote#0003</v>
      </c>
      <c r="G10" s="104" t="str">
        <f>_xll.ohRangeRetrieveError(F10)</f>
        <v/>
      </c>
      <c r="H10" s="140"/>
      <c r="I10" s="565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>
        <v>99.707499999999996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K4</v>
      </c>
      <c r="AL10" s="254" t="str">
        <f t="shared" si="2"/>
        <v>USDFUT3MK4ConvAdj_Quote</v>
      </c>
      <c r="AM10" s="253" t="str">
        <f>_xll.qlFuturesConvAdjustmentQuote(AL10,IborIndex,AK10,F10,Volatility,MeanReversion,Permanent,AND(ISERROR(Z10),ISERROR(FuturesHWConvAdj!Q9:Q10)),ObjectOverwrite)</f>
        <v>USDFUT3MK4ConvAdj_Quote#0004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USDFUT3MM4_Quote#0003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>
        <v>99.694999999999993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M4</v>
      </c>
      <c r="AL11" s="254" t="str">
        <f t="shared" si="2"/>
        <v>USDFUT3MM4ConvAdj_Quote</v>
      </c>
      <c r="AM11" s="253" t="str">
        <f>_xll.qlFuturesConvAdjustmentQuote(AL11,IborIndex,AK11,F11,Volatility,MeanReversion,Permanent,AND(ISERROR(Z11),ISERROR(FuturesHWConvAdj!Q10:Q11)),ObjectOverwrite)</f>
        <v>USDFUT3MM4ConvAdj_Quote#0004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USDFUT3MN4_Quote#0003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e">
        <v>#NUM!</v>
      </c>
      <c r="Z12" s="268" t="e">
        <f>_xll.qlSimpleQuoteSetValue(F12,Y12,Trigger)</f>
        <v>#NUM!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N4</v>
      </c>
      <c r="AL12" s="254" t="str">
        <f t="shared" si="2"/>
        <v>USDFUT3MN4ConvAdj_Quote</v>
      </c>
      <c r="AM12" s="253" t="str">
        <f>_xll.qlFuturesConvAdjustmentQuote(AL12,IborIndex,AK12,F12,Volatility,MeanReversion,Permanent,AND(ISERROR(Z12),ISERROR(FuturesHWConvAdj!Q11:Q12)),ObjectOverwrite)</f>
        <v>USDFUT3MN4ConvAdj_Quote#0004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USDFUT3MQ4_Quote#0003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>
        <v>99.662499999999994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Q4</v>
      </c>
      <c r="AL13" s="254" t="str">
        <f t="shared" si="2"/>
        <v>USDFUT3MQ4ConvAdj_Quote</v>
      </c>
      <c r="AM13" s="253" t="str">
        <f>_xll.qlFuturesConvAdjustmentQuote(AL13,IborIndex,AK13,F13,Volatility,MeanReversion,Permanent,AND(ISERROR(Z13),ISERROR(FuturesHWConvAdj!Q12:Q13)),ObjectOverwrite)</f>
        <v>USDFUT3MQ4ConvAdj_Quote#0004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USDFUT3MU4_Quote#0003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e">
        <v>#NUM!</v>
      </c>
      <c r="Z14" s="268" t="e">
        <f>_xll.qlSimpleQuoteSetValue(F14,Y14,Trigger)</f>
        <v>#NUM!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U4</v>
      </c>
      <c r="AL14" s="254" t="str">
        <f t="shared" si="2"/>
        <v>USDFUT3MU4ConvAdj_Quote</v>
      </c>
      <c r="AM14" s="253" t="str">
        <f>_xll.qlFuturesConvAdjustmentQuote(AL14,IborIndex,AK14,F14,Volatility,MeanReversion,Permanent,AND(ISERROR(Z14),ISERROR(FuturesHWConvAdj!Q13:Q14)),ObjectOverwrite)</f>
        <v>USDFUT3MU4ConvAdj_Quote#0004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USDFUT3MV4_Quote#0003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V4</v>
      </c>
      <c r="AL15" s="254" t="str">
        <f t="shared" si="2"/>
        <v>USDFUT3MV4ConvAdj_Quote</v>
      </c>
      <c r="AM15" s="253" t="str">
        <f>_xll.qlFuturesConvAdjustmentQuote(AL15,IborIndex,AK15,F15,Volatility,MeanReversion,Permanent,AND(ISERROR(Z15),ISERROR(FuturesHWConvAdj!Q14:Q15)),ObjectOverwrite)</f>
        <v>USDFUT3MV4ConvAdj_Quote#0004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USDFUT3MX4_Quote#0003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>
        <v>99.612499999999997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X4</v>
      </c>
      <c r="AL16" s="254" t="str">
        <f t="shared" si="2"/>
        <v>USDFUT3MX4ConvAdj_Quote</v>
      </c>
      <c r="AM16" s="253" t="str">
        <f>_xll.qlFuturesConvAdjustmentQuote(AL16,IborIndex,AK16,F16,Volatility,MeanReversion,Permanent,AND(ISERROR(Z16),ISERROR(FuturesHWConvAdj!Q15:Q16)),ObjectOverwrite)</f>
        <v>USDFUT3MX4ConvAdj_Quote#0004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USDFUT3MZ4_Quote#0003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e">
        <v>#NUM!</v>
      </c>
      <c r="Z17" s="268" t="e">
        <f>_xll.qlSimpleQuoteSetValue(F17,Y17,Trigger)</f>
        <v>#NUM!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Z4</v>
      </c>
      <c r="AL17" s="254" t="str">
        <f t="shared" si="2"/>
        <v>USDFUT3MZ4ConvAdj_Quote</v>
      </c>
      <c r="AM17" s="253" t="str">
        <f>_xll.qlFuturesConvAdjustmentQuote(AL17,IborIndex,AK17,F17,Volatility,MeanReversion,Permanent,AND(ISERROR(Z17),ISERROR(FuturesHWConvAdj!Q16:Q17)),ObjectOverwrite)</f>
        <v>USDFUT3MZ4ConvAdj_Quote#0004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USDFUT3MH5_Quote#0003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>
        <v>99.537499999999994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USDFUT3MH5ConvAdj_Quote#0004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USDFUT3MM5_Quote#0003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>
        <v>99.4375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USDFUT3MM5ConvAdj_Quote#0004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USDFUT3MU5_Quote#0003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>
        <v>99.32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USDFUT3MU5ConvAdj_Quote#0004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USDFUT3MZ5_Quote#0003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>
        <v>99.177500000000009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USDFUT3MZ5ConvAdj_Quote#0004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USDFUT3MH6_Quote#0003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>
        <v>98.992500000000007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USDFUT3MH6ConvAdj_Quote#0004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USDFUT3MM6_Quote#0003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>
        <v>98.775000000000006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USDFUT3MM6ConvAdj_Quote#0004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USDFUT3MU6_Quote#0003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>
        <v>98.537499999999994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USDFUT3MU6ConvAdj_Quote#0004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USDFUT3MZ6_Quote#0003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>
        <v>98.277500000000003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USDFUT3MZ6ConvAdj_Quote#0004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USDFUT3MH7_Quote#0003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>
        <v>98.022500000000008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USDFUT3MH7ConvAdj_Quote#0004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USDFUT3MM7_Quote#0003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>
        <v>97.792500000000004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USDFUT3MM7ConvAdj_Quote#0004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USDFUT3MU7_Quote#0003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>
        <v>97.557500000000005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USDFUT3MU7ConvAdj_Quote#0004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USDFUT3MZ7_Quote#0003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>
        <v>97.337500000000006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USDFUT3MZ7ConvAdj_Quote#0004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USDFUT3MH8_Quote#0003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>
        <v>97.115000000000009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USDFUT3MH8ConvAdj_Quote#0004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USDFUT3MM8_Quote#0003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>
        <v>96.927500000000009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USDFUT3MM8ConvAdj_Quote#0004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USDFUT3MU8_Quote#0003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>
        <v>96.747500000000002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USDFUT3MU8ConvAdj_Quote#0004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USDFUT3MZ8_Quote#0003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>
        <v>96.587500000000006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USDFUT3MZ8ConvAdj_Quote#0004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USDFUT3MH9_Quote#0003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>
        <v>96.4375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USDFUT3MH9ConvAdj_Quote#0004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USDFUT3MM9_Quote#0003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>
        <v>96.31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USDFUT3MM9ConvAdj_Quote#0004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USDFUT3MU9_Quote#0003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>
        <v>96.192499999999995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USDFUT3MU9ConvAdj_Quote#0004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USDFUT3MZ9_Quote#0003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>
        <v>96.082499999999996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USDFUT3MZ9ConvAdj_Quote#0004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USDFUT3MH0_Quote#0003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>
        <v>95.97999999999999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USDFUT3MH0ConvAdj_Quote#0004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USDFUT3MM0_Quote#0003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>
        <v>95.9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USDFUT3MM0ConvAdj_Quote#0004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USDFUT3MU0_Quote#0003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>
        <v>95.822499999999991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USDFUT3MU0ConvAdj_Quote#0004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USDFUT3MZ0_Quote#0003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>
        <v>95.754999999999995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USDFUT3MZ0ConvAdj_Quote#0004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USDFUT3MH1_Quote#0003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>
        <v>95.69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USDFUT3MH1ConvAdj_Quote#0004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USDFUT3MM1_Quote#0003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>
        <v>95.657499999999999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USDFUT3MM1ConvAdj_Quote#0004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USDFUT3MU1_Quote#0003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>
        <v>95.594999999999999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USDFUT3MU1ConvAdj_Quote#0004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USDFUT3MZ1_Quote#0003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>
        <v>95.6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USDFUT3MZ1ConvAdj_Quote#0004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USDFUT3MH2_Quote#0003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>
        <v>95.555000000000007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USDFUT3MH2ConvAdj_Quote#0004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USDFUT3MM2_Quote#0003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>
        <v>95.504999999999995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USDFUT3MM2ConvAdj_Quote#0004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USDIMMFRA6MF4_Quote#0003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USDIMMFRA6MG4_Quote#0003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USDIMMFRA6MH4_Quote#0003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USDIMMFRA6MJ4_Quote#0003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USDIMMFRA6MK4_Quote#0003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USDIMMFRA6MM4_Quote#0003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USDIMMFRA6MN4_Quote#0003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USDIMMFRA6MQ4_Quote#0003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USDIMMFRA6MU4_Quote#0003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USDIMMFRA6MV4_Quote#0003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USDIMMFRA6MX4_Quote#0003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USDIMMFRA6MZ4_Quote#0003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USDIMMFRA6MF5_Quote#0003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USDIMMFRA6MG5_Quote#0003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USDIMMFRA6MH5_Quote#0003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USDIMMFRA6MJ5_Quote#0003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USDIMMFRA6MK5_Quote#0003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USDIMMFRA6MM5_Quote#0003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USDIMMFRA6MN5_Quote#0003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USDIMMFRA6MQ5_Quote#0003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USDIMMFRA6MU5_Quote#0003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USDIMMFRA6MV5_Quote#0003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USDIMMFRA6MX5_Quote#0003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USDIMMFRA6MZ5_Quote#0003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USDIMMFRA6MF6_Quote#0003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USDIMMFRA6MG6_Quote#0003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USDIMMFRA6MH6_Quote#0003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USDIMMFRA6MJ6_Quote#0003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USDIMMFRA6MK6_Quote#0003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USDIMMFRA6MM6_Quote#0003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USDIMMFRA6MN6_Quote#0003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USDIMMFRA6MQ6_Quote#0003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USDIMMFRA6MU6_Quote#0003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USDIMMFRA6MV6_Quote#0003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USDIMMFRA6MX6_Quote#0003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USDIMMFRA6MZ6_Quote#0003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USDIMMFRA6MF7_Quote#0003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USDIMMFRA6MG7_Quote#0003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USDIMMFRA6MH7_Quote#0003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USDIMMFRA6MJ7_Quote#0003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USDIMMFRA6MK7_Quote#0003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USDIMMFRA6MM7_Quote#0003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USDIMMFRA6MN7_Quote#0003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USDIMMFRA6MQ7_Quote#0003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USDIMMFRA6MU7_Quote#0003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USDIMMFRA6MV7_Quote#0003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USDIMMFRA6MX7_Quote#0003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USDIMMFRA6MZ7_Quote#0003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USDIMMFRA6MF8_Quote#0003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USDIMMFRA6MG8_Quote#0003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USDIMMFRA6MH8_Quote#0003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USDIMMFRA6MJ8_Quote#0003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USDIMMFRA6MK8_Quote#0003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USDIMMFRA6MM8_Quote#0003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USDIMMFRA6MN8_Quote#0003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USDIMMFRA6MQ8_Quote#0003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USDIMMFRA6MU8_Quote#0003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USDIMMFRA6MV8_Quote#0003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USDIMMFRA6MX8_Quote#0003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USDIMMFRA6MZ8_Quote#0003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USDIMMFRA6MF9_Quote#0003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USDIMMFRA6MG9_Quote#0003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USDIMMFRA6MH9_Quote#0003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USDIMMFRA6MJ9_Quote#0003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USDIMMFRA6MK9_Quote#0003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USDIMMFRA6MM9_Quote#0003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USDIMMFRA6MN9_Quote#0003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USDIMMFRA6MQ9_Quote#0003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USDIMMFRA6MU9_Quote#0003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USDIMMFRA6MV9_Quote#0003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USDIMMFRA6MX9_Quote#0003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USDIMMFRA6MZ9_Quote#0003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USDIMMFRA6MF0_Quote#0003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USDIMMFRA6MG0_Quote#0003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USDIMMFRA6MH0_Quote#0003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USDIMMFRA6MJ0_Quote#0003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USDIMMFRA6MK0_Quote#0003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USDIMMFRA6MM0_Quote#0003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USDIMMFRA6MN0_Quote#0003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USDIMMFRA6MQ0_Quote#0003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USDIMMFRA6MU0_Quote#0003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USDIMMFRA6MV0_Quote#0003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USDIMMFRA6MX0_Quote#0003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USDIMMFRA6MZ0_Quote#0003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USDIMMFRA6MF1_Quote#0003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USDIMMFRA6MG1_Quote#0003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USDIMMFRA6MH1_Quote#0003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USDIMMFRA6MJ1_Quote#0003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USDIMMFRA6MK1_Quote#0003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USDIMMFRA6MM1_Quote#0003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USDIMMFRA6MN1_Quote#0003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USDIMMFRA6MQ1_Quote#0003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USDIMMFRA6MU1_Quote#0003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USDIMMFRA6MV1_Quote#0003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USDIMMFRA6MX1_Quote#0003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USDIMMFRA6MZ1_Quote#0003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USDIMMFRA6MF2_Quote#0003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USDIMMFRA6MG2_Quote#0003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USDIMMFRA6MH2_Quote#0003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USDIMMFRA6MJ2_Quote#0003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USDIMMFRA6MK2_Quote#0003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USDIMMFRA6MM2_Quote#0003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USDIMMFRA6MN2_Quote#0003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USDIMMFRA6MQ2_Quote#0003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USDIMMFRA6MU2_Quote#0003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USDIMMFRA6MV2_Quote#0003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USDIMMFRA6MX2_Quote#0003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USDIMMFRA6MZ2_Quote#0003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USDIMMFRA6MF3_Quote#0003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USDIMMFRA6MG3_Quote#0003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USDIMMFRA6MH3_Quote#0003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USDIMMFRA6MJ3_Quote#0003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USDIMMFRA6MK3_Quote#0003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USDIMMFRA6MM3_Quote#0003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USDIMMFRA6MN3_Quote#0003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USDIMMFRA6MQ3_Quote#0003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USDIMMFRA6MU3_Quote#0003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USDIMMFRA6MV3_Quote#0003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USDIMMFRA6MX3_Quote#0003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USDIMMFRA6MZ3_Quote#0003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tabSelected="1"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0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4" t="s">
        <v>233</v>
      </c>
      <c r="J4" s="375"/>
      <c r="K4" s="570" t="s">
        <v>287</v>
      </c>
      <c r="L4" s="571"/>
      <c r="M4" s="375"/>
      <c r="N4" s="294" t="s">
        <v>263</v>
      </c>
      <c r="O4" s="373"/>
      <c r="P4" s="566" t="s">
        <v>261</v>
      </c>
      <c r="Q4" s="295" t="s">
        <v>260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USDHW_Volatility_Quote#0004</v>
      </c>
      <c r="D5" s="104" t="str">
        <f>_xll.ohRangeRetrieveError(C5)</f>
        <v/>
      </c>
      <c r="E5" s="161"/>
      <c r="G5" s="301"/>
      <c r="H5" s="383" t="str">
        <f>VLOOKUP(Currency,$T$5:$V$9,2)&amp;U3&amp;VLOOKUP(Currency,$T$5:$V$9,3)&amp;"ATM="&amp;VLOOKUP(Contributor,ContributorTable,2,FALSE)</f>
        <v>US4Y3LATM=ICAP</v>
      </c>
      <c r="I5" s="382">
        <v>66.400000000000006</v>
      </c>
      <c r="J5" s="375"/>
      <c r="K5" s="381" t="s">
        <v>286</v>
      </c>
      <c r="L5" s="379">
        <f>I5/100*IF(ISNUMBER(Swap3M4Y),Swap3M4Y/100,Swap6M4Y/100)*0</f>
        <v>0</v>
      </c>
      <c r="M5" s="375"/>
      <c r="N5" s="380">
        <v>0</v>
      </c>
      <c r="O5" s="373"/>
      <c r="P5" s="572">
        <f t="array" ref="P5:P6">QuoteStatic</f>
        <v>0</v>
      </c>
      <c r="Q5" s="379" t="e">
        <f>_xll.qlSimpleQuoteSetValue(C5,P5,Trigger)</f>
        <v>#N/A</v>
      </c>
      <c r="R5" s="47"/>
      <c r="S5" s="21"/>
      <c r="T5" s="87" t="s">
        <v>132</v>
      </c>
      <c r="U5" s="248" t="s">
        <v>285</v>
      </c>
      <c r="V5" s="378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USDHW_MeanReversion_Quote#0004</v>
      </c>
      <c r="D6" s="104" t="str">
        <f>_xll.ohRangeRetrieveError(C6)</f>
        <v/>
      </c>
      <c r="E6" s="161"/>
      <c r="G6" s="301"/>
      <c r="H6" s="372"/>
      <c r="I6" s="377"/>
      <c r="J6" s="375"/>
      <c r="K6" s="376" t="s">
        <v>284</v>
      </c>
      <c r="L6" s="371">
        <v>0.03</v>
      </c>
      <c r="M6" s="375"/>
      <c r="N6" s="374">
        <v>0.03</v>
      </c>
      <c r="O6" s="373"/>
      <c r="P6" s="573">
        <v>0.03</v>
      </c>
      <c r="Q6" s="371" t="e">
        <f>_xll.qlSimpleQuoteSetValue(C6,P6,Trigger)</f>
        <v>#N/A</v>
      </c>
      <c r="R6" s="47"/>
      <c r="S6" s="21"/>
      <c r="T6" s="84" t="s">
        <v>131</v>
      </c>
      <c r="U6" s="370" t="s">
        <v>283</v>
      </c>
      <c r="V6" s="369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70" t="s">
        <v>282</v>
      </c>
      <c r="V7" s="369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70" t="s">
        <v>281</v>
      </c>
      <c r="V8" s="369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8" t="s">
        <v>280</v>
      </c>
      <c r="V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 t="e">
        <f>_xll.ohTrigger(Y5:Y24)</f>
        <v>#NUM!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2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USDOISSW_Quote#0003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USDOIS2W_Quote#0003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USDOIS3W_Quote#0003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USDOIS1M_Quote#0003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USDOIS2M_Quote#0003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USDOIS3M_Quote#0003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USDOIS4M_Quote#0003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USDOIS5M_Quote#0003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USDOIS6M_Quote#0003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USDOIS7M_Quote#0003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USDOIS8M_Quote#0003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USDOIS9M_Quote#0003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USDOIS10M_Quote#0003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USDOIS11M_Quote#0003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USDOIS1Y_Quote#0003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USDOIS13M_Quote#0003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USDOIS14M_Quote#0003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USDOIS15M_Quote#0003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USDOIS16M_Quote#0003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USDOIS17M_Quote#0003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USDOIS18M_Quote#0003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USDOIS19M_Quote#0003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USDOIS20M_Quote#0003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USDOIS21M_Quote#0003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USDOIS22M_Quote#0003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USDOIS23M_Quote#0003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USDOIS2Y_Quote#0003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USDOIS27M_Quote#0003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USDOIS30M_Quote#0003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USDOIS33M_Quote#0003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USDOIS3Y_Quote#0003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USDOIS39M_Quote#0003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USDOIS42M_Quote#0003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USDOIS45M_Quote#0003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USDOIS4Y_Quote#0003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USDOIS51M_Quote#0003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USDOIS54M_Quote#0003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USDOIS57M_Quote#0003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USDOIS5Y_Quote#0003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USDOIS6Y_Quote#0003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USDOIS7Y_Quote#0003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USDOIS8Y_Quote#0003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USDOIS9Y_Quote#0003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USDOIS10Y_Quote#0003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USDOIS12Y_Quote#0003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USDOIS15Y_Quote#0003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USDOIS20Y_Quote#0003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USDOIS25Y_Quote#0003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USDOIS27Y_Quote#0003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USDOIS30Y_Quote#0003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USDOIS35Y_Quote#0003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USDOIS40Y_Quote#0003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USDOIS45Y_Quote#0003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USDOIS50Y_Quote#0003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2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4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USDFEDOISJAN13_Quote#0003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USDFEDOISFEB13_Quote#0003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USDFEDOISMAR13_Quote#0003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USDFEDOISAPR13_Quote#0003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USDFEDOISMAY13_Quote#0003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USDFEDOISJUN13_Quote#0003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USDFEDOISJUL13_Quote#0003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USDFEDOISAUG13_Quote#0003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USDFEDOISSEP13_Quote#0003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USDFEDOISOCT13_Quote#0003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USDFEDOISNOV13_Quote#0003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USDFEDOISDEC13_Quote#0003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3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USD2X1S_Quote#0003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USD3X1S_Quote#0003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USD4X1S_Quote#0003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USD5X1S_Quote#0003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USD6X1S_Quote#0003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USD7X1S_Quote#0003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USD8X1S_Quote#0003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USD9X1S_Quote#0003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USD10X1S_Quote#0003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USD11X1S_Quote#0003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USD12X1S_Quote#0003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6" t="s">
        <v>265</v>
      </c>
      <c r="Y2" s="385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3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USD1S12_Quote#0003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USD2S12_Quote#0003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USD3S12_Quote#0003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USD4S12_Quote#0003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USD1S24_Quote#0003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USD2S24_Quote#0003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USD1S36_Quote#0003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39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57" t="e">
        <f ca="1">_xll.qlSimpleQuoteSetValue(F5,AB5/100,Trigger)</f>
        <v>#NUM!</v>
      </c>
      <c r="AD5" s="220"/>
      <c r="AE5" s="21"/>
      <c r="AF5" s="387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USDAM3L1Y_Quote#0003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USDAM3L15M_Quote#0003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USDAM3L18M_Quote#0003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USDAM3L21M_Quote#0003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USDAM3L2Y_Quote#0003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USDAM3L3Y_Quote#0003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USDAM3L4Y_Quote#0003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USDAM3L5Y_Quote#0003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USDAM3L6Y_Quote#0003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USDAM3L7Y_Quote#0003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USDAM3L8Y_Quote#0003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USDAM3L9Y_Quote#0003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USDAM3L10Y_Quote#0003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USDAM3L11Y_Quote#0003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USDAM3L12Y_Quote#0003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USDAM3L13Y_Quote#0003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USDAM3L14Y_Quote#0003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USDAM3L15Y_Quote#0003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USDAM3L16Y_Quote#0003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USDAM3L17Y_Quote#0003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USDAM3L18Y_Quote#0003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USDAM3L19Y_Quote#0003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USDAM3L20Y_Quote#0003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USDAM3L21Y_Quote#0003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USDAM3L22Y_Quote#0003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USDAM3L23Y_Quote#0003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USDAM3L24Y_Quote#0003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USDAM3L25Y_Quote#0003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USDAM3L26Y_Quote#0003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USDAM3L27Y_Quote#0003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USDAM3L28Y_Quote#0003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USDAM3L29Y_Quote#0003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USDAM3L30Y_Quote#0003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USDAM3L35Y_Quote#0003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USDAM3L40Y_Quote#0003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USDAM3L50Y_Quote#0003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USDAM3L60Y_Quote#0003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6" t="s">
        <v>265</v>
      </c>
      <c r="AC2" s="385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89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7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USDAM6L1Y_Quote#0003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USDAM6L15M_Quote#0003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88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USDAM6L18M_Quote#0003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88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USDAM6L21M_Quote#0003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USDAM6L2Y_Quote#0003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USDAM6L3Y_Quote#0003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USDAM6L4Y_Quote#0003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USDAM6L5Y_Quote#0003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USDAM6L6Y_Quote#0003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USDAM6L7Y_Quote#0003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USDAM6L8Y_Quote#0003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USDAM6L9Y_Quote#0003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USDAM6L10Y_Quote#0003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USDAM6L11Y_Quote#0003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USDAM6L12Y_Quote#0003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USDAM6L13Y_Quote#0003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USDAM6L14Y_Quote#0003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USDAM6L15Y_Quote#0003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USDAM6L16Y_Quote#0003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USDAM6L17Y_Quote#0003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USDAM6L18Y_Quote#0003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USDAM6L19Y_Quote#0003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USDAM6L20Y_Quote#0003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USDAM6L21Y_Quote#0003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USDAM6L22Y_Quote#0003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USDAM6L23Y_Quote#0003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USDAM6L24Y_Quote#0003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USDAM6L25Y_Quote#0003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USDAM6L26Y_Quote#0003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USDAM6L27Y_Quote#0003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USDAM6L28Y_Quote#0003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USDAM6L29Y_Quote#0003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USDAM6L30Y_Quote#0003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USDAM6L35Y_Quote#0003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USDAM6L40Y_Quote#0003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USDAM6L50Y_Quote#0003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USDAM6L60Y_Quote#0003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USDTOY_SYNTHON_Quote#0003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USDTOY2_SYNTHON_Quote#0003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USDOND_SYNTH1M_Quote#0003</v>
      </c>
      <c r="E3" s="230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_xll.ohTrigger(O5:O8)</f>
        <v>3</v>
      </c>
      <c r="P3" s="529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USDTND_SYNTH1M_Quote#0003</v>
      </c>
      <c r="E4" s="230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USDSND_SYNTH1M_Quote#0003</v>
      </c>
      <c r="E5" s="230" t="str">
        <f>_xll.ohRangeRetrieveError(D5)</f>
        <v/>
      </c>
      <c r="F5" s="220"/>
      <c r="H5" s="535"/>
      <c r="I5" s="539" t="s">
        <v>161</v>
      </c>
      <c r="J5" s="553" t="s">
        <v>358</v>
      </c>
      <c r="K5" s="552" t="s">
        <v>363</v>
      </c>
      <c r="L5" s="538">
        <v>1.9589999999999998E-3</v>
      </c>
      <c r="M5" s="532"/>
      <c r="N5" s="537">
        <f t="array" ref="N5:N9">QuoteStatic</f>
        <v>1.9589999999999998E-3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USDSWD_SYNTH1M_Quote#0003</v>
      </c>
      <c r="E6" s="230" t="str">
        <f>_xll.ohRangeRetrieveError(D6)</f>
        <v/>
      </c>
      <c r="F6" s="220"/>
      <c r="H6" s="535"/>
      <c r="I6" s="539" t="s">
        <v>160</v>
      </c>
      <c r="J6" s="553" t="s">
        <v>359</v>
      </c>
      <c r="K6" s="552" t="s">
        <v>363</v>
      </c>
      <c r="L6" s="538">
        <v>1.954E-3</v>
      </c>
      <c r="M6" s="532"/>
      <c r="N6" s="537">
        <v>1.954E-3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USD2WD_SYNTH1M_Quote#0003</v>
      </c>
      <c r="E7" s="230" t="str">
        <f>_xll.ohRangeRetrieveError(D7)</f>
        <v/>
      </c>
      <c r="F7" s="220"/>
      <c r="H7" s="535"/>
      <c r="I7" s="539" t="s">
        <v>159</v>
      </c>
      <c r="J7" s="553" t="s">
        <v>360</v>
      </c>
      <c r="K7" s="552" t="s">
        <v>363</v>
      </c>
      <c r="L7" s="538">
        <v>1.939E-3</v>
      </c>
      <c r="M7" s="532"/>
      <c r="N7" s="537">
        <v>1.939E-3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USD3WD_SYNTH1M_Quote#0003</v>
      </c>
      <c r="E8" s="230" t="str">
        <f>_xll.ohRangeRetrieveError(D8)</f>
        <v/>
      </c>
      <c r="F8" s="220"/>
      <c r="H8" s="535"/>
      <c r="I8" s="534" t="s">
        <v>158</v>
      </c>
      <c r="J8" s="554" t="s">
        <v>361</v>
      </c>
      <c r="K8" s="552" t="s">
        <v>363</v>
      </c>
      <c r="L8" s="533">
        <v>1.923E-3</v>
      </c>
      <c r="M8" s="532"/>
      <c r="N8" s="531">
        <v>1.923E-3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USD1MD_SYNTH1M_Quote#0003</v>
      </c>
      <c r="E9" s="230" t="str">
        <f>_xll.ohRangeRetrieveError(D9)</f>
        <v/>
      </c>
      <c r="F9" s="220"/>
      <c r="H9" s="535"/>
      <c r="I9" s="534" t="s">
        <v>157</v>
      </c>
      <c r="J9" s="554" t="s">
        <v>362</v>
      </c>
      <c r="K9" s="552" t="s">
        <v>363</v>
      </c>
      <c r="L9" s="533">
        <v>1.915E-3</v>
      </c>
      <c r="M9" s="532"/>
      <c r="N9" s="531">
        <v>1.915E-3</v>
      </c>
      <c r="O9" s="530" t="e">
        <f>_xll.qlSimpleQuoteSetValue(D9,ROUND(N9,6),EvaluationDate)</f>
        <v>#N/A</v>
      </c>
      <c r="P9" s="529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USDTOY_SYNTH1M_Quote#0003</v>
      </c>
      <c r="E10" s="223" t="str">
        <f>_xll.ohRangeRetrieveError(D10)</f>
        <v/>
      </c>
      <c r="F10" s="220"/>
      <c r="H10" s="528"/>
      <c r="I10" s="527"/>
      <c r="J10" s="527"/>
      <c r="K10" s="527"/>
      <c r="L10" s="527"/>
      <c r="M10" s="527"/>
      <c r="N10" s="527"/>
      <c r="O10" s="527"/>
      <c r="P10" s="526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USDTOY2_SYNTH1M_Quote#0003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USDOND_SYNTH3M_Quote#0003</v>
      </c>
      <c r="E3" s="237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_xll.ohTrigger(O5:O10)</f>
        <v>3</v>
      </c>
      <c r="P3" s="529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USDTND_SYNTH3M_Quote#0003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USDSND_SYNTH3M_Quote#0003</v>
      </c>
      <c r="E5" s="237" t="str">
        <f>_xll.ohRangeRetrieveError(D5)</f>
        <v/>
      </c>
      <c r="F5" s="220"/>
      <c r="H5" s="535"/>
      <c r="I5" s="539" t="s">
        <v>161</v>
      </c>
      <c r="J5" s="553" t="s">
        <v>364</v>
      </c>
      <c r="K5" s="552" t="s">
        <v>363</v>
      </c>
      <c r="L5" s="538">
        <v>2.611E-3</v>
      </c>
      <c r="M5" s="532"/>
      <c r="N5" s="537">
        <f t="array" ref="N5:N11">QuoteStatic</f>
        <v>2.611E-3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USDSWD_SYNTH3M_Quote#0003</v>
      </c>
      <c r="E6" s="237" t="str">
        <f>_xll.ohRangeRetrieveError(D6)</f>
        <v/>
      </c>
      <c r="F6" s="220"/>
      <c r="H6" s="535"/>
      <c r="I6" s="539" t="s">
        <v>160</v>
      </c>
      <c r="J6" s="553" t="s">
        <v>365</v>
      </c>
      <c r="K6" s="552" t="s">
        <v>363</v>
      </c>
      <c r="L6" s="538">
        <v>2.6090000000000002E-3</v>
      </c>
      <c r="M6" s="532"/>
      <c r="N6" s="537">
        <v>2.6090000000000002E-3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USD2WD_SYNTH3M_Quote#0003</v>
      </c>
      <c r="E7" s="237" t="str">
        <f>_xll.ohRangeRetrieveError(D7)</f>
        <v/>
      </c>
      <c r="F7" s="220"/>
      <c r="H7" s="535"/>
      <c r="I7" s="539" t="s">
        <v>159</v>
      </c>
      <c r="J7" s="553" t="s">
        <v>366</v>
      </c>
      <c r="K7" s="552" t="s">
        <v>363</v>
      </c>
      <c r="L7" s="538">
        <v>2.5969999999999999E-3</v>
      </c>
      <c r="M7" s="532"/>
      <c r="N7" s="537">
        <v>2.5969999999999999E-3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USD3WD_SYNTH3M_Quote#0003</v>
      </c>
      <c r="E8" s="237" t="str">
        <f>_xll.ohRangeRetrieveError(D8)</f>
        <v/>
      </c>
      <c r="F8" s="220"/>
      <c r="H8" s="535"/>
      <c r="I8" s="534" t="s">
        <v>158</v>
      </c>
      <c r="J8" s="554" t="s">
        <v>367</v>
      </c>
      <c r="K8" s="552" t="s">
        <v>363</v>
      </c>
      <c r="L8" s="533">
        <v>2.5850000000000001E-3</v>
      </c>
      <c r="M8" s="532"/>
      <c r="N8" s="531">
        <v>2.5850000000000001E-3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USD1MD_SYNTH3M_Quote#0003</v>
      </c>
      <c r="E9" s="237" t="str">
        <f>_xll.ohRangeRetrieveError(D9)</f>
        <v/>
      </c>
      <c r="F9" s="220"/>
      <c r="H9" s="535"/>
      <c r="I9" s="539" t="s">
        <v>157</v>
      </c>
      <c r="J9" s="553" t="s">
        <v>368</v>
      </c>
      <c r="K9" s="552" t="s">
        <v>363</v>
      </c>
      <c r="L9" s="538">
        <v>2.5829999999999998E-3</v>
      </c>
      <c r="M9" s="532"/>
      <c r="N9" s="537">
        <v>2.5829999999999998E-3</v>
      </c>
      <c r="O9" s="536" t="e">
        <f>_xll.qlSimpleQuoteSetValue(D9,ROUND(N9,6),EvaluationDate)</f>
        <v>#N/A</v>
      </c>
      <c r="P9" s="529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USD2MD_SYNTH3M_Quote#0003</v>
      </c>
      <c r="E10" s="237" t="str">
        <f>_xll.ohRangeRetrieveError(D10)</f>
        <v/>
      </c>
      <c r="F10" s="220"/>
      <c r="H10" s="535"/>
      <c r="I10" s="539" t="s">
        <v>156</v>
      </c>
      <c r="J10" s="553" t="s">
        <v>369</v>
      </c>
      <c r="K10" s="552" t="s">
        <v>363</v>
      </c>
      <c r="L10" s="538">
        <v>2.6029999999999998E-3</v>
      </c>
      <c r="M10" s="532"/>
      <c r="N10" s="537">
        <v>2.6029999999999998E-3</v>
      </c>
      <c r="O10" s="536" t="e">
        <f>_xll.qlSimpleQuoteSetValue(D10,ROUND(N10,6),EvaluationDate)</f>
        <v>#N/A</v>
      </c>
      <c r="P10" s="529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USD3MD_SYNTH3M_Quote#0003</v>
      </c>
      <c r="E11" s="237" t="str">
        <f>_xll.ohRangeRetrieveError(D11)</f>
        <v/>
      </c>
      <c r="F11" s="220"/>
      <c r="H11" s="535"/>
      <c r="I11" s="534" t="s">
        <v>155</v>
      </c>
      <c r="J11" s="554" t="s">
        <v>370</v>
      </c>
      <c r="K11" s="552" t="s">
        <v>363</v>
      </c>
      <c r="L11" s="533">
        <v>2.6619999999999999E-3</v>
      </c>
      <c r="M11" s="532"/>
      <c r="N11" s="531">
        <v>2.6619999999999999E-3</v>
      </c>
      <c r="O11" s="530" t="e">
        <f>_xll.qlSimpleQuoteSetValue(D11,ROUND(N11,6),EvaluationDate)</f>
        <v>#N/A</v>
      </c>
      <c r="P11" s="529"/>
    </row>
    <row r="12" spans="1:16" ht="12" thickBot="1" x14ac:dyDescent="0.25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USDTOY_SYNTH3M_Quote#0003</v>
      </c>
      <c r="E12" s="235" t="str">
        <f>_xll.ohRangeRetrieveError(D12)</f>
        <v/>
      </c>
      <c r="F12" s="220"/>
      <c r="H12" s="559"/>
      <c r="I12" s="558"/>
      <c r="J12" s="558"/>
      <c r="K12" s="558"/>
      <c r="L12" s="558"/>
      <c r="M12" s="558"/>
      <c r="N12" s="558"/>
      <c r="O12" s="558"/>
      <c r="P12" s="526"/>
    </row>
    <row r="13" spans="1:1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USDTOY2_SYNTH3M_Quote#0003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6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8"/>
      <c r="I2" s="563"/>
      <c r="J2" s="532"/>
      <c r="K2" s="532"/>
      <c r="L2" s="532"/>
      <c r="M2" s="532"/>
      <c r="N2" s="532"/>
      <c r="O2" s="545"/>
      <c r="P2" s="561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USDOND_SYNTH6M_Quote#0003</v>
      </c>
      <c r="E3" s="235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_xll.ohTrigger(O5:O13)</f>
        <v>3</v>
      </c>
      <c r="P3" s="561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USDTND_SYNTH6M_Quote#0003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61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USDSND_SYNTH6M_Quote#0003</v>
      </c>
      <c r="E5" s="237" t="str">
        <f>_xll.ohRangeRetrieveError(D5)</f>
        <v/>
      </c>
      <c r="F5" s="220"/>
      <c r="H5" s="548"/>
      <c r="I5" s="539" t="s">
        <v>161</v>
      </c>
      <c r="J5" s="553" t="s">
        <v>371</v>
      </c>
      <c r="K5" s="552" t="s">
        <v>363</v>
      </c>
      <c r="L5" s="562">
        <v>3.6310000000000001E-3</v>
      </c>
      <c r="M5" s="532"/>
      <c r="N5" s="537">
        <f t="array" ref="N5:N14">QuoteStatic</f>
        <v>3.6310000000000001E-3</v>
      </c>
      <c r="O5" s="536" t="e">
        <f>_xll.qlSimpleQuoteSetValue(#REF!,ROUND($N5,6),EvaluationDate)</f>
        <v>#VALUE!</v>
      </c>
      <c r="P5" s="561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USDSWD_SYNTH6M_Quote#0003</v>
      </c>
      <c r="E6" s="237" t="str">
        <f>_xll.ohRangeRetrieveError(D6)</f>
        <v/>
      </c>
      <c r="F6" s="220"/>
      <c r="H6" s="548"/>
      <c r="I6" s="539" t="s">
        <v>160</v>
      </c>
      <c r="J6" s="553" t="s">
        <v>372</v>
      </c>
      <c r="K6" s="552" t="s">
        <v>363</v>
      </c>
      <c r="L6" s="538">
        <v>3.6380000000000002E-3</v>
      </c>
      <c r="M6" s="532"/>
      <c r="N6" s="537">
        <v>3.6380000000000002E-3</v>
      </c>
      <c r="O6" s="536" t="e">
        <f>_xll.qlSimpleQuoteSetValue(#REF!,ROUND($N6,6),EvaluationDate)</f>
        <v>#VALUE!</v>
      </c>
      <c r="P6" s="561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USD2WD_SYNTH6M_Quote#0003</v>
      </c>
      <c r="E7" s="237" t="str">
        <f>_xll.ohRangeRetrieveError(D7)</f>
        <v/>
      </c>
      <c r="F7" s="220"/>
      <c r="H7" s="548"/>
      <c r="I7" s="539" t="s">
        <v>159</v>
      </c>
      <c r="J7" s="553" t="s">
        <v>373</v>
      </c>
      <c r="K7" s="552" t="s">
        <v>363</v>
      </c>
      <c r="L7" s="538">
        <v>3.637E-3</v>
      </c>
      <c r="M7" s="532"/>
      <c r="N7" s="537">
        <v>3.637E-3</v>
      </c>
      <c r="O7" s="536" t="e">
        <f>_xll.qlSimpleQuoteSetValue(#REF!,ROUND($N7,6),EvaluationDate)</f>
        <v>#VALUE!</v>
      </c>
      <c r="P7" s="561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USD3WD_SYNTH6M_Quote#0003</v>
      </c>
      <c r="E8" s="237" t="str">
        <f>_xll.ohRangeRetrieveError(D8)</f>
        <v/>
      </c>
      <c r="F8" s="220"/>
      <c r="H8" s="548"/>
      <c r="I8" s="539" t="s">
        <v>158</v>
      </c>
      <c r="J8" s="553" t="s">
        <v>374</v>
      </c>
      <c r="K8" s="552" t="s">
        <v>363</v>
      </c>
      <c r="L8" s="538">
        <v>3.6350000000000002E-3</v>
      </c>
      <c r="M8" s="532"/>
      <c r="N8" s="537">
        <v>3.6350000000000002E-3</v>
      </c>
      <c r="O8" s="536" t="e">
        <f>_xll.qlSimpleQuoteSetValue(#REF!,ROUND($N8,6),EvaluationDate)</f>
        <v>#VALUE!</v>
      </c>
      <c r="P8" s="561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USD1MD_SYNTH6M_Quote#0003</v>
      </c>
      <c r="E9" s="237" t="str">
        <f>_xll.ohRangeRetrieveError(D9)</f>
        <v/>
      </c>
      <c r="F9" s="220"/>
      <c r="H9" s="548"/>
      <c r="I9" s="539" t="s">
        <v>157</v>
      </c>
      <c r="J9" s="553" t="s">
        <v>375</v>
      </c>
      <c r="K9" s="552" t="s">
        <v>363</v>
      </c>
      <c r="L9" s="538">
        <v>3.6470000000000001E-3</v>
      </c>
      <c r="M9" s="532"/>
      <c r="N9" s="537">
        <v>3.6470000000000001E-3</v>
      </c>
      <c r="O9" s="536" t="e">
        <f>_xll.qlSimpleQuoteSetValue(#REF!,ROUND($N9,6),EvaluationDate)</f>
        <v>#VALUE!</v>
      </c>
      <c r="P9" s="561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USD2MD_SYNTH6M_Quote#0003</v>
      </c>
      <c r="E10" s="237" t="str">
        <f>_xll.ohRangeRetrieveError(D10)</f>
        <v/>
      </c>
      <c r="F10" s="220"/>
      <c r="H10" s="548"/>
      <c r="I10" s="539" t="s">
        <v>156</v>
      </c>
      <c r="J10" s="553" t="s">
        <v>376</v>
      </c>
      <c r="K10" s="552" t="s">
        <v>363</v>
      </c>
      <c r="L10" s="538">
        <v>3.7039999999999998E-3</v>
      </c>
      <c r="M10" s="532"/>
      <c r="N10" s="537">
        <v>3.7039999999999998E-3</v>
      </c>
      <c r="O10" s="536" t="e">
        <f>_xll.qlSimpleQuoteSetValue(#REF!,ROUND($N10,6),EvaluationDate)</f>
        <v>#VALUE!</v>
      </c>
      <c r="P10" s="561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USD3MD_SYNTH6M_Quote#0003</v>
      </c>
      <c r="E11" s="237" t="str">
        <f>_xll.ohRangeRetrieveError(D11)</f>
        <v/>
      </c>
      <c r="F11" s="220"/>
      <c r="H11" s="548"/>
      <c r="I11" s="539" t="s">
        <v>155</v>
      </c>
      <c r="J11" s="553" t="s">
        <v>377</v>
      </c>
      <c r="K11" s="552" t="s">
        <v>363</v>
      </c>
      <c r="L11" s="538">
        <v>3.7850000000000002E-3</v>
      </c>
      <c r="M11" s="532"/>
      <c r="N11" s="537">
        <v>3.7850000000000002E-3</v>
      </c>
      <c r="O11" s="536" t="e">
        <f>_xll.qlSimpleQuoteSetValue(#REF!,ROUND($N11,6),EvaluationDate)</f>
        <v>#VALUE!</v>
      </c>
      <c r="P11" s="561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USD4MD_SYNTH6M_Quote#0003</v>
      </c>
      <c r="E12" s="237" t="str">
        <f>_xll.ohRangeRetrieveError(D12)</f>
        <v/>
      </c>
      <c r="F12" s="220"/>
      <c r="H12" s="548"/>
      <c r="I12" s="539" t="s">
        <v>154</v>
      </c>
      <c r="J12" s="553" t="s">
        <v>378</v>
      </c>
      <c r="K12" s="552" t="s">
        <v>363</v>
      </c>
      <c r="L12" s="538">
        <v>3.8560000000000001E-3</v>
      </c>
      <c r="M12" s="532"/>
      <c r="N12" s="537">
        <v>3.8560000000000001E-3</v>
      </c>
      <c r="O12" s="536" t="e">
        <f>_xll.qlSimpleQuoteSetValue(#REF!,ROUND($N12,6),EvaluationDate)</f>
        <v>#VALUE!</v>
      </c>
      <c r="P12" s="561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USD5MD_SYNTH6M_Quote#0003</v>
      </c>
      <c r="E13" s="237" t="str">
        <f>_xll.ohRangeRetrieveError(D13)</f>
        <v/>
      </c>
      <c r="F13" s="220"/>
      <c r="H13" s="548"/>
      <c r="I13" s="539" t="s">
        <v>153</v>
      </c>
      <c r="J13" s="553" t="s">
        <v>379</v>
      </c>
      <c r="K13" s="552" t="s">
        <v>363</v>
      </c>
      <c r="L13" s="538">
        <v>3.9150000000000001E-3</v>
      </c>
      <c r="M13" s="532"/>
      <c r="N13" s="537">
        <v>3.9150000000000001E-3</v>
      </c>
      <c r="O13" s="536" t="e">
        <f>_xll.qlSimpleQuoteSetValue(#REF!,ROUND($N13,6),EvaluationDate)</f>
        <v>#VALUE!</v>
      </c>
      <c r="P13" s="561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USD6MD_SYNTH6M_Quote#0003</v>
      </c>
      <c r="E14" s="233" t="str">
        <f>_xll.ohRangeRetrieveError(D14)</f>
        <v/>
      </c>
      <c r="F14" s="220"/>
      <c r="H14" s="548"/>
      <c r="I14" s="534" t="s">
        <v>152</v>
      </c>
      <c r="J14" s="554" t="s">
        <v>380</v>
      </c>
      <c r="K14" s="552" t="s">
        <v>363</v>
      </c>
      <c r="L14" s="533">
        <v>3.98E-3</v>
      </c>
      <c r="M14" s="532"/>
      <c r="N14" s="531">
        <v>3.98E-3</v>
      </c>
      <c r="O14" s="530" t="e">
        <f>_xll.qlSimpleQuoteSetValue(#REF!,ROUND($N14,6),EvaluationDate)</f>
        <v>#VALUE!</v>
      </c>
      <c r="P14" s="561"/>
    </row>
    <row r="15" spans="1:16" ht="12" thickBot="1" x14ac:dyDescent="0.25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USDTOY_SYNTH6M_Quote#0003</v>
      </c>
      <c r="E15" s="237" t="str">
        <f>_xll.ohRangeRetrieveError(D15)</f>
        <v/>
      </c>
      <c r="F15" s="220"/>
      <c r="H15" s="528"/>
      <c r="I15" s="527"/>
      <c r="J15" s="527"/>
      <c r="K15" s="527"/>
      <c r="L15" s="527"/>
      <c r="M15" s="527"/>
      <c r="N15" s="527"/>
      <c r="O15" s="527"/>
      <c r="P15" s="560"/>
    </row>
    <row r="16" spans="1:1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USDTOY2_SYNTH6M_Quote#0003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USDOND_SYNTH1Y_Quote#0003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USDTND_SYNTH1Y_Quote#0003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USDSND_SYNTH1Y_Quote#0003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USDSWD_SYNTH1Y_Quote#0003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USD2WD_SYNTH1Y_Quote#0003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USD3WD_SYNTH1Y_Quote#0003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USD1MD_SYNTH1Y_Quote#0003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USD2MD_SYNTH1Y_Quote#0003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USD3MD_SYNTH1Y_Quote#0003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USD4MD_SYNTH1Y_Quote#0003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USD5MD_SYNTH1Y_Quote#0003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USD6MD_SYNTH1Y_Quote#0003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USD7MD_SYNTH1Y_Quote#0003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USD8MD_SYNTH1Y_Quote#0003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USD9MD_SYNTH1Y_Quote#0003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USD10MD_SYNTH1Y_Quote#0003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USD11MD_SYNTH1Y_Quote#0003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USD1YD_SYNTH1Y_Quote#0003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USD1x13F_SYNTH1Y_Quote#0003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USD2x14F_SYNTH1Y_Quote#0003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USD3x15F_SYNTH1Y_Quote#0003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USD4x16F_SYNTH1Y_Quote#0003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USD5x17F_SYNTH1Y_Quote#0003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USD6x18F_SYNTH1Y_Quote#0003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USD7x19F_SYNTH1Y_Quote#0003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USD8x20F_SYNTH1Y_Quote#0003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USD9x21F_SYNTH1Y_Quote#0003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USD10x22F_SYNTH1Y_Quote#0003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USD11x23F_SYNTH1Y_Quote#0003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USD13x25F_SYNTH1Y_Quote#0003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USD14x26F_SYNTH1Y_Quote#0003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USD15x27F_SYNTH1Y_Quote#0003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USD16x28F_SYNTH1Y_Quote#0003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USD17x29F_SYNTH1Y_Quote#0003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USD18x30F_SYNTH1Y_Quote#0003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USD19x31F_SYNTH1Y_Quote#0003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USD20x32F_SYNTH1Y_Quote#0003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USD21x33F_SYNTH1Y_Quote#0003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USD22x34F_SYNTH1Y_Quote#0003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USD23x35F_SYNTH1Y_Quote#0003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USD25x37F_SYNTH1Y_Quote#0003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USD26x38F_SYNTH1Y_Quote#0003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USD27x39F_SYNTH1Y_Quote#0003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USD28x40F_SYNTH1Y_Quote#0003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USD29x41F_SYNTH1Y_Quote#0003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USD30x42F_SYNTH1Y_Quote#0003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USD31x43F_SYNTH1Y_Quote#0003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USD32x44F_SYNTH1Y_Quote#0003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USD33x45F_SYNTH1Y_Quote#0003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USD34x46F_SYNTH1Y_Quote#0003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USD35x47F_SYNTH1Y_Quote#0003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USD37x49F_SYNTH1Y_Quote#0003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USD38x50F_SYNTH1Y_Quote#0003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USD39x51F_SYNTH1Y_Quote#0003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USD40x52F_SYNTH1Y_Quote#0003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USD41x53F_SYNTH1Y_Quote#0003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USD42x54F_SYNTH1Y_Quote#0003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USD43x55F_SYNTH1Y_Quote#0003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USD44x56F_SYNTH1Y_Quote#0003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USD45x57F_SYNTH1Y_Quote#0003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USD46x58F_SYNTH1Y_Quote#0003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USD47x59F_SYNTH1Y_Quote#0003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USDAM3L1Y_S6L3L_Quote#0002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USDAM3L2Y_S6L3L_Quote#0002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USDAM3L3Y_S6L3L_Quote#0002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USDAM3L4Y_S6L3L_Quote#0002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USDAM3L5Y_S6L3L_Quote#0002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USDAM3L6Y_S6L3L_Quote#0002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USDAM3L7Y_S6L3L_Quote#0002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USDAM3L8Y_S6L3L_Quote#0002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USDAM3L9Y_S6L3L_Quote#0002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USDAM3L10Y_S6L3L_Quote#0002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USDAM3L11Y_S6L3L_Quote#0002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USDAM3L12Y_S6L3L_Quote#0002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USDAM3L13Y_S6L3L_Quote#0002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USDAM3L1Y_S12L3L_Quote#0002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USDAM3L2Y_S12L3L_Quote#0002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USDAM3L3Y_S12L3L_Quote#0002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USDAM3L4Y_S12L3L_Quote#0002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USDAM3L5Y_S12L3L_Quote#0002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USDAM3L6Y_S12L3L_Quote#0002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USDAM3L7Y_S12L3L_Quote#0002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USDAM3L8Y_S12L3L_Quote#0002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USDAM3L9Y_S12L3L_Quote#0002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USDAM3L10Y_S12L3L_Quote#0002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USDAM3L11Y_S12L3L_Quote#0002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USDAM3L12Y_S12L3L_Quote#0002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USDAM3L13Y_S12L3L_Quote#0002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2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9.28515625" style="430" bestFit="1" customWidth="1"/>
    <col min="5" max="5" width="26.42578125" style="430" bestFit="1" customWidth="1"/>
    <col min="6" max="6" width="9.8554687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7.85546875" style="430" bestFit="1" customWidth="1"/>
    <col min="11" max="11" width="11.42578125" style="430" bestFit="1" customWidth="1"/>
    <col min="12" max="12" width="8.7109375" style="430" bestFit="1" customWidth="1"/>
    <col min="13" max="13" width="7.140625" style="430" bestFit="1" customWidth="1"/>
    <col min="14" max="14" width="10" style="430" bestFit="1" customWidth="1"/>
    <col min="15" max="15" width="7.140625" style="430" bestFit="1" customWidth="1"/>
    <col min="16" max="16" width="2.7109375" style="430" customWidth="1"/>
    <col min="17" max="17" width="3.5703125" style="430" customWidth="1"/>
    <col min="18" max="18" width="4" style="430" bestFit="1" customWidth="1"/>
    <col min="19" max="19" width="5.28515625" style="430" bestFit="1" customWidth="1"/>
    <col min="20" max="20" width="1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19.5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MAX(O4:O19)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_xll.RData(D4:D18,E3:F3,"RTFEED:IDN",,,E4)</f>
        <v>#NAME?</v>
      </c>
      <c r="E3" s="479" t="s">
        <v>322</v>
      </c>
      <c r="F3" s="479" t="s">
        <v>328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 t="s">
        <v>336</v>
      </c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29</v>
      </c>
      <c r="D4" s="471" t="str">
        <f t="shared" ref="D4:D18" si="0">Currency&amp;$D$2&amp;$C4&amp;"="</f>
        <v>USD-1Y=</v>
      </c>
      <c r="E4" s="475" t="s">
        <v>245</v>
      </c>
      <c r="F4" s="474" t="s">
        <v>245</v>
      </c>
      <c r="G4" s="474" t="b">
        <f t="shared" ref="G4:G18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18" si="2">PROPER(Currency)&amp;$J$2&amp;$C4</f>
        <v>Usd-1Y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18" si="3">K4-L4</f>
        <v>#NUM!</v>
      </c>
      <c r="N4" s="470" t="e">
        <f>_xll.qlIndexFixing($J4,$E4,TRUE,$L4)</f>
        <v>#NUM!</v>
      </c>
      <c r="O4" s="494">
        <f t="shared" ref="O4:O18" si="4"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108</v>
      </c>
      <c r="D5" s="463" t="str">
        <f t="shared" si="0"/>
        <v>USD-2Y=</v>
      </c>
      <c r="E5" s="467" t="s">
        <v>245</v>
      </c>
      <c r="F5" s="466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Usd-2Y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94">
        <f t="shared" si="4"/>
        <v>0</v>
      </c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107</v>
      </c>
      <c r="D6" s="463" t="str">
        <f t="shared" si="0"/>
        <v>USD-3Y=</v>
      </c>
      <c r="E6" s="467" t="s">
        <v>245</v>
      </c>
      <c r="F6" s="466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Usd-3Y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94">
        <f t="shared" si="4"/>
        <v>0</v>
      </c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106</v>
      </c>
      <c r="D7" s="463" t="str">
        <f t="shared" si="0"/>
        <v>USD-4Y=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Usd-4Y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94">
        <f t="shared" si="4"/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105</v>
      </c>
      <c r="D8" s="463" t="str">
        <f t="shared" si="0"/>
        <v>USD-5Y=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Usd-5Y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94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104</v>
      </c>
      <c r="D9" s="463" t="str">
        <f t="shared" si="0"/>
        <v>USD-6Y=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Usd-6Y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94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103</v>
      </c>
      <c r="D10" s="463" t="str">
        <f t="shared" si="0"/>
        <v>USD-7Y=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Usd-7Y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94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102</v>
      </c>
      <c r="D11" s="463" t="str">
        <f t="shared" si="0"/>
        <v>USD-8Y=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Usd-8Y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94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101</v>
      </c>
      <c r="D12" s="463" t="str">
        <f t="shared" si="0"/>
        <v>USD-9Y=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Usd-9Y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94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100</v>
      </c>
      <c r="D13" s="463" t="str">
        <f t="shared" si="0"/>
        <v>USD-10Y=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Usd-10Y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94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98</v>
      </c>
      <c r="D14" s="463" t="str">
        <f t="shared" si="0"/>
        <v>USD-12Y=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Usd-12Y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94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95</v>
      </c>
      <c r="D15" s="463" t="str">
        <f t="shared" si="0"/>
        <v>USD-15Y=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Usd-15Y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94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90</v>
      </c>
      <c r="D16" s="463" t="str">
        <f t="shared" si="0"/>
        <v>USD-20Y=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Usd-20Y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94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85</v>
      </c>
      <c r="D17" s="463" t="str">
        <f t="shared" si="0"/>
        <v>USD-25Y=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Usd-25Y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94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59" t="s">
        <v>80</v>
      </c>
      <c r="D18" s="453" t="str">
        <f t="shared" si="0"/>
        <v>USD-30Y=</v>
      </c>
      <c r="E18" s="458" t="s">
        <v>245</v>
      </c>
      <c r="F18" s="457" t="s">
        <v>245</v>
      </c>
      <c r="G18" s="457" t="b">
        <f t="shared" si="1"/>
        <v>0</v>
      </c>
      <c r="H18" s="456" t="e">
        <f>IF($G18,_xll.qlIndexAddFixings($J18,$E18,$F18/100,TRUE,ISERROR($K18)),NA())</f>
        <v>#N/A</v>
      </c>
      <c r="I18" s="455"/>
      <c r="J18" s="454" t="str">
        <f t="shared" si="2"/>
        <v>Usd-30Y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93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2" thickBot="1" x14ac:dyDescent="0.25">
      <c r="A19" s="431"/>
      <c r="B19" s="449"/>
      <c r="C19" s="447"/>
      <c r="D19" s="447"/>
      <c r="E19" s="447"/>
      <c r="F19" s="447"/>
      <c r="G19" s="447"/>
      <c r="H19" s="447"/>
      <c r="I19" s="446"/>
      <c r="J19" s="446"/>
      <c r="K19" s="446"/>
      <c r="L19" s="446"/>
      <c r="M19" s="446"/>
      <c r="N19" s="446"/>
      <c r="O19" s="446"/>
      <c r="P19" s="445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2" thickBot="1" x14ac:dyDescent="0.25">
      <c r="A20" s="431"/>
      <c r="B20" s="431"/>
      <c r="C20" s="431"/>
      <c r="D20" s="431"/>
      <c r="E20" s="444"/>
      <c r="F20" s="443"/>
      <c r="G20" s="443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s="431" customFormat="1" x14ac:dyDescent="0.2">
      <c r="C21" s="442" t="s">
        <v>132</v>
      </c>
      <c r="D21" s="441" t="s">
        <v>331</v>
      </c>
      <c r="E21" s="440" t="s">
        <v>331</v>
      </c>
    </row>
    <row r="22" spans="1:30" s="431" customFormat="1" x14ac:dyDescent="0.2">
      <c r="C22" s="437" t="s">
        <v>131</v>
      </c>
      <c r="D22" s="436" t="s">
        <v>335</v>
      </c>
      <c r="E22" s="435" t="s">
        <v>334</v>
      </c>
    </row>
    <row r="23" spans="1:30" s="431" customFormat="1" x14ac:dyDescent="0.2">
      <c r="C23" s="437" t="s">
        <v>315</v>
      </c>
      <c r="D23" s="436" t="s">
        <v>331</v>
      </c>
      <c r="E23" s="435" t="s">
        <v>331</v>
      </c>
    </row>
    <row r="24" spans="1:30" s="431" customFormat="1" x14ac:dyDescent="0.2">
      <c r="C24" s="437" t="s">
        <v>314</v>
      </c>
      <c r="D24" s="436" t="s">
        <v>331</v>
      </c>
      <c r="E24" s="435" t="s">
        <v>331</v>
      </c>
    </row>
    <row r="25" spans="1:30" s="431" customFormat="1" x14ac:dyDescent="0.2">
      <c r="C25" s="437" t="s">
        <v>128</v>
      </c>
      <c r="D25" s="436" t="s">
        <v>331</v>
      </c>
      <c r="E25" s="435" t="s">
        <v>331</v>
      </c>
    </row>
    <row r="26" spans="1:30" s="431" customFormat="1" x14ac:dyDescent="0.2">
      <c r="C26" s="437" t="s">
        <v>127</v>
      </c>
      <c r="D26" s="436" t="s">
        <v>331</v>
      </c>
      <c r="E26" s="435" t="s">
        <v>331</v>
      </c>
    </row>
    <row r="27" spans="1:30" s="431" customFormat="1" ht="12" thickBot="1" x14ac:dyDescent="0.25">
      <c r="C27" s="434" t="s">
        <v>122</v>
      </c>
      <c r="D27" s="492" t="s">
        <v>331</v>
      </c>
      <c r="E27" s="491" t="s">
        <v>331</v>
      </c>
    </row>
    <row r="28" spans="1:30" s="431" customFormat="1" x14ac:dyDescent="0.2"/>
    <row r="29" spans="1:30" s="431" customFormat="1" x14ac:dyDescent="0.2"/>
    <row r="30" spans="1:30" s="431" customFormat="1" x14ac:dyDescent="0.2"/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12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6" width="2.7109375" style="430" customWidth="1"/>
    <col min="17" max="17" width="4.28515625" style="430" customWidth="1"/>
    <col min="18" max="18" width="4" style="430" bestFit="1" customWidth="1"/>
    <col min="19" max="19" width="5.28515625" style="430" bestFit="1" customWidth="1"/>
    <col min="20" max="20" width="6.140625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x14ac:dyDescent="0.2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x14ac:dyDescent="0.2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x14ac:dyDescent="0.2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338</v>
      </c>
      <c r="E25" s="435" t="s">
        <v>337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9.5703125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7" width="2.7109375" style="430" customWidth="1"/>
    <col min="18" max="18" width="12.85546875" style="430" bestFit="1" customWidth="1"/>
    <col min="19" max="19" width="7.140625" style="430" bestFit="1" customWidth="1"/>
    <col min="20" max="20" width="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 t="s">
        <v>142</v>
      </c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ht="15" x14ac:dyDescent="0.25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 t="str">
        <f>Currency&amp;$C4&amp;"D"&amp;$R$2</f>
        <v>USDOND_Quote</v>
      </c>
      <c r="S4" s="502">
        <f>_xll.qlQuoteValue(R4,ISERROR(H4))</f>
        <v>1.6000000000000001E-3</v>
      </c>
      <c r="T4" s="501" t="e">
        <f>IF(E4=EvaluationDate,S4-F4/100,NA())</f>
        <v>#N/A</v>
      </c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ht="15" x14ac:dyDescent="0.25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502"/>
      <c r="T5" s="50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ht="15" x14ac:dyDescent="0.25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502"/>
      <c r="T6" s="50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ht="15" x14ac:dyDescent="0.25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 t="str">
        <f t="shared" ref="R7:R21" si="5">Currency&amp;$C7&amp;"D"&amp;$R$2</f>
        <v>USDSWD_Quote</v>
      </c>
      <c r="S7" s="502">
        <f>_xll.qlQuoteValue(R7,ISERROR(H7))</f>
        <v>1.389E-3</v>
      </c>
      <c r="T7" s="501" t="e">
        <f t="shared" ref="T7:T21" si="6">IF(E7=EvaluationDate,S7-F7/100,NA())</f>
        <v>#N/A</v>
      </c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ht="15" x14ac:dyDescent="0.25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 t="str">
        <f t="shared" si="5"/>
        <v>USD2WD_Quote</v>
      </c>
      <c r="S8" s="502">
        <f>_xll.qlQuoteValue(R8,ISERROR(H8))</f>
        <v>0</v>
      </c>
      <c r="T8" s="501" t="e">
        <f t="shared" si="6"/>
        <v>#N/A</v>
      </c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ht="15" x14ac:dyDescent="0.25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 t="str">
        <f t="shared" si="5"/>
        <v>USD3WD_Quote</v>
      </c>
      <c r="S9" s="502" t="e">
        <f>_xll.qlQuoteValue(R9,ISERROR(H9))</f>
        <v>#NUM!</v>
      </c>
      <c r="T9" s="501" t="e">
        <f t="shared" si="6"/>
        <v>#N/A</v>
      </c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ht="15" x14ac:dyDescent="0.25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 t="str">
        <f t="shared" si="5"/>
        <v>USD1MD_Quote</v>
      </c>
      <c r="S10" s="502">
        <f>_xll.qlQuoteValue(R10,ISERROR(H10))</f>
        <v>1.702E-3</v>
      </c>
      <c r="T10" s="501" t="e">
        <f t="shared" si="6"/>
        <v>#N/A</v>
      </c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ht="15" x14ac:dyDescent="0.25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 t="str">
        <f t="shared" si="5"/>
        <v>USD2MD_Quote</v>
      </c>
      <c r="S11" s="502">
        <f>_xll.qlQuoteValue(R11,ISERROR(H11))</f>
        <v>2.0975E-3</v>
      </c>
      <c r="T11" s="501" t="e">
        <f t="shared" si="6"/>
        <v>#N/A</v>
      </c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ht="15" x14ac:dyDescent="0.25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 t="str">
        <f t="shared" si="5"/>
        <v>USD3MD_Quote</v>
      </c>
      <c r="S12" s="502">
        <f>_xll.qlQuoteValue(R12,ISERROR(H12))</f>
        <v>2.3835000000000002E-3</v>
      </c>
      <c r="T12" s="501" t="e">
        <f t="shared" si="6"/>
        <v>#N/A</v>
      </c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ht="15" x14ac:dyDescent="0.25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 t="str">
        <f t="shared" si="5"/>
        <v>USD4MD_Quote</v>
      </c>
      <c r="S13" s="502">
        <f>_xll.qlQuoteValue(R13,ISERROR(H13))</f>
        <v>0</v>
      </c>
      <c r="T13" s="501" t="e">
        <f t="shared" si="6"/>
        <v>#N/A</v>
      </c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ht="15" x14ac:dyDescent="0.25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 t="str">
        <f t="shared" si="5"/>
        <v>USD5MD_Quote</v>
      </c>
      <c r="S14" s="502">
        <f>_xll.qlQuoteValue(R14,ISERROR(H14))</f>
        <v>0</v>
      </c>
      <c r="T14" s="501" t="e">
        <f t="shared" si="6"/>
        <v>#N/A</v>
      </c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ht="15" x14ac:dyDescent="0.25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 t="str">
        <f t="shared" si="5"/>
        <v>USD6MD_Quote</v>
      </c>
      <c r="S15" s="502">
        <f>_xll.qlQuoteValue(R15,ISERROR(H15))</f>
        <v>3.5570000000000003E-3</v>
      </c>
      <c r="T15" s="501" t="e">
        <f t="shared" si="6"/>
        <v>#N/A</v>
      </c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ht="15" x14ac:dyDescent="0.25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 t="str">
        <f t="shared" si="5"/>
        <v>USD7MD_Quote</v>
      </c>
      <c r="S16" s="502">
        <f>_xll.qlQuoteValue(R16,ISERROR(H16))</f>
        <v>0</v>
      </c>
      <c r="T16" s="501" t="e">
        <f t="shared" si="6"/>
        <v>#N/A</v>
      </c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ht="15" x14ac:dyDescent="0.25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 t="str">
        <f t="shared" si="5"/>
        <v>USD8MD_Quote</v>
      </c>
      <c r="S17" s="502">
        <f>_xll.qlQuoteValue(R17,ISERROR(H17))</f>
        <v>0</v>
      </c>
      <c r="T17" s="501" t="e">
        <f t="shared" si="6"/>
        <v>#N/A</v>
      </c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ht="15" x14ac:dyDescent="0.25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 t="str">
        <f t="shared" si="5"/>
        <v>USD9MD_Quote</v>
      </c>
      <c r="S18" s="502">
        <f>_xll.qlQuoteValue(R18,ISERROR(H18))</f>
        <v>0</v>
      </c>
      <c r="T18" s="501" t="e">
        <f t="shared" si="6"/>
        <v>#N/A</v>
      </c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5" x14ac:dyDescent="0.25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 t="str">
        <f t="shared" si="5"/>
        <v>USD10MD_Quote</v>
      </c>
      <c r="S19" s="502">
        <f>_xll.qlQuoteValue(R19,ISERROR(H19))</f>
        <v>0</v>
      </c>
      <c r="T19" s="501" t="e">
        <f t="shared" si="6"/>
        <v>#N/A</v>
      </c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5" x14ac:dyDescent="0.25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 t="str">
        <f t="shared" si="5"/>
        <v>USD11MD_Quote</v>
      </c>
      <c r="S20" s="502">
        <f>_xll.qlQuoteValue(R20,ISERROR(H20))</f>
        <v>0</v>
      </c>
      <c r="T20" s="501" t="e">
        <f t="shared" si="6"/>
        <v>#N/A</v>
      </c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ht="15" x14ac:dyDescent="0.25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 t="str">
        <f t="shared" si="5"/>
        <v>USD1YD_Quote</v>
      </c>
      <c r="S21" s="502">
        <f>_xll.qlQuoteValue(R21,ISERROR(H21))</f>
        <v>6.0860000000000003E-3</v>
      </c>
      <c r="T21" s="501" t="e">
        <f t="shared" si="6"/>
        <v>#N/A</v>
      </c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253</v>
      </c>
      <c r="E25" s="435" t="s">
        <v>254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131</vt:i4>
      </vt:variant>
    </vt:vector>
  </HeadingPairs>
  <TitlesOfParts>
    <vt:vector size="170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2014-01-15T09:47:05Z</dcterms:modified>
</cp:coreProperties>
</file>
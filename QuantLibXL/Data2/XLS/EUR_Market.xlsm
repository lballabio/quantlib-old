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40" yWindow="45" windowWidth="25875" windowHeight="8505" firstSheet="54" activeTab="63"/>
  </bookViews>
  <sheets>
    <sheet name="EUR" sheetId="4" r:id="rId1"/>
    <sheet name="RelinkableHandles" sheetId="5" r:id="rId2"/>
    <sheet name="Euribor" sheetId="6" r:id="rId3"/>
    <sheet name="Euribor365" sheetId="7" r:id="rId4"/>
    <sheet name="EuriborSwapIsdaFixA" sheetId="8" r:id="rId5"/>
    <sheet name="EuriborSwapIsdaFixB" sheetId="9" r:id="rId6"/>
    <sheet name="EuriborSwapIfrFix" sheetId="10" r:id="rId7"/>
    <sheet name="General Settings (2)" sheetId="11" r:id="rId8"/>
    <sheet name="Libor" sheetId="12" r:id="rId9"/>
    <sheet name="LiborSwapIsdaFixA" sheetId="13" r:id="rId10"/>
    <sheet name="LiborSwapIsdaFixB" sheetId="14" r:id="rId11"/>
    <sheet name="LiborSwapIfrFix" sheetId="15" r:id="rId12"/>
    <sheet name="EurLibor" sheetId="16" r:id="rId13"/>
    <sheet name="BasisSwap1MxM" sheetId="17" r:id="rId14"/>
    <sheet name="BasisSwap3M6M" sheetId="18" r:id="rId15"/>
    <sheet name="BasisSwapxM12M" sheetId="19" r:id="rId16"/>
    <sheet name="EUR_010_BasisSwapQuotes" sheetId="20" r:id="rId17"/>
    <sheet name="Deposits" sheetId="21" r:id="rId18"/>
    <sheet name="FRA" sheetId="22" r:id="rId19"/>
    <sheet name="Futures1M" sheetId="23" r:id="rId20"/>
    <sheet name="Futures3M" sheetId="24" r:id="rId21"/>
    <sheet name="ImmFra6M " sheetId="25" r:id="rId22"/>
    <sheet name="FuturesHWConvAdj" sheetId="26" r:id="rId23"/>
    <sheet name="EUR_010_DepoFRAFuturesQuotes" sheetId="27" r:id="rId24"/>
    <sheet name="OIS" sheetId="28" r:id="rId25"/>
    <sheet name="Swaps1M" sheetId="29" r:id="rId26"/>
    <sheet name="SwapsIMMDated" sheetId="30" r:id="rId27"/>
    <sheet name="Swap3M" sheetId="31" r:id="rId28"/>
    <sheet name="Swap6M" sheetId="32" r:id="rId29"/>
    <sheet name="EUR_010_SwapQuotes" sheetId="33" r:id="rId30"/>
    <sheet name="ON" sheetId="34" r:id="rId31"/>
    <sheet name="1M" sheetId="35" r:id="rId32"/>
    <sheet name="3M" sheetId="36" r:id="rId33"/>
    <sheet name="6M" sheetId="37" r:id="rId34"/>
    <sheet name="1Y" sheetId="38" r:id="rId35"/>
    <sheet name="EUR_015_SyntheticQuotes" sheetId="39" r:id="rId36"/>
    <sheet name="1M (2)" sheetId="40" r:id="rId37"/>
    <sheet name="3M (2)" sheetId="41" r:id="rId38"/>
    <sheet name="6M (2)" sheetId="42" r:id="rId39"/>
    <sheet name="1Y (2)" sheetId="43" r:id="rId40"/>
    <sheet name="EUR_020_ForwardSwapQuotes" sheetId="44" r:id="rId41"/>
    <sheet name="3M (3)" sheetId="45" r:id="rId42"/>
    <sheet name="EUR_020_FuturesConvAdjQuotes" sheetId="46" r:id="rId43"/>
    <sheet name="1M (3)" sheetId="47" r:id="rId44"/>
    <sheet name="3M (4)" sheetId="48" r:id="rId45"/>
    <sheet name="6M (3)" sheetId="49" r:id="rId46"/>
    <sheet name="1Y (3)" sheetId="50" r:id="rId47"/>
    <sheet name="EUR_020_SwapFromBasisQuotes" sheetId="51" r:id="rId48"/>
    <sheet name="Deposits (2)" sheetId="52" r:id="rId49"/>
    <sheet name="FRA (2)" sheetId="53" r:id="rId50"/>
    <sheet name="Futures1M (2)" sheetId="54" r:id="rId51"/>
    <sheet name="Futures3M (2)" sheetId="55" r:id="rId52"/>
    <sheet name="ImmFra6M" sheetId="56" r:id="rId53"/>
    <sheet name="FuturesConvexityAdjustment" sheetId="57" r:id="rId54"/>
    <sheet name="Swap1M" sheetId="58" r:id="rId55"/>
    <sheet name="SwapIMMDated" sheetId="59" r:id="rId56"/>
    <sheet name="Swap3M (2)" sheetId="60" r:id="rId57"/>
    <sheet name="Swap6M (2)" sheetId="61" r:id="rId58"/>
    <sheet name="BasisSwap1MXM (2)" sheetId="62" r:id="rId59"/>
    <sheet name="BasisSwap3M6M (2)" sheetId="63" r:id="rId60"/>
    <sheet name="BasisSwapXM12M (2)" sheetId="64" r:id="rId61"/>
    <sheet name="OIS (2)" sheetId="65" r:id="rId62"/>
    <sheet name="ECBOIS" sheetId="66" r:id="rId63"/>
    <sheet name="General Settings" sheetId="67" r:id="rId64"/>
  </sheets>
  <externalReferences>
    <externalReference r:id="rId65"/>
  </externalReferences>
  <definedNames>
    <definedName name="Contributor" localSheetId="58">'BasisSwap1MXM (2)'!$F$2</definedName>
    <definedName name="Contributor" localSheetId="59">'BasisSwap3M6M (2)'!$F$2</definedName>
    <definedName name="Contributor" localSheetId="60">'BasisSwapXM12M (2)'!$F$2</definedName>
    <definedName name="Contributor" localSheetId="48">'Deposits (2)'!$C$2</definedName>
    <definedName name="Contributor" localSheetId="62">ECBOIS!$F$2</definedName>
    <definedName name="Contributor" localSheetId="49">'FRA (2)'!$E$2</definedName>
    <definedName name="Contributor" localSheetId="53">FuturesConvexityAdjustment!$B$2</definedName>
    <definedName name="Contributor" localSheetId="52">ImmFra6M!$F$2</definedName>
    <definedName name="Contributor" localSheetId="61">'OIS (2)'!$F$2</definedName>
    <definedName name="Contributor" localSheetId="54">Swap1M!$F$2</definedName>
    <definedName name="Contributor" localSheetId="56">'Swap3M (2)'!$F$2</definedName>
    <definedName name="Contributor" localSheetId="57">'Swap6M (2)'!$F$2</definedName>
    <definedName name="Contributor" localSheetId="55">SwapIMMDated!$F$2</definedName>
    <definedName name="Contributors" localSheetId="48">'Deposits (2)'!$M$5:$M$13</definedName>
    <definedName name="Contributors">'General Settings'!$C$11:$C$17</definedName>
    <definedName name="ContributorTable" localSheetId="48">'Deposits (2)'!$M$5:$Q$13</definedName>
    <definedName name="ContributorTable">'General Settings'!$C$11:$D$17</definedName>
    <definedName name="Conventions" localSheetId="58">'BasisSwap1MXM (2)'!$T$5:$V$9</definedName>
    <definedName name="Conventions" localSheetId="59">'BasisSwap3M6M (2)'!$T$5:$V$9</definedName>
    <definedName name="Conventions" localSheetId="60">'BasisSwapXM12M (2)'!$T$5:$V$9</definedName>
    <definedName name="Conventions" localSheetId="56">'Swap3M (2)'!$T$5:$V$10</definedName>
    <definedName name="Conventions" localSheetId="57">'Swap6M (2)'!$T$5:$V$9</definedName>
    <definedName name="Counter" localSheetId="58">'BasisSwap1MXM (2)'!$Q$3</definedName>
    <definedName name="Counter" localSheetId="59">'BasisSwap3M6M (2)'!$Q$3</definedName>
    <definedName name="Counter" localSheetId="60">'BasisSwapXM12M (2)'!$Q$3</definedName>
    <definedName name="Counter" localSheetId="48">'Deposits (2)'!$J$3</definedName>
    <definedName name="Counter" localSheetId="62">ECBOIS!$Q$3</definedName>
    <definedName name="Counter" localSheetId="49">'FRA (2)'!$P$3</definedName>
    <definedName name="Counter" localSheetId="50">'Futures1M (2)'!$R$4</definedName>
    <definedName name="Counter" localSheetId="51">'Futures3M (2)'!$R$4</definedName>
    <definedName name="Counter" localSheetId="53">FuturesConvexityAdjustment!$L$3</definedName>
    <definedName name="Counter" localSheetId="52">ImmFra6M!$R$4</definedName>
    <definedName name="Counter" localSheetId="61">'OIS (2)'!$Q$3</definedName>
    <definedName name="Counter" localSheetId="54">Swap1M!$Q$3</definedName>
    <definedName name="Counter" localSheetId="56">'Swap3M (2)'!$Q$3</definedName>
    <definedName name="Counter" localSheetId="57">'Swap6M (2)'!$Q$3</definedName>
    <definedName name="Counter" localSheetId="55">SwapIMMDated!$Q$3</definedName>
    <definedName name="Counter">'Futures1M (2)'!$R$4</definedName>
    <definedName name="Currency" localSheetId="31">EUR_015_SyntheticQuotes!$D$14</definedName>
    <definedName name="Currency" localSheetId="36">EUR_020_ForwardSwapQuotes!$D$14</definedName>
    <definedName name="Currency" localSheetId="43">EUR_020_SwapFromBasisQuotes!$D$14</definedName>
    <definedName name="Currency" localSheetId="34">EUR_015_SyntheticQuotes!$D$14</definedName>
    <definedName name="Currency" localSheetId="39">EUR_020_ForwardSwapQuotes!$D$14</definedName>
    <definedName name="Currency" localSheetId="46">EUR_020_SwapFromBasisQuotes!$D$14</definedName>
    <definedName name="Currency" localSheetId="32">EUR_015_SyntheticQuotes!$D$14</definedName>
    <definedName name="Currency" localSheetId="37">EUR_020_ForwardSwapQuotes!$D$14</definedName>
    <definedName name="Currency" localSheetId="41">EUR_020_FuturesConvAdjQuotes!$D$14</definedName>
    <definedName name="Currency" localSheetId="44">EUR_020_SwapFromBasisQuotes!$D$14</definedName>
    <definedName name="Currency" localSheetId="33">EUR_015_SyntheticQuotes!$D$14</definedName>
    <definedName name="Currency" localSheetId="38">EUR_020_ForwardSwapQuotes!$D$14</definedName>
    <definedName name="Currency" localSheetId="45">EUR_020_SwapFromBasisQuotes!$D$14</definedName>
    <definedName name="Currency" localSheetId="13">EUR_010_BasisSwapQuotes!$D$14</definedName>
    <definedName name="Currency" localSheetId="58">'General Settings'!$D$4</definedName>
    <definedName name="Currency" localSheetId="14">EUR_010_BasisSwapQuotes!$D$14</definedName>
    <definedName name="Currency" localSheetId="59">'General Settings'!$D$4</definedName>
    <definedName name="Currency" localSheetId="15">EUR_010_BasisSwapQuotes!$D$14</definedName>
    <definedName name="Currency" localSheetId="60">'General Settings'!$D$4</definedName>
    <definedName name="Currency" localSheetId="17">EUR_010_DepoFRAFuturesQuotes!$D$14</definedName>
    <definedName name="Currency" localSheetId="48">'General Settings'!$D$4</definedName>
    <definedName name="Currency" localSheetId="62">'General Settings'!$D$4</definedName>
    <definedName name="Currency" localSheetId="0">EUR!$E$3</definedName>
    <definedName name="Currency" localSheetId="16">EUR_010_BasisSwapQuotes!$D$14</definedName>
    <definedName name="Currency" localSheetId="23">EUR_010_DepoFRAFuturesQuotes!$D$14</definedName>
    <definedName name="Currency" localSheetId="29">EUR_010_SwapQuotes!$D$14</definedName>
    <definedName name="Currency" localSheetId="35">EUR_015_SyntheticQuotes!$D$14</definedName>
    <definedName name="Currency" localSheetId="40">EUR_020_ForwardSwapQuotes!$D$14</definedName>
    <definedName name="Currency" localSheetId="42">EUR_020_FuturesConvAdjQuotes!$D$14</definedName>
    <definedName name="Currency" localSheetId="47">EUR_020_SwapFromBasisQuotes!$D$14</definedName>
    <definedName name="Currency" localSheetId="12">EurLibor!$D$5</definedName>
    <definedName name="Currency" localSheetId="18">EUR_010_DepoFRAFuturesQuotes!$D$14</definedName>
    <definedName name="Currency" localSheetId="49">'General Settings'!$D$4</definedName>
    <definedName name="Currency" localSheetId="19">EUR_010_DepoFRAFuturesQuotes!$D$14</definedName>
    <definedName name="Currency" localSheetId="50">'General Settings'!$D$4</definedName>
    <definedName name="Currency" localSheetId="20">EUR_010_DepoFRAFuturesQuotes!$D$14</definedName>
    <definedName name="Currency" localSheetId="51">'General Settings'!$D$4</definedName>
    <definedName name="Currency" localSheetId="53">'General Settings'!$D$4</definedName>
    <definedName name="Currency" localSheetId="22">EUR_010_DepoFRAFuturesQuotes!$D$14</definedName>
    <definedName name="Currency" localSheetId="63">'General Settings'!$D$4</definedName>
    <definedName name="Currency" localSheetId="52">'General Settings'!$D$4</definedName>
    <definedName name="Currency" localSheetId="21">EUR_010_DepoFRAFuturesQuotes!$D$14</definedName>
    <definedName name="Currency" localSheetId="8">EurLibor!$D$5</definedName>
    <definedName name="Currency" localSheetId="11">EurLibor!$D$5</definedName>
    <definedName name="Currency" localSheetId="9">EurLibor!$D$5</definedName>
    <definedName name="Currency" localSheetId="10">EurLibor!$D$5</definedName>
    <definedName name="Currency" localSheetId="24">EUR_010_SwapQuotes!$D$14</definedName>
    <definedName name="Currency" localSheetId="61">'General Settings'!$D$4</definedName>
    <definedName name="Currency" localSheetId="30">EUR_015_SyntheticQuotes!$D$14</definedName>
    <definedName name="Currency" localSheetId="54">'General Settings'!$D$4</definedName>
    <definedName name="Currency" localSheetId="27">EUR_010_SwapQuotes!$D$14</definedName>
    <definedName name="Currency" localSheetId="56">'General Settings'!$D$4</definedName>
    <definedName name="Currency" localSheetId="28">EUR_010_SwapQuotes!$D$14</definedName>
    <definedName name="Currency" localSheetId="57">'General Settings'!$D$4</definedName>
    <definedName name="Currency" localSheetId="55">'General Settings'!$D$4</definedName>
    <definedName name="Currency" localSheetId="25">EUR_010_SwapQuotes!$D$14</definedName>
    <definedName name="Currency" localSheetId="26">EUR_010_SwapQuotes!$D$14</definedName>
    <definedName name="Currency">'General Settings (2)'!$D$5</definedName>
    <definedName name="FamilyName" localSheetId="41">EUR_020_FuturesConvAdjQuotes!$D$15</definedName>
    <definedName name="FamilyName" localSheetId="42">EUR_020_FuturesConvAdjQuotes!$D$15</definedName>
    <definedName name="FamilyName" localSheetId="2">Euribor!$F$3</definedName>
    <definedName name="FamilyName" localSheetId="3">Euribor365!$F$3</definedName>
    <definedName name="FamilyName" localSheetId="6">EuriborSwapIfrFix!$G$3</definedName>
    <definedName name="FamilyName" localSheetId="4">EuriborSwapIsdaFixA!$G$3</definedName>
    <definedName name="FamilyName" localSheetId="5">EuriborSwapIsdaFixB!$G$3</definedName>
    <definedName name="FamilyName" localSheetId="8">Libor!$F$3</definedName>
    <definedName name="FamilyName" localSheetId="11">LiborSwapIfrFix!$G$3</definedName>
    <definedName name="FamilyName" localSheetId="9">LiborSwapIsdaFixA!$G$3</definedName>
    <definedName name="FamilyName" localSheetId="10">LiborSwapIsdaFixB!$G$3</definedName>
    <definedName name="FamilyName">EUR_020_ForwardSwapQuotes!$D$15</definedName>
    <definedName name="FileName" localSheetId="2">Euribor!$E$5</definedName>
    <definedName name="FileName" localSheetId="3">Euribor365!$E$5</definedName>
    <definedName name="FileName" localSheetId="6">EuriborSwapIfrFix!$F$6</definedName>
    <definedName name="FileName" localSheetId="4">EuriborSwapIsdaFixA!$F$6</definedName>
    <definedName name="FileName" localSheetId="5">EuriborSwapIsdaFixB!$F$6</definedName>
    <definedName name="FileName" localSheetId="8">Libor!$E$5</definedName>
    <definedName name="FileName" localSheetId="11">LiborSwapIfrFix!$F$6</definedName>
    <definedName name="FileName" localSheetId="9">LiborSwapIsdaFixA!$F$6</definedName>
    <definedName name="FileName" localSheetId="10">LiborSwapIsdaFixB!$F$6</definedName>
    <definedName name="FileOverwrite" localSheetId="31">EUR_015_SyntheticQuotes!$D$9</definedName>
    <definedName name="FileOverwrite" localSheetId="36">EUR_020_ForwardSwapQuotes!$D$9</definedName>
    <definedName name="FileOverwrite" localSheetId="43">EUR_020_SwapFromBasisQuotes!$D$9</definedName>
    <definedName name="FileOverwrite" localSheetId="34">EUR_015_SyntheticQuotes!$D$9</definedName>
    <definedName name="FileOverwrite" localSheetId="39">EUR_020_ForwardSwapQuotes!$D$9</definedName>
    <definedName name="FileOverwrite" localSheetId="46">EUR_020_SwapFromBasisQuotes!$D$9</definedName>
    <definedName name="FileOverwrite" localSheetId="32">EUR_015_SyntheticQuotes!$D$9</definedName>
    <definedName name="FileOverwrite" localSheetId="37">EUR_020_ForwardSwapQuotes!$D$9</definedName>
    <definedName name="FileOverwrite" localSheetId="41">EUR_020_FuturesConvAdjQuotes!$D$9</definedName>
    <definedName name="FileOverwrite" localSheetId="44">EUR_020_SwapFromBasisQuotes!$D$9</definedName>
    <definedName name="FileOverwrite" localSheetId="33">EUR_015_SyntheticQuotes!$D$9</definedName>
    <definedName name="FileOverwrite" localSheetId="38">EUR_020_ForwardSwapQuotes!$D$9</definedName>
    <definedName name="FileOverwrite" localSheetId="45">EUR_020_SwapFromBasisQuotes!$D$9</definedName>
    <definedName name="FileOverwrite" localSheetId="13">EUR_010_BasisSwapQuotes!$D$9</definedName>
    <definedName name="FileOverwrite" localSheetId="14">EUR_010_BasisSwapQuotes!$D$9</definedName>
    <definedName name="FileOverwrite" localSheetId="15">EUR_010_BasisSwapQuotes!$D$9</definedName>
    <definedName name="FileOverwrite" localSheetId="17">EUR_010_DepoFRAFuturesQuotes!$D$9</definedName>
    <definedName name="FileOverwrite" localSheetId="16">EUR_010_BasisSwapQuotes!$D$9</definedName>
    <definedName name="FileOverwrite" localSheetId="23">EUR_010_DepoFRAFuturesQuotes!$D$9</definedName>
    <definedName name="FileOverwrite" localSheetId="29">EUR_010_SwapQuotes!$D$9</definedName>
    <definedName name="FileOverwrite" localSheetId="35">EUR_015_SyntheticQuotes!$D$9</definedName>
    <definedName name="FileOverwrite" localSheetId="40">EUR_020_ForwardSwapQuotes!$D$9</definedName>
    <definedName name="FileOverwrite" localSheetId="42">EUR_020_FuturesConvAdjQuotes!$D$9</definedName>
    <definedName name="FileOverwrite" localSheetId="47">EUR_020_SwapFromBasisQuotes!$D$9</definedName>
    <definedName name="FileOverwrite" localSheetId="2">'General Settings (2)'!$D$10</definedName>
    <definedName name="FileOverwrite" localSheetId="3">'General Settings (2)'!$D$10</definedName>
    <definedName name="FileOverwrite" localSheetId="6">'General Settings (2)'!$D$10</definedName>
    <definedName name="FileOverwrite" localSheetId="4">'General Settings (2)'!$D$10</definedName>
    <definedName name="FileOverwrite" localSheetId="5">'General Settings (2)'!$D$10</definedName>
    <definedName name="FileOverwrite" localSheetId="12">EurLibor!$D$10</definedName>
    <definedName name="FileOverwrite" localSheetId="18">EUR_010_DepoFRAFuturesQuotes!$D$9</definedName>
    <definedName name="FileOverwrite" localSheetId="19">EUR_010_DepoFRAFuturesQuotes!$D$9</definedName>
    <definedName name="FileOverwrite" localSheetId="20">EUR_010_DepoFRAFuturesQuotes!$D$9</definedName>
    <definedName name="FileOverwrite" localSheetId="22">EUR_010_DepoFRAFuturesQuotes!$D$9</definedName>
    <definedName name="FileOverwrite" localSheetId="7">'General Settings (2)'!$D$10</definedName>
    <definedName name="FileOverwrite" localSheetId="21">EUR_010_DepoFRAFuturesQuotes!$D$9</definedName>
    <definedName name="FileOverwrite" localSheetId="8">EurLibor!$D$10</definedName>
    <definedName name="FileOverwrite" localSheetId="11">EurLibor!$D$10</definedName>
    <definedName name="FileOverwrite" localSheetId="9">EurLibor!$D$10</definedName>
    <definedName name="FileOverwrite" localSheetId="10">EurLibor!$D$10</definedName>
    <definedName name="FileOverwrite" localSheetId="24">EUR_010_SwapQuotes!$D$9</definedName>
    <definedName name="FileOverwrite" localSheetId="30">EUR_015_SyntheticQuotes!$D$9</definedName>
    <definedName name="FileOverwrite" localSheetId="27">EUR_010_SwapQuotes!$D$9</definedName>
    <definedName name="FileOverwrite" localSheetId="28">EUR_010_SwapQuotes!$D$9</definedName>
    <definedName name="FileOverwrite" localSheetId="25">EUR_010_SwapQuotes!$D$9</definedName>
    <definedName name="FileOverwrite" localSheetId="26">EUR_010_SwapQuotes!$D$9</definedName>
    <definedName name="FileOverwrite">RelinkableHandles!$D$9</definedName>
    <definedName name="FixingType" localSheetId="6">EuriborSwapIfrFix!$G$4</definedName>
    <definedName name="FixingType" localSheetId="4">EuriborSwapIsdaFixA!$G$4</definedName>
    <definedName name="FixingType" localSheetId="5">EuriborSwapIsdaFixB!$G$4</definedName>
    <definedName name="FixingType" localSheetId="11">LiborSwapIfrFix!$G$4</definedName>
    <definedName name="FixingType" localSheetId="9">LiborSwapIsdaFixA!$G$4</definedName>
    <definedName name="FixingType" localSheetId="10">LiborSwapIsdaFixB!$G$4</definedName>
    <definedName name="FixingType">EUR_020_ForwardSwapQuotes!$D$16</definedName>
    <definedName name="FuturesCodes" localSheetId="50">'Futures1M (2)'!$D$6:$D$17</definedName>
    <definedName name="FuturesCodes" localSheetId="51">'Futures3M (2)'!$D$6:$D$47</definedName>
    <definedName name="FuturesCodes" localSheetId="52">ImmFra6M!$D$6:$D$9</definedName>
    <definedName name="FuturesDates" localSheetId="50">'Futures1M (2)'!$E$6:$E$17</definedName>
    <definedName name="FuturesDates" localSheetId="51">'Futures3M (2)'!$E$6:$E$47</definedName>
    <definedName name="FuturesDates" localSheetId="52">ImmFra6M!$E$6:$E$9</definedName>
    <definedName name="GENERAL_SETTINGS">'General Settings'!$B$2</definedName>
    <definedName name="IborIndex" localSheetId="41">'3M (3)'!$F$4</definedName>
    <definedName name="Instruments" localSheetId="58">'BasisSwap1MXM (2)'!$E$5:$E$42</definedName>
    <definedName name="Instruments" localSheetId="59">'BasisSwap3M6M (2)'!$E$5:$E$42</definedName>
    <definedName name="Instruments" localSheetId="60">'BasisSwapXM12M (2)'!$E$5:$E$42</definedName>
    <definedName name="Instruments" localSheetId="48">'Deposits (2)'!$B$5:$B$22</definedName>
    <definedName name="Instruments" localSheetId="62">ECBOIS!$E$5:$E$10</definedName>
    <definedName name="Instruments" localSheetId="49">'FRA (2)'!$D$5:$D$33</definedName>
    <definedName name="Instruments" localSheetId="50">'Futures1M (2)'!$F$6:$F$17</definedName>
    <definedName name="Instruments" localSheetId="61">'OIS (2)'!$E$5:$E$40</definedName>
    <definedName name="Instruments" localSheetId="54">Swap1M!$E$5:$E$15</definedName>
    <definedName name="Instruments" localSheetId="56">'Swap3M (2)'!$E$5:$E$42</definedName>
    <definedName name="Instruments" localSheetId="57">'Swap6M (2)'!$E$5:$E$42</definedName>
    <definedName name="Instruments" localSheetId="55">SwapIMMDated!$E$5:$E$11</definedName>
    <definedName name="InterpolationType">'General Settings'!$D$8</definedName>
    <definedName name="LastUpdate">'General Settings'!$E$20</definedName>
    <definedName name="LiffeCodes" localSheetId="50">'Futures1M (2)'!$U$6:$V$10</definedName>
    <definedName name="LiffeCodes" localSheetId="51">'Futures3M (2)'!$U$6:$V$10</definedName>
    <definedName name="LiffeCodes" localSheetId="52">ImmFra6M!$U$6:$V$9</definedName>
    <definedName name="LiveDataFeed">'General Settings'!$E$23</definedName>
    <definedName name="MainTenor">EUR_010_BasisSwapQuotes!#REF!</definedName>
    <definedName name="MarketTickCounter">'General Settings'!#REF!</definedName>
    <definedName name="MeanReversion" localSheetId="41">'3M (3)'!$F$3</definedName>
    <definedName name="Months" localSheetId="31">'1M'!$B$1</definedName>
    <definedName name="Months" localSheetId="34">'1Y'!$B$1</definedName>
    <definedName name="Months" localSheetId="32">'3M'!$B$1</definedName>
    <definedName name="Months" localSheetId="33">'6M'!$B$1</definedName>
    <definedName name="Months" localSheetId="30">ON!$B$1</definedName>
    <definedName name="ObjectOverwrite" localSheetId="31">EUR_015_SyntheticQuotes!$D$6</definedName>
    <definedName name="ObjectOverwrite" localSheetId="36">EUR_020_ForwardSwapQuotes!$D$6</definedName>
    <definedName name="ObjectOverwrite" localSheetId="43">EUR_020_SwapFromBasisQuotes!$D$6</definedName>
    <definedName name="ObjectOverwrite" localSheetId="34">EUR_015_SyntheticQuotes!$D$6</definedName>
    <definedName name="ObjectOverwrite" localSheetId="39">EUR_020_ForwardSwapQuotes!$D$6</definedName>
    <definedName name="ObjectOverwrite" localSheetId="46">EUR_020_SwapFromBasisQuotes!$D$6</definedName>
    <definedName name="ObjectOverwrite" localSheetId="32">EUR_015_SyntheticQuotes!$D$6</definedName>
    <definedName name="ObjectOverwrite" localSheetId="37">EUR_020_ForwardSwapQuotes!$D$6</definedName>
    <definedName name="ObjectOverwrite" localSheetId="41">EUR_020_FuturesConvAdjQuotes!$D$6</definedName>
    <definedName name="ObjectOverwrite" localSheetId="44">EUR_020_SwapFromBasisQuotes!$D$6</definedName>
    <definedName name="ObjectOverwrite" localSheetId="33">EUR_015_SyntheticQuotes!$D$6</definedName>
    <definedName name="ObjectOverwrite" localSheetId="38">EUR_020_ForwardSwapQuotes!$D$6</definedName>
    <definedName name="ObjectOverwrite" localSheetId="45">EUR_020_SwapFromBasisQuotes!$D$6</definedName>
    <definedName name="ObjectOverwrite" localSheetId="13">EUR_010_BasisSwapQuotes!$D$6</definedName>
    <definedName name="ObjectOverwrite" localSheetId="14">EUR_010_BasisSwapQuotes!$D$6</definedName>
    <definedName name="ObjectOverwrite" localSheetId="15">EUR_010_BasisSwapQuotes!$D$6</definedName>
    <definedName name="ObjectOverwrite" localSheetId="17">EUR_010_DepoFRAFuturesQuotes!$D$6</definedName>
    <definedName name="ObjectOverwrite" localSheetId="16">EUR_010_BasisSwapQuotes!$D$6</definedName>
    <definedName name="ObjectOverwrite" localSheetId="23">EUR_010_DepoFRAFuturesQuotes!$D$6</definedName>
    <definedName name="ObjectOverwrite" localSheetId="29">EUR_010_SwapQuotes!$D$6</definedName>
    <definedName name="ObjectOverwrite" localSheetId="35">EUR_015_SyntheticQuotes!$D$6</definedName>
    <definedName name="ObjectOverwrite" localSheetId="40">EUR_020_ForwardSwapQuotes!$D$6</definedName>
    <definedName name="ObjectOverwrite" localSheetId="42">EUR_020_FuturesConvAdjQuotes!$D$6</definedName>
    <definedName name="ObjectOverwrite" localSheetId="47">EUR_020_SwapFromBasisQuotes!$D$6</definedName>
    <definedName name="ObjectOverwrite" localSheetId="2">'General Settings (2)'!$D$7</definedName>
    <definedName name="ObjectOverwrite" localSheetId="3">'General Settings (2)'!$D$7</definedName>
    <definedName name="ObjectOverwrite" localSheetId="6">'General Settings (2)'!$D$7</definedName>
    <definedName name="ObjectOverwrite" localSheetId="4">'General Settings (2)'!$D$7</definedName>
    <definedName name="ObjectOverwrite" localSheetId="5">'General Settings (2)'!$D$7</definedName>
    <definedName name="ObjectOverwrite" localSheetId="12">EurLibor!$D$7</definedName>
    <definedName name="ObjectOverwrite" localSheetId="18">EUR_010_DepoFRAFuturesQuotes!$D$6</definedName>
    <definedName name="ObjectOverwrite" localSheetId="19">EUR_010_DepoFRAFuturesQuotes!$D$6</definedName>
    <definedName name="ObjectOverwrite" localSheetId="20">EUR_010_DepoFRAFuturesQuotes!$D$6</definedName>
    <definedName name="ObjectOverwrite" localSheetId="22">EUR_010_DepoFRAFuturesQuotes!$D$6</definedName>
    <definedName name="ObjectOverwrite" localSheetId="7">'General Settings (2)'!$D$7</definedName>
    <definedName name="ObjectOverwrite" localSheetId="21">EUR_010_DepoFRAFuturesQuotes!$D$6</definedName>
    <definedName name="ObjectOverwrite" localSheetId="8">EurLibor!$D$7</definedName>
    <definedName name="ObjectOverwrite" localSheetId="11">EurLibor!$D$7</definedName>
    <definedName name="ObjectOverwrite" localSheetId="9">EurLibor!$D$7</definedName>
    <definedName name="ObjectOverwrite" localSheetId="10">EurLibor!$D$7</definedName>
    <definedName name="ObjectOverwrite" localSheetId="24">EUR_010_SwapQuotes!$D$6</definedName>
    <definedName name="ObjectOverwrite" localSheetId="30">EUR_015_SyntheticQuotes!$D$6</definedName>
    <definedName name="ObjectOverwrite" localSheetId="27">EUR_010_SwapQuotes!$D$6</definedName>
    <definedName name="ObjectOverwrite" localSheetId="28">EUR_010_SwapQuotes!$D$6</definedName>
    <definedName name="ObjectOverwrite" localSheetId="25">EUR_010_SwapQuotes!$D$6</definedName>
    <definedName name="ObjectOverwrite" localSheetId="26">EUR_010_SwapQuotes!$D$6</definedName>
    <definedName name="ObjectOverwrite">RelinkableHandles!$D$6</definedName>
    <definedName name="Permanent" localSheetId="31">EUR_015_SyntheticQuotes!$D$5</definedName>
    <definedName name="Permanent" localSheetId="36">EUR_020_ForwardSwapQuotes!$D$5</definedName>
    <definedName name="Permanent" localSheetId="43">EUR_020_SwapFromBasisQuotes!$D$5</definedName>
    <definedName name="Permanent" localSheetId="34">EUR_015_SyntheticQuotes!$D$5</definedName>
    <definedName name="Permanent" localSheetId="39">EUR_020_ForwardSwapQuotes!$D$5</definedName>
    <definedName name="Permanent" localSheetId="46">EUR_020_SwapFromBasisQuotes!$D$5</definedName>
    <definedName name="Permanent" localSheetId="32">EUR_015_SyntheticQuotes!$D$5</definedName>
    <definedName name="Permanent" localSheetId="37">EUR_020_ForwardSwapQuotes!$D$5</definedName>
    <definedName name="Permanent" localSheetId="41">EUR_020_FuturesConvAdjQuotes!$D$5</definedName>
    <definedName name="Permanent" localSheetId="44">EUR_020_SwapFromBasisQuotes!$D$5</definedName>
    <definedName name="Permanent" localSheetId="33">EUR_015_SyntheticQuotes!$D$5</definedName>
    <definedName name="Permanent" localSheetId="38">EUR_020_ForwardSwapQuotes!$D$5</definedName>
    <definedName name="Permanent" localSheetId="45">EUR_020_SwapFromBasisQuotes!$D$5</definedName>
    <definedName name="Permanent" localSheetId="13">EUR_010_BasisSwapQuotes!$D$5</definedName>
    <definedName name="Permanent" localSheetId="14">EUR_010_BasisSwapQuotes!$D$5</definedName>
    <definedName name="Permanent" localSheetId="15">EUR_010_BasisSwapQuotes!$D$5</definedName>
    <definedName name="Permanent" localSheetId="17">EUR_010_DepoFRAFuturesQuotes!$D$5</definedName>
    <definedName name="Permanent" localSheetId="16">EUR_010_BasisSwapQuotes!$D$5</definedName>
    <definedName name="Permanent" localSheetId="23">EUR_010_DepoFRAFuturesQuotes!$D$5</definedName>
    <definedName name="Permanent" localSheetId="29">EUR_010_SwapQuotes!$D$5</definedName>
    <definedName name="Permanent" localSheetId="35">EUR_015_SyntheticQuotes!$D$5</definedName>
    <definedName name="Permanent" localSheetId="40">EUR_020_ForwardSwapQuotes!$D$5</definedName>
    <definedName name="Permanent" localSheetId="42">EUR_020_FuturesConvAdjQuotes!$D$5</definedName>
    <definedName name="Permanent" localSheetId="47">EUR_020_SwapFromBasisQuotes!$D$5</definedName>
    <definedName name="Permanent" localSheetId="2">'General Settings (2)'!$D$6</definedName>
    <definedName name="Permanent" localSheetId="3">'General Settings (2)'!$D$6</definedName>
    <definedName name="Permanent" localSheetId="6">'General Settings (2)'!$D$6</definedName>
    <definedName name="Permanent" localSheetId="4">'General Settings (2)'!$D$6</definedName>
    <definedName name="Permanent" localSheetId="5">'General Settings (2)'!$D$6</definedName>
    <definedName name="Permanent" localSheetId="12">EurLibor!$D$6</definedName>
    <definedName name="Permanent" localSheetId="18">EUR_010_DepoFRAFuturesQuotes!$D$5</definedName>
    <definedName name="Permanent" localSheetId="19">EUR_010_DepoFRAFuturesQuotes!$D$5</definedName>
    <definedName name="Permanent" localSheetId="20">EUR_010_DepoFRAFuturesQuotes!$D$5</definedName>
    <definedName name="Permanent" localSheetId="22">EUR_010_DepoFRAFuturesQuotes!$D$5</definedName>
    <definedName name="Permanent" localSheetId="7">'General Settings (2)'!$D$6</definedName>
    <definedName name="Permanent" localSheetId="21">EUR_010_DepoFRAFuturesQuotes!$D$5</definedName>
    <definedName name="Permanent" localSheetId="8">EurLibor!$D$6</definedName>
    <definedName name="Permanent" localSheetId="11">EurLibor!$D$6</definedName>
    <definedName name="Permanent" localSheetId="9">EurLibor!$D$6</definedName>
    <definedName name="Permanent" localSheetId="10">EurLibor!$D$6</definedName>
    <definedName name="Permanent" localSheetId="24">EUR_010_SwapQuotes!$D$5</definedName>
    <definedName name="Permanent" localSheetId="30">EUR_015_SyntheticQuotes!$D$5</definedName>
    <definedName name="Permanent" localSheetId="27">EUR_010_SwapQuotes!$D$5</definedName>
    <definedName name="Permanent" localSheetId="28">EUR_010_SwapQuotes!$D$5</definedName>
    <definedName name="Permanent" localSheetId="25">EUR_010_SwapQuotes!$D$5</definedName>
    <definedName name="Permanent" localSheetId="26">EUR_010_SwapQuotes!$D$5</definedName>
    <definedName name="Permanent">RelinkableHandles!$D$5</definedName>
    <definedName name="PriceTickValue" localSheetId="17">EUR_010_DepoFRAFuturesQuotes!$D$17</definedName>
    <definedName name="PriceTickValue" localSheetId="23">EUR_010_DepoFRAFuturesQuotes!$D$17</definedName>
    <definedName name="PriceTickValue" localSheetId="29">EUR_010_SwapQuotes!$D$17</definedName>
    <definedName name="PriceTickValue" localSheetId="40">EUR_020_ForwardSwapQuotes!$D$19</definedName>
    <definedName name="PriceTickValue" localSheetId="42">EUR_020_FuturesConvAdjQuotes!$D$18</definedName>
    <definedName name="PriceTickValue" localSheetId="47">EUR_020_SwapFromBasisQuotes!$D$17</definedName>
    <definedName name="PriceTickValue" localSheetId="18">EUR_010_DepoFRAFuturesQuotes!$D$17</definedName>
    <definedName name="PriceTickValue" localSheetId="19">EUR_010_DepoFRAFuturesQuotes!$D$17</definedName>
    <definedName name="PriceTickValue" localSheetId="20">EUR_010_DepoFRAFuturesQuotes!$D$17</definedName>
    <definedName name="PriceTickValue" localSheetId="22">EUR_010_DepoFRAFuturesQuotes!$D$17</definedName>
    <definedName name="PriceTickValue" localSheetId="21">EUR_010_DepoFRAFuturesQuotes!$D$17</definedName>
    <definedName name="PriceTickValue">EUR_010_BasisSwapQuotes!$D$17</definedName>
    <definedName name="Quote" localSheetId="58">'BasisSwap1MXM (2)'!$P$5:$P$42</definedName>
    <definedName name="Quote" localSheetId="59">'BasisSwap3M6M (2)'!$P$5:$P$42</definedName>
    <definedName name="Quote" localSheetId="60">'BasisSwapXM12M (2)'!$P$5:$P$42</definedName>
    <definedName name="Quote" localSheetId="48">'Deposits (2)'!$I$5:$I$22</definedName>
    <definedName name="Quote" localSheetId="62">ECBOIS!$P$5:$P$10</definedName>
    <definedName name="Quote" localSheetId="49">'FRA (2)'!$O$5:$O$33</definedName>
    <definedName name="Quote" localSheetId="50">'Futures1M (2)'!$Q$6:$Q$17</definedName>
    <definedName name="Quote" localSheetId="51">'Futures3M (2)'!$Q$6:$Q$47</definedName>
    <definedName name="Quote" localSheetId="53">FuturesConvexityAdjustment!$K$5:$K$6</definedName>
    <definedName name="Quote" localSheetId="52">ImmFra6M!$Q$6:$Q$9</definedName>
    <definedName name="Quote" localSheetId="61">'OIS (2)'!$P$5:$P$40</definedName>
    <definedName name="Quote" localSheetId="54">Swap1M!$P$5:$P$15</definedName>
    <definedName name="Quote" localSheetId="56">'Swap3M (2)'!$P$5:$P$42</definedName>
    <definedName name="Quote" localSheetId="57">'Swap6M (2)'!$P$5:$P$42</definedName>
    <definedName name="Quote" localSheetId="55">SwapIMMDated!$P$5:$P$11</definedName>
    <definedName name="QuoteLive" localSheetId="58">'BasisSwap1MXM (2)'!$K$5:$K$42</definedName>
    <definedName name="QuoteLive" localSheetId="59">'BasisSwap3M6M (2)'!$K$5:$K$42</definedName>
    <definedName name="QuoteLive" localSheetId="60">'BasisSwapXM12M (2)'!$K$5:$K$42</definedName>
    <definedName name="QuoteLive" localSheetId="48">'Deposits (2)'!$D$5:$D$22</definedName>
    <definedName name="QuoteLive" localSheetId="62">ECBOIS!$K$5:$K$10</definedName>
    <definedName name="QuoteLive" localSheetId="49">'FRA (2)'!$J$5:$J$33</definedName>
    <definedName name="QuoteLive" localSheetId="50">'Futures1M (2)'!$L$6:$L$17</definedName>
    <definedName name="QuoteLive" localSheetId="51">'Futures3M (2)'!$L$6:$L$47</definedName>
    <definedName name="QuoteLive" localSheetId="53">FuturesConvexityAdjustment!$F$5:$F$6</definedName>
    <definedName name="QuoteLive" localSheetId="52">ImmFra6M!$L$6:$L$9</definedName>
    <definedName name="QuoteLive" localSheetId="61">'OIS (2)'!$K$5:$K$40</definedName>
    <definedName name="QuoteLive" localSheetId="54">Swap1M!$K$5:$K$15</definedName>
    <definedName name="QuoteLive" localSheetId="56">'Swap3M (2)'!$K$5:$K$42</definedName>
    <definedName name="QuoteLive" localSheetId="57">'Swap6M (2)'!$K$5:$K$42</definedName>
    <definedName name="QuoteLive" localSheetId="55">SwapIMMDated!$K$5:$K$11</definedName>
    <definedName name="QuoteStatic" localSheetId="58">'BasisSwap1MXM (2)'!$M$5:$M$42</definedName>
    <definedName name="QuoteStatic" localSheetId="59">'BasisSwap3M6M (2)'!$M$5:$M$42</definedName>
    <definedName name="QuoteStatic" localSheetId="60">'BasisSwapXM12M (2)'!$M$5:$M$42</definedName>
    <definedName name="QuoteStatic" localSheetId="48">'Deposits (2)'!$F$5:$F$22</definedName>
    <definedName name="QuoteStatic" localSheetId="62">ECBOIS!$M$5:$M$10</definedName>
    <definedName name="QuoteStatic" localSheetId="49">'FRA (2)'!$L$5:$L$33</definedName>
    <definedName name="QuoteStatic" localSheetId="50">'Futures1M (2)'!$N$6:$N$17</definedName>
    <definedName name="QuoteStatic" localSheetId="51">'Futures3M (2)'!$N$6:$N$47</definedName>
    <definedName name="QuoteStatic" localSheetId="53">FuturesConvexityAdjustment!$H$5:$H$6</definedName>
    <definedName name="QuoteStatic" localSheetId="52">ImmFra6M!$N$6:$N$9</definedName>
    <definedName name="QuoteStatic" localSheetId="61">'OIS (2)'!$M$5:$M$40</definedName>
    <definedName name="QuoteStatic" localSheetId="54">Swap1M!$M$5:$M$15</definedName>
    <definedName name="QuoteStatic" localSheetId="56">'Swap3M (2)'!$M$5:$M$42</definedName>
    <definedName name="QuoteStatic" localSheetId="57">'Swap6M (2)'!$M$5:$M$42</definedName>
    <definedName name="QuoteStatic" localSheetId="55">SwapIMMDated!$M$5:$M$11</definedName>
    <definedName name="QuoteSuffix" localSheetId="31">EUR_015_SyntheticQuotes!$D$15</definedName>
    <definedName name="QuoteSuffix" localSheetId="36">EUR_020_ForwardSwapQuotes!$D$17</definedName>
    <definedName name="QuoteSuffix" localSheetId="43">EUR_020_SwapFromBasisQuotes!$D$15</definedName>
    <definedName name="QuoteSuffix" localSheetId="34">EUR_015_SyntheticQuotes!$D$15</definedName>
    <definedName name="QuoteSuffix" localSheetId="39">EUR_020_ForwardSwapQuotes!$D$17</definedName>
    <definedName name="QuoteSuffix" localSheetId="46">EUR_020_SwapFromBasisQuotes!$D$15</definedName>
    <definedName name="QuoteSuffix" localSheetId="32">EUR_015_SyntheticQuotes!$D$15</definedName>
    <definedName name="QuoteSuffix" localSheetId="37">EUR_020_ForwardSwapQuotes!$D$17</definedName>
    <definedName name="QuoteSuffix" localSheetId="41">EUR_020_FuturesConvAdjQuotes!$D$16</definedName>
    <definedName name="QuoteSuffix" localSheetId="44">EUR_020_SwapFromBasisQuotes!$D$15</definedName>
    <definedName name="QuoteSuffix" localSheetId="33">EUR_015_SyntheticQuotes!$D$15</definedName>
    <definedName name="QuoteSuffix" localSheetId="38">EUR_020_ForwardSwapQuotes!$D$17</definedName>
    <definedName name="QuoteSuffix" localSheetId="45">EUR_020_SwapFromBasisQuotes!$D$15</definedName>
    <definedName name="QuoteSuffix" localSheetId="17">EUR_010_DepoFRAFuturesQuotes!$D$15</definedName>
    <definedName name="QuoteSuffix" localSheetId="23">EUR_010_DepoFRAFuturesQuotes!$D$15</definedName>
    <definedName name="QuoteSuffix" localSheetId="29">EUR_010_SwapQuotes!$D$15</definedName>
    <definedName name="QuoteSuffix" localSheetId="35">EUR_015_SyntheticQuotes!$D$15</definedName>
    <definedName name="QuoteSuffix" localSheetId="40">EUR_020_ForwardSwapQuotes!$D$17</definedName>
    <definedName name="QuoteSuffix" localSheetId="42">EUR_020_FuturesConvAdjQuotes!$D$16</definedName>
    <definedName name="QuoteSuffix" localSheetId="47">EUR_020_SwapFromBasisQuotes!$D$15</definedName>
    <definedName name="QuoteSuffix" localSheetId="18">EUR_010_DepoFRAFuturesQuotes!$D$15</definedName>
    <definedName name="QuoteSuffix" localSheetId="19">EUR_010_DepoFRAFuturesQuotes!$D$15</definedName>
    <definedName name="QuoteSuffix" localSheetId="20">EUR_010_DepoFRAFuturesQuotes!$D$15</definedName>
    <definedName name="QuoteSuffix" localSheetId="22">EUR_010_DepoFRAFuturesQuotes!$D$15</definedName>
    <definedName name="QuoteSuffix" localSheetId="21">EUR_010_DepoFRAFuturesQuotes!$D$15</definedName>
    <definedName name="QuoteSuffix" localSheetId="24">EUR_010_SwapQuotes!$D$15</definedName>
    <definedName name="QuoteSuffix" localSheetId="30">EUR_015_SyntheticQuotes!$D$15</definedName>
    <definedName name="QuoteSuffix" localSheetId="27">EUR_010_SwapQuotes!$D$15</definedName>
    <definedName name="QuoteSuffix" localSheetId="28">EUR_010_SwapQuotes!$D$15</definedName>
    <definedName name="QuoteSuffix" localSheetId="25">EUR_010_SwapQuotes!$D$15</definedName>
    <definedName name="QuoteSuffix" localSheetId="26">EUR_010_SwapQuotes!$D$15</definedName>
    <definedName name="QuoteSuffix">EUR_010_BasisSwapQuotes!$D$15</definedName>
    <definedName name="RateTickValue" localSheetId="31">EUR_015_SyntheticQuotes!$D$16</definedName>
    <definedName name="RateTickValue" localSheetId="34">EUR_015_SyntheticQuotes!$D$16</definedName>
    <definedName name="RateTickValue" localSheetId="32">EUR_015_SyntheticQuotes!$D$16</definedName>
    <definedName name="RateTickValue" localSheetId="33">EUR_015_SyntheticQuotes!$D$16</definedName>
    <definedName name="RateTickValue" localSheetId="17">EUR_010_DepoFRAFuturesQuotes!$D$16</definedName>
    <definedName name="RateTickValue" localSheetId="23">EUR_010_DepoFRAFuturesQuotes!$D$16</definedName>
    <definedName name="RateTickValue" localSheetId="29">EUR_010_SwapQuotes!$D$16</definedName>
    <definedName name="RateTickValue" localSheetId="35">EUR_015_SyntheticQuotes!$D$16</definedName>
    <definedName name="RateTickValue" localSheetId="40">EUR_020_ForwardSwapQuotes!$D$18</definedName>
    <definedName name="RateTickValue" localSheetId="42">EUR_020_FuturesConvAdjQuotes!$D$17</definedName>
    <definedName name="RateTickValue" localSheetId="47">EUR_020_SwapFromBasisQuotes!$D$16</definedName>
    <definedName name="RateTickValue" localSheetId="18">EUR_010_DepoFRAFuturesQuotes!$D$16</definedName>
    <definedName name="RateTickValue" localSheetId="19">EUR_010_DepoFRAFuturesQuotes!$D$16</definedName>
    <definedName name="RateTickValue" localSheetId="20">EUR_010_DepoFRAFuturesQuotes!$D$16</definedName>
    <definedName name="RateTickValue" localSheetId="22">EUR_010_DepoFRAFuturesQuotes!$D$16</definedName>
    <definedName name="RateTickValue" localSheetId="21">EUR_010_DepoFRAFuturesQuotes!$D$16</definedName>
    <definedName name="RateTickValue" localSheetId="24">EUR_010_SwapQuotes!$D$16</definedName>
    <definedName name="RateTickValue" localSheetId="30">EUR_015_SyntheticQuotes!$D$16</definedName>
    <definedName name="RateTickValue" localSheetId="27">EUR_010_SwapQuotes!$D$16</definedName>
    <definedName name="RateTickValue" localSheetId="28">EUR_010_SwapQuotes!$D$16</definedName>
    <definedName name="RateTickValue" localSheetId="25">EUR_010_SwapQuotes!$D$16</definedName>
    <definedName name="RateTickValue" localSheetId="26">EUR_010_SwapQuotes!$D$16</definedName>
    <definedName name="RateTickValue">EUR_010_BasisSwapQuotes!$D$16</definedName>
    <definedName name="ReutersRtMode">'General Settings'!$D$6</definedName>
    <definedName name="SA_TWEAK" localSheetId="48">'Deposits (2)'!$A$25</definedName>
    <definedName name="SerializationPath" localSheetId="31">EUR_015_SyntheticQuotes!$D$8</definedName>
    <definedName name="SerializationPath" localSheetId="36">EUR_020_ForwardSwapQuotes!$D$8</definedName>
    <definedName name="SerializationPath" localSheetId="43">EUR_020_SwapFromBasisQuotes!$D$8</definedName>
    <definedName name="SerializationPath" localSheetId="34">EUR_015_SyntheticQuotes!$D$8</definedName>
    <definedName name="SerializationPath" localSheetId="39">EUR_020_ForwardSwapQuotes!$D$8</definedName>
    <definedName name="SerializationPath" localSheetId="46">EUR_020_SwapFromBasisQuotes!$D$8</definedName>
    <definedName name="SerializationPath" localSheetId="32">EUR_015_SyntheticQuotes!$D$8</definedName>
    <definedName name="SerializationPath" localSheetId="37">EUR_020_ForwardSwapQuotes!$D$8</definedName>
    <definedName name="SerializationPath" localSheetId="41">EUR_020_FuturesConvAdjQuotes!$D$8</definedName>
    <definedName name="SerializationPath" localSheetId="44">EUR_020_SwapFromBasisQuotes!$D$8</definedName>
    <definedName name="SerializationPath" localSheetId="33">EUR_015_SyntheticQuotes!$D$8</definedName>
    <definedName name="SerializationPath" localSheetId="38">EUR_020_ForwardSwapQuotes!$D$8</definedName>
    <definedName name="SerializationPath" localSheetId="45">EUR_020_SwapFromBasisQuotes!$D$8</definedName>
    <definedName name="SerializationPath" localSheetId="13">EUR_010_BasisSwapQuotes!$D$8</definedName>
    <definedName name="SerializationPath" localSheetId="14">EUR_010_BasisSwapQuotes!$D$8</definedName>
    <definedName name="SerializationPath" localSheetId="15">EUR_010_BasisSwapQuotes!$D$8</definedName>
    <definedName name="SerializationPath" localSheetId="17">EUR_010_DepoFRAFuturesQuotes!$D$8</definedName>
    <definedName name="SerializationPath" localSheetId="16">EUR_010_BasisSwapQuotes!$D$8</definedName>
    <definedName name="SerializationPath" localSheetId="23">EUR_010_DepoFRAFuturesQuotes!$D$8</definedName>
    <definedName name="SerializationPath" localSheetId="29">EUR_010_SwapQuotes!$D$8</definedName>
    <definedName name="SerializationPath" localSheetId="35">EUR_015_SyntheticQuotes!$D$8</definedName>
    <definedName name="SerializationPath" localSheetId="40">EUR_020_ForwardSwapQuotes!$D$8</definedName>
    <definedName name="SerializationPath" localSheetId="42">EUR_020_FuturesConvAdjQuotes!$D$8</definedName>
    <definedName name="SerializationPath" localSheetId="47">EUR_020_SwapFromBasisQuotes!$D$8</definedName>
    <definedName name="SerializationPath" localSheetId="2">'General Settings (2)'!$D$9</definedName>
    <definedName name="SerializationPath" localSheetId="3">'General Settings (2)'!$D$9</definedName>
    <definedName name="SerializationPath" localSheetId="6">'General Settings (2)'!$D$9</definedName>
    <definedName name="SerializationPath" localSheetId="4">'General Settings (2)'!$D$9</definedName>
    <definedName name="SerializationPath" localSheetId="5">'General Settings (2)'!$D$9</definedName>
    <definedName name="SerializationPath" localSheetId="12">EurLibor!$D$9</definedName>
    <definedName name="SerializationPath" localSheetId="18">EUR_010_DepoFRAFuturesQuotes!$D$8</definedName>
    <definedName name="SerializationPath" localSheetId="19">EUR_010_DepoFRAFuturesQuotes!$D$8</definedName>
    <definedName name="SerializationPath" localSheetId="20">EUR_010_DepoFRAFuturesQuotes!$D$8</definedName>
    <definedName name="SerializationPath" localSheetId="22">EUR_010_DepoFRAFuturesQuotes!$D$8</definedName>
    <definedName name="SerializationPath" localSheetId="7">'General Settings (2)'!$D$9</definedName>
    <definedName name="SerializationPath" localSheetId="21">EUR_010_DepoFRAFuturesQuotes!$D$8</definedName>
    <definedName name="SerializationPath" localSheetId="8">EurLibor!$D$9</definedName>
    <definedName name="SerializationPath" localSheetId="11">EurLibor!$D$9</definedName>
    <definedName name="SerializationPath" localSheetId="9">EurLibor!$D$9</definedName>
    <definedName name="SerializationPath" localSheetId="10">EurLibor!$D$9</definedName>
    <definedName name="SerializationPath" localSheetId="24">EUR_010_SwapQuotes!$D$8</definedName>
    <definedName name="SerializationPath" localSheetId="30">EUR_015_SyntheticQuotes!$D$8</definedName>
    <definedName name="SerializationPath" localSheetId="27">EUR_010_SwapQuotes!$D$8</definedName>
    <definedName name="SerializationPath" localSheetId="28">EUR_010_SwapQuotes!$D$8</definedName>
    <definedName name="SerializationPath" localSheetId="25">EUR_010_SwapQuotes!$D$8</definedName>
    <definedName name="SerializationPath" localSheetId="26">EUR_010_SwapQuotes!$D$8</definedName>
    <definedName name="SerializationPath">RelinkableHandles!$D$8</definedName>
    <definedName name="Serialize" localSheetId="31">EUR_015_SyntheticQuotes!$D$7</definedName>
    <definedName name="Serialize" localSheetId="36">EUR_020_ForwardSwapQuotes!$D$7</definedName>
    <definedName name="Serialize" localSheetId="43">EUR_020_SwapFromBasisQuotes!$D$7</definedName>
    <definedName name="Serialize" localSheetId="34">EUR_015_SyntheticQuotes!$D$7</definedName>
    <definedName name="Serialize" localSheetId="39">EUR_020_ForwardSwapQuotes!$D$7</definedName>
    <definedName name="Serialize" localSheetId="46">EUR_020_SwapFromBasisQuotes!$D$7</definedName>
    <definedName name="Serialize" localSheetId="32">EUR_015_SyntheticQuotes!$D$7</definedName>
    <definedName name="Serialize" localSheetId="37">EUR_020_ForwardSwapQuotes!$D$7</definedName>
    <definedName name="Serialize" localSheetId="41">EUR_020_FuturesConvAdjQuotes!$D$7</definedName>
    <definedName name="Serialize" localSheetId="44">EUR_020_SwapFromBasisQuotes!$D$7</definedName>
    <definedName name="Serialize" localSheetId="33">EUR_015_SyntheticQuotes!$D$7</definedName>
    <definedName name="Serialize" localSheetId="38">EUR_020_ForwardSwapQuotes!$D$7</definedName>
    <definedName name="Serialize" localSheetId="45">EUR_020_SwapFromBasisQuotes!$D$7</definedName>
    <definedName name="Serialize" localSheetId="13">EUR_010_BasisSwapQuotes!$D$7</definedName>
    <definedName name="Serialize" localSheetId="14">EUR_010_BasisSwapQuotes!$D$7</definedName>
    <definedName name="Serialize" localSheetId="15">EUR_010_BasisSwapQuotes!$D$7</definedName>
    <definedName name="Serialize" localSheetId="17">EUR_010_DepoFRAFuturesQuotes!$D$7</definedName>
    <definedName name="Serialize" localSheetId="16">EUR_010_BasisSwapQuotes!$D$7</definedName>
    <definedName name="Serialize" localSheetId="23">EUR_010_DepoFRAFuturesQuotes!$D$7</definedName>
    <definedName name="Serialize" localSheetId="29">EUR_010_SwapQuotes!$D$7</definedName>
    <definedName name="Serialize" localSheetId="35">EUR_015_SyntheticQuotes!$D$7</definedName>
    <definedName name="Serialize" localSheetId="40">EUR_020_ForwardSwapQuotes!$D$7</definedName>
    <definedName name="Serialize" localSheetId="42">EUR_020_FuturesConvAdjQuotes!$D$7</definedName>
    <definedName name="Serialize" localSheetId="47">EUR_020_SwapFromBasisQuotes!$D$7</definedName>
    <definedName name="Serialize" localSheetId="2">'General Settings (2)'!$D$8</definedName>
    <definedName name="Serialize" localSheetId="3">'General Settings (2)'!$D$8</definedName>
    <definedName name="Serialize" localSheetId="6">'General Settings (2)'!$D$8</definedName>
    <definedName name="Serialize" localSheetId="4">'General Settings (2)'!$D$8</definedName>
    <definedName name="Serialize" localSheetId="5">'General Settings (2)'!$D$8</definedName>
    <definedName name="Serialize" localSheetId="12">EurLibor!$D$8</definedName>
    <definedName name="Serialize" localSheetId="18">EUR_010_DepoFRAFuturesQuotes!$D$7</definedName>
    <definedName name="Serialize" localSheetId="19">EUR_010_DepoFRAFuturesQuotes!$D$7</definedName>
    <definedName name="Serialize" localSheetId="20">EUR_010_DepoFRAFuturesQuotes!$D$7</definedName>
    <definedName name="Serialize" localSheetId="22">EUR_010_DepoFRAFuturesQuotes!$D$7</definedName>
    <definedName name="Serialize" localSheetId="7">'General Settings (2)'!$D$8</definedName>
    <definedName name="Serialize" localSheetId="21">EUR_010_DepoFRAFuturesQuotes!$D$7</definedName>
    <definedName name="Serialize" localSheetId="8">EurLibor!$D$8</definedName>
    <definedName name="Serialize" localSheetId="11">EurLibor!$D$8</definedName>
    <definedName name="Serialize" localSheetId="9">EurLibor!$D$8</definedName>
    <definedName name="Serialize" localSheetId="10">EurLibor!$D$8</definedName>
    <definedName name="Serialize" localSheetId="24">EUR_010_SwapQuotes!$D$7</definedName>
    <definedName name="Serialize" localSheetId="30">EUR_015_SyntheticQuotes!$D$7</definedName>
    <definedName name="Serialize" localSheetId="27">EUR_010_SwapQuotes!$D$7</definedName>
    <definedName name="Serialize" localSheetId="28">EUR_010_SwapQuotes!$D$7</definedName>
    <definedName name="Serialize" localSheetId="25">EUR_010_SwapQuotes!$D$7</definedName>
    <definedName name="Serialize" localSheetId="26">EUR_010_SwapQuotes!$D$7</definedName>
    <definedName name="Serialize">RelinkableHandles!$D$7</definedName>
    <definedName name="Swap3M4Y">'Swap3M (2)'!$P$12</definedName>
    <definedName name="Swap6M4Y">'Swap6M (2)'!$P$12</definedName>
    <definedName name="SwapMainSetConventions">Swap3M!$J$3:$L$7</definedName>
    <definedName name="SwapSecondarySetConventions">Swap6M!$J$3:$L$7</definedName>
    <definedName name="Tenor" localSheetId="31">'1M'!$C$1</definedName>
    <definedName name="Tenor" localSheetId="34">'1Y'!$C$1</definedName>
    <definedName name="Tenor" localSheetId="32">'3M'!$C$1</definedName>
    <definedName name="Tenor" localSheetId="33">'6M'!$C$1</definedName>
    <definedName name="Tenor" localSheetId="30">ON!$C$1</definedName>
    <definedName name="Trigger" localSheetId="31">EUR_015_SyntheticQuotes!$D$4</definedName>
    <definedName name="Trigger" localSheetId="36">EUR_020_ForwardSwapQuotes!$D$4</definedName>
    <definedName name="Trigger" localSheetId="43">EUR_020_SwapFromBasisQuotes!$D$4</definedName>
    <definedName name="Trigger" localSheetId="34">EUR_015_SyntheticQuotes!$D$4</definedName>
    <definedName name="Trigger" localSheetId="39">EUR_020_ForwardSwapQuotes!$D$4</definedName>
    <definedName name="Trigger" localSheetId="46">EUR_020_SwapFromBasisQuotes!$D$4</definedName>
    <definedName name="Trigger" localSheetId="32">EUR_015_SyntheticQuotes!$D$4</definedName>
    <definedName name="Trigger" localSheetId="37">EUR_020_ForwardSwapQuotes!$D$4</definedName>
    <definedName name="Trigger" localSheetId="41">EUR_020_FuturesConvAdjQuotes!$D$4</definedName>
    <definedName name="Trigger" localSheetId="44">EUR_020_SwapFromBasisQuotes!$D$4</definedName>
    <definedName name="Trigger" localSheetId="33">EUR_015_SyntheticQuotes!$D$4</definedName>
    <definedName name="Trigger" localSheetId="38">EUR_020_ForwardSwapQuotes!$D$4</definedName>
    <definedName name="Trigger" localSheetId="45">EUR_020_SwapFromBasisQuotes!$D$4</definedName>
    <definedName name="Trigger" localSheetId="13">EUR_010_BasisSwapQuotes!$D$4</definedName>
    <definedName name="Trigger" localSheetId="58">'General Settings'!$D$5</definedName>
    <definedName name="Trigger" localSheetId="14">EUR_010_BasisSwapQuotes!$D$4</definedName>
    <definedName name="Trigger" localSheetId="59">'General Settings'!$D$5</definedName>
    <definedName name="Trigger" localSheetId="15">EUR_010_BasisSwapQuotes!$D$4</definedName>
    <definedName name="Trigger" localSheetId="60">'General Settings'!$D$5</definedName>
    <definedName name="Trigger" localSheetId="17">EUR_010_DepoFRAFuturesQuotes!$D$4</definedName>
    <definedName name="Trigger" localSheetId="48">'General Settings'!$D$5</definedName>
    <definedName name="Trigger" localSheetId="62">'General Settings'!$D$5</definedName>
    <definedName name="Trigger" localSheetId="16">EUR_010_BasisSwapQuotes!$D$4</definedName>
    <definedName name="Trigger" localSheetId="23">EUR_010_DepoFRAFuturesQuotes!$D$4</definedName>
    <definedName name="Trigger" localSheetId="29">EUR_010_SwapQuotes!$D$4</definedName>
    <definedName name="Trigger" localSheetId="35">EUR_015_SyntheticQuotes!$D$4</definedName>
    <definedName name="Trigger" localSheetId="40">EUR_020_ForwardSwapQuotes!$D$4</definedName>
    <definedName name="Trigger" localSheetId="42">EUR_020_FuturesConvAdjQuotes!$D$4</definedName>
    <definedName name="Trigger" localSheetId="47">EUR_020_SwapFromBasisQuotes!$D$4</definedName>
    <definedName name="Trigger" localSheetId="2">'General Settings (2)'!$D$4</definedName>
    <definedName name="Trigger" localSheetId="3">'General Settings (2)'!$D$4</definedName>
    <definedName name="Trigger" localSheetId="6">'General Settings (2)'!$D$4</definedName>
    <definedName name="Trigger" localSheetId="4">'General Settings (2)'!$D$4</definedName>
    <definedName name="Trigger" localSheetId="5">'General Settings (2)'!$D$4</definedName>
    <definedName name="Trigger" localSheetId="12">EurLibor!$D$4</definedName>
    <definedName name="Trigger" localSheetId="18">EUR_010_DepoFRAFuturesQuotes!$D$4</definedName>
    <definedName name="Trigger" localSheetId="49">'General Settings'!$D$5</definedName>
    <definedName name="Trigger" localSheetId="19">EUR_010_DepoFRAFuturesQuotes!$D$4</definedName>
    <definedName name="Trigger" localSheetId="50">'General Settings'!$D$5</definedName>
    <definedName name="Trigger" localSheetId="20">EUR_010_DepoFRAFuturesQuotes!$D$4</definedName>
    <definedName name="Trigger" localSheetId="51">'General Settings'!$D$5</definedName>
    <definedName name="Trigger" localSheetId="53">'General Settings'!$D$5</definedName>
    <definedName name="Trigger" localSheetId="22">EUR_010_DepoFRAFuturesQuotes!$D$4</definedName>
    <definedName name="Trigger" localSheetId="63">'General Settings'!$D$5</definedName>
    <definedName name="Trigger" localSheetId="7">'General Settings (2)'!$D$4</definedName>
    <definedName name="Trigger" localSheetId="52">'General Settings'!$D$5</definedName>
    <definedName name="Trigger" localSheetId="21">EUR_010_DepoFRAFuturesQuotes!$D$4</definedName>
    <definedName name="Trigger" localSheetId="8">EurLibor!$D$4</definedName>
    <definedName name="Trigger" localSheetId="11">EurLibor!$D$4</definedName>
    <definedName name="Trigger" localSheetId="9">EurLibor!$D$4</definedName>
    <definedName name="Trigger" localSheetId="10">EurLibor!$D$4</definedName>
    <definedName name="Trigger" localSheetId="24">EUR_010_SwapQuotes!$D$4</definedName>
    <definedName name="Trigger" localSheetId="61">'General Settings'!$D$5</definedName>
    <definedName name="Trigger" localSheetId="30">EUR_015_SyntheticQuotes!$D$4</definedName>
    <definedName name="Trigger" localSheetId="54">'General Settings'!$D$5</definedName>
    <definedName name="Trigger" localSheetId="27">EUR_010_SwapQuotes!$D$4</definedName>
    <definedName name="Trigger" localSheetId="56">'General Settings'!$D$5</definedName>
    <definedName name="Trigger" localSheetId="28">EUR_010_SwapQuotes!$D$4</definedName>
    <definedName name="Trigger" localSheetId="57">'General Settings'!$D$5</definedName>
    <definedName name="Trigger" localSheetId="55">'General Settings'!$D$5</definedName>
    <definedName name="Trigger" localSheetId="25">EUR_010_SwapQuotes!$D$4</definedName>
    <definedName name="Trigger" localSheetId="26">EUR_010_SwapQuotes!$D$4</definedName>
    <definedName name="Trigger">RelinkableHandles!$D$4</definedName>
    <definedName name="TriggerCounter">'General Settings'!$D$7</definedName>
    <definedName name="TriggerTOY1MFUT">[1]SpecialTriggers!#REF!</definedName>
    <definedName name="Volatility" localSheetId="41">'3M (3)'!$F$2</definedName>
  </definedNames>
  <calcPr calcId="145621"/>
</workbook>
</file>

<file path=xl/calcChain.xml><?xml version="1.0" encoding="utf-8"?>
<calcChain xmlns="http://schemas.openxmlformats.org/spreadsheetml/2006/main">
  <c r="Q5" i="65" l="1"/>
  <c r="Q13" i="65"/>
  <c r="Q21" i="65"/>
  <c r="Q29" i="65"/>
  <c r="Q37" i="65"/>
  <c r="Q20" i="65"/>
  <c r="Q6" i="65"/>
  <c r="Q14" i="65"/>
  <c r="Q22" i="65"/>
  <c r="Q30" i="65"/>
  <c r="Q38" i="65"/>
  <c r="Q15" i="65"/>
  <c r="Q23" i="65"/>
  <c r="Q31" i="65"/>
  <c r="Q39" i="65"/>
  <c r="Q8" i="65"/>
  <c r="Q16" i="65"/>
  <c r="Q24" i="65"/>
  <c r="Q32" i="65"/>
  <c r="Q40" i="65"/>
  <c r="Q25" i="65"/>
  <c r="Q10" i="65"/>
  <c r="Q34" i="65"/>
  <c r="Q35" i="65"/>
  <c r="Q36" i="65"/>
  <c r="Q7" i="65"/>
  <c r="Q33" i="65"/>
  <c r="Q26" i="65"/>
  <c r="Q19" i="65"/>
  <c r="Q12" i="65"/>
  <c r="Q9" i="65"/>
  <c r="Q17" i="65"/>
  <c r="Q18" i="65"/>
  <c r="Q11" i="65"/>
  <c r="Q27" i="65"/>
  <c r="Q28" i="65"/>
  <c r="J14" i="52"/>
  <c r="J7" i="52"/>
  <c r="J15" i="52"/>
  <c r="J8" i="52"/>
  <c r="J16" i="52"/>
  <c r="J9" i="52"/>
  <c r="J17" i="52"/>
  <c r="J10" i="52"/>
  <c r="J18" i="52"/>
  <c r="J11" i="52"/>
  <c r="J19" i="52"/>
  <c r="J12" i="52"/>
  <c r="J20" i="52"/>
  <c r="J5" i="52"/>
  <c r="J13" i="52"/>
  <c r="J21" i="52"/>
  <c r="J6" i="52"/>
  <c r="J22" i="52"/>
  <c r="I5" i="52" l="1" a="1"/>
  <c r="I6" i="52" s="1"/>
  <c r="I13" i="52" l="1"/>
  <c r="I20" i="52"/>
  <c r="I19" i="52"/>
  <c r="I18" i="52"/>
  <c r="I17" i="52"/>
  <c r="I8" i="52"/>
  <c r="I21" i="52"/>
  <c r="I5" i="52"/>
  <c r="I12" i="52"/>
  <c r="I11" i="52"/>
  <c r="I10" i="52"/>
  <c r="I9" i="52"/>
  <c r="I16" i="52"/>
  <c r="I15" i="52"/>
  <c r="I7" i="52"/>
  <c r="I22" i="52"/>
  <c r="I14" i="52"/>
  <c r="D11" i="67"/>
  <c r="E5" i="66"/>
  <c r="K5" i="66"/>
  <c r="O5" i="66"/>
  <c r="E6" i="66"/>
  <c r="K6" i="66"/>
  <c r="O6" i="66"/>
  <c r="B1" i="67"/>
  <c r="F4" i="66"/>
  <c r="E7" i="66" l="1"/>
  <c r="K7" i="66"/>
  <c r="O7" i="66"/>
  <c r="E8" i="66" l="1"/>
  <c r="K8" i="66"/>
  <c r="O8" i="66"/>
  <c r="E9" i="66" l="1"/>
  <c r="K9" i="66"/>
  <c r="O9" i="66"/>
  <c r="E10" i="66" l="1"/>
  <c r="F5" i="66" s="1" a="1"/>
  <c r="K10" i="66"/>
  <c r="P5" i="66" s="1" a="1"/>
  <c r="O10" i="66"/>
  <c r="F4" i="65"/>
  <c r="P5" i="66" l="1"/>
  <c r="P9" i="66"/>
  <c r="P10" i="66"/>
  <c r="P7" i="66"/>
  <c r="P8" i="66"/>
  <c r="P6" i="66"/>
  <c r="F5" i="66"/>
  <c r="F6" i="66"/>
  <c r="F7" i="66"/>
  <c r="F8" i="66"/>
  <c r="F9" i="66"/>
  <c r="F10" i="66"/>
  <c r="E5" i="65"/>
  <c r="F5" i="65" s="1"/>
  <c r="K5" i="65"/>
  <c r="Q9" i="66"/>
  <c r="Q5" i="66"/>
  <c r="Q10" i="66"/>
  <c r="Q7" i="66"/>
  <c r="Q8" i="66"/>
  <c r="Q6" i="66"/>
  <c r="O5" i="65" l="1"/>
  <c r="E6" i="65"/>
  <c r="O6" i="65" s="1"/>
  <c r="K6" i="65"/>
  <c r="F6" i="65" l="1"/>
  <c r="E7" i="65"/>
  <c r="F7" i="65" s="1"/>
  <c r="K7" i="65"/>
  <c r="O7" i="65" l="1"/>
  <c r="E8" i="65"/>
  <c r="O8" i="65" s="1"/>
  <c r="K8" i="65"/>
  <c r="F8" i="65" l="1"/>
  <c r="E9" i="65"/>
  <c r="F9" i="65" s="1"/>
  <c r="K9" i="65"/>
  <c r="O9" i="65" l="1"/>
  <c r="E10" i="65"/>
  <c r="F10" i="65" s="1"/>
  <c r="K10" i="65"/>
  <c r="O10" i="65" l="1"/>
  <c r="E11" i="65"/>
  <c r="F11" i="65" s="1"/>
  <c r="K11" i="65"/>
  <c r="O11" i="65" l="1"/>
  <c r="E12" i="65"/>
  <c r="F12" i="65" s="1"/>
  <c r="K12" i="65"/>
  <c r="O12" i="65" l="1"/>
  <c r="E13" i="65"/>
  <c r="F13" i="65" s="1"/>
  <c r="K13" i="65"/>
  <c r="O13" i="65" l="1"/>
  <c r="E14" i="65"/>
  <c r="F14" i="65" s="1"/>
  <c r="K14" i="65"/>
  <c r="O14" i="65" l="1"/>
  <c r="E15" i="65"/>
  <c r="F15" i="65" s="1"/>
  <c r="K15" i="65"/>
  <c r="O15" i="65" l="1"/>
  <c r="E16" i="65"/>
  <c r="F16" i="65" s="1"/>
  <c r="K16" i="65"/>
  <c r="O16" i="65" l="1"/>
  <c r="E17" i="65"/>
  <c r="F17" i="65" s="1"/>
  <c r="K17" i="65"/>
  <c r="O17" i="65" l="1"/>
  <c r="E18" i="65"/>
  <c r="F18" i="65" s="1"/>
  <c r="K18" i="65"/>
  <c r="O18" i="65" l="1"/>
  <c r="E19" i="65"/>
  <c r="F19" i="65" s="1"/>
  <c r="K19" i="65"/>
  <c r="O19" i="65" l="1"/>
  <c r="E20" i="65"/>
  <c r="F20" i="65" s="1"/>
  <c r="K20" i="65"/>
  <c r="O20" i="65" l="1"/>
  <c r="E21" i="65"/>
  <c r="F21" i="65" s="1"/>
  <c r="K21" i="65"/>
  <c r="O21" i="65" l="1"/>
  <c r="E22" i="65"/>
  <c r="F22" i="65" s="1"/>
  <c r="K22" i="65"/>
  <c r="O22" i="65" l="1"/>
  <c r="E23" i="65"/>
  <c r="F23" i="65" s="1"/>
  <c r="K23" i="65"/>
  <c r="O23" i="65" l="1"/>
  <c r="E24" i="65"/>
  <c r="F24" i="65" s="1"/>
  <c r="K24" i="65"/>
  <c r="O24" i="65" l="1"/>
  <c r="E25" i="65"/>
  <c r="F25" i="65" s="1"/>
  <c r="K25" i="65"/>
  <c r="O25" i="65" l="1"/>
  <c r="E26" i="65"/>
  <c r="F26" i="65" s="1"/>
  <c r="K26" i="65"/>
  <c r="O26" i="65" l="1"/>
  <c r="E27" i="65"/>
  <c r="F27" i="65" s="1"/>
  <c r="K27" i="65"/>
  <c r="O27" i="65" l="1"/>
  <c r="E28" i="65"/>
  <c r="F28" i="65" s="1"/>
  <c r="K28" i="65"/>
  <c r="O28" i="65" l="1"/>
  <c r="E29" i="65"/>
  <c r="F29" i="65" s="1"/>
  <c r="K29" i="65"/>
  <c r="O29" i="65" l="1"/>
  <c r="E30" i="65"/>
  <c r="F30" i="65" s="1"/>
  <c r="K30" i="65"/>
  <c r="O30" i="65" l="1"/>
  <c r="E31" i="65"/>
  <c r="F31" i="65" s="1"/>
  <c r="K31" i="65"/>
  <c r="O31" i="65" l="1"/>
  <c r="E32" i="65"/>
  <c r="F32" i="65" s="1"/>
  <c r="K32" i="65"/>
  <c r="O32" i="65" l="1"/>
  <c r="E33" i="65"/>
  <c r="F33" i="65" s="1"/>
  <c r="K33" i="65"/>
  <c r="O33" i="65" l="1"/>
  <c r="E34" i="65"/>
  <c r="F34" i="65" s="1"/>
  <c r="K34" i="65"/>
  <c r="O34" i="65" l="1"/>
  <c r="E35" i="65"/>
  <c r="F35" i="65" s="1"/>
  <c r="K35" i="65"/>
  <c r="O35" i="65" l="1"/>
  <c r="E36" i="65"/>
  <c r="F36" i="65" s="1"/>
  <c r="K36" i="65"/>
  <c r="O36" i="65" l="1"/>
  <c r="E37" i="65"/>
  <c r="F37" i="65" s="1"/>
  <c r="K37" i="65"/>
  <c r="O37" i="65" l="1"/>
  <c r="E38" i="65"/>
  <c r="F38" i="65" s="1"/>
  <c r="K38" i="65"/>
  <c r="O38" i="65" l="1"/>
  <c r="E39" i="65"/>
  <c r="F39" i="65" s="1"/>
  <c r="K39" i="65"/>
  <c r="O39" i="65" l="1"/>
  <c r="E40" i="65"/>
  <c r="F40" i="65" s="1"/>
  <c r="K40" i="65"/>
  <c r="P5" i="65" s="1" a="1"/>
  <c r="F4" i="64"/>
  <c r="P5" i="65" l="1"/>
  <c r="P20" i="65"/>
  <c r="P27" i="65"/>
  <c r="P14" i="65"/>
  <c r="P24" i="65"/>
  <c r="P29" i="65"/>
  <c r="P19" i="65"/>
  <c r="P34" i="65"/>
  <c r="P6" i="65"/>
  <c r="P16" i="65"/>
  <c r="P21" i="65"/>
  <c r="P18" i="65"/>
  <c r="P10" i="65"/>
  <c r="P36" i="65"/>
  <c r="P39" i="65"/>
  <c r="P13" i="65"/>
  <c r="P25" i="65"/>
  <c r="P8" i="65"/>
  <c r="P35" i="65"/>
  <c r="P23" i="65"/>
  <c r="P17" i="65"/>
  <c r="P38" i="65"/>
  <c r="P11" i="65"/>
  <c r="P15" i="65"/>
  <c r="P33" i="65"/>
  <c r="P32" i="65"/>
  <c r="P9" i="65"/>
  <c r="P31" i="65"/>
  <c r="P28" i="65"/>
  <c r="P7" i="65"/>
  <c r="P40" i="65"/>
  <c r="P37" i="65"/>
  <c r="P30" i="65"/>
  <c r="P22" i="65"/>
  <c r="P12" i="65"/>
  <c r="P26" i="65"/>
  <c r="O40" i="65"/>
  <c r="C5" i="64" a="1"/>
  <c r="C5" i="64" s="1"/>
  <c r="D5" i="64" a="1"/>
  <c r="D5" i="64" s="1"/>
  <c r="I5" i="64"/>
  <c r="E5" i="64" l="1"/>
  <c r="O5" i="64" s="1"/>
  <c r="J5" i="64"/>
  <c r="C6" i="64"/>
  <c r="E6" i="64" s="1"/>
  <c r="D6" i="64"/>
  <c r="I6" i="64"/>
  <c r="J6" i="64" l="1"/>
  <c r="O6" i="64"/>
  <c r="C7" i="64"/>
  <c r="D7" i="64"/>
  <c r="I7" i="64"/>
  <c r="E7" i="64" l="1"/>
  <c r="O7" i="64" s="1"/>
  <c r="J7" i="64"/>
  <c r="C8" i="64"/>
  <c r="E8" i="64" s="1"/>
  <c r="D8" i="64"/>
  <c r="I8" i="64"/>
  <c r="J8" i="64" l="1"/>
  <c r="O8" i="64"/>
  <c r="C9" i="64"/>
  <c r="D9" i="64"/>
  <c r="E9" i="64"/>
  <c r="I9" i="64"/>
  <c r="J9" i="64" l="1"/>
  <c r="O9" i="64"/>
  <c r="C10" i="64"/>
  <c r="D10" i="64"/>
  <c r="I10" i="64"/>
  <c r="E10" i="64" l="1"/>
  <c r="O10" i="64" s="1"/>
  <c r="J10" i="64"/>
  <c r="C11" i="64"/>
  <c r="D11" i="64"/>
  <c r="E11" i="64"/>
  <c r="I11" i="64"/>
  <c r="J11" i="64" l="1"/>
  <c r="O11" i="64"/>
  <c r="C12" i="64"/>
  <c r="E12" i="64" s="1"/>
  <c r="D12" i="64"/>
  <c r="I12" i="64"/>
  <c r="J12" i="64" l="1"/>
  <c r="O12" i="64"/>
  <c r="C13" i="64"/>
  <c r="D13" i="64"/>
  <c r="E13" i="64"/>
  <c r="I13" i="64"/>
  <c r="J13" i="64" l="1"/>
  <c r="O13" i="64"/>
  <c r="C14" i="64"/>
  <c r="E14" i="64" s="1"/>
  <c r="D14" i="64"/>
  <c r="I14" i="64"/>
  <c r="J14" i="64" l="1"/>
  <c r="O14" i="64"/>
  <c r="C15" i="64"/>
  <c r="D15" i="64"/>
  <c r="E15" i="64"/>
  <c r="I15" i="64"/>
  <c r="J15" i="64" l="1"/>
  <c r="O15" i="64"/>
  <c r="C16" i="64"/>
  <c r="E16" i="64" s="1"/>
  <c r="D16" i="64"/>
  <c r="I16" i="64"/>
  <c r="J16" i="64" l="1"/>
  <c r="O16" i="64"/>
  <c r="C17" i="64"/>
  <c r="D17" i="64"/>
  <c r="E17" i="64"/>
  <c r="I17" i="64"/>
  <c r="J17" i="64" l="1"/>
  <c r="O17" i="64"/>
  <c r="C18" i="64"/>
  <c r="D18" i="64"/>
  <c r="E18" i="64"/>
  <c r="I18" i="64"/>
  <c r="J18" i="64" l="1"/>
  <c r="O18" i="64"/>
  <c r="C19" i="64"/>
  <c r="D19" i="64"/>
  <c r="E19" i="64"/>
  <c r="I19" i="64"/>
  <c r="J19" i="64" l="1"/>
  <c r="O19" i="64"/>
  <c r="C20" i="64"/>
  <c r="D20" i="64"/>
  <c r="E20" i="64"/>
  <c r="I20" i="64"/>
  <c r="J20" i="64" l="1"/>
  <c r="O20" i="64"/>
  <c r="C21" i="64"/>
  <c r="D21" i="64"/>
  <c r="E21" i="64"/>
  <c r="I21" i="64"/>
  <c r="J21" i="64" l="1"/>
  <c r="O21" i="64"/>
  <c r="C22" i="64"/>
  <c r="D22" i="64"/>
  <c r="E22" i="64"/>
  <c r="I22" i="64"/>
  <c r="J22" i="64" l="1"/>
  <c r="O22" i="64"/>
  <c r="C23" i="64"/>
  <c r="D23" i="64"/>
  <c r="E23" i="64"/>
  <c r="I23" i="64"/>
  <c r="J23" i="64" l="1"/>
  <c r="O23" i="64"/>
  <c r="C24" i="64"/>
  <c r="D24" i="64"/>
  <c r="E24" i="64"/>
  <c r="I24" i="64"/>
  <c r="J24" i="64" l="1"/>
  <c r="O24" i="64"/>
  <c r="C25" i="64"/>
  <c r="D25" i="64"/>
  <c r="E25" i="64"/>
  <c r="I25" i="64"/>
  <c r="J25" i="64" l="1"/>
  <c r="O25" i="64"/>
  <c r="C26" i="64"/>
  <c r="D26" i="64"/>
  <c r="E26" i="64"/>
  <c r="I26" i="64"/>
  <c r="J26" i="64" l="1"/>
  <c r="O26" i="64"/>
  <c r="C27" i="64"/>
  <c r="D27" i="64"/>
  <c r="I27" i="64"/>
  <c r="E27" i="64" l="1"/>
  <c r="O27" i="64" s="1"/>
  <c r="J27" i="64"/>
  <c r="C28" i="64"/>
  <c r="D28" i="64"/>
  <c r="E28" i="64"/>
  <c r="I28" i="64"/>
  <c r="J28" i="64" l="1"/>
  <c r="O28" i="64"/>
  <c r="C29" i="64"/>
  <c r="D29" i="64"/>
  <c r="E29" i="64"/>
  <c r="I29" i="64"/>
  <c r="J29" i="64" l="1"/>
  <c r="O29" i="64"/>
  <c r="C30" i="64"/>
  <c r="D30" i="64"/>
  <c r="E30" i="64"/>
  <c r="I30" i="64"/>
  <c r="J30" i="64" l="1"/>
  <c r="O30" i="64"/>
  <c r="C31" i="64"/>
  <c r="D31" i="64"/>
  <c r="E31" i="64"/>
  <c r="I31" i="64"/>
  <c r="J31" i="64" l="1"/>
  <c r="O31" i="64"/>
  <c r="C32" i="64"/>
  <c r="D32" i="64"/>
  <c r="E32" i="64"/>
  <c r="I32" i="64"/>
  <c r="J32" i="64" l="1"/>
  <c r="O32" i="64"/>
  <c r="C33" i="64"/>
  <c r="D33" i="64"/>
  <c r="E33" i="64"/>
  <c r="I33" i="64"/>
  <c r="J33" i="64" l="1"/>
  <c r="O33" i="64"/>
  <c r="C34" i="64"/>
  <c r="D34" i="64"/>
  <c r="E34" i="64"/>
  <c r="I34" i="64"/>
  <c r="J34" i="64" l="1"/>
  <c r="O34" i="64"/>
  <c r="C35" i="64"/>
  <c r="D35" i="64"/>
  <c r="E35" i="64"/>
  <c r="I35" i="64"/>
  <c r="J35" i="64" l="1"/>
  <c r="O35" i="64"/>
  <c r="C36" i="64"/>
  <c r="D36" i="64"/>
  <c r="E36" i="64"/>
  <c r="I36" i="64"/>
  <c r="J36" i="64" l="1"/>
  <c r="O36" i="64"/>
  <c r="C37" i="64"/>
  <c r="D37" i="64"/>
  <c r="E37" i="64"/>
  <c r="I37" i="64"/>
  <c r="J37" i="64" l="1"/>
  <c r="O37" i="64"/>
  <c r="C38" i="64"/>
  <c r="D38" i="64"/>
  <c r="E38" i="64"/>
  <c r="I38" i="64"/>
  <c r="J38" i="64" l="1"/>
  <c r="O38" i="64"/>
  <c r="C39" i="64"/>
  <c r="D39" i="64"/>
  <c r="E39" i="64"/>
  <c r="I39" i="64"/>
  <c r="J39" i="64" l="1"/>
  <c r="O39" i="64"/>
  <c r="C40" i="64"/>
  <c r="D40" i="64"/>
  <c r="E40" i="64"/>
  <c r="I40" i="64"/>
  <c r="J40" i="64" l="1"/>
  <c r="O40" i="64"/>
  <c r="C41" i="64"/>
  <c r="E41" i="64" s="1"/>
  <c r="D41" i="64"/>
  <c r="I41" i="64"/>
  <c r="J41" i="64" l="1"/>
  <c r="O41" i="64"/>
  <c r="C42" i="64"/>
  <c r="D42" i="64"/>
  <c r="E42" i="64"/>
  <c r="F5" i="64" s="1" a="1"/>
  <c r="F42" i="64" s="1"/>
  <c r="I42" i="64"/>
  <c r="F5" i="64" l="1"/>
  <c r="F6" i="64"/>
  <c r="F7" i="64"/>
  <c r="F8" i="64"/>
  <c r="F9" i="64"/>
  <c r="F10" i="64"/>
  <c r="F11" i="64"/>
  <c r="F12" i="64"/>
  <c r="F13" i="64"/>
  <c r="F14" i="64"/>
  <c r="F15" i="64"/>
  <c r="F16" i="64"/>
  <c r="F17" i="64"/>
  <c r="F18" i="64"/>
  <c r="F19" i="64"/>
  <c r="F20" i="64"/>
  <c r="F21" i="64"/>
  <c r="F22" i="64"/>
  <c r="F23" i="64"/>
  <c r="F24" i="64"/>
  <c r="F25" i="64"/>
  <c r="F26" i="64"/>
  <c r="F27" i="64"/>
  <c r="F28" i="64"/>
  <c r="F29" i="64"/>
  <c r="F30" i="64"/>
  <c r="F31" i="64"/>
  <c r="F32" i="64"/>
  <c r="F33" i="64"/>
  <c r="F34" i="64"/>
  <c r="F35" i="64"/>
  <c r="F36" i="64"/>
  <c r="F37" i="64"/>
  <c r="F38" i="64"/>
  <c r="F39" i="64"/>
  <c r="F40" i="64"/>
  <c r="F41" i="64"/>
  <c r="J42" i="64"/>
  <c r="O42" i="64"/>
  <c r="C5" i="63" a="1"/>
  <c r="C5" i="63" s="1"/>
  <c r="D5" i="63" a="1"/>
  <c r="D5" i="63" s="1"/>
  <c r="I5" i="63"/>
  <c r="F4" i="63"/>
  <c r="E5" i="63" l="1"/>
  <c r="O5" i="63" s="1"/>
  <c r="J5" i="63"/>
  <c r="W5" i="63"/>
  <c r="C6" i="63"/>
  <c r="E6" i="63" s="1"/>
  <c r="D6" i="63"/>
  <c r="I6" i="63"/>
  <c r="J6" i="63" l="1"/>
  <c r="O6" i="63"/>
  <c r="W6" i="63"/>
  <c r="C7" i="63"/>
  <c r="D7" i="63"/>
  <c r="E7" i="63"/>
  <c r="I7" i="63"/>
  <c r="J7" i="63" l="1"/>
  <c r="O7" i="63"/>
  <c r="W7" i="63"/>
  <c r="C8" i="63"/>
  <c r="D8" i="63"/>
  <c r="E8" i="63"/>
  <c r="I8" i="63"/>
  <c r="J8" i="63" l="1"/>
  <c r="O8" i="63"/>
  <c r="W8" i="63"/>
  <c r="C9" i="63"/>
  <c r="D9" i="63"/>
  <c r="E9" i="63"/>
  <c r="I9" i="63"/>
  <c r="J9" i="63" l="1"/>
  <c r="O9" i="63"/>
  <c r="W9" i="63"/>
  <c r="C10" i="63"/>
  <c r="D10" i="63"/>
  <c r="E10" i="63"/>
  <c r="I10" i="63"/>
  <c r="J10" i="63" l="1"/>
  <c r="O10" i="63"/>
  <c r="W10" i="63"/>
  <c r="C11" i="63"/>
  <c r="D11" i="63"/>
  <c r="E11" i="63"/>
  <c r="I11" i="63"/>
  <c r="J11" i="63" l="1"/>
  <c r="O11" i="63"/>
  <c r="W11" i="63"/>
  <c r="C12" i="63"/>
  <c r="D12" i="63"/>
  <c r="E12" i="63"/>
  <c r="I12" i="63"/>
  <c r="J12" i="63" l="1"/>
  <c r="O12" i="63"/>
  <c r="W12" i="63"/>
  <c r="C13" i="63"/>
  <c r="D13" i="63"/>
  <c r="I13" i="63"/>
  <c r="E13" i="63" l="1"/>
  <c r="J13" i="63"/>
  <c r="O13" i="63"/>
  <c r="W13" i="63"/>
  <c r="C14" i="63"/>
  <c r="E14" i="63" s="1"/>
  <c r="D14" i="63"/>
  <c r="I14" i="63"/>
  <c r="J14" i="63" l="1"/>
  <c r="O14" i="63"/>
  <c r="W14" i="63"/>
  <c r="C15" i="63"/>
  <c r="D15" i="63"/>
  <c r="E15" i="63"/>
  <c r="I15" i="63"/>
  <c r="J15" i="63" l="1"/>
  <c r="O15" i="63"/>
  <c r="W15" i="63"/>
  <c r="C16" i="63"/>
  <c r="E16" i="63" s="1"/>
  <c r="D16" i="63"/>
  <c r="I16" i="63"/>
  <c r="J16" i="63" l="1"/>
  <c r="O16" i="63"/>
  <c r="W16" i="63"/>
  <c r="C17" i="63"/>
  <c r="D17" i="63"/>
  <c r="E17" i="63"/>
  <c r="I17" i="63"/>
  <c r="J17" i="63" l="1"/>
  <c r="O17" i="63"/>
  <c r="W17" i="63"/>
  <c r="C18" i="63"/>
  <c r="D18" i="63"/>
  <c r="E18" i="63"/>
  <c r="I18" i="63"/>
  <c r="J18" i="63" l="1"/>
  <c r="O18" i="63"/>
  <c r="W18" i="63"/>
  <c r="C19" i="63"/>
  <c r="E19" i="63" s="1"/>
  <c r="D19" i="63"/>
  <c r="I19" i="63"/>
  <c r="J19" i="63" l="1"/>
  <c r="O19" i="63"/>
  <c r="W19" i="63"/>
  <c r="C20" i="63"/>
  <c r="D20" i="63"/>
  <c r="E20" i="63"/>
  <c r="I20" i="63"/>
  <c r="J20" i="63" l="1"/>
  <c r="O20" i="63"/>
  <c r="W20" i="63"/>
  <c r="C21" i="63"/>
  <c r="D21" i="63"/>
  <c r="E21" i="63"/>
  <c r="I21" i="63"/>
  <c r="J21" i="63" l="1"/>
  <c r="O21" i="63"/>
  <c r="W21" i="63"/>
  <c r="C22" i="63"/>
  <c r="D22" i="63"/>
  <c r="E22" i="63"/>
  <c r="I22" i="63"/>
  <c r="J22" i="63" l="1"/>
  <c r="O22" i="63"/>
  <c r="W22" i="63"/>
  <c r="C23" i="63"/>
  <c r="D23" i="63"/>
  <c r="E23" i="63"/>
  <c r="I23" i="63"/>
  <c r="J23" i="63" l="1"/>
  <c r="O23" i="63"/>
  <c r="W23" i="63"/>
  <c r="C24" i="63"/>
  <c r="D24" i="63"/>
  <c r="E24" i="63"/>
  <c r="I24" i="63"/>
  <c r="J24" i="63" l="1"/>
  <c r="O24" i="63"/>
  <c r="W24" i="63"/>
  <c r="C25" i="63"/>
  <c r="D25" i="63"/>
  <c r="E25" i="63"/>
  <c r="I25" i="63"/>
  <c r="J25" i="63" l="1"/>
  <c r="O25" i="63"/>
  <c r="W25" i="63"/>
  <c r="C26" i="63"/>
  <c r="D26" i="63"/>
  <c r="E26" i="63"/>
  <c r="I26" i="63"/>
  <c r="J26" i="63" l="1"/>
  <c r="O26" i="63"/>
  <c r="W26" i="63"/>
  <c r="C27" i="63"/>
  <c r="D27" i="63"/>
  <c r="E27" i="63"/>
  <c r="I27" i="63"/>
  <c r="J27" i="63" l="1"/>
  <c r="O27" i="63"/>
  <c r="W27" i="63"/>
  <c r="C28" i="63"/>
  <c r="D28" i="63"/>
  <c r="E28" i="63"/>
  <c r="I28" i="63"/>
  <c r="J28" i="63" l="1"/>
  <c r="O28" i="63"/>
  <c r="W28" i="63"/>
  <c r="C29" i="63"/>
  <c r="D29" i="63"/>
  <c r="I29" i="63"/>
  <c r="E29" i="63" l="1"/>
  <c r="J29" i="63"/>
  <c r="O29" i="63"/>
  <c r="W29" i="63"/>
  <c r="C30" i="63"/>
  <c r="E30" i="63" s="1"/>
  <c r="D30" i="63"/>
  <c r="I30" i="63"/>
  <c r="J30" i="63" l="1"/>
  <c r="O30" i="63"/>
  <c r="W30" i="63"/>
  <c r="C31" i="63"/>
  <c r="D31" i="63"/>
  <c r="E31" i="63"/>
  <c r="I31" i="63"/>
  <c r="J31" i="63" l="1"/>
  <c r="O31" i="63"/>
  <c r="W31" i="63"/>
  <c r="C32" i="63"/>
  <c r="D32" i="63"/>
  <c r="E32" i="63"/>
  <c r="I32" i="63"/>
  <c r="J32" i="63" l="1"/>
  <c r="O32" i="63"/>
  <c r="W32" i="63"/>
  <c r="C33" i="63"/>
  <c r="D33" i="63"/>
  <c r="E33" i="63"/>
  <c r="I33" i="63"/>
  <c r="J33" i="63" l="1"/>
  <c r="O33" i="63"/>
  <c r="W33" i="63"/>
  <c r="C34" i="63"/>
  <c r="D34" i="63"/>
  <c r="E34" i="63"/>
  <c r="I34" i="63"/>
  <c r="J34" i="63" l="1"/>
  <c r="O34" i="63"/>
  <c r="W34" i="63"/>
  <c r="C35" i="63"/>
  <c r="D35" i="63"/>
  <c r="I35" i="63"/>
  <c r="E35" i="63" l="1"/>
  <c r="J35" i="63"/>
  <c r="O35" i="63"/>
  <c r="W35" i="63"/>
  <c r="C36" i="63"/>
  <c r="E36" i="63" s="1"/>
  <c r="D36" i="63"/>
  <c r="I36" i="63"/>
  <c r="J36" i="63" l="1"/>
  <c r="O36" i="63"/>
  <c r="W36" i="63"/>
  <c r="C37" i="63"/>
  <c r="D37" i="63"/>
  <c r="E37" i="63"/>
  <c r="I37" i="63"/>
  <c r="J37" i="63" l="1"/>
  <c r="O37" i="63"/>
  <c r="W37" i="63"/>
  <c r="C38" i="63"/>
  <c r="D38" i="63"/>
  <c r="E38" i="63"/>
  <c r="I38" i="63"/>
  <c r="J38" i="63" l="1"/>
  <c r="O38" i="63"/>
  <c r="W38" i="63"/>
  <c r="C39" i="63"/>
  <c r="D39" i="63"/>
  <c r="E39" i="63"/>
  <c r="I39" i="63"/>
  <c r="J39" i="63" l="1"/>
  <c r="O39" i="63"/>
  <c r="W39" i="63"/>
  <c r="C40" i="63"/>
  <c r="D40" i="63"/>
  <c r="E40" i="63"/>
  <c r="I40" i="63"/>
  <c r="J40" i="63" l="1"/>
  <c r="O40" i="63"/>
  <c r="W40" i="63"/>
  <c r="C41" i="63"/>
  <c r="D41" i="63"/>
  <c r="E41" i="63"/>
  <c r="I41" i="63"/>
  <c r="J41" i="63" l="1"/>
  <c r="O41" i="63"/>
  <c r="W41" i="63"/>
  <c r="C42" i="63"/>
  <c r="D42" i="63"/>
  <c r="E42" i="63"/>
  <c r="F5" i="63" s="1" a="1"/>
  <c r="F42" i="63" s="1"/>
  <c r="I42" i="63"/>
  <c r="F5" i="63" l="1"/>
  <c r="F6" i="63"/>
  <c r="F7" i="63"/>
  <c r="F8" i="63"/>
  <c r="F9" i="63"/>
  <c r="F10" i="63"/>
  <c r="F11" i="63"/>
  <c r="F12" i="63"/>
  <c r="F13" i="63"/>
  <c r="F14" i="63"/>
  <c r="F15" i="63"/>
  <c r="F16" i="63"/>
  <c r="F17" i="63"/>
  <c r="F18" i="63"/>
  <c r="F19" i="63"/>
  <c r="F20" i="63"/>
  <c r="F21" i="63"/>
  <c r="F22" i="63"/>
  <c r="F23" i="63"/>
  <c r="F24" i="63"/>
  <c r="F25" i="63"/>
  <c r="F26" i="63"/>
  <c r="F27" i="63"/>
  <c r="F28" i="63"/>
  <c r="F29" i="63"/>
  <c r="F30" i="63"/>
  <c r="F31" i="63"/>
  <c r="F32" i="63"/>
  <c r="F33" i="63"/>
  <c r="F34" i="63"/>
  <c r="F35" i="63"/>
  <c r="F36" i="63"/>
  <c r="F37" i="63"/>
  <c r="F38" i="63"/>
  <c r="F39" i="63"/>
  <c r="F40" i="63"/>
  <c r="F41" i="63"/>
  <c r="J42" i="63"/>
  <c r="O42" i="63"/>
  <c r="W42" i="63"/>
  <c r="C5" i="62" a="1"/>
  <c r="C5" i="62" s="1"/>
  <c r="D5" i="62" a="1"/>
  <c r="D5" i="62" s="1"/>
  <c r="I5" i="62"/>
  <c r="F4" i="62"/>
  <c r="E5" i="62" l="1"/>
  <c r="O5" i="62" s="1"/>
  <c r="J5" i="62"/>
  <c r="C6" i="62"/>
  <c r="D6" i="62"/>
  <c r="E6" i="62"/>
  <c r="I6" i="62"/>
  <c r="J6" i="62" l="1"/>
  <c r="O6" i="62"/>
  <c r="C7" i="62"/>
  <c r="E7" i="62" s="1"/>
  <c r="D7" i="62"/>
  <c r="I7" i="62"/>
  <c r="J7" i="62" l="1"/>
  <c r="O7" i="62"/>
  <c r="C8" i="62"/>
  <c r="D8" i="62"/>
  <c r="I8" i="62"/>
  <c r="E8" i="62" l="1"/>
  <c r="O8" i="62" s="1"/>
  <c r="J8" i="62"/>
  <c r="C9" i="62"/>
  <c r="D9" i="62"/>
  <c r="E9" i="62"/>
  <c r="I9" i="62"/>
  <c r="J9" i="62" l="1"/>
  <c r="O9" i="62"/>
  <c r="C10" i="62"/>
  <c r="E10" i="62" s="1"/>
  <c r="D10" i="62"/>
  <c r="I10" i="62"/>
  <c r="J10" i="62" l="1"/>
  <c r="O10" i="62"/>
  <c r="C11" i="62"/>
  <c r="E11" i="62" s="1"/>
  <c r="D11" i="62"/>
  <c r="I11" i="62"/>
  <c r="J11" i="62" l="1"/>
  <c r="O11" i="62"/>
  <c r="C12" i="62"/>
  <c r="D12" i="62"/>
  <c r="E12" i="62"/>
  <c r="I12" i="62"/>
  <c r="J12" i="62" l="1"/>
  <c r="O12" i="62"/>
  <c r="C13" i="62"/>
  <c r="D13" i="62"/>
  <c r="E13" i="62"/>
  <c r="I13" i="62"/>
  <c r="J13" i="62" l="1"/>
  <c r="O13" i="62"/>
  <c r="C14" i="62"/>
  <c r="D14" i="62"/>
  <c r="E14" i="62"/>
  <c r="I14" i="62"/>
  <c r="J14" i="62" l="1"/>
  <c r="O14" i="62"/>
  <c r="C15" i="62"/>
  <c r="D15" i="62"/>
  <c r="E15" i="62"/>
  <c r="I15" i="62"/>
  <c r="J15" i="62" l="1"/>
  <c r="O15" i="62"/>
  <c r="C16" i="62"/>
  <c r="D16" i="62"/>
  <c r="E16" i="62"/>
  <c r="I16" i="62"/>
  <c r="J16" i="62" l="1"/>
  <c r="O16" i="62"/>
  <c r="C17" i="62"/>
  <c r="D17" i="62"/>
  <c r="E17" i="62"/>
  <c r="I17" i="62"/>
  <c r="J17" i="62" l="1"/>
  <c r="O17" i="62"/>
  <c r="C18" i="62"/>
  <c r="D18" i="62"/>
  <c r="E18" i="62"/>
  <c r="I18" i="62"/>
  <c r="J18" i="62" l="1"/>
  <c r="O18" i="62"/>
  <c r="C19" i="62"/>
  <c r="D19" i="62"/>
  <c r="E19" i="62"/>
  <c r="I19" i="62"/>
  <c r="J19" i="62" l="1"/>
  <c r="O19" i="62"/>
  <c r="C20" i="62"/>
  <c r="D20" i="62"/>
  <c r="E20" i="62"/>
  <c r="I20" i="62"/>
  <c r="J20" i="62" l="1"/>
  <c r="O20" i="62"/>
  <c r="C21" i="62"/>
  <c r="D21" i="62"/>
  <c r="E21" i="62"/>
  <c r="I21" i="62"/>
  <c r="J21" i="62" l="1"/>
  <c r="O21" i="62"/>
  <c r="C22" i="62"/>
  <c r="D22" i="62"/>
  <c r="E22" i="62"/>
  <c r="I22" i="62"/>
  <c r="J22" i="62" l="1"/>
  <c r="O22" i="62"/>
  <c r="C23" i="62"/>
  <c r="D23" i="62"/>
  <c r="E23" i="62"/>
  <c r="I23" i="62"/>
  <c r="J23" i="62" l="1"/>
  <c r="O23" i="62"/>
  <c r="C24" i="62"/>
  <c r="D24" i="62"/>
  <c r="E24" i="62"/>
  <c r="I24" i="62"/>
  <c r="J24" i="62" l="1"/>
  <c r="O24" i="62"/>
  <c r="C25" i="62"/>
  <c r="E25" i="62" s="1"/>
  <c r="D25" i="62"/>
  <c r="I25" i="62"/>
  <c r="J25" i="62" l="1"/>
  <c r="O25" i="62"/>
  <c r="C26" i="62"/>
  <c r="D26" i="62"/>
  <c r="I26" i="62"/>
  <c r="E26" i="62" l="1"/>
  <c r="O26" i="62" s="1"/>
  <c r="J26" i="62"/>
  <c r="C27" i="62"/>
  <c r="D27" i="62"/>
  <c r="E27" i="62"/>
  <c r="I27" i="62"/>
  <c r="J27" i="62" l="1"/>
  <c r="O27" i="62"/>
  <c r="C28" i="62"/>
  <c r="D28" i="62"/>
  <c r="E28" i="62"/>
  <c r="I28" i="62"/>
  <c r="J28" i="62" l="1"/>
  <c r="O28" i="62"/>
  <c r="C29" i="62"/>
  <c r="E29" i="62" s="1"/>
  <c r="D29" i="62"/>
  <c r="I29" i="62"/>
  <c r="J29" i="62" l="1"/>
  <c r="O29" i="62"/>
  <c r="C30" i="62"/>
  <c r="E30" i="62" s="1"/>
  <c r="D30" i="62"/>
  <c r="I30" i="62"/>
  <c r="J30" i="62" l="1"/>
  <c r="O30" i="62"/>
  <c r="C31" i="62"/>
  <c r="E31" i="62" s="1"/>
  <c r="D31" i="62"/>
  <c r="I31" i="62"/>
  <c r="J31" i="62" l="1"/>
  <c r="O31" i="62"/>
  <c r="C32" i="62"/>
  <c r="D32" i="62"/>
  <c r="E32" i="62"/>
  <c r="I32" i="62"/>
  <c r="J32" i="62" l="1"/>
  <c r="O32" i="62"/>
  <c r="C33" i="62"/>
  <c r="D33" i="62"/>
  <c r="E33" i="62"/>
  <c r="I33" i="62"/>
  <c r="J33" i="62" l="1"/>
  <c r="O33" i="62"/>
  <c r="C34" i="62"/>
  <c r="D34" i="62"/>
  <c r="E34" i="62"/>
  <c r="I34" i="62"/>
  <c r="J34" i="62" l="1"/>
  <c r="O34" i="62"/>
  <c r="C35" i="62"/>
  <c r="D35" i="62"/>
  <c r="I35" i="62"/>
  <c r="E35" i="62" l="1"/>
  <c r="O35" i="62" s="1"/>
  <c r="J35" i="62"/>
  <c r="C36" i="62"/>
  <c r="D36" i="62"/>
  <c r="E36" i="62"/>
  <c r="I36" i="62"/>
  <c r="J36" i="62" l="1"/>
  <c r="O36" i="62"/>
  <c r="C37" i="62"/>
  <c r="D37" i="62"/>
  <c r="E37" i="62"/>
  <c r="I37" i="62"/>
  <c r="J37" i="62" l="1"/>
  <c r="O37" i="62"/>
  <c r="C38" i="62"/>
  <c r="D38" i="62"/>
  <c r="E38" i="62"/>
  <c r="I38" i="62"/>
  <c r="J38" i="62" l="1"/>
  <c r="O38" i="62"/>
  <c r="C39" i="62"/>
  <c r="D39" i="62"/>
  <c r="E39" i="62"/>
  <c r="I39" i="62"/>
  <c r="J39" i="62" l="1"/>
  <c r="O39" i="62"/>
  <c r="C40" i="62"/>
  <c r="E40" i="62" s="1"/>
  <c r="D40" i="62"/>
  <c r="I40" i="62"/>
  <c r="J40" i="62" l="1"/>
  <c r="O40" i="62"/>
  <c r="C41" i="62"/>
  <c r="E41" i="62" s="1"/>
  <c r="D41" i="62"/>
  <c r="I41" i="62"/>
  <c r="J41" i="62" l="1"/>
  <c r="O41" i="62"/>
  <c r="C42" i="62"/>
  <c r="D42" i="62"/>
  <c r="E42" i="62"/>
  <c r="F5" i="62" s="1" a="1"/>
  <c r="F42" i="62" s="1"/>
  <c r="I42" i="62"/>
  <c r="F5" i="62" l="1"/>
  <c r="F6" i="62"/>
  <c r="F7" i="62"/>
  <c r="F8" i="62"/>
  <c r="F9" i="62"/>
  <c r="F10" i="62"/>
  <c r="F11" i="62"/>
  <c r="F12" i="62"/>
  <c r="F13" i="62"/>
  <c r="F14" i="62"/>
  <c r="F15" i="62"/>
  <c r="F16" i="62"/>
  <c r="F17" i="62"/>
  <c r="F18" i="62"/>
  <c r="F19" i="62"/>
  <c r="F20" i="62"/>
  <c r="F21" i="62"/>
  <c r="F22" i="62"/>
  <c r="F23" i="62"/>
  <c r="F24" i="62"/>
  <c r="F25" i="62"/>
  <c r="F26" i="62"/>
  <c r="F27" i="62"/>
  <c r="F28" i="62"/>
  <c r="F29" i="62"/>
  <c r="F30" i="62"/>
  <c r="F31" i="62"/>
  <c r="F32" i="62"/>
  <c r="F33" i="62"/>
  <c r="F34" i="62"/>
  <c r="F35" i="62"/>
  <c r="F36" i="62"/>
  <c r="F37" i="62"/>
  <c r="F38" i="62"/>
  <c r="F39" i="62"/>
  <c r="F40" i="62"/>
  <c r="F41" i="62"/>
  <c r="J42" i="62"/>
  <c r="O42" i="62"/>
  <c r="C5" i="61" a="1"/>
  <c r="C5" i="61" s="1"/>
  <c r="D5" i="61" a="1"/>
  <c r="D5" i="61" s="1"/>
  <c r="K5" i="61"/>
  <c r="F4" i="61"/>
  <c r="E5" i="61" l="1"/>
  <c r="O5" i="61" s="1"/>
  <c r="X5" i="61" l="1"/>
  <c r="C6" i="61"/>
  <c r="D6" i="61"/>
  <c r="E6" i="61"/>
  <c r="K6" i="61"/>
  <c r="O6" i="61" l="1"/>
  <c r="X6" i="61" l="1"/>
  <c r="C7" i="61"/>
  <c r="D7" i="61"/>
  <c r="E7" i="61"/>
  <c r="K7" i="61"/>
  <c r="O7" i="61" l="1"/>
  <c r="X7" i="61" l="1"/>
  <c r="C8" i="61"/>
  <c r="D8" i="61"/>
  <c r="E8" i="61"/>
  <c r="K8" i="61"/>
  <c r="O8" i="61" l="1"/>
  <c r="X8" i="61" l="1"/>
  <c r="C9" i="61"/>
  <c r="E9" i="61" s="1"/>
  <c r="D9" i="61"/>
  <c r="K9" i="61"/>
  <c r="O9" i="61" l="1"/>
  <c r="X9" i="61" l="1"/>
  <c r="C10" i="61"/>
  <c r="D10" i="61"/>
  <c r="K10" i="61"/>
  <c r="E10" i="61" l="1"/>
  <c r="O10" i="61" s="1"/>
  <c r="X10" i="61" l="1"/>
  <c r="C11" i="61"/>
  <c r="D11" i="61"/>
  <c r="E11" i="61"/>
  <c r="K11" i="61"/>
  <c r="O11" i="61" l="1"/>
  <c r="X11" i="61" l="1"/>
  <c r="C12" i="61"/>
  <c r="D12" i="61"/>
  <c r="E12" i="61"/>
  <c r="K12" i="61"/>
  <c r="O12" i="61" l="1"/>
  <c r="X12" i="61" l="1"/>
  <c r="C13" i="61"/>
  <c r="D13" i="61"/>
  <c r="K13" i="61"/>
  <c r="E13" i="61" l="1"/>
  <c r="O13" i="61"/>
  <c r="X13" i="61" l="1"/>
  <c r="C14" i="61"/>
  <c r="D14" i="61"/>
  <c r="K14" i="61"/>
  <c r="E14" i="61" l="1"/>
  <c r="O14" i="61" s="1"/>
  <c r="X14" i="61" l="1"/>
  <c r="C15" i="61"/>
  <c r="D15" i="61"/>
  <c r="K15" i="61"/>
  <c r="E15" i="61" l="1"/>
  <c r="O15" i="61" s="1"/>
  <c r="X15" i="61" l="1"/>
  <c r="C16" i="61"/>
  <c r="D16" i="61"/>
  <c r="K16" i="61"/>
  <c r="E16" i="61" l="1"/>
  <c r="O16" i="61" s="1"/>
  <c r="X16" i="61" l="1"/>
  <c r="C17" i="61"/>
  <c r="D17" i="61"/>
  <c r="K17" i="61"/>
  <c r="E17" i="61" l="1"/>
  <c r="O17" i="61" s="1"/>
  <c r="X17" i="61" l="1"/>
  <c r="C18" i="61"/>
  <c r="D18" i="61"/>
  <c r="K18" i="61"/>
  <c r="E18" i="61" l="1"/>
  <c r="O18" i="61" s="1"/>
  <c r="X18" i="61" l="1"/>
  <c r="C19" i="61"/>
  <c r="D19" i="61"/>
  <c r="K19" i="61"/>
  <c r="E19" i="61" l="1"/>
  <c r="O19" i="61" s="1"/>
  <c r="X19" i="61" l="1"/>
  <c r="C20" i="61"/>
  <c r="D20" i="61"/>
  <c r="K20" i="61"/>
  <c r="E20" i="61" l="1"/>
  <c r="O20" i="61"/>
  <c r="X20" i="61" l="1"/>
  <c r="C21" i="61"/>
  <c r="E21" i="61" s="1"/>
  <c r="D21" i="61"/>
  <c r="K21" i="61"/>
  <c r="O21" i="61" l="1"/>
  <c r="X21" i="61" l="1"/>
  <c r="C22" i="61"/>
  <c r="E22" i="61" s="1"/>
  <c r="D22" i="61"/>
  <c r="K22" i="61"/>
  <c r="O22" i="61" l="1"/>
  <c r="X22" i="61" l="1"/>
  <c r="C23" i="61"/>
  <c r="D23" i="61"/>
  <c r="K23" i="61"/>
  <c r="E23" i="61" l="1"/>
  <c r="O23" i="61" s="1"/>
  <c r="X23" i="61" l="1"/>
  <c r="C24" i="61"/>
  <c r="D24" i="61"/>
  <c r="K24" i="61"/>
  <c r="E24" i="61" l="1"/>
  <c r="O24" i="61" s="1"/>
  <c r="X24" i="61" l="1"/>
  <c r="C25" i="61"/>
  <c r="D25" i="61"/>
  <c r="K25" i="61"/>
  <c r="E25" i="61" l="1"/>
  <c r="O25" i="61"/>
  <c r="X25" i="61" l="1"/>
  <c r="C26" i="61"/>
  <c r="D26" i="61"/>
  <c r="K26" i="61"/>
  <c r="E26" i="61" l="1"/>
  <c r="O26" i="61" s="1"/>
  <c r="X26" i="61" l="1"/>
  <c r="C27" i="61"/>
  <c r="D27" i="61"/>
  <c r="K27" i="61"/>
  <c r="E27" i="61" l="1"/>
  <c r="O27" i="61" s="1"/>
  <c r="X27" i="61" l="1"/>
  <c r="C28" i="61"/>
  <c r="D28" i="61"/>
  <c r="K28" i="61"/>
  <c r="E28" i="61" l="1"/>
  <c r="O28" i="61" s="1"/>
  <c r="X28" i="61" l="1"/>
  <c r="C29" i="61"/>
  <c r="D29" i="61"/>
  <c r="K29" i="61"/>
  <c r="E29" i="61" l="1"/>
  <c r="O29" i="61" s="1"/>
  <c r="X29" i="61" l="1"/>
  <c r="C30" i="61"/>
  <c r="D30" i="61"/>
  <c r="K30" i="61"/>
  <c r="E30" i="61" l="1"/>
  <c r="O30" i="61" s="1"/>
  <c r="X30" i="61" l="1"/>
  <c r="C31" i="61"/>
  <c r="D31" i="61"/>
  <c r="K31" i="61"/>
  <c r="E31" i="61" l="1"/>
  <c r="O31" i="61" s="1"/>
  <c r="X31" i="61" l="1"/>
  <c r="C32" i="61"/>
  <c r="D32" i="61"/>
  <c r="K32" i="61"/>
  <c r="E32" i="61" l="1"/>
  <c r="O32" i="61" s="1"/>
  <c r="X32" i="61" l="1"/>
  <c r="C33" i="61"/>
  <c r="D33" i="61"/>
  <c r="K33" i="61"/>
  <c r="E33" i="61" l="1"/>
  <c r="O33" i="61" s="1"/>
  <c r="X33" i="61" l="1"/>
  <c r="C34" i="61"/>
  <c r="D34" i="61"/>
  <c r="E34" i="61"/>
  <c r="K34" i="61"/>
  <c r="O34" i="61" l="1"/>
  <c r="X34" i="61" l="1"/>
  <c r="C35" i="61"/>
  <c r="D35" i="61"/>
  <c r="E35" i="61"/>
  <c r="K35" i="61"/>
  <c r="O35" i="61" l="1"/>
  <c r="X35" i="61" l="1"/>
  <c r="C36" i="61"/>
  <c r="D36" i="61"/>
  <c r="E36" i="61"/>
  <c r="K36" i="61"/>
  <c r="O36" i="61" l="1"/>
  <c r="X36" i="61" l="1"/>
  <c r="C37" i="61"/>
  <c r="D37" i="61"/>
  <c r="E37" i="61"/>
  <c r="K37" i="61"/>
  <c r="O37" i="61" l="1"/>
  <c r="X37" i="61" l="1"/>
  <c r="C38" i="61"/>
  <c r="D38" i="61"/>
  <c r="E38" i="61"/>
  <c r="K38" i="61"/>
  <c r="O38" i="61" l="1"/>
  <c r="X38" i="61" l="1"/>
  <c r="C39" i="61"/>
  <c r="E39" i="61" s="1"/>
  <c r="D39" i="61"/>
  <c r="K39" i="61"/>
  <c r="O39" i="61" l="1"/>
  <c r="X39" i="61" l="1"/>
  <c r="C40" i="61"/>
  <c r="E40" i="61" s="1"/>
  <c r="D40" i="61"/>
  <c r="K40" i="61"/>
  <c r="O40" i="61" l="1"/>
  <c r="X40" i="61" l="1"/>
  <c r="C41" i="61"/>
  <c r="E41" i="61" s="1"/>
  <c r="D41" i="61"/>
  <c r="K41" i="61"/>
  <c r="O41" i="61" l="1"/>
  <c r="X41" i="61" l="1"/>
  <c r="C42" i="61"/>
  <c r="D42" i="61"/>
  <c r="K42" i="61"/>
  <c r="E42" i="61" l="1"/>
  <c r="F5" i="61" s="1" a="1"/>
  <c r="F42" i="61" s="1"/>
  <c r="P5" i="61" a="1"/>
  <c r="O42" i="61"/>
  <c r="F28" i="61" l="1"/>
  <c r="F11" i="61"/>
  <c r="F26" i="61"/>
  <c r="F18" i="61"/>
  <c r="F10" i="61"/>
  <c r="F41" i="61"/>
  <c r="F33" i="61"/>
  <c r="F25" i="61"/>
  <c r="F17" i="61"/>
  <c r="F9" i="61"/>
  <c r="F40" i="61"/>
  <c r="F32" i="61"/>
  <c r="F24" i="61"/>
  <c r="F16" i="61"/>
  <c r="F8" i="61"/>
  <c r="F39" i="61"/>
  <c r="F31" i="61"/>
  <c r="F23" i="61"/>
  <c r="F15" i="61"/>
  <c r="F7" i="61"/>
  <c r="F36" i="61"/>
  <c r="F20" i="61"/>
  <c r="F12" i="61"/>
  <c r="F35" i="61"/>
  <c r="F27" i="61"/>
  <c r="F19" i="61"/>
  <c r="F34" i="61"/>
  <c r="F38" i="61"/>
  <c r="F30" i="61"/>
  <c r="F22" i="61"/>
  <c r="F14" i="61"/>
  <c r="F6" i="61"/>
  <c r="F37" i="61"/>
  <c r="F29" i="61"/>
  <c r="F21" i="61"/>
  <c r="F13" i="61"/>
  <c r="F5" i="61"/>
  <c r="P5" i="61"/>
  <c r="P12" i="61"/>
  <c r="P20" i="61"/>
  <c r="P28" i="61"/>
  <c r="P33" i="61"/>
  <c r="P40" i="61"/>
  <c r="P15" i="61"/>
  <c r="P29" i="61"/>
  <c r="P27" i="61"/>
  <c r="P25" i="61"/>
  <c r="P32" i="61"/>
  <c r="P7" i="61"/>
  <c r="P21" i="61"/>
  <c r="P19" i="61"/>
  <c r="P17" i="61"/>
  <c r="P24" i="61"/>
  <c r="P26" i="61"/>
  <c r="P36" i="61"/>
  <c r="P8" i="61"/>
  <c r="P22" i="61"/>
  <c r="P18" i="61"/>
  <c r="P35" i="61"/>
  <c r="P39" i="61"/>
  <c r="P14" i="61"/>
  <c r="P10" i="61"/>
  <c r="P38" i="61"/>
  <c r="P41" i="61"/>
  <c r="P30" i="61"/>
  <c r="P9" i="61"/>
  <c r="P6" i="61"/>
  <c r="P11" i="61"/>
  <c r="P37" i="61"/>
  <c r="P34" i="61"/>
  <c r="P13" i="61"/>
  <c r="P16" i="61"/>
  <c r="P31" i="61"/>
  <c r="P42" i="61"/>
  <c r="P23" i="61"/>
  <c r="X42" i="61"/>
  <c r="C5" i="60" a="1"/>
  <c r="C5" i="60" s="1"/>
  <c r="D5" i="60" a="1"/>
  <c r="D5" i="60" s="1"/>
  <c r="Q5" i="61"/>
  <c r="Q27" i="61"/>
  <c r="Q26" i="61"/>
  <c r="Q10" i="61"/>
  <c r="Q34" i="61"/>
  <c r="Q38" i="61"/>
  <c r="Q20" i="61"/>
  <c r="Q32" i="61"/>
  <c r="Q8" i="61"/>
  <c r="Q41" i="61"/>
  <c r="Q16" i="61"/>
  <c r="Q28" i="61"/>
  <c r="Q7" i="61"/>
  <c r="Q22" i="61"/>
  <c r="Q30" i="61"/>
  <c r="Q31" i="61"/>
  <c r="Q33" i="61"/>
  <c r="Q21" i="61"/>
  <c r="Q18" i="61"/>
  <c r="Q9" i="61"/>
  <c r="Q40" i="61"/>
  <c r="Q19" i="61"/>
  <c r="Q35" i="61"/>
  <c r="Q6" i="61"/>
  <c r="Q23" i="61"/>
  <c r="Q15" i="61"/>
  <c r="Q39" i="61"/>
  <c r="Q11" i="61"/>
  <c r="Q25" i="61"/>
  <c r="K5" i="60"/>
  <c r="Q42" i="61"/>
  <c r="Q17" i="61"/>
  <c r="Q29" i="61"/>
  <c r="Q24" i="61"/>
  <c r="Q14" i="61"/>
  <c r="Q37" i="61"/>
  <c r="Q12" i="61"/>
  <c r="Q36" i="61"/>
  <c r="Q13" i="61"/>
  <c r="F4" i="60"/>
  <c r="E5" i="60" l="1"/>
  <c r="O5" i="60" s="1"/>
  <c r="X5" i="60"/>
  <c r="C6" i="60"/>
  <c r="E6" i="60" s="1"/>
  <c r="D6" i="60"/>
  <c r="K6" i="60"/>
  <c r="O6" i="60" l="1"/>
  <c r="X6" i="60"/>
  <c r="C7" i="60"/>
  <c r="D7" i="60"/>
  <c r="E7" i="60"/>
  <c r="K7" i="60"/>
  <c r="O7" i="60" l="1"/>
  <c r="X7" i="60"/>
  <c r="C8" i="60"/>
  <c r="D8" i="60"/>
  <c r="E8" i="60"/>
  <c r="K8" i="60"/>
  <c r="O8" i="60" l="1"/>
  <c r="X8" i="60"/>
  <c r="C9" i="60"/>
  <c r="E9" i="60" s="1"/>
  <c r="D9" i="60"/>
  <c r="K9" i="60"/>
  <c r="O9" i="60" l="1"/>
  <c r="X9" i="60"/>
  <c r="C10" i="60"/>
  <c r="D10" i="60"/>
  <c r="K10" i="60"/>
  <c r="E10" i="60" l="1"/>
  <c r="O10" i="60" s="1"/>
  <c r="X10" i="60"/>
  <c r="C11" i="60"/>
  <c r="D11" i="60"/>
  <c r="K11" i="60"/>
  <c r="E11" i="60" l="1"/>
  <c r="O11" i="60" s="1"/>
  <c r="X11" i="60"/>
  <c r="C12" i="60"/>
  <c r="D12" i="60"/>
  <c r="E12" i="60"/>
  <c r="K12" i="60"/>
  <c r="O12" i="60" l="1"/>
  <c r="X12" i="60"/>
  <c r="C13" i="60"/>
  <c r="D13" i="60"/>
  <c r="E13" i="60"/>
  <c r="K13" i="60"/>
  <c r="O13" i="60" l="1"/>
  <c r="X13" i="60"/>
  <c r="C14" i="60"/>
  <c r="D14" i="60"/>
  <c r="E14" i="60"/>
  <c r="K14" i="60"/>
  <c r="O14" i="60" l="1"/>
  <c r="X14" i="60"/>
  <c r="C15" i="60"/>
  <c r="D15" i="60"/>
  <c r="E15" i="60"/>
  <c r="K15" i="60"/>
  <c r="O15" i="60" l="1"/>
  <c r="X15" i="60"/>
  <c r="C16" i="60"/>
  <c r="D16" i="60"/>
  <c r="E16" i="60" s="1"/>
  <c r="K16" i="60"/>
  <c r="O16" i="60" l="1"/>
  <c r="X16" i="60"/>
  <c r="C17" i="60"/>
  <c r="D17" i="60"/>
  <c r="E17" i="60"/>
  <c r="K17" i="60"/>
  <c r="O17" i="60" l="1"/>
  <c r="X17" i="60"/>
  <c r="C18" i="60"/>
  <c r="D18" i="60"/>
  <c r="E18" i="60"/>
  <c r="K18" i="60"/>
  <c r="O18" i="60" l="1"/>
  <c r="X18" i="60"/>
  <c r="C19" i="60"/>
  <c r="D19" i="60"/>
  <c r="E19" i="60"/>
  <c r="K19" i="60"/>
  <c r="O19" i="60" l="1"/>
  <c r="X19" i="60"/>
  <c r="C20" i="60"/>
  <c r="D20" i="60"/>
  <c r="E20" i="60"/>
  <c r="K20" i="60"/>
  <c r="O20" i="60" l="1"/>
  <c r="X20" i="60"/>
  <c r="C21" i="60"/>
  <c r="D21" i="60"/>
  <c r="E21" i="60" s="1"/>
  <c r="K21" i="60"/>
  <c r="O21" i="60" l="1"/>
  <c r="X21" i="60"/>
  <c r="C22" i="60"/>
  <c r="D22" i="60"/>
  <c r="K22" i="60"/>
  <c r="E22" i="60" l="1"/>
  <c r="O22" i="60" s="1"/>
  <c r="X22" i="60"/>
  <c r="C23" i="60"/>
  <c r="D23" i="60"/>
  <c r="K23" i="60"/>
  <c r="E23" i="60" l="1"/>
  <c r="O23" i="60" s="1"/>
  <c r="X23" i="60"/>
  <c r="C24" i="60"/>
  <c r="E24" i="60" s="1"/>
  <c r="D24" i="60"/>
  <c r="K24" i="60"/>
  <c r="O24" i="60" l="1"/>
  <c r="X24" i="60"/>
  <c r="C25" i="60"/>
  <c r="D25" i="60"/>
  <c r="K25" i="60"/>
  <c r="E25" i="60" l="1"/>
  <c r="O25" i="60" s="1"/>
  <c r="X25" i="60"/>
  <c r="C26" i="60"/>
  <c r="E26" i="60" s="1"/>
  <c r="D26" i="60"/>
  <c r="K26" i="60"/>
  <c r="O26" i="60" l="1"/>
  <c r="X26" i="60"/>
  <c r="C27" i="60"/>
  <c r="D27" i="60"/>
  <c r="K27" i="60"/>
  <c r="E27" i="60" l="1"/>
  <c r="O27" i="60" s="1"/>
  <c r="X27" i="60"/>
  <c r="C28" i="60"/>
  <c r="D28" i="60"/>
  <c r="K28" i="60"/>
  <c r="E28" i="60" l="1"/>
  <c r="O28" i="60" s="1"/>
  <c r="X28" i="60"/>
  <c r="C29" i="60"/>
  <c r="D29" i="60"/>
  <c r="K29" i="60"/>
  <c r="E29" i="60" l="1"/>
  <c r="O29" i="60" s="1"/>
  <c r="X29" i="60"/>
  <c r="C30" i="60"/>
  <c r="D30" i="60"/>
  <c r="K30" i="60"/>
  <c r="E30" i="60" l="1"/>
  <c r="O30" i="60" s="1"/>
  <c r="X30" i="60"/>
  <c r="C31" i="60"/>
  <c r="E31" i="60" s="1"/>
  <c r="D31" i="60"/>
  <c r="K31" i="60"/>
  <c r="O31" i="60" l="1"/>
  <c r="X31" i="60"/>
  <c r="C32" i="60"/>
  <c r="D32" i="60"/>
  <c r="K32" i="60"/>
  <c r="E32" i="60" l="1"/>
  <c r="O32" i="60"/>
  <c r="X32" i="60"/>
  <c r="C33" i="60"/>
  <c r="E33" i="60" s="1"/>
  <c r="D33" i="60"/>
  <c r="K33" i="60"/>
  <c r="O33" i="60" l="1"/>
  <c r="X33" i="60"/>
  <c r="C34" i="60"/>
  <c r="D34" i="60"/>
  <c r="K34" i="60"/>
  <c r="E34" i="60" l="1"/>
  <c r="O34" i="60" s="1"/>
  <c r="X34" i="60"/>
  <c r="C35" i="60"/>
  <c r="E35" i="60" s="1"/>
  <c r="D35" i="60"/>
  <c r="K35" i="60"/>
  <c r="O35" i="60" l="1"/>
  <c r="X35" i="60"/>
  <c r="C36" i="60"/>
  <c r="D36" i="60"/>
  <c r="K36" i="60"/>
  <c r="E36" i="60" l="1"/>
  <c r="O36" i="60" s="1"/>
  <c r="X36" i="60"/>
  <c r="C37" i="60"/>
  <c r="D37" i="60"/>
  <c r="K37" i="60"/>
  <c r="E37" i="60" l="1"/>
  <c r="O37" i="60" s="1"/>
  <c r="X37" i="60"/>
  <c r="C38" i="60"/>
  <c r="E38" i="60" s="1"/>
  <c r="D38" i="60"/>
  <c r="K38" i="60"/>
  <c r="O38" i="60" l="1"/>
  <c r="X38" i="60"/>
  <c r="C39" i="60"/>
  <c r="D39" i="60"/>
  <c r="E39" i="60"/>
  <c r="K39" i="60"/>
  <c r="O39" i="60" l="1"/>
  <c r="X39" i="60"/>
  <c r="C40" i="60"/>
  <c r="D40" i="60"/>
  <c r="E40" i="60"/>
  <c r="K40" i="60"/>
  <c r="O40" i="60" l="1"/>
  <c r="X40" i="60"/>
  <c r="C41" i="60"/>
  <c r="D41" i="60"/>
  <c r="E41" i="60"/>
  <c r="K41" i="60"/>
  <c r="O41" i="60" l="1"/>
  <c r="X41" i="60"/>
  <c r="C42" i="60"/>
  <c r="D42" i="60"/>
  <c r="E42" i="60"/>
  <c r="F5" i="60" s="1" a="1"/>
  <c r="F42" i="60" s="1"/>
  <c r="K42" i="60"/>
  <c r="P5" i="60" l="1" a="1"/>
  <c r="F5" i="60"/>
  <c r="F6" i="60"/>
  <c r="F7" i="60"/>
  <c r="F8" i="60"/>
  <c r="F9" i="60"/>
  <c r="F10" i="60"/>
  <c r="F11" i="60"/>
  <c r="F12" i="60"/>
  <c r="F13" i="60"/>
  <c r="F14" i="60"/>
  <c r="F15" i="60"/>
  <c r="F16" i="60"/>
  <c r="F17" i="60"/>
  <c r="F18" i="60"/>
  <c r="F19" i="60"/>
  <c r="F20" i="60"/>
  <c r="F21" i="60"/>
  <c r="F22" i="60"/>
  <c r="F23" i="60"/>
  <c r="F24" i="60"/>
  <c r="F25" i="60"/>
  <c r="F26" i="60"/>
  <c r="F27" i="60"/>
  <c r="F28" i="60"/>
  <c r="F29" i="60"/>
  <c r="F30" i="60"/>
  <c r="F31" i="60"/>
  <c r="F32" i="60"/>
  <c r="F33" i="60"/>
  <c r="F34" i="60"/>
  <c r="F35" i="60"/>
  <c r="F36" i="60"/>
  <c r="F37" i="60"/>
  <c r="F38" i="60"/>
  <c r="F39" i="60"/>
  <c r="F40" i="60"/>
  <c r="F41" i="60"/>
  <c r="O42" i="60"/>
  <c r="X42" i="60"/>
  <c r="E5" i="59"/>
  <c r="K5" i="59"/>
  <c r="F4" i="59"/>
  <c r="P5" i="60" l="1"/>
  <c r="P28" i="60"/>
  <c r="P11" i="60"/>
  <c r="P12" i="60"/>
  <c r="P19" i="60"/>
  <c r="P20" i="60"/>
  <c r="P17" i="60"/>
  <c r="P40" i="60"/>
  <c r="P15" i="60"/>
  <c r="P29" i="60"/>
  <c r="P9" i="60"/>
  <c r="P32" i="60"/>
  <c r="P7" i="60"/>
  <c r="P21" i="60"/>
  <c r="P42" i="60"/>
  <c r="P34" i="60"/>
  <c r="P8" i="60"/>
  <c r="P22" i="60"/>
  <c r="P26" i="60"/>
  <c r="P18" i="60"/>
  <c r="P39" i="60"/>
  <c r="P14" i="60"/>
  <c r="P36" i="60"/>
  <c r="P38" i="60"/>
  <c r="P27" i="60"/>
  <c r="P30" i="60"/>
  <c r="P10" i="60"/>
  <c r="P6" i="60"/>
  <c r="P41" i="60"/>
  <c r="P37" i="60"/>
  <c r="P25" i="60"/>
  <c r="P24" i="60"/>
  <c r="P13" i="60"/>
  <c r="P35" i="60"/>
  <c r="P16" i="60"/>
  <c r="P33" i="60"/>
  <c r="P31" i="60"/>
  <c r="P23" i="60"/>
  <c r="O5" i="59"/>
  <c r="X5" i="59"/>
  <c r="E6" i="59"/>
  <c r="Q5" i="60"/>
  <c r="Q15" i="60"/>
  <c r="Q8" i="60"/>
  <c r="Q27" i="60"/>
  <c r="Q13" i="60"/>
  <c r="Q42" i="60"/>
  <c r="Q28" i="60"/>
  <c r="Q29" i="60"/>
  <c r="Q22" i="60"/>
  <c r="Q30" i="60"/>
  <c r="Q35" i="60"/>
  <c r="K6" i="59"/>
  <c r="Q11" i="60"/>
  <c r="Q9" i="60"/>
  <c r="Q26" i="60"/>
  <c r="Q10" i="60"/>
  <c r="Q16" i="60"/>
  <c r="Q12" i="60"/>
  <c r="Q32" i="60"/>
  <c r="Q18" i="60"/>
  <c r="Q6" i="60"/>
  <c r="Q33" i="60"/>
  <c r="Q39" i="60"/>
  <c r="Q31" i="60"/>
  <c r="Q20" i="60"/>
  <c r="Q21" i="60"/>
  <c r="Q37" i="60"/>
  <c r="Q23" i="60"/>
  <c r="Q36" i="60"/>
  <c r="Q17" i="60"/>
  <c r="Q19" i="60"/>
  <c r="Q7" i="60"/>
  <c r="Q41" i="60"/>
  <c r="Q14" i="60"/>
  <c r="Q25" i="60"/>
  <c r="Q40" i="60"/>
  <c r="Q34" i="60"/>
  <c r="Q38" i="60"/>
  <c r="Q24" i="60"/>
  <c r="O6" i="59" l="1"/>
  <c r="X6" i="59"/>
  <c r="E7" i="59"/>
  <c r="K7" i="59"/>
  <c r="O7" i="59" l="1"/>
  <c r="X7" i="59"/>
  <c r="E8" i="59"/>
  <c r="K8" i="59"/>
  <c r="O8" i="59" l="1"/>
  <c r="X8" i="59"/>
  <c r="E9" i="59"/>
  <c r="K9" i="59"/>
  <c r="O9" i="59" l="1"/>
  <c r="X9" i="59"/>
  <c r="E10" i="59"/>
  <c r="K10" i="59"/>
  <c r="O10" i="59" l="1"/>
  <c r="X10" i="59"/>
  <c r="E11" i="59"/>
  <c r="F5" i="59" s="1" a="1"/>
  <c r="K11" i="59"/>
  <c r="P5" i="59" l="1" a="1"/>
  <c r="F5" i="59"/>
  <c r="F6" i="59"/>
  <c r="F7" i="59"/>
  <c r="F8" i="59"/>
  <c r="F9" i="59"/>
  <c r="F10" i="59"/>
  <c r="F11" i="59"/>
  <c r="O11" i="59"/>
  <c r="X11" i="59"/>
  <c r="E5" i="58"/>
  <c r="O5" i="58" s="1"/>
  <c r="E6" i="58"/>
  <c r="K5" i="58"/>
  <c r="K6" i="58"/>
  <c r="F4" i="58"/>
  <c r="X5" i="58" l="1"/>
  <c r="P5" i="59"/>
  <c r="P6" i="59"/>
  <c r="P10" i="59"/>
  <c r="P9" i="59"/>
  <c r="P11" i="59"/>
  <c r="P8" i="59"/>
  <c r="P7" i="59"/>
  <c r="O6" i="58"/>
  <c r="X6" i="58"/>
  <c r="E7" i="58"/>
  <c r="Q5" i="59"/>
  <c r="Q6" i="59"/>
  <c r="Q10" i="59"/>
  <c r="K7" i="58"/>
  <c r="Q9" i="59"/>
  <c r="Q11" i="59"/>
  <c r="Q8" i="59"/>
  <c r="Q7" i="59"/>
  <c r="O7" i="58" l="1"/>
  <c r="X7" i="58"/>
  <c r="E8" i="58"/>
  <c r="K8" i="58"/>
  <c r="O8" i="58" l="1"/>
  <c r="X8" i="58"/>
  <c r="E9" i="58"/>
  <c r="K9" i="58"/>
  <c r="O9" i="58" l="1"/>
  <c r="X9" i="58"/>
  <c r="E10" i="58"/>
  <c r="K10" i="58"/>
  <c r="O10" i="58" l="1"/>
  <c r="X10" i="58"/>
  <c r="E11" i="58"/>
  <c r="K11" i="58"/>
  <c r="O11" i="58" l="1"/>
  <c r="X11" i="58"/>
  <c r="E12" i="58"/>
  <c r="K12" i="58"/>
  <c r="O12" i="58" l="1"/>
  <c r="X12" i="58"/>
  <c r="E13" i="58"/>
  <c r="K13" i="58"/>
  <c r="O13" i="58" l="1"/>
  <c r="X13" i="58"/>
  <c r="E14" i="58"/>
  <c r="K14" i="58"/>
  <c r="O14" i="58" l="1"/>
  <c r="X14" i="58"/>
  <c r="E15" i="58"/>
  <c r="F5" i="58" s="1" a="1"/>
  <c r="F15" i="58" s="1"/>
  <c r="K15" i="58"/>
  <c r="P5" i="58" l="1" a="1"/>
  <c r="F5" i="58"/>
  <c r="F6" i="58"/>
  <c r="F7" i="58"/>
  <c r="F8" i="58"/>
  <c r="F9" i="58"/>
  <c r="F10" i="58"/>
  <c r="F11" i="58"/>
  <c r="F12" i="58"/>
  <c r="F13" i="58"/>
  <c r="F14" i="58"/>
  <c r="O15" i="58"/>
  <c r="X15" i="58"/>
  <c r="B5" i="57"/>
  <c r="F5" i="57"/>
  <c r="J5" i="57"/>
  <c r="J6" i="57"/>
  <c r="F6" i="56" a="1"/>
  <c r="F6" i="56" s="1"/>
  <c r="X6" i="56"/>
  <c r="X7" i="56"/>
  <c r="X8" i="56"/>
  <c r="X9" i="56"/>
  <c r="D5" i="53"/>
  <c r="N5" i="53" s="1"/>
  <c r="D6" i="53"/>
  <c r="L13" i="55"/>
  <c r="L21" i="55"/>
  <c r="L29" i="55"/>
  <c r="L37" i="55"/>
  <c r="L45" i="55"/>
  <c r="E6" i="54" a="1"/>
  <c r="L8" i="54"/>
  <c r="L16" i="54"/>
  <c r="E6" i="55" a="1"/>
  <c r="L8" i="55"/>
  <c r="L16" i="55"/>
  <c r="L24" i="55"/>
  <c r="L32" i="55"/>
  <c r="L40" i="55"/>
  <c r="L11" i="54"/>
  <c r="L20" i="55"/>
  <c r="L28" i="55"/>
  <c r="L36" i="55"/>
  <c r="L15" i="54"/>
  <c r="L47" i="55"/>
  <c r="E4" i="56"/>
  <c r="E6" i="56" s="1" a="1"/>
  <c r="L26" i="55"/>
  <c r="L42" i="55"/>
  <c r="L13" i="54"/>
  <c r="L11" i="55"/>
  <c r="L19" i="55"/>
  <c r="L27" i="55"/>
  <c r="L35" i="55"/>
  <c r="L43" i="55"/>
  <c r="L6" i="54"/>
  <c r="L14" i="54"/>
  <c r="J6" i="53"/>
  <c r="L9" i="55"/>
  <c r="L17" i="55"/>
  <c r="L12" i="55"/>
  <c r="L7" i="54"/>
  <c r="L39" i="55"/>
  <c r="J5" i="53"/>
  <c r="L9" i="56"/>
  <c r="L10" i="55"/>
  <c r="L34" i="55"/>
  <c r="L6" i="56"/>
  <c r="L8" i="56"/>
  <c r="L6" i="55"/>
  <c r="L14" i="55"/>
  <c r="L22" i="55"/>
  <c r="L30" i="55"/>
  <c r="L38" i="55"/>
  <c r="L46" i="55"/>
  <c r="L9" i="54"/>
  <c r="L17" i="54"/>
  <c r="L25" i="55"/>
  <c r="L33" i="55"/>
  <c r="L41" i="55"/>
  <c r="L12" i="54"/>
  <c r="L44" i="55"/>
  <c r="L7" i="55"/>
  <c r="L15" i="55"/>
  <c r="L23" i="55"/>
  <c r="L31" i="55"/>
  <c r="L10" i="54"/>
  <c r="L7" i="56"/>
  <c r="L18" i="55"/>
  <c r="F5" i="56"/>
  <c r="F5" i="54"/>
  <c r="E4" i="53"/>
  <c r="F5" i="55"/>
  <c r="B4" i="57"/>
  <c r="F9" i="56" l="1"/>
  <c r="F8" i="56"/>
  <c r="F7" i="56"/>
  <c r="X18" i="55"/>
  <c r="X10" i="54"/>
  <c r="X31" i="55"/>
  <c r="X23" i="55"/>
  <c r="X15" i="55"/>
  <c r="X7" i="55"/>
  <c r="X44" i="55"/>
  <c r="X12" i="54"/>
  <c r="X41" i="55"/>
  <c r="X33" i="55"/>
  <c r="X25" i="55"/>
  <c r="X17" i="54"/>
  <c r="X9" i="54"/>
  <c r="X46" i="55"/>
  <c r="X38" i="55"/>
  <c r="X30" i="55"/>
  <c r="X22" i="55"/>
  <c r="X14" i="55"/>
  <c r="Q6" i="55" a="1"/>
  <c r="X6" i="55"/>
  <c r="Q6" i="56" a="1"/>
  <c r="X34" i="55"/>
  <c r="X10" i="55"/>
  <c r="W5" i="53"/>
  <c r="X39" i="55"/>
  <c r="X7" i="54"/>
  <c r="X12" i="55"/>
  <c r="X17" i="55"/>
  <c r="X9" i="55"/>
  <c r="X14" i="54"/>
  <c r="Q6" i="54" a="1"/>
  <c r="X6" i="54"/>
  <c r="X43" i="55"/>
  <c r="X35" i="55"/>
  <c r="X27" i="55"/>
  <c r="X19" i="55"/>
  <c r="X11" i="55"/>
  <c r="X13" i="54"/>
  <c r="X42" i="55"/>
  <c r="X26" i="55"/>
  <c r="E6" i="56"/>
  <c r="E8" i="56"/>
  <c r="E7" i="56"/>
  <c r="E9" i="56"/>
  <c r="X47" i="55"/>
  <c r="X15" i="54"/>
  <c r="X36" i="55"/>
  <c r="X28" i="55"/>
  <c r="X20" i="55"/>
  <c r="X11" i="54"/>
  <c r="X40" i="55"/>
  <c r="X32" i="55"/>
  <c r="X24" i="55"/>
  <c r="X16" i="55"/>
  <c r="X8" i="55"/>
  <c r="E8" i="55"/>
  <c r="E16" i="55"/>
  <c r="E24" i="55"/>
  <c r="E32" i="55"/>
  <c r="E40" i="55"/>
  <c r="E11" i="55"/>
  <c r="E19" i="55"/>
  <c r="E27" i="55"/>
  <c r="E35" i="55"/>
  <c r="E43" i="55"/>
  <c r="E7" i="55"/>
  <c r="E15" i="55"/>
  <c r="E47" i="55"/>
  <c r="E26" i="55"/>
  <c r="E6" i="55"/>
  <c r="E14" i="55"/>
  <c r="E22" i="55"/>
  <c r="E30" i="55"/>
  <c r="E38" i="55"/>
  <c r="E46" i="55"/>
  <c r="E12" i="55"/>
  <c r="E28" i="55"/>
  <c r="E36" i="55"/>
  <c r="E44" i="55"/>
  <c r="E23" i="55"/>
  <c r="E34" i="55"/>
  <c r="E21" i="55"/>
  <c r="E45" i="55"/>
  <c r="E9" i="55"/>
  <c r="E17" i="55"/>
  <c r="E25" i="55"/>
  <c r="E33" i="55"/>
  <c r="E41" i="55"/>
  <c r="E20" i="55"/>
  <c r="E31" i="55"/>
  <c r="E39" i="55"/>
  <c r="E10" i="55"/>
  <c r="E18" i="55"/>
  <c r="E42" i="55"/>
  <c r="E13" i="55"/>
  <c r="E29" i="55"/>
  <c r="E37" i="55"/>
  <c r="X16" i="54"/>
  <c r="X8" i="54"/>
  <c r="E11" i="54"/>
  <c r="E6" i="54"/>
  <c r="E14" i="54"/>
  <c r="E10" i="54"/>
  <c r="E9" i="54"/>
  <c r="E17" i="54"/>
  <c r="E12" i="54"/>
  <c r="E15" i="54"/>
  <c r="E13" i="54"/>
  <c r="E8" i="54"/>
  <c r="E7" i="54"/>
  <c r="E16" i="54"/>
  <c r="X45" i="55"/>
  <c r="X37" i="55"/>
  <c r="X29" i="55"/>
  <c r="X21" i="55"/>
  <c r="X13" i="55"/>
  <c r="K5" i="57" a="1"/>
  <c r="K6" i="57" s="1"/>
  <c r="P6" i="58"/>
  <c r="P15" i="58"/>
  <c r="P13" i="58"/>
  <c r="P7" i="58"/>
  <c r="P12" i="58"/>
  <c r="P11" i="58"/>
  <c r="P8" i="58"/>
  <c r="P5" i="58"/>
  <c r="P10" i="58"/>
  <c r="P9" i="58"/>
  <c r="P14" i="58"/>
  <c r="N6" i="53"/>
  <c r="W6" i="53"/>
  <c r="D7" i="53"/>
  <c r="Q13" i="58"/>
  <c r="Q14" i="58"/>
  <c r="Q12" i="58"/>
  <c r="L6" i="57"/>
  <c r="Q6" i="58"/>
  <c r="Q10" i="58"/>
  <c r="Q9" i="58"/>
  <c r="Q7" i="58"/>
  <c r="Q8" i="58"/>
  <c r="J7" i="53"/>
  <c r="Q5" i="58"/>
  <c r="Q11" i="58"/>
  <c r="Q15" i="58"/>
  <c r="Q7" i="54" l="1"/>
  <c r="Q6" i="54"/>
  <c r="Q14" i="54"/>
  <c r="Q15" i="54"/>
  <c r="Q13" i="54"/>
  <c r="Q10" i="54"/>
  <c r="Q17" i="54"/>
  <c r="Q9" i="54"/>
  <c r="Q12" i="54"/>
  <c r="Q11" i="54"/>
  <c r="Q16" i="54"/>
  <c r="Q8" i="54"/>
  <c r="Q6" i="56"/>
  <c r="Q8" i="56"/>
  <c r="Q7" i="56"/>
  <c r="Q9" i="56"/>
  <c r="Q6" i="55"/>
  <c r="Q20" i="55"/>
  <c r="Q38" i="55"/>
  <c r="Q44" i="55"/>
  <c r="Q18" i="55"/>
  <c r="Q8" i="55"/>
  <c r="Q35" i="55"/>
  <c r="Q30" i="55"/>
  <c r="Q28" i="55"/>
  <c r="Q10" i="55"/>
  <c r="Q47" i="55"/>
  <c r="Q33" i="55"/>
  <c r="Q45" i="55"/>
  <c r="Q27" i="55"/>
  <c r="Q40" i="55"/>
  <c r="Q23" i="55"/>
  <c r="Q17" i="55"/>
  <c r="Q37" i="55"/>
  <c r="Q11" i="55"/>
  <c r="Q32" i="55"/>
  <c r="Q15" i="55"/>
  <c r="Q19" i="55"/>
  <c r="Q12" i="55"/>
  <c r="Q39" i="55"/>
  <c r="Q34" i="55"/>
  <c r="Q43" i="55"/>
  <c r="Q31" i="55"/>
  <c r="Q9" i="55"/>
  <c r="Q42" i="55"/>
  <c r="Q7" i="55"/>
  <c r="Q46" i="55"/>
  <c r="Q26" i="55"/>
  <c r="Q13" i="55"/>
  <c r="Q22" i="55"/>
  <c r="Q41" i="55"/>
  <c r="Q14" i="55"/>
  <c r="Q25" i="55"/>
  <c r="Q21" i="55"/>
  <c r="Q29" i="55"/>
  <c r="Q24" i="55"/>
  <c r="Q36" i="55"/>
  <c r="Q16" i="55"/>
  <c r="K5" i="57"/>
  <c r="N7" i="53"/>
  <c r="W7" i="53"/>
  <c r="D8" i="53"/>
  <c r="L5" i="57"/>
  <c r="L3" i="57" s="1"/>
  <c r="J8" i="53"/>
  <c r="N8" i="53" l="1"/>
  <c r="W8" i="53"/>
  <c r="D9" i="53"/>
  <c r="J9" i="53"/>
  <c r="N9" i="53" l="1"/>
  <c r="W9" i="53"/>
  <c r="D10" i="53"/>
  <c r="J10" i="53"/>
  <c r="N10" i="53" l="1"/>
  <c r="W10" i="53"/>
  <c r="D11" i="53"/>
  <c r="J11" i="53"/>
  <c r="N11" i="53" l="1"/>
  <c r="W11" i="53"/>
  <c r="D12" i="53"/>
  <c r="J12" i="53"/>
  <c r="N12" i="53" l="1"/>
  <c r="W12" i="53"/>
  <c r="D13" i="53"/>
  <c r="J13" i="53"/>
  <c r="N13" i="53" l="1"/>
  <c r="W13" i="53"/>
  <c r="D14" i="53"/>
  <c r="J14" i="53"/>
  <c r="N14" i="53" l="1"/>
  <c r="W14" i="53"/>
  <c r="C15" i="53"/>
  <c r="D15" i="53" s="1"/>
  <c r="J15" i="53"/>
  <c r="N15" i="53" l="1"/>
  <c r="W15" i="53"/>
  <c r="C16" i="53"/>
  <c r="D16" i="53" s="1"/>
  <c r="J16" i="53"/>
  <c r="N16" i="53" l="1"/>
  <c r="W16" i="53"/>
  <c r="C17" i="53"/>
  <c r="D17" i="53"/>
  <c r="J17" i="53"/>
  <c r="N17" i="53" l="1"/>
  <c r="W17" i="53"/>
  <c r="C18" i="53"/>
  <c r="D18" i="53" s="1"/>
  <c r="J18" i="53"/>
  <c r="N18" i="53" l="1"/>
  <c r="W18" i="53"/>
  <c r="C19" i="53"/>
  <c r="D19" i="53" s="1"/>
  <c r="J19" i="53"/>
  <c r="N19" i="53" l="1"/>
  <c r="W19" i="53"/>
  <c r="C20" i="53"/>
  <c r="D20" i="53" s="1"/>
  <c r="J20" i="53"/>
  <c r="N20" i="53" l="1"/>
  <c r="W20" i="53"/>
  <c r="C21" i="53"/>
  <c r="D21" i="53" s="1"/>
  <c r="J21" i="53"/>
  <c r="N21" i="53" l="1"/>
  <c r="W21" i="53"/>
  <c r="C22" i="53"/>
  <c r="D22" i="53" s="1"/>
  <c r="J22" i="53"/>
  <c r="N22" i="53" l="1"/>
  <c r="W22" i="53"/>
  <c r="C23" i="53"/>
  <c r="D23" i="53" s="1"/>
  <c r="J23" i="53"/>
  <c r="N23" i="53" l="1"/>
  <c r="W23" i="53"/>
  <c r="C24" i="53"/>
  <c r="D24" i="53" s="1"/>
  <c r="J24" i="53"/>
  <c r="N24" i="53" l="1"/>
  <c r="W24" i="53"/>
  <c r="C25" i="53"/>
  <c r="D25" i="53" s="1"/>
  <c r="J25" i="53"/>
  <c r="N25" i="53" l="1"/>
  <c r="W25" i="53"/>
  <c r="C26" i="53"/>
  <c r="D26" i="53" s="1"/>
  <c r="J26" i="53"/>
  <c r="N26" i="53" l="1"/>
  <c r="W26" i="53"/>
  <c r="C27" i="53"/>
  <c r="D27" i="53" s="1"/>
  <c r="J27" i="53"/>
  <c r="N27" i="53" l="1"/>
  <c r="W27" i="53"/>
  <c r="C28" i="53"/>
  <c r="D28" i="53" s="1"/>
  <c r="J28" i="53"/>
  <c r="N28" i="53" l="1"/>
  <c r="W28" i="53"/>
  <c r="C29" i="53"/>
  <c r="D29" i="53" s="1"/>
  <c r="J29" i="53"/>
  <c r="N29" i="53" l="1"/>
  <c r="W29" i="53"/>
  <c r="C30" i="53"/>
  <c r="D30" i="53" s="1"/>
  <c r="J30" i="53"/>
  <c r="N30" i="53" l="1"/>
  <c r="W30" i="53"/>
  <c r="C31" i="53"/>
  <c r="D31" i="53" s="1"/>
  <c r="J31" i="53"/>
  <c r="N31" i="53" l="1"/>
  <c r="W31" i="53"/>
  <c r="C32" i="53"/>
  <c r="D32" i="53" s="1"/>
  <c r="J32" i="53"/>
  <c r="N32" i="53" l="1"/>
  <c r="W32" i="53"/>
  <c r="C33" i="53"/>
  <c r="D33" i="53" s="1"/>
  <c r="E5" i="53" s="1" a="1"/>
  <c r="J33" i="53"/>
  <c r="O5" i="53" l="1" a="1"/>
  <c r="E5" i="53"/>
  <c r="E6" i="53"/>
  <c r="E7" i="53"/>
  <c r="E8" i="53"/>
  <c r="E9" i="53"/>
  <c r="E10" i="53"/>
  <c r="E11" i="53"/>
  <c r="E12" i="53"/>
  <c r="E13" i="53"/>
  <c r="E14" i="53"/>
  <c r="E15" i="53"/>
  <c r="E16" i="53"/>
  <c r="E17" i="53"/>
  <c r="E18" i="53"/>
  <c r="E19" i="53"/>
  <c r="E20" i="53"/>
  <c r="E21" i="53"/>
  <c r="E22" i="53"/>
  <c r="E23" i="53"/>
  <c r="E24" i="53"/>
  <c r="E25" i="53"/>
  <c r="E26" i="53"/>
  <c r="E27" i="53"/>
  <c r="E28" i="53"/>
  <c r="E29" i="53"/>
  <c r="E30" i="53"/>
  <c r="E31" i="53"/>
  <c r="E32" i="53"/>
  <c r="E33" i="53"/>
  <c r="N33" i="53"/>
  <c r="W33" i="53"/>
  <c r="D4" i="52"/>
  <c r="C5" i="52"/>
  <c r="H5" i="52"/>
  <c r="P5" i="52"/>
  <c r="C6" i="52"/>
  <c r="H6" i="52"/>
  <c r="C7" i="52"/>
  <c r="H7" i="52"/>
  <c r="C8" i="52"/>
  <c r="H8" i="52"/>
  <c r="C9" i="52"/>
  <c r="H9" i="52"/>
  <c r="C10" i="52"/>
  <c r="H10" i="52"/>
  <c r="C11" i="52"/>
  <c r="H11" i="52"/>
  <c r="C12" i="52"/>
  <c r="H12" i="52"/>
  <c r="C13" i="52"/>
  <c r="H13" i="52"/>
  <c r="C14" i="52"/>
  <c r="H14" i="52"/>
  <c r="C15" i="52"/>
  <c r="H15" i="52"/>
  <c r="C16" i="52"/>
  <c r="H16" i="52"/>
  <c r="C17" i="52"/>
  <c r="H17" i="52"/>
  <c r="C18" i="52"/>
  <c r="H18" i="52"/>
  <c r="C19" i="52"/>
  <c r="H19" i="52"/>
  <c r="C20" i="52"/>
  <c r="H20" i="52"/>
  <c r="C21" i="52"/>
  <c r="H21" i="52"/>
  <c r="C22" i="52"/>
  <c r="H22" i="52"/>
  <c r="C4" i="52"/>
  <c r="O6" i="53" l="1"/>
  <c r="O28" i="53"/>
  <c r="O25" i="53"/>
  <c r="O15" i="53"/>
  <c r="O21" i="53"/>
  <c r="O12" i="53"/>
  <c r="O17" i="53"/>
  <c r="O7" i="53"/>
  <c r="O19" i="53"/>
  <c r="O26" i="53"/>
  <c r="O16" i="53"/>
  <c r="O14" i="53"/>
  <c r="O24" i="53"/>
  <c r="O18" i="53"/>
  <c r="O8" i="53"/>
  <c r="O5" i="53"/>
  <c r="O9" i="53"/>
  <c r="O20" i="53"/>
  <c r="O32" i="53"/>
  <c r="O29" i="53"/>
  <c r="O31" i="53"/>
  <c r="O13" i="53"/>
  <c r="O23" i="53"/>
  <c r="O33" i="53"/>
  <c r="O27" i="53"/>
  <c r="O30" i="53"/>
  <c r="O11" i="53"/>
  <c r="O22" i="53"/>
  <c r="O10" i="53"/>
  <c r="D8" i="51"/>
  <c r="I2" i="50"/>
  <c r="F3" i="50"/>
  <c r="H3" i="50"/>
  <c r="I3" i="50"/>
  <c r="F4" i="50"/>
  <c r="H4" i="50"/>
  <c r="I4" i="50"/>
  <c r="F5" i="50"/>
  <c r="H5" i="50"/>
  <c r="I5" i="50"/>
  <c r="F6" i="50"/>
  <c r="H6" i="50"/>
  <c r="I6" i="50"/>
  <c r="F7" i="50"/>
  <c r="H7" i="50"/>
  <c r="I7" i="50"/>
  <c r="F8" i="50"/>
  <c r="H8" i="50"/>
  <c r="I8" i="50"/>
  <c r="F9" i="50"/>
  <c r="H9" i="50"/>
  <c r="I9" i="50"/>
  <c r="F10" i="50"/>
  <c r="H10" i="50"/>
  <c r="I10" i="50"/>
  <c r="F11" i="50"/>
  <c r="H11" i="50"/>
  <c r="I11" i="50"/>
  <c r="F12" i="50"/>
  <c r="H12" i="50"/>
  <c r="I12" i="50"/>
  <c r="F13" i="50"/>
  <c r="H13" i="50"/>
  <c r="I13" i="50"/>
  <c r="F14" i="50"/>
  <c r="H14" i="50"/>
  <c r="I14" i="50"/>
  <c r="F15" i="50"/>
  <c r="H15" i="50"/>
  <c r="I15" i="50"/>
  <c r="F16" i="50"/>
  <c r="H16" i="50"/>
  <c r="I16" i="50"/>
  <c r="F17" i="50"/>
  <c r="H17" i="50"/>
  <c r="I17" i="50"/>
  <c r="F18" i="50"/>
  <c r="H18" i="50"/>
  <c r="I18" i="50"/>
  <c r="F19" i="50"/>
  <c r="H19" i="50"/>
  <c r="I19" i="50"/>
  <c r="F20" i="50"/>
  <c r="H20" i="50"/>
  <c r="I20" i="50"/>
  <c r="F21" i="50"/>
  <c r="H21" i="50"/>
  <c r="I21" i="50"/>
  <c r="F22" i="50"/>
  <c r="H22" i="50"/>
  <c r="I22" i="50"/>
  <c r="F23" i="50"/>
  <c r="H23" i="50"/>
  <c r="I23" i="50"/>
  <c r="F24" i="50"/>
  <c r="H24" i="50"/>
  <c r="I24" i="50"/>
  <c r="F25" i="50"/>
  <c r="H25" i="50"/>
  <c r="I25" i="50"/>
  <c r="F26" i="50"/>
  <c r="H26" i="50"/>
  <c r="I26" i="50"/>
  <c r="F27" i="50"/>
  <c r="H27" i="50"/>
  <c r="I27" i="50"/>
  <c r="F28" i="50"/>
  <c r="H28" i="50"/>
  <c r="I28" i="50"/>
  <c r="F29" i="50"/>
  <c r="H29" i="50"/>
  <c r="I29" i="50"/>
  <c r="F30" i="50"/>
  <c r="H30" i="50"/>
  <c r="I30" i="50"/>
  <c r="F31" i="50"/>
  <c r="H31" i="50"/>
  <c r="I31" i="50"/>
  <c r="F32" i="50"/>
  <c r="H32" i="50"/>
  <c r="I32" i="50"/>
  <c r="F33" i="50"/>
  <c r="H33" i="50"/>
  <c r="I33" i="50"/>
  <c r="F34" i="50"/>
  <c r="H34" i="50"/>
  <c r="I34" i="50"/>
  <c r="F35" i="50"/>
  <c r="H35" i="50"/>
  <c r="I35" i="50"/>
  <c r="F36" i="50"/>
  <c r="H36" i="50"/>
  <c r="I36" i="50"/>
  <c r="F37" i="50"/>
  <c r="H37" i="50"/>
  <c r="I37" i="50"/>
  <c r="F38" i="50"/>
  <c r="H38" i="50"/>
  <c r="I38" i="50"/>
  <c r="F39" i="50"/>
  <c r="H39" i="50"/>
  <c r="I39" i="50"/>
  <c r="I2" i="49"/>
  <c r="F3" i="49"/>
  <c r="H3" i="49"/>
  <c r="I3" i="49"/>
  <c r="F4" i="49"/>
  <c r="H4" i="49"/>
  <c r="I4" i="49"/>
  <c r="F5" i="49"/>
  <c r="H5" i="49"/>
  <c r="I5" i="49"/>
  <c r="F6" i="49"/>
  <c r="H6" i="49"/>
  <c r="I6" i="49"/>
  <c r="F7" i="49"/>
  <c r="H7" i="49"/>
  <c r="I7" i="49"/>
  <c r="F8" i="49"/>
  <c r="H8" i="49"/>
  <c r="I8" i="49"/>
  <c r="F9" i="49"/>
  <c r="H9" i="49"/>
  <c r="I9" i="49"/>
  <c r="F10" i="49"/>
  <c r="H10" i="49"/>
  <c r="I10" i="49"/>
  <c r="F11" i="49"/>
  <c r="H11" i="49"/>
  <c r="I11" i="49"/>
  <c r="F12" i="49"/>
  <c r="H12" i="49"/>
  <c r="I12" i="49"/>
  <c r="F13" i="49"/>
  <c r="H13" i="49"/>
  <c r="I13" i="49"/>
  <c r="F14" i="49"/>
  <c r="H14" i="49"/>
  <c r="I14" i="49"/>
  <c r="F15" i="49"/>
  <c r="H15" i="49"/>
  <c r="I15" i="49"/>
  <c r="F16" i="49"/>
  <c r="H16" i="49"/>
  <c r="I16" i="49"/>
  <c r="F17" i="49"/>
  <c r="H17" i="49"/>
  <c r="I17" i="49"/>
  <c r="F18" i="49"/>
  <c r="H18" i="49"/>
  <c r="I18" i="49"/>
  <c r="F19" i="49"/>
  <c r="H19" i="49"/>
  <c r="I19" i="49"/>
  <c r="F20" i="49"/>
  <c r="H20" i="49"/>
  <c r="I20" i="49"/>
  <c r="F21" i="49"/>
  <c r="H21" i="49"/>
  <c r="I21" i="49"/>
  <c r="F22" i="49"/>
  <c r="H22" i="49"/>
  <c r="I22" i="49"/>
  <c r="F23" i="49"/>
  <c r="H23" i="49"/>
  <c r="I23" i="49"/>
  <c r="F24" i="49"/>
  <c r="H24" i="49"/>
  <c r="I24" i="49"/>
  <c r="F25" i="49"/>
  <c r="H25" i="49"/>
  <c r="I25" i="49"/>
  <c r="F26" i="49"/>
  <c r="H26" i="49"/>
  <c r="I26" i="49"/>
  <c r="F27" i="49"/>
  <c r="H27" i="49"/>
  <c r="I27" i="49"/>
  <c r="F28" i="49"/>
  <c r="H28" i="49"/>
  <c r="I28" i="49"/>
  <c r="F29" i="49"/>
  <c r="H29" i="49"/>
  <c r="I29" i="49"/>
  <c r="F30" i="49"/>
  <c r="H30" i="49"/>
  <c r="I30" i="49"/>
  <c r="F31" i="49"/>
  <c r="H31" i="49"/>
  <c r="I31" i="49"/>
  <c r="F32" i="49"/>
  <c r="H32" i="49"/>
  <c r="I32" i="49"/>
  <c r="F33" i="49"/>
  <c r="H33" i="49"/>
  <c r="I33" i="49"/>
  <c r="F34" i="49"/>
  <c r="H34" i="49"/>
  <c r="I34" i="49"/>
  <c r="F35" i="49"/>
  <c r="H35" i="49"/>
  <c r="I35" i="49"/>
  <c r="F36" i="49"/>
  <c r="H36" i="49"/>
  <c r="I36" i="49"/>
  <c r="F37" i="49"/>
  <c r="H37" i="49"/>
  <c r="I37" i="49"/>
  <c r="F38" i="49"/>
  <c r="H38" i="49"/>
  <c r="I38" i="49"/>
  <c r="F39" i="49"/>
  <c r="H39" i="49"/>
  <c r="I39" i="49"/>
  <c r="I2" i="48"/>
  <c r="F3" i="48"/>
  <c r="H3" i="48"/>
  <c r="I3" i="48"/>
  <c r="F4" i="48"/>
  <c r="H4" i="48"/>
  <c r="I4" i="48"/>
  <c r="F5" i="48"/>
  <c r="H5" i="48"/>
  <c r="I5" i="48"/>
  <c r="F6" i="48"/>
  <c r="H6" i="48"/>
  <c r="I6" i="48"/>
  <c r="F7" i="48"/>
  <c r="H7" i="48"/>
  <c r="I7" i="48"/>
  <c r="F8" i="48"/>
  <c r="H8" i="48"/>
  <c r="I8" i="48"/>
  <c r="F9" i="48"/>
  <c r="H9" i="48"/>
  <c r="I9" i="48"/>
  <c r="F10" i="48"/>
  <c r="H10" i="48"/>
  <c r="I10" i="48"/>
  <c r="F11" i="48"/>
  <c r="H11" i="48"/>
  <c r="I11" i="48"/>
  <c r="F12" i="48"/>
  <c r="H12" i="48"/>
  <c r="I12" i="48"/>
  <c r="F13" i="48"/>
  <c r="H13" i="48"/>
  <c r="I13" i="48"/>
  <c r="F14" i="48"/>
  <c r="H14" i="48"/>
  <c r="I14" i="48"/>
  <c r="F15" i="48"/>
  <c r="H15" i="48"/>
  <c r="I15" i="48"/>
  <c r="F16" i="48"/>
  <c r="H16" i="48"/>
  <c r="I16" i="48"/>
  <c r="F17" i="48"/>
  <c r="H17" i="48"/>
  <c r="I17" i="48"/>
  <c r="F18" i="48"/>
  <c r="H18" i="48"/>
  <c r="I18" i="48"/>
  <c r="F19" i="48"/>
  <c r="H19" i="48"/>
  <c r="I19" i="48"/>
  <c r="F20" i="48"/>
  <c r="H20" i="48"/>
  <c r="I20" i="48"/>
  <c r="F21" i="48"/>
  <c r="H21" i="48"/>
  <c r="I21" i="48"/>
  <c r="F22" i="48"/>
  <c r="H22" i="48"/>
  <c r="I22" i="48"/>
  <c r="F23" i="48"/>
  <c r="H23" i="48"/>
  <c r="I23" i="48"/>
  <c r="F24" i="48"/>
  <c r="H24" i="48"/>
  <c r="I24" i="48"/>
  <c r="F25" i="48"/>
  <c r="H25" i="48"/>
  <c r="I25" i="48"/>
  <c r="F26" i="48"/>
  <c r="H26" i="48"/>
  <c r="I26" i="48"/>
  <c r="F27" i="48"/>
  <c r="H27" i="48"/>
  <c r="I27" i="48"/>
  <c r="F28" i="48"/>
  <c r="H28" i="48"/>
  <c r="I28" i="48"/>
  <c r="F29" i="48"/>
  <c r="H29" i="48"/>
  <c r="I29" i="48"/>
  <c r="F30" i="48"/>
  <c r="H30" i="48"/>
  <c r="I30" i="48"/>
  <c r="F31" i="48"/>
  <c r="H31" i="48"/>
  <c r="I31" i="48"/>
  <c r="F32" i="48"/>
  <c r="H32" i="48"/>
  <c r="I32" i="48"/>
  <c r="F33" i="48"/>
  <c r="H33" i="48"/>
  <c r="I33" i="48"/>
  <c r="F34" i="48"/>
  <c r="H34" i="48"/>
  <c r="I34" i="48"/>
  <c r="F35" i="48"/>
  <c r="H35" i="48"/>
  <c r="I35" i="48"/>
  <c r="F36" i="48"/>
  <c r="H36" i="48"/>
  <c r="I36" i="48"/>
  <c r="F37" i="48"/>
  <c r="H37" i="48"/>
  <c r="I37" i="48"/>
  <c r="F38" i="48"/>
  <c r="H38" i="48"/>
  <c r="I38" i="48"/>
  <c r="F39" i="48"/>
  <c r="H39" i="48"/>
  <c r="I39" i="48"/>
  <c r="I2" i="47"/>
  <c r="F3" i="47"/>
  <c r="H3" i="47"/>
  <c r="I3" i="47"/>
  <c r="F4" i="47"/>
  <c r="H4" i="47"/>
  <c r="I4" i="47"/>
  <c r="F5" i="47"/>
  <c r="H5" i="47"/>
  <c r="I5" i="47"/>
  <c r="F6" i="47"/>
  <c r="H6" i="47"/>
  <c r="I6" i="47"/>
  <c r="F7" i="47"/>
  <c r="H7" i="47"/>
  <c r="I7" i="47"/>
  <c r="F8" i="47"/>
  <c r="H8" i="47"/>
  <c r="I8" i="47"/>
  <c r="F9" i="47"/>
  <c r="H9" i="47"/>
  <c r="I9" i="47"/>
  <c r="F10" i="47"/>
  <c r="H10" i="47"/>
  <c r="I10" i="47"/>
  <c r="F11" i="47"/>
  <c r="H11" i="47"/>
  <c r="I11" i="47"/>
  <c r="F12" i="47"/>
  <c r="H12" i="47"/>
  <c r="I12" i="47"/>
  <c r="F13" i="47"/>
  <c r="H13" i="47"/>
  <c r="I13" i="47"/>
  <c r="F14" i="47"/>
  <c r="H14" i="47"/>
  <c r="I14" i="47"/>
  <c r="F15" i="47"/>
  <c r="H15" i="47"/>
  <c r="I15" i="47"/>
  <c r="F16" i="47"/>
  <c r="H16" i="47"/>
  <c r="I16" i="47"/>
  <c r="F17" i="47"/>
  <c r="H17" i="47"/>
  <c r="I17" i="47"/>
  <c r="F18" i="47"/>
  <c r="H18" i="47"/>
  <c r="I18" i="47"/>
  <c r="F19" i="47"/>
  <c r="H19" i="47"/>
  <c r="I19" i="47"/>
  <c r="F20" i="47"/>
  <c r="H20" i="47"/>
  <c r="I20" i="47"/>
  <c r="F21" i="47"/>
  <c r="H21" i="47"/>
  <c r="I21" i="47"/>
  <c r="F22" i="47"/>
  <c r="H22" i="47"/>
  <c r="I22" i="47"/>
  <c r="F23" i="47"/>
  <c r="H23" i="47"/>
  <c r="I23" i="47"/>
  <c r="F24" i="47"/>
  <c r="H24" i="47"/>
  <c r="I24" i="47"/>
  <c r="F25" i="47"/>
  <c r="H25" i="47"/>
  <c r="I25" i="47"/>
  <c r="F26" i="47"/>
  <c r="H26" i="47"/>
  <c r="I26" i="47"/>
  <c r="F27" i="47"/>
  <c r="H27" i="47"/>
  <c r="I27" i="47"/>
  <c r="F28" i="47"/>
  <c r="H28" i="47"/>
  <c r="I28" i="47"/>
  <c r="F29" i="47"/>
  <c r="H29" i="47"/>
  <c r="I29" i="47"/>
  <c r="F30" i="47"/>
  <c r="H30" i="47"/>
  <c r="I30" i="47"/>
  <c r="F31" i="47"/>
  <c r="H31" i="47"/>
  <c r="I31" i="47"/>
  <c r="F32" i="47"/>
  <c r="H32" i="47"/>
  <c r="I32" i="47"/>
  <c r="F33" i="47"/>
  <c r="H33" i="47"/>
  <c r="I33" i="47"/>
  <c r="F34" i="47"/>
  <c r="H34" i="47"/>
  <c r="I34" i="47"/>
  <c r="F35" i="47"/>
  <c r="H35" i="47"/>
  <c r="I35" i="47"/>
  <c r="F36" i="47"/>
  <c r="H36" i="47"/>
  <c r="I36" i="47"/>
  <c r="F37" i="47"/>
  <c r="H37" i="47"/>
  <c r="I37" i="47"/>
  <c r="F38" i="47"/>
  <c r="H38" i="47"/>
  <c r="I38" i="47"/>
  <c r="F39" i="47"/>
  <c r="H39" i="47"/>
  <c r="I39" i="47"/>
  <c r="P6" i="53"/>
  <c r="P19" i="53"/>
  <c r="P9" i="53"/>
  <c r="P27" i="53"/>
  <c r="P28" i="53"/>
  <c r="P25" i="53"/>
  <c r="P16" i="53"/>
  <c r="P32" i="53"/>
  <c r="P11" i="53"/>
  <c r="J17" i="49"/>
  <c r="J9" i="47"/>
  <c r="J13" i="49"/>
  <c r="J14" i="50"/>
  <c r="J22" i="50"/>
  <c r="K17" i="49"/>
  <c r="J32" i="48"/>
  <c r="J21" i="47"/>
  <c r="J12" i="48"/>
  <c r="J7" i="47"/>
  <c r="J34" i="50"/>
  <c r="J31" i="48"/>
  <c r="J33" i="50"/>
  <c r="J36" i="49"/>
  <c r="J10" i="47"/>
  <c r="P15" i="53"/>
  <c r="P14" i="53"/>
  <c r="P29" i="53"/>
  <c r="P22" i="53"/>
  <c r="J14" i="49"/>
  <c r="K14" i="49" s="1"/>
  <c r="J6" i="47"/>
  <c r="J24" i="49"/>
  <c r="J16" i="48"/>
  <c r="K16" i="48" s="1"/>
  <c r="J35" i="50"/>
  <c r="J11" i="50"/>
  <c r="J11" i="49"/>
  <c r="J37" i="48"/>
  <c r="J15" i="47"/>
  <c r="J10" i="48"/>
  <c r="J25" i="50"/>
  <c r="J28" i="49"/>
  <c r="J33" i="48"/>
  <c r="J33" i="47"/>
  <c r="J30" i="49"/>
  <c r="J38" i="50"/>
  <c r="K33" i="50"/>
  <c r="J33" i="49"/>
  <c r="K37" i="48"/>
  <c r="J34" i="47"/>
  <c r="J3" i="50"/>
  <c r="J25" i="49"/>
  <c r="J9" i="50"/>
  <c r="K9" i="50" s="1"/>
  <c r="J34" i="48"/>
  <c r="K10" i="48"/>
  <c r="J27" i="48"/>
  <c r="K33" i="47"/>
  <c r="P21" i="53"/>
  <c r="P24" i="53"/>
  <c r="P31" i="53"/>
  <c r="P10" i="53"/>
  <c r="J16" i="49"/>
  <c r="J38" i="47"/>
  <c r="J25" i="48"/>
  <c r="J5" i="47"/>
  <c r="K5" i="47" s="1"/>
  <c r="J16" i="50"/>
  <c r="J39" i="49"/>
  <c r="J26" i="48"/>
  <c r="J17" i="50"/>
  <c r="J39" i="48"/>
  <c r="J19" i="47"/>
  <c r="J32" i="47"/>
  <c r="J30" i="50"/>
  <c r="K30" i="50" s="1"/>
  <c r="K28" i="49"/>
  <c r="J22" i="48"/>
  <c r="J11" i="48"/>
  <c r="J28" i="50"/>
  <c r="K11" i="49"/>
  <c r="K22" i="50"/>
  <c r="J22" i="47"/>
  <c r="J37" i="50"/>
  <c r="J38" i="49"/>
  <c r="K38" i="49" s="1"/>
  <c r="J17" i="48"/>
  <c r="K17" i="48" s="1"/>
  <c r="J39" i="47"/>
  <c r="J32" i="49"/>
  <c r="J27" i="47"/>
  <c r="K27" i="47" s="1"/>
  <c r="J21" i="48"/>
  <c r="J36" i="47"/>
  <c r="J6" i="48"/>
  <c r="J3" i="48"/>
  <c r="K3" i="48" s="1"/>
  <c r="J35" i="48"/>
  <c r="K35" i="48" s="1"/>
  <c r="J3" i="47"/>
  <c r="K3" i="47" s="1"/>
  <c r="K16" i="49"/>
  <c r="J5" i="49"/>
  <c r="J4" i="50"/>
  <c r="P26" i="53"/>
  <c r="J29" i="48"/>
  <c r="J12" i="49"/>
  <c r="K12" i="49" s="1"/>
  <c r="J18" i="49"/>
  <c r="K18" i="49" s="1"/>
  <c r="J37" i="47"/>
  <c r="J27" i="50"/>
  <c r="P12" i="53"/>
  <c r="P18" i="53"/>
  <c r="P13" i="53"/>
  <c r="J7" i="49"/>
  <c r="J8" i="47"/>
  <c r="K8" i="47" s="1"/>
  <c r="J19" i="48"/>
  <c r="K19" i="48" s="1"/>
  <c r="J36" i="50"/>
  <c r="J3" i="49"/>
  <c r="K3" i="49" s="1"/>
  <c r="J26" i="50"/>
  <c r="J10" i="49"/>
  <c r="J23" i="48"/>
  <c r="K23" i="48" s="1"/>
  <c r="J20" i="49"/>
  <c r="J25" i="47"/>
  <c r="K39" i="47"/>
  <c r="J10" i="50"/>
  <c r="J19" i="50"/>
  <c r="K25" i="49"/>
  <c r="K22" i="48"/>
  <c r="J11" i="47"/>
  <c r="K11" i="48"/>
  <c r="J29" i="50"/>
  <c r="K29" i="50" s="1"/>
  <c r="J9" i="49"/>
  <c r="J34" i="49"/>
  <c r="J21" i="50"/>
  <c r="K24" i="49"/>
  <c r="J24" i="47"/>
  <c r="J39" i="50"/>
  <c r="J12" i="50"/>
  <c r="J18" i="47"/>
  <c r="J24" i="48"/>
  <c r="K9" i="47"/>
  <c r="J6" i="49"/>
  <c r="J31" i="50"/>
  <c r="K31" i="50" s="1"/>
  <c r="J4" i="47"/>
  <c r="J31" i="49"/>
  <c r="J23" i="49"/>
  <c r="K33" i="48"/>
  <c r="J13" i="50"/>
  <c r="J23" i="50"/>
  <c r="K23" i="50" s="1"/>
  <c r="J28" i="48"/>
  <c r="J15" i="49"/>
  <c r="J32" i="50"/>
  <c r="J29" i="47"/>
  <c r="K29" i="47" s="1"/>
  <c r="J28" i="47"/>
  <c r="J30" i="48"/>
  <c r="P20" i="53"/>
  <c r="K18" i="47"/>
  <c r="J36" i="48"/>
  <c r="J20" i="48"/>
  <c r="J26" i="47"/>
  <c r="J15" i="50"/>
  <c r="J20" i="47"/>
  <c r="P17" i="53"/>
  <c r="P8" i="53"/>
  <c r="P23" i="53"/>
  <c r="B1" i="51"/>
  <c r="J9" i="48"/>
  <c r="K9" i="48" s="1"/>
  <c r="J23" i="47"/>
  <c r="K29" i="48"/>
  <c r="J5" i="50"/>
  <c r="J27" i="49"/>
  <c r="K11" i="50"/>
  <c r="K10" i="49"/>
  <c r="J17" i="47"/>
  <c r="K17" i="47" s="1"/>
  <c r="J22" i="49"/>
  <c r="K6" i="47"/>
  <c r="J18" i="50"/>
  <c r="K18" i="50" s="1"/>
  <c r="J21" i="49"/>
  <c r="J24" i="50"/>
  <c r="K24" i="50" s="1"/>
  <c r="J19" i="49"/>
  <c r="J8" i="48"/>
  <c r="K8" i="48" s="1"/>
  <c r="K19" i="47"/>
  <c r="J29" i="49"/>
  <c r="K32" i="49"/>
  <c r="J20" i="50"/>
  <c r="K21" i="49"/>
  <c r="K32" i="47"/>
  <c r="K33" i="49"/>
  <c r="J8" i="49"/>
  <c r="J37" i="49"/>
  <c r="P7" i="53"/>
  <c r="P5" i="53"/>
  <c r="P33" i="53"/>
  <c r="J8" i="50"/>
  <c r="K8" i="50" s="1"/>
  <c r="J14" i="47"/>
  <c r="K14" i="47" s="1"/>
  <c r="J7" i="50"/>
  <c r="J35" i="49"/>
  <c r="J38" i="48"/>
  <c r="K38" i="48" s="1"/>
  <c r="J5" i="48"/>
  <c r="K5" i="48" s="1"/>
  <c r="J13" i="48"/>
  <c r="K13" i="48" s="1"/>
  <c r="K35" i="50"/>
  <c r="J26" i="49"/>
  <c r="J16" i="47"/>
  <c r="K16" i="50"/>
  <c r="J14" i="48"/>
  <c r="K21" i="47"/>
  <c r="J15" i="48"/>
  <c r="J4" i="48"/>
  <c r="J35" i="47"/>
  <c r="K25" i="48"/>
  <c r="J6" i="50"/>
  <c r="J18" i="48"/>
  <c r="P30" i="53"/>
  <c r="J4" i="49"/>
  <c r="K4" i="49" s="1"/>
  <c r="J30" i="47"/>
  <c r="J31" i="47"/>
  <c r="K31" i="47" s="1"/>
  <c r="K26" i="50"/>
  <c r="J12" i="47"/>
  <c r="J13" i="47"/>
  <c r="J7" i="48"/>
  <c r="J2" i="48"/>
  <c r="D8" i="46" l="1"/>
  <c r="F2" i="45"/>
  <c r="F3" i="45"/>
  <c r="F4" i="45"/>
  <c r="F6" i="45"/>
  <c r="K18" i="48"/>
  <c r="K29" i="49"/>
  <c r="K9" i="49"/>
  <c r="K5" i="49"/>
  <c r="K3" i="50"/>
  <c r="K39" i="49"/>
  <c r="K20" i="47"/>
  <c r="K34" i="48"/>
  <c r="K15" i="47"/>
  <c r="K7" i="47"/>
  <c r="K36" i="50"/>
  <c r="K6" i="50"/>
  <c r="K19" i="49"/>
  <c r="K11" i="47"/>
  <c r="K6" i="48"/>
  <c r="K38" i="50"/>
  <c r="K38" i="47"/>
  <c r="K28" i="47"/>
  <c r="K28" i="48"/>
  <c r="K30" i="47"/>
  <c r="K5" i="50"/>
  <c r="K35" i="47"/>
  <c r="K30" i="48"/>
  <c r="K19" i="50"/>
  <c r="K21" i="48"/>
  <c r="K25" i="50"/>
  <c r="B1" i="46"/>
  <c r="K31" i="48"/>
  <c r="K34" i="47"/>
  <c r="K4" i="50"/>
  <c r="K12" i="47"/>
  <c r="K32" i="50"/>
  <c r="K10" i="50"/>
  <c r="K37" i="50"/>
  <c r="K10" i="47"/>
  <c r="K4" i="48"/>
  <c r="K26" i="47"/>
  <c r="K16" i="47"/>
  <c r="K6" i="49"/>
  <c r="K22" i="47"/>
  <c r="K12" i="50"/>
  <c r="K7" i="50"/>
  <c r="K12" i="48"/>
  <c r="K39" i="50"/>
  <c r="K34" i="49"/>
  <c r="K35" i="49"/>
  <c r="K15" i="50"/>
  <c r="K34" i="50"/>
  <c r="K15" i="48"/>
  <c r="K15" i="49"/>
  <c r="K32" i="48"/>
  <c r="K25" i="47"/>
  <c r="K36" i="49"/>
  <c r="K27" i="49"/>
  <c r="K22" i="49"/>
  <c r="K36" i="48"/>
  <c r="K26" i="49"/>
  <c r="K24" i="48"/>
  <c r="K20" i="49"/>
  <c r="K17" i="50"/>
  <c r="K14" i="50"/>
  <c r="K20" i="50"/>
  <c r="K13" i="50"/>
  <c r="K7" i="49"/>
  <c r="K36" i="47"/>
  <c r="K14" i="48"/>
  <c r="K30" i="49"/>
  <c r="K7" i="48"/>
  <c r="K37" i="49"/>
  <c r="K24" i="47"/>
  <c r="K27" i="50"/>
  <c r="K26" i="48"/>
  <c r="K13" i="49"/>
  <c r="K4" i="47"/>
  <c r="K31" i="49"/>
  <c r="D7" i="45" a="1"/>
  <c r="K28" i="50"/>
  <c r="K23" i="47"/>
  <c r="K20" i="48"/>
  <c r="K13" i="47"/>
  <c r="K8" i="49"/>
  <c r="K21" i="50"/>
  <c r="K37" i="47"/>
  <c r="K27" i="48"/>
  <c r="K39" i="48"/>
  <c r="K23" i="49"/>
  <c r="K2" i="48"/>
  <c r="J2" i="49"/>
  <c r="J2" i="47"/>
  <c r="J2" i="50"/>
  <c r="D7" i="45" l="1"/>
  <c r="D15" i="45"/>
  <c r="D23" i="45"/>
  <c r="D31" i="45"/>
  <c r="D39" i="45"/>
  <c r="D47" i="45"/>
  <c r="D55" i="45"/>
  <c r="D63" i="45"/>
  <c r="D71" i="45"/>
  <c r="D79" i="45"/>
  <c r="D87" i="45"/>
  <c r="D95" i="45"/>
  <c r="D103" i="45"/>
  <c r="D111" i="45"/>
  <c r="D119" i="45"/>
  <c r="D108" i="45"/>
  <c r="D116" i="45"/>
  <c r="D17" i="45"/>
  <c r="D12" i="45"/>
  <c r="D20" i="45"/>
  <c r="D28" i="45"/>
  <c r="D36" i="45"/>
  <c r="D44" i="45"/>
  <c r="D52" i="45"/>
  <c r="D60" i="45"/>
  <c r="D68" i="45"/>
  <c r="D76" i="45"/>
  <c r="D84" i="45"/>
  <c r="D92" i="45"/>
  <c r="D100" i="45"/>
  <c r="D124" i="45"/>
  <c r="D9" i="45"/>
  <c r="D14" i="45"/>
  <c r="D22" i="45"/>
  <c r="D30" i="45"/>
  <c r="D38" i="45"/>
  <c r="D46" i="45"/>
  <c r="D54" i="45"/>
  <c r="D62" i="45"/>
  <c r="D70" i="45"/>
  <c r="D78" i="45"/>
  <c r="D86" i="45"/>
  <c r="D94" i="45"/>
  <c r="D102" i="45"/>
  <c r="D110" i="45"/>
  <c r="D118" i="45"/>
  <c r="D126" i="45"/>
  <c r="D83" i="45"/>
  <c r="D91" i="45"/>
  <c r="D99" i="45"/>
  <c r="D107" i="45"/>
  <c r="D115" i="45"/>
  <c r="D8" i="45"/>
  <c r="D16" i="45"/>
  <c r="D24" i="45"/>
  <c r="D11" i="45"/>
  <c r="D19" i="45"/>
  <c r="D27" i="45"/>
  <c r="D35" i="45"/>
  <c r="D43" i="45"/>
  <c r="D51" i="45"/>
  <c r="D59" i="45"/>
  <c r="D67" i="45"/>
  <c r="D75" i="45"/>
  <c r="D123" i="45"/>
  <c r="D40" i="45"/>
  <c r="D56" i="45"/>
  <c r="D72" i="45"/>
  <c r="D88" i="45"/>
  <c r="D104" i="45"/>
  <c r="D120" i="45"/>
  <c r="D37" i="45"/>
  <c r="D85" i="45"/>
  <c r="D101" i="45"/>
  <c r="D117" i="45"/>
  <c r="D114" i="45"/>
  <c r="D53" i="45"/>
  <c r="D69" i="45"/>
  <c r="D10" i="45"/>
  <c r="D50" i="45"/>
  <c r="D41" i="45"/>
  <c r="D57" i="45"/>
  <c r="D73" i="45"/>
  <c r="D89" i="45"/>
  <c r="D105" i="45"/>
  <c r="D121" i="45"/>
  <c r="D112" i="45"/>
  <c r="D61" i="45"/>
  <c r="D77" i="45"/>
  <c r="D42" i="45"/>
  <c r="D58" i="45"/>
  <c r="D74" i="45"/>
  <c r="D90" i="45"/>
  <c r="D122" i="45"/>
  <c r="D65" i="45"/>
  <c r="D34" i="45"/>
  <c r="D66" i="45"/>
  <c r="D18" i="45"/>
  <c r="D32" i="45"/>
  <c r="D48" i="45"/>
  <c r="D64" i="45"/>
  <c r="D80" i="45"/>
  <c r="D96" i="45"/>
  <c r="D13" i="45"/>
  <c r="D25" i="45"/>
  <c r="D29" i="45"/>
  <c r="D45" i="45"/>
  <c r="D93" i="45"/>
  <c r="D109" i="45"/>
  <c r="D125" i="45"/>
  <c r="D106" i="45"/>
  <c r="D21" i="45"/>
  <c r="D26" i="45"/>
  <c r="D33" i="45"/>
  <c r="D49" i="45"/>
  <c r="D81" i="45"/>
  <c r="D97" i="45"/>
  <c r="D113" i="45"/>
  <c r="D82" i="45"/>
  <c r="D98" i="45"/>
  <c r="K2" i="47"/>
  <c r="K2" i="49"/>
  <c r="K2" i="50"/>
  <c r="F48" i="45" l="1"/>
  <c r="E48" i="45"/>
  <c r="E89" i="45"/>
  <c r="F89" i="45"/>
  <c r="E72" i="45"/>
  <c r="F72" i="45"/>
  <c r="E43" i="45"/>
  <c r="F43" i="45"/>
  <c r="E102" i="45"/>
  <c r="F102" i="45"/>
  <c r="F84" i="45"/>
  <c r="E84" i="45"/>
  <c r="E95" i="45"/>
  <c r="F95" i="45"/>
  <c r="E49" i="45"/>
  <c r="F49" i="45"/>
  <c r="E58" i="45"/>
  <c r="F58" i="45"/>
  <c r="E56" i="45"/>
  <c r="F56" i="45"/>
  <c r="E94" i="45"/>
  <c r="F94" i="45"/>
  <c r="E87" i="45"/>
  <c r="F87" i="45"/>
  <c r="E33" i="45"/>
  <c r="F33" i="45"/>
  <c r="F101" i="45"/>
  <c r="E101" i="45"/>
  <c r="E79" i="45"/>
  <c r="F79" i="45"/>
  <c r="E26" i="45"/>
  <c r="F26" i="45"/>
  <c r="E91" i="45"/>
  <c r="F91" i="45"/>
  <c r="E81" i="45"/>
  <c r="F81" i="45"/>
  <c r="F93" i="45"/>
  <c r="E93" i="45"/>
  <c r="E74" i="45"/>
  <c r="F74" i="45"/>
  <c r="E114" i="45"/>
  <c r="F114" i="45"/>
  <c r="E115" i="45"/>
  <c r="F115" i="45"/>
  <c r="E38" i="45"/>
  <c r="F38" i="45"/>
  <c r="E20" i="45"/>
  <c r="F20" i="45"/>
  <c r="E31" i="45"/>
  <c r="F31" i="45"/>
  <c r="F45" i="45"/>
  <c r="E45" i="45"/>
  <c r="E32" i="45"/>
  <c r="F32" i="45"/>
  <c r="E73" i="45"/>
  <c r="F73" i="45"/>
  <c r="F117" i="45"/>
  <c r="E117" i="45"/>
  <c r="E35" i="45"/>
  <c r="F35" i="45"/>
  <c r="E107" i="45"/>
  <c r="F107" i="45"/>
  <c r="E30" i="45"/>
  <c r="F30" i="45"/>
  <c r="F76" i="45"/>
  <c r="E76" i="45"/>
  <c r="E12" i="45"/>
  <c r="F12" i="45"/>
  <c r="F23" i="45"/>
  <c r="E23" i="45"/>
  <c r="F29" i="45"/>
  <c r="E29" i="45"/>
  <c r="E18" i="45"/>
  <c r="F18" i="45"/>
  <c r="E42" i="45"/>
  <c r="F42" i="45"/>
  <c r="E57" i="45"/>
  <c r="F57" i="45"/>
  <c r="E40" i="45"/>
  <c r="F40" i="45"/>
  <c r="E27" i="45"/>
  <c r="F27" i="45"/>
  <c r="E99" i="45"/>
  <c r="F99" i="45"/>
  <c r="E86" i="45"/>
  <c r="F86" i="45"/>
  <c r="F22" i="45"/>
  <c r="E22" i="45"/>
  <c r="F68" i="45"/>
  <c r="E68" i="45"/>
  <c r="E17" i="45"/>
  <c r="F17" i="45"/>
  <c r="F15" i="45"/>
  <c r="E15" i="45"/>
  <c r="E25" i="45"/>
  <c r="F25" i="45"/>
  <c r="E66" i="45"/>
  <c r="F66" i="45"/>
  <c r="F77" i="45"/>
  <c r="E77" i="45"/>
  <c r="E41" i="45"/>
  <c r="F41" i="45"/>
  <c r="F85" i="45"/>
  <c r="E85" i="45"/>
  <c r="E123" i="45"/>
  <c r="F123" i="45"/>
  <c r="E19" i="45"/>
  <c r="F19" i="45"/>
  <c r="E78" i="45"/>
  <c r="F78" i="45"/>
  <c r="F14" i="45"/>
  <c r="E14" i="45"/>
  <c r="F60" i="45"/>
  <c r="E60" i="45"/>
  <c r="F116" i="45"/>
  <c r="E116" i="45"/>
  <c r="E98" i="45"/>
  <c r="F98" i="45"/>
  <c r="F21" i="45"/>
  <c r="E21" i="45"/>
  <c r="F13" i="45"/>
  <c r="E13" i="45"/>
  <c r="E34" i="45"/>
  <c r="F34" i="45"/>
  <c r="F61" i="45"/>
  <c r="E61" i="45"/>
  <c r="E50" i="45"/>
  <c r="F50" i="45"/>
  <c r="F37" i="45"/>
  <c r="E37" i="45"/>
  <c r="E75" i="45"/>
  <c r="F75" i="45"/>
  <c r="E11" i="45"/>
  <c r="F11" i="45"/>
  <c r="F83" i="45"/>
  <c r="E83" i="45"/>
  <c r="E70" i="45"/>
  <c r="F70" i="45"/>
  <c r="E9" i="45"/>
  <c r="F9" i="45"/>
  <c r="F52" i="45"/>
  <c r="E52" i="45"/>
  <c r="F108" i="45"/>
  <c r="E108" i="45"/>
  <c r="E63" i="45"/>
  <c r="F63" i="45"/>
  <c r="E82" i="45"/>
  <c r="F82" i="45"/>
  <c r="E106" i="45"/>
  <c r="F106" i="45"/>
  <c r="F96" i="45"/>
  <c r="E96" i="45"/>
  <c r="E65" i="45"/>
  <c r="F65" i="45"/>
  <c r="F112" i="45"/>
  <c r="E112" i="45"/>
  <c r="E10" i="45"/>
  <c r="F10" i="45"/>
  <c r="E120" i="45"/>
  <c r="F120" i="45"/>
  <c r="F67" i="45"/>
  <c r="E67" i="45"/>
  <c r="E24" i="45"/>
  <c r="F24" i="45"/>
  <c r="E126" i="45"/>
  <c r="F126" i="45"/>
  <c r="E62" i="45"/>
  <c r="F62" i="45"/>
  <c r="F124" i="45"/>
  <c r="E124" i="45"/>
  <c r="F44" i="45"/>
  <c r="E44" i="45"/>
  <c r="E119" i="45"/>
  <c r="F119" i="45"/>
  <c r="E55" i="45"/>
  <c r="F55" i="45"/>
  <c r="E113" i="45"/>
  <c r="F113" i="45"/>
  <c r="F125" i="45"/>
  <c r="E125" i="45"/>
  <c r="E80" i="45"/>
  <c r="F80" i="45"/>
  <c r="E122" i="45"/>
  <c r="F122" i="45"/>
  <c r="E121" i="45"/>
  <c r="F121" i="45"/>
  <c r="F69" i="45"/>
  <c r="E69" i="45"/>
  <c r="E104" i="45"/>
  <c r="F104" i="45"/>
  <c r="E59" i="45"/>
  <c r="F59" i="45"/>
  <c r="F16" i="45"/>
  <c r="E16" i="45"/>
  <c r="E118" i="45"/>
  <c r="F118" i="45"/>
  <c r="E54" i="45"/>
  <c r="F54" i="45"/>
  <c r="F100" i="45"/>
  <c r="E100" i="45"/>
  <c r="F36" i="45"/>
  <c r="E36" i="45"/>
  <c r="E111" i="45"/>
  <c r="F111" i="45"/>
  <c r="E47" i="45"/>
  <c r="F47" i="45"/>
  <c r="E97" i="45"/>
  <c r="F97" i="45"/>
  <c r="F109" i="45"/>
  <c r="E109" i="45"/>
  <c r="E64" i="45"/>
  <c r="F64" i="45"/>
  <c r="E90" i="45"/>
  <c r="F90" i="45"/>
  <c r="E105" i="45"/>
  <c r="F105" i="45"/>
  <c r="F53" i="45"/>
  <c r="E53" i="45"/>
  <c r="E88" i="45"/>
  <c r="F88" i="45"/>
  <c r="F51" i="45"/>
  <c r="E51" i="45"/>
  <c r="E8" i="45"/>
  <c r="F8" i="45"/>
  <c r="E110" i="45"/>
  <c r="F110" i="45"/>
  <c r="E46" i="45"/>
  <c r="F46" i="45"/>
  <c r="F92" i="45"/>
  <c r="E92" i="45"/>
  <c r="F28" i="45"/>
  <c r="E28" i="45"/>
  <c r="E103" i="45"/>
  <c r="F103" i="45"/>
  <c r="E39" i="45"/>
  <c r="F39" i="45"/>
  <c r="E71" i="45"/>
  <c r="F71" i="45"/>
  <c r="F7" i="45"/>
  <c r="E7" i="45"/>
  <c r="D8" i="44"/>
  <c r="C3" i="43"/>
  <c r="D3" i="43"/>
  <c r="E3" i="43"/>
  <c r="F3" i="43"/>
  <c r="G3" i="43"/>
  <c r="I3" i="43"/>
  <c r="C4" i="43"/>
  <c r="D4" i="43"/>
  <c r="E4" i="43"/>
  <c r="F4" i="43"/>
  <c r="G4" i="43"/>
  <c r="I4" i="43"/>
  <c r="C5" i="43"/>
  <c r="D5" i="43"/>
  <c r="E5" i="43"/>
  <c r="F5" i="43"/>
  <c r="G5" i="43"/>
  <c r="I5" i="43"/>
  <c r="C6" i="43"/>
  <c r="D6" i="43"/>
  <c r="E6" i="43"/>
  <c r="F6" i="43"/>
  <c r="G6" i="43"/>
  <c r="I6" i="43"/>
  <c r="C7" i="43"/>
  <c r="D7" i="43"/>
  <c r="E7" i="43"/>
  <c r="F7" i="43"/>
  <c r="G7" i="43"/>
  <c r="I7" i="43"/>
  <c r="C8" i="43"/>
  <c r="D8" i="43"/>
  <c r="E8" i="43"/>
  <c r="F8" i="43"/>
  <c r="G8" i="43"/>
  <c r="I8" i="43"/>
  <c r="C9" i="43"/>
  <c r="D9" i="43"/>
  <c r="E9" i="43"/>
  <c r="F9" i="43"/>
  <c r="G9" i="43"/>
  <c r="I9" i="43"/>
  <c r="C10" i="43"/>
  <c r="D10" i="43"/>
  <c r="E10" i="43"/>
  <c r="F10" i="43"/>
  <c r="G10" i="43"/>
  <c r="I10" i="43"/>
  <c r="C11" i="43"/>
  <c r="D11" i="43"/>
  <c r="E11" i="43"/>
  <c r="F11" i="43"/>
  <c r="G11" i="43"/>
  <c r="I11" i="43"/>
  <c r="C12" i="43"/>
  <c r="D12" i="43"/>
  <c r="E12" i="43"/>
  <c r="F12" i="43"/>
  <c r="G12" i="43"/>
  <c r="I12" i="43"/>
  <c r="C13" i="43"/>
  <c r="D13" i="43"/>
  <c r="E13" i="43"/>
  <c r="F13" i="43"/>
  <c r="G13" i="43"/>
  <c r="I13" i="43"/>
  <c r="C14" i="43"/>
  <c r="D14" i="43"/>
  <c r="E14" i="43"/>
  <c r="F14" i="43"/>
  <c r="G14" i="43"/>
  <c r="I14" i="43"/>
  <c r="C15" i="43"/>
  <c r="D15" i="43"/>
  <c r="E15" i="43"/>
  <c r="F15" i="43"/>
  <c r="G15" i="43"/>
  <c r="I15" i="43"/>
  <c r="C16" i="43"/>
  <c r="D16" i="43"/>
  <c r="E16" i="43"/>
  <c r="F16" i="43"/>
  <c r="G16" i="43"/>
  <c r="I16" i="43"/>
  <c r="C17" i="43"/>
  <c r="D17" i="43"/>
  <c r="E17" i="43"/>
  <c r="F17" i="43"/>
  <c r="G17" i="43"/>
  <c r="I17" i="43"/>
  <c r="C18" i="43"/>
  <c r="D18" i="43"/>
  <c r="E18" i="43"/>
  <c r="F18" i="43"/>
  <c r="G18" i="43"/>
  <c r="I18" i="43"/>
  <c r="C19" i="43"/>
  <c r="D19" i="43"/>
  <c r="E19" i="43"/>
  <c r="F19" i="43"/>
  <c r="G19" i="43"/>
  <c r="I19" i="43"/>
  <c r="C20" i="43"/>
  <c r="D20" i="43"/>
  <c r="E20" i="43"/>
  <c r="F20" i="43"/>
  <c r="G20" i="43"/>
  <c r="I20" i="43"/>
  <c r="C21" i="43"/>
  <c r="D21" i="43"/>
  <c r="E21" i="43"/>
  <c r="F21" i="43"/>
  <c r="G21" i="43"/>
  <c r="I21" i="43"/>
  <c r="C22" i="43"/>
  <c r="D22" i="43"/>
  <c r="E22" i="43"/>
  <c r="F22" i="43"/>
  <c r="G22" i="43"/>
  <c r="I22" i="43"/>
  <c r="C23" i="43"/>
  <c r="D23" i="43"/>
  <c r="E23" i="43"/>
  <c r="F23" i="43"/>
  <c r="G23" i="43"/>
  <c r="I23" i="43"/>
  <c r="C24" i="43"/>
  <c r="D24" i="43"/>
  <c r="E24" i="43"/>
  <c r="F24" i="43"/>
  <c r="G24" i="43"/>
  <c r="I24" i="43"/>
  <c r="C25" i="43"/>
  <c r="D25" i="43"/>
  <c r="E25" i="43"/>
  <c r="F25" i="43"/>
  <c r="G25" i="43"/>
  <c r="I25" i="43"/>
  <c r="C26" i="43"/>
  <c r="D26" i="43"/>
  <c r="E26" i="43"/>
  <c r="F26" i="43"/>
  <c r="G26" i="43"/>
  <c r="I26" i="43"/>
  <c r="C27" i="43"/>
  <c r="D27" i="43"/>
  <c r="E27" i="43"/>
  <c r="F27" i="43"/>
  <c r="G27" i="43"/>
  <c r="I27" i="43"/>
  <c r="C28" i="43"/>
  <c r="D28" i="43"/>
  <c r="E28" i="43"/>
  <c r="F28" i="43"/>
  <c r="G28" i="43"/>
  <c r="I28" i="43"/>
  <c r="C29" i="43"/>
  <c r="D29" i="43"/>
  <c r="E29" i="43"/>
  <c r="F29" i="43"/>
  <c r="G29" i="43"/>
  <c r="I29" i="43"/>
  <c r="C30" i="43"/>
  <c r="D30" i="43"/>
  <c r="E30" i="43"/>
  <c r="F30" i="43"/>
  <c r="G30" i="43"/>
  <c r="I30" i="43"/>
  <c r="C31" i="43"/>
  <c r="D31" i="43"/>
  <c r="E31" i="43"/>
  <c r="F31" i="43"/>
  <c r="G31" i="43"/>
  <c r="I31" i="43"/>
  <c r="C32" i="43"/>
  <c r="D32" i="43"/>
  <c r="E32" i="43"/>
  <c r="F32" i="43"/>
  <c r="G32" i="43"/>
  <c r="I32" i="43"/>
  <c r="C33" i="43"/>
  <c r="D33" i="43"/>
  <c r="E33" i="43"/>
  <c r="F33" i="43"/>
  <c r="G33" i="43"/>
  <c r="I33" i="43"/>
  <c r="C34" i="43"/>
  <c r="D34" i="43"/>
  <c r="E34" i="43"/>
  <c r="F34" i="43"/>
  <c r="G34" i="43"/>
  <c r="I34" i="43"/>
  <c r="C35" i="43"/>
  <c r="D35" i="43"/>
  <c r="E35" i="43"/>
  <c r="F35" i="43"/>
  <c r="G35" i="43"/>
  <c r="I35" i="43"/>
  <c r="C36" i="43"/>
  <c r="D36" i="43"/>
  <c r="E36" i="43"/>
  <c r="F36" i="43"/>
  <c r="G36" i="43"/>
  <c r="I36" i="43"/>
  <c r="C3" i="42"/>
  <c r="D3" i="42"/>
  <c r="E3" i="42"/>
  <c r="F3" i="42"/>
  <c r="G3" i="42"/>
  <c r="C4" i="42"/>
  <c r="D4" i="42"/>
  <c r="E4" i="42"/>
  <c r="F4" i="42"/>
  <c r="G4" i="42"/>
  <c r="C5" i="42"/>
  <c r="D5" i="42"/>
  <c r="E5" i="42"/>
  <c r="F5" i="42"/>
  <c r="G5" i="42"/>
  <c r="C6" i="42"/>
  <c r="D6" i="42"/>
  <c r="E6" i="42"/>
  <c r="F6" i="42"/>
  <c r="G6" i="42"/>
  <c r="C7" i="42"/>
  <c r="D7" i="42"/>
  <c r="E7" i="42"/>
  <c r="F7" i="42"/>
  <c r="G7" i="42"/>
  <c r="C8" i="42"/>
  <c r="D8" i="42"/>
  <c r="E8" i="42"/>
  <c r="F8" i="42"/>
  <c r="G8" i="42"/>
  <c r="C9" i="42"/>
  <c r="D9" i="42"/>
  <c r="E9" i="42"/>
  <c r="F9" i="42"/>
  <c r="G9" i="42"/>
  <c r="C10" i="42"/>
  <c r="D10" i="42"/>
  <c r="E10" i="42"/>
  <c r="F10" i="42"/>
  <c r="G10" i="42"/>
  <c r="C11" i="42"/>
  <c r="D11" i="42"/>
  <c r="E11" i="42"/>
  <c r="F11" i="42"/>
  <c r="G11" i="42"/>
  <c r="C12" i="42"/>
  <c r="D12" i="42"/>
  <c r="E12" i="42"/>
  <c r="F12" i="42"/>
  <c r="G12" i="42"/>
  <c r="C13" i="42"/>
  <c r="D13" i="42"/>
  <c r="E13" i="42"/>
  <c r="F13" i="42"/>
  <c r="G13" i="42"/>
  <c r="C14" i="42"/>
  <c r="D14" i="42"/>
  <c r="E14" i="42"/>
  <c r="F14" i="42"/>
  <c r="G14" i="42"/>
  <c r="C15" i="42"/>
  <c r="D15" i="42"/>
  <c r="E15" i="42"/>
  <c r="F15" i="42"/>
  <c r="G15" i="42"/>
  <c r="C16" i="42"/>
  <c r="D16" i="42"/>
  <c r="E16" i="42"/>
  <c r="F16" i="42"/>
  <c r="G16" i="42"/>
  <c r="C17" i="42"/>
  <c r="D17" i="42"/>
  <c r="E17" i="42"/>
  <c r="F17" i="42"/>
  <c r="G17" i="42"/>
  <c r="C18" i="42"/>
  <c r="D18" i="42"/>
  <c r="E18" i="42"/>
  <c r="F18" i="42"/>
  <c r="G18" i="42"/>
  <c r="C19" i="42"/>
  <c r="D19" i="42"/>
  <c r="E19" i="42"/>
  <c r="F19" i="42"/>
  <c r="G19" i="42"/>
  <c r="C20" i="42"/>
  <c r="D20" i="42"/>
  <c r="E20" i="42"/>
  <c r="F20" i="42"/>
  <c r="G20" i="42"/>
  <c r="C21" i="42"/>
  <c r="D21" i="42"/>
  <c r="E21" i="42"/>
  <c r="F21" i="42"/>
  <c r="G21" i="42"/>
  <c r="C22" i="42"/>
  <c r="D22" i="42"/>
  <c r="E22" i="42"/>
  <c r="F22" i="42"/>
  <c r="G22" i="42"/>
  <c r="C23" i="42"/>
  <c r="D23" i="42"/>
  <c r="E23" i="42"/>
  <c r="F23" i="42"/>
  <c r="G23" i="42"/>
  <c r="C24" i="42"/>
  <c r="D24" i="42"/>
  <c r="E24" i="42"/>
  <c r="F24" i="42"/>
  <c r="G24" i="42"/>
  <c r="C25" i="42"/>
  <c r="D25" i="42"/>
  <c r="E25" i="42"/>
  <c r="F25" i="42"/>
  <c r="G25" i="42"/>
  <c r="C26" i="42"/>
  <c r="D26" i="42"/>
  <c r="E26" i="42"/>
  <c r="F26" i="42"/>
  <c r="G26" i="42"/>
  <c r="C27" i="42"/>
  <c r="D27" i="42"/>
  <c r="E27" i="42"/>
  <c r="F27" i="42"/>
  <c r="G27" i="42"/>
  <c r="C28" i="42"/>
  <c r="D28" i="42"/>
  <c r="E28" i="42"/>
  <c r="F28" i="42"/>
  <c r="G28" i="42"/>
  <c r="C29" i="42"/>
  <c r="D29" i="42"/>
  <c r="E29" i="42"/>
  <c r="F29" i="42"/>
  <c r="G29" i="42"/>
  <c r="C30" i="42"/>
  <c r="D30" i="42"/>
  <c r="E30" i="42"/>
  <c r="F30" i="42"/>
  <c r="G30" i="42"/>
  <c r="C31" i="42"/>
  <c r="D31" i="42"/>
  <c r="E31" i="42"/>
  <c r="F31" i="42"/>
  <c r="G31" i="42"/>
  <c r="C32" i="42"/>
  <c r="D32" i="42"/>
  <c r="E32" i="42"/>
  <c r="F32" i="42"/>
  <c r="G32" i="42"/>
  <c r="C33" i="42"/>
  <c r="D33" i="42"/>
  <c r="E33" i="42"/>
  <c r="F33" i="42"/>
  <c r="G33" i="42"/>
  <c r="C34" i="42"/>
  <c r="D34" i="42"/>
  <c r="E34" i="42"/>
  <c r="F34" i="42"/>
  <c r="G34" i="42"/>
  <c r="C35" i="42"/>
  <c r="D35" i="42"/>
  <c r="E35" i="42"/>
  <c r="F35" i="42"/>
  <c r="G35" i="42"/>
  <c r="C36" i="42"/>
  <c r="D36" i="42"/>
  <c r="E36" i="42"/>
  <c r="F36" i="42"/>
  <c r="G36" i="42"/>
  <c r="C3" i="41"/>
  <c r="D3" i="41"/>
  <c r="E3" i="41"/>
  <c r="F3" i="41"/>
  <c r="H3" i="41" s="1"/>
  <c r="G3" i="41"/>
  <c r="I3" i="41"/>
  <c r="C4" i="41"/>
  <c r="D4" i="41"/>
  <c r="E4" i="41"/>
  <c r="F4" i="41"/>
  <c r="H4" i="41" s="1"/>
  <c r="G4" i="41"/>
  <c r="I4" i="41"/>
  <c r="C5" i="41"/>
  <c r="D5" i="41"/>
  <c r="E5" i="41"/>
  <c r="F5" i="41"/>
  <c r="H5" i="41" s="1"/>
  <c r="G5" i="41"/>
  <c r="I5" i="41"/>
  <c r="C6" i="41"/>
  <c r="D6" i="41"/>
  <c r="E6" i="41"/>
  <c r="F6" i="41"/>
  <c r="H6" i="41" s="1"/>
  <c r="G6" i="41"/>
  <c r="I6" i="41"/>
  <c r="C7" i="41"/>
  <c r="D7" i="41"/>
  <c r="E7" i="41"/>
  <c r="F7" i="41"/>
  <c r="H7" i="41" s="1"/>
  <c r="G7" i="41"/>
  <c r="I7" i="41"/>
  <c r="C8" i="41"/>
  <c r="D8" i="41"/>
  <c r="E8" i="41"/>
  <c r="F8" i="41"/>
  <c r="H8" i="41" s="1"/>
  <c r="G8" i="41"/>
  <c r="I8" i="41"/>
  <c r="C9" i="41"/>
  <c r="D9" i="41"/>
  <c r="E9" i="41"/>
  <c r="F9" i="41"/>
  <c r="H9" i="41" s="1"/>
  <c r="G9" i="41"/>
  <c r="I9" i="41"/>
  <c r="C10" i="41"/>
  <c r="D10" i="41"/>
  <c r="E10" i="41"/>
  <c r="F10" i="41"/>
  <c r="H10" i="41" s="1"/>
  <c r="G10" i="41"/>
  <c r="I10" i="41"/>
  <c r="C11" i="41"/>
  <c r="D11" i="41"/>
  <c r="E11" i="41"/>
  <c r="F11" i="41"/>
  <c r="H11" i="41" s="1"/>
  <c r="G11" i="41"/>
  <c r="I11" i="41"/>
  <c r="C12" i="41"/>
  <c r="D12" i="41"/>
  <c r="E12" i="41"/>
  <c r="F12" i="41"/>
  <c r="H12" i="41" s="1"/>
  <c r="G12" i="41"/>
  <c r="I12" i="41"/>
  <c r="C13" i="41"/>
  <c r="D13" i="41"/>
  <c r="E13" i="41"/>
  <c r="F13" i="41"/>
  <c r="H13" i="41" s="1"/>
  <c r="G13" i="41"/>
  <c r="I13" i="41"/>
  <c r="C14" i="41"/>
  <c r="D14" i="41"/>
  <c r="E14" i="41"/>
  <c r="F14" i="41"/>
  <c r="H14" i="41" s="1"/>
  <c r="G14" i="41"/>
  <c r="I14" i="41"/>
  <c r="C15" i="41"/>
  <c r="D15" i="41"/>
  <c r="E15" i="41"/>
  <c r="F15" i="41"/>
  <c r="H15" i="41" s="1"/>
  <c r="G15" i="41"/>
  <c r="I15" i="41"/>
  <c r="C16" i="41"/>
  <c r="D16" i="41"/>
  <c r="E16" i="41"/>
  <c r="F16" i="41"/>
  <c r="H16" i="41" s="1"/>
  <c r="G16" i="41"/>
  <c r="I16" i="41"/>
  <c r="C17" i="41"/>
  <c r="D17" i="41"/>
  <c r="E17" i="41"/>
  <c r="F17" i="41"/>
  <c r="H17" i="41" s="1"/>
  <c r="G17" i="41"/>
  <c r="I17" i="41"/>
  <c r="C18" i="41"/>
  <c r="D18" i="41"/>
  <c r="E18" i="41"/>
  <c r="F18" i="41"/>
  <c r="H18" i="41" s="1"/>
  <c r="G18" i="41"/>
  <c r="I18" i="41"/>
  <c r="C19" i="41"/>
  <c r="D19" i="41"/>
  <c r="E19" i="41"/>
  <c r="F19" i="41"/>
  <c r="H19" i="41" s="1"/>
  <c r="G19" i="41"/>
  <c r="I19" i="41"/>
  <c r="C20" i="41"/>
  <c r="D20" i="41"/>
  <c r="E20" i="41"/>
  <c r="F20" i="41"/>
  <c r="H20" i="41" s="1"/>
  <c r="G20" i="41"/>
  <c r="I20" i="41"/>
  <c r="C21" i="41"/>
  <c r="D21" i="41"/>
  <c r="E21" i="41"/>
  <c r="F21" i="41"/>
  <c r="H21" i="41" s="1"/>
  <c r="G21" i="41"/>
  <c r="I21" i="41"/>
  <c r="C22" i="41"/>
  <c r="D22" i="41"/>
  <c r="E22" i="41"/>
  <c r="F22" i="41"/>
  <c r="H22" i="41" s="1"/>
  <c r="G22" i="41"/>
  <c r="I22" i="41"/>
  <c r="C23" i="41"/>
  <c r="D23" i="41"/>
  <c r="E23" i="41"/>
  <c r="F23" i="41"/>
  <c r="H23" i="41" s="1"/>
  <c r="G23" i="41"/>
  <c r="I23" i="41"/>
  <c r="C24" i="41"/>
  <c r="D24" i="41"/>
  <c r="E24" i="41"/>
  <c r="F24" i="41"/>
  <c r="H24" i="41" s="1"/>
  <c r="G24" i="41"/>
  <c r="I24" i="41"/>
  <c r="C25" i="41"/>
  <c r="D25" i="41"/>
  <c r="E25" i="41"/>
  <c r="F25" i="41"/>
  <c r="H25" i="41" s="1"/>
  <c r="G25" i="41"/>
  <c r="I25" i="41"/>
  <c r="C26" i="41"/>
  <c r="D26" i="41"/>
  <c r="E26" i="41"/>
  <c r="F26" i="41"/>
  <c r="H26" i="41" s="1"/>
  <c r="G26" i="41"/>
  <c r="I26" i="41"/>
  <c r="C27" i="41"/>
  <c r="D27" i="41"/>
  <c r="E27" i="41"/>
  <c r="F27" i="41"/>
  <c r="H27" i="41" s="1"/>
  <c r="G27" i="41"/>
  <c r="I27" i="41"/>
  <c r="C28" i="41"/>
  <c r="D28" i="41"/>
  <c r="E28" i="41"/>
  <c r="F28" i="41"/>
  <c r="H28" i="41" s="1"/>
  <c r="G28" i="41"/>
  <c r="I28" i="41"/>
  <c r="C29" i="41"/>
  <c r="D29" i="41"/>
  <c r="E29" i="41"/>
  <c r="F29" i="41"/>
  <c r="H29" i="41" s="1"/>
  <c r="G29" i="41"/>
  <c r="I29" i="41"/>
  <c r="C30" i="41"/>
  <c r="D30" i="41"/>
  <c r="E30" i="41"/>
  <c r="F30" i="41"/>
  <c r="H30" i="41" s="1"/>
  <c r="G30" i="41"/>
  <c r="I30" i="41"/>
  <c r="C31" i="41"/>
  <c r="D31" i="41"/>
  <c r="E31" i="41"/>
  <c r="F31" i="41"/>
  <c r="H31" i="41" s="1"/>
  <c r="G31" i="41"/>
  <c r="I31" i="41"/>
  <c r="C32" i="41"/>
  <c r="D32" i="41"/>
  <c r="E32" i="41"/>
  <c r="F32" i="41"/>
  <c r="H32" i="41" s="1"/>
  <c r="G32" i="41"/>
  <c r="I32" i="41"/>
  <c r="C33" i="41"/>
  <c r="D33" i="41"/>
  <c r="E33" i="41"/>
  <c r="F33" i="41"/>
  <c r="H33" i="41" s="1"/>
  <c r="G33" i="41"/>
  <c r="I33" i="41"/>
  <c r="C34" i="41"/>
  <c r="D34" i="41"/>
  <c r="E34" i="41"/>
  <c r="F34" i="41"/>
  <c r="H34" i="41" s="1"/>
  <c r="G34" i="41"/>
  <c r="I34" i="41"/>
  <c r="C35" i="41"/>
  <c r="D35" i="41"/>
  <c r="E35" i="41"/>
  <c r="F35" i="41"/>
  <c r="H35" i="41" s="1"/>
  <c r="G35" i="41"/>
  <c r="I35" i="41"/>
  <c r="C36" i="41"/>
  <c r="D36" i="41"/>
  <c r="E36" i="41"/>
  <c r="F36" i="41"/>
  <c r="H36" i="41" s="1"/>
  <c r="G36" i="41"/>
  <c r="I36" i="41"/>
  <c r="C3" i="40"/>
  <c r="D3" i="40"/>
  <c r="E3" i="40"/>
  <c r="F3" i="40"/>
  <c r="H3" i="40" s="1"/>
  <c r="G3" i="40"/>
  <c r="I3" i="40"/>
  <c r="C4" i="40"/>
  <c r="D4" i="40"/>
  <c r="E4" i="40"/>
  <c r="F4" i="40"/>
  <c r="H4" i="40" s="1"/>
  <c r="G4" i="40"/>
  <c r="I4" i="40"/>
  <c r="C5" i="40"/>
  <c r="D5" i="40"/>
  <c r="E5" i="40"/>
  <c r="F5" i="40"/>
  <c r="H5" i="40" s="1"/>
  <c r="G5" i="40"/>
  <c r="I5" i="40"/>
  <c r="C6" i="40"/>
  <c r="D6" i="40"/>
  <c r="E6" i="40"/>
  <c r="F6" i="40"/>
  <c r="H6" i="40" s="1"/>
  <c r="G6" i="40"/>
  <c r="I6" i="40"/>
  <c r="C7" i="40"/>
  <c r="D7" i="40"/>
  <c r="E7" i="40"/>
  <c r="F7" i="40"/>
  <c r="H7" i="40" s="1"/>
  <c r="G7" i="40"/>
  <c r="I7" i="40"/>
  <c r="C8" i="40"/>
  <c r="D8" i="40"/>
  <c r="E8" i="40"/>
  <c r="F8" i="40"/>
  <c r="H8" i="40" s="1"/>
  <c r="G8" i="40"/>
  <c r="I8" i="40"/>
  <c r="C9" i="40"/>
  <c r="D9" i="40"/>
  <c r="E9" i="40"/>
  <c r="F9" i="40"/>
  <c r="H9" i="40" s="1"/>
  <c r="G9" i="40"/>
  <c r="I9" i="40"/>
  <c r="C10" i="40"/>
  <c r="D10" i="40"/>
  <c r="E10" i="40"/>
  <c r="F10" i="40"/>
  <c r="H10" i="40" s="1"/>
  <c r="G10" i="40"/>
  <c r="I10" i="40"/>
  <c r="C11" i="40"/>
  <c r="D11" i="40"/>
  <c r="E11" i="40"/>
  <c r="F11" i="40"/>
  <c r="H11" i="40" s="1"/>
  <c r="G11" i="40"/>
  <c r="I11" i="40"/>
  <c r="C12" i="40"/>
  <c r="D12" i="40"/>
  <c r="E12" i="40"/>
  <c r="F12" i="40"/>
  <c r="H12" i="40" s="1"/>
  <c r="G12" i="40"/>
  <c r="I12" i="40"/>
  <c r="C13" i="40"/>
  <c r="D13" i="40"/>
  <c r="E13" i="40"/>
  <c r="F13" i="40"/>
  <c r="H13" i="40" s="1"/>
  <c r="G13" i="40"/>
  <c r="I13" i="40"/>
  <c r="C14" i="40"/>
  <c r="D14" i="40"/>
  <c r="E14" i="40"/>
  <c r="F14" i="40"/>
  <c r="H14" i="40" s="1"/>
  <c r="G14" i="40"/>
  <c r="I14" i="40"/>
  <c r="C15" i="40"/>
  <c r="D15" i="40"/>
  <c r="E15" i="40"/>
  <c r="F15" i="40"/>
  <c r="H15" i="40" s="1"/>
  <c r="G15" i="40"/>
  <c r="I15" i="40"/>
  <c r="C16" i="40"/>
  <c r="D16" i="40"/>
  <c r="E16" i="40"/>
  <c r="F16" i="40"/>
  <c r="H16" i="40" s="1"/>
  <c r="G16" i="40"/>
  <c r="I16" i="40"/>
  <c r="C17" i="40"/>
  <c r="D17" i="40"/>
  <c r="E17" i="40"/>
  <c r="F17" i="40"/>
  <c r="H17" i="40" s="1"/>
  <c r="G17" i="40"/>
  <c r="I17" i="40"/>
  <c r="C18" i="40"/>
  <c r="D18" i="40"/>
  <c r="E18" i="40"/>
  <c r="F18" i="40"/>
  <c r="H18" i="40" s="1"/>
  <c r="G18" i="40"/>
  <c r="I18" i="40"/>
  <c r="C19" i="40"/>
  <c r="D19" i="40"/>
  <c r="E19" i="40"/>
  <c r="F19" i="40"/>
  <c r="H19" i="40" s="1"/>
  <c r="G19" i="40"/>
  <c r="I19" i="40"/>
  <c r="C20" i="40"/>
  <c r="D20" i="40"/>
  <c r="E20" i="40"/>
  <c r="F20" i="40"/>
  <c r="H20" i="40" s="1"/>
  <c r="G20" i="40"/>
  <c r="I20" i="40"/>
  <c r="C21" i="40"/>
  <c r="D21" i="40"/>
  <c r="E21" i="40"/>
  <c r="F21" i="40"/>
  <c r="H21" i="40" s="1"/>
  <c r="G21" i="40"/>
  <c r="I21" i="40"/>
  <c r="C22" i="40"/>
  <c r="D22" i="40"/>
  <c r="E22" i="40"/>
  <c r="F22" i="40"/>
  <c r="H22" i="40" s="1"/>
  <c r="G22" i="40"/>
  <c r="I22" i="40"/>
  <c r="C23" i="40"/>
  <c r="D23" i="40"/>
  <c r="E23" i="40"/>
  <c r="F23" i="40"/>
  <c r="H23" i="40" s="1"/>
  <c r="G23" i="40"/>
  <c r="I23" i="40"/>
  <c r="C24" i="40"/>
  <c r="D24" i="40"/>
  <c r="E24" i="40"/>
  <c r="F24" i="40"/>
  <c r="H24" i="40" s="1"/>
  <c r="G24" i="40"/>
  <c r="I24" i="40"/>
  <c r="C25" i="40"/>
  <c r="D25" i="40"/>
  <c r="E25" i="40"/>
  <c r="F25" i="40"/>
  <c r="H25" i="40" s="1"/>
  <c r="G25" i="40"/>
  <c r="I25" i="40"/>
  <c r="C26" i="40"/>
  <c r="D26" i="40"/>
  <c r="E26" i="40"/>
  <c r="F26" i="40"/>
  <c r="H26" i="40" s="1"/>
  <c r="G26" i="40"/>
  <c r="I26" i="40"/>
  <c r="C27" i="40"/>
  <c r="D27" i="40"/>
  <c r="E27" i="40"/>
  <c r="F27" i="40"/>
  <c r="H27" i="40" s="1"/>
  <c r="G27" i="40"/>
  <c r="I27" i="40"/>
  <c r="C28" i="40"/>
  <c r="D28" i="40"/>
  <c r="E28" i="40"/>
  <c r="F28" i="40"/>
  <c r="H28" i="40" s="1"/>
  <c r="G28" i="40"/>
  <c r="I28" i="40"/>
  <c r="C29" i="40"/>
  <c r="D29" i="40"/>
  <c r="E29" i="40"/>
  <c r="F29" i="40"/>
  <c r="H29" i="40" s="1"/>
  <c r="G29" i="40"/>
  <c r="I29" i="40"/>
  <c r="C30" i="40"/>
  <c r="D30" i="40"/>
  <c r="E30" i="40"/>
  <c r="F30" i="40"/>
  <c r="H30" i="40" s="1"/>
  <c r="G30" i="40"/>
  <c r="I30" i="40"/>
  <c r="C31" i="40"/>
  <c r="D31" i="40"/>
  <c r="E31" i="40"/>
  <c r="F31" i="40"/>
  <c r="H31" i="40" s="1"/>
  <c r="G31" i="40"/>
  <c r="I31" i="40"/>
  <c r="C32" i="40"/>
  <c r="D32" i="40"/>
  <c r="E32" i="40"/>
  <c r="F32" i="40"/>
  <c r="H32" i="40" s="1"/>
  <c r="G32" i="40"/>
  <c r="I32" i="40"/>
  <c r="C33" i="40"/>
  <c r="D33" i="40"/>
  <c r="E33" i="40"/>
  <c r="F33" i="40"/>
  <c r="H33" i="40" s="1"/>
  <c r="G33" i="40"/>
  <c r="I33" i="40"/>
  <c r="C34" i="40"/>
  <c r="D34" i="40"/>
  <c r="E34" i="40"/>
  <c r="F34" i="40"/>
  <c r="H34" i="40" s="1"/>
  <c r="G34" i="40"/>
  <c r="I34" i="40"/>
  <c r="C35" i="40"/>
  <c r="D35" i="40"/>
  <c r="E35" i="40"/>
  <c r="F35" i="40"/>
  <c r="H35" i="40" s="1"/>
  <c r="G35" i="40"/>
  <c r="I35" i="40"/>
  <c r="C36" i="40"/>
  <c r="D36" i="40"/>
  <c r="E36" i="40"/>
  <c r="F36" i="40"/>
  <c r="H36" i="40" s="1"/>
  <c r="G36" i="40"/>
  <c r="I36" i="40"/>
  <c r="G103" i="45"/>
  <c r="G13" i="45"/>
  <c r="L33" i="42"/>
  <c r="G85" i="45"/>
  <c r="G105" i="45"/>
  <c r="L29" i="41"/>
  <c r="G58" i="45"/>
  <c r="G29" i="45"/>
  <c r="L17" i="42"/>
  <c r="G33" i="45"/>
  <c r="G25" i="45"/>
  <c r="G40" i="45"/>
  <c r="G78" i="45"/>
  <c r="G110" i="45"/>
  <c r="G22" i="45"/>
  <c r="G42" i="45"/>
  <c r="G122" i="45"/>
  <c r="G53" i="45"/>
  <c r="L15" i="41"/>
  <c r="G15" i="45"/>
  <c r="L8" i="42"/>
  <c r="L19" i="41"/>
  <c r="G18" i="45"/>
  <c r="G34" i="45"/>
  <c r="G32" i="45"/>
  <c r="L28" i="42"/>
  <c r="G100" i="45"/>
  <c r="G48" i="45"/>
  <c r="G20" i="45"/>
  <c r="L20" i="42"/>
  <c r="G120" i="45"/>
  <c r="G88" i="45"/>
  <c r="G23" i="45"/>
  <c r="L23" i="42"/>
  <c r="G114" i="45"/>
  <c r="L26" i="42"/>
  <c r="G56" i="45"/>
  <c r="G115" i="45"/>
  <c r="L33" i="41"/>
  <c r="L24" i="42"/>
  <c r="G81" i="45"/>
  <c r="G124" i="45"/>
  <c r="L5" i="42"/>
  <c r="G119" i="45"/>
  <c r="G14" i="45"/>
  <c r="G60" i="45"/>
  <c r="G65" i="45"/>
  <c r="L21" i="42"/>
  <c r="G97" i="45"/>
  <c r="L34" i="41"/>
  <c r="G71" i="45"/>
  <c r="G70" i="45"/>
  <c r="G99" i="45"/>
  <c r="L9" i="42"/>
  <c r="G102" i="45"/>
  <c r="G54" i="45"/>
  <c r="G36" i="45"/>
  <c r="G12" i="45"/>
  <c r="G96" i="45"/>
  <c r="G66" i="45"/>
  <c r="G24" i="45"/>
  <c r="G16" i="45"/>
  <c r="L28" i="41"/>
  <c r="G63" i="45"/>
  <c r="G50" i="45"/>
  <c r="G125" i="45"/>
  <c r="G86" i="45"/>
  <c r="G123" i="45"/>
  <c r="L12" i="42"/>
  <c r="G101" i="45"/>
  <c r="L29" i="42"/>
  <c r="G57" i="45"/>
  <c r="G94" i="45"/>
  <c r="G21" i="45"/>
  <c r="G31" i="45"/>
  <c r="G51" i="45"/>
  <c r="G106" i="45"/>
  <c r="G62" i="45"/>
  <c r="G84" i="45"/>
  <c r="L36" i="42"/>
  <c r="G55" i="45"/>
  <c r="L21" i="41"/>
  <c r="G68" i="45"/>
  <c r="G72" i="45"/>
  <c r="L8" i="41"/>
  <c r="G59" i="45"/>
  <c r="G17" i="45"/>
  <c r="G11" i="45"/>
  <c r="G9" i="45"/>
  <c r="L25" i="41"/>
  <c r="L35" i="42"/>
  <c r="G121" i="45"/>
  <c r="L13" i="41"/>
  <c r="L27" i="42"/>
  <c r="L14" i="42"/>
  <c r="G113" i="45"/>
  <c r="L31" i="41"/>
  <c r="G91" i="45"/>
  <c r="L30" i="41"/>
  <c r="L13" i="42"/>
  <c r="L26" i="41"/>
  <c r="L7" i="41"/>
  <c r="L4" i="42"/>
  <c r="G111" i="45"/>
  <c r="G126" i="45"/>
  <c r="G87" i="45"/>
  <c r="L30" i="42"/>
  <c r="L11" i="41"/>
  <c r="G27" i="45"/>
  <c r="G75" i="45"/>
  <c r="G90" i="45"/>
  <c r="L14" i="41"/>
  <c r="L18" i="42"/>
  <c r="L3" i="41"/>
  <c r="G43" i="45"/>
  <c r="G69" i="45"/>
  <c r="G107" i="45"/>
  <c r="L32" i="42"/>
  <c r="G82" i="45"/>
  <c r="L27" i="41"/>
  <c r="L7" i="42"/>
  <c r="G112" i="45"/>
  <c r="G49" i="45"/>
  <c r="L6" i="42"/>
  <c r="G108" i="45"/>
  <c r="L20" i="41"/>
  <c r="G44" i="45"/>
  <c r="G77" i="45"/>
  <c r="G95" i="45"/>
  <c r="L15" i="42"/>
  <c r="G83" i="45"/>
  <c r="G79" i="45"/>
  <c r="B1" i="44"/>
  <c r="L3" i="43"/>
  <c r="G28" i="45"/>
  <c r="G30" i="45"/>
  <c r="L4" i="41"/>
  <c r="G80" i="45"/>
  <c r="G45" i="45"/>
  <c r="G39" i="45"/>
  <c r="L10" i="42"/>
  <c r="L10" i="41"/>
  <c r="G118" i="45"/>
  <c r="L31" i="42"/>
  <c r="L3" i="42"/>
  <c r="G37" i="45"/>
  <c r="G117" i="45"/>
  <c r="L35" i="41"/>
  <c r="G46" i="45"/>
  <c r="G74" i="45"/>
  <c r="L23" i="41"/>
  <c r="L5" i="41"/>
  <c r="G19" i="45"/>
  <c r="G47" i="45"/>
  <c r="G35" i="45"/>
  <c r="G10" i="45"/>
  <c r="L18" i="41"/>
  <c r="G93" i="45"/>
  <c r="L9" i="41"/>
  <c r="L11" i="42"/>
  <c r="G52" i="45"/>
  <c r="L6" i="41"/>
  <c r="L16" i="42"/>
  <c r="L22" i="42"/>
  <c r="L3" i="40"/>
  <c r="G76" i="45"/>
  <c r="G109" i="45"/>
  <c r="G41" i="45"/>
  <c r="L12" i="41"/>
  <c r="G104" i="45"/>
  <c r="G7" i="45"/>
  <c r="L36" i="41"/>
  <c r="G67" i="45"/>
  <c r="L24" i="41"/>
  <c r="L34" i="42"/>
  <c r="L22" i="41"/>
  <c r="L17" i="41"/>
  <c r="G98" i="45"/>
  <c r="G38" i="45"/>
  <c r="G92" i="45"/>
  <c r="L25" i="42"/>
  <c r="G73" i="45"/>
  <c r="G116" i="45"/>
  <c r="G64" i="45"/>
  <c r="L19" i="42"/>
  <c r="G26" i="45"/>
  <c r="L16" i="41"/>
  <c r="L32" i="41"/>
  <c r="G61" i="45"/>
  <c r="G89" i="45"/>
  <c r="G8" i="45"/>
  <c r="H21" i="43" l="1"/>
  <c r="J21" i="43" s="1"/>
  <c r="H31" i="42"/>
  <c r="J31" i="42" s="1"/>
  <c r="H23" i="42"/>
  <c r="H15" i="42"/>
  <c r="J15" i="42" s="1"/>
  <c r="H7" i="42"/>
  <c r="J7" i="42" s="1"/>
  <c r="H32" i="43"/>
  <c r="J32" i="43" s="1"/>
  <c r="H20" i="43"/>
  <c r="J20" i="43" s="1"/>
  <c r="H8" i="43"/>
  <c r="J8" i="43" s="1"/>
  <c r="H4" i="43"/>
  <c r="J4" i="43" s="1"/>
  <c r="H11" i="42"/>
  <c r="J11" i="42" s="1"/>
  <c r="H3" i="42"/>
  <c r="J3" i="42" s="1"/>
  <c r="H6" i="43"/>
  <c r="J6" i="43" s="1"/>
  <c r="H36" i="42"/>
  <c r="J36" i="42" s="1"/>
  <c r="H28" i="42"/>
  <c r="J28" i="42" s="1"/>
  <c r="H20" i="42"/>
  <c r="J20" i="42" s="1"/>
  <c r="H12" i="42"/>
  <c r="J12" i="42" s="1"/>
  <c r="H4" i="42"/>
  <c r="J4" i="42" s="1"/>
  <c r="H33" i="43"/>
  <c r="J33" i="43" s="1"/>
  <c r="H9" i="43"/>
  <c r="J9" i="43" s="1"/>
  <c r="H5" i="43"/>
  <c r="J5" i="43" s="1"/>
  <c r="H29" i="43"/>
  <c r="J29" i="43" s="1"/>
  <c r="H12" i="43"/>
  <c r="J12" i="43" s="1"/>
  <c r="H25" i="43"/>
  <c r="J25" i="43" s="1"/>
  <c r="H16" i="43"/>
  <c r="J16" i="43" s="1"/>
  <c r="H35" i="43"/>
  <c r="J35" i="43" s="1"/>
  <c r="H30" i="43"/>
  <c r="J30" i="43" s="1"/>
  <c r="H22" i="43"/>
  <c r="J22" i="43" s="1"/>
  <c r="H17" i="43"/>
  <c r="J17" i="43" s="1"/>
  <c r="H13" i="43"/>
  <c r="J13" i="43" s="1"/>
  <c r="H36" i="43"/>
  <c r="J36" i="43" s="1"/>
  <c r="H31" i="43"/>
  <c r="J31" i="43" s="1"/>
  <c r="H23" i="43"/>
  <c r="J23" i="43" s="1"/>
  <c r="H10" i="43"/>
  <c r="J10" i="43" s="1"/>
  <c r="H28" i="43"/>
  <c r="J28" i="43" s="1"/>
  <c r="H24" i="43"/>
  <c r="J24" i="43" s="1"/>
  <c r="H15" i="43"/>
  <c r="J15" i="43" s="1"/>
  <c r="H26" i="43"/>
  <c r="J26" i="43" s="1"/>
  <c r="H19" i="43"/>
  <c r="J19" i="43" s="1"/>
  <c r="H7" i="43"/>
  <c r="J7" i="43" s="1"/>
  <c r="H34" i="43"/>
  <c r="J34" i="43" s="1"/>
  <c r="H27" i="43"/>
  <c r="J27" i="43" s="1"/>
  <c r="H14" i="43"/>
  <c r="J14" i="43" s="1"/>
  <c r="H29" i="42"/>
  <c r="J29" i="42" s="1"/>
  <c r="H21" i="42"/>
  <c r="J21" i="42" s="1"/>
  <c r="H13" i="42"/>
  <c r="J13" i="42" s="1"/>
  <c r="H5" i="42"/>
  <c r="J5" i="42" s="1"/>
  <c r="H3" i="43"/>
  <c r="J3" i="43" s="1"/>
  <c r="J26" i="41"/>
  <c r="J12" i="41"/>
  <c r="H18" i="43"/>
  <c r="J18" i="43" s="1"/>
  <c r="H11" i="43"/>
  <c r="J11" i="43" s="1"/>
  <c r="J14" i="41"/>
  <c r="H34" i="42"/>
  <c r="J34" i="42" s="1"/>
  <c r="H26" i="42"/>
  <c r="J26" i="42" s="1"/>
  <c r="H18" i="42"/>
  <c r="J18" i="42" s="1"/>
  <c r="H10" i="42"/>
  <c r="J10" i="42" s="1"/>
  <c r="J36" i="41"/>
  <c r="H32" i="42"/>
  <c r="J32" i="42" s="1"/>
  <c r="H24" i="42"/>
  <c r="J24" i="42" s="1"/>
  <c r="H16" i="42"/>
  <c r="J16" i="42" s="1"/>
  <c r="H8" i="42"/>
  <c r="J8" i="42" s="1"/>
  <c r="J20" i="41"/>
  <c r="H35" i="42"/>
  <c r="J35" i="42" s="1"/>
  <c r="H27" i="42"/>
  <c r="J27" i="42" s="1"/>
  <c r="H19" i="42"/>
  <c r="J19" i="42" s="1"/>
  <c r="J28" i="41"/>
  <c r="J31" i="41"/>
  <c r="J8" i="41"/>
  <c r="H30" i="42"/>
  <c r="J30" i="42" s="1"/>
  <c r="H22" i="42"/>
  <c r="J22" i="42" s="1"/>
  <c r="H14" i="42"/>
  <c r="J14" i="42" s="1"/>
  <c r="H6" i="42"/>
  <c r="J6" i="42" s="1"/>
  <c r="J4" i="41"/>
  <c r="H33" i="42"/>
  <c r="J33" i="42" s="1"/>
  <c r="H25" i="42"/>
  <c r="J25" i="42" s="1"/>
  <c r="H17" i="42"/>
  <c r="J17" i="42" s="1"/>
  <c r="H9" i="42"/>
  <c r="J9" i="42" s="1"/>
  <c r="J23" i="42"/>
  <c r="J30" i="41"/>
  <c r="J24" i="41"/>
  <c r="J10" i="41"/>
  <c r="J5" i="41"/>
  <c r="J17" i="41"/>
  <c r="J11" i="41"/>
  <c r="J18" i="41"/>
  <c r="J13" i="41"/>
  <c r="J6" i="41"/>
  <c r="J25" i="41"/>
  <c r="J15" i="41"/>
  <c r="J21" i="41"/>
  <c r="J33" i="41"/>
  <c r="J34" i="41"/>
  <c r="J29" i="41"/>
  <c r="J22" i="41"/>
  <c r="J35" i="41"/>
  <c r="J9" i="41"/>
  <c r="J7" i="41"/>
  <c r="J32" i="41"/>
  <c r="J27" i="41"/>
  <c r="J23" i="41"/>
  <c r="J19" i="41"/>
  <c r="J16" i="41"/>
  <c r="J2" i="41"/>
  <c r="J3" i="41"/>
  <c r="J35" i="40"/>
  <c r="J25" i="40"/>
  <c r="J9" i="40"/>
  <c r="J19" i="40"/>
  <c r="J26" i="40"/>
  <c r="J20" i="40"/>
  <c r="J15" i="40"/>
  <c r="J10" i="40"/>
  <c r="J4" i="40"/>
  <c r="J24" i="40"/>
  <c r="J14" i="40"/>
  <c r="J36" i="40"/>
  <c r="J31" i="40"/>
  <c r="J21" i="40"/>
  <c r="J5" i="40"/>
  <c r="J30" i="40"/>
  <c r="J8" i="40"/>
  <c r="J32" i="40"/>
  <c r="J22" i="40"/>
  <c r="J16" i="40"/>
  <c r="J6" i="40"/>
  <c r="J34" i="40"/>
  <c r="J28" i="40"/>
  <c r="J23" i="40"/>
  <c r="J18" i="40"/>
  <c r="J12" i="40"/>
  <c r="J3" i="40"/>
  <c r="J11" i="40"/>
  <c r="J27" i="40"/>
  <c r="J33" i="40"/>
  <c r="J17" i="40"/>
  <c r="J7" i="40"/>
  <c r="J29" i="40"/>
  <c r="J13" i="40"/>
  <c r="J2" i="40"/>
  <c r="H12" i="45"/>
  <c r="H67" i="45"/>
  <c r="K16" i="40"/>
  <c r="H106" i="45"/>
  <c r="H84" i="45"/>
  <c r="K8" i="43"/>
  <c r="H23" i="45"/>
  <c r="H74" i="45"/>
  <c r="K32" i="40"/>
  <c r="H36" i="45"/>
  <c r="H98" i="45"/>
  <c r="H102" i="45"/>
  <c r="H42" i="45"/>
  <c r="H90" i="45"/>
  <c r="K36" i="43"/>
  <c r="K31" i="40"/>
  <c r="H31" i="45"/>
  <c r="H10" i="45"/>
  <c r="K27" i="43"/>
  <c r="H50" i="45"/>
  <c r="H69" i="45"/>
  <c r="H118" i="45"/>
  <c r="H123" i="45"/>
  <c r="K22" i="40"/>
  <c r="K6" i="40"/>
  <c r="K33" i="43"/>
  <c r="H115" i="45"/>
  <c r="K10" i="40"/>
  <c r="K15" i="43"/>
  <c r="H108" i="45"/>
  <c r="H48" i="45"/>
  <c r="H122" i="45"/>
  <c r="H86" i="45"/>
  <c r="H82" i="45"/>
  <c r="H58" i="45"/>
  <c r="K7" i="40"/>
  <c r="H17" i="45"/>
  <c r="H99" i="45"/>
  <c r="H68" i="45"/>
  <c r="H88" i="45"/>
  <c r="H120" i="45"/>
  <c r="K13" i="43"/>
  <c r="H114" i="45"/>
  <c r="H65" i="45"/>
  <c r="K13" i="40"/>
  <c r="H80" i="45"/>
  <c r="H72" i="45"/>
  <c r="K4" i="40"/>
  <c r="H64" i="45"/>
  <c r="H20" i="45"/>
  <c r="H111" i="45"/>
  <c r="H30" i="45"/>
  <c r="K23" i="40"/>
  <c r="H112" i="45"/>
  <c r="K32" i="43"/>
  <c r="K35" i="43"/>
  <c r="K29" i="43"/>
  <c r="H66" i="45"/>
  <c r="K24" i="43"/>
  <c r="H70" i="45"/>
  <c r="H46" i="45"/>
  <c r="K11" i="40"/>
  <c r="H81" i="45"/>
  <c r="H28" i="45"/>
  <c r="K20" i="43"/>
  <c r="H49" i="45"/>
  <c r="H75" i="45"/>
  <c r="K24" i="40"/>
  <c r="H56" i="45"/>
  <c r="H15" i="45"/>
  <c r="H35" i="45"/>
  <c r="K30" i="43"/>
  <c r="H76" i="45"/>
  <c r="H54" i="45"/>
  <c r="H22" i="45"/>
  <c r="H92" i="45"/>
  <c r="H11" i="45"/>
  <c r="H91" i="45"/>
  <c r="K25" i="43"/>
  <c r="K10" i="43"/>
  <c r="K5" i="43"/>
  <c r="H78" i="45"/>
  <c r="K9" i="43"/>
  <c r="K21" i="43"/>
  <c r="H61" i="45"/>
  <c r="K4" i="43"/>
  <c r="H38" i="45"/>
  <c r="K36" i="40"/>
  <c r="K25" i="40"/>
  <c r="H60" i="45"/>
  <c r="H95" i="45"/>
  <c r="K26" i="43"/>
  <c r="H59" i="45"/>
  <c r="H89" i="45"/>
  <c r="K17" i="40"/>
  <c r="H117" i="45"/>
  <c r="H100" i="45"/>
  <c r="K30" i="40"/>
  <c r="H37" i="45"/>
  <c r="K14" i="40"/>
  <c r="H43" i="45"/>
  <c r="K17" i="43"/>
  <c r="H45" i="45"/>
  <c r="H40" i="45"/>
  <c r="H105" i="45"/>
  <c r="H63" i="45"/>
  <c r="H121" i="45"/>
  <c r="H7" i="45"/>
  <c r="K16" i="43"/>
  <c r="H18" i="45"/>
  <c r="H101" i="45"/>
  <c r="K28" i="43"/>
  <c r="K27" i="40"/>
  <c r="K19" i="40"/>
  <c r="K18" i="43"/>
  <c r="H51" i="45"/>
  <c r="H25" i="45"/>
  <c r="K12" i="43"/>
  <c r="K19" i="43"/>
  <c r="K11" i="43"/>
  <c r="K34" i="43"/>
  <c r="H34" i="45"/>
  <c r="H126" i="45"/>
  <c r="K18" i="40"/>
  <c r="K26" i="40"/>
  <c r="H55" i="45"/>
  <c r="H94" i="45"/>
  <c r="H62" i="45"/>
  <c r="K20" i="40"/>
  <c r="H57" i="45"/>
  <c r="H13" i="45"/>
  <c r="H85" i="45"/>
  <c r="K12" i="40"/>
  <c r="K33" i="40"/>
  <c r="H73" i="45"/>
  <c r="H97" i="45"/>
  <c r="H24" i="45"/>
  <c r="H32" i="45"/>
  <c r="K28" i="40"/>
  <c r="H103" i="45"/>
  <c r="H109" i="45"/>
  <c r="K9" i="40"/>
  <c r="H53" i="45"/>
  <c r="K31" i="43"/>
  <c r="K6" i="43"/>
  <c r="H77" i="45"/>
  <c r="H87" i="45"/>
  <c r="H71" i="45"/>
  <c r="H119" i="45"/>
  <c r="H93" i="45"/>
  <c r="H96" i="45"/>
  <c r="H26" i="45"/>
  <c r="H8" i="45"/>
  <c r="H52" i="45"/>
  <c r="H41" i="45"/>
  <c r="H29" i="45"/>
  <c r="K7" i="43"/>
  <c r="H27" i="45"/>
  <c r="K5" i="40"/>
  <c r="K29" i="40"/>
  <c r="H104" i="45"/>
  <c r="H33" i="45"/>
  <c r="K22" i="43"/>
  <c r="K15" i="40"/>
  <c r="K34" i="40"/>
  <c r="H83" i="45"/>
  <c r="H21" i="45"/>
  <c r="H14" i="45"/>
  <c r="H110" i="45"/>
  <c r="K14" i="43"/>
  <c r="H16" i="45"/>
  <c r="H39" i="45"/>
  <c r="H125" i="45"/>
  <c r="K8" i="40"/>
  <c r="H116" i="45"/>
  <c r="H44" i="45"/>
  <c r="H47" i="45"/>
  <c r="K21" i="40"/>
  <c r="H124" i="45"/>
  <c r="H79" i="45"/>
  <c r="K23" i="43"/>
  <c r="H9" i="45"/>
  <c r="H19" i="45"/>
  <c r="K35" i="40"/>
  <c r="H113" i="45"/>
  <c r="H107" i="45"/>
  <c r="K2" i="40"/>
  <c r="K2" i="41"/>
  <c r="J2" i="42" l="1"/>
  <c r="J2" i="43"/>
  <c r="D8" i="39"/>
  <c r="L22" i="40"/>
  <c r="L33" i="43"/>
  <c r="L25" i="40"/>
  <c r="L12" i="43"/>
  <c r="L31" i="43"/>
  <c r="L28" i="43"/>
  <c r="L5" i="40"/>
  <c r="L10" i="43"/>
  <c r="L12" i="40"/>
  <c r="L25" i="43"/>
  <c r="L4" i="40"/>
  <c r="L20" i="40"/>
  <c r="L16" i="43"/>
  <c r="L8" i="43"/>
  <c r="L8" i="40"/>
  <c r="L15" i="43"/>
  <c r="B1" i="39"/>
  <c r="L18" i="43"/>
  <c r="L34" i="43"/>
  <c r="L30" i="40"/>
  <c r="L32" i="43"/>
  <c r="L18" i="40"/>
  <c r="L29" i="40"/>
  <c r="L9" i="43"/>
  <c r="L28" i="40"/>
  <c r="L35" i="43"/>
  <c r="L27" i="43"/>
  <c r="L31" i="40"/>
  <c r="L21" i="40"/>
  <c r="L7" i="43"/>
  <c r="L36" i="40"/>
  <c r="L27" i="40"/>
  <c r="L35" i="40"/>
  <c r="L6" i="43"/>
  <c r="L34" i="40"/>
  <c r="L24" i="40"/>
  <c r="L20" i="43"/>
  <c r="L24" i="43"/>
  <c r="L17" i="40"/>
  <c r="L26" i="40"/>
  <c r="L23" i="40"/>
  <c r="L10" i="40"/>
  <c r="L7" i="40"/>
  <c r="L21" i="43"/>
  <c r="L15" i="40"/>
  <c r="L9" i="40"/>
  <c r="L13" i="40"/>
  <c r="L19" i="43"/>
  <c r="L6" i="40"/>
  <c r="C1" i="38"/>
  <c r="L23" i="43"/>
  <c r="L26" i="43"/>
  <c r="L4" i="43"/>
  <c r="L19" i="40"/>
  <c r="L5" i="43"/>
  <c r="L17" i="43"/>
  <c r="L14" i="40"/>
  <c r="L30" i="43"/>
  <c r="L36" i="43"/>
  <c r="L29" i="43"/>
  <c r="L11" i="43"/>
  <c r="L14" i="43"/>
  <c r="L11" i="40"/>
  <c r="L22" i="43"/>
  <c r="L13" i="43"/>
  <c r="L33" i="40"/>
  <c r="L16" i="40"/>
  <c r="L32" i="40"/>
  <c r="L2" i="40"/>
  <c r="K2" i="43"/>
  <c r="K2" i="42"/>
  <c r="L2" i="41"/>
  <c r="C2" i="38" l="1"/>
  <c r="C3" i="38"/>
  <c r="C4" i="38"/>
  <c r="C5" i="38"/>
  <c r="C6" i="38"/>
  <c r="C7" i="38"/>
  <c r="C8" i="38"/>
  <c r="C9" i="38"/>
  <c r="C10" i="38"/>
  <c r="C11" i="38"/>
  <c r="C12" i="38"/>
  <c r="C13" i="38"/>
  <c r="C14" i="38"/>
  <c r="C15" i="38"/>
  <c r="C16" i="38"/>
  <c r="C17" i="38"/>
  <c r="C18" i="38"/>
  <c r="C19" i="38"/>
  <c r="C20" i="38"/>
  <c r="B21" i="38"/>
  <c r="C21" i="38" s="1"/>
  <c r="B22" i="38"/>
  <c r="C22" i="38" s="1"/>
  <c r="B23" i="38"/>
  <c r="C23" i="38" s="1"/>
  <c r="B24" i="38"/>
  <c r="C24" i="38" s="1"/>
  <c r="B25" i="38"/>
  <c r="C25" i="38" s="1"/>
  <c r="B26" i="38"/>
  <c r="C26" i="38" s="1"/>
  <c r="B27" i="38"/>
  <c r="C27" i="38" s="1"/>
  <c r="B28" i="38"/>
  <c r="C28" i="38" s="1"/>
  <c r="B29" i="38"/>
  <c r="C29" i="38" s="1"/>
  <c r="B30" i="38"/>
  <c r="C30" i="38" s="1"/>
  <c r="B31" i="38"/>
  <c r="C31" i="38" s="1"/>
  <c r="B32" i="38"/>
  <c r="C32" i="38" s="1"/>
  <c r="B33" i="38"/>
  <c r="C33" i="38" s="1"/>
  <c r="B34" i="38"/>
  <c r="C34" i="38" s="1"/>
  <c r="B35" i="38"/>
  <c r="C35" i="38" s="1"/>
  <c r="B36" i="38"/>
  <c r="C36" i="38" s="1"/>
  <c r="B37" i="38"/>
  <c r="C37" i="38" s="1"/>
  <c r="B38" i="38"/>
  <c r="C38" i="38" s="1"/>
  <c r="B39" i="38"/>
  <c r="C39" i="38" s="1"/>
  <c r="B40" i="38"/>
  <c r="C40" i="38" s="1"/>
  <c r="B41" i="38"/>
  <c r="C41" i="38" s="1"/>
  <c r="B42" i="38"/>
  <c r="C42" i="38" s="1"/>
  <c r="B43" i="38"/>
  <c r="C43" i="38" s="1"/>
  <c r="B44" i="38"/>
  <c r="C44" i="38" s="1"/>
  <c r="B45" i="38"/>
  <c r="C45" i="38" s="1"/>
  <c r="B46" i="38"/>
  <c r="C46" i="38" s="1"/>
  <c r="B47" i="38"/>
  <c r="C47" i="38" s="1"/>
  <c r="B48" i="38"/>
  <c r="C48" i="38" s="1"/>
  <c r="B49" i="38"/>
  <c r="C49" i="38" s="1"/>
  <c r="B50" i="38"/>
  <c r="C50" i="38" s="1"/>
  <c r="B51" i="38"/>
  <c r="C51" i="38" s="1"/>
  <c r="B52" i="38"/>
  <c r="C52" i="38" s="1"/>
  <c r="B53" i="38"/>
  <c r="C53" i="38" s="1"/>
  <c r="B54" i="38"/>
  <c r="C54" i="38" s="1"/>
  <c r="B55" i="38"/>
  <c r="C55" i="38" s="1"/>
  <c r="B56" i="38"/>
  <c r="C56" i="38" s="1"/>
  <c r="B57" i="38"/>
  <c r="C57" i="38" s="1"/>
  <c r="B58" i="38"/>
  <c r="C58" i="38" s="1"/>
  <c r="B59" i="38"/>
  <c r="C59" i="38" s="1"/>
  <c r="B60" i="38"/>
  <c r="C60" i="38" s="1"/>
  <c r="B61" i="38"/>
  <c r="C61" i="38" s="1"/>
  <c r="B62" i="38"/>
  <c r="C62" i="38" s="1"/>
  <c r="B63" i="38"/>
  <c r="C63" i="38" s="1"/>
  <c r="B64" i="38"/>
  <c r="C64" i="38" s="1"/>
  <c r="D30" i="38"/>
  <c r="D31" i="38"/>
  <c r="D19" i="38"/>
  <c r="D42" i="38"/>
  <c r="D40" i="38"/>
  <c r="D54" i="38"/>
  <c r="D26" i="38"/>
  <c r="D22" i="38"/>
  <c r="D20" i="38"/>
  <c r="D64" i="38"/>
  <c r="E22" i="38"/>
  <c r="D59" i="38"/>
  <c r="D13" i="38"/>
  <c r="D5" i="38"/>
  <c r="D25" i="38"/>
  <c r="D58" i="38"/>
  <c r="D60" i="38"/>
  <c r="D47" i="38"/>
  <c r="D28" i="38"/>
  <c r="D23" i="38"/>
  <c r="D50" i="38"/>
  <c r="D57" i="38"/>
  <c r="D55" i="38"/>
  <c r="E58" i="38"/>
  <c r="D44" i="38"/>
  <c r="D34" i="38"/>
  <c r="D14" i="38"/>
  <c r="D39" i="38"/>
  <c r="D3" i="38"/>
  <c r="D33" i="38"/>
  <c r="D9" i="38"/>
  <c r="D52" i="38"/>
  <c r="E52" i="38" s="1"/>
  <c r="D61" i="38"/>
  <c r="D41" i="38"/>
  <c r="D27" i="38"/>
  <c r="D56" i="38"/>
  <c r="E56" i="38" s="1"/>
  <c r="D45" i="38"/>
  <c r="D32" i="38"/>
  <c r="C1" i="37"/>
  <c r="D8" i="38"/>
  <c r="D35" i="38"/>
  <c r="D63" i="38"/>
  <c r="D29" i="38"/>
  <c r="D49" i="38"/>
  <c r="D21" i="38"/>
  <c r="D51" i="38"/>
  <c r="D11" i="38"/>
  <c r="E11" i="38" s="1"/>
  <c r="E30" i="38"/>
  <c r="D37" i="38"/>
  <c r="D18" i="38"/>
  <c r="D6" i="38"/>
  <c r="D43" i="38"/>
  <c r="D24" i="38"/>
  <c r="D48" i="38"/>
  <c r="D38" i="38"/>
  <c r="D17" i="38"/>
  <c r="E17" i="38" s="1"/>
  <c r="D36" i="38"/>
  <c r="D4" i="38"/>
  <c r="D62" i="38"/>
  <c r="E34" i="38"/>
  <c r="D16" i="38"/>
  <c r="D10" i="38"/>
  <c r="D12" i="38"/>
  <c r="D15" i="38"/>
  <c r="D46" i="38"/>
  <c r="D53" i="38"/>
  <c r="D7" i="38"/>
  <c r="L2" i="43"/>
  <c r="L2" i="42"/>
  <c r="C2" i="37" l="1"/>
  <c r="C3" i="37"/>
  <c r="C4" i="37"/>
  <c r="C5" i="37"/>
  <c r="C6" i="37"/>
  <c r="C7" i="37"/>
  <c r="C8" i="37"/>
  <c r="C9" i="37"/>
  <c r="C10" i="37"/>
  <c r="C11" i="37"/>
  <c r="C12" i="37"/>
  <c r="C13" i="37"/>
  <c r="C14" i="37"/>
  <c r="C15" i="37"/>
  <c r="C16" i="37"/>
  <c r="E15" i="38"/>
  <c r="E14" i="38"/>
  <c r="E20" i="38"/>
  <c r="E32" i="38"/>
  <c r="E50" i="38"/>
  <c r="E63" i="38"/>
  <c r="E43" i="38"/>
  <c r="D16" i="37"/>
  <c r="D4" i="37"/>
  <c r="E13" i="38"/>
  <c r="E57" i="38"/>
  <c r="E36" i="38"/>
  <c r="D15" i="37"/>
  <c r="C1" i="36"/>
  <c r="D6" i="37"/>
  <c r="E39" i="38"/>
  <c r="E41" i="38"/>
  <c r="E53" i="38"/>
  <c r="E24" i="38"/>
  <c r="E7" i="38"/>
  <c r="E42" i="38"/>
  <c r="E27" i="38"/>
  <c r="E6" i="37"/>
  <c r="E12" i="38"/>
  <c r="E5" i="38"/>
  <c r="E46" i="38"/>
  <c r="D7" i="37"/>
  <c r="E4" i="38"/>
  <c r="E16" i="38"/>
  <c r="D9" i="37"/>
  <c r="E25" i="38"/>
  <c r="E62" i="38"/>
  <c r="D13" i="37"/>
  <c r="E13" i="37" s="1"/>
  <c r="E54" i="38"/>
  <c r="E49" i="38"/>
  <c r="E23" i="38"/>
  <c r="E29" i="38"/>
  <c r="D3" i="37"/>
  <c r="E55" i="38"/>
  <c r="E47" i="38"/>
  <c r="E35" i="38"/>
  <c r="E38" i="38"/>
  <c r="E48" i="38"/>
  <c r="E26" i="38"/>
  <c r="E6" i="38"/>
  <c r="E40" i="38"/>
  <c r="D8" i="37"/>
  <c r="E28" i="38"/>
  <c r="E60" i="38"/>
  <c r="D12" i="37"/>
  <c r="D14" i="37"/>
  <c r="E14" i="37"/>
  <c r="D11" i="37"/>
  <c r="E18" i="38"/>
  <c r="E19" i="38"/>
  <c r="E59" i="38"/>
  <c r="E44" i="38"/>
  <c r="E33" i="38"/>
  <c r="E31" i="38"/>
  <c r="E51" i="38"/>
  <c r="D5" i="37"/>
  <c r="E7" i="37"/>
  <c r="D10" i="37"/>
  <c r="E9" i="38"/>
  <c r="E45" i="38"/>
  <c r="E64" i="38"/>
  <c r="E10" i="38"/>
  <c r="E5" i="37"/>
  <c r="E3" i="38"/>
  <c r="E21" i="38"/>
  <c r="E37" i="38"/>
  <c r="E8" i="38"/>
  <c r="E61" i="38"/>
  <c r="C2" i="36" l="1"/>
  <c r="C3" i="36"/>
  <c r="C4" i="36"/>
  <c r="C5" i="36"/>
  <c r="C6" i="36"/>
  <c r="C7" i="36"/>
  <c r="C8" i="36"/>
  <c r="C9" i="36"/>
  <c r="C10" i="36"/>
  <c r="C11" i="36"/>
  <c r="C12" i="36"/>
  <c r="C13" i="36"/>
  <c r="E10" i="37"/>
  <c r="C1" i="35"/>
  <c r="E11" i="37"/>
  <c r="D10" i="36"/>
  <c r="E12" i="37"/>
  <c r="D13" i="36"/>
  <c r="E3" i="37"/>
  <c r="E16" i="37"/>
  <c r="E10" i="36"/>
  <c r="D5" i="36"/>
  <c r="E9" i="37"/>
  <c r="D7" i="36"/>
  <c r="D9" i="36"/>
  <c r="D11" i="36"/>
  <c r="D4" i="36"/>
  <c r="E4" i="36" s="1"/>
  <c r="E11" i="36"/>
  <c r="E4" i="37"/>
  <c r="D12" i="36"/>
  <c r="E12" i="36" s="1"/>
  <c r="E8" i="37"/>
  <c r="D6" i="36"/>
  <c r="D3" i="36"/>
  <c r="E3" i="36" s="1"/>
  <c r="E15" i="37"/>
  <c r="D8" i="36"/>
  <c r="E8" i="36" s="1"/>
  <c r="C2" i="35" l="1"/>
  <c r="C3" i="35"/>
  <c r="C4" i="35"/>
  <c r="C5" i="35"/>
  <c r="C6" i="35"/>
  <c r="C7" i="35"/>
  <c r="C8" i="35"/>
  <c r="C9" i="35"/>
  <c r="C10" i="35"/>
  <c r="C11" i="35"/>
  <c r="C2" i="34"/>
  <c r="C3" i="34"/>
  <c r="C4" i="34"/>
  <c r="E9" i="36"/>
  <c r="D3" i="35"/>
  <c r="E3" i="35"/>
  <c r="D3" i="34"/>
  <c r="D5" i="35"/>
  <c r="D11" i="35"/>
  <c r="E7" i="36"/>
  <c r="E3" i="34"/>
  <c r="E6" i="36"/>
  <c r="E13" i="36"/>
  <c r="E5" i="36"/>
  <c r="D8" i="35"/>
  <c r="D7" i="35"/>
  <c r="E7" i="35"/>
  <c r="D10" i="35"/>
  <c r="D6" i="35"/>
  <c r="D9" i="35"/>
  <c r="D4" i="35"/>
  <c r="E4" i="35" s="1"/>
  <c r="D4" i="34"/>
  <c r="D2" i="35"/>
  <c r="D2" i="36"/>
  <c r="D2" i="38"/>
  <c r="D2" i="34"/>
  <c r="D2" i="37"/>
  <c r="D8" i="33" l="1"/>
  <c r="C3" i="32" a="1"/>
  <c r="C3" i="32" s="1"/>
  <c r="D3" i="32" a="1"/>
  <c r="D9" i="32" s="1"/>
  <c r="C3" i="31" a="1"/>
  <c r="C3" i="31" s="1"/>
  <c r="D3" i="31" a="1"/>
  <c r="D9" i="31" s="1"/>
  <c r="E2" i="30"/>
  <c r="E3" i="30"/>
  <c r="E4" i="30"/>
  <c r="E5" i="30"/>
  <c r="E6" i="30"/>
  <c r="E7" i="30"/>
  <c r="E8" i="30"/>
  <c r="E9" i="30"/>
  <c r="E2" i="29"/>
  <c r="E3" i="29"/>
  <c r="E4" i="29"/>
  <c r="E5" i="29"/>
  <c r="E6" i="29"/>
  <c r="E7" i="29"/>
  <c r="E8" i="29"/>
  <c r="E9" i="29"/>
  <c r="E10" i="29"/>
  <c r="E11" i="29"/>
  <c r="E12" i="29"/>
  <c r="E13" i="29"/>
  <c r="E2" i="28"/>
  <c r="E3" i="28"/>
  <c r="E4" i="28"/>
  <c r="E5" i="28"/>
  <c r="E6" i="28"/>
  <c r="E7" i="28"/>
  <c r="E8" i="28"/>
  <c r="E9" i="28"/>
  <c r="E10" i="28"/>
  <c r="E11" i="28"/>
  <c r="E12" i="28"/>
  <c r="E13" i="28"/>
  <c r="E14" i="28"/>
  <c r="E15" i="28"/>
  <c r="E16" i="28"/>
  <c r="E17" i="28"/>
  <c r="E18" i="28"/>
  <c r="E19" i="28"/>
  <c r="E20" i="28"/>
  <c r="E21" i="28"/>
  <c r="E22" i="28"/>
  <c r="E23" i="28"/>
  <c r="E24" i="28"/>
  <c r="E25" i="28"/>
  <c r="E26" i="28"/>
  <c r="E27" i="28"/>
  <c r="E28" i="28"/>
  <c r="E29" i="28"/>
  <c r="E30" i="28"/>
  <c r="E31" i="28"/>
  <c r="E32" i="28"/>
  <c r="E33" i="28"/>
  <c r="E34" i="28"/>
  <c r="E35" i="28"/>
  <c r="E36" i="28"/>
  <c r="E37" i="28"/>
  <c r="E38" i="28"/>
  <c r="E10" i="35"/>
  <c r="E9" i="35"/>
  <c r="F6" i="29"/>
  <c r="F9" i="29"/>
  <c r="F31" i="28"/>
  <c r="F12" i="29"/>
  <c r="F5" i="28"/>
  <c r="F6" i="28"/>
  <c r="F13" i="29"/>
  <c r="F27" i="28"/>
  <c r="G27" i="28"/>
  <c r="F3" i="29"/>
  <c r="F30" i="28"/>
  <c r="G9" i="29"/>
  <c r="G30" i="28"/>
  <c r="E11" i="35"/>
  <c r="F4" i="30"/>
  <c r="F4" i="29"/>
  <c r="F13" i="28"/>
  <c r="F5" i="29"/>
  <c r="G5" i="29" s="1"/>
  <c r="F21" i="28"/>
  <c r="F35" i="28"/>
  <c r="F33" i="28"/>
  <c r="F9" i="30"/>
  <c r="F38" i="28"/>
  <c r="F11" i="28"/>
  <c r="E5" i="35"/>
  <c r="D40" i="28"/>
  <c r="D41" i="28"/>
  <c r="D42" i="28" s="1"/>
  <c r="F10" i="29"/>
  <c r="F25" i="28"/>
  <c r="G25" i="28" s="1"/>
  <c r="F19" i="28"/>
  <c r="F7" i="29"/>
  <c r="G4" i="30"/>
  <c r="G19" i="28"/>
  <c r="F23" i="28"/>
  <c r="G23" i="28" s="1"/>
  <c r="F3" i="28"/>
  <c r="F14" i="28"/>
  <c r="G14" i="28" s="1"/>
  <c r="E6" i="35"/>
  <c r="F18" i="28"/>
  <c r="F22" i="28"/>
  <c r="F7" i="28"/>
  <c r="G7" i="28" s="1"/>
  <c r="G22" i="28"/>
  <c r="F24" i="28"/>
  <c r="G6" i="29"/>
  <c r="F34" i="28"/>
  <c r="F37" i="28"/>
  <c r="G31" i="28"/>
  <c r="G4" i="29"/>
  <c r="F36" i="28"/>
  <c r="G36" i="28" s="1"/>
  <c r="G35" i="28"/>
  <c r="F8" i="30"/>
  <c r="F20" i="28"/>
  <c r="F32" i="28"/>
  <c r="F9" i="28"/>
  <c r="G9" i="28" s="1"/>
  <c r="B1" i="33"/>
  <c r="G18" i="28"/>
  <c r="F17" i="28"/>
  <c r="G17" i="28" s="1"/>
  <c r="F3" i="30"/>
  <c r="G34" i="28"/>
  <c r="F8" i="28"/>
  <c r="F11" i="29"/>
  <c r="F10" i="28"/>
  <c r="F4" i="28"/>
  <c r="G4" i="28" s="1"/>
  <c r="F7" i="30"/>
  <c r="G7" i="30" s="1"/>
  <c r="E8" i="35"/>
  <c r="F12" i="28"/>
  <c r="F8" i="29"/>
  <c r="F5" i="30"/>
  <c r="G5" i="30" s="1"/>
  <c r="F16" i="28"/>
  <c r="F29" i="28"/>
  <c r="G3" i="28"/>
  <c r="D43" i="28"/>
  <c r="D44" i="28" s="1"/>
  <c r="G10" i="28"/>
  <c r="F6" i="30"/>
  <c r="G6" i="30" s="1"/>
  <c r="F26" i="28"/>
  <c r="G26" i="28" s="1"/>
  <c r="E4" i="34"/>
  <c r="F15" i="28"/>
  <c r="G15" i="28" s="1"/>
  <c r="F28" i="28"/>
  <c r="E2" i="34"/>
  <c r="E2" i="38"/>
  <c r="E2" i="35"/>
  <c r="E2" i="36"/>
  <c r="E2" i="37"/>
  <c r="C19" i="32" l="1"/>
  <c r="C16" i="32"/>
  <c r="C24" i="32"/>
  <c r="D3" i="32"/>
  <c r="E2" i="32" s="1"/>
  <c r="C25" i="32"/>
  <c r="D35" i="32"/>
  <c r="C17" i="32"/>
  <c r="C35" i="32"/>
  <c r="C33" i="32"/>
  <c r="C11" i="32"/>
  <c r="C32" i="32"/>
  <c r="C9" i="32"/>
  <c r="E9" i="32" s="1"/>
  <c r="C27" i="32"/>
  <c r="C8" i="32"/>
  <c r="D27" i="32"/>
  <c r="D30" i="32"/>
  <c r="D22" i="32"/>
  <c r="D14" i="32"/>
  <c r="D6" i="32"/>
  <c r="D36" i="32"/>
  <c r="D28" i="32"/>
  <c r="D39" i="32"/>
  <c r="C36" i="32"/>
  <c r="D31" i="32"/>
  <c r="C28" i="32"/>
  <c r="D23" i="32"/>
  <c r="C20" i="32"/>
  <c r="D15" i="32"/>
  <c r="C12" i="32"/>
  <c r="D7" i="32"/>
  <c r="C4" i="32"/>
  <c r="C39" i="32"/>
  <c r="D34" i="32"/>
  <c r="C31" i="32"/>
  <c r="D26" i="32"/>
  <c r="C23" i="32"/>
  <c r="D18" i="32"/>
  <c r="C15" i="32"/>
  <c r="D10" i="32"/>
  <c r="C7" i="32"/>
  <c r="D37" i="32"/>
  <c r="C34" i="32"/>
  <c r="D29" i="32"/>
  <c r="C26" i="32"/>
  <c r="D21" i="32"/>
  <c r="C18" i="32"/>
  <c r="D13" i="32"/>
  <c r="C10" i="32"/>
  <c r="D5" i="32"/>
  <c r="D19" i="32"/>
  <c r="D11" i="32"/>
  <c r="D38" i="32"/>
  <c r="D20" i="32"/>
  <c r="D12" i="32"/>
  <c r="D4" i="32"/>
  <c r="C37" i="32"/>
  <c r="D32" i="32"/>
  <c r="C29" i="32"/>
  <c r="D24" i="32"/>
  <c r="C21" i="32"/>
  <c r="D16" i="32"/>
  <c r="C13" i="32"/>
  <c r="D8" i="32"/>
  <c r="C5" i="32"/>
  <c r="C38" i="32"/>
  <c r="D33" i="32"/>
  <c r="C30" i="32"/>
  <c r="D25" i="32"/>
  <c r="C22" i="32"/>
  <c r="D17" i="32"/>
  <c r="C14" i="32"/>
  <c r="C6" i="32"/>
  <c r="C37" i="31"/>
  <c r="D27" i="31"/>
  <c r="D16" i="31"/>
  <c r="D35" i="31"/>
  <c r="C27" i="31"/>
  <c r="C16" i="31"/>
  <c r="C35" i="31"/>
  <c r="D24" i="31"/>
  <c r="D14" i="31"/>
  <c r="D32" i="31"/>
  <c r="C24" i="31"/>
  <c r="C13" i="31"/>
  <c r="C32" i="31"/>
  <c r="D22" i="31"/>
  <c r="D11" i="31"/>
  <c r="C19" i="31"/>
  <c r="D30" i="31"/>
  <c r="C21" i="31"/>
  <c r="C8" i="31"/>
  <c r="D38" i="31"/>
  <c r="C29" i="31"/>
  <c r="D19" i="31"/>
  <c r="D3" i="31"/>
  <c r="E3" i="31" s="1"/>
  <c r="D36" i="31"/>
  <c r="C33" i="31"/>
  <c r="D28" i="31"/>
  <c r="C25" i="31"/>
  <c r="D20" i="31"/>
  <c r="C17" i="31"/>
  <c r="D12" i="31"/>
  <c r="C9" i="31"/>
  <c r="D4" i="31"/>
  <c r="D39" i="31"/>
  <c r="C36" i="31"/>
  <c r="D31" i="31"/>
  <c r="C28" i="31"/>
  <c r="D23" i="31"/>
  <c r="C20" i="31"/>
  <c r="D15" i="31"/>
  <c r="C12" i="31"/>
  <c r="D7" i="31"/>
  <c r="C4" i="31"/>
  <c r="C39" i="31"/>
  <c r="D34" i="31"/>
  <c r="C31" i="31"/>
  <c r="D26" i="31"/>
  <c r="C23" i="31"/>
  <c r="D18" i="31"/>
  <c r="C15" i="31"/>
  <c r="D10" i="31"/>
  <c r="C7" i="31"/>
  <c r="D37" i="31"/>
  <c r="C34" i="31"/>
  <c r="D29" i="31"/>
  <c r="C26" i="31"/>
  <c r="D21" i="31"/>
  <c r="C18" i="31"/>
  <c r="D13" i="31"/>
  <c r="C10" i="31"/>
  <c r="D5" i="31"/>
  <c r="D8" i="31"/>
  <c r="C5" i="31"/>
  <c r="C11" i="31"/>
  <c r="D6" i="31"/>
  <c r="C38" i="31"/>
  <c r="D33" i="31"/>
  <c r="C30" i="31"/>
  <c r="D25" i="31"/>
  <c r="C22" i="31"/>
  <c r="D17" i="31"/>
  <c r="C14" i="31"/>
  <c r="C6" i="31"/>
  <c r="E44" i="28"/>
  <c r="E43" i="28"/>
  <c r="E42" i="28"/>
  <c r="E41" i="28"/>
  <c r="E40" i="28"/>
  <c r="D45" i="28"/>
  <c r="G21" i="28"/>
  <c r="G8" i="30"/>
  <c r="G16" i="28"/>
  <c r="G24" i="28"/>
  <c r="F24" i="32"/>
  <c r="F19" i="31"/>
  <c r="F16" i="31"/>
  <c r="G32" i="28"/>
  <c r="F24" i="31"/>
  <c r="G12" i="28"/>
  <c r="G13" i="28"/>
  <c r="G3" i="30"/>
  <c r="G11" i="29"/>
  <c r="G3" i="29"/>
  <c r="G9" i="30"/>
  <c r="G29" i="28"/>
  <c r="F40" i="28"/>
  <c r="G20" i="28"/>
  <c r="G6" i="28"/>
  <c r="G8" i="28"/>
  <c r="G13" i="29"/>
  <c r="F35" i="32"/>
  <c r="F3" i="31"/>
  <c r="F35" i="31"/>
  <c r="G8" i="29"/>
  <c r="G28" i="28"/>
  <c r="F41" i="28"/>
  <c r="G37" i="28"/>
  <c r="G5" i="28"/>
  <c r="F8" i="32"/>
  <c r="G40" i="28"/>
  <c r="F29" i="31"/>
  <c r="G33" i="28"/>
  <c r="F16" i="32"/>
  <c r="G11" i="28"/>
  <c r="G12" i="29"/>
  <c r="F43" i="28"/>
  <c r="F44" i="28"/>
  <c r="G38" i="28"/>
  <c r="G7" i="29"/>
  <c r="F42" i="28"/>
  <c r="G10" i="29"/>
  <c r="F19" i="32"/>
  <c r="F32" i="32"/>
  <c r="F27" i="31"/>
  <c r="F13" i="31"/>
  <c r="F27" i="32"/>
  <c r="F32" i="31"/>
  <c r="F21" i="31"/>
  <c r="E45" i="28" l="1"/>
  <c r="E2" i="31"/>
  <c r="E3" i="32"/>
  <c r="E8" i="32"/>
  <c r="E19" i="31"/>
  <c r="E32" i="31"/>
  <c r="E16" i="32"/>
  <c r="E24" i="31"/>
  <c r="E24" i="32"/>
  <c r="E11" i="32"/>
  <c r="E27" i="32"/>
  <c r="E35" i="32"/>
  <c r="E13" i="31"/>
  <c r="E16" i="31"/>
  <c r="E19" i="32"/>
  <c r="E21" i="31"/>
  <c r="E37" i="31"/>
  <c r="E32" i="32"/>
  <c r="E29" i="31"/>
  <c r="E27" i="31"/>
  <c r="E12" i="32"/>
  <c r="E22" i="32"/>
  <c r="E18" i="32"/>
  <c r="E7" i="32"/>
  <c r="E20" i="32"/>
  <c r="E30" i="32"/>
  <c r="E31" i="32"/>
  <c r="E33" i="32"/>
  <c r="E29" i="32"/>
  <c r="E26" i="32"/>
  <c r="E28" i="32"/>
  <c r="E38" i="32"/>
  <c r="E15" i="32"/>
  <c r="E39" i="32"/>
  <c r="E6" i="32"/>
  <c r="E5" i="32"/>
  <c r="E37" i="32"/>
  <c r="E10" i="32"/>
  <c r="E4" i="32"/>
  <c r="E36" i="32"/>
  <c r="E14" i="32"/>
  <c r="E34" i="32"/>
  <c r="E17" i="32"/>
  <c r="E13" i="32"/>
  <c r="E23" i="32"/>
  <c r="E25" i="32"/>
  <c r="E21" i="32"/>
  <c r="E35" i="31"/>
  <c r="E8" i="31"/>
  <c r="E22" i="31"/>
  <c r="E34" i="31"/>
  <c r="E31" i="31"/>
  <c r="E17" i="31"/>
  <c r="E30" i="31"/>
  <c r="E7" i="31"/>
  <c r="E39" i="31"/>
  <c r="E25" i="31"/>
  <c r="E38" i="31"/>
  <c r="E18" i="31"/>
  <c r="E15" i="31"/>
  <c r="E33" i="31"/>
  <c r="E6" i="31"/>
  <c r="E12" i="31"/>
  <c r="E14" i="31"/>
  <c r="E11" i="31"/>
  <c r="E26" i="31"/>
  <c r="E23" i="31"/>
  <c r="E9" i="31"/>
  <c r="E5" i="31"/>
  <c r="E20" i="31"/>
  <c r="E28" i="31"/>
  <c r="E10" i="31"/>
  <c r="E4" i="31"/>
  <c r="E36" i="31"/>
  <c r="D46" i="28"/>
  <c r="G21" i="31"/>
  <c r="F37" i="31"/>
  <c r="F38" i="31"/>
  <c r="F29" i="32"/>
  <c r="F25" i="32"/>
  <c r="G29" i="31"/>
  <c r="F26" i="31"/>
  <c r="F34" i="31"/>
  <c r="F9" i="32"/>
  <c r="G24" i="32"/>
  <c r="F14" i="31"/>
  <c r="F31" i="32"/>
  <c r="F33" i="32"/>
  <c r="F26" i="32"/>
  <c r="F45" i="28"/>
  <c r="F20" i="32"/>
  <c r="G27" i="32"/>
  <c r="F17" i="31"/>
  <c r="F10" i="32"/>
  <c r="F7" i="31"/>
  <c r="G42" i="28"/>
  <c r="F33" i="31"/>
  <c r="G13" i="31"/>
  <c r="F22" i="32"/>
  <c r="G35" i="32"/>
  <c r="F30" i="31"/>
  <c r="G19" i="31"/>
  <c r="F15" i="32"/>
  <c r="F39" i="32"/>
  <c r="G43" i="28"/>
  <c r="F12" i="32"/>
  <c r="F6" i="32"/>
  <c r="F39" i="31"/>
  <c r="G8" i="32"/>
  <c r="F9" i="31"/>
  <c r="F36" i="32"/>
  <c r="F5" i="32"/>
  <c r="G35" i="31"/>
  <c r="F30" i="32"/>
  <c r="F21" i="32"/>
  <c r="F11" i="32"/>
  <c r="G27" i="31"/>
  <c r="F4" i="31"/>
  <c r="F18" i="31"/>
  <c r="F23" i="32"/>
  <c r="G32" i="32"/>
  <c r="F25" i="31"/>
  <c r="F6" i="31"/>
  <c r="F13" i="32"/>
  <c r="F20" i="31"/>
  <c r="G24" i="31"/>
  <c r="F5" i="31"/>
  <c r="F14" i="32"/>
  <c r="G3" i="31"/>
  <c r="F31" i="31"/>
  <c r="G16" i="32"/>
  <c r="F34" i="32"/>
  <c r="G45" i="28"/>
  <c r="G16" i="31"/>
  <c r="F12" i="31"/>
  <c r="G44" i="28"/>
  <c r="F36" i="31"/>
  <c r="F28" i="31"/>
  <c r="G41" i="28"/>
  <c r="F18" i="32"/>
  <c r="F38" i="32"/>
  <c r="F3" i="32"/>
  <c r="F15" i="31"/>
  <c r="F11" i="31"/>
  <c r="G19" i="32"/>
  <c r="F10" i="31"/>
  <c r="F17" i="32"/>
  <c r="G32" i="31"/>
  <c r="F37" i="32"/>
  <c r="F22" i="31"/>
  <c r="F7" i="32"/>
  <c r="F8" i="31"/>
  <c r="F23" i="31"/>
  <c r="F4" i="32"/>
  <c r="F28" i="32"/>
  <c r="E46" i="28" l="1"/>
  <c r="D47" i="28"/>
  <c r="G22" i="31"/>
  <c r="G25" i="32"/>
  <c r="G33" i="32"/>
  <c r="G30" i="31"/>
  <c r="G23" i="32"/>
  <c r="F46" i="28"/>
  <c r="G46" i="28" s="1"/>
  <c r="G23" i="31"/>
  <c r="G5" i="32"/>
  <c r="G28" i="32"/>
  <c r="G28" i="31"/>
  <c r="G39" i="32"/>
  <c r="G20" i="32"/>
  <c r="G12" i="31"/>
  <c r="G36" i="31"/>
  <c r="G17" i="32"/>
  <c r="G11" i="31"/>
  <c r="G9" i="31"/>
  <c r="G31" i="32"/>
  <c r="G20" i="31"/>
  <c r="G26" i="32"/>
  <c r="G34" i="31"/>
  <c r="G36" i="32"/>
  <c r="G7" i="32"/>
  <c r="G22" i="32"/>
  <c r="G38" i="32"/>
  <c r="G31" i="31"/>
  <c r="G33" i="31"/>
  <c r="G7" i="31"/>
  <c r="G17" i="31"/>
  <c r="G10" i="32"/>
  <c r="G6" i="32"/>
  <c r="G37" i="31"/>
  <c r="G14" i="31"/>
  <c r="G15" i="32"/>
  <c r="G21" i="32"/>
  <c r="G30" i="32"/>
  <c r="G8" i="31"/>
  <c r="G15" i="31"/>
  <c r="G34" i="32"/>
  <c r="G18" i="31"/>
  <c r="G6" i="31"/>
  <c r="G3" i="32"/>
  <c r="G13" i="32"/>
  <c r="G9" i="32"/>
  <c r="G25" i="31"/>
  <c r="G4" i="32"/>
  <c r="G37" i="32"/>
  <c r="G18" i="32"/>
  <c r="G26" i="31"/>
  <c r="G12" i="32"/>
  <c r="G4" i="31"/>
  <c r="G39" i="31"/>
  <c r="G10" i="31"/>
  <c r="G38" i="31"/>
  <c r="G29" i="32"/>
  <c r="G5" i="31"/>
  <c r="G14" i="32"/>
  <c r="G11" i="32"/>
  <c r="E47" i="28" l="1"/>
  <c r="D48" i="28"/>
  <c r="F47" i="28"/>
  <c r="G47" i="28" s="1"/>
  <c r="E48" i="28" l="1"/>
  <c r="F48" i="28"/>
  <c r="G48" i="28" s="1"/>
  <c r="D49" i="28"/>
  <c r="E49" i="28" l="1"/>
  <c r="D50" i="28"/>
  <c r="F49" i="28"/>
  <c r="G49" i="28" s="1"/>
  <c r="E50" i="28" l="1"/>
  <c r="D51" i="28"/>
  <c r="F50" i="28"/>
  <c r="G50" i="28" s="1"/>
  <c r="D52" i="28"/>
  <c r="E52" i="28" l="1"/>
  <c r="E51" i="28"/>
  <c r="D53" i="28"/>
  <c r="F52" i="28"/>
  <c r="G52" i="28" s="1"/>
  <c r="F51" i="28"/>
  <c r="G51" i="28" s="1"/>
  <c r="E53" i="28" l="1"/>
  <c r="D54" i="28"/>
  <c r="F53" i="28"/>
  <c r="G53" i="28" s="1"/>
  <c r="E54" i="28" l="1"/>
  <c r="D55" i="28"/>
  <c r="F54" i="28"/>
  <c r="G54" i="28" s="1"/>
  <c r="E55" i="28" l="1"/>
  <c r="D56" i="28"/>
  <c r="F55" i="28"/>
  <c r="G55" i="28" s="1"/>
  <c r="E56" i="28" l="1"/>
  <c r="F56" i="28"/>
  <c r="G56" i="28" s="1"/>
  <c r="D57" i="28"/>
  <c r="D58" i="28"/>
  <c r="D59" i="28"/>
  <c r="D60" i="28"/>
  <c r="D61" i="28"/>
  <c r="D62" i="28"/>
  <c r="D63" i="28"/>
  <c r="D64" i="28"/>
  <c r="D65" i="28"/>
  <c r="D66" i="28"/>
  <c r="D67" i="28"/>
  <c r="D68" i="28"/>
  <c r="D69" i="28"/>
  <c r="E68" i="28" l="1"/>
  <c r="E67" i="28"/>
  <c r="E66" i="28"/>
  <c r="E65" i="28"/>
  <c r="E64" i="28"/>
  <c r="E63" i="28"/>
  <c r="E62" i="28"/>
  <c r="E61" i="28"/>
  <c r="E60" i="28"/>
  <c r="E59" i="28"/>
  <c r="E58" i="28"/>
  <c r="E57" i="28"/>
  <c r="E69" i="28"/>
  <c r="F59" i="28"/>
  <c r="G59" i="28" s="1"/>
  <c r="F65" i="28"/>
  <c r="G65" i="28" s="1"/>
  <c r="F61" i="28"/>
  <c r="G61" i="28" s="1"/>
  <c r="F57" i="28"/>
  <c r="G57" i="28" s="1"/>
  <c r="F64" i="28"/>
  <c r="G64" i="28" s="1"/>
  <c r="F69" i="28"/>
  <c r="F63" i="28"/>
  <c r="G63" i="28" s="1"/>
  <c r="D70" i="28"/>
  <c r="F62" i="28"/>
  <c r="G62" i="28" s="1"/>
  <c r="F68" i="28"/>
  <c r="G68" i="28" s="1"/>
  <c r="F60" i="28"/>
  <c r="G60" i="28" s="1"/>
  <c r="F67" i="28"/>
  <c r="G67" i="28" s="1"/>
  <c r="F66" i="28"/>
  <c r="G66" i="28" s="1"/>
  <c r="F58" i="28"/>
  <c r="G58" i="28" s="1"/>
  <c r="G69" i="28"/>
  <c r="E70" i="28" l="1"/>
  <c r="D71" i="28"/>
  <c r="F70" i="28"/>
  <c r="G70" i="28"/>
  <c r="E71" i="28" l="1"/>
  <c r="D72" i="28"/>
  <c r="F71" i="28"/>
  <c r="G71" i="28"/>
  <c r="E72" i="28" l="1"/>
  <c r="D73" i="28"/>
  <c r="F72" i="28"/>
  <c r="G72" i="28"/>
  <c r="E73" i="28" l="1"/>
  <c r="D74" i="28"/>
  <c r="F73" i="28"/>
  <c r="G73" i="28"/>
  <c r="E74" i="28" l="1"/>
  <c r="D75" i="28"/>
  <c r="F74" i="28"/>
  <c r="G74" i="28"/>
  <c r="E75" i="28" l="1"/>
  <c r="F75" i="28"/>
  <c r="F2" i="32"/>
  <c r="G75" i="28"/>
  <c r="F2" i="29"/>
  <c r="F2" i="28"/>
  <c r="F2" i="31"/>
  <c r="F2" i="30"/>
  <c r="D8" i="27" l="1"/>
  <c r="B2" i="26"/>
  <c r="B3" i="26"/>
  <c r="B4" i="26"/>
  <c r="E2" i="25"/>
  <c r="E2" i="24"/>
  <c r="E2" i="23"/>
  <c r="D2" i="22"/>
  <c r="D3" i="22"/>
  <c r="D4" i="22"/>
  <c r="D5" i="22"/>
  <c r="D6" i="22"/>
  <c r="D7" i="22"/>
  <c r="D8" i="22"/>
  <c r="D9" i="22"/>
  <c r="D10" i="22"/>
  <c r="D11" i="22"/>
  <c r="D12" i="22"/>
  <c r="D13" i="22"/>
  <c r="D14" i="22"/>
  <c r="C15" i="22"/>
  <c r="D15" i="22" s="1"/>
  <c r="C16" i="22"/>
  <c r="D16" i="22" s="1"/>
  <c r="C17" i="22"/>
  <c r="D17" i="22" s="1"/>
  <c r="C18" i="22"/>
  <c r="D18" i="22" s="1"/>
  <c r="C19" i="22"/>
  <c r="D19" i="22" s="1"/>
  <c r="C20" i="22"/>
  <c r="D20" i="22" s="1"/>
  <c r="C21" i="22"/>
  <c r="D21" i="22" s="1"/>
  <c r="C22" i="22"/>
  <c r="D22" i="22" s="1"/>
  <c r="C23" i="22"/>
  <c r="D23" i="22" s="1"/>
  <c r="C24" i="22"/>
  <c r="D24" i="22" s="1"/>
  <c r="C25" i="22"/>
  <c r="D25" i="22" s="1"/>
  <c r="C26" i="22"/>
  <c r="D26" i="22" s="1"/>
  <c r="C27" i="22"/>
  <c r="D27" i="22" s="1"/>
  <c r="C28" i="22"/>
  <c r="D28" i="22" s="1"/>
  <c r="C29" i="22"/>
  <c r="D29" i="22" s="1"/>
  <c r="C30" i="22"/>
  <c r="D30" i="22" s="1"/>
  <c r="C31" i="22"/>
  <c r="D31" i="22" s="1"/>
  <c r="C32" i="22"/>
  <c r="D32" i="22" s="1"/>
  <c r="D33" i="22"/>
  <c r="D34" i="22"/>
  <c r="D35" i="22"/>
  <c r="C2" i="21"/>
  <c r="C3" i="21"/>
  <c r="C4" i="21"/>
  <c r="C5" i="21"/>
  <c r="C6" i="21"/>
  <c r="C7" i="21"/>
  <c r="C8" i="21"/>
  <c r="C9" i="21"/>
  <c r="C10" i="21"/>
  <c r="C11" i="21"/>
  <c r="C12" i="21"/>
  <c r="C13" i="21"/>
  <c r="C14" i="21"/>
  <c r="C15" i="21"/>
  <c r="C16" i="21"/>
  <c r="C17" i="21"/>
  <c r="C18" i="21"/>
  <c r="C19" i="21"/>
  <c r="C20" i="21"/>
  <c r="D7" i="21"/>
  <c r="C3" i="26"/>
  <c r="E34" i="22"/>
  <c r="D8" i="21"/>
  <c r="E7" i="22"/>
  <c r="E27" i="22"/>
  <c r="E8" i="22"/>
  <c r="E29" i="22"/>
  <c r="E21" i="22"/>
  <c r="E20" i="22"/>
  <c r="D9" i="21"/>
  <c r="D10" i="21"/>
  <c r="D5" i="21"/>
  <c r="D6" i="21"/>
  <c r="D17" i="21"/>
  <c r="E24" i="22"/>
  <c r="F24" i="22" s="1"/>
  <c r="E15" i="22"/>
  <c r="E11" i="22"/>
  <c r="E3" i="22"/>
  <c r="D12" i="21"/>
  <c r="E23" i="22"/>
  <c r="D14" i="21"/>
  <c r="E18" i="22"/>
  <c r="E19" i="22"/>
  <c r="E7" i="21"/>
  <c r="E32" i="22"/>
  <c r="E10" i="22"/>
  <c r="C4" i="26"/>
  <c r="D3" i="23" a="1"/>
  <c r="D18" i="21"/>
  <c r="E6" i="22"/>
  <c r="F6" i="22" s="1"/>
  <c r="F29" i="22"/>
  <c r="E17" i="21"/>
  <c r="E9" i="22"/>
  <c r="E5" i="21"/>
  <c r="D3" i="21"/>
  <c r="F19" i="22"/>
  <c r="D16" i="21"/>
  <c r="E17" i="22"/>
  <c r="E16" i="22"/>
  <c r="F16" i="22" s="1"/>
  <c r="E31" i="22"/>
  <c r="E28" i="22"/>
  <c r="E25" i="22"/>
  <c r="D3" i="25" a="1"/>
  <c r="F25" i="22"/>
  <c r="D4" i="21"/>
  <c r="F28" i="22"/>
  <c r="E35" i="22"/>
  <c r="E18" i="21"/>
  <c r="D3" i="26"/>
  <c r="D19" i="21"/>
  <c r="B1" i="27"/>
  <c r="E4" i="22"/>
  <c r="F4" i="22" s="1"/>
  <c r="D11" i="21"/>
  <c r="E11" i="21" s="1"/>
  <c r="E14" i="22"/>
  <c r="E9" i="21"/>
  <c r="D3" i="24" a="1"/>
  <c r="D15" i="21"/>
  <c r="E15" i="21" s="1"/>
  <c r="D20" i="21"/>
  <c r="E33" i="22"/>
  <c r="E22" i="22"/>
  <c r="E6" i="21"/>
  <c r="E5" i="22"/>
  <c r="F5" i="22" s="1"/>
  <c r="E30" i="22"/>
  <c r="D13" i="21"/>
  <c r="E13" i="22"/>
  <c r="E12" i="22"/>
  <c r="F12" i="22" s="1"/>
  <c r="E26" i="22"/>
  <c r="G2" i="31"/>
  <c r="G2" i="28"/>
  <c r="G2" i="32"/>
  <c r="G2" i="29"/>
  <c r="G2" i="30"/>
  <c r="D4" i="25" l="1"/>
  <c r="E4" i="25" s="1"/>
  <c r="D6" i="25"/>
  <c r="E6" i="25" s="1"/>
  <c r="D8" i="25"/>
  <c r="E8" i="25" s="1"/>
  <c r="D10" i="25"/>
  <c r="E10" i="25" s="1"/>
  <c r="D12" i="25"/>
  <c r="E12" i="25" s="1"/>
  <c r="D14" i="25"/>
  <c r="E14" i="25" s="1"/>
  <c r="D16" i="25"/>
  <c r="E16" i="25" s="1"/>
  <c r="D18" i="25"/>
  <c r="E18" i="25" s="1"/>
  <c r="D20" i="25"/>
  <c r="E20" i="25" s="1"/>
  <c r="D22" i="25"/>
  <c r="E22" i="25" s="1"/>
  <c r="D24" i="25"/>
  <c r="E24" i="25" s="1"/>
  <c r="D26" i="25"/>
  <c r="E26" i="25" s="1"/>
  <c r="D28" i="25"/>
  <c r="E28" i="25" s="1"/>
  <c r="D30" i="25"/>
  <c r="E30" i="25" s="1"/>
  <c r="D32" i="25"/>
  <c r="E32" i="25" s="1"/>
  <c r="D34" i="25"/>
  <c r="E34" i="25" s="1"/>
  <c r="D36" i="25"/>
  <c r="E36" i="25" s="1"/>
  <c r="D38" i="25"/>
  <c r="E38" i="25" s="1"/>
  <c r="D40" i="25"/>
  <c r="E40" i="25" s="1"/>
  <c r="D42" i="25"/>
  <c r="E42" i="25" s="1"/>
  <c r="D44" i="25"/>
  <c r="E44" i="25" s="1"/>
  <c r="D46" i="25"/>
  <c r="E46" i="25" s="1"/>
  <c r="D48" i="25"/>
  <c r="E48" i="25" s="1"/>
  <c r="D50" i="25"/>
  <c r="E50" i="25" s="1"/>
  <c r="D52" i="25"/>
  <c r="E52" i="25" s="1"/>
  <c r="D54" i="25"/>
  <c r="E54" i="25" s="1"/>
  <c r="D56" i="25"/>
  <c r="E56" i="25" s="1"/>
  <c r="D58" i="25"/>
  <c r="E58" i="25" s="1"/>
  <c r="D60" i="25"/>
  <c r="E60" i="25" s="1"/>
  <c r="D62" i="25"/>
  <c r="E62" i="25" s="1"/>
  <c r="D64" i="25"/>
  <c r="E64" i="25" s="1"/>
  <c r="D66" i="25"/>
  <c r="E66" i="25" s="1"/>
  <c r="D68" i="25"/>
  <c r="E68" i="25" s="1"/>
  <c r="D70" i="25"/>
  <c r="E70" i="25" s="1"/>
  <c r="D72" i="25"/>
  <c r="E72" i="25" s="1"/>
  <c r="D74" i="25"/>
  <c r="E74" i="25" s="1"/>
  <c r="D76" i="25"/>
  <c r="E76" i="25" s="1"/>
  <c r="D78" i="25"/>
  <c r="E78" i="25" s="1"/>
  <c r="D80" i="25"/>
  <c r="E80" i="25" s="1"/>
  <c r="D82" i="25"/>
  <c r="E82" i="25" s="1"/>
  <c r="D84" i="25"/>
  <c r="E84" i="25" s="1"/>
  <c r="D86" i="25"/>
  <c r="E86" i="25" s="1"/>
  <c r="D88" i="25"/>
  <c r="E88" i="25" s="1"/>
  <c r="D90" i="25"/>
  <c r="E90" i="25" s="1"/>
  <c r="D92" i="25"/>
  <c r="E92" i="25" s="1"/>
  <c r="D94" i="25"/>
  <c r="E94" i="25" s="1"/>
  <c r="D96" i="25"/>
  <c r="E96" i="25" s="1"/>
  <c r="D98" i="25"/>
  <c r="E98" i="25" s="1"/>
  <c r="D100" i="25"/>
  <c r="E100" i="25" s="1"/>
  <c r="D102" i="25"/>
  <c r="E102" i="25" s="1"/>
  <c r="D104" i="25"/>
  <c r="E104" i="25" s="1"/>
  <c r="D106" i="25"/>
  <c r="E106" i="25" s="1"/>
  <c r="D108" i="25"/>
  <c r="E108" i="25" s="1"/>
  <c r="D110" i="25"/>
  <c r="E110" i="25" s="1"/>
  <c r="D112" i="25"/>
  <c r="E112" i="25" s="1"/>
  <c r="D114" i="25"/>
  <c r="E114" i="25" s="1"/>
  <c r="D116" i="25"/>
  <c r="E116" i="25" s="1"/>
  <c r="D118" i="25"/>
  <c r="E118" i="25" s="1"/>
  <c r="D120" i="25"/>
  <c r="E120" i="25" s="1"/>
  <c r="D122" i="25"/>
  <c r="E122" i="25" s="1"/>
  <c r="D65" i="25"/>
  <c r="E65" i="25" s="1"/>
  <c r="D81" i="25"/>
  <c r="E81" i="25" s="1"/>
  <c r="D97" i="25"/>
  <c r="E97" i="25" s="1"/>
  <c r="D113" i="25"/>
  <c r="E113" i="25" s="1"/>
  <c r="D59" i="25"/>
  <c r="E59" i="25" s="1"/>
  <c r="D75" i="25"/>
  <c r="E75" i="25" s="1"/>
  <c r="D107" i="25"/>
  <c r="E107" i="25" s="1"/>
  <c r="D69" i="25"/>
  <c r="E69" i="25" s="1"/>
  <c r="D101" i="25"/>
  <c r="E101" i="25" s="1"/>
  <c r="D95" i="25"/>
  <c r="E95" i="25" s="1"/>
  <c r="D117" i="25"/>
  <c r="E117" i="25" s="1"/>
  <c r="D91" i="25"/>
  <c r="E91" i="25" s="1"/>
  <c r="D119" i="25"/>
  <c r="E119" i="25" s="1"/>
  <c r="D63" i="25"/>
  <c r="E63" i="25" s="1"/>
  <c r="D79" i="25"/>
  <c r="E79" i="25" s="1"/>
  <c r="D5" i="25"/>
  <c r="E5" i="25" s="1"/>
  <c r="D9" i="25"/>
  <c r="E9" i="25" s="1"/>
  <c r="D13" i="25"/>
  <c r="E13" i="25" s="1"/>
  <c r="D17" i="25"/>
  <c r="E17" i="25" s="1"/>
  <c r="D21" i="25"/>
  <c r="E21" i="25" s="1"/>
  <c r="D25" i="25"/>
  <c r="E25" i="25" s="1"/>
  <c r="D29" i="25"/>
  <c r="E29" i="25" s="1"/>
  <c r="D33" i="25"/>
  <c r="E33" i="25" s="1"/>
  <c r="D37" i="25"/>
  <c r="E37" i="25" s="1"/>
  <c r="D41" i="25"/>
  <c r="E41" i="25" s="1"/>
  <c r="D45" i="25"/>
  <c r="E45" i="25" s="1"/>
  <c r="D49" i="25"/>
  <c r="E49" i="25" s="1"/>
  <c r="D53" i="25"/>
  <c r="E53" i="25" s="1"/>
  <c r="D85" i="25"/>
  <c r="E85" i="25" s="1"/>
  <c r="D111" i="25"/>
  <c r="E111" i="25" s="1"/>
  <c r="D57" i="25"/>
  <c r="E57" i="25" s="1"/>
  <c r="D27" i="25"/>
  <c r="E27" i="25" s="1"/>
  <c r="D67" i="25"/>
  <c r="E67" i="25" s="1"/>
  <c r="D99" i="25"/>
  <c r="E99" i="25" s="1"/>
  <c r="D7" i="25"/>
  <c r="E7" i="25" s="1"/>
  <c r="D39" i="25"/>
  <c r="E39" i="25" s="1"/>
  <c r="D93" i="25"/>
  <c r="E93" i="25" s="1"/>
  <c r="D19" i="25"/>
  <c r="E19" i="25" s="1"/>
  <c r="D51" i="25"/>
  <c r="E51" i="25" s="1"/>
  <c r="D87" i="25"/>
  <c r="E87" i="25" s="1"/>
  <c r="D31" i="25"/>
  <c r="E31" i="25" s="1"/>
  <c r="D61" i="25"/>
  <c r="E61" i="25" s="1"/>
  <c r="D89" i="25"/>
  <c r="E89" i="25" s="1"/>
  <c r="D11" i="25"/>
  <c r="E11" i="25" s="1"/>
  <c r="D43" i="25"/>
  <c r="E43" i="25" s="1"/>
  <c r="D83" i="25"/>
  <c r="E83" i="25" s="1"/>
  <c r="D115" i="25"/>
  <c r="E115" i="25" s="1"/>
  <c r="D23" i="25"/>
  <c r="E23" i="25" s="1"/>
  <c r="D77" i="25"/>
  <c r="E77" i="25" s="1"/>
  <c r="D55" i="25"/>
  <c r="E55" i="25" s="1"/>
  <c r="D71" i="25"/>
  <c r="E71" i="25" s="1"/>
  <c r="D121" i="25"/>
  <c r="E121" i="25" s="1"/>
  <c r="D47" i="25"/>
  <c r="E47" i="25" s="1"/>
  <c r="D73" i="25"/>
  <c r="E73" i="25" s="1"/>
  <c r="D109" i="25"/>
  <c r="E109" i="25" s="1"/>
  <c r="D3" i="25"/>
  <c r="E3" i="25" s="1"/>
  <c r="D35" i="25"/>
  <c r="E35" i="25" s="1"/>
  <c r="D103" i="25"/>
  <c r="E103" i="25" s="1"/>
  <c r="D15" i="25"/>
  <c r="E15" i="25" s="1"/>
  <c r="D105" i="25"/>
  <c r="E105" i="25" s="1"/>
  <c r="D3" i="24"/>
  <c r="E3" i="24" s="1"/>
  <c r="D5" i="24"/>
  <c r="E5" i="24" s="1"/>
  <c r="D7" i="24"/>
  <c r="E7" i="24" s="1"/>
  <c r="D9" i="24"/>
  <c r="E9" i="24" s="1"/>
  <c r="D11" i="24"/>
  <c r="E11" i="24" s="1"/>
  <c r="D13" i="24"/>
  <c r="E13" i="24" s="1"/>
  <c r="D15" i="24"/>
  <c r="E15" i="24" s="1"/>
  <c r="D17" i="24"/>
  <c r="E17" i="24" s="1"/>
  <c r="D19" i="24"/>
  <c r="E19" i="24" s="1"/>
  <c r="D21" i="24"/>
  <c r="E21" i="24" s="1"/>
  <c r="D23" i="24"/>
  <c r="E23" i="24" s="1"/>
  <c r="D25" i="24"/>
  <c r="E25" i="24" s="1"/>
  <c r="D27" i="24"/>
  <c r="E27" i="24" s="1"/>
  <c r="D29" i="24"/>
  <c r="E29" i="24" s="1"/>
  <c r="D31" i="24"/>
  <c r="E31" i="24" s="1"/>
  <c r="D33" i="24"/>
  <c r="E33" i="24" s="1"/>
  <c r="D35" i="24"/>
  <c r="E35" i="24" s="1"/>
  <c r="D37" i="24"/>
  <c r="E37" i="24" s="1"/>
  <c r="D39" i="24"/>
  <c r="E39" i="24" s="1"/>
  <c r="D41" i="24"/>
  <c r="E41" i="24" s="1"/>
  <c r="D43" i="24"/>
  <c r="E43" i="24" s="1"/>
  <c r="D45" i="24"/>
  <c r="E45" i="24" s="1"/>
  <c r="D47" i="24"/>
  <c r="E47" i="24" s="1"/>
  <c r="D49" i="24"/>
  <c r="E49" i="24" s="1"/>
  <c r="D51" i="24"/>
  <c r="E51" i="24" s="1"/>
  <c r="D53" i="24"/>
  <c r="E53" i="24" s="1"/>
  <c r="D55" i="24"/>
  <c r="E55" i="24" s="1"/>
  <c r="D57" i="24"/>
  <c r="E57" i="24" s="1"/>
  <c r="D59" i="24"/>
  <c r="E59" i="24" s="1"/>
  <c r="D61" i="24"/>
  <c r="E61" i="24" s="1"/>
  <c r="D63" i="24"/>
  <c r="E63" i="24" s="1"/>
  <c r="D65" i="24"/>
  <c r="E65" i="24" s="1"/>
  <c r="D67" i="24"/>
  <c r="E67" i="24" s="1"/>
  <c r="D69" i="24"/>
  <c r="E69" i="24" s="1"/>
  <c r="D71" i="24"/>
  <c r="E71" i="24" s="1"/>
  <c r="D73" i="24"/>
  <c r="E73" i="24" s="1"/>
  <c r="D75" i="24"/>
  <c r="E75" i="24" s="1"/>
  <c r="D77" i="24"/>
  <c r="E77" i="24" s="1"/>
  <c r="D79" i="24"/>
  <c r="E79" i="24" s="1"/>
  <c r="D81" i="24"/>
  <c r="E81" i="24" s="1"/>
  <c r="D83" i="24"/>
  <c r="E83" i="24" s="1"/>
  <c r="D85" i="24"/>
  <c r="E85" i="24" s="1"/>
  <c r="D87" i="24"/>
  <c r="E87" i="24" s="1"/>
  <c r="D89" i="24"/>
  <c r="E89" i="24" s="1"/>
  <c r="D91" i="24"/>
  <c r="E91" i="24" s="1"/>
  <c r="D93" i="24"/>
  <c r="E93" i="24" s="1"/>
  <c r="D95" i="24"/>
  <c r="E95" i="24" s="1"/>
  <c r="D97" i="24"/>
  <c r="E97" i="24" s="1"/>
  <c r="D99" i="24"/>
  <c r="E99" i="24" s="1"/>
  <c r="D101" i="24"/>
  <c r="E101" i="24" s="1"/>
  <c r="D103" i="24"/>
  <c r="E103" i="24" s="1"/>
  <c r="D105" i="24"/>
  <c r="E105" i="24" s="1"/>
  <c r="D107" i="24"/>
  <c r="E107" i="24" s="1"/>
  <c r="D109" i="24"/>
  <c r="E109" i="24" s="1"/>
  <c r="D111" i="24"/>
  <c r="E111" i="24" s="1"/>
  <c r="D113" i="24"/>
  <c r="E113" i="24" s="1"/>
  <c r="D115" i="24"/>
  <c r="E115" i="24" s="1"/>
  <c r="D117" i="24"/>
  <c r="E117" i="24" s="1"/>
  <c r="D119" i="24"/>
  <c r="E119" i="24" s="1"/>
  <c r="D121" i="24"/>
  <c r="E121" i="24" s="1"/>
  <c r="D54" i="24"/>
  <c r="E54" i="24" s="1"/>
  <c r="D70" i="24"/>
  <c r="E70" i="24" s="1"/>
  <c r="D86" i="24"/>
  <c r="E86" i="24" s="1"/>
  <c r="D66" i="24"/>
  <c r="E66" i="24" s="1"/>
  <c r="D82" i="24"/>
  <c r="E82" i="24" s="1"/>
  <c r="D10" i="24"/>
  <c r="E10" i="24" s="1"/>
  <c r="D18" i="24"/>
  <c r="E18" i="24" s="1"/>
  <c r="D26" i="24"/>
  <c r="E26" i="24" s="1"/>
  <c r="D34" i="24"/>
  <c r="E34" i="24" s="1"/>
  <c r="D42" i="24"/>
  <c r="E42" i="24" s="1"/>
  <c r="D50" i="24"/>
  <c r="E50" i="24" s="1"/>
  <c r="D64" i="24"/>
  <c r="E64" i="24" s="1"/>
  <c r="D80" i="24"/>
  <c r="E80" i="24" s="1"/>
  <c r="D96" i="24"/>
  <c r="E96" i="24" s="1"/>
  <c r="D112" i="24"/>
  <c r="E112" i="24" s="1"/>
  <c r="D60" i="24"/>
  <c r="E60" i="24" s="1"/>
  <c r="D74" i="24"/>
  <c r="E74" i="24" s="1"/>
  <c r="D62" i="24"/>
  <c r="E62" i="24" s="1"/>
  <c r="D78" i="24"/>
  <c r="E78" i="24" s="1"/>
  <c r="D94" i="24"/>
  <c r="E94" i="24" s="1"/>
  <c r="D110" i="24"/>
  <c r="E110" i="24" s="1"/>
  <c r="D8" i="24"/>
  <c r="E8" i="24" s="1"/>
  <c r="D16" i="24"/>
  <c r="E16" i="24" s="1"/>
  <c r="D24" i="24"/>
  <c r="E24" i="24" s="1"/>
  <c r="D32" i="24"/>
  <c r="E32" i="24" s="1"/>
  <c r="D40" i="24"/>
  <c r="E40" i="24" s="1"/>
  <c r="D48" i="24"/>
  <c r="E48" i="24" s="1"/>
  <c r="D76" i="24"/>
  <c r="E76" i="24" s="1"/>
  <c r="D92" i="24"/>
  <c r="E92" i="24" s="1"/>
  <c r="D108" i="24"/>
  <c r="E108" i="24" s="1"/>
  <c r="D58" i="24"/>
  <c r="E58" i="24" s="1"/>
  <c r="D4" i="24"/>
  <c r="E4" i="24" s="1"/>
  <c r="D36" i="24"/>
  <c r="E36" i="24" s="1"/>
  <c r="D6" i="24"/>
  <c r="E6" i="24" s="1"/>
  <c r="D38" i="24"/>
  <c r="E38" i="24" s="1"/>
  <c r="D88" i="24"/>
  <c r="E88" i="24" s="1"/>
  <c r="D28" i="24"/>
  <c r="E28" i="24" s="1"/>
  <c r="D68" i="24"/>
  <c r="E68" i="24" s="1"/>
  <c r="D116" i="24"/>
  <c r="E116" i="24" s="1"/>
  <c r="D120" i="24"/>
  <c r="E120" i="24" s="1"/>
  <c r="D30" i="24"/>
  <c r="E30" i="24" s="1"/>
  <c r="D90" i="24"/>
  <c r="E90" i="24" s="1"/>
  <c r="D98" i="24"/>
  <c r="E98" i="24" s="1"/>
  <c r="D102" i="24"/>
  <c r="E102" i="24" s="1"/>
  <c r="D106" i="24"/>
  <c r="E106" i="24" s="1"/>
  <c r="D22" i="24"/>
  <c r="E22" i="24" s="1"/>
  <c r="D72" i="24"/>
  <c r="E72" i="24" s="1"/>
  <c r="D12" i="24"/>
  <c r="E12" i="24" s="1"/>
  <c r="D114" i="24"/>
  <c r="E114" i="24" s="1"/>
  <c r="D20" i="24"/>
  <c r="E20" i="24" s="1"/>
  <c r="D52" i="24"/>
  <c r="E52" i="24" s="1"/>
  <c r="D118" i="24"/>
  <c r="E118" i="24" s="1"/>
  <c r="D14" i="24"/>
  <c r="E14" i="24" s="1"/>
  <c r="D46" i="24"/>
  <c r="E46" i="24" s="1"/>
  <c r="D56" i="24"/>
  <c r="E56" i="24" s="1"/>
  <c r="D100" i="24"/>
  <c r="E100" i="24" s="1"/>
  <c r="D104" i="24"/>
  <c r="E104" i="24" s="1"/>
  <c r="D84" i="24"/>
  <c r="E84" i="24" s="1"/>
  <c r="D44" i="24"/>
  <c r="E44" i="24" s="1"/>
  <c r="D122" i="24"/>
  <c r="E122" i="24" s="1"/>
  <c r="D4" i="23"/>
  <c r="E4" i="23" s="1"/>
  <c r="D6" i="23"/>
  <c r="E6" i="23" s="1"/>
  <c r="D8" i="23"/>
  <c r="E8" i="23" s="1"/>
  <c r="D10" i="23"/>
  <c r="E10" i="23" s="1"/>
  <c r="D12" i="23"/>
  <c r="E12" i="23" s="1"/>
  <c r="D14" i="23"/>
  <c r="E14" i="23" s="1"/>
  <c r="D16" i="23"/>
  <c r="E16" i="23" s="1"/>
  <c r="D18" i="23"/>
  <c r="E18" i="23" s="1"/>
  <c r="D20" i="23"/>
  <c r="E20" i="23" s="1"/>
  <c r="D22" i="23"/>
  <c r="E22" i="23" s="1"/>
  <c r="D24" i="23"/>
  <c r="E24" i="23" s="1"/>
  <c r="D26" i="23"/>
  <c r="E26" i="23" s="1"/>
  <c r="D28" i="23"/>
  <c r="E28" i="23" s="1"/>
  <c r="D30" i="23"/>
  <c r="E30" i="23" s="1"/>
  <c r="D32" i="23"/>
  <c r="E32" i="23" s="1"/>
  <c r="D34" i="23"/>
  <c r="E34" i="23" s="1"/>
  <c r="D36" i="23"/>
  <c r="E36" i="23" s="1"/>
  <c r="D38" i="23"/>
  <c r="E38" i="23" s="1"/>
  <c r="D40" i="23"/>
  <c r="E40" i="23" s="1"/>
  <c r="D42" i="23"/>
  <c r="E42" i="23" s="1"/>
  <c r="D44" i="23"/>
  <c r="E44" i="23" s="1"/>
  <c r="D46" i="23"/>
  <c r="E46" i="23" s="1"/>
  <c r="D48" i="23"/>
  <c r="E48" i="23" s="1"/>
  <c r="D50" i="23"/>
  <c r="E50" i="23" s="1"/>
  <c r="D52" i="23"/>
  <c r="E52" i="23" s="1"/>
  <c r="D54" i="23"/>
  <c r="E54" i="23" s="1"/>
  <c r="D56" i="23"/>
  <c r="E56" i="23" s="1"/>
  <c r="D58" i="23"/>
  <c r="E58" i="23" s="1"/>
  <c r="D60" i="23"/>
  <c r="E60" i="23" s="1"/>
  <c r="D62" i="23"/>
  <c r="E62" i="23" s="1"/>
  <c r="D64" i="23"/>
  <c r="E64" i="23" s="1"/>
  <c r="D68" i="23"/>
  <c r="E68" i="23" s="1"/>
  <c r="D70" i="23"/>
  <c r="E70" i="23" s="1"/>
  <c r="D72" i="23"/>
  <c r="E72" i="23" s="1"/>
  <c r="D74" i="23"/>
  <c r="E74" i="23" s="1"/>
  <c r="D76" i="23"/>
  <c r="E76" i="23" s="1"/>
  <c r="D78" i="23"/>
  <c r="E78" i="23" s="1"/>
  <c r="D80" i="23"/>
  <c r="E80" i="23" s="1"/>
  <c r="D82" i="23"/>
  <c r="E82" i="23" s="1"/>
  <c r="D84" i="23"/>
  <c r="E84" i="23" s="1"/>
  <c r="D86" i="23"/>
  <c r="E86" i="23" s="1"/>
  <c r="D88" i="23"/>
  <c r="E88" i="23" s="1"/>
  <c r="D90" i="23"/>
  <c r="E90" i="23" s="1"/>
  <c r="D92" i="23"/>
  <c r="E92" i="23" s="1"/>
  <c r="D94" i="23"/>
  <c r="E94" i="23" s="1"/>
  <c r="D3" i="23"/>
  <c r="E3" i="23" s="1"/>
  <c r="D15" i="23"/>
  <c r="E15" i="23" s="1"/>
  <c r="D23" i="23"/>
  <c r="E23" i="23" s="1"/>
  <c r="D31" i="23"/>
  <c r="E31" i="23" s="1"/>
  <c r="D39" i="23"/>
  <c r="E39" i="23" s="1"/>
  <c r="D47" i="23"/>
  <c r="E47" i="23" s="1"/>
  <c r="D55" i="23"/>
  <c r="E55" i="23" s="1"/>
  <c r="D63" i="23"/>
  <c r="E63" i="23" s="1"/>
  <c r="D97" i="23"/>
  <c r="E97" i="23" s="1"/>
  <c r="D104" i="23"/>
  <c r="E104" i="23" s="1"/>
  <c r="D113" i="23"/>
  <c r="E113" i="23" s="1"/>
  <c r="D120" i="23"/>
  <c r="E120" i="23" s="1"/>
  <c r="D7" i="23"/>
  <c r="E7" i="23" s="1"/>
  <c r="D66" i="23"/>
  <c r="E66" i="23" s="1"/>
  <c r="D71" i="23"/>
  <c r="E71" i="23" s="1"/>
  <c r="D79" i="23"/>
  <c r="E79" i="23" s="1"/>
  <c r="D87" i="23"/>
  <c r="E87" i="23" s="1"/>
  <c r="D95" i="23"/>
  <c r="E95" i="23" s="1"/>
  <c r="D102" i="23"/>
  <c r="E102" i="23" s="1"/>
  <c r="D111" i="23"/>
  <c r="E111" i="23" s="1"/>
  <c r="D118" i="23"/>
  <c r="E118" i="23" s="1"/>
  <c r="D98" i="23"/>
  <c r="E98" i="23" s="1"/>
  <c r="D107" i="23"/>
  <c r="E107" i="23" s="1"/>
  <c r="D13" i="23"/>
  <c r="E13" i="23" s="1"/>
  <c r="D21" i="23"/>
  <c r="E21" i="23" s="1"/>
  <c r="D29" i="23"/>
  <c r="E29" i="23" s="1"/>
  <c r="D37" i="23"/>
  <c r="E37" i="23" s="1"/>
  <c r="D45" i="23"/>
  <c r="E45" i="23" s="1"/>
  <c r="D53" i="23"/>
  <c r="E53" i="23" s="1"/>
  <c r="D61" i="23"/>
  <c r="E61" i="23" s="1"/>
  <c r="D100" i="23"/>
  <c r="E100" i="23" s="1"/>
  <c r="D109" i="23"/>
  <c r="E109" i="23" s="1"/>
  <c r="D116" i="23"/>
  <c r="E116" i="23" s="1"/>
  <c r="D69" i="23"/>
  <c r="E69" i="23" s="1"/>
  <c r="D77" i="23"/>
  <c r="E77" i="23" s="1"/>
  <c r="D85" i="23"/>
  <c r="E85" i="23" s="1"/>
  <c r="D93" i="23"/>
  <c r="E93" i="23" s="1"/>
  <c r="D114" i="23"/>
  <c r="E114" i="23" s="1"/>
  <c r="D5" i="23"/>
  <c r="E5" i="23" s="1"/>
  <c r="D11" i="23"/>
  <c r="E11" i="23" s="1"/>
  <c r="D19" i="23"/>
  <c r="E19" i="23" s="1"/>
  <c r="D27" i="23"/>
  <c r="E27" i="23" s="1"/>
  <c r="D35" i="23"/>
  <c r="E35" i="23" s="1"/>
  <c r="D43" i="23"/>
  <c r="E43" i="23" s="1"/>
  <c r="D51" i="23"/>
  <c r="E51" i="23" s="1"/>
  <c r="D59" i="23"/>
  <c r="E59" i="23" s="1"/>
  <c r="D96" i="23"/>
  <c r="E96" i="23" s="1"/>
  <c r="D105" i="23"/>
  <c r="E105" i="23" s="1"/>
  <c r="D112" i="23"/>
  <c r="E112" i="23" s="1"/>
  <c r="D121" i="23"/>
  <c r="E121" i="23" s="1"/>
  <c r="D103" i="23"/>
  <c r="E103" i="23" s="1"/>
  <c r="D110" i="23"/>
  <c r="E110" i="23" s="1"/>
  <c r="D119" i="23"/>
  <c r="E119" i="23" s="1"/>
  <c r="D17" i="23"/>
  <c r="E17" i="23" s="1"/>
  <c r="D25" i="23"/>
  <c r="E25" i="23" s="1"/>
  <c r="D33" i="23"/>
  <c r="E33" i="23" s="1"/>
  <c r="D41" i="23"/>
  <c r="E41" i="23" s="1"/>
  <c r="D49" i="23"/>
  <c r="E49" i="23" s="1"/>
  <c r="D57" i="23"/>
  <c r="E57" i="23" s="1"/>
  <c r="D65" i="23"/>
  <c r="E65" i="23" s="1"/>
  <c r="D101" i="23"/>
  <c r="E101" i="23" s="1"/>
  <c r="D108" i="23"/>
  <c r="E108" i="23" s="1"/>
  <c r="D117" i="23"/>
  <c r="E117" i="23" s="1"/>
  <c r="D73" i="23"/>
  <c r="E73" i="23" s="1"/>
  <c r="D81" i="23"/>
  <c r="E81" i="23" s="1"/>
  <c r="D89" i="23"/>
  <c r="E89" i="23" s="1"/>
  <c r="D99" i="23"/>
  <c r="E99" i="23" s="1"/>
  <c r="D67" i="23"/>
  <c r="E67" i="23" s="1"/>
  <c r="D75" i="23"/>
  <c r="E75" i="23" s="1"/>
  <c r="D83" i="23"/>
  <c r="E83" i="23" s="1"/>
  <c r="D91" i="23"/>
  <c r="E91" i="23" s="1"/>
  <c r="D9" i="23"/>
  <c r="E9" i="23" s="1"/>
  <c r="D106" i="23"/>
  <c r="E106" i="23" s="1"/>
  <c r="D115" i="23"/>
  <c r="E115" i="23" s="1"/>
  <c r="D122" i="23"/>
  <c r="E122" i="23" s="1"/>
  <c r="F13" i="22"/>
  <c r="F35" i="22"/>
  <c r="F3" i="22"/>
  <c r="F19" i="25"/>
  <c r="F78" i="25"/>
  <c r="F85" i="24"/>
  <c r="F18" i="24"/>
  <c r="F117" i="23"/>
  <c r="F120" i="23"/>
  <c r="F11" i="25"/>
  <c r="F57" i="23"/>
  <c r="F50" i="25"/>
  <c r="F108" i="23"/>
  <c r="F121" i="25"/>
  <c r="F47" i="23"/>
  <c r="F67" i="25"/>
  <c r="F38" i="23"/>
  <c r="F76" i="25"/>
  <c r="F88" i="24"/>
  <c r="F23" i="25"/>
  <c r="F55" i="25"/>
  <c r="F46" i="24"/>
  <c r="F109" i="24"/>
  <c r="F36" i="23"/>
  <c r="F97" i="23"/>
  <c r="F49" i="23"/>
  <c r="F115" i="24"/>
  <c r="F33" i="23"/>
  <c r="F96" i="24"/>
  <c r="F116" i="23"/>
  <c r="F76" i="24"/>
  <c r="F69" i="25"/>
  <c r="F94" i="24"/>
  <c r="F52" i="25"/>
  <c r="F96" i="23"/>
  <c r="F120" i="25"/>
  <c r="F97" i="25"/>
  <c r="F116" i="24"/>
  <c r="F15" i="24"/>
  <c r="F87" i="23"/>
  <c r="F47" i="25"/>
  <c r="F78" i="23"/>
  <c r="F21" i="24"/>
  <c r="F113" i="23"/>
  <c r="F55" i="24"/>
  <c r="F46" i="23"/>
  <c r="F108" i="24"/>
  <c r="F112" i="23"/>
  <c r="F91" i="24"/>
  <c r="F103" i="23"/>
  <c r="F100" i="23"/>
  <c r="F104" i="25"/>
  <c r="F112" i="24"/>
  <c r="F84" i="24"/>
  <c r="F48" i="23"/>
  <c r="F67" i="23"/>
  <c r="F21" i="23"/>
  <c r="F43" i="24"/>
  <c r="F40" i="25"/>
  <c r="F20" i="25"/>
  <c r="F98" i="23"/>
  <c r="F121" i="23"/>
  <c r="F10" i="25"/>
  <c r="F121" i="24"/>
  <c r="F33" i="24"/>
  <c r="F10" i="24"/>
  <c r="F14" i="23"/>
  <c r="F115" i="23"/>
  <c r="F24" i="24"/>
  <c r="F75" i="24"/>
  <c r="F122" i="24"/>
  <c r="F80" i="23"/>
  <c r="F31" i="22"/>
  <c r="E10" i="21"/>
  <c r="F96" i="25"/>
  <c r="F20" i="24"/>
  <c r="F90" i="23"/>
  <c r="F9" i="24"/>
  <c r="F27" i="23"/>
  <c r="F30" i="23"/>
  <c r="F4" i="25"/>
  <c r="F82" i="25"/>
  <c r="F42" i="23"/>
  <c r="F56" i="23"/>
  <c r="F109" i="25"/>
  <c r="F105" i="24"/>
  <c r="F52" i="24"/>
  <c r="F70" i="23"/>
  <c r="F27" i="24"/>
  <c r="F27" i="22"/>
  <c r="F64" i="24"/>
  <c r="F53" i="23"/>
  <c r="F64" i="25"/>
  <c r="F68" i="25"/>
  <c r="F16" i="23"/>
  <c r="F53" i="25"/>
  <c r="F11" i="24"/>
  <c r="D4" i="26"/>
  <c r="F26" i="24"/>
  <c r="F32" i="24"/>
  <c r="F63" i="25"/>
  <c r="F15" i="22"/>
  <c r="F102" i="24"/>
  <c r="F50" i="24"/>
  <c r="F41" i="23"/>
  <c r="F32" i="23"/>
  <c r="F59" i="24"/>
  <c r="F54" i="23"/>
  <c r="F105" i="23"/>
  <c r="F105" i="25"/>
  <c r="F81" i="23"/>
  <c r="E13" i="21"/>
  <c r="E4" i="21"/>
  <c r="F11" i="22"/>
  <c r="F27" i="25"/>
  <c r="F61" i="25"/>
  <c r="F22" i="24"/>
  <c r="F93" i="24"/>
  <c r="F99" i="23"/>
  <c r="F3" i="23"/>
  <c r="F5" i="24"/>
  <c r="F34" i="23"/>
  <c r="F82" i="24"/>
  <c r="F94" i="23"/>
  <c r="F48" i="25"/>
  <c r="F8" i="23"/>
  <c r="F45" i="25"/>
  <c r="F62" i="25"/>
  <c r="F114" i="23"/>
  <c r="F112" i="25"/>
  <c r="F66" i="23"/>
  <c r="F23" i="24"/>
  <c r="F79" i="24"/>
  <c r="F80" i="25"/>
  <c r="F18" i="25"/>
  <c r="F111" i="23"/>
  <c r="F25" i="24"/>
  <c r="F5" i="25"/>
  <c r="F30" i="22"/>
  <c r="F88" i="25"/>
  <c r="F103" i="24"/>
  <c r="F106" i="23"/>
  <c r="F39" i="24"/>
  <c r="F31" i="23"/>
  <c r="F89" i="25"/>
  <c r="F15" i="25"/>
  <c r="F107" i="23"/>
  <c r="F104" i="23"/>
  <c r="F44" i="25"/>
  <c r="F24" i="23"/>
  <c r="F93" i="25"/>
  <c r="F16" i="24"/>
  <c r="F110" i="23"/>
  <c r="F48" i="24"/>
  <c r="F37" i="25"/>
  <c r="F101" i="24"/>
  <c r="F29" i="25"/>
  <c r="F70" i="24"/>
  <c r="F63" i="23"/>
  <c r="F22" i="22"/>
  <c r="F9" i="22"/>
  <c r="F20" i="22"/>
  <c r="F115" i="25"/>
  <c r="F71" i="25"/>
  <c r="F89" i="24"/>
  <c r="F38" i="24"/>
  <c r="F55" i="23"/>
  <c r="F4" i="23"/>
  <c r="F74" i="24"/>
  <c r="F6" i="25"/>
  <c r="F60" i="24"/>
  <c r="G3" i="23"/>
  <c r="F37" i="24"/>
  <c r="F35" i="23"/>
  <c r="F110" i="24"/>
  <c r="F79" i="23"/>
  <c r="F51" i="24"/>
  <c r="F12" i="23"/>
  <c r="F3" i="25"/>
  <c r="F91" i="25"/>
  <c r="F100" i="24"/>
  <c r="F119" i="24"/>
  <c r="F84" i="23"/>
  <c r="F39" i="23"/>
  <c r="F10" i="22"/>
  <c r="F113" i="24"/>
  <c r="F75" i="25"/>
  <c r="F47" i="24"/>
  <c r="F30" i="25"/>
  <c r="F68" i="23"/>
  <c r="F36" i="25"/>
  <c r="F43" i="23"/>
  <c r="F69" i="24"/>
  <c r="F8" i="22"/>
  <c r="F65" i="25"/>
  <c r="F25" i="25"/>
  <c r="F34" i="24"/>
  <c r="F75" i="23"/>
  <c r="F118" i="25"/>
  <c r="F86" i="24"/>
  <c r="F24" i="25"/>
  <c r="F29" i="24"/>
  <c r="F33" i="25"/>
  <c r="F40" i="24"/>
  <c r="F56" i="25"/>
  <c r="F111" i="24"/>
  <c r="F31" i="25"/>
  <c r="F51" i="23"/>
  <c r="F26" i="23"/>
  <c r="F74" i="25"/>
  <c r="F49" i="25"/>
  <c r="F64" i="23"/>
  <c r="F122" i="23"/>
  <c r="F120" i="24"/>
  <c r="F114" i="25"/>
  <c r="F95" i="24"/>
  <c r="F107" i="25"/>
  <c r="F42" i="24"/>
  <c r="F97" i="24"/>
  <c r="F41" i="25"/>
  <c r="F60" i="25"/>
  <c r="F93" i="23"/>
  <c r="F77" i="23"/>
  <c r="F119" i="23"/>
  <c r="F21" i="25"/>
  <c r="F6" i="23"/>
  <c r="F45" i="24"/>
  <c r="F54" i="25"/>
  <c r="F116" i="25"/>
  <c r="F49" i="24"/>
  <c r="F5" i="23"/>
  <c r="F69" i="23"/>
  <c r="F8" i="24"/>
  <c r="F111" i="25"/>
  <c r="F73" i="25"/>
  <c r="F56" i="24"/>
  <c r="F85" i="25"/>
  <c r="F65" i="23"/>
  <c r="F95" i="23"/>
  <c r="F13" i="23"/>
  <c r="E12" i="21"/>
  <c r="F84" i="25"/>
  <c r="F17" i="24"/>
  <c r="F16" i="25"/>
  <c r="F95" i="25"/>
  <c r="F57" i="25"/>
  <c r="F77" i="24"/>
  <c r="F94" i="25"/>
  <c r="F60" i="23"/>
  <c r="F25" i="23"/>
  <c r="F61" i="24"/>
  <c r="F7" i="24"/>
  <c r="F59" i="23"/>
  <c r="F35" i="24"/>
  <c r="F33" i="22"/>
  <c r="F32" i="22"/>
  <c r="E8" i="21"/>
  <c r="F87" i="25"/>
  <c r="F113" i="25"/>
  <c r="F12" i="24"/>
  <c r="F118" i="24"/>
  <c r="F18" i="23"/>
  <c r="F26" i="25"/>
  <c r="F13" i="24"/>
  <c r="F58" i="25"/>
  <c r="F78" i="24"/>
  <c r="F7" i="22"/>
  <c r="F41" i="24"/>
  <c r="F50" i="23"/>
  <c r="F71" i="24"/>
  <c r="F62" i="23"/>
  <c r="F68" i="24"/>
  <c r="E16" i="21"/>
  <c r="F108" i="25"/>
  <c r="F59" i="25"/>
  <c r="F54" i="24"/>
  <c r="F88" i="23"/>
  <c r="F44" i="23"/>
  <c r="F8" i="25"/>
  <c r="F31" i="24"/>
  <c r="F118" i="23"/>
  <c r="F53" i="24"/>
  <c r="E14" i="21"/>
  <c r="F99" i="24"/>
  <c r="F15" i="23"/>
  <c r="F28" i="25"/>
  <c r="F22" i="23"/>
  <c r="F99" i="25"/>
  <c r="F67" i="24"/>
  <c r="F40" i="23"/>
  <c r="F122" i="25"/>
  <c r="F86" i="25"/>
  <c r="F83" i="23"/>
  <c r="F17" i="25"/>
  <c r="F30" i="24"/>
  <c r="F117" i="24"/>
  <c r="F32" i="25"/>
  <c r="F7" i="25"/>
  <c r="E19" i="21"/>
  <c r="F82" i="23"/>
  <c r="F106" i="25"/>
  <c r="F72" i="25"/>
  <c r="F85" i="23"/>
  <c r="F73" i="23"/>
  <c r="F43" i="25"/>
  <c r="F20" i="23"/>
  <c r="F52" i="23"/>
  <c r="E20" i="21"/>
  <c r="F18" i="22"/>
  <c r="E3" i="21"/>
  <c r="F92" i="25"/>
  <c r="F100" i="25"/>
  <c r="F107" i="24"/>
  <c r="F72" i="23"/>
  <c r="F28" i="23"/>
  <c r="F42" i="25"/>
  <c r="F65" i="24"/>
  <c r="F79" i="25"/>
  <c r="F62" i="24"/>
  <c r="F22" i="25"/>
  <c r="F36" i="24"/>
  <c r="F38" i="25"/>
  <c r="F4" i="24"/>
  <c r="G4" i="24" s="1"/>
  <c r="F21" i="22"/>
  <c r="F73" i="24"/>
  <c r="F17" i="22"/>
  <c r="F35" i="25"/>
  <c r="F83" i="24"/>
  <c r="F63" i="24"/>
  <c r="F101" i="23"/>
  <c r="F11" i="23"/>
  <c r="F86" i="23"/>
  <c r="F101" i="25"/>
  <c r="F7" i="23"/>
  <c r="F39" i="25"/>
  <c r="F89" i="23"/>
  <c r="F19" i="24"/>
  <c r="F9" i="23"/>
  <c r="F57" i="24"/>
  <c r="F102" i="23"/>
  <c r="F44" i="24"/>
  <c r="F102" i="25"/>
  <c r="F119" i="25"/>
  <c r="F14" i="24"/>
  <c r="F81" i="24"/>
  <c r="F61" i="23"/>
  <c r="F12" i="25"/>
  <c r="F72" i="24"/>
  <c r="F14" i="25"/>
  <c r="F74" i="23"/>
  <c r="F13" i="25"/>
  <c r="F71" i="23"/>
  <c r="F46" i="25"/>
  <c r="F23" i="23"/>
  <c r="F98" i="25"/>
  <c r="F76" i="23"/>
  <c r="F14" i="22"/>
  <c r="F23" i="22"/>
  <c r="F34" i="22"/>
  <c r="F77" i="25"/>
  <c r="F104" i="24"/>
  <c r="F109" i="23"/>
  <c r="F9" i="25"/>
  <c r="F90" i="25"/>
  <c r="F98" i="24"/>
  <c r="F114" i="24"/>
  <c r="F106" i="24"/>
  <c r="F29" i="23"/>
  <c r="F81" i="25"/>
  <c r="F91" i="23"/>
  <c r="F19" i="23"/>
  <c r="F90" i="24"/>
  <c r="F110" i="25"/>
  <c r="F37" i="23"/>
  <c r="F58" i="23"/>
  <c r="F66" i="25"/>
  <c r="F10" i="23"/>
  <c r="F92" i="24"/>
  <c r="F26" i="22"/>
  <c r="F70" i="25"/>
  <c r="F28" i="24"/>
  <c r="F17" i="23"/>
  <c r="F45" i="23"/>
  <c r="F92" i="23"/>
  <c r="F66" i="24"/>
  <c r="F6" i="24"/>
  <c r="F83" i="25"/>
  <c r="F58" i="24"/>
  <c r="F34" i="25"/>
  <c r="F3" i="24"/>
  <c r="F51" i="25"/>
  <c r="F103" i="25"/>
  <c r="F117" i="25"/>
  <c r="F80" i="24"/>
  <c r="F87" i="24"/>
  <c r="D2" i="21"/>
  <c r="F2" i="24"/>
  <c r="F2" i="23"/>
  <c r="C2" i="26"/>
  <c r="E2" i="22"/>
  <c r="F2" i="25"/>
  <c r="D8" i="20" l="1"/>
  <c r="C3" i="19"/>
  <c r="D3" i="19"/>
  <c r="D4" i="19" s="1"/>
  <c r="D5" i="19" s="1"/>
  <c r="D6" i="19" s="1"/>
  <c r="D7" i="19" s="1"/>
  <c r="D8" i="19" s="1"/>
  <c r="D9" i="19" s="1"/>
  <c r="D10" i="19" s="1"/>
  <c r="D11" i="19" s="1"/>
  <c r="D12" i="19" s="1"/>
  <c r="D13" i="19" s="1"/>
  <c r="D14" i="19" s="1"/>
  <c r="D15" i="19" s="1"/>
  <c r="D16" i="19" s="1"/>
  <c r="D17" i="19" s="1"/>
  <c r="D18" i="19" s="1"/>
  <c r="D19" i="19" s="1"/>
  <c r="D20" i="19" s="1"/>
  <c r="D21" i="19" s="1"/>
  <c r="D22" i="19" s="1"/>
  <c r="D23" i="19" s="1"/>
  <c r="D24" i="19" s="1"/>
  <c r="D25" i="19" s="1"/>
  <c r="D26" i="19" s="1"/>
  <c r="D27" i="19" s="1"/>
  <c r="D28" i="19" s="1"/>
  <c r="D29" i="19" s="1"/>
  <c r="D30" i="19" s="1"/>
  <c r="D31" i="19" s="1"/>
  <c r="D32" i="19" s="1"/>
  <c r="D33" i="19" s="1"/>
  <c r="D34" i="19" s="1"/>
  <c r="D35" i="19" s="1"/>
  <c r="D36" i="19" s="1"/>
  <c r="D37" i="19" s="1"/>
  <c r="D38" i="19" s="1"/>
  <c r="D39" i="19" s="1"/>
  <c r="D40" i="19" s="1"/>
  <c r="C3" i="18"/>
  <c r="C4" i="18" s="1"/>
  <c r="D3" i="18"/>
  <c r="D4" i="18" s="1"/>
  <c r="D5" i="18" s="1"/>
  <c r="D6" i="18" s="1"/>
  <c r="D7" i="18" s="1"/>
  <c r="D8" i="18" s="1"/>
  <c r="D9" i="18" s="1"/>
  <c r="D10" i="18" s="1"/>
  <c r="D11" i="18" s="1"/>
  <c r="D12" i="18" s="1"/>
  <c r="D13" i="18" s="1"/>
  <c r="D14" i="18" s="1"/>
  <c r="D15" i="18" s="1"/>
  <c r="D16" i="18" s="1"/>
  <c r="D17" i="18" s="1"/>
  <c r="D18" i="18" s="1"/>
  <c r="D19" i="18" s="1"/>
  <c r="D20" i="18" s="1"/>
  <c r="D21" i="18" s="1"/>
  <c r="D22" i="18" s="1"/>
  <c r="D23" i="18" s="1"/>
  <c r="D24" i="18" s="1"/>
  <c r="D25" i="18" s="1"/>
  <c r="D26" i="18" s="1"/>
  <c r="D27" i="18" s="1"/>
  <c r="D28" i="18" s="1"/>
  <c r="D29" i="18" s="1"/>
  <c r="D30" i="18" s="1"/>
  <c r="D31" i="18" s="1"/>
  <c r="D32" i="18" s="1"/>
  <c r="D33" i="18" s="1"/>
  <c r="D34" i="18" s="1"/>
  <c r="D35" i="18" s="1"/>
  <c r="D36" i="18" s="1"/>
  <c r="D37" i="18" s="1"/>
  <c r="D38" i="18" s="1"/>
  <c r="D39" i="18" s="1"/>
  <c r="D40" i="18" s="1"/>
  <c r="C3" i="17"/>
  <c r="D3" i="17"/>
  <c r="D4" i="17" s="1"/>
  <c r="D5" i="17" s="1"/>
  <c r="D6" i="17" s="1"/>
  <c r="D7" i="17" s="1"/>
  <c r="D8" i="17" s="1"/>
  <c r="D9" i="17" s="1"/>
  <c r="D10" i="17" s="1"/>
  <c r="D11" i="17" s="1"/>
  <c r="D12" i="17" s="1"/>
  <c r="D13" i="17" s="1"/>
  <c r="D14" i="17" s="1"/>
  <c r="D15" i="17" s="1"/>
  <c r="D16" i="17" s="1"/>
  <c r="D17" i="17" s="1"/>
  <c r="D18" i="17" s="1"/>
  <c r="D19" i="17" s="1"/>
  <c r="D20" i="17" s="1"/>
  <c r="D21" i="17" s="1"/>
  <c r="D22" i="17" s="1"/>
  <c r="D23" i="17" s="1"/>
  <c r="D24" i="17" s="1"/>
  <c r="D25" i="17" s="1"/>
  <c r="D26" i="17" s="1"/>
  <c r="D27" i="17" s="1"/>
  <c r="D28" i="17" s="1"/>
  <c r="D29" i="17" s="1"/>
  <c r="D30" i="17" s="1"/>
  <c r="D31" i="17" s="1"/>
  <c r="D32" i="17" s="1"/>
  <c r="D33" i="17" s="1"/>
  <c r="D34" i="17" s="1"/>
  <c r="D35" i="17" s="1"/>
  <c r="D36" i="17" s="1"/>
  <c r="D37" i="17" s="1"/>
  <c r="D38" i="17" s="1"/>
  <c r="D39" i="17" s="1"/>
  <c r="D40" i="17" s="1"/>
  <c r="G5" i="25"/>
  <c r="G37" i="23"/>
  <c r="G64" i="23"/>
  <c r="G52" i="24"/>
  <c r="G45" i="24"/>
  <c r="G89" i="24"/>
  <c r="G13" i="25"/>
  <c r="G114" i="25"/>
  <c r="G21" i="23"/>
  <c r="G23" i="25"/>
  <c r="G27" i="23"/>
  <c r="G98" i="25"/>
  <c r="G16" i="24"/>
  <c r="G29" i="23"/>
  <c r="G93" i="23"/>
  <c r="G45" i="23"/>
  <c r="G108" i="24"/>
  <c r="G81" i="24"/>
  <c r="G30" i="25"/>
  <c r="G112" i="24"/>
  <c r="G22" i="25"/>
  <c r="G96" i="25"/>
  <c r="G79" i="23"/>
  <c r="G26" i="24"/>
  <c r="G12" i="23"/>
  <c r="G7" i="25"/>
  <c r="G34" i="24"/>
  <c r="G40" i="25"/>
  <c r="G101" i="24"/>
  <c r="G94" i="23"/>
  <c r="G78" i="25"/>
  <c r="G82" i="25"/>
  <c r="G110" i="23"/>
  <c r="G83" i="24"/>
  <c r="G41" i="23"/>
  <c r="G66" i="24"/>
  <c r="G8" i="24"/>
  <c r="G79" i="25"/>
  <c r="G44" i="24"/>
  <c r="G102" i="24"/>
  <c r="G6" i="23"/>
  <c r="G7" i="24"/>
  <c r="G87" i="25"/>
  <c r="G67" i="25"/>
  <c r="G115" i="23"/>
  <c r="G33" i="24"/>
  <c r="G43" i="24"/>
  <c r="G82" i="24"/>
  <c r="G111" i="23"/>
  <c r="G51" i="24"/>
  <c r="G65" i="24"/>
  <c r="G101" i="25"/>
  <c r="G19" i="24"/>
  <c r="G14" i="23"/>
  <c r="G102" i="23"/>
  <c r="G24" i="24"/>
  <c r="G120" i="25"/>
  <c r="G40" i="24"/>
  <c r="G59" i="24"/>
  <c r="G119" i="25"/>
  <c r="G104" i="25"/>
  <c r="G23" i="23"/>
  <c r="G18" i="25"/>
  <c r="G41" i="25"/>
  <c r="G33" i="23"/>
  <c r="G34" i="23"/>
  <c r="G121" i="24"/>
  <c r="G105" i="23"/>
  <c r="G54" i="24"/>
  <c r="G8" i="25"/>
  <c r="G92" i="25"/>
  <c r="G10" i="24"/>
  <c r="G7" i="23"/>
  <c r="G24" i="25"/>
  <c r="G48" i="23"/>
  <c r="G34" i="25"/>
  <c r="G42" i="24"/>
  <c r="G110" i="24"/>
  <c r="G99" i="25"/>
  <c r="G31" i="24"/>
  <c r="G37" i="25"/>
  <c r="G57" i="25"/>
  <c r="G59" i="23"/>
  <c r="G35" i="24"/>
  <c r="G46" i="24"/>
  <c r="G86" i="24"/>
  <c r="G42" i="23"/>
  <c r="G66" i="23"/>
  <c r="G83" i="23"/>
  <c r="G92" i="24"/>
  <c r="G35" i="23"/>
  <c r="G81" i="25"/>
  <c r="G100" i="25"/>
  <c r="G46" i="23"/>
  <c r="G122" i="24"/>
  <c r="G38" i="24"/>
  <c r="G55" i="25"/>
  <c r="G118" i="25"/>
  <c r="G48" i="25"/>
  <c r="G61" i="23"/>
  <c r="G84" i="24"/>
  <c r="G103" i="24"/>
  <c r="G63" i="24"/>
  <c r="G75" i="23"/>
  <c r="G37" i="24"/>
  <c r="G63" i="25"/>
  <c r="G114" i="23"/>
  <c r="G70" i="24"/>
  <c r="G78" i="23"/>
  <c r="G118" i="24"/>
  <c r="G75" i="24"/>
  <c r="G56" i="24"/>
  <c r="G49" i="25"/>
  <c r="G105" i="24"/>
  <c r="G90" i="25"/>
  <c r="G71" i="25"/>
  <c r="G74" i="23"/>
  <c r="G16" i="23"/>
  <c r="G23" i="24"/>
  <c r="G114" i="24"/>
  <c r="G9" i="24"/>
  <c r="G46" i="25"/>
  <c r="G11" i="24"/>
  <c r="G106" i="24"/>
  <c r="G10" i="25"/>
  <c r="G119" i="23"/>
  <c r="G10" i="23"/>
  <c r="G14" i="24"/>
  <c r="G47" i="24"/>
  <c r="G112" i="25"/>
  <c r="G60" i="24"/>
  <c r="G88" i="25"/>
  <c r="G4" i="25"/>
  <c r="G45" i="25"/>
  <c r="G22" i="23"/>
  <c r="G25" i="25"/>
  <c r="G94" i="25"/>
  <c r="G19" i="25"/>
  <c r="G108" i="23"/>
  <c r="G113" i="23"/>
  <c r="G87" i="23"/>
  <c r="G28" i="23"/>
  <c r="G9" i="25"/>
  <c r="G63" i="23"/>
  <c r="G117" i="24"/>
  <c r="G118" i="23"/>
  <c r="G15" i="25"/>
  <c r="G78" i="24"/>
  <c r="G115" i="25"/>
  <c r="G14" i="25"/>
  <c r="G68" i="25"/>
  <c r="G49" i="23"/>
  <c r="G54" i="25"/>
  <c r="G106" i="23"/>
  <c r="G53" i="25"/>
  <c r="G68" i="24"/>
  <c r="G77" i="25"/>
  <c r="G66" i="25"/>
  <c r="G75" i="25"/>
  <c r="G6" i="25"/>
  <c r="G57" i="23"/>
  <c r="G92" i="23"/>
  <c r="G65" i="25"/>
  <c r="G83" i="25"/>
  <c r="G76" i="23"/>
  <c r="G11" i="25"/>
  <c r="G8" i="23"/>
  <c r="G12" i="24"/>
  <c r="G19" i="23"/>
  <c r="G116" i="24"/>
  <c r="G89" i="23"/>
  <c r="G72" i="23"/>
  <c r="G41" i="24"/>
  <c r="G43" i="23"/>
  <c r="G90" i="23"/>
  <c r="G3" i="24"/>
  <c r="G85" i="23"/>
  <c r="G5" i="23"/>
  <c r="G67" i="24"/>
  <c r="G21" i="25"/>
  <c r="G26" i="23"/>
  <c r="G57" i="24"/>
  <c r="G122" i="23"/>
  <c r="G6" i="24"/>
  <c r="G95" i="24"/>
  <c r="G30" i="23"/>
  <c r="G116" i="23"/>
  <c r="G85" i="25"/>
  <c r="G38" i="25"/>
  <c r="G86" i="23"/>
  <c r="G32" i="23"/>
  <c r="G60" i="25"/>
  <c r="G15" i="24"/>
  <c r="G59" i="25"/>
  <c r="G3" i="25"/>
  <c r="G53" i="24"/>
  <c r="G107" i="23"/>
  <c r="G71" i="23"/>
  <c r="G64" i="24"/>
  <c r="G39" i="24"/>
  <c r="G25" i="23"/>
  <c r="G112" i="23"/>
  <c r="G68" i="23"/>
  <c r="G36" i="24"/>
  <c r="G32" i="24"/>
  <c r="G95" i="23"/>
  <c r="G58" i="24"/>
  <c r="G86" i="25"/>
  <c r="G56" i="25"/>
  <c r="G39" i="25"/>
  <c r="G113" i="25"/>
  <c r="G18" i="23"/>
  <c r="G80" i="24"/>
  <c r="G110" i="25"/>
  <c r="G74" i="25"/>
  <c r="G109" i="25"/>
  <c r="G58" i="25"/>
  <c r="G52" i="23"/>
  <c r="G72" i="24"/>
  <c r="G24" i="23"/>
  <c r="G97" i="23"/>
  <c r="G71" i="24"/>
  <c r="G99" i="23"/>
  <c r="G33" i="25"/>
  <c r="G93" i="25"/>
  <c r="G31" i="23"/>
  <c r="G69" i="23"/>
  <c r="G31" i="25"/>
  <c r="G65" i="23"/>
  <c r="G102" i="25"/>
  <c r="G27" i="24"/>
  <c r="G77" i="24"/>
  <c r="G74" i="24"/>
  <c r="G96" i="23"/>
  <c r="G17" i="23"/>
  <c r="G51" i="25"/>
  <c r="G16" i="25"/>
  <c r="G97" i="24"/>
  <c r="G121" i="23"/>
  <c r="G115" i="24"/>
  <c r="G73" i="24"/>
  <c r="G5" i="24"/>
  <c r="G52" i="25"/>
  <c r="G17" i="24"/>
  <c r="G54" i="23"/>
  <c r="G95" i="25"/>
  <c r="G43" i="25"/>
  <c r="G107" i="24"/>
  <c r="G89" i="25"/>
  <c r="G88" i="23"/>
  <c r="G100" i="24"/>
  <c r="G111" i="25"/>
  <c r="G103" i="25"/>
  <c r="G39" i="23"/>
  <c r="G97" i="25"/>
  <c r="G55" i="24"/>
  <c r="G56" i="23"/>
  <c r="G105" i="25"/>
  <c r="G120" i="24"/>
  <c r="G104" i="23"/>
  <c r="G76" i="25"/>
  <c r="G26" i="25"/>
  <c r="G81" i="23"/>
  <c r="G15" i="23"/>
  <c r="G53" i="23"/>
  <c r="G109" i="24"/>
  <c r="G22" i="24"/>
  <c r="G69" i="25"/>
  <c r="G82" i="23"/>
  <c r="G35" i="25"/>
  <c r="G103" i="23"/>
  <c r="G58" i="23"/>
  <c r="G98" i="24"/>
  <c r="G77" i="23"/>
  <c r="G98" i="23"/>
  <c r="G117" i="23"/>
  <c r="G73" i="23"/>
  <c r="G25" i="24"/>
  <c r="G106" i="25"/>
  <c r="G38" i="23"/>
  <c r="G80" i="23"/>
  <c r="G55" i="23"/>
  <c r="G44" i="25"/>
  <c r="G61" i="25"/>
  <c r="G28" i="24"/>
  <c r="G36" i="25"/>
  <c r="G20" i="24"/>
  <c r="G107" i="25"/>
  <c r="G18" i="24"/>
  <c r="G51" i="23"/>
  <c r="G21" i="24"/>
  <c r="G62" i="24"/>
  <c r="G20" i="23"/>
  <c r="G73" i="25"/>
  <c r="G113" i="24"/>
  <c r="G88" i="24"/>
  <c r="G13" i="24"/>
  <c r="G87" i="24"/>
  <c r="G12" i="25"/>
  <c r="G64" i="25"/>
  <c r="G36" i="23"/>
  <c r="G50" i="23"/>
  <c r="G93" i="24"/>
  <c r="G29" i="24"/>
  <c r="G94" i="24"/>
  <c r="G50" i="25"/>
  <c r="G101" i="23"/>
  <c r="G111" i="24"/>
  <c r="G32" i="25"/>
  <c r="G69" i="24"/>
  <c r="G67" i="23"/>
  <c r="G72" i="25"/>
  <c r="G4" i="23"/>
  <c r="G76" i="24"/>
  <c r="G84" i="25"/>
  <c r="G29" i="25"/>
  <c r="G104" i="24"/>
  <c r="G28" i="25"/>
  <c r="G80" i="25"/>
  <c r="G60" i="23"/>
  <c r="G62" i="23"/>
  <c r="G120" i="23"/>
  <c r="G96" i="24"/>
  <c r="G70" i="25"/>
  <c r="G61" i="24"/>
  <c r="G109" i="23"/>
  <c r="G9" i="23"/>
  <c r="G50" i="24"/>
  <c r="G121" i="25"/>
  <c r="G47" i="23"/>
  <c r="G62" i="25"/>
  <c r="G91" i="23"/>
  <c r="G84" i="23"/>
  <c r="G91" i="25"/>
  <c r="G30" i="24"/>
  <c r="G47" i="25"/>
  <c r="G40" i="23"/>
  <c r="G13" i="23"/>
  <c r="G17" i="25"/>
  <c r="G70" i="23"/>
  <c r="G91" i="24"/>
  <c r="G48" i="24"/>
  <c r="G20" i="25"/>
  <c r="G49" i="24"/>
  <c r="G119" i="24"/>
  <c r="G42" i="25"/>
  <c r="G44" i="23"/>
  <c r="G117" i="25"/>
  <c r="G122" i="25"/>
  <c r="G99" i="24"/>
  <c r="G27" i="25"/>
  <c r="B1" i="20"/>
  <c r="G116" i="25"/>
  <c r="G79" i="24"/>
  <c r="G85" i="24"/>
  <c r="G11" i="23"/>
  <c r="G90" i="24"/>
  <c r="G100" i="23"/>
  <c r="G108" i="25"/>
  <c r="G2" i="23"/>
  <c r="D2" i="26"/>
  <c r="G2" i="25"/>
  <c r="G2" i="24"/>
  <c r="F2" i="22"/>
  <c r="E2" i="21"/>
  <c r="E3" i="17" l="1"/>
  <c r="E3" i="19"/>
  <c r="C4" i="19"/>
  <c r="E3" i="18"/>
  <c r="E2" i="18"/>
  <c r="C5" i="18"/>
  <c r="E4" i="18"/>
  <c r="C4" i="17"/>
  <c r="F3" i="18"/>
  <c r="F4" i="18"/>
  <c r="F3" i="17"/>
  <c r="F3" i="19"/>
  <c r="G4" i="18"/>
  <c r="C5" i="19" l="1"/>
  <c r="E4" i="19"/>
  <c r="E5" i="18"/>
  <c r="C6" i="18"/>
  <c r="E2" i="17"/>
  <c r="C5" i="17"/>
  <c r="E4" i="17"/>
  <c r="G3" i="19"/>
  <c r="G3" i="17"/>
  <c r="G3" i="18"/>
  <c r="F4" i="19"/>
  <c r="F5" i="18"/>
  <c r="F4" i="17"/>
  <c r="G5" i="18"/>
  <c r="E5" i="19" l="1"/>
  <c r="C6" i="19"/>
  <c r="E6" i="18"/>
  <c r="C7" i="18"/>
  <c r="C6" i="17"/>
  <c r="E5" i="17"/>
  <c r="F6" i="18"/>
  <c r="G4" i="17"/>
  <c r="F5" i="19"/>
  <c r="G4" i="19"/>
  <c r="F5" i="17"/>
  <c r="G5" i="17" s="1"/>
  <c r="G6" i="18"/>
  <c r="E6" i="19" l="1"/>
  <c r="C7" i="19"/>
  <c r="C8" i="18"/>
  <c r="E7" i="18"/>
  <c r="E6" i="17"/>
  <c r="C7" i="17"/>
  <c r="F6" i="17"/>
  <c r="G5" i="19"/>
  <c r="F7" i="18"/>
  <c r="F6" i="19"/>
  <c r="E2" i="19" l="1"/>
  <c r="C8" i="19"/>
  <c r="E7" i="19"/>
  <c r="E8" i="18"/>
  <c r="C9" i="18"/>
  <c r="C8" i="17"/>
  <c r="E7" i="17"/>
  <c r="G6" i="17"/>
  <c r="G6" i="19"/>
  <c r="F7" i="17"/>
  <c r="G7" i="18"/>
  <c r="F7" i="19"/>
  <c r="F8" i="18"/>
  <c r="G7" i="17"/>
  <c r="G7" i="19"/>
  <c r="E8" i="19" l="1"/>
  <c r="C9" i="19"/>
  <c r="E9" i="18"/>
  <c r="C10" i="18"/>
  <c r="E8" i="17"/>
  <c r="C9" i="17"/>
  <c r="F8" i="19"/>
  <c r="F9" i="18"/>
  <c r="F8" i="17"/>
  <c r="G8" i="17" s="1"/>
  <c r="G8" i="18"/>
  <c r="C10" i="19" l="1"/>
  <c r="E9" i="19"/>
  <c r="C11" i="18"/>
  <c r="E10" i="18"/>
  <c r="C10" i="17"/>
  <c r="E9" i="17"/>
  <c r="G8" i="19"/>
  <c r="F9" i="17"/>
  <c r="G9" i="17" s="1"/>
  <c r="F9" i="19"/>
  <c r="F10" i="18"/>
  <c r="G9" i="18"/>
  <c r="E10" i="19" l="1"/>
  <c r="C11" i="19"/>
  <c r="E11" i="18"/>
  <c r="C12" i="18"/>
  <c r="E10" i="17"/>
  <c r="C11" i="17"/>
  <c r="G9" i="19"/>
  <c r="F10" i="17"/>
  <c r="F10" i="19"/>
  <c r="F11" i="18"/>
  <c r="G10" i="18"/>
  <c r="E11" i="19" l="1"/>
  <c r="C12" i="19"/>
  <c r="C13" i="18"/>
  <c r="E12" i="18"/>
  <c r="E11" i="17"/>
  <c r="C12" i="17"/>
  <c r="G10" i="19"/>
  <c r="F11" i="17"/>
  <c r="G11" i="18"/>
  <c r="G10" i="17"/>
  <c r="G11" i="17"/>
  <c r="F12" i="18"/>
  <c r="F11" i="19"/>
  <c r="G11" i="19"/>
  <c r="C13" i="19" l="1"/>
  <c r="E12" i="19"/>
  <c r="C14" i="18"/>
  <c r="E13" i="18"/>
  <c r="C13" i="17"/>
  <c r="E12" i="17"/>
  <c r="F12" i="19"/>
  <c r="F12" i="17"/>
  <c r="F13" i="18"/>
  <c r="G12" i="18"/>
  <c r="G12" i="17"/>
  <c r="E13" i="19" l="1"/>
  <c r="C14" i="19"/>
  <c r="C15" i="18"/>
  <c r="E14" i="18"/>
  <c r="E13" i="17"/>
  <c r="C14" i="17"/>
  <c r="G12" i="19"/>
  <c r="F14" i="18"/>
  <c r="F13" i="19"/>
  <c r="G13" i="18"/>
  <c r="F13" i="17"/>
  <c r="G13" i="17" s="1"/>
  <c r="E14" i="19" l="1"/>
  <c r="C15" i="19"/>
  <c r="C16" i="18"/>
  <c r="E15" i="18"/>
  <c r="E14" i="17"/>
  <c r="C15" i="17"/>
  <c r="G13" i="19"/>
  <c r="F14" i="17"/>
  <c r="G14" i="18"/>
  <c r="F14" i="19"/>
  <c r="G14" i="17"/>
  <c r="F15" i="18"/>
  <c r="G15" i="18"/>
  <c r="C16" i="19" l="1"/>
  <c r="E15" i="19"/>
  <c r="E16" i="18"/>
  <c r="C17" i="18"/>
  <c r="C16" i="17"/>
  <c r="E15" i="17"/>
  <c r="G14" i="19"/>
  <c r="F16" i="18"/>
  <c r="F15" i="17"/>
  <c r="G15" i="17" s="1"/>
  <c r="F15" i="19"/>
  <c r="G15" i="19" s="1"/>
  <c r="G16" i="18"/>
  <c r="E16" i="19" l="1"/>
  <c r="C17" i="19"/>
  <c r="E17" i="18"/>
  <c r="C18" i="18"/>
  <c r="E16" i="17"/>
  <c r="C17" i="17"/>
  <c r="F17" i="18"/>
  <c r="F16" i="17"/>
  <c r="F16" i="19"/>
  <c r="C18" i="19" l="1"/>
  <c r="E17" i="19"/>
  <c r="C19" i="18"/>
  <c r="E18" i="18"/>
  <c r="C18" i="17"/>
  <c r="E17" i="17"/>
  <c r="G16" i="17"/>
  <c r="F17" i="19"/>
  <c r="G17" i="18"/>
  <c r="F18" i="18"/>
  <c r="F17" i="17"/>
  <c r="G16" i="19"/>
  <c r="G17" i="17"/>
  <c r="G18" i="18"/>
  <c r="G17" i="19"/>
  <c r="E18" i="19" l="1"/>
  <c r="C19" i="19"/>
  <c r="C20" i="18"/>
  <c r="E19" i="18"/>
  <c r="E18" i="17"/>
  <c r="C19" i="17"/>
  <c r="F18" i="19"/>
  <c r="F19" i="18"/>
  <c r="G19" i="18" s="1"/>
  <c r="F18" i="17"/>
  <c r="G18" i="17" s="1"/>
  <c r="G18" i="19"/>
  <c r="E19" i="19" l="1"/>
  <c r="C20" i="19"/>
  <c r="E20" i="18"/>
  <c r="C21" i="18"/>
  <c r="E19" i="17"/>
  <c r="C20" i="17"/>
  <c r="F19" i="17"/>
  <c r="G19" i="17"/>
  <c r="F19" i="19"/>
  <c r="G19" i="19" s="1"/>
  <c r="F20" i="18"/>
  <c r="G20" i="18" s="1"/>
  <c r="C21" i="19" l="1"/>
  <c r="E20" i="19"/>
  <c r="C22" i="18"/>
  <c r="E21" i="18"/>
  <c r="C21" i="17"/>
  <c r="E20" i="17"/>
  <c r="F20" i="17"/>
  <c r="G20" i="17"/>
  <c r="F20" i="19"/>
  <c r="G20" i="19" s="1"/>
  <c r="F21" i="18"/>
  <c r="G21" i="18" s="1"/>
  <c r="E21" i="19" l="1"/>
  <c r="C22" i="19"/>
  <c r="C23" i="18"/>
  <c r="E22" i="18"/>
  <c r="E21" i="17"/>
  <c r="C22" i="17"/>
  <c r="F21" i="19"/>
  <c r="G21" i="19" s="1"/>
  <c r="F22" i="18"/>
  <c r="G22" i="18" s="1"/>
  <c r="F21" i="17"/>
  <c r="G21" i="17" s="1"/>
  <c r="E22" i="19" l="1"/>
  <c r="C23" i="19"/>
  <c r="C24" i="18"/>
  <c r="E23" i="18"/>
  <c r="E22" i="17"/>
  <c r="C23" i="17"/>
  <c r="F22" i="19"/>
  <c r="G22" i="19" s="1"/>
  <c r="F23" i="18"/>
  <c r="G23" i="18" s="1"/>
  <c r="F22" i="17"/>
  <c r="G22" i="17" s="1"/>
  <c r="C24" i="19" l="1"/>
  <c r="E23" i="19"/>
  <c r="E24" i="18"/>
  <c r="C25" i="18"/>
  <c r="C24" i="17"/>
  <c r="E23" i="17"/>
  <c r="F23" i="17"/>
  <c r="G23" i="17" s="1"/>
  <c r="F23" i="19"/>
  <c r="G23" i="19" s="1"/>
  <c r="F24" i="18"/>
  <c r="G24" i="18" s="1"/>
  <c r="E24" i="19" l="1"/>
  <c r="C25" i="19"/>
  <c r="E25" i="18"/>
  <c r="C26" i="18"/>
  <c r="E24" i="17"/>
  <c r="C25" i="17"/>
  <c r="F24" i="17"/>
  <c r="F25" i="18"/>
  <c r="F24" i="19"/>
  <c r="G24" i="17"/>
  <c r="G25" i="18"/>
  <c r="G24" i="19"/>
  <c r="C26" i="19" l="1"/>
  <c r="E25" i="19"/>
  <c r="C27" i="18"/>
  <c r="E26" i="18"/>
  <c r="C26" i="17"/>
  <c r="E25" i="17"/>
  <c r="F25" i="19"/>
  <c r="G25" i="19" s="1"/>
  <c r="F26" i="18"/>
  <c r="G26" i="18" s="1"/>
  <c r="F25" i="17"/>
  <c r="G25" i="17"/>
  <c r="E26" i="19" l="1"/>
  <c r="C27" i="19"/>
  <c r="C28" i="18"/>
  <c r="E27" i="18"/>
  <c r="E26" i="17"/>
  <c r="C27" i="17"/>
  <c r="F27" i="18"/>
  <c r="F26" i="19"/>
  <c r="F26" i="17"/>
  <c r="G26" i="17"/>
  <c r="E27" i="19" l="1"/>
  <c r="C28" i="19"/>
  <c r="E28" i="18"/>
  <c r="C29" i="18"/>
  <c r="E27" i="17"/>
  <c r="C28" i="17"/>
  <c r="F28" i="18"/>
  <c r="G26" i="19"/>
  <c r="G27" i="18"/>
  <c r="F27" i="17"/>
  <c r="G27" i="17"/>
  <c r="F27" i="19"/>
  <c r="C29" i="19" l="1"/>
  <c r="E28" i="19"/>
  <c r="E29" i="18"/>
  <c r="C30" i="18"/>
  <c r="C29" i="17"/>
  <c r="E28" i="17"/>
  <c r="G28" i="18"/>
  <c r="F28" i="19"/>
  <c r="F29" i="18"/>
  <c r="G27" i="19"/>
  <c r="F28" i="17"/>
  <c r="G28" i="17" s="1"/>
  <c r="E29" i="19" l="1"/>
  <c r="C30" i="19"/>
  <c r="C31" i="18"/>
  <c r="E30" i="18"/>
  <c r="C30" i="17"/>
  <c r="E29" i="17"/>
  <c r="G29" i="18"/>
  <c r="G28" i="19"/>
  <c r="F29" i="17"/>
  <c r="G29" i="17" s="1"/>
  <c r="F29" i="19"/>
  <c r="G29" i="19" s="1"/>
  <c r="F30" i="18"/>
  <c r="G30" i="18" s="1"/>
  <c r="E30" i="19" l="1"/>
  <c r="C31" i="19"/>
  <c r="C32" i="18"/>
  <c r="E31" i="18"/>
  <c r="E30" i="17"/>
  <c r="C31" i="17"/>
  <c r="F30" i="17"/>
  <c r="F30" i="19"/>
  <c r="G30" i="19" s="1"/>
  <c r="G30" i="17"/>
  <c r="F31" i="18"/>
  <c r="C32" i="19" l="1"/>
  <c r="E31" i="19"/>
  <c r="E32" i="18"/>
  <c r="C33" i="18"/>
  <c r="C32" i="17"/>
  <c r="E31" i="17"/>
  <c r="F32" i="18"/>
  <c r="G32" i="18"/>
  <c r="F31" i="17"/>
  <c r="G31" i="17" s="1"/>
  <c r="F31" i="19"/>
  <c r="G31" i="19" s="1"/>
  <c r="G31" i="18"/>
  <c r="E32" i="19" l="1"/>
  <c r="C33" i="19"/>
  <c r="E33" i="18"/>
  <c r="C34" i="18"/>
  <c r="E32" i="17"/>
  <c r="C33" i="17"/>
  <c r="F32" i="19"/>
  <c r="F32" i="17"/>
  <c r="G32" i="19"/>
  <c r="F33" i="18"/>
  <c r="G33" i="18" s="1"/>
  <c r="G32" i="17"/>
  <c r="C34" i="19" l="1"/>
  <c r="E33" i="19"/>
  <c r="C35" i="18"/>
  <c r="E34" i="18"/>
  <c r="C34" i="17"/>
  <c r="E33" i="17"/>
  <c r="F33" i="19"/>
  <c r="F33" i="17"/>
  <c r="G33" i="17"/>
  <c r="G33" i="19"/>
  <c r="F34" i="18"/>
  <c r="G34" i="18"/>
  <c r="E34" i="19" l="1"/>
  <c r="C35" i="19"/>
  <c r="E35" i="18"/>
  <c r="C36" i="18"/>
  <c r="E34" i="17"/>
  <c r="C35" i="17"/>
  <c r="F34" i="19"/>
  <c r="F35" i="18"/>
  <c r="F34" i="17"/>
  <c r="G34" i="17" s="1"/>
  <c r="G35" i="18"/>
  <c r="G34" i="19"/>
  <c r="E35" i="19" l="1"/>
  <c r="C36" i="19"/>
  <c r="E36" i="18"/>
  <c r="C37" i="18"/>
  <c r="E35" i="17"/>
  <c r="C36" i="17"/>
  <c r="F35" i="19"/>
  <c r="G35" i="19"/>
  <c r="F36" i="18"/>
  <c r="F35" i="17"/>
  <c r="G35" i="17" s="1"/>
  <c r="G36" i="18"/>
  <c r="C37" i="19" l="1"/>
  <c r="E36" i="19"/>
  <c r="E37" i="18"/>
  <c r="C38" i="18"/>
  <c r="C37" i="17"/>
  <c r="E36" i="17"/>
  <c r="F36" i="19"/>
  <c r="F37" i="18"/>
  <c r="F36" i="17"/>
  <c r="G36" i="17"/>
  <c r="G37" i="18"/>
  <c r="G36" i="19"/>
  <c r="E37" i="19" l="1"/>
  <c r="C38" i="19"/>
  <c r="E38" i="18"/>
  <c r="C39" i="18"/>
  <c r="C38" i="17"/>
  <c r="E37" i="17"/>
  <c r="F37" i="19"/>
  <c r="F37" i="17"/>
  <c r="G37" i="19"/>
  <c r="F38" i="18"/>
  <c r="G38" i="18" s="1"/>
  <c r="G37" i="17"/>
  <c r="C39" i="19" l="1"/>
  <c r="E38" i="19"/>
  <c r="E39" i="18"/>
  <c r="C40" i="18"/>
  <c r="E40" i="18" s="1"/>
  <c r="E38" i="17"/>
  <c r="C39" i="17"/>
  <c r="F38" i="19"/>
  <c r="F40" i="18"/>
  <c r="F38" i="17"/>
  <c r="G38" i="19"/>
  <c r="F39" i="18"/>
  <c r="G38" i="17"/>
  <c r="G39" i="18"/>
  <c r="F2" i="18"/>
  <c r="C40" i="19" l="1"/>
  <c r="E40" i="19" s="1"/>
  <c r="E39" i="19"/>
  <c r="C40" i="17"/>
  <c r="E40" i="17" s="1"/>
  <c r="E39" i="17"/>
  <c r="D9" i="16"/>
  <c r="F6" i="15"/>
  <c r="F7" i="15"/>
  <c r="F8" i="15"/>
  <c r="F9" i="15"/>
  <c r="F10" i="15"/>
  <c r="F11" i="15"/>
  <c r="F12" i="15"/>
  <c r="F13" i="15"/>
  <c r="F14" i="15"/>
  <c r="F15" i="15"/>
  <c r="F16" i="15"/>
  <c r="F17" i="15"/>
  <c r="F18" i="15"/>
  <c r="F19" i="15"/>
  <c r="F20" i="15"/>
  <c r="F21" i="15"/>
  <c r="F22" i="15"/>
  <c r="F23" i="15"/>
  <c r="F24" i="15"/>
  <c r="F25" i="15"/>
  <c r="F26" i="15"/>
  <c r="F27" i="15"/>
  <c r="F28" i="15"/>
  <c r="F29" i="15"/>
  <c r="F30" i="15"/>
  <c r="F31" i="15"/>
  <c r="F32" i="15"/>
  <c r="F33" i="15"/>
  <c r="F34" i="15"/>
  <c r="F35" i="15"/>
  <c r="F36" i="15"/>
  <c r="F37" i="15"/>
  <c r="F38" i="15"/>
  <c r="F39" i="15"/>
  <c r="F40" i="15"/>
  <c r="F41" i="15"/>
  <c r="F42" i="15"/>
  <c r="F43" i="15"/>
  <c r="F44" i="15"/>
  <c r="F45" i="15"/>
  <c r="F46" i="15"/>
  <c r="F47" i="15"/>
  <c r="F48" i="15"/>
  <c r="F49" i="15"/>
  <c r="F50" i="15"/>
  <c r="F51" i="15"/>
  <c r="F52" i="15"/>
  <c r="F53" i="15"/>
  <c r="F54" i="15"/>
  <c r="F55" i="15"/>
  <c r="F56" i="15"/>
  <c r="F57" i="15"/>
  <c r="F58" i="15"/>
  <c r="F59" i="15"/>
  <c r="F60" i="15"/>
  <c r="F61" i="15"/>
  <c r="F62" i="15"/>
  <c r="F63" i="15"/>
  <c r="F64" i="15"/>
  <c r="F65" i="15"/>
  <c r="F66" i="15"/>
  <c r="F6" i="14"/>
  <c r="F7" i="14"/>
  <c r="F8" i="14"/>
  <c r="F9" i="14"/>
  <c r="F10" i="14"/>
  <c r="F11" i="14"/>
  <c r="F12" i="14"/>
  <c r="F13" i="14"/>
  <c r="F14" i="14"/>
  <c r="F15" i="14"/>
  <c r="F16" i="14"/>
  <c r="F17" i="14"/>
  <c r="F18" i="14"/>
  <c r="F19" i="14"/>
  <c r="F20" i="14"/>
  <c r="F21" i="14"/>
  <c r="F22" i="14"/>
  <c r="F23" i="14"/>
  <c r="F24" i="14"/>
  <c r="F25" i="14"/>
  <c r="F26" i="14"/>
  <c r="F27" i="14"/>
  <c r="F28" i="14"/>
  <c r="F29" i="14"/>
  <c r="F30" i="14"/>
  <c r="F31" i="14"/>
  <c r="F32" i="14"/>
  <c r="F33" i="14"/>
  <c r="F34" i="14"/>
  <c r="F35" i="14"/>
  <c r="F36" i="14"/>
  <c r="F37" i="14"/>
  <c r="F38" i="14"/>
  <c r="F39" i="14"/>
  <c r="F40" i="14"/>
  <c r="F41" i="14"/>
  <c r="F42" i="14"/>
  <c r="F43" i="14"/>
  <c r="F44" i="14"/>
  <c r="F45" i="14"/>
  <c r="F46" i="14"/>
  <c r="F47" i="14"/>
  <c r="F48" i="14"/>
  <c r="F49" i="14"/>
  <c r="F50" i="14"/>
  <c r="F51" i="14"/>
  <c r="F52" i="14"/>
  <c r="F53" i="14"/>
  <c r="F54" i="14"/>
  <c r="F55" i="14"/>
  <c r="F56" i="14"/>
  <c r="F57" i="14"/>
  <c r="F58" i="14"/>
  <c r="F59" i="14"/>
  <c r="F60" i="14"/>
  <c r="F61" i="14"/>
  <c r="F62" i="14"/>
  <c r="F63" i="14"/>
  <c r="F64" i="14"/>
  <c r="F65" i="14"/>
  <c r="F66" i="14"/>
  <c r="F6" i="13"/>
  <c r="F7" i="13"/>
  <c r="F8" i="13"/>
  <c r="F9" i="13"/>
  <c r="F10" i="13"/>
  <c r="F11" i="13"/>
  <c r="F12" i="13"/>
  <c r="F13" i="13"/>
  <c r="F14" i="13"/>
  <c r="F15" i="13"/>
  <c r="F16" i="13"/>
  <c r="F17" i="13"/>
  <c r="F18" i="13"/>
  <c r="F19" i="13"/>
  <c r="F20" i="13"/>
  <c r="F21" i="13"/>
  <c r="F22" i="13"/>
  <c r="F23" i="13"/>
  <c r="F24" i="13"/>
  <c r="F25" i="13"/>
  <c r="F26" i="13"/>
  <c r="F27" i="13"/>
  <c r="F28" i="13"/>
  <c r="F29" i="13"/>
  <c r="F30" i="13"/>
  <c r="F31" i="13"/>
  <c r="F32" i="13"/>
  <c r="F33" i="13"/>
  <c r="F34" i="13"/>
  <c r="F35" i="13"/>
  <c r="F36" i="13"/>
  <c r="F37" i="13"/>
  <c r="F38" i="13"/>
  <c r="F39" i="13"/>
  <c r="F40" i="13"/>
  <c r="F41" i="13"/>
  <c r="F42" i="13"/>
  <c r="F43" i="13"/>
  <c r="F44" i="13"/>
  <c r="F45" i="13"/>
  <c r="F46" i="13"/>
  <c r="F47" i="13"/>
  <c r="F48" i="13"/>
  <c r="F49" i="13"/>
  <c r="F50" i="13"/>
  <c r="F51" i="13"/>
  <c r="F52" i="13"/>
  <c r="F53" i="13"/>
  <c r="F54" i="13"/>
  <c r="F55" i="13"/>
  <c r="F56" i="13"/>
  <c r="F57" i="13"/>
  <c r="F58" i="13"/>
  <c r="F59" i="13"/>
  <c r="F60" i="13"/>
  <c r="F61" i="13"/>
  <c r="F62" i="13"/>
  <c r="F63" i="13"/>
  <c r="F64" i="13"/>
  <c r="F65" i="13"/>
  <c r="F66" i="13"/>
  <c r="E5" i="12"/>
  <c r="E6" i="12"/>
  <c r="E7" i="12"/>
  <c r="E8" i="12"/>
  <c r="E9" i="12"/>
  <c r="E10" i="12"/>
  <c r="E11" i="12"/>
  <c r="E12" i="12"/>
  <c r="E13" i="12"/>
  <c r="E14" i="12"/>
  <c r="E15" i="12"/>
  <c r="E16" i="12"/>
  <c r="E17" i="12"/>
  <c r="E18" i="12"/>
  <c r="E19" i="12"/>
  <c r="E20" i="12"/>
  <c r="G21" i="15"/>
  <c r="G27" i="14"/>
  <c r="G36" i="14"/>
  <c r="F19" i="12"/>
  <c r="G41" i="15"/>
  <c r="G40" i="14"/>
  <c r="G8" i="13"/>
  <c r="F14" i="12"/>
  <c r="G65" i="13"/>
  <c r="G31" i="14"/>
  <c r="G49" i="13"/>
  <c r="F6" i="12"/>
  <c r="G57" i="15"/>
  <c r="G42" i="13"/>
  <c r="G21" i="14"/>
  <c r="G48" i="15"/>
  <c r="G10" i="14"/>
  <c r="G65" i="14"/>
  <c r="G35" i="13"/>
  <c r="F20" i="12"/>
  <c r="G46" i="15"/>
  <c r="G58" i="13"/>
  <c r="G47" i="15"/>
  <c r="G34" i="15"/>
  <c r="G30" i="14"/>
  <c r="G38" i="14"/>
  <c r="G61" i="13"/>
  <c r="G18" i="14"/>
  <c r="G46" i="14"/>
  <c r="G40" i="13"/>
  <c r="G8" i="14"/>
  <c r="F11" i="12"/>
  <c r="G32" i="13"/>
  <c r="G45" i="14"/>
  <c r="G32" i="15"/>
  <c r="G33" i="14"/>
  <c r="G33" i="13"/>
  <c r="G35" i="14"/>
  <c r="G63" i="15"/>
  <c r="G17" i="15"/>
  <c r="H17" i="15" s="1"/>
  <c r="G54" i="14"/>
  <c r="G41" i="13"/>
  <c r="H54" i="14"/>
  <c r="G22" i="14"/>
  <c r="G13" i="15"/>
  <c r="G28" i="14"/>
  <c r="G27" i="13"/>
  <c r="G9" i="14"/>
  <c r="G23" i="15"/>
  <c r="G36" i="15"/>
  <c r="G56" i="14"/>
  <c r="G18" i="13"/>
  <c r="G57" i="13"/>
  <c r="G39" i="15"/>
  <c r="H41" i="13"/>
  <c r="G9" i="15"/>
  <c r="G7" i="14"/>
  <c r="G36" i="13"/>
  <c r="G54" i="15"/>
  <c r="G29" i="14"/>
  <c r="G61" i="15"/>
  <c r="H22" i="14"/>
  <c r="G64" i="15"/>
  <c r="H64" i="15" s="1"/>
  <c r="G61" i="14"/>
  <c r="G19" i="13"/>
  <c r="G56" i="13"/>
  <c r="G33" i="15"/>
  <c r="G20" i="14"/>
  <c r="H46" i="14"/>
  <c r="H19" i="13"/>
  <c r="G15" i="13"/>
  <c r="G15" i="15"/>
  <c r="G15" i="14"/>
  <c r="G65" i="15"/>
  <c r="H28" i="14"/>
  <c r="G52" i="13"/>
  <c r="G23" i="13"/>
  <c r="G37" i="15"/>
  <c r="H32" i="15"/>
  <c r="G50" i="13"/>
  <c r="G45" i="13"/>
  <c r="G24" i="14"/>
  <c r="G43" i="13"/>
  <c r="G12" i="15"/>
  <c r="F13" i="12"/>
  <c r="H21" i="15"/>
  <c r="G39" i="14"/>
  <c r="H8" i="13"/>
  <c r="G26" i="13"/>
  <c r="G42" i="15"/>
  <c r="G55" i="13"/>
  <c r="F39" i="17"/>
  <c r="G40" i="18"/>
  <c r="G62" i="15"/>
  <c r="G63" i="13"/>
  <c r="G14" i="13"/>
  <c r="G53" i="13"/>
  <c r="G18" i="15"/>
  <c r="H18" i="15" s="1"/>
  <c r="G50" i="14"/>
  <c r="G11" i="14"/>
  <c r="H33" i="13"/>
  <c r="G10" i="13"/>
  <c r="G28" i="15"/>
  <c r="G57" i="14"/>
  <c r="G59" i="14"/>
  <c r="G53" i="14"/>
  <c r="G29" i="15"/>
  <c r="G12" i="13"/>
  <c r="G44" i="15"/>
  <c r="H27" i="14"/>
  <c r="G21" i="13"/>
  <c r="H39" i="15"/>
  <c r="G19" i="14"/>
  <c r="G20" i="13"/>
  <c r="G43" i="15"/>
  <c r="F40" i="19"/>
  <c r="G30" i="15"/>
  <c r="G34" i="14"/>
  <c r="G13" i="14"/>
  <c r="G46" i="13"/>
  <c r="H33" i="15"/>
  <c r="G29" i="13"/>
  <c r="H29" i="15"/>
  <c r="G25" i="14"/>
  <c r="G31" i="15"/>
  <c r="H21" i="14"/>
  <c r="G39" i="13"/>
  <c r="G60" i="14"/>
  <c r="G17" i="13"/>
  <c r="G58" i="14"/>
  <c r="G25" i="13"/>
  <c r="H25" i="13" s="1"/>
  <c r="G30" i="13"/>
  <c r="G38" i="13"/>
  <c r="G14" i="15"/>
  <c r="G16" i="15"/>
  <c r="G47" i="13"/>
  <c r="G24" i="13"/>
  <c r="G54" i="13"/>
  <c r="B1" i="16"/>
  <c r="G19" i="15"/>
  <c r="G22" i="13"/>
  <c r="F10" i="12"/>
  <c r="G44" i="13"/>
  <c r="H35" i="13"/>
  <c r="G10" i="15"/>
  <c r="H10" i="15" s="1"/>
  <c r="G52" i="14"/>
  <c r="G24" i="15"/>
  <c r="F40" i="17"/>
  <c r="G12" i="14"/>
  <c r="H12" i="14" s="1"/>
  <c r="G34" i="13"/>
  <c r="H34" i="13" s="1"/>
  <c r="G9" i="13"/>
  <c r="F12" i="12"/>
  <c r="G50" i="15"/>
  <c r="G23" i="14"/>
  <c r="G41" i="14"/>
  <c r="F17" i="12"/>
  <c r="G17" i="12" s="1"/>
  <c r="G13" i="13"/>
  <c r="G58" i="15"/>
  <c r="H15" i="13"/>
  <c r="H56" i="13"/>
  <c r="G8" i="15"/>
  <c r="H40" i="14"/>
  <c r="G26" i="15"/>
  <c r="G60" i="13"/>
  <c r="H63" i="15"/>
  <c r="G44" i="14"/>
  <c r="H44" i="14" s="1"/>
  <c r="H21" i="13"/>
  <c r="G49" i="15"/>
  <c r="G20" i="12"/>
  <c r="G52" i="15"/>
  <c r="F18" i="12"/>
  <c r="H61" i="15"/>
  <c r="F7" i="12"/>
  <c r="F9" i="12"/>
  <c r="G9" i="12" s="1"/>
  <c r="G37" i="14"/>
  <c r="G49" i="14"/>
  <c r="H36" i="14"/>
  <c r="H40" i="13"/>
  <c r="G38" i="15"/>
  <c r="H56" i="14"/>
  <c r="G59" i="13"/>
  <c r="H59" i="13" s="1"/>
  <c r="G48" i="14"/>
  <c r="H48" i="14" s="1"/>
  <c r="G48" i="13"/>
  <c r="H48" i="13" s="1"/>
  <c r="G31" i="13"/>
  <c r="H31" i="13" s="1"/>
  <c r="G17" i="14"/>
  <c r="G55" i="15"/>
  <c r="H55" i="15" s="1"/>
  <c r="G26" i="14"/>
  <c r="H26" i="14" s="1"/>
  <c r="G66" i="13"/>
  <c r="G28" i="13"/>
  <c r="H63" i="13"/>
  <c r="G60" i="15"/>
  <c r="G55" i="14"/>
  <c r="G7" i="13"/>
  <c r="H7" i="13" s="1"/>
  <c r="F15" i="12"/>
  <c r="G15" i="12" s="1"/>
  <c r="H13" i="13"/>
  <c r="G20" i="15"/>
  <c r="G16" i="13"/>
  <c r="H16" i="13"/>
  <c r="G40" i="15"/>
  <c r="H40" i="15" s="1"/>
  <c r="H59" i="14"/>
  <c r="H50" i="15"/>
  <c r="F16" i="12"/>
  <c r="G16" i="12" s="1"/>
  <c r="H58" i="15"/>
  <c r="H50" i="14"/>
  <c r="G66" i="14"/>
  <c r="G64" i="13"/>
  <c r="G56" i="15"/>
  <c r="G62" i="14"/>
  <c r="G10" i="12"/>
  <c r="G32" i="14"/>
  <c r="G45" i="15"/>
  <c r="G35" i="15"/>
  <c r="G64" i="14"/>
  <c r="H23" i="13"/>
  <c r="F39" i="19"/>
  <c r="G42" i="14"/>
  <c r="G11" i="13"/>
  <c r="H11" i="13" s="1"/>
  <c r="G25" i="15"/>
  <c r="G37" i="13"/>
  <c r="H37" i="13" s="1"/>
  <c r="G51" i="15"/>
  <c r="H51" i="15" s="1"/>
  <c r="F8" i="12"/>
  <c r="G8" i="12" s="1"/>
  <c r="G27" i="15"/>
  <c r="H27" i="15" s="1"/>
  <c r="G59" i="15"/>
  <c r="H59" i="15" s="1"/>
  <c r="G47" i="14"/>
  <c r="H47" i="14" s="1"/>
  <c r="H11" i="14"/>
  <c r="H66" i="13"/>
  <c r="H8" i="15"/>
  <c r="H58" i="14"/>
  <c r="H65" i="15"/>
  <c r="G51" i="14"/>
  <c r="H51" i="14" s="1"/>
  <c r="G53" i="15"/>
  <c r="G11" i="15"/>
  <c r="H25" i="15"/>
  <c r="G43" i="14"/>
  <c r="H43" i="14" s="1"/>
  <c r="G14" i="14"/>
  <c r="H14" i="14" s="1"/>
  <c r="G63" i="14"/>
  <c r="H63" i="14" s="1"/>
  <c r="G7" i="15"/>
  <c r="H7" i="15" s="1"/>
  <c r="G22" i="15"/>
  <c r="G16" i="14"/>
  <c r="G51" i="13"/>
  <c r="G66" i="15"/>
  <c r="G62" i="13"/>
  <c r="G2" i="18"/>
  <c r="F2" i="19"/>
  <c r="F2" i="17"/>
  <c r="G6" i="14"/>
  <c r="D9" i="11" l="1"/>
  <c r="F6" i="10"/>
  <c r="F7" i="10"/>
  <c r="F8" i="10"/>
  <c r="F9" i="10"/>
  <c r="F10" i="10"/>
  <c r="F11" i="10"/>
  <c r="F12" i="10"/>
  <c r="F13" i="10"/>
  <c r="F14" i="10"/>
  <c r="F15" i="10"/>
  <c r="F16" i="10"/>
  <c r="F17" i="10"/>
  <c r="F18" i="10"/>
  <c r="F19" i="10"/>
  <c r="F20" i="10"/>
  <c r="F21" i="10"/>
  <c r="F22" i="10"/>
  <c r="F23" i="10"/>
  <c r="F24" i="10"/>
  <c r="F25" i="10"/>
  <c r="F26" i="10"/>
  <c r="F27" i="10"/>
  <c r="F28" i="10"/>
  <c r="F29" i="10"/>
  <c r="F30" i="10"/>
  <c r="F31" i="10"/>
  <c r="F32" i="10"/>
  <c r="F33" i="10"/>
  <c r="F34" i="10"/>
  <c r="F35" i="10"/>
  <c r="F36" i="10"/>
  <c r="F37" i="10"/>
  <c r="F38" i="10"/>
  <c r="F39" i="10"/>
  <c r="F40" i="10"/>
  <c r="F41" i="10"/>
  <c r="F42" i="10"/>
  <c r="F43" i="10"/>
  <c r="F44" i="10"/>
  <c r="F45" i="10"/>
  <c r="F46" i="10"/>
  <c r="F47" i="10"/>
  <c r="F48" i="10"/>
  <c r="F49" i="10"/>
  <c r="F50" i="10"/>
  <c r="F51" i="10"/>
  <c r="F52" i="10"/>
  <c r="F53" i="10"/>
  <c r="F54" i="10"/>
  <c r="F55" i="10"/>
  <c r="F56" i="10"/>
  <c r="F57" i="10"/>
  <c r="F58" i="10"/>
  <c r="F59" i="10"/>
  <c r="F60" i="10"/>
  <c r="F61" i="10"/>
  <c r="F62" i="10"/>
  <c r="F63" i="10"/>
  <c r="F64" i="10"/>
  <c r="F65" i="10"/>
  <c r="F66" i="10"/>
  <c r="F6" i="9"/>
  <c r="F7" i="9"/>
  <c r="F8" i="9"/>
  <c r="F9" i="9"/>
  <c r="F10" i="9"/>
  <c r="F11" i="9"/>
  <c r="F12" i="9"/>
  <c r="F13" i="9"/>
  <c r="F14" i="9"/>
  <c r="F15" i="9"/>
  <c r="F16" i="9"/>
  <c r="F17" i="9"/>
  <c r="F18" i="9"/>
  <c r="F19" i="9"/>
  <c r="F20" i="9"/>
  <c r="F21" i="9"/>
  <c r="F22" i="9"/>
  <c r="F23" i="9"/>
  <c r="F24" i="9"/>
  <c r="F25" i="9"/>
  <c r="F26" i="9"/>
  <c r="F27" i="9"/>
  <c r="F28" i="9"/>
  <c r="F29" i="9"/>
  <c r="F30" i="9"/>
  <c r="F31" i="9"/>
  <c r="F32" i="9"/>
  <c r="F33" i="9"/>
  <c r="F34" i="9"/>
  <c r="F35" i="9"/>
  <c r="F36" i="9"/>
  <c r="F37" i="9"/>
  <c r="F38" i="9"/>
  <c r="F39" i="9"/>
  <c r="F40" i="9"/>
  <c r="F41" i="9"/>
  <c r="F42" i="9"/>
  <c r="F43" i="9"/>
  <c r="F44" i="9"/>
  <c r="F45" i="9"/>
  <c r="F46" i="9"/>
  <c r="F47" i="9"/>
  <c r="F48" i="9"/>
  <c r="F49" i="9"/>
  <c r="F50" i="9"/>
  <c r="F51" i="9"/>
  <c r="F52" i="9"/>
  <c r="F53" i="9"/>
  <c r="F54" i="9"/>
  <c r="F55" i="9"/>
  <c r="F56" i="9"/>
  <c r="F57" i="9"/>
  <c r="F58" i="9"/>
  <c r="F59" i="9"/>
  <c r="F60" i="9"/>
  <c r="F61" i="9"/>
  <c r="F62" i="9"/>
  <c r="F63" i="9"/>
  <c r="F64" i="9"/>
  <c r="F65" i="9"/>
  <c r="F66" i="9"/>
  <c r="F6" i="8"/>
  <c r="F7" i="8"/>
  <c r="F8" i="8"/>
  <c r="F9" i="8"/>
  <c r="F10" i="8"/>
  <c r="F11" i="8"/>
  <c r="F12" i="8"/>
  <c r="F13" i="8"/>
  <c r="F14" i="8"/>
  <c r="F15" i="8"/>
  <c r="F16" i="8"/>
  <c r="F17" i="8"/>
  <c r="F18" i="8"/>
  <c r="F19" i="8"/>
  <c r="F20" i="8"/>
  <c r="F21" i="8"/>
  <c r="F22" i="8"/>
  <c r="F23" i="8"/>
  <c r="F24" i="8"/>
  <c r="F25" i="8"/>
  <c r="F26" i="8"/>
  <c r="F27" i="8"/>
  <c r="F28" i="8"/>
  <c r="F29" i="8"/>
  <c r="F30" i="8"/>
  <c r="F31" i="8"/>
  <c r="F32" i="8"/>
  <c r="F33" i="8"/>
  <c r="F34" i="8"/>
  <c r="F35" i="8"/>
  <c r="F36" i="8"/>
  <c r="F37" i="8"/>
  <c r="F38" i="8"/>
  <c r="F39" i="8"/>
  <c r="F40" i="8"/>
  <c r="F41" i="8"/>
  <c r="F42" i="8"/>
  <c r="F43" i="8"/>
  <c r="F44" i="8"/>
  <c r="F45" i="8"/>
  <c r="F46" i="8"/>
  <c r="F47" i="8"/>
  <c r="F48" i="8"/>
  <c r="F49" i="8"/>
  <c r="F50" i="8"/>
  <c r="F51" i="8"/>
  <c r="F52" i="8"/>
  <c r="F53" i="8"/>
  <c r="F54" i="8"/>
  <c r="F55" i="8"/>
  <c r="F56" i="8"/>
  <c r="F57" i="8"/>
  <c r="F58" i="8"/>
  <c r="F59" i="8"/>
  <c r="F60" i="8"/>
  <c r="F61" i="8"/>
  <c r="F62" i="8"/>
  <c r="F63" i="8"/>
  <c r="F64" i="8"/>
  <c r="F65" i="8"/>
  <c r="F66" i="8"/>
  <c r="E5" i="7"/>
  <c r="E6" i="7"/>
  <c r="E7" i="7"/>
  <c r="E8" i="7"/>
  <c r="E9" i="7"/>
  <c r="E10" i="7"/>
  <c r="E11" i="7"/>
  <c r="E12" i="7"/>
  <c r="E13" i="7"/>
  <c r="E14" i="7"/>
  <c r="E15" i="7"/>
  <c r="E16" i="7"/>
  <c r="E17" i="7"/>
  <c r="E18" i="7"/>
  <c r="E19" i="7"/>
  <c r="E20" i="7"/>
  <c r="E5" i="6"/>
  <c r="E8" i="6"/>
  <c r="E9" i="6"/>
  <c r="E10" i="6"/>
  <c r="E11" i="6"/>
  <c r="E12" i="6"/>
  <c r="E13" i="6"/>
  <c r="E14" i="6"/>
  <c r="E15" i="6"/>
  <c r="E16" i="6"/>
  <c r="E17" i="6"/>
  <c r="E18" i="6"/>
  <c r="E19" i="6"/>
  <c r="E20" i="6"/>
  <c r="E21" i="6"/>
  <c r="E22" i="6"/>
  <c r="H51" i="13"/>
  <c r="H32" i="14"/>
  <c r="H26" i="15"/>
  <c r="H38" i="13"/>
  <c r="H53" i="14"/>
  <c r="H50" i="13"/>
  <c r="H27" i="13"/>
  <c r="H47" i="15"/>
  <c r="H34" i="14"/>
  <c r="G45" i="10"/>
  <c r="G27" i="10"/>
  <c r="G48" i="9"/>
  <c r="G8" i="8"/>
  <c r="F18" i="6"/>
  <c r="F10" i="7"/>
  <c r="G26" i="10"/>
  <c r="F12" i="7"/>
  <c r="H60" i="13"/>
  <c r="G38" i="10"/>
  <c r="G36" i="8"/>
  <c r="G21" i="10"/>
  <c r="F6" i="7"/>
  <c r="G61" i="8"/>
  <c r="G22" i="9"/>
  <c r="G57" i="10"/>
  <c r="F7" i="7"/>
  <c r="H41" i="15"/>
  <c r="G48" i="10"/>
  <c r="G24" i="9"/>
  <c r="G7" i="8"/>
  <c r="F20" i="7"/>
  <c r="G39" i="10"/>
  <c r="G47" i="9"/>
  <c r="H46" i="15"/>
  <c r="F13" i="7"/>
  <c r="H62" i="15"/>
  <c r="G56" i="10"/>
  <c r="G12" i="9"/>
  <c r="G60" i="8"/>
  <c r="G59" i="8"/>
  <c r="H36" i="15"/>
  <c r="G50" i="8"/>
  <c r="H15" i="14"/>
  <c r="G20" i="8"/>
  <c r="H64" i="13"/>
  <c r="H17" i="13"/>
  <c r="H15" i="15"/>
  <c r="H32" i="13"/>
  <c r="H45" i="13"/>
  <c r="G60" i="10"/>
  <c r="G11" i="8"/>
  <c r="G51" i="10"/>
  <c r="H19" i="15"/>
  <c r="G65" i="8"/>
  <c r="F6" i="6"/>
  <c r="G35" i="8"/>
  <c r="G46" i="10"/>
  <c r="G62" i="8"/>
  <c r="H52" i="15"/>
  <c r="G65" i="10"/>
  <c r="G64" i="9"/>
  <c r="G9" i="8"/>
  <c r="H22" i="13"/>
  <c r="G45" i="8"/>
  <c r="H29" i="13"/>
  <c r="G52" i="8"/>
  <c r="G22" i="8"/>
  <c r="G57" i="8"/>
  <c r="G51" i="8"/>
  <c r="H8" i="8"/>
  <c r="H28" i="15"/>
  <c r="G26" i="9"/>
  <c r="G11" i="9"/>
  <c r="H14" i="15"/>
  <c r="H24" i="14"/>
  <c r="G16" i="9"/>
  <c r="H16" i="9" s="1"/>
  <c r="H57" i="13"/>
  <c r="F19" i="6"/>
  <c r="G16" i="10"/>
  <c r="H16" i="10" s="1"/>
  <c r="G52" i="9"/>
  <c r="G24" i="10"/>
  <c r="F9" i="6"/>
  <c r="G9" i="6" s="1"/>
  <c r="H17" i="14"/>
  <c r="H16" i="14"/>
  <c r="H56" i="15"/>
  <c r="G12" i="12"/>
  <c r="H30" i="13"/>
  <c r="H10" i="13"/>
  <c r="H37" i="15"/>
  <c r="H13" i="15"/>
  <c r="H58" i="13"/>
  <c r="G40" i="19"/>
  <c r="G44" i="10"/>
  <c r="G59" i="10"/>
  <c r="G41" i="9"/>
  <c r="G40" i="8"/>
  <c r="G25" i="10"/>
  <c r="H25" i="10" s="1"/>
  <c r="G17" i="10"/>
  <c r="G20" i="10"/>
  <c r="F22" i="6"/>
  <c r="H40" i="8"/>
  <c r="H57" i="14"/>
  <c r="G7" i="9"/>
  <c r="G58" i="8"/>
  <c r="F14" i="7"/>
  <c r="F20" i="6"/>
  <c r="F10" i="6"/>
  <c r="F18" i="7"/>
  <c r="G23" i="8"/>
  <c r="H23" i="8" s="1"/>
  <c r="F17" i="6"/>
  <c r="H61" i="14"/>
  <c r="G35" i="10"/>
  <c r="G56" i="9"/>
  <c r="G39" i="8"/>
  <c r="F13" i="6"/>
  <c r="G41" i="10"/>
  <c r="G18" i="8"/>
  <c r="H13" i="14"/>
  <c r="G8" i="9"/>
  <c r="G28" i="10"/>
  <c r="H46" i="13"/>
  <c r="G47" i="10"/>
  <c r="G11" i="10"/>
  <c r="G32" i="9"/>
  <c r="H35" i="8"/>
  <c r="F8" i="6"/>
  <c r="H49" i="14"/>
  <c r="F17" i="7"/>
  <c r="G54" i="9"/>
  <c r="H28" i="13"/>
  <c r="G13" i="8"/>
  <c r="H9" i="6"/>
  <c r="H11" i="15"/>
  <c r="H24" i="15"/>
  <c r="G39" i="17"/>
  <c r="H48" i="15"/>
  <c r="G34" i="10"/>
  <c r="G30" i="9"/>
  <c r="H34" i="15"/>
  <c r="G46" i="8"/>
  <c r="G13" i="9"/>
  <c r="F15" i="7"/>
  <c r="G23" i="9"/>
  <c r="H22" i="15"/>
  <c r="H29" i="14"/>
  <c r="G31" i="10"/>
  <c r="G20" i="9"/>
  <c r="H59" i="10"/>
  <c r="H57" i="15"/>
  <c r="H48" i="9"/>
  <c r="G30" i="10"/>
  <c r="G43" i="10"/>
  <c r="G15" i="8"/>
  <c r="F16" i="6"/>
  <c r="H31" i="10"/>
  <c r="F11" i="7"/>
  <c r="H16" i="15"/>
  <c r="G37" i="9"/>
  <c r="H25" i="14"/>
  <c r="H43" i="15"/>
  <c r="G59" i="9"/>
  <c r="H12" i="13"/>
  <c r="G9" i="10"/>
  <c r="H9" i="14"/>
  <c r="H30" i="9"/>
  <c r="H13" i="6"/>
  <c r="G17" i="8"/>
  <c r="H30" i="15"/>
  <c r="G12" i="10"/>
  <c r="G55" i="9"/>
  <c r="H49" i="15"/>
  <c r="H19" i="14"/>
  <c r="H30" i="14"/>
  <c r="G36" i="10"/>
  <c r="F11" i="6"/>
  <c r="G11" i="6" s="1"/>
  <c r="H45" i="10"/>
  <c r="H52" i="8"/>
  <c r="G66" i="9"/>
  <c r="G66" i="8"/>
  <c r="H27" i="10"/>
  <c r="G14" i="8"/>
  <c r="G27" i="8"/>
  <c r="G49" i="9"/>
  <c r="H53" i="15"/>
  <c r="H38" i="15"/>
  <c r="H52" i="14"/>
  <c r="H60" i="14"/>
  <c r="H55" i="13"/>
  <c r="H20" i="14"/>
  <c r="G11" i="12"/>
  <c r="H42" i="13"/>
  <c r="H44" i="13"/>
  <c r="G66" i="10"/>
  <c r="G63" i="9"/>
  <c r="H63" i="9" s="1"/>
  <c r="G62" i="9"/>
  <c r="G43" i="8"/>
  <c r="H43" i="8" s="1"/>
  <c r="G9" i="9"/>
  <c r="G34" i="9"/>
  <c r="H55" i="14"/>
  <c r="F14" i="6"/>
  <c r="H14" i="6" s="1"/>
  <c r="H14" i="13"/>
  <c r="G45" i="9"/>
  <c r="H45" i="9" s="1"/>
  <c r="H36" i="8"/>
  <c r="F8" i="7"/>
  <c r="H45" i="14"/>
  <c r="G39" i="9"/>
  <c r="B1" i="11"/>
  <c r="G10" i="7"/>
  <c r="H59" i="9"/>
  <c r="H7" i="14"/>
  <c r="G54" i="10"/>
  <c r="G15" i="9"/>
  <c r="G38" i="9"/>
  <c r="H38" i="9" s="1"/>
  <c r="G16" i="8"/>
  <c r="H19" i="6"/>
  <c r="G29" i="9"/>
  <c r="F16" i="7"/>
  <c r="H41" i="14"/>
  <c r="G12" i="8"/>
  <c r="H43" i="13"/>
  <c r="G18" i="10"/>
  <c r="G62" i="10"/>
  <c r="H8" i="9"/>
  <c r="G47" i="8"/>
  <c r="G41" i="8"/>
  <c r="H8" i="6"/>
  <c r="H53" i="13"/>
  <c r="H48" i="10"/>
  <c r="H66" i="15"/>
  <c r="H66" i="8"/>
  <c r="G39" i="19"/>
  <c r="H31" i="15"/>
  <c r="H18" i="14"/>
  <c r="H23" i="14"/>
  <c r="G8" i="10"/>
  <c r="H8" i="10" s="1"/>
  <c r="G42" i="8"/>
  <c r="G38" i="8"/>
  <c r="G52" i="10"/>
  <c r="G27" i="9"/>
  <c r="H27" i="9" s="1"/>
  <c r="F12" i="6"/>
  <c r="G21" i="8"/>
  <c r="H21" i="8" s="1"/>
  <c r="G64" i="10"/>
  <c r="G18" i="9"/>
  <c r="H18" i="9" s="1"/>
  <c r="H20" i="13"/>
  <c r="H41" i="9"/>
  <c r="G14" i="7"/>
  <c r="G58" i="10"/>
  <c r="H52" i="13"/>
  <c r="H26" i="10"/>
  <c r="G53" i="9"/>
  <c r="G24" i="8"/>
  <c r="G55" i="10"/>
  <c r="G19" i="10"/>
  <c r="G20" i="6"/>
  <c r="H64" i="14"/>
  <c r="G13" i="12"/>
  <c r="H38" i="14"/>
  <c r="G14" i="12"/>
  <c r="G40" i="10"/>
  <c r="H40" i="10" s="1"/>
  <c r="G32" i="8"/>
  <c r="H32" i="8" s="1"/>
  <c r="H42" i="8"/>
  <c r="G7" i="10"/>
  <c r="G44" i="8"/>
  <c r="G32" i="10"/>
  <c r="G56" i="8"/>
  <c r="F15" i="6"/>
  <c r="H15" i="6" s="1"/>
  <c r="H62" i="13"/>
  <c r="H61" i="13"/>
  <c r="G30" i="8"/>
  <c r="H30" i="8" s="1"/>
  <c r="G54" i="8"/>
  <c r="H31" i="14"/>
  <c r="H60" i="15"/>
  <c r="G36" i="9"/>
  <c r="G19" i="12"/>
  <c r="G58" i="9"/>
  <c r="H62" i="14"/>
  <c r="G40" i="9"/>
  <c r="H42" i="14"/>
  <c r="H37" i="14"/>
  <c r="H24" i="13"/>
  <c r="H39" i="13"/>
  <c r="H42" i="15"/>
  <c r="H54" i="15"/>
  <c r="H8" i="14"/>
  <c r="G6" i="12"/>
  <c r="H49" i="13"/>
  <c r="G53" i="10"/>
  <c r="H53" i="10" s="1"/>
  <c r="G10" i="9"/>
  <c r="G28" i="8"/>
  <c r="G25" i="8"/>
  <c r="G14" i="10"/>
  <c r="G37" i="8"/>
  <c r="H37" i="8" s="1"/>
  <c r="G17" i="9"/>
  <c r="H17" i="9" s="1"/>
  <c r="G13" i="10"/>
  <c r="H13" i="10" s="1"/>
  <c r="H54" i="13"/>
  <c r="G23" i="10"/>
  <c r="G57" i="9"/>
  <c r="H57" i="9" s="1"/>
  <c r="G10" i="8"/>
  <c r="F9" i="7"/>
  <c r="H66" i="14"/>
  <c r="G35" i="9"/>
  <c r="H37" i="9"/>
  <c r="G37" i="10"/>
  <c r="H37" i="10" s="1"/>
  <c r="I6" i="6"/>
  <c r="G65" i="9"/>
  <c r="H12" i="15"/>
  <c r="G10" i="10"/>
  <c r="G21" i="9"/>
  <c r="G25" i="9"/>
  <c r="G48" i="8"/>
  <c r="H35" i="15"/>
  <c r="H29" i="9"/>
  <c r="H12" i="6"/>
  <c r="H46" i="8"/>
  <c r="H35" i="14"/>
  <c r="G55" i="8"/>
  <c r="G51" i="9"/>
  <c r="H10" i="14"/>
  <c r="G50" i="10"/>
  <c r="G31" i="9"/>
  <c r="G14" i="9"/>
  <c r="H39" i="8"/>
  <c r="G15" i="7"/>
  <c r="G40" i="17"/>
  <c r="G22" i="10"/>
  <c r="G63" i="10"/>
  <c r="H63" i="10" s="1"/>
  <c r="G64" i="8"/>
  <c r="H16" i="6"/>
  <c r="G7" i="12"/>
  <c r="H47" i="13"/>
  <c r="H26" i="13"/>
  <c r="H9" i="15"/>
  <c r="H65" i="13"/>
  <c r="G42" i="9"/>
  <c r="F19" i="7"/>
  <c r="G19" i="7" s="1"/>
  <c r="G61" i="9"/>
  <c r="H61" i="9" s="1"/>
  <c r="G26" i="8"/>
  <c r="H26" i="8" s="1"/>
  <c r="H39" i="14"/>
  <c r="G61" i="10"/>
  <c r="H61" i="10" s="1"/>
  <c r="G29" i="8"/>
  <c r="H29" i="8" s="1"/>
  <c r="H20" i="15"/>
  <c r="G43" i="9"/>
  <c r="H44" i="15"/>
  <c r="H28" i="8"/>
  <c r="H65" i="14"/>
  <c r="G42" i="10"/>
  <c r="H42" i="10" s="1"/>
  <c r="H25" i="9"/>
  <c r="G19" i="8"/>
  <c r="G19" i="6"/>
  <c r="H11" i="8"/>
  <c r="G53" i="8"/>
  <c r="G46" i="9"/>
  <c r="G6" i="7"/>
  <c r="H36" i="13"/>
  <c r="G28" i="9"/>
  <c r="G49" i="8"/>
  <c r="G49" i="10"/>
  <c r="G18" i="12"/>
  <c r="H18" i="13"/>
  <c r="H9" i="13"/>
  <c r="G31" i="8"/>
  <c r="G19" i="9"/>
  <c r="H19" i="9" s="1"/>
  <c r="H33" i="14"/>
  <c r="G33" i="10"/>
  <c r="G50" i="9"/>
  <c r="G29" i="10"/>
  <c r="H29" i="10" s="1"/>
  <c r="H54" i="10"/>
  <c r="F7" i="6"/>
  <c r="G60" i="9"/>
  <c r="H45" i="15"/>
  <c r="H23" i="15"/>
  <c r="G15" i="10"/>
  <c r="H15" i="10" s="1"/>
  <c r="G63" i="8"/>
  <c r="G34" i="8"/>
  <c r="H34" i="8" s="1"/>
  <c r="H38" i="8"/>
  <c r="H22" i="8"/>
  <c r="H50" i="9"/>
  <c r="G33" i="8"/>
  <c r="H20" i="6"/>
  <c r="F21" i="6"/>
  <c r="G44" i="9"/>
  <c r="H9" i="10"/>
  <c r="G33" i="9"/>
  <c r="G15" i="6"/>
  <c r="G18" i="6"/>
  <c r="G21" i="6"/>
  <c r="F5" i="12"/>
  <c r="H6" i="14"/>
  <c r="G5" i="12"/>
  <c r="G2" i="17"/>
  <c r="G2" i="19"/>
  <c r="G6" i="15"/>
  <c r="G6" i="13"/>
  <c r="F5" i="7"/>
  <c r="H22" i="6"/>
  <c r="H10" i="6"/>
  <c r="G10" i="6"/>
  <c r="G17" i="6"/>
  <c r="G7" i="6"/>
  <c r="D8" i="5" l="1"/>
  <c r="D5" i="4"/>
  <c r="D6" i="4"/>
  <c r="D7" i="4"/>
  <c r="D8" i="4"/>
  <c r="D9" i="4"/>
  <c r="D10" i="4"/>
  <c r="D11" i="4"/>
  <c r="D12" i="4"/>
  <c r="C13" i="4"/>
  <c r="D13" i="4" s="1"/>
  <c r="C14" i="4"/>
  <c r="D14" i="4" s="1"/>
  <c r="C15" i="4"/>
  <c r="D15" i="4" s="1"/>
  <c r="C16" i="4"/>
  <c r="D16" i="4" s="1"/>
  <c r="C17" i="4"/>
  <c r="D17" i="4" s="1"/>
  <c r="D18" i="4"/>
  <c r="D19" i="4"/>
  <c r="D20" i="4"/>
  <c r="D21" i="4"/>
  <c r="D22" i="4"/>
  <c r="D24" i="4"/>
  <c r="D25" i="4"/>
  <c r="D26" i="4"/>
  <c r="D28" i="4"/>
  <c r="D29" i="4"/>
  <c r="D30" i="4"/>
  <c r="D31" i="4"/>
  <c r="D32" i="4"/>
  <c r="D33" i="4"/>
  <c r="D34" i="4"/>
  <c r="D35" i="4"/>
  <c r="D36" i="4"/>
  <c r="D37" i="4"/>
  <c r="D38" i="4"/>
  <c r="I17" i="6"/>
  <c r="H14" i="9"/>
  <c r="H23" i="10"/>
  <c r="H55" i="10"/>
  <c r="H16" i="8"/>
  <c r="H15" i="8"/>
  <c r="H11" i="10"/>
  <c r="H58" i="8"/>
  <c r="H64" i="9"/>
  <c r="H47" i="9"/>
  <c r="H20" i="10"/>
  <c r="H10" i="8"/>
  <c r="H50" i="10"/>
  <c r="H7" i="8"/>
  <c r="H20" i="9"/>
  <c r="H41" i="10"/>
  <c r="H6" i="6"/>
  <c r="H57" i="8"/>
  <c r="H31" i="8"/>
  <c r="H52" i="10"/>
  <c r="H7" i="6"/>
  <c r="H56" i="8"/>
  <c r="H53" i="9"/>
  <c r="H39" i="9"/>
  <c r="H13" i="9"/>
  <c r="G22" i="6"/>
  <c r="I22" i="6" s="1"/>
  <c r="H42" i="9"/>
  <c r="H65" i="8"/>
  <c r="H44" i="10"/>
  <c r="H25" i="8"/>
  <c r="G17" i="7"/>
  <c r="H61" i="8"/>
  <c r="H17" i="8"/>
  <c r="G16" i="6"/>
  <c r="I20" i="6"/>
  <c r="G8" i="6"/>
  <c r="H63" i="8"/>
  <c r="H30" i="10"/>
  <c r="H35" i="9"/>
  <c r="G11" i="7"/>
  <c r="H45" i="8"/>
  <c r="I19" i="6"/>
  <c r="H62" i="8"/>
  <c r="H21" i="6"/>
  <c r="H31" i="9"/>
  <c r="H40" i="9"/>
  <c r="H24" i="8"/>
  <c r="H15" i="9"/>
  <c r="H23" i="9"/>
  <c r="H47" i="10"/>
  <c r="H7" i="9"/>
  <c r="H65" i="10"/>
  <c r="H39" i="10"/>
  <c r="I15" i="6"/>
  <c r="H62" i="9"/>
  <c r="H17" i="10"/>
  <c r="H34" i="9"/>
  <c r="H33" i="10"/>
  <c r="H38" i="10"/>
  <c r="H51" i="10"/>
  <c r="G14" i="6"/>
  <c r="I16" i="6"/>
  <c r="H51" i="9"/>
  <c r="H18" i="8"/>
  <c r="H20" i="8"/>
  <c r="G20" i="7"/>
  <c r="H12" i="10"/>
  <c r="I10" i="6"/>
  <c r="H44" i="9"/>
  <c r="H60" i="10"/>
  <c r="H11" i="6"/>
  <c r="I14" i="6"/>
  <c r="H35" i="10"/>
  <c r="H49" i="8"/>
  <c r="H9" i="8"/>
  <c r="H10" i="10"/>
  <c r="H17" i="6"/>
  <c r="H56" i="10"/>
  <c r="H22" i="9"/>
  <c r="H33" i="8"/>
  <c r="H58" i="9"/>
  <c r="G16" i="7"/>
  <c r="H64" i="8"/>
  <c r="H32" i="9"/>
  <c r="G13" i="7"/>
  <c r="H66" i="9"/>
  <c r="H34" i="10"/>
  <c r="H57" i="10"/>
  <c r="H49" i="10"/>
  <c r="H55" i="8"/>
  <c r="H32" i="10"/>
  <c r="H58" i="10"/>
  <c r="H9" i="9"/>
  <c r="H13" i="8"/>
  <c r="G13" i="6"/>
  <c r="I13" i="6" s="1"/>
  <c r="I9" i="6"/>
  <c r="H50" i="8"/>
  <c r="H24" i="9"/>
  <c r="H46" i="9"/>
  <c r="I21" i="6"/>
  <c r="I8" i="6"/>
  <c r="G8" i="7"/>
  <c r="H14" i="10"/>
  <c r="H28" i="9"/>
  <c r="H60" i="9"/>
  <c r="H36" i="10"/>
  <c r="H47" i="8"/>
  <c r="D6" i="54" a="1"/>
  <c r="H53" i="8"/>
  <c r="H48" i="8"/>
  <c r="H44" i="8"/>
  <c r="H64" i="10"/>
  <c r="H27" i="8"/>
  <c r="H54" i="9"/>
  <c r="H56" i="9"/>
  <c r="H24" i="10"/>
  <c r="H59" i="8"/>
  <c r="G7" i="7"/>
  <c r="H28" i="10"/>
  <c r="H12" i="9"/>
  <c r="I11" i="6"/>
  <c r="H33" i="9"/>
  <c r="H10" i="9"/>
  <c r="H36" i="9"/>
  <c r="H41" i="8"/>
  <c r="H49" i="9"/>
  <c r="G9" i="7"/>
  <c r="H19" i="8"/>
  <c r="H21" i="9"/>
  <c r="H7" i="10"/>
  <c r="G12" i="6"/>
  <c r="I12" i="6" s="1"/>
  <c r="H14" i="8"/>
  <c r="H11" i="9"/>
  <c r="H60" i="8"/>
  <c r="H18" i="6"/>
  <c r="H65" i="9"/>
  <c r="H62" i="10"/>
  <c r="H22" i="10"/>
  <c r="H43" i="9"/>
  <c r="H18" i="10"/>
  <c r="H55" i="9"/>
  <c r="H51" i="8"/>
  <c r="H21" i="10"/>
  <c r="I18" i="6"/>
  <c r="H26" i="9"/>
  <c r="H43" i="10"/>
  <c r="I7" i="6"/>
  <c r="H19" i="10"/>
  <c r="H12" i="8"/>
  <c r="G18" i="7"/>
  <c r="G12" i="7"/>
  <c r="H54" i="8"/>
  <c r="H66" i="10"/>
  <c r="H52" i="9"/>
  <c r="H46" i="10"/>
  <c r="E8" i="4"/>
  <c r="E14" i="4"/>
  <c r="E25" i="4"/>
  <c r="E37" i="4"/>
  <c r="E16" i="4"/>
  <c r="E11" i="4"/>
  <c r="E9" i="4"/>
  <c r="F9" i="4" s="1"/>
  <c r="E26" i="4"/>
  <c r="F26" i="4" s="1"/>
  <c r="E33" i="4"/>
  <c r="F33" i="4" s="1"/>
  <c r="E18" i="4"/>
  <c r="F8" i="4"/>
  <c r="F18" i="4"/>
  <c r="E30" i="4"/>
  <c r="F30" i="4"/>
  <c r="E29" i="4"/>
  <c r="F29" i="4" s="1"/>
  <c r="E10" i="4"/>
  <c r="F10" i="4" s="1"/>
  <c r="E19" i="4"/>
  <c r="F25" i="4"/>
  <c r="E22" i="4"/>
  <c r="E34" i="4"/>
  <c r="F34" i="4" s="1"/>
  <c r="E17" i="4"/>
  <c r="F22" i="4"/>
  <c r="E31" i="4"/>
  <c r="F31" i="4" s="1"/>
  <c r="E7" i="4"/>
  <c r="F7" i="4" s="1"/>
  <c r="E12" i="4"/>
  <c r="F12" i="4" s="1"/>
  <c r="F14" i="4"/>
  <c r="E13" i="4"/>
  <c r="E38" i="4"/>
  <c r="F38" i="4" s="1"/>
  <c r="E35" i="4"/>
  <c r="F35" i="4" s="1"/>
  <c r="E15" i="4"/>
  <c r="F11" i="4"/>
  <c r="E32" i="4"/>
  <c r="F32" i="4" s="1"/>
  <c r="F16" i="4"/>
  <c r="B1" i="5"/>
  <c r="E20" i="4"/>
  <c r="F20" i="4" s="1"/>
  <c r="E21" i="4"/>
  <c r="F21" i="4" s="1"/>
  <c r="F13" i="4"/>
  <c r="E6" i="4"/>
  <c r="F6" i="4" s="1"/>
  <c r="E36" i="4"/>
  <c r="P3" i="53"/>
  <c r="J3" i="52"/>
  <c r="G6" i="8"/>
  <c r="G6" i="10"/>
  <c r="G5" i="7"/>
  <c r="H6" i="13"/>
  <c r="H6" i="15"/>
  <c r="H6" i="10"/>
  <c r="G6" i="45"/>
  <c r="H6" i="45" s="1"/>
  <c r="H6" i="8"/>
  <c r="G6" i="9"/>
  <c r="H6" i="9" s="1"/>
  <c r="F5" i="6"/>
  <c r="H5" i="6" s="1"/>
  <c r="E5" i="4"/>
  <c r="F5" i="4" s="1"/>
  <c r="D7" i="54" l="1"/>
  <c r="D6" i="54"/>
  <c r="D8" i="54"/>
  <c r="F15" i="4"/>
  <c r="F17" i="4"/>
  <c r="F19" i="4"/>
  <c r="F37" i="4"/>
  <c r="F36" i="4"/>
  <c r="E24" i="4"/>
  <c r="F24" i="4" s="1"/>
  <c r="E28" i="4"/>
  <c r="F28" i="4" s="1"/>
  <c r="D9" i="54" l="1"/>
  <c r="D10" i="54" l="1"/>
  <c r="D11" i="54" l="1"/>
  <c r="D12" i="54"/>
  <c r="D13" i="54"/>
  <c r="D14" i="54"/>
  <c r="D15" i="54"/>
  <c r="D16" i="54"/>
  <c r="D17" i="54"/>
  <c r="F6" i="54" l="1" a="1"/>
  <c r="P6" i="54" a="1"/>
  <c r="P6" i="54" l="1"/>
  <c r="P7" i="54"/>
  <c r="P8" i="54"/>
  <c r="P9" i="54"/>
  <c r="P10" i="54"/>
  <c r="P11" i="54"/>
  <c r="P12" i="54"/>
  <c r="P13" i="54"/>
  <c r="P14" i="54"/>
  <c r="P15" i="54"/>
  <c r="P16" i="54"/>
  <c r="P17" i="54"/>
  <c r="F6" i="54"/>
  <c r="F7" i="54"/>
  <c r="F8" i="54"/>
  <c r="F9" i="54"/>
  <c r="F10" i="54"/>
  <c r="F11" i="54"/>
  <c r="F12" i="54"/>
  <c r="F13" i="54"/>
  <c r="F14" i="54"/>
  <c r="F15" i="54"/>
  <c r="F16" i="54"/>
  <c r="F17" i="54"/>
  <c r="D6" i="55" a="1"/>
  <c r="R7" i="54"/>
  <c r="R17" i="54"/>
  <c r="R15" i="54"/>
  <c r="R13" i="54"/>
  <c r="R6" i="54"/>
  <c r="R16" i="54"/>
  <c r="R8" i="54"/>
  <c r="R14" i="54"/>
  <c r="R10" i="54"/>
  <c r="R12" i="54"/>
  <c r="R11" i="54"/>
  <c r="R9" i="54"/>
  <c r="R4" i="54" s="1"/>
  <c r="D7" i="55" l="1"/>
  <c r="D6" i="55"/>
  <c r="D8" i="55"/>
  <c r="D9" i="55" l="1"/>
  <c r="D10" i="55" l="1"/>
  <c r="D11" i="55" l="1"/>
  <c r="D12" i="55"/>
  <c r="D13" i="55"/>
  <c r="D14" i="55"/>
  <c r="D15" i="55"/>
  <c r="D16" i="55"/>
  <c r="D17" i="55"/>
  <c r="D18" i="55"/>
  <c r="D19" i="55"/>
  <c r="D20" i="55"/>
  <c r="D21" i="55"/>
  <c r="D22" i="55"/>
  <c r="D23" i="55"/>
  <c r="D24" i="55"/>
  <c r="D25" i="55"/>
  <c r="D26" i="55"/>
  <c r="D27" i="55"/>
  <c r="D28" i="55"/>
  <c r="D29" i="55"/>
  <c r="D30" i="55"/>
  <c r="D31" i="55"/>
  <c r="D32" i="55"/>
  <c r="D33" i="55"/>
  <c r="D34" i="55"/>
  <c r="D35" i="55"/>
  <c r="D36" i="55"/>
  <c r="D37" i="55"/>
  <c r="D38" i="55"/>
  <c r="D39" i="55"/>
  <c r="D40" i="55"/>
  <c r="D41" i="55"/>
  <c r="D42" i="55"/>
  <c r="D43" i="55"/>
  <c r="D44" i="55"/>
  <c r="D45" i="55"/>
  <c r="D46" i="55"/>
  <c r="D47" i="55"/>
  <c r="F6" i="55" l="1" a="1"/>
  <c r="P6" i="55" a="1"/>
  <c r="P6" i="55" l="1"/>
  <c r="P7" i="55"/>
  <c r="P8" i="55"/>
  <c r="P9" i="55"/>
  <c r="P10" i="55"/>
  <c r="P11" i="55"/>
  <c r="P12" i="55"/>
  <c r="P13" i="55"/>
  <c r="P14" i="55"/>
  <c r="P15" i="55"/>
  <c r="P16" i="55"/>
  <c r="P17" i="55"/>
  <c r="P18" i="55"/>
  <c r="P19" i="55"/>
  <c r="P20" i="55"/>
  <c r="P21" i="55"/>
  <c r="P22" i="55"/>
  <c r="P23" i="55"/>
  <c r="P24" i="55"/>
  <c r="P25" i="55"/>
  <c r="P26" i="55"/>
  <c r="P27" i="55"/>
  <c r="P28" i="55"/>
  <c r="P29" i="55"/>
  <c r="P30" i="55"/>
  <c r="P31" i="55"/>
  <c r="P32" i="55"/>
  <c r="P33" i="55"/>
  <c r="P34" i="55"/>
  <c r="P35" i="55"/>
  <c r="P36" i="55"/>
  <c r="P37" i="55"/>
  <c r="P38" i="55"/>
  <c r="P39" i="55"/>
  <c r="P40" i="55"/>
  <c r="P41" i="55"/>
  <c r="P42" i="55"/>
  <c r="P43" i="55"/>
  <c r="P44" i="55"/>
  <c r="P45" i="55"/>
  <c r="P46" i="55"/>
  <c r="P47" i="55"/>
  <c r="F6" i="55"/>
  <c r="F7" i="55"/>
  <c r="F8" i="55"/>
  <c r="F9" i="55"/>
  <c r="F10" i="55"/>
  <c r="F11" i="55"/>
  <c r="F12" i="55"/>
  <c r="F13" i="55"/>
  <c r="F14" i="55"/>
  <c r="F15" i="55"/>
  <c r="F16" i="55"/>
  <c r="F17" i="55"/>
  <c r="F18" i="55"/>
  <c r="F19" i="55"/>
  <c r="F20" i="55"/>
  <c r="F21" i="55"/>
  <c r="F22" i="55"/>
  <c r="F23" i="55"/>
  <c r="F24" i="55"/>
  <c r="F25" i="55"/>
  <c r="F26" i="55"/>
  <c r="F27" i="55"/>
  <c r="F28" i="55"/>
  <c r="F29" i="55"/>
  <c r="F30" i="55"/>
  <c r="F31" i="55"/>
  <c r="F32" i="55"/>
  <c r="F33" i="55"/>
  <c r="F34" i="55"/>
  <c r="F35" i="55"/>
  <c r="F36" i="55"/>
  <c r="F37" i="55"/>
  <c r="F38" i="55"/>
  <c r="F39" i="55"/>
  <c r="F40" i="55"/>
  <c r="F41" i="55"/>
  <c r="F42" i="55"/>
  <c r="F43" i="55"/>
  <c r="F44" i="55"/>
  <c r="F45" i="55"/>
  <c r="F46" i="55"/>
  <c r="F47" i="55"/>
  <c r="D6" i="56" a="1"/>
  <c r="R7" i="55"/>
  <c r="R24" i="55"/>
  <c r="R17" i="55"/>
  <c r="R42" i="55"/>
  <c r="R36" i="55"/>
  <c r="R15" i="55"/>
  <c r="R32" i="55"/>
  <c r="R25" i="55"/>
  <c r="R11" i="55"/>
  <c r="R44" i="55"/>
  <c r="R47" i="55"/>
  <c r="R8" i="55"/>
  <c r="R12" i="55"/>
  <c r="R16" i="55"/>
  <c r="R6" i="55"/>
  <c r="R23" i="55"/>
  <c r="R40" i="55"/>
  <c r="R33" i="55"/>
  <c r="R19" i="55"/>
  <c r="R13" i="55"/>
  <c r="R27" i="55"/>
  <c r="R18" i="55"/>
  <c r="R45" i="55"/>
  <c r="R9" i="55"/>
  <c r="R14" i="55"/>
  <c r="R31" i="55"/>
  <c r="R28" i="55"/>
  <c r="R41" i="55"/>
  <c r="R37" i="55"/>
  <c r="R30" i="55"/>
  <c r="R43" i="55"/>
  <c r="R26" i="55"/>
  <c r="R34" i="55"/>
  <c r="R22" i="55"/>
  <c r="R39" i="55"/>
  <c r="R21" i="55"/>
  <c r="R10" i="55"/>
  <c r="R35" i="55"/>
  <c r="R29" i="55"/>
  <c r="R38" i="55"/>
  <c r="R46" i="55"/>
  <c r="R20" i="55"/>
  <c r="R4" i="55" s="1"/>
  <c r="D6" i="56" l="1"/>
  <c r="D7" i="56"/>
  <c r="D8" i="56"/>
  <c r="D9" i="56" l="1"/>
  <c r="P6" i="56" s="1" a="1"/>
  <c r="P9" i="56" s="1"/>
  <c r="R9" i="56"/>
  <c r="P6" i="56" l="1"/>
  <c r="P7" i="56"/>
  <c r="P8" i="56"/>
  <c r="F3" i="64"/>
  <c r="F3" i="62"/>
  <c r="F3" i="63"/>
  <c r="K5" i="64" a="1"/>
  <c r="K5" i="62" a="1"/>
  <c r="K5" i="63" a="1"/>
  <c r="Q3" i="61"/>
  <c r="Q3" i="60"/>
  <c r="Q3" i="59"/>
  <c r="Q3" i="58"/>
  <c r="R8" i="56"/>
  <c r="R6" i="56"/>
  <c r="R7" i="56"/>
  <c r="K10" i="63" l="1"/>
  <c r="K18" i="63"/>
  <c r="K26" i="63"/>
  <c r="K34" i="63"/>
  <c r="K11" i="63"/>
  <c r="K19" i="63"/>
  <c r="K27" i="63"/>
  <c r="K35" i="63"/>
  <c r="K12" i="63"/>
  <c r="K20" i="63"/>
  <c r="K28" i="63"/>
  <c r="K36" i="63"/>
  <c r="K5" i="63"/>
  <c r="K13" i="63"/>
  <c r="K21" i="63"/>
  <c r="K29" i="63"/>
  <c r="K37" i="63"/>
  <c r="K6" i="63"/>
  <c r="K14" i="63"/>
  <c r="K22" i="63"/>
  <c r="K30" i="63"/>
  <c r="K38" i="63"/>
  <c r="K7" i="63"/>
  <c r="K15" i="63"/>
  <c r="K23" i="63"/>
  <c r="K31" i="63"/>
  <c r="K39" i="63"/>
  <c r="K8" i="63"/>
  <c r="K16" i="63"/>
  <c r="K24" i="63"/>
  <c r="K32" i="63"/>
  <c r="K40" i="63"/>
  <c r="L41" i="63" s="1"/>
  <c r="K9" i="63"/>
  <c r="K17" i="63"/>
  <c r="K25" i="63"/>
  <c r="K33" i="63"/>
  <c r="K41" i="63"/>
  <c r="K10" i="62"/>
  <c r="K18" i="62"/>
  <c r="K26" i="62"/>
  <c r="K34" i="62"/>
  <c r="K42" i="62"/>
  <c r="K11" i="62"/>
  <c r="K19" i="62"/>
  <c r="K27" i="62"/>
  <c r="K35" i="62"/>
  <c r="K12" i="62"/>
  <c r="K20" i="62"/>
  <c r="K28" i="62"/>
  <c r="K36" i="62"/>
  <c r="K5" i="62"/>
  <c r="K13" i="62"/>
  <c r="K21" i="62"/>
  <c r="K29" i="62"/>
  <c r="K37" i="62"/>
  <c r="K6" i="62"/>
  <c r="K14" i="62"/>
  <c r="K22" i="62"/>
  <c r="K30" i="62"/>
  <c r="K38" i="62"/>
  <c r="K7" i="62"/>
  <c r="K15" i="62"/>
  <c r="K23" i="62"/>
  <c r="K31" i="62"/>
  <c r="K39" i="62"/>
  <c r="K8" i="62"/>
  <c r="K16" i="62"/>
  <c r="K24" i="62"/>
  <c r="K32" i="62"/>
  <c r="K40" i="62"/>
  <c r="K9" i="62"/>
  <c r="K17" i="62"/>
  <c r="K25" i="62"/>
  <c r="K33" i="62"/>
  <c r="K41" i="62"/>
  <c r="K5" i="64"/>
  <c r="K6" i="64"/>
  <c r="K7" i="64"/>
  <c r="K8" i="64"/>
  <c r="K9" i="64"/>
  <c r="K10" i="64"/>
  <c r="K11" i="64"/>
  <c r="K12" i="64"/>
  <c r="K13" i="64"/>
  <c r="K14" i="64"/>
  <c r="K15" i="64"/>
  <c r="K16" i="64"/>
  <c r="K17" i="64"/>
  <c r="K18" i="64"/>
  <c r="K19" i="64"/>
  <c r="K20" i="64"/>
  <c r="K21" i="64"/>
  <c r="K22" i="64"/>
  <c r="K23" i="64"/>
  <c r="K24" i="64"/>
  <c r="K25" i="64"/>
  <c r="K26" i="64"/>
  <c r="K27" i="64"/>
  <c r="K28" i="64"/>
  <c r="K29" i="64"/>
  <c r="K30" i="64"/>
  <c r="K31" i="64"/>
  <c r="K32" i="64"/>
  <c r="K33" i="64"/>
  <c r="K34" i="64"/>
  <c r="K35" i="64"/>
  <c r="K36" i="64"/>
  <c r="K37" i="64"/>
  <c r="K38" i="64"/>
  <c r="K39" i="64" s="1"/>
  <c r="K40" i="64" s="1"/>
  <c r="K41" i="64" s="1"/>
  <c r="K42" i="64" s="1"/>
  <c r="L38" i="64"/>
  <c r="Q3" i="66"/>
  <c r="Q3" i="65"/>
  <c r="R4" i="56"/>
  <c r="L40" i="63" l="1"/>
  <c r="L42" i="63" s="1"/>
  <c r="K42" i="63" s="1"/>
  <c r="P5" i="63" s="1" a="1"/>
  <c r="P5" i="62" a="1"/>
  <c r="P5" i="64" a="1"/>
  <c r="P5" i="63" l="1"/>
  <c r="P11" i="63"/>
  <c r="P27" i="63"/>
  <c r="P42" i="63"/>
  <c r="P12" i="63"/>
  <c r="P28" i="63"/>
  <c r="P18" i="63"/>
  <c r="P34" i="63"/>
  <c r="P16" i="63"/>
  <c r="P32" i="63"/>
  <c r="P19" i="63"/>
  <c r="P35" i="63"/>
  <c r="P7" i="63"/>
  <c r="P20" i="63"/>
  <c r="P36" i="63"/>
  <c r="P8" i="63"/>
  <c r="P24" i="63"/>
  <c r="P37" i="63"/>
  <c r="P10" i="63"/>
  <c r="P26" i="63"/>
  <c r="P40" i="63"/>
  <c r="P41" i="63"/>
  <c r="P15" i="63"/>
  <c r="P13" i="63"/>
  <c r="P33" i="63"/>
  <c r="P38" i="63"/>
  <c r="P25" i="63"/>
  <c r="P30" i="63"/>
  <c r="P9" i="63"/>
  <c r="P14" i="63"/>
  <c r="P39" i="63"/>
  <c r="P6" i="63"/>
  <c r="P21" i="63"/>
  <c r="P17" i="63"/>
  <c r="P31" i="63"/>
  <c r="P23" i="63"/>
  <c r="P22" i="63"/>
  <c r="P29" i="63"/>
  <c r="P5" i="64"/>
  <c r="P34" i="64"/>
  <c r="P28" i="64"/>
  <c r="P24" i="64"/>
  <c r="P23" i="64"/>
  <c r="P18" i="64"/>
  <c r="P35" i="64"/>
  <c r="P16" i="64"/>
  <c r="P15" i="64"/>
  <c r="P41" i="64"/>
  <c r="P11" i="64"/>
  <c r="P8" i="64"/>
  <c r="P7" i="64"/>
  <c r="P37" i="64"/>
  <c r="P25" i="64"/>
  <c r="P26" i="64"/>
  <c r="P12" i="64"/>
  <c r="P30" i="64"/>
  <c r="P36" i="64"/>
  <c r="P17" i="64"/>
  <c r="P10" i="64"/>
  <c r="P19" i="64"/>
  <c r="P22" i="64"/>
  <c r="P9" i="64"/>
  <c r="P38" i="64"/>
  <c r="P21" i="64"/>
  <c r="P14" i="64"/>
  <c r="P42" i="64"/>
  <c r="P6" i="64"/>
  <c r="P40" i="64"/>
  <c r="P13" i="64"/>
  <c r="P32" i="64"/>
  <c r="P20" i="64"/>
  <c r="P29" i="64"/>
  <c r="P27" i="64"/>
  <c r="P39" i="64"/>
  <c r="P33" i="64"/>
  <c r="P31" i="64"/>
  <c r="P5" i="62"/>
  <c r="P15" i="62"/>
  <c r="P28" i="62"/>
  <c r="P16" i="62"/>
  <c r="P32" i="62"/>
  <c r="P8" i="62"/>
  <c r="P19" i="62"/>
  <c r="P35" i="62"/>
  <c r="P7" i="62"/>
  <c r="P18" i="62"/>
  <c r="P34" i="62"/>
  <c r="P9" i="62"/>
  <c r="P20" i="62"/>
  <c r="P36" i="62"/>
  <c r="P10" i="62"/>
  <c r="P24" i="62"/>
  <c r="P40" i="62"/>
  <c r="P11" i="62"/>
  <c r="P26" i="62"/>
  <c r="P42" i="62"/>
  <c r="P12" i="62"/>
  <c r="P27" i="62"/>
  <c r="P38" i="62"/>
  <c r="P13" i="62"/>
  <c r="P41" i="62"/>
  <c r="P30" i="62"/>
  <c r="P33" i="62"/>
  <c r="P22" i="62"/>
  <c r="P17" i="62"/>
  <c r="P6" i="62"/>
  <c r="P39" i="62"/>
  <c r="P37" i="62"/>
  <c r="P25" i="62"/>
  <c r="P31" i="62"/>
  <c r="P23" i="62"/>
  <c r="P14" i="62"/>
  <c r="P29" i="62"/>
  <c r="P21" i="62"/>
  <c r="Q5" i="63"/>
  <c r="Q16" i="63"/>
  <c r="Q24" i="63"/>
  <c r="Q33" i="63"/>
  <c r="Q21" i="63"/>
  <c r="Q28" i="64"/>
  <c r="Q11" i="64"/>
  <c r="Q36" i="64"/>
  <c r="Q14" i="64"/>
  <c r="Q27" i="64"/>
  <c r="Q32" i="62"/>
  <c r="Q20" i="62"/>
  <c r="Q11" i="63"/>
  <c r="Q32" i="63"/>
  <c r="Q37" i="63"/>
  <c r="Q38" i="63"/>
  <c r="Q17" i="63"/>
  <c r="Q24" i="64"/>
  <c r="Q8" i="64"/>
  <c r="Q17" i="64"/>
  <c r="Q42" i="64"/>
  <c r="Q39" i="64"/>
  <c r="Q8" i="62"/>
  <c r="Q36" i="62"/>
  <c r="Q27" i="62"/>
  <c r="Q6" i="62"/>
  <c r="Q21" i="62"/>
  <c r="Q35" i="63"/>
  <c r="Q23" i="63"/>
  <c r="Q37" i="64"/>
  <c r="Q40" i="64"/>
  <c r="Q31" i="64"/>
  <c r="Q35" i="62"/>
  <c r="Q13" i="62"/>
  <c r="Q37" i="62"/>
  <c r="Q26" i="62"/>
  <c r="Q9" i="62"/>
  <c r="Q27" i="63"/>
  <c r="Q19" i="63"/>
  <c r="Q10" i="63"/>
  <c r="Q25" i="63"/>
  <c r="Q31" i="63"/>
  <c r="Q23" i="64"/>
  <c r="Q7" i="64"/>
  <c r="Q10" i="64"/>
  <c r="Q6" i="64"/>
  <c r="Q33" i="64"/>
  <c r="Q19" i="62"/>
  <c r="Q10" i="62"/>
  <c r="Q38" i="62"/>
  <c r="Q39" i="62"/>
  <c r="Q42" i="63"/>
  <c r="Q26" i="63"/>
  <c r="Q30" i="63"/>
  <c r="Q18" i="64"/>
  <c r="Q19" i="64"/>
  <c r="Q24" i="62"/>
  <c r="Q28" i="62"/>
  <c r="Q42" i="62"/>
  <c r="Q12" i="62"/>
  <c r="Q12" i="63"/>
  <c r="Q7" i="63"/>
  <c r="Q40" i="63"/>
  <c r="Q9" i="63"/>
  <c r="Q22" i="63"/>
  <c r="Q35" i="64"/>
  <c r="Q25" i="64"/>
  <c r="Q22" i="64"/>
  <c r="Q13" i="64"/>
  <c r="Q5" i="62"/>
  <c r="Q7" i="62"/>
  <c r="Q40" i="62"/>
  <c r="Q41" i="62"/>
  <c r="Q25" i="62"/>
  <c r="Q41" i="63"/>
  <c r="Q16" i="64"/>
  <c r="Q32" i="64"/>
  <c r="Q18" i="62"/>
  <c r="Q11" i="62"/>
  <c r="Q30" i="62"/>
  <c r="Q31" i="62"/>
  <c r="Q15" i="64"/>
  <c r="Q34" i="62"/>
  <c r="Q17" i="62"/>
  <c r="Q28" i="63"/>
  <c r="Q20" i="63"/>
  <c r="Q14" i="63"/>
  <c r="Q29" i="63"/>
  <c r="Q26" i="64"/>
  <c r="Q9" i="64"/>
  <c r="Q15" i="62"/>
  <c r="Q38" i="64"/>
  <c r="Q33" i="62"/>
  <c r="Q18" i="63"/>
  <c r="Q36" i="63"/>
  <c r="Q15" i="63"/>
  <c r="Q39" i="63"/>
  <c r="Q5" i="64"/>
  <c r="Q12" i="64"/>
  <c r="Q20" i="64"/>
  <c r="Q23" i="62"/>
  <c r="Q14" i="62"/>
  <c r="Q29" i="62"/>
  <c r="Q34" i="63"/>
  <c r="Q8" i="63"/>
  <c r="Q13" i="63"/>
  <c r="Q6" i="63"/>
  <c r="Q34" i="64"/>
  <c r="Q41" i="64"/>
  <c r="Q30" i="64"/>
  <c r="Q21" i="64"/>
  <c r="Q29" i="64"/>
  <c r="Q16" i="62"/>
  <c r="Q22" i="62"/>
  <c r="X6" i="63" l="1"/>
  <c r="X13" i="63"/>
  <c r="X8" i="63"/>
  <c r="X34" i="63"/>
  <c r="X39" i="63"/>
  <c r="X15" i="63"/>
  <c r="X36" i="63"/>
  <c r="X18" i="63"/>
  <c r="X29" i="63"/>
  <c r="X14" i="63"/>
  <c r="X20" i="63"/>
  <c r="X28" i="63"/>
  <c r="X41" i="63"/>
  <c r="X22" i="63"/>
  <c r="X9" i="63"/>
  <c r="X40" i="63"/>
  <c r="X7" i="63"/>
  <c r="X12" i="63"/>
  <c r="X30" i="63"/>
  <c r="X26" i="63"/>
  <c r="X42" i="63"/>
  <c r="X31" i="63"/>
  <c r="X25" i="63"/>
  <c r="X10" i="63"/>
  <c r="X19" i="63"/>
  <c r="X27" i="63"/>
  <c r="X23" i="63"/>
  <c r="X35" i="63"/>
  <c r="X17" i="63"/>
  <c r="X38" i="63"/>
  <c r="X37" i="63"/>
  <c r="X32" i="63"/>
  <c r="X11" i="63"/>
  <c r="X21" i="63"/>
  <c r="X33" i="63"/>
  <c r="X24" i="63"/>
  <c r="X16" i="63"/>
  <c r="X5" i="63"/>
  <c r="Q3" i="64"/>
  <c r="Q3" i="63"/>
  <c r="Q3" i="62"/>
  <c r="D7" i="67"/>
</calcChain>
</file>

<file path=xl/comments1.xml><?xml version="1.0" encoding="utf-8"?>
<comments xmlns="http://schemas.openxmlformats.org/spreadsheetml/2006/main">
  <authors>
    <author>erik</author>
  </authors>
  <commentList>
    <comment ref="A25" authorId="0">
      <text>
        <r>
          <rPr>
            <b/>
            <sz val="8"/>
            <color indexed="81"/>
            <rFont val="Tahoma"/>
            <family val="2"/>
          </rPr>
          <t>erik:</t>
        </r>
        <r>
          <rPr>
            <sz val="8"/>
            <color indexed="81"/>
            <rFont val="Tahoma"/>
            <family val="2"/>
          </rPr>
          <t xml:space="preserve">
this named range is a marker for Sensitivity Analysis</t>
        </r>
      </text>
    </comment>
  </commentList>
</comments>
</file>

<file path=xl/sharedStrings.xml><?xml version="1.0" encoding="utf-8"?>
<sst xmlns="http://schemas.openxmlformats.org/spreadsheetml/2006/main" count="4022" uniqueCount="314">
  <si>
    <t>1YCapletVolEx</t>
  </si>
  <si>
    <t>6MCapletVolEx</t>
  </si>
  <si>
    <t>3MCapletVolEx</t>
  </si>
  <si>
    <t>1MCapletVolEx</t>
  </si>
  <si>
    <t>3MFutOptionVolEx</t>
  </si>
  <si>
    <t>1YCapletVol</t>
  </si>
  <si>
    <t>6MCapletVol</t>
  </si>
  <si>
    <t>3MCapletVol</t>
  </si>
  <si>
    <t>1MCapletVol</t>
  </si>
  <si>
    <t>3MFutOptionVol</t>
  </si>
  <si>
    <t>SwaptionVol</t>
  </si>
  <si>
    <t>SwaptionATMVol</t>
  </si>
  <si>
    <t>LiborYC1Y</t>
  </si>
  <si>
    <t>LiborYC6M</t>
  </si>
  <si>
    <t>LiborYC3M</t>
  </si>
  <si>
    <t>LiborYC1M</t>
  </si>
  <si>
    <t>LiborYCON</t>
  </si>
  <si>
    <t>iborYC1Y</t>
  </si>
  <si>
    <t>iborYC6M</t>
  </si>
  <si>
    <t>iborYC3M</t>
  </si>
  <si>
    <t>iborYC1M</t>
  </si>
  <si>
    <t>iborYCON</t>
  </si>
  <si>
    <t>YCSTD</t>
  </si>
  <si>
    <t>YC</t>
  </si>
  <si>
    <t>Eur</t>
  </si>
  <si>
    <t>Currency</t>
  </si>
  <si>
    <t>FileOverwrite</t>
  </si>
  <si>
    <t>SerializationPath</t>
  </si>
  <si>
    <t>Serialize</t>
  </si>
  <si>
    <t>ObjectOverwrite</t>
  </si>
  <si>
    <t>Permanent</t>
  </si>
  <si>
    <t>Trigger</t>
  </si>
  <si>
    <t>General Settings</t>
  </si>
  <si>
    <t>RelinkableHandles</t>
  </si>
  <si>
    <t>1Y</t>
  </si>
  <si>
    <t>11M</t>
  </si>
  <si>
    <t>10M</t>
  </si>
  <si>
    <t>9M</t>
  </si>
  <si>
    <t>8M</t>
  </si>
  <si>
    <t>7M</t>
  </si>
  <si>
    <t>6M</t>
  </si>
  <si>
    <t>5M</t>
  </si>
  <si>
    <t>4M</t>
  </si>
  <si>
    <t>3M</t>
  </si>
  <si>
    <t>2M</t>
  </si>
  <si>
    <t>1M</t>
  </si>
  <si>
    <t>3W</t>
  </si>
  <si>
    <t>2W</t>
  </si>
  <si>
    <t>SW</t>
  </si>
  <si>
    <t>Eonia</t>
  </si>
  <si>
    <t>Eonia2</t>
  </si>
  <si>
    <t>Fwd Yield Curve</t>
  </si>
  <si>
    <t>Tenor</t>
  </si>
  <si>
    <t>ibor</t>
  </si>
  <si>
    <t>FamilyName</t>
  </si>
  <si>
    <t>Yield Curve</t>
  </si>
  <si>
    <t>ibor365</t>
  </si>
  <si>
    <t>60Y</t>
  </si>
  <si>
    <t>59Y</t>
  </si>
  <si>
    <t>58Y</t>
  </si>
  <si>
    <t>57Y</t>
  </si>
  <si>
    <t>56Y</t>
  </si>
  <si>
    <t>55Y</t>
  </si>
  <si>
    <t>54Y</t>
  </si>
  <si>
    <t>53Y</t>
  </si>
  <si>
    <t>52Y</t>
  </si>
  <si>
    <t>51Y</t>
  </si>
  <si>
    <t>50Y</t>
  </si>
  <si>
    <t>49Y</t>
  </si>
  <si>
    <t>48Y</t>
  </si>
  <si>
    <t>47Y</t>
  </si>
  <si>
    <t>46Y</t>
  </si>
  <si>
    <t>45Y</t>
  </si>
  <si>
    <t>44Y</t>
  </si>
  <si>
    <t>43Y</t>
  </si>
  <si>
    <t>42Y</t>
  </si>
  <si>
    <t>41Y</t>
  </si>
  <si>
    <t>40Y</t>
  </si>
  <si>
    <t>39Y</t>
  </si>
  <si>
    <t>38Y</t>
  </si>
  <si>
    <t>37Y</t>
  </si>
  <si>
    <t>36Y</t>
  </si>
  <si>
    <t>35Y</t>
  </si>
  <si>
    <t>34Y</t>
  </si>
  <si>
    <t>33Y</t>
  </si>
  <si>
    <t>32Y</t>
  </si>
  <si>
    <t>31Y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</si>
  <si>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</si>
  <si>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</si>
  <si>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</si>
  <si>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</si>
  <si>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</si>
  <si>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</si>
  <si>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</si>
  <si>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</si>
  <si>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</si>
  <si>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</si>
  <si>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</si>
  <si>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</si>
  <si>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</si>
  <si>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</si>
  <si>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</si>
  <si>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</si>
  <si>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</si>
  <si>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</si>
  <si>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</si>
  <si>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</si>
  <si>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</si>
  <si>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</si>
  <si>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</si>
  <si>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</si>
  <si>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</si>
  <si>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</si>
  <si>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</si>
  <si>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</si>
  <si>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</si>
  <si>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Disc Curve</t>
  </si>
  <si>
    <t>Fwd Curve</t>
  </si>
  <si>
    <t>IsdaFixA</t>
  </si>
  <si>
    <t>FixingType</t>
  </si>
  <si>
    <t>iborSwap</t>
  </si>
  <si>
    <t>IsdaFixB</t>
  </si>
  <si>
    <t>IfrFix</t>
  </si>
  <si>
    <t>EUR</t>
  </si>
  <si>
    <t>Euribor</t>
  </si>
  <si>
    <t>ON</t>
  </si>
  <si>
    <t>Libor</t>
  </si>
  <si>
    <t>LiborSwap</t>
  </si>
  <si>
    <t>EurLibor</t>
  </si>
  <si>
    <t>1L</t>
  </si>
  <si>
    <t>3L</t>
  </si>
  <si>
    <t>USD</t>
  </si>
  <si>
    <t>6L</t>
  </si>
  <si>
    <t>JPY</t>
  </si>
  <si>
    <t>GBP</t>
  </si>
  <si>
    <t>6E</t>
  </si>
  <si>
    <t>1E</t>
  </si>
  <si>
    <t>CHF</t>
  </si>
  <si>
    <t>21M</t>
  </si>
  <si>
    <t>18M</t>
  </si>
  <si>
    <t>15M</t>
  </si>
  <si>
    <t>Length</t>
  </si>
  <si>
    <t>3E</t>
  </si>
  <si>
    <t>12L</t>
  </si>
  <si>
    <t>12E</t>
  </si>
  <si>
    <t>PriceTickValue</t>
  </si>
  <si>
    <t>RateTickValue</t>
  </si>
  <si>
    <t>_Quote</t>
  </si>
  <si>
    <t>QuoteSuffix</t>
  </si>
  <si>
    <t>ADDITIONAL SETTINGS</t>
  </si>
  <si>
    <t>GENERAL SETTINGS</t>
  </si>
  <si>
    <t>EUR_010_BasisSwapQuotes</t>
  </si>
  <si>
    <t>1YD</t>
  </si>
  <si>
    <t>11MD</t>
  </si>
  <si>
    <t>10MD</t>
  </si>
  <si>
    <t>9MD</t>
  </si>
  <si>
    <t>8MD</t>
  </si>
  <si>
    <t>7MD</t>
  </si>
  <si>
    <t>6MD</t>
  </si>
  <si>
    <t>5MD</t>
  </si>
  <si>
    <t>4MD</t>
  </si>
  <si>
    <t>3MD</t>
  </si>
  <si>
    <t>2MD</t>
  </si>
  <si>
    <t>1MD</t>
  </si>
  <si>
    <t>3WD</t>
  </si>
  <si>
    <t>2WD</t>
  </si>
  <si>
    <t>SWD</t>
  </si>
  <si>
    <t>SND</t>
  </si>
  <si>
    <t>TND</t>
  </si>
  <si>
    <t>OND</t>
  </si>
  <si>
    <t>x24F</t>
  </si>
  <si>
    <t>F1</t>
  </si>
  <si>
    <t>TOM12</t>
  </si>
  <si>
    <t>T12</t>
  </si>
  <si>
    <t>TOM6</t>
  </si>
  <si>
    <t>T6</t>
  </si>
  <si>
    <t>x9F</t>
  </si>
  <si>
    <t>x8F</t>
  </si>
  <si>
    <t>x7F</t>
  </si>
  <si>
    <t>x6F</t>
  </si>
  <si>
    <t>x5F</t>
  </si>
  <si>
    <t>x4F</t>
  </si>
  <si>
    <t>TOM3</t>
  </si>
  <si>
    <t>T3</t>
  </si>
  <si>
    <t>TOM1</t>
  </si>
  <si>
    <t>T1</t>
  </si>
  <si>
    <t>Future Code</t>
  </si>
  <si>
    <t>Main Cycle</t>
  </si>
  <si>
    <t>#</t>
  </si>
  <si>
    <t>FUT</t>
  </si>
  <si>
    <t>IMMFRA</t>
  </si>
  <si>
    <t>EUR_010_DepoFRAFuturesQuotes</t>
  </si>
  <si>
    <t>OIS</t>
  </si>
  <si>
    <t>ECB</t>
  </si>
  <si>
    <t>EON</t>
  </si>
  <si>
    <t>X1S</t>
  </si>
  <si>
    <t>1S</t>
  </si>
  <si>
    <t>2S</t>
  </si>
  <si>
    <t>4S</t>
  </si>
  <si>
    <t>3S</t>
  </si>
  <si>
    <t>AM</t>
  </si>
  <si>
    <t>SB</t>
  </si>
  <si>
    <t>AB</t>
  </si>
  <si>
    <t>Conventions</t>
  </si>
  <si>
    <t>Set</t>
  </si>
  <si>
    <t>Main</t>
  </si>
  <si>
    <t>Secondary</t>
  </si>
  <si>
    <t>EUR_010_SwapQuotes</t>
  </si>
  <si>
    <t>TOY2</t>
  </si>
  <si>
    <t>TOY</t>
  </si>
  <si>
    <t>Additional Settings</t>
  </si>
  <si>
    <t>EUR_015_SyntheticQuotes</t>
  </si>
  <si>
    <t>1w</t>
  </si>
  <si>
    <t>Swap index</t>
  </si>
  <si>
    <t>Spread</t>
  </si>
  <si>
    <t>Fwd start</t>
  </si>
  <si>
    <t>EUR_020_ForwardSwapQuotes</t>
  </si>
  <si>
    <t>Quote</t>
  </si>
  <si>
    <t>IborIndex</t>
  </si>
  <si>
    <t>Meanreversion</t>
  </si>
  <si>
    <t>Volatility</t>
  </si>
  <si>
    <t>EUR_020_FuturesConvAdjQuotes</t>
  </si>
  <si>
    <t>-</t>
  </si>
  <si>
    <t>Operator</t>
  </si>
  <si>
    <t>Base Quote</t>
  </si>
  <si>
    <t>+</t>
  </si>
  <si>
    <t>EUR_020_SwapFromBasisQuotes</t>
  </si>
  <si>
    <t>SaYieldCurveTweak</t>
  </si>
  <si>
    <t>ASK</t>
  </si>
  <si>
    <t>COSZ</t>
  </si>
  <si>
    <t>D</t>
  </si>
  <si>
    <t>COSMOREX</t>
  </si>
  <si>
    <t>PREL</t>
  </si>
  <si>
    <t>Prebon</t>
  </si>
  <si>
    <t>TRIT</t>
  </si>
  <si>
    <t>Tradition</t>
  </si>
  <si>
    <t>TTKL</t>
  </si>
  <si>
    <t>Tullets</t>
  </si>
  <si>
    <t>ICAP</t>
  </si>
  <si>
    <t>CKCC</t>
  </si>
  <si>
    <t>KLIEM</t>
  </si>
  <si>
    <t>Reuters</t>
  </si>
  <si>
    <t>SN</t>
  </si>
  <si>
    <t>LAST</t>
  </si>
  <si>
    <t>FSR</t>
  </si>
  <si>
    <t>TN</t>
  </si>
  <si>
    <t>IBOR</t>
  </si>
  <si>
    <t>Field</t>
  </si>
  <si>
    <t>Code</t>
  </si>
  <si>
    <t>RIC element2</t>
  </si>
  <si>
    <t>RIC element1</t>
  </si>
  <si>
    <t>Contributors</t>
  </si>
  <si>
    <t>Change</t>
  </si>
  <si>
    <t>Effective</t>
  </si>
  <si>
    <t>Object ID</t>
  </si>
  <si>
    <t>Static</t>
  </si>
  <si>
    <t>D_Quote</t>
  </si>
  <si>
    <t>Quote suffix</t>
  </si>
  <si>
    <t>ASK-BID</t>
  </si>
  <si>
    <t>Mid Safe</t>
  </si>
  <si>
    <t>HST_CLOSE</t>
  </si>
  <si>
    <t>BID</t>
  </si>
  <si>
    <t>The record could not be found</t>
  </si>
  <si>
    <t>EM</t>
  </si>
  <si>
    <t>CODES</t>
  </si>
  <si>
    <t>LIFFE</t>
  </si>
  <si>
    <t>EXPIRE DATE</t>
  </si>
  <si>
    <t>Effective Date</t>
  </si>
  <si>
    <t>FUT1M</t>
  </si>
  <si>
    <t>ED</t>
  </si>
  <si>
    <t>FSS</t>
  </si>
  <si>
    <t>FEI</t>
  </si>
  <si>
    <t>FES</t>
  </si>
  <si>
    <t>FUT3M</t>
  </si>
  <si>
    <t xml:space="preserve">           </t>
  </si>
  <si>
    <t>IMMFRA6M</t>
  </si>
  <si>
    <t>US</t>
  </si>
  <si>
    <t>JP</t>
  </si>
  <si>
    <t>GB</t>
  </si>
  <si>
    <t>EU</t>
  </si>
  <si>
    <t>mean reversion</t>
  </si>
  <si>
    <t>CH</t>
  </si>
  <si>
    <t>sigma</t>
  </si>
  <si>
    <t>HW parameters</t>
  </si>
  <si>
    <t>3H</t>
  </si>
  <si>
    <t>QM</t>
  </si>
  <si>
    <t>HKD</t>
  </si>
  <si>
    <t>Mid</t>
  </si>
  <si>
    <t>Mid Equivalent</t>
  </si>
  <si>
    <t>Error</t>
  </si>
  <si>
    <t xml:space="preserve">JAN14 </t>
  </si>
  <si>
    <t/>
  </si>
  <si>
    <t>M6</t>
  </si>
  <si>
    <t xml:space="preserve">DEC13 </t>
  </si>
  <si>
    <t>M5</t>
  </si>
  <si>
    <t xml:space="preserve">NOV13 </t>
  </si>
  <si>
    <t>M4</t>
  </si>
  <si>
    <t xml:space="preserve">OCT13 </t>
  </si>
  <si>
    <t>M3</t>
  </si>
  <si>
    <t xml:space="preserve">SEP13 </t>
  </si>
  <si>
    <t>M2</t>
  </si>
  <si>
    <t xml:space="preserve">AUG13 </t>
  </si>
  <si>
    <t>M1</t>
  </si>
  <si>
    <t>GV4_TEXT</t>
  </si>
  <si>
    <t>Live Data Feed</t>
  </si>
  <si>
    <t>Last update</t>
  </si>
  <si>
    <t>Contributor Code</t>
  </si>
  <si>
    <t>MonotonicCubicNaturalSpline</t>
  </si>
  <si>
    <t>InterpolationType</t>
  </si>
  <si>
    <t>TriggerCounter</t>
  </si>
  <si>
    <t>FRQ:1S</t>
  </si>
  <si>
    <t>ReutersRtMode</t>
  </si>
  <si>
    <t>GENERAL_SETTINGS</t>
  </si>
  <si>
    <t>EUR_InterestRateQuotesFeed</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</si>
</sst>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164" formatCode="[$-409]d\-mmm\-yy;@"/>
    <numFmt numFmtId="165" formatCode="ddd\,\ d\-mmm\-yyyy\,\ hh:mm:ss"/>
    <numFmt numFmtId="166" formatCode="#,##0.0;#,##0.0"/>
    <numFmt numFmtId="167" formatCode="General_)"/>
    <numFmt numFmtId="168" formatCode="&quot;£&quot;#,##0;[Red]\-&quot;£&quot;#,##0"/>
    <numFmt numFmtId="169" formatCode="0.0000"/>
    <numFmt numFmtId="170" formatCode="0.0000%"/>
    <numFmt numFmtId="171" formatCode="mm/dd/yy;@"/>
    <numFmt numFmtId="172" formatCode="ddd\,\ dd\-mmm\-yyyy"/>
    <numFmt numFmtId="173" formatCode="ddd\,\ d\-mmm\-yyyy"/>
    <numFmt numFmtId="174" formatCode="0.000000"/>
    <numFmt numFmtId="175" formatCode="0.000"/>
    <numFmt numFmtId="176" formatCode="ddd\,\ dd\-mmm\-yyyy\,\ h:mm:ss"/>
    <numFmt numFmtId="177" formatCode="ddd\,\ dd\-mmm\-yyyy\ h:mm:ss"/>
  </numFmts>
  <fonts count="30" x14ac:knownFonts="1">
    <font>
      <sz val="11"/>
      <color theme="1"/>
      <name val="Calibri"/>
      <family val="2"/>
      <scheme val="minor"/>
    </font>
    <font>
      <sz val="10"/>
      <name val="Arial"/>
    </font>
    <font>
      <sz val="8"/>
      <name val="Microsoft Sans Serif"/>
      <family val="2"/>
    </font>
    <font>
      <i/>
      <sz val="8"/>
      <name val="Microsoft Sans Serif"/>
      <family val="2"/>
    </font>
    <font>
      <sz val="10"/>
      <name val="MS Sans Serif"/>
      <family val="2"/>
    </font>
    <font>
      <sz val="8"/>
      <name val="Arial"/>
      <family val="2"/>
    </font>
    <font>
      <b/>
      <sz val="12"/>
      <color indexed="16"/>
      <name val="MS Sans Serif"/>
      <family val="2"/>
    </font>
    <font>
      <b/>
      <sz val="12"/>
      <name val="MS Sans Serif"/>
      <family val="2"/>
    </font>
    <font>
      <b/>
      <sz val="10"/>
      <name val="MS Sans Serif"/>
      <family val="2"/>
    </font>
    <font>
      <i/>
      <sz val="8"/>
      <name val="Arial"/>
      <family val="2"/>
    </font>
    <font>
      <b/>
      <sz val="8"/>
      <name val="Arial"/>
      <family val="2"/>
    </font>
    <font>
      <sz val="10"/>
      <name val="Arial"/>
      <family val="2"/>
    </font>
    <font>
      <sz val="8"/>
      <name val="Arial"/>
    </font>
    <font>
      <sz val="10"/>
      <name val="Helv"/>
    </font>
    <font>
      <sz val="12"/>
      <name val="Helv"/>
    </font>
    <font>
      <sz val="8"/>
      <color indexed="10"/>
      <name val="Microsoft Sans Serif"/>
      <family val="2"/>
    </font>
    <font>
      <sz val="8"/>
      <color indexed="9"/>
      <name val="Arial"/>
    </font>
    <font>
      <b/>
      <u/>
      <sz val="8"/>
      <name val="Arial"/>
      <family val="2"/>
    </font>
    <font>
      <sz val="10"/>
      <name val="Courier New"/>
      <family val="3"/>
    </font>
    <font>
      <sz val="8"/>
      <name val="Courier New"/>
      <family val="3"/>
    </font>
    <font>
      <i/>
      <sz val="8"/>
      <name val="Courier New"/>
      <family val="3"/>
    </font>
    <font>
      <b/>
      <sz val="8"/>
      <name val="Courier New"/>
      <family val="3"/>
    </font>
    <font>
      <sz val="8"/>
      <color indexed="10"/>
      <name val="Arial"/>
      <family val="2"/>
    </font>
    <font>
      <b/>
      <sz val="8"/>
      <color indexed="81"/>
      <name val="Tahoma"/>
      <family val="2"/>
    </font>
    <font>
      <sz val="8"/>
      <color indexed="81"/>
      <name val="Tahoma"/>
      <family val="2"/>
    </font>
    <font>
      <sz val="8"/>
      <color indexed="9"/>
      <name val="Arial"/>
      <family val="2"/>
    </font>
    <font>
      <sz val="8"/>
      <color indexed="12"/>
      <name val="Arial"/>
      <family val="2"/>
    </font>
    <font>
      <sz val="8"/>
      <name val="MS Sans Serif"/>
      <family val="2"/>
    </font>
    <font>
      <sz val="10"/>
      <color indexed="10"/>
      <name val="Arial"/>
      <family val="2"/>
    </font>
    <font>
      <sz val="8"/>
      <color indexed="10"/>
      <name val="MS Sans Serif"/>
      <family val="2"/>
    </font>
  </fonts>
  <fills count="10">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gray0625">
        <fgColor indexed="22"/>
        <bgColor indexed="26"/>
      </patternFill>
    </fill>
    <fill>
      <patternFill patternType="gray0625">
        <fgColor indexed="22"/>
        <bgColor indexed="9"/>
      </patternFill>
    </fill>
    <fill>
      <patternFill patternType="solid">
        <fgColor indexed="31"/>
        <bgColor indexed="64"/>
      </patternFill>
    </fill>
    <fill>
      <patternFill patternType="solid">
        <fgColor indexed="13"/>
        <bgColor indexed="64"/>
      </patternFill>
    </fill>
    <fill>
      <patternFill patternType="solid">
        <fgColor indexed="41"/>
        <bgColor indexed="64"/>
      </patternFill>
    </fill>
    <fill>
      <patternFill patternType="solid">
        <fgColor indexed="23"/>
        <bgColor indexed="64"/>
      </patternFill>
    </fill>
  </fills>
  <borders count="33">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s>
  <cellStyleXfs count="11">
    <xf numFmtId="0" fontId="0" fillId="0" borderId="0"/>
    <xf numFmtId="0" fontId="1" fillId="0" borderId="0"/>
    <xf numFmtId="0" fontId="5" fillId="0" borderId="0"/>
    <xf numFmtId="166" fontId="6" fillId="5" borderId="0">
      <alignment horizontal="center" vertical="center"/>
    </xf>
    <xf numFmtId="9" fontId="1" fillId="0" borderId="0" applyFont="0" applyFill="0" applyBorder="0" applyAlignment="0" applyProtection="0"/>
    <xf numFmtId="38" fontId="13" fillId="0" borderId="0" applyFont="0" applyFill="0" applyBorder="0" applyAlignment="0" applyProtection="0"/>
    <xf numFmtId="40" fontId="13" fillId="0" borderId="0" applyFont="0" applyFill="0" applyBorder="0" applyAlignment="0" applyProtection="0"/>
    <xf numFmtId="167" fontId="14" fillId="0" borderId="0"/>
    <xf numFmtId="168" fontId="13" fillId="0" borderId="0" applyFont="0" applyFill="0" applyBorder="0" applyAlignment="0" applyProtection="0"/>
    <xf numFmtId="168" fontId="13" fillId="0" borderId="0" applyFont="0" applyFill="0" applyBorder="0" applyAlignment="0" applyProtection="0"/>
    <xf numFmtId="0" fontId="12" fillId="0" borderId="0"/>
  </cellStyleXfs>
  <cellXfs count="463">
    <xf numFmtId="0" fontId="0" fillId="0" borderId="0" xfId="0"/>
    <xf numFmtId="0" fontId="1" fillId="2" borderId="0" xfId="1" applyFill="1"/>
    <xf numFmtId="0" fontId="2" fillId="3" borderId="1" xfId="1" applyFont="1" applyFill="1" applyBorder="1"/>
    <xf numFmtId="0" fontId="2" fillId="3" borderId="2" xfId="1" applyFont="1" applyFill="1" applyBorder="1"/>
    <xf numFmtId="0" fontId="2" fillId="3" borderId="3" xfId="1" applyFont="1" applyFill="1" applyBorder="1"/>
    <xf numFmtId="0" fontId="2" fillId="3" borderId="4" xfId="1" applyFont="1" applyFill="1" applyBorder="1"/>
    <xf numFmtId="164" fontId="2" fillId="4" borderId="5" xfId="1" applyNumberFormat="1" applyFont="1" applyFill="1" applyBorder="1" applyAlignment="1" applyProtection="1">
      <alignment horizontal="left"/>
    </xf>
    <xf numFmtId="0" fontId="2" fillId="4" borderId="6" xfId="1" applyNumberFormat="1" applyFont="1" applyFill="1" applyBorder="1" applyAlignment="1" applyProtection="1"/>
    <xf numFmtId="0" fontId="2" fillId="2" borderId="5" xfId="1" applyNumberFormat="1" applyFont="1" applyFill="1" applyBorder="1" applyAlignment="1"/>
    <xf numFmtId="0" fontId="2" fillId="3" borderId="7" xfId="1" applyFont="1" applyFill="1" applyBorder="1"/>
    <xf numFmtId="0" fontId="2" fillId="4" borderId="5" xfId="1" applyNumberFormat="1" applyFont="1" applyFill="1" applyBorder="1" applyAlignment="1" applyProtection="1">
      <alignment horizontal="center"/>
    </xf>
    <xf numFmtId="0" fontId="3" fillId="3" borderId="5" xfId="1" applyNumberFormat="1" applyFont="1" applyFill="1" applyBorder="1" applyAlignment="1"/>
    <xf numFmtId="0" fontId="2" fillId="3" borderId="0" xfId="1" applyFont="1" applyFill="1" applyBorder="1" applyAlignment="1"/>
    <xf numFmtId="0" fontId="2" fillId="3" borderId="0" xfId="1" applyFont="1" applyFill="1" applyBorder="1"/>
    <xf numFmtId="15" fontId="2" fillId="3" borderId="4" xfId="1" applyNumberFormat="1" applyFont="1" applyFill="1" applyBorder="1"/>
    <xf numFmtId="165" fontId="2" fillId="4" borderId="6" xfId="1" applyNumberFormat="1" applyFont="1" applyFill="1" applyBorder="1" applyAlignment="1" applyProtection="1">
      <alignment horizontal="center"/>
    </xf>
    <xf numFmtId="0" fontId="2" fillId="2" borderId="5" xfId="1" applyNumberFormat="1" applyFont="1" applyFill="1" applyBorder="1"/>
    <xf numFmtId="0" fontId="2" fillId="3" borderId="8" xfId="1" applyFont="1" applyFill="1" applyBorder="1"/>
    <xf numFmtId="0" fontId="2" fillId="3" borderId="9" xfId="1" applyFont="1" applyFill="1" applyBorder="1"/>
    <xf numFmtId="0" fontId="2" fillId="3" borderId="10" xfId="1" applyFont="1" applyFill="1" applyBorder="1"/>
    <xf numFmtId="0" fontId="1" fillId="0" borderId="0" xfId="1"/>
    <xf numFmtId="0" fontId="5" fillId="0" borderId="0" xfId="1" applyFont="1"/>
    <xf numFmtId="0" fontId="5" fillId="2" borderId="0" xfId="1" applyFont="1" applyFill="1"/>
    <xf numFmtId="0" fontId="2" fillId="2" borderId="0" xfId="1" applyFont="1" applyFill="1"/>
    <xf numFmtId="165" fontId="2" fillId="4" borderId="6" xfId="1" quotePrefix="1" applyNumberFormat="1" applyFont="1" applyFill="1" applyBorder="1" applyAlignment="1" applyProtection="1">
      <alignment horizontal="center"/>
    </xf>
    <xf numFmtId="165" fontId="2" fillId="4" borderId="6" xfId="1" quotePrefix="1" applyNumberFormat="1" applyFont="1" applyFill="1" applyBorder="1" applyAlignment="1" applyProtection="1">
      <alignment horizontal="left"/>
    </xf>
    <xf numFmtId="0" fontId="5" fillId="2" borderId="0" xfId="2" applyFill="1"/>
    <xf numFmtId="0" fontId="2" fillId="4" borderId="14" xfId="1" applyNumberFormat="1" applyFont="1" applyFill="1" applyBorder="1" applyAlignment="1" applyProtection="1"/>
    <xf numFmtId="0" fontId="5" fillId="2" borderId="15" xfId="2" applyFill="1" applyBorder="1" applyAlignment="1"/>
    <xf numFmtId="0" fontId="2" fillId="2" borderId="5" xfId="1" applyFont="1" applyFill="1" applyBorder="1" applyAlignment="1"/>
    <xf numFmtId="0" fontId="2" fillId="2" borderId="16" xfId="1" applyFont="1" applyFill="1" applyBorder="1" applyAlignment="1"/>
    <xf numFmtId="0" fontId="4" fillId="3" borderId="7" xfId="2" applyFont="1" applyFill="1" applyBorder="1"/>
    <xf numFmtId="0" fontId="5" fillId="3" borderId="4" xfId="2" applyFill="1" applyBorder="1"/>
    <xf numFmtId="0" fontId="5" fillId="7" borderId="15" xfId="2" applyFont="1" applyFill="1" applyBorder="1" applyAlignment="1"/>
    <xf numFmtId="0" fontId="2" fillId="4" borderId="17" xfId="1" applyNumberFormat="1" applyFont="1" applyFill="1" applyBorder="1" applyAlignment="1" applyProtection="1"/>
    <xf numFmtId="0" fontId="2" fillId="4" borderId="5" xfId="1" applyNumberFormat="1" applyFont="1" applyFill="1" applyBorder="1" applyAlignment="1" applyProtection="1"/>
    <xf numFmtId="0" fontId="3" fillId="3" borderId="18" xfId="1" applyFont="1" applyFill="1" applyBorder="1" applyAlignment="1">
      <alignment horizontal="center"/>
    </xf>
    <xf numFmtId="0" fontId="3" fillId="3" borderId="5" xfId="1" applyFont="1" applyFill="1" applyBorder="1" applyAlignment="1">
      <alignment horizontal="center"/>
    </xf>
    <xf numFmtId="0" fontId="3" fillId="3" borderId="16" xfId="1" applyFont="1" applyFill="1" applyBorder="1" applyAlignment="1">
      <alignment horizontal="center"/>
    </xf>
    <xf numFmtId="0" fontId="5" fillId="3" borderId="0" xfId="2" applyFill="1" applyBorder="1"/>
    <xf numFmtId="0" fontId="4" fillId="3" borderId="0" xfId="2" applyFont="1" applyFill="1" applyBorder="1"/>
    <xf numFmtId="0" fontId="2" fillId="4" borderId="6" xfId="1" applyNumberFormat="1" applyFont="1" applyFill="1" applyBorder="1" applyAlignment="1" applyProtection="1">
      <alignment horizontal="center"/>
    </xf>
    <xf numFmtId="0" fontId="5" fillId="3" borderId="8" xfId="2" applyFill="1" applyBorder="1"/>
    <xf numFmtId="0" fontId="5" fillId="3" borderId="9" xfId="2" applyFill="1" applyBorder="1"/>
    <xf numFmtId="0" fontId="8" fillId="3" borderId="9" xfId="2" applyFont="1" applyFill="1" applyBorder="1"/>
    <xf numFmtId="0" fontId="4" fillId="3" borderId="9" xfId="2" applyFont="1" applyFill="1" applyBorder="1"/>
    <xf numFmtId="0" fontId="4" fillId="3" borderId="10" xfId="2" applyFont="1" applyFill="1" applyBorder="1"/>
    <xf numFmtId="0" fontId="5" fillId="2" borderId="15" xfId="2" applyFill="1" applyBorder="1"/>
    <xf numFmtId="0" fontId="2" fillId="2" borderId="5" xfId="1" applyFont="1" applyFill="1" applyBorder="1" applyAlignment="1">
      <alignment horizontal="center"/>
    </xf>
    <xf numFmtId="0" fontId="2" fillId="2" borderId="16" xfId="1" applyFont="1" applyFill="1" applyBorder="1" applyAlignment="1">
      <alignment horizontal="center"/>
    </xf>
    <xf numFmtId="0" fontId="5" fillId="2" borderId="0" xfId="2" applyFont="1" applyFill="1"/>
    <xf numFmtId="0" fontId="5" fillId="3" borderId="1" xfId="1" applyFont="1" applyFill="1" applyBorder="1"/>
    <xf numFmtId="0" fontId="5" fillId="3" borderId="2" xfId="1" applyFont="1" applyFill="1" applyBorder="1"/>
    <xf numFmtId="0" fontId="5" fillId="3" borderId="3" xfId="1" applyFont="1" applyFill="1" applyBorder="1"/>
    <xf numFmtId="0" fontId="5" fillId="3" borderId="4" xfId="1" applyFont="1" applyFill="1" applyBorder="1"/>
    <xf numFmtId="0" fontId="5" fillId="4" borderId="5" xfId="1" applyNumberFormat="1" applyFont="1" applyFill="1" applyBorder="1" applyAlignment="1" applyProtection="1"/>
    <xf numFmtId="0" fontId="5" fillId="4" borderId="6" xfId="1" applyNumberFormat="1" applyFont="1" applyFill="1" applyBorder="1" applyAlignment="1" applyProtection="1"/>
    <xf numFmtId="0" fontId="5" fillId="2" borderId="5" xfId="2" applyFont="1" applyFill="1" applyBorder="1"/>
    <xf numFmtId="0" fontId="5" fillId="2" borderId="6" xfId="1" applyFont="1" applyFill="1" applyBorder="1" applyAlignment="1">
      <alignment horizontal="center"/>
    </xf>
    <xf numFmtId="0" fontId="5" fillId="2" borderId="19" xfId="1" applyFont="1" applyFill="1" applyBorder="1" applyAlignment="1">
      <alignment horizontal="center"/>
    </xf>
    <xf numFmtId="0" fontId="5" fillId="3" borderId="7" xfId="2" applyFont="1" applyFill="1" applyBorder="1"/>
    <xf numFmtId="0" fontId="5" fillId="7" borderId="6" xfId="1" applyFont="1" applyFill="1" applyBorder="1" applyAlignment="1">
      <alignment horizontal="center"/>
    </xf>
    <xf numFmtId="0" fontId="5" fillId="3" borderId="4" xfId="2" applyFont="1" applyFill="1" applyBorder="1"/>
    <xf numFmtId="0" fontId="5" fillId="4" borderId="6" xfId="1" applyNumberFormat="1" applyFont="1" applyFill="1" applyBorder="1" applyAlignment="1" applyProtection="1">
      <alignment horizontal="center"/>
    </xf>
    <xf numFmtId="0" fontId="9" fillId="3" borderId="6" xfId="1" applyFont="1" applyFill="1" applyBorder="1" applyAlignment="1">
      <alignment horizontal="center"/>
    </xf>
    <xf numFmtId="0" fontId="5" fillId="3" borderId="5" xfId="2" applyFont="1" applyFill="1" applyBorder="1"/>
    <xf numFmtId="0" fontId="5" fillId="3" borderId="0" xfId="2" applyFont="1" applyFill="1" applyBorder="1"/>
    <xf numFmtId="0" fontId="5" fillId="2" borderId="5" xfId="1" applyNumberFormat="1" applyFont="1" applyFill="1" applyBorder="1"/>
    <xf numFmtId="0" fontId="5" fillId="3" borderId="8" xfId="2" applyFont="1" applyFill="1" applyBorder="1"/>
    <xf numFmtId="0" fontId="5" fillId="3" borderId="9" xfId="2" applyFont="1" applyFill="1" applyBorder="1"/>
    <xf numFmtId="0" fontId="10" fillId="3" borderId="9" xfId="2" applyFont="1" applyFill="1" applyBorder="1"/>
    <xf numFmtId="0" fontId="5" fillId="3" borderId="10" xfId="2" applyFont="1" applyFill="1" applyBorder="1"/>
    <xf numFmtId="0" fontId="9" fillId="3" borderId="5" xfId="1" applyFont="1" applyFill="1" applyBorder="1" applyAlignment="1">
      <alignment horizontal="center"/>
    </xf>
    <xf numFmtId="0" fontId="11" fillId="2" borderId="0" xfId="2" applyFont="1" applyFill="1"/>
    <xf numFmtId="0" fontId="12" fillId="0" borderId="0" xfId="1" applyFont="1"/>
    <xf numFmtId="0" fontId="12" fillId="0" borderId="0" xfId="1" applyFont="1" applyAlignment="1">
      <alignment horizontal="left"/>
    </xf>
    <xf numFmtId="0" fontId="5" fillId="3" borderId="15" xfId="1" applyFont="1" applyFill="1" applyBorder="1"/>
    <xf numFmtId="0" fontId="5" fillId="3" borderId="20" xfId="1" applyFont="1" applyFill="1" applyBorder="1" applyAlignment="1">
      <alignment horizontal="left"/>
    </xf>
    <xf numFmtId="0" fontId="5" fillId="3" borderId="20" xfId="1" applyFont="1" applyFill="1" applyBorder="1"/>
    <xf numFmtId="0" fontId="5" fillId="3" borderId="21" xfId="1" applyFont="1" applyFill="1" applyBorder="1"/>
    <xf numFmtId="0" fontId="5" fillId="3" borderId="22" xfId="1" applyFont="1" applyFill="1" applyBorder="1"/>
    <xf numFmtId="0" fontId="2" fillId="4" borderId="5" xfId="1" applyNumberFormat="1" applyFont="1" applyFill="1" applyBorder="1" applyAlignment="1" applyProtection="1">
      <alignment vertical="center"/>
    </xf>
    <xf numFmtId="0" fontId="5" fillId="3" borderId="14" xfId="1" applyNumberFormat="1" applyFont="1" applyFill="1" applyBorder="1" applyAlignment="1">
      <alignment horizontal="left"/>
    </xf>
    <xf numFmtId="0" fontId="5" fillId="3" borderId="14" xfId="1" applyNumberFormat="1" applyFont="1" applyFill="1" applyBorder="1" applyAlignment="1">
      <alignment horizontal="center"/>
    </xf>
    <xf numFmtId="0" fontId="5" fillId="3" borderId="15" xfId="1" applyNumberFormat="1" applyFont="1" applyFill="1" applyBorder="1" applyAlignment="1">
      <alignment horizontal="center"/>
    </xf>
    <xf numFmtId="49" fontId="5" fillId="0" borderId="5" xfId="4" applyNumberFormat="1" applyFont="1" applyFill="1" applyBorder="1" applyAlignment="1">
      <alignment horizontal="center"/>
    </xf>
    <xf numFmtId="0" fontId="5" fillId="3" borderId="23" xfId="1" applyFont="1" applyFill="1" applyBorder="1" applyAlignment="1">
      <alignment horizontal="center"/>
    </xf>
    <xf numFmtId="0" fontId="5" fillId="0" borderId="1" xfId="1" applyFont="1" applyBorder="1" applyAlignment="1">
      <alignment horizontal="center"/>
    </xf>
    <xf numFmtId="0" fontId="5" fillId="0" borderId="2" xfId="1" applyFont="1" applyBorder="1" applyAlignment="1">
      <alignment horizontal="center"/>
    </xf>
    <xf numFmtId="0" fontId="5" fillId="0" borderId="3" xfId="1" applyFont="1" applyBorder="1" applyAlignment="1">
      <alignment horizontal="center"/>
    </xf>
    <xf numFmtId="0" fontId="5" fillId="0" borderId="4" xfId="1" applyFont="1" applyBorder="1" applyAlignment="1">
      <alignment horizontal="center"/>
    </xf>
    <xf numFmtId="0" fontId="5" fillId="0" borderId="0" xfId="1" applyFont="1" applyBorder="1" applyAlignment="1">
      <alignment horizontal="center"/>
    </xf>
    <xf numFmtId="0" fontId="5" fillId="0" borderId="7" xfId="1" applyFont="1" applyBorder="1" applyAlignment="1">
      <alignment horizontal="center"/>
    </xf>
    <xf numFmtId="0" fontId="5" fillId="0" borderId="8" xfId="1" applyFont="1" applyBorder="1" applyAlignment="1">
      <alignment horizontal="center"/>
    </xf>
    <xf numFmtId="0" fontId="5" fillId="0" borderId="9" xfId="1" applyFont="1" applyBorder="1" applyAlignment="1">
      <alignment horizontal="center"/>
    </xf>
    <xf numFmtId="0" fontId="5" fillId="0" borderId="10" xfId="1" applyFont="1" applyBorder="1" applyAlignment="1">
      <alignment horizontal="center"/>
    </xf>
    <xf numFmtId="49" fontId="5" fillId="0" borderId="14" xfId="4" applyNumberFormat="1" applyFont="1" applyFill="1" applyBorder="1" applyAlignment="1">
      <alignment horizontal="center"/>
    </xf>
    <xf numFmtId="0" fontId="2" fillId="4" borderId="6" xfId="1" applyNumberFormat="1" applyFont="1" applyFill="1" applyBorder="1" applyAlignment="1" applyProtection="1">
      <alignment horizontal="center" vertical="center"/>
    </xf>
    <xf numFmtId="0" fontId="3" fillId="3" borderId="5" xfId="1" applyFont="1" applyFill="1" applyBorder="1" applyAlignment="1">
      <alignment vertical="center"/>
    </xf>
    <xf numFmtId="0" fontId="10" fillId="3" borderId="5" xfId="1" applyFont="1" applyFill="1" applyBorder="1" applyAlignment="1">
      <alignment horizontal="center" vertical="center" wrapText="1"/>
    </xf>
    <xf numFmtId="0" fontId="10" fillId="3" borderId="6" xfId="1" applyFont="1" applyFill="1" applyBorder="1" applyAlignment="1">
      <alignment horizontal="center" vertical="center" wrapText="1"/>
    </xf>
    <xf numFmtId="0" fontId="5" fillId="3" borderId="17" xfId="1" applyFont="1" applyFill="1" applyBorder="1"/>
    <xf numFmtId="0" fontId="12" fillId="0" borderId="24" xfId="1" applyFont="1" applyBorder="1"/>
    <xf numFmtId="0" fontId="12" fillId="0" borderId="24" xfId="1" applyFont="1" applyBorder="1" applyAlignment="1">
      <alignment horizontal="left"/>
    </xf>
    <xf numFmtId="0" fontId="5" fillId="3" borderId="24" xfId="1" applyFont="1" applyFill="1" applyBorder="1"/>
    <xf numFmtId="0" fontId="1" fillId="0" borderId="24" xfId="1" applyBorder="1"/>
    <xf numFmtId="0" fontId="1" fillId="0" borderId="24" xfId="1" applyBorder="1" applyAlignment="1">
      <alignment horizontal="left"/>
    </xf>
    <xf numFmtId="0" fontId="12" fillId="2" borderId="0" xfId="10" applyFill="1"/>
    <xf numFmtId="169" fontId="2" fillId="4" borderId="6" xfId="1" quotePrefix="1" applyNumberFormat="1" applyFont="1" applyFill="1" applyBorder="1" applyAlignment="1" applyProtection="1">
      <alignment horizontal="center"/>
    </xf>
    <xf numFmtId="170" fontId="2" fillId="4" borderId="6" xfId="1" quotePrefix="1" applyNumberFormat="1" applyFont="1" applyFill="1" applyBorder="1" applyAlignment="1" applyProtection="1">
      <alignment horizontal="center"/>
    </xf>
    <xf numFmtId="0" fontId="1" fillId="2" borderId="0" xfId="10" applyFont="1" applyFill="1"/>
    <xf numFmtId="0" fontId="5" fillId="3" borderId="25" xfId="1" applyFont="1" applyFill="1" applyBorder="1" applyAlignment="1">
      <alignment horizontal="left"/>
    </xf>
    <xf numFmtId="0" fontId="5" fillId="3" borderId="22" xfId="1" applyFont="1" applyFill="1" applyBorder="1" applyAlignment="1">
      <alignment horizontal="center"/>
    </xf>
    <xf numFmtId="164" fontId="15" fillId="4" borderId="5" xfId="1" applyNumberFormat="1" applyFont="1" applyFill="1" applyBorder="1" applyAlignment="1" applyProtection="1">
      <alignment horizontal="left"/>
    </xf>
    <xf numFmtId="0" fontId="5" fillId="3" borderId="5" xfId="1" applyNumberFormat="1" applyFont="1" applyFill="1" applyBorder="1" applyAlignment="1">
      <alignment horizontal="center"/>
    </xf>
    <xf numFmtId="0" fontId="10" fillId="3" borderId="5" xfId="1" applyFont="1" applyFill="1" applyBorder="1" applyAlignment="1">
      <alignment horizontal="center"/>
    </xf>
    <xf numFmtId="0" fontId="15" fillId="4" borderId="5" xfId="1" applyNumberFormat="1" applyFont="1" applyFill="1" applyBorder="1" applyAlignment="1" applyProtection="1">
      <alignment vertical="center"/>
    </xf>
    <xf numFmtId="0" fontId="2" fillId="4" borderId="5" xfId="1" applyNumberFormat="1" applyFont="1" applyFill="1" applyBorder="1" applyAlignment="1" applyProtection="1">
      <alignment horizontal="center" vertical="center"/>
    </xf>
    <xf numFmtId="0" fontId="5" fillId="3" borderId="5" xfId="1" applyFont="1" applyFill="1" applyBorder="1" applyAlignment="1">
      <alignment vertical="center"/>
    </xf>
    <xf numFmtId="0" fontId="12" fillId="3" borderId="17" xfId="1" applyFont="1" applyFill="1" applyBorder="1"/>
    <xf numFmtId="0" fontId="12" fillId="3" borderId="24" xfId="1" applyFont="1" applyFill="1" applyBorder="1"/>
    <xf numFmtId="0" fontId="12" fillId="3" borderId="25" xfId="1" applyFont="1" applyFill="1" applyBorder="1"/>
    <xf numFmtId="0" fontId="1" fillId="0" borderId="0" xfId="1" applyAlignment="1">
      <alignment horizontal="left"/>
    </xf>
    <xf numFmtId="0" fontId="11" fillId="0" borderId="0" xfId="1" applyFont="1"/>
    <xf numFmtId="0" fontId="5" fillId="3" borderId="2" xfId="1" applyFont="1" applyFill="1" applyBorder="1" applyAlignment="1">
      <alignment horizontal="left"/>
    </xf>
    <xf numFmtId="0" fontId="15" fillId="4" borderId="14" xfId="1" applyNumberFormat="1" applyFont="1" applyFill="1" applyBorder="1" applyAlignment="1" applyProtection="1"/>
    <xf numFmtId="0" fontId="5" fillId="3" borderId="14" xfId="1" applyNumberFormat="1" applyFont="1" applyFill="1" applyBorder="1" applyAlignment="1"/>
    <xf numFmtId="0" fontId="5" fillId="3" borderId="21" xfId="1" applyNumberFormat="1" applyFont="1" applyFill="1" applyBorder="1" applyAlignment="1"/>
    <xf numFmtId="0" fontId="5" fillId="3" borderId="18" xfId="1" applyNumberFormat="1" applyFont="1" applyFill="1" applyBorder="1" applyAlignment="1"/>
    <xf numFmtId="0" fontId="5" fillId="3" borderId="16" xfId="1" applyNumberFormat="1" applyFont="1" applyFill="1" applyBorder="1" applyAlignment="1"/>
    <xf numFmtId="0" fontId="5" fillId="3" borderId="7" xfId="1" applyFont="1" applyFill="1" applyBorder="1" applyAlignment="1">
      <alignment horizontal="center"/>
    </xf>
    <xf numFmtId="0" fontId="5" fillId="3" borderId="20" xfId="1" applyNumberFormat="1" applyFont="1" applyFill="1" applyBorder="1" applyAlignment="1"/>
    <xf numFmtId="0" fontId="15" fillId="4" borderId="26" xfId="1" applyNumberFormat="1" applyFont="1" applyFill="1" applyBorder="1" applyAlignment="1" applyProtection="1"/>
    <xf numFmtId="0" fontId="5" fillId="3" borderId="26" xfId="1" applyNumberFormat="1" applyFont="1" applyFill="1" applyBorder="1" applyAlignment="1"/>
    <xf numFmtId="0" fontId="5" fillId="3" borderId="25" xfId="1" applyNumberFormat="1" applyFont="1" applyFill="1" applyBorder="1" applyAlignment="1"/>
    <xf numFmtId="0" fontId="5" fillId="3" borderId="24" xfId="1" applyNumberFormat="1" applyFont="1" applyFill="1" applyBorder="1" applyAlignment="1"/>
    <xf numFmtId="0" fontId="15" fillId="4" borderId="27" xfId="1" applyNumberFormat="1" applyFont="1" applyFill="1" applyBorder="1" applyAlignment="1" applyProtection="1"/>
    <xf numFmtId="0" fontId="5" fillId="3" borderId="27" xfId="1" applyNumberFormat="1" applyFont="1" applyFill="1" applyBorder="1" applyAlignment="1"/>
    <xf numFmtId="0" fontId="5" fillId="3" borderId="23" xfId="1" applyNumberFormat="1" applyFont="1" applyFill="1" applyBorder="1" applyAlignment="1"/>
    <xf numFmtId="0" fontId="5" fillId="3" borderId="0" xfId="1" applyNumberFormat="1" applyFont="1" applyFill="1" applyBorder="1" applyAlignment="1"/>
    <xf numFmtId="0" fontId="15" fillId="4" borderId="26" xfId="1" applyNumberFormat="1" applyFont="1" applyFill="1" applyBorder="1" applyAlignment="1" applyProtection="1">
      <alignment vertical="center"/>
    </xf>
    <xf numFmtId="0" fontId="2" fillId="4" borderId="26" xfId="1" applyNumberFormat="1" applyFont="1" applyFill="1" applyBorder="1" applyAlignment="1" applyProtection="1">
      <alignment horizontal="center" vertical="center"/>
    </xf>
    <xf numFmtId="0" fontId="3" fillId="3" borderId="25" xfId="1" applyFont="1" applyFill="1" applyBorder="1" applyAlignment="1">
      <alignment vertical="center"/>
    </xf>
    <xf numFmtId="0" fontId="10" fillId="3" borderId="24" xfId="1" applyFont="1" applyFill="1" applyBorder="1" applyAlignment="1">
      <alignment horizontal="center" vertical="center" wrapText="1"/>
    </xf>
    <xf numFmtId="0" fontId="10" fillId="3" borderId="25" xfId="1" applyFont="1" applyFill="1" applyBorder="1" applyAlignment="1">
      <alignment horizontal="center" vertical="center" wrapText="1"/>
    </xf>
    <xf numFmtId="0" fontId="5" fillId="3" borderId="0" xfId="1" applyFont="1" applyFill="1" applyBorder="1"/>
    <xf numFmtId="0" fontId="12" fillId="3" borderId="1" xfId="1" applyFont="1" applyFill="1" applyBorder="1"/>
    <xf numFmtId="0" fontId="12" fillId="3" borderId="2" xfId="1" applyFont="1" applyFill="1" applyBorder="1"/>
    <xf numFmtId="0" fontId="16" fillId="3" borderId="3" xfId="1" applyFont="1" applyFill="1" applyBorder="1"/>
    <xf numFmtId="0" fontId="12" fillId="3" borderId="4" xfId="1" applyFont="1" applyFill="1" applyBorder="1"/>
    <xf numFmtId="171" fontId="5" fillId="3" borderId="16" xfId="4" applyNumberFormat="1" applyFont="1" applyFill="1" applyBorder="1" applyAlignment="1">
      <alignment horizontal="center"/>
    </xf>
    <xf numFmtId="0" fontId="5" fillId="3" borderId="21" xfId="1" applyFont="1" applyFill="1" applyBorder="1" applyAlignment="1">
      <alignment horizontal="left"/>
    </xf>
    <xf numFmtId="0" fontId="5" fillId="3" borderId="5" xfId="1" applyFont="1" applyFill="1" applyBorder="1" applyAlignment="1">
      <alignment horizontal="center"/>
    </xf>
    <xf numFmtId="0" fontId="5" fillId="3" borderId="18" xfId="1" applyFont="1" applyFill="1" applyBorder="1" applyAlignment="1">
      <alignment horizontal="center"/>
    </xf>
    <xf numFmtId="0" fontId="16" fillId="3" borderId="7" xfId="1" applyFont="1" applyFill="1" applyBorder="1"/>
    <xf numFmtId="164" fontId="15" fillId="4" borderId="14" xfId="1" applyNumberFormat="1" applyFont="1" applyFill="1" applyBorder="1" applyAlignment="1" applyProtection="1">
      <alignment horizontal="left"/>
    </xf>
    <xf numFmtId="171" fontId="5" fillId="3" borderId="21" xfId="4" applyNumberFormat="1" applyFont="1" applyFill="1" applyBorder="1" applyAlignment="1">
      <alignment horizontal="center"/>
    </xf>
    <xf numFmtId="0" fontId="5" fillId="3" borderId="14" xfId="1" applyFont="1" applyFill="1" applyBorder="1" applyAlignment="1">
      <alignment horizontal="center"/>
    </xf>
    <xf numFmtId="0" fontId="5" fillId="3" borderId="20" xfId="1" applyFont="1" applyFill="1" applyBorder="1" applyAlignment="1">
      <alignment horizontal="center"/>
    </xf>
    <xf numFmtId="0" fontId="10" fillId="3" borderId="14" xfId="1" applyFont="1" applyFill="1" applyBorder="1" applyAlignment="1">
      <alignment horizontal="center"/>
    </xf>
    <xf numFmtId="0" fontId="12" fillId="3" borderId="7" xfId="1" applyFont="1" applyFill="1" applyBorder="1"/>
    <xf numFmtId="0" fontId="16" fillId="3" borderId="8" xfId="1" applyFont="1" applyFill="1" applyBorder="1"/>
    <xf numFmtId="0" fontId="12" fillId="0" borderId="9" xfId="1" applyFont="1" applyBorder="1"/>
    <xf numFmtId="0" fontId="12" fillId="0" borderId="9" xfId="1" applyFont="1" applyBorder="1" applyAlignment="1">
      <alignment horizontal="center"/>
    </xf>
    <xf numFmtId="0" fontId="17" fillId="3" borderId="9" xfId="1" applyFont="1" applyFill="1" applyBorder="1"/>
    <xf numFmtId="0" fontId="12" fillId="3" borderId="10" xfId="1" applyFont="1" applyFill="1" applyBorder="1"/>
    <xf numFmtId="0" fontId="12" fillId="3" borderId="15" xfId="1" applyFont="1" applyFill="1" applyBorder="1"/>
    <xf numFmtId="0" fontId="12" fillId="3" borderId="20" xfId="1" applyFont="1" applyFill="1" applyBorder="1"/>
    <xf numFmtId="0" fontId="12" fillId="3" borderId="21" xfId="1" applyFont="1" applyFill="1" applyBorder="1"/>
    <xf numFmtId="0" fontId="12" fillId="3" borderId="22" xfId="1" applyFont="1" applyFill="1" applyBorder="1"/>
    <xf numFmtId="0" fontId="12" fillId="3" borderId="5" xfId="1" applyFont="1" applyFill="1" applyBorder="1"/>
    <xf numFmtId="0" fontId="12" fillId="3" borderId="23" xfId="1" applyFont="1" applyFill="1" applyBorder="1"/>
    <xf numFmtId="0" fontId="5" fillId="3" borderId="7" xfId="1" applyFont="1" applyFill="1" applyBorder="1" applyAlignment="1">
      <alignment horizontal="left"/>
    </xf>
    <xf numFmtId="0" fontId="18" fillId="0" borderId="0" xfId="1" applyFont="1"/>
    <xf numFmtId="0" fontId="18" fillId="0" borderId="0" xfId="1" applyFont="1" applyAlignment="1">
      <alignment horizontal="left"/>
    </xf>
    <xf numFmtId="0" fontId="19" fillId="3" borderId="1" xfId="1" applyFont="1" applyFill="1" applyBorder="1"/>
    <xf numFmtId="0" fontId="19" fillId="3" borderId="2" xfId="1" applyFont="1" applyFill="1" applyBorder="1" applyAlignment="1">
      <alignment horizontal="left"/>
    </xf>
    <xf numFmtId="0" fontId="19" fillId="3" borderId="2" xfId="1" applyFont="1" applyFill="1" applyBorder="1"/>
    <xf numFmtId="0" fontId="19" fillId="3" borderId="3" xfId="1" applyFont="1" applyFill="1" applyBorder="1"/>
    <xf numFmtId="0" fontId="19" fillId="3" borderId="4" xfId="1" applyFont="1" applyFill="1" applyBorder="1"/>
    <xf numFmtId="0" fontId="19" fillId="4" borderId="5" xfId="1" applyNumberFormat="1" applyFont="1" applyFill="1" applyBorder="1" applyAlignment="1" applyProtection="1"/>
    <xf numFmtId="0" fontId="19" fillId="3" borderId="5" xfId="1" applyNumberFormat="1" applyFont="1" applyFill="1" applyBorder="1" applyAlignment="1">
      <alignment horizontal="left"/>
    </xf>
    <xf numFmtId="0" fontId="19" fillId="3" borderId="5" xfId="1" applyNumberFormat="1" applyFont="1" applyFill="1" applyBorder="1" applyAlignment="1">
      <alignment horizontal="right"/>
    </xf>
    <xf numFmtId="0" fontId="19" fillId="3" borderId="5" xfId="1" applyNumberFormat="1" applyFont="1" applyFill="1" applyBorder="1" applyAlignment="1">
      <alignment horizontal="center"/>
    </xf>
    <xf numFmtId="0" fontId="19" fillId="3" borderId="7" xfId="1" applyFont="1" applyFill="1" applyBorder="1" applyAlignment="1">
      <alignment horizontal="center"/>
    </xf>
    <xf numFmtId="0" fontId="19" fillId="3" borderId="0" xfId="1" applyNumberFormat="1" applyFont="1" applyFill="1" applyBorder="1" applyAlignment="1" applyProtection="1"/>
    <xf numFmtId="0" fontId="19" fillId="3" borderId="0" xfId="1" applyNumberFormat="1" applyFont="1" applyFill="1" applyBorder="1" applyAlignment="1">
      <alignment horizontal="left"/>
    </xf>
    <xf numFmtId="170" fontId="19" fillId="3" borderId="0" xfId="4" applyNumberFormat="1" applyFont="1" applyFill="1" applyBorder="1" applyAlignment="1">
      <alignment horizontal="center"/>
    </xf>
    <xf numFmtId="0" fontId="19" fillId="3" borderId="0" xfId="1" applyNumberFormat="1" applyFont="1" applyFill="1" applyBorder="1" applyAlignment="1">
      <alignment horizontal="center"/>
    </xf>
    <xf numFmtId="170" fontId="19" fillId="0" borderId="5" xfId="4" applyNumberFormat="1" applyFont="1" applyFill="1" applyBorder="1" applyAlignment="1">
      <alignment horizontal="right"/>
    </xf>
    <xf numFmtId="0" fontId="19" fillId="4" borderId="5" xfId="1" applyNumberFormat="1" applyFont="1" applyFill="1" applyBorder="1" applyAlignment="1" applyProtection="1">
      <alignment vertical="center"/>
    </xf>
    <xf numFmtId="0" fontId="19" fillId="4" borderId="5" xfId="1" applyNumberFormat="1" applyFont="1" applyFill="1" applyBorder="1" applyAlignment="1" applyProtection="1">
      <alignment horizontal="center" vertical="center"/>
    </xf>
    <xf numFmtId="0" fontId="20" fillId="3" borderId="5" xfId="1" applyFont="1" applyFill="1" applyBorder="1" applyAlignment="1">
      <alignment vertical="center"/>
    </xf>
    <xf numFmtId="0" fontId="19" fillId="3" borderId="5" xfId="1" applyFont="1" applyFill="1" applyBorder="1" applyAlignment="1">
      <alignment horizontal="center" vertical="center" wrapText="1"/>
    </xf>
    <xf numFmtId="0" fontId="21" fillId="3" borderId="5" xfId="1" applyFont="1" applyFill="1" applyBorder="1" applyAlignment="1">
      <alignment horizontal="center" vertical="center" wrapText="1"/>
    </xf>
    <xf numFmtId="0" fontId="19" fillId="3" borderId="8" xfId="1" applyFont="1" applyFill="1" applyBorder="1"/>
    <xf numFmtId="0" fontId="18" fillId="0" borderId="9" xfId="1" applyFont="1" applyBorder="1"/>
    <xf numFmtId="0" fontId="18" fillId="0" borderId="9" xfId="1" applyFont="1" applyBorder="1" applyAlignment="1">
      <alignment horizontal="left"/>
    </xf>
    <xf numFmtId="0" fontId="19" fillId="3" borderId="9" xfId="1" applyFont="1" applyFill="1" applyBorder="1"/>
    <xf numFmtId="0" fontId="5" fillId="3" borderId="6" xfId="1" applyNumberFormat="1" applyFont="1" applyFill="1" applyBorder="1" applyAlignment="1">
      <alignment horizontal="center"/>
    </xf>
    <xf numFmtId="170" fontId="5" fillId="0" borderId="5" xfId="4" applyNumberFormat="1" applyFont="1" applyFill="1" applyBorder="1" applyAlignment="1">
      <alignment horizontal="center"/>
    </xf>
    <xf numFmtId="170" fontId="5" fillId="0" borderId="14" xfId="4" applyNumberFormat="1" applyFont="1" applyFill="1" applyBorder="1" applyAlignment="1">
      <alignment horizontal="center"/>
    </xf>
    <xf numFmtId="0" fontId="10" fillId="3" borderId="18" xfId="1" applyFont="1" applyFill="1" applyBorder="1" applyAlignment="1">
      <alignment horizontal="center" vertical="center" wrapText="1"/>
    </xf>
    <xf numFmtId="0" fontId="5" fillId="3" borderId="5" xfId="1" applyFont="1" applyFill="1" applyBorder="1" applyAlignment="1">
      <alignment horizontal="center" vertical="center" wrapText="1"/>
    </xf>
    <xf numFmtId="0" fontId="5" fillId="3" borderId="8" xfId="1" applyFont="1" applyFill="1" applyBorder="1"/>
    <xf numFmtId="0" fontId="1" fillId="0" borderId="9" xfId="1" applyBorder="1"/>
    <xf numFmtId="0" fontId="1" fillId="0" borderId="9" xfId="1" applyBorder="1" applyAlignment="1">
      <alignment horizontal="left"/>
    </xf>
    <xf numFmtId="0" fontId="5" fillId="3" borderId="9" xfId="1" applyFont="1" applyFill="1" applyBorder="1"/>
    <xf numFmtId="170" fontId="5" fillId="0" borderId="28" xfId="4" applyNumberFormat="1" applyFont="1" applyFill="1" applyBorder="1" applyAlignment="1">
      <alignment horizontal="center"/>
    </xf>
    <xf numFmtId="170" fontId="5" fillId="0" borderId="29" xfId="4" applyNumberFormat="1" applyFont="1" applyFill="1" applyBorder="1" applyAlignment="1">
      <alignment horizontal="center"/>
    </xf>
    <xf numFmtId="0" fontId="10" fillId="3" borderId="16" xfId="1" applyFont="1" applyFill="1" applyBorder="1" applyAlignment="1">
      <alignment horizontal="center" vertical="center" wrapText="1"/>
    </xf>
    <xf numFmtId="0" fontId="5" fillId="3" borderId="28" xfId="1" applyFont="1" applyFill="1" applyBorder="1" applyAlignment="1">
      <alignment horizontal="center" vertical="center" wrapText="1"/>
    </xf>
    <xf numFmtId="0" fontId="5" fillId="0" borderId="3" xfId="1" applyFont="1" applyBorder="1"/>
    <xf numFmtId="0" fontId="5" fillId="0" borderId="7" xfId="1" applyFont="1" applyBorder="1"/>
    <xf numFmtId="0" fontId="5" fillId="0" borderId="11" xfId="1" applyFont="1" applyBorder="1" applyAlignment="1">
      <alignment horizontal="center" vertical="center"/>
    </xf>
    <xf numFmtId="0" fontId="5" fillId="0" borderId="12" xfId="1" applyFont="1" applyBorder="1" applyAlignment="1">
      <alignment horizontal="center" vertical="center"/>
    </xf>
    <xf numFmtId="0" fontId="5" fillId="0" borderId="13" xfId="1" applyFont="1" applyBorder="1" applyAlignment="1">
      <alignment horizontal="center" vertical="center"/>
    </xf>
    <xf numFmtId="0" fontId="5" fillId="3" borderId="2" xfId="1" applyFont="1" applyFill="1" applyBorder="1" applyAlignment="1">
      <alignment horizontal="center"/>
    </xf>
    <xf numFmtId="0" fontId="5" fillId="3" borderId="3" xfId="1" applyFont="1" applyFill="1" applyBorder="1" applyAlignment="1">
      <alignment horizontal="center"/>
    </xf>
    <xf numFmtId="0" fontId="5" fillId="0" borderId="14" xfId="4" applyNumberFormat="1" applyFont="1" applyFill="1" applyBorder="1" applyAlignment="1">
      <alignment horizontal="center"/>
    </xf>
    <xf numFmtId="0" fontId="5" fillId="0" borderId="4" xfId="1" quotePrefix="1" applyFont="1" applyBorder="1" applyAlignment="1">
      <alignment horizontal="center"/>
    </xf>
    <xf numFmtId="0" fontId="5" fillId="0" borderId="0" xfId="1" quotePrefix="1" applyFont="1" applyBorder="1" applyAlignment="1">
      <alignment horizontal="center"/>
    </xf>
    <xf numFmtId="0" fontId="5" fillId="0" borderId="5" xfId="4" applyNumberFormat="1" applyFont="1" applyFill="1" applyBorder="1" applyAlignment="1">
      <alignment horizontal="center"/>
    </xf>
    <xf numFmtId="0" fontId="12" fillId="0" borderId="9" xfId="1" applyFont="1" applyBorder="1" applyAlignment="1">
      <alignment horizontal="left"/>
    </xf>
    <xf numFmtId="0" fontId="5" fillId="3" borderId="10" xfId="1" applyFont="1" applyFill="1" applyBorder="1" applyAlignment="1">
      <alignment horizontal="left"/>
    </xf>
    <xf numFmtId="0" fontId="5" fillId="3" borderId="4" xfId="1" applyFont="1" applyFill="1" applyBorder="1" applyAlignment="1">
      <alignment horizontal="center"/>
    </xf>
    <xf numFmtId="164" fontId="2" fillId="4" borderId="14" xfId="1" applyNumberFormat="1" applyFont="1" applyFill="1" applyBorder="1" applyAlignment="1" applyProtection="1">
      <alignment horizontal="left"/>
    </xf>
    <xf numFmtId="0" fontId="10" fillId="3" borderId="21" xfId="1" applyFont="1" applyFill="1" applyBorder="1" applyAlignment="1"/>
    <xf numFmtId="164" fontId="2" fillId="4" borderId="26" xfId="1" applyNumberFormat="1" applyFont="1" applyFill="1" applyBorder="1" applyAlignment="1" applyProtection="1">
      <alignment horizontal="left"/>
    </xf>
    <xf numFmtId="0" fontId="10" fillId="3" borderId="25" xfId="1" applyFont="1" applyFill="1" applyBorder="1" applyAlignment="1"/>
    <xf numFmtId="0" fontId="3" fillId="3" borderId="5" xfId="1" applyFont="1" applyFill="1" applyBorder="1" applyAlignment="1">
      <alignment horizontal="left"/>
    </xf>
    <xf numFmtId="0" fontId="5" fillId="3" borderId="5" xfId="1" applyFont="1" applyFill="1" applyBorder="1" applyAlignment="1"/>
    <xf numFmtId="0" fontId="12" fillId="3" borderId="8" xfId="1" applyFont="1" applyFill="1" applyBorder="1"/>
    <xf numFmtId="0" fontId="12" fillId="3" borderId="9" xfId="1" applyFont="1" applyFill="1" applyBorder="1"/>
    <xf numFmtId="0" fontId="12" fillId="3" borderId="9" xfId="1" applyFont="1" applyFill="1" applyBorder="1" applyAlignment="1">
      <alignment horizontal="center"/>
    </xf>
    <xf numFmtId="164" fontId="2" fillId="4" borderId="27" xfId="1" applyNumberFormat="1" applyFont="1" applyFill="1" applyBorder="1" applyAlignment="1" applyProtection="1">
      <alignment horizontal="left"/>
    </xf>
    <xf numFmtId="0" fontId="10" fillId="3" borderId="27" xfId="1" applyFont="1" applyFill="1" applyBorder="1" applyAlignment="1"/>
    <xf numFmtId="0" fontId="10" fillId="3" borderId="23" xfId="1" applyFont="1" applyFill="1" applyBorder="1" applyAlignment="1"/>
    <xf numFmtId="164" fontId="2" fillId="4" borderId="15" xfId="1" applyNumberFormat="1" applyFont="1" applyFill="1" applyBorder="1" applyAlignment="1" applyProtection="1">
      <alignment horizontal="left"/>
    </xf>
    <xf numFmtId="0" fontId="10" fillId="3" borderId="14" xfId="1" applyFont="1" applyFill="1" applyBorder="1" applyAlignment="1"/>
    <xf numFmtId="164" fontId="2" fillId="4" borderId="17" xfId="1" applyNumberFormat="1" applyFont="1" applyFill="1" applyBorder="1" applyAlignment="1" applyProtection="1">
      <alignment horizontal="left"/>
    </xf>
    <xf numFmtId="0" fontId="10" fillId="3" borderId="26" xfId="1" applyFont="1" applyFill="1" applyBorder="1" applyAlignment="1"/>
    <xf numFmtId="164" fontId="2" fillId="4" borderId="22" xfId="1" applyNumberFormat="1" applyFont="1" applyFill="1" applyBorder="1" applyAlignment="1" applyProtection="1">
      <alignment horizontal="left"/>
    </xf>
    <xf numFmtId="0" fontId="5" fillId="3" borderId="5" xfId="1" applyFont="1" applyFill="1" applyBorder="1"/>
    <xf numFmtId="0" fontId="12" fillId="3" borderId="3" xfId="1" applyFont="1" applyFill="1" applyBorder="1"/>
    <xf numFmtId="170" fontId="2" fillId="4" borderId="6" xfId="1" applyNumberFormat="1" applyFont="1" applyFill="1" applyBorder="1" applyAlignment="1" applyProtection="1">
      <alignment horizontal="center"/>
    </xf>
    <xf numFmtId="0" fontId="12" fillId="3" borderId="0" xfId="1" applyFont="1" applyFill="1" applyBorder="1"/>
    <xf numFmtId="0" fontId="5" fillId="3" borderId="5" xfId="1" applyNumberFormat="1" applyFont="1" applyFill="1" applyBorder="1" applyAlignment="1">
      <alignment horizontal="left"/>
    </xf>
    <xf numFmtId="0" fontId="5" fillId="3" borderId="5" xfId="1" applyNumberFormat="1" applyFont="1" applyFill="1" applyBorder="1" applyAlignment="1"/>
    <xf numFmtId="170" fontId="5" fillId="3" borderId="5" xfId="4" applyNumberFormat="1" applyFont="1" applyFill="1" applyBorder="1" applyAlignment="1">
      <alignment horizontal="left"/>
    </xf>
    <xf numFmtId="0" fontId="2" fillId="4" borderId="26" xfId="1" applyNumberFormat="1" applyFont="1" applyFill="1" applyBorder="1" applyAlignment="1" applyProtection="1">
      <alignment vertical="center"/>
    </xf>
    <xf numFmtId="0" fontId="22" fillId="3" borderId="5" xfId="1" applyNumberFormat="1" applyFont="1" applyFill="1" applyBorder="1" applyAlignment="1"/>
    <xf numFmtId="0" fontId="2" fillId="4" borderId="17" xfId="1" applyNumberFormat="1" applyFont="1" applyFill="1" applyBorder="1" applyAlignment="1" applyProtection="1">
      <alignment horizontal="center" vertical="center"/>
    </xf>
    <xf numFmtId="0" fontId="3" fillId="3" borderId="26" xfId="1" applyFont="1" applyFill="1" applyBorder="1" applyAlignment="1">
      <alignment vertical="center"/>
    </xf>
    <xf numFmtId="0" fontId="10" fillId="3" borderId="26" xfId="1" applyFont="1" applyFill="1" applyBorder="1" applyAlignment="1">
      <alignment horizontal="center" vertical="center" wrapText="1"/>
    </xf>
    <xf numFmtId="0" fontId="10" fillId="3" borderId="17" xfId="1" applyFont="1" applyFill="1" applyBorder="1" applyAlignment="1">
      <alignment horizontal="center" vertical="center" wrapText="1"/>
    </xf>
    <xf numFmtId="0" fontId="15" fillId="4" borderId="5" xfId="1" applyNumberFormat="1" applyFont="1" applyFill="1" applyBorder="1" applyAlignment="1" applyProtection="1"/>
    <xf numFmtId="0" fontId="22" fillId="0" borderId="2" xfId="1" applyFont="1" applyBorder="1" applyAlignment="1">
      <alignment horizontal="center"/>
    </xf>
    <xf numFmtId="0" fontId="22" fillId="0" borderId="0" xfId="1" applyFont="1" applyBorder="1" applyAlignment="1">
      <alignment horizontal="center"/>
    </xf>
    <xf numFmtId="171" fontId="5" fillId="3" borderId="14" xfId="4" applyNumberFormat="1" applyFont="1" applyFill="1" applyBorder="1" applyAlignment="1">
      <alignment horizontal="center"/>
    </xf>
    <xf numFmtId="171" fontId="5" fillId="3" borderId="14" xfId="4" applyNumberFormat="1" applyFont="1" applyFill="1" applyBorder="1" applyAlignment="1">
      <alignment horizontal="left"/>
    </xf>
    <xf numFmtId="0" fontId="12" fillId="0" borderId="0" xfId="1" applyFont="1" applyAlignment="1">
      <alignment horizontal="center"/>
    </xf>
    <xf numFmtId="0" fontId="12" fillId="0" borderId="5" xfId="1" applyFont="1" applyFill="1" applyBorder="1"/>
    <xf numFmtId="0" fontId="12" fillId="0" borderId="5" xfId="1" applyFont="1" applyFill="1" applyBorder="1" applyAlignment="1">
      <alignment horizontal="center"/>
    </xf>
    <xf numFmtId="170" fontId="5" fillId="0" borderId="15" xfId="4" applyNumberFormat="1" applyFont="1" applyFill="1" applyBorder="1" applyAlignment="1">
      <alignment horizontal="center"/>
    </xf>
    <xf numFmtId="169" fontId="5" fillId="0" borderId="20" xfId="4" applyNumberFormat="1" applyFont="1" applyFill="1" applyBorder="1" applyAlignment="1">
      <alignment horizontal="center"/>
    </xf>
    <xf numFmtId="170" fontId="5" fillId="0" borderId="21" xfId="4" applyNumberFormat="1" applyFont="1" applyFill="1" applyBorder="1" applyAlignment="1"/>
    <xf numFmtId="0" fontId="5" fillId="3" borderId="0" xfId="1" applyFont="1" applyFill="1" applyBorder="1" applyAlignment="1">
      <alignment horizontal="center"/>
    </xf>
    <xf numFmtId="169" fontId="5" fillId="0" borderId="14" xfId="4" applyNumberFormat="1" applyFont="1" applyBorder="1"/>
    <xf numFmtId="169" fontId="5" fillId="0" borderId="15" xfId="4" applyNumberFormat="1" applyFont="1" applyFill="1" applyBorder="1" applyAlignment="1">
      <alignment horizontal="center"/>
    </xf>
    <xf numFmtId="170" fontId="5" fillId="0" borderId="20" xfId="4" applyNumberFormat="1" applyFont="1" applyFill="1" applyBorder="1" applyAlignment="1"/>
    <xf numFmtId="0" fontId="5" fillId="0" borderId="21" xfId="4" applyNumberFormat="1" applyFont="1" applyFill="1" applyBorder="1" applyAlignment="1"/>
    <xf numFmtId="170" fontId="5" fillId="0" borderId="22" xfId="4" applyNumberFormat="1" applyFont="1" applyFill="1" applyBorder="1" applyAlignment="1">
      <alignment horizontal="center"/>
    </xf>
    <xf numFmtId="169" fontId="5" fillId="0" borderId="0" xfId="4" applyNumberFormat="1" applyFont="1" applyFill="1" applyBorder="1" applyAlignment="1">
      <alignment horizontal="center"/>
    </xf>
    <xf numFmtId="170" fontId="5" fillId="0" borderId="23" xfId="4" applyNumberFormat="1" applyFont="1" applyFill="1" applyBorder="1" applyAlignment="1"/>
    <xf numFmtId="169" fontId="5" fillId="0" borderId="27" xfId="4" applyNumberFormat="1" applyFont="1" applyBorder="1"/>
    <xf numFmtId="169" fontId="5" fillId="0" borderId="22" xfId="4" applyNumberFormat="1" applyFont="1" applyFill="1" applyBorder="1" applyAlignment="1">
      <alignment horizontal="center"/>
    </xf>
    <xf numFmtId="170" fontId="5" fillId="0" borderId="0" xfId="4" applyNumberFormat="1" applyFont="1" applyFill="1" applyBorder="1" applyAlignment="1"/>
    <xf numFmtId="0" fontId="5" fillId="0" borderId="23" xfId="4" applyNumberFormat="1" applyFont="1" applyFill="1" applyBorder="1" applyAlignment="1"/>
    <xf numFmtId="0" fontId="5" fillId="0" borderId="15" xfId="1" applyFont="1" applyBorder="1" applyAlignment="1">
      <alignment horizontal="center"/>
    </xf>
    <xf numFmtId="0" fontId="5" fillId="0" borderId="20" xfId="1" applyFont="1" applyBorder="1" applyAlignment="1">
      <alignment horizontal="center"/>
    </xf>
    <xf numFmtId="0" fontId="5" fillId="0" borderId="21" xfId="1" applyFont="1" applyBorder="1" applyAlignment="1">
      <alignment horizontal="center"/>
    </xf>
    <xf numFmtId="0" fontId="5" fillId="0" borderId="22" xfId="1" applyFont="1" applyBorder="1" applyAlignment="1">
      <alignment horizontal="center"/>
    </xf>
    <xf numFmtId="0" fontId="5" fillId="0" borderId="23" xfId="1" applyFont="1" applyBorder="1" applyAlignment="1">
      <alignment horizontal="center"/>
    </xf>
    <xf numFmtId="170" fontId="5" fillId="0" borderId="17" xfId="4" applyNumberFormat="1" applyFont="1" applyFill="1" applyBorder="1" applyAlignment="1">
      <alignment horizontal="center"/>
    </xf>
    <xf numFmtId="169" fontId="5" fillId="0" borderId="24" xfId="4" applyNumberFormat="1" applyFont="1" applyFill="1" applyBorder="1" applyAlignment="1">
      <alignment horizontal="center"/>
    </xf>
    <xf numFmtId="170" fontId="5" fillId="0" borderId="25" xfId="4" applyNumberFormat="1" applyFont="1" applyFill="1" applyBorder="1" applyAlignment="1"/>
    <xf numFmtId="169" fontId="5" fillId="0" borderId="26" xfId="4" applyNumberFormat="1" applyFont="1" applyBorder="1"/>
    <xf numFmtId="169" fontId="5" fillId="0" borderId="17" xfId="4" applyNumberFormat="1" applyFont="1" applyFill="1" applyBorder="1" applyAlignment="1">
      <alignment horizontal="center"/>
    </xf>
    <xf numFmtId="0" fontId="5" fillId="0" borderId="25" xfId="4" applyNumberFormat="1" applyFont="1" applyFill="1" applyBorder="1" applyAlignment="1"/>
    <xf numFmtId="0" fontId="5" fillId="0" borderId="6" xfId="1" applyFont="1" applyFill="1" applyBorder="1" applyAlignment="1">
      <alignment horizontal="center" vertical="center" wrapText="1"/>
    </xf>
    <xf numFmtId="0" fontId="5" fillId="0" borderId="18" xfId="1" applyFont="1" applyBorder="1" applyAlignment="1">
      <alignment horizontal="center" vertical="center" wrapText="1"/>
    </xf>
    <xf numFmtId="0" fontId="5" fillId="0" borderId="16" xfId="1" applyFont="1" applyBorder="1" applyAlignment="1">
      <alignment horizontal="center" vertical="center" wrapText="1"/>
    </xf>
    <xf numFmtId="170" fontId="10" fillId="0" borderId="6" xfId="4" applyNumberFormat="1" applyFont="1" applyFill="1" applyBorder="1" applyAlignment="1">
      <alignment horizontal="center" vertical="center" wrapText="1"/>
    </xf>
    <xf numFmtId="170" fontId="10" fillId="0" borderId="18" xfId="4" applyNumberFormat="1" applyFont="1" applyFill="1" applyBorder="1" applyAlignment="1">
      <alignment horizontal="center" vertical="center" wrapText="1"/>
    </xf>
    <xf numFmtId="170" fontId="10" fillId="0" borderId="16" xfId="4" applyNumberFormat="1" applyFont="1" applyFill="1" applyBorder="1" applyAlignment="1">
      <alignment horizontal="center" vertical="center" wrapText="1"/>
    </xf>
    <xf numFmtId="169" fontId="10" fillId="0" borderId="5" xfId="4" applyNumberFormat="1" applyFont="1" applyFill="1" applyBorder="1" applyAlignment="1">
      <alignment horizontal="center" vertical="center" wrapText="1"/>
    </xf>
    <xf numFmtId="169" fontId="10" fillId="0" borderId="6" xfId="4" applyNumberFormat="1" applyFont="1" applyFill="1" applyBorder="1" applyAlignment="1">
      <alignment horizontal="center" vertical="center" wrapText="1"/>
    </xf>
    <xf numFmtId="0" fontId="10" fillId="0" borderId="18" xfId="1" applyFont="1" applyBorder="1" applyAlignment="1">
      <alignment horizontal="center" vertical="center" wrapText="1"/>
    </xf>
    <xf numFmtId="0" fontId="5" fillId="0" borderId="0" xfId="1" applyFont="1" applyFill="1" applyBorder="1"/>
    <xf numFmtId="0" fontId="5" fillId="3" borderId="0" xfId="1" applyFont="1" applyFill="1"/>
    <xf numFmtId="0" fontId="5" fillId="3" borderId="5" xfId="1" applyFont="1" applyFill="1" applyBorder="1" applyAlignment="1">
      <alignment horizontal="center" vertical="center"/>
    </xf>
    <xf numFmtId="0" fontId="10" fillId="8" borderId="5" xfId="1" applyFont="1" applyFill="1" applyBorder="1" applyAlignment="1">
      <alignment horizontal="center" vertical="center"/>
    </xf>
    <xf numFmtId="0" fontId="17" fillId="3" borderId="0" xfId="1" applyFont="1" applyFill="1" applyBorder="1"/>
    <xf numFmtId="0" fontId="5" fillId="3" borderId="7" xfId="1" applyFont="1" applyFill="1" applyBorder="1"/>
    <xf numFmtId="0" fontId="5" fillId="3" borderId="10" xfId="1" applyFont="1" applyFill="1" applyBorder="1"/>
    <xf numFmtId="0" fontId="5" fillId="3" borderId="30" xfId="1" applyFont="1" applyFill="1" applyBorder="1"/>
    <xf numFmtId="10" fontId="5" fillId="0" borderId="0" xfId="4" applyNumberFormat="1" applyFont="1"/>
    <xf numFmtId="170" fontId="5" fillId="0" borderId="6" xfId="4" applyNumberFormat="1" applyFont="1" applyFill="1" applyBorder="1" applyAlignment="1">
      <alignment horizontal="center"/>
    </xf>
    <xf numFmtId="169" fontId="5" fillId="0" borderId="18" xfId="4" applyNumberFormat="1" applyFont="1" applyFill="1" applyBorder="1" applyAlignment="1">
      <alignment horizontal="center"/>
    </xf>
    <xf numFmtId="170" fontId="5" fillId="0" borderId="16" xfId="4" applyNumberFormat="1" applyFont="1" applyFill="1" applyBorder="1" applyAlignment="1"/>
    <xf numFmtId="169" fontId="5" fillId="0" borderId="5" xfId="4" applyNumberFormat="1" applyFont="1" applyFill="1" applyBorder="1" applyAlignment="1">
      <alignment horizontal="center"/>
    </xf>
    <xf numFmtId="169" fontId="5" fillId="0" borderId="6" xfId="4" applyNumberFormat="1" applyFont="1" applyFill="1" applyBorder="1" applyAlignment="1">
      <alignment horizontal="center"/>
    </xf>
    <xf numFmtId="0" fontId="5" fillId="0" borderId="18" xfId="4" applyNumberFormat="1" applyFont="1" applyFill="1" applyBorder="1" applyAlignment="1"/>
    <xf numFmtId="169" fontId="5" fillId="0" borderId="18" xfId="4" applyNumberFormat="1" applyFont="1" applyFill="1" applyBorder="1" applyAlignment="1"/>
    <xf numFmtId="0" fontId="5" fillId="0" borderId="18" xfId="4" applyNumberFormat="1" applyFont="1" applyFill="1" applyBorder="1" applyAlignment="1">
      <alignment horizontal="center"/>
    </xf>
    <xf numFmtId="0" fontId="5" fillId="0" borderId="16" xfId="4" applyNumberFormat="1" applyFont="1" applyFill="1" applyBorder="1" applyAlignment="1">
      <alignment horizontal="center"/>
    </xf>
    <xf numFmtId="169" fontId="5" fillId="0" borderId="27" xfId="4" applyNumberFormat="1" applyFont="1" applyFill="1" applyBorder="1" applyAlignment="1">
      <alignment horizontal="center"/>
    </xf>
    <xf numFmtId="0" fontId="5" fillId="0" borderId="0" xfId="4" applyNumberFormat="1" applyFont="1" applyFill="1" applyBorder="1" applyAlignment="1"/>
    <xf numFmtId="169" fontId="5" fillId="0" borderId="0" xfId="4" applyNumberFormat="1" applyFont="1" applyFill="1" applyBorder="1" applyAlignment="1"/>
    <xf numFmtId="0" fontId="5" fillId="0" borderId="0" xfId="4" applyNumberFormat="1" applyFont="1" applyFill="1" applyBorder="1" applyAlignment="1">
      <alignment horizontal="center"/>
    </xf>
    <xf numFmtId="0" fontId="5" fillId="0" borderId="23" xfId="4" applyNumberFormat="1" applyFont="1" applyFill="1" applyBorder="1" applyAlignment="1">
      <alignment horizontal="center"/>
    </xf>
    <xf numFmtId="2" fontId="5" fillId="0" borderId="0" xfId="1" applyNumberFormat="1" applyFont="1"/>
    <xf numFmtId="169" fontId="5" fillId="0" borderId="14" xfId="4" applyNumberFormat="1" applyFont="1" applyFill="1" applyBorder="1" applyAlignment="1">
      <alignment horizontal="center"/>
    </xf>
    <xf numFmtId="0" fontId="5" fillId="0" borderId="20" xfId="4" applyNumberFormat="1" applyFont="1" applyFill="1" applyBorder="1" applyAlignment="1"/>
    <xf numFmtId="169" fontId="5" fillId="0" borderId="20" xfId="4" applyNumberFormat="1" applyFont="1" applyFill="1" applyBorder="1" applyAlignment="1"/>
    <xf numFmtId="0" fontId="5" fillId="0" borderId="20" xfId="4" applyNumberFormat="1" applyFont="1" applyFill="1" applyBorder="1" applyAlignment="1">
      <alignment horizontal="center"/>
    </xf>
    <xf numFmtId="0" fontId="5" fillId="0" borderId="21" xfId="4" applyNumberFormat="1" applyFont="1" applyFill="1" applyBorder="1" applyAlignment="1">
      <alignment horizontal="center"/>
    </xf>
    <xf numFmtId="169" fontId="5" fillId="0" borderId="26" xfId="4" applyNumberFormat="1" applyFont="1" applyFill="1" applyBorder="1" applyAlignment="1">
      <alignment horizontal="center"/>
    </xf>
    <xf numFmtId="0" fontId="5" fillId="0" borderId="24" xfId="4" applyNumberFormat="1" applyFont="1" applyFill="1" applyBorder="1" applyAlignment="1"/>
    <xf numFmtId="169" fontId="5" fillId="0" borderId="24" xfId="4" applyNumberFormat="1" applyFont="1" applyFill="1" applyBorder="1" applyAlignment="1"/>
    <xf numFmtId="0" fontId="5" fillId="0" borderId="24" xfId="4" applyNumberFormat="1" applyFont="1" applyFill="1" applyBorder="1" applyAlignment="1">
      <alignment horizontal="center"/>
    </xf>
    <xf numFmtId="0" fontId="5" fillId="0" borderId="25" xfId="4" applyNumberFormat="1" applyFont="1" applyFill="1" applyBorder="1" applyAlignment="1">
      <alignment horizontal="center"/>
    </xf>
    <xf numFmtId="0" fontId="5" fillId="0" borderId="0" xfId="1" applyFont="1" applyAlignment="1">
      <alignment horizontal="center" vertical="center"/>
    </xf>
    <xf numFmtId="0" fontId="10" fillId="0" borderId="24" xfId="1" applyFont="1" applyFill="1" applyBorder="1" applyAlignment="1">
      <alignment horizontal="center" vertical="center" wrapText="1"/>
    </xf>
    <xf numFmtId="170" fontId="10" fillId="0" borderId="25" xfId="4" applyNumberFormat="1" applyFont="1" applyFill="1" applyBorder="1" applyAlignment="1">
      <alignment horizontal="center" vertical="center" wrapText="1"/>
    </xf>
    <xf numFmtId="169" fontId="10" fillId="0" borderId="18" xfId="4" applyNumberFormat="1" applyFont="1" applyFill="1" applyBorder="1" applyAlignment="1">
      <alignment horizontal="center" vertical="center" wrapText="1"/>
    </xf>
    <xf numFmtId="0" fontId="10" fillId="8" borderId="5" xfId="1" applyFont="1" applyFill="1" applyBorder="1" applyAlignment="1">
      <alignment horizontal="center"/>
    </xf>
    <xf numFmtId="0" fontId="5" fillId="0" borderId="0" xfId="1" applyFont="1" applyBorder="1"/>
    <xf numFmtId="0" fontId="5" fillId="0" borderId="10" xfId="1" applyFont="1" applyFill="1" applyBorder="1"/>
    <xf numFmtId="0" fontId="25" fillId="3" borderId="3" xfId="1" applyFont="1" applyFill="1" applyBorder="1"/>
    <xf numFmtId="169" fontId="5" fillId="0" borderId="21" xfId="4" applyNumberFormat="1" applyFont="1" applyFill="1" applyBorder="1" applyAlignment="1">
      <alignment horizontal="center"/>
    </xf>
    <xf numFmtId="169" fontId="5" fillId="0" borderId="14" xfId="1" applyNumberFormat="1" applyFont="1" applyBorder="1"/>
    <xf numFmtId="164" fontId="5" fillId="0" borderId="20" xfId="4" applyNumberFormat="1" applyFont="1" applyFill="1" applyBorder="1" applyAlignment="1">
      <alignment horizontal="center"/>
    </xf>
    <xf numFmtId="172" fontId="5" fillId="0" borderId="20" xfId="4" applyNumberFormat="1" applyFont="1" applyFill="1" applyBorder="1" applyAlignment="1">
      <alignment horizontal="center"/>
    </xf>
    <xf numFmtId="1" fontId="5" fillId="0" borderId="20" xfId="4" applyNumberFormat="1" applyFont="1" applyFill="1" applyBorder="1" applyAlignment="1">
      <alignment horizontal="center"/>
    </xf>
    <xf numFmtId="1" fontId="5" fillId="0" borderId="21" xfId="4" applyNumberFormat="1" applyFont="1" applyFill="1" applyBorder="1" applyAlignment="1">
      <alignment horizontal="center"/>
    </xf>
    <xf numFmtId="0" fontId="25" fillId="3" borderId="7" xfId="1" applyFont="1" applyFill="1" applyBorder="1"/>
    <xf numFmtId="169" fontId="5" fillId="0" borderId="23" xfId="4" applyNumberFormat="1" applyFont="1" applyFill="1" applyBorder="1" applyAlignment="1">
      <alignment horizontal="center"/>
    </xf>
    <xf numFmtId="169" fontId="5" fillId="0" borderId="27" xfId="1" applyNumberFormat="1" applyFont="1" applyBorder="1"/>
    <xf numFmtId="164" fontId="5" fillId="0" borderId="0" xfId="4" applyNumberFormat="1" applyFont="1" applyFill="1" applyBorder="1" applyAlignment="1">
      <alignment horizontal="center"/>
    </xf>
    <xf numFmtId="172" fontId="5" fillId="0" borderId="0" xfId="4" applyNumberFormat="1" applyFont="1" applyFill="1" applyBorder="1" applyAlignment="1">
      <alignment horizontal="center"/>
    </xf>
    <xf numFmtId="1" fontId="5" fillId="0" borderId="0" xfId="4" applyNumberFormat="1" applyFont="1" applyFill="1" applyBorder="1" applyAlignment="1">
      <alignment horizontal="center"/>
    </xf>
    <xf numFmtId="1" fontId="5" fillId="0" borderId="23" xfId="4" applyNumberFormat="1" applyFont="1" applyFill="1" applyBorder="1" applyAlignment="1">
      <alignment horizontal="center"/>
    </xf>
    <xf numFmtId="169" fontId="5" fillId="0" borderId="27" xfId="1" applyNumberFormat="1" applyFont="1" applyFill="1" applyBorder="1"/>
    <xf numFmtId="169" fontId="5" fillId="0" borderId="25" xfId="4" applyNumberFormat="1" applyFont="1" applyFill="1" applyBorder="1" applyAlignment="1">
      <alignment horizontal="center"/>
    </xf>
    <xf numFmtId="169" fontId="5" fillId="0" borderId="26" xfId="1" applyNumberFormat="1" applyFont="1" applyFill="1" applyBorder="1"/>
    <xf numFmtId="164" fontId="5" fillId="0" borderId="24" xfId="4" applyNumberFormat="1" applyFont="1" applyFill="1" applyBorder="1" applyAlignment="1">
      <alignment horizontal="center"/>
    </xf>
    <xf numFmtId="172" fontId="5" fillId="0" borderId="24" xfId="4" applyNumberFormat="1" applyFont="1" applyFill="1" applyBorder="1" applyAlignment="1">
      <alignment horizontal="center"/>
    </xf>
    <xf numFmtId="1" fontId="5" fillId="0" borderId="24" xfId="4" applyNumberFormat="1" applyFont="1" applyFill="1" applyBorder="1" applyAlignment="1">
      <alignment horizontal="center"/>
    </xf>
    <xf numFmtId="1" fontId="5" fillId="0" borderId="25" xfId="4" applyNumberFormat="1" applyFont="1" applyFill="1" applyBorder="1" applyAlignment="1">
      <alignment horizontal="center"/>
    </xf>
    <xf numFmtId="169" fontId="10" fillId="0" borderId="16" xfId="4" applyNumberFormat="1" applyFont="1" applyFill="1" applyBorder="1" applyAlignment="1">
      <alignment horizontal="center" vertical="center" wrapText="1"/>
    </xf>
    <xf numFmtId="0" fontId="25" fillId="3" borderId="4" xfId="1" applyFont="1" applyFill="1" applyBorder="1"/>
    <xf numFmtId="0" fontId="5" fillId="3" borderId="6" xfId="1" applyFont="1" applyFill="1" applyBorder="1" applyAlignment="1">
      <alignment horizontal="center" vertical="center" wrapText="1"/>
    </xf>
    <xf numFmtId="0" fontId="25" fillId="3" borderId="8" xfId="1" applyFont="1" applyFill="1" applyBorder="1"/>
    <xf numFmtId="0" fontId="5" fillId="3" borderId="9" xfId="1" applyFont="1" applyFill="1" applyBorder="1" applyAlignment="1">
      <alignment horizontal="center"/>
    </xf>
    <xf numFmtId="169" fontId="10" fillId="0" borderId="17" xfId="4" applyNumberFormat="1" applyFont="1" applyFill="1" applyBorder="1" applyAlignment="1">
      <alignment horizontal="center" vertical="center" wrapText="1"/>
    </xf>
    <xf numFmtId="169" fontId="10" fillId="0" borderId="24" xfId="4" applyNumberFormat="1" applyFont="1" applyFill="1" applyBorder="1" applyAlignment="1">
      <alignment horizontal="center" vertical="center" wrapText="1"/>
    </xf>
    <xf numFmtId="169" fontId="10" fillId="0" borderId="26" xfId="4" applyNumberFormat="1" applyFont="1" applyFill="1" applyBorder="1" applyAlignment="1">
      <alignment horizontal="center" vertical="center" wrapText="1"/>
    </xf>
    <xf numFmtId="170" fontId="10" fillId="0" borderId="17" xfId="4" applyNumberFormat="1" applyFont="1" applyFill="1" applyBorder="1" applyAlignment="1">
      <alignment horizontal="center" vertical="center" wrapText="1"/>
    </xf>
    <xf numFmtId="0" fontId="10" fillId="0" borderId="24" xfId="1" applyFont="1" applyBorder="1" applyAlignment="1">
      <alignment horizontal="center" vertical="center" wrapText="1"/>
    </xf>
    <xf numFmtId="169" fontId="10" fillId="0" borderId="25" xfId="4" applyNumberFormat="1" applyFont="1" applyFill="1" applyBorder="1" applyAlignment="1">
      <alignment horizontal="center" vertical="center" wrapText="1"/>
    </xf>
    <xf numFmtId="169" fontId="5" fillId="0" borderId="14" xfId="1" applyNumberFormat="1" applyFont="1" applyFill="1" applyBorder="1"/>
    <xf numFmtId="173" fontId="5" fillId="0" borderId="0" xfId="1" applyNumberFormat="1" applyFont="1"/>
    <xf numFmtId="0" fontId="5" fillId="0" borderId="1" xfId="1" applyFont="1" applyBorder="1"/>
    <xf numFmtId="0" fontId="5" fillId="0" borderId="2" xfId="1" applyFont="1" applyBorder="1"/>
    <xf numFmtId="0" fontId="5" fillId="0" borderId="4" xfId="1" applyFont="1" applyBorder="1"/>
    <xf numFmtId="174" fontId="5" fillId="0" borderId="15" xfId="4" applyNumberFormat="1" applyFont="1" applyFill="1" applyBorder="1" applyAlignment="1"/>
    <xf numFmtId="174" fontId="5" fillId="0" borderId="20" xfId="4" applyNumberFormat="1" applyFont="1" applyFill="1" applyBorder="1" applyAlignment="1"/>
    <xf numFmtId="169" fontId="5" fillId="0" borderId="21" xfId="4" applyNumberFormat="1" applyFont="1" applyFill="1" applyBorder="1" applyAlignment="1"/>
    <xf numFmtId="169" fontId="5" fillId="3" borderId="0" xfId="4" applyNumberFormat="1" applyFont="1" applyFill="1" applyBorder="1" applyAlignment="1">
      <alignment horizontal="center"/>
    </xf>
    <xf numFmtId="174" fontId="5" fillId="0" borderId="14" xfId="4" applyNumberFormat="1" applyFont="1" applyFill="1" applyBorder="1" applyAlignment="1"/>
    <xf numFmtId="164" fontId="5" fillId="3" borderId="0" xfId="4" applyNumberFormat="1" applyFont="1" applyFill="1" applyBorder="1" applyAlignment="1">
      <alignment horizontal="center"/>
    </xf>
    <xf numFmtId="172" fontId="5" fillId="0" borderId="21" xfId="4" applyNumberFormat="1" applyFont="1" applyFill="1" applyBorder="1" applyAlignment="1"/>
    <xf numFmtId="172" fontId="5" fillId="0" borderId="15" xfId="4" applyNumberFormat="1" applyFont="1" applyFill="1" applyBorder="1" applyAlignment="1"/>
    <xf numFmtId="0" fontId="5" fillId="0" borderId="8" xfId="1" applyFont="1" applyBorder="1"/>
    <xf numFmtId="0" fontId="5" fillId="0" borderId="9" xfId="1" applyFont="1" applyBorder="1"/>
    <xf numFmtId="170" fontId="5" fillId="0" borderId="17" xfId="4" applyNumberFormat="1" applyFont="1" applyFill="1" applyBorder="1" applyAlignment="1"/>
    <xf numFmtId="170" fontId="5" fillId="0" borderId="24" xfId="4" applyNumberFormat="1" applyFont="1" applyFill="1" applyBorder="1" applyAlignment="1"/>
    <xf numFmtId="169" fontId="5" fillId="0" borderId="25" xfId="4" applyNumberFormat="1" applyFont="1" applyFill="1" applyBorder="1" applyAlignment="1"/>
    <xf numFmtId="170" fontId="5" fillId="0" borderId="26" xfId="4" applyNumberFormat="1" applyFont="1" applyFill="1" applyBorder="1" applyAlignment="1"/>
    <xf numFmtId="2" fontId="5" fillId="0" borderId="22" xfId="4" applyNumberFormat="1" applyFont="1" applyFill="1" applyBorder="1" applyAlignment="1"/>
    <xf numFmtId="169" fontId="5" fillId="0" borderId="23" xfId="4" applyNumberFormat="1" applyFont="1" applyFill="1" applyBorder="1" applyAlignment="1"/>
    <xf numFmtId="172" fontId="10" fillId="0" borderId="6" xfId="4" applyNumberFormat="1" applyFont="1" applyFill="1" applyBorder="1" applyAlignment="1">
      <alignment horizontal="center" vertical="center" wrapText="1"/>
    </xf>
    <xf numFmtId="0" fontId="5" fillId="3" borderId="1" xfId="1" applyFont="1" applyFill="1" applyBorder="1" applyAlignment="1">
      <alignment horizontal="center"/>
    </xf>
    <xf numFmtId="2" fontId="1" fillId="0" borderId="0" xfId="1" applyNumberFormat="1"/>
    <xf numFmtId="169" fontId="5" fillId="0" borderId="15" xfId="4" applyNumberFormat="1" applyFont="1" applyFill="1" applyBorder="1" applyAlignment="1"/>
    <xf numFmtId="169" fontId="5" fillId="0" borderId="22" xfId="4" applyNumberFormat="1" applyFont="1" applyFill="1" applyBorder="1" applyAlignment="1"/>
    <xf numFmtId="0" fontId="10" fillId="0" borderId="18" xfId="1" applyFont="1" applyFill="1" applyBorder="1" applyAlignment="1">
      <alignment horizontal="center" vertical="center" wrapText="1"/>
    </xf>
    <xf numFmtId="0" fontId="5" fillId="3" borderId="16" xfId="1" applyFont="1" applyFill="1" applyBorder="1" applyAlignment="1">
      <alignment horizontal="center"/>
    </xf>
    <xf numFmtId="0" fontId="5" fillId="3" borderId="31" xfId="1" applyFont="1" applyFill="1" applyBorder="1" applyAlignment="1">
      <alignment horizontal="center"/>
    </xf>
    <xf numFmtId="0" fontId="10" fillId="8" borderId="32" xfId="1" applyFont="1" applyFill="1" applyBorder="1" applyAlignment="1">
      <alignment horizontal="center"/>
    </xf>
    <xf numFmtId="0" fontId="5" fillId="0" borderId="20" xfId="1" applyFont="1" applyBorder="1" applyAlignment="1"/>
    <xf numFmtId="0" fontId="5" fillId="0" borderId="0" xfId="1" applyFont="1" applyBorder="1" applyAlignment="1"/>
    <xf numFmtId="0" fontId="5" fillId="3" borderId="0" xfId="1" applyFont="1" applyFill="1" applyBorder="1" applyAlignment="1"/>
    <xf numFmtId="0" fontId="5" fillId="0" borderId="10" xfId="1" applyFont="1" applyBorder="1"/>
    <xf numFmtId="0" fontId="25" fillId="0" borderId="0" xfId="1" applyFont="1" applyFill="1"/>
    <xf numFmtId="0" fontId="5" fillId="3" borderId="16" xfId="1" applyFont="1" applyFill="1" applyBorder="1" applyAlignment="1">
      <alignment horizontal="center" wrapText="1"/>
    </xf>
    <xf numFmtId="170" fontId="5" fillId="0" borderId="0" xfId="4" applyNumberFormat="1" applyFont="1"/>
    <xf numFmtId="170" fontId="5" fillId="0" borderId="0" xfId="1" applyNumberFormat="1" applyFont="1"/>
    <xf numFmtId="2" fontId="5" fillId="0" borderId="0" xfId="4" applyNumberFormat="1" applyFont="1" applyFill="1" applyBorder="1" applyAlignment="1">
      <alignment horizontal="center"/>
    </xf>
    <xf numFmtId="2" fontId="5" fillId="0" borderId="27" xfId="4" applyNumberFormat="1" applyFont="1" applyBorder="1"/>
    <xf numFmtId="175" fontId="5" fillId="0" borderId="22" xfId="4" applyNumberFormat="1" applyFont="1" applyFill="1" applyBorder="1" applyAlignment="1">
      <alignment horizontal="center"/>
    </xf>
    <xf numFmtId="2" fontId="5" fillId="0" borderId="0" xfId="4" applyNumberFormat="1" applyFont="1" applyFill="1" applyBorder="1" applyAlignment="1"/>
    <xf numFmtId="2" fontId="5" fillId="3" borderId="7" xfId="1" applyNumberFormat="1" applyFont="1" applyFill="1" applyBorder="1" applyAlignment="1">
      <alignment horizontal="center"/>
    </xf>
    <xf numFmtId="0" fontId="10" fillId="8" borderId="16" xfId="1" applyFont="1" applyFill="1" applyBorder="1" applyAlignment="1">
      <alignment horizontal="center"/>
    </xf>
    <xf numFmtId="2" fontId="5" fillId="3" borderId="0" xfId="1" applyNumberFormat="1" applyFont="1" applyFill="1" applyBorder="1" applyAlignment="1">
      <alignment horizontal="center"/>
    </xf>
    <xf numFmtId="2" fontId="5" fillId="7" borderId="22" xfId="4" applyNumberFormat="1" applyFont="1" applyFill="1" applyBorder="1" applyAlignment="1">
      <alignment horizontal="center"/>
    </xf>
    <xf numFmtId="2" fontId="5" fillId="0" borderId="22" xfId="4" applyNumberFormat="1" applyFont="1" applyFill="1" applyBorder="1" applyAlignment="1">
      <alignment horizontal="center"/>
    </xf>
    <xf numFmtId="0" fontId="5" fillId="0" borderId="23" xfId="4" applyNumberFormat="1" applyFont="1" applyFill="1" applyBorder="1" applyAlignment="1">
      <alignment horizontal="right"/>
    </xf>
    <xf numFmtId="169" fontId="5" fillId="0" borderId="20" xfId="4" applyNumberFormat="1" applyFont="1" applyFill="1" applyBorder="1" applyAlignment="1">
      <alignment horizontal="right"/>
    </xf>
    <xf numFmtId="169" fontId="5" fillId="0" borderId="0" xfId="4" applyNumberFormat="1" applyFont="1" applyFill="1" applyBorder="1" applyAlignment="1">
      <alignment horizontal="right"/>
    </xf>
    <xf numFmtId="0" fontId="1" fillId="3" borderId="0" xfId="1" applyFill="1"/>
    <xf numFmtId="0" fontId="1" fillId="9" borderId="0" xfId="1" applyFill="1"/>
    <xf numFmtId="0" fontId="5" fillId="9" borderId="0" xfId="1" applyFont="1" applyFill="1" applyBorder="1"/>
    <xf numFmtId="0" fontId="1" fillId="3" borderId="3" xfId="1" applyFill="1" applyBorder="1"/>
    <xf numFmtId="0" fontId="22" fillId="3" borderId="0" xfId="1" quotePrefix="1" applyFont="1" applyFill="1" applyBorder="1" applyAlignment="1">
      <alignment horizontal="left"/>
    </xf>
    <xf numFmtId="0" fontId="26" fillId="3" borderId="0" xfId="1" applyFont="1" applyFill="1" applyBorder="1" applyAlignment="1">
      <alignment horizontal="right"/>
    </xf>
    <xf numFmtId="0" fontId="27" fillId="3" borderId="0" xfId="1" applyFont="1" applyFill="1" applyBorder="1" applyAlignment="1">
      <alignment horizontal="center"/>
    </xf>
    <xf numFmtId="0" fontId="4" fillId="3" borderId="7" xfId="1" applyFont="1" applyFill="1" applyBorder="1"/>
    <xf numFmtId="0" fontId="28" fillId="3" borderId="0" xfId="1" applyFont="1" applyFill="1" applyBorder="1" applyAlignment="1">
      <alignment horizontal="right"/>
    </xf>
    <xf numFmtId="0" fontId="27" fillId="3" borderId="4" xfId="1" applyFont="1" applyFill="1" applyBorder="1"/>
    <xf numFmtId="0" fontId="4" fillId="3" borderId="0" xfId="1" applyFont="1" applyFill="1" applyBorder="1" applyAlignment="1">
      <alignment horizontal="right"/>
    </xf>
    <xf numFmtId="176" fontId="29" fillId="3" borderId="0" xfId="1" applyNumberFormat="1" applyFont="1" applyFill="1" applyBorder="1" applyAlignment="1">
      <alignment horizontal="left"/>
    </xf>
    <xf numFmtId="0" fontId="1" fillId="3" borderId="0" xfId="1" applyFill="1" applyBorder="1"/>
    <xf numFmtId="0" fontId="27" fillId="3" borderId="15" xfId="1" applyFont="1" applyFill="1" applyBorder="1" applyAlignment="1">
      <alignment horizontal="center"/>
    </xf>
    <xf numFmtId="0" fontId="27" fillId="3" borderId="14" xfId="1" applyFont="1" applyFill="1" applyBorder="1" applyAlignment="1">
      <alignment horizontal="center"/>
    </xf>
    <xf numFmtId="0" fontId="27" fillId="3" borderId="22" xfId="1" applyFont="1" applyFill="1" applyBorder="1" applyAlignment="1">
      <alignment horizontal="center"/>
    </xf>
    <xf numFmtId="0" fontId="27" fillId="3" borderId="27" xfId="1" applyFont="1" applyFill="1" applyBorder="1" applyAlignment="1">
      <alignment horizontal="center"/>
    </xf>
    <xf numFmtId="0" fontId="27" fillId="3" borderId="0" xfId="1" applyFont="1" applyFill="1" applyBorder="1"/>
    <xf numFmtId="0" fontId="27" fillId="3" borderId="6" xfId="1" applyFont="1" applyFill="1" applyBorder="1" applyAlignment="1">
      <alignment horizontal="center"/>
    </xf>
    <xf numFmtId="0" fontId="27" fillId="3" borderId="5" xfId="1" applyFont="1" applyFill="1" applyBorder="1" applyAlignment="1">
      <alignment horizontal="center"/>
    </xf>
    <xf numFmtId="1" fontId="27" fillId="3" borderId="15" xfId="1" applyNumberFormat="1" applyFont="1" applyFill="1" applyBorder="1" applyAlignment="1">
      <alignment horizontal="center"/>
    </xf>
    <xf numFmtId="0" fontId="27" fillId="2" borderId="14" xfId="1" applyFont="1" applyFill="1" applyBorder="1"/>
    <xf numFmtId="1" fontId="27" fillId="3" borderId="22" xfId="1" applyNumberFormat="1" applyFont="1" applyFill="1" applyBorder="1" applyAlignment="1">
      <alignment horizontal="center"/>
    </xf>
    <xf numFmtId="0" fontId="27" fillId="2" borderId="27" xfId="1" applyFont="1" applyFill="1" applyBorder="1"/>
    <xf numFmtId="0" fontId="27" fillId="3" borderId="22" xfId="1" quotePrefix="1" applyNumberFormat="1" applyFont="1" applyFill="1" applyBorder="1" applyAlignment="1">
      <alignment horizontal="center"/>
    </xf>
    <xf numFmtId="177" fontId="27" fillId="3" borderId="22" xfId="1" applyNumberFormat="1" applyFont="1" applyFill="1" applyBorder="1" applyAlignment="1">
      <alignment horizontal="center"/>
    </xf>
    <xf numFmtId="0" fontId="27" fillId="3" borderId="17" xfId="1" applyFont="1" applyFill="1" applyBorder="1" applyAlignment="1">
      <alignment horizontal="center"/>
    </xf>
    <xf numFmtId="0" fontId="27" fillId="2" borderId="26" xfId="1" applyFont="1" applyFill="1" applyBorder="1"/>
    <xf numFmtId="0" fontId="4" fillId="3" borderId="4" xfId="1" applyFont="1" applyFill="1" applyBorder="1"/>
    <xf numFmtId="0" fontId="4" fillId="3" borderId="0" xfId="1" applyFont="1" applyFill="1" applyBorder="1"/>
    <xf numFmtId="0" fontId="7" fillId="6" borderId="13" xfId="2" applyFont="1" applyFill="1" applyBorder="1" applyAlignment="1">
      <alignment horizontal="center"/>
    </xf>
    <xf numFmtId="0" fontId="7" fillId="6" borderId="12" xfId="2" applyFont="1" applyFill="1" applyBorder="1" applyAlignment="1">
      <alignment horizontal="center"/>
    </xf>
    <xf numFmtId="0" fontId="7" fillId="6" borderId="11" xfId="2" applyFont="1" applyFill="1" applyBorder="1" applyAlignment="1">
      <alignment horizontal="center"/>
    </xf>
    <xf numFmtId="0" fontId="7" fillId="6" borderId="13" xfId="1" applyFont="1" applyFill="1" applyBorder="1" applyAlignment="1">
      <alignment horizontal="center"/>
    </xf>
    <xf numFmtId="0" fontId="7" fillId="6" borderId="12" xfId="1" applyFont="1" applyFill="1" applyBorder="1" applyAlignment="1">
      <alignment horizontal="center"/>
    </xf>
    <xf numFmtId="0" fontId="7" fillId="6" borderId="11" xfId="1" applyFont="1" applyFill="1" applyBorder="1" applyAlignment="1">
      <alignment horizontal="center"/>
    </xf>
    <xf numFmtId="0" fontId="7" fillId="6" borderId="13" xfId="10" applyFont="1" applyFill="1" applyBorder="1" applyAlignment="1">
      <alignment horizontal="center"/>
    </xf>
    <xf numFmtId="0" fontId="7" fillId="6" borderId="12" xfId="10" applyFont="1" applyFill="1" applyBorder="1" applyAlignment="1">
      <alignment horizontal="center"/>
    </xf>
    <xf numFmtId="0" fontId="7" fillId="6" borderId="11" xfId="10" applyFont="1" applyFill="1" applyBorder="1" applyAlignment="1">
      <alignment horizontal="center"/>
    </xf>
    <xf numFmtId="169" fontId="10" fillId="0" borderId="16" xfId="4" applyNumberFormat="1" applyFont="1" applyFill="1" applyBorder="1" applyAlignment="1">
      <alignment horizontal="center" vertical="center" wrapText="1"/>
    </xf>
    <xf numFmtId="0" fontId="1" fillId="0" borderId="6" xfId="1" applyBorder="1" applyAlignment="1">
      <alignment horizontal="center" vertical="center" wrapText="1"/>
    </xf>
  </cellXfs>
  <cellStyles count="11">
    <cellStyle name="Migliaia (0)_AZIONI" xfId="5"/>
    <cellStyle name="Migliaia_AZIONI" xfId="6"/>
    <cellStyle name="Normal" xfId="0" builtinId="0"/>
    <cellStyle name="Normal 2" xfId="1"/>
    <cellStyle name="Normal_SwaptionATMVols" xfId="2"/>
    <cellStyle name="Normal_SwaptionATMVols 2" xfId="10"/>
    <cellStyle name="Normale_AZIONI" xfId="7"/>
    <cellStyle name="Percent 2" xfId="4"/>
    <cellStyle name="result" xfId="3"/>
    <cellStyle name="Valuta (0)_AZIONI" xfId="8"/>
    <cellStyle name="Valuta_AZIONI" xfId="9"/>
  </cellStyles>
  <dxfs count="1">
    <dxf>
      <font>
        <condense val="0"/>
        <extend val="0"/>
        <color indexed="57"/>
      </font>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worksheet" Target="worksheets/sheet63.xml"/><Relationship Id="rId68"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61" Type="http://schemas.openxmlformats.org/officeDocument/2006/relationships/worksheet" Target="worksheets/sheet6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vmlDrawing2.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333375</xdr:colOff>
          <xdr:row>18</xdr:row>
          <xdr:rowOff>57150</xdr:rowOff>
        </xdr:from>
        <xdr:to>
          <xdr:col>3</xdr:col>
          <xdr:colOff>381000</xdr:colOff>
          <xdr:row>20</xdr:row>
          <xdr:rowOff>47625</xdr:rowOff>
        </xdr:to>
        <xdr:sp macro="" textlink="">
          <xdr:nvSpPr>
            <xdr:cNvPr id="2049" name="CommandButton1" hidden="1">
              <a:extLst>
                <a:ext uri="{63B3BB69-23CF-44E3-9099-C40C66FF867C}">
                  <a14:compatExt spid="_x0000_s20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123825</xdr:rowOff>
        </xdr:from>
        <xdr:to>
          <xdr:col>3</xdr:col>
          <xdr:colOff>390525</xdr:colOff>
          <xdr:row>22</xdr:row>
          <xdr:rowOff>114300</xdr:rowOff>
        </xdr:to>
        <xdr:sp macro="" textlink="">
          <xdr:nvSpPr>
            <xdr:cNvPr id="2050" name="CommandButton2"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erik/Documents/repos/quantlib_nando/QuantLibXL/Workbooks/MarketData/ReutersFeed/EUR_InterestRateQuotesFeed.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pecialTriggers"/>
    </sheetNames>
    <sheetDataSet>
      <sheetData sheetId="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9.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44.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57.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57.bin"/></Relationships>
</file>

<file path=xl/worksheets/_rels/sheet63.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6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59.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39"/>
  <sheetViews>
    <sheetView workbookViewId="0"/>
  </sheetViews>
  <sheetFormatPr defaultRowHeight="12.75" x14ac:dyDescent="0.2"/>
  <cols>
    <col min="1" max="2" width="7.140625" style="1" customWidth="1"/>
    <col min="3" max="3" width="13.7109375" style="1" bestFit="1" customWidth="1"/>
    <col min="4" max="4" width="30" style="1" bestFit="1" customWidth="1"/>
    <col min="5" max="5" width="21.7109375" style="1" bestFit="1" customWidth="1"/>
    <col min="6" max="6" width="51.5703125" style="1" bestFit="1" customWidth="1"/>
    <col min="7" max="7" width="7.140625" style="1" customWidth="1"/>
    <col min="8" max="16384" width="9.140625" style="1"/>
  </cols>
  <sheetData>
    <row r="1" spans="1:7" ht="13.5" thickBot="1" x14ac:dyDescent="0.25">
      <c r="A1" s="1" t="s">
        <v>33</v>
      </c>
    </row>
    <row r="2" spans="1:7" x14ac:dyDescent="0.2">
      <c r="B2" s="19"/>
      <c r="C2" s="18"/>
      <c r="D2" s="18"/>
      <c r="E2" s="18"/>
      <c r="F2" s="18"/>
      <c r="G2" s="17"/>
    </row>
    <row r="3" spans="1:7" x14ac:dyDescent="0.2">
      <c r="B3" s="9"/>
      <c r="C3" s="13"/>
      <c r="D3" s="16" t="s">
        <v>25</v>
      </c>
      <c r="E3" s="15" t="s">
        <v>24</v>
      </c>
      <c r="F3" s="13"/>
      <c r="G3" s="5"/>
    </row>
    <row r="4" spans="1:7" x14ac:dyDescent="0.2">
      <c r="B4" s="9"/>
      <c r="C4" s="13"/>
      <c r="D4" s="13"/>
      <c r="E4" s="13"/>
      <c r="F4" s="13"/>
      <c r="G4" s="5"/>
    </row>
    <row r="5" spans="1:7" x14ac:dyDescent="0.2">
      <c r="B5" s="9"/>
      <c r="C5" s="13"/>
      <c r="D5" s="11" t="str">
        <f>UPPER(Currency)&amp;"_RH_YieldTermStructure.xml"</f>
        <v>EUR_RH_YieldTermStructure.xml</v>
      </c>
      <c r="E5" s="10">
        <f ca="1">IF(Serialize,_xll.ohObjectSave(E6:E22,SerializationPath&amp;D5,FileOverwrite,,Serialize),"---")</f>
        <v>17</v>
      </c>
      <c r="F5" s="6" t="str">
        <f ca="1">_xll.ohRangeRetrieveError(E5)</f>
        <v/>
      </c>
      <c r="G5" s="14"/>
    </row>
    <row r="6" spans="1:7" x14ac:dyDescent="0.2">
      <c r="B6" s="9"/>
      <c r="C6" s="8" t="s">
        <v>23</v>
      </c>
      <c r="D6" s="8" t="str">
        <f t="shared" ref="D6:D22" si="0">Currency&amp;C6</f>
        <v>EurYC</v>
      </c>
      <c r="E6" s="7" t="str">
        <f>_xll.qlRelinkableHandleYieldTermStructure(D6,,Permanent,Trigger,ObjectOverwrite)</f>
        <v>EurYC#0003</v>
      </c>
      <c r="F6" s="6" t="str">
        <f>_xll.ohRangeRetrieveError(E6)</f>
        <v/>
      </c>
      <c r="G6" s="5"/>
    </row>
    <row r="7" spans="1:7" x14ac:dyDescent="0.2">
      <c r="B7" s="9"/>
      <c r="C7" s="8" t="s">
        <v>22</v>
      </c>
      <c r="D7" s="8" t="str">
        <f t="shared" si="0"/>
        <v>EurYCSTD</v>
      </c>
      <c r="E7" s="7" t="str">
        <f>_xll.qlRelinkableHandleYieldTermStructure(D7,,Permanent,Trigger,ObjectOverwrite)</f>
        <v>EurYCSTD#0003</v>
      </c>
      <c r="F7" s="6" t="str">
        <f>_xll.ohRangeRetrieveError(E7)</f>
        <v/>
      </c>
      <c r="G7" s="5"/>
    </row>
    <row r="8" spans="1:7" x14ac:dyDescent="0.2">
      <c r="B8" s="9"/>
      <c r="C8" s="8" t="s">
        <v>21</v>
      </c>
      <c r="D8" s="8" t="str">
        <f t="shared" si="0"/>
        <v>EuriborYCON</v>
      </c>
      <c r="E8" s="7" t="str">
        <f>_xll.qlRelinkableHandleYieldTermStructure(D8,,Permanent,Trigger,ObjectOverwrite)</f>
        <v>EuriborYCON#0003</v>
      </c>
      <c r="F8" s="6" t="str">
        <f>_xll.ohRangeRetrieveError(E8)</f>
        <v/>
      </c>
      <c r="G8" s="5"/>
    </row>
    <row r="9" spans="1:7" x14ac:dyDescent="0.2">
      <c r="B9" s="9"/>
      <c r="C9" s="8" t="s">
        <v>20</v>
      </c>
      <c r="D9" s="8" t="str">
        <f t="shared" si="0"/>
        <v>EuriborYC1M</v>
      </c>
      <c r="E9" s="7" t="str">
        <f>_xll.qlRelinkableHandleYieldTermStructure(D9,,Permanent,Trigger,ObjectOverwrite)</f>
        <v>EuriborYC1M#0003</v>
      </c>
      <c r="F9" s="6" t="str">
        <f>_xll.ohRangeRetrieveError(E9)</f>
        <v/>
      </c>
      <c r="G9" s="5"/>
    </row>
    <row r="10" spans="1:7" x14ac:dyDescent="0.2">
      <c r="B10" s="9"/>
      <c r="C10" s="8" t="s">
        <v>19</v>
      </c>
      <c r="D10" s="8" t="str">
        <f t="shared" si="0"/>
        <v>EuriborYC3M</v>
      </c>
      <c r="E10" s="7" t="str">
        <f>_xll.qlRelinkableHandleYieldTermStructure(D10,,Permanent,Trigger,ObjectOverwrite)</f>
        <v>EuriborYC3M#0003</v>
      </c>
      <c r="F10" s="6" t="str">
        <f>_xll.ohRangeRetrieveError(E10)</f>
        <v/>
      </c>
      <c r="G10" s="5"/>
    </row>
    <row r="11" spans="1:7" x14ac:dyDescent="0.2">
      <c r="B11" s="9"/>
      <c r="C11" s="8" t="s">
        <v>18</v>
      </c>
      <c r="D11" s="8" t="str">
        <f t="shared" si="0"/>
        <v>EuriborYC6M</v>
      </c>
      <c r="E11" s="7" t="str">
        <f>_xll.qlRelinkableHandleYieldTermStructure(D11,,Permanent,Trigger,ObjectOverwrite)</f>
        <v>EuriborYC6M#0003</v>
      </c>
      <c r="F11" s="6" t="str">
        <f>_xll.ohRangeRetrieveError(E11)</f>
        <v/>
      </c>
      <c r="G11" s="5"/>
    </row>
    <row r="12" spans="1:7" x14ac:dyDescent="0.2">
      <c r="B12" s="9"/>
      <c r="C12" s="8" t="s">
        <v>17</v>
      </c>
      <c r="D12" s="8" t="str">
        <f t="shared" si="0"/>
        <v>EuriborYC1Y</v>
      </c>
      <c r="E12" s="7" t="str">
        <f>_xll.qlRelinkableHandleYieldTermStructure(D12,,Permanent,Trigger,ObjectOverwrite)</f>
        <v>EuriborYC1Y#0003</v>
      </c>
      <c r="F12" s="6" t="str">
        <f>_xll.ohRangeRetrieveError(E12)</f>
        <v/>
      </c>
      <c r="G12" s="5"/>
    </row>
    <row r="13" spans="1:7" x14ac:dyDescent="0.2">
      <c r="B13" s="9"/>
      <c r="C13" s="8" t="str">
        <f>C8&amp;"-Mx"</f>
        <v>iborYCON-Mx</v>
      </c>
      <c r="D13" s="8" t="str">
        <f t="shared" si="0"/>
        <v>EuriborYCON-Mx</v>
      </c>
      <c r="E13" s="7" t="str">
        <f>_xll.qlRelinkableHandleYieldTermStructure(D13,,Permanent,Trigger,ObjectOverwrite)</f>
        <v>EuriborYCON-Mx#0003</v>
      </c>
      <c r="F13" s="6" t="str">
        <f>_xll.ohRangeRetrieveError(E13)</f>
        <v/>
      </c>
      <c r="G13" s="5"/>
    </row>
    <row r="14" spans="1:7" x14ac:dyDescent="0.2">
      <c r="B14" s="9"/>
      <c r="C14" s="8" t="str">
        <f>C9&amp;"-Mx"</f>
        <v>iborYC1M-Mx</v>
      </c>
      <c r="D14" s="8" t="str">
        <f t="shared" si="0"/>
        <v>EuriborYC1M-Mx</v>
      </c>
      <c r="E14" s="7" t="str">
        <f>_xll.qlRelinkableHandleYieldTermStructure(D14,,Permanent,Trigger,ObjectOverwrite)</f>
        <v>EuriborYC1M-Mx#0003</v>
      </c>
      <c r="F14" s="6" t="str">
        <f>_xll.ohRangeRetrieveError(E14)</f>
        <v/>
      </c>
      <c r="G14" s="5"/>
    </row>
    <row r="15" spans="1:7" x14ac:dyDescent="0.2">
      <c r="B15" s="9"/>
      <c r="C15" s="8" t="str">
        <f>C10&amp;"-Mx"</f>
        <v>iborYC3M-Mx</v>
      </c>
      <c r="D15" s="8" t="str">
        <f t="shared" si="0"/>
        <v>EuriborYC3M-Mx</v>
      </c>
      <c r="E15" s="7" t="str">
        <f>_xll.qlRelinkableHandleYieldTermStructure(D15,,Permanent,Trigger,ObjectOverwrite)</f>
        <v>EuriborYC3M-Mx#0003</v>
      </c>
      <c r="F15" s="6" t="str">
        <f>_xll.ohRangeRetrieveError(E15)</f>
        <v/>
      </c>
      <c r="G15" s="5"/>
    </row>
    <row r="16" spans="1:7" x14ac:dyDescent="0.2">
      <c r="B16" s="9"/>
      <c r="C16" s="8" t="str">
        <f>C11&amp;"-Mx"</f>
        <v>iborYC6M-Mx</v>
      </c>
      <c r="D16" s="8" t="str">
        <f t="shared" si="0"/>
        <v>EuriborYC6M-Mx</v>
      </c>
      <c r="E16" s="7" t="str">
        <f>_xll.qlRelinkableHandleYieldTermStructure(D16,,Permanent,Trigger,ObjectOverwrite)</f>
        <v>EuriborYC6M-Mx#0003</v>
      </c>
      <c r="F16" s="6" t="str">
        <f>_xll.ohRangeRetrieveError(E16)</f>
        <v/>
      </c>
      <c r="G16" s="5"/>
    </row>
    <row r="17" spans="2:7" x14ac:dyDescent="0.2">
      <c r="B17" s="9"/>
      <c r="C17" s="8" t="str">
        <f>C12&amp;"-Mx"</f>
        <v>iborYC1Y-Mx</v>
      </c>
      <c r="D17" s="8" t="str">
        <f t="shared" si="0"/>
        <v>EuriborYC1Y-Mx</v>
      </c>
      <c r="E17" s="7" t="str">
        <f>_xll.qlRelinkableHandleYieldTermStructure(D17,,Permanent,Trigger,ObjectOverwrite)</f>
        <v>EuriborYC1Y-Mx#0003</v>
      </c>
      <c r="F17" s="6" t="str">
        <f>_xll.ohRangeRetrieveError(E17)</f>
        <v/>
      </c>
      <c r="G17" s="5"/>
    </row>
    <row r="18" spans="2:7" x14ac:dyDescent="0.2">
      <c r="B18" s="9"/>
      <c r="C18" s="8" t="s">
        <v>16</v>
      </c>
      <c r="D18" s="8" t="str">
        <f t="shared" si="0"/>
        <v>EurLiborYCON</v>
      </c>
      <c r="E18" s="7" t="str">
        <f>_xll.qlRelinkableHandleYieldTermStructure(D18,,Permanent,Trigger,ObjectOverwrite)</f>
        <v>EurLiborYCON#0003</v>
      </c>
      <c r="F18" s="6" t="str">
        <f>_xll.ohRangeRetrieveError(E18)</f>
        <v/>
      </c>
      <c r="G18" s="5"/>
    </row>
    <row r="19" spans="2:7" x14ac:dyDescent="0.2">
      <c r="B19" s="9"/>
      <c r="C19" s="8" t="s">
        <v>15</v>
      </c>
      <c r="D19" s="8" t="str">
        <f t="shared" si="0"/>
        <v>EurLiborYC1M</v>
      </c>
      <c r="E19" s="7" t="str">
        <f>_xll.qlRelinkableHandleYieldTermStructure(D19,,Permanent,Trigger,ObjectOverwrite)</f>
        <v>EurLiborYC1M#0003</v>
      </c>
      <c r="F19" s="6" t="str">
        <f>_xll.ohRangeRetrieveError(E19)</f>
        <v/>
      </c>
      <c r="G19" s="5"/>
    </row>
    <row r="20" spans="2:7" x14ac:dyDescent="0.2">
      <c r="B20" s="9"/>
      <c r="C20" s="8" t="s">
        <v>14</v>
      </c>
      <c r="D20" s="8" t="str">
        <f t="shared" si="0"/>
        <v>EurLiborYC3M</v>
      </c>
      <c r="E20" s="7" t="str">
        <f>_xll.qlRelinkableHandleYieldTermStructure(D20,,Permanent,Trigger,ObjectOverwrite)</f>
        <v>EurLiborYC3M#0003</v>
      </c>
      <c r="F20" s="6" t="str">
        <f>_xll.ohRangeRetrieveError(E20)</f>
        <v/>
      </c>
      <c r="G20" s="5"/>
    </row>
    <row r="21" spans="2:7" x14ac:dyDescent="0.2">
      <c r="B21" s="9"/>
      <c r="C21" s="8" t="s">
        <v>13</v>
      </c>
      <c r="D21" s="8" t="str">
        <f t="shared" si="0"/>
        <v>EurLiborYC6M</v>
      </c>
      <c r="E21" s="7" t="str">
        <f>_xll.qlRelinkableHandleYieldTermStructure(D21,,Permanent,Trigger,ObjectOverwrite)</f>
        <v>EurLiborYC6M#0003</v>
      </c>
      <c r="F21" s="6" t="str">
        <f>_xll.ohRangeRetrieveError(E21)</f>
        <v/>
      </c>
      <c r="G21" s="5"/>
    </row>
    <row r="22" spans="2:7" x14ac:dyDescent="0.2">
      <c r="B22" s="9"/>
      <c r="C22" s="8" t="s">
        <v>12</v>
      </c>
      <c r="D22" s="8" t="str">
        <f t="shared" si="0"/>
        <v>EurLiborYC1Y</v>
      </c>
      <c r="E22" s="7" t="str">
        <f>_xll.qlRelinkableHandleYieldTermStructure(D22,,Permanent,Trigger,ObjectOverwrite)</f>
        <v>EurLiborYC1Y#0003</v>
      </c>
      <c r="F22" s="6" t="str">
        <f>_xll.ohRangeRetrieveError(E22)</f>
        <v/>
      </c>
      <c r="G22" s="5"/>
    </row>
    <row r="23" spans="2:7" x14ac:dyDescent="0.2">
      <c r="B23" s="9"/>
      <c r="C23" s="12"/>
      <c r="D23" s="13"/>
      <c r="E23" s="13"/>
      <c r="F23" s="13"/>
      <c r="G23" s="5"/>
    </row>
    <row r="24" spans="2:7" x14ac:dyDescent="0.2">
      <c r="B24" s="9"/>
      <c r="C24" s="12"/>
      <c r="D24" s="11" t="str">
        <f>UPPER(Currency)&amp;"_RH_SwaptionVolatilityStructure.xml"</f>
        <v>EUR_RH_SwaptionVolatilityStructure.xml</v>
      </c>
      <c r="E24" s="10">
        <f ca="1">IF(Serialize,_xll.ohObjectSave(E25:E26,SerializationPath&amp;D24,FileOverwrite,,Serialize),"---")</f>
        <v>2</v>
      </c>
      <c r="F24" s="6" t="str">
        <f ca="1">_xll.ohRangeRetrieveError(E24)</f>
        <v/>
      </c>
      <c r="G24" s="5"/>
    </row>
    <row r="25" spans="2:7" x14ac:dyDescent="0.2">
      <c r="B25" s="9"/>
      <c r="C25" s="8" t="s">
        <v>11</v>
      </c>
      <c r="D25" s="8" t="str">
        <f>Currency&amp;C25</f>
        <v>EurSwaptionATMVol</v>
      </c>
      <c r="E25" s="7" t="str">
        <f>_xll.qlRelinkableHandleSwaptionVolatilityStructure(D25,,Permanent,Trigger,ObjectOverwrite)</f>
        <v>EurSwaptionATMVol#0003</v>
      </c>
      <c r="F25" s="6" t="str">
        <f>_xll.ohRangeRetrieveError(E25)</f>
        <v/>
      </c>
      <c r="G25" s="5"/>
    </row>
    <row r="26" spans="2:7" x14ac:dyDescent="0.2">
      <c r="B26" s="9"/>
      <c r="C26" s="8" t="s">
        <v>10</v>
      </c>
      <c r="D26" s="8" t="str">
        <f>Currency&amp;C26</f>
        <v>EurSwaptionVol</v>
      </c>
      <c r="E26" s="7" t="str">
        <f>_xll.qlRelinkableHandleSwaptionVolatilityStructure(D26,,Permanent,Trigger,ObjectOverwrite)</f>
        <v>EurSwaptionVol#0003</v>
      </c>
      <c r="F26" s="6" t="str">
        <f>_xll.ohRangeRetrieveError(E26)</f>
        <v/>
      </c>
      <c r="G26" s="5"/>
    </row>
    <row r="27" spans="2:7" x14ac:dyDescent="0.2">
      <c r="B27" s="9"/>
      <c r="C27" s="12"/>
      <c r="D27" s="13"/>
      <c r="E27" s="13"/>
      <c r="F27" s="13"/>
      <c r="G27" s="5"/>
    </row>
    <row r="28" spans="2:7" x14ac:dyDescent="0.2">
      <c r="B28" s="9"/>
      <c r="C28" s="12"/>
      <c r="D28" s="11" t="str">
        <f>UPPER(Currency)&amp;"_RH_OptionletVolatilityStructure.xml"</f>
        <v>EUR_RH_OptionletVolatilityStructure.xml</v>
      </c>
      <c r="E28" s="10">
        <f ca="1">IF(Serialize,_xll.ohObjectSave(E29:E38,SerializationPath&amp;D28,FileOverwrite,,Serialize),"---")</f>
        <v>10</v>
      </c>
      <c r="F28" s="6" t="str">
        <f ca="1">_xll.ohRangeRetrieveError(E28)</f>
        <v/>
      </c>
      <c r="G28" s="5"/>
    </row>
    <row r="29" spans="2:7" x14ac:dyDescent="0.2">
      <c r="B29" s="9"/>
      <c r="C29" s="8" t="s">
        <v>9</v>
      </c>
      <c r="D29" s="8" t="str">
        <f t="shared" ref="D29:D38" si="1">Currency&amp;C29</f>
        <v>Eur3MFutOptionVol</v>
      </c>
      <c r="E29" s="7" t="str">
        <f>_xll.qlRelinkableHandleOptionletVolatilityStructure(D29,,Permanent,Trigger,ObjectOverwrite)</f>
        <v>Eur3MFutOptionVol#0003</v>
      </c>
      <c r="F29" s="6" t="str">
        <f>_xll.ohRangeRetrieveError(E29)</f>
        <v/>
      </c>
      <c r="G29" s="5"/>
    </row>
    <row r="30" spans="2:7" x14ac:dyDescent="0.2">
      <c r="B30" s="9"/>
      <c r="C30" s="8" t="s">
        <v>8</v>
      </c>
      <c r="D30" s="8" t="str">
        <f t="shared" si="1"/>
        <v>Eur1MCapletVol</v>
      </c>
      <c r="E30" s="7" t="str">
        <f>_xll.qlRelinkableHandleOptionletVolatilityStructure(D30,,Permanent,Trigger,ObjectOverwrite)</f>
        <v>Eur1MCapletVol#0003</v>
      </c>
      <c r="F30" s="6" t="str">
        <f>_xll.ohRangeRetrieveError(E30)</f>
        <v/>
      </c>
      <c r="G30" s="5"/>
    </row>
    <row r="31" spans="2:7" x14ac:dyDescent="0.2">
      <c r="B31" s="9"/>
      <c r="C31" s="8" t="s">
        <v>7</v>
      </c>
      <c r="D31" s="8" t="str">
        <f t="shared" si="1"/>
        <v>Eur3MCapletVol</v>
      </c>
      <c r="E31" s="7" t="str">
        <f>_xll.qlRelinkableHandleOptionletVolatilityStructure(D31,,Permanent,Trigger,ObjectOverwrite)</f>
        <v>Eur3MCapletVol#0003</v>
      </c>
      <c r="F31" s="6" t="str">
        <f>_xll.ohRangeRetrieveError(E31)</f>
        <v/>
      </c>
      <c r="G31" s="5"/>
    </row>
    <row r="32" spans="2:7" x14ac:dyDescent="0.2">
      <c r="B32" s="9"/>
      <c r="C32" s="8" t="s">
        <v>6</v>
      </c>
      <c r="D32" s="8" t="str">
        <f t="shared" si="1"/>
        <v>Eur6MCapletVol</v>
      </c>
      <c r="E32" s="7" t="str">
        <f>_xll.qlRelinkableHandleOptionletVolatilityStructure(D32,,Permanent,Trigger,ObjectOverwrite)</f>
        <v>Eur6MCapletVol#0003</v>
      </c>
      <c r="F32" s="6" t="str">
        <f>_xll.ohRangeRetrieveError(E32)</f>
        <v/>
      </c>
      <c r="G32" s="5"/>
    </row>
    <row r="33" spans="2:7" x14ac:dyDescent="0.2">
      <c r="B33" s="9"/>
      <c r="C33" s="8" t="s">
        <v>5</v>
      </c>
      <c r="D33" s="8" t="str">
        <f t="shared" si="1"/>
        <v>Eur1YCapletVol</v>
      </c>
      <c r="E33" s="7" t="str">
        <f>_xll.qlRelinkableHandleOptionletVolatilityStructure(D33,,Permanent,Trigger,ObjectOverwrite)</f>
        <v>Eur1YCapletVol#0003</v>
      </c>
      <c r="F33" s="6" t="str">
        <f>_xll.ohRangeRetrieveError(E33)</f>
        <v/>
      </c>
      <c r="G33" s="5"/>
    </row>
    <row r="34" spans="2:7" x14ac:dyDescent="0.2">
      <c r="B34" s="9"/>
      <c r="C34" s="8" t="s">
        <v>4</v>
      </c>
      <c r="D34" s="8" t="str">
        <f t="shared" si="1"/>
        <v>Eur3MFutOptionVolEx</v>
      </c>
      <c r="E34" s="7" t="str">
        <f>_xll.qlRelinkableHandleOptionletVolatilityStructure(D34,,Permanent,Trigger,ObjectOverwrite)</f>
        <v>Eur3MFutOptionVolEx#0003</v>
      </c>
      <c r="F34" s="6" t="str">
        <f>_xll.ohRangeRetrieveError(E34)</f>
        <v/>
      </c>
      <c r="G34" s="5"/>
    </row>
    <row r="35" spans="2:7" x14ac:dyDescent="0.2">
      <c r="B35" s="9"/>
      <c r="C35" s="8" t="s">
        <v>3</v>
      </c>
      <c r="D35" s="8" t="str">
        <f t="shared" si="1"/>
        <v>Eur1MCapletVolEx</v>
      </c>
      <c r="E35" s="7" t="str">
        <f>_xll.qlRelinkableHandleOptionletVolatilityStructure(D35,,Permanent,Trigger,ObjectOverwrite)</f>
        <v>Eur1MCapletVolEx#0003</v>
      </c>
      <c r="F35" s="6" t="str">
        <f>_xll.ohRangeRetrieveError(E35)</f>
        <v/>
      </c>
      <c r="G35" s="5"/>
    </row>
    <row r="36" spans="2:7" x14ac:dyDescent="0.2">
      <c r="B36" s="9"/>
      <c r="C36" s="8" t="s">
        <v>2</v>
      </c>
      <c r="D36" s="8" t="str">
        <f t="shared" si="1"/>
        <v>Eur3MCapletVolEx</v>
      </c>
      <c r="E36" s="7" t="str">
        <f>_xll.qlRelinkableHandleOptionletVolatilityStructure(D36,,Permanent,Trigger,ObjectOverwrite)</f>
        <v>Eur3MCapletVolEx#0003</v>
      </c>
      <c r="F36" s="6" t="str">
        <f>_xll.ohRangeRetrieveError(E36)</f>
        <v/>
      </c>
      <c r="G36" s="5"/>
    </row>
    <row r="37" spans="2:7" x14ac:dyDescent="0.2">
      <c r="B37" s="9"/>
      <c r="C37" s="8" t="s">
        <v>1</v>
      </c>
      <c r="D37" s="8" t="str">
        <f t="shared" si="1"/>
        <v>Eur6MCapletVolEx</v>
      </c>
      <c r="E37" s="7" t="str">
        <f>_xll.qlRelinkableHandleOptionletVolatilityStructure(D37,,Permanent,Trigger,ObjectOverwrite)</f>
        <v>Eur6MCapletVolEx#0003</v>
      </c>
      <c r="F37" s="6" t="str">
        <f>_xll.ohRangeRetrieveError(E37)</f>
        <v/>
      </c>
      <c r="G37" s="5"/>
    </row>
    <row r="38" spans="2:7" x14ac:dyDescent="0.2">
      <c r="B38" s="9"/>
      <c r="C38" s="8" t="s">
        <v>0</v>
      </c>
      <c r="D38" s="8" t="str">
        <f t="shared" si="1"/>
        <v>Eur1YCapletVolEx</v>
      </c>
      <c r="E38" s="7" t="str">
        <f>_xll.qlRelinkableHandleOptionletVolatilityStructure(D38,,Permanent,Trigger,ObjectOverwrite)</f>
        <v>Eur1YCapletVolEx#0003</v>
      </c>
      <c r="F38" s="6" t="str">
        <f>_xll.ohRangeRetrieveError(E38)</f>
        <v/>
      </c>
      <c r="G38" s="5"/>
    </row>
    <row r="39" spans="2:7" ht="13.5" thickBot="1" x14ac:dyDescent="0.25">
      <c r="B39" s="4"/>
      <c r="C39" s="3"/>
      <c r="D39" s="3"/>
      <c r="E39" s="3"/>
      <c r="F39" s="3"/>
      <c r="G39" s="2"/>
    </row>
  </sheetData>
  <dataValidations count="1">
    <dataValidation type="list" allowBlank="1" showInputMessage="1" showErrorMessage="1" sqref="E3">
      <formula1>"Eur,Usd,Gbp,Jpy,Chf,Hkd,Cad"</formula1>
    </dataValidation>
  </dataValidations>
  <pageMargins left="0.75" right="0.75" top="1" bottom="1" header="0.5" footer="0.5"/>
  <pageSetup paperSize="9"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C50"/>
  <sheetViews>
    <sheetView workbookViewId="0"/>
  </sheetViews>
  <sheetFormatPr defaultRowHeight="12.75" x14ac:dyDescent="0.2"/>
  <cols>
    <col min="1" max="1" width="2.85546875" style="20" customWidth="1"/>
    <col min="2" max="2" width="6.5703125" style="20" customWidth="1"/>
    <col min="3" max="3" width="15.5703125" style="20" bestFit="1" customWidth="1"/>
    <col min="4" max="4" width="79.140625" style="20" bestFit="1" customWidth="1"/>
    <col min="5" max="5" width="5" style="20" customWidth="1"/>
    <col min="6" max="6" width="50.42578125" style="20" customWidth="1"/>
    <col min="7" max="7" width="5.7109375" style="20" customWidth="1"/>
    <col min="8" max="16384" width="9.140625" style="20"/>
  </cols>
  <sheetData>
    <row r="1" spans="1:29" ht="13.5" thickBot="1" x14ac:dyDescent="0.25">
      <c r="A1" s="23" t="s">
        <v>33</v>
      </c>
      <c r="B1" s="23" t="str">
        <f>_xll.qlxlVersion(TRUE,Trigger)</f>
        <v>QuantLibXL 1.3.0 - MS VC++ 9.0 - Multithreaded Static Runtime library - Release Configuration - Dec  5 2013 11:03:51</v>
      </c>
      <c r="C1" s="23"/>
      <c r="D1" s="23"/>
      <c r="E1" s="23"/>
      <c r="F1" s="23"/>
      <c r="G1" s="23"/>
      <c r="H1" s="1"/>
      <c r="I1" s="1"/>
      <c r="J1" s="1"/>
      <c r="K1" s="1"/>
      <c r="L1" s="1"/>
      <c r="M1" s="1"/>
      <c r="N1" s="1"/>
      <c r="O1" s="1"/>
      <c r="P1" s="1"/>
      <c r="Q1" s="1"/>
      <c r="R1" s="1"/>
      <c r="S1" s="1"/>
      <c r="T1" s="1"/>
      <c r="U1" s="1"/>
      <c r="V1" s="1"/>
      <c r="W1" s="1"/>
      <c r="X1" s="1"/>
      <c r="Y1" s="1"/>
      <c r="Z1" s="1"/>
      <c r="AA1" s="1"/>
      <c r="AB1" s="1"/>
      <c r="AC1" s="1"/>
    </row>
    <row r="2" spans="1:29" ht="15.75" x14ac:dyDescent="0.25">
      <c r="A2" s="23"/>
      <c r="B2" s="452" t="s">
        <v>32</v>
      </c>
      <c r="C2" s="453"/>
      <c r="D2" s="453"/>
      <c r="E2" s="454"/>
      <c r="F2" s="1"/>
      <c r="G2" s="1"/>
      <c r="H2" s="1"/>
      <c r="I2" s="1"/>
      <c r="J2" s="1"/>
      <c r="K2" s="1"/>
      <c r="L2" s="1"/>
      <c r="M2" s="1"/>
      <c r="N2" s="1"/>
      <c r="O2" s="1"/>
      <c r="P2" s="1"/>
      <c r="Q2" s="1"/>
      <c r="R2" s="1"/>
      <c r="S2" s="1"/>
      <c r="T2" s="1"/>
      <c r="U2" s="1"/>
      <c r="V2" s="1"/>
      <c r="W2" s="1"/>
      <c r="X2" s="1"/>
      <c r="Y2" s="1"/>
      <c r="Z2" s="1"/>
      <c r="AA2" s="1"/>
      <c r="AB2" s="1"/>
      <c r="AC2" s="1"/>
    </row>
    <row r="3" spans="1:29" x14ac:dyDescent="0.2">
      <c r="A3" s="23"/>
      <c r="B3" s="9"/>
      <c r="C3" s="13"/>
      <c r="D3" s="13"/>
      <c r="E3" s="5"/>
      <c r="F3" s="1"/>
      <c r="G3" s="1"/>
      <c r="H3" s="1"/>
      <c r="I3" s="1"/>
      <c r="J3" s="1"/>
      <c r="K3" s="1"/>
      <c r="L3" s="1"/>
      <c r="M3" s="1"/>
      <c r="N3" s="1"/>
      <c r="O3" s="1"/>
      <c r="P3" s="1"/>
      <c r="Q3" s="1"/>
      <c r="R3" s="1"/>
      <c r="S3" s="1"/>
      <c r="T3" s="1"/>
      <c r="U3" s="1"/>
      <c r="V3" s="1"/>
      <c r="W3" s="1"/>
      <c r="X3" s="1"/>
      <c r="Y3" s="1"/>
      <c r="Z3" s="1"/>
      <c r="AA3" s="1"/>
      <c r="AB3" s="1"/>
      <c r="AC3" s="1"/>
    </row>
    <row r="4" spans="1:29" x14ac:dyDescent="0.2">
      <c r="A4" s="23"/>
      <c r="B4" s="9"/>
      <c r="C4" s="16" t="s">
        <v>31</v>
      </c>
      <c r="D4" s="15">
        <v>41618.599942129629</v>
      </c>
      <c r="E4" s="14"/>
      <c r="F4" s="1"/>
      <c r="G4" s="1"/>
      <c r="H4" s="1"/>
      <c r="I4" s="1"/>
      <c r="J4" s="1"/>
      <c r="K4" s="1"/>
      <c r="L4" s="1"/>
      <c r="M4" s="1"/>
      <c r="N4" s="1"/>
      <c r="O4" s="1"/>
      <c r="P4" s="1"/>
      <c r="Q4" s="1"/>
      <c r="R4" s="1"/>
      <c r="S4" s="1"/>
      <c r="T4" s="1"/>
      <c r="U4" s="1"/>
      <c r="V4" s="1"/>
      <c r="W4" s="1"/>
      <c r="X4" s="1"/>
      <c r="Y4" s="1"/>
      <c r="Z4" s="1"/>
      <c r="AA4" s="1"/>
      <c r="AB4" s="1"/>
      <c r="AC4" s="1"/>
    </row>
    <row r="5" spans="1:29" x14ac:dyDescent="0.2">
      <c r="A5" s="23"/>
      <c r="B5" s="9"/>
      <c r="C5" s="16" t="s">
        <v>30</v>
      </c>
      <c r="D5" s="15" t="b">
        <v>1</v>
      </c>
      <c r="E5" s="14"/>
      <c r="F5" s="1"/>
      <c r="G5" s="1"/>
      <c r="H5" s="1"/>
      <c r="I5" s="1"/>
      <c r="J5" s="1"/>
      <c r="K5" s="1"/>
      <c r="L5" s="1"/>
      <c r="M5" s="1"/>
      <c r="N5" s="1"/>
      <c r="O5" s="1"/>
      <c r="P5" s="1"/>
      <c r="Q5" s="1"/>
      <c r="R5" s="1"/>
      <c r="S5" s="1"/>
      <c r="T5" s="1"/>
      <c r="U5" s="1"/>
      <c r="V5" s="1"/>
      <c r="W5" s="1"/>
      <c r="X5" s="1"/>
      <c r="Y5" s="1"/>
      <c r="Z5" s="1"/>
      <c r="AA5" s="1"/>
      <c r="AB5" s="1"/>
      <c r="AC5" s="1"/>
    </row>
    <row r="6" spans="1:29" x14ac:dyDescent="0.2">
      <c r="A6" s="23"/>
      <c r="B6" s="9"/>
      <c r="C6" s="16" t="s">
        <v>29</v>
      </c>
      <c r="D6" s="15" t="b">
        <v>0</v>
      </c>
      <c r="E6" s="14"/>
      <c r="F6" s="1"/>
      <c r="G6" s="1"/>
      <c r="H6" s="1"/>
      <c r="I6" s="1"/>
      <c r="J6" s="1"/>
      <c r="K6" s="1"/>
      <c r="L6" s="1"/>
      <c r="M6" s="1"/>
      <c r="N6" s="1"/>
      <c r="O6" s="1"/>
      <c r="P6" s="1"/>
      <c r="Q6" s="1"/>
      <c r="R6" s="1"/>
      <c r="S6" s="1"/>
      <c r="T6" s="1"/>
      <c r="U6" s="1"/>
      <c r="V6" s="1"/>
      <c r="W6" s="1"/>
      <c r="X6" s="1"/>
      <c r="Y6" s="1"/>
      <c r="Z6" s="1"/>
      <c r="AA6" s="1"/>
      <c r="AB6" s="1"/>
      <c r="AC6" s="1"/>
    </row>
    <row r="7" spans="1:29" x14ac:dyDescent="0.2">
      <c r="A7" s="23"/>
      <c r="B7" s="9"/>
      <c r="C7" s="16" t="s">
        <v>28</v>
      </c>
      <c r="D7" s="15" t="b">
        <v>1</v>
      </c>
      <c r="E7" s="14"/>
      <c r="F7" s="1"/>
      <c r="G7" s="1"/>
      <c r="H7" s="1"/>
      <c r="I7" s="1"/>
      <c r="J7" s="1"/>
      <c r="K7" s="1"/>
      <c r="L7" s="1"/>
      <c r="M7" s="1"/>
      <c r="N7" s="1"/>
      <c r="O7" s="1"/>
      <c r="P7" s="1"/>
      <c r="Q7" s="1"/>
      <c r="R7" s="1"/>
      <c r="S7" s="1"/>
      <c r="T7" s="1"/>
      <c r="U7" s="1"/>
      <c r="V7" s="1"/>
      <c r="W7" s="1"/>
      <c r="X7" s="1"/>
      <c r="Y7" s="1"/>
      <c r="Z7" s="1"/>
      <c r="AA7" s="1"/>
      <c r="AB7" s="1"/>
      <c r="AC7" s="1"/>
    </row>
    <row r="8" spans="1:29" x14ac:dyDescent="0.2">
      <c r="A8" s="23"/>
      <c r="B8" s="9"/>
      <c r="C8" s="16" t="s">
        <v>27</v>
      </c>
      <c r="D8" s="25" t="str">
        <f ca="1">SUBSTITUTE(LEFT(CELL("filename",A1),FIND("[",CELL("filename",A1),1)-1),"\XLS\","\XML\")</f>
        <v>C:\Users\erik\Documents\repos\quantlib_nando\QuantLibXL\Data2\XML\</v>
      </c>
      <c r="E8" s="14"/>
      <c r="F8" s="1"/>
      <c r="G8" s="1"/>
      <c r="H8" s="1"/>
      <c r="I8" s="1"/>
      <c r="J8" s="1"/>
      <c r="K8" s="1"/>
      <c r="L8" s="1"/>
      <c r="M8" s="1"/>
      <c r="N8" s="1"/>
      <c r="O8" s="1"/>
      <c r="P8" s="1"/>
      <c r="Q8" s="1"/>
      <c r="R8" s="1"/>
      <c r="S8" s="1"/>
      <c r="T8" s="1"/>
      <c r="U8" s="1"/>
      <c r="V8" s="1"/>
      <c r="W8" s="1"/>
      <c r="X8" s="1"/>
      <c r="Y8" s="1"/>
      <c r="Z8" s="1"/>
      <c r="AA8" s="1"/>
      <c r="AB8" s="1"/>
      <c r="AC8" s="1"/>
    </row>
    <row r="9" spans="1:29" x14ac:dyDescent="0.2">
      <c r="A9" s="23"/>
      <c r="B9" s="9"/>
      <c r="C9" s="16" t="s">
        <v>26</v>
      </c>
      <c r="D9" s="24" t="b">
        <v>1</v>
      </c>
      <c r="E9" s="14"/>
      <c r="F9" s="1"/>
      <c r="G9" s="1"/>
      <c r="H9" s="1"/>
      <c r="I9" s="1"/>
      <c r="J9" s="1"/>
      <c r="K9" s="1"/>
      <c r="L9" s="1"/>
      <c r="M9" s="1"/>
      <c r="N9" s="1"/>
      <c r="O9" s="1"/>
      <c r="P9" s="1"/>
      <c r="Q9" s="1"/>
      <c r="R9" s="1"/>
      <c r="S9" s="1"/>
      <c r="T9" s="1"/>
      <c r="U9" s="1"/>
      <c r="V9" s="1"/>
      <c r="W9" s="1"/>
      <c r="X9" s="1"/>
      <c r="Y9" s="1"/>
      <c r="Z9" s="1"/>
      <c r="AA9" s="1"/>
      <c r="AB9" s="1"/>
      <c r="AC9" s="1"/>
    </row>
    <row r="10" spans="1:29" ht="13.5" thickBot="1" x14ac:dyDescent="0.25">
      <c r="A10" s="23"/>
      <c r="B10" s="4"/>
      <c r="C10" s="3"/>
      <c r="D10" s="3"/>
      <c r="E10" s="2"/>
      <c r="F10" s="1"/>
      <c r="G10" s="1"/>
      <c r="H10" s="1"/>
      <c r="I10" s="1"/>
      <c r="J10" s="1"/>
      <c r="K10" s="1"/>
      <c r="L10" s="1"/>
      <c r="M10" s="1"/>
      <c r="N10" s="1"/>
      <c r="O10" s="1"/>
      <c r="P10" s="1"/>
      <c r="Q10" s="1"/>
      <c r="R10" s="1"/>
      <c r="S10" s="1"/>
      <c r="T10" s="1"/>
      <c r="U10" s="1"/>
      <c r="V10" s="1"/>
      <c r="W10" s="1"/>
      <c r="X10" s="1"/>
      <c r="Y10" s="1"/>
      <c r="Z10" s="1"/>
      <c r="AA10" s="1"/>
      <c r="AB10" s="1"/>
      <c r="AC10" s="1"/>
    </row>
    <row r="11" spans="1:29" x14ac:dyDescent="0.2">
      <c r="A11" s="1"/>
      <c r="B11" s="1"/>
      <c r="C11" s="1"/>
      <c r="D11" s="1"/>
      <c r="E11" s="1"/>
      <c r="F11" s="1"/>
      <c r="G11" s="1"/>
      <c r="H11" s="1"/>
      <c r="I11" s="1"/>
      <c r="J11" s="1"/>
      <c r="K11" s="1"/>
      <c r="L11" s="1"/>
      <c r="M11" s="1"/>
      <c r="N11" s="1"/>
      <c r="O11" s="1"/>
      <c r="P11" s="1"/>
      <c r="Q11" s="1"/>
      <c r="R11" s="1"/>
      <c r="S11" s="1"/>
      <c r="T11" s="1"/>
      <c r="U11" s="1"/>
      <c r="V11" s="1"/>
      <c r="W11" s="1"/>
      <c r="X11" s="1"/>
      <c r="Y11" s="1"/>
      <c r="Z11" s="1"/>
      <c r="AA11" s="1"/>
      <c r="AB11" s="1"/>
      <c r="AC11" s="1"/>
    </row>
    <row r="12" spans="1:29" x14ac:dyDescent="0.2">
      <c r="A12" s="1"/>
      <c r="B12" s="1"/>
      <c r="C12" s="22"/>
      <c r="D12" s="22"/>
      <c r="E12" s="22"/>
      <c r="F12" s="22"/>
      <c r="G12" s="1"/>
      <c r="H12" s="1"/>
      <c r="I12" s="1"/>
      <c r="J12" s="1"/>
      <c r="K12" s="1"/>
      <c r="L12" s="1"/>
      <c r="M12" s="1"/>
      <c r="N12" s="1"/>
      <c r="O12" s="1"/>
      <c r="P12" s="1"/>
      <c r="Q12" s="1"/>
      <c r="R12" s="1"/>
      <c r="S12" s="1"/>
      <c r="T12" s="1"/>
      <c r="U12" s="1"/>
      <c r="V12" s="1"/>
      <c r="W12" s="1"/>
      <c r="X12" s="1"/>
      <c r="Y12" s="1"/>
      <c r="Z12" s="1"/>
      <c r="AA12" s="1"/>
      <c r="AB12" s="1"/>
      <c r="AC12" s="1"/>
    </row>
    <row r="13" spans="1:29" x14ac:dyDescent="0.2">
      <c r="A13" s="1"/>
      <c r="B13" s="1"/>
      <c r="C13" s="22"/>
      <c r="D13" s="22"/>
      <c r="E13" s="22"/>
      <c r="F13" s="22"/>
      <c r="G13" s="1"/>
      <c r="H13" s="1"/>
      <c r="I13" s="1"/>
      <c r="J13" s="1"/>
      <c r="K13" s="1"/>
      <c r="L13" s="1"/>
      <c r="M13" s="1"/>
      <c r="N13" s="1"/>
      <c r="O13" s="1"/>
      <c r="P13" s="1"/>
      <c r="Q13" s="1"/>
      <c r="R13" s="1"/>
      <c r="S13" s="1"/>
      <c r="T13" s="1"/>
      <c r="U13" s="1"/>
      <c r="V13" s="1"/>
      <c r="W13" s="1"/>
      <c r="X13" s="1"/>
      <c r="Y13" s="1"/>
      <c r="Z13" s="1"/>
      <c r="AA13" s="1"/>
      <c r="AB13" s="1"/>
      <c r="AC13" s="1"/>
    </row>
    <row r="14" spans="1:29" x14ac:dyDescent="0.2">
      <c r="A14" s="1"/>
      <c r="B14" s="1"/>
      <c r="C14" s="22"/>
      <c r="D14" s="22"/>
      <c r="E14" s="22"/>
      <c r="F14" s="22"/>
      <c r="G14" s="1"/>
      <c r="H14" s="1"/>
      <c r="I14" s="1"/>
      <c r="J14" s="1"/>
      <c r="K14" s="1"/>
      <c r="L14" s="1"/>
      <c r="M14" s="1"/>
      <c r="N14" s="1"/>
      <c r="O14" s="1"/>
      <c r="P14" s="1"/>
      <c r="Q14" s="1"/>
      <c r="R14" s="1"/>
      <c r="S14" s="1"/>
      <c r="T14" s="1"/>
      <c r="U14" s="1"/>
      <c r="V14" s="1"/>
      <c r="W14" s="1"/>
      <c r="X14" s="1"/>
      <c r="Y14" s="1"/>
      <c r="Z14" s="1"/>
      <c r="AA14" s="1"/>
      <c r="AB14" s="1"/>
      <c r="AC14" s="1"/>
    </row>
    <row r="15" spans="1:29" x14ac:dyDescent="0.2">
      <c r="A15" s="1"/>
      <c r="B15" s="1"/>
      <c r="C15" s="22"/>
      <c r="D15" s="22"/>
      <c r="E15" s="22"/>
      <c r="F15" s="22"/>
      <c r="G15" s="1"/>
      <c r="H15" s="1"/>
      <c r="I15" s="1"/>
      <c r="J15" s="1"/>
      <c r="K15" s="1"/>
      <c r="L15" s="1"/>
      <c r="M15" s="1"/>
      <c r="N15" s="1"/>
      <c r="O15" s="1"/>
      <c r="P15" s="1"/>
      <c r="Q15" s="1"/>
      <c r="R15" s="1"/>
      <c r="S15" s="1"/>
      <c r="T15" s="1"/>
      <c r="U15" s="1"/>
      <c r="V15" s="1"/>
      <c r="W15" s="1"/>
      <c r="X15" s="1"/>
      <c r="Y15" s="1"/>
      <c r="Z15" s="1"/>
      <c r="AA15" s="1"/>
      <c r="AB15" s="1"/>
      <c r="AC15" s="1"/>
    </row>
    <row r="16" spans="1:29" x14ac:dyDescent="0.2">
      <c r="A16" s="1"/>
      <c r="B16" s="1"/>
      <c r="C16" s="22"/>
      <c r="D16" s="22"/>
      <c r="E16" s="22"/>
      <c r="F16" s="22"/>
      <c r="G16" s="1"/>
      <c r="H16" s="1"/>
      <c r="I16" s="1"/>
      <c r="J16" s="1"/>
      <c r="K16" s="1"/>
      <c r="L16" s="1"/>
      <c r="M16" s="1"/>
      <c r="N16" s="1"/>
      <c r="O16" s="1"/>
      <c r="P16" s="1"/>
      <c r="Q16" s="1"/>
      <c r="R16" s="1"/>
      <c r="S16" s="1"/>
      <c r="T16" s="1"/>
      <c r="U16" s="1"/>
      <c r="V16" s="1"/>
      <c r="W16" s="1"/>
      <c r="X16" s="1"/>
      <c r="Y16" s="1"/>
      <c r="Z16" s="1"/>
      <c r="AA16" s="1"/>
      <c r="AB16" s="1"/>
      <c r="AC16" s="1"/>
    </row>
    <row r="17" spans="1:29" x14ac:dyDescent="0.2">
      <c r="A17" s="1"/>
      <c r="B17" s="1"/>
      <c r="C17" s="22"/>
      <c r="D17" s="22"/>
      <c r="E17" s="22"/>
      <c r="F17" s="22"/>
      <c r="G17" s="1"/>
      <c r="H17" s="1"/>
      <c r="I17" s="1"/>
      <c r="J17" s="1"/>
      <c r="K17" s="1"/>
      <c r="L17" s="1"/>
      <c r="M17" s="1"/>
      <c r="N17" s="1"/>
      <c r="O17" s="1"/>
      <c r="P17" s="1"/>
      <c r="Q17" s="1"/>
      <c r="R17" s="1"/>
      <c r="S17" s="1"/>
      <c r="T17" s="1"/>
      <c r="U17" s="1"/>
      <c r="V17" s="1"/>
      <c r="W17" s="1"/>
      <c r="X17" s="1"/>
      <c r="Y17" s="1"/>
      <c r="Z17" s="1"/>
      <c r="AA17" s="1"/>
      <c r="AB17" s="1"/>
      <c r="AC17" s="1"/>
    </row>
    <row r="18" spans="1:29" x14ac:dyDescent="0.2">
      <c r="A18" s="1"/>
      <c r="B18" s="1"/>
      <c r="C18" s="22"/>
      <c r="D18" s="22"/>
      <c r="E18" s="22"/>
      <c r="F18" s="22"/>
      <c r="G18" s="1"/>
      <c r="H18" s="1"/>
      <c r="I18" s="1"/>
      <c r="J18" s="1"/>
      <c r="K18" s="1"/>
      <c r="L18" s="1"/>
      <c r="M18" s="1"/>
      <c r="N18" s="1"/>
      <c r="O18" s="1"/>
      <c r="P18" s="1"/>
      <c r="Q18" s="1"/>
      <c r="R18" s="1"/>
      <c r="S18" s="1"/>
      <c r="T18" s="1"/>
      <c r="U18" s="1"/>
      <c r="V18" s="1"/>
      <c r="W18" s="1"/>
      <c r="X18" s="1"/>
      <c r="Y18" s="1"/>
      <c r="Z18" s="1"/>
      <c r="AA18" s="1"/>
      <c r="AB18" s="1"/>
      <c r="AC18" s="1"/>
    </row>
    <row r="19" spans="1:29" x14ac:dyDescent="0.2">
      <c r="A19" s="1"/>
      <c r="B19" s="1"/>
      <c r="C19" s="22"/>
      <c r="D19" s="22"/>
      <c r="E19" s="22"/>
      <c r="F19" s="22"/>
      <c r="G19" s="1"/>
      <c r="H19" s="1"/>
      <c r="I19" s="1"/>
      <c r="J19" s="1"/>
      <c r="K19" s="1"/>
      <c r="L19" s="1"/>
      <c r="M19" s="1"/>
      <c r="N19" s="1"/>
      <c r="O19" s="1"/>
      <c r="P19" s="1"/>
      <c r="Q19" s="1"/>
      <c r="R19" s="1"/>
      <c r="S19" s="1"/>
      <c r="T19" s="1"/>
      <c r="U19" s="1"/>
      <c r="V19" s="1"/>
      <c r="W19" s="1"/>
      <c r="X19" s="1"/>
      <c r="Y19" s="1"/>
      <c r="Z19" s="1"/>
      <c r="AA19" s="1"/>
      <c r="AB19" s="1"/>
      <c r="AC19" s="1"/>
    </row>
    <row r="20" spans="1:29" x14ac:dyDescent="0.2">
      <c r="A20" s="1"/>
      <c r="B20" s="1"/>
      <c r="C20" s="22"/>
      <c r="D20" s="22"/>
      <c r="E20" s="22"/>
      <c r="F20" s="22"/>
      <c r="G20" s="1"/>
      <c r="H20" s="1"/>
      <c r="I20" s="1"/>
      <c r="J20" s="1"/>
      <c r="K20" s="1"/>
      <c r="L20" s="1"/>
      <c r="M20" s="1"/>
      <c r="N20" s="1"/>
      <c r="O20" s="1"/>
      <c r="P20" s="1"/>
      <c r="Q20" s="1"/>
      <c r="R20" s="1"/>
      <c r="S20" s="1"/>
      <c r="T20" s="1"/>
      <c r="U20" s="1"/>
      <c r="V20" s="1"/>
      <c r="W20" s="1"/>
      <c r="X20" s="1"/>
      <c r="Y20" s="1"/>
      <c r="Z20" s="1"/>
      <c r="AA20" s="1"/>
      <c r="AB20" s="1"/>
      <c r="AC20" s="1"/>
    </row>
    <row r="21" spans="1:29" x14ac:dyDescent="0.2">
      <c r="A21" s="1"/>
      <c r="B21" s="1"/>
      <c r="C21" s="22"/>
      <c r="D21" s="22"/>
      <c r="E21" s="22"/>
      <c r="F21" s="22"/>
      <c r="G21" s="1"/>
      <c r="H21" s="1"/>
      <c r="I21" s="1"/>
      <c r="J21" s="1"/>
      <c r="K21" s="1"/>
      <c r="L21" s="1"/>
      <c r="M21" s="1"/>
      <c r="N21" s="1"/>
      <c r="O21" s="1"/>
      <c r="P21" s="1"/>
      <c r="Q21" s="1"/>
      <c r="R21" s="1"/>
      <c r="S21" s="1"/>
      <c r="T21" s="1"/>
      <c r="U21" s="1"/>
      <c r="V21" s="1"/>
      <c r="W21" s="1"/>
      <c r="X21" s="1"/>
      <c r="Y21" s="1"/>
      <c r="Z21" s="1"/>
      <c r="AA21" s="1"/>
      <c r="AB21" s="1"/>
      <c r="AC21" s="1"/>
    </row>
    <row r="22" spans="1:29" x14ac:dyDescent="0.2">
      <c r="A22" s="1"/>
      <c r="B22" s="1"/>
      <c r="C22" s="22"/>
      <c r="D22" s="22"/>
      <c r="E22" s="22"/>
      <c r="F22" s="22"/>
      <c r="G22" s="1"/>
      <c r="H22" s="1"/>
      <c r="I22" s="1"/>
      <c r="J22" s="1"/>
      <c r="K22" s="1"/>
      <c r="L22" s="1"/>
      <c r="M22" s="1"/>
      <c r="N22" s="1"/>
      <c r="O22" s="1"/>
      <c r="P22" s="1"/>
      <c r="Q22" s="1"/>
      <c r="R22" s="1"/>
      <c r="S22" s="1"/>
      <c r="T22" s="1"/>
      <c r="U22" s="1"/>
      <c r="V22" s="1"/>
      <c r="W22" s="1"/>
      <c r="X22" s="1"/>
      <c r="Y22" s="1"/>
      <c r="Z22" s="1"/>
      <c r="AA22" s="1"/>
      <c r="AB22" s="1"/>
      <c r="AC22" s="1"/>
    </row>
    <row r="23" spans="1:29" x14ac:dyDescent="0.2">
      <c r="A23" s="1"/>
      <c r="B23" s="1"/>
      <c r="C23" s="22"/>
      <c r="D23" s="22"/>
      <c r="E23" s="22"/>
      <c r="F23" s="22"/>
      <c r="G23" s="1"/>
      <c r="H23" s="1"/>
      <c r="I23" s="1"/>
      <c r="J23" s="1"/>
      <c r="K23" s="1"/>
      <c r="L23" s="1"/>
      <c r="M23" s="1"/>
      <c r="N23" s="1"/>
      <c r="O23" s="1"/>
      <c r="P23" s="1"/>
      <c r="Q23" s="1"/>
      <c r="R23" s="1"/>
      <c r="S23" s="1"/>
      <c r="T23" s="1"/>
      <c r="U23" s="1"/>
      <c r="V23" s="1"/>
      <c r="W23" s="1"/>
      <c r="X23" s="1"/>
      <c r="Y23" s="1"/>
      <c r="Z23" s="1"/>
      <c r="AA23" s="1"/>
      <c r="AB23" s="1"/>
      <c r="AC23" s="1"/>
    </row>
    <row r="24" spans="1:29" x14ac:dyDescent="0.2">
      <c r="A24" s="1"/>
      <c r="B24" s="1"/>
      <c r="C24" s="22"/>
      <c r="D24" s="22"/>
      <c r="E24" s="22"/>
      <c r="F24" s="22"/>
      <c r="G24" s="1"/>
      <c r="H24" s="1"/>
      <c r="I24" s="1"/>
      <c r="J24" s="1"/>
      <c r="K24" s="1"/>
      <c r="L24" s="1"/>
      <c r="M24" s="1"/>
      <c r="N24" s="1"/>
      <c r="O24" s="1"/>
      <c r="P24" s="1"/>
      <c r="Q24" s="1"/>
      <c r="R24" s="1"/>
      <c r="S24" s="1"/>
      <c r="T24" s="1"/>
      <c r="U24" s="1"/>
      <c r="V24" s="1"/>
      <c r="W24" s="1"/>
      <c r="X24" s="1"/>
      <c r="Y24" s="1"/>
      <c r="Z24" s="1"/>
      <c r="AA24" s="1"/>
      <c r="AB24" s="1"/>
      <c r="AC24" s="1"/>
    </row>
    <row r="25" spans="1:29" x14ac:dyDescent="0.2">
      <c r="A25" s="1"/>
      <c r="B25" s="1"/>
      <c r="C25" s="22"/>
      <c r="D25" s="22"/>
      <c r="E25" s="22"/>
      <c r="F25" s="22"/>
      <c r="G25" s="1"/>
      <c r="H25" s="1"/>
      <c r="I25" s="1"/>
      <c r="J25" s="1"/>
      <c r="K25" s="1"/>
      <c r="L25" s="1"/>
      <c r="M25" s="1"/>
      <c r="N25" s="1"/>
      <c r="O25" s="1"/>
      <c r="P25" s="1"/>
      <c r="Q25" s="1"/>
      <c r="R25" s="1"/>
      <c r="S25" s="1"/>
      <c r="T25" s="1"/>
      <c r="U25" s="1"/>
      <c r="V25" s="1"/>
      <c r="W25" s="1"/>
      <c r="X25" s="1"/>
      <c r="Y25" s="1"/>
      <c r="Z25" s="1"/>
      <c r="AA25" s="1"/>
      <c r="AB25" s="1"/>
      <c r="AC25" s="1"/>
    </row>
    <row r="26" spans="1:29" x14ac:dyDescent="0.2">
      <c r="A26" s="1"/>
      <c r="B26" s="1"/>
      <c r="C26" s="22"/>
      <c r="D26" s="22"/>
      <c r="E26" s="22"/>
      <c r="F26" s="22"/>
      <c r="G26" s="1"/>
      <c r="H26" s="1"/>
      <c r="I26" s="1"/>
      <c r="J26" s="1"/>
      <c r="K26" s="1"/>
      <c r="L26" s="1"/>
      <c r="M26" s="1"/>
      <c r="N26" s="1"/>
      <c r="O26" s="1"/>
      <c r="P26" s="1"/>
      <c r="Q26" s="1"/>
      <c r="R26" s="1"/>
      <c r="S26" s="1"/>
      <c r="T26" s="1"/>
      <c r="U26" s="1"/>
      <c r="V26" s="1"/>
      <c r="W26" s="1"/>
      <c r="X26" s="1"/>
      <c r="Y26" s="1"/>
      <c r="Z26" s="1"/>
      <c r="AA26" s="1"/>
      <c r="AB26" s="1"/>
      <c r="AC26" s="1"/>
    </row>
    <row r="27" spans="1:29" x14ac:dyDescent="0.2">
      <c r="A27" s="1"/>
      <c r="B27" s="1"/>
      <c r="C27" s="22"/>
      <c r="D27" s="22"/>
      <c r="E27" s="22"/>
      <c r="F27" s="22"/>
      <c r="G27" s="1"/>
      <c r="H27" s="1"/>
      <c r="I27" s="1"/>
      <c r="J27" s="1"/>
      <c r="K27" s="1"/>
      <c r="L27" s="1"/>
      <c r="M27" s="1"/>
      <c r="N27" s="1"/>
      <c r="O27" s="1"/>
      <c r="P27" s="1"/>
      <c r="Q27" s="1"/>
      <c r="R27" s="1"/>
      <c r="S27" s="1"/>
      <c r="T27" s="1"/>
      <c r="U27" s="1"/>
      <c r="V27" s="1"/>
      <c r="W27" s="1"/>
      <c r="X27" s="1"/>
      <c r="Y27" s="1"/>
      <c r="Z27" s="1"/>
      <c r="AA27" s="1"/>
      <c r="AB27" s="1"/>
      <c r="AC27" s="1"/>
    </row>
    <row r="28" spans="1:29" x14ac:dyDescent="0.2">
      <c r="A28" s="1"/>
      <c r="B28" s="1"/>
      <c r="C28" s="22"/>
      <c r="D28" s="22"/>
      <c r="E28" s="22"/>
      <c r="F28" s="22"/>
      <c r="G28" s="1"/>
      <c r="H28" s="1"/>
      <c r="I28" s="1"/>
      <c r="J28" s="1"/>
      <c r="K28" s="1"/>
      <c r="L28" s="1"/>
      <c r="M28" s="1"/>
      <c r="N28" s="1"/>
      <c r="O28" s="1"/>
      <c r="P28" s="1"/>
      <c r="Q28" s="1"/>
      <c r="R28" s="1"/>
      <c r="S28" s="1"/>
      <c r="T28" s="1"/>
      <c r="U28" s="1"/>
      <c r="V28" s="1"/>
      <c r="W28" s="1"/>
      <c r="X28" s="1"/>
      <c r="Y28" s="1"/>
      <c r="Z28" s="1"/>
      <c r="AA28" s="1"/>
      <c r="AB28" s="1"/>
      <c r="AC28" s="1"/>
    </row>
    <row r="29" spans="1:29" x14ac:dyDescent="0.2">
      <c r="A29" s="1"/>
      <c r="B29" s="1"/>
      <c r="C29" s="22"/>
      <c r="D29" s="22"/>
      <c r="E29" s="22"/>
      <c r="F29" s="22"/>
      <c r="G29" s="1"/>
      <c r="H29" s="1"/>
      <c r="I29" s="1"/>
      <c r="J29" s="1"/>
      <c r="K29" s="1"/>
      <c r="L29" s="1"/>
      <c r="M29" s="1"/>
      <c r="N29" s="1"/>
      <c r="O29" s="1"/>
      <c r="P29" s="1"/>
      <c r="Q29" s="1"/>
      <c r="R29" s="1"/>
      <c r="S29" s="1"/>
      <c r="T29" s="1"/>
      <c r="U29" s="1"/>
      <c r="V29" s="1"/>
      <c r="W29" s="1"/>
      <c r="X29" s="1"/>
      <c r="Y29" s="1"/>
      <c r="Z29" s="1"/>
      <c r="AA29" s="1"/>
      <c r="AB29" s="1"/>
      <c r="AC29" s="1"/>
    </row>
    <row r="30" spans="1:29" x14ac:dyDescent="0.2">
      <c r="A30" s="1"/>
      <c r="B30" s="1"/>
      <c r="C30" s="22"/>
      <c r="D30" s="22"/>
      <c r="E30" s="22"/>
      <c r="F30" s="22"/>
      <c r="G30" s="1"/>
      <c r="H30" s="1"/>
      <c r="I30" s="1"/>
      <c r="J30" s="1"/>
      <c r="K30" s="1"/>
      <c r="L30" s="1"/>
      <c r="M30" s="1"/>
      <c r="N30" s="1"/>
      <c r="O30" s="1"/>
      <c r="P30" s="1"/>
      <c r="Q30" s="1"/>
      <c r="R30" s="1"/>
      <c r="S30" s="1"/>
      <c r="T30" s="1"/>
      <c r="U30" s="1"/>
      <c r="V30" s="1"/>
      <c r="W30" s="1"/>
      <c r="X30" s="1"/>
      <c r="Y30" s="1"/>
      <c r="Z30" s="1"/>
      <c r="AA30" s="1"/>
      <c r="AB30" s="1"/>
      <c r="AC30" s="1"/>
    </row>
    <row r="31" spans="1:29" x14ac:dyDescent="0.2">
      <c r="A31" s="1"/>
      <c r="B31" s="1"/>
      <c r="C31" s="22"/>
      <c r="D31" s="22"/>
      <c r="E31" s="22"/>
      <c r="F31" s="22"/>
      <c r="G31" s="1"/>
      <c r="H31" s="1"/>
      <c r="I31" s="1"/>
      <c r="J31" s="1"/>
      <c r="K31" s="1"/>
      <c r="L31" s="1"/>
      <c r="M31" s="1"/>
      <c r="N31" s="1"/>
      <c r="O31" s="1"/>
      <c r="P31" s="1"/>
      <c r="Q31" s="1"/>
      <c r="R31" s="1"/>
      <c r="S31" s="1"/>
      <c r="T31" s="1"/>
      <c r="U31" s="1"/>
      <c r="V31" s="1"/>
      <c r="W31" s="1"/>
      <c r="X31" s="1"/>
      <c r="Y31" s="1"/>
      <c r="Z31" s="1"/>
      <c r="AA31" s="1"/>
      <c r="AB31" s="1"/>
      <c r="AC31" s="1"/>
    </row>
    <row r="32" spans="1:29" x14ac:dyDescent="0.2">
      <c r="A32" s="1"/>
      <c r="B32" s="1"/>
      <c r="C32" s="22"/>
      <c r="D32" s="22"/>
      <c r="E32" s="22"/>
      <c r="F32" s="22"/>
      <c r="G32" s="1"/>
      <c r="H32" s="1"/>
      <c r="I32" s="1"/>
      <c r="J32" s="1"/>
      <c r="K32" s="1"/>
      <c r="L32" s="1"/>
      <c r="M32" s="1"/>
      <c r="N32" s="1"/>
      <c r="O32" s="1"/>
      <c r="P32" s="1"/>
      <c r="Q32" s="1"/>
      <c r="R32" s="1"/>
      <c r="S32" s="1"/>
      <c r="T32" s="1"/>
      <c r="U32" s="1"/>
      <c r="V32" s="1"/>
      <c r="W32" s="1"/>
      <c r="X32" s="1"/>
      <c r="Y32" s="1"/>
      <c r="Z32" s="1"/>
      <c r="AA32" s="1"/>
      <c r="AB32" s="1"/>
      <c r="AC32" s="1"/>
    </row>
    <row r="33" spans="1:29" x14ac:dyDescent="0.2">
      <c r="A33" s="1"/>
      <c r="B33" s="1"/>
      <c r="C33" s="22"/>
      <c r="D33" s="22"/>
      <c r="E33" s="22"/>
      <c r="F33" s="22"/>
      <c r="G33" s="1"/>
      <c r="H33" s="1"/>
      <c r="I33" s="1"/>
      <c r="J33" s="1"/>
      <c r="K33" s="1"/>
      <c r="L33" s="1"/>
      <c r="M33" s="1"/>
      <c r="N33" s="1"/>
      <c r="O33" s="1"/>
      <c r="P33" s="1"/>
      <c r="Q33" s="1"/>
      <c r="R33" s="1"/>
      <c r="S33" s="1"/>
      <c r="T33" s="1"/>
      <c r="U33" s="1"/>
      <c r="V33" s="1"/>
      <c r="W33" s="1"/>
      <c r="X33" s="1"/>
      <c r="Y33" s="1"/>
      <c r="Z33" s="1"/>
      <c r="AA33" s="1"/>
      <c r="AB33" s="1"/>
      <c r="AC33" s="1"/>
    </row>
    <row r="34" spans="1:29" x14ac:dyDescent="0.2">
      <c r="A34" s="1"/>
      <c r="B34" s="1"/>
      <c r="C34" s="22"/>
      <c r="D34" s="22"/>
      <c r="E34" s="22"/>
      <c r="F34" s="22"/>
      <c r="G34" s="1"/>
      <c r="H34" s="1"/>
      <c r="I34" s="1"/>
      <c r="J34" s="1"/>
      <c r="K34" s="1"/>
      <c r="L34" s="1"/>
      <c r="M34" s="1"/>
      <c r="N34" s="1"/>
      <c r="O34" s="1"/>
      <c r="P34" s="1"/>
      <c r="Q34" s="1"/>
      <c r="R34" s="1"/>
      <c r="S34" s="1"/>
      <c r="T34" s="1"/>
      <c r="U34" s="1"/>
      <c r="V34" s="1"/>
      <c r="W34" s="1"/>
      <c r="X34" s="1"/>
      <c r="Y34" s="1"/>
      <c r="Z34" s="1"/>
      <c r="AA34" s="1"/>
      <c r="AB34" s="1"/>
      <c r="AC34" s="1"/>
    </row>
    <row r="35" spans="1:29" x14ac:dyDescent="0.2">
      <c r="A35" s="1"/>
      <c r="B35" s="1"/>
      <c r="C35" s="22"/>
      <c r="D35" s="22"/>
      <c r="E35" s="22"/>
      <c r="F35" s="22"/>
      <c r="G35" s="1"/>
      <c r="H35" s="1"/>
      <c r="I35" s="1"/>
      <c r="J35" s="1"/>
      <c r="K35" s="1"/>
      <c r="L35" s="1"/>
      <c r="M35" s="1"/>
      <c r="N35" s="1"/>
      <c r="O35" s="1"/>
      <c r="P35" s="1"/>
      <c r="Q35" s="1"/>
      <c r="R35" s="1"/>
      <c r="S35" s="1"/>
      <c r="T35" s="1"/>
      <c r="U35" s="1"/>
      <c r="V35" s="1"/>
      <c r="W35" s="1"/>
      <c r="X35" s="1"/>
      <c r="Y35" s="1"/>
      <c r="Z35" s="1"/>
      <c r="AA35" s="1"/>
      <c r="AB35" s="1"/>
      <c r="AC35" s="1"/>
    </row>
    <row r="36" spans="1:29" x14ac:dyDescent="0.2">
      <c r="A36" s="1"/>
      <c r="B36" s="1"/>
      <c r="C36" s="22"/>
      <c r="D36" s="22"/>
      <c r="E36" s="22"/>
      <c r="F36" s="22"/>
      <c r="G36" s="1"/>
      <c r="H36" s="1"/>
      <c r="I36" s="1"/>
      <c r="J36" s="1"/>
      <c r="K36" s="1"/>
      <c r="L36" s="1"/>
      <c r="M36" s="1"/>
      <c r="N36" s="1"/>
      <c r="O36" s="1"/>
      <c r="P36" s="1"/>
      <c r="Q36" s="1"/>
      <c r="R36" s="1"/>
      <c r="S36" s="1"/>
      <c r="T36" s="1"/>
      <c r="U36" s="1"/>
      <c r="V36" s="1"/>
      <c r="W36" s="1"/>
      <c r="X36" s="1"/>
      <c r="Y36" s="1"/>
      <c r="Z36" s="1"/>
      <c r="AA36" s="1"/>
      <c r="AB36" s="1"/>
      <c r="AC36" s="1"/>
    </row>
    <row r="37" spans="1:29" x14ac:dyDescent="0.2">
      <c r="A37" s="1"/>
      <c r="B37" s="1"/>
      <c r="C37" s="22"/>
      <c r="D37" s="22"/>
      <c r="E37" s="22"/>
      <c r="F37" s="22"/>
      <c r="G37" s="1"/>
      <c r="H37" s="1"/>
      <c r="I37" s="1"/>
      <c r="J37" s="1"/>
      <c r="K37" s="1"/>
      <c r="L37" s="1"/>
      <c r="M37" s="1"/>
      <c r="N37" s="1"/>
      <c r="O37" s="1"/>
      <c r="P37" s="1"/>
      <c r="Q37" s="1"/>
      <c r="R37" s="1"/>
      <c r="S37" s="1"/>
      <c r="T37" s="1"/>
      <c r="U37" s="1"/>
      <c r="V37" s="1"/>
      <c r="W37" s="1"/>
      <c r="X37" s="1"/>
      <c r="Y37" s="1"/>
      <c r="Z37" s="1"/>
      <c r="AA37" s="1"/>
      <c r="AB37" s="1"/>
      <c r="AC37" s="1"/>
    </row>
    <row r="38" spans="1:29" x14ac:dyDescent="0.2">
      <c r="A38" s="1"/>
      <c r="B38" s="1"/>
      <c r="C38" s="22"/>
      <c r="D38" s="22"/>
      <c r="E38" s="22"/>
      <c r="F38" s="22"/>
      <c r="G38" s="1"/>
      <c r="H38" s="1"/>
      <c r="I38" s="1"/>
      <c r="J38" s="1"/>
      <c r="K38" s="1"/>
      <c r="L38" s="1"/>
      <c r="M38" s="1"/>
      <c r="N38" s="1"/>
      <c r="O38" s="1"/>
      <c r="P38" s="1"/>
      <c r="Q38" s="1"/>
      <c r="R38" s="1"/>
      <c r="S38" s="1"/>
      <c r="T38" s="1"/>
      <c r="U38" s="1"/>
      <c r="V38" s="1"/>
      <c r="W38" s="1"/>
      <c r="X38" s="1"/>
      <c r="Y38" s="1"/>
      <c r="Z38" s="1"/>
      <c r="AA38" s="1"/>
      <c r="AB38" s="1"/>
      <c r="AC38" s="1"/>
    </row>
    <row r="39" spans="1:29" x14ac:dyDescent="0.2">
      <c r="A39" s="1"/>
      <c r="B39" s="1"/>
      <c r="C39" s="22"/>
      <c r="D39" s="22"/>
      <c r="E39" s="22"/>
      <c r="F39" s="22"/>
      <c r="G39" s="1"/>
      <c r="H39" s="1"/>
      <c r="I39" s="1"/>
      <c r="J39" s="1"/>
      <c r="K39" s="1"/>
      <c r="L39" s="1"/>
      <c r="M39" s="1"/>
      <c r="N39" s="1"/>
      <c r="O39" s="1"/>
      <c r="P39" s="1"/>
      <c r="Q39" s="1"/>
      <c r="R39" s="1"/>
      <c r="S39" s="1"/>
      <c r="T39" s="1"/>
      <c r="U39" s="1"/>
      <c r="V39" s="1"/>
      <c r="W39" s="1"/>
      <c r="X39" s="1"/>
      <c r="Y39" s="1"/>
      <c r="Z39" s="1"/>
      <c r="AA39" s="1"/>
      <c r="AB39" s="1"/>
      <c r="AC39" s="1"/>
    </row>
    <row r="40" spans="1:29" x14ac:dyDescent="0.2">
      <c r="A40" s="1"/>
      <c r="B40" s="1"/>
      <c r="C40" s="22"/>
      <c r="D40" s="22"/>
      <c r="E40" s="22"/>
      <c r="F40" s="22"/>
      <c r="G40" s="1"/>
      <c r="H40" s="1"/>
      <c r="I40" s="1"/>
      <c r="J40" s="1"/>
      <c r="K40" s="1"/>
      <c r="L40" s="1"/>
      <c r="M40" s="1"/>
      <c r="N40" s="1"/>
      <c r="O40" s="1"/>
      <c r="P40" s="1"/>
      <c r="Q40" s="1"/>
      <c r="R40" s="1"/>
      <c r="S40" s="1"/>
      <c r="T40" s="1"/>
      <c r="U40" s="1"/>
      <c r="V40" s="1"/>
      <c r="W40" s="1"/>
      <c r="X40" s="1"/>
      <c r="Y40" s="1"/>
      <c r="Z40" s="1"/>
      <c r="AA40" s="1"/>
      <c r="AB40" s="1"/>
      <c r="AC40" s="1"/>
    </row>
    <row r="41" spans="1:29" x14ac:dyDescent="0.2">
      <c r="A41" s="1"/>
      <c r="B41" s="1"/>
      <c r="C41" s="22"/>
      <c r="D41" s="22"/>
      <c r="E41" s="22"/>
      <c r="F41" s="22"/>
      <c r="G41" s="1"/>
      <c r="H41" s="1"/>
      <c r="I41" s="1"/>
      <c r="J41" s="1"/>
      <c r="K41" s="1"/>
      <c r="L41" s="1"/>
      <c r="M41" s="1"/>
      <c r="N41" s="1"/>
      <c r="O41" s="1"/>
      <c r="P41" s="1"/>
      <c r="Q41" s="1"/>
      <c r="R41" s="1"/>
      <c r="S41" s="1"/>
      <c r="T41" s="1"/>
      <c r="U41" s="1"/>
      <c r="V41" s="1"/>
      <c r="W41" s="1"/>
      <c r="X41" s="1"/>
      <c r="Y41" s="1"/>
      <c r="Z41" s="1"/>
      <c r="AA41" s="1"/>
      <c r="AB41" s="1"/>
      <c r="AC41" s="1"/>
    </row>
    <row r="42" spans="1:29" x14ac:dyDescent="0.2">
      <c r="A42" s="1"/>
      <c r="B42" s="1"/>
      <c r="C42" s="22"/>
      <c r="D42" s="22"/>
      <c r="E42" s="22"/>
      <c r="F42" s="22"/>
      <c r="G42" s="1"/>
      <c r="H42" s="1"/>
      <c r="I42" s="1"/>
      <c r="J42" s="1"/>
      <c r="K42" s="1"/>
      <c r="L42" s="1"/>
      <c r="M42" s="1"/>
      <c r="N42" s="1"/>
      <c r="O42" s="1"/>
      <c r="P42" s="1"/>
      <c r="Q42" s="1"/>
      <c r="R42" s="1"/>
      <c r="S42" s="1"/>
      <c r="T42" s="1"/>
      <c r="U42" s="1"/>
      <c r="V42" s="1"/>
      <c r="W42" s="1"/>
      <c r="X42" s="1"/>
      <c r="Y42" s="1"/>
      <c r="Z42" s="1"/>
      <c r="AA42" s="1"/>
      <c r="AB42" s="1"/>
      <c r="AC42" s="1"/>
    </row>
    <row r="43" spans="1:29" x14ac:dyDescent="0.2">
      <c r="A43" s="1"/>
      <c r="B43" s="1"/>
      <c r="C43" s="22"/>
      <c r="D43" s="22"/>
      <c r="E43" s="22"/>
      <c r="F43" s="22"/>
      <c r="G43" s="1"/>
      <c r="H43" s="1"/>
      <c r="I43" s="1"/>
      <c r="J43" s="1"/>
      <c r="K43" s="1"/>
      <c r="L43" s="1"/>
      <c r="M43" s="1"/>
      <c r="N43" s="1"/>
      <c r="O43" s="1"/>
      <c r="P43" s="1"/>
      <c r="Q43" s="1"/>
      <c r="R43" s="1"/>
      <c r="S43" s="1"/>
      <c r="T43" s="1"/>
      <c r="U43" s="1"/>
      <c r="V43" s="1"/>
      <c r="W43" s="1"/>
      <c r="X43" s="1"/>
      <c r="Y43" s="1"/>
      <c r="Z43" s="1"/>
      <c r="AA43" s="1"/>
      <c r="AB43" s="1"/>
      <c r="AC43" s="1"/>
    </row>
    <row r="44" spans="1:29" x14ac:dyDescent="0.2">
      <c r="A44" s="1"/>
      <c r="B44" s="1"/>
      <c r="C44" s="22"/>
      <c r="D44" s="22"/>
      <c r="E44" s="22"/>
      <c r="F44" s="22"/>
      <c r="G44" s="1"/>
      <c r="H44" s="1"/>
      <c r="I44" s="1"/>
      <c r="J44" s="1"/>
      <c r="K44" s="1"/>
      <c r="L44" s="1"/>
      <c r="M44" s="1"/>
      <c r="N44" s="1"/>
      <c r="O44" s="1"/>
      <c r="P44" s="1"/>
      <c r="Q44" s="1"/>
      <c r="R44" s="1"/>
      <c r="S44" s="1"/>
      <c r="T44" s="1"/>
      <c r="U44" s="1"/>
      <c r="V44" s="1"/>
      <c r="W44" s="1"/>
      <c r="X44" s="1"/>
      <c r="Y44" s="1"/>
      <c r="Z44" s="1"/>
      <c r="AA44" s="1"/>
      <c r="AB44" s="1"/>
      <c r="AC44" s="1"/>
    </row>
    <row r="45" spans="1:29" x14ac:dyDescent="0.2">
      <c r="A45" s="1"/>
      <c r="B45" s="1"/>
      <c r="C45" s="22"/>
      <c r="D45" s="22"/>
      <c r="E45" s="22"/>
      <c r="F45" s="22"/>
      <c r="G45" s="1"/>
      <c r="H45" s="1"/>
      <c r="I45" s="1"/>
      <c r="J45" s="1"/>
      <c r="K45" s="1"/>
      <c r="L45" s="1"/>
      <c r="M45" s="1"/>
      <c r="N45" s="1"/>
      <c r="O45" s="1"/>
      <c r="P45" s="1"/>
      <c r="Q45" s="1"/>
      <c r="R45" s="1"/>
      <c r="S45" s="1"/>
      <c r="T45" s="1"/>
      <c r="U45" s="1"/>
      <c r="V45" s="1"/>
      <c r="W45" s="1"/>
      <c r="X45" s="1"/>
      <c r="Y45" s="1"/>
      <c r="Z45" s="1"/>
      <c r="AA45" s="1"/>
      <c r="AB45" s="1"/>
      <c r="AC45" s="1"/>
    </row>
    <row r="46" spans="1:29" x14ac:dyDescent="0.2">
      <c r="A46" s="1"/>
      <c r="B46" s="1"/>
      <c r="C46" s="22"/>
      <c r="D46" s="22"/>
      <c r="E46" s="22"/>
      <c r="F46" s="22"/>
      <c r="G46" s="1"/>
      <c r="H46" s="1"/>
      <c r="I46" s="1"/>
      <c r="J46" s="1"/>
      <c r="K46" s="1"/>
      <c r="L46" s="1"/>
      <c r="M46" s="1"/>
      <c r="N46" s="1"/>
      <c r="O46" s="1"/>
      <c r="P46" s="1"/>
      <c r="Q46" s="1"/>
      <c r="R46" s="1"/>
      <c r="S46" s="1"/>
      <c r="T46" s="1"/>
      <c r="U46" s="1"/>
      <c r="V46" s="1"/>
      <c r="W46" s="1"/>
      <c r="X46" s="1"/>
      <c r="Y46" s="1"/>
      <c r="Z46" s="1"/>
      <c r="AA46" s="1"/>
      <c r="AB46" s="1"/>
      <c r="AC46" s="1"/>
    </row>
    <row r="47" spans="1:29" x14ac:dyDescent="0.2">
      <c r="A47" s="1"/>
      <c r="B47" s="1"/>
      <c r="C47" s="22"/>
      <c r="D47" s="22"/>
      <c r="E47" s="22"/>
      <c r="F47" s="22"/>
      <c r="G47" s="1"/>
      <c r="H47" s="1"/>
      <c r="I47" s="1"/>
      <c r="J47" s="1"/>
      <c r="K47" s="1"/>
      <c r="L47" s="1"/>
      <c r="M47" s="1"/>
      <c r="N47" s="1"/>
      <c r="O47" s="1"/>
      <c r="P47" s="1"/>
      <c r="Q47" s="1"/>
      <c r="R47" s="1"/>
      <c r="S47" s="1"/>
      <c r="T47" s="1"/>
      <c r="U47" s="1"/>
      <c r="V47" s="1"/>
      <c r="W47" s="1"/>
      <c r="X47" s="1"/>
      <c r="Y47" s="1"/>
      <c r="Z47" s="1"/>
      <c r="AA47" s="1"/>
      <c r="AB47" s="1"/>
      <c r="AC47" s="1"/>
    </row>
    <row r="48" spans="1:29" x14ac:dyDescent="0.2">
      <c r="A48" s="1"/>
      <c r="B48" s="1"/>
      <c r="C48" s="22"/>
      <c r="D48" s="22"/>
      <c r="E48" s="22"/>
      <c r="F48" s="22"/>
      <c r="G48" s="1"/>
      <c r="H48" s="1"/>
      <c r="I48" s="1"/>
      <c r="J48" s="1"/>
      <c r="K48" s="1"/>
      <c r="L48" s="1"/>
      <c r="M48" s="1"/>
      <c r="N48" s="1"/>
      <c r="O48" s="1"/>
      <c r="P48" s="1"/>
      <c r="Q48" s="1"/>
      <c r="R48" s="1"/>
      <c r="S48" s="1"/>
      <c r="T48" s="1"/>
      <c r="U48" s="1"/>
      <c r="V48" s="1"/>
      <c r="W48" s="1"/>
      <c r="X48" s="1"/>
      <c r="Y48" s="1"/>
      <c r="Z48" s="1"/>
      <c r="AA48" s="1"/>
      <c r="AB48" s="1"/>
      <c r="AC48" s="1"/>
    </row>
    <row r="49" spans="1:29" x14ac:dyDescent="0.2">
      <c r="A49" s="1"/>
      <c r="B49" s="1"/>
      <c r="C49" s="22"/>
      <c r="D49" s="22"/>
      <c r="E49" s="22"/>
      <c r="F49" s="22"/>
      <c r="G49" s="1"/>
      <c r="H49" s="1"/>
      <c r="I49" s="1"/>
      <c r="J49" s="1"/>
      <c r="K49" s="1"/>
      <c r="L49" s="1"/>
      <c r="M49" s="1"/>
      <c r="N49" s="1"/>
      <c r="O49" s="1"/>
      <c r="P49" s="1"/>
      <c r="Q49" s="1"/>
      <c r="R49" s="1"/>
      <c r="S49" s="1"/>
      <c r="T49" s="1"/>
      <c r="U49" s="1"/>
      <c r="V49" s="1"/>
      <c r="W49" s="1"/>
      <c r="X49" s="1"/>
      <c r="Y49" s="1"/>
      <c r="Z49" s="1"/>
      <c r="AA49" s="1"/>
      <c r="AB49" s="1"/>
      <c r="AC49" s="1"/>
    </row>
    <row r="50" spans="1:29" x14ac:dyDescent="0.2">
      <c r="C50" s="21"/>
      <c r="D50" s="21"/>
      <c r="E50" s="21"/>
      <c r="F50" s="21"/>
    </row>
  </sheetData>
  <dataConsolidate/>
  <mergeCells count="1">
    <mergeCell ref="B2:E2"/>
  </mergeCells>
  <pageMargins left="0.75" right="0.75" top="1" bottom="1" header="0.5" footer="0.5"/>
  <pageSetup orientation="portrait" horizontalDpi="300" verticalDpi="300"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24"/>
  <sheetViews>
    <sheetView workbookViewId="0"/>
  </sheetViews>
  <sheetFormatPr defaultRowHeight="12.75" x14ac:dyDescent="0.2"/>
  <cols>
    <col min="1" max="1" width="3.140625" style="1" customWidth="1"/>
    <col min="2" max="2" width="4" style="1" bestFit="1" customWidth="1"/>
    <col min="3" max="3" width="5.7109375" style="1" bestFit="1" customWidth="1"/>
    <col min="4" max="4" width="12.5703125" style="1" bestFit="1" customWidth="1"/>
    <col min="5" max="5" width="11.42578125" style="1" bestFit="1" customWidth="1"/>
    <col min="6" max="6" width="13.28515625" style="1" bestFit="1" customWidth="1"/>
    <col min="7" max="7" width="24.5703125" style="1" bestFit="1" customWidth="1"/>
    <col min="8" max="8" width="63.7109375" style="1" customWidth="1"/>
    <col min="9" max="9" width="54.7109375" style="1" customWidth="1"/>
    <col min="10" max="16384" width="9.140625" style="1"/>
  </cols>
  <sheetData>
    <row r="1" spans="1:10" s="26" customFormat="1" ht="12" thickBot="1" x14ac:dyDescent="0.25">
      <c r="A1" s="26" t="s">
        <v>124</v>
      </c>
    </row>
    <row r="2" spans="1:10" s="26" customFormat="1" x14ac:dyDescent="0.2">
      <c r="B2" s="46"/>
      <c r="C2" s="45"/>
      <c r="D2" s="45"/>
      <c r="E2" s="44"/>
      <c r="F2" s="43"/>
      <c r="G2" s="43"/>
      <c r="H2" s="43"/>
      <c r="I2" s="43"/>
      <c r="J2" s="42"/>
    </row>
    <row r="3" spans="1:10" s="26" customFormat="1" x14ac:dyDescent="0.2">
      <c r="B3" s="31"/>
      <c r="C3" s="40"/>
      <c r="D3" s="40"/>
      <c r="E3" s="16" t="s">
        <v>54</v>
      </c>
      <c r="F3" s="41" t="s">
        <v>53</v>
      </c>
      <c r="G3" s="39"/>
      <c r="H3" s="39"/>
      <c r="I3" s="39"/>
      <c r="J3" s="32"/>
    </row>
    <row r="4" spans="1:10" s="26" customFormat="1" x14ac:dyDescent="0.2">
      <c r="B4" s="31"/>
      <c r="C4" s="40"/>
      <c r="D4" s="40"/>
      <c r="E4" s="39"/>
      <c r="F4" s="39"/>
      <c r="G4" s="39"/>
      <c r="H4" s="39"/>
      <c r="I4" s="39"/>
      <c r="J4" s="32"/>
    </row>
    <row r="5" spans="1:10" s="26" customFormat="1" x14ac:dyDescent="0.2">
      <c r="B5" s="31"/>
      <c r="C5" s="38" t="s">
        <v>52</v>
      </c>
      <c r="D5" s="37" t="s">
        <v>51</v>
      </c>
      <c r="E5" s="36" t="str">
        <f>PROPER(Currency)&amp;FamilyName&amp;".xml"</f>
        <v>Euribor.xml</v>
      </c>
      <c r="F5" s="10">
        <f ca="1">IF(Serialize,_xll.ohObjectSave(F6:G22,SerializationPath&amp;FileName,FileOverwrite,,Serialize),"---")</f>
        <v>33</v>
      </c>
      <c r="G5" s="35"/>
      <c r="H5" s="7" t="str">
        <f ca="1">_xll.ohRangeRetrieveError(F5)</f>
        <v/>
      </c>
      <c r="I5" s="34"/>
      <c r="J5" s="32"/>
    </row>
    <row r="6" spans="1:10" s="26" customFormat="1" x14ac:dyDescent="0.2">
      <c r="B6" s="31"/>
      <c r="C6" s="30" t="s">
        <v>50</v>
      </c>
      <c r="D6" s="29" t="s">
        <v>23</v>
      </c>
      <c r="E6" s="33"/>
      <c r="F6" s="27" t="str">
        <f>_xll.qlEonia(C6,Currency&amp;$D6,Permanent,Trigger,ObjectOverwrite)</f>
        <v>Eonia2#0002</v>
      </c>
      <c r="G6" s="27"/>
      <c r="H6" s="7" t="str">
        <f>_xll.ohRangeRetrieveError(F6)</f>
        <v/>
      </c>
      <c r="I6" s="7" t="str">
        <f>_xll.ohRangeRetrieveError(G6)</f>
        <v/>
      </c>
      <c r="J6" s="32"/>
    </row>
    <row r="7" spans="1:10" s="26" customFormat="1" x14ac:dyDescent="0.2">
      <c r="B7" s="31"/>
      <c r="C7" s="30" t="s">
        <v>49</v>
      </c>
      <c r="D7" s="29" t="s">
        <v>21</v>
      </c>
      <c r="E7" s="33" t="s">
        <v>49</v>
      </c>
      <c r="F7" s="27" t="str">
        <f>_xll.qlEonia(C7,Currency&amp;$D7,Permanent,Trigger,ObjectOverwrite)</f>
        <v>Eonia#0002</v>
      </c>
      <c r="G7" s="27" t="str">
        <f>_xll.qlLastFixingQuote(E7&amp;"LastFixing_Quote",F7,Permanent,Trigger,ObjectOverwrite)</f>
        <v>EoniaLastFixing_Quote#0002</v>
      </c>
      <c r="H7" s="7" t="str">
        <f>_xll.ohRangeRetrieveError(F7)</f>
        <v/>
      </c>
      <c r="I7" s="7" t="str">
        <f>_xll.ohRangeRetrieveError(G7)</f>
        <v/>
      </c>
      <c r="J7" s="32"/>
    </row>
    <row r="8" spans="1:10" s="26" customFormat="1" x14ac:dyDescent="0.2">
      <c r="B8" s="31"/>
      <c r="C8" s="30" t="s">
        <v>48</v>
      </c>
      <c r="D8" s="29" t="s">
        <v>21</v>
      </c>
      <c r="E8" s="28" t="str">
        <f t="shared" ref="E8:E22" si="0">PROPER(Currency)&amp;FamilyName&amp;$C8</f>
        <v>EuriborSW</v>
      </c>
      <c r="F8" s="27" t="str">
        <f>_xll.qlEuribor($E8,$C8,Currency&amp;$D8,Permanent,Trigger,ObjectOverwrite)</f>
        <v>EuriborSW#0002</v>
      </c>
      <c r="G8" s="27" t="str">
        <f>_xll.qlLastFixingQuote(E8&amp;"LastFixing_Quote",F8,Permanent,Trigger,ObjectOverwrite)</f>
        <v>EuriborSWLastFixing_Quote#0002</v>
      </c>
      <c r="H8" s="7" t="str">
        <f>_xll.ohRangeRetrieveError(F8)</f>
        <v/>
      </c>
      <c r="I8" s="7" t="str">
        <f>_xll.ohRangeRetrieveError(G8)</f>
        <v/>
      </c>
      <c r="J8" s="5"/>
    </row>
    <row r="9" spans="1:10" s="26" customFormat="1" x14ac:dyDescent="0.2">
      <c r="B9" s="31"/>
      <c r="C9" s="30" t="s">
        <v>47</v>
      </c>
      <c r="D9" s="29" t="s">
        <v>21</v>
      </c>
      <c r="E9" s="28" t="str">
        <f t="shared" si="0"/>
        <v>Euribor2W</v>
      </c>
      <c r="F9" s="27" t="str">
        <f>_xll.qlEuribor($E9,$C9,Currency&amp;$D9,Permanent,Trigger,ObjectOverwrite)</f>
        <v>Euribor2W#0002</v>
      </c>
      <c r="G9" s="27" t="str">
        <f>_xll.qlLastFixingQuote(E9&amp;"LastFixing_Quote",F9,Permanent,Trigger,ObjectOverwrite)</f>
        <v>Euribor2WLastFixing_Quote#0002</v>
      </c>
      <c r="H9" s="7" t="str">
        <f>_xll.ohRangeRetrieveError(F9)</f>
        <v/>
      </c>
      <c r="I9" s="7" t="str">
        <f>_xll.ohRangeRetrieveError(G9)</f>
        <v/>
      </c>
      <c r="J9" s="5"/>
    </row>
    <row r="10" spans="1:10" s="26" customFormat="1" x14ac:dyDescent="0.2">
      <c r="B10" s="31"/>
      <c r="C10" s="30" t="s">
        <v>46</v>
      </c>
      <c r="D10" s="29" t="s">
        <v>20</v>
      </c>
      <c r="E10" s="28" t="str">
        <f t="shared" si="0"/>
        <v>Euribor3W</v>
      </c>
      <c r="F10" s="27" t="str">
        <f>_xll.qlEuribor($E10,$C10,Currency&amp;$D10,Permanent,Trigger,ObjectOverwrite)</f>
        <v>Euribor3W#0002</v>
      </c>
      <c r="G10" s="27" t="str">
        <f>_xll.qlLastFixingQuote(E10&amp;"LastFixing_Quote",F10,Permanent,Trigger,ObjectOverwrite)</f>
        <v>Euribor3WLastFixing_Quote#0002</v>
      </c>
      <c r="H10" s="7" t="str">
        <f>_xll.ohRangeRetrieveError(F10)</f>
        <v/>
      </c>
      <c r="I10" s="7" t="str">
        <f>_xll.ohRangeRetrieveError(G10)</f>
        <v/>
      </c>
      <c r="J10" s="5"/>
    </row>
    <row r="11" spans="1:10" s="26" customFormat="1" x14ac:dyDescent="0.2">
      <c r="B11" s="31"/>
      <c r="C11" s="30" t="s">
        <v>45</v>
      </c>
      <c r="D11" s="29" t="s">
        <v>20</v>
      </c>
      <c r="E11" s="28" t="str">
        <f t="shared" si="0"/>
        <v>Euribor1M</v>
      </c>
      <c r="F11" s="27" t="str">
        <f>_xll.qlEuribor($E11,$C11,Currency&amp;$D11,Permanent,Trigger,ObjectOverwrite)</f>
        <v>Euribor1M#0002</v>
      </c>
      <c r="G11" s="27" t="str">
        <f>_xll.qlLastFixingQuote(E11&amp;"LastFixing_Quote",F11,Permanent,Trigger,ObjectOverwrite)</f>
        <v>Euribor1MLastFixing_Quote#0002</v>
      </c>
      <c r="H11" s="7" t="str">
        <f>_xll.ohRangeRetrieveError(F11)</f>
        <v/>
      </c>
      <c r="I11" s="7" t="str">
        <f>_xll.ohRangeRetrieveError(G11)</f>
        <v/>
      </c>
      <c r="J11" s="5"/>
    </row>
    <row r="12" spans="1:10" s="26" customFormat="1" x14ac:dyDescent="0.2">
      <c r="B12" s="31"/>
      <c r="C12" s="30" t="s">
        <v>44</v>
      </c>
      <c r="D12" s="29" t="s">
        <v>19</v>
      </c>
      <c r="E12" s="28" t="str">
        <f t="shared" si="0"/>
        <v>Euribor2M</v>
      </c>
      <c r="F12" s="27" t="str">
        <f>_xll.qlEuribor($E12,$C12,Currency&amp;$D12,Permanent,Trigger,ObjectOverwrite)</f>
        <v>Euribor2M#0002</v>
      </c>
      <c r="G12" s="27" t="str">
        <f>_xll.qlLastFixingQuote(E12&amp;"LastFixing_Quote",F12,Permanent,Trigger,ObjectOverwrite)</f>
        <v>Euribor2MLastFixing_Quote#0002</v>
      </c>
      <c r="H12" s="7" t="str">
        <f>_xll.ohRangeRetrieveError(F12)</f>
        <v/>
      </c>
      <c r="I12" s="7" t="str">
        <f>_xll.ohRangeRetrieveError(G12)</f>
        <v/>
      </c>
      <c r="J12" s="5"/>
    </row>
    <row r="13" spans="1:10" s="26" customFormat="1" x14ac:dyDescent="0.2">
      <c r="B13" s="31"/>
      <c r="C13" s="30" t="s">
        <v>43</v>
      </c>
      <c r="D13" s="29" t="s">
        <v>19</v>
      </c>
      <c r="E13" s="28" t="str">
        <f t="shared" si="0"/>
        <v>Euribor3M</v>
      </c>
      <c r="F13" s="27" t="str">
        <f>_xll.qlEuribor($E13,$C13,Currency&amp;$D13,Permanent,Trigger,ObjectOverwrite)</f>
        <v>Euribor3M#0002</v>
      </c>
      <c r="G13" s="27" t="str">
        <f>_xll.qlLastFixingQuote(E13&amp;"LastFixing_Quote",F13,Permanent,Trigger,ObjectOverwrite)</f>
        <v>Euribor3MLastFixing_Quote#0002</v>
      </c>
      <c r="H13" s="7" t="str">
        <f>_xll.ohRangeRetrieveError(F13)</f>
        <v/>
      </c>
      <c r="I13" s="7" t="str">
        <f>_xll.ohRangeRetrieveError(G13)</f>
        <v/>
      </c>
      <c r="J13" s="5"/>
    </row>
    <row r="14" spans="1:10" s="26" customFormat="1" x14ac:dyDescent="0.2">
      <c r="B14" s="31"/>
      <c r="C14" s="30" t="s">
        <v>42</v>
      </c>
      <c r="D14" s="29" t="s">
        <v>19</v>
      </c>
      <c r="E14" s="28" t="str">
        <f t="shared" si="0"/>
        <v>Euribor4M</v>
      </c>
      <c r="F14" s="27" t="str">
        <f>_xll.qlEuribor($E14,$C14,Currency&amp;$D14,Permanent,Trigger,ObjectOverwrite)</f>
        <v>Euribor4M#0002</v>
      </c>
      <c r="G14" s="27" t="str">
        <f>_xll.qlLastFixingQuote(E14&amp;"LastFixing_Quote",F14,Permanent,Trigger,ObjectOverwrite)</f>
        <v>Euribor4MLastFixing_Quote#0002</v>
      </c>
      <c r="H14" s="7" t="str">
        <f>_xll.ohRangeRetrieveError(F14)</f>
        <v/>
      </c>
      <c r="I14" s="7" t="str">
        <f>_xll.ohRangeRetrieveError(G14)</f>
        <v/>
      </c>
      <c r="J14" s="5"/>
    </row>
    <row r="15" spans="1:10" s="26" customFormat="1" x14ac:dyDescent="0.2">
      <c r="B15" s="31"/>
      <c r="C15" s="30" t="s">
        <v>41</v>
      </c>
      <c r="D15" s="29" t="s">
        <v>18</v>
      </c>
      <c r="E15" s="28" t="str">
        <f t="shared" si="0"/>
        <v>Euribor5M</v>
      </c>
      <c r="F15" s="27" t="str">
        <f>_xll.qlEuribor($E15,$C15,Currency&amp;$D15,Permanent,Trigger,ObjectOverwrite)</f>
        <v>Euribor5M#0002</v>
      </c>
      <c r="G15" s="27" t="str">
        <f>_xll.qlLastFixingQuote(E15&amp;"LastFixing_Quote",F15,Permanent,Trigger,ObjectOverwrite)</f>
        <v>Euribor5MLastFixing_Quote#0002</v>
      </c>
      <c r="H15" s="7" t="str">
        <f>_xll.ohRangeRetrieveError(F15)</f>
        <v/>
      </c>
      <c r="I15" s="7" t="str">
        <f>_xll.ohRangeRetrieveError(G15)</f>
        <v/>
      </c>
      <c r="J15" s="5"/>
    </row>
    <row r="16" spans="1:10" s="26" customFormat="1" x14ac:dyDescent="0.2">
      <c r="B16" s="31"/>
      <c r="C16" s="30" t="s">
        <v>40</v>
      </c>
      <c r="D16" s="29" t="s">
        <v>18</v>
      </c>
      <c r="E16" s="28" t="str">
        <f t="shared" si="0"/>
        <v>Euribor6M</v>
      </c>
      <c r="F16" s="27" t="str">
        <f>_xll.qlEuribor($E16,$C16,Currency&amp;$D16,Permanent,Trigger,ObjectOverwrite)</f>
        <v>Euribor6M#0002</v>
      </c>
      <c r="G16" s="27" t="str">
        <f>_xll.qlLastFixingQuote(E16&amp;"LastFixing_Quote",F16,Permanent,Trigger,ObjectOverwrite)</f>
        <v>Euribor6MLastFixing_Quote#0002</v>
      </c>
      <c r="H16" s="7" t="str">
        <f>_xll.ohRangeRetrieveError(F16)</f>
        <v/>
      </c>
      <c r="I16" s="7" t="str">
        <f>_xll.ohRangeRetrieveError(G16)</f>
        <v/>
      </c>
      <c r="J16" s="5"/>
    </row>
    <row r="17" spans="2:10" s="26" customFormat="1" x14ac:dyDescent="0.2">
      <c r="B17" s="31"/>
      <c r="C17" s="30" t="s">
        <v>39</v>
      </c>
      <c r="D17" s="29" t="s">
        <v>18</v>
      </c>
      <c r="E17" s="28" t="str">
        <f t="shared" si="0"/>
        <v>Euribor7M</v>
      </c>
      <c r="F17" s="27" t="str">
        <f>_xll.qlEuribor($E17,$C17,Currency&amp;$D17,Permanent,Trigger,ObjectOverwrite)</f>
        <v>Euribor7M#0002</v>
      </c>
      <c r="G17" s="27" t="str">
        <f>_xll.qlLastFixingQuote(E17&amp;"LastFixing_Quote",F17,Permanent,Trigger,ObjectOverwrite)</f>
        <v>Euribor7MLastFixing_Quote#0002</v>
      </c>
      <c r="H17" s="7" t="str">
        <f>_xll.ohRangeRetrieveError(F17)</f>
        <v/>
      </c>
      <c r="I17" s="7" t="str">
        <f>_xll.ohRangeRetrieveError(G17)</f>
        <v/>
      </c>
      <c r="J17" s="5"/>
    </row>
    <row r="18" spans="2:10" s="26" customFormat="1" x14ac:dyDescent="0.2">
      <c r="B18" s="31"/>
      <c r="C18" s="30" t="s">
        <v>38</v>
      </c>
      <c r="D18" s="29" t="s">
        <v>18</v>
      </c>
      <c r="E18" s="28" t="str">
        <f t="shared" si="0"/>
        <v>Euribor8M</v>
      </c>
      <c r="F18" s="27" t="str">
        <f>_xll.qlEuribor($E18,$C18,Currency&amp;$D18,Permanent,Trigger,ObjectOverwrite)</f>
        <v>Euribor8M#0002</v>
      </c>
      <c r="G18" s="27" t="str">
        <f>_xll.qlLastFixingQuote(E18&amp;"LastFixing_Quote",F18,Permanent,Trigger,ObjectOverwrite)</f>
        <v>Euribor8MLastFixing_Quote#0002</v>
      </c>
      <c r="H18" s="7" t="str">
        <f>_xll.ohRangeRetrieveError(F18)</f>
        <v/>
      </c>
      <c r="I18" s="7" t="str">
        <f>_xll.ohRangeRetrieveError(G18)</f>
        <v/>
      </c>
      <c r="J18" s="5"/>
    </row>
    <row r="19" spans="2:10" s="26" customFormat="1" x14ac:dyDescent="0.2">
      <c r="B19" s="31"/>
      <c r="C19" s="30" t="s">
        <v>37</v>
      </c>
      <c r="D19" s="29" t="s">
        <v>17</v>
      </c>
      <c r="E19" s="28" t="str">
        <f t="shared" si="0"/>
        <v>Euribor9M</v>
      </c>
      <c r="F19" s="27" t="str">
        <f>_xll.qlEuribor($E19,$C19,Currency&amp;$D19,Permanent,Trigger,ObjectOverwrite)</f>
        <v>Euribor9M#0002</v>
      </c>
      <c r="G19" s="27" t="str">
        <f>_xll.qlLastFixingQuote(E19&amp;"LastFixing_Quote",F19,Permanent,Trigger,ObjectOverwrite)</f>
        <v>Euribor9MLastFixing_Quote#0002</v>
      </c>
      <c r="H19" s="7" t="str">
        <f>_xll.ohRangeRetrieveError(F19)</f>
        <v/>
      </c>
      <c r="I19" s="7" t="str">
        <f>_xll.ohRangeRetrieveError(G19)</f>
        <v/>
      </c>
      <c r="J19" s="5"/>
    </row>
    <row r="20" spans="2:10" s="26" customFormat="1" x14ac:dyDescent="0.2">
      <c r="B20" s="31"/>
      <c r="C20" s="30" t="s">
        <v>36</v>
      </c>
      <c r="D20" s="29" t="s">
        <v>17</v>
      </c>
      <c r="E20" s="28" t="str">
        <f t="shared" si="0"/>
        <v>Euribor10M</v>
      </c>
      <c r="F20" s="27" t="str">
        <f>_xll.qlEuribor($E20,$C20,Currency&amp;$D20,Permanent,Trigger,ObjectOverwrite)</f>
        <v>Euribor10M#0002</v>
      </c>
      <c r="G20" s="27" t="str">
        <f>_xll.qlLastFixingQuote(E20&amp;"LastFixing_Quote",F20,Permanent,Trigger,ObjectOverwrite)</f>
        <v>Euribor10MLastFixing_Quote#0002</v>
      </c>
      <c r="H20" s="7" t="str">
        <f>_xll.ohRangeRetrieveError(F20)</f>
        <v/>
      </c>
      <c r="I20" s="7" t="str">
        <f>_xll.ohRangeRetrieveError(G20)</f>
        <v/>
      </c>
      <c r="J20" s="5"/>
    </row>
    <row r="21" spans="2:10" s="26" customFormat="1" x14ac:dyDescent="0.2">
      <c r="B21" s="31"/>
      <c r="C21" s="30" t="s">
        <v>35</v>
      </c>
      <c r="D21" s="29" t="s">
        <v>17</v>
      </c>
      <c r="E21" s="28" t="str">
        <f t="shared" si="0"/>
        <v>Euribor11M</v>
      </c>
      <c r="F21" s="27" t="str">
        <f>_xll.qlEuribor($E21,$C21,Currency&amp;$D21,Permanent,Trigger,ObjectOverwrite)</f>
        <v>Euribor11M#0002</v>
      </c>
      <c r="G21" s="27" t="str">
        <f>_xll.qlLastFixingQuote(E21&amp;"LastFixing_Quote",F21,Permanent,Trigger,ObjectOverwrite)</f>
        <v>Euribor11MLastFixing_Quote#0002</v>
      </c>
      <c r="H21" s="7" t="str">
        <f>_xll.ohRangeRetrieveError(F21)</f>
        <v/>
      </c>
      <c r="I21" s="7" t="str">
        <f>_xll.ohRangeRetrieveError(G21)</f>
        <v/>
      </c>
      <c r="J21" s="5"/>
    </row>
    <row r="22" spans="2:10" s="26" customFormat="1" x14ac:dyDescent="0.2">
      <c r="B22" s="31"/>
      <c r="C22" s="30" t="s">
        <v>34</v>
      </c>
      <c r="D22" s="29" t="s">
        <v>17</v>
      </c>
      <c r="E22" s="28" t="str">
        <f t="shared" si="0"/>
        <v>Euribor1Y</v>
      </c>
      <c r="F22" s="27" t="str">
        <f>_xll.qlEuribor($E22,$C22,Currency&amp;$D22,Permanent,Trigger,ObjectOverwrite)</f>
        <v>Euribor1Y#0002</v>
      </c>
      <c r="G22" s="27" t="str">
        <f>_xll.qlLastFixingQuote(E22&amp;"LastFixing_Quote",F22,Permanent,Trigger,ObjectOverwrite)</f>
        <v>Euribor1YLastFixing_Quote#0002</v>
      </c>
      <c r="H22" s="7" t="str">
        <f>_xll.ohRangeRetrieveError(F22)</f>
        <v/>
      </c>
      <c r="I22" s="7" t="str">
        <f>_xll.ohRangeRetrieveError(G22)</f>
        <v/>
      </c>
      <c r="J22" s="5"/>
    </row>
    <row r="23" spans="2:10" s="26" customFormat="1" ht="12" thickBot="1" x14ac:dyDescent="0.25">
      <c r="B23" s="4"/>
      <c r="C23" s="3"/>
      <c r="D23" s="3"/>
      <c r="E23" s="3"/>
      <c r="F23" s="3"/>
      <c r="G23" s="3"/>
      <c r="H23" s="3"/>
      <c r="I23" s="3"/>
      <c r="J23" s="2"/>
    </row>
    <row r="24" spans="2:10" s="26" customFormat="1" ht="11.25" x14ac:dyDescent="0.2"/>
  </sheetData>
  <pageMargins left="0.75" right="0.75" top="1" bottom="1" header="0.5" footer="0.5"/>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22"/>
  <sheetViews>
    <sheetView workbookViewId="0"/>
  </sheetViews>
  <sheetFormatPr defaultRowHeight="12.75" x14ac:dyDescent="0.2"/>
  <cols>
    <col min="1" max="1" width="3.140625" style="1" customWidth="1"/>
    <col min="2" max="2" width="4" style="1" bestFit="1" customWidth="1"/>
    <col min="3" max="3" width="5.5703125" style="1" bestFit="1" customWidth="1"/>
    <col min="4" max="4" width="9.28515625" style="1" bestFit="1" customWidth="1"/>
    <col min="5" max="5" width="14.28515625" style="1" bestFit="1" customWidth="1"/>
    <col min="6" max="6" width="15.85546875" style="1" bestFit="1" customWidth="1"/>
    <col min="7" max="7" width="54.7109375" style="1" customWidth="1"/>
    <col min="8" max="16384" width="9.140625" style="1"/>
  </cols>
  <sheetData>
    <row r="1" spans="1:8" s="26" customFormat="1" ht="12" thickBot="1" x14ac:dyDescent="0.25">
      <c r="A1" s="26" t="s">
        <v>124</v>
      </c>
    </row>
    <row r="2" spans="1:8" s="26" customFormat="1" x14ac:dyDescent="0.2">
      <c r="B2" s="46"/>
      <c r="C2" s="45"/>
      <c r="D2" s="45"/>
      <c r="E2" s="44"/>
      <c r="F2" s="43"/>
      <c r="G2" s="43"/>
      <c r="H2" s="42"/>
    </row>
    <row r="3" spans="1:8" s="26" customFormat="1" x14ac:dyDescent="0.2">
      <c r="B3" s="31"/>
      <c r="C3" s="40"/>
      <c r="D3" s="40"/>
      <c r="E3" s="16" t="s">
        <v>54</v>
      </c>
      <c r="F3" s="41" t="s">
        <v>56</v>
      </c>
      <c r="G3" s="39"/>
      <c r="H3" s="32"/>
    </row>
    <row r="4" spans="1:8" s="26" customFormat="1" x14ac:dyDescent="0.2">
      <c r="B4" s="31"/>
      <c r="C4" s="40"/>
      <c r="D4" s="40"/>
      <c r="E4" s="39"/>
      <c r="F4" s="39"/>
      <c r="G4" s="39"/>
      <c r="H4" s="32"/>
    </row>
    <row r="5" spans="1:8" s="26" customFormat="1" x14ac:dyDescent="0.2">
      <c r="B5" s="31"/>
      <c r="C5" s="38" t="s">
        <v>52</v>
      </c>
      <c r="D5" s="37" t="s">
        <v>55</v>
      </c>
      <c r="E5" s="36" t="str">
        <f>PROPER(Currency)&amp;FamilyName&amp;".xml"</f>
        <v>Euribor365.xml</v>
      </c>
      <c r="F5" s="10">
        <f ca="1">IF(Serialize,_xll.ohObjectSave(F6:F20,SerializationPath&amp;FileName,FileOverwrite,,Serialize),"---")</f>
        <v>15</v>
      </c>
      <c r="G5" s="7" t="str">
        <f ca="1">_xll.ohRangeRetrieveError(F5)</f>
        <v/>
      </c>
      <c r="H5" s="32"/>
    </row>
    <row r="6" spans="1:8" s="26" customFormat="1" x14ac:dyDescent="0.2">
      <c r="B6" s="31"/>
      <c r="C6" s="49" t="s">
        <v>48</v>
      </c>
      <c r="D6" s="48" t="s">
        <v>21</v>
      </c>
      <c r="E6" s="47" t="str">
        <f t="shared" ref="E6:E20" si="0">PROPER(Currency)&amp;FamilyName&amp;$C6</f>
        <v>Euribor365SW</v>
      </c>
      <c r="F6" s="27" t="str">
        <f>_xll.qlEuribor365($E6,$C6,Currency&amp;$D6,Permanent,Trigger,ObjectOverwrite)</f>
        <v>Euribor365SW#0002</v>
      </c>
      <c r="G6" s="7" t="str">
        <f>_xll.ohRangeRetrieveError(F6)</f>
        <v/>
      </c>
      <c r="H6" s="5"/>
    </row>
    <row r="7" spans="1:8" s="26" customFormat="1" x14ac:dyDescent="0.2">
      <c r="B7" s="31"/>
      <c r="C7" s="49" t="s">
        <v>47</v>
      </c>
      <c r="D7" s="48" t="s">
        <v>21</v>
      </c>
      <c r="E7" s="47" t="str">
        <f t="shared" si="0"/>
        <v>Euribor3652W</v>
      </c>
      <c r="F7" s="27" t="str">
        <f>_xll.qlEuribor365($E7,$C7,Currency&amp;$D7,Permanent,Trigger,ObjectOverwrite)</f>
        <v>Euribor3652W#0002</v>
      </c>
      <c r="G7" s="7" t="str">
        <f>_xll.ohRangeRetrieveError(F7)</f>
        <v/>
      </c>
      <c r="H7" s="5"/>
    </row>
    <row r="8" spans="1:8" s="26" customFormat="1" x14ac:dyDescent="0.2">
      <c r="B8" s="31"/>
      <c r="C8" s="49" t="s">
        <v>46</v>
      </c>
      <c r="D8" s="48" t="s">
        <v>20</v>
      </c>
      <c r="E8" s="47" t="str">
        <f t="shared" si="0"/>
        <v>Euribor3653W</v>
      </c>
      <c r="F8" s="27" t="str">
        <f>_xll.qlEuribor365($E8,$C8,Currency&amp;$D8,Permanent,Trigger,ObjectOverwrite)</f>
        <v>Euribor3653W#0002</v>
      </c>
      <c r="G8" s="7" t="str">
        <f>_xll.ohRangeRetrieveError(F8)</f>
        <v/>
      </c>
      <c r="H8" s="5"/>
    </row>
    <row r="9" spans="1:8" s="26" customFormat="1" x14ac:dyDescent="0.2">
      <c r="B9" s="31"/>
      <c r="C9" s="49" t="s">
        <v>45</v>
      </c>
      <c r="D9" s="48" t="s">
        <v>20</v>
      </c>
      <c r="E9" s="47" t="str">
        <f t="shared" si="0"/>
        <v>Euribor3651M</v>
      </c>
      <c r="F9" s="27" t="str">
        <f>_xll.qlEuribor365($E9,$C9,Currency&amp;$D9,Permanent,Trigger,ObjectOverwrite)</f>
        <v>Euribor3651M#0002</v>
      </c>
      <c r="G9" s="7" t="str">
        <f>_xll.ohRangeRetrieveError(F9)</f>
        <v/>
      </c>
      <c r="H9" s="5"/>
    </row>
    <row r="10" spans="1:8" s="26" customFormat="1" x14ac:dyDescent="0.2">
      <c r="B10" s="31"/>
      <c r="C10" s="49" t="s">
        <v>44</v>
      </c>
      <c r="D10" s="48" t="s">
        <v>19</v>
      </c>
      <c r="E10" s="47" t="str">
        <f t="shared" si="0"/>
        <v>Euribor3652M</v>
      </c>
      <c r="F10" s="27" t="str">
        <f>_xll.qlEuribor365($E10,$C10,Currency&amp;$D10,Permanent,Trigger,ObjectOverwrite)</f>
        <v>Euribor3652M#0002</v>
      </c>
      <c r="G10" s="7" t="str">
        <f>_xll.ohRangeRetrieveError(F10)</f>
        <v/>
      </c>
      <c r="H10" s="5"/>
    </row>
    <row r="11" spans="1:8" s="26" customFormat="1" x14ac:dyDescent="0.2">
      <c r="B11" s="31"/>
      <c r="C11" s="49" t="s">
        <v>43</v>
      </c>
      <c r="D11" s="48" t="s">
        <v>19</v>
      </c>
      <c r="E11" s="47" t="str">
        <f t="shared" si="0"/>
        <v>Euribor3653M</v>
      </c>
      <c r="F11" s="27" t="str">
        <f>_xll.qlEuribor365($E11,$C11,Currency&amp;$D11,Permanent,Trigger,ObjectOverwrite)</f>
        <v>Euribor3653M#0002</v>
      </c>
      <c r="G11" s="7" t="str">
        <f>_xll.ohRangeRetrieveError(F11)</f>
        <v/>
      </c>
      <c r="H11" s="5"/>
    </row>
    <row r="12" spans="1:8" s="26" customFormat="1" x14ac:dyDescent="0.2">
      <c r="B12" s="31"/>
      <c r="C12" s="49" t="s">
        <v>42</v>
      </c>
      <c r="D12" s="48" t="s">
        <v>19</v>
      </c>
      <c r="E12" s="47" t="str">
        <f t="shared" si="0"/>
        <v>Euribor3654M</v>
      </c>
      <c r="F12" s="27" t="str">
        <f>_xll.qlEuribor365($E12,$C12,Currency&amp;$D12,Permanent,Trigger,ObjectOverwrite)</f>
        <v>Euribor3654M#0002</v>
      </c>
      <c r="G12" s="7" t="str">
        <f>_xll.ohRangeRetrieveError(F12)</f>
        <v/>
      </c>
      <c r="H12" s="5"/>
    </row>
    <row r="13" spans="1:8" s="26" customFormat="1" x14ac:dyDescent="0.2">
      <c r="B13" s="31"/>
      <c r="C13" s="49" t="s">
        <v>41</v>
      </c>
      <c r="D13" s="48" t="s">
        <v>18</v>
      </c>
      <c r="E13" s="47" t="str">
        <f t="shared" si="0"/>
        <v>Euribor3655M</v>
      </c>
      <c r="F13" s="27" t="str">
        <f>_xll.qlEuribor365($E13,$C13,Currency&amp;$D13,Permanent,Trigger,ObjectOverwrite)</f>
        <v>Euribor3655M#0002</v>
      </c>
      <c r="G13" s="7" t="str">
        <f>_xll.ohRangeRetrieveError(F13)</f>
        <v/>
      </c>
      <c r="H13" s="5"/>
    </row>
    <row r="14" spans="1:8" s="26" customFormat="1" x14ac:dyDescent="0.2">
      <c r="B14" s="31"/>
      <c r="C14" s="49" t="s">
        <v>40</v>
      </c>
      <c r="D14" s="48" t="s">
        <v>18</v>
      </c>
      <c r="E14" s="47" t="str">
        <f t="shared" si="0"/>
        <v>Euribor3656M</v>
      </c>
      <c r="F14" s="27" t="str">
        <f>_xll.qlEuribor365($E14,$C14,Currency&amp;$D14,Permanent,Trigger,ObjectOverwrite)</f>
        <v>Euribor3656M#0002</v>
      </c>
      <c r="G14" s="7" t="str">
        <f>_xll.ohRangeRetrieveError(F14)</f>
        <v/>
      </c>
      <c r="H14" s="5"/>
    </row>
    <row r="15" spans="1:8" s="26" customFormat="1" x14ac:dyDescent="0.2">
      <c r="B15" s="31"/>
      <c r="C15" s="49" t="s">
        <v>39</v>
      </c>
      <c r="D15" s="48" t="s">
        <v>18</v>
      </c>
      <c r="E15" s="47" t="str">
        <f t="shared" si="0"/>
        <v>Euribor3657M</v>
      </c>
      <c r="F15" s="27" t="str">
        <f>_xll.qlEuribor365($E15,$C15,Currency&amp;$D15,Permanent,Trigger,ObjectOverwrite)</f>
        <v>Euribor3657M#0002</v>
      </c>
      <c r="G15" s="7" t="str">
        <f>_xll.ohRangeRetrieveError(F15)</f>
        <v/>
      </c>
      <c r="H15" s="5"/>
    </row>
    <row r="16" spans="1:8" s="26" customFormat="1" x14ac:dyDescent="0.2">
      <c r="B16" s="31"/>
      <c r="C16" s="49" t="s">
        <v>38</v>
      </c>
      <c r="D16" s="48" t="s">
        <v>18</v>
      </c>
      <c r="E16" s="47" t="str">
        <f t="shared" si="0"/>
        <v>Euribor3658M</v>
      </c>
      <c r="F16" s="27" t="str">
        <f>_xll.qlEuribor365($E16,$C16,Currency&amp;$D16,Permanent,Trigger,ObjectOverwrite)</f>
        <v>Euribor3658M#0002</v>
      </c>
      <c r="G16" s="7" t="str">
        <f>_xll.ohRangeRetrieveError(F16)</f>
        <v/>
      </c>
      <c r="H16" s="5"/>
    </row>
    <row r="17" spans="2:8" s="26" customFormat="1" x14ac:dyDescent="0.2">
      <c r="B17" s="31"/>
      <c r="C17" s="49" t="s">
        <v>37</v>
      </c>
      <c r="D17" s="48" t="s">
        <v>17</v>
      </c>
      <c r="E17" s="47" t="str">
        <f t="shared" si="0"/>
        <v>Euribor3659M</v>
      </c>
      <c r="F17" s="27" t="str">
        <f>_xll.qlEuribor365($E17,$C17,Currency&amp;$D17,Permanent,Trigger,ObjectOverwrite)</f>
        <v>Euribor3659M#0002</v>
      </c>
      <c r="G17" s="7" t="str">
        <f>_xll.ohRangeRetrieveError(F17)</f>
        <v/>
      </c>
      <c r="H17" s="5"/>
    </row>
    <row r="18" spans="2:8" s="26" customFormat="1" x14ac:dyDescent="0.2">
      <c r="B18" s="31"/>
      <c r="C18" s="49" t="s">
        <v>36</v>
      </c>
      <c r="D18" s="48" t="s">
        <v>17</v>
      </c>
      <c r="E18" s="47" t="str">
        <f t="shared" si="0"/>
        <v>Euribor36510M</v>
      </c>
      <c r="F18" s="27" t="str">
        <f>_xll.qlEuribor365($E18,$C18,Currency&amp;$D18,Permanent,Trigger,ObjectOverwrite)</f>
        <v>Euribor36510M#0002</v>
      </c>
      <c r="G18" s="7" t="str">
        <f>_xll.ohRangeRetrieveError(F18)</f>
        <v/>
      </c>
      <c r="H18" s="5"/>
    </row>
    <row r="19" spans="2:8" s="26" customFormat="1" x14ac:dyDescent="0.2">
      <c r="B19" s="31"/>
      <c r="C19" s="49" t="s">
        <v>35</v>
      </c>
      <c r="D19" s="48" t="s">
        <v>17</v>
      </c>
      <c r="E19" s="47" t="str">
        <f t="shared" si="0"/>
        <v>Euribor36511M</v>
      </c>
      <c r="F19" s="27" t="str">
        <f>_xll.qlEuribor365($E19,$C19,Currency&amp;$D19,Permanent,Trigger,ObjectOverwrite)</f>
        <v>Euribor36511M#0002</v>
      </c>
      <c r="G19" s="7" t="str">
        <f>_xll.ohRangeRetrieveError(F19)</f>
        <v/>
      </c>
      <c r="H19" s="5"/>
    </row>
    <row r="20" spans="2:8" s="26" customFormat="1" x14ac:dyDescent="0.2">
      <c r="B20" s="31"/>
      <c r="C20" s="49" t="s">
        <v>34</v>
      </c>
      <c r="D20" s="48" t="s">
        <v>17</v>
      </c>
      <c r="E20" s="47" t="str">
        <f t="shared" si="0"/>
        <v>Euribor3651Y</v>
      </c>
      <c r="F20" s="27" t="str">
        <f>_xll.qlEuribor365($E20,$C20,Currency&amp;$D20,Permanent,Trigger,ObjectOverwrite)</f>
        <v>Euribor3651Y#0002</v>
      </c>
      <c r="G20" s="7" t="str">
        <f>_xll.ohRangeRetrieveError(F20)</f>
        <v/>
      </c>
      <c r="H20" s="5"/>
    </row>
    <row r="21" spans="2:8" s="26" customFormat="1" ht="12" thickBot="1" x14ac:dyDescent="0.25">
      <c r="B21" s="4"/>
      <c r="C21" s="3"/>
      <c r="D21" s="3"/>
      <c r="E21" s="3"/>
      <c r="F21" s="3"/>
      <c r="G21" s="3"/>
      <c r="H21" s="2"/>
    </row>
    <row r="22" spans="2:8" s="26" customFormat="1" ht="11.25" x14ac:dyDescent="0.2"/>
  </sheetData>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68"/>
  <sheetViews>
    <sheetView workbookViewId="0"/>
  </sheetViews>
  <sheetFormatPr defaultRowHeight="11.25" x14ac:dyDescent="0.2"/>
  <cols>
    <col min="1" max="1" width="3.140625" style="22" customWidth="1"/>
    <col min="2" max="2" width="4.42578125" style="22" customWidth="1"/>
    <col min="3" max="3" width="3.85546875" style="22" bestFit="1" customWidth="1"/>
    <col min="4" max="4" width="8.7109375" style="22" bestFit="1" customWidth="1"/>
    <col min="5" max="5" width="8.5703125" style="22" bestFit="1" customWidth="1"/>
    <col min="6" max="6" width="20.140625" style="22" bestFit="1" customWidth="1"/>
    <col min="7" max="7" width="23.5703125" style="22" bestFit="1" customWidth="1"/>
    <col min="8" max="8" width="55" style="22" customWidth="1"/>
    <col min="9" max="9" width="5.28515625" style="22" customWidth="1"/>
    <col min="10" max="16384" width="9.140625" style="22"/>
  </cols>
  <sheetData>
    <row r="1" spans="1:9" s="50" customFormat="1" ht="12" thickBot="1" x14ac:dyDescent="0.25">
      <c r="A1" s="50" t="s">
        <v>124</v>
      </c>
    </row>
    <row r="2" spans="1:9" s="50" customFormat="1" x14ac:dyDescent="0.2">
      <c r="B2" s="71"/>
      <c r="C2" s="69"/>
      <c r="D2" s="69"/>
      <c r="E2" s="69"/>
      <c r="F2" s="70"/>
      <c r="G2" s="69"/>
      <c r="H2" s="69"/>
      <c r="I2" s="68"/>
    </row>
    <row r="3" spans="1:9" s="50" customFormat="1" x14ac:dyDescent="0.2">
      <c r="B3" s="60"/>
      <c r="C3" s="66"/>
      <c r="D3" s="66"/>
      <c r="E3" s="66"/>
      <c r="F3" s="67" t="s">
        <v>54</v>
      </c>
      <c r="G3" s="63" t="s">
        <v>120</v>
      </c>
      <c r="H3" s="66"/>
      <c r="I3" s="62"/>
    </row>
    <row r="4" spans="1:9" s="50" customFormat="1" x14ac:dyDescent="0.2">
      <c r="B4" s="60"/>
      <c r="C4" s="66"/>
      <c r="D4" s="66"/>
      <c r="E4" s="66"/>
      <c r="F4" s="67" t="s">
        <v>119</v>
      </c>
      <c r="G4" s="63" t="s">
        <v>118</v>
      </c>
      <c r="H4" s="66"/>
      <c r="I4" s="62"/>
    </row>
    <row r="5" spans="1:9" s="50" customFormat="1" x14ac:dyDescent="0.2">
      <c r="B5" s="60"/>
      <c r="C5" s="66"/>
      <c r="D5" s="66"/>
      <c r="E5" s="66"/>
      <c r="F5" s="66"/>
      <c r="G5" s="66"/>
      <c r="H5" s="66"/>
      <c r="I5" s="62"/>
    </row>
    <row r="6" spans="1:9" s="50" customFormat="1" x14ac:dyDescent="0.2">
      <c r="B6" s="60"/>
      <c r="C6" s="66"/>
      <c r="D6" s="65" t="s">
        <v>117</v>
      </c>
      <c r="E6" s="65" t="s">
        <v>116</v>
      </c>
      <c r="F6" s="64" t="str">
        <f>PROPER(Currency)&amp;FamilyName&amp;FixingType&amp;".xml"</f>
        <v>EuriborSwapIsdaFixA.xml</v>
      </c>
      <c r="G6" s="63">
        <f ca="1">IF(Serialize,_xll.ohObjectSave(G7:G66,SerializationPath&amp;FileName,FileOverwrite,,Serialize),"---")</f>
        <v>60</v>
      </c>
      <c r="H6" s="55" t="str">
        <f ca="1">_xll.ohRangeRetrieveError(G6)</f>
        <v/>
      </c>
      <c r="I6" s="62"/>
    </row>
    <row r="7" spans="1:9" s="50" customFormat="1" x14ac:dyDescent="0.2">
      <c r="B7" s="60"/>
      <c r="C7" s="59" t="s">
        <v>34</v>
      </c>
      <c r="D7" s="61" t="s">
        <v>19</v>
      </c>
      <c r="E7" s="58" t="s">
        <v>23</v>
      </c>
      <c r="F7" s="57" t="str">
        <f t="shared" ref="F7:F38" si="0">PROPER(Currency)&amp;FamilyName&amp;FixingType&amp;$C7</f>
        <v>EuriborSwapIsdaFixA1Y</v>
      </c>
      <c r="G7" s="56" t="str">
        <f>_xll.qlEuriborSwap($F7,FixingType,$C7,Currency&amp;$D7,Currency&amp;$E7,Permanent,Trigger,ObjectOverwrite)</f>
        <v>EuriborSwapIsdaFixA1Y#0002</v>
      </c>
      <c r="H7" s="55" t="str">
        <f>_xll.ohRangeRetrieveError(G7)</f>
        <v/>
      </c>
      <c r="I7" s="54"/>
    </row>
    <row r="8" spans="1:9" s="50" customFormat="1" x14ac:dyDescent="0.2">
      <c r="B8" s="60"/>
      <c r="C8" s="59" t="s">
        <v>115</v>
      </c>
      <c r="D8" s="58" t="s">
        <v>18</v>
      </c>
      <c r="E8" s="58" t="s">
        <v>23</v>
      </c>
      <c r="F8" s="57" t="str">
        <f t="shared" si="0"/>
        <v>EuriborSwapIsdaFixA2Y</v>
      </c>
      <c r="G8" s="56" t="str">
        <f>_xll.qlEuriborSwap($F8,FixingType,$C8,Currency&amp;$D8,Currency&amp;$E8,Permanent,Trigger,ObjectOverwrite)</f>
        <v>EuriborSwapIsdaFixA2Y#0002</v>
      </c>
      <c r="H8" s="55" t="str">
        <f>_xll.ohRangeRetrieveError(G8)</f>
        <v/>
      </c>
      <c r="I8" s="54"/>
    </row>
    <row r="9" spans="1:9" s="50" customFormat="1" x14ac:dyDescent="0.2">
      <c r="B9" s="60"/>
      <c r="C9" s="59" t="s">
        <v>114</v>
      </c>
      <c r="D9" s="58" t="s">
        <v>18</v>
      </c>
      <c r="E9" s="58" t="s">
        <v>23</v>
      </c>
      <c r="F9" s="57" t="str">
        <f t="shared" si="0"/>
        <v>EuriborSwapIsdaFixA3Y</v>
      </c>
      <c r="G9" s="56" t="str">
        <f>_xll.qlEuriborSwap($F9,FixingType,$C9,Currency&amp;$D9,Currency&amp;$E9,Permanent,Trigger,ObjectOverwrite)</f>
        <v>EuriborSwapIsdaFixA3Y#0002</v>
      </c>
      <c r="H9" s="55" t="str">
        <f>_xll.ohRangeRetrieveError(G9)</f>
        <v/>
      </c>
      <c r="I9" s="54"/>
    </row>
    <row r="10" spans="1:9" s="50" customFormat="1" x14ac:dyDescent="0.2">
      <c r="B10" s="60"/>
      <c r="C10" s="59" t="s">
        <v>113</v>
      </c>
      <c r="D10" s="58" t="s">
        <v>18</v>
      </c>
      <c r="E10" s="58" t="s">
        <v>23</v>
      </c>
      <c r="F10" s="57" t="str">
        <f t="shared" si="0"/>
        <v>EuriborSwapIsdaFixA4Y</v>
      </c>
      <c r="G10" s="56" t="str">
        <f>_xll.qlEuriborSwap($F10,FixingType,$C10,Currency&amp;$D10,Currency&amp;$E10,Permanent,Trigger,ObjectOverwrite)</f>
        <v>EuriborSwapIsdaFixA4Y#0002</v>
      </c>
      <c r="H10" s="55" t="str">
        <f>_xll.ohRangeRetrieveError(G10)</f>
        <v/>
      </c>
      <c r="I10" s="54"/>
    </row>
    <row r="11" spans="1:9" s="50" customFormat="1" x14ac:dyDescent="0.2">
      <c r="B11" s="60"/>
      <c r="C11" s="59" t="s">
        <v>112</v>
      </c>
      <c r="D11" s="58" t="s">
        <v>18</v>
      </c>
      <c r="E11" s="58" t="s">
        <v>23</v>
      </c>
      <c r="F11" s="57" t="str">
        <f t="shared" si="0"/>
        <v>EuriborSwapIsdaFixA5Y</v>
      </c>
      <c r="G11" s="56" t="str">
        <f>_xll.qlEuriborSwap($F11,FixingType,$C11,Currency&amp;$D11,Currency&amp;$E11,Permanent,Trigger,ObjectOverwrite)</f>
        <v>EuriborSwapIsdaFixA5Y#0002</v>
      </c>
      <c r="H11" s="55" t="str">
        <f>_xll.ohRangeRetrieveError(G11)</f>
        <v/>
      </c>
      <c r="I11" s="54"/>
    </row>
    <row r="12" spans="1:9" s="50" customFormat="1" x14ac:dyDescent="0.2">
      <c r="B12" s="60"/>
      <c r="C12" s="59" t="s">
        <v>111</v>
      </c>
      <c r="D12" s="58" t="s">
        <v>18</v>
      </c>
      <c r="E12" s="58" t="s">
        <v>23</v>
      </c>
      <c r="F12" s="57" t="str">
        <f t="shared" si="0"/>
        <v>EuriborSwapIsdaFixA6Y</v>
      </c>
      <c r="G12" s="56" t="str">
        <f>_xll.qlEuriborSwap($F12,FixingType,$C12,Currency&amp;$D12,Currency&amp;$E12,Permanent,Trigger,ObjectOverwrite)</f>
        <v>EuriborSwapIsdaFixA6Y#0002</v>
      </c>
      <c r="H12" s="55" t="str">
        <f>_xll.ohRangeRetrieveError(G12)</f>
        <v/>
      </c>
      <c r="I12" s="54"/>
    </row>
    <row r="13" spans="1:9" s="50" customFormat="1" x14ac:dyDescent="0.2">
      <c r="B13" s="60"/>
      <c r="C13" s="59" t="s">
        <v>110</v>
      </c>
      <c r="D13" s="58" t="s">
        <v>18</v>
      </c>
      <c r="E13" s="58" t="s">
        <v>23</v>
      </c>
      <c r="F13" s="57" t="str">
        <f t="shared" si="0"/>
        <v>EuriborSwapIsdaFixA7Y</v>
      </c>
      <c r="G13" s="56" t="str">
        <f>_xll.qlEuriborSwap($F13,FixingType,$C13,Currency&amp;$D13,Currency&amp;$E13,Permanent,Trigger,ObjectOverwrite)</f>
        <v>EuriborSwapIsdaFixA7Y#0002</v>
      </c>
      <c r="H13" s="55" t="str">
        <f>_xll.ohRangeRetrieveError(G13)</f>
        <v/>
      </c>
      <c r="I13" s="54"/>
    </row>
    <row r="14" spans="1:9" s="50" customFormat="1" x14ac:dyDescent="0.2">
      <c r="B14" s="60"/>
      <c r="C14" s="59" t="s">
        <v>109</v>
      </c>
      <c r="D14" s="58" t="s">
        <v>18</v>
      </c>
      <c r="E14" s="58" t="s">
        <v>23</v>
      </c>
      <c r="F14" s="57" t="str">
        <f t="shared" si="0"/>
        <v>EuriborSwapIsdaFixA8Y</v>
      </c>
      <c r="G14" s="56" t="str">
        <f>_xll.qlEuriborSwap($F14,FixingType,$C14,Currency&amp;$D14,Currency&amp;$E14,Permanent,Trigger,ObjectOverwrite)</f>
        <v>EuriborSwapIsdaFixA8Y#0002</v>
      </c>
      <c r="H14" s="55" t="str">
        <f>_xll.ohRangeRetrieveError(G14)</f>
        <v/>
      </c>
      <c r="I14" s="54"/>
    </row>
    <row r="15" spans="1:9" s="50" customFormat="1" x14ac:dyDescent="0.2">
      <c r="B15" s="60"/>
      <c r="C15" s="59" t="s">
        <v>108</v>
      </c>
      <c r="D15" s="58" t="s">
        <v>18</v>
      </c>
      <c r="E15" s="58" t="s">
        <v>23</v>
      </c>
      <c r="F15" s="57" t="str">
        <f t="shared" si="0"/>
        <v>EuriborSwapIsdaFixA9Y</v>
      </c>
      <c r="G15" s="56" t="str">
        <f>_xll.qlEuriborSwap($F15,FixingType,$C15,Currency&amp;$D15,Currency&amp;$E15,Permanent,Trigger,ObjectOverwrite)</f>
        <v>EuriborSwapIsdaFixA9Y#0002</v>
      </c>
      <c r="H15" s="55" t="str">
        <f>_xll.ohRangeRetrieveError(G15)</f>
        <v/>
      </c>
      <c r="I15" s="54"/>
    </row>
    <row r="16" spans="1:9" s="50" customFormat="1" x14ac:dyDescent="0.2">
      <c r="B16" s="60"/>
      <c r="C16" s="59" t="s">
        <v>107</v>
      </c>
      <c r="D16" s="58" t="s">
        <v>18</v>
      </c>
      <c r="E16" s="58" t="s">
        <v>23</v>
      </c>
      <c r="F16" s="57" t="str">
        <f t="shared" si="0"/>
        <v>EuriborSwapIsdaFixA10Y</v>
      </c>
      <c r="G16" s="56" t="str">
        <f>_xll.qlEuriborSwap($F16,FixingType,$C16,Currency&amp;$D16,Currency&amp;$E16,Permanent,Trigger,ObjectOverwrite)</f>
        <v>EuriborSwapIsdaFixA10Y#0002</v>
      </c>
      <c r="H16" s="55" t="str">
        <f>_xll.ohRangeRetrieveError(G16)</f>
        <v/>
      </c>
      <c r="I16" s="54"/>
    </row>
    <row r="17" spans="2:9" s="50" customFormat="1" x14ac:dyDescent="0.2">
      <c r="B17" s="60"/>
      <c r="C17" s="59" t="s">
        <v>106</v>
      </c>
      <c r="D17" s="58" t="s">
        <v>18</v>
      </c>
      <c r="E17" s="58" t="s">
        <v>23</v>
      </c>
      <c r="F17" s="57" t="str">
        <f t="shared" si="0"/>
        <v>EuriborSwapIsdaFixA11Y</v>
      </c>
      <c r="G17" s="56" t="str">
        <f>_xll.qlEuriborSwap($F17,FixingType,$C17,Currency&amp;$D17,Currency&amp;$E17,Permanent,Trigger,ObjectOverwrite)</f>
        <v>EuriborSwapIsdaFixA11Y#0002</v>
      </c>
      <c r="H17" s="55" t="str">
        <f>_xll.ohRangeRetrieveError(G17)</f>
        <v/>
      </c>
      <c r="I17" s="54"/>
    </row>
    <row r="18" spans="2:9" s="50" customFormat="1" x14ac:dyDescent="0.2">
      <c r="B18" s="60"/>
      <c r="C18" s="59" t="s">
        <v>105</v>
      </c>
      <c r="D18" s="58" t="s">
        <v>18</v>
      </c>
      <c r="E18" s="58" t="s">
        <v>23</v>
      </c>
      <c r="F18" s="57" t="str">
        <f t="shared" si="0"/>
        <v>EuriborSwapIsdaFixA12Y</v>
      </c>
      <c r="G18" s="56" t="str">
        <f>_xll.qlEuriborSwap($F18,FixingType,$C18,Currency&amp;$D18,Currency&amp;$E18,Permanent,Trigger,ObjectOverwrite)</f>
        <v>EuriborSwapIsdaFixA12Y#0002</v>
      </c>
      <c r="H18" s="55" t="str">
        <f>_xll.ohRangeRetrieveError(G18)</f>
        <v/>
      </c>
      <c r="I18" s="54"/>
    </row>
    <row r="19" spans="2:9" s="50" customFormat="1" x14ac:dyDescent="0.2">
      <c r="B19" s="60"/>
      <c r="C19" s="59" t="s">
        <v>104</v>
      </c>
      <c r="D19" s="58" t="s">
        <v>18</v>
      </c>
      <c r="E19" s="58" t="s">
        <v>23</v>
      </c>
      <c r="F19" s="57" t="str">
        <f t="shared" si="0"/>
        <v>EuriborSwapIsdaFixA13Y</v>
      </c>
      <c r="G19" s="56" t="str">
        <f>_xll.qlEuriborSwap($F19,FixingType,$C19,Currency&amp;$D19,Currency&amp;$E19,Permanent,Trigger,ObjectOverwrite)</f>
        <v>EuriborSwapIsdaFixA13Y#0002</v>
      </c>
      <c r="H19" s="55" t="str">
        <f>_xll.ohRangeRetrieveError(G19)</f>
        <v/>
      </c>
      <c r="I19" s="54"/>
    </row>
    <row r="20" spans="2:9" s="50" customFormat="1" x14ac:dyDescent="0.2">
      <c r="B20" s="60"/>
      <c r="C20" s="59" t="s">
        <v>103</v>
      </c>
      <c r="D20" s="58" t="s">
        <v>18</v>
      </c>
      <c r="E20" s="58" t="s">
        <v>23</v>
      </c>
      <c r="F20" s="57" t="str">
        <f t="shared" si="0"/>
        <v>EuriborSwapIsdaFixA14Y</v>
      </c>
      <c r="G20" s="56" t="str">
        <f>_xll.qlEuriborSwap($F20,FixingType,$C20,Currency&amp;$D20,Currency&amp;$E20,Permanent,Trigger,ObjectOverwrite)</f>
        <v>EuriborSwapIsdaFixA14Y#0002</v>
      </c>
      <c r="H20" s="55" t="str">
        <f>_xll.ohRangeRetrieveError(G20)</f>
        <v/>
      </c>
      <c r="I20" s="54"/>
    </row>
    <row r="21" spans="2:9" s="50" customFormat="1" x14ac:dyDescent="0.2">
      <c r="B21" s="60"/>
      <c r="C21" s="59" t="s">
        <v>102</v>
      </c>
      <c r="D21" s="58" t="s">
        <v>18</v>
      </c>
      <c r="E21" s="58" t="s">
        <v>23</v>
      </c>
      <c r="F21" s="57" t="str">
        <f t="shared" si="0"/>
        <v>EuriborSwapIsdaFixA15Y</v>
      </c>
      <c r="G21" s="56" t="str">
        <f>_xll.qlEuriborSwap($F21,FixingType,$C21,Currency&amp;$D21,Currency&amp;$E21,Permanent,Trigger,ObjectOverwrite)</f>
        <v>EuriborSwapIsdaFixA15Y#0002</v>
      </c>
      <c r="H21" s="55" t="str">
        <f>_xll.ohRangeRetrieveError(G21)</f>
        <v/>
      </c>
      <c r="I21" s="54"/>
    </row>
    <row r="22" spans="2:9" s="50" customFormat="1" x14ac:dyDescent="0.2">
      <c r="B22" s="60"/>
      <c r="C22" s="59" t="s">
        <v>101</v>
      </c>
      <c r="D22" s="58" t="s">
        <v>18</v>
      </c>
      <c r="E22" s="58" t="s">
        <v>23</v>
      </c>
      <c r="F22" s="57" t="str">
        <f t="shared" si="0"/>
        <v>EuriborSwapIsdaFixA16Y</v>
      </c>
      <c r="G22" s="56" t="str">
        <f>_xll.qlEuriborSwap($F22,FixingType,$C22,Currency&amp;$D22,Currency&amp;$E22,Permanent,Trigger,ObjectOverwrite)</f>
        <v>EuriborSwapIsdaFixA16Y#0002</v>
      </c>
      <c r="H22" s="55" t="str">
        <f>_xll.ohRangeRetrieveError(G22)</f>
        <v/>
      </c>
      <c r="I22" s="54"/>
    </row>
    <row r="23" spans="2:9" s="50" customFormat="1" x14ac:dyDescent="0.2">
      <c r="B23" s="60"/>
      <c r="C23" s="59" t="s">
        <v>100</v>
      </c>
      <c r="D23" s="58" t="s">
        <v>18</v>
      </c>
      <c r="E23" s="58" t="s">
        <v>23</v>
      </c>
      <c r="F23" s="57" t="str">
        <f t="shared" si="0"/>
        <v>EuriborSwapIsdaFixA17Y</v>
      </c>
      <c r="G23" s="56" t="str">
        <f>_xll.qlEuriborSwap($F23,FixingType,$C23,Currency&amp;$D23,Currency&amp;$E23,Permanent,Trigger,ObjectOverwrite)</f>
        <v>EuriborSwapIsdaFixA17Y#0002</v>
      </c>
      <c r="H23" s="55" t="str">
        <f>_xll.ohRangeRetrieveError(G23)</f>
        <v/>
      </c>
      <c r="I23" s="54"/>
    </row>
    <row r="24" spans="2:9" s="50" customFormat="1" x14ac:dyDescent="0.2">
      <c r="B24" s="60"/>
      <c r="C24" s="59" t="s">
        <v>99</v>
      </c>
      <c r="D24" s="58" t="s">
        <v>18</v>
      </c>
      <c r="E24" s="58" t="s">
        <v>23</v>
      </c>
      <c r="F24" s="57" t="str">
        <f t="shared" si="0"/>
        <v>EuriborSwapIsdaFixA18Y</v>
      </c>
      <c r="G24" s="56" t="str">
        <f>_xll.qlEuriborSwap($F24,FixingType,$C24,Currency&amp;$D24,Currency&amp;$E24,Permanent,Trigger,ObjectOverwrite)</f>
        <v>EuriborSwapIsdaFixA18Y#0002</v>
      </c>
      <c r="H24" s="55" t="str">
        <f>_xll.ohRangeRetrieveError(G24)</f>
        <v/>
      </c>
      <c r="I24" s="54"/>
    </row>
    <row r="25" spans="2:9" s="50" customFormat="1" x14ac:dyDescent="0.2">
      <c r="B25" s="60"/>
      <c r="C25" s="59" t="s">
        <v>98</v>
      </c>
      <c r="D25" s="58" t="s">
        <v>18</v>
      </c>
      <c r="E25" s="58" t="s">
        <v>23</v>
      </c>
      <c r="F25" s="57" t="str">
        <f t="shared" si="0"/>
        <v>EuriborSwapIsdaFixA19Y</v>
      </c>
      <c r="G25" s="56" t="str">
        <f>_xll.qlEuriborSwap($F25,FixingType,$C25,Currency&amp;$D25,Currency&amp;$E25,Permanent,Trigger,ObjectOverwrite)</f>
        <v>EuriborSwapIsdaFixA19Y#0002</v>
      </c>
      <c r="H25" s="55" t="str">
        <f>_xll.ohRangeRetrieveError(G25)</f>
        <v/>
      </c>
      <c r="I25" s="54"/>
    </row>
    <row r="26" spans="2:9" s="50" customFormat="1" x14ac:dyDescent="0.2">
      <c r="B26" s="60"/>
      <c r="C26" s="59" t="s">
        <v>97</v>
      </c>
      <c r="D26" s="58" t="s">
        <v>18</v>
      </c>
      <c r="E26" s="58" t="s">
        <v>23</v>
      </c>
      <c r="F26" s="57" t="str">
        <f t="shared" si="0"/>
        <v>EuriborSwapIsdaFixA20Y</v>
      </c>
      <c r="G26" s="56" t="str">
        <f>_xll.qlEuriborSwap($F26,FixingType,$C26,Currency&amp;$D26,Currency&amp;$E26,Permanent,Trigger,ObjectOverwrite)</f>
        <v>EuriborSwapIsdaFixA20Y#0002</v>
      </c>
      <c r="H26" s="55" t="str">
        <f>_xll.ohRangeRetrieveError(G26)</f>
        <v/>
      </c>
      <c r="I26" s="54"/>
    </row>
    <row r="27" spans="2:9" s="50" customFormat="1" x14ac:dyDescent="0.2">
      <c r="B27" s="60"/>
      <c r="C27" s="59" t="s">
        <v>96</v>
      </c>
      <c r="D27" s="58" t="s">
        <v>18</v>
      </c>
      <c r="E27" s="58" t="s">
        <v>23</v>
      </c>
      <c r="F27" s="57" t="str">
        <f t="shared" si="0"/>
        <v>EuriborSwapIsdaFixA21Y</v>
      </c>
      <c r="G27" s="56" t="str">
        <f>_xll.qlEuriborSwap($F27,FixingType,$C27,Currency&amp;$D27,Currency&amp;$E27,Permanent,Trigger,ObjectOverwrite)</f>
        <v>EuriborSwapIsdaFixA21Y#0002</v>
      </c>
      <c r="H27" s="55" t="str">
        <f>_xll.ohRangeRetrieveError(G27)</f>
        <v/>
      </c>
      <c r="I27" s="54"/>
    </row>
    <row r="28" spans="2:9" s="50" customFormat="1" x14ac:dyDescent="0.2">
      <c r="B28" s="60"/>
      <c r="C28" s="59" t="s">
        <v>95</v>
      </c>
      <c r="D28" s="58" t="s">
        <v>18</v>
      </c>
      <c r="E28" s="58" t="s">
        <v>23</v>
      </c>
      <c r="F28" s="57" t="str">
        <f t="shared" si="0"/>
        <v>EuriborSwapIsdaFixA22Y</v>
      </c>
      <c r="G28" s="56" t="str">
        <f>_xll.qlEuriborSwap($F28,FixingType,$C28,Currency&amp;$D28,Currency&amp;$E28,Permanent,Trigger,ObjectOverwrite)</f>
        <v>EuriborSwapIsdaFixA22Y#0002</v>
      </c>
      <c r="H28" s="55" t="str">
        <f>_xll.ohRangeRetrieveError(G28)</f>
        <v/>
      </c>
      <c r="I28" s="54"/>
    </row>
    <row r="29" spans="2:9" s="50" customFormat="1" x14ac:dyDescent="0.2">
      <c r="B29" s="60"/>
      <c r="C29" s="59" t="s">
        <v>94</v>
      </c>
      <c r="D29" s="58" t="s">
        <v>18</v>
      </c>
      <c r="E29" s="58" t="s">
        <v>23</v>
      </c>
      <c r="F29" s="57" t="str">
        <f t="shared" si="0"/>
        <v>EuriborSwapIsdaFixA23Y</v>
      </c>
      <c r="G29" s="56" t="str">
        <f>_xll.qlEuriborSwap($F29,FixingType,$C29,Currency&amp;$D29,Currency&amp;$E29,Permanent,Trigger,ObjectOverwrite)</f>
        <v>EuriborSwapIsdaFixA23Y#0002</v>
      </c>
      <c r="H29" s="55" t="str">
        <f>_xll.ohRangeRetrieveError(G29)</f>
        <v/>
      </c>
      <c r="I29" s="54"/>
    </row>
    <row r="30" spans="2:9" s="50" customFormat="1" x14ac:dyDescent="0.2">
      <c r="B30" s="60"/>
      <c r="C30" s="59" t="s">
        <v>93</v>
      </c>
      <c r="D30" s="58" t="s">
        <v>18</v>
      </c>
      <c r="E30" s="58" t="s">
        <v>23</v>
      </c>
      <c r="F30" s="57" t="str">
        <f t="shared" si="0"/>
        <v>EuriborSwapIsdaFixA24Y</v>
      </c>
      <c r="G30" s="56" t="str">
        <f>_xll.qlEuriborSwap($F30,FixingType,$C30,Currency&amp;$D30,Currency&amp;$E30,Permanent,Trigger,ObjectOverwrite)</f>
        <v>EuriborSwapIsdaFixA24Y#0002</v>
      </c>
      <c r="H30" s="55" t="str">
        <f>_xll.ohRangeRetrieveError(G30)</f>
        <v/>
      </c>
      <c r="I30" s="54"/>
    </row>
    <row r="31" spans="2:9" s="50" customFormat="1" x14ac:dyDescent="0.2">
      <c r="B31" s="60"/>
      <c r="C31" s="59" t="s">
        <v>92</v>
      </c>
      <c r="D31" s="58" t="s">
        <v>18</v>
      </c>
      <c r="E31" s="58" t="s">
        <v>23</v>
      </c>
      <c r="F31" s="57" t="str">
        <f t="shared" si="0"/>
        <v>EuriborSwapIsdaFixA25Y</v>
      </c>
      <c r="G31" s="56" t="str">
        <f>_xll.qlEuriborSwap($F31,FixingType,$C31,Currency&amp;$D31,Currency&amp;$E31,Permanent,Trigger,ObjectOverwrite)</f>
        <v>EuriborSwapIsdaFixA25Y#0002</v>
      </c>
      <c r="H31" s="55" t="str">
        <f>_xll.ohRangeRetrieveError(G31)</f>
        <v/>
      </c>
      <c r="I31" s="54"/>
    </row>
    <row r="32" spans="2:9" s="50" customFormat="1" x14ac:dyDescent="0.2">
      <c r="B32" s="60"/>
      <c r="C32" s="59" t="s">
        <v>91</v>
      </c>
      <c r="D32" s="58" t="s">
        <v>18</v>
      </c>
      <c r="E32" s="58" t="s">
        <v>23</v>
      </c>
      <c r="F32" s="57" t="str">
        <f t="shared" si="0"/>
        <v>EuriborSwapIsdaFixA26Y</v>
      </c>
      <c r="G32" s="56" t="str">
        <f>_xll.qlEuriborSwap($F32,FixingType,$C32,Currency&amp;$D32,Currency&amp;$E32,Permanent,Trigger,ObjectOverwrite)</f>
        <v>EuriborSwapIsdaFixA26Y#0002</v>
      </c>
      <c r="H32" s="55" t="str">
        <f>_xll.ohRangeRetrieveError(G32)</f>
        <v/>
      </c>
      <c r="I32" s="54"/>
    </row>
    <row r="33" spans="2:9" s="50" customFormat="1" x14ac:dyDescent="0.2">
      <c r="B33" s="60"/>
      <c r="C33" s="59" t="s">
        <v>90</v>
      </c>
      <c r="D33" s="58" t="s">
        <v>18</v>
      </c>
      <c r="E33" s="58" t="s">
        <v>23</v>
      </c>
      <c r="F33" s="57" t="str">
        <f t="shared" si="0"/>
        <v>EuriborSwapIsdaFixA27Y</v>
      </c>
      <c r="G33" s="56" t="str">
        <f>_xll.qlEuriborSwap($F33,FixingType,$C33,Currency&amp;$D33,Currency&amp;$E33,Permanent,Trigger,ObjectOverwrite)</f>
        <v>EuriborSwapIsdaFixA27Y#0002</v>
      </c>
      <c r="H33" s="55" t="str">
        <f>_xll.ohRangeRetrieveError(G33)</f>
        <v/>
      </c>
      <c r="I33" s="54"/>
    </row>
    <row r="34" spans="2:9" s="50" customFormat="1" x14ac:dyDescent="0.2">
      <c r="B34" s="60"/>
      <c r="C34" s="59" t="s">
        <v>89</v>
      </c>
      <c r="D34" s="58" t="s">
        <v>18</v>
      </c>
      <c r="E34" s="58" t="s">
        <v>23</v>
      </c>
      <c r="F34" s="57" t="str">
        <f t="shared" si="0"/>
        <v>EuriborSwapIsdaFixA28Y</v>
      </c>
      <c r="G34" s="56" t="str">
        <f>_xll.qlEuriborSwap($F34,FixingType,$C34,Currency&amp;$D34,Currency&amp;$E34,Permanent,Trigger,ObjectOverwrite)</f>
        <v>EuriborSwapIsdaFixA28Y#0002</v>
      </c>
      <c r="H34" s="55" t="str">
        <f>_xll.ohRangeRetrieveError(G34)</f>
        <v/>
      </c>
      <c r="I34" s="54"/>
    </row>
    <row r="35" spans="2:9" s="50" customFormat="1" x14ac:dyDescent="0.2">
      <c r="B35" s="60"/>
      <c r="C35" s="59" t="s">
        <v>88</v>
      </c>
      <c r="D35" s="58" t="s">
        <v>18</v>
      </c>
      <c r="E35" s="58" t="s">
        <v>23</v>
      </c>
      <c r="F35" s="57" t="str">
        <f t="shared" si="0"/>
        <v>EuriborSwapIsdaFixA29Y</v>
      </c>
      <c r="G35" s="56" t="str">
        <f>_xll.qlEuriborSwap($F35,FixingType,$C35,Currency&amp;$D35,Currency&amp;$E35,Permanent,Trigger,ObjectOverwrite)</f>
        <v>EuriborSwapIsdaFixA29Y#0002</v>
      </c>
      <c r="H35" s="55" t="str">
        <f>_xll.ohRangeRetrieveError(G35)</f>
        <v/>
      </c>
      <c r="I35" s="54"/>
    </row>
    <row r="36" spans="2:9" s="50" customFormat="1" x14ac:dyDescent="0.2">
      <c r="B36" s="60"/>
      <c r="C36" s="59" t="s">
        <v>87</v>
      </c>
      <c r="D36" s="58" t="s">
        <v>18</v>
      </c>
      <c r="E36" s="58" t="s">
        <v>23</v>
      </c>
      <c r="F36" s="57" t="str">
        <f t="shared" si="0"/>
        <v>EuriborSwapIsdaFixA30Y</v>
      </c>
      <c r="G36" s="56" t="str">
        <f>_xll.qlEuriborSwap($F36,FixingType,$C36,Currency&amp;$D36,Currency&amp;$E36,Permanent,Trigger,ObjectOverwrite)</f>
        <v>EuriborSwapIsdaFixA30Y#0002</v>
      </c>
      <c r="H36" s="55" t="str">
        <f>_xll.ohRangeRetrieveError(G36)</f>
        <v/>
      </c>
      <c r="I36" s="54"/>
    </row>
    <row r="37" spans="2:9" s="50" customFormat="1" x14ac:dyDescent="0.2">
      <c r="B37" s="60"/>
      <c r="C37" s="59" t="s">
        <v>86</v>
      </c>
      <c r="D37" s="58" t="s">
        <v>18</v>
      </c>
      <c r="E37" s="58" t="s">
        <v>23</v>
      </c>
      <c r="F37" s="57" t="str">
        <f t="shared" si="0"/>
        <v>EuriborSwapIsdaFixA31Y</v>
      </c>
      <c r="G37" s="56" t="str">
        <f>_xll.qlEuriborSwap($F37,FixingType,$C37,Currency&amp;$D37,Currency&amp;$E37,Permanent,Trigger,ObjectOverwrite)</f>
        <v>EuriborSwapIsdaFixA31Y#0002</v>
      </c>
      <c r="H37" s="55" t="str">
        <f>_xll.ohRangeRetrieveError(G37)</f>
        <v/>
      </c>
      <c r="I37" s="54"/>
    </row>
    <row r="38" spans="2:9" s="50" customFormat="1" x14ac:dyDescent="0.2">
      <c r="B38" s="60"/>
      <c r="C38" s="59" t="s">
        <v>85</v>
      </c>
      <c r="D38" s="58" t="s">
        <v>18</v>
      </c>
      <c r="E38" s="58" t="s">
        <v>23</v>
      </c>
      <c r="F38" s="57" t="str">
        <f t="shared" si="0"/>
        <v>EuriborSwapIsdaFixA32Y</v>
      </c>
      <c r="G38" s="56" t="str">
        <f>_xll.qlEuriborSwap($F38,FixingType,$C38,Currency&amp;$D38,Currency&amp;$E38,Permanent,Trigger,ObjectOverwrite)</f>
        <v>EuriborSwapIsdaFixA32Y#0002</v>
      </c>
      <c r="H38" s="55" t="str">
        <f>_xll.ohRangeRetrieveError(G38)</f>
        <v/>
      </c>
      <c r="I38" s="54"/>
    </row>
    <row r="39" spans="2:9" s="50" customFormat="1" x14ac:dyDescent="0.2">
      <c r="B39" s="60"/>
      <c r="C39" s="59" t="s">
        <v>84</v>
      </c>
      <c r="D39" s="58" t="s">
        <v>18</v>
      </c>
      <c r="E39" s="58" t="s">
        <v>23</v>
      </c>
      <c r="F39" s="57" t="str">
        <f t="shared" ref="F39:F66" si="1">PROPER(Currency)&amp;FamilyName&amp;FixingType&amp;$C39</f>
        <v>EuriborSwapIsdaFixA33Y</v>
      </c>
      <c r="G39" s="56" t="str">
        <f>_xll.qlEuriborSwap($F39,FixingType,$C39,Currency&amp;$D39,Currency&amp;$E39,Permanent,Trigger,ObjectOverwrite)</f>
        <v>EuriborSwapIsdaFixA33Y#0002</v>
      </c>
      <c r="H39" s="55" t="str">
        <f>_xll.ohRangeRetrieveError(G39)</f>
        <v/>
      </c>
      <c r="I39" s="54"/>
    </row>
    <row r="40" spans="2:9" s="50" customFormat="1" x14ac:dyDescent="0.2">
      <c r="B40" s="60"/>
      <c r="C40" s="59" t="s">
        <v>83</v>
      </c>
      <c r="D40" s="58" t="s">
        <v>18</v>
      </c>
      <c r="E40" s="58" t="s">
        <v>23</v>
      </c>
      <c r="F40" s="57" t="str">
        <f t="shared" si="1"/>
        <v>EuriborSwapIsdaFixA34Y</v>
      </c>
      <c r="G40" s="56" t="str">
        <f>_xll.qlEuriborSwap($F40,FixingType,$C40,Currency&amp;$D40,Currency&amp;$E40,Permanent,Trigger,ObjectOverwrite)</f>
        <v>EuriborSwapIsdaFixA34Y#0002</v>
      </c>
      <c r="H40" s="55" t="str">
        <f>_xll.ohRangeRetrieveError(G40)</f>
        <v/>
      </c>
      <c r="I40" s="54"/>
    </row>
    <row r="41" spans="2:9" s="50" customFormat="1" x14ac:dyDescent="0.2">
      <c r="B41" s="60"/>
      <c r="C41" s="59" t="s">
        <v>82</v>
      </c>
      <c r="D41" s="58" t="s">
        <v>18</v>
      </c>
      <c r="E41" s="58" t="s">
        <v>23</v>
      </c>
      <c r="F41" s="57" t="str">
        <f t="shared" si="1"/>
        <v>EuriborSwapIsdaFixA35Y</v>
      </c>
      <c r="G41" s="56" t="str">
        <f>_xll.qlEuriborSwap($F41,FixingType,$C41,Currency&amp;$D41,Currency&amp;$E41,Permanent,Trigger,ObjectOverwrite)</f>
        <v>EuriborSwapIsdaFixA35Y#0002</v>
      </c>
      <c r="H41" s="55" t="str">
        <f>_xll.ohRangeRetrieveError(G41)</f>
        <v/>
      </c>
      <c r="I41" s="54"/>
    </row>
    <row r="42" spans="2:9" s="50" customFormat="1" x14ac:dyDescent="0.2">
      <c r="B42" s="60"/>
      <c r="C42" s="59" t="s">
        <v>81</v>
      </c>
      <c r="D42" s="58" t="s">
        <v>18</v>
      </c>
      <c r="E42" s="58" t="s">
        <v>23</v>
      </c>
      <c r="F42" s="57" t="str">
        <f t="shared" si="1"/>
        <v>EuriborSwapIsdaFixA36Y</v>
      </c>
      <c r="G42" s="56" t="str">
        <f>_xll.qlEuriborSwap($F42,FixingType,$C42,Currency&amp;$D42,Currency&amp;$E42,Permanent,Trigger,ObjectOverwrite)</f>
        <v>EuriborSwapIsdaFixA36Y#0002</v>
      </c>
      <c r="H42" s="55" t="str">
        <f>_xll.ohRangeRetrieveError(G42)</f>
        <v/>
      </c>
      <c r="I42" s="54"/>
    </row>
    <row r="43" spans="2:9" s="50" customFormat="1" x14ac:dyDescent="0.2">
      <c r="B43" s="60"/>
      <c r="C43" s="59" t="s">
        <v>80</v>
      </c>
      <c r="D43" s="58" t="s">
        <v>18</v>
      </c>
      <c r="E43" s="58" t="s">
        <v>23</v>
      </c>
      <c r="F43" s="57" t="str">
        <f t="shared" si="1"/>
        <v>EuriborSwapIsdaFixA37Y</v>
      </c>
      <c r="G43" s="56" t="str">
        <f>_xll.qlEuriborSwap($F43,FixingType,$C43,Currency&amp;$D43,Currency&amp;$E43,Permanent,Trigger,ObjectOverwrite)</f>
        <v>EuriborSwapIsdaFixA37Y#0002</v>
      </c>
      <c r="H43" s="55" t="str">
        <f>_xll.ohRangeRetrieveError(G43)</f>
        <v/>
      </c>
      <c r="I43" s="54"/>
    </row>
    <row r="44" spans="2:9" s="50" customFormat="1" x14ac:dyDescent="0.2">
      <c r="B44" s="60"/>
      <c r="C44" s="59" t="s">
        <v>79</v>
      </c>
      <c r="D44" s="58" t="s">
        <v>18</v>
      </c>
      <c r="E44" s="58" t="s">
        <v>23</v>
      </c>
      <c r="F44" s="57" t="str">
        <f t="shared" si="1"/>
        <v>EuriborSwapIsdaFixA38Y</v>
      </c>
      <c r="G44" s="56" t="str">
        <f>_xll.qlEuriborSwap($F44,FixingType,$C44,Currency&amp;$D44,Currency&amp;$E44,Permanent,Trigger,ObjectOverwrite)</f>
        <v>EuriborSwapIsdaFixA38Y#0002</v>
      </c>
      <c r="H44" s="55" t="str">
        <f>_xll.ohRangeRetrieveError(G44)</f>
        <v/>
      </c>
      <c r="I44" s="54"/>
    </row>
    <row r="45" spans="2:9" s="50" customFormat="1" x14ac:dyDescent="0.2">
      <c r="B45" s="60"/>
      <c r="C45" s="59" t="s">
        <v>78</v>
      </c>
      <c r="D45" s="58" t="s">
        <v>18</v>
      </c>
      <c r="E45" s="58" t="s">
        <v>23</v>
      </c>
      <c r="F45" s="57" t="str">
        <f t="shared" si="1"/>
        <v>EuriborSwapIsdaFixA39Y</v>
      </c>
      <c r="G45" s="56" t="str">
        <f>_xll.qlEuriborSwap($F45,FixingType,$C45,Currency&amp;$D45,Currency&amp;$E45,Permanent,Trigger,ObjectOverwrite)</f>
        <v>EuriborSwapIsdaFixA39Y#0002</v>
      </c>
      <c r="H45" s="55" t="str">
        <f>_xll.ohRangeRetrieveError(G45)</f>
        <v/>
      </c>
      <c r="I45" s="54"/>
    </row>
    <row r="46" spans="2:9" s="50" customFormat="1" x14ac:dyDescent="0.2">
      <c r="B46" s="60"/>
      <c r="C46" s="59" t="s">
        <v>77</v>
      </c>
      <c r="D46" s="58" t="s">
        <v>18</v>
      </c>
      <c r="E46" s="58" t="s">
        <v>23</v>
      </c>
      <c r="F46" s="57" t="str">
        <f t="shared" si="1"/>
        <v>EuriborSwapIsdaFixA40Y</v>
      </c>
      <c r="G46" s="56" t="str">
        <f>_xll.qlEuriborSwap($F46,FixingType,$C46,Currency&amp;$D46,Currency&amp;$E46,Permanent,Trigger,ObjectOverwrite)</f>
        <v>EuriborSwapIsdaFixA40Y#0002</v>
      </c>
      <c r="H46" s="55" t="str">
        <f>_xll.ohRangeRetrieveError(G46)</f>
        <v/>
      </c>
      <c r="I46" s="54"/>
    </row>
    <row r="47" spans="2:9" s="50" customFormat="1" x14ac:dyDescent="0.2">
      <c r="B47" s="60"/>
      <c r="C47" s="59" t="s">
        <v>76</v>
      </c>
      <c r="D47" s="58" t="s">
        <v>18</v>
      </c>
      <c r="E47" s="58" t="s">
        <v>23</v>
      </c>
      <c r="F47" s="57" t="str">
        <f t="shared" si="1"/>
        <v>EuriborSwapIsdaFixA41Y</v>
      </c>
      <c r="G47" s="56" t="str">
        <f>_xll.qlEuriborSwap($F47,FixingType,$C47,Currency&amp;$D47,Currency&amp;$E47,Permanent,Trigger,ObjectOverwrite)</f>
        <v>EuriborSwapIsdaFixA41Y#0002</v>
      </c>
      <c r="H47" s="55" t="str">
        <f>_xll.ohRangeRetrieveError(G47)</f>
        <v/>
      </c>
      <c r="I47" s="54"/>
    </row>
    <row r="48" spans="2:9" s="50" customFormat="1" x14ac:dyDescent="0.2">
      <c r="B48" s="60"/>
      <c r="C48" s="59" t="s">
        <v>75</v>
      </c>
      <c r="D48" s="58" t="s">
        <v>18</v>
      </c>
      <c r="E48" s="58" t="s">
        <v>23</v>
      </c>
      <c r="F48" s="57" t="str">
        <f t="shared" si="1"/>
        <v>EuriborSwapIsdaFixA42Y</v>
      </c>
      <c r="G48" s="56" t="str">
        <f>_xll.qlEuriborSwap($F48,FixingType,$C48,Currency&amp;$D48,Currency&amp;$E48,Permanent,Trigger,ObjectOverwrite)</f>
        <v>EuriborSwapIsdaFixA42Y#0002</v>
      </c>
      <c r="H48" s="55" t="str">
        <f>_xll.ohRangeRetrieveError(G48)</f>
        <v/>
      </c>
      <c r="I48" s="54"/>
    </row>
    <row r="49" spans="2:9" s="50" customFormat="1" x14ac:dyDescent="0.2">
      <c r="B49" s="60"/>
      <c r="C49" s="59" t="s">
        <v>74</v>
      </c>
      <c r="D49" s="58" t="s">
        <v>18</v>
      </c>
      <c r="E49" s="58" t="s">
        <v>23</v>
      </c>
      <c r="F49" s="57" t="str">
        <f t="shared" si="1"/>
        <v>EuriborSwapIsdaFixA43Y</v>
      </c>
      <c r="G49" s="56" t="str">
        <f>_xll.qlEuriborSwap($F49,FixingType,$C49,Currency&amp;$D49,Currency&amp;$E49,Permanent,Trigger,ObjectOverwrite)</f>
        <v>EuriborSwapIsdaFixA43Y#0002</v>
      </c>
      <c r="H49" s="55" t="str">
        <f>_xll.ohRangeRetrieveError(G49)</f>
        <v/>
      </c>
      <c r="I49" s="54"/>
    </row>
    <row r="50" spans="2:9" s="50" customFormat="1" x14ac:dyDescent="0.2">
      <c r="B50" s="60"/>
      <c r="C50" s="59" t="s">
        <v>73</v>
      </c>
      <c r="D50" s="58" t="s">
        <v>18</v>
      </c>
      <c r="E50" s="58" t="s">
        <v>23</v>
      </c>
      <c r="F50" s="57" t="str">
        <f t="shared" si="1"/>
        <v>EuriborSwapIsdaFixA44Y</v>
      </c>
      <c r="G50" s="56" t="str">
        <f>_xll.qlEuriborSwap($F50,FixingType,$C50,Currency&amp;$D50,Currency&amp;$E50,Permanent,Trigger,ObjectOverwrite)</f>
        <v>EuriborSwapIsdaFixA44Y#0002</v>
      </c>
      <c r="H50" s="55" t="str">
        <f>_xll.ohRangeRetrieveError(G50)</f>
        <v/>
      </c>
      <c r="I50" s="54"/>
    </row>
    <row r="51" spans="2:9" s="50" customFormat="1" x14ac:dyDescent="0.2">
      <c r="B51" s="60"/>
      <c r="C51" s="59" t="s">
        <v>72</v>
      </c>
      <c r="D51" s="58" t="s">
        <v>18</v>
      </c>
      <c r="E51" s="58" t="s">
        <v>23</v>
      </c>
      <c r="F51" s="57" t="str">
        <f t="shared" si="1"/>
        <v>EuriborSwapIsdaFixA45Y</v>
      </c>
      <c r="G51" s="56" t="str">
        <f>_xll.qlEuriborSwap($F51,FixingType,$C51,Currency&amp;$D51,Currency&amp;$E51,Permanent,Trigger,ObjectOverwrite)</f>
        <v>EuriborSwapIsdaFixA45Y#0002</v>
      </c>
      <c r="H51" s="55" t="str">
        <f>_xll.ohRangeRetrieveError(G51)</f>
        <v/>
      </c>
      <c r="I51" s="54"/>
    </row>
    <row r="52" spans="2:9" s="50" customFormat="1" x14ac:dyDescent="0.2">
      <c r="B52" s="60"/>
      <c r="C52" s="59" t="s">
        <v>71</v>
      </c>
      <c r="D52" s="58" t="s">
        <v>18</v>
      </c>
      <c r="E52" s="58" t="s">
        <v>23</v>
      </c>
      <c r="F52" s="57" t="str">
        <f t="shared" si="1"/>
        <v>EuriborSwapIsdaFixA46Y</v>
      </c>
      <c r="G52" s="56" t="str">
        <f>_xll.qlEuriborSwap($F52,FixingType,$C52,Currency&amp;$D52,Currency&amp;$E52,Permanent,Trigger,ObjectOverwrite)</f>
        <v>EuriborSwapIsdaFixA46Y#0002</v>
      </c>
      <c r="H52" s="55" t="str">
        <f>_xll.ohRangeRetrieveError(G52)</f>
        <v/>
      </c>
      <c r="I52" s="54"/>
    </row>
    <row r="53" spans="2:9" s="50" customFormat="1" x14ac:dyDescent="0.2">
      <c r="B53" s="60"/>
      <c r="C53" s="59" t="s">
        <v>70</v>
      </c>
      <c r="D53" s="58" t="s">
        <v>18</v>
      </c>
      <c r="E53" s="58" t="s">
        <v>23</v>
      </c>
      <c r="F53" s="57" t="str">
        <f t="shared" si="1"/>
        <v>EuriborSwapIsdaFixA47Y</v>
      </c>
      <c r="G53" s="56" t="str">
        <f>_xll.qlEuriborSwap($F53,FixingType,$C53,Currency&amp;$D53,Currency&amp;$E53,Permanent,Trigger,ObjectOverwrite)</f>
        <v>EuriborSwapIsdaFixA47Y#0002</v>
      </c>
      <c r="H53" s="55" t="str">
        <f>_xll.ohRangeRetrieveError(G53)</f>
        <v/>
      </c>
      <c r="I53" s="54"/>
    </row>
    <row r="54" spans="2:9" s="50" customFormat="1" x14ac:dyDescent="0.2">
      <c r="B54" s="60"/>
      <c r="C54" s="59" t="s">
        <v>69</v>
      </c>
      <c r="D54" s="58" t="s">
        <v>18</v>
      </c>
      <c r="E54" s="58" t="s">
        <v>23</v>
      </c>
      <c r="F54" s="57" t="str">
        <f t="shared" si="1"/>
        <v>EuriborSwapIsdaFixA48Y</v>
      </c>
      <c r="G54" s="56" t="str">
        <f>_xll.qlEuriborSwap($F54,FixingType,$C54,Currency&amp;$D54,Currency&amp;$E54,Permanent,Trigger,ObjectOverwrite)</f>
        <v>EuriborSwapIsdaFixA48Y#0002</v>
      </c>
      <c r="H54" s="55" t="str">
        <f>_xll.ohRangeRetrieveError(G54)</f>
        <v/>
      </c>
      <c r="I54" s="54"/>
    </row>
    <row r="55" spans="2:9" s="50" customFormat="1" x14ac:dyDescent="0.2">
      <c r="B55" s="60"/>
      <c r="C55" s="59" t="s">
        <v>68</v>
      </c>
      <c r="D55" s="58" t="s">
        <v>18</v>
      </c>
      <c r="E55" s="58" t="s">
        <v>23</v>
      </c>
      <c r="F55" s="57" t="str">
        <f t="shared" si="1"/>
        <v>EuriborSwapIsdaFixA49Y</v>
      </c>
      <c r="G55" s="56" t="str">
        <f>_xll.qlEuriborSwap($F55,FixingType,$C55,Currency&amp;$D55,Currency&amp;$E55,Permanent,Trigger,ObjectOverwrite)</f>
        <v>EuriborSwapIsdaFixA49Y#0002</v>
      </c>
      <c r="H55" s="55" t="str">
        <f>_xll.ohRangeRetrieveError(G55)</f>
        <v/>
      </c>
      <c r="I55" s="54"/>
    </row>
    <row r="56" spans="2:9" s="50" customFormat="1" x14ac:dyDescent="0.2">
      <c r="B56" s="60"/>
      <c r="C56" s="59" t="s">
        <v>67</v>
      </c>
      <c r="D56" s="58" t="s">
        <v>18</v>
      </c>
      <c r="E56" s="58" t="s">
        <v>23</v>
      </c>
      <c r="F56" s="57" t="str">
        <f t="shared" si="1"/>
        <v>EuriborSwapIsdaFixA50Y</v>
      </c>
      <c r="G56" s="56" t="str">
        <f>_xll.qlEuriborSwap($F56,FixingType,$C56,Currency&amp;$D56,Currency&amp;$E56,Permanent,Trigger,ObjectOverwrite)</f>
        <v>EuriborSwapIsdaFixA50Y#0002</v>
      </c>
      <c r="H56" s="55" t="str">
        <f>_xll.ohRangeRetrieveError(G56)</f>
        <v/>
      </c>
      <c r="I56" s="54"/>
    </row>
    <row r="57" spans="2:9" s="50" customFormat="1" x14ac:dyDescent="0.2">
      <c r="B57" s="60"/>
      <c r="C57" s="59" t="s">
        <v>66</v>
      </c>
      <c r="D57" s="58" t="s">
        <v>18</v>
      </c>
      <c r="E57" s="58" t="s">
        <v>23</v>
      </c>
      <c r="F57" s="57" t="str">
        <f t="shared" si="1"/>
        <v>EuriborSwapIsdaFixA51Y</v>
      </c>
      <c r="G57" s="56" t="str">
        <f>_xll.qlEuriborSwap($F57,FixingType,$C57,Currency&amp;$D57,Currency&amp;$E57,Permanent,Trigger,ObjectOverwrite)</f>
        <v>EuriborSwapIsdaFixA51Y#0002</v>
      </c>
      <c r="H57" s="55" t="str">
        <f>_xll.ohRangeRetrieveError(G57)</f>
        <v/>
      </c>
      <c r="I57" s="54"/>
    </row>
    <row r="58" spans="2:9" s="50" customFormat="1" x14ac:dyDescent="0.2">
      <c r="B58" s="60"/>
      <c r="C58" s="59" t="s">
        <v>65</v>
      </c>
      <c r="D58" s="58" t="s">
        <v>18</v>
      </c>
      <c r="E58" s="58" t="s">
        <v>23</v>
      </c>
      <c r="F58" s="57" t="str">
        <f t="shared" si="1"/>
        <v>EuriborSwapIsdaFixA52Y</v>
      </c>
      <c r="G58" s="56" t="str">
        <f>_xll.qlEuriborSwap($F58,FixingType,$C58,Currency&amp;$D58,Currency&amp;$E58,Permanent,Trigger,ObjectOverwrite)</f>
        <v>EuriborSwapIsdaFixA52Y#0002</v>
      </c>
      <c r="H58" s="55" t="str">
        <f>_xll.ohRangeRetrieveError(G58)</f>
        <v/>
      </c>
      <c r="I58" s="54"/>
    </row>
    <row r="59" spans="2:9" s="50" customFormat="1" x14ac:dyDescent="0.2">
      <c r="B59" s="60"/>
      <c r="C59" s="59" t="s">
        <v>64</v>
      </c>
      <c r="D59" s="58" t="s">
        <v>18</v>
      </c>
      <c r="E59" s="58" t="s">
        <v>23</v>
      </c>
      <c r="F59" s="57" t="str">
        <f t="shared" si="1"/>
        <v>EuriborSwapIsdaFixA53Y</v>
      </c>
      <c r="G59" s="56" t="str">
        <f>_xll.qlEuriborSwap($F59,FixingType,$C59,Currency&amp;$D59,Currency&amp;$E59,Permanent,Trigger,ObjectOverwrite)</f>
        <v>EuriborSwapIsdaFixA53Y#0002</v>
      </c>
      <c r="H59" s="55" t="str">
        <f>_xll.ohRangeRetrieveError(G59)</f>
        <v/>
      </c>
      <c r="I59" s="54"/>
    </row>
    <row r="60" spans="2:9" s="50" customFormat="1" x14ac:dyDescent="0.2">
      <c r="B60" s="60"/>
      <c r="C60" s="59" t="s">
        <v>63</v>
      </c>
      <c r="D60" s="58" t="s">
        <v>18</v>
      </c>
      <c r="E60" s="58" t="s">
        <v>23</v>
      </c>
      <c r="F60" s="57" t="str">
        <f t="shared" si="1"/>
        <v>EuriborSwapIsdaFixA54Y</v>
      </c>
      <c r="G60" s="56" t="str">
        <f>_xll.qlEuriborSwap($F60,FixingType,$C60,Currency&amp;$D60,Currency&amp;$E60,Permanent,Trigger,ObjectOverwrite)</f>
        <v>EuriborSwapIsdaFixA54Y#0002</v>
      </c>
      <c r="H60" s="55" t="str">
        <f>_xll.ohRangeRetrieveError(G60)</f>
        <v/>
      </c>
      <c r="I60" s="54"/>
    </row>
    <row r="61" spans="2:9" s="50" customFormat="1" x14ac:dyDescent="0.2">
      <c r="B61" s="60"/>
      <c r="C61" s="59" t="s">
        <v>62</v>
      </c>
      <c r="D61" s="58" t="s">
        <v>18</v>
      </c>
      <c r="E61" s="58" t="s">
        <v>23</v>
      </c>
      <c r="F61" s="57" t="str">
        <f t="shared" si="1"/>
        <v>EuriborSwapIsdaFixA55Y</v>
      </c>
      <c r="G61" s="56" t="str">
        <f>_xll.qlEuriborSwap($F61,FixingType,$C61,Currency&amp;$D61,Currency&amp;$E61,Permanent,Trigger,ObjectOverwrite)</f>
        <v>EuriborSwapIsdaFixA55Y#0002</v>
      </c>
      <c r="H61" s="55" t="str">
        <f>_xll.ohRangeRetrieveError(G61)</f>
        <v/>
      </c>
      <c r="I61" s="54"/>
    </row>
    <row r="62" spans="2:9" s="50" customFormat="1" x14ac:dyDescent="0.2">
      <c r="B62" s="60"/>
      <c r="C62" s="59" t="s">
        <v>61</v>
      </c>
      <c r="D62" s="58" t="s">
        <v>18</v>
      </c>
      <c r="E62" s="58" t="s">
        <v>23</v>
      </c>
      <c r="F62" s="57" t="str">
        <f t="shared" si="1"/>
        <v>EuriborSwapIsdaFixA56Y</v>
      </c>
      <c r="G62" s="56" t="str">
        <f>_xll.qlEuriborSwap($F62,FixingType,$C62,Currency&amp;$D62,Currency&amp;$E62,Permanent,Trigger,ObjectOverwrite)</f>
        <v>EuriborSwapIsdaFixA56Y#0002</v>
      </c>
      <c r="H62" s="55" t="str">
        <f>_xll.ohRangeRetrieveError(G62)</f>
        <v/>
      </c>
      <c r="I62" s="54"/>
    </row>
    <row r="63" spans="2:9" s="50" customFormat="1" x14ac:dyDescent="0.2">
      <c r="B63" s="60"/>
      <c r="C63" s="59" t="s">
        <v>60</v>
      </c>
      <c r="D63" s="58" t="s">
        <v>18</v>
      </c>
      <c r="E63" s="58" t="s">
        <v>23</v>
      </c>
      <c r="F63" s="57" t="str">
        <f t="shared" si="1"/>
        <v>EuriborSwapIsdaFixA57Y</v>
      </c>
      <c r="G63" s="56" t="str">
        <f>_xll.qlEuriborSwap($F63,FixingType,$C63,Currency&amp;$D63,Currency&amp;$E63,Permanent,Trigger,ObjectOverwrite)</f>
        <v>EuriborSwapIsdaFixA57Y#0002</v>
      </c>
      <c r="H63" s="55" t="str">
        <f>_xll.ohRangeRetrieveError(G63)</f>
        <v/>
      </c>
      <c r="I63" s="54"/>
    </row>
    <row r="64" spans="2:9" s="50" customFormat="1" x14ac:dyDescent="0.2">
      <c r="B64" s="60"/>
      <c r="C64" s="59" t="s">
        <v>59</v>
      </c>
      <c r="D64" s="58" t="s">
        <v>18</v>
      </c>
      <c r="E64" s="58" t="s">
        <v>23</v>
      </c>
      <c r="F64" s="57" t="str">
        <f t="shared" si="1"/>
        <v>EuriborSwapIsdaFixA58Y</v>
      </c>
      <c r="G64" s="56" t="str">
        <f>_xll.qlEuriborSwap($F64,FixingType,$C64,Currency&amp;$D64,Currency&amp;$E64,Permanent,Trigger,ObjectOverwrite)</f>
        <v>EuriborSwapIsdaFixA58Y#0002</v>
      </c>
      <c r="H64" s="55" t="str">
        <f>_xll.ohRangeRetrieveError(G64)</f>
        <v/>
      </c>
      <c r="I64" s="54"/>
    </row>
    <row r="65" spans="2:9" s="50" customFormat="1" x14ac:dyDescent="0.2">
      <c r="B65" s="60"/>
      <c r="C65" s="59" t="s">
        <v>58</v>
      </c>
      <c r="D65" s="58" t="s">
        <v>18</v>
      </c>
      <c r="E65" s="58" t="s">
        <v>23</v>
      </c>
      <c r="F65" s="57" t="str">
        <f t="shared" si="1"/>
        <v>EuriborSwapIsdaFixA59Y</v>
      </c>
      <c r="G65" s="56" t="str">
        <f>_xll.qlEuriborSwap($F65,FixingType,$C65,Currency&amp;$D65,Currency&amp;$E65,Permanent,Trigger,ObjectOverwrite)</f>
        <v>EuriborSwapIsdaFixA59Y#0002</v>
      </c>
      <c r="H65" s="55" t="str">
        <f>_xll.ohRangeRetrieveError(G65)</f>
        <v/>
      </c>
      <c r="I65" s="54"/>
    </row>
    <row r="66" spans="2:9" s="50" customFormat="1" x14ac:dyDescent="0.2">
      <c r="B66" s="60"/>
      <c r="C66" s="59" t="s">
        <v>57</v>
      </c>
      <c r="D66" s="58" t="s">
        <v>18</v>
      </c>
      <c r="E66" s="58" t="s">
        <v>23</v>
      </c>
      <c r="F66" s="57" t="str">
        <f t="shared" si="1"/>
        <v>EuriborSwapIsdaFixA60Y</v>
      </c>
      <c r="G66" s="56" t="str">
        <f>_xll.qlEuriborSwap($F66,FixingType,$C66,Currency&amp;$D66,Currency&amp;$E66,Permanent,Trigger,ObjectOverwrite)</f>
        <v>EuriborSwapIsdaFixA60Y#0002</v>
      </c>
      <c r="H66" s="55" t="str">
        <f>_xll.ohRangeRetrieveError(G66)</f>
        <v/>
      </c>
      <c r="I66" s="54"/>
    </row>
    <row r="67" spans="2:9" s="50" customFormat="1" ht="12" thickBot="1" x14ac:dyDescent="0.25">
      <c r="B67" s="53"/>
      <c r="C67" s="52"/>
      <c r="D67" s="52"/>
      <c r="E67" s="52"/>
      <c r="F67" s="52"/>
      <c r="G67" s="52"/>
      <c r="H67" s="52"/>
      <c r="I67" s="51"/>
    </row>
    <row r="68" spans="2:9" s="50" customFormat="1" x14ac:dyDescent="0.2"/>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I68"/>
  <sheetViews>
    <sheetView workbookViewId="0"/>
  </sheetViews>
  <sheetFormatPr defaultRowHeight="11.25" x14ac:dyDescent="0.2"/>
  <cols>
    <col min="1" max="1" width="3.140625" style="22" customWidth="1"/>
    <col min="2" max="2" width="4.42578125" style="22" customWidth="1"/>
    <col min="3" max="3" width="3.85546875" style="22" bestFit="1" customWidth="1"/>
    <col min="4" max="4" width="8.7109375" style="22" bestFit="1" customWidth="1"/>
    <col min="5" max="5" width="8.5703125" style="22" bestFit="1" customWidth="1"/>
    <col min="6" max="6" width="20.140625" style="22" bestFit="1" customWidth="1"/>
    <col min="7" max="7" width="23.5703125" style="22" bestFit="1" customWidth="1"/>
    <col min="8" max="8" width="55" style="22" customWidth="1"/>
    <col min="9" max="9" width="5.28515625" style="22" customWidth="1"/>
    <col min="10" max="16384" width="9.140625" style="22"/>
  </cols>
  <sheetData>
    <row r="1" spans="1:9" s="50" customFormat="1" ht="12" thickBot="1" x14ac:dyDescent="0.25">
      <c r="A1" s="50" t="s">
        <v>124</v>
      </c>
    </row>
    <row r="2" spans="1:9" s="50" customFormat="1" x14ac:dyDescent="0.2">
      <c r="B2" s="71"/>
      <c r="C2" s="69"/>
      <c r="D2" s="69"/>
      <c r="E2" s="69"/>
      <c r="F2" s="70"/>
      <c r="G2" s="69"/>
      <c r="H2" s="69"/>
      <c r="I2" s="68"/>
    </row>
    <row r="3" spans="1:9" s="50" customFormat="1" x14ac:dyDescent="0.2">
      <c r="B3" s="60"/>
      <c r="C3" s="66"/>
      <c r="D3" s="66"/>
      <c r="E3" s="66"/>
      <c r="F3" s="67" t="s">
        <v>54</v>
      </c>
      <c r="G3" s="63" t="s">
        <v>120</v>
      </c>
      <c r="H3" s="66"/>
      <c r="I3" s="62"/>
    </row>
    <row r="4" spans="1:9" s="50" customFormat="1" x14ac:dyDescent="0.2">
      <c r="B4" s="60"/>
      <c r="C4" s="66"/>
      <c r="D4" s="66"/>
      <c r="E4" s="66"/>
      <c r="F4" s="67" t="s">
        <v>119</v>
      </c>
      <c r="G4" s="63" t="s">
        <v>121</v>
      </c>
      <c r="H4" s="66"/>
      <c r="I4" s="62"/>
    </row>
    <row r="5" spans="1:9" s="50" customFormat="1" x14ac:dyDescent="0.2">
      <c r="B5" s="60"/>
      <c r="C5" s="66"/>
      <c r="D5" s="66"/>
      <c r="E5" s="66"/>
      <c r="F5" s="66"/>
      <c r="G5" s="66"/>
      <c r="H5" s="66"/>
      <c r="I5" s="62"/>
    </row>
    <row r="6" spans="1:9" s="50" customFormat="1" x14ac:dyDescent="0.2">
      <c r="B6" s="60"/>
      <c r="C6" s="66"/>
      <c r="D6" s="65" t="s">
        <v>117</v>
      </c>
      <c r="E6" s="65" t="s">
        <v>116</v>
      </c>
      <c r="F6" s="72" t="str">
        <f>PROPER(Currency)&amp;FamilyName&amp;FixingType&amp;".xml"</f>
        <v>EuriborSwapIsdaFixB.xml</v>
      </c>
      <c r="G6" s="63">
        <f ca="1">IF(Serialize,_xll.ohObjectSave(G7:G66,SerializationPath&amp;FileName,FileOverwrite,,Serialize),"---")</f>
        <v>60</v>
      </c>
      <c r="H6" s="55" t="str">
        <f ca="1">_xll.ohRangeRetrieveError(G6)</f>
        <v/>
      </c>
      <c r="I6" s="62"/>
    </row>
    <row r="7" spans="1:9" s="50" customFormat="1" x14ac:dyDescent="0.2">
      <c r="B7" s="60"/>
      <c r="C7" s="59" t="s">
        <v>34</v>
      </c>
      <c r="D7" s="61" t="s">
        <v>19</v>
      </c>
      <c r="E7" s="58" t="s">
        <v>23</v>
      </c>
      <c r="F7" s="57" t="str">
        <f t="shared" ref="F7:F38" si="0">PROPER(Currency)&amp;FamilyName&amp;FixingType&amp;$C7</f>
        <v>EuriborSwapIsdaFixB1Y</v>
      </c>
      <c r="G7" s="56" t="str">
        <f>_xll.qlEuriborSwap($F7,FixingType,$C7,Currency&amp;$D7,Currency&amp;$E7,Permanent,Trigger,ObjectOverwrite)</f>
        <v>EuriborSwapIsdaFixB1Y#0002</v>
      </c>
      <c r="H7" s="55" t="str">
        <f>_xll.ohRangeRetrieveError(G7)</f>
        <v/>
      </c>
      <c r="I7" s="54"/>
    </row>
    <row r="8" spans="1:9" s="50" customFormat="1" x14ac:dyDescent="0.2">
      <c r="B8" s="60"/>
      <c r="C8" s="59" t="s">
        <v>115</v>
      </c>
      <c r="D8" s="58" t="s">
        <v>18</v>
      </c>
      <c r="E8" s="58" t="s">
        <v>23</v>
      </c>
      <c r="F8" s="57" t="str">
        <f t="shared" si="0"/>
        <v>EuriborSwapIsdaFixB2Y</v>
      </c>
      <c r="G8" s="56" t="str">
        <f>_xll.qlEuriborSwap($F8,FixingType,$C8,Currency&amp;$D8,Currency&amp;$E8,Permanent,Trigger,ObjectOverwrite)</f>
        <v>EuriborSwapIsdaFixB2Y#0002</v>
      </c>
      <c r="H8" s="55" t="str">
        <f>_xll.ohRangeRetrieveError(G8)</f>
        <v/>
      </c>
      <c r="I8" s="54"/>
    </row>
    <row r="9" spans="1:9" s="50" customFormat="1" x14ac:dyDescent="0.2">
      <c r="B9" s="60"/>
      <c r="C9" s="59" t="s">
        <v>114</v>
      </c>
      <c r="D9" s="58" t="s">
        <v>18</v>
      </c>
      <c r="E9" s="58" t="s">
        <v>23</v>
      </c>
      <c r="F9" s="57" t="str">
        <f t="shared" si="0"/>
        <v>EuriborSwapIsdaFixB3Y</v>
      </c>
      <c r="G9" s="56" t="str">
        <f>_xll.qlEuriborSwap($F9,FixingType,$C9,Currency&amp;$D9,Currency&amp;$E9,Permanent,Trigger,ObjectOverwrite)</f>
        <v>EuriborSwapIsdaFixB3Y#0002</v>
      </c>
      <c r="H9" s="55" t="str">
        <f>_xll.ohRangeRetrieveError(G9)</f>
        <v/>
      </c>
      <c r="I9" s="54"/>
    </row>
    <row r="10" spans="1:9" s="50" customFormat="1" x14ac:dyDescent="0.2">
      <c r="B10" s="60"/>
      <c r="C10" s="59" t="s">
        <v>113</v>
      </c>
      <c r="D10" s="58" t="s">
        <v>18</v>
      </c>
      <c r="E10" s="58" t="s">
        <v>23</v>
      </c>
      <c r="F10" s="57" t="str">
        <f t="shared" si="0"/>
        <v>EuriborSwapIsdaFixB4Y</v>
      </c>
      <c r="G10" s="56" t="str">
        <f>_xll.qlEuriborSwap($F10,FixingType,$C10,Currency&amp;$D10,Currency&amp;$E10,Permanent,Trigger,ObjectOverwrite)</f>
        <v>EuriborSwapIsdaFixB4Y#0002</v>
      </c>
      <c r="H10" s="55" t="str">
        <f>_xll.ohRangeRetrieveError(G10)</f>
        <v/>
      </c>
      <c r="I10" s="54"/>
    </row>
    <row r="11" spans="1:9" s="50" customFormat="1" x14ac:dyDescent="0.2">
      <c r="B11" s="60"/>
      <c r="C11" s="59" t="s">
        <v>112</v>
      </c>
      <c r="D11" s="58" t="s">
        <v>18</v>
      </c>
      <c r="E11" s="58" t="s">
        <v>23</v>
      </c>
      <c r="F11" s="57" t="str">
        <f t="shared" si="0"/>
        <v>EuriborSwapIsdaFixB5Y</v>
      </c>
      <c r="G11" s="56" t="str">
        <f>_xll.qlEuriborSwap($F11,FixingType,$C11,Currency&amp;$D11,Currency&amp;$E11,Permanent,Trigger,ObjectOverwrite)</f>
        <v>EuriborSwapIsdaFixB5Y#0002</v>
      </c>
      <c r="H11" s="55" t="str">
        <f>_xll.ohRangeRetrieveError(G11)</f>
        <v/>
      </c>
      <c r="I11" s="54"/>
    </row>
    <row r="12" spans="1:9" s="50" customFormat="1" x14ac:dyDescent="0.2">
      <c r="B12" s="60"/>
      <c r="C12" s="59" t="s">
        <v>111</v>
      </c>
      <c r="D12" s="58" t="s">
        <v>18</v>
      </c>
      <c r="E12" s="58" t="s">
        <v>23</v>
      </c>
      <c r="F12" s="57" t="str">
        <f t="shared" si="0"/>
        <v>EuriborSwapIsdaFixB6Y</v>
      </c>
      <c r="G12" s="56" t="str">
        <f>_xll.qlEuriborSwap($F12,FixingType,$C12,Currency&amp;$D12,Currency&amp;$E12,Permanent,Trigger,ObjectOverwrite)</f>
        <v>EuriborSwapIsdaFixB6Y#0002</v>
      </c>
      <c r="H12" s="55" t="str">
        <f>_xll.ohRangeRetrieveError(G12)</f>
        <v/>
      </c>
      <c r="I12" s="54"/>
    </row>
    <row r="13" spans="1:9" s="50" customFormat="1" x14ac:dyDescent="0.2">
      <c r="B13" s="60"/>
      <c r="C13" s="59" t="s">
        <v>110</v>
      </c>
      <c r="D13" s="58" t="s">
        <v>18</v>
      </c>
      <c r="E13" s="58" t="s">
        <v>23</v>
      </c>
      <c r="F13" s="57" t="str">
        <f t="shared" si="0"/>
        <v>EuriborSwapIsdaFixB7Y</v>
      </c>
      <c r="G13" s="56" t="str">
        <f>_xll.qlEuriborSwap($F13,FixingType,$C13,Currency&amp;$D13,Currency&amp;$E13,Permanent,Trigger,ObjectOverwrite)</f>
        <v>EuriborSwapIsdaFixB7Y#0002</v>
      </c>
      <c r="H13" s="55" t="str">
        <f>_xll.ohRangeRetrieveError(G13)</f>
        <v/>
      </c>
      <c r="I13" s="54"/>
    </row>
    <row r="14" spans="1:9" s="50" customFormat="1" x14ac:dyDescent="0.2">
      <c r="B14" s="60"/>
      <c r="C14" s="59" t="s">
        <v>109</v>
      </c>
      <c r="D14" s="58" t="s">
        <v>18</v>
      </c>
      <c r="E14" s="58" t="s">
        <v>23</v>
      </c>
      <c r="F14" s="57" t="str">
        <f t="shared" si="0"/>
        <v>EuriborSwapIsdaFixB8Y</v>
      </c>
      <c r="G14" s="56" t="str">
        <f>_xll.qlEuriborSwap($F14,FixingType,$C14,Currency&amp;$D14,Currency&amp;$E14,Permanent,Trigger,ObjectOverwrite)</f>
        <v>EuriborSwapIsdaFixB8Y#0002</v>
      </c>
      <c r="H14" s="55" t="str">
        <f>_xll.ohRangeRetrieveError(G14)</f>
        <v/>
      </c>
      <c r="I14" s="54"/>
    </row>
    <row r="15" spans="1:9" s="50" customFormat="1" x14ac:dyDescent="0.2">
      <c r="B15" s="60"/>
      <c r="C15" s="59" t="s">
        <v>108</v>
      </c>
      <c r="D15" s="58" t="s">
        <v>18</v>
      </c>
      <c r="E15" s="58" t="s">
        <v>23</v>
      </c>
      <c r="F15" s="57" t="str">
        <f t="shared" si="0"/>
        <v>EuriborSwapIsdaFixB9Y</v>
      </c>
      <c r="G15" s="56" t="str">
        <f>_xll.qlEuriborSwap($F15,FixingType,$C15,Currency&amp;$D15,Currency&amp;$E15,Permanent,Trigger,ObjectOverwrite)</f>
        <v>EuriborSwapIsdaFixB9Y#0002</v>
      </c>
      <c r="H15" s="55" t="str">
        <f>_xll.ohRangeRetrieveError(G15)</f>
        <v/>
      </c>
      <c r="I15" s="54"/>
    </row>
    <row r="16" spans="1:9" s="50" customFormat="1" x14ac:dyDescent="0.2">
      <c r="B16" s="60"/>
      <c r="C16" s="59" t="s">
        <v>107</v>
      </c>
      <c r="D16" s="58" t="s">
        <v>18</v>
      </c>
      <c r="E16" s="58" t="s">
        <v>23</v>
      </c>
      <c r="F16" s="57" t="str">
        <f t="shared" si="0"/>
        <v>EuriborSwapIsdaFixB10Y</v>
      </c>
      <c r="G16" s="56" t="str">
        <f>_xll.qlEuriborSwap($F16,FixingType,$C16,Currency&amp;$D16,Currency&amp;$E16,Permanent,Trigger,ObjectOverwrite)</f>
        <v>EuriborSwapIsdaFixB10Y#0002</v>
      </c>
      <c r="H16" s="55" t="str">
        <f>_xll.ohRangeRetrieveError(G16)</f>
        <v/>
      </c>
      <c r="I16" s="54"/>
    </row>
    <row r="17" spans="2:9" s="50" customFormat="1" x14ac:dyDescent="0.2">
      <c r="B17" s="60"/>
      <c r="C17" s="59" t="s">
        <v>106</v>
      </c>
      <c r="D17" s="58" t="s">
        <v>18</v>
      </c>
      <c r="E17" s="58" t="s">
        <v>23</v>
      </c>
      <c r="F17" s="57" t="str">
        <f t="shared" si="0"/>
        <v>EuriborSwapIsdaFixB11Y</v>
      </c>
      <c r="G17" s="56" t="str">
        <f>_xll.qlEuriborSwap($F17,FixingType,$C17,Currency&amp;$D17,Currency&amp;$E17,Permanent,Trigger,ObjectOverwrite)</f>
        <v>EuriborSwapIsdaFixB11Y#0002</v>
      </c>
      <c r="H17" s="55" t="str">
        <f>_xll.ohRangeRetrieveError(G17)</f>
        <v/>
      </c>
      <c r="I17" s="54"/>
    </row>
    <row r="18" spans="2:9" s="50" customFormat="1" x14ac:dyDescent="0.2">
      <c r="B18" s="60"/>
      <c r="C18" s="59" t="s">
        <v>105</v>
      </c>
      <c r="D18" s="58" t="s">
        <v>18</v>
      </c>
      <c r="E18" s="58" t="s">
        <v>23</v>
      </c>
      <c r="F18" s="57" t="str">
        <f t="shared" si="0"/>
        <v>EuriborSwapIsdaFixB12Y</v>
      </c>
      <c r="G18" s="56" t="str">
        <f>_xll.qlEuriborSwap($F18,FixingType,$C18,Currency&amp;$D18,Currency&amp;$E18,Permanent,Trigger,ObjectOverwrite)</f>
        <v>EuriborSwapIsdaFixB12Y#0002</v>
      </c>
      <c r="H18" s="55" t="str">
        <f>_xll.ohRangeRetrieveError(G18)</f>
        <v/>
      </c>
      <c r="I18" s="54"/>
    </row>
    <row r="19" spans="2:9" s="50" customFormat="1" x14ac:dyDescent="0.2">
      <c r="B19" s="60"/>
      <c r="C19" s="59" t="s">
        <v>104</v>
      </c>
      <c r="D19" s="58" t="s">
        <v>18</v>
      </c>
      <c r="E19" s="58" t="s">
        <v>23</v>
      </c>
      <c r="F19" s="57" t="str">
        <f t="shared" si="0"/>
        <v>EuriborSwapIsdaFixB13Y</v>
      </c>
      <c r="G19" s="56" t="str">
        <f>_xll.qlEuriborSwap($F19,FixingType,$C19,Currency&amp;$D19,Currency&amp;$E19,Permanent,Trigger,ObjectOverwrite)</f>
        <v>EuriborSwapIsdaFixB13Y#0002</v>
      </c>
      <c r="H19" s="55" t="str">
        <f>_xll.ohRangeRetrieveError(G19)</f>
        <v/>
      </c>
      <c r="I19" s="54"/>
    </row>
    <row r="20" spans="2:9" s="50" customFormat="1" x14ac:dyDescent="0.2">
      <c r="B20" s="60"/>
      <c r="C20" s="59" t="s">
        <v>103</v>
      </c>
      <c r="D20" s="58" t="s">
        <v>18</v>
      </c>
      <c r="E20" s="58" t="s">
        <v>23</v>
      </c>
      <c r="F20" s="57" t="str">
        <f t="shared" si="0"/>
        <v>EuriborSwapIsdaFixB14Y</v>
      </c>
      <c r="G20" s="56" t="str">
        <f>_xll.qlEuriborSwap($F20,FixingType,$C20,Currency&amp;$D20,Currency&amp;$E20,Permanent,Trigger,ObjectOverwrite)</f>
        <v>EuriborSwapIsdaFixB14Y#0002</v>
      </c>
      <c r="H20" s="55" t="str">
        <f>_xll.ohRangeRetrieveError(G20)</f>
        <v/>
      </c>
      <c r="I20" s="54"/>
    </row>
    <row r="21" spans="2:9" s="50" customFormat="1" x14ac:dyDescent="0.2">
      <c r="B21" s="60"/>
      <c r="C21" s="59" t="s">
        <v>102</v>
      </c>
      <c r="D21" s="58" t="s">
        <v>18</v>
      </c>
      <c r="E21" s="58" t="s">
        <v>23</v>
      </c>
      <c r="F21" s="57" t="str">
        <f t="shared" si="0"/>
        <v>EuriborSwapIsdaFixB15Y</v>
      </c>
      <c r="G21" s="56" t="str">
        <f>_xll.qlEuriborSwap($F21,FixingType,$C21,Currency&amp;$D21,Currency&amp;$E21,Permanent,Trigger,ObjectOverwrite)</f>
        <v>EuriborSwapIsdaFixB15Y#0002</v>
      </c>
      <c r="H21" s="55" t="str">
        <f>_xll.ohRangeRetrieveError(G21)</f>
        <v/>
      </c>
      <c r="I21" s="54"/>
    </row>
    <row r="22" spans="2:9" s="50" customFormat="1" x14ac:dyDescent="0.2">
      <c r="B22" s="60"/>
      <c r="C22" s="59" t="s">
        <v>101</v>
      </c>
      <c r="D22" s="58" t="s">
        <v>18</v>
      </c>
      <c r="E22" s="58" t="s">
        <v>23</v>
      </c>
      <c r="F22" s="57" t="str">
        <f t="shared" si="0"/>
        <v>EuriborSwapIsdaFixB16Y</v>
      </c>
      <c r="G22" s="56" t="str">
        <f>_xll.qlEuriborSwap($F22,FixingType,$C22,Currency&amp;$D22,Currency&amp;$E22,Permanent,Trigger,ObjectOverwrite)</f>
        <v>EuriborSwapIsdaFixB16Y#0002</v>
      </c>
      <c r="H22" s="55" t="str">
        <f>_xll.ohRangeRetrieveError(G22)</f>
        <v/>
      </c>
      <c r="I22" s="54"/>
    </row>
    <row r="23" spans="2:9" s="50" customFormat="1" x14ac:dyDescent="0.2">
      <c r="B23" s="60"/>
      <c r="C23" s="59" t="s">
        <v>100</v>
      </c>
      <c r="D23" s="58" t="s">
        <v>18</v>
      </c>
      <c r="E23" s="58" t="s">
        <v>23</v>
      </c>
      <c r="F23" s="57" t="str">
        <f t="shared" si="0"/>
        <v>EuriborSwapIsdaFixB17Y</v>
      </c>
      <c r="G23" s="56" t="str">
        <f>_xll.qlEuriborSwap($F23,FixingType,$C23,Currency&amp;$D23,Currency&amp;$E23,Permanent,Trigger,ObjectOverwrite)</f>
        <v>EuriborSwapIsdaFixB17Y#0002</v>
      </c>
      <c r="H23" s="55" t="str">
        <f>_xll.ohRangeRetrieveError(G23)</f>
        <v/>
      </c>
      <c r="I23" s="54"/>
    </row>
    <row r="24" spans="2:9" s="50" customFormat="1" x14ac:dyDescent="0.2">
      <c r="B24" s="60"/>
      <c r="C24" s="59" t="s">
        <v>99</v>
      </c>
      <c r="D24" s="58" t="s">
        <v>18</v>
      </c>
      <c r="E24" s="58" t="s">
        <v>23</v>
      </c>
      <c r="F24" s="57" t="str">
        <f t="shared" si="0"/>
        <v>EuriborSwapIsdaFixB18Y</v>
      </c>
      <c r="G24" s="56" t="str">
        <f>_xll.qlEuriborSwap($F24,FixingType,$C24,Currency&amp;$D24,Currency&amp;$E24,Permanent,Trigger,ObjectOverwrite)</f>
        <v>EuriborSwapIsdaFixB18Y#0002</v>
      </c>
      <c r="H24" s="55" t="str">
        <f>_xll.ohRangeRetrieveError(G24)</f>
        <v/>
      </c>
      <c r="I24" s="54"/>
    </row>
    <row r="25" spans="2:9" s="50" customFormat="1" x14ac:dyDescent="0.2">
      <c r="B25" s="60"/>
      <c r="C25" s="59" t="s">
        <v>98</v>
      </c>
      <c r="D25" s="58" t="s">
        <v>18</v>
      </c>
      <c r="E25" s="58" t="s">
        <v>23</v>
      </c>
      <c r="F25" s="57" t="str">
        <f t="shared" si="0"/>
        <v>EuriborSwapIsdaFixB19Y</v>
      </c>
      <c r="G25" s="56" t="str">
        <f>_xll.qlEuriborSwap($F25,FixingType,$C25,Currency&amp;$D25,Currency&amp;$E25,Permanent,Trigger,ObjectOverwrite)</f>
        <v>EuriborSwapIsdaFixB19Y#0002</v>
      </c>
      <c r="H25" s="55" t="str">
        <f>_xll.ohRangeRetrieveError(G25)</f>
        <v/>
      </c>
      <c r="I25" s="54"/>
    </row>
    <row r="26" spans="2:9" s="50" customFormat="1" x14ac:dyDescent="0.2">
      <c r="B26" s="60"/>
      <c r="C26" s="59" t="s">
        <v>97</v>
      </c>
      <c r="D26" s="58" t="s">
        <v>18</v>
      </c>
      <c r="E26" s="58" t="s">
        <v>23</v>
      </c>
      <c r="F26" s="57" t="str">
        <f t="shared" si="0"/>
        <v>EuriborSwapIsdaFixB20Y</v>
      </c>
      <c r="G26" s="56" t="str">
        <f>_xll.qlEuriborSwap($F26,FixingType,$C26,Currency&amp;$D26,Currency&amp;$E26,Permanent,Trigger,ObjectOverwrite)</f>
        <v>EuriborSwapIsdaFixB20Y#0002</v>
      </c>
      <c r="H26" s="55" t="str">
        <f>_xll.ohRangeRetrieveError(G26)</f>
        <v/>
      </c>
      <c r="I26" s="54"/>
    </row>
    <row r="27" spans="2:9" s="50" customFormat="1" x14ac:dyDescent="0.2">
      <c r="B27" s="60"/>
      <c r="C27" s="59" t="s">
        <v>96</v>
      </c>
      <c r="D27" s="58" t="s">
        <v>18</v>
      </c>
      <c r="E27" s="58" t="s">
        <v>23</v>
      </c>
      <c r="F27" s="57" t="str">
        <f t="shared" si="0"/>
        <v>EuriborSwapIsdaFixB21Y</v>
      </c>
      <c r="G27" s="56" t="str">
        <f>_xll.qlEuriborSwap($F27,FixingType,$C27,Currency&amp;$D27,Currency&amp;$E27,Permanent,Trigger,ObjectOverwrite)</f>
        <v>EuriborSwapIsdaFixB21Y#0002</v>
      </c>
      <c r="H27" s="55" t="str">
        <f>_xll.ohRangeRetrieveError(G27)</f>
        <v/>
      </c>
      <c r="I27" s="54"/>
    </row>
    <row r="28" spans="2:9" s="50" customFormat="1" x14ac:dyDescent="0.2">
      <c r="B28" s="60"/>
      <c r="C28" s="59" t="s">
        <v>95</v>
      </c>
      <c r="D28" s="58" t="s">
        <v>18</v>
      </c>
      <c r="E28" s="58" t="s">
        <v>23</v>
      </c>
      <c r="F28" s="57" t="str">
        <f t="shared" si="0"/>
        <v>EuriborSwapIsdaFixB22Y</v>
      </c>
      <c r="G28" s="56" t="str">
        <f>_xll.qlEuriborSwap($F28,FixingType,$C28,Currency&amp;$D28,Currency&amp;$E28,Permanent,Trigger,ObjectOverwrite)</f>
        <v>EuriborSwapIsdaFixB22Y#0002</v>
      </c>
      <c r="H28" s="55" t="str">
        <f>_xll.ohRangeRetrieveError(G28)</f>
        <v/>
      </c>
      <c r="I28" s="54"/>
    </row>
    <row r="29" spans="2:9" s="50" customFormat="1" x14ac:dyDescent="0.2">
      <c r="B29" s="60"/>
      <c r="C29" s="59" t="s">
        <v>94</v>
      </c>
      <c r="D29" s="58" t="s">
        <v>18</v>
      </c>
      <c r="E29" s="58" t="s">
        <v>23</v>
      </c>
      <c r="F29" s="57" t="str">
        <f t="shared" si="0"/>
        <v>EuriborSwapIsdaFixB23Y</v>
      </c>
      <c r="G29" s="56" t="str">
        <f>_xll.qlEuriborSwap($F29,FixingType,$C29,Currency&amp;$D29,Currency&amp;$E29,Permanent,Trigger,ObjectOverwrite)</f>
        <v>EuriborSwapIsdaFixB23Y#0002</v>
      </c>
      <c r="H29" s="55" t="str">
        <f>_xll.ohRangeRetrieveError(G29)</f>
        <v/>
      </c>
      <c r="I29" s="54"/>
    </row>
    <row r="30" spans="2:9" s="50" customFormat="1" x14ac:dyDescent="0.2">
      <c r="B30" s="60"/>
      <c r="C30" s="59" t="s">
        <v>93</v>
      </c>
      <c r="D30" s="58" t="s">
        <v>18</v>
      </c>
      <c r="E30" s="58" t="s">
        <v>23</v>
      </c>
      <c r="F30" s="57" t="str">
        <f t="shared" si="0"/>
        <v>EuriborSwapIsdaFixB24Y</v>
      </c>
      <c r="G30" s="56" t="str">
        <f>_xll.qlEuriborSwap($F30,FixingType,$C30,Currency&amp;$D30,Currency&amp;$E30,Permanent,Trigger,ObjectOverwrite)</f>
        <v>EuriborSwapIsdaFixB24Y#0002</v>
      </c>
      <c r="H30" s="55" t="str">
        <f>_xll.ohRangeRetrieveError(G30)</f>
        <v/>
      </c>
      <c r="I30" s="54"/>
    </row>
    <row r="31" spans="2:9" s="50" customFormat="1" x14ac:dyDescent="0.2">
      <c r="B31" s="60"/>
      <c r="C31" s="59" t="s">
        <v>92</v>
      </c>
      <c r="D31" s="58" t="s">
        <v>18</v>
      </c>
      <c r="E31" s="58" t="s">
        <v>23</v>
      </c>
      <c r="F31" s="57" t="str">
        <f t="shared" si="0"/>
        <v>EuriborSwapIsdaFixB25Y</v>
      </c>
      <c r="G31" s="56" t="str">
        <f>_xll.qlEuriborSwap($F31,FixingType,$C31,Currency&amp;$D31,Currency&amp;$E31,Permanent,Trigger,ObjectOverwrite)</f>
        <v>EuriborSwapIsdaFixB25Y#0002</v>
      </c>
      <c r="H31" s="55" t="str">
        <f>_xll.ohRangeRetrieveError(G31)</f>
        <v/>
      </c>
      <c r="I31" s="54"/>
    </row>
    <row r="32" spans="2:9" s="50" customFormat="1" x14ac:dyDescent="0.2">
      <c r="B32" s="60"/>
      <c r="C32" s="59" t="s">
        <v>91</v>
      </c>
      <c r="D32" s="58" t="s">
        <v>18</v>
      </c>
      <c r="E32" s="58" t="s">
        <v>23</v>
      </c>
      <c r="F32" s="57" t="str">
        <f t="shared" si="0"/>
        <v>EuriborSwapIsdaFixB26Y</v>
      </c>
      <c r="G32" s="56" t="str">
        <f>_xll.qlEuriborSwap($F32,FixingType,$C32,Currency&amp;$D32,Currency&amp;$E32,Permanent,Trigger,ObjectOverwrite)</f>
        <v>EuriborSwapIsdaFixB26Y#0002</v>
      </c>
      <c r="H32" s="55" t="str">
        <f>_xll.ohRangeRetrieveError(G32)</f>
        <v/>
      </c>
      <c r="I32" s="54"/>
    </row>
    <row r="33" spans="2:9" s="50" customFormat="1" x14ac:dyDescent="0.2">
      <c r="B33" s="60"/>
      <c r="C33" s="59" t="s">
        <v>90</v>
      </c>
      <c r="D33" s="58" t="s">
        <v>18</v>
      </c>
      <c r="E33" s="58" t="s">
        <v>23</v>
      </c>
      <c r="F33" s="57" t="str">
        <f t="shared" si="0"/>
        <v>EuriborSwapIsdaFixB27Y</v>
      </c>
      <c r="G33" s="56" t="str">
        <f>_xll.qlEuriborSwap($F33,FixingType,$C33,Currency&amp;$D33,Currency&amp;$E33,Permanent,Trigger,ObjectOverwrite)</f>
        <v>EuriborSwapIsdaFixB27Y#0002</v>
      </c>
      <c r="H33" s="55" t="str">
        <f>_xll.ohRangeRetrieveError(G33)</f>
        <v/>
      </c>
      <c r="I33" s="54"/>
    </row>
    <row r="34" spans="2:9" s="50" customFormat="1" x14ac:dyDescent="0.2">
      <c r="B34" s="60"/>
      <c r="C34" s="59" t="s">
        <v>89</v>
      </c>
      <c r="D34" s="58" t="s">
        <v>18</v>
      </c>
      <c r="E34" s="58" t="s">
        <v>23</v>
      </c>
      <c r="F34" s="57" t="str">
        <f t="shared" si="0"/>
        <v>EuriborSwapIsdaFixB28Y</v>
      </c>
      <c r="G34" s="56" t="str">
        <f>_xll.qlEuriborSwap($F34,FixingType,$C34,Currency&amp;$D34,Currency&amp;$E34,Permanent,Trigger,ObjectOverwrite)</f>
        <v>EuriborSwapIsdaFixB28Y#0002</v>
      </c>
      <c r="H34" s="55" t="str">
        <f>_xll.ohRangeRetrieveError(G34)</f>
        <v/>
      </c>
      <c r="I34" s="54"/>
    </row>
    <row r="35" spans="2:9" s="50" customFormat="1" x14ac:dyDescent="0.2">
      <c r="B35" s="60"/>
      <c r="C35" s="59" t="s">
        <v>88</v>
      </c>
      <c r="D35" s="58" t="s">
        <v>18</v>
      </c>
      <c r="E35" s="58" t="s">
        <v>23</v>
      </c>
      <c r="F35" s="57" t="str">
        <f t="shared" si="0"/>
        <v>EuriborSwapIsdaFixB29Y</v>
      </c>
      <c r="G35" s="56" t="str">
        <f>_xll.qlEuriborSwap($F35,FixingType,$C35,Currency&amp;$D35,Currency&amp;$E35,Permanent,Trigger,ObjectOverwrite)</f>
        <v>EuriborSwapIsdaFixB29Y#0002</v>
      </c>
      <c r="H35" s="55" t="str">
        <f>_xll.ohRangeRetrieveError(G35)</f>
        <v/>
      </c>
      <c r="I35" s="54"/>
    </row>
    <row r="36" spans="2:9" s="50" customFormat="1" x14ac:dyDescent="0.2">
      <c r="B36" s="60"/>
      <c r="C36" s="59" t="s">
        <v>87</v>
      </c>
      <c r="D36" s="58" t="s">
        <v>18</v>
      </c>
      <c r="E36" s="58" t="s">
        <v>23</v>
      </c>
      <c r="F36" s="57" t="str">
        <f t="shared" si="0"/>
        <v>EuriborSwapIsdaFixB30Y</v>
      </c>
      <c r="G36" s="56" t="str">
        <f>_xll.qlEuriborSwap($F36,FixingType,$C36,Currency&amp;$D36,Currency&amp;$E36,Permanent,Trigger,ObjectOverwrite)</f>
        <v>EuriborSwapIsdaFixB30Y#0002</v>
      </c>
      <c r="H36" s="55" t="str">
        <f>_xll.ohRangeRetrieveError(G36)</f>
        <v/>
      </c>
      <c r="I36" s="54"/>
    </row>
    <row r="37" spans="2:9" s="50" customFormat="1" x14ac:dyDescent="0.2">
      <c r="B37" s="60"/>
      <c r="C37" s="59" t="s">
        <v>86</v>
      </c>
      <c r="D37" s="58" t="s">
        <v>18</v>
      </c>
      <c r="E37" s="58" t="s">
        <v>23</v>
      </c>
      <c r="F37" s="57" t="str">
        <f t="shared" si="0"/>
        <v>EuriborSwapIsdaFixB31Y</v>
      </c>
      <c r="G37" s="56" t="str">
        <f>_xll.qlEuriborSwap($F37,FixingType,$C37,Currency&amp;$D37,Currency&amp;$E37,Permanent,Trigger,ObjectOverwrite)</f>
        <v>EuriborSwapIsdaFixB31Y#0002</v>
      </c>
      <c r="H37" s="55" t="str">
        <f>_xll.ohRangeRetrieveError(G37)</f>
        <v/>
      </c>
      <c r="I37" s="54"/>
    </row>
    <row r="38" spans="2:9" s="50" customFormat="1" x14ac:dyDescent="0.2">
      <c r="B38" s="60"/>
      <c r="C38" s="59" t="s">
        <v>85</v>
      </c>
      <c r="D38" s="58" t="s">
        <v>18</v>
      </c>
      <c r="E38" s="58" t="s">
        <v>23</v>
      </c>
      <c r="F38" s="57" t="str">
        <f t="shared" si="0"/>
        <v>EuriborSwapIsdaFixB32Y</v>
      </c>
      <c r="G38" s="56" t="str">
        <f>_xll.qlEuriborSwap($F38,FixingType,$C38,Currency&amp;$D38,Currency&amp;$E38,Permanent,Trigger,ObjectOverwrite)</f>
        <v>EuriborSwapIsdaFixB32Y#0002</v>
      </c>
      <c r="H38" s="55" t="str">
        <f>_xll.ohRangeRetrieveError(G38)</f>
        <v/>
      </c>
      <c r="I38" s="54"/>
    </row>
    <row r="39" spans="2:9" s="50" customFormat="1" x14ac:dyDescent="0.2">
      <c r="B39" s="60"/>
      <c r="C39" s="59" t="s">
        <v>84</v>
      </c>
      <c r="D39" s="58" t="s">
        <v>18</v>
      </c>
      <c r="E39" s="58" t="s">
        <v>23</v>
      </c>
      <c r="F39" s="57" t="str">
        <f t="shared" ref="F39:F66" si="1">PROPER(Currency)&amp;FamilyName&amp;FixingType&amp;$C39</f>
        <v>EuriborSwapIsdaFixB33Y</v>
      </c>
      <c r="G39" s="56" t="str">
        <f>_xll.qlEuriborSwap($F39,FixingType,$C39,Currency&amp;$D39,Currency&amp;$E39,Permanent,Trigger,ObjectOverwrite)</f>
        <v>EuriborSwapIsdaFixB33Y#0002</v>
      </c>
      <c r="H39" s="55" t="str">
        <f>_xll.ohRangeRetrieveError(G39)</f>
        <v/>
      </c>
      <c r="I39" s="54"/>
    </row>
    <row r="40" spans="2:9" s="50" customFormat="1" x14ac:dyDescent="0.2">
      <c r="B40" s="60"/>
      <c r="C40" s="59" t="s">
        <v>83</v>
      </c>
      <c r="D40" s="58" t="s">
        <v>18</v>
      </c>
      <c r="E40" s="58" t="s">
        <v>23</v>
      </c>
      <c r="F40" s="57" t="str">
        <f t="shared" si="1"/>
        <v>EuriborSwapIsdaFixB34Y</v>
      </c>
      <c r="G40" s="56" t="str">
        <f>_xll.qlEuriborSwap($F40,FixingType,$C40,Currency&amp;$D40,Currency&amp;$E40,Permanent,Trigger,ObjectOverwrite)</f>
        <v>EuriborSwapIsdaFixB34Y#0002</v>
      </c>
      <c r="H40" s="55" t="str">
        <f>_xll.ohRangeRetrieveError(G40)</f>
        <v/>
      </c>
      <c r="I40" s="54"/>
    </row>
    <row r="41" spans="2:9" s="50" customFormat="1" x14ac:dyDescent="0.2">
      <c r="B41" s="60"/>
      <c r="C41" s="59" t="s">
        <v>82</v>
      </c>
      <c r="D41" s="58" t="s">
        <v>18</v>
      </c>
      <c r="E41" s="58" t="s">
        <v>23</v>
      </c>
      <c r="F41" s="57" t="str">
        <f t="shared" si="1"/>
        <v>EuriborSwapIsdaFixB35Y</v>
      </c>
      <c r="G41" s="56" t="str">
        <f>_xll.qlEuriborSwap($F41,FixingType,$C41,Currency&amp;$D41,Currency&amp;$E41,Permanent,Trigger,ObjectOverwrite)</f>
        <v>EuriborSwapIsdaFixB35Y#0002</v>
      </c>
      <c r="H41" s="55" t="str">
        <f>_xll.ohRangeRetrieveError(G41)</f>
        <v/>
      </c>
      <c r="I41" s="54"/>
    </row>
    <row r="42" spans="2:9" s="50" customFormat="1" x14ac:dyDescent="0.2">
      <c r="B42" s="60"/>
      <c r="C42" s="59" t="s">
        <v>81</v>
      </c>
      <c r="D42" s="58" t="s">
        <v>18</v>
      </c>
      <c r="E42" s="58" t="s">
        <v>23</v>
      </c>
      <c r="F42" s="57" t="str">
        <f t="shared" si="1"/>
        <v>EuriborSwapIsdaFixB36Y</v>
      </c>
      <c r="G42" s="56" t="str">
        <f>_xll.qlEuriborSwap($F42,FixingType,$C42,Currency&amp;$D42,Currency&amp;$E42,Permanent,Trigger,ObjectOverwrite)</f>
        <v>EuriborSwapIsdaFixB36Y#0002</v>
      </c>
      <c r="H42" s="55" t="str">
        <f>_xll.ohRangeRetrieveError(G42)</f>
        <v/>
      </c>
      <c r="I42" s="54"/>
    </row>
    <row r="43" spans="2:9" s="50" customFormat="1" x14ac:dyDescent="0.2">
      <c r="B43" s="60"/>
      <c r="C43" s="59" t="s">
        <v>80</v>
      </c>
      <c r="D43" s="58" t="s">
        <v>18</v>
      </c>
      <c r="E43" s="58" t="s">
        <v>23</v>
      </c>
      <c r="F43" s="57" t="str">
        <f t="shared" si="1"/>
        <v>EuriborSwapIsdaFixB37Y</v>
      </c>
      <c r="G43" s="56" t="str">
        <f>_xll.qlEuriborSwap($F43,FixingType,$C43,Currency&amp;$D43,Currency&amp;$E43,Permanent,Trigger,ObjectOverwrite)</f>
        <v>EuriborSwapIsdaFixB37Y#0002</v>
      </c>
      <c r="H43" s="55" t="str">
        <f>_xll.ohRangeRetrieveError(G43)</f>
        <v/>
      </c>
      <c r="I43" s="54"/>
    </row>
    <row r="44" spans="2:9" s="50" customFormat="1" x14ac:dyDescent="0.2">
      <c r="B44" s="60"/>
      <c r="C44" s="59" t="s">
        <v>79</v>
      </c>
      <c r="D44" s="58" t="s">
        <v>18</v>
      </c>
      <c r="E44" s="58" t="s">
        <v>23</v>
      </c>
      <c r="F44" s="57" t="str">
        <f t="shared" si="1"/>
        <v>EuriborSwapIsdaFixB38Y</v>
      </c>
      <c r="G44" s="56" t="str">
        <f>_xll.qlEuriborSwap($F44,FixingType,$C44,Currency&amp;$D44,Currency&amp;$E44,Permanent,Trigger,ObjectOverwrite)</f>
        <v>EuriborSwapIsdaFixB38Y#0002</v>
      </c>
      <c r="H44" s="55" t="str">
        <f>_xll.ohRangeRetrieveError(G44)</f>
        <v/>
      </c>
      <c r="I44" s="54"/>
    </row>
    <row r="45" spans="2:9" s="50" customFormat="1" x14ac:dyDescent="0.2">
      <c r="B45" s="60"/>
      <c r="C45" s="59" t="s">
        <v>78</v>
      </c>
      <c r="D45" s="58" t="s">
        <v>18</v>
      </c>
      <c r="E45" s="58" t="s">
        <v>23</v>
      </c>
      <c r="F45" s="57" t="str">
        <f t="shared" si="1"/>
        <v>EuriborSwapIsdaFixB39Y</v>
      </c>
      <c r="G45" s="56" t="str">
        <f>_xll.qlEuriborSwap($F45,FixingType,$C45,Currency&amp;$D45,Currency&amp;$E45,Permanent,Trigger,ObjectOverwrite)</f>
        <v>EuriborSwapIsdaFixB39Y#0002</v>
      </c>
      <c r="H45" s="55" t="str">
        <f>_xll.ohRangeRetrieveError(G45)</f>
        <v/>
      </c>
      <c r="I45" s="54"/>
    </row>
    <row r="46" spans="2:9" s="50" customFormat="1" x14ac:dyDescent="0.2">
      <c r="B46" s="60"/>
      <c r="C46" s="59" t="s">
        <v>77</v>
      </c>
      <c r="D46" s="58" t="s">
        <v>18</v>
      </c>
      <c r="E46" s="58" t="s">
        <v>23</v>
      </c>
      <c r="F46" s="57" t="str">
        <f t="shared" si="1"/>
        <v>EuriborSwapIsdaFixB40Y</v>
      </c>
      <c r="G46" s="56" t="str">
        <f>_xll.qlEuriborSwap($F46,FixingType,$C46,Currency&amp;$D46,Currency&amp;$E46,Permanent,Trigger,ObjectOverwrite)</f>
        <v>EuriborSwapIsdaFixB40Y#0002</v>
      </c>
      <c r="H46" s="55" t="str">
        <f>_xll.ohRangeRetrieveError(G46)</f>
        <v/>
      </c>
      <c r="I46" s="54"/>
    </row>
    <row r="47" spans="2:9" s="50" customFormat="1" x14ac:dyDescent="0.2">
      <c r="B47" s="60"/>
      <c r="C47" s="59" t="s">
        <v>76</v>
      </c>
      <c r="D47" s="58" t="s">
        <v>18</v>
      </c>
      <c r="E47" s="58" t="s">
        <v>23</v>
      </c>
      <c r="F47" s="57" t="str">
        <f t="shared" si="1"/>
        <v>EuriborSwapIsdaFixB41Y</v>
      </c>
      <c r="G47" s="56" t="str">
        <f>_xll.qlEuriborSwap($F47,FixingType,$C47,Currency&amp;$D47,Currency&amp;$E47,Permanent,Trigger,ObjectOverwrite)</f>
        <v>EuriborSwapIsdaFixB41Y#0002</v>
      </c>
      <c r="H47" s="55" t="str">
        <f>_xll.ohRangeRetrieveError(G47)</f>
        <v/>
      </c>
      <c r="I47" s="54"/>
    </row>
    <row r="48" spans="2:9" s="50" customFormat="1" x14ac:dyDescent="0.2">
      <c r="B48" s="60"/>
      <c r="C48" s="59" t="s">
        <v>75</v>
      </c>
      <c r="D48" s="58" t="s">
        <v>18</v>
      </c>
      <c r="E48" s="58" t="s">
        <v>23</v>
      </c>
      <c r="F48" s="57" t="str">
        <f t="shared" si="1"/>
        <v>EuriborSwapIsdaFixB42Y</v>
      </c>
      <c r="G48" s="56" t="str">
        <f>_xll.qlEuriborSwap($F48,FixingType,$C48,Currency&amp;$D48,Currency&amp;$E48,Permanent,Trigger,ObjectOverwrite)</f>
        <v>EuriborSwapIsdaFixB42Y#0002</v>
      </c>
      <c r="H48" s="55" t="str">
        <f>_xll.ohRangeRetrieveError(G48)</f>
        <v/>
      </c>
      <c r="I48" s="54"/>
    </row>
    <row r="49" spans="2:9" s="50" customFormat="1" x14ac:dyDescent="0.2">
      <c r="B49" s="60"/>
      <c r="C49" s="59" t="s">
        <v>74</v>
      </c>
      <c r="D49" s="58" t="s">
        <v>18</v>
      </c>
      <c r="E49" s="58" t="s">
        <v>23</v>
      </c>
      <c r="F49" s="57" t="str">
        <f t="shared" si="1"/>
        <v>EuriborSwapIsdaFixB43Y</v>
      </c>
      <c r="G49" s="56" t="str">
        <f>_xll.qlEuriborSwap($F49,FixingType,$C49,Currency&amp;$D49,Currency&amp;$E49,Permanent,Trigger,ObjectOverwrite)</f>
        <v>EuriborSwapIsdaFixB43Y#0002</v>
      </c>
      <c r="H49" s="55" t="str">
        <f>_xll.ohRangeRetrieveError(G49)</f>
        <v/>
      </c>
      <c r="I49" s="54"/>
    </row>
    <row r="50" spans="2:9" s="50" customFormat="1" x14ac:dyDescent="0.2">
      <c r="B50" s="60"/>
      <c r="C50" s="59" t="s">
        <v>73</v>
      </c>
      <c r="D50" s="58" t="s">
        <v>18</v>
      </c>
      <c r="E50" s="58" t="s">
        <v>23</v>
      </c>
      <c r="F50" s="57" t="str">
        <f t="shared" si="1"/>
        <v>EuriborSwapIsdaFixB44Y</v>
      </c>
      <c r="G50" s="56" t="str">
        <f>_xll.qlEuriborSwap($F50,FixingType,$C50,Currency&amp;$D50,Currency&amp;$E50,Permanent,Trigger,ObjectOverwrite)</f>
        <v>EuriborSwapIsdaFixB44Y#0002</v>
      </c>
      <c r="H50" s="55" t="str">
        <f>_xll.ohRangeRetrieveError(G50)</f>
        <v/>
      </c>
      <c r="I50" s="54"/>
    </row>
    <row r="51" spans="2:9" s="50" customFormat="1" x14ac:dyDescent="0.2">
      <c r="B51" s="60"/>
      <c r="C51" s="59" t="s">
        <v>72</v>
      </c>
      <c r="D51" s="58" t="s">
        <v>18</v>
      </c>
      <c r="E51" s="58" t="s">
        <v>23</v>
      </c>
      <c r="F51" s="57" t="str">
        <f t="shared" si="1"/>
        <v>EuriborSwapIsdaFixB45Y</v>
      </c>
      <c r="G51" s="56" t="str">
        <f>_xll.qlEuriborSwap($F51,FixingType,$C51,Currency&amp;$D51,Currency&amp;$E51,Permanent,Trigger,ObjectOverwrite)</f>
        <v>EuriborSwapIsdaFixB45Y#0002</v>
      </c>
      <c r="H51" s="55" t="str">
        <f>_xll.ohRangeRetrieveError(G51)</f>
        <v/>
      </c>
      <c r="I51" s="54"/>
    </row>
    <row r="52" spans="2:9" s="50" customFormat="1" x14ac:dyDescent="0.2">
      <c r="B52" s="60"/>
      <c r="C52" s="59" t="s">
        <v>71</v>
      </c>
      <c r="D52" s="58" t="s">
        <v>18</v>
      </c>
      <c r="E52" s="58" t="s">
        <v>23</v>
      </c>
      <c r="F52" s="57" t="str">
        <f t="shared" si="1"/>
        <v>EuriborSwapIsdaFixB46Y</v>
      </c>
      <c r="G52" s="56" t="str">
        <f>_xll.qlEuriborSwap($F52,FixingType,$C52,Currency&amp;$D52,Currency&amp;$E52,Permanent,Trigger,ObjectOverwrite)</f>
        <v>EuriborSwapIsdaFixB46Y#0002</v>
      </c>
      <c r="H52" s="55" t="str">
        <f>_xll.ohRangeRetrieveError(G52)</f>
        <v/>
      </c>
      <c r="I52" s="54"/>
    </row>
    <row r="53" spans="2:9" s="50" customFormat="1" x14ac:dyDescent="0.2">
      <c r="B53" s="60"/>
      <c r="C53" s="59" t="s">
        <v>70</v>
      </c>
      <c r="D53" s="58" t="s">
        <v>18</v>
      </c>
      <c r="E53" s="58" t="s">
        <v>23</v>
      </c>
      <c r="F53" s="57" t="str">
        <f t="shared" si="1"/>
        <v>EuriborSwapIsdaFixB47Y</v>
      </c>
      <c r="G53" s="56" t="str">
        <f>_xll.qlEuriborSwap($F53,FixingType,$C53,Currency&amp;$D53,Currency&amp;$E53,Permanent,Trigger,ObjectOverwrite)</f>
        <v>EuriborSwapIsdaFixB47Y#0002</v>
      </c>
      <c r="H53" s="55" t="str">
        <f>_xll.ohRangeRetrieveError(G53)</f>
        <v/>
      </c>
      <c r="I53" s="54"/>
    </row>
    <row r="54" spans="2:9" s="50" customFormat="1" x14ac:dyDescent="0.2">
      <c r="B54" s="60"/>
      <c r="C54" s="59" t="s">
        <v>69</v>
      </c>
      <c r="D54" s="58" t="s">
        <v>18</v>
      </c>
      <c r="E54" s="58" t="s">
        <v>23</v>
      </c>
      <c r="F54" s="57" t="str">
        <f t="shared" si="1"/>
        <v>EuriborSwapIsdaFixB48Y</v>
      </c>
      <c r="G54" s="56" t="str">
        <f>_xll.qlEuriborSwap($F54,FixingType,$C54,Currency&amp;$D54,Currency&amp;$E54,Permanent,Trigger,ObjectOverwrite)</f>
        <v>EuriborSwapIsdaFixB48Y#0002</v>
      </c>
      <c r="H54" s="55" t="str">
        <f>_xll.ohRangeRetrieveError(G54)</f>
        <v/>
      </c>
      <c r="I54" s="54"/>
    </row>
    <row r="55" spans="2:9" s="50" customFormat="1" x14ac:dyDescent="0.2">
      <c r="B55" s="60"/>
      <c r="C55" s="59" t="s">
        <v>68</v>
      </c>
      <c r="D55" s="58" t="s">
        <v>18</v>
      </c>
      <c r="E55" s="58" t="s">
        <v>23</v>
      </c>
      <c r="F55" s="57" t="str">
        <f t="shared" si="1"/>
        <v>EuriborSwapIsdaFixB49Y</v>
      </c>
      <c r="G55" s="56" t="str">
        <f>_xll.qlEuriborSwap($F55,FixingType,$C55,Currency&amp;$D55,Currency&amp;$E55,Permanent,Trigger,ObjectOverwrite)</f>
        <v>EuriborSwapIsdaFixB49Y#0002</v>
      </c>
      <c r="H55" s="55" t="str">
        <f>_xll.ohRangeRetrieveError(G55)</f>
        <v/>
      </c>
      <c r="I55" s="54"/>
    </row>
    <row r="56" spans="2:9" s="50" customFormat="1" x14ac:dyDescent="0.2">
      <c r="B56" s="60"/>
      <c r="C56" s="59" t="s">
        <v>67</v>
      </c>
      <c r="D56" s="58" t="s">
        <v>18</v>
      </c>
      <c r="E56" s="58" t="s">
        <v>23</v>
      </c>
      <c r="F56" s="57" t="str">
        <f t="shared" si="1"/>
        <v>EuriborSwapIsdaFixB50Y</v>
      </c>
      <c r="G56" s="56" t="str">
        <f>_xll.qlEuriborSwap($F56,FixingType,$C56,Currency&amp;$D56,Currency&amp;$E56,Permanent,Trigger,ObjectOverwrite)</f>
        <v>EuriborSwapIsdaFixB50Y#0002</v>
      </c>
      <c r="H56" s="55" t="str">
        <f>_xll.ohRangeRetrieveError(G56)</f>
        <v/>
      </c>
      <c r="I56" s="54"/>
    </row>
    <row r="57" spans="2:9" s="50" customFormat="1" x14ac:dyDescent="0.2">
      <c r="B57" s="60"/>
      <c r="C57" s="59" t="s">
        <v>66</v>
      </c>
      <c r="D57" s="58" t="s">
        <v>18</v>
      </c>
      <c r="E57" s="58" t="s">
        <v>23</v>
      </c>
      <c r="F57" s="57" t="str">
        <f t="shared" si="1"/>
        <v>EuriborSwapIsdaFixB51Y</v>
      </c>
      <c r="G57" s="56" t="str">
        <f>_xll.qlEuriborSwap($F57,FixingType,$C57,Currency&amp;$D57,Currency&amp;$E57,Permanent,Trigger,ObjectOverwrite)</f>
        <v>EuriborSwapIsdaFixB51Y#0002</v>
      </c>
      <c r="H57" s="55" t="str">
        <f>_xll.ohRangeRetrieveError(G57)</f>
        <v/>
      </c>
      <c r="I57" s="54"/>
    </row>
    <row r="58" spans="2:9" s="50" customFormat="1" x14ac:dyDescent="0.2">
      <c r="B58" s="60"/>
      <c r="C58" s="59" t="s">
        <v>65</v>
      </c>
      <c r="D58" s="58" t="s">
        <v>18</v>
      </c>
      <c r="E58" s="58" t="s">
        <v>23</v>
      </c>
      <c r="F58" s="57" t="str">
        <f t="shared" si="1"/>
        <v>EuriborSwapIsdaFixB52Y</v>
      </c>
      <c r="G58" s="56" t="str">
        <f>_xll.qlEuriborSwap($F58,FixingType,$C58,Currency&amp;$D58,Currency&amp;$E58,Permanent,Trigger,ObjectOverwrite)</f>
        <v>EuriborSwapIsdaFixB52Y#0002</v>
      </c>
      <c r="H58" s="55" t="str">
        <f>_xll.ohRangeRetrieveError(G58)</f>
        <v/>
      </c>
      <c r="I58" s="54"/>
    </row>
    <row r="59" spans="2:9" s="50" customFormat="1" x14ac:dyDescent="0.2">
      <c r="B59" s="60"/>
      <c r="C59" s="59" t="s">
        <v>64</v>
      </c>
      <c r="D59" s="58" t="s">
        <v>18</v>
      </c>
      <c r="E59" s="58" t="s">
        <v>23</v>
      </c>
      <c r="F59" s="57" t="str">
        <f t="shared" si="1"/>
        <v>EuriborSwapIsdaFixB53Y</v>
      </c>
      <c r="G59" s="56" t="str">
        <f>_xll.qlEuriborSwap($F59,FixingType,$C59,Currency&amp;$D59,Currency&amp;$E59,Permanent,Trigger,ObjectOverwrite)</f>
        <v>EuriborSwapIsdaFixB53Y#0002</v>
      </c>
      <c r="H59" s="55" t="str">
        <f>_xll.ohRangeRetrieveError(G59)</f>
        <v/>
      </c>
      <c r="I59" s="54"/>
    </row>
    <row r="60" spans="2:9" s="50" customFormat="1" x14ac:dyDescent="0.2">
      <c r="B60" s="60"/>
      <c r="C60" s="59" t="s">
        <v>63</v>
      </c>
      <c r="D60" s="58" t="s">
        <v>18</v>
      </c>
      <c r="E60" s="58" t="s">
        <v>23</v>
      </c>
      <c r="F60" s="57" t="str">
        <f t="shared" si="1"/>
        <v>EuriborSwapIsdaFixB54Y</v>
      </c>
      <c r="G60" s="56" t="str">
        <f>_xll.qlEuriborSwap($F60,FixingType,$C60,Currency&amp;$D60,Currency&amp;$E60,Permanent,Trigger,ObjectOverwrite)</f>
        <v>EuriborSwapIsdaFixB54Y#0002</v>
      </c>
      <c r="H60" s="55" t="str">
        <f>_xll.ohRangeRetrieveError(G60)</f>
        <v/>
      </c>
      <c r="I60" s="54"/>
    </row>
    <row r="61" spans="2:9" s="50" customFormat="1" x14ac:dyDescent="0.2">
      <c r="B61" s="60"/>
      <c r="C61" s="59" t="s">
        <v>62</v>
      </c>
      <c r="D61" s="58" t="s">
        <v>18</v>
      </c>
      <c r="E61" s="58" t="s">
        <v>23</v>
      </c>
      <c r="F61" s="57" t="str">
        <f t="shared" si="1"/>
        <v>EuriborSwapIsdaFixB55Y</v>
      </c>
      <c r="G61" s="56" t="str">
        <f>_xll.qlEuriborSwap($F61,FixingType,$C61,Currency&amp;$D61,Currency&amp;$E61,Permanent,Trigger,ObjectOverwrite)</f>
        <v>EuriborSwapIsdaFixB55Y#0002</v>
      </c>
      <c r="H61" s="55" t="str">
        <f>_xll.ohRangeRetrieveError(G61)</f>
        <v/>
      </c>
      <c r="I61" s="54"/>
    </row>
    <row r="62" spans="2:9" s="50" customFormat="1" x14ac:dyDescent="0.2">
      <c r="B62" s="60"/>
      <c r="C62" s="59" t="s">
        <v>61</v>
      </c>
      <c r="D62" s="58" t="s">
        <v>18</v>
      </c>
      <c r="E62" s="58" t="s">
        <v>23</v>
      </c>
      <c r="F62" s="57" t="str">
        <f t="shared" si="1"/>
        <v>EuriborSwapIsdaFixB56Y</v>
      </c>
      <c r="G62" s="56" t="str">
        <f>_xll.qlEuriborSwap($F62,FixingType,$C62,Currency&amp;$D62,Currency&amp;$E62,Permanent,Trigger,ObjectOverwrite)</f>
        <v>EuriborSwapIsdaFixB56Y#0002</v>
      </c>
      <c r="H62" s="55" t="str">
        <f>_xll.ohRangeRetrieveError(G62)</f>
        <v/>
      </c>
      <c r="I62" s="54"/>
    </row>
    <row r="63" spans="2:9" s="50" customFormat="1" x14ac:dyDescent="0.2">
      <c r="B63" s="60"/>
      <c r="C63" s="59" t="s">
        <v>60</v>
      </c>
      <c r="D63" s="58" t="s">
        <v>18</v>
      </c>
      <c r="E63" s="58" t="s">
        <v>23</v>
      </c>
      <c r="F63" s="57" t="str">
        <f t="shared" si="1"/>
        <v>EuriborSwapIsdaFixB57Y</v>
      </c>
      <c r="G63" s="56" t="str">
        <f>_xll.qlEuriborSwap($F63,FixingType,$C63,Currency&amp;$D63,Currency&amp;$E63,Permanent,Trigger,ObjectOverwrite)</f>
        <v>EuriborSwapIsdaFixB57Y#0002</v>
      </c>
      <c r="H63" s="55" t="str">
        <f>_xll.ohRangeRetrieveError(G63)</f>
        <v/>
      </c>
      <c r="I63" s="54"/>
    </row>
    <row r="64" spans="2:9" s="50" customFormat="1" x14ac:dyDescent="0.2">
      <c r="B64" s="60"/>
      <c r="C64" s="59" t="s">
        <v>59</v>
      </c>
      <c r="D64" s="58" t="s">
        <v>18</v>
      </c>
      <c r="E64" s="58" t="s">
        <v>23</v>
      </c>
      <c r="F64" s="57" t="str">
        <f t="shared" si="1"/>
        <v>EuriborSwapIsdaFixB58Y</v>
      </c>
      <c r="G64" s="56" t="str">
        <f>_xll.qlEuriborSwap($F64,FixingType,$C64,Currency&amp;$D64,Currency&amp;$E64,Permanent,Trigger,ObjectOverwrite)</f>
        <v>EuriborSwapIsdaFixB58Y#0002</v>
      </c>
      <c r="H64" s="55" t="str">
        <f>_xll.ohRangeRetrieveError(G64)</f>
        <v/>
      </c>
      <c r="I64" s="54"/>
    </row>
    <row r="65" spans="2:9" s="50" customFormat="1" x14ac:dyDescent="0.2">
      <c r="B65" s="60"/>
      <c r="C65" s="59" t="s">
        <v>58</v>
      </c>
      <c r="D65" s="58" t="s">
        <v>18</v>
      </c>
      <c r="E65" s="58" t="s">
        <v>23</v>
      </c>
      <c r="F65" s="57" t="str">
        <f t="shared" si="1"/>
        <v>EuriborSwapIsdaFixB59Y</v>
      </c>
      <c r="G65" s="56" t="str">
        <f>_xll.qlEuriborSwap($F65,FixingType,$C65,Currency&amp;$D65,Currency&amp;$E65,Permanent,Trigger,ObjectOverwrite)</f>
        <v>EuriborSwapIsdaFixB59Y#0002</v>
      </c>
      <c r="H65" s="55" t="str">
        <f>_xll.ohRangeRetrieveError(G65)</f>
        <v/>
      </c>
      <c r="I65" s="54"/>
    </row>
    <row r="66" spans="2:9" s="50" customFormat="1" x14ac:dyDescent="0.2">
      <c r="B66" s="60"/>
      <c r="C66" s="59" t="s">
        <v>57</v>
      </c>
      <c r="D66" s="58" t="s">
        <v>18</v>
      </c>
      <c r="E66" s="58" t="s">
        <v>23</v>
      </c>
      <c r="F66" s="57" t="str">
        <f t="shared" si="1"/>
        <v>EuriborSwapIsdaFixB60Y</v>
      </c>
      <c r="G66" s="56" t="str">
        <f>_xll.qlEuriborSwap($F66,FixingType,$C66,Currency&amp;$D66,Currency&amp;$E66,Permanent,Trigger,ObjectOverwrite)</f>
        <v>EuriborSwapIsdaFixB60Y#0002</v>
      </c>
      <c r="H66" s="55" t="str">
        <f>_xll.ohRangeRetrieveError(G66)</f>
        <v/>
      </c>
      <c r="I66" s="54"/>
    </row>
    <row r="67" spans="2:9" s="50" customFormat="1" ht="12" thickBot="1" x14ac:dyDescent="0.25">
      <c r="B67" s="53"/>
      <c r="C67" s="52"/>
      <c r="D67" s="52"/>
      <c r="E67" s="52"/>
      <c r="F67" s="52"/>
      <c r="G67" s="52"/>
      <c r="H67" s="52"/>
      <c r="I67" s="51"/>
    </row>
    <row r="68" spans="2:9" s="50" customFormat="1" x14ac:dyDescent="0.2"/>
  </sheetData>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68"/>
  <sheetViews>
    <sheetView workbookViewId="0"/>
  </sheetViews>
  <sheetFormatPr defaultRowHeight="11.25" x14ac:dyDescent="0.2"/>
  <cols>
    <col min="1" max="1" width="3.140625" style="22" customWidth="1"/>
    <col min="2" max="2" width="4.42578125" style="22" customWidth="1"/>
    <col min="3" max="3" width="3.85546875" style="22" bestFit="1" customWidth="1"/>
    <col min="4" max="4" width="8.7109375" style="22" bestFit="1" customWidth="1"/>
    <col min="5" max="5" width="8.5703125" style="22" bestFit="1" customWidth="1"/>
    <col min="6" max="6" width="17.5703125" style="22" bestFit="1" customWidth="1"/>
    <col min="7" max="7" width="20.85546875" style="22" bestFit="1" customWidth="1"/>
    <col min="8" max="8" width="55" style="22" customWidth="1"/>
    <col min="9" max="9" width="5.28515625" style="22" customWidth="1"/>
    <col min="10" max="16384" width="9.140625" style="22"/>
  </cols>
  <sheetData>
    <row r="1" spans="1:9" s="50" customFormat="1" ht="12" thickBot="1" x14ac:dyDescent="0.25">
      <c r="A1" s="50" t="s">
        <v>124</v>
      </c>
    </row>
    <row r="2" spans="1:9" s="50" customFormat="1" x14ac:dyDescent="0.2">
      <c r="B2" s="71"/>
      <c r="C2" s="69"/>
      <c r="D2" s="69"/>
      <c r="E2" s="69"/>
      <c r="F2" s="70"/>
      <c r="G2" s="69"/>
      <c r="H2" s="69"/>
      <c r="I2" s="68"/>
    </row>
    <row r="3" spans="1:9" s="50" customFormat="1" x14ac:dyDescent="0.2">
      <c r="B3" s="60"/>
      <c r="C3" s="66"/>
      <c r="D3" s="66"/>
      <c r="E3" s="66"/>
      <c r="F3" s="67" t="s">
        <v>54</v>
      </c>
      <c r="G3" s="63" t="s">
        <v>120</v>
      </c>
      <c r="H3" s="66"/>
      <c r="I3" s="62"/>
    </row>
    <row r="4" spans="1:9" s="50" customFormat="1" x14ac:dyDescent="0.2">
      <c r="B4" s="60"/>
      <c r="C4" s="66"/>
      <c r="D4" s="66"/>
      <c r="E4" s="66"/>
      <c r="F4" s="67" t="s">
        <v>119</v>
      </c>
      <c r="G4" s="63" t="s">
        <v>122</v>
      </c>
      <c r="H4" s="66"/>
      <c r="I4" s="62"/>
    </row>
    <row r="5" spans="1:9" s="50" customFormat="1" x14ac:dyDescent="0.2">
      <c r="B5" s="60"/>
      <c r="C5" s="66"/>
      <c r="D5" s="66"/>
      <c r="E5" s="66"/>
      <c r="F5" s="66"/>
      <c r="G5" s="66"/>
      <c r="H5" s="66"/>
      <c r="I5" s="62"/>
    </row>
    <row r="6" spans="1:9" s="50" customFormat="1" x14ac:dyDescent="0.2">
      <c r="B6" s="60"/>
      <c r="C6" s="66"/>
      <c r="D6" s="65" t="s">
        <v>117</v>
      </c>
      <c r="E6" s="65" t="s">
        <v>116</v>
      </c>
      <c r="F6" s="72" t="str">
        <f>PROPER(Currency)&amp;FamilyName&amp;FixingType&amp;".xml"</f>
        <v>EuriborSwapIfrFix.xml</v>
      </c>
      <c r="G6" s="63">
        <f ca="1">IF(Serialize,_xll.ohObjectSave(G7:G66,SerializationPath&amp;FileName,FileOverwrite,,Serialize),"---")</f>
        <v>60</v>
      </c>
      <c r="H6" s="55" t="str">
        <f ca="1">_xll.ohRangeRetrieveError(G6)</f>
        <v/>
      </c>
      <c r="I6" s="62"/>
    </row>
    <row r="7" spans="1:9" s="50" customFormat="1" x14ac:dyDescent="0.2">
      <c r="B7" s="60"/>
      <c r="C7" s="59" t="s">
        <v>34</v>
      </c>
      <c r="D7" s="61" t="s">
        <v>19</v>
      </c>
      <c r="E7" s="58" t="s">
        <v>23</v>
      </c>
      <c r="F7" s="57" t="str">
        <f t="shared" ref="F7:F38" si="0">PROPER(Currency)&amp;FamilyName&amp;FixingType&amp;$C7</f>
        <v>EuriborSwapIfrFix1Y</v>
      </c>
      <c r="G7" s="56" t="str">
        <f>_xll.qlEuriborSwap($F7,FixingType,$C7,Currency&amp;$D7,Currency&amp;$E7,Permanent,Trigger,ObjectOverwrite)</f>
        <v>EuriborSwapIfrFix1Y#0002</v>
      </c>
      <c r="H7" s="55" t="str">
        <f>_xll.ohRangeRetrieveError(G7)</f>
        <v/>
      </c>
      <c r="I7" s="54"/>
    </row>
    <row r="8" spans="1:9" s="50" customFormat="1" x14ac:dyDescent="0.2">
      <c r="B8" s="60"/>
      <c r="C8" s="59" t="s">
        <v>115</v>
      </c>
      <c r="D8" s="58" t="s">
        <v>18</v>
      </c>
      <c r="E8" s="58" t="s">
        <v>23</v>
      </c>
      <c r="F8" s="57" t="str">
        <f t="shared" si="0"/>
        <v>EuriborSwapIfrFix2Y</v>
      </c>
      <c r="G8" s="56" t="str">
        <f>_xll.qlEuriborSwap($F8,FixingType,$C8,Currency&amp;$D8,Currency&amp;$E8,Permanent,Trigger,ObjectOverwrite)</f>
        <v>EuriborSwapIfrFix2Y#0002</v>
      </c>
      <c r="H8" s="55" t="str">
        <f>_xll.ohRangeRetrieveError(G8)</f>
        <v/>
      </c>
      <c r="I8" s="54"/>
    </row>
    <row r="9" spans="1:9" s="50" customFormat="1" x14ac:dyDescent="0.2">
      <c r="B9" s="60"/>
      <c r="C9" s="59" t="s">
        <v>114</v>
      </c>
      <c r="D9" s="58" t="s">
        <v>18</v>
      </c>
      <c r="E9" s="58" t="s">
        <v>23</v>
      </c>
      <c r="F9" s="57" t="str">
        <f t="shared" si="0"/>
        <v>EuriborSwapIfrFix3Y</v>
      </c>
      <c r="G9" s="56" t="str">
        <f>_xll.qlEuriborSwap($F9,FixingType,$C9,Currency&amp;$D9,Currency&amp;$E9,Permanent,Trigger,ObjectOverwrite)</f>
        <v>EuriborSwapIfrFix3Y#0002</v>
      </c>
      <c r="H9" s="55" t="str">
        <f>_xll.ohRangeRetrieveError(G9)</f>
        <v/>
      </c>
      <c r="I9" s="54"/>
    </row>
    <row r="10" spans="1:9" s="50" customFormat="1" x14ac:dyDescent="0.2">
      <c r="B10" s="60"/>
      <c r="C10" s="59" t="s">
        <v>113</v>
      </c>
      <c r="D10" s="58" t="s">
        <v>18</v>
      </c>
      <c r="E10" s="58" t="s">
        <v>23</v>
      </c>
      <c r="F10" s="57" t="str">
        <f t="shared" si="0"/>
        <v>EuriborSwapIfrFix4Y</v>
      </c>
      <c r="G10" s="56" t="str">
        <f>_xll.qlEuriborSwap($F10,FixingType,$C10,Currency&amp;$D10,Currency&amp;$E10,Permanent,Trigger,ObjectOverwrite)</f>
        <v>EuriborSwapIfrFix4Y#0002</v>
      </c>
      <c r="H10" s="55" t="str">
        <f>_xll.ohRangeRetrieveError(G10)</f>
        <v/>
      </c>
      <c r="I10" s="54"/>
    </row>
    <row r="11" spans="1:9" s="50" customFormat="1" x14ac:dyDescent="0.2">
      <c r="B11" s="60"/>
      <c r="C11" s="59" t="s">
        <v>112</v>
      </c>
      <c r="D11" s="58" t="s">
        <v>18</v>
      </c>
      <c r="E11" s="58" t="s">
        <v>23</v>
      </c>
      <c r="F11" s="57" t="str">
        <f t="shared" si="0"/>
        <v>EuriborSwapIfrFix5Y</v>
      </c>
      <c r="G11" s="56" t="str">
        <f>_xll.qlEuriborSwap($F11,FixingType,$C11,Currency&amp;$D11,Currency&amp;$E11,Permanent,Trigger,ObjectOverwrite)</f>
        <v>EuriborSwapIfrFix5Y#0002</v>
      </c>
      <c r="H11" s="55" t="str">
        <f>_xll.ohRangeRetrieveError(G11)</f>
        <v/>
      </c>
      <c r="I11" s="54"/>
    </row>
    <row r="12" spans="1:9" s="50" customFormat="1" x14ac:dyDescent="0.2">
      <c r="B12" s="60"/>
      <c r="C12" s="59" t="s">
        <v>111</v>
      </c>
      <c r="D12" s="58" t="s">
        <v>18</v>
      </c>
      <c r="E12" s="58" t="s">
        <v>23</v>
      </c>
      <c r="F12" s="57" t="str">
        <f t="shared" si="0"/>
        <v>EuriborSwapIfrFix6Y</v>
      </c>
      <c r="G12" s="56" t="str">
        <f>_xll.qlEuriborSwap($F12,FixingType,$C12,Currency&amp;$D12,Currency&amp;$E12,Permanent,Trigger,ObjectOverwrite)</f>
        <v>EuriborSwapIfrFix6Y#0002</v>
      </c>
      <c r="H12" s="55" t="str">
        <f>_xll.ohRangeRetrieveError(G12)</f>
        <v/>
      </c>
      <c r="I12" s="54"/>
    </row>
    <row r="13" spans="1:9" s="50" customFormat="1" x14ac:dyDescent="0.2">
      <c r="B13" s="60"/>
      <c r="C13" s="59" t="s">
        <v>110</v>
      </c>
      <c r="D13" s="58" t="s">
        <v>18</v>
      </c>
      <c r="E13" s="58" t="s">
        <v>23</v>
      </c>
      <c r="F13" s="57" t="str">
        <f t="shared" si="0"/>
        <v>EuriborSwapIfrFix7Y</v>
      </c>
      <c r="G13" s="56" t="str">
        <f>_xll.qlEuriborSwap($F13,FixingType,$C13,Currency&amp;$D13,Currency&amp;$E13,Permanent,Trigger,ObjectOverwrite)</f>
        <v>EuriborSwapIfrFix7Y#0002</v>
      </c>
      <c r="H13" s="55" t="str">
        <f>_xll.ohRangeRetrieveError(G13)</f>
        <v/>
      </c>
      <c r="I13" s="54"/>
    </row>
    <row r="14" spans="1:9" s="50" customFormat="1" x14ac:dyDescent="0.2">
      <c r="B14" s="60"/>
      <c r="C14" s="59" t="s">
        <v>109</v>
      </c>
      <c r="D14" s="58" t="s">
        <v>18</v>
      </c>
      <c r="E14" s="58" t="s">
        <v>23</v>
      </c>
      <c r="F14" s="57" t="str">
        <f t="shared" si="0"/>
        <v>EuriborSwapIfrFix8Y</v>
      </c>
      <c r="G14" s="56" t="str">
        <f>_xll.qlEuriborSwap($F14,FixingType,$C14,Currency&amp;$D14,Currency&amp;$E14,Permanent,Trigger,ObjectOverwrite)</f>
        <v>EuriborSwapIfrFix8Y#0002</v>
      </c>
      <c r="H14" s="55" t="str">
        <f>_xll.ohRangeRetrieveError(G14)</f>
        <v/>
      </c>
      <c r="I14" s="54"/>
    </row>
    <row r="15" spans="1:9" s="50" customFormat="1" x14ac:dyDescent="0.2">
      <c r="B15" s="60"/>
      <c r="C15" s="59" t="s">
        <v>108</v>
      </c>
      <c r="D15" s="58" t="s">
        <v>18</v>
      </c>
      <c r="E15" s="58" t="s">
        <v>23</v>
      </c>
      <c r="F15" s="57" t="str">
        <f t="shared" si="0"/>
        <v>EuriborSwapIfrFix9Y</v>
      </c>
      <c r="G15" s="56" t="str">
        <f>_xll.qlEuriborSwap($F15,FixingType,$C15,Currency&amp;$D15,Currency&amp;$E15,Permanent,Trigger,ObjectOverwrite)</f>
        <v>EuriborSwapIfrFix9Y#0002</v>
      </c>
      <c r="H15" s="55" t="str">
        <f>_xll.ohRangeRetrieveError(G15)</f>
        <v/>
      </c>
      <c r="I15" s="54"/>
    </row>
    <row r="16" spans="1:9" s="50" customFormat="1" x14ac:dyDescent="0.2">
      <c r="B16" s="60"/>
      <c r="C16" s="59" t="s">
        <v>107</v>
      </c>
      <c r="D16" s="58" t="s">
        <v>18</v>
      </c>
      <c r="E16" s="58" t="s">
        <v>23</v>
      </c>
      <c r="F16" s="57" t="str">
        <f t="shared" si="0"/>
        <v>EuriborSwapIfrFix10Y</v>
      </c>
      <c r="G16" s="56" t="str">
        <f>_xll.qlEuriborSwap($F16,FixingType,$C16,Currency&amp;$D16,Currency&amp;$E16,Permanent,Trigger,ObjectOverwrite)</f>
        <v>EuriborSwapIfrFix10Y#0002</v>
      </c>
      <c r="H16" s="55" t="str">
        <f>_xll.ohRangeRetrieveError(G16)</f>
        <v/>
      </c>
      <c r="I16" s="54"/>
    </row>
    <row r="17" spans="2:9" s="50" customFormat="1" x14ac:dyDescent="0.2">
      <c r="B17" s="60"/>
      <c r="C17" s="59" t="s">
        <v>106</v>
      </c>
      <c r="D17" s="58" t="s">
        <v>18</v>
      </c>
      <c r="E17" s="58" t="s">
        <v>23</v>
      </c>
      <c r="F17" s="57" t="str">
        <f t="shared" si="0"/>
        <v>EuriborSwapIfrFix11Y</v>
      </c>
      <c r="G17" s="56" t="str">
        <f>_xll.qlEuriborSwap($F17,FixingType,$C17,Currency&amp;$D17,Currency&amp;$E17,Permanent,Trigger,ObjectOverwrite)</f>
        <v>EuriborSwapIfrFix11Y#0002</v>
      </c>
      <c r="H17" s="55" t="str">
        <f>_xll.ohRangeRetrieveError(G17)</f>
        <v/>
      </c>
      <c r="I17" s="54"/>
    </row>
    <row r="18" spans="2:9" s="50" customFormat="1" x14ac:dyDescent="0.2">
      <c r="B18" s="60"/>
      <c r="C18" s="59" t="s">
        <v>105</v>
      </c>
      <c r="D18" s="58" t="s">
        <v>18</v>
      </c>
      <c r="E18" s="58" t="s">
        <v>23</v>
      </c>
      <c r="F18" s="57" t="str">
        <f t="shared" si="0"/>
        <v>EuriborSwapIfrFix12Y</v>
      </c>
      <c r="G18" s="56" t="str">
        <f>_xll.qlEuriborSwap($F18,FixingType,$C18,Currency&amp;$D18,Currency&amp;$E18,Permanent,Trigger,ObjectOverwrite)</f>
        <v>EuriborSwapIfrFix12Y#0002</v>
      </c>
      <c r="H18" s="55" t="str">
        <f>_xll.ohRangeRetrieveError(G18)</f>
        <v/>
      </c>
      <c r="I18" s="54"/>
    </row>
    <row r="19" spans="2:9" s="50" customFormat="1" x14ac:dyDescent="0.2">
      <c r="B19" s="60"/>
      <c r="C19" s="59" t="s">
        <v>104</v>
      </c>
      <c r="D19" s="58" t="s">
        <v>18</v>
      </c>
      <c r="E19" s="58" t="s">
        <v>23</v>
      </c>
      <c r="F19" s="57" t="str">
        <f t="shared" si="0"/>
        <v>EuriborSwapIfrFix13Y</v>
      </c>
      <c r="G19" s="56" t="str">
        <f>_xll.qlEuriborSwap($F19,FixingType,$C19,Currency&amp;$D19,Currency&amp;$E19,Permanent,Trigger,ObjectOverwrite)</f>
        <v>EuriborSwapIfrFix13Y#0002</v>
      </c>
      <c r="H19" s="55" t="str">
        <f>_xll.ohRangeRetrieveError(G19)</f>
        <v/>
      </c>
      <c r="I19" s="54"/>
    </row>
    <row r="20" spans="2:9" s="50" customFormat="1" x14ac:dyDescent="0.2">
      <c r="B20" s="60"/>
      <c r="C20" s="59" t="s">
        <v>103</v>
      </c>
      <c r="D20" s="58" t="s">
        <v>18</v>
      </c>
      <c r="E20" s="58" t="s">
        <v>23</v>
      </c>
      <c r="F20" s="57" t="str">
        <f t="shared" si="0"/>
        <v>EuriborSwapIfrFix14Y</v>
      </c>
      <c r="G20" s="56" t="str">
        <f>_xll.qlEuriborSwap($F20,FixingType,$C20,Currency&amp;$D20,Currency&amp;$E20,Permanent,Trigger,ObjectOverwrite)</f>
        <v>EuriborSwapIfrFix14Y#0002</v>
      </c>
      <c r="H20" s="55" t="str">
        <f>_xll.ohRangeRetrieveError(G20)</f>
        <v/>
      </c>
      <c r="I20" s="54"/>
    </row>
    <row r="21" spans="2:9" s="50" customFormat="1" x14ac:dyDescent="0.2">
      <c r="B21" s="60"/>
      <c r="C21" s="59" t="s">
        <v>102</v>
      </c>
      <c r="D21" s="58" t="s">
        <v>18</v>
      </c>
      <c r="E21" s="58" t="s">
        <v>23</v>
      </c>
      <c r="F21" s="57" t="str">
        <f t="shared" si="0"/>
        <v>EuriborSwapIfrFix15Y</v>
      </c>
      <c r="G21" s="56" t="str">
        <f>_xll.qlEuriborSwap($F21,FixingType,$C21,Currency&amp;$D21,Currency&amp;$E21,Permanent,Trigger,ObjectOverwrite)</f>
        <v>EuriborSwapIfrFix15Y#0002</v>
      </c>
      <c r="H21" s="55" t="str">
        <f>_xll.ohRangeRetrieveError(G21)</f>
        <v/>
      </c>
      <c r="I21" s="54"/>
    </row>
    <row r="22" spans="2:9" s="50" customFormat="1" x14ac:dyDescent="0.2">
      <c r="B22" s="60"/>
      <c r="C22" s="59" t="s">
        <v>101</v>
      </c>
      <c r="D22" s="58" t="s">
        <v>18</v>
      </c>
      <c r="E22" s="58" t="s">
        <v>23</v>
      </c>
      <c r="F22" s="57" t="str">
        <f t="shared" si="0"/>
        <v>EuriborSwapIfrFix16Y</v>
      </c>
      <c r="G22" s="56" t="str">
        <f>_xll.qlEuriborSwap($F22,FixingType,$C22,Currency&amp;$D22,Currency&amp;$E22,Permanent,Trigger,ObjectOverwrite)</f>
        <v>EuriborSwapIfrFix16Y#0002</v>
      </c>
      <c r="H22" s="55" t="str">
        <f>_xll.ohRangeRetrieveError(G22)</f>
        <v/>
      </c>
      <c r="I22" s="54"/>
    </row>
    <row r="23" spans="2:9" s="50" customFormat="1" x14ac:dyDescent="0.2">
      <c r="B23" s="60"/>
      <c r="C23" s="59" t="s">
        <v>100</v>
      </c>
      <c r="D23" s="58" t="s">
        <v>18</v>
      </c>
      <c r="E23" s="58" t="s">
        <v>23</v>
      </c>
      <c r="F23" s="57" t="str">
        <f t="shared" si="0"/>
        <v>EuriborSwapIfrFix17Y</v>
      </c>
      <c r="G23" s="56" t="str">
        <f>_xll.qlEuriborSwap($F23,FixingType,$C23,Currency&amp;$D23,Currency&amp;$E23,Permanent,Trigger,ObjectOverwrite)</f>
        <v>EuriborSwapIfrFix17Y#0002</v>
      </c>
      <c r="H23" s="55" t="str">
        <f>_xll.ohRangeRetrieveError(G23)</f>
        <v/>
      </c>
      <c r="I23" s="54"/>
    </row>
    <row r="24" spans="2:9" s="50" customFormat="1" x14ac:dyDescent="0.2">
      <c r="B24" s="60"/>
      <c r="C24" s="59" t="s">
        <v>99</v>
      </c>
      <c r="D24" s="58" t="s">
        <v>18</v>
      </c>
      <c r="E24" s="58" t="s">
        <v>23</v>
      </c>
      <c r="F24" s="57" t="str">
        <f t="shared" si="0"/>
        <v>EuriborSwapIfrFix18Y</v>
      </c>
      <c r="G24" s="56" t="str">
        <f>_xll.qlEuriborSwap($F24,FixingType,$C24,Currency&amp;$D24,Currency&amp;$E24,Permanent,Trigger,ObjectOverwrite)</f>
        <v>EuriborSwapIfrFix18Y#0002</v>
      </c>
      <c r="H24" s="55" t="str">
        <f>_xll.ohRangeRetrieveError(G24)</f>
        <v/>
      </c>
      <c r="I24" s="54"/>
    </row>
    <row r="25" spans="2:9" s="50" customFormat="1" x14ac:dyDescent="0.2">
      <c r="B25" s="60"/>
      <c r="C25" s="59" t="s">
        <v>98</v>
      </c>
      <c r="D25" s="58" t="s">
        <v>18</v>
      </c>
      <c r="E25" s="58" t="s">
        <v>23</v>
      </c>
      <c r="F25" s="57" t="str">
        <f t="shared" si="0"/>
        <v>EuriborSwapIfrFix19Y</v>
      </c>
      <c r="G25" s="56" t="str">
        <f>_xll.qlEuriborSwap($F25,FixingType,$C25,Currency&amp;$D25,Currency&amp;$E25,Permanent,Trigger,ObjectOverwrite)</f>
        <v>EuriborSwapIfrFix19Y#0002</v>
      </c>
      <c r="H25" s="55" t="str">
        <f>_xll.ohRangeRetrieveError(G25)</f>
        <v/>
      </c>
      <c r="I25" s="54"/>
    </row>
    <row r="26" spans="2:9" s="50" customFormat="1" x14ac:dyDescent="0.2">
      <c r="B26" s="60"/>
      <c r="C26" s="59" t="s">
        <v>97</v>
      </c>
      <c r="D26" s="58" t="s">
        <v>18</v>
      </c>
      <c r="E26" s="58" t="s">
        <v>23</v>
      </c>
      <c r="F26" s="57" t="str">
        <f t="shared" si="0"/>
        <v>EuriborSwapIfrFix20Y</v>
      </c>
      <c r="G26" s="56" t="str">
        <f>_xll.qlEuriborSwap($F26,FixingType,$C26,Currency&amp;$D26,Currency&amp;$E26,Permanent,Trigger,ObjectOverwrite)</f>
        <v>EuriborSwapIfrFix20Y#0002</v>
      </c>
      <c r="H26" s="55" t="str">
        <f>_xll.ohRangeRetrieveError(G26)</f>
        <v/>
      </c>
      <c r="I26" s="54"/>
    </row>
    <row r="27" spans="2:9" s="50" customFormat="1" x14ac:dyDescent="0.2">
      <c r="B27" s="60"/>
      <c r="C27" s="59" t="s">
        <v>96</v>
      </c>
      <c r="D27" s="58" t="s">
        <v>18</v>
      </c>
      <c r="E27" s="58" t="s">
        <v>23</v>
      </c>
      <c r="F27" s="57" t="str">
        <f t="shared" si="0"/>
        <v>EuriborSwapIfrFix21Y</v>
      </c>
      <c r="G27" s="56" t="str">
        <f>_xll.qlEuriborSwap($F27,FixingType,$C27,Currency&amp;$D27,Currency&amp;$E27,Permanent,Trigger,ObjectOverwrite)</f>
        <v>EuriborSwapIfrFix21Y#0002</v>
      </c>
      <c r="H27" s="55" t="str">
        <f>_xll.ohRangeRetrieveError(G27)</f>
        <v/>
      </c>
      <c r="I27" s="54"/>
    </row>
    <row r="28" spans="2:9" s="50" customFormat="1" x14ac:dyDescent="0.2">
      <c r="B28" s="60"/>
      <c r="C28" s="59" t="s">
        <v>95</v>
      </c>
      <c r="D28" s="58" t="s">
        <v>18</v>
      </c>
      <c r="E28" s="58" t="s">
        <v>23</v>
      </c>
      <c r="F28" s="57" t="str">
        <f t="shared" si="0"/>
        <v>EuriborSwapIfrFix22Y</v>
      </c>
      <c r="G28" s="56" t="str">
        <f>_xll.qlEuriborSwap($F28,FixingType,$C28,Currency&amp;$D28,Currency&amp;$E28,Permanent,Trigger,ObjectOverwrite)</f>
        <v>EuriborSwapIfrFix22Y#0002</v>
      </c>
      <c r="H28" s="55" t="str">
        <f>_xll.ohRangeRetrieveError(G28)</f>
        <v/>
      </c>
      <c r="I28" s="54"/>
    </row>
    <row r="29" spans="2:9" s="50" customFormat="1" x14ac:dyDescent="0.2">
      <c r="B29" s="60"/>
      <c r="C29" s="59" t="s">
        <v>94</v>
      </c>
      <c r="D29" s="58" t="s">
        <v>18</v>
      </c>
      <c r="E29" s="58" t="s">
        <v>23</v>
      </c>
      <c r="F29" s="57" t="str">
        <f t="shared" si="0"/>
        <v>EuriborSwapIfrFix23Y</v>
      </c>
      <c r="G29" s="56" t="str">
        <f>_xll.qlEuriborSwap($F29,FixingType,$C29,Currency&amp;$D29,Currency&amp;$E29,Permanent,Trigger,ObjectOverwrite)</f>
        <v>EuriborSwapIfrFix23Y#0002</v>
      </c>
      <c r="H29" s="55" t="str">
        <f>_xll.ohRangeRetrieveError(G29)</f>
        <v/>
      </c>
      <c r="I29" s="54"/>
    </row>
    <row r="30" spans="2:9" s="50" customFormat="1" x14ac:dyDescent="0.2">
      <c r="B30" s="60"/>
      <c r="C30" s="59" t="s">
        <v>93</v>
      </c>
      <c r="D30" s="58" t="s">
        <v>18</v>
      </c>
      <c r="E30" s="58" t="s">
        <v>23</v>
      </c>
      <c r="F30" s="57" t="str">
        <f t="shared" si="0"/>
        <v>EuriborSwapIfrFix24Y</v>
      </c>
      <c r="G30" s="56" t="str">
        <f>_xll.qlEuriborSwap($F30,FixingType,$C30,Currency&amp;$D30,Currency&amp;$E30,Permanent,Trigger,ObjectOverwrite)</f>
        <v>EuriborSwapIfrFix24Y#0002</v>
      </c>
      <c r="H30" s="55" t="str">
        <f>_xll.ohRangeRetrieveError(G30)</f>
        <v/>
      </c>
      <c r="I30" s="54"/>
    </row>
    <row r="31" spans="2:9" s="50" customFormat="1" x14ac:dyDescent="0.2">
      <c r="B31" s="60"/>
      <c r="C31" s="59" t="s">
        <v>92</v>
      </c>
      <c r="D31" s="58" t="s">
        <v>18</v>
      </c>
      <c r="E31" s="58" t="s">
        <v>23</v>
      </c>
      <c r="F31" s="57" t="str">
        <f t="shared" si="0"/>
        <v>EuriborSwapIfrFix25Y</v>
      </c>
      <c r="G31" s="56" t="str">
        <f>_xll.qlEuriborSwap($F31,FixingType,$C31,Currency&amp;$D31,Currency&amp;$E31,Permanent,Trigger,ObjectOverwrite)</f>
        <v>EuriborSwapIfrFix25Y#0002</v>
      </c>
      <c r="H31" s="55" t="str">
        <f>_xll.ohRangeRetrieveError(G31)</f>
        <v/>
      </c>
      <c r="I31" s="54"/>
    </row>
    <row r="32" spans="2:9" s="50" customFormat="1" x14ac:dyDescent="0.2">
      <c r="B32" s="60"/>
      <c r="C32" s="59" t="s">
        <v>91</v>
      </c>
      <c r="D32" s="58" t="s">
        <v>18</v>
      </c>
      <c r="E32" s="58" t="s">
        <v>23</v>
      </c>
      <c r="F32" s="57" t="str">
        <f t="shared" si="0"/>
        <v>EuriborSwapIfrFix26Y</v>
      </c>
      <c r="G32" s="56" t="str">
        <f>_xll.qlEuriborSwap($F32,FixingType,$C32,Currency&amp;$D32,Currency&amp;$E32,Permanent,Trigger,ObjectOverwrite)</f>
        <v>EuriborSwapIfrFix26Y#0002</v>
      </c>
      <c r="H32" s="55" t="str">
        <f>_xll.ohRangeRetrieveError(G32)</f>
        <v/>
      </c>
      <c r="I32" s="54"/>
    </row>
    <row r="33" spans="2:9" s="50" customFormat="1" x14ac:dyDescent="0.2">
      <c r="B33" s="60"/>
      <c r="C33" s="59" t="s">
        <v>90</v>
      </c>
      <c r="D33" s="58" t="s">
        <v>18</v>
      </c>
      <c r="E33" s="58" t="s">
        <v>23</v>
      </c>
      <c r="F33" s="57" t="str">
        <f t="shared" si="0"/>
        <v>EuriborSwapIfrFix27Y</v>
      </c>
      <c r="G33" s="56" t="str">
        <f>_xll.qlEuriborSwap($F33,FixingType,$C33,Currency&amp;$D33,Currency&amp;$E33,Permanent,Trigger,ObjectOverwrite)</f>
        <v>EuriborSwapIfrFix27Y#0002</v>
      </c>
      <c r="H33" s="55" t="str">
        <f>_xll.ohRangeRetrieveError(G33)</f>
        <v/>
      </c>
      <c r="I33" s="54"/>
    </row>
    <row r="34" spans="2:9" s="50" customFormat="1" x14ac:dyDescent="0.2">
      <c r="B34" s="60"/>
      <c r="C34" s="59" t="s">
        <v>89</v>
      </c>
      <c r="D34" s="58" t="s">
        <v>18</v>
      </c>
      <c r="E34" s="58" t="s">
        <v>23</v>
      </c>
      <c r="F34" s="57" t="str">
        <f t="shared" si="0"/>
        <v>EuriborSwapIfrFix28Y</v>
      </c>
      <c r="G34" s="56" t="str">
        <f>_xll.qlEuriborSwap($F34,FixingType,$C34,Currency&amp;$D34,Currency&amp;$E34,Permanent,Trigger,ObjectOverwrite)</f>
        <v>EuriborSwapIfrFix28Y#0002</v>
      </c>
      <c r="H34" s="55" t="str">
        <f>_xll.ohRangeRetrieveError(G34)</f>
        <v/>
      </c>
      <c r="I34" s="54"/>
    </row>
    <row r="35" spans="2:9" s="50" customFormat="1" x14ac:dyDescent="0.2">
      <c r="B35" s="60"/>
      <c r="C35" s="59" t="s">
        <v>88</v>
      </c>
      <c r="D35" s="58" t="s">
        <v>18</v>
      </c>
      <c r="E35" s="58" t="s">
        <v>23</v>
      </c>
      <c r="F35" s="57" t="str">
        <f t="shared" si="0"/>
        <v>EuriborSwapIfrFix29Y</v>
      </c>
      <c r="G35" s="56" t="str">
        <f>_xll.qlEuriborSwap($F35,FixingType,$C35,Currency&amp;$D35,Currency&amp;$E35,Permanent,Trigger,ObjectOverwrite)</f>
        <v>EuriborSwapIfrFix29Y#0002</v>
      </c>
      <c r="H35" s="55" t="str">
        <f>_xll.ohRangeRetrieveError(G35)</f>
        <v/>
      </c>
      <c r="I35" s="54"/>
    </row>
    <row r="36" spans="2:9" s="50" customFormat="1" x14ac:dyDescent="0.2">
      <c r="B36" s="60"/>
      <c r="C36" s="59" t="s">
        <v>87</v>
      </c>
      <c r="D36" s="58" t="s">
        <v>18</v>
      </c>
      <c r="E36" s="58" t="s">
        <v>23</v>
      </c>
      <c r="F36" s="57" t="str">
        <f t="shared" si="0"/>
        <v>EuriborSwapIfrFix30Y</v>
      </c>
      <c r="G36" s="56" t="str">
        <f>_xll.qlEuriborSwap($F36,FixingType,$C36,Currency&amp;$D36,Currency&amp;$E36,Permanent,Trigger,ObjectOverwrite)</f>
        <v>EuriborSwapIfrFix30Y#0002</v>
      </c>
      <c r="H36" s="55" t="str">
        <f>_xll.ohRangeRetrieveError(G36)</f>
        <v/>
      </c>
      <c r="I36" s="54"/>
    </row>
    <row r="37" spans="2:9" s="50" customFormat="1" x14ac:dyDescent="0.2">
      <c r="B37" s="60"/>
      <c r="C37" s="59" t="s">
        <v>86</v>
      </c>
      <c r="D37" s="58" t="s">
        <v>18</v>
      </c>
      <c r="E37" s="58" t="s">
        <v>23</v>
      </c>
      <c r="F37" s="57" t="str">
        <f t="shared" si="0"/>
        <v>EuriborSwapIfrFix31Y</v>
      </c>
      <c r="G37" s="56" t="str">
        <f>_xll.qlEuriborSwap($F37,FixingType,$C37,Currency&amp;$D37,Currency&amp;$E37,Permanent,Trigger,ObjectOverwrite)</f>
        <v>EuriborSwapIfrFix31Y#0002</v>
      </c>
      <c r="H37" s="55" t="str">
        <f>_xll.ohRangeRetrieveError(G37)</f>
        <v/>
      </c>
      <c r="I37" s="54"/>
    </row>
    <row r="38" spans="2:9" s="50" customFormat="1" x14ac:dyDescent="0.2">
      <c r="B38" s="60"/>
      <c r="C38" s="59" t="s">
        <v>85</v>
      </c>
      <c r="D38" s="58" t="s">
        <v>18</v>
      </c>
      <c r="E38" s="58" t="s">
        <v>23</v>
      </c>
      <c r="F38" s="57" t="str">
        <f t="shared" si="0"/>
        <v>EuriborSwapIfrFix32Y</v>
      </c>
      <c r="G38" s="56" t="str">
        <f>_xll.qlEuriborSwap($F38,FixingType,$C38,Currency&amp;$D38,Currency&amp;$E38,Permanent,Trigger,ObjectOverwrite)</f>
        <v>EuriborSwapIfrFix32Y#0002</v>
      </c>
      <c r="H38" s="55" t="str">
        <f>_xll.ohRangeRetrieveError(G38)</f>
        <v/>
      </c>
      <c r="I38" s="54"/>
    </row>
    <row r="39" spans="2:9" s="50" customFormat="1" x14ac:dyDescent="0.2">
      <c r="B39" s="60"/>
      <c r="C39" s="59" t="s">
        <v>84</v>
      </c>
      <c r="D39" s="58" t="s">
        <v>18</v>
      </c>
      <c r="E39" s="58" t="s">
        <v>23</v>
      </c>
      <c r="F39" s="57" t="str">
        <f t="shared" ref="F39:F66" si="1">PROPER(Currency)&amp;FamilyName&amp;FixingType&amp;$C39</f>
        <v>EuriborSwapIfrFix33Y</v>
      </c>
      <c r="G39" s="56" t="str">
        <f>_xll.qlEuriborSwap($F39,FixingType,$C39,Currency&amp;$D39,Currency&amp;$E39,Permanent,Trigger,ObjectOverwrite)</f>
        <v>EuriborSwapIfrFix33Y#0002</v>
      </c>
      <c r="H39" s="55" t="str">
        <f>_xll.ohRangeRetrieveError(G39)</f>
        <v/>
      </c>
      <c r="I39" s="54"/>
    </row>
    <row r="40" spans="2:9" s="50" customFormat="1" x14ac:dyDescent="0.2">
      <c r="B40" s="60"/>
      <c r="C40" s="59" t="s">
        <v>83</v>
      </c>
      <c r="D40" s="58" t="s">
        <v>18</v>
      </c>
      <c r="E40" s="58" t="s">
        <v>23</v>
      </c>
      <c r="F40" s="57" t="str">
        <f t="shared" si="1"/>
        <v>EuriborSwapIfrFix34Y</v>
      </c>
      <c r="G40" s="56" t="str">
        <f>_xll.qlEuriborSwap($F40,FixingType,$C40,Currency&amp;$D40,Currency&amp;$E40,Permanent,Trigger,ObjectOverwrite)</f>
        <v>EuriborSwapIfrFix34Y#0002</v>
      </c>
      <c r="H40" s="55" t="str">
        <f>_xll.ohRangeRetrieveError(G40)</f>
        <v/>
      </c>
      <c r="I40" s="54"/>
    </row>
    <row r="41" spans="2:9" s="50" customFormat="1" x14ac:dyDescent="0.2">
      <c r="B41" s="60"/>
      <c r="C41" s="59" t="s">
        <v>82</v>
      </c>
      <c r="D41" s="58" t="s">
        <v>18</v>
      </c>
      <c r="E41" s="58" t="s">
        <v>23</v>
      </c>
      <c r="F41" s="57" t="str">
        <f t="shared" si="1"/>
        <v>EuriborSwapIfrFix35Y</v>
      </c>
      <c r="G41" s="56" t="str">
        <f>_xll.qlEuriborSwap($F41,FixingType,$C41,Currency&amp;$D41,Currency&amp;$E41,Permanent,Trigger,ObjectOverwrite)</f>
        <v>EuriborSwapIfrFix35Y#0002</v>
      </c>
      <c r="H41" s="55" t="str">
        <f>_xll.ohRangeRetrieveError(G41)</f>
        <v/>
      </c>
      <c r="I41" s="54"/>
    </row>
    <row r="42" spans="2:9" s="50" customFormat="1" x14ac:dyDescent="0.2">
      <c r="B42" s="60"/>
      <c r="C42" s="59" t="s">
        <v>81</v>
      </c>
      <c r="D42" s="58" t="s">
        <v>18</v>
      </c>
      <c r="E42" s="58" t="s">
        <v>23</v>
      </c>
      <c r="F42" s="57" t="str">
        <f t="shared" si="1"/>
        <v>EuriborSwapIfrFix36Y</v>
      </c>
      <c r="G42" s="56" t="str">
        <f>_xll.qlEuriborSwap($F42,FixingType,$C42,Currency&amp;$D42,Currency&amp;$E42,Permanent,Trigger,ObjectOverwrite)</f>
        <v>EuriborSwapIfrFix36Y#0002</v>
      </c>
      <c r="H42" s="55" t="str">
        <f>_xll.ohRangeRetrieveError(G42)</f>
        <v/>
      </c>
      <c r="I42" s="54"/>
    </row>
    <row r="43" spans="2:9" s="50" customFormat="1" x14ac:dyDescent="0.2">
      <c r="B43" s="60"/>
      <c r="C43" s="59" t="s">
        <v>80</v>
      </c>
      <c r="D43" s="58" t="s">
        <v>18</v>
      </c>
      <c r="E43" s="58" t="s">
        <v>23</v>
      </c>
      <c r="F43" s="57" t="str">
        <f t="shared" si="1"/>
        <v>EuriborSwapIfrFix37Y</v>
      </c>
      <c r="G43" s="56" t="str">
        <f>_xll.qlEuriborSwap($F43,FixingType,$C43,Currency&amp;$D43,Currency&amp;$E43,Permanent,Trigger,ObjectOverwrite)</f>
        <v>EuriborSwapIfrFix37Y#0002</v>
      </c>
      <c r="H43" s="55" t="str">
        <f>_xll.ohRangeRetrieveError(G43)</f>
        <v/>
      </c>
      <c r="I43" s="54"/>
    </row>
    <row r="44" spans="2:9" s="50" customFormat="1" x14ac:dyDescent="0.2">
      <c r="B44" s="60"/>
      <c r="C44" s="59" t="s">
        <v>79</v>
      </c>
      <c r="D44" s="58" t="s">
        <v>18</v>
      </c>
      <c r="E44" s="58" t="s">
        <v>23</v>
      </c>
      <c r="F44" s="57" t="str">
        <f t="shared" si="1"/>
        <v>EuriborSwapIfrFix38Y</v>
      </c>
      <c r="G44" s="56" t="str">
        <f>_xll.qlEuriborSwap($F44,FixingType,$C44,Currency&amp;$D44,Currency&amp;$E44,Permanent,Trigger,ObjectOverwrite)</f>
        <v>EuriborSwapIfrFix38Y#0002</v>
      </c>
      <c r="H44" s="55" t="str">
        <f>_xll.ohRangeRetrieveError(G44)</f>
        <v/>
      </c>
      <c r="I44" s="54"/>
    </row>
    <row r="45" spans="2:9" s="50" customFormat="1" x14ac:dyDescent="0.2">
      <c r="B45" s="60"/>
      <c r="C45" s="59" t="s">
        <v>78</v>
      </c>
      <c r="D45" s="58" t="s">
        <v>18</v>
      </c>
      <c r="E45" s="58" t="s">
        <v>23</v>
      </c>
      <c r="F45" s="57" t="str">
        <f t="shared" si="1"/>
        <v>EuriborSwapIfrFix39Y</v>
      </c>
      <c r="G45" s="56" t="str">
        <f>_xll.qlEuriborSwap($F45,FixingType,$C45,Currency&amp;$D45,Currency&amp;$E45,Permanent,Trigger,ObjectOverwrite)</f>
        <v>EuriborSwapIfrFix39Y#0002</v>
      </c>
      <c r="H45" s="55" t="str">
        <f>_xll.ohRangeRetrieveError(G45)</f>
        <v/>
      </c>
      <c r="I45" s="54"/>
    </row>
    <row r="46" spans="2:9" s="50" customFormat="1" x14ac:dyDescent="0.2">
      <c r="B46" s="60"/>
      <c r="C46" s="59" t="s">
        <v>77</v>
      </c>
      <c r="D46" s="58" t="s">
        <v>18</v>
      </c>
      <c r="E46" s="58" t="s">
        <v>23</v>
      </c>
      <c r="F46" s="57" t="str">
        <f t="shared" si="1"/>
        <v>EuriborSwapIfrFix40Y</v>
      </c>
      <c r="G46" s="56" t="str">
        <f>_xll.qlEuriborSwap($F46,FixingType,$C46,Currency&amp;$D46,Currency&amp;$E46,Permanent,Trigger,ObjectOverwrite)</f>
        <v>EuriborSwapIfrFix40Y#0002</v>
      </c>
      <c r="H46" s="55" t="str">
        <f>_xll.ohRangeRetrieveError(G46)</f>
        <v/>
      </c>
      <c r="I46" s="54"/>
    </row>
    <row r="47" spans="2:9" s="50" customFormat="1" x14ac:dyDescent="0.2">
      <c r="B47" s="60"/>
      <c r="C47" s="59" t="s">
        <v>76</v>
      </c>
      <c r="D47" s="58" t="s">
        <v>18</v>
      </c>
      <c r="E47" s="58" t="s">
        <v>23</v>
      </c>
      <c r="F47" s="57" t="str">
        <f t="shared" si="1"/>
        <v>EuriborSwapIfrFix41Y</v>
      </c>
      <c r="G47" s="56" t="str">
        <f>_xll.qlEuriborSwap($F47,FixingType,$C47,Currency&amp;$D47,Currency&amp;$E47,Permanent,Trigger,ObjectOverwrite)</f>
        <v>EuriborSwapIfrFix41Y#0002</v>
      </c>
      <c r="H47" s="55" t="str">
        <f>_xll.ohRangeRetrieveError(G47)</f>
        <v/>
      </c>
      <c r="I47" s="54"/>
    </row>
    <row r="48" spans="2:9" s="50" customFormat="1" x14ac:dyDescent="0.2">
      <c r="B48" s="60"/>
      <c r="C48" s="59" t="s">
        <v>75</v>
      </c>
      <c r="D48" s="58" t="s">
        <v>18</v>
      </c>
      <c r="E48" s="58" t="s">
        <v>23</v>
      </c>
      <c r="F48" s="57" t="str">
        <f t="shared" si="1"/>
        <v>EuriborSwapIfrFix42Y</v>
      </c>
      <c r="G48" s="56" t="str">
        <f>_xll.qlEuriborSwap($F48,FixingType,$C48,Currency&amp;$D48,Currency&amp;$E48,Permanent,Trigger,ObjectOverwrite)</f>
        <v>EuriborSwapIfrFix42Y#0002</v>
      </c>
      <c r="H48" s="55" t="str">
        <f>_xll.ohRangeRetrieveError(G48)</f>
        <v/>
      </c>
      <c r="I48" s="54"/>
    </row>
    <row r="49" spans="2:9" s="50" customFormat="1" x14ac:dyDescent="0.2">
      <c r="B49" s="60"/>
      <c r="C49" s="59" t="s">
        <v>74</v>
      </c>
      <c r="D49" s="58" t="s">
        <v>18</v>
      </c>
      <c r="E49" s="58" t="s">
        <v>23</v>
      </c>
      <c r="F49" s="57" t="str">
        <f t="shared" si="1"/>
        <v>EuriborSwapIfrFix43Y</v>
      </c>
      <c r="G49" s="56" t="str">
        <f>_xll.qlEuriborSwap($F49,FixingType,$C49,Currency&amp;$D49,Currency&amp;$E49,Permanent,Trigger,ObjectOverwrite)</f>
        <v>EuriborSwapIfrFix43Y#0002</v>
      </c>
      <c r="H49" s="55" t="str">
        <f>_xll.ohRangeRetrieveError(G49)</f>
        <v/>
      </c>
      <c r="I49" s="54"/>
    </row>
    <row r="50" spans="2:9" s="50" customFormat="1" x14ac:dyDescent="0.2">
      <c r="B50" s="60"/>
      <c r="C50" s="59" t="s">
        <v>73</v>
      </c>
      <c r="D50" s="58" t="s">
        <v>18</v>
      </c>
      <c r="E50" s="58" t="s">
        <v>23</v>
      </c>
      <c r="F50" s="57" t="str">
        <f t="shared" si="1"/>
        <v>EuriborSwapIfrFix44Y</v>
      </c>
      <c r="G50" s="56" t="str">
        <f>_xll.qlEuriborSwap($F50,FixingType,$C50,Currency&amp;$D50,Currency&amp;$E50,Permanent,Trigger,ObjectOverwrite)</f>
        <v>EuriborSwapIfrFix44Y#0002</v>
      </c>
      <c r="H50" s="55" t="str">
        <f>_xll.ohRangeRetrieveError(G50)</f>
        <v/>
      </c>
      <c r="I50" s="54"/>
    </row>
    <row r="51" spans="2:9" s="50" customFormat="1" x14ac:dyDescent="0.2">
      <c r="B51" s="60"/>
      <c r="C51" s="59" t="s">
        <v>72</v>
      </c>
      <c r="D51" s="58" t="s">
        <v>18</v>
      </c>
      <c r="E51" s="58" t="s">
        <v>23</v>
      </c>
      <c r="F51" s="57" t="str">
        <f t="shared" si="1"/>
        <v>EuriborSwapIfrFix45Y</v>
      </c>
      <c r="G51" s="56" t="str">
        <f>_xll.qlEuriborSwap($F51,FixingType,$C51,Currency&amp;$D51,Currency&amp;$E51,Permanent,Trigger,ObjectOverwrite)</f>
        <v>EuriborSwapIfrFix45Y#0002</v>
      </c>
      <c r="H51" s="55" t="str">
        <f>_xll.ohRangeRetrieveError(G51)</f>
        <v/>
      </c>
      <c r="I51" s="54"/>
    </row>
    <row r="52" spans="2:9" s="50" customFormat="1" x14ac:dyDescent="0.2">
      <c r="B52" s="60"/>
      <c r="C52" s="59" t="s">
        <v>71</v>
      </c>
      <c r="D52" s="58" t="s">
        <v>18</v>
      </c>
      <c r="E52" s="58" t="s">
        <v>23</v>
      </c>
      <c r="F52" s="57" t="str">
        <f t="shared" si="1"/>
        <v>EuriborSwapIfrFix46Y</v>
      </c>
      <c r="G52" s="56" t="str">
        <f>_xll.qlEuriborSwap($F52,FixingType,$C52,Currency&amp;$D52,Currency&amp;$E52,Permanent,Trigger,ObjectOverwrite)</f>
        <v>EuriborSwapIfrFix46Y#0002</v>
      </c>
      <c r="H52" s="55" t="str">
        <f>_xll.ohRangeRetrieveError(G52)</f>
        <v/>
      </c>
      <c r="I52" s="54"/>
    </row>
    <row r="53" spans="2:9" s="50" customFormat="1" x14ac:dyDescent="0.2">
      <c r="B53" s="60"/>
      <c r="C53" s="59" t="s">
        <v>70</v>
      </c>
      <c r="D53" s="58" t="s">
        <v>18</v>
      </c>
      <c r="E53" s="58" t="s">
        <v>23</v>
      </c>
      <c r="F53" s="57" t="str">
        <f t="shared" si="1"/>
        <v>EuriborSwapIfrFix47Y</v>
      </c>
      <c r="G53" s="56" t="str">
        <f>_xll.qlEuriborSwap($F53,FixingType,$C53,Currency&amp;$D53,Currency&amp;$E53,Permanent,Trigger,ObjectOverwrite)</f>
        <v>EuriborSwapIfrFix47Y#0002</v>
      </c>
      <c r="H53" s="55" t="str">
        <f>_xll.ohRangeRetrieveError(G53)</f>
        <v/>
      </c>
      <c r="I53" s="54"/>
    </row>
    <row r="54" spans="2:9" s="50" customFormat="1" x14ac:dyDescent="0.2">
      <c r="B54" s="60"/>
      <c r="C54" s="59" t="s">
        <v>69</v>
      </c>
      <c r="D54" s="58" t="s">
        <v>18</v>
      </c>
      <c r="E54" s="58" t="s">
        <v>23</v>
      </c>
      <c r="F54" s="57" t="str">
        <f t="shared" si="1"/>
        <v>EuriborSwapIfrFix48Y</v>
      </c>
      <c r="G54" s="56" t="str">
        <f>_xll.qlEuriborSwap($F54,FixingType,$C54,Currency&amp;$D54,Currency&amp;$E54,Permanent,Trigger,ObjectOverwrite)</f>
        <v>EuriborSwapIfrFix48Y#0002</v>
      </c>
      <c r="H54" s="55" t="str">
        <f>_xll.ohRangeRetrieveError(G54)</f>
        <v/>
      </c>
      <c r="I54" s="54"/>
    </row>
    <row r="55" spans="2:9" s="50" customFormat="1" x14ac:dyDescent="0.2">
      <c r="B55" s="60"/>
      <c r="C55" s="59" t="s">
        <v>68</v>
      </c>
      <c r="D55" s="58" t="s">
        <v>18</v>
      </c>
      <c r="E55" s="58" t="s">
        <v>23</v>
      </c>
      <c r="F55" s="57" t="str">
        <f t="shared" si="1"/>
        <v>EuriborSwapIfrFix49Y</v>
      </c>
      <c r="G55" s="56" t="str">
        <f>_xll.qlEuriborSwap($F55,FixingType,$C55,Currency&amp;$D55,Currency&amp;$E55,Permanent,Trigger,ObjectOverwrite)</f>
        <v>EuriborSwapIfrFix49Y#0002</v>
      </c>
      <c r="H55" s="55" t="str">
        <f>_xll.ohRangeRetrieveError(G55)</f>
        <v/>
      </c>
      <c r="I55" s="54"/>
    </row>
    <row r="56" spans="2:9" s="50" customFormat="1" x14ac:dyDescent="0.2">
      <c r="B56" s="60"/>
      <c r="C56" s="59" t="s">
        <v>67</v>
      </c>
      <c r="D56" s="58" t="s">
        <v>18</v>
      </c>
      <c r="E56" s="58" t="s">
        <v>23</v>
      </c>
      <c r="F56" s="57" t="str">
        <f t="shared" si="1"/>
        <v>EuriborSwapIfrFix50Y</v>
      </c>
      <c r="G56" s="56" t="str">
        <f>_xll.qlEuriborSwap($F56,FixingType,$C56,Currency&amp;$D56,Currency&amp;$E56,Permanent,Trigger,ObjectOverwrite)</f>
        <v>EuriborSwapIfrFix50Y#0002</v>
      </c>
      <c r="H56" s="55" t="str">
        <f>_xll.ohRangeRetrieveError(G56)</f>
        <v/>
      </c>
      <c r="I56" s="54"/>
    </row>
    <row r="57" spans="2:9" s="50" customFormat="1" x14ac:dyDescent="0.2">
      <c r="B57" s="60"/>
      <c r="C57" s="59" t="s">
        <v>66</v>
      </c>
      <c r="D57" s="58" t="s">
        <v>18</v>
      </c>
      <c r="E57" s="58" t="s">
        <v>23</v>
      </c>
      <c r="F57" s="57" t="str">
        <f t="shared" si="1"/>
        <v>EuriborSwapIfrFix51Y</v>
      </c>
      <c r="G57" s="56" t="str">
        <f>_xll.qlEuriborSwap($F57,FixingType,$C57,Currency&amp;$D57,Currency&amp;$E57,Permanent,Trigger,ObjectOverwrite)</f>
        <v>EuriborSwapIfrFix51Y#0002</v>
      </c>
      <c r="H57" s="55" t="str">
        <f>_xll.ohRangeRetrieveError(G57)</f>
        <v/>
      </c>
      <c r="I57" s="54"/>
    </row>
    <row r="58" spans="2:9" s="50" customFormat="1" x14ac:dyDescent="0.2">
      <c r="B58" s="60"/>
      <c r="C58" s="59" t="s">
        <v>65</v>
      </c>
      <c r="D58" s="58" t="s">
        <v>18</v>
      </c>
      <c r="E58" s="58" t="s">
        <v>23</v>
      </c>
      <c r="F58" s="57" t="str">
        <f t="shared" si="1"/>
        <v>EuriborSwapIfrFix52Y</v>
      </c>
      <c r="G58" s="56" t="str">
        <f>_xll.qlEuriborSwap($F58,FixingType,$C58,Currency&amp;$D58,Currency&amp;$E58,Permanent,Trigger,ObjectOverwrite)</f>
        <v>EuriborSwapIfrFix52Y#0002</v>
      </c>
      <c r="H58" s="55" t="str">
        <f>_xll.ohRangeRetrieveError(G58)</f>
        <v/>
      </c>
      <c r="I58" s="54"/>
    </row>
    <row r="59" spans="2:9" s="50" customFormat="1" x14ac:dyDescent="0.2">
      <c r="B59" s="60"/>
      <c r="C59" s="59" t="s">
        <v>64</v>
      </c>
      <c r="D59" s="58" t="s">
        <v>18</v>
      </c>
      <c r="E59" s="58" t="s">
        <v>23</v>
      </c>
      <c r="F59" s="57" t="str">
        <f t="shared" si="1"/>
        <v>EuriborSwapIfrFix53Y</v>
      </c>
      <c r="G59" s="56" t="str">
        <f>_xll.qlEuriborSwap($F59,FixingType,$C59,Currency&amp;$D59,Currency&amp;$E59,Permanent,Trigger,ObjectOverwrite)</f>
        <v>EuriborSwapIfrFix53Y#0002</v>
      </c>
      <c r="H59" s="55" t="str">
        <f>_xll.ohRangeRetrieveError(G59)</f>
        <v/>
      </c>
      <c r="I59" s="54"/>
    </row>
    <row r="60" spans="2:9" s="50" customFormat="1" x14ac:dyDescent="0.2">
      <c r="B60" s="60"/>
      <c r="C60" s="59" t="s">
        <v>63</v>
      </c>
      <c r="D60" s="58" t="s">
        <v>18</v>
      </c>
      <c r="E60" s="58" t="s">
        <v>23</v>
      </c>
      <c r="F60" s="57" t="str">
        <f t="shared" si="1"/>
        <v>EuriborSwapIfrFix54Y</v>
      </c>
      <c r="G60" s="56" t="str">
        <f>_xll.qlEuriborSwap($F60,FixingType,$C60,Currency&amp;$D60,Currency&amp;$E60,Permanent,Trigger,ObjectOverwrite)</f>
        <v>EuriborSwapIfrFix54Y#0002</v>
      </c>
      <c r="H60" s="55" t="str">
        <f>_xll.ohRangeRetrieveError(G60)</f>
        <v/>
      </c>
      <c r="I60" s="54"/>
    </row>
    <row r="61" spans="2:9" s="50" customFormat="1" x14ac:dyDescent="0.2">
      <c r="B61" s="60"/>
      <c r="C61" s="59" t="s">
        <v>62</v>
      </c>
      <c r="D61" s="58" t="s">
        <v>18</v>
      </c>
      <c r="E61" s="58" t="s">
        <v>23</v>
      </c>
      <c r="F61" s="57" t="str">
        <f t="shared" si="1"/>
        <v>EuriborSwapIfrFix55Y</v>
      </c>
      <c r="G61" s="56" t="str">
        <f>_xll.qlEuriborSwap($F61,FixingType,$C61,Currency&amp;$D61,Currency&amp;$E61,Permanent,Trigger,ObjectOverwrite)</f>
        <v>EuriborSwapIfrFix55Y#0002</v>
      </c>
      <c r="H61" s="55" t="str">
        <f>_xll.ohRangeRetrieveError(G61)</f>
        <v/>
      </c>
      <c r="I61" s="54"/>
    </row>
    <row r="62" spans="2:9" s="50" customFormat="1" x14ac:dyDescent="0.2">
      <c r="B62" s="60"/>
      <c r="C62" s="59" t="s">
        <v>61</v>
      </c>
      <c r="D62" s="58" t="s">
        <v>18</v>
      </c>
      <c r="E62" s="58" t="s">
        <v>23</v>
      </c>
      <c r="F62" s="57" t="str">
        <f t="shared" si="1"/>
        <v>EuriborSwapIfrFix56Y</v>
      </c>
      <c r="G62" s="56" t="str">
        <f>_xll.qlEuriborSwap($F62,FixingType,$C62,Currency&amp;$D62,Currency&amp;$E62,Permanent,Trigger,ObjectOverwrite)</f>
        <v>EuriborSwapIfrFix56Y#0002</v>
      </c>
      <c r="H62" s="55" t="str">
        <f>_xll.ohRangeRetrieveError(G62)</f>
        <v/>
      </c>
      <c r="I62" s="54"/>
    </row>
    <row r="63" spans="2:9" s="50" customFormat="1" x14ac:dyDescent="0.2">
      <c r="B63" s="60"/>
      <c r="C63" s="59" t="s">
        <v>60</v>
      </c>
      <c r="D63" s="58" t="s">
        <v>18</v>
      </c>
      <c r="E63" s="58" t="s">
        <v>23</v>
      </c>
      <c r="F63" s="57" t="str">
        <f t="shared" si="1"/>
        <v>EuriborSwapIfrFix57Y</v>
      </c>
      <c r="G63" s="56" t="str">
        <f>_xll.qlEuriborSwap($F63,FixingType,$C63,Currency&amp;$D63,Currency&amp;$E63,Permanent,Trigger,ObjectOverwrite)</f>
        <v>EuriborSwapIfrFix57Y#0002</v>
      </c>
      <c r="H63" s="55" t="str">
        <f>_xll.ohRangeRetrieveError(G63)</f>
        <v/>
      </c>
      <c r="I63" s="54"/>
    </row>
    <row r="64" spans="2:9" s="50" customFormat="1" x14ac:dyDescent="0.2">
      <c r="B64" s="60"/>
      <c r="C64" s="59" t="s">
        <v>59</v>
      </c>
      <c r="D64" s="58" t="s">
        <v>18</v>
      </c>
      <c r="E64" s="58" t="s">
        <v>23</v>
      </c>
      <c r="F64" s="57" t="str">
        <f t="shared" si="1"/>
        <v>EuriborSwapIfrFix58Y</v>
      </c>
      <c r="G64" s="56" t="str">
        <f>_xll.qlEuriborSwap($F64,FixingType,$C64,Currency&amp;$D64,Currency&amp;$E64,Permanent,Trigger,ObjectOverwrite)</f>
        <v>EuriborSwapIfrFix58Y#0002</v>
      </c>
      <c r="H64" s="55" t="str">
        <f>_xll.ohRangeRetrieveError(G64)</f>
        <v/>
      </c>
      <c r="I64" s="54"/>
    </row>
    <row r="65" spans="2:9" s="50" customFormat="1" x14ac:dyDescent="0.2">
      <c r="B65" s="60"/>
      <c r="C65" s="59" t="s">
        <v>58</v>
      </c>
      <c r="D65" s="58" t="s">
        <v>18</v>
      </c>
      <c r="E65" s="58" t="s">
        <v>23</v>
      </c>
      <c r="F65" s="57" t="str">
        <f t="shared" si="1"/>
        <v>EuriborSwapIfrFix59Y</v>
      </c>
      <c r="G65" s="56" t="str">
        <f>_xll.qlEuriborSwap($F65,FixingType,$C65,Currency&amp;$D65,Currency&amp;$E65,Permanent,Trigger,ObjectOverwrite)</f>
        <v>EuriborSwapIfrFix59Y#0002</v>
      </c>
      <c r="H65" s="55" t="str">
        <f>_xll.ohRangeRetrieveError(G65)</f>
        <v/>
      </c>
      <c r="I65" s="54"/>
    </row>
    <row r="66" spans="2:9" s="50" customFormat="1" x14ac:dyDescent="0.2">
      <c r="B66" s="60"/>
      <c r="C66" s="59" t="s">
        <v>57</v>
      </c>
      <c r="D66" s="58" t="s">
        <v>18</v>
      </c>
      <c r="E66" s="58" t="s">
        <v>23</v>
      </c>
      <c r="F66" s="57" t="str">
        <f t="shared" si="1"/>
        <v>EuriborSwapIfrFix60Y</v>
      </c>
      <c r="G66" s="56" t="str">
        <f>_xll.qlEuriborSwap($F66,FixingType,$C66,Currency&amp;$D66,Currency&amp;$E66,Permanent,Trigger,ObjectOverwrite)</f>
        <v>EuriborSwapIfrFix60Y#0002</v>
      </c>
      <c r="H66" s="55" t="str">
        <f>_xll.ohRangeRetrieveError(G66)</f>
        <v/>
      </c>
      <c r="I66" s="54"/>
    </row>
    <row r="67" spans="2:9" s="50" customFormat="1" ht="12" thickBot="1" x14ac:dyDescent="0.25">
      <c r="B67" s="53"/>
      <c r="C67" s="52"/>
      <c r="D67" s="52"/>
      <c r="E67" s="52"/>
      <c r="F67" s="52"/>
      <c r="G67" s="52"/>
      <c r="H67" s="52"/>
      <c r="I67" s="51"/>
    </row>
    <row r="68" spans="2:9" s="50" customFormat="1" x14ac:dyDescent="0.2"/>
  </sheetData>
  <pageMargins left="0.75" right="0.75" top="1" bottom="1" header="0.5" footer="0.5"/>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E11"/>
  <sheetViews>
    <sheetView workbookViewId="0"/>
  </sheetViews>
  <sheetFormatPr defaultColWidth="8" defaultRowHeight="11.25" x14ac:dyDescent="0.2"/>
  <cols>
    <col min="1" max="1" width="6.140625" style="26" customWidth="1"/>
    <col min="2" max="2" width="4.28515625" style="26" customWidth="1"/>
    <col min="3" max="3" width="15.5703125" style="26" bestFit="1" customWidth="1"/>
    <col min="4" max="4" width="75.42578125" style="26" bestFit="1" customWidth="1"/>
    <col min="5" max="5" width="4.7109375" style="26" customWidth="1"/>
    <col min="6" max="6" width="35.28515625" style="26" customWidth="1"/>
    <col min="7" max="7" width="4.28515625" style="26" customWidth="1"/>
    <col min="8" max="16384" width="8" style="26"/>
  </cols>
  <sheetData>
    <row r="1" spans="1:5" ht="13.5" thickBot="1" x14ac:dyDescent="0.25">
      <c r="A1" s="26" t="s">
        <v>124</v>
      </c>
      <c r="B1" s="73" t="str">
        <f>_xll.qlxlVersion(TRUE,Trigger)</f>
        <v>QuantLibXL 1.3.0 - MS VC++ 9.0 - Multithreaded Static Runtime library - Release Configuration - Dec  5 2013 11:03:51</v>
      </c>
    </row>
    <row r="2" spans="1:5" s="1" customFormat="1" ht="15.75" x14ac:dyDescent="0.25">
      <c r="A2" s="23"/>
      <c r="B2" s="452" t="s">
        <v>32</v>
      </c>
      <c r="C2" s="453"/>
      <c r="D2" s="453"/>
      <c r="E2" s="454"/>
    </row>
    <row r="3" spans="1:5" s="1" customFormat="1" ht="12.75" x14ac:dyDescent="0.2">
      <c r="A3" s="23"/>
      <c r="B3" s="9"/>
      <c r="C3" s="13"/>
      <c r="D3" s="13"/>
      <c r="E3" s="5"/>
    </row>
    <row r="4" spans="1:5" s="1" customFormat="1" ht="12.75" x14ac:dyDescent="0.2">
      <c r="A4" s="23"/>
      <c r="B4" s="9"/>
      <c r="C4" s="16" t="s">
        <v>31</v>
      </c>
      <c r="D4" s="15"/>
      <c r="E4" s="14"/>
    </row>
    <row r="5" spans="1:5" s="1" customFormat="1" ht="12.75" x14ac:dyDescent="0.2">
      <c r="A5" s="23"/>
      <c r="B5" s="9"/>
      <c r="C5" s="16" t="s">
        <v>25</v>
      </c>
      <c r="D5" s="41" t="s">
        <v>123</v>
      </c>
      <c r="E5" s="14"/>
    </row>
    <row r="6" spans="1:5" s="1" customFormat="1" ht="12.75" x14ac:dyDescent="0.2">
      <c r="A6" s="23"/>
      <c r="B6" s="9"/>
      <c r="C6" s="16" t="s">
        <v>30</v>
      </c>
      <c r="D6" s="15" t="b">
        <v>1</v>
      </c>
      <c r="E6" s="14"/>
    </row>
    <row r="7" spans="1:5" s="1" customFormat="1" ht="12.75" x14ac:dyDescent="0.2">
      <c r="A7" s="23"/>
      <c r="B7" s="9"/>
      <c r="C7" s="16" t="s">
        <v>29</v>
      </c>
      <c r="D7" s="15" t="b">
        <v>0</v>
      </c>
      <c r="E7" s="14"/>
    </row>
    <row r="8" spans="1:5" s="1" customFormat="1" ht="12.75" x14ac:dyDescent="0.2">
      <c r="A8" s="23"/>
      <c r="B8" s="9"/>
      <c r="C8" s="16" t="s">
        <v>28</v>
      </c>
      <c r="D8" s="15" t="b">
        <v>1</v>
      </c>
      <c r="E8" s="14"/>
    </row>
    <row r="9" spans="1:5" s="1" customFormat="1" ht="12.75" x14ac:dyDescent="0.2">
      <c r="A9" s="23"/>
      <c r="B9" s="9"/>
      <c r="C9" s="16" t="s">
        <v>27</v>
      </c>
      <c r="D9" s="25" t="str">
        <f ca="1">SUBSTITUTE(LEFT(CELL("filename",A1),FIND("[",CELL("filename",A1),1)-1),"\XLS\","\XML\")</f>
        <v>C:\Users\erik\Documents\repos\quantlib_nando\QuantLibXL\Data2\XML\</v>
      </c>
      <c r="E9" s="14"/>
    </row>
    <row r="10" spans="1:5" s="1" customFormat="1" ht="12.75" x14ac:dyDescent="0.2">
      <c r="A10" s="23"/>
      <c r="B10" s="9"/>
      <c r="C10" s="16" t="s">
        <v>26</v>
      </c>
      <c r="D10" s="24" t="b">
        <v>1</v>
      </c>
      <c r="E10" s="14"/>
    </row>
    <row r="11" spans="1:5" s="1" customFormat="1" ht="13.5" thickBot="1" x14ac:dyDescent="0.25">
      <c r="A11" s="23"/>
      <c r="B11" s="4"/>
      <c r="C11" s="3"/>
      <c r="D11" s="3"/>
      <c r="E11" s="2"/>
    </row>
  </sheetData>
  <mergeCells count="1">
    <mergeCell ref="B2:E2"/>
  </mergeCells>
  <dataValidations count="1">
    <dataValidation type="list" allowBlank="1" showInputMessage="1" showErrorMessage="1" sqref="D5">
      <formula1>"EUR,USD,GBP,JPY,CHF"</formula1>
    </dataValidation>
  </dataValidations>
  <pageMargins left="0.75" right="0.75" top="1" bottom="1" header="0.5" footer="0.5"/>
  <pageSetup paperSize="9"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H22"/>
  <sheetViews>
    <sheetView workbookViewId="0"/>
  </sheetViews>
  <sheetFormatPr defaultRowHeight="12.75" x14ac:dyDescent="0.2"/>
  <cols>
    <col min="1" max="1" width="3.140625" style="1" customWidth="1"/>
    <col min="2" max="2" width="4" style="1" bestFit="1" customWidth="1"/>
    <col min="3" max="3" width="5.5703125" style="1" bestFit="1" customWidth="1"/>
    <col min="4" max="4" width="9.28515625" style="1" bestFit="1" customWidth="1"/>
    <col min="5" max="5" width="9.7109375" style="1" bestFit="1" customWidth="1"/>
    <col min="6" max="6" width="14.140625" style="1" bestFit="1" customWidth="1"/>
    <col min="7" max="7" width="54.7109375" style="1" customWidth="1"/>
    <col min="8" max="16384" width="9.140625" style="1"/>
  </cols>
  <sheetData>
    <row r="1" spans="1:8" s="26" customFormat="1" ht="12" thickBot="1" x14ac:dyDescent="0.25">
      <c r="A1" s="26" t="s">
        <v>128</v>
      </c>
    </row>
    <row r="2" spans="1:8" s="26" customFormat="1" x14ac:dyDescent="0.2">
      <c r="B2" s="46"/>
      <c r="C2" s="45"/>
      <c r="D2" s="45"/>
      <c r="E2" s="44"/>
      <c r="F2" s="43"/>
      <c r="G2" s="43"/>
      <c r="H2" s="42"/>
    </row>
    <row r="3" spans="1:8" s="26" customFormat="1" x14ac:dyDescent="0.2">
      <c r="B3" s="31"/>
      <c r="C3" s="40"/>
      <c r="D3" s="40"/>
      <c r="E3" s="16" t="s">
        <v>54</v>
      </c>
      <c r="F3" s="41" t="s">
        <v>126</v>
      </c>
      <c r="G3" s="39"/>
      <c r="H3" s="32"/>
    </row>
    <row r="4" spans="1:8" s="26" customFormat="1" x14ac:dyDescent="0.2">
      <c r="B4" s="31"/>
      <c r="C4" s="40"/>
      <c r="D4" s="40"/>
      <c r="E4" s="39"/>
      <c r="F4" s="39"/>
      <c r="G4" s="39"/>
      <c r="H4" s="32"/>
    </row>
    <row r="5" spans="1:8" s="26" customFormat="1" x14ac:dyDescent="0.2">
      <c r="B5" s="31"/>
      <c r="C5" s="38" t="s">
        <v>52</v>
      </c>
      <c r="D5" s="65" t="s">
        <v>117</v>
      </c>
      <c r="E5" s="36" t="str">
        <f>PROPER(Currency)&amp;FamilyName&amp;".xml"</f>
        <v>EurLibor.xml</v>
      </c>
      <c r="F5" s="10">
        <f ca="1">IF(Serialize,_xll.ohObjectSave(F6:F20,SerializationPath&amp;FileName,FileOverwrite,,Serialize),"---")</f>
        <v>15</v>
      </c>
      <c r="G5" s="7" t="str">
        <f ca="1">_xll.ohRangeRetrieveError(F5)</f>
        <v/>
      </c>
      <c r="H5" s="32"/>
    </row>
    <row r="6" spans="1:8" s="26" customFormat="1" x14ac:dyDescent="0.2">
      <c r="B6" s="31"/>
      <c r="C6" s="49" t="s">
        <v>125</v>
      </c>
      <c r="D6" s="48" t="s">
        <v>21</v>
      </c>
      <c r="E6" s="47" t="str">
        <f t="shared" ref="E6:E20" si="0">PROPER(Currency)&amp;FamilyName&amp;$C6</f>
        <v>EurLiborON</v>
      </c>
      <c r="F6" s="27" t="str">
        <f>_xll.qlLibor($E6,Currency,$C6,Currency&amp;$D6,Permanent,Trigger,ObjectOverwrite)</f>
        <v>EurLiborON#0002</v>
      </c>
      <c r="G6" s="7" t="str">
        <f>_xll.ohRangeRetrieveError(F6)</f>
        <v/>
      </c>
      <c r="H6" s="5"/>
    </row>
    <row r="7" spans="1:8" s="26" customFormat="1" x14ac:dyDescent="0.2">
      <c r="B7" s="31"/>
      <c r="C7" s="49" t="s">
        <v>48</v>
      </c>
      <c r="D7" s="48" t="s">
        <v>21</v>
      </c>
      <c r="E7" s="47" t="str">
        <f t="shared" si="0"/>
        <v>EurLiborSW</v>
      </c>
      <c r="F7" s="27" t="str">
        <f>_xll.qlLibor($E7,Currency,$C7,Currency&amp;$D7,Permanent,Trigger,ObjectOverwrite)</f>
        <v>EurLiborSW#0002</v>
      </c>
      <c r="G7" s="7" t="str">
        <f>_xll.ohRangeRetrieveError(F7)</f>
        <v/>
      </c>
      <c r="H7" s="5"/>
    </row>
    <row r="8" spans="1:8" s="26" customFormat="1" x14ac:dyDescent="0.2">
      <c r="B8" s="31"/>
      <c r="C8" s="49" t="s">
        <v>47</v>
      </c>
      <c r="D8" s="48" t="s">
        <v>21</v>
      </c>
      <c r="E8" s="47" t="str">
        <f t="shared" si="0"/>
        <v>EurLibor2W</v>
      </c>
      <c r="F8" s="27" t="str">
        <f>_xll.qlLibor($E8,Currency,$C8,Currency&amp;$D8,Permanent,Trigger,ObjectOverwrite)</f>
        <v>EurLibor2W#0002</v>
      </c>
      <c r="G8" s="7" t="str">
        <f>_xll.ohRangeRetrieveError(F8)</f>
        <v/>
      </c>
      <c r="H8" s="5"/>
    </row>
    <row r="9" spans="1:8" s="26" customFormat="1" x14ac:dyDescent="0.2">
      <c r="B9" s="31"/>
      <c r="C9" s="49" t="s">
        <v>45</v>
      </c>
      <c r="D9" s="48" t="s">
        <v>20</v>
      </c>
      <c r="E9" s="47" t="str">
        <f t="shared" si="0"/>
        <v>EurLibor1M</v>
      </c>
      <c r="F9" s="27" t="str">
        <f>_xll.qlLibor($E9,Currency,$C9,Currency&amp;$D9,Permanent,Trigger,ObjectOverwrite)</f>
        <v>EurLibor1M#0002</v>
      </c>
      <c r="G9" s="7" t="str">
        <f>_xll.ohRangeRetrieveError(F9)</f>
        <v/>
      </c>
      <c r="H9" s="5"/>
    </row>
    <row r="10" spans="1:8" s="26" customFormat="1" x14ac:dyDescent="0.2">
      <c r="B10" s="31"/>
      <c r="C10" s="49" t="s">
        <v>44</v>
      </c>
      <c r="D10" s="48" t="s">
        <v>19</v>
      </c>
      <c r="E10" s="47" t="str">
        <f t="shared" si="0"/>
        <v>EurLibor2M</v>
      </c>
      <c r="F10" s="27" t="str">
        <f>_xll.qlLibor($E10,Currency,$C10,Currency&amp;$D10,Permanent,Trigger,ObjectOverwrite)</f>
        <v>EurLibor2M#0002</v>
      </c>
      <c r="G10" s="7" t="str">
        <f>_xll.ohRangeRetrieveError(F10)</f>
        <v/>
      </c>
      <c r="H10" s="5"/>
    </row>
    <row r="11" spans="1:8" s="26" customFormat="1" x14ac:dyDescent="0.2">
      <c r="B11" s="31"/>
      <c r="C11" s="49" t="s">
        <v>43</v>
      </c>
      <c r="D11" s="48" t="s">
        <v>19</v>
      </c>
      <c r="E11" s="47" t="str">
        <f t="shared" si="0"/>
        <v>EurLibor3M</v>
      </c>
      <c r="F11" s="27" t="str">
        <f>_xll.qlLibor($E11,Currency,$C11,Currency&amp;$D11,Permanent,Trigger,ObjectOverwrite)</f>
        <v>EurLibor3M#0002</v>
      </c>
      <c r="G11" s="7" t="str">
        <f>_xll.ohRangeRetrieveError(F11)</f>
        <v/>
      </c>
      <c r="H11" s="5"/>
    </row>
    <row r="12" spans="1:8" s="26" customFormat="1" x14ac:dyDescent="0.2">
      <c r="B12" s="31"/>
      <c r="C12" s="49" t="s">
        <v>42</v>
      </c>
      <c r="D12" s="48" t="s">
        <v>19</v>
      </c>
      <c r="E12" s="47" t="str">
        <f t="shared" si="0"/>
        <v>EurLibor4M</v>
      </c>
      <c r="F12" s="27" t="str">
        <f>_xll.qlLibor($E12,Currency,$C12,Currency&amp;$D12,Permanent,Trigger,ObjectOverwrite)</f>
        <v>EurLibor4M#0002</v>
      </c>
      <c r="G12" s="7" t="str">
        <f>_xll.ohRangeRetrieveError(F12)</f>
        <v/>
      </c>
      <c r="H12" s="5"/>
    </row>
    <row r="13" spans="1:8" s="26" customFormat="1" x14ac:dyDescent="0.2">
      <c r="B13" s="31"/>
      <c r="C13" s="49" t="s">
        <v>41</v>
      </c>
      <c r="D13" s="48" t="s">
        <v>18</v>
      </c>
      <c r="E13" s="47" t="str">
        <f t="shared" si="0"/>
        <v>EurLibor5M</v>
      </c>
      <c r="F13" s="27" t="str">
        <f>_xll.qlLibor($E13,Currency,$C13,Currency&amp;$D13,Permanent,Trigger,ObjectOverwrite)</f>
        <v>EurLibor5M#0002</v>
      </c>
      <c r="G13" s="7" t="str">
        <f>_xll.ohRangeRetrieveError(F13)</f>
        <v/>
      </c>
      <c r="H13" s="5"/>
    </row>
    <row r="14" spans="1:8" s="26" customFormat="1" x14ac:dyDescent="0.2">
      <c r="B14" s="31"/>
      <c r="C14" s="49" t="s">
        <v>40</v>
      </c>
      <c r="D14" s="48" t="s">
        <v>18</v>
      </c>
      <c r="E14" s="47" t="str">
        <f t="shared" si="0"/>
        <v>EurLibor6M</v>
      </c>
      <c r="F14" s="27" t="str">
        <f>_xll.qlLibor($E14,Currency,$C14,Currency&amp;$D14,Permanent,Trigger,ObjectOverwrite)</f>
        <v>EurLibor6M#0002</v>
      </c>
      <c r="G14" s="7" t="str">
        <f>_xll.ohRangeRetrieveError(F14)</f>
        <v/>
      </c>
      <c r="H14" s="5"/>
    </row>
    <row r="15" spans="1:8" s="26" customFormat="1" x14ac:dyDescent="0.2">
      <c r="B15" s="31"/>
      <c r="C15" s="49" t="s">
        <v>39</v>
      </c>
      <c r="D15" s="48" t="s">
        <v>18</v>
      </c>
      <c r="E15" s="47" t="str">
        <f t="shared" si="0"/>
        <v>EurLibor7M</v>
      </c>
      <c r="F15" s="27" t="str">
        <f>_xll.qlLibor($E15,Currency,$C15,Currency&amp;$D15,Permanent,Trigger,ObjectOverwrite)</f>
        <v>EurLibor7M#0002</v>
      </c>
      <c r="G15" s="7" t="str">
        <f>_xll.ohRangeRetrieveError(F15)</f>
        <v/>
      </c>
      <c r="H15" s="5"/>
    </row>
    <row r="16" spans="1:8" s="26" customFormat="1" x14ac:dyDescent="0.2">
      <c r="B16" s="31"/>
      <c r="C16" s="49" t="s">
        <v>38</v>
      </c>
      <c r="D16" s="48" t="s">
        <v>18</v>
      </c>
      <c r="E16" s="47" t="str">
        <f t="shared" si="0"/>
        <v>EurLibor8M</v>
      </c>
      <c r="F16" s="27" t="str">
        <f>_xll.qlLibor($E16,Currency,$C16,Currency&amp;$D16,Permanent,Trigger,ObjectOverwrite)</f>
        <v>EurLibor8M#0002</v>
      </c>
      <c r="G16" s="7" t="str">
        <f>_xll.ohRangeRetrieveError(F16)</f>
        <v/>
      </c>
      <c r="H16" s="5"/>
    </row>
    <row r="17" spans="2:8" s="26" customFormat="1" x14ac:dyDescent="0.2">
      <c r="B17" s="31"/>
      <c r="C17" s="49" t="s">
        <v>37</v>
      </c>
      <c r="D17" s="48" t="s">
        <v>17</v>
      </c>
      <c r="E17" s="47" t="str">
        <f t="shared" si="0"/>
        <v>EurLibor9M</v>
      </c>
      <c r="F17" s="27" t="str">
        <f>_xll.qlLibor($E17,Currency,$C17,Currency&amp;$D17,Permanent,Trigger,ObjectOverwrite)</f>
        <v>EurLibor9M#0002</v>
      </c>
      <c r="G17" s="7" t="str">
        <f>_xll.ohRangeRetrieveError(F17)</f>
        <v/>
      </c>
      <c r="H17" s="5"/>
    </row>
    <row r="18" spans="2:8" s="26" customFormat="1" x14ac:dyDescent="0.2">
      <c r="B18" s="31"/>
      <c r="C18" s="49" t="s">
        <v>36</v>
      </c>
      <c r="D18" s="48" t="s">
        <v>17</v>
      </c>
      <c r="E18" s="47" t="str">
        <f t="shared" si="0"/>
        <v>EurLibor10M</v>
      </c>
      <c r="F18" s="27" t="str">
        <f>_xll.qlLibor($E18,Currency,$C18,Currency&amp;$D18,Permanent,Trigger,ObjectOverwrite)</f>
        <v>EurLibor10M#0002</v>
      </c>
      <c r="G18" s="7" t="str">
        <f>_xll.ohRangeRetrieveError(F18)</f>
        <v/>
      </c>
      <c r="H18" s="5"/>
    </row>
    <row r="19" spans="2:8" s="26" customFormat="1" x14ac:dyDescent="0.2">
      <c r="B19" s="31"/>
      <c r="C19" s="49" t="s">
        <v>35</v>
      </c>
      <c r="D19" s="48" t="s">
        <v>17</v>
      </c>
      <c r="E19" s="47" t="str">
        <f t="shared" si="0"/>
        <v>EurLibor11M</v>
      </c>
      <c r="F19" s="27" t="str">
        <f>_xll.qlLibor($E19,Currency,$C19,Currency&amp;$D19,Permanent,Trigger,ObjectOverwrite)</f>
        <v>EurLibor11M#0002</v>
      </c>
      <c r="G19" s="7" t="str">
        <f>_xll.ohRangeRetrieveError(F19)</f>
        <v/>
      </c>
      <c r="H19" s="5"/>
    </row>
    <row r="20" spans="2:8" s="26" customFormat="1" x14ac:dyDescent="0.2">
      <c r="B20" s="31"/>
      <c r="C20" s="49" t="s">
        <v>34</v>
      </c>
      <c r="D20" s="48" t="s">
        <v>17</v>
      </c>
      <c r="E20" s="47" t="str">
        <f t="shared" si="0"/>
        <v>EurLibor1Y</v>
      </c>
      <c r="F20" s="27" t="str">
        <f>_xll.qlLibor($E20,Currency,$C20,Currency&amp;$D20,Permanent,Trigger,ObjectOverwrite)</f>
        <v>EurLibor1Y#0002</v>
      </c>
      <c r="G20" s="7" t="str">
        <f>_xll.ohRangeRetrieveError(F20)</f>
        <v/>
      </c>
      <c r="H20" s="5"/>
    </row>
    <row r="21" spans="2:8" s="26" customFormat="1" ht="12" thickBot="1" x14ac:dyDescent="0.25">
      <c r="B21" s="4"/>
      <c r="C21" s="3"/>
      <c r="D21" s="3"/>
      <c r="E21" s="3"/>
      <c r="F21" s="3"/>
      <c r="G21" s="3"/>
      <c r="H21" s="2"/>
    </row>
    <row r="22" spans="2:8" s="26" customFormat="1" ht="11.25" x14ac:dyDescent="0.2"/>
  </sheetData>
  <pageMargins left="0.75" right="0.75" top="1" bottom="1" header="0.5" footer="0.5"/>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I68"/>
  <sheetViews>
    <sheetView workbookViewId="0"/>
  </sheetViews>
  <sheetFormatPr defaultRowHeight="11.25" x14ac:dyDescent="0.2"/>
  <cols>
    <col min="1" max="1" width="3.140625" style="22" customWidth="1"/>
    <col min="2" max="2" width="4.42578125" style="22" customWidth="1"/>
    <col min="3" max="3" width="3.85546875" style="22" bestFit="1" customWidth="1"/>
    <col min="4" max="4" width="7.7109375" style="22" bestFit="1" customWidth="1"/>
    <col min="5" max="5" width="8.5703125" style="22" bestFit="1" customWidth="1"/>
    <col min="6" max="6" width="21" style="22" bestFit="1" customWidth="1"/>
    <col min="7" max="7" width="24.42578125" style="22" bestFit="1" customWidth="1"/>
    <col min="8" max="8" width="55" style="22" customWidth="1"/>
    <col min="9" max="9" width="5.28515625" style="22" customWidth="1"/>
    <col min="10" max="16384" width="9.140625" style="22"/>
  </cols>
  <sheetData>
    <row r="1" spans="1:9" s="50" customFormat="1" ht="12" thickBot="1" x14ac:dyDescent="0.25">
      <c r="A1" s="50" t="s">
        <v>128</v>
      </c>
    </row>
    <row r="2" spans="1:9" s="50" customFormat="1" x14ac:dyDescent="0.2">
      <c r="B2" s="71"/>
      <c r="C2" s="69"/>
      <c r="D2" s="69"/>
      <c r="E2" s="69"/>
      <c r="F2" s="70"/>
      <c r="G2" s="69"/>
      <c r="H2" s="69"/>
      <c r="I2" s="68"/>
    </row>
    <row r="3" spans="1:9" s="50" customFormat="1" x14ac:dyDescent="0.2">
      <c r="B3" s="60"/>
      <c r="C3" s="66"/>
      <c r="D3" s="66"/>
      <c r="E3" s="66"/>
      <c r="F3" s="67" t="s">
        <v>54</v>
      </c>
      <c r="G3" s="63" t="s">
        <v>127</v>
      </c>
      <c r="H3" s="66"/>
      <c r="I3" s="62"/>
    </row>
    <row r="4" spans="1:9" s="50" customFormat="1" x14ac:dyDescent="0.2">
      <c r="B4" s="60"/>
      <c r="C4" s="66"/>
      <c r="D4" s="66"/>
      <c r="E4" s="66"/>
      <c r="F4" s="67" t="s">
        <v>119</v>
      </c>
      <c r="G4" s="63" t="s">
        <v>118</v>
      </c>
      <c r="H4" s="66"/>
      <c r="I4" s="62"/>
    </row>
    <row r="5" spans="1:9" s="50" customFormat="1" x14ac:dyDescent="0.2">
      <c r="B5" s="60"/>
      <c r="C5" s="66"/>
      <c r="D5" s="66"/>
      <c r="E5" s="66"/>
      <c r="F5" s="66"/>
      <c r="G5" s="66"/>
      <c r="H5" s="66"/>
      <c r="I5" s="62"/>
    </row>
    <row r="6" spans="1:9" s="50" customFormat="1" x14ac:dyDescent="0.2">
      <c r="B6" s="60"/>
      <c r="C6" s="66"/>
      <c r="D6" s="65" t="s">
        <v>117</v>
      </c>
      <c r="E6" s="65" t="s">
        <v>116</v>
      </c>
      <c r="F6" s="72" t="str">
        <f>PROPER(Currency)&amp;FamilyName&amp;FixingType&amp;".xml"</f>
        <v>EurLiborSwapIsdaFixA.xml</v>
      </c>
      <c r="G6" s="63">
        <f ca="1">IF(Serialize,_xll.ohObjectSave(G7:G66,SerializationPath&amp;FileName,FileOverwrite,,Serialize),"---")</f>
        <v>60</v>
      </c>
      <c r="H6" s="55" t="str">
        <f ca="1">_xll.ohRangeRetrieveError(G6)</f>
        <v/>
      </c>
      <c r="I6" s="62"/>
    </row>
    <row r="7" spans="1:9" s="50" customFormat="1" x14ac:dyDescent="0.2">
      <c r="B7" s="60"/>
      <c r="C7" s="59" t="s">
        <v>34</v>
      </c>
      <c r="D7" s="61" t="s">
        <v>19</v>
      </c>
      <c r="E7" s="58" t="s">
        <v>23</v>
      </c>
      <c r="F7" s="57" t="str">
        <f t="shared" ref="F7:F38" si="0">PROPER(Currency)&amp;FamilyName&amp;FixingType&amp;$C7</f>
        <v>EurLiborSwapIsdaFixA1Y</v>
      </c>
      <c r="G7" s="56" t="str">
        <f>_xll.qlLiborSwap($F7,Currency,FixingType,$C7,Currency&amp;$D7,Currency&amp;$E7,Permanent,Trigger,ObjectOverwrite)</f>
        <v>EurLiborSwapIsdaFixA1Y#0002</v>
      </c>
      <c r="H7" s="55" t="str">
        <f>_xll.ohRangeRetrieveError(G7)</f>
        <v/>
      </c>
      <c r="I7" s="54"/>
    </row>
    <row r="8" spans="1:9" s="50" customFormat="1" x14ac:dyDescent="0.2">
      <c r="B8" s="60"/>
      <c r="C8" s="59" t="s">
        <v>115</v>
      </c>
      <c r="D8" s="58" t="s">
        <v>18</v>
      </c>
      <c r="E8" s="58" t="s">
        <v>23</v>
      </c>
      <c r="F8" s="57" t="str">
        <f t="shared" si="0"/>
        <v>EurLiborSwapIsdaFixA2Y</v>
      </c>
      <c r="G8" s="56" t="str">
        <f>_xll.qlLiborSwap($F8,Currency,FixingType,$C8,Currency&amp;$D8,Currency&amp;$E8,Permanent,Trigger,ObjectOverwrite)</f>
        <v>EurLiborSwapIsdaFixA2Y#0002</v>
      </c>
      <c r="H8" s="55" t="str">
        <f>_xll.ohRangeRetrieveError(G8)</f>
        <v/>
      </c>
      <c r="I8" s="54"/>
    </row>
    <row r="9" spans="1:9" s="50" customFormat="1" x14ac:dyDescent="0.2">
      <c r="B9" s="60"/>
      <c r="C9" s="59" t="s">
        <v>114</v>
      </c>
      <c r="D9" s="58" t="s">
        <v>18</v>
      </c>
      <c r="E9" s="58" t="s">
        <v>23</v>
      </c>
      <c r="F9" s="57" t="str">
        <f t="shared" si="0"/>
        <v>EurLiborSwapIsdaFixA3Y</v>
      </c>
      <c r="G9" s="56" t="str">
        <f>_xll.qlLiborSwap($F9,Currency,FixingType,$C9,Currency&amp;$D9,Currency&amp;$E9,Permanent,Trigger,ObjectOverwrite)</f>
        <v>EurLiborSwapIsdaFixA3Y#0002</v>
      </c>
      <c r="H9" s="55" t="str">
        <f>_xll.ohRangeRetrieveError(G9)</f>
        <v/>
      </c>
      <c r="I9" s="54"/>
    </row>
    <row r="10" spans="1:9" s="50" customFormat="1" x14ac:dyDescent="0.2">
      <c r="B10" s="60"/>
      <c r="C10" s="59" t="s">
        <v>113</v>
      </c>
      <c r="D10" s="58" t="s">
        <v>18</v>
      </c>
      <c r="E10" s="58" t="s">
        <v>23</v>
      </c>
      <c r="F10" s="57" t="str">
        <f t="shared" si="0"/>
        <v>EurLiborSwapIsdaFixA4Y</v>
      </c>
      <c r="G10" s="56" t="str">
        <f>_xll.qlLiborSwap($F10,Currency,FixingType,$C10,Currency&amp;$D10,Currency&amp;$E10,Permanent,Trigger,ObjectOverwrite)</f>
        <v>EurLiborSwapIsdaFixA4Y#0002</v>
      </c>
      <c r="H10" s="55" t="str">
        <f>_xll.ohRangeRetrieveError(G10)</f>
        <v/>
      </c>
      <c r="I10" s="54"/>
    </row>
    <row r="11" spans="1:9" s="50" customFormat="1" x14ac:dyDescent="0.2">
      <c r="B11" s="60"/>
      <c r="C11" s="59" t="s">
        <v>112</v>
      </c>
      <c r="D11" s="58" t="s">
        <v>18</v>
      </c>
      <c r="E11" s="58" t="s">
        <v>23</v>
      </c>
      <c r="F11" s="57" t="str">
        <f t="shared" si="0"/>
        <v>EurLiborSwapIsdaFixA5Y</v>
      </c>
      <c r="G11" s="56" t="str">
        <f>_xll.qlLiborSwap($F11,Currency,FixingType,$C11,Currency&amp;$D11,Currency&amp;$E11,Permanent,Trigger,ObjectOverwrite)</f>
        <v>EurLiborSwapIsdaFixA5Y#0002</v>
      </c>
      <c r="H11" s="55" t="str">
        <f>_xll.ohRangeRetrieveError(G11)</f>
        <v/>
      </c>
      <c r="I11" s="54"/>
    </row>
    <row r="12" spans="1:9" s="50" customFormat="1" x14ac:dyDescent="0.2">
      <c r="B12" s="60"/>
      <c r="C12" s="59" t="s">
        <v>111</v>
      </c>
      <c r="D12" s="58" t="s">
        <v>18</v>
      </c>
      <c r="E12" s="58" t="s">
        <v>23</v>
      </c>
      <c r="F12" s="57" t="str">
        <f t="shared" si="0"/>
        <v>EurLiborSwapIsdaFixA6Y</v>
      </c>
      <c r="G12" s="56" t="str">
        <f>_xll.qlLiborSwap($F12,Currency,FixingType,$C12,Currency&amp;$D12,Currency&amp;$E12,Permanent,Trigger,ObjectOverwrite)</f>
        <v>EurLiborSwapIsdaFixA6Y#0002</v>
      </c>
      <c r="H12" s="55" t="str">
        <f>_xll.ohRangeRetrieveError(G12)</f>
        <v/>
      </c>
      <c r="I12" s="54"/>
    </row>
    <row r="13" spans="1:9" s="50" customFormat="1" x14ac:dyDescent="0.2">
      <c r="B13" s="60"/>
      <c r="C13" s="59" t="s">
        <v>110</v>
      </c>
      <c r="D13" s="58" t="s">
        <v>18</v>
      </c>
      <c r="E13" s="58" t="s">
        <v>23</v>
      </c>
      <c r="F13" s="57" t="str">
        <f t="shared" si="0"/>
        <v>EurLiborSwapIsdaFixA7Y</v>
      </c>
      <c r="G13" s="56" t="str">
        <f>_xll.qlLiborSwap($F13,Currency,FixingType,$C13,Currency&amp;$D13,Currency&amp;$E13,Permanent,Trigger,ObjectOverwrite)</f>
        <v>EurLiborSwapIsdaFixA7Y#0002</v>
      </c>
      <c r="H13" s="55" t="str">
        <f>_xll.ohRangeRetrieveError(G13)</f>
        <v/>
      </c>
      <c r="I13" s="54"/>
    </row>
    <row r="14" spans="1:9" s="50" customFormat="1" x14ac:dyDescent="0.2">
      <c r="B14" s="60"/>
      <c r="C14" s="59" t="s">
        <v>109</v>
      </c>
      <c r="D14" s="58" t="s">
        <v>18</v>
      </c>
      <c r="E14" s="58" t="s">
        <v>23</v>
      </c>
      <c r="F14" s="57" t="str">
        <f t="shared" si="0"/>
        <v>EurLiborSwapIsdaFixA8Y</v>
      </c>
      <c r="G14" s="56" t="str">
        <f>_xll.qlLiborSwap($F14,Currency,FixingType,$C14,Currency&amp;$D14,Currency&amp;$E14,Permanent,Trigger,ObjectOverwrite)</f>
        <v>EurLiborSwapIsdaFixA8Y#0002</v>
      </c>
      <c r="H14" s="55" t="str">
        <f>_xll.ohRangeRetrieveError(G14)</f>
        <v/>
      </c>
      <c r="I14" s="54"/>
    </row>
    <row r="15" spans="1:9" s="50" customFormat="1" x14ac:dyDescent="0.2">
      <c r="B15" s="60"/>
      <c r="C15" s="59" t="s">
        <v>108</v>
      </c>
      <c r="D15" s="58" t="s">
        <v>18</v>
      </c>
      <c r="E15" s="58" t="s">
        <v>23</v>
      </c>
      <c r="F15" s="57" t="str">
        <f t="shared" si="0"/>
        <v>EurLiborSwapIsdaFixA9Y</v>
      </c>
      <c r="G15" s="56" t="str">
        <f>_xll.qlLiborSwap($F15,Currency,FixingType,$C15,Currency&amp;$D15,Currency&amp;$E15,Permanent,Trigger,ObjectOverwrite)</f>
        <v>EurLiborSwapIsdaFixA9Y#0002</v>
      </c>
      <c r="H15" s="55" t="str">
        <f>_xll.ohRangeRetrieveError(G15)</f>
        <v/>
      </c>
      <c r="I15" s="54"/>
    </row>
    <row r="16" spans="1:9" s="50" customFormat="1" x14ac:dyDescent="0.2">
      <c r="B16" s="60"/>
      <c r="C16" s="59" t="s">
        <v>107</v>
      </c>
      <c r="D16" s="58" t="s">
        <v>18</v>
      </c>
      <c r="E16" s="58" t="s">
        <v>23</v>
      </c>
      <c r="F16" s="57" t="str">
        <f t="shared" si="0"/>
        <v>EurLiborSwapIsdaFixA10Y</v>
      </c>
      <c r="G16" s="56" t="str">
        <f>_xll.qlLiborSwap($F16,Currency,FixingType,$C16,Currency&amp;$D16,Currency&amp;$E16,Permanent,Trigger,ObjectOverwrite)</f>
        <v>EurLiborSwapIsdaFixA10Y#0002</v>
      </c>
      <c r="H16" s="55" t="str">
        <f>_xll.ohRangeRetrieveError(G16)</f>
        <v/>
      </c>
      <c r="I16" s="54"/>
    </row>
    <row r="17" spans="2:9" s="50" customFormat="1" x14ac:dyDescent="0.2">
      <c r="B17" s="60"/>
      <c r="C17" s="59" t="s">
        <v>106</v>
      </c>
      <c r="D17" s="58" t="s">
        <v>18</v>
      </c>
      <c r="E17" s="58" t="s">
        <v>23</v>
      </c>
      <c r="F17" s="57" t="str">
        <f t="shared" si="0"/>
        <v>EurLiborSwapIsdaFixA11Y</v>
      </c>
      <c r="G17" s="56" t="str">
        <f>_xll.qlLiborSwap($F17,Currency,FixingType,$C17,Currency&amp;$D17,Currency&amp;$E17,Permanent,Trigger,ObjectOverwrite)</f>
        <v>EurLiborSwapIsdaFixA11Y#0002</v>
      </c>
      <c r="H17" s="55" t="str">
        <f>_xll.ohRangeRetrieveError(G17)</f>
        <v/>
      </c>
      <c r="I17" s="54"/>
    </row>
    <row r="18" spans="2:9" s="50" customFormat="1" x14ac:dyDescent="0.2">
      <c r="B18" s="60"/>
      <c r="C18" s="59" t="s">
        <v>105</v>
      </c>
      <c r="D18" s="58" t="s">
        <v>18</v>
      </c>
      <c r="E18" s="58" t="s">
        <v>23</v>
      </c>
      <c r="F18" s="57" t="str">
        <f t="shared" si="0"/>
        <v>EurLiborSwapIsdaFixA12Y</v>
      </c>
      <c r="G18" s="56" t="str">
        <f>_xll.qlLiborSwap($F18,Currency,FixingType,$C18,Currency&amp;$D18,Currency&amp;$E18,Permanent,Trigger,ObjectOverwrite)</f>
        <v>EurLiborSwapIsdaFixA12Y#0002</v>
      </c>
      <c r="H18" s="55" t="str">
        <f>_xll.ohRangeRetrieveError(G18)</f>
        <v/>
      </c>
      <c r="I18" s="54"/>
    </row>
    <row r="19" spans="2:9" s="50" customFormat="1" x14ac:dyDescent="0.2">
      <c r="B19" s="60"/>
      <c r="C19" s="59" t="s">
        <v>104</v>
      </c>
      <c r="D19" s="58" t="s">
        <v>18</v>
      </c>
      <c r="E19" s="58" t="s">
        <v>23</v>
      </c>
      <c r="F19" s="57" t="str">
        <f t="shared" si="0"/>
        <v>EurLiborSwapIsdaFixA13Y</v>
      </c>
      <c r="G19" s="56" t="str">
        <f>_xll.qlLiborSwap($F19,Currency,FixingType,$C19,Currency&amp;$D19,Currency&amp;$E19,Permanent,Trigger,ObjectOverwrite)</f>
        <v>EurLiborSwapIsdaFixA13Y#0002</v>
      </c>
      <c r="H19" s="55" t="str">
        <f>_xll.ohRangeRetrieveError(G19)</f>
        <v/>
      </c>
      <c r="I19" s="54"/>
    </row>
    <row r="20" spans="2:9" s="50" customFormat="1" x14ac:dyDescent="0.2">
      <c r="B20" s="60"/>
      <c r="C20" s="59" t="s">
        <v>103</v>
      </c>
      <c r="D20" s="58" t="s">
        <v>18</v>
      </c>
      <c r="E20" s="58" t="s">
        <v>23</v>
      </c>
      <c r="F20" s="57" t="str">
        <f t="shared" si="0"/>
        <v>EurLiborSwapIsdaFixA14Y</v>
      </c>
      <c r="G20" s="56" t="str">
        <f>_xll.qlLiborSwap($F20,Currency,FixingType,$C20,Currency&amp;$D20,Currency&amp;$E20,Permanent,Trigger,ObjectOverwrite)</f>
        <v>EurLiborSwapIsdaFixA14Y#0002</v>
      </c>
      <c r="H20" s="55" t="str">
        <f>_xll.ohRangeRetrieveError(G20)</f>
        <v/>
      </c>
      <c r="I20" s="54"/>
    </row>
    <row r="21" spans="2:9" s="50" customFormat="1" x14ac:dyDescent="0.2">
      <c r="B21" s="60"/>
      <c r="C21" s="59" t="s">
        <v>102</v>
      </c>
      <c r="D21" s="58" t="s">
        <v>18</v>
      </c>
      <c r="E21" s="58" t="s">
        <v>23</v>
      </c>
      <c r="F21" s="57" t="str">
        <f t="shared" si="0"/>
        <v>EurLiborSwapIsdaFixA15Y</v>
      </c>
      <c r="G21" s="56" t="str">
        <f>_xll.qlLiborSwap($F21,Currency,FixingType,$C21,Currency&amp;$D21,Currency&amp;$E21,Permanent,Trigger,ObjectOverwrite)</f>
        <v>EurLiborSwapIsdaFixA15Y#0002</v>
      </c>
      <c r="H21" s="55" t="str">
        <f>_xll.ohRangeRetrieveError(G21)</f>
        <v/>
      </c>
      <c r="I21" s="54"/>
    </row>
    <row r="22" spans="2:9" s="50" customFormat="1" x14ac:dyDescent="0.2">
      <c r="B22" s="60"/>
      <c r="C22" s="59" t="s">
        <v>101</v>
      </c>
      <c r="D22" s="58" t="s">
        <v>18</v>
      </c>
      <c r="E22" s="58" t="s">
        <v>23</v>
      </c>
      <c r="F22" s="57" t="str">
        <f t="shared" si="0"/>
        <v>EurLiborSwapIsdaFixA16Y</v>
      </c>
      <c r="G22" s="56" t="str">
        <f>_xll.qlLiborSwap($F22,Currency,FixingType,$C22,Currency&amp;$D22,Currency&amp;$E22,Permanent,Trigger,ObjectOverwrite)</f>
        <v>EurLiborSwapIsdaFixA16Y#0002</v>
      </c>
      <c r="H22" s="55" t="str">
        <f>_xll.ohRangeRetrieveError(G22)</f>
        <v/>
      </c>
      <c r="I22" s="54"/>
    </row>
    <row r="23" spans="2:9" s="50" customFormat="1" x14ac:dyDescent="0.2">
      <c r="B23" s="60"/>
      <c r="C23" s="59" t="s">
        <v>100</v>
      </c>
      <c r="D23" s="58" t="s">
        <v>18</v>
      </c>
      <c r="E23" s="58" t="s">
        <v>23</v>
      </c>
      <c r="F23" s="57" t="str">
        <f t="shared" si="0"/>
        <v>EurLiborSwapIsdaFixA17Y</v>
      </c>
      <c r="G23" s="56" t="str">
        <f>_xll.qlLiborSwap($F23,Currency,FixingType,$C23,Currency&amp;$D23,Currency&amp;$E23,Permanent,Trigger,ObjectOverwrite)</f>
        <v>EurLiborSwapIsdaFixA17Y#0002</v>
      </c>
      <c r="H23" s="55" t="str">
        <f>_xll.ohRangeRetrieveError(G23)</f>
        <v/>
      </c>
      <c r="I23" s="54"/>
    </row>
    <row r="24" spans="2:9" s="50" customFormat="1" x14ac:dyDescent="0.2">
      <c r="B24" s="60"/>
      <c r="C24" s="59" t="s">
        <v>99</v>
      </c>
      <c r="D24" s="58" t="s">
        <v>18</v>
      </c>
      <c r="E24" s="58" t="s">
        <v>23</v>
      </c>
      <c r="F24" s="57" t="str">
        <f t="shared" si="0"/>
        <v>EurLiborSwapIsdaFixA18Y</v>
      </c>
      <c r="G24" s="56" t="str">
        <f>_xll.qlLiborSwap($F24,Currency,FixingType,$C24,Currency&amp;$D24,Currency&amp;$E24,Permanent,Trigger,ObjectOverwrite)</f>
        <v>EurLiborSwapIsdaFixA18Y#0002</v>
      </c>
      <c r="H24" s="55" t="str">
        <f>_xll.ohRangeRetrieveError(G24)</f>
        <v/>
      </c>
      <c r="I24" s="54"/>
    </row>
    <row r="25" spans="2:9" s="50" customFormat="1" x14ac:dyDescent="0.2">
      <c r="B25" s="60"/>
      <c r="C25" s="59" t="s">
        <v>98</v>
      </c>
      <c r="D25" s="58" t="s">
        <v>18</v>
      </c>
      <c r="E25" s="58" t="s">
        <v>23</v>
      </c>
      <c r="F25" s="57" t="str">
        <f t="shared" si="0"/>
        <v>EurLiborSwapIsdaFixA19Y</v>
      </c>
      <c r="G25" s="56" t="str">
        <f>_xll.qlLiborSwap($F25,Currency,FixingType,$C25,Currency&amp;$D25,Currency&amp;$E25,Permanent,Trigger,ObjectOverwrite)</f>
        <v>EurLiborSwapIsdaFixA19Y#0002</v>
      </c>
      <c r="H25" s="55" t="str">
        <f>_xll.ohRangeRetrieveError(G25)</f>
        <v/>
      </c>
      <c r="I25" s="54"/>
    </row>
    <row r="26" spans="2:9" s="50" customFormat="1" x14ac:dyDescent="0.2">
      <c r="B26" s="60"/>
      <c r="C26" s="59" t="s">
        <v>97</v>
      </c>
      <c r="D26" s="58" t="s">
        <v>18</v>
      </c>
      <c r="E26" s="58" t="s">
        <v>23</v>
      </c>
      <c r="F26" s="57" t="str">
        <f t="shared" si="0"/>
        <v>EurLiborSwapIsdaFixA20Y</v>
      </c>
      <c r="G26" s="56" t="str">
        <f>_xll.qlLiborSwap($F26,Currency,FixingType,$C26,Currency&amp;$D26,Currency&amp;$E26,Permanent,Trigger,ObjectOverwrite)</f>
        <v>EurLiborSwapIsdaFixA20Y#0002</v>
      </c>
      <c r="H26" s="55" t="str">
        <f>_xll.ohRangeRetrieveError(G26)</f>
        <v/>
      </c>
      <c r="I26" s="54"/>
    </row>
    <row r="27" spans="2:9" s="50" customFormat="1" x14ac:dyDescent="0.2">
      <c r="B27" s="60"/>
      <c r="C27" s="59" t="s">
        <v>96</v>
      </c>
      <c r="D27" s="58" t="s">
        <v>18</v>
      </c>
      <c r="E27" s="58" t="s">
        <v>23</v>
      </c>
      <c r="F27" s="57" t="str">
        <f t="shared" si="0"/>
        <v>EurLiborSwapIsdaFixA21Y</v>
      </c>
      <c r="G27" s="56" t="str">
        <f>_xll.qlLiborSwap($F27,Currency,FixingType,$C27,Currency&amp;$D27,Currency&amp;$E27,Permanent,Trigger,ObjectOverwrite)</f>
        <v>EurLiborSwapIsdaFixA21Y#0002</v>
      </c>
      <c r="H27" s="55" t="str">
        <f>_xll.ohRangeRetrieveError(G27)</f>
        <v/>
      </c>
      <c r="I27" s="54"/>
    </row>
    <row r="28" spans="2:9" s="50" customFormat="1" x14ac:dyDescent="0.2">
      <c r="B28" s="60"/>
      <c r="C28" s="59" t="s">
        <v>95</v>
      </c>
      <c r="D28" s="58" t="s">
        <v>18</v>
      </c>
      <c r="E28" s="58" t="s">
        <v>23</v>
      </c>
      <c r="F28" s="57" t="str">
        <f t="shared" si="0"/>
        <v>EurLiborSwapIsdaFixA22Y</v>
      </c>
      <c r="G28" s="56" t="str">
        <f>_xll.qlLiborSwap($F28,Currency,FixingType,$C28,Currency&amp;$D28,Currency&amp;$E28,Permanent,Trigger,ObjectOverwrite)</f>
        <v>EurLiborSwapIsdaFixA22Y#0002</v>
      </c>
      <c r="H28" s="55" t="str">
        <f>_xll.ohRangeRetrieveError(G28)</f>
        <v/>
      </c>
      <c r="I28" s="54"/>
    </row>
    <row r="29" spans="2:9" s="50" customFormat="1" x14ac:dyDescent="0.2">
      <c r="B29" s="60"/>
      <c r="C29" s="59" t="s">
        <v>94</v>
      </c>
      <c r="D29" s="58" t="s">
        <v>18</v>
      </c>
      <c r="E29" s="58" t="s">
        <v>23</v>
      </c>
      <c r="F29" s="57" t="str">
        <f t="shared" si="0"/>
        <v>EurLiborSwapIsdaFixA23Y</v>
      </c>
      <c r="G29" s="56" t="str">
        <f>_xll.qlLiborSwap($F29,Currency,FixingType,$C29,Currency&amp;$D29,Currency&amp;$E29,Permanent,Trigger,ObjectOverwrite)</f>
        <v>EurLiborSwapIsdaFixA23Y#0002</v>
      </c>
      <c r="H29" s="55" t="str">
        <f>_xll.ohRangeRetrieveError(G29)</f>
        <v/>
      </c>
      <c r="I29" s="54"/>
    </row>
    <row r="30" spans="2:9" s="50" customFormat="1" x14ac:dyDescent="0.2">
      <c r="B30" s="60"/>
      <c r="C30" s="59" t="s">
        <v>93</v>
      </c>
      <c r="D30" s="58" t="s">
        <v>18</v>
      </c>
      <c r="E30" s="58" t="s">
        <v>23</v>
      </c>
      <c r="F30" s="57" t="str">
        <f t="shared" si="0"/>
        <v>EurLiborSwapIsdaFixA24Y</v>
      </c>
      <c r="G30" s="56" t="str">
        <f>_xll.qlLiborSwap($F30,Currency,FixingType,$C30,Currency&amp;$D30,Currency&amp;$E30,Permanent,Trigger,ObjectOverwrite)</f>
        <v>EurLiborSwapIsdaFixA24Y#0002</v>
      </c>
      <c r="H30" s="55" t="str">
        <f>_xll.ohRangeRetrieveError(G30)</f>
        <v/>
      </c>
      <c r="I30" s="54"/>
    </row>
    <row r="31" spans="2:9" s="50" customFormat="1" x14ac:dyDescent="0.2">
      <c r="B31" s="60"/>
      <c r="C31" s="59" t="s">
        <v>92</v>
      </c>
      <c r="D31" s="58" t="s">
        <v>18</v>
      </c>
      <c r="E31" s="58" t="s">
        <v>23</v>
      </c>
      <c r="F31" s="57" t="str">
        <f t="shared" si="0"/>
        <v>EurLiborSwapIsdaFixA25Y</v>
      </c>
      <c r="G31" s="56" t="str">
        <f>_xll.qlLiborSwap($F31,Currency,FixingType,$C31,Currency&amp;$D31,Currency&amp;$E31,Permanent,Trigger,ObjectOverwrite)</f>
        <v>EurLiborSwapIsdaFixA25Y#0002</v>
      </c>
      <c r="H31" s="55" t="str">
        <f>_xll.ohRangeRetrieveError(G31)</f>
        <v/>
      </c>
      <c r="I31" s="54"/>
    </row>
    <row r="32" spans="2:9" s="50" customFormat="1" x14ac:dyDescent="0.2">
      <c r="B32" s="60"/>
      <c r="C32" s="59" t="s">
        <v>91</v>
      </c>
      <c r="D32" s="58" t="s">
        <v>18</v>
      </c>
      <c r="E32" s="58" t="s">
        <v>23</v>
      </c>
      <c r="F32" s="57" t="str">
        <f t="shared" si="0"/>
        <v>EurLiborSwapIsdaFixA26Y</v>
      </c>
      <c r="G32" s="56" t="str">
        <f>_xll.qlLiborSwap($F32,Currency,FixingType,$C32,Currency&amp;$D32,Currency&amp;$E32,Permanent,Trigger,ObjectOverwrite)</f>
        <v>EurLiborSwapIsdaFixA26Y#0002</v>
      </c>
      <c r="H32" s="55" t="str">
        <f>_xll.ohRangeRetrieveError(G32)</f>
        <v/>
      </c>
      <c r="I32" s="54"/>
    </row>
    <row r="33" spans="2:9" s="50" customFormat="1" x14ac:dyDescent="0.2">
      <c r="B33" s="60"/>
      <c r="C33" s="59" t="s">
        <v>90</v>
      </c>
      <c r="D33" s="58" t="s">
        <v>18</v>
      </c>
      <c r="E33" s="58" t="s">
        <v>23</v>
      </c>
      <c r="F33" s="57" t="str">
        <f t="shared" si="0"/>
        <v>EurLiborSwapIsdaFixA27Y</v>
      </c>
      <c r="G33" s="56" t="str">
        <f>_xll.qlLiborSwap($F33,Currency,FixingType,$C33,Currency&amp;$D33,Currency&amp;$E33,Permanent,Trigger,ObjectOverwrite)</f>
        <v>EurLiborSwapIsdaFixA27Y#0002</v>
      </c>
      <c r="H33" s="55" t="str">
        <f>_xll.ohRangeRetrieveError(G33)</f>
        <v/>
      </c>
      <c r="I33" s="54"/>
    </row>
    <row r="34" spans="2:9" s="50" customFormat="1" x14ac:dyDescent="0.2">
      <c r="B34" s="60"/>
      <c r="C34" s="59" t="s">
        <v>89</v>
      </c>
      <c r="D34" s="58" t="s">
        <v>18</v>
      </c>
      <c r="E34" s="58" t="s">
        <v>23</v>
      </c>
      <c r="F34" s="57" t="str">
        <f t="shared" si="0"/>
        <v>EurLiborSwapIsdaFixA28Y</v>
      </c>
      <c r="G34" s="56" t="str">
        <f>_xll.qlLiborSwap($F34,Currency,FixingType,$C34,Currency&amp;$D34,Currency&amp;$E34,Permanent,Trigger,ObjectOverwrite)</f>
        <v>EurLiborSwapIsdaFixA28Y#0002</v>
      </c>
      <c r="H34" s="55" t="str">
        <f>_xll.ohRangeRetrieveError(G34)</f>
        <v/>
      </c>
      <c r="I34" s="54"/>
    </row>
    <row r="35" spans="2:9" s="50" customFormat="1" x14ac:dyDescent="0.2">
      <c r="B35" s="60"/>
      <c r="C35" s="59" t="s">
        <v>88</v>
      </c>
      <c r="D35" s="58" t="s">
        <v>18</v>
      </c>
      <c r="E35" s="58" t="s">
        <v>23</v>
      </c>
      <c r="F35" s="57" t="str">
        <f t="shared" si="0"/>
        <v>EurLiborSwapIsdaFixA29Y</v>
      </c>
      <c r="G35" s="56" t="str">
        <f>_xll.qlLiborSwap($F35,Currency,FixingType,$C35,Currency&amp;$D35,Currency&amp;$E35,Permanent,Trigger,ObjectOverwrite)</f>
        <v>EurLiborSwapIsdaFixA29Y#0002</v>
      </c>
      <c r="H35" s="55" t="str">
        <f>_xll.ohRangeRetrieveError(G35)</f>
        <v/>
      </c>
      <c r="I35" s="54"/>
    </row>
    <row r="36" spans="2:9" s="50" customFormat="1" x14ac:dyDescent="0.2">
      <c r="B36" s="60"/>
      <c r="C36" s="59" t="s">
        <v>87</v>
      </c>
      <c r="D36" s="58" t="s">
        <v>18</v>
      </c>
      <c r="E36" s="58" t="s">
        <v>23</v>
      </c>
      <c r="F36" s="57" t="str">
        <f t="shared" si="0"/>
        <v>EurLiborSwapIsdaFixA30Y</v>
      </c>
      <c r="G36" s="56" t="str">
        <f>_xll.qlLiborSwap($F36,Currency,FixingType,$C36,Currency&amp;$D36,Currency&amp;$E36,Permanent,Trigger,ObjectOverwrite)</f>
        <v>EurLiborSwapIsdaFixA30Y#0002</v>
      </c>
      <c r="H36" s="55" t="str">
        <f>_xll.ohRangeRetrieveError(G36)</f>
        <v/>
      </c>
      <c r="I36" s="54"/>
    </row>
    <row r="37" spans="2:9" s="50" customFormat="1" x14ac:dyDescent="0.2">
      <c r="B37" s="60"/>
      <c r="C37" s="59" t="s">
        <v>86</v>
      </c>
      <c r="D37" s="58" t="s">
        <v>18</v>
      </c>
      <c r="E37" s="58" t="s">
        <v>23</v>
      </c>
      <c r="F37" s="57" t="str">
        <f t="shared" si="0"/>
        <v>EurLiborSwapIsdaFixA31Y</v>
      </c>
      <c r="G37" s="56" t="str">
        <f>_xll.qlLiborSwap($F37,Currency,FixingType,$C37,Currency&amp;$D37,Currency&amp;$E37,Permanent,Trigger,ObjectOverwrite)</f>
        <v>EurLiborSwapIsdaFixA31Y#0002</v>
      </c>
      <c r="H37" s="55" t="str">
        <f>_xll.ohRangeRetrieveError(G37)</f>
        <v/>
      </c>
      <c r="I37" s="54"/>
    </row>
    <row r="38" spans="2:9" s="50" customFormat="1" x14ac:dyDescent="0.2">
      <c r="B38" s="60"/>
      <c r="C38" s="59" t="s">
        <v>85</v>
      </c>
      <c r="D38" s="58" t="s">
        <v>18</v>
      </c>
      <c r="E38" s="58" t="s">
        <v>23</v>
      </c>
      <c r="F38" s="57" t="str">
        <f t="shared" si="0"/>
        <v>EurLiborSwapIsdaFixA32Y</v>
      </c>
      <c r="G38" s="56" t="str">
        <f>_xll.qlLiborSwap($F38,Currency,FixingType,$C38,Currency&amp;$D38,Currency&amp;$E38,Permanent,Trigger,ObjectOverwrite)</f>
        <v>EurLiborSwapIsdaFixA32Y#0002</v>
      </c>
      <c r="H38" s="55" t="str">
        <f>_xll.ohRangeRetrieveError(G38)</f>
        <v/>
      </c>
      <c r="I38" s="54"/>
    </row>
    <row r="39" spans="2:9" s="50" customFormat="1" x14ac:dyDescent="0.2">
      <c r="B39" s="60"/>
      <c r="C39" s="59" t="s">
        <v>84</v>
      </c>
      <c r="D39" s="58" t="s">
        <v>18</v>
      </c>
      <c r="E39" s="58" t="s">
        <v>23</v>
      </c>
      <c r="F39" s="57" t="str">
        <f t="shared" ref="F39:F66" si="1">PROPER(Currency)&amp;FamilyName&amp;FixingType&amp;$C39</f>
        <v>EurLiborSwapIsdaFixA33Y</v>
      </c>
      <c r="G39" s="56" t="str">
        <f>_xll.qlLiborSwap($F39,Currency,FixingType,$C39,Currency&amp;$D39,Currency&amp;$E39,Permanent,Trigger,ObjectOverwrite)</f>
        <v>EurLiborSwapIsdaFixA33Y#0002</v>
      </c>
      <c r="H39" s="55" t="str">
        <f>_xll.ohRangeRetrieveError(G39)</f>
        <v/>
      </c>
      <c r="I39" s="54"/>
    </row>
    <row r="40" spans="2:9" s="50" customFormat="1" x14ac:dyDescent="0.2">
      <c r="B40" s="60"/>
      <c r="C40" s="59" t="s">
        <v>83</v>
      </c>
      <c r="D40" s="58" t="s">
        <v>18</v>
      </c>
      <c r="E40" s="58" t="s">
        <v>23</v>
      </c>
      <c r="F40" s="57" t="str">
        <f t="shared" si="1"/>
        <v>EurLiborSwapIsdaFixA34Y</v>
      </c>
      <c r="G40" s="56" t="str">
        <f>_xll.qlLiborSwap($F40,Currency,FixingType,$C40,Currency&amp;$D40,Currency&amp;$E40,Permanent,Trigger,ObjectOverwrite)</f>
        <v>EurLiborSwapIsdaFixA34Y#0002</v>
      </c>
      <c r="H40" s="55" t="str">
        <f>_xll.ohRangeRetrieveError(G40)</f>
        <v/>
      </c>
      <c r="I40" s="54"/>
    </row>
    <row r="41" spans="2:9" s="50" customFormat="1" x14ac:dyDescent="0.2">
      <c r="B41" s="60"/>
      <c r="C41" s="59" t="s">
        <v>82</v>
      </c>
      <c r="D41" s="58" t="s">
        <v>18</v>
      </c>
      <c r="E41" s="58" t="s">
        <v>23</v>
      </c>
      <c r="F41" s="57" t="str">
        <f t="shared" si="1"/>
        <v>EurLiborSwapIsdaFixA35Y</v>
      </c>
      <c r="G41" s="56" t="str">
        <f>_xll.qlLiborSwap($F41,Currency,FixingType,$C41,Currency&amp;$D41,Currency&amp;$E41,Permanent,Trigger,ObjectOverwrite)</f>
        <v>EurLiborSwapIsdaFixA35Y#0002</v>
      </c>
      <c r="H41" s="55" t="str">
        <f>_xll.ohRangeRetrieveError(G41)</f>
        <v/>
      </c>
      <c r="I41" s="54"/>
    </row>
    <row r="42" spans="2:9" s="50" customFormat="1" x14ac:dyDescent="0.2">
      <c r="B42" s="60"/>
      <c r="C42" s="59" t="s">
        <v>81</v>
      </c>
      <c r="D42" s="58" t="s">
        <v>18</v>
      </c>
      <c r="E42" s="58" t="s">
        <v>23</v>
      </c>
      <c r="F42" s="57" t="str">
        <f t="shared" si="1"/>
        <v>EurLiborSwapIsdaFixA36Y</v>
      </c>
      <c r="G42" s="56" t="str">
        <f>_xll.qlLiborSwap($F42,Currency,FixingType,$C42,Currency&amp;$D42,Currency&amp;$E42,Permanent,Trigger,ObjectOverwrite)</f>
        <v>EurLiborSwapIsdaFixA36Y#0002</v>
      </c>
      <c r="H42" s="55" t="str">
        <f>_xll.ohRangeRetrieveError(G42)</f>
        <v/>
      </c>
      <c r="I42" s="54"/>
    </row>
    <row r="43" spans="2:9" s="50" customFormat="1" x14ac:dyDescent="0.2">
      <c r="B43" s="60"/>
      <c r="C43" s="59" t="s">
        <v>80</v>
      </c>
      <c r="D43" s="58" t="s">
        <v>18</v>
      </c>
      <c r="E43" s="58" t="s">
        <v>23</v>
      </c>
      <c r="F43" s="57" t="str">
        <f t="shared" si="1"/>
        <v>EurLiborSwapIsdaFixA37Y</v>
      </c>
      <c r="G43" s="56" t="str">
        <f>_xll.qlLiborSwap($F43,Currency,FixingType,$C43,Currency&amp;$D43,Currency&amp;$E43,Permanent,Trigger,ObjectOverwrite)</f>
        <v>EurLiborSwapIsdaFixA37Y#0002</v>
      </c>
      <c r="H43" s="55" t="str">
        <f>_xll.ohRangeRetrieveError(G43)</f>
        <v/>
      </c>
      <c r="I43" s="54"/>
    </row>
    <row r="44" spans="2:9" s="50" customFormat="1" x14ac:dyDescent="0.2">
      <c r="B44" s="60"/>
      <c r="C44" s="59" t="s">
        <v>79</v>
      </c>
      <c r="D44" s="58" t="s">
        <v>18</v>
      </c>
      <c r="E44" s="58" t="s">
        <v>23</v>
      </c>
      <c r="F44" s="57" t="str">
        <f t="shared" si="1"/>
        <v>EurLiborSwapIsdaFixA38Y</v>
      </c>
      <c r="G44" s="56" t="str">
        <f>_xll.qlLiborSwap($F44,Currency,FixingType,$C44,Currency&amp;$D44,Currency&amp;$E44,Permanent,Trigger,ObjectOverwrite)</f>
        <v>EurLiborSwapIsdaFixA38Y#0002</v>
      </c>
      <c r="H44" s="55" t="str">
        <f>_xll.ohRangeRetrieveError(G44)</f>
        <v/>
      </c>
      <c r="I44" s="54"/>
    </row>
    <row r="45" spans="2:9" s="50" customFormat="1" x14ac:dyDescent="0.2">
      <c r="B45" s="60"/>
      <c r="C45" s="59" t="s">
        <v>78</v>
      </c>
      <c r="D45" s="58" t="s">
        <v>18</v>
      </c>
      <c r="E45" s="58" t="s">
        <v>23</v>
      </c>
      <c r="F45" s="57" t="str">
        <f t="shared" si="1"/>
        <v>EurLiborSwapIsdaFixA39Y</v>
      </c>
      <c r="G45" s="56" t="str">
        <f>_xll.qlLiborSwap($F45,Currency,FixingType,$C45,Currency&amp;$D45,Currency&amp;$E45,Permanent,Trigger,ObjectOverwrite)</f>
        <v>EurLiborSwapIsdaFixA39Y#0002</v>
      </c>
      <c r="H45" s="55" t="str">
        <f>_xll.ohRangeRetrieveError(G45)</f>
        <v/>
      </c>
      <c r="I45" s="54"/>
    </row>
    <row r="46" spans="2:9" s="50" customFormat="1" x14ac:dyDescent="0.2">
      <c r="B46" s="60"/>
      <c r="C46" s="59" t="s">
        <v>77</v>
      </c>
      <c r="D46" s="58" t="s">
        <v>18</v>
      </c>
      <c r="E46" s="58" t="s">
        <v>23</v>
      </c>
      <c r="F46" s="57" t="str">
        <f t="shared" si="1"/>
        <v>EurLiborSwapIsdaFixA40Y</v>
      </c>
      <c r="G46" s="56" t="str">
        <f>_xll.qlLiborSwap($F46,Currency,FixingType,$C46,Currency&amp;$D46,Currency&amp;$E46,Permanent,Trigger,ObjectOverwrite)</f>
        <v>EurLiborSwapIsdaFixA40Y#0002</v>
      </c>
      <c r="H46" s="55" t="str">
        <f>_xll.ohRangeRetrieveError(G46)</f>
        <v/>
      </c>
      <c r="I46" s="54"/>
    </row>
    <row r="47" spans="2:9" s="50" customFormat="1" x14ac:dyDescent="0.2">
      <c r="B47" s="60"/>
      <c r="C47" s="59" t="s">
        <v>76</v>
      </c>
      <c r="D47" s="58" t="s">
        <v>18</v>
      </c>
      <c r="E47" s="58" t="s">
        <v>23</v>
      </c>
      <c r="F47" s="57" t="str">
        <f t="shared" si="1"/>
        <v>EurLiborSwapIsdaFixA41Y</v>
      </c>
      <c r="G47" s="56" t="str">
        <f>_xll.qlLiborSwap($F47,Currency,FixingType,$C47,Currency&amp;$D47,Currency&amp;$E47,Permanent,Trigger,ObjectOverwrite)</f>
        <v>EurLiborSwapIsdaFixA41Y#0002</v>
      </c>
      <c r="H47" s="55" t="str">
        <f>_xll.ohRangeRetrieveError(G47)</f>
        <v/>
      </c>
      <c r="I47" s="54"/>
    </row>
    <row r="48" spans="2:9" s="50" customFormat="1" x14ac:dyDescent="0.2">
      <c r="B48" s="60"/>
      <c r="C48" s="59" t="s">
        <v>75</v>
      </c>
      <c r="D48" s="58" t="s">
        <v>18</v>
      </c>
      <c r="E48" s="58" t="s">
        <v>23</v>
      </c>
      <c r="F48" s="57" t="str">
        <f t="shared" si="1"/>
        <v>EurLiborSwapIsdaFixA42Y</v>
      </c>
      <c r="G48" s="56" t="str">
        <f>_xll.qlLiborSwap($F48,Currency,FixingType,$C48,Currency&amp;$D48,Currency&amp;$E48,Permanent,Trigger,ObjectOverwrite)</f>
        <v>EurLiborSwapIsdaFixA42Y#0002</v>
      </c>
      <c r="H48" s="55" t="str">
        <f>_xll.ohRangeRetrieveError(G48)</f>
        <v/>
      </c>
      <c r="I48" s="54"/>
    </row>
    <row r="49" spans="2:9" s="50" customFormat="1" x14ac:dyDescent="0.2">
      <c r="B49" s="60"/>
      <c r="C49" s="59" t="s">
        <v>74</v>
      </c>
      <c r="D49" s="58" t="s">
        <v>18</v>
      </c>
      <c r="E49" s="58" t="s">
        <v>23</v>
      </c>
      <c r="F49" s="57" t="str">
        <f t="shared" si="1"/>
        <v>EurLiborSwapIsdaFixA43Y</v>
      </c>
      <c r="G49" s="56" t="str">
        <f>_xll.qlLiborSwap($F49,Currency,FixingType,$C49,Currency&amp;$D49,Currency&amp;$E49,Permanent,Trigger,ObjectOverwrite)</f>
        <v>EurLiborSwapIsdaFixA43Y#0002</v>
      </c>
      <c r="H49" s="55" t="str">
        <f>_xll.ohRangeRetrieveError(G49)</f>
        <v/>
      </c>
      <c r="I49" s="54"/>
    </row>
    <row r="50" spans="2:9" s="50" customFormat="1" x14ac:dyDescent="0.2">
      <c r="B50" s="60"/>
      <c r="C50" s="59" t="s">
        <v>73</v>
      </c>
      <c r="D50" s="58" t="s">
        <v>18</v>
      </c>
      <c r="E50" s="58" t="s">
        <v>23</v>
      </c>
      <c r="F50" s="57" t="str">
        <f t="shared" si="1"/>
        <v>EurLiborSwapIsdaFixA44Y</v>
      </c>
      <c r="G50" s="56" t="str">
        <f>_xll.qlLiborSwap($F50,Currency,FixingType,$C50,Currency&amp;$D50,Currency&amp;$E50,Permanent,Trigger,ObjectOverwrite)</f>
        <v>EurLiborSwapIsdaFixA44Y#0002</v>
      </c>
      <c r="H50" s="55" t="str">
        <f>_xll.ohRangeRetrieveError(G50)</f>
        <v/>
      </c>
      <c r="I50" s="54"/>
    </row>
    <row r="51" spans="2:9" s="50" customFormat="1" x14ac:dyDescent="0.2">
      <c r="B51" s="60"/>
      <c r="C51" s="59" t="s">
        <v>72</v>
      </c>
      <c r="D51" s="58" t="s">
        <v>18</v>
      </c>
      <c r="E51" s="58" t="s">
        <v>23</v>
      </c>
      <c r="F51" s="57" t="str">
        <f t="shared" si="1"/>
        <v>EurLiborSwapIsdaFixA45Y</v>
      </c>
      <c r="G51" s="56" t="str">
        <f>_xll.qlLiborSwap($F51,Currency,FixingType,$C51,Currency&amp;$D51,Currency&amp;$E51,Permanent,Trigger,ObjectOverwrite)</f>
        <v>EurLiborSwapIsdaFixA45Y#0002</v>
      </c>
      <c r="H51" s="55" t="str">
        <f>_xll.ohRangeRetrieveError(G51)</f>
        <v/>
      </c>
      <c r="I51" s="54"/>
    </row>
    <row r="52" spans="2:9" s="50" customFormat="1" x14ac:dyDescent="0.2">
      <c r="B52" s="60"/>
      <c r="C52" s="59" t="s">
        <v>71</v>
      </c>
      <c r="D52" s="58" t="s">
        <v>18</v>
      </c>
      <c r="E52" s="58" t="s">
        <v>23</v>
      </c>
      <c r="F52" s="57" t="str">
        <f t="shared" si="1"/>
        <v>EurLiborSwapIsdaFixA46Y</v>
      </c>
      <c r="G52" s="56" t="str">
        <f>_xll.qlLiborSwap($F52,Currency,FixingType,$C52,Currency&amp;$D52,Currency&amp;$E52,Permanent,Trigger,ObjectOverwrite)</f>
        <v>EurLiborSwapIsdaFixA46Y#0002</v>
      </c>
      <c r="H52" s="55" t="str">
        <f>_xll.ohRangeRetrieveError(G52)</f>
        <v/>
      </c>
      <c r="I52" s="54"/>
    </row>
    <row r="53" spans="2:9" s="50" customFormat="1" x14ac:dyDescent="0.2">
      <c r="B53" s="60"/>
      <c r="C53" s="59" t="s">
        <v>70</v>
      </c>
      <c r="D53" s="58" t="s">
        <v>18</v>
      </c>
      <c r="E53" s="58" t="s">
        <v>23</v>
      </c>
      <c r="F53" s="57" t="str">
        <f t="shared" si="1"/>
        <v>EurLiborSwapIsdaFixA47Y</v>
      </c>
      <c r="G53" s="56" t="str">
        <f>_xll.qlLiborSwap($F53,Currency,FixingType,$C53,Currency&amp;$D53,Currency&amp;$E53,Permanent,Trigger,ObjectOverwrite)</f>
        <v>EurLiborSwapIsdaFixA47Y#0002</v>
      </c>
      <c r="H53" s="55" t="str">
        <f>_xll.ohRangeRetrieveError(G53)</f>
        <v/>
      </c>
      <c r="I53" s="54"/>
    </row>
    <row r="54" spans="2:9" s="50" customFormat="1" x14ac:dyDescent="0.2">
      <c r="B54" s="60"/>
      <c r="C54" s="59" t="s">
        <v>69</v>
      </c>
      <c r="D54" s="58" t="s">
        <v>18</v>
      </c>
      <c r="E54" s="58" t="s">
        <v>23</v>
      </c>
      <c r="F54" s="57" t="str">
        <f t="shared" si="1"/>
        <v>EurLiborSwapIsdaFixA48Y</v>
      </c>
      <c r="G54" s="56" t="str">
        <f>_xll.qlLiborSwap($F54,Currency,FixingType,$C54,Currency&amp;$D54,Currency&amp;$E54,Permanent,Trigger,ObjectOverwrite)</f>
        <v>EurLiborSwapIsdaFixA48Y#0002</v>
      </c>
      <c r="H54" s="55" t="str">
        <f>_xll.ohRangeRetrieveError(G54)</f>
        <v/>
      </c>
      <c r="I54" s="54"/>
    </row>
    <row r="55" spans="2:9" s="50" customFormat="1" x14ac:dyDescent="0.2">
      <c r="B55" s="60"/>
      <c r="C55" s="59" t="s">
        <v>68</v>
      </c>
      <c r="D55" s="58" t="s">
        <v>18</v>
      </c>
      <c r="E55" s="58" t="s">
        <v>23</v>
      </c>
      <c r="F55" s="57" t="str">
        <f t="shared" si="1"/>
        <v>EurLiborSwapIsdaFixA49Y</v>
      </c>
      <c r="G55" s="56" t="str">
        <f>_xll.qlLiborSwap($F55,Currency,FixingType,$C55,Currency&amp;$D55,Currency&amp;$E55,Permanent,Trigger,ObjectOverwrite)</f>
        <v>EurLiborSwapIsdaFixA49Y#0002</v>
      </c>
      <c r="H55" s="55" t="str">
        <f>_xll.ohRangeRetrieveError(G55)</f>
        <v/>
      </c>
      <c r="I55" s="54"/>
    </row>
    <row r="56" spans="2:9" s="50" customFormat="1" x14ac:dyDescent="0.2">
      <c r="B56" s="60"/>
      <c r="C56" s="59" t="s">
        <v>67</v>
      </c>
      <c r="D56" s="58" t="s">
        <v>18</v>
      </c>
      <c r="E56" s="58" t="s">
        <v>23</v>
      </c>
      <c r="F56" s="57" t="str">
        <f t="shared" si="1"/>
        <v>EurLiborSwapIsdaFixA50Y</v>
      </c>
      <c r="G56" s="56" t="str">
        <f>_xll.qlLiborSwap($F56,Currency,FixingType,$C56,Currency&amp;$D56,Currency&amp;$E56,Permanent,Trigger,ObjectOverwrite)</f>
        <v>EurLiborSwapIsdaFixA50Y#0002</v>
      </c>
      <c r="H56" s="55" t="str">
        <f>_xll.ohRangeRetrieveError(G56)</f>
        <v/>
      </c>
      <c r="I56" s="54"/>
    </row>
    <row r="57" spans="2:9" s="50" customFormat="1" x14ac:dyDescent="0.2">
      <c r="B57" s="60"/>
      <c r="C57" s="59" t="s">
        <v>66</v>
      </c>
      <c r="D57" s="58" t="s">
        <v>18</v>
      </c>
      <c r="E57" s="58" t="s">
        <v>23</v>
      </c>
      <c r="F57" s="57" t="str">
        <f t="shared" si="1"/>
        <v>EurLiborSwapIsdaFixA51Y</v>
      </c>
      <c r="G57" s="56" t="str">
        <f>_xll.qlLiborSwap($F57,Currency,FixingType,$C57,Currency&amp;$D57,Currency&amp;$E57,Permanent,Trigger,ObjectOverwrite)</f>
        <v>EurLiborSwapIsdaFixA51Y#0002</v>
      </c>
      <c r="H57" s="55" t="str">
        <f>_xll.ohRangeRetrieveError(G57)</f>
        <v/>
      </c>
      <c r="I57" s="54"/>
    </row>
    <row r="58" spans="2:9" s="50" customFormat="1" x14ac:dyDescent="0.2">
      <c r="B58" s="60"/>
      <c r="C58" s="59" t="s">
        <v>65</v>
      </c>
      <c r="D58" s="58" t="s">
        <v>18</v>
      </c>
      <c r="E58" s="58" t="s">
        <v>23</v>
      </c>
      <c r="F58" s="57" t="str">
        <f t="shared" si="1"/>
        <v>EurLiborSwapIsdaFixA52Y</v>
      </c>
      <c r="G58" s="56" t="str">
        <f>_xll.qlLiborSwap($F58,Currency,FixingType,$C58,Currency&amp;$D58,Currency&amp;$E58,Permanent,Trigger,ObjectOverwrite)</f>
        <v>EurLiborSwapIsdaFixA52Y#0002</v>
      </c>
      <c r="H58" s="55" t="str">
        <f>_xll.ohRangeRetrieveError(G58)</f>
        <v/>
      </c>
      <c r="I58" s="54"/>
    </row>
    <row r="59" spans="2:9" s="50" customFormat="1" x14ac:dyDescent="0.2">
      <c r="B59" s="60"/>
      <c r="C59" s="59" t="s">
        <v>64</v>
      </c>
      <c r="D59" s="58" t="s">
        <v>18</v>
      </c>
      <c r="E59" s="58" t="s">
        <v>23</v>
      </c>
      <c r="F59" s="57" t="str">
        <f t="shared" si="1"/>
        <v>EurLiborSwapIsdaFixA53Y</v>
      </c>
      <c r="G59" s="56" t="str">
        <f>_xll.qlLiborSwap($F59,Currency,FixingType,$C59,Currency&amp;$D59,Currency&amp;$E59,Permanent,Trigger,ObjectOverwrite)</f>
        <v>EurLiborSwapIsdaFixA53Y#0002</v>
      </c>
      <c r="H59" s="55" t="str">
        <f>_xll.ohRangeRetrieveError(G59)</f>
        <v/>
      </c>
      <c r="I59" s="54"/>
    </row>
    <row r="60" spans="2:9" s="50" customFormat="1" x14ac:dyDescent="0.2">
      <c r="B60" s="60"/>
      <c r="C60" s="59" t="s">
        <v>63</v>
      </c>
      <c r="D60" s="58" t="s">
        <v>18</v>
      </c>
      <c r="E60" s="58" t="s">
        <v>23</v>
      </c>
      <c r="F60" s="57" t="str">
        <f t="shared" si="1"/>
        <v>EurLiborSwapIsdaFixA54Y</v>
      </c>
      <c r="G60" s="56" t="str">
        <f>_xll.qlLiborSwap($F60,Currency,FixingType,$C60,Currency&amp;$D60,Currency&amp;$E60,Permanent,Trigger,ObjectOverwrite)</f>
        <v>EurLiborSwapIsdaFixA54Y#0002</v>
      </c>
      <c r="H60" s="55" t="str">
        <f>_xll.ohRangeRetrieveError(G60)</f>
        <v/>
      </c>
      <c r="I60" s="54"/>
    </row>
    <row r="61" spans="2:9" s="50" customFormat="1" x14ac:dyDescent="0.2">
      <c r="B61" s="60"/>
      <c r="C61" s="59" t="s">
        <v>62</v>
      </c>
      <c r="D61" s="58" t="s">
        <v>18</v>
      </c>
      <c r="E61" s="58" t="s">
        <v>23</v>
      </c>
      <c r="F61" s="57" t="str">
        <f t="shared" si="1"/>
        <v>EurLiborSwapIsdaFixA55Y</v>
      </c>
      <c r="G61" s="56" t="str">
        <f>_xll.qlLiborSwap($F61,Currency,FixingType,$C61,Currency&amp;$D61,Currency&amp;$E61,Permanent,Trigger,ObjectOverwrite)</f>
        <v>EurLiborSwapIsdaFixA55Y#0002</v>
      </c>
      <c r="H61" s="55" t="str">
        <f>_xll.ohRangeRetrieveError(G61)</f>
        <v/>
      </c>
      <c r="I61" s="54"/>
    </row>
    <row r="62" spans="2:9" s="50" customFormat="1" x14ac:dyDescent="0.2">
      <c r="B62" s="60"/>
      <c r="C62" s="59" t="s">
        <v>61</v>
      </c>
      <c r="D62" s="58" t="s">
        <v>18</v>
      </c>
      <c r="E62" s="58" t="s">
        <v>23</v>
      </c>
      <c r="F62" s="57" t="str">
        <f t="shared" si="1"/>
        <v>EurLiborSwapIsdaFixA56Y</v>
      </c>
      <c r="G62" s="56" t="str">
        <f>_xll.qlLiborSwap($F62,Currency,FixingType,$C62,Currency&amp;$D62,Currency&amp;$E62,Permanent,Trigger,ObjectOverwrite)</f>
        <v>EurLiborSwapIsdaFixA56Y#0002</v>
      </c>
      <c r="H62" s="55" t="str">
        <f>_xll.ohRangeRetrieveError(G62)</f>
        <v/>
      </c>
      <c r="I62" s="54"/>
    </row>
    <row r="63" spans="2:9" s="50" customFormat="1" x14ac:dyDescent="0.2">
      <c r="B63" s="60"/>
      <c r="C63" s="59" t="s">
        <v>60</v>
      </c>
      <c r="D63" s="58" t="s">
        <v>18</v>
      </c>
      <c r="E63" s="58" t="s">
        <v>23</v>
      </c>
      <c r="F63" s="57" t="str">
        <f t="shared" si="1"/>
        <v>EurLiborSwapIsdaFixA57Y</v>
      </c>
      <c r="G63" s="56" t="str">
        <f>_xll.qlLiborSwap($F63,Currency,FixingType,$C63,Currency&amp;$D63,Currency&amp;$E63,Permanent,Trigger,ObjectOverwrite)</f>
        <v>EurLiborSwapIsdaFixA57Y#0002</v>
      </c>
      <c r="H63" s="55" t="str">
        <f>_xll.ohRangeRetrieveError(G63)</f>
        <v/>
      </c>
      <c r="I63" s="54"/>
    </row>
    <row r="64" spans="2:9" s="50" customFormat="1" x14ac:dyDescent="0.2">
      <c r="B64" s="60"/>
      <c r="C64" s="59" t="s">
        <v>59</v>
      </c>
      <c r="D64" s="58" t="s">
        <v>18</v>
      </c>
      <c r="E64" s="58" t="s">
        <v>23</v>
      </c>
      <c r="F64" s="57" t="str">
        <f t="shared" si="1"/>
        <v>EurLiborSwapIsdaFixA58Y</v>
      </c>
      <c r="G64" s="56" t="str">
        <f>_xll.qlLiborSwap($F64,Currency,FixingType,$C64,Currency&amp;$D64,Currency&amp;$E64,Permanent,Trigger,ObjectOverwrite)</f>
        <v>EurLiborSwapIsdaFixA58Y#0002</v>
      </c>
      <c r="H64" s="55" t="str">
        <f>_xll.ohRangeRetrieveError(G64)</f>
        <v/>
      </c>
      <c r="I64" s="54"/>
    </row>
    <row r="65" spans="2:9" s="50" customFormat="1" x14ac:dyDescent="0.2">
      <c r="B65" s="60"/>
      <c r="C65" s="59" t="s">
        <v>58</v>
      </c>
      <c r="D65" s="58" t="s">
        <v>18</v>
      </c>
      <c r="E65" s="58" t="s">
        <v>23</v>
      </c>
      <c r="F65" s="57" t="str">
        <f t="shared" si="1"/>
        <v>EurLiborSwapIsdaFixA59Y</v>
      </c>
      <c r="G65" s="56" t="str">
        <f>_xll.qlLiborSwap($F65,Currency,FixingType,$C65,Currency&amp;$D65,Currency&amp;$E65,Permanent,Trigger,ObjectOverwrite)</f>
        <v>EurLiborSwapIsdaFixA59Y#0002</v>
      </c>
      <c r="H65" s="55" t="str">
        <f>_xll.ohRangeRetrieveError(G65)</f>
        <v/>
      </c>
      <c r="I65" s="54"/>
    </row>
    <row r="66" spans="2:9" s="50" customFormat="1" x14ac:dyDescent="0.2">
      <c r="B66" s="60"/>
      <c r="C66" s="59" t="s">
        <v>57</v>
      </c>
      <c r="D66" s="58" t="s">
        <v>18</v>
      </c>
      <c r="E66" s="58" t="s">
        <v>23</v>
      </c>
      <c r="F66" s="57" t="str">
        <f t="shared" si="1"/>
        <v>EurLiborSwapIsdaFixA60Y</v>
      </c>
      <c r="G66" s="56" t="str">
        <f>_xll.qlLiborSwap($F66,Currency,FixingType,$C66,Currency&amp;$D66,Currency&amp;$E66,Permanent,Trigger,ObjectOverwrite)</f>
        <v>EurLiborSwapIsdaFixA60Y#0002</v>
      </c>
      <c r="H66" s="55" t="str">
        <f>_xll.ohRangeRetrieveError(G66)</f>
        <v/>
      </c>
      <c r="I66" s="54"/>
    </row>
    <row r="67" spans="2:9" s="50" customFormat="1" ht="12" thickBot="1" x14ac:dyDescent="0.25">
      <c r="B67" s="53"/>
      <c r="C67" s="52"/>
      <c r="D67" s="52"/>
      <c r="E67" s="52"/>
      <c r="F67" s="52"/>
      <c r="G67" s="52"/>
      <c r="H67" s="52"/>
      <c r="I67" s="51"/>
    </row>
    <row r="68" spans="2:9" s="50" customFormat="1" x14ac:dyDescent="0.2"/>
  </sheetData>
  <pageMargins left="0.75" right="0.75" top="1" bottom="1" header="0.5" footer="0.5"/>
  <pageSetup paperSize="9"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I68"/>
  <sheetViews>
    <sheetView workbookViewId="0"/>
  </sheetViews>
  <sheetFormatPr defaultRowHeight="11.25" x14ac:dyDescent="0.2"/>
  <cols>
    <col min="1" max="1" width="3.140625" style="22" customWidth="1"/>
    <col min="2" max="2" width="4.42578125" style="22" customWidth="1"/>
    <col min="3" max="3" width="3.85546875" style="22" bestFit="1" customWidth="1"/>
    <col min="4" max="4" width="7.7109375" style="22" bestFit="1" customWidth="1"/>
    <col min="5" max="5" width="8.5703125" style="22" bestFit="1" customWidth="1"/>
    <col min="6" max="6" width="21" style="22" bestFit="1" customWidth="1"/>
    <col min="7" max="7" width="24.28515625" style="22" bestFit="1" customWidth="1"/>
    <col min="8" max="8" width="55" style="22" customWidth="1"/>
    <col min="9" max="9" width="5.28515625" style="22" customWidth="1"/>
    <col min="10" max="16384" width="9.140625" style="22"/>
  </cols>
  <sheetData>
    <row r="1" spans="1:9" s="50" customFormat="1" ht="12" thickBot="1" x14ac:dyDescent="0.25">
      <c r="A1" s="50" t="s">
        <v>128</v>
      </c>
    </row>
    <row r="2" spans="1:9" s="50" customFormat="1" x14ac:dyDescent="0.2">
      <c r="B2" s="71"/>
      <c r="C2" s="69"/>
      <c r="D2" s="69"/>
      <c r="E2" s="69"/>
      <c r="F2" s="70"/>
      <c r="G2" s="69"/>
      <c r="H2" s="69"/>
      <c r="I2" s="68"/>
    </row>
    <row r="3" spans="1:9" s="50" customFormat="1" x14ac:dyDescent="0.2">
      <c r="B3" s="60"/>
      <c r="C3" s="66"/>
      <c r="D3" s="66"/>
      <c r="E3" s="66"/>
      <c r="F3" s="67" t="s">
        <v>54</v>
      </c>
      <c r="G3" s="63" t="s">
        <v>127</v>
      </c>
      <c r="H3" s="66"/>
      <c r="I3" s="62"/>
    </row>
    <row r="4" spans="1:9" s="50" customFormat="1" x14ac:dyDescent="0.2">
      <c r="B4" s="60"/>
      <c r="C4" s="66"/>
      <c r="D4" s="66"/>
      <c r="E4" s="66"/>
      <c r="F4" s="67" t="s">
        <v>119</v>
      </c>
      <c r="G4" s="63" t="s">
        <v>121</v>
      </c>
      <c r="H4" s="66"/>
      <c r="I4" s="62"/>
    </row>
    <row r="5" spans="1:9" s="50" customFormat="1" x14ac:dyDescent="0.2">
      <c r="B5" s="60"/>
      <c r="C5" s="66"/>
      <c r="D5" s="66"/>
      <c r="E5" s="66"/>
      <c r="F5" s="66"/>
      <c r="G5" s="66"/>
      <c r="H5" s="66"/>
      <c r="I5" s="62"/>
    </row>
    <row r="6" spans="1:9" s="50" customFormat="1" x14ac:dyDescent="0.2">
      <c r="B6" s="60"/>
      <c r="C6" s="66"/>
      <c r="D6" s="65" t="s">
        <v>117</v>
      </c>
      <c r="E6" s="65" t="s">
        <v>116</v>
      </c>
      <c r="F6" s="72" t="str">
        <f>PROPER(Currency)&amp;FamilyName&amp;FixingType&amp;".xml"</f>
        <v>EurLiborSwapIsdaFixB.xml</v>
      </c>
      <c r="G6" s="63">
        <f ca="1">IF(Serialize,_xll.ohObjectSave(G7:G66,SerializationPath&amp;FileName,FileOverwrite,,Serialize),"---")</f>
        <v>60</v>
      </c>
      <c r="H6" s="55" t="str">
        <f ca="1">_xll.ohRangeRetrieveError(G6)</f>
        <v/>
      </c>
      <c r="I6" s="62"/>
    </row>
    <row r="7" spans="1:9" s="50" customFormat="1" x14ac:dyDescent="0.2">
      <c r="B7" s="60"/>
      <c r="C7" s="59" t="s">
        <v>34</v>
      </c>
      <c r="D7" s="61" t="s">
        <v>19</v>
      </c>
      <c r="E7" s="58" t="s">
        <v>23</v>
      </c>
      <c r="F7" s="57" t="str">
        <f t="shared" ref="F7:F38" si="0">PROPER(Currency)&amp;FamilyName&amp;FixingType&amp;$C7</f>
        <v>EurLiborSwapIsdaFixB1Y</v>
      </c>
      <c r="G7" s="56" t="str">
        <f>_xll.qlLiborSwap($F7,Currency,FixingType,$C7,Currency&amp;$D7,Currency&amp;$E7,Permanent,Trigger,ObjectOverwrite)</f>
        <v>EurLiborSwapIsdaFixB1Y#0002</v>
      </c>
      <c r="H7" s="55" t="str">
        <f>_xll.ohRangeRetrieveError(G7)</f>
        <v/>
      </c>
      <c r="I7" s="54"/>
    </row>
    <row r="8" spans="1:9" s="50" customFormat="1" x14ac:dyDescent="0.2">
      <c r="B8" s="60"/>
      <c r="C8" s="59" t="s">
        <v>115</v>
      </c>
      <c r="D8" s="58" t="s">
        <v>18</v>
      </c>
      <c r="E8" s="58" t="s">
        <v>23</v>
      </c>
      <c r="F8" s="57" t="str">
        <f t="shared" si="0"/>
        <v>EurLiborSwapIsdaFixB2Y</v>
      </c>
      <c r="G8" s="56" t="str">
        <f>_xll.qlLiborSwap($F8,Currency,FixingType,$C8,Currency&amp;$D8,Currency&amp;$E8,Permanent,Trigger,ObjectOverwrite)</f>
        <v>EurLiborSwapIsdaFixB2Y#0002</v>
      </c>
      <c r="H8" s="55" t="str">
        <f>_xll.ohRangeRetrieveError(G8)</f>
        <v/>
      </c>
      <c r="I8" s="54"/>
    </row>
    <row r="9" spans="1:9" s="50" customFormat="1" x14ac:dyDescent="0.2">
      <c r="B9" s="60"/>
      <c r="C9" s="59" t="s">
        <v>114</v>
      </c>
      <c r="D9" s="58" t="s">
        <v>18</v>
      </c>
      <c r="E9" s="58" t="s">
        <v>23</v>
      </c>
      <c r="F9" s="57" t="str">
        <f t="shared" si="0"/>
        <v>EurLiborSwapIsdaFixB3Y</v>
      </c>
      <c r="G9" s="56" t="str">
        <f>_xll.qlLiborSwap($F9,Currency,FixingType,$C9,Currency&amp;$D9,Currency&amp;$E9,Permanent,Trigger,ObjectOverwrite)</f>
        <v>EurLiborSwapIsdaFixB3Y#0002</v>
      </c>
      <c r="H9" s="55" t="str">
        <f>_xll.ohRangeRetrieveError(G9)</f>
        <v/>
      </c>
      <c r="I9" s="54"/>
    </row>
    <row r="10" spans="1:9" s="50" customFormat="1" x14ac:dyDescent="0.2">
      <c r="B10" s="60"/>
      <c r="C10" s="59" t="s">
        <v>113</v>
      </c>
      <c r="D10" s="58" t="s">
        <v>18</v>
      </c>
      <c r="E10" s="58" t="s">
        <v>23</v>
      </c>
      <c r="F10" s="57" t="str">
        <f t="shared" si="0"/>
        <v>EurLiborSwapIsdaFixB4Y</v>
      </c>
      <c r="G10" s="56" t="str">
        <f>_xll.qlLiborSwap($F10,Currency,FixingType,$C10,Currency&amp;$D10,Currency&amp;$E10,Permanent,Trigger,ObjectOverwrite)</f>
        <v>EurLiborSwapIsdaFixB4Y#0002</v>
      </c>
      <c r="H10" s="55" t="str">
        <f>_xll.ohRangeRetrieveError(G10)</f>
        <v/>
      </c>
      <c r="I10" s="54"/>
    </row>
    <row r="11" spans="1:9" s="50" customFormat="1" x14ac:dyDescent="0.2">
      <c r="B11" s="60"/>
      <c r="C11" s="59" t="s">
        <v>112</v>
      </c>
      <c r="D11" s="58" t="s">
        <v>18</v>
      </c>
      <c r="E11" s="58" t="s">
        <v>23</v>
      </c>
      <c r="F11" s="57" t="str">
        <f t="shared" si="0"/>
        <v>EurLiborSwapIsdaFixB5Y</v>
      </c>
      <c r="G11" s="56" t="str">
        <f>_xll.qlLiborSwap($F11,Currency,FixingType,$C11,Currency&amp;$D11,Currency&amp;$E11,Permanent,Trigger,ObjectOverwrite)</f>
        <v>EurLiborSwapIsdaFixB5Y#0002</v>
      </c>
      <c r="H11" s="55" t="str">
        <f>_xll.ohRangeRetrieveError(G11)</f>
        <v/>
      </c>
      <c r="I11" s="54"/>
    </row>
    <row r="12" spans="1:9" s="50" customFormat="1" x14ac:dyDescent="0.2">
      <c r="B12" s="60"/>
      <c r="C12" s="59" t="s">
        <v>111</v>
      </c>
      <c r="D12" s="58" t="s">
        <v>18</v>
      </c>
      <c r="E12" s="58" t="s">
        <v>23</v>
      </c>
      <c r="F12" s="57" t="str">
        <f t="shared" si="0"/>
        <v>EurLiborSwapIsdaFixB6Y</v>
      </c>
      <c r="G12" s="56" t="str">
        <f>_xll.qlLiborSwap($F12,Currency,FixingType,$C12,Currency&amp;$D12,Currency&amp;$E12,Permanent,Trigger,ObjectOverwrite)</f>
        <v>EurLiborSwapIsdaFixB6Y#0002</v>
      </c>
      <c r="H12" s="55" t="str">
        <f>_xll.ohRangeRetrieveError(G12)</f>
        <v/>
      </c>
      <c r="I12" s="54"/>
    </row>
    <row r="13" spans="1:9" s="50" customFormat="1" x14ac:dyDescent="0.2">
      <c r="B13" s="60"/>
      <c r="C13" s="59" t="s">
        <v>110</v>
      </c>
      <c r="D13" s="58" t="s">
        <v>18</v>
      </c>
      <c r="E13" s="58" t="s">
        <v>23</v>
      </c>
      <c r="F13" s="57" t="str">
        <f t="shared" si="0"/>
        <v>EurLiborSwapIsdaFixB7Y</v>
      </c>
      <c r="G13" s="56" t="str">
        <f>_xll.qlLiborSwap($F13,Currency,FixingType,$C13,Currency&amp;$D13,Currency&amp;$E13,Permanent,Trigger,ObjectOverwrite)</f>
        <v>EurLiborSwapIsdaFixB7Y#0002</v>
      </c>
      <c r="H13" s="55" t="str">
        <f>_xll.ohRangeRetrieveError(G13)</f>
        <v/>
      </c>
      <c r="I13" s="54"/>
    </row>
    <row r="14" spans="1:9" s="50" customFormat="1" x14ac:dyDescent="0.2">
      <c r="B14" s="60"/>
      <c r="C14" s="59" t="s">
        <v>109</v>
      </c>
      <c r="D14" s="58" t="s">
        <v>18</v>
      </c>
      <c r="E14" s="58" t="s">
        <v>23</v>
      </c>
      <c r="F14" s="57" t="str">
        <f t="shared" si="0"/>
        <v>EurLiborSwapIsdaFixB8Y</v>
      </c>
      <c r="G14" s="56" t="str">
        <f>_xll.qlLiborSwap($F14,Currency,FixingType,$C14,Currency&amp;$D14,Currency&amp;$E14,Permanent,Trigger,ObjectOverwrite)</f>
        <v>EurLiborSwapIsdaFixB8Y#0002</v>
      </c>
      <c r="H14" s="55" t="str">
        <f>_xll.ohRangeRetrieveError(G14)</f>
        <v/>
      </c>
      <c r="I14" s="54"/>
    </row>
    <row r="15" spans="1:9" s="50" customFormat="1" x14ac:dyDescent="0.2">
      <c r="B15" s="60"/>
      <c r="C15" s="59" t="s">
        <v>108</v>
      </c>
      <c r="D15" s="58" t="s">
        <v>18</v>
      </c>
      <c r="E15" s="58" t="s">
        <v>23</v>
      </c>
      <c r="F15" s="57" t="str">
        <f t="shared" si="0"/>
        <v>EurLiborSwapIsdaFixB9Y</v>
      </c>
      <c r="G15" s="56" t="str">
        <f>_xll.qlLiborSwap($F15,Currency,FixingType,$C15,Currency&amp;$D15,Currency&amp;$E15,Permanent,Trigger,ObjectOverwrite)</f>
        <v>EurLiborSwapIsdaFixB9Y#0002</v>
      </c>
      <c r="H15" s="55" t="str">
        <f>_xll.ohRangeRetrieveError(G15)</f>
        <v/>
      </c>
      <c r="I15" s="54"/>
    </row>
    <row r="16" spans="1:9" s="50" customFormat="1" x14ac:dyDescent="0.2">
      <c r="B16" s="60"/>
      <c r="C16" s="59" t="s">
        <v>107</v>
      </c>
      <c r="D16" s="58" t="s">
        <v>18</v>
      </c>
      <c r="E16" s="58" t="s">
        <v>23</v>
      </c>
      <c r="F16" s="57" t="str">
        <f t="shared" si="0"/>
        <v>EurLiborSwapIsdaFixB10Y</v>
      </c>
      <c r="G16" s="56" t="str">
        <f>_xll.qlLiborSwap($F16,Currency,FixingType,$C16,Currency&amp;$D16,Currency&amp;$E16,Permanent,Trigger,ObjectOverwrite)</f>
        <v>EurLiborSwapIsdaFixB10Y#0002</v>
      </c>
      <c r="H16" s="55" t="str">
        <f>_xll.ohRangeRetrieveError(G16)</f>
        <v/>
      </c>
      <c r="I16" s="54"/>
    </row>
    <row r="17" spans="2:9" s="50" customFormat="1" x14ac:dyDescent="0.2">
      <c r="B17" s="60"/>
      <c r="C17" s="59" t="s">
        <v>106</v>
      </c>
      <c r="D17" s="58" t="s">
        <v>18</v>
      </c>
      <c r="E17" s="58" t="s">
        <v>23</v>
      </c>
      <c r="F17" s="57" t="str">
        <f t="shared" si="0"/>
        <v>EurLiborSwapIsdaFixB11Y</v>
      </c>
      <c r="G17" s="56" t="str">
        <f>_xll.qlLiborSwap($F17,Currency,FixingType,$C17,Currency&amp;$D17,Currency&amp;$E17,Permanent,Trigger,ObjectOverwrite)</f>
        <v>EurLiborSwapIsdaFixB11Y#0002</v>
      </c>
      <c r="H17" s="55" t="str">
        <f>_xll.ohRangeRetrieveError(G17)</f>
        <v/>
      </c>
      <c r="I17" s="54"/>
    </row>
    <row r="18" spans="2:9" s="50" customFormat="1" x14ac:dyDescent="0.2">
      <c r="B18" s="60"/>
      <c r="C18" s="59" t="s">
        <v>105</v>
      </c>
      <c r="D18" s="58" t="s">
        <v>18</v>
      </c>
      <c r="E18" s="58" t="s">
        <v>23</v>
      </c>
      <c r="F18" s="57" t="str">
        <f t="shared" si="0"/>
        <v>EurLiborSwapIsdaFixB12Y</v>
      </c>
      <c r="G18" s="56" t="str">
        <f>_xll.qlLiborSwap($F18,Currency,FixingType,$C18,Currency&amp;$D18,Currency&amp;$E18,Permanent,Trigger,ObjectOverwrite)</f>
        <v>EurLiborSwapIsdaFixB12Y#0002</v>
      </c>
      <c r="H18" s="55" t="str">
        <f>_xll.ohRangeRetrieveError(G18)</f>
        <v/>
      </c>
      <c r="I18" s="54"/>
    </row>
    <row r="19" spans="2:9" s="50" customFormat="1" x14ac:dyDescent="0.2">
      <c r="B19" s="60"/>
      <c r="C19" s="59" t="s">
        <v>104</v>
      </c>
      <c r="D19" s="58" t="s">
        <v>18</v>
      </c>
      <c r="E19" s="58" t="s">
        <v>23</v>
      </c>
      <c r="F19" s="57" t="str">
        <f t="shared" si="0"/>
        <v>EurLiborSwapIsdaFixB13Y</v>
      </c>
      <c r="G19" s="56" t="str">
        <f>_xll.qlLiborSwap($F19,Currency,FixingType,$C19,Currency&amp;$D19,Currency&amp;$E19,Permanent,Trigger,ObjectOverwrite)</f>
        <v>EurLiborSwapIsdaFixB13Y#0002</v>
      </c>
      <c r="H19" s="55" t="str">
        <f>_xll.ohRangeRetrieveError(G19)</f>
        <v/>
      </c>
      <c r="I19" s="54"/>
    </row>
    <row r="20" spans="2:9" s="50" customFormat="1" x14ac:dyDescent="0.2">
      <c r="B20" s="60"/>
      <c r="C20" s="59" t="s">
        <v>103</v>
      </c>
      <c r="D20" s="58" t="s">
        <v>18</v>
      </c>
      <c r="E20" s="58" t="s">
        <v>23</v>
      </c>
      <c r="F20" s="57" t="str">
        <f t="shared" si="0"/>
        <v>EurLiborSwapIsdaFixB14Y</v>
      </c>
      <c r="G20" s="56" t="str">
        <f>_xll.qlLiborSwap($F20,Currency,FixingType,$C20,Currency&amp;$D20,Currency&amp;$E20,Permanent,Trigger,ObjectOverwrite)</f>
        <v>EurLiborSwapIsdaFixB14Y#0002</v>
      </c>
      <c r="H20" s="55" t="str">
        <f>_xll.ohRangeRetrieveError(G20)</f>
        <v/>
      </c>
      <c r="I20" s="54"/>
    </row>
    <row r="21" spans="2:9" s="50" customFormat="1" x14ac:dyDescent="0.2">
      <c r="B21" s="60"/>
      <c r="C21" s="59" t="s">
        <v>102</v>
      </c>
      <c r="D21" s="58" t="s">
        <v>18</v>
      </c>
      <c r="E21" s="58" t="s">
        <v>23</v>
      </c>
      <c r="F21" s="57" t="str">
        <f t="shared" si="0"/>
        <v>EurLiborSwapIsdaFixB15Y</v>
      </c>
      <c r="G21" s="56" t="str">
        <f>_xll.qlLiborSwap($F21,Currency,FixingType,$C21,Currency&amp;$D21,Currency&amp;$E21,Permanent,Trigger,ObjectOverwrite)</f>
        <v>EurLiborSwapIsdaFixB15Y#0002</v>
      </c>
      <c r="H21" s="55" t="str">
        <f>_xll.ohRangeRetrieveError(G21)</f>
        <v/>
      </c>
      <c r="I21" s="54"/>
    </row>
    <row r="22" spans="2:9" s="50" customFormat="1" x14ac:dyDescent="0.2">
      <c r="B22" s="60"/>
      <c r="C22" s="59" t="s">
        <v>101</v>
      </c>
      <c r="D22" s="58" t="s">
        <v>18</v>
      </c>
      <c r="E22" s="58" t="s">
        <v>23</v>
      </c>
      <c r="F22" s="57" t="str">
        <f t="shared" si="0"/>
        <v>EurLiborSwapIsdaFixB16Y</v>
      </c>
      <c r="G22" s="56" t="str">
        <f>_xll.qlLiborSwap($F22,Currency,FixingType,$C22,Currency&amp;$D22,Currency&amp;$E22,Permanent,Trigger,ObjectOverwrite)</f>
        <v>EurLiborSwapIsdaFixB16Y#0002</v>
      </c>
      <c r="H22" s="55" t="str">
        <f>_xll.ohRangeRetrieveError(G22)</f>
        <v/>
      </c>
      <c r="I22" s="54"/>
    </row>
    <row r="23" spans="2:9" s="50" customFormat="1" x14ac:dyDescent="0.2">
      <c r="B23" s="60"/>
      <c r="C23" s="59" t="s">
        <v>100</v>
      </c>
      <c r="D23" s="58" t="s">
        <v>18</v>
      </c>
      <c r="E23" s="58" t="s">
        <v>23</v>
      </c>
      <c r="F23" s="57" t="str">
        <f t="shared" si="0"/>
        <v>EurLiborSwapIsdaFixB17Y</v>
      </c>
      <c r="G23" s="56" t="str">
        <f>_xll.qlLiborSwap($F23,Currency,FixingType,$C23,Currency&amp;$D23,Currency&amp;$E23,Permanent,Trigger,ObjectOverwrite)</f>
        <v>EurLiborSwapIsdaFixB17Y#0002</v>
      </c>
      <c r="H23" s="55" t="str">
        <f>_xll.ohRangeRetrieveError(G23)</f>
        <v/>
      </c>
      <c r="I23" s="54"/>
    </row>
    <row r="24" spans="2:9" s="50" customFormat="1" x14ac:dyDescent="0.2">
      <c r="B24" s="60"/>
      <c r="C24" s="59" t="s">
        <v>99</v>
      </c>
      <c r="D24" s="58" t="s">
        <v>18</v>
      </c>
      <c r="E24" s="58" t="s">
        <v>23</v>
      </c>
      <c r="F24" s="57" t="str">
        <f t="shared" si="0"/>
        <v>EurLiborSwapIsdaFixB18Y</v>
      </c>
      <c r="G24" s="56" t="str">
        <f>_xll.qlLiborSwap($F24,Currency,FixingType,$C24,Currency&amp;$D24,Currency&amp;$E24,Permanent,Trigger,ObjectOverwrite)</f>
        <v>EurLiborSwapIsdaFixB18Y#0002</v>
      </c>
      <c r="H24" s="55" t="str">
        <f>_xll.ohRangeRetrieveError(G24)</f>
        <v/>
      </c>
      <c r="I24" s="54"/>
    </row>
    <row r="25" spans="2:9" s="50" customFormat="1" x14ac:dyDescent="0.2">
      <c r="B25" s="60"/>
      <c r="C25" s="59" t="s">
        <v>98</v>
      </c>
      <c r="D25" s="58" t="s">
        <v>18</v>
      </c>
      <c r="E25" s="58" t="s">
        <v>23</v>
      </c>
      <c r="F25" s="57" t="str">
        <f t="shared" si="0"/>
        <v>EurLiborSwapIsdaFixB19Y</v>
      </c>
      <c r="G25" s="56" t="str">
        <f>_xll.qlLiborSwap($F25,Currency,FixingType,$C25,Currency&amp;$D25,Currency&amp;$E25,Permanent,Trigger,ObjectOverwrite)</f>
        <v>EurLiborSwapIsdaFixB19Y#0002</v>
      </c>
      <c r="H25" s="55" t="str">
        <f>_xll.ohRangeRetrieveError(G25)</f>
        <v/>
      </c>
      <c r="I25" s="54"/>
    </row>
    <row r="26" spans="2:9" s="50" customFormat="1" x14ac:dyDescent="0.2">
      <c r="B26" s="60"/>
      <c r="C26" s="59" t="s">
        <v>97</v>
      </c>
      <c r="D26" s="58" t="s">
        <v>18</v>
      </c>
      <c r="E26" s="58" t="s">
        <v>23</v>
      </c>
      <c r="F26" s="57" t="str">
        <f t="shared" si="0"/>
        <v>EurLiborSwapIsdaFixB20Y</v>
      </c>
      <c r="G26" s="56" t="str">
        <f>_xll.qlLiborSwap($F26,Currency,FixingType,$C26,Currency&amp;$D26,Currency&amp;$E26,Permanent,Trigger,ObjectOverwrite)</f>
        <v>EurLiborSwapIsdaFixB20Y#0002</v>
      </c>
      <c r="H26" s="55" t="str">
        <f>_xll.ohRangeRetrieveError(G26)</f>
        <v/>
      </c>
      <c r="I26" s="54"/>
    </row>
    <row r="27" spans="2:9" s="50" customFormat="1" x14ac:dyDescent="0.2">
      <c r="B27" s="60"/>
      <c r="C27" s="59" t="s">
        <v>96</v>
      </c>
      <c r="D27" s="58" t="s">
        <v>18</v>
      </c>
      <c r="E27" s="58" t="s">
        <v>23</v>
      </c>
      <c r="F27" s="57" t="str">
        <f t="shared" si="0"/>
        <v>EurLiborSwapIsdaFixB21Y</v>
      </c>
      <c r="G27" s="56" t="str">
        <f>_xll.qlLiborSwap($F27,Currency,FixingType,$C27,Currency&amp;$D27,Currency&amp;$E27,Permanent,Trigger,ObjectOverwrite)</f>
        <v>EurLiborSwapIsdaFixB21Y#0002</v>
      </c>
      <c r="H27" s="55" t="str">
        <f>_xll.ohRangeRetrieveError(G27)</f>
        <v/>
      </c>
      <c r="I27" s="54"/>
    </row>
    <row r="28" spans="2:9" s="50" customFormat="1" x14ac:dyDescent="0.2">
      <c r="B28" s="60"/>
      <c r="C28" s="59" t="s">
        <v>95</v>
      </c>
      <c r="D28" s="58" t="s">
        <v>18</v>
      </c>
      <c r="E28" s="58" t="s">
        <v>23</v>
      </c>
      <c r="F28" s="57" t="str">
        <f t="shared" si="0"/>
        <v>EurLiborSwapIsdaFixB22Y</v>
      </c>
      <c r="G28" s="56" t="str">
        <f>_xll.qlLiborSwap($F28,Currency,FixingType,$C28,Currency&amp;$D28,Currency&amp;$E28,Permanent,Trigger,ObjectOverwrite)</f>
        <v>EurLiborSwapIsdaFixB22Y#0002</v>
      </c>
      <c r="H28" s="55" t="str">
        <f>_xll.ohRangeRetrieveError(G28)</f>
        <v/>
      </c>
      <c r="I28" s="54"/>
    </row>
    <row r="29" spans="2:9" s="50" customFormat="1" x14ac:dyDescent="0.2">
      <c r="B29" s="60"/>
      <c r="C29" s="59" t="s">
        <v>94</v>
      </c>
      <c r="D29" s="58" t="s">
        <v>18</v>
      </c>
      <c r="E29" s="58" t="s">
        <v>23</v>
      </c>
      <c r="F29" s="57" t="str">
        <f t="shared" si="0"/>
        <v>EurLiborSwapIsdaFixB23Y</v>
      </c>
      <c r="G29" s="56" t="str">
        <f>_xll.qlLiborSwap($F29,Currency,FixingType,$C29,Currency&amp;$D29,Currency&amp;$E29,Permanent,Trigger,ObjectOverwrite)</f>
        <v>EurLiborSwapIsdaFixB23Y#0002</v>
      </c>
      <c r="H29" s="55" t="str">
        <f>_xll.ohRangeRetrieveError(G29)</f>
        <v/>
      </c>
      <c r="I29" s="54"/>
    </row>
    <row r="30" spans="2:9" s="50" customFormat="1" x14ac:dyDescent="0.2">
      <c r="B30" s="60"/>
      <c r="C30" s="59" t="s">
        <v>93</v>
      </c>
      <c r="D30" s="58" t="s">
        <v>18</v>
      </c>
      <c r="E30" s="58" t="s">
        <v>23</v>
      </c>
      <c r="F30" s="57" t="str">
        <f t="shared" si="0"/>
        <v>EurLiborSwapIsdaFixB24Y</v>
      </c>
      <c r="G30" s="56" t="str">
        <f>_xll.qlLiborSwap($F30,Currency,FixingType,$C30,Currency&amp;$D30,Currency&amp;$E30,Permanent,Trigger,ObjectOverwrite)</f>
        <v>EurLiborSwapIsdaFixB24Y#0002</v>
      </c>
      <c r="H30" s="55" t="str">
        <f>_xll.ohRangeRetrieveError(G30)</f>
        <v/>
      </c>
      <c r="I30" s="54"/>
    </row>
    <row r="31" spans="2:9" s="50" customFormat="1" x14ac:dyDescent="0.2">
      <c r="B31" s="60"/>
      <c r="C31" s="59" t="s">
        <v>92</v>
      </c>
      <c r="D31" s="58" t="s">
        <v>18</v>
      </c>
      <c r="E31" s="58" t="s">
        <v>23</v>
      </c>
      <c r="F31" s="57" t="str">
        <f t="shared" si="0"/>
        <v>EurLiborSwapIsdaFixB25Y</v>
      </c>
      <c r="G31" s="56" t="str">
        <f>_xll.qlLiborSwap($F31,Currency,FixingType,$C31,Currency&amp;$D31,Currency&amp;$E31,Permanent,Trigger,ObjectOverwrite)</f>
        <v>EurLiborSwapIsdaFixB25Y#0002</v>
      </c>
      <c r="H31" s="55" t="str">
        <f>_xll.ohRangeRetrieveError(G31)</f>
        <v/>
      </c>
      <c r="I31" s="54"/>
    </row>
    <row r="32" spans="2:9" s="50" customFormat="1" x14ac:dyDescent="0.2">
      <c r="B32" s="60"/>
      <c r="C32" s="59" t="s">
        <v>91</v>
      </c>
      <c r="D32" s="58" t="s">
        <v>18</v>
      </c>
      <c r="E32" s="58" t="s">
        <v>23</v>
      </c>
      <c r="F32" s="57" t="str">
        <f t="shared" si="0"/>
        <v>EurLiborSwapIsdaFixB26Y</v>
      </c>
      <c r="G32" s="56" t="str">
        <f>_xll.qlLiborSwap($F32,Currency,FixingType,$C32,Currency&amp;$D32,Currency&amp;$E32,Permanent,Trigger,ObjectOverwrite)</f>
        <v>EurLiborSwapIsdaFixB26Y#0002</v>
      </c>
      <c r="H32" s="55" t="str">
        <f>_xll.ohRangeRetrieveError(G32)</f>
        <v/>
      </c>
      <c r="I32" s="54"/>
    </row>
    <row r="33" spans="2:9" s="50" customFormat="1" x14ac:dyDescent="0.2">
      <c r="B33" s="60"/>
      <c r="C33" s="59" t="s">
        <v>90</v>
      </c>
      <c r="D33" s="58" t="s">
        <v>18</v>
      </c>
      <c r="E33" s="58" t="s">
        <v>23</v>
      </c>
      <c r="F33" s="57" t="str">
        <f t="shared" si="0"/>
        <v>EurLiborSwapIsdaFixB27Y</v>
      </c>
      <c r="G33" s="56" t="str">
        <f>_xll.qlLiborSwap($F33,Currency,FixingType,$C33,Currency&amp;$D33,Currency&amp;$E33,Permanent,Trigger,ObjectOverwrite)</f>
        <v>EurLiborSwapIsdaFixB27Y#0002</v>
      </c>
      <c r="H33" s="55" t="str">
        <f>_xll.ohRangeRetrieveError(G33)</f>
        <v/>
      </c>
      <c r="I33" s="54"/>
    </row>
    <row r="34" spans="2:9" s="50" customFormat="1" x14ac:dyDescent="0.2">
      <c r="B34" s="60"/>
      <c r="C34" s="59" t="s">
        <v>89</v>
      </c>
      <c r="D34" s="58" t="s">
        <v>18</v>
      </c>
      <c r="E34" s="58" t="s">
        <v>23</v>
      </c>
      <c r="F34" s="57" t="str">
        <f t="shared" si="0"/>
        <v>EurLiborSwapIsdaFixB28Y</v>
      </c>
      <c r="G34" s="56" t="str">
        <f>_xll.qlLiborSwap($F34,Currency,FixingType,$C34,Currency&amp;$D34,Currency&amp;$E34,Permanent,Trigger,ObjectOverwrite)</f>
        <v>EurLiborSwapIsdaFixB28Y#0002</v>
      </c>
      <c r="H34" s="55" t="str">
        <f>_xll.ohRangeRetrieveError(G34)</f>
        <v/>
      </c>
      <c r="I34" s="54"/>
    </row>
    <row r="35" spans="2:9" s="50" customFormat="1" x14ac:dyDescent="0.2">
      <c r="B35" s="60"/>
      <c r="C35" s="59" t="s">
        <v>88</v>
      </c>
      <c r="D35" s="58" t="s">
        <v>18</v>
      </c>
      <c r="E35" s="58" t="s">
        <v>23</v>
      </c>
      <c r="F35" s="57" t="str">
        <f t="shared" si="0"/>
        <v>EurLiborSwapIsdaFixB29Y</v>
      </c>
      <c r="G35" s="56" t="str">
        <f>_xll.qlLiborSwap($F35,Currency,FixingType,$C35,Currency&amp;$D35,Currency&amp;$E35,Permanent,Trigger,ObjectOverwrite)</f>
        <v>EurLiborSwapIsdaFixB29Y#0002</v>
      </c>
      <c r="H35" s="55" t="str">
        <f>_xll.ohRangeRetrieveError(G35)</f>
        <v/>
      </c>
      <c r="I35" s="54"/>
    </row>
    <row r="36" spans="2:9" s="50" customFormat="1" x14ac:dyDescent="0.2">
      <c r="B36" s="60"/>
      <c r="C36" s="59" t="s">
        <v>87</v>
      </c>
      <c r="D36" s="58" t="s">
        <v>18</v>
      </c>
      <c r="E36" s="58" t="s">
        <v>23</v>
      </c>
      <c r="F36" s="57" t="str">
        <f t="shared" si="0"/>
        <v>EurLiborSwapIsdaFixB30Y</v>
      </c>
      <c r="G36" s="56" t="str">
        <f>_xll.qlLiborSwap($F36,Currency,FixingType,$C36,Currency&amp;$D36,Currency&amp;$E36,Permanent,Trigger,ObjectOverwrite)</f>
        <v>EurLiborSwapIsdaFixB30Y#0002</v>
      </c>
      <c r="H36" s="55" t="str">
        <f>_xll.ohRangeRetrieveError(G36)</f>
        <v/>
      </c>
      <c r="I36" s="54"/>
    </row>
    <row r="37" spans="2:9" s="50" customFormat="1" x14ac:dyDescent="0.2">
      <c r="B37" s="60"/>
      <c r="C37" s="59" t="s">
        <v>86</v>
      </c>
      <c r="D37" s="58" t="s">
        <v>18</v>
      </c>
      <c r="E37" s="58" t="s">
        <v>23</v>
      </c>
      <c r="F37" s="57" t="str">
        <f t="shared" si="0"/>
        <v>EurLiborSwapIsdaFixB31Y</v>
      </c>
      <c r="G37" s="56" t="str">
        <f>_xll.qlLiborSwap($F37,Currency,FixingType,$C37,Currency&amp;$D37,Currency&amp;$E37,Permanent,Trigger,ObjectOverwrite)</f>
        <v>EurLiborSwapIsdaFixB31Y#0002</v>
      </c>
      <c r="H37" s="55" t="str">
        <f>_xll.ohRangeRetrieveError(G37)</f>
        <v/>
      </c>
      <c r="I37" s="54"/>
    </row>
    <row r="38" spans="2:9" s="50" customFormat="1" x14ac:dyDescent="0.2">
      <c r="B38" s="60"/>
      <c r="C38" s="59" t="s">
        <v>85</v>
      </c>
      <c r="D38" s="58" t="s">
        <v>18</v>
      </c>
      <c r="E38" s="58" t="s">
        <v>23</v>
      </c>
      <c r="F38" s="57" t="str">
        <f t="shared" si="0"/>
        <v>EurLiborSwapIsdaFixB32Y</v>
      </c>
      <c r="G38" s="56" t="str">
        <f>_xll.qlLiborSwap($F38,Currency,FixingType,$C38,Currency&amp;$D38,Currency&amp;$E38,Permanent,Trigger,ObjectOverwrite)</f>
        <v>EurLiborSwapIsdaFixB32Y#0002</v>
      </c>
      <c r="H38" s="55" t="str">
        <f>_xll.ohRangeRetrieveError(G38)</f>
        <v/>
      </c>
      <c r="I38" s="54"/>
    </row>
    <row r="39" spans="2:9" s="50" customFormat="1" x14ac:dyDescent="0.2">
      <c r="B39" s="60"/>
      <c r="C39" s="59" t="s">
        <v>84</v>
      </c>
      <c r="D39" s="58" t="s">
        <v>18</v>
      </c>
      <c r="E39" s="58" t="s">
        <v>23</v>
      </c>
      <c r="F39" s="57" t="str">
        <f t="shared" ref="F39:F66" si="1">PROPER(Currency)&amp;FamilyName&amp;FixingType&amp;$C39</f>
        <v>EurLiborSwapIsdaFixB33Y</v>
      </c>
      <c r="G39" s="56" t="str">
        <f>_xll.qlLiborSwap($F39,Currency,FixingType,$C39,Currency&amp;$D39,Currency&amp;$E39,Permanent,Trigger,ObjectOverwrite)</f>
        <v>EurLiborSwapIsdaFixB33Y#0002</v>
      </c>
      <c r="H39" s="55" t="str">
        <f>_xll.ohRangeRetrieveError(G39)</f>
        <v/>
      </c>
      <c r="I39" s="54"/>
    </row>
    <row r="40" spans="2:9" s="50" customFormat="1" x14ac:dyDescent="0.2">
      <c r="B40" s="60"/>
      <c r="C40" s="59" t="s">
        <v>83</v>
      </c>
      <c r="D40" s="58" t="s">
        <v>18</v>
      </c>
      <c r="E40" s="58" t="s">
        <v>23</v>
      </c>
      <c r="F40" s="57" t="str">
        <f t="shared" si="1"/>
        <v>EurLiborSwapIsdaFixB34Y</v>
      </c>
      <c r="G40" s="56" t="str">
        <f>_xll.qlLiborSwap($F40,Currency,FixingType,$C40,Currency&amp;$D40,Currency&amp;$E40,Permanent,Trigger,ObjectOverwrite)</f>
        <v>EurLiborSwapIsdaFixB34Y#0002</v>
      </c>
      <c r="H40" s="55" t="str">
        <f>_xll.ohRangeRetrieveError(G40)</f>
        <v/>
      </c>
      <c r="I40" s="54"/>
    </row>
    <row r="41" spans="2:9" s="50" customFormat="1" x14ac:dyDescent="0.2">
      <c r="B41" s="60"/>
      <c r="C41" s="59" t="s">
        <v>82</v>
      </c>
      <c r="D41" s="58" t="s">
        <v>18</v>
      </c>
      <c r="E41" s="58" t="s">
        <v>23</v>
      </c>
      <c r="F41" s="57" t="str">
        <f t="shared" si="1"/>
        <v>EurLiborSwapIsdaFixB35Y</v>
      </c>
      <c r="G41" s="56" t="str">
        <f>_xll.qlLiborSwap($F41,Currency,FixingType,$C41,Currency&amp;$D41,Currency&amp;$E41,Permanent,Trigger,ObjectOverwrite)</f>
        <v>EurLiborSwapIsdaFixB35Y#0002</v>
      </c>
      <c r="H41" s="55" t="str">
        <f>_xll.ohRangeRetrieveError(G41)</f>
        <v/>
      </c>
      <c r="I41" s="54"/>
    </row>
    <row r="42" spans="2:9" s="50" customFormat="1" x14ac:dyDescent="0.2">
      <c r="B42" s="60"/>
      <c r="C42" s="59" t="s">
        <v>81</v>
      </c>
      <c r="D42" s="58" t="s">
        <v>18</v>
      </c>
      <c r="E42" s="58" t="s">
        <v>23</v>
      </c>
      <c r="F42" s="57" t="str">
        <f t="shared" si="1"/>
        <v>EurLiborSwapIsdaFixB36Y</v>
      </c>
      <c r="G42" s="56" t="str">
        <f>_xll.qlLiborSwap($F42,Currency,FixingType,$C42,Currency&amp;$D42,Currency&amp;$E42,Permanent,Trigger,ObjectOverwrite)</f>
        <v>EurLiborSwapIsdaFixB36Y#0002</v>
      </c>
      <c r="H42" s="55" t="str">
        <f>_xll.ohRangeRetrieveError(G42)</f>
        <v/>
      </c>
      <c r="I42" s="54"/>
    </row>
    <row r="43" spans="2:9" s="50" customFormat="1" x14ac:dyDescent="0.2">
      <c r="B43" s="60"/>
      <c r="C43" s="59" t="s">
        <v>80</v>
      </c>
      <c r="D43" s="58" t="s">
        <v>18</v>
      </c>
      <c r="E43" s="58" t="s">
        <v>23</v>
      </c>
      <c r="F43" s="57" t="str">
        <f t="shared" si="1"/>
        <v>EurLiborSwapIsdaFixB37Y</v>
      </c>
      <c r="G43" s="56" t="str">
        <f>_xll.qlLiborSwap($F43,Currency,FixingType,$C43,Currency&amp;$D43,Currency&amp;$E43,Permanent,Trigger,ObjectOverwrite)</f>
        <v>EurLiborSwapIsdaFixB37Y#0002</v>
      </c>
      <c r="H43" s="55" t="str">
        <f>_xll.ohRangeRetrieveError(G43)</f>
        <v/>
      </c>
      <c r="I43" s="54"/>
    </row>
    <row r="44" spans="2:9" s="50" customFormat="1" x14ac:dyDescent="0.2">
      <c r="B44" s="60"/>
      <c r="C44" s="59" t="s">
        <v>79</v>
      </c>
      <c r="D44" s="58" t="s">
        <v>18</v>
      </c>
      <c r="E44" s="58" t="s">
        <v>23</v>
      </c>
      <c r="F44" s="57" t="str">
        <f t="shared" si="1"/>
        <v>EurLiborSwapIsdaFixB38Y</v>
      </c>
      <c r="G44" s="56" t="str">
        <f>_xll.qlLiborSwap($F44,Currency,FixingType,$C44,Currency&amp;$D44,Currency&amp;$E44,Permanent,Trigger,ObjectOverwrite)</f>
        <v>EurLiborSwapIsdaFixB38Y#0002</v>
      </c>
      <c r="H44" s="55" t="str">
        <f>_xll.ohRangeRetrieveError(G44)</f>
        <v/>
      </c>
      <c r="I44" s="54"/>
    </row>
    <row r="45" spans="2:9" s="50" customFormat="1" x14ac:dyDescent="0.2">
      <c r="B45" s="60"/>
      <c r="C45" s="59" t="s">
        <v>78</v>
      </c>
      <c r="D45" s="58" t="s">
        <v>18</v>
      </c>
      <c r="E45" s="58" t="s">
        <v>23</v>
      </c>
      <c r="F45" s="57" t="str">
        <f t="shared" si="1"/>
        <v>EurLiborSwapIsdaFixB39Y</v>
      </c>
      <c r="G45" s="56" t="str">
        <f>_xll.qlLiborSwap($F45,Currency,FixingType,$C45,Currency&amp;$D45,Currency&amp;$E45,Permanent,Trigger,ObjectOverwrite)</f>
        <v>EurLiborSwapIsdaFixB39Y#0002</v>
      </c>
      <c r="H45" s="55" t="str">
        <f>_xll.ohRangeRetrieveError(G45)</f>
        <v/>
      </c>
      <c r="I45" s="54"/>
    </row>
    <row r="46" spans="2:9" s="50" customFormat="1" x14ac:dyDescent="0.2">
      <c r="B46" s="60"/>
      <c r="C46" s="59" t="s">
        <v>77</v>
      </c>
      <c r="D46" s="58" t="s">
        <v>18</v>
      </c>
      <c r="E46" s="58" t="s">
        <v>23</v>
      </c>
      <c r="F46" s="57" t="str">
        <f t="shared" si="1"/>
        <v>EurLiborSwapIsdaFixB40Y</v>
      </c>
      <c r="G46" s="56" t="str">
        <f>_xll.qlLiborSwap($F46,Currency,FixingType,$C46,Currency&amp;$D46,Currency&amp;$E46,Permanent,Trigger,ObjectOverwrite)</f>
        <v>EurLiborSwapIsdaFixB40Y#0002</v>
      </c>
      <c r="H46" s="55" t="str">
        <f>_xll.ohRangeRetrieveError(G46)</f>
        <v/>
      </c>
      <c r="I46" s="54"/>
    </row>
    <row r="47" spans="2:9" s="50" customFormat="1" x14ac:dyDescent="0.2">
      <c r="B47" s="60"/>
      <c r="C47" s="59" t="s">
        <v>76</v>
      </c>
      <c r="D47" s="58" t="s">
        <v>18</v>
      </c>
      <c r="E47" s="58" t="s">
        <v>23</v>
      </c>
      <c r="F47" s="57" t="str">
        <f t="shared" si="1"/>
        <v>EurLiborSwapIsdaFixB41Y</v>
      </c>
      <c r="G47" s="56" t="str">
        <f>_xll.qlLiborSwap($F47,Currency,FixingType,$C47,Currency&amp;$D47,Currency&amp;$E47,Permanent,Trigger,ObjectOverwrite)</f>
        <v>EurLiborSwapIsdaFixB41Y#0002</v>
      </c>
      <c r="H47" s="55" t="str">
        <f>_xll.ohRangeRetrieveError(G47)</f>
        <v/>
      </c>
      <c r="I47" s="54"/>
    </row>
    <row r="48" spans="2:9" s="50" customFormat="1" x14ac:dyDescent="0.2">
      <c r="B48" s="60"/>
      <c r="C48" s="59" t="s">
        <v>75</v>
      </c>
      <c r="D48" s="58" t="s">
        <v>18</v>
      </c>
      <c r="E48" s="58" t="s">
        <v>23</v>
      </c>
      <c r="F48" s="57" t="str">
        <f t="shared" si="1"/>
        <v>EurLiborSwapIsdaFixB42Y</v>
      </c>
      <c r="G48" s="56" t="str">
        <f>_xll.qlLiborSwap($F48,Currency,FixingType,$C48,Currency&amp;$D48,Currency&amp;$E48,Permanent,Trigger,ObjectOverwrite)</f>
        <v>EurLiborSwapIsdaFixB42Y#0002</v>
      </c>
      <c r="H48" s="55" t="str">
        <f>_xll.ohRangeRetrieveError(G48)</f>
        <v/>
      </c>
      <c r="I48" s="54"/>
    </row>
    <row r="49" spans="2:9" s="50" customFormat="1" x14ac:dyDescent="0.2">
      <c r="B49" s="60"/>
      <c r="C49" s="59" t="s">
        <v>74</v>
      </c>
      <c r="D49" s="58" t="s">
        <v>18</v>
      </c>
      <c r="E49" s="58" t="s">
        <v>23</v>
      </c>
      <c r="F49" s="57" t="str">
        <f t="shared" si="1"/>
        <v>EurLiborSwapIsdaFixB43Y</v>
      </c>
      <c r="G49" s="56" t="str">
        <f>_xll.qlLiborSwap($F49,Currency,FixingType,$C49,Currency&amp;$D49,Currency&amp;$E49,Permanent,Trigger,ObjectOverwrite)</f>
        <v>EurLiborSwapIsdaFixB43Y#0002</v>
      </c>
      <c r="H49" s="55" t="str">
        <f>_xll.ohRangeRetrieveError(G49)</f>
        <v/>
      </c>
      <c r="I49" s="54"/>
    </row>
    <row r="50" spans="2:9" s="50" customFormat="1" x14ac:dyDescent="0.2">
      <c r="B50" s="60"/>
      <c r="C50" s="59" t="s">
        <v>73</v>
      </c>
      <c r="D50" s="58" t="s">
        <v>18</v>
      </c>
      <c r="E50" s="58" t="s">
        <v>23</v>
      </c>
      <c r="F50" s="57" t="str">
        <f t="shared" si="1"/>
        <v>EurLiborSwapIsdaFixB44Y</v>
      </c>
      <c r="G50" s="56" t="str">
        <f>_xll.qlLiborSwap($F50,Currency,FixingType,$C50,Currency&amp;$D50,Currency&amp;$E50,Permanent,Trigger,ObjectOverwrite)</f>
        <v>EurLiborSwapIsdaFixB44Y#0002</v>
      </c>
      <c r="H50" s="55" t="str">
        <f>_xll.ohRangeRetrieveError(G50)</f>
        <v/>
      </c>
      <c r="I50" s="54"/>
    </row>
    <row r="51" spans="2:9" s="50" customFormat="1" x14ac:dyDescent="0.2">
      <c r="B51" s="60"/>
      <c r="C51" s="59" t="s">
        <v>72</v>
      </c>
      <c r="D51" s="58" t="s">
        <v>18</v>
      </c>
      <c r="E51" s="58" t="s">
        <v>23</v>
      </c>
      <c r="F51" s="57" t="str">
        <f t="shared" si="1"/>
        <v>EurLiborSwapIsdaFixB45Y</v>
      </c>
      <c r="G51" s="56" t="str">
        <f>_xll.qlLiborSwap($F51,Currency,FixingType,$C51,Currency&amp;$D51,Currency&amp;$E51,Permanent,Trigger,ObjectOverwrite)</f>
        <v>EurLiborSwapIsdaFixB45Y#0002</v>
      </c>
      <c r="H51" s="55" t="str">
        <f>_xll.ohRangeRetrieveError(G51)</f>
        <v/>
      </c>
      <c r="I51" s="54"/>
    </row>
    <row r="52" spans="2:9" s="50" customFormat="1" x14ac:dyDescent="0.2">
      <c r="B52" s="60"/>
      <c r="C52" s="59" t="s">
        <v>71</v>
      </c>
      <c r="D52" s="58" t="s">
        <v>18</v>
      </c>
      <c r="E52" s="58" t="s">
        <v>23</v>
      </c>
      <c r="F52" s="57" t="str">
        <f t="shared" si="1"/>
        <v>EurLiborSwapIsdaFixB46Y</v>
      </c>
      <c r="G52" s="56" t="str">
        <f>_xll.qlLiborSwap($F52,Currency,FixingType,$C52,Currency&amp;$D52,Currency&amp;$E52,Permanent,Trigger,ObjectOverwrite)</f>
        <v>EurLiborSwapIsdaFixB46Y#0002</v>
      </c>
      <c r="H52" s="55" t="str">
        <f>_xll.ohRangeRetrieveError(G52)</f>
        <v/>
      </c>
      <c r="I52" s="54"/>
    </row>
    <row r="53" spans="2:9" s="50" customFormat="1" x14ac:dyDescent="0.2">
      <c r="B53" s="60"/>
      <c r="C53" s="59" t="s">
        <v>70</v>
      </c>
      <c r="D53" s="58" t="s">
        <v>18</v>
      </c>
      <c r="E53" s="58" t="s">
        <v>23</v>
      </c>
      <c r="F53" s="57" t="str">
        <f t="shared" si="1"/>
        <v>EurLiborSwapIsdaFixB47Y</v>
      </c>
      <c r="G53" s="56" t="str">
        <f>_xll.qlLiborSwap($F53,Currency,FixingType,$C53,Currency&amp;$D53,Currency&amp;$E53,Permanent,Trigger,ObjectOverwrite)</f>
        <v>EurLiborSwapIsdaFixB47Y#0002</v>
      </c>
      <c r="H53" s="55" t="str">
        <f>_xll.ohRangeRetrieveError(G53)</f>
        <v/>
      </c>
      <c r="I53" s="54"/>
    </row>
    <row r="54" spans="2:9" s="50" customFormat="1" x14ac:dyDescent="0.2">
      <c r="B54" s="60"/>
      <c r="C54" s="59" t="s">
        <v>69</v>
      </c>
      <c r="D54" s="58" t="s">
        <v>18</v>
      </c>
      <c r="E54" s="58" t="s">
        <v>23</v>
      </c>
      <c r="F54" s="57" t="str">
        <f t="shared" si="1"/>
        <v>EurLiborSwapIsdaFixB48Y</v>
      </c>
      <c r="G54" s="56" t="str">
        <f>_xll.qlLiborSwap($F54,Currency,FixingType,$C54,Currency&amp;$D54,Currency&amp;$E54,Permanent,Trigger,ObjectOverwrite)</f>
        <v>EurLiborSwapIsdaFixB48Y#0002</v>
      </c>
      <c r="H54" s="55" t="str">
        <f>_xll.ohRangeRetrieveError(G54)</f>
        <v/>
      </c>
      <c r="I54" s="54"/>
    </row>
    <row r="55" spans="2:9" s="50" customFormat="1" x14ac:dyDescent="0.2">
      <c r="B55" s="60"/>
      <c r="C55" s="59" t="s">
        <v>68</v>
      </c>
      <c r="D55" s="58" t="s">
        <v>18</v>
      </c>
      <c r="E55" s="58" t="s">
        <v>23</v>
      </c>
      <c r="F55" s="57" t="str">
        <f t="shared" si="1"/>
        <v>EurLiborSwapIsdaFixB49Y</v>
      </c>
      <c r="G55" s="56" t="str">
        <f>_xll.qlLiborSwap($F55,Currency,FixingType,$C55,Currency&amp;$D55,Currency&amp;$E55,Permanent,Trigger,ObjectOverwrite)</f>
        <v>EurLiborSwapIsdaFixB49Y#0002</v>
      </c>
      <c r="H55" s="55" t="str">
        <f>_xll.ohRangeRetrieveError(G55)</f>
        <v/>
      </c>
      <c r="I55" s="54"/>
    </row>
    <row r="56" spans="2:9" s="50" customFormat="1" x14ac:dyDescent="0.2">
      <c r="B56" s="60"/>
      <c r="C56" s="59" t="s">
        <v>67</v>
      </c>
      <c r="D56" s="58" t="s">
        <v>18</v>
      </c>
      <c r="E56" s="58" t="s">
        <v>23</v>
      </c>
      <c r="F56" s="57" t="str">
        <f t="shared" si="1"/>
        <v>EurLiborSwapIsdaFixB50Y</v>
      </c>
      <c r="G56" s="56" t="str">
        <f>_xll.qlLiborSwap($F56,Currency,FixingType,$C56,Currency&amp;$D56,Currency&amp;$E56,Permanent,Trigger,ObjectOverwrite)</f>
        <v>EurLiborSwapIsdaFixB50Y#0002</v>
      </c>
      <c r="H56" s="55" t="str">
        <f>_xll.ohRangeRetrieveError(G56)</f>
        <v/>
      </c>
      <c r="I56" s="54"/>
    </row>
    <row r="57" spans="2:9" s="50" customFormat="1" x14ac:dyDescent="0.2">
      <c r="B57" s="60"/>
      <c r="C57" s="59" t="s">
        <v>66</v>
      </c>
      <c r="D57" s="58" t="s">
        <v>18</v>
      </c>
      <c r="E57" s="58" t="s">
        <v>23</v>
      </c>
      <c r="F57" s="57" t="str">
        <f t="shared" si="1"/>
        <v>EurLiborSwapIsdaFixB51Y</v>
      </c>
      <c r="G57" s="56" t="str">
        <f>_xll.qlLiborSwap($F57,Currency,FixingType,$C57,Currency&amp;$D57,Currency&amp;$E57,Permanent,Trigger,ObjectOverwrite)</f>
        <v>EurLiborSwapIsdaFixB51Y#0002</v>
      </c>
      <c r="H57" s="55" t="str">
        <f>_xll.ohRangeRetrieveError(G57)</f>
        <v/>
      </c>
      <c r="I57" s="54"/>
    </row>
    <row r="58" spans="2:9" s="50" customFormat="1" x14ac:dyDescent="0.2">
      <c r="B58" s="60"/>
      <c r="C58" s="59" t="s">
        <v>65</v>
      </c>
      <c r="D58" s="58" t="s">
        <v>18</v>
      </c>
      <c r="E58" s="58" t="s">
        <v>23</v>
      </c>
      <c r="F58" s="57" t="str">
        <f t="shared" si="1"/>
        <v>EurLiborSwapIsdaFixB52Y</v>
      </c>
      <c r="G58" s="56" t="str">
        <f>_xll.qlLiborSwap($F58,Currency,FixingType,$C58,Currency&amp;$D58,Currency&amp;$E58,Permanent,Trigger,ObjectOverwrite)</f>
        <v>EurLiborSwapIsdaFixB52Y#0002</v>
      </c>
      <c r="H58" s="55" t="str">
        <f>_xll.ohRangeRetrieveError(G58)</f>
        <v/>
      </c>
      <c r="I58" s="54"/>
    </row>
    <row r="59" spans="2:9" s="50" customFormat="1" x14ac:dyDescent="0.2">
      <c r="B59" s="60"/>
      <c r="C59" s="59" t="s">
        <v>64</v>
      </c>
      <c r="D59" s="58" t="s">
        <v>18</v>
      </c>
      <c r="E59" s="58" t="s">
        <v>23</v>
      </c>
      <c r="F59" s="57" t="str">
        <f t="shared" si="1"/>
        <v>EurLiborSwapIsdaFixB53Y</v>
      </c>
      <c r="G59" s="56" t="str">
        <f>_xll.qlLiborSwap($F59,Currency,FixingType,$C59,Currency&amp;$D59,Currency&amp;$E59,Permanent,Trigger,ObjectOverwrite)</f>
        <v>EurLiborSwapIsdaFixB53Y#0002</v>
      </c>
      <c r="H59" s="55" t="str">
        <f>_xll.ohRangeRetrieveError(G59)</f>
        <v/>
      </c>
      <c r="I59" s="54"/>
    </row>
    <row r="60" spans="2:9" s="50" customFormat="1" x14ac:dyDescent="0.2">
      <c r="B60" s="60"/>
      <c r="C60" s="59" t="s">
        <v>63</v>
      </c>
      <c r="D60" s="58" t="s">
        <v>18</v>
      </c>
      <c r="E60" s="58" t="s">
        <v>23</v>
      </c>
      <c r="F60" s="57" t="str">
        <f t="shared" si="1"/>
        <v>EurLiborSwapIsdaFixB54Y</v>
      </c>
      <c r="G60" s="56" t="str">
        <f>_xll.qlLiborSwap($F60,Currency,FixingType,$C60,Currency&amp;$D60,Currency&amp;$E60,Permanent,Trigger,ObjectOverwrite)</f>
        <v>EurLiborSwapIsdaFixB54Y#0002</v>
      </c>
      <c r="H60" s="55" t="str">
        <f>_xll.ohRangeRetrieveError(G60)</f>
        <v/>
      </c>
      <c r="I60" s="54"/>
    </row>
    <row r="61" spans="2:9" s="50" customFormat="1" x14ac:dyDescent="0.2">
      <c r="B61" s="60"/>
      <c r="C61" s="59" t="s">
        <v>62</v>
      </c>
      <c r="D61" s="58" t="s">
        <v>18</v>
      </c>
      <c r="E61" s="58" t="s">
        <v>23</v>
      </c>
      <c r="F61" s="57" t="str">
        <f t="shared" si="1"/>
        <v>EurLiborSwapIsdaFixB55Y</v>
      </c>
      <c r="G61" s="56" t="str">
        <f>_xll.qlLiborSwap($F61,Currency,FixingType,$C61,Currency&amp;$D61,Currency&amp;$E61,Permanent,Trigger,ObjectOverwrite)</f>
        <v>EurLiborSwapIsdaFixB55Y#0002</v>
      </c>
      <c r="H61" s="55" t="str">
        <f>_xll.ohRangeRetrieveError(G61)</f>
        <v/>
      </c>
      <c r="I61" s="54"/>
    </row>
    <row r="62" spans="2:9" s="50" customFormat="1" x14ac:dyDescent="0.2">
      <c r="B62" s="60"/>
      <c r="C62" s="59" t="s">
        <v>61</v>
      </c>
      <c r="D62" s="58" t="s">
        <v>18</v>
      </c>
      <c r="E62" s="58" t="s">
        <v>23</v>
      </c>
      <c r="F62" s="57" t="str">
        <f t="shared" si="1"/>
        <v>EurLiborSwapIsdaFixB56Y</v>
      </c>
      <c r="G62" s="56" t="str">
        <f>_xll.qlLiborSwap($F62,Currency,FixingType,$C62,Currency&amp;$D62,Currency&amp;$E62,Permanent,Trigger,ObjectOverwrite)</f>
        <v>EurLiborSwapIsdaFixB56Y#0002</v>
      </c>
      <c r="H62" s="55" t="str">
        <f>_xll.ohRangeRetrieveError(G62)</f>
        <v/>
      </c>
      <c r="I62" s="54"/>
    </row>
    <row r="63" spans="2:9" s="50" customFormat="1" x14ac:dyDescent="0.2">
      <c r="B63" s="60"/>
      <c r="C63" s="59" t="s">
        <v>60</v>
      </c>
      <c r="D63" s="58" t="s">
        <v>18</v>
      </c>
      <c r="E63" s="58" t="s">
        <v>23</v>
      </c>
      <c r="F63" s="57" t="str">
        <f t="shared" si="1"/>
        <v>EurLiborSwapIsdaFixB57Y</v>
      </c>
      <c r="G63" s="56" t="str">
        <f>_xll.qlLiborSwap($F63,Currency,FixingType,$C63,Currency&amp;$D63,Currency&amp;$E63,Permanent,Trigger,ObjectOverwrite)</f>
        <v>EurLiborSwapIsdaFixB57Y#0002</v>
      </c>
      <c r="H63" s="55" t="str">
        <f>_xll.ohRangeRetrieveError(G63)</f>
        <v/>
      </c>
      <c r="I63" s="54"/>
    </row>
    <row r="64" spans="2:9" s="50" customFormat="1" x14ac:dyDescent="0.2">
      <c r="B64" s="60"/>
      <c r="C64" s="59" t="s">
        <v>59</v>
      </c>
      <c r="D64" s="58" t="s">
        <v>18</v>
      </c>
      <c r="E64" s="58" t="s">
        <v>23</v>
      </c>
      <c r="F64" s="57" t="str">
        <f t="shared" si="1"/>
        <v>EurLiborSwapIsdaFixB58Y</v>
      </c>
      <c r="G64" s="56" t="str">
        <f>_xll.qlLiborSwap($F64,Currency,FixingType,$C64,Currency&amp;$D64,Currency&amp;$E64,Permanent,Trigger,ObjectOverwrite)</f>
        <v>EurLiborSwapIsdaFixB58Y#0002</v>
      </c>
      <c r="H64" s="55" t="str">
        <f>_xll.ohRangeRetrieveError(G64)</f>
        <v/>
      </c>
      <c r="I64" s="54"/>
    </row>
    <row r="65" spans="2:9" s="50" customFormat="1" x14ac:dyDescent="0.2">
      <c r="B65" s="60"/>
      <c r="C65" s="59" t="s">
        <v>58</v>
      </c>
      <c r="D65" s="58" t="s">
        <v>18</v>
      </c>
      <c r="E65" s="58" t="s">
        <v>23</v>
      </c>
      <c r="F65" s="57" t="str">
        <f t="shared" si="1"/>
        <v>EurLiborSwapIsdaFixB59Y</v>
      </c>
      <c r="G65" s="56" t="str">
        <f>_xll.qlLiborSwap($F65,Currency,FixingType,$C65,Currency&amp;$D65,Currency&amp;$E65,Permanent,Trigger,ObjectOverwrite)</f>
        <v>EurLiborSwapIsdaFixB59Y#0002</v>
      </c>
      <c r="H65" s="55" t="str">
        <f>_xll.ohRangeRetrieveError(G65)</f>
        <v/>
      </c>
      <c r="I65" s="54"/>
    </row>
    <row r="66" spans="2:9" s="50" customFormat="1" x14ac:dyDescent="0.2">
      <c r="B66" s="60"/>
      <c r="C66" s="59" t="s">
        <v>57</v>
      </c>
      <c r="D66" s="58" t="s">
        <v>18</v>
      </c>
      <c r="E66" s="58" t="s">
        <v>23</v>
      </c>
      <c r="F66" s="57" t="str">
        <f t="shared" si="1"/>
        <v>EurLiborSwapIsdaFixB60Y</v>
      </c>
      <c r="G66" s="56" t="str">
        <f>_xll.qlLiborSwap($F66,Currency,FixingType,$C66,Currency&amp;$D66,Currency&amp;$E66,Permanent,Trigger,ObjectOverwrite)</f>
        <v>EurLiborSwapIsdaFixB60Y#0002</v>
      </c>
      <c r="H66" s="55" t="str">
        <f>_xll.ohRangeRetrieveError(G66)</f>
        <v/>
      </c>
      <c r="I66" s="54"/>
    </row>
    <row r="67" spans="2:9" s="50" customFormat="1" ht="12" thickBot="1" x14ac:dyDescent="0.25">
      <c r="B67" s="53"/>
      <c r="C67" s="52"/>
      <c r="D67" s="52"/>
      <c r="E67" s="52"/>
      <c r="F67" s="52"/>
      <c r="G67" s="52"/>
      <c r="H67" s="52"/>
      <c r="I67" s="51"/>
    </row>
    <row r="68" spans="2:9" s="50" customFormat="1" x14ac:dyDescent="0.2"/>
  </sheetData>
  <pageMargins left="0.75" right="0.75" top="1" bottom="1" header="0.5" footer="0.5"/>
  <pageSetup paperSize="9"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I68"/>
  <sheetViews>
    <sheetView workbookViewId="0"/>
  </sheetViews>
  <sheetFormatPr defaultRowHeight="11.25" x14ac:dyDescent="0.2"/>
  <cols>
    <col min="1" max="1" width="3.140625" style="22" customWidth="1"/>
    <col min="2" max="2" width="4.42578125" style="22" customWidth="1"/>
    <col min="3" max="3" width="3.85546875" style="22" bestFit="1" customWidth="1"/>
    <col min="4" max="4" width="8.7109375" style="22" bestFit="1" customWidth="1"/>
    <col min="5" max="5" width="8.5703125" style="22" bestFit="1" customWidth="1"/>
    <col min="6" max="6" width="18.42578125" style="22" bestFit="1" customWidth="1"/>
    <col min="7" max="7" width="21.85546875" style="22" bestFit="1" customWidth="1"/>
    <col min="8" max="8" width="55" style="22" customWidth="1"/>
    <col min="9" max="9" width="5.28515625" style="22" customWidth="1"/>
    <col min="10" max="16384" width="9.140625" style="22"/>
  </cols>
  <sheetData>
    <row r="1" spans="1:9" s="50" customFormat="1" ht="12" thickBot="1" x14ac:dyDescent="0.25">
      <c r="A1" s="50" t="s">
        <v>128</v>
      </c>
    </row>
    <row r="2" spans="1:9" s="50" customFormat="1" x14ac:dyDescent="0.2">
      <c r="B2" s="71"/>
      <c r="C2" s="69"/>
      <c r="D2" s="69"/>
      <c r="E2" s="69"/>
      <c r="F2" s="70"/>
      <c r="G2" s="69"/>
      <c r="H2" s="69"/>
      <c r="I2" s="68"/>
    </row>
    <row r="3" spans="1:9" s="50" customFormat="1" x14ac:dyDescent="0.2">
      <c r="B3" s="60"/>
      <c r="C3" s="66"/>
      <c r="D3" s="66"/>
      <c r="E3" s="66"/>
      <c r="F3" s="67" t="s">
        <v>54</v>
      </c>
      <c r="G3" s="63" t="s">
        <v>127</v>
      </c>
      <c r="H3" s="66"/>
      <c r="I3" s="62"/>
    </row>
    <row r="4" spans="1:9" s="50" customFormat="1" x14ac:dyDescent="0.2">
      <c r="B4" s="60"/>
      <c r="C4" s="66"/>
      <c r="D4" s="66"/>
      <c r="E4" s="66"/>
      <c r="F4" s="67" t="s">
        <v>119</v>
      </c>
      <c r="G4" s="63" t="s">
        <v>122</v>
      </c>
      <c r="H4" s="66"/>
      <c r="I4" s="62"/>
    </row>
    <row r="5" spans="1:9" s="50" customFormat="1" x14ac:dyDescent="0.2">
      <c r="B5" s="60"/>
      <c r="C5" s="66"/>
      <c r="D5" s="66"/>
      <c r="E5" s="66"/>
      <c r="F5" s="66"/>
      <c r="G5" s="66"/>
      <c r="H5" s="66"/>
      <c r="I5" s="62"/>
    </row>
    <row r="6" spans="1:9" s="50" customFormat="1" x14ac:dyDescent="0.2">
      <c r="B6" s="60"/>
      <c r="C6" s="66"/>
      <c r="D6" s="65" t="s">
        <v>117</v>
      </c>
      <c r="E6" s="65" t="s">
        <v>116</v>
      </c>
      <c r="F6" s="72" t="str">
        <f>PROPER(Currency)&amp;FamilyName&amp;FixingType&amp;".xml"</f>
        <v>EurLiborSwapIfrFix.xml</v>
      </c>
      <c r="G6" s="63">
        <f ca="1">IF(Serialize,_xll.ohObjectSave(G7:G66,SerializationPath&amp;FileName,FileOverwrite,,Serialize),"---")</f>
        <v>60</v>
      </c>
      <c r="H6" s="55" t="str">
        <f ca="1">_xll.ohRangeRetrieveError(G6)</f>
        <v/>
      </c>
      <c r="I6" s="62"/>
    </row>
    <row r="7" spans="1:9" s="50" customFormat="1" x14ac:dyDescent="0.2">
      <c r="B7" s="60"/>
      <c r="C7" s="59" t="s">
        <v>34</v>
      </c>
      <c r="D7" s="61" t="s">
        <v>19</v>
      </c>
      <c r="E7" s="58" t="s">
        <v>23</v>
      </c>
      <c r="F7" s="57" t="str">
        <f t="shared" ref="F7:F38" si="0">PROPER(Currency)&amp;FamilyName&amp;FixingType&amp;$C7</f>
        <v>EurLiborSwapIfrFix1Y</v>
      </c>
      <c r="G7" s="56" t="str">
        <f>_xll.qlLiborSwap($F7,Currency,FixingType,$C7,Currency&amp;$D7,Currency&amp;$E7,Permanent,Trigger,ObjectOverwrite)</f>
        <v>EurLiborSwapIfrFix1Y#0002</v>
      </c>
      <c r="H7" s="55" t="str">
        <f>_xll.ohRangeRetrieveError(G7)</f>
        <v/>
      </c>
      <c r="I7" s="54"/>
    </row>
    <row r="8" spans="1:9" s="50" customFormat="1" x14ac:dyDescent="0.2">
      <c r="B8" s="60"/>
      <c r="C8" s="59" t="s">
        <v>115</v>
      </c>
      <c r="D8" s="58" t="s">
        <v>18</v>
      </c>
      <c r="E8" s="58" t="s">
        <v>23</v>
      </c>
      <c r="F8" s="57" t="str">
        <f t="shared" si="0"/>
        <v>EurLiborSwapIfrFix2Y</v>
      </c>
      <c r="G8" s="56" t="str">
        <f>_xll.qlLiborSwap($F8,Currency,FixingType,$C8,Currency&amp;$D8,Currency&amp;$E8,Permanent,Trigger,ObjectOverwrite)</f>
        <v>EurLiborSwapIfrFix2Y#0002</v>
      </c>
      <c r="H8" s="55" t="str">
        <f>_xll.ohRangeRetrieveError(G8)</f>
        <v/>
      </c>
      <c r="I8" s="54"/>
    </row>
    <row r="9" spans="1:9" s="50" customFormat="1" x14ac:dyDescent="0.2">
      <c r="B9" s="60"/>
      <c r="C9" s="59" t="s">
        <v>114</v>
      </c>
      <c r="D9" s="58" t="s">
        <v>18</v>
      </c>
      <c r="E9" s="58" t="s">
        <v>23</v>
      </c>
      <c r="F9" s="57" t="str">
        <f t="shared" si="0"/>
        <v>EurLiborSwapIfrFix3Y</v>
      </c>
      <c r="G9" s="56" t="str">
        <f>_xll.qlLiborSwap($F9,Currency,FixingType,$C9,Currency&amp;$D9,Currency&amp;$E9,Permanent,Trigger,ObjectOverwrite)</f>
        <v>EurLiborSwapIfrFix3Y#0002</v>
      </c>
      <c r="H9" s="55" t="str">
        <f>_xll.ohRangeRetrieveError(G9)</f>
        <v/>
      </c>
      <c r="I9" s="54"/>
    </row>
    <row r="10" spans="1:9" s="50" customFormat="1" x14ac:dyDescent="0.2">
      <c r="B10" s="60"/>
      <c r="C10" s="59" t="s">
        <v>113</v>
      </c>
      <c r="D10" s="58" t="s">
        <v>18</v>
      </c>
      <c r="E10" s="58" t="s">
        <v>23</v>
      </c>
      <c r="F10" s="57" t="str">
        <f t="shared" si="0"/>
        <v>EurLiborSwapIfrFix4Y</v>
      </c>
      <c r="G10" s="56" t="str">
        <f>_xll.qlLiborSwap($F10,Currency,FixingType,$C10,Currency&amp;$D10,Currency&amp;$E10,Permanent,Trigger,ObjectOverwrite)</f>
        <v>EurLiborSwapIfrFix4Y#0002</v>
      </c>
      <c r="H10" s="55" t="str">
        <f>_xll.ohRangeRetrieveError(G10)</f>
        <v/>
      </c>
      <c r="I10" s="54"/>
    </row>
    <row r="11" spans="1:9" s="50" customFormat="1" x14ac:dyDescent="0.2">
      <c r="B11" s="60"/>
      <c r="C11" s="59" t="s">
        <v>112</v>
      </c>
      <c r="D11" s="58" t="s">
        <v>18</v>
      </c>
      <c r="E11" s="58" t="s">
        <v>23</v>
      </c>
      <c r="F11" s="57" t="str">
        <f t="shared" si="0"/>
        <v>EurLiborSwapIfrFix5Y</v>
      </c>
      <c r="G11" s="56" t="str">
        <f>_xll.qlLiborSwap($F11,Currency,FixingType,$C11,Currency&amp;$D11,Currency&amp;$E11,Permanent,Trigger,ObjectOverwrite)</f>
        <v>EurLiborSwapIfrFix5Y#0002</v>
      </c>
      <c r="H11" s="55" t="str">
        <f>_xll.ohRangeRetrieveError(G11)</f>
        <v/>
      </c>
      <c r="I11" s="54"/>
    </row>
    <row r="12" spans="1:9" s="50" customFormat="1" x14ac:dyDescent="0.2">
      <c r="B12" s="60"/>
      <c r="C12" s="59" t="s">
        <v>111</v>
      </c>
      <c r="D12" s="58" t="s">
        <v>18</v>
      </c>
      <c r="E12" s="58" t="s">
        <v>23</v>
      </c>
      <c r="F12" s="57" t="str">
        <f t="shared" si="0"/>
        <v>EurLiborSwapIfrFix6Y</v>
      </c>
      <c r="G12" s="56" t="str">
        <f>_xll.qlLiborSwap($F12,Currency,FixingType,$C12,Currency&amp;$D12,Currency&amp;$E12,Permanent,Trigger,ObjectOverwrite)</f>
        <v>EurLiborSwapIfrFix6Y#0002</v>
      </c>
      <c r="H12" s="55" t="str">
        <f>_xll.ohRangeRetrieveError(G12)</f>
        <v/>
      </c>
      <c r="I12" s="54"/>
    </row>
    <row r="13" spans="1:9" s="50" customFormat="1" x14ac:dyDescent="0.2">
      <c r="B13" s="60"/>
      <c r="C13" s="59" t="s">
        <v>110</v>
      </c>
      <c r="D13" s="58" t="s">
        <v>18</v>
      </c>
      <c r="E13" s="58" t="s">
        <v>23</v>
      </c>
      <c r="F13" s="57" t="str">
        <f t="shared" si="0"/>
        <v>EurLiborSwapIfrFix7Y</v>
      </c>
      <c r="G13" s="56" t="str">
        <f>_xll.qlLiborSwap($F13,Currency,FixingType,$C13,Currency&amp;$D13,Currency&amp;$E13,Permanent,Trigger,ObjectOverwrite)</f>
        <v>EurLiborSwapIfrFix7Y#0002</v>
      </c>
      <c r="H13" s="55" t="str">
        <f>_xll.ohRangeRetrieveError(G13)</f>
        <v/>
      </c>
      <c r="I13" s="54"/>
    </row>
    <row r="14" spans="1:9" s="50" customFormat="1" x14ac:dyDescent="0.2">
      <c r="B14" s="60"/>
      <c r="C14" s="59" t="s">
        <v>109</v>
      </c>
      <c r="D14" s="58" t="s">
        <v>18</v>
      </c>
      <c r="E14" s="58" t="s">
        <v>23</v>
      </c>
      <c r="F14" s="57" t="str">
        <f t="shared" si="0"/>
        <v>EurLiborSwapIfrFix8Y</v>
      </c>
      <c r="G14" s="56" t="str">
        <f>_xll.qlLiborSwap($F14,Currency,FixingType,$C14,Currency&amp;$D14,Currency&amp;$E14,Permanent,Trigger,ObjectOverwrite)</f>
        <v>EurLiborSwapIfrFix8Y#0002</v>
      </c>
      <c r="H14" s="55" t="str">
        <f>_xll.ohRangeRetrieveError(G14)</f>
        <v/>
      </c>
      <c r="I14" s="54"/>
    </row>
    <row r="15" spans="1:9" s="50" customFormat="1" x14ac:dyDescent="0.2">
      <c r="B15" s="60"/>
      <c r="C15" s="59" t="s">
        <v>108</v>
      </c>
      <c r="D15" s="58" t="s">
        <v>18</v>
      </c>
      <c r="E15" s="58" t="s">
        <v>23</v>
      </c>
      <c r="F15" s="57" t="str">
        <f t="shared" si="0"/>
        <v>EurLiborSwapIfrFix9Y</v>
      </c>
      <c r="G15" s="56" t="str">
        <f>_xll.qlLiborSwap($F15,Currency,FixingType,$C15,Currency&amp;$D15,Currency&amp;$E15,Permanent,Trigger,ObjectOverwrite)</f>
        <v>EurLiborSwapIfrFix9Y#0002</v>
      </c>
      <c r="H15" s="55" t="str">
        <f>_xll.ohRangeRetrieveError(G15)</f>
        <v/>
      </c>
      <c r="I15" s="54"/>
    </row>
    <row r="16" spans="1:9" s="50" customFormat="1" x14ac:dyDescent="0.2">
      <c r="B16" s="60"/>
      <c r="C16" s="59" t="s">
        <v>107</v>
      </c>
      <c r="D16" s="58" t="s">
        <v>18</v>
      </c>
      <c r="E16" s="58" t="s">
        <v>23</v>
      </c>
      <c r="F16" s="57" t="str">
        <f t="shared" si="0"/>
        <v>EurLiborSwapIfrFix10Y</v>
      </c>
      <c r="G16" s="56" t="str">
        <f>_xll.qlLiborSwap($F16,Currency,FixingType,$C16,Currency&amp;$D16,Currency&amp;$E16,Permanent,Trigger,ObjectOverwrite)</f>
        <v>EurLiborSwapIfrFix10Y#0002</v>
      </c>
      <c r="H16" s="55" t="str">
        <f>_xll.ohRangeRetrieveError(G16)</f>
        <v/>
      </c>
      <c r="I16" s="54"/>
    </row>
    <row r="17" spans="2:9" s="50" customFormat="1" x14ac:dyDescent="0.2">
      <c r="B17" s="60"/>
      <c r="C17" s="59" t="s">
        <v>106</v>
      </c>
      <c r="D17" s="58" t="s">
        <v>18</v>
      </c>
      <c r="E17" s="58" t="s">
        <v>23</v>
      </c>
      <c r="F17" s="57" t="str">
        <f t="shared" si="0"/>
        <v>EurLiborSwapIfrFix11Y</v>
      </c>
      <c r="G17" s="56" t="str">
        <f>_xll.qlLiborSwap($F17,Currency,FixingType,$C17,Currency&amp;$D17,Currency&amp;$E17,Permanent,Trigger,ObjectOverwrite)</f>
        <v>EurLiborSwapIfrFix11Y#0002</v>
      </c>
      <c r="H17" s="55" t="str">
        <f>_xll.ohRangeRetrieveError(G17)</f>
        <v/>
      </c>
      <c r="I17" s="54"/>
    </row>
    <row r="18" spans="2:9" s="50" customFormat="1" x14ac:dyDescent="0.2">
      <c r="B18" s="60"/>
      <c r="C18" s="59" t="s">
        <v>105</v>
      </c>
      <c r="D18" s="58" t="s">
        <v>18</v>
      </c>
      <c r="E18" s="58" t="s">
        <v>23</v>
      </c>
      <c r="F18" s="57" t="str">
        <f t="shared" si="0"/>
        <v>EurLiborSwapIfrFix12Y</v>
      </c>
      <c r="G18" s="56" t="str">
        <f>_xll.qlLiborSwap($F18,Currency,FixingType,$C18,Currency&amp;$D18,Currency&amp;$E18,Permanent,Trigger,ObjectOverwrite)</f>
        <v>EurLiborSwapIfrFix12Y#0002</v>
      </c>
      <c r="H18" s="55" t="str">
        <f>_xll.ohRangeRetrieveError(G18)</f>
        <v/>
      </c>
      <c r="I18" s="54"/>
    </row>
    <row r="19" spans="2:9" s="50" customFormat="1" x14ac:dyDescent="0.2">
      <c r="B19" s="60"/>
      <c r="C19" s="59" t="s">
        <v>104</v>
      </c>
      <c r="D19" s="58" t="s">
        <v>18</v>
      </c>
      <c r="E19" s="58" t="s">
        <v>23</v>
      </c>
      <c r="F19" s="57" t="str">
        <f t="shared" si="0"/>
        <v>EurLiborSwapIfrFix13Y</v>
      </c>
      <c r="G19" s="56" t="str">
        <f>_xll.qlLiborSwap($F19,Currency,FixingType,$C19,Currency&amp;$D19,Currency&amp;$E19,Permanent,Trigger,ObjectOverwrite)</f>
        <v>EurLiborSwapIfrFix13Y#0002</v>
      </c>
      <c r="H19" s="55" t="str">
        <f>_xll.ohRangeRetrieveError(G19)</f>
        <v/>
      </c>
      <c r="I19" s="54"/>
    </row>
    <row r="20" spans="2:9" s="50" customFormat="1" x14ac:dyDescent="0.2">
      <c r="B20" s="60"/>
      <c r="C20" s="59" t="s">
        <v>103</v>
      </c>
      <c r="D20" s="58" t="s">
        <v>18</v>
      </c>
      <c r="E20" s="58" t="s">
        <v>23</v>
      </c>
      <c r="F20" s="57" t="str">
        <f t="shared" si="0"/>
        <v>EurLiborSwapIfrFix14Y</v>
      </c>
      <c r="G20" s="56" t="str">
        <f>_xll.qlLiborSwap($F20,Currency,FixingType,$C20,Currency&amp;$D20,Currency&amp;$E20,Permanent,Trigger,ObjectOverwrite)</f>
        <v>EurLiborSwapIfrFix14Y#0002</v>
      </c>
      <c r="H20" s="55" t="str">
        <f>_xll.ohRangeRetrieveError(G20)</f>
        <v/>
      </c>
      <c r="I20" s="54"/>
    </row>
    <row r="21" spans="2:9" s="50" customFormat="1" x14ac:dyDescent="0.2">
      <c r="B21" s="60"/>
      <c r="C21" s="59" t="s">
        <v>102</v>
      </c>
      <c r="D21" s="58" t="s">
        <v>18</v>
      </c>
      <c r="E21" s="58" t="s">
        <v>23</v>
      </c>
      <c r="F21" s="57" t="str">
        <f t="shared" si="0"/>
        <v>EurLiborSwapIfrFix15Y</v>
      </c>
      <c r="G21" s="56" t="str">
        <f>_xll.qlLiborSwap($F21,Currency,FixingType,$C21,Currency&amp;$D21,Currency&amp;$E21,Permanent,Trigger,ObjectOverwrite)</f>
        <v>EurLiborSwapIfrFix15Y#0002</v>
      </c>
      <c r="H21" s="55" t="str">
        <f>_xll.ohRangeRetrieveError(G21)</f>
        <v/>
      </c>
      <c r="I21" s="54"/>
    </row>
    <row r="22" spans="2:9" s="50" customFormat="1" x14ac:dyDescent="0.2">
      <c r="B22" s="60"/>
      <c r="C22" s="59" t="s">
        <v>101</v>
      </c>
      <c r="D22" s="58" t="s">
        <v>18</v>
      </c>
      <c r="E22" s="58" t="s">
        <v>23</v>
      </c>
      <c r="F22" s="57" t="str">
        <f t="shared" si="0"/>
        <v>EurLiborSwapIfrFix16Y</v>
      </c>
      <c r="G22" s="56" t="str">
        <f>_xll.qlLiborSwap($F22,Currency,FixingType,$C22,Currency&amp;$D22,Currency&amp;$E22,Permanent,Trigger,ObjectOverwrite)</f>
        <v>EurLiborSwapIfrFix16Y#0002</v>
      </c>
      <c r="H22" s="55" t="str">
        <f>_xll.ohRangeRetrieveError(G22)</f>
        <v/>
      </c>
      <c r="I22" s="54"/>
    </row>
    <row r="23" spans="2:9" s="50" customFormat="1" x14ac:dyDescent="0.2">
      <c r="B23" s="60"/>
      <c r="C23" s="59" t="s">
        <v>100</v>
      </c>
      <c r="D23" s="58" t="s">
        <v>18</v>
      </c>
      <c r="E23" s="58" t="s">
        <v>23</v>
      </c>
      <c r="F23" s="57" t="str">
        <f t="shared" si="0"/>
        <v>EurLiborSwapIfrFix17Y</v>
      </c>
      <c r="G23" s="56" t="str">
        <f>_xll.qlLiborSwap($F23,Currency,FixingType,$C23,Currency&amp;$D23,Currency&amp;$E23,Permanent,Trigger,ObjectOverwrite)</f>
        <v>EurLiborSwapIfrFix17Y#0002</v>
      </c>
      <c r="H23" s="55" t="str">
        <f>_xll.ohRangeRetrieveError(G23)</f>
        <v/>
      </c>
      <c r="I23" s="54"/>
    </row>
    <row r="24" spans="2:9" s="50" customFormat="1" x14ac:dyDescent="0.2">
      <c r="B24" s="60"/>
      <c r="C24" s="59" t="s">
        <v>99</v>
      </c>
      <c r="D24" s="58" t="s">
        <v>18</v>
      </c>
      <c r="E24" s="58" t="s">
        <v>23</v>
      </c>
      <c r="F24" s="57" t="str">
        <f t="shared" si="0"/>
        <v>EurLiborSwapIfrFix18Y</v>
      </c>
      <c r="G24" s="56" t="str">
        <f>_xll.qlLiborSwap($F24,Currency,FixingType,$C24,Currency&amp;$D24,Currency&amp;$E24,Permanent,Trigger,ObjectOverwrite)</f>
        <v>EurLiborSwapIfrFix18Y#0002</v>
      </c>
      <c r="H24" s="55" t="str">
        <f>_xll.ohRangeRetrieveError(G24)</f>
        <v/>
      </c>
      <c r="I24" s="54"/>
    </row>
    <row r="25" spans="2:9" s="50" customFormat="1" x14ac:dyDescent="0.2">
      <c r="B25" s="60"/>
      <c r="C25" s="59" t="s">
        <v>98</v>
      </c>
      <c r="D25" s="58" t="s">
        <v>18</v>
      </c>
      <c r="E25" s="58" t="s">
        <v>23</v>
      </c>
      <c r="F25" s="57" t="str">
        <f t="shared" si="0"/>
        <v>EurLiborSwapIfrFix19Y</v>
      </c>
      <c r="G25" s="56" t="str">
        <f>_xll.qlLiborSwap($F25,Currency,FixingType,$C25,Currency&amp;$D25,Currency&amp;$E25,Permanent,Trigger,ObjectOverwrite)</f>
        <v>EurLiborSwapIfrFix19Y#0002</v>
      </c>
      <c r="H25" s="55" t="str">
        <f>_xll.ohRangeRetrieveError(G25)</f>
        <v/>
      </c>
      <c r="I25" s="54"/>
    </row>
    <row r="26" spans="2:9" s="50" customFormat="1" x14ac:dyDescent="0.2">
      <c r="B26" s="60"/>
      <c r="C26" s="59" t="s">
        <v>97</v>
      </c>
      <c r="D26" s="58" t="s">
        <v>18</v>
      </c>
      <c r="E26" s="58" t="s">
        <v>23</v>
      </c>
      <c r="F26" s="57" t="str">
        <f t="shared" si="0"/>
        <v>EurLiborSwapIfrFix20Y</v>
      </c>
      <c r="G26" s="56" t="str">
        <f>_xll.qlLiborSwap($F26,Currency,FixingType,$C26,Currency&amp;$D26,Currency&amp;$E26,Permanent,Trigger,ObjectOverwrite)</f>
        <v>EurLiborSwapIfrFix20Y#0002</v>
      </c>
      <c r="H26" s="55" t="str">
        <f>_xll.ohRangeRetrieveError(G26)</f>
        <v/>
      </c>
      <c r="I26" s="54"/>
    </row>
    <row r="27" spans="2:9" s="50" customFormat="1" x14ac:dyDescent="0.2">
      <c r="B27" s="60"/>
      <c r="C27" s="59" t="s">
        <v>96</v>
      </c>
      <c r="D27" s="58" t="s">
        <v>18</v>
      </c>
      <c r="E27" s="58" t="s">
        <v>23</v>
      </c>
      <c r="F27" s="57" t="str">
        <f t="shared" si="0"/>
        <v>EurLiborSwapIfrFix21Y</v>
      </c>
      <c r="G27" s="56" t="str">
        <f>_xll.qlLiborSwap($F27,Currency,FixingType,$C27,Currency&amp;$D27,Currency&amp;$E27,Permanent,Trigger,ObjectOverwrite)</f>
        <v>EurLiborSwapIfrFix21Y#0002</v>
      </c>
      <c r="H27" s="55" t="str">
        <f>_xll.ohRangeRetrieveError(G27)</f>
        <v/>
      </c>
      <c r="I27" s="54"/>
    </row>
    <row r="28" spans="2:9" s="50" customFormat="1" x14ac:dyDescent="0.2">
      <c r="B28" s="60"/>
      <c r="C28" s="59" t="s">
        <v>95</v>
      </c>
      <c r="D28" s="58" t="s">
        <v>18</v>
      </c>
      <c r="E28" s="58" t="s">
        <v>23</v>
      </c>
      <c r="F28" s="57" t="str">
        <f t="shared" si="0"/>
        <v>EurLiborSwapIfrFix22Y</v>
      </c>
      <c r="G28" s="56" t="str">
        <f>_xll.qlLiborSwap($F28,Currency,FixingType,$C28,Currency&amp;$D28,Currency&amp;$E28,Permanent,Trigger,ObjectOverwrite)</f>
        <v>EurLiborSwapIfrFix22Y#0002</v>
      </c>
      <c r="H28" s="55" t="str">
        <f>_xll.ohRangeRetrieveError(G28)</f>
        <v/>
      </c>
      <c r="I28" s="54"/>
    </row>
    <row r="29" spans="2:9" s="50" customFormat="1" x14ac:dyDescent="0.2">
      <c r="B29" s="60"/>
      <c r="C29" s="59" t="s">
        <v>94</v>
      </c>
      <c r="D29" s="58" t="s">
        <v>18</v>
      </c>
      <c r="E29" s="58" t="s">
        <v>23</v>
      </c>
      <c r="F29" s="57" t="str">
        <f t="shared" si="0"/>
        <v>EurLiborSwapIfrFix23Y</v>
      </c>
      <c r="G29" s="56" t="str">
        <f>_xll.qlLiborSwap($F29,Currency,FixingType,$C29,Currency&amp;$D29,Currency&amp;$E29,Permanent,Trigger,ObjectOverwrite)</f>
        <v>EurLiborSwapIfrFix23Y#0002</v>
      </c>
      <c r="H29" s="55" t="str">
        <f>_xll.ohRangeRetrieveError(G29)</f>
        <v/>
      </c>
      <c r="I29" s="54"/>
    </row>
    <row r="30" spans="2:9" s="50" customFormat="1" x14ac:dyDescent="0.2">
      <c r="B30" s="60"/>
      <c r="C30" s="59" t="s">
        <v>93</v>
      </c>
      <c r="D30" s="58" t="s">
        <v>18</v>
      </c>
      <c r="E30" s="58" t="s">
        <v>23</v>
      </c>
      <c r="F30" s="57" t="str">
        <f t="shared" si="0"/>
        <v>EurLiborSwapIfrFix24Y</v>
      </c>
      <c r="G30" s="56" t="str">
        <f>_xll.qlLiborSwap($F30,Currency,FixingType,$C30,Currency&amp;$D30,Currency&amp;$E30,Permanent,Trigger,ObjectOverwrite)</f>
        <v>EurLiborSwapIfrFix24Y#0002</v>
      </c>
      <c r="H30" s="55" t="str">
        <f>_xll.ohRangeRetrieveError(G30)</f>
        <v/>
      </c>
      <c r="I30" s="54"/>
    </row>
    <row r="31" spans="2:9" s="50" customFormat="1" x14ac:dyDescent="0.2">
      <c r="B31" s="60"/>
      <c r="C31" s="59" t="s">
        <v>92</v>
      </c>
      <c r="D31" s="58" t="s">
        <v>18</v>
      </c>
      <c r="E31" s="58" t="s">
        <v>23</v>
      </c>
      <c r="F31" s="57" t="str">
        <f t="shared" si="0"/>
        <v>EurLiborSwapIfrFix25Y</v>
      </c>
      <c r="G31" s="56" t="str">
        <f>_xll.qlLiborSwap($F31,Currency,FixingType,$C31,Currency&amp;$D31,Currency&amp;$E31,Permanent,Trigger,ObjectOverwrite)</f>
        <v>EurLiborSwapIfrFix25Y#0002</v>
      </c>
      <c r="H31" s="55" t="str">
        <f>_xll.ohRangeRetrieveError(G31)</f>
        <v/>
      </c>
      <c r="I31" s="54"/>
    </row>
    <row r="32" spans="2:9" s="50" customFormat="1" x14ac:dyDescent="0.2">
      <c r="B32" s="60"/>
      <c r="C32" s="59" t="s">
        <v>91</v>
      </c>
      <c r="D32" s="58" t="s">
        <v>18</v>
      </c>
      <c r="E32" s="58" t="s">
        <v>23</v>
      </c>
      <c r="F32" s="57" t="str">
        <f t="shared" si="0"/>
        <v>EurLiborSwapIfrFix26Y</v>
      </c>
      <c r="G32" s="56" t="str">
        <f>_xll.qlLiborSwap($F32,Currency,FixingType,$C32,Currency&amp;$D32,Currency&amp;$E32,Permanent,Trigger,ObjectOverwrite)</f>
        <v>EurLiborSwapIfrFix26Y#0002</v>
      </c>
      <c r="H32" s="55" t="str">
        <f>_xll.ohRangeRetrieveError(G32)</f>
        <v/>
      </c>
      <c r="I32" s="54"/>
    </row>
    <row r="33" spans="2:9" s="50" customFormat="1" x14ac:dyDescent="0.2">
      <c r="B33" s="60"/>
      <c r="C33" s="59" t="s">
        <v>90</v>
      </c>
      <c r="D33" s="58" t="s">
        <v>18</v>
      </c>
      <c r="E33" s="58" t="s">
        <v>23</v>
      </c>
      <c r="F33" s="57" t="str">
        <f t="shared" si="0"/>
        <v>EurLiborSwapIfrFix27Y</v>
      </c>
      <c r="G33" s="56" t="str">
        <f>_xll.qlLiborSwap($F33,Currency,FixingType,$C33,Currency&amp;$D33,Currency&amp;$E33,Permanent,Trigger,ObjectOverwrite)</f>
        <v>EurLiborSwapIfrFix27Y#0002</v>
      </c>
      <c r="H33" s="55" t="str">
        <f>_xll.ohRangeRetrieveError(G33)</f>
        <v/>
      </c>
      <c r="I33" s="54"/>
    </row>
    <row r="34" spans="2:9" s="50" customFormat="1" x14ac:dyDescent="0.2">
      <c r="B34" s="60"/>
      <c r="C34" s="59" t="s">
        <v>89</v>
      </c>
      <c r="D34" s="58" t="s">
        <v>18</v>
      </c>
      <c r="E34" s="58" t="s">
        <v>23</v>
      </c>
      <c r="F34" s="57" t="str">
        <f t="shared" si="0"/>
        <v>EurLiborSwapIfrFix28Y</v>
      </c>
      <c r="G34" s="56" t="str">
        <f>_xll.qlLiborSwap($F34,Currency,FixingType,$C34,Currency&amp;$D34,Currency&amp;$E34,Permanent,Trigger,ObjectOverwrite)</f>
        <v>EurLiborSwapIfrFix28Y#0002</v>
      </c>
      <c r="H34" s="55" t="str">
        <f>_xll.ohRangeRetrieveError(G34)</f>
        <v/>
      </c>
      <c r="I34" s="54"/>
    </row>
    <row r="35" spans="2:9" s="50" customFormat="1" x14ac:dyDescent="0.2">
      <c r="B35" s="60"/>
      <c r="C35" s="59" t="s">
        <v>88</v>
      </c>
      <c r="D35" s="58" t="s">
        <v>18</v>
      </c>
      <c r="E35" s="58" t="s">
        <v>23</v>
      </c>
      <c r="F35" s="57" t="str">
        <f t="shared" si="0"/>
        <v>EurLiborSwapIfrFix29Y</v>
      </c>
      <c r="G35" s="56" t="str">
        <f>_xll.qlLiborSwap($F35,Currency,FixingType,$C35,Currency&amp;$D35,Currency&amp;$E35,Permanent,Trigger,ObjectOverwrite)</f>
        <v>EurLiborSwapIfrFix29Y#0002</v>
      </c>
      <c r="H35" s="55" t="str">
        <f>_xll.ohRangeRetrieveError(G35)</f>
        <v/>
      </c>
      <c r="I35" s="54"/>
    </row>
    <row r="36" spans="2:9" s="50" customFormat="1" x14ac:dyDescent="0.2">
      <c r="B36" s="60"/>
      <c r="C36" s="59" t="s">
        <v>87</v>
      </c>
      <c r="D36" s="58" t="s">
        <v>18</v>
      </c>
      <c r="E36" s="58" t="s">
        <v>23</v>
      </c>
      <c r="F36" s="57" t="str">
        <f t="shared" si="0"/>
        <v>EurLiborSwapIfrFix30Y</v>
      </c>
      <c r="G36" s="56" t="str">
        <f>_xll.qlLiborSwap($F36,Currency,FixingType,$C36,Currency&amp;$D36,Currency&amp;$E36,Permanent,Trigger,ObjectOverwrite)</f>
        <v>EurLiborSwapIfrFix30Y#0002</v>
      </c>
      <c r="H36" s="55" t="str">
        <f>_xll.ohRangeRetrieveError(G36)</f>
        <v/>
      </c>
      <c r="I36" s="54"/>
    </row>
    <row r="37" spans="2:9" s="50" customFormat="1" x14ac:dyDescent="0.2">
      <c r="B37" s="60"/>
      <c r="C37" s="59" t="s">
        <v>86</v>
      </c>
      <c r="D37" s="58" t="s">
        <v>18</v>
      </c>
      <c r="E37" s="58" t="s">
        <v>23</v>
      </c>
      <c r="F37" s="57" t="str">
        <f t="shared" si="0"/>
        <v>EurLiborSwapIfrFix31Y</v>
      </c>
      <c r="G37" s="56" t="str">
        <f>_xll.qlLiborSwap($F37,Currency,FixingType,$C37,Currency&amp;$D37,Currency&amp;$E37,Permanent,Trigger,ObjectOverwrite)</f>
        <v>EurLiborSwapIfrFix31Y#0002</v>
      </c>
      <c r="H37" s="55" t="str">
        <f>_xll.ohRangeRetrieveError(G37)</f>
        <v/>
      </c>
      <c r="I37" s="54"/>
    </row>
    <row r="38" spans="2:9" s="50" customFormat="1" x14ac:dyDescent="0.2">
      <c r="B38" s="60"/>
      <c r="C38" s="59" t="s">
        <v>85</v>
      </c>
      <c r="D38" s="58" t="s">
        <v>18</v>
      </c>
      <c r="E38" s="58" t="s">
        <v>23</v>
      </c>
      <c r="F38" s="57" t="str">
        <f t="shared" si="0"/>
        <v>EurLiborSwapIfrFix32Y</v>
      </c>
      <c r="G38" s="56" t="str">
        <f>_xll.qlLiborSwap($F38,Currency,FixingType,$C38,Currency&amp;$D38,Currency&amp;$E38,Permanent,Trigger,ObjectOverwrite)</f>
        <v>EurLiborSwapIfrFix32Y#0002</v>
      </c>
      <c r="H38" s="55" t="str">
        <f>_xll.ohRangeRetrieveError(G38)</f>
        <v/>
      </c>
      <c r="I38" s="54"/>
    </row>
    <row r="39" spans="2:9" s="50" customFormat="1" x14ac:dyDescent="0.2">
      <c r="B39" s="60"/>
      <c r="C39" s="59" t="s">
        <v>84</v>
      </c>
      <c r="D39" s="58" t="s">
        <v>18</v>
      </c>
      <c r="E39" s="58" t="s">
        <v>23</v>
      </c>
      <c r="F39" s="57" t="str">
        <f t="shared" ref="F39:F66" si="1">PROPER(Currency)&amp;FamilyName&amp;FixingType&amp;$C39</f>
        <v>EurLiborSwapIfrFix33Y</v>
      </c>
      <c r="G39" s="56" t="str">
        <f>_xll.qlLiborSwap($F39,Currency,FixingType,$C39,Currency&amp;$D39,Currency&amp;$E39,Permanent,Trigger,ObjectOverwrite)</f>
        <v>EurLiborSwapIfrFix33Y#0002</v>
      </c>
      <c r="H39" s="55" t="str">
        <f>_xll.ohRangeRetrieveError(G39)</f>
        <v/>
      </c>
      <c r="I39" s="54"/>
    </row>
    <row r="40" spans="2:9" s="50" customFormat="1" x14ac:dyDescent="0.2">
      <c r="B40" s="60"/>
      <c r="C40" s="59" t="s">
        <v>83</v>
      </c>
      <c r="D40" s="58" t="s">
        <v>18</v>
      </c>
      <c r="E40" s="58" t="s">
        <v>23</v>
      </c>
      <c r="F40" s="57" t="str">
        <f t="shared" si="1"/>
        <v>EurLiborSwapIfrFix34Y</v>
      </c>
      <c r="G40" s="56" t="str">
        <f>_xll.qlLiborSwap($F40,Currency,FixingType,$C40,Currency&amp;$D40,Currency&amp;$E40,Permanent,Trigger,ObjectOverwrite)</f>
        <v>EurLiborSwapIfrFix34Y#0002</v>
      </c>
      <c r="H40" s="55" t="str">
        <f>_xll.ohRangeRetrieveError(G40)</f>
        <v/>
      </c>
      <c r="I40" s="54"/>
    </row>
    <row r="41" spans="2:9" s="50" customFormat="1" x14ac:dyDescent="0.2">
      <c r="B41" s="60"/>
      <c r="C41" s="59" t="s">
        <v>82</v>
      </c>
      <c r="D41" s="58" t="s">
        <v>18</v>
      </c>
      <c r="E41" s="58" t="s">
        <v>23</v>
      </c>
      <c r="F41" s="57" t="str">
        <f t="shared" si="1"/>
        <v>EurLiborSwapIfrFix35Y</v>
      </c>
      <c r="G41" s="56" t="str">
        <f>_xll.qlLiborSwap($F41,Currency,FixingType,$C41,Currency&amp;$D41,Currency&amp;$E41,Permanent,Trigger,ObjectOverwrite)</f>
        <v>EurLiborSwapIfrFix35Y#0002</v>
      </c>
      <c r="H41" s="55" t="str">
        <f>_xll.ohRangeRetrieveError(G41)</f>
        <v/>
      </c>
      <c r="I41" s="54"/>
    </row>
    <row r="42" spans="2:9" s="50" customFormat="1" x14ac:dyDescent="0.2">
      <c r="B42" s="60"/>
      <c r="C42" s="59" t="s">
        <v>81</v>
      </c>
      <c r="D42" s="58" t="s">
        <v>18</v>
      </c>
      <c r="E42" s="58" t="s">
        <v>23</v>
      </c>
      <c r="F42" s="57" t="str">
        <f t="shared" si="1"/>
        <v>EurLiborSwapIfrFix36Y</v>
      </c>
      <c r="G42" s="56" t="str">
        <f>_xll.qlLiborSwap($F42,Currency,FixingType,$C42,Currency&amp;$D42,Currency&amp;$E42,Permanent,Trigger,ObjectOverwrite)</f>
        <v>EurLiborSwapIfrFix36Y#0002</v>
      </c>
      <c r="H42" s="55" t="str">
        <f>_xll.ohRangeRetrieveError(G42)</f>
        <v/>
      </c>
      <c r="I42" s="54"/>
    </row>
    <row r="43" spans="2:9" s="50" customFormat="1" x14ac:dyDescent="0.2">
      <c r="B43" s="60"/>
      <c r="C43" s="59" t="s">
        <v>80</v>
      </c>
      <c r="D43" s="58" t="s">
        <v>18</v>
      </c>
      <c r="E43" s="58" t="s">
        <v>23</v>
      </c>
      <c r="F43" s="57" t="str">
        <f t="shared" si="1"/>
        <v>EurLiborSwapIfrFix37Y</v>
      </c>
      <c r="G43" s="56" t="str">
        <f>_xll.qlLiborSwap($F43,Currency,FixingType,$C43,Currency&amp;$D43,Currency&amp;$E43,Permanent,Trigger,ObjectOverwrite)</f>
        <v>EurLiborSwapIfrFix37Y#0002</v>
      </c>
      <c r="H43" s="55" t="str">
        <f>_xll.ohRangeRetrieveError(G43)</f>
        <v/>
      </c>
      <c r="I43" s="54"/>
    </row>
    <row r="44" spans="2:9" s="50" customFormat="1" x14ac:dyDescent="0.2">
      <c r="B44" s="60"/>
      <c r="C44" s="59" t="s">
        <v>79</v>
      </c>
      <c r="D44" s="58" t="s">
        <v>18</v>
      </c>
      <c r="E44" s="58" t="s">
        <v>23</v>
      </c>
      <c r="F44" s="57" t="str">
        <f t="shared" si="1"/>
        <v>EurLiborSwapIfrFix38Y</v>
      </c>
      <c r="G44" s="56" t="str">
        <f>_xll.qlLiborSwap($F44,Currency,FixingType,$C44,Currency&amp;$D44,Currency&amp;$E44,Permanent,Trigger,ObjectOverwrite)</f>
        <v>EurLiborSwapIfrFix38Y#0002</v>
      </c>
      <c r="H44" s="55" t="str">
        <f>_xll.ohRangeRetrieveError(G44)</f>
        <v/>
      </c>
      <c r="I44" s="54"/>
    </row>
    <row r="45" spans="2:9" s="50" customFormat="1" x14ac:dyDescent="0.2">
      <c r="B45" s="60"/>
      <c r="C45" s="59" t="s">
        <v>78</v>
      </c>
      <c r="D45" s="58" t="s">
        <v>18</v>
      </c>
      <c r="E45" s="58" t="s">
        <v>23</v>
      </c>
      <c r="F45" s="57" t="str">
        <f t="shared" si="1"/>
        <v>EurLiborSwapIfrFix39Y</v>
      </c>
      <c r="G45" s="56" t="str">
        <f>_xll.qlLiborSwap($F45,Currency,FixingType,$C45,Currency&amp;$D45,Currency&amp;$E45,Permanent,Trigger,ObjectOverwrite)</f>
        <v>EurLiborSwapIfrFix39Y#0002</v>
      </c>
      <c r="H45" s="55" t="str">
        <f>_xll.ohRangeRetrieveError(G45)</f>
        <v/>
      </c>
      <c r="I45" s="54"/>
    </row>
    <row r="46" spans="2:9" s="50" customFormat="1" x14ac:dyDescent="0.2">
      <c r="B46" s="60"/>
      <c r="C46" s="59" t="s">
        <v>77</v>
      </c>
      <c r="D46" s="58" t="s">
        <v>18</v>
      </c>
      <c r="E46" s="58" t="s">
        <v>23</v>
      </c>
      <c r="F46" s="57" t="str">
        <f t="shared" si="1"/>
        <v>EurLiborSwapIfrFix40Y</v>
      </c>
      <c r="G46" s="56" t="str">
        <f>_xll.qlLiborSwap($F46,Currency,FixingType,$C46,Currency&amp;$D46,Currency&amp;$E46,Permanent,Trigger,ObjectOverwrite)</f>
        <v>EurLiborSwapIfrFix40Y#0002</v>
      </c>
      <c r="H46" s="55" t="str">
        <f>_xll.ohRangeRetrieveError(G46)</f>
        <v/>
      </c>
      <c r="I46" s="54"/>
    </row>
    <row r="47" spans="2:9" s="50" customFormat="1" x14ac:dyDescent="0.2">
      <c r="B47" s="60"/>
      <c r="C47" s="59" t="s">
        <v>76</v>
      </c>
      <c r="D47" s="58" t="s">
        <v>18</v>
      </c>
      <c r="E47" s="58" t="s">
        <v>23</v>
      </c>
      <c r="F47" s="57" t="str">
        <f t="shared" si="1"/>
        <v>EurLiborSwapIfrFix41Y</v>
      </c>
      <c r="G47" s="56" t="str">
        <f>_xll.qlLiborSwap($F47,Currency,FixingType,$C47,Currency&amp;$D47,Currency&amp;$E47,Permanent,Trigger,ObjectOverwrite)</f>
        <v>EurLiborSwapIfrFix41Y#0002</v>
      </c>
      <c r="H47" s="55" t="str">
        <f>_xll.ohRangeRetrieveError(G47)</f>
        <v/>
      </c>
      <c r="I47" s="54"/>
    </row>
    <row r="48" spans="2:9" s="50" customFormat="1" x14ac:dyDescent="0.2">
      <c r="B48" s="60"/>
      <c r="C48" s="59" t="s">
        <v>75</v>
      </c>
      <c r="D48" s="58" t="s">
        <v>18</v>
      </c>
      <c r="E48" s="58" t="s">
        <v>23</v>
      </c>
      <c r="F48" s="57" t="str">
        <f t="shared" si="1"/>
        <v>EurLiborSwapIfrFix42Y</v>
      </c>
      <c r="G48" s="56" t="str">
        <f>_xll.qlLiborSwap($F48,Currency,FixingType,$C48,Currency&amp;$D48,Currency&amp;$E48,Permanent,Trigger,ObjectOverwrite)</f>
        <v>EurLiborSwapIfrFix42Y#0002</v>
      </c>
      <c r="H48" s="55" t="str">
        <f>_xll.ohRangeRetrieveError(G48)</f>
        <v/>
      </c>
      <c r="I48" s="54"/>
    </row>
    <row r="49" spans="2:9" s="50" customFormat="1" x14ac:dyDescent="0.2">
      <c r="B49" s="60"/>
      <c r="C49" s="59" t="s">
        <v>74</v>
      </c>
      <c r="D49" s="58" t="s">
        <v>18</v>
      </c>
      <c r="E49" s="58" t="s">
        <v>23</v>
      </c>
      <c r="F49" s="57" t="str">
        <f t="shared" si="1"/>
        <v>EurLiborSwapIfrFix43Y</v>
      </c>
      <c r="G49" s="56" t="str">
        <f>_xll.qlLiborSwap($F49,Currency,FixingType,$C49,Currency&amp;$D49,Currency&amp;$E49,Permanent,Trigger,ObjectOverwrite)</f>
        <v>EurLiborSwapIfrFix43Y#0002</v>
      </c>
      <c r="H49" s="55" t="str">
        <f>_xll.ohRangeRetrieveError(G49)</f>
        <v/>
      </c>
      <c r="I49" s="54"/>
    </row>
    <row r="50" spans="2:9" s="50" customFormat="1" x14ac:dyDescent="0.2">
      <c r="B50" s="60"/>
      <c r="C50" s="59" t="s">
        <v>73</v>
      </c>
      <c r="D50" s="58" t="s">
        <v>18</v>
      </c>
      <c r="E50" s="58" t="s">
        <v>23</v>
      </c>
      <c r="F50" s="57" t="str">
        <f t="shared" si="1"/>
        <v>EurLiborSwapIfrFix44Y</v>
      </c>
      <c r="G50" s="56" t="str">
        <f>_xll.qlLiborSwap($F50,Currency,FixingType,$C50,Currency&amp;$D50,Currency&amp;$E50,Permanent,Trigger,ObjectOverwrite)</f>
        <v>EurLiborSwapIfrFix44Y#0002</v>
      </c>
      <c r="H50" s="55" t="str">
        <f>_xll.ohRangeRetrieveError(G50)</f>
        <v/>
      </c>
      <c r="I50" s="54"/>
    </row>
    <row r="51" spans="2:9" s="50" customFormat="1" x14ac:dyDescent="0.2">
      <c r="B51" s="60"/>
      <c r="C51" s="59" t="s">
        <v>72</v>
      </c>
      <c r="D51" s="58" t="s">
        <v>18</v>
      </c>
      <c r="E51" s="58" t="s">
        <v>23</v>
      </c>
      <c r="F51" s="57" t="str">
        <f t="shared" si="1"/>
        <v>EurLiborSwapIfrFix45Y</v>
      </c>
      <c r="G51" s="56" t="str">
        <f>_xll.qlLiborSwap($F51,Currency,FixingType,$C51,Currency&amp;$D51,Currency&amp;$E51,Permanent,Trigger,ObjectOverwrite)</f>
        <v>EurLiborSwapIfrFix45Y#0002</v>
      </c>
      <c r="H51" s="55" t="str">
        <f>_xll.ohRangeRetrieveError(G51)</f>
        <v/>
      </c>
      <c r="I51" s="54"/>
    </row>
    <row r="52" spans="2:9" s="50" customFormat="1" x14ac:dyDescent="0.2">
      <c r="B52" s="60"/>
      <c r="C52" s="59" t="s">
        <v>71</v>
      </c>
      <c r="D52" s="58" t="s">
        <v>18</v>
      </c>
      <c r="E52" s="58" t="s">
        <v>23</v>
      </c>
      <c r="F52" s="57" t="str">
        <f t="shared" si="1"/>
        <v>EurLiborSwapIfrFix46Y</v>
      </c>
      <c r="G52" s="56" t="str">
        <f>_xll.qlLiborSwap($F52,Currency,FixingType,$C52,Currency&amp;$D52,Currency&amp;$E52,Permanent,Trigger,ObjectOverwrite)</f>
        <v>EurLiborSwapIfrFix46Y#0002</v>
      </c>
      <c r="H52" s="55" t="str">
        <f>_xll.ohRangeRetrieveError(G52)</f>
        <v/>
      </c>
      <c r="I52" s="54"/>
    </row>
    <row r="53" spans="2:9" s="50" customFormat="1" x14ac:dyDescent="0.2">
      <c r="B53" s="60"/>
      <c r="C53" s="59" t="s">
        <v>70</v>
      </c>
      <c r="D53" s="58" t="s">
        <v>18</v>
      </c>
      <c r="E53" s="58" t="s">
        <v>23</v>
      </c>
      <c r="F53" s="57" t="str">
        <f t="shared" si="1"/>
        <v>EurLiborSwapIfrFix47Y</v>
      </c>
      <c r="G53" s="56" t="str">
        <f>_xll.qlLiborSwap($F53,Currency,FixingType,$C53,Currency&amp;$D53,Currency&amp;$E53,Permanent,Trigger,ObjectOverwrite)</f>
        <v>EurLiborSwapIfrFix47Y#0002</v>
      </c>
      <c r="H53" s="55" t="str">
        <f>_xll.ohRangeRetrieveError(G53)</f>
        <v/>
      </c>
      <c r="I53" s="54"/>
    </row>
    <row r="54" spans="2:9" s="50" customFormat="1" x14ac:dyDescent="0.2">
      <c r="B54" s="60"/>
      <c r="C54" s="59" t="s">
        <v>69</v>
      </c>
      <c r="D54" s="58" t="s">
        <v>18</v>
      </c>
      <c r="E54" s="58" t="s">
        <v>23</v>
      </c>
      <c r="F54" s="57" t="str">
        <f t="shared" si="1"/>
        <v>EurLiborSwapIfrFix48Y</v>
      </c>
      <c r="G54" s="56" t="str">
        <f>_xll.qlLiborSwap($F54,Currency,FixingType,$C54,Currency&amp;$D54,Currency&amp;$E54,Permanent,Trigger,ObjectOverwrite)</f>
        <v>EurLiborSwapIfrFix48Y#0002</v>
      </c>
      <c r="H54" s="55" t="str">
        <f>_xll.ohRangeRetrieveError(G54)</f>
        <v/>
      </c>
      <c r="I54" s="54"/>
    </row>
    <row r="55" spans="2:9" s="50" customFormat="1" x14ac:dyDescent="0.2">
      <c r="B55" s="60"/>
      <c r="C55" s="59" t="s">
        <v>68</v>
      </c>
      <c r="D55" s="58" t="s">
        <v>18</v>
      </c>
      <c r="E55" s="58" t="s">
        <v>23</v>
      </c>
      <c r="F55" s="57" t="str">
        <f t="shared" si="1"/>
        <v>EurLiborSwapIfrFix49Y</v>
      </c>
      <c r="G55" s="56" t="str">
        <f>_xll.qlLiborSwap($F55,Currency,FixingType,$C55,Currency&amp;$D55,Currency&amp;$E55,Permanent,Trigger,ObjectOverwrite)</f>
        <v>EurLiborSwapIfrFix49Y#0002</v>
      </c>
      <c r="H55" s="55" t="str">
        <f>_xll.ohRangeRetrieveError(G55)</f>
        <v/>
      </c>
      <c r="I55" s="54"/>
    </row>
    <row r="56" spans="2:9" s="50" customFormat="1" x14ac:dyDescent="0.2">
      <c r="B56" s="60"/>
      <c r="C56" s="59" t="s">
        <v>67</v>
      </c>
      <c r="D56" s="58" t="s">
        <v>18</v>
      </c>
      <c r="E56" s="58" t="s">
        <v>23</v>
      </c>
      <c r="F56" s="57" t="str">
        <f t="shared" si="1"/>
        <v>EurLiborSwapIfrFix50Y</v>
      </c>
      <c r="G56" s="56" t="str">
        <f>_xll.qlLiborSwap($F56,Currency,FixingType,$C56,Currency&amp;$D56,Currency&amp;$E56,Permanent,Trigger,ObjectOverwrite)</f>
        <v>EurLiborSwapIfrFix50Y#0002</v>
      </c>
      <c r="H56" s="55" t="str">
        <f>_xll.ohRangeRetrieveError(G56)</f>
        <v/>
      </c>
      <c r="I56" s="54"/>
    </row>
    <row r="57" spans="2:9" s="50" customFormat="1" x14ac:dyDescent="0.2">
      <c r="B57" s="60"/>
      <c r="C57" s="59" t="s">
        <v>66</v>
      </c>
      <c r="D57" s="58" t="s">
        <v>18</v>
      </c>
      <c r="E57" s="58" t="s">
        <v>23</v>
      </c>
      <c r="F57" s="57" t="str">
        <f t="shared" si="1"/>
        <v>EurLiborSwapIfrFix51Y</v>
      </c>
      <c r="G57" s="56" t="str">
        <f>_xll.qlLiborSwap($F57,Currency,FixingType,$C57,Currency&amp;$D57,Currency&amp;$E57,Permanent,Trigger,ObjectOverwrite)</f>
        <v>EurLiborSwapIfrFix51Y#0002</v>
      </c>
      <c r="H57" s="55" t="str">
        <f>_xll.ohRangeRetrieveError(G57)</f>
        <v/>
      </c>
      <c r="I57" s="54"/>
    </row>
    <row r="58" spans="2:9" s="50" customFormat="1" x14ac:dyDescent="0.2">
      <c r="B58" s="60"/>
      <c r="C58" s="59" t="s">
        <v>65</v>
      </c>
      <c r="D58" s="58" t="s">
        <v>18</v>
      </c>
      <c r="E58" s="58" t="s">
        <v>23</v>
      </c>
      <c r="F58" s="57" t="str">
        <f t="shared" si="1"/>
        <v>EurLiborSwapIfrFix52Y</v>
      </c>
      <c r="G58" s="56" t="str">
        <f>_xll.qlLiborSwap($F58,Currency,FixingType,$C58,Currency&amp;$D58,Currency&amp;$E58,Permanent,Trigger,ObjectOverwrite)</f>
        <v>EurLiborSwapIfrFix52Y#0002</v>
      </c>
      <c r="H58" s="55" t="str">
        <f>_xll.ohRangeRetrieveError(G58)</f>
        <v/>
      </c>
      <c r="I58" s="54"/>
    </row>
    <row r="59" spans="2:9" s="50" customFormat="1" x14ac:dyDescent="0.2">
      <c r="B59" s="60"/>
      <c r="C59" s="59" t="s">
        <v>64</v>
      </c>
      <c r="D59" s="58" t="s">
        <v>18</v>
      </c>
      <c r="E59" s="58" t="s">
        <v>23</v>
      </c>
      <c r="F59" s="57" t="str">
        <f t="shared" si="1"/>
        <v>EurLiborSwapIfrFix53Y</v>
      </c>
      <c r="G59" s="56" t="str">
        <f>_xll.qlLiborSwap($F59,Currency,FixingType,$C59,Currency&amp;$D59,Currency&amp;$E59,Permanent,Trigger,ObjectOverwrite)</f>
        <v>EurLiborSwapIfrFix53Y#0002</v>
      </c>
      <c r="H59" s="55" t="str">
        <f>_xll.ohRangeRetrieveError(G59)</f>
        <v/>
      </c>
      <c r="I59" s="54"/>
    </row>
    <row r="60" spans="2:9" s="50" customFormat="1" x14ac:dyDescent="0.2">
      <c r="B60" s="60"/>
      <c r="C60" s="59" t="s">
        <v>63</v>
      </c>
      <c r="D60" s="58" t="s">
        <v>18</v>
      </c>
      <c r="E60" s="58" t="s">
        <v>23</v>
      </c>
      <c r="F60" s="57" t="str">
        <f t="shared" si="1"/>
        <v>EurLiborSwapIfrFix54Y</v>
      </c>
      <c r="G60" s="56" t="str">
        <f>_xll.qlLiborSwap($F60,Currency,FixingType,$C60,Currency&amp;$D60,Currency&amp;$E60,Permanent,Trigger,ObjectOverwrite)</f>
        <v>EurLiborSwapIfrFix54Y#0002</v>
      </c>
      <c r="H60" s="55" t="str">
        <f>_xll.ohRangeRetrieveError(G60)</f>
        <v/>
      </c>
      <c r="I60" s="54"/>
    </row>
    <row r="61" spans="2:9" s="50" customFormat="1" x14ac:dyDescent="0.2">
      <c r="B61" s="60"/>
      <c r="C61" s="59" t="s">
        <v>62</v>
      </c>
      <c r="D61" s="58" t="s">
        <v>18</v>
      </c>
      <c r="E61" s="58" t="s">
        <v>23</v>
      </c>
      <c r="F61" s="57" t="str">
        <f t="shared" si="1"/>
        <v>EurLiborSwapIfrFix55Y</v>
      </c>
      <c r="G61" s="56" t="str">
        <f>_xll.qlLiborSwap($F61,Currency,FixingType,$C61,Currency&amp;$D61,Currency&amp;$E61,Permanent,Trigger,ObjectOverwrite)</f>
        <v>EurLiborSwapIfrFix55Y#0002</v>
      </c>
      <c r="H61" s="55" t="str">
        <f>_xll.ohRangeRetrieveError(G61)</f>
        <v/>
      </c>
      <c r="I61" s="54"/>
    </row>
    <row r="62" spans="2:9" s="50" customFormat="1" x14ac:dyDescent="0.2">
      <c r="B62" s="60"/>
      <c r="C62" s="59" t="s">
        <v>61</v>
      </c>
      <c r="D62" s="58" t="s">
        <v>18</v>
      </c>
      <c r="E62" s="58" t="s">
        <v>23</v>
      </c>
      <c r="F62" s="57" t="str">
        <f t="shared" si="1"/>
        <v>EurLiborSwapIfrFix56Y</v>
      </c>
      <c r="G62" s="56" t="str">
        <f>_xll.qlLiborSwap($F62,Currency,FixingType,$C62,Currency&amp;$D62,Currency&amp;$E62,Permanent,Trigger,ObjectOverwrite)</f>
        <v>EurLiborSwapIfrFix56Y#0002</v>
      </c>
      <c r="H62" s="55" t="str">
        <f>_xll.ohRangeRetrieveError(G62)</f>
        <v/>
      </c>
      <c r="I62" s="54"/>
    </row>
    <row r="63" spans="2:9" s="50" customFormat="1" x14ac:dyDescent="0.2">
      <c r="B63" s="60"/>
      <c r="C63" s="59" t="s">
        <v>60</v>
      </c>
      <c r="D63" s="58" t="s">
        <v>18</v>
      </c>
      <c r="E63" s="58" t="s">
        <v>23</v>
      </c>
      <c r="F63" s="57" t="str">
        <f t="shared" si="1"/>
        <v>EurLiborSwapIfrFix57Y</v>
      </c>
      <c r="G63" s="56" t="str">
        <f>_xll.qlLiborSwap($F63,Currency,FixingType,$C63,Currency&amp;$D63,Currency&amp;$E63,Permanent,Trigger,ObjectOverwrite)</f>
        <v>EurLiborSwapIfrFix57Y#0002</v>
      </c>
      <c r="H63" s="55" t="str">
        <f>_xll.ohRangeRetrieveError(G63)</f>
        <v/>
      </c>
      <c r="I63" s="54"/>
    </row>
    <row r="64" spans="2:9" s="50" customFormat="1" x14ac:dyDescent="0.2">
      <c r="B64" s="60"/>
      <c r="C64" s="59" t="s">
        <v>59</v>
      </c>
      <c r="D64" s="58" t="s">
        <v>18</v>
      </c>
      <c r="E64" s="58" t="s">
        <v>23</v>
      </c>
      <c r="F64" s="57" t="str">
        <f t="shared" si="1"/>
        <v>EurLiborSwapIfrFix58Y</v>
      </c>
      <c r="G64" s="56" t="str">
        <f>_xll.qlLiborSwap($F64,Currency,FixingType,$C64,Currency&amp;$D64,Currency&amp;$E64,Permanent,Trigger,ObjectOverwrite)</f>
        <v>EurLiborSwapIfrFix58Y#0002</v>
      </c>
      <c r="H64" s="55" t="str">
        <f>_xll.ohRangeRetrieveError(G64)</f>
        <v/>
      </c>
      <c r="I64" s="54"/>
    </row>
    <row r="65" spans="2:9" s="50" customFormat="1" x14ac:dyDescent="0.2">
      <c r="B65" s="60"/>
      <c r="C65" s="59" t="s">
        <v>58</v>
      </c>
      <c r="D65" s="58" t="s">
        <v>18</v>
      </c>
      <c r="E65" s="58" t="s">
        <v>23</v>
      </c>
      <c r="F65" s="57" t="str">
        <f t="shared" si="1"/>
        <v>EurLiborSwapIfrFix59Y</v>
      </c>
      <c r="G65" s="56" t="str">
        <f>_xll.qlLiborSwap($F65,Currency,FixingType,$C65,Currency&amp;$D65,Currency&amp;$E65,Permanent,Trigger,ObjectOverwrite)</f>
        <v>EurLiborSwapIfrFix59Y#0002</v>
      </c>
      <c r="H65" s="55" t="str">
        <f>_xll.ohRangeRetrieveError(G65)</f>
        <v/>
      </c>
      <c r="I65" s="54"/>
    </row>
    <row r="66" spans="2:9" s="50" customFormat="1" x14ac:dyDescent="0.2">
      <c r="B66" s="60"/>
      <c r="C66" s="59" t="s">
        <v>57</v>
      </c>
      <c r="D66" s="58" t="s">
        <v>18</v>
      </c>
      <c r="E66" s="58" t="s">
        <v>23</v>
      </c>
      <c r="F66" s="57" t="str">
        <f t="shared" si="1"/>
        <v>EurLiborSwapIfrFix60Y</v>
      </c>
      <c r="G66" s="56" t="str">
        <f>_xll.qlLiborSwap($F66,Currency,FixingType,$C66,Currency&amp;$D66,Currency&amp;$E66,Permanent,Trigger,ObjectOverwrite)</f>
        <v>EurLiborSwapIfrFix60Y#0002</v>
      </c>
      <c r="H66" s="55" t="str">
        <f>_xll.ohRangeRetrieveError(G66)</f>
        <v/>
      </c>
      <c r="I66" s="54"/>
    </row>
    <row r="67" spans="2:9" s="50" customFormat="1" ht="12" thickBot="1" x14ac:dyDescent="0.25">
      <c r="B67" s="53"/>
      <c r="C67" s="52"/>
      <c r="D67" s="52"/>
      <c r="E67" s="52"/>
      <c r="F67" s="52"/>
      <c r="G67" s="52"/>
      <c r="H67" s="52"/>
      <c r="I67" s="51"/>
    </row>
    <row r="68" spans="2:9" s="50" customFormat="1" x14ac:dyDescent="0.2"/>
  </sheetData>
  <pageMargins left="0.75" right="0.75" top="1" bottom="1" header="0.5" footer="0.5"/>
  <pageSetup paperSize="9"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E11"/>
  <sheetViews>
    <sheetView workbookViewId="0"/>
  </sheetViews>
  <sheetFormatPr defaultColWidth="8" defaultRowHeight="11.25" x14ac:dyDescent="0.2"/>
  <cols>
    <col min="1" max="1" width="6.140625" style="26" customWidth="1"/>
    <col min="2" max="2" width="4.28515625" style="26" customWidth="1"/>
    <col min="3" max="3" width="15.5703125" style="26" bestFit="1" customWidth="1"/>
    <col min="4" max="4" width="75.42578125" style="26" bestFit="1" customWidth="1"/>
    <col min="5" max="5" width="4.7109375" style="26" customWidth="1"/>
    <col min="6" max="6" width="35.28515625" style="26" customWidth="1"/>
    <col min="7" max="7" width="4.28515625" style="26" customWidth="1"/>
    <col min="8" max="16384" width="8" style="26"/>
  </cols>
  <sheetData>
    <row r="1" spans="1:5" ht="13.5" thickBot="1" x14ac:dyDescent="0.25">
      <c r="A1" s="26" t="s">
        <v>128</v>
      </c>
      <c r="B1" s="73" t="str">
        <f>_xll.qlxlVersion(TRUE,Trigger)</f>
        <v>QuantLibXL 1.3.0 - MS VC++ 9.0 - Multithreaded Static Runtime library - Release Configuration - Dec  5 2013 11:03:51</v>
      </c>
    </row>
    <row r="2" spans="1:5" s="1" customFormat="1" ht="15.75" x14ac:dyDescent="0.25">
      <c r="A2" s="23"/>
      <c r="B2" s="452" t="s">
        <v>32</v>
      </c>
      <c r="C2" s="453"/>
      <c r="D2" s="453"/>
      <c r="E2" s="454"/>
    </row>
    <row r="3" spans="1:5" s="1" customFormat="1" ht="12.75" x14ac:dyDescent="0.2">
      <c r="A3" s="23"/>
      <c r="B3" s="9"/>
      <c r="C3" s="13"/>
      <c r="D3" s="13"/>
      <c r="E3" s="5"/>
    </row>
    <row r="4" spans="1:5" s="1" customFormat="1" ht="12.75" x14ac:dyDescent="0.2">
      <c r="A4" s="23"/>
      <c r="B4" s="9"/>
      <c r="C4" s="16" t="s">
        <v>31</v>
      </c>
      <c r="D4" s="15"/>
      <c r="E4" s="14"/>
    </row>
    <row r="5" spans="1:5" s="1" customFormat="1" ht="12.75" x14ac:dyDescent="0.2">
      <c r="A5" s="23"/>
      <c r="B5" s="9"/>
      <c r="C5" s="16" t="s">
        <v>25</v>
      </c>
      <c r="D5" s="41" t="s">
        <v>123</v>
      </c>
      <c r="E5" s="14"/>
    </row>
    <row r="6" spans="1:5" s="1" customFormat="1" ht="12.75" x14ac:dyDescent="0.2">
      <c r="A6" s="23"/>
      <c r="B6" s="9"/>
      <c r="C6" s="16" t="s">
        <v>30</v>
      </c>
      <c r="D6" s="15" t="b">
        <v>1</v>
      </c>
      <c r="E6" s="14"/>
    </row>
    <row r="7" spans="1:5" s="1" customFormat="1" ht="12.75" x14ac:dyDescent="0.2">
      <c r="A7" s="23"/>
      <c r="B7" s="9"/>
      <c r="C7" s="16" t="s">
        <v>29</v>
      </c>
      <c r="D7" s="15" t="b">
        <v>0</v>
      </c>
      <c r="E7" s="14"/>
    </row>
    <row r="8" spans="1:5" s="1" customFormat="1" ht="12.75" x14ac:dyDescent="0.2">
      <c r="A8" s="23"/>
      <c r="B8" s="9"/>
      <c r="C8" s="16" t="s">
        <v>28</v>
      </c>
      <c r="D8" s="15" t="b">
        <v>1</v>
      </c>
      <c r="E8" s="14"/>
    </row>
    <row r="9" spans="1:5" s="1" customFormat="1" ht="12.75" x14ac:dyDescent="0.2">
      <c r="A9" s="23"/>
      <c r="B9" s="9"/>
      <c r="C9" s="16" t="s">
        <v>27</v>
      </c>
      <c r="D9" s="25" t="str">
        <f ca="1">SUBSTITUTE(LEFT(CELL("filename",A1),FIND("[",CELL("filename",A1),1)-1),"\XLS\","\XML\")</f>
        <v>C:\Users\erik\Documents\repos\quantlib_nando\QuantLibXL\Data2\XML\</v>
      </c>
      <c r="E9" s="14"/>
    </row>
    <row r="10" spans="1:5" s="1" customFormat="1" ht="12.75" x14ac:dyDescent="0.2">
      <c r="A10" s="23"/>
      <c r="B10" s="9"/>
      <c r="C10" s="16" t="s">
        <v>26</v>
      </c>
      <c r="D10" s="24" t="b">
        <v>1</v>
      </c>
      <c r="E10" s="14"/>
    </row>
    <row r="11" spans="1:5" s="1" customFormat="1" ht="13.5" thickBot="1" x14ac:dyDescent="0.25">
      <c r="A11" s="23"/>
      <c r="B11" s="4"/>
      <c r="C11" s="3"/>
      <c r="D11" s="3"/>
      <c r="E11" s="2"/>
    </row>
  </sheetData>
  <mergeCells count="1">
    <mergeCell ref="B2:E2"/>
  </mergeCells>
  <dataValidations count="1">
    <dataValidation type="list" allowBlank="1" showInputMessage="1" showErrorMessage="1" sqref="D5">
      <formula1>"EUR,USD,GBP,JPY,CHF"</formula1>
    </dataValidation>
  </dataValidations>
  <pageMargins left="0.75" right="0.75" top="1" bottom="1" header="0.5" footer="0.5"/>
  <pageSetup paperSize="9"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L41"/>
  <sheetViews>
    <sheetView workbookViewId="0"/>
  </sheetViews>
  <sheetFormatPr defaultRowHeight="11.25" x14ac:dyDescent="0.2"/>
  <cols>
    <col min="1" max="1" width="3.7109375" style="74" customWidth="1"/>
    <col min="2" max="2" width="6.5703125" style="21" bestFit="1" customWidth="1"/>
    <col min="3" max="4" width="2.7109375" style="74" bestFit="1" customWidth="1"/>
    <col min="5" max="5" width="17.85546875" style="74" bestFit="1" customWidth="1"/>
    <col min="6" max="6" width="19.7109375" style="75" bestFit="1" customWidth="1"/>
    <col min="7" max="7" width="38.28515625" style="74" customWidth="1"/>
    <col min="8" max="8" width="4.42578125" style="74" customWidth="1"/>
    <col min="9" max="12" width="3.5703125" style="74" customWidth="1"/>
    <col min="13" max="16384" width="9.140625" style="74"/>
  </cols>
  <sheetData>
    <row r="1" spans="1:12" x14ac:dyDescent="0.2">
      <c r="A1" s="111" t="s">
        <v>151</v>
      </c>
      <c r="B1" s="104"/>
      <c r="C1" s="104"/>
      <c r="D1" s="104"/>
      <c r="E1" s="102"/>
      <c r="F1" s="103"/>
      <c r="G1" s="102"/>
      <c r="H1" s="101"/>
    </row>
    <row r="2" spans="1:12" x14ac:dyDescent="0.2">
      <c r="A2" s="86"/>
      <c r="B2" s="99" t="s">
        <v>141</v>
      </c>
      <c r="C2" s="100"/>
      <c r="D2" s="99"/>
      <c r="E2" s="98" t="str">
        <f>Currency&amp;"_010_Sw"&amp;$C$4&amp;$D$4&amp;".xml"</f>
        <v>EUR_010_Sw1E6E.xml</v>
      </c>
      <c r="F2" s="97">
        <f ca="1">IF(Serialize,_xll.ohObjectSave(F3:F40,SerializationPath&amp;E2,FileOverwrite,Serialize),"---")</f>
        <v>38</v>
      </c>
      <c r="G2" s="81" t="str">
        <f ca="1">_xll.ohRangeRetrieveError(F2)</f>
        <v/>
      </c>
      <c r="H2" s="80"/>
    </row>
    <row r="3" spans="1:12" x14ac:dyDescent="0.2">
      <c r="A3" s="86"/>
      <c r="B3" s="96" t="s">
        <v>40</v>
      </c>
      <c r="C3" s="84" t="str">
        <f>VLOOKUP(Currency,$J$8:$L$12,2)</f>
        <v>1E</v>
      </c>
      <c r="D3" s="83" t="str">
        <f>VLOOKUP(Currency,$J$8:$L$12,3)</f>
        <v>6E</v>
      </c>
      <c r="E3" s="82" t="str">
        <f t="shared" ref="E3:E40" si="0">IF(ISBLANK(C3),"#",Currency&amp;$C3&amp;$D3&amp;$B3&amp;QuoteSuffix)</f>
        <v>EUR1E6E6M_Quote</v>
      </c>
      <c r="F3" s="82" t="str">
        <f>_xll.qlSimpleQuote(E3,,RateTickValue,Permanent,Trigger,ObjectOverwrite)</f>
        <v>EUR1E6E6M_Quote#0002</v>
      </c>
      <c r="G3" s="81" t="str">
        <f>_xll.ohRangeRetrieveError(F3)</f>
        <v/>
      </c>
      <c r="H3" s="80"/>
    </row>
    <row r="4" spans="1:12" x14ac:dyDescent="0.2">
      <c r="A4" s="86"/>
      <c r="B4" s="96" t="s">
        <v>34</v>
      </c>
      <c r="C4" s="84" t="str">
        <f t="shared" ref="C4:C40" si="1">C3</f>
        <v>1E</v>
      </c>
      <c r="D4" s="83" t="str">
        <f t="shared" ref="D4:D40" si="2">D3</f>
        <v>6E</v>
      </c>
      <c r="E4" s="82" t="str">
        <f t="shared" si="0"/>
        <v>EUR1E6E1Y_Quote</v>
      </c>
      <c r="F4" s="82" t="str">
        <f>_xll.qlSimpleQuote(E4,,RateTickValue,Permanent,Trigger,ObjectOverwrite)</f>
        <v>EUR1E6E1Y_Quote#0002</v>
      </c>
      <c r="G4" s="81" t="str">
        <f>_xll.ohRangeRetrieveError(F4)</f>
        <v/>
      </c>
      <c r="H4" s="80"/>
    </row>
    <row r="5" spans="1:12" s="20" customFormat="1" ht="12.75" x14ac:dyDescent="0.2">
      <c r="A5" s="86"/>
      <c r="B5" s="96" t="s">
        <v>140</v>
      </c>
      <c r="C5" s="84" t="str">
        <f t="shared" si="1"/>
        <v>1E</v>
      </c>
      <c r="D5" s="83" t="str">
        <f t="shared" si="2"/>
        <v>6E</v>
      </c>
      <c r="E5" s="82" t="str">
        <f t="shared" si="0"/>
        <v>EUR1E6E15M_Quote</v>
      </c>
      <c r="F5" s="82" t="str">
        <f>_xll.qlSimpleQuote(E5,,RateTickValue,Permanent,Trigger,ObjectOverwrite)</f>
        <v>EUR1E6E15M_Quote#0002</v>
      </c>
      <c r="G5" s="81" t="str">
        <f>_xll.ohRangeRetrieveError(F5)</f>
        <v/>
      </c>
      <c r="H5" s="80"/>
    </row>
    <row r="6" spans="1:12" s="20" customFormat="1" ht="12.75" x14ac:dyDescent="0.2">
      <c r="A6" s="86"/>
      <c r="B6" s="96" t="s">
        <v>139</v>
      </c>
      <c r="C6" s="84" t="str">
        <f t="shared" si="1"/>
        <v>1E</v>
      </c>
      <c r="D6" s="83" t="str">
        <f t="shared" si="2"/>
        <v>6E</v>
      </c>
      <c r="E6" s="82" t="str">
        <f t="shared" si="0"/>
        <v>EUR1E6E18M_Quote</v>
      </c>
      <c r="F6" s="82" t="str">
        <f>_xll.qlSimpleQuote(E6,,RateTickValue,Permanent,Trigger,ObjectOverwrite)</f>
        <v>EUR1E6E18M_Quote#0002</v>
      </c>
      <c r="G6" s="81" t="str">
        <f>_xll.ohRangeRetrieveError(F6)</f>
        <v/>
      </c>
      <c r="H6" s="80"/>
    </row>
    <row r="7" spans="1:12" s="20" customFormat="1" ht="13.5" thickBot="1" x14ac:dyDescent="0.25">
      <c r="A7" s="86"/>
      <c r="B7" s="96" t="s">
        <v>138</v>
      </c>
      <c r="C7" s="84" t="str">
        <f t="shared" si="1"/>
        <v>1E</v>
      </c>
      <c r="D7" s="83" t="str">
        <f t="shared" si="2"/>
        <v>6E</v>
      </c>
      <c r="E7" s="82" t="str">
        <f t="shared" si="0"/>
        <v>EUR1E6E21M_Quote</v>
      </c>
      <c r="F7" s="82" t="str">
        <f>_xll.qlSimpleQuote(E7,,RateTickValue,Permanent,Trigger,ObjectOverwrite)</f>
        <v>EUR1E6E21M_Quote#0002</v>
      </c>
      <c r="G7" s="81" t="str">
        <f>_xll.ohRangeRetrieveError(F7)</f>
        <v/>
      </c>
      <c r="H7" s="80"/>
    </row>
    <row r="8" spans="1:12" x14ac:dyDescent="0.2">
      <c r="A8" s="86"/>
      <c r="B8" s="85" t="s">
        <v>115</v>
      </c>
      <c r="C8" s="84" t="str">
        <f t="shared" si="1"/>
        <v>1E</v>
      </c>
      <c r="D8" s="83" t="str">
        <f t="shared" si="2"/>
        <v>6E</v>
      </c>
      <c r="E8" s="82" t="str">
        <f t="shared" si="0"/>
        <v>EUR1E6E2Y_Quote</v>
      </c>
      <c r="F8" s="82" t="str">
        <f>_xll.qlSimpleQuote(E8,,RateTickValue,Permanent,Trigger,ObjectOverwrite)</f>
        <v>EUR1E6E2Y_Quote#0002</v>
      </c>
      <c r="G8" s="81" t="str">
        <f>_xll.ohRangeRetrieveError(F8)</f>
        <v/>
      </c>
      <c r="H8" s="80"/>
      <c r="J8" s="95" t="s">
        <v>137</v>
      </c>
      <c r="K8" s="94" t="s">
        <v>129</v>
      </c>
      <c r="L8" s="93" t="s">
        <v>132</v>
      </c>
    </row>
    <row r="9" spans="1:12" x14ac:dyDescent="0.2">
      <c r="A9" s="86"/>
      <c r="B9" s="85" t="s">
        <v>114</v>
      </c>
      <c r="C9" s="84" t="str">
        <f t="shared" si="1"/>
        <v>1E</v>
      </c>
      <c r="D9" s="83" t="str">
        <f t="shared" si="2"/>
        <v>6E</v>
      </c>
      <c r="E9" s="82" t="str">
        <f t="shared" si="0"/>
        <v>EUR1E6E3Y_Quote</v>
      </c>
      <c r="F9" s="82" t="str">
        <f>_xll.qlSimpleQuote(E9,,RateTickValue,Permanent,Trigger,ObjectOverwrite)</f>
        <v>EUR1E6E3Y_Quote#0002</v>
      </c>
      <c r="G9" s="81" t="str">
        <f>_xll.ohRangeRetrieveError(F9)</f>
        <v/>
      </c>
      <c r="H9" s="80"/>
      <c r="J9" s="92" t="s">
        <v>123</v>
      </c>
      <c r="K9" s="91" t="s">
        <v>136</v>
      </c>
      <c r="L9" s="90" t="s">
        <v>135</v>
      </c>
    </row>
    <row r="10" spans="1:12" x14ac:dyDescent="0.2">
      <c r="A10" s="86"/>
      <c r="B10" s="85" t="s">
        <v>113</v>
      </c>
      <c r="C10" s="84" t="str">
        <f t="shared" si="1"/>
        <v>1E</v>
      </c>
      <c r="D10" s="83" t="str">
        <f t="shared" si="2"/>
        <v>6E</v>
      </c>
      <c r="E10" s="82" t="str">
        <f t="shared" si="0"/>
        <v>EUR1E6E4Y_Quote</v>
      </c>
      <c r="F10" s="82" t="str">
        <f>_xll.qlSimpleQuote(E10,,RateTickValue,Permanent,Trigger,ObjectOverwrite)</f>
        <v>EUR1E6E4Y_Quote#0002</v>
      </c>
      <c r="G10" s="81" t="str">
        <f>_xll.ohRangeRetrieveError(F10)</f>
        <v/>
      </c>
      <c r="H10" s="80"/>
      <c r="J10" s="92" t="s">
        <v>134</v>
      </c>
      <c r="K10" s="91" t="s">
        <v>129</v>
      </c>
      <c r="L10" s="90" t="s">
        <v>132</v>
      </c>
    </row>
    <row r="11" spans="1:12" x14ac:dyDescent="0.2">
      <c r="A11" s="86"/>
      <c r="B11" s="85" t="s">
        <v>112</v>
      </c>
      <c r="C11" s="84" t="str">
        <f t="shared" si="1"/>
        <v>1E</v>
      </c>
      <c r="D11" s="83" t="str">
        <f t="shared" si="2"/>
        <v>6E</v>
      </c>
      <c r="E11" s="82" t="str">
        <f t="shared" si="0"/>
        <v>EUR1E6E5Y_Quote</v>
      </c>
      <c r="F11" s="82" t="str">
        <f>_xll.qlSimpleQuote(E11,,RateTickValue,Permanent,Trigger,ObjectOverwrite)</f>
        <v>EUR1E6E5Y_Quote#0002</v>
      </c>
      <c r="G11" s="81" t="str">
        <f>_xll.ohRangeRetrieveError(F11)</f>
        <v/>
      </c>
      <c r="H11" s="80"/>
      <c r="J11" s="92" t="s">
        <v>133</v>
      </c>
      <c r="K11" s="91" t="s">
        <v>129</v>
      </c>
      <c r="L11" s="90" t="s">
        <v>132</v>
      </c>
    </row>
    <row r="12" spans="1:12" ht="12" thickBot="1" x14ac:dyDescent="0.25">
      <c r="A12" s="86"/>
      <c r="B12" s="85" t="s">
        <v>111</v>
      </c>
      <c r="C12" s="84" t="str">
        <f t="shared" si="1"/>
        <v>1E</v>
      </c>
      <c r="D12" s="83" t="str">
        <f t="shared" si="2"/>
        <v>6E</v>
      </c>
      <c r="E12" s="82" t="str">
        <f t="shared" si="0"/>
        <v>EUR1E6E6Y_Quote</v>
      </c>
      <c r="F12" s="82" t="str">
        <f>_xll.qlSimpleQuote(E12,,RateTickValue,Permanent,Trigger,ObjectOverwrite)</f>
        <v>EUR1E6E6Y_Quote#0002</v>
      </c>
      <c r="G12" s="81" t="str">
        <f>_xll.ohRangeRetrieveError(F12)</f>
        <v/>
      </c>
      <c r="H12" s="80"/>
      <c r="J12" s="89" t="s">
        <v>131</v>
      </c>
      <c r="K12" s="88" t="s">
        <v>130</v>
      </c>
      <c r="L12" s="87" t="s">
        <v>129</v>
      </c>
    </row>
    <row r="13" spans="1:12" x14ac:dyDescent="0.2">
      <c r="A13" s="86"/>
      <c r="B13" s="85" t="s">
        <v>110</v>
      </c>
      <c r="C13" s="84" t="str">
        <f t="shared" si="1"/>
        <v>1E</v>
      </c>
      <c r="D13" s="83" t="str">
        <f t="shared" si="2"/>
        <v>6E</v>
      </c>
      <c r="E13" s="82" t="str">
        <f t="shared" si="0"/>
        <v>EUR1E6E7Y_Quote</v>
      </c>
      <c r="F13" s="82" t="str">
        <f>_xll.qlSimpleQuote(E13,,RateTickValue,Permanent,Trigger,ObjectOverwrite)</f>
        <v>EUR1E6E7Y_Quote#0002</v>
      </c>
      <c r="G13" s="81" t="str">
        <f>_xll.ohRangeRetrieveError(F13)</f>
        <v/>
      </c>
      <c r="H13" s="80"/>
    </row>
    <row r="14" spans="1:12" x14ac:dyDescent="0.2">
      <c r="A14" s="86"/>
      <c r="B14" s="85" t="s">
        <v>109</v>
      </c>
      <c r="C14" s="84" t="str">
        <f t="shared" si="1"/>
        <v>1E</v>
      </c>
      <c r="D14" s="83" t="str">
        <f t="shared" si="2"/>
        <v>6E</v>
      </c>
      <c r="E14" s="82" t="str">
        <f t="shared" si="0"/>
        <v>EUR1E6E8Y_Quote</v>
      </c>
      <c r="F14" s="82" t="str">
        <f>_xll.qlSimpleQuote(E14,,RateTickValue,Permanent,Trigger,ObjectOverwrite)</f>
        <v>EUR1E6E8Y_Quote#0002</v>
      </c>
      <c r="G14" s="81" t="str">
        <f>_xll.ohRangeRetrieveError(F14)</f>
        <v/>
      </c>
      <c r="H14" s="80"/>
    </row>
    <row r="15" spans="1:12" x14ac:dyDescent="0.2">
      <c r="A15" s="86"/>
      <c r="B15" s="85" t="s">
        <v>108</v>
      </c>
      <c r="C15" s="84" t="str">
        <f t="shared" si="1"/>
        <v>1E</v>
      </c>
      <c r="D15" s="83" t="str">
        <f t="shared" si="2"/>
        <v>6E</v>
      </c>
      <c r="E15" s="82" t="str">
        <f t="shared" si="0"/>
        <v>EUR1E6E9Y_Quote</v>
      </c>
      <c r="F15" s="82" t="str">
        <f>_xll.qlSimpleQuote(E15,,RateTickValue,Permanent,Trigger,ObjectOverwrite)</f>
        <v>EUR1E6E9Y_Quote#0002</v>
      </c>
      <c r="G15" s="81" t="str">
        <f>_xll.ohRangeRetrieveError(F15)</f>
        <v/>
      </c>
      <c r="H15" s="80"/>
    </row>
    <row r="16" spans="1:12" x14ac:dyDescent="0.2">
      <c r="A16" s="86"/>
      <c r="B16" s="85" t="s">
        <v>107</v>
      </c>
      <c r="C16" s="84" t="str">
        <f t="shared" si="1"/>
        <v>1E</v>
      </c>
      <c r="D16" s="83" t="str">
        <f t="shared" si="2"/>
        <v>6E</v>
      </c>
      <c r="E16" s="82" t="str">
        <f t="shared" si="0"/>
        <v>EUR1E6E10Y_Quote</v>
      </c>
      <c r="F16" s="82" t="str">
        <f>_xll.qlSimpleQuote(E16,,RateTickValue,Permanent,Trigger,ObjectOverwrite)</f>
        <v>EUR1E6E10Y_Quote#0002</v>
      </c>
      <c r="G16" s="81" t="str">
        <f>_xll.ohRangeRetrieveError(F16)</f>
        <v/>
      </c>
      <c r="H16" s="80"/>
    </row>
    <row r="17" spans="1:8" x14ac:dyDescent="0.2">
      <c r="A17" s="86"/>
      <c r="B17" s="85" t="s">
        <v>106</v>
      </c>
      <c r="C17" s="84" t="str">
        <f t="shared" si="1"/>
        <v>1E</v>
      </c>
      <c r="D17" s="83" t="str">
        <f t="shared" si="2"/>
        <v>6E</v>
      </c>
      <c r="E17" s="82" t="str">
        <f t="shared" si="0"/>
        <v>EUR1E6E11Y_Quote</v>
      </c>
      <c r="F17" s="82" t="str">
        <f>_xll.qlSimpleQuote(E17,,RateTickValue,Permanent,Trigger,ObjectOverwrite)</f>
        <v>EUR1E6E11Y_Quote#0002</v>
      </c>
      <c r="G17" s="81" t="str">
        <f>_xll.ohRangeRetrieveError(F17)</f>
        <v/>
      </c>
      <c r="H17" s="80"/>
    </row>
    <row r="18" spans="1:8" x14ac:dyDescent="0.2">
      <c r="A18" s="86"/>
      <c r="B18" s="85" t="s">
        <v>105</v>
      </c>
      <c r="C18" s="84" t="str">
        <f t="shared" si="1"/>
        <v>1E</v>
      </c>
      <c r="D18" s="83" t="str">
        <f t="shared" si="2"/>
        <v>6E</v>
      </c>
      <c r="E18" s="82" t="str">
        <f t="shared" si="0"/>
        <v>EUR1E6E12Y_Quote</v>
      </c>
      <c r="F18" s="82" t="str">
        <f>_xll.qlSimpleQuote(E18,,RateTickValue,Permanent,Trigger,ObjectOverwrite)</f>
        <v>EUR1E6E12Y_Quote#0002</v>
      </c>
      <c r="G18" s="81" t="str">
        <f>_xll.ohRangeRetrieveError(F18)</f>
        <v/>
      </c>
      <c r="H18" s="80"/>
    </row>
    <row r="19" spans="1:8" x14ac:dyDescent="0.2">
      <c r="A19" s="86"/>
      <c r="B19" s="85" t="s">
        <v>104</v>
      </c>
      <c r="C19" s="84" t="str">
        <f t="shared" si="1"/>
        <v>1E</v>
      </c>
      <c r="D19" s="83" t="str">
        <f t="shared" si="2"/>
        <v>6E</v>
      </c>
      <c r="E19" s="82" t="str">
        <f t="shared" si="0"/>
        <v>EUR1E6E13Y_Quote</v>
      </c>
      <c r="F19" s="82" t="str">
        <f>_xll.qlSimpleQuote(E19,,RateTickValue,Permanent,Trigger,ObjectOverwrite)</f>
        <v>EUR1E6E13Y_Quote#0002</v>
      </c>
      <c r="G19" s="81" t="str">
        <f>_xll.ohRangeRetrieveError(F19)</f>
        <v/>
      </c>
      <c r="H19" s="80"/>
    </row>
    <row r="20" spans="1:8" x14ac:dyDescent="0.2">
      <c r="A20" s="86"/>
      <c r="B20" s="85" t="s">
        <v>103</v>
      </c>
      <c r="C20" s="84" t="str">
        <f t="shared" si="1"/>
        <v>1E</v>
      </c>
      <c r="D20" s="83" t="str">
        <f t="shared" si="2"/>
        <v>6E</v>
      </c>
      <c r="E20" s="82" t="str">
        <f t="shared" si="0"/>
        <v>EUR1E6E14Y_Quote</v>
      </c>
      <c r="F20" s="82" t="str">
        <f>_xll.qlSimpleQuote(E20,,RateTickValue,Permanent,Trigger,ObjectOverwrite)</f>
        <v>EUR1E6E14Y_Quote#0002</v>
      </c>
      <c r="G20" s="81" t="str">
        <f>_xll.ohRangeRetrieveError(F20)</f>
        <v/>
      </c>
      <c r="H20" s="80"/>
    </row>
    <row r="21" spans="1:8" x14ac:dyDescent="0.2">
      <c r="A21" s="86"/>
      <c r="B21" s="85" t="s">
        <v>102</v>
      </c>
      <c r="C21" s="84" t="str">
        <f t="shared" si="1"/>
        <v>1E</v>
      </c>
      <c r="D21" s="83" t="str">
        <f t="shared" si="2"/>
        <v>6E</v>
      </c>
      <c r="E21" s="82" t="str">
        <f t="shared" si="0"/>
        <v>EUR1E6E15Y_Quote</v>
      </c>
      <c r="F21" s="82" t="str">
        <f>_xll.qlSimpleQuote(E21,,RateTickValue,Permanent,Trigger,ObjectOverwrite)</f>
        <v>EUR1E6E15Y_Quote#0002</v>
      </c>
      <c r="G21" s="81" t="str">
        <f>_xll.ohRangeRetrieveError(F21)</f>
        <v/>
      </c>
      <c r="H21" s="80"/>
    </row>
    <row r="22" spans="1:8" x14ac:dyDescent="0.2">
      <c r="A22" s="86"/>
      <c r="B22" s="85" t="s">
        <v>101</v>
      </c>
      <c r="C22" s="84" t="str">
        <f t="shared" si="1"/>
        <v>1E</v>
      </c>
      <c r="D22" s="83" t="str">
        <f t="shared" si="2"/>
        <v>6E</v>
      </c>
      <c r="E22" s="82" t="str">
        <f t="shared" si="0"/>
        <v>EUR1E6E16Y_Quote</v>
      </c>
      <c r="F22" s="82" t="str">
        <f>_xll.qlSimpleQuote(E22,,RateTickValue,Permanent,Trigger,ObjectOverwrite)</f>
        <v>EUR1E6E16Y_Quote#0002</v>
      </c>
      <c r="G22" s="81" t="str">
        <f>_xll.ohRangeRetrieveError(F22)</f>
        <v/>
      </c>
      <c r="H22" s="80"/>
    </row>
    <row r="23" spans="1:8" x14ac:dyDescent="0.2">
      <c r="A23" s="86"/>
      <c r="B23" s="85" t="s">
        <v>100</v>
      </c>
      <c r="C23" s="84" t="str">
        <f t="shared" si="1"/>
        <v>1E</v>
      </c>
      <c r="D23" s="83" t="str">
        <f t="shared" si="2"/>
        <v>6E</v>
      </c>
      <c r="E23" s="82" t="str">
        <f t="shared" si="0"/>
        <v>EUR1E6E17Y_Quote</v>
      </c>
      <c r="F23" s="82" t="str">
        <f>_xll.qlSimpleQuote(E23,,RateTickValue,Permanent,Trigger,ObjectOverwrite)</f>
        <v>EUR1E6E17Y_Quote#0002</v>
      </c>
      <c r="G23" s="81" t="str">
        <f>_xll.ohRangeRetrieveError(F23)</f>
        <v/>
      </c>
      <c r="H23" s="80"/>
    </row>
    <row r="24" spans="1:8" x14ac:dyDescent="0.2">
      <c r="A24" s="86"/>
      <c r="B24" s="85" t="s">
        <v>99</v>
      </c>
      <c r="C24" s="84" t="str">
        <f t="shared" si="1"/>
        <v>1E</v>
      </c>
      <c r="D24" s="83" t="str">
        <f t="shared" si="2"/>
        <v>6E</v>
      </c>
      <c r="E24" s="82" t="str">
        <f t="shared" si="0"/>
        <v>EUR1E6E18Y_Quote</v>
      </c>
      <c r="F24" s="82" t="str">
        <f>_xll.qlSimpleQuote(E24,,RateTickValue,Permanent,Trigger,ObjectOverwrite)</f>
        <v>EUR1E6E18Y_Quote#0002</v>
      </c>
      <c r="G24" s="81" t="str">
        <f>_xll.ohRangeRetrieveError(F24)</f>
        <v/>
      </c>
      <c r="H24" s="80"/>
    </row>
    <row r="25" spans="1:8" x14ac:dyDescent="0.2">
      <c r="A25" s="86"/>
      <c r="B25" s="85" t="s">
        <v>98</v>
      </c>
      <c r="C25" s="84" t="str">
        <f t="shared" si="1"/>
        <v>1E</v>
      </c>
      <c r="D25" s="83" t="str">
        <f t="shared" si="2"/>
        <v>6E</v>
      </c>
      <c r="E25" s="82" t="str">
        <f t="shared" si="0"/>
        <v>EUR1E6E19Y_Quote</v>
      </c>
      <c r="F25" s="82" t="str">
        <f>_xll.qlSimpleQuote(E25,,RateTickValue,Permanent,Trigger,ObjectOverwrite)</f>
        <v>EUR1E6E19Y_Quote#0002</v>
      </c>
      <c r="G25" s="81" t="str">
        <f>_xll.ohRangeRetrieveError(F25)</f>
        <v/>
      </c>
      <c r="H25" s="80"/>
    </row>
    <row r="26" spans="1:8" x14ac:dyDescent="0.2">
      <c r="A26" s="86"/>
      <c r="B26" s="85" t="s">
        <v>97</v>
      </c>
      <c r="C26" s="84" t="str">
        <f t="shared" si="1"/>
        <v>1E</v>
      </c>
      <c r="D26" s="83" t="str">
        <f t="shared" si="2"/>
        <v>6E</v>
      </c>
      <c r="E26" s="82" t="str">
        <f t="shared" si="0"/>
        <v>EUR1E6E20Y_Quote</v>
      </c>
      <c r="F26" s="82" t="str">
        <f>_xll.qlSimpleQuote(E26,,RateTickValue,Permanent,Trigger,ObjectOverwrite)</f>
        <v>EUR1E6E20Y_Quote#0002</v>
      </c>
      <c r="G26" s="81" t="str">
        <f>_xll.ohRangeRetrieveError(F26)</f>
        <v/>
      </c>
      <c r="H26" s="80"/>
    </row>
    <row r="27" spans="1:8" x14ac:dyDescent="0.2">
      <c r="A27" s="86"/>
      <c r="B27" s="85" t="s">
        <v>96</v>
      </c>
      <c r="C27" s="84" t="str">
        <f t="shared" si="1"/>
        <v>1E</v>
      </c>
      <c r="D27" s="83" t="str">
        <f t="shared" si="2"/>
        <v>6E</v>
      </c>
      <c r="E27" s="82" t="str">
        <f t="shared" si="0"/>
        <v>EUR1E6E21Y_Quote</v>
      </c>
      <c r="F27" s="82" t="str">
        <f>_xll.qlSimpleQuote(E27,,RateTickValue,Permanent,Trigger,ObjectOverwrite)</f>
        <v>EUR1E6E21Y_Quote#0002</v>
      </c>
      <c r="G27" s="81" t="str">
        <f>_xll.ohRangeRetrieveError(F27)</f>
        <v/>
      </c>
      <c r="H27" s="80"/>
    </row>
    <row r="28" spans="1:8" x14ac:dyDescent="0.2">
      <c r="A28" s="86"/>
      <c r="B28" s="85" t="s">
        <v>95</v>
      </c>
      <c r="C28" s="84" t="str">
        <f t="shared" si="1"/>
        <v>1E</v>
      </c>
      <c r="D28" s="83" t="str">
        <f t="shared" si="2"/>
        <v>6E</v>
      </c>
      <c r="E28" s="82" t="str">
        <f t="shared" si="0"/>
        <v>EUR1E6E22Y_Quote</v>
      </c>
      <c r="F28" s="82" t="str">
        <f>_xll.qlSimpleQuote(E28,,RateTickValue,Permanent,Trigger,ObjectOverwrite)</f>
        <v>EUR1E6E22Y_Quote#0002</v>
      </c>
      <c r="G28" s="81" t="str">
        <f>_xll.ohRangeRetrieveError(F28)</f>
        <v/>
      </c>
      <c r="H28" s="80"/>
    </row>
    <row r="29" spans="1:8" x14ac:dyDescent="0.2">
      <c r="A29" s="86"/>
      <c r="B29" s="85" t="s">
        <v>94</v>
      </c>
      <c r="C29" s="84" t="str">
        <f t="shared" si="1"/>
        <v>1E</v>
      </c>
      <c r="D29" s="83" t="str">
        <f t="shared" si="2"/>
        <v>6E</v>
      </c>
      <c r="E29" s="82" t="str">
        <f t="shared" si="0"/>
        <v>EUR1E6E23Y_Quote</v>
      </c>
      <c r="F29" s="82" t="str">
        <f>_xll.qlSimpleQuote(E29,,RateTickValue,Permanent,Trigger,ObjectOverwrite)</f>
        <v>EUR1E6E23Y_Quote#0002</v>
      </c>
      <c r="G29" s="81" t="str">
        <f>_xll.ohRangeRetrieveError(F29)</f>
        <v/>
      </c>
      <c r="H29" s="80"/>
    </row>
    <row r="30" spans="1:8" x14ac:dyDescent="0.2">
      <c r="A30" s="86"/>
      <c r="B30" s="85" t="s">
        <v>93</v>
      </c>
      <c r="C30" s="84" t="str">
        <f t="shared" si="1"/>
        <v>1E</v>
      </c>
      <c r="D30" s="83" t="str">
        <f t="shared" si="2"/>
        <v>6E</v>
      </c>
      <c r="E30" s="82" t="str">
        <f t="shared" si="0"/>
        <v>EUR1E6E24Y_Quote</v>
      </c>
      <c r="F30" s="82" t="str">
        <f>_xll.qlSimpleQuote(E30,,RateTickValue,Permanent,Trigger,ObjectOverwrite)</f>
        <v>EUR1E6E24Y_Quote#0002</v>
      </c>
      <c r="G30" s="81" t="str">
        <f>_xll.ohRangeRetrieveError(F30)</f>
        <v/>
      </c>
      <c r="H30" s="80"/>
    </row>
    <row r="31" spans="1:8" x14ac:dyDescent="0.2">
      <c r="A31" s="86"/>
      <c r="B31" s="85" t="s">
        <v>92</v>
      </c>
      <c r="C31" s="84" t="str">
        <f t="shared" si="1"/>
        <v>1E</v>
      </c>
      <c r="D31" s="83" t="str">
        <f t="shared" si="2"/>
        <v>6E</v>
      </c>
      <c r="E31" s="82" t="str">
        <f t="shared" si="0"/>
        <v>EUR1E6E25Y_Quote</v>
      </c>
      <c r="F31" s="82" t="str">
        <f>_xll.qlSimpleQuote(E31,,RateTickValue,Permanent,Trigger,ObjectOverwrite)</f>
        <v>EUR1E6E25Y_Quote#0002</v>
      </c>
      <c r="G31" s="81" t="str">
        <f>_xll.ohRangeRetrieveError(F31)</f>
        <v/>
      </c>
      <c r="H31" s="80"/>
    </row>
    <row r="32" spans="1:8" x14ac:dyDescent="0.2">
      <c r="A32" s="86"/>
      <c r="B32" s="85" t="s">
        <v>91</v>
      </c>
      <c r="C32" s="84" t="str">
        <f t="shared" si="1"/>
        <v>1E</v>
      </c>
      <c r="D32" s="83" t="str">
        <f t="shared" si="2"/>
        <v>6E</v>
      </c>
      <c r="E32" s="82" t="str">
        <f t="shared" si="0"/>
        <v>EUR1E6E26Y_Quote</v>
      </c>
      <c r="F32" s="82" t="str">
        <f>_xll.qlSimpleQuote(E32,,RateTickValue,Permanent,Trigger,ObjectOverwrite)</f>
        <v>EUR1E6E26Y_Quote#0002</v>
      </c>
      <c r="G32" s="81" t="str">
        <f>_xll.ohRangeRetrieveError(F32)</f>
        <v/>
      </c>
      <c r="H32" s="80"/>
    </row>
    <row r="33" spans="1:8" x14ac:dyDescent="0.2">
      <c r="A33" s="86"/>
      <c r="B33" s="85" t="s">
        <v>90</v>
      </c>
      <c r="C33" s="84" t="str">
        <f t="shared" si="1"/>
        <v>1E</v>
      </c>
      <c r="D33" s="83" t="str">
        <f t="shared" si="2"/>
        <v>6E</v>
      </c>
      <c r="E33" s="82" t="str">
        <f t="shared" si="0"/>
        <v>EUR1E6E27Y_Quote</v>
      </c>
      <c r="F33" s="82" t="str">
        <f>_xll.qlSimpleQuote(E33,,RateTickValue,Permanent,Trigger,ObjectOverwrite)</f>
        <v>EUR1E6E27Y_Quote#0002</v>
      </c>
      <c r="G33" s="81" t="str">
        <f>_xll.ohRangeRetrieveError(F33)</f>
        <v/>
      </c>
      <c r="H33" s="80"/>
    </row>
    <row r="34" spans="1:8" x14ac:dyDescent="0.2">
      <c r="A34" s="86"/>
      <c r="B34" s="85" t="s">
        <v>89</v>
      </c>
      <c r="C34" s="84" t="str">
        <f t="shared" si="1"/>
        <v>1E</v>
      </c>
      <c r="D34" s="83" t="str">
        <f t="shared" si="2"/>
        <v>6E</v>
      </c>
      <c r="E34" s="82" t="str">
        <f t="shared" si="0"/>
        <v>EUR1E6E28Y_Quote</v>
      </c>
      <c r="F34" s="82" t="str">
        <f>_xll.qlSimpleQuote(E34,,RateTickValue,Permanent,Trigger,ObjectOverwrite)</f>
        <v>EUR1E6E28Y_Quote#0002</v>
      </c>
      <c r="G34" s="81" t="str">
        <f>_xll.ohRangeRetrieveError(F34)</f>
        <v/>
      </c>
      <c r="H34" s="80"/>
    </row>
    <row r="35" spans="1:8" x14ac:dyDescent="0.2">
      <c r="A35" s="86"/>
      <c r="B35" s="85" t="s">
        <v>88</v>
      </c>
      <c r="C35" s="84" t="str">
        <f t="shared" si="1"/>
        <v>1E</v>
      </c>
      <c r="D35" s="83" t="str">
        <f t="shared" si="2"/>
        <v>6E</v>
      </c>
      <c r="E35" s="82" t="str">
        <f t="shared" si="0"/>
        <v>EUR1E6E29Y_Quote</v>
      </c>
      <c r="F35" s="82" t="str">
        <f>_xll.qlSimpleQuote(E35,,RateTickValue,Permanent,Trigger,ObjectOverwrite)</f>
        <v>EUR1E6E29Y_Quote#0002</v>
      </c>
      <c r="G35" s="81" t="str">
        <f>_xll.ohRangeRetrieveError(F35)</f>
        <v/>
      </c>
      <c r="H35" s="80"/>
    </row>
    <row r="36" spans="1:8" x14ac:dyDescent="0.2">
      <c r="A36" s="86"/>
      <c r="B36" s="85" t="s">
        <v>87</v>
      </c>
      <c r="C36" s="84" t="str">
        <f t="shared" si="1"/>
        <v>1E</v>
      </c>
      <c r="D36" s="83" t="str">
        <f t="shared" si="2"/>
        <v>6E</v>
      </c>
      <c r="E36" s="82" t="str">
        <f t="shared" si="0"/>
        <v>EUR1E6E30Y_Quote</v>
      </c>
      <c r="F36" s="82" t="str">
        <f>_xll.qlSimpleQuote(E36,,RateTickValue,Permanent,Trigger,ObjectOverwrite)</f>
        <v>EUR1E6E30Y_Quote#0002</v>
      </c>
      <c r="G36" s="81" t="str">
        <f>_xll.ohRangeRetrieveError(F36)</f>
        <v/>
      </c>
      <c r="H36" s="80"/>
    </row>
    <row r="37" spans="1:8" x14ac:dyDescent="0.2">
      <c r="A37" s="86"/>
      <c r="B37" s="85" t="s">
        <v>82</v>
      </c>
      <c r="C37" s="84" t="str">
        <f t="shared" si="1"/>
        <v>1E</v>
      </c>
      <c r="D37" s="83" t="str">
        <f t="shared" si="2"/>
        <v>6E</v>
      </c>
      <c r="E37" s="82" t="str">
        <f t="shared" si="0"/>
        <v>EUR1E6E35Y_Quote</v>
      </c>
      <c r="F37" s="82" t="str">
        <f>_xll.qlSimpleQuote(E37,,RateTickValue,Permanent,Trigger,ObjectOverwrite)</f>
        <v>EUR1E6E35Y_Quote#0002</v>
      </c>
      <c r="G37" s="81" t="str">
        <f>_xll.ohRangeRetrieveError(F37)</f>
        <v/>
      </c>
      <c r="H37" s="80"/>
    </row>
    <row r="38" spans="1:8" x14ac:dyDescent="0.2">
      <c r="A38" s="86"/>
      <c r="B38" s="85" t="s">
        <v>77</v>
      </c>
      <c r="C38" s="84" t="str">
        <f t="shared" si="1"/>
        <v>1E</v>
      </c>
      <c r="D38" s="83" t="str">
        <f t="shared" si="2"/>
        <v>6E</v>
      </c>
      <c r="E38" s="82" t="str">
        <f t="shared" si="0"/>
        <v>EUR1E6E40Y_Quote</v>
      </c>
      <c r="F38" s="82" t="str">
        <f>_xll.qlSimpleQuote(E38,,RateTickValue,Permanent,Trigger,ObjectOverwrite)</f>
        <v>EUR1E6E40Y_Quote#0002</v>
      </c>
      <c r="G38" s="81" t="str">
        <f>_xll.ohRangeRetrieveError(F38)</f>
        <v/>
      </c>
      <c r="H38" s="80"/>
    </row>
    <row r="39" spans="1:8" x14ac:dyDescent="0.2">
      <c r="A39" s="86"/>
      <c r="B39" s="85" t="s">
        <v>67</v>
      </c>
      <c r="C39" s="84" t="str">
        <f t="shared" si="1"/>
        <v>1E</v>
      </c>
      <c r="D39" s="83" t="str">
        <f t="shared" si="2"/>
        <v>6E</v>
      </c>
      <c r="E39" s="82" t="str">
        <f t="shared" si="0"/>
        <v>EUR1E6E50Y_Quote</v>
      </c>
      <c r="F39" s="82" t="str">
        <f>_xll.qlSimpleQuote(E39,,RateTickValue,Permanent,Trigger,ObjectOverwrite)</f>
        <v>EUR1E6E50Y_Quote#0002</v>
      </c>
      <c r="G39" s="81" t="str">
        <f>_xll.ohRangeRetrieveError(F39)</f>
        <v/>
      </c>
      <c r="H39" s="80"/>
    </row>
    <row r="40" spans="1:8" x14ac:dyDescent="0.2">
      <c r="A40" s="86"/>
      <c r="B40" s="85" t="s">
        <v>57</v>
      </c>
      <c r="C40" s="84" t="str">
        <f t="shared" si="1"/>
        <v>1E</v>
      </c>
      <c r="D40" s="83" t="str">
        <f t="shared" si="2"/>
        <v>6E</v>
      </c>
      <c r="E40" s="82" t="str">
        <f t="shared" si="0"/>
        <v>EUR1E6E60Y_Quote</v>
      </c>
      <c r="F40" s="82" t="str">
        <f>_xll.qlSimpleQuote(E40,,RateTickValue,Permanent,Trigger,ObjectOverwrite)</f>
        <v>EUR1E6E60Y_Quote#0002</v>
      </c>
      <c r="G40" s="81" t="str">
        <f>_xll.ohRangeRetrieveError(F40)</f>
        <v/>
      </c>
      <c r="H40" s="80"/>
    </row>
    <row r="41" spans="1:8" x14ac:dyDescent="0.2">
      <c r="A41" s="79"/>
      <c r="B41" s="78"/>
      <c r="C41" s="78"/>
      <c r="D41" s="78"/>
      <c r="E41" s="78"/>
      <c r="F41" s="77"/>
      <c r="G41" s="77"/>
      <c r="H41" s="76"/>
    </row>
  </sheetData>
  <pageMargins left="0.75" right="0.75" top="1" bottom="1" header="0.5" footer="0.5"/>
  <pageSetup paperSize="9"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L41"/>
  <sheetViews>
    <sheetView workbookViewId="0"/>
  </sheetViews>
  <sheetFormatPr defaultRowHeight="12.75" x14ac:dyDescent="0.2"/>
  <cols>
    <col min="1" max="1" width="4.28515625" style="20" customWidth="1"/>
    <col min="2" max="2" width="6.5703125" style="20" bestFit="1" customWidth="1"/>
    <col min="3" max="4" width="2.7109375" style="20" bestFit="1" customWidth="1"/>
    <col min="5" max="5" width="17.85546875" style="20" bestFit="1" customWidth="1"/>
    <col min="6" max="6" width="19.7109375" style="20" bestFit="1" customWidth="1"/>
    <col min="7" max="7" width="36.28515625" style="20" customWidth="1"/>
    <col min="8" max="8" width="3.7109375" style="20" customWidth="1"/>
    <col min="9" max="12" width="3.5703125" style="20" customWidth="1"/>
    <col min="13" max="16384" width="9.140625" style="20"/>
  </cols>
  <sheetData>
    <row r="1" spans="1:12" x14ac:dyDescent="0.2">
      <c r="A1" s="111" t="s">
        <v>151</v>
      </c>
      <c r="B1" s="104"/>
      <c r="C1" s="104"/>
      <c r="D1" s="104"/>
      <c r="E1" s="105"/>
      <c r="F1" s="106"/>
      <c r="G1" s="105"/>
      <c r="H1" s="101"/>
    </row>
    <row r="2" spans="1:12" x14ac:dyDescent="0.2">
      <c r="A2" s="86"/>
      <c r="B2" s="99" t="s">
        <v>141</v>
      </c>
      <c r="C2" s="100"/>
      <c r="D2" s="99"/>
      <c r="E2" s="98" t="str">
        <f>Currency&amp;"_010_Sw"&amp;$C$4&amp;$D$4&amp;".xml"</f>
        <v>EUR_010_Sw3E6E.xml</v>
      </c>
      <c r="F2" s="97">
        <f ca="1">IF(Serialize,_xll.ohObjectSave(F3:F40,SerializationPath&amp;E2,FileOverwrite,Serialize),"---")</f>
        <v>38</v>
      </c>
      <c r="G2" s="81" t="str">
        <f ca="1">_xll.ohRangeRetrieveError(F2)</f>
        <v/>
      </c>
      <c r="H2" s="80"/>
    </row>
    <row r="3" spans="1:12" x14ac:dyDescent="0.2">
      <c r="A3" s="86"/>
      <c r="B3" s="96" t="s">
        <v>40</v>
      </c>
      <c r="C3" s="84" t="str">
        <f>VLOOKUP(Currency,$J$8:$L$12,2)</f>
        <v>3E</v>
      </c>
      <c r="D3" s="83" t="str">
        <f>VLOOKUP(Currency,$J$8:$L$12,3)</f>
        <v>6E</v>
      </c>
      <c r="E3" s="82" t="str">
        <f t="shared" ref="E3:E40" si="0">IF(ISBLANK(C3),"#",Currency&amp;$C3&amp;$D3&amp;$B3&amp;QuoteSuffix)</f>
        <v>EUR3E6E6M_Quote</v>
      </c>
      <c r="F3" s="82" t="str">
        <f>_xll.qlSimpleQuote(E3,,RateTickValue,Permanent,Trigger,ObjectOverwrite)</f>
        <v>EUR3E6E6M_Quote#0002</v>
      </c>
      <c r="G3" s="81" t="str">
        <f>_xll.ohRangeRetrieveError(F3)</f>
        <v/>
      </c>
      <c r="H3" s="80"/>
    </row>
    <row r="4" spans="1:12" x14ac:dyDescent="0.2">
      <c r="A4" s="86"/>
      <c r="B4" s="96" t="s">
        <v>34</v>
      </c>
      <c r="C4" s="84" t="str">
        <f t="shared" ref="C4:C40" si="1">C3</f>
        <v>3E</v>
      </c>
      <c r="D4" s="83" t="str">
        <f t="shared" ref="D4:D40" si="2">D3</f>
        <v>6E</v>
      </c>
      <c r="E4" s="82" t="str">
        <f t="shared" si="0"/>
        <v>EUR3E6E1Y_Quote</v>
      </c>
      <c r="F4" s="82" t="str">
        <f>_xll.qlSimpleQuote(E4,,RateTickValue,Permanent,Trigger,ObjectOverwrite)</f>
        <v>EUR3E6E1Y_Quote#0002</v>
      </c>
      <c r="G4" s="81" t="str">
        <f>_xll.ohRangeRetrieveError(F4)</f>
        <v/>
      </c>
      <c r="H4" s="80"/>
    </row>
    <row r="5" spans="1:12" x14ac:dyDescent="0.2">
      <c r="A5" s="86"/>
      <c r="B5" s="96" t="s">
        <v>140</v>
      </c>
      <c r="C5" s="84" t="str">
        <f t="shared" si="1"/>
        <v>3E</v>
      </c>
      <c r="D5" s="83" t="str">
        <f t="shared" si="2"/>
        <v>6E</v>
      </c>
      <c r="E5" s="82" t="str">
        <f t="shared" si="0"/>
        <v>EUR3E6E15M_Quote</v>
      </c>
      <c r="F5" s="82" t="str">
        <f>_xll.qlSimpleQuote(E5,,RateTickValue,Permanent,Trigger,ObjectOverwrite)</f>
        <v>EUR3E6E15M_Quote#0002</v>
      </c>
      <c r="G5" s="81" t="str">
        <f>_xll.ohRangeRetrieveError(F5)</f>
        <v/>
      </c>
      <c r="H5" s="80"/>
    </row>
    <row r="6" spans="1:12" x14ac:dyDescent="0.2">
      <c r="A6" s="86"/>
      <c r="B6" s="96" t="s">
        <v>139</v>
      </c>
      <c r="C6" s="84" t="str">
        <f t="shared" si="1"/>
        <v>3E</v>
      </c>
      <c r="D6" s="83" t="str">
        <f t="shared" si="2"/>
        <v>6E</v>
      </c>
      <c r="E6" s="82" t="str">
        <f t="shared" si="0"/>
        <v>EUR3E6E18M_Quote</v>
      </c>
      <c r="F6" s="82" t="str">
        <f>_xll.qlSimpleQuote(E6,,RateTickValue,Permanent,Trigger,ObjectOverwrite)</f>
        <v>EUR3E6E18M_Quote#0002</v>
      </c>
      <c r="G6" s="81" t="str">
        <f>_xll.ohRangeRetrieveError(F6)</f>
        <v/>
      </c>
      <c r="H6" s="80"/>
    </row>
    <row r="7" spans="1:12" ht="13.5" thickBot="1" x14ac:dyDescent="0.25">
      <c r="A7" s="86"/>
      <c r="B7" s="96" t="s">
        <v>138</v>
      </c>
      <c r="C7" s="84" t="str">
        <f t="shared" si="1"/>
        <v>3E</v>
      </c>
      <c r="D7" s="83" t="str">
        <f t="shared" si="2"/>
        <v>6E</v>
      </c>
      <c r="E7" s="82" t="str">
        <f t="shared" si="0"/>
        <v>EUR3E6E21M_Quote</v>
      </c>
      <c r="F7" s="82" t="str">
        <f>_xll.qlSimpleQuote(E7,,RateTickValue,Permanent,Trigger,ObjectOverwrite)</f>
        <v>EUR3E6E21M_Quote#0002</v>
      </c>
      <c r="G7" s="81" t="str">
        <f>_xll.ohRangeRetrieveError(F7)</f>
        <v/>
      </c>
      <c r="H7" s="80"/>
    </row>
    <row r="8" spans="1:12" x14ac:dyDescent="0.2">
      <c r="A8" s="86"/>
      <c r="B8" s="85" t="s">
        <v>115</v>
      </c>
      <c r="C8" s="84" t="str">
        <f t="shared" si="1"/>
        <v>3E</v>
      </c>
      <c r="D8" s="83" t="str">
        <f t="shared" si="2"/>
        <v>6E</v>
      </c>
      <c r="E8" s="82" t="str">
        <f t="shared" si="0"/>
        <v>EUR3E6E2Y_Quote</v>
      </c>
      <c r="F8" s="82" t="str">
        <f>_xll.qlSimpleQuote(E8,,RateTickValue,Permanent,Trigger,ObjectOverwrite)</f>
        <v>EUR3E6E2Y_Quote#0002</v>
      </c>
      <c r="G8" s="81" t="str">
        <f>_xll.ohRangeRetrieveError(F8)</f>
        <v/>
      </c>
      <c r="H8" s="80"/>
      <c r="J8" s="95" t="s">
        <v>137</v>
      </c>
      <c r="K8" s="94" t="s">
        <v>130</v>
      </c>
      <c r="L8" s="93" t="s">
        <v>132</v>
      </c>
    </row>
    <row r="9" spans="1:12" x14ac:dyDescent="0.2">
      <c r="A9" s="86"/>
      <c r="B9" s="85" t="s">
        <v>114</v>
      </c>
      <c r="C9" s="84" t="str">
        <f t="shared" si="1"/>
        <v>3E</v>
      </c>
      <c r="D9" s="83" t="str">
        <f t="shared" si="2"/>
        <v>6E</v>
      </c>
      <c r="E9" s="82" t="str">
        <f t="shared" si="0"/>
        <v>EUR3E6E3Y_Quote</v>
      </c>
      <c r="F9" s="82" t="str">
        <f>_xll.qlSimpleQuote(E9,,RateTickValue,Permanent,Trigger,ObjectOverwrite)</f>
        <v>EUR3E6E3Y_Quote#0002</v>
      </c>
      <c r="G9" s="81" t="str">
        <f>_xll.ohRangeRetrieveError(F9)</f>
        <v/>
      </c>
      <c r="H9" s="80"/>
      <c r="J9" s="92" t="s">
        <v>123</v>
      </c>
      <c r="K9" s="91" t="s">
        <v>142</v>
      </c>
      <c r="L9" s="90" t="s">
        <v>135</v>
      </c>
    </row>
    <row r="10" spans="1:12" x14ac:dyDescent="0.2">
      <c r="A10" s="86"/>
      <c r="B10" s="85" t="s">
        <v>113</v>
      </c>
      <c r="C10" s="84" t="str">
        <f t="shared" si="1"/>
        <v>3E</v>
      </c>
      <c r="D10" s="83" t="str">
        <f t="shared" si="2"/>
        <v>6E</v>
      </c>
      <c r="E10" s="82" t="str">
        <f t="shared" si="0"/>
        <v>EUR3E6E4Y_Quote</v>
      </c>
      <c r="F10" s="82" t="str">
        <f>_xll.qlSimpleQuote(E10,,RateTickValue,Permanent,Trigger,ObjectOverwrite)</f>
        <v>EUR3E6E4Y_Quote#0002</v>
      </c>
      <c r="G10" s="81" t="str">
        <f>_xll.ohRangeRetrieveError(F10)</f>
        <v/>
      </c>
      <c r="H10" s="80"/>
      <c r="J10" s="92" t="s">
        <v>134</v>
      </c>
      <c r="K10" s="91" t="s">
        <v>130</v>
      </c>
      <c r="L10" s="90" t="s">
        <v>132</v>
      </c>
    </row>
    <row r="11" spans="1:12" x14ac:dyDescent="0.2">
      <c r="A11" s="86"/>
      <c r="B11" s="85" t="s">
        <v>112</v>
      </c>
      <c r="C11" s="84" t="str">
        <f t="shared" si="1"/>
        <v>3E</v>
      </c>
      <c r="D11" s="83" t="str">
        <f t="shared" si="2"/>
        <v>6E</v>
      </c>
      <c r="E11" s="82" t="str">
        <f t="shared" si="0"/>
        <v>EUR3E6E5Y_Quote</v>
      </c>
      <c r="F11" s="82" t="str">
        <f>_xll.qlSimpleQuote(E11,,RateTickValue,Permanent,Trigger,ObjectOverwrite)</f>
        <v>EUR3E6E5Y_Quote#0002</v>
      </c>
      <c r="G11" s="81" t="str">
        <f>_xll.ohRangeRetrieveError(F11)</f>
        <v/>
      </c>
      <c r="H11" s="80"/>
      <c r="J11" s="92" t="s">
        <v>133</v>
      </c>
      <c r="K11" s="91" t="s">
        <v>130</v>
      </c>
      <c r="L11" s="90" t="s">
        <v>132</v>
      </c>
    </row>
    <row r="12" spans="1:12" ht="13.5" thickBot="1" x14ac:dyDescent="0.25">
      <c r="A12" s="86"/>
      <c r="B12" s="85" t="s">
        <v>111</v>
      </c>
      <c r="C12" s="84" t="str">
        <f t="shared" si="1"/>
        <v>3E</v>
      </c>
      <c r="D12" s="83" t="str">
        <f t="shared" si="2"/>
        <v>6E</v>
      </c>
      <c r="E12" s="82" t="str">
        <f t="shared" si="0"/>
        <v>EUR3E6E6Y_Quote</v>
      </c>
      <c r="F12" s="82" t="str">
        <f>_xll.qlSimpleQuote(E12,,RateTickValue,Permanent,Trigger,ObjectOverwrite)</f>
        <v>EUR3E6E6Y_Quote#0002</v>
      </c>
      <c r="G12" s="81" t="str">
        <f>_xll.ohRangeRetrieveError(F12)</f>
        <v/>
      </c>
      <c r="H12" s="80"/>
      <c r="J12" s="89" t="s">
        <v>131</v>
      </c>
      <c r="K12" s="88" t="s">
        <v>132</v>
      </c>
      <c r="L12" s="87" t="s">
        <v>130</v>
      </c>
    </row>
    <row r="13" spans="1:12" x14ac:dyDescent="0.2">
      <c r="A13" s="86"/>
      <c r="B13" s="85" t="s">
        <v>110</v>
      </c>
      <c r="C13" s="84" t="str">
        <f t="shared" si="1"/>
        <v>3E</v>
      </c>
      <c r="D13" s="83" t="str">
        <f t="shared" si="2"/>
        <v>6E</v>
      </c>
      <c r="E13" s="82" t="str">
        <f t="shared" si="0"/>
        <v>EUR3E6E7Y_Quote</v>
      </c>
      <c r="F13" s="82" t="str">
        <f>_xll.qlSimpleQuote(E13,,RateTickValue,Permanent,Trigger,ObjectOverwrite)</f>
        <v>EUR3E6E7Y_Quote#0002</v>
      </c>
      <c r="G13" s="81" t="str">
        <f>_xll.ohRangeRetrieveError(F13)</f>
        <v/>
      </c>
      <c r="H13" s="80"/>
    </row>
    <row r="14" spans="1:12" x14ac:dyDescent="0.2">
      <c r="A14" s="86"/>
      <c r="B14" s="85" t="s">
        <v>109</v>
      </c>
      <c r="C14" s="84" t="str">
        <f t="shared" si="1"/>
        <v>3E</v>
      </c>
      <c r="D14" s="83" t="str">
        <f t="shared" si="2"/>
        <v>6E</v>
      </c>
      <c r="E14" s="82" t="str">
        <f t="shared" si="0"/>
        <v>EUR3E6E8Y_Quote</v>
      </c>
      <c r="F14" s="82" t="str">
        <f>_xll.qlSimpleQuote(E14,,RateTickValue,Permanent,Trigger,ObjectOverwrite)</f>
        <v>EUR3E6E8Y_Quote#0002</v>
      </c>
      <c r="G14" s="81" t="str">
        <f>_xll.ohRangeRetrieveError(F14)</f>
        <v/>
      </c>
      <c r="H14" s="80"/>
    </row>
    <row r="15" spans="1:12" x14ac:dyDescent="0.2">
      <c r="A15" s="86"/>
      <c r="B15" s="85" t="s">
        <v>108</v>
      </c>
      <c r="C15" s="84" t="str">
        <f t="shared" si="1"/>
        <v>3E</v>
      </c>
      <c r="D15" s="83" t="str">
        <f t="shared" si="2"/>
        <v>6E</v>
      </c>
      <c r="E15" s="82" t="str">
        <f t="shared" si="0"/>
        <v>EUR3E6E9Y_Quote</v>
      </c>
      <c r="F15" s="82" t="str">
        <f>_xll.qlSimpleQuote(E15,,RateTickValue,Permanent,Trigger,ObjectOverwrite)</f>
        <v>EUR3E6E9Y_Quote#0002</v>
      </c>
      <c r="G15" s="81" t="str">
        <f>_xll.ohRangeRetrieveError(F15)</f>
        <v/>
      </c>
      <c r="H15" s="80"/>
    </row>
    <row r="16" spans="1:12" x14ac:dyDescent="0.2">
      <c r="A16" s="86"/>
      <c r="B16" s="85" t="s">
        <v>107</v>
      </c>
      <c r="C16" s="84" t="str">
        <f t="shared" si="1"/>
        <v>3E</v>
      </c>
      <c r="D16" s="83" t="str">
        <f t="shared" si="2"/>
        <v>6E</v>
      </c>
      <c r="E16" s="82" t="str">
        <f t="shared" si="0"/>
        <v>EUR3E6E10Y_Quote</v>
      </c>
      <c r="F16" s="82" t="str">
        <f>_xll.qlSimpleQuote(E16,,RateTickValue,Permanent,Trigger,ObjectOverwrite)</f>
        <v>EUR3E6E10Y_Quote#0002</v>
      </c>
      <c r="G16" s="81" t="str">
        <f>_xll.ohRangeRetrieveError(F16)</f>
        <v/>
      </c>
      <c r="H16" s="80"/>
    </row>
    <row r="17" spans="1:8" x14ac:dyDescent="0.2">
      <c r="A17" s="86"/>
      <c r="B17" s="85" t="s">
        <v>106</v>
      </c>
      <c r="C17" s="84" t="str">
        <f t="shared" si="1"/>
        <v>3E</v>
      </c>
      <c r="D17" s="83" t="str">
        <f t="shared" si="2"/>
        <v>6E</v>
      </c>
      <c r="E17" s="82" t="str">
        <f t="shared" si="0"/>
        <v>EUR3E6E11Y_Quote</v>
      </c>
      <c r="F17" s="82" t="str">
        <f>_xll.qlSimpleQuote(E17,,RateTickValue,Permanent,Trigger,ObjectOverwrite)</f>
        <v>EUR3E6E11Y_Quote#0002</v>
      </c>
      <c r="G17" s="81" t="str">
        <f>_xll.ohRangeRetrieveError(F17)</f>
        <v/>
      </c>
      <c r="H17" s="80"/>
    </row>
    <row r="18" spans="1:8" x14ac:dyDescent="0.2">
      <c r="A18" s="86"/>
      <c r="B18" s="85" t="s">
        <v>105</v>
      </c>
      <c r="C18" s="84" t="str">
        <f t="shared" si="1"/>
        <v>3E</v>
      </c>
      <c r="D18" s="83" t="str">
        <f t="shared" si="2"/>
        <v>6E</v>
      </c>
      <c r="E18" s="82" t="str">
        <f t="shared" si="0"/>
        <v>EUR3E6E12Y_Quote</v>
      </c>
      <c r="F18" s="82" t="str">
        <f>_xll.qlSimpleQuote(E18,,RateTickValue,Permanent,Trigger,ObjectOverwrite)</f>
        <v>EUR3E6E12Y_Quote#0002</v>
      </c>
      <c r="G18" s="81" t="str">
        <f>_xll.ohRangeRetrieveError(F18)</f>
        <v/>
      </c>
      <c r="H18" s="80"/>
    </row>
    <row r="19" spans="1:8" x14ac:dyDescent="0.2">
      <c r="A19" s="86"/>
      <c r="B19" s="85" t="s">
        <v>104</v>
      </c>
      <c r="C19" s="84" t="str">
        <f t="shared" si="1"/>
        <v>3E</v>
      </c>
      <c r="D19" s="83" t="str">
        <f t="shared" si="2"/>
        <v>6E</v>
      </c>
      <c r="E19" s="82" t="str">
        <f t="shared" si="0"/>
        <v>EUR3E6E13Y_Quote</v>
      </c>
      <c r="F19" s="82" t="str">
        <f>_xll.qlSimpleQuote(E19,,RateTickValue,Permanent,Trigger,ObjectOverwrite)</f>
        <v>EUR3E6E13Y_Quote#0002</v>
      </c>
      <c r="G19" s="81" t="str">
        <f>_xll.ohRangeRetrieveError(F19)</f>
        <v/>
      </c>
      <c r="H19" s="80"/>
    </row>
    <row r="20" spans="1:8" x14ac:dyDescent="0.2">
      <c r="A20" s="86"/>
      <c r="B20" s="85" t="s">
        <v>103</v>
      </c>
      <c r="C20" s="84" t="str">
        <f t="shared" si="1"/>
        <v>3E</v>
      </c>
      <c r="D20" s="83" t="str">
        <f t="shared" si="2"/>
        <v>6E</v>
      </c>
      <c r="E20" s="82" t="str">
        <f t="shared" si="0"/>
        <v>EUR3E6E14Y_Quote</v>
      </c>
      <c r="F20" s="82" t="str">
        <f>_xll.qlSimpleQuote(E20,,RateTickValue,Permanent,Trigger,ObjectOverwrite)</f>
        <v>EUR3E6E14Y_Quote#0002</v>
      </c>
      <c r="G20" s="81" t="str">
        <f>_xll.ohRangeRetrieveError(F20)</f>
        <v/>
      </c>
      <c r="H20" s="80"/>
    </row>
    <row r="21" spans="1:8" x14ac:dyDescent="0.2">
      <c r="A21" s="86"/>
      <c r="B21" s="85" t="s">
        <v>102</v>
      </c>
      <c r="C21" s="84" t="str">
        <f t="shared" si="1"/>
        <v>3E</v>
      </c>
      <c r="D21" s="83" t="str">
        <f t="shared" si="2"/>
        <v>6E</v>
      </c>
      <c r="E21" s="82" t="str">
        <f t="shared" si="0"/>
        <v>EUR3E6E15Y_Quote</v>
      </c>
      <c r="F21" s="82" t="str">
        <f>_xll.qlSimpleQuote(E21,,RateTickValue,Permanent,Trigger,ObjectOverwrite)</f>
        <v>EUR3E6E15Y_Quote#0002</v>
      </c>
      <c r="G21" s="81" t="str">
        <f>_xll.ohRangeRetrieveError(F21)</f>
        <v/>
      </c>
      <c r="H21" s="80"/>
    </row>
    <row r="22" spans="1:8" x14ac:dyDescent="0.2">
      <c r="A22" s="86"/>
      <c r="B22" s="85" t="s">
        <v>101</v>
      </c>
      <c r="C22" s="84" t="str">
        <f t="shared" si="1"/>
        <v>3E</v>
      </c>
      <c r="D22" s="83" t="str">
        <f t="shared" si="2"/>
        <v>6E</v>
      </c>
      <c r="E22" s="82" t="str">
        <f t="shared" si="0"/>
        <v>EUR3E6E16Y_Quote</v>
      </c>
      <c r="F22" s="82" t="str">
        <f>_xll.qlSimpleQuote(E22,,RateTickValue,Permanent,Trigger,ObjectOverwrite)</f>
        <v>EUR3E6E16Y_Quote#0002</v>
      </c>
      <c r="G22" s="81" t="str">
        <f>_xll.ohRangeRetrieveError(F22)</f>
        <v/>
      </c>
      <c r="H22" s="80"/>
    </row>
    <row r="23" spans="1:8" x14ac:dyDescent="0.2">
      <c r="A23" s="86"/>
      <c r="B23" s="85" t="s">
        <v>100</v>
      </c>
      <c r="C23" s="84" t="str">
        <f t="shared" si="1"/>
        <v>3E</v>
      </c>
      <c r="D23" s="83" t="str">
        <f t="shared" si="2"/>
        <v>6E</v>
      </c>
      <c r="E23" s="82" t="str">
        <f t="shared" si="0"/>
        <v>EUR3E6E17Y_Quote</v>
      </c>
      <c r="F23" s="82" t="str">
        <f>_xll.qlSimpleQuote(E23,,RateTickValue,Permanent,Trigger,ObjectOverwrite)</f>
        <v>EUR3E6E17Y_Quote#0002</v>
      </c>
      <c r="G23" s="81" t="str">
        <f>_xll.ohRangeRetrieveError(F23)</f>
        <v/>
      </c>
      <c r="H23" s="80"/>
    </row>
    <row r="24" spans="1:8" x14ac:dyDescent="0.2">
      <c r="A24" s="86"/>
      <c r="B24" s="85" t="s">
        <v>99</v>
      </c>
      <c r="C24" s="84" t="str">
        <f t="shared" si="1"/>
        <v>3E</v>
      </c>
      <c r="D24" s="83" t="str">
        <f t="shared" si="2"/>
        <v>6E</v>
      </c>
      <c r="E24" s="82" t="str">
        <f t="shared" si="0"/>
        <v>EUR3E6E18Y_Quote</v>
      </c>
      <c r="F24" s="82" t="str">
        <f>_xll.qlSimpleQuote(E24,,RateTickValue,Permanent,Trigger,ObjectOverwrite)</f>
        <v>EUR3E6E18Y_Quote#0002</v>
      </c>
      <c r="G24" s="81" t="str">
        <f>_xll.ohRangeRetrieveError(F24)</f>
        <v/>
      </c>
      <c r="H24" s="80"/>
    </row>
    <row r="25" spans="1:8" x14ac:dyDescent="0.2">
      <c r="A25" s="86"/>
      <c r="B25" s="85" t="s">
        <v>98</v>
      </c>
      <c r="C25" s="84" t="str">
        <f t="shared" si="1"/>
        <v>3E</v>
      </c>
      <c r="D25" s="83" t="str">
        <f t="shared" si="2"/>
        <v>6E</v>
      </c>
      <c r="E25" s="82" t="str">
        <f t="shared" si="0"/>
        <v>EUR3E6E19Y_Quote</v>
      </c>
      <c r="F25" s="82" t="str">
        <f>_xll.qlSimpleQuote(E25,,RateTickValue,Permanent,Trigger,ObjectOverwrite)</f>
        <v>EUR3E6E19Y_Quote#0002</v>
      </c>
      <c r="G25" s="81" t="str">
        <f>_xll.ohRangeRetrieveError(F25)</f>
        <v/>
      </c>
      <c r="H25" s="80"/>
    </row>
    <row r="26" spans="1:8" x14ac:dyDescent="0.2">
      <c r="A26" s="86"/>
      <c r="B26" s="85" t="s">
        <v>97</v>
      </c>
      <c r="C26" s="84" t="str">
        <f t="shared" si="1"/>
        <v>3E</v>
      </c>
      <c r="D26" s="83" t="str">
        <f t="shared" si="2"/>
        <v>6E</v>
      </c>
      <c r="E26" s="82" t="str">
        <f t="shared" si="0"/>
        <v>EUR3E6E20Y_Quote</v>
      </c>
      <c r="F26" s="82" t="str">
        <f>_xll.qlSimpleQuote(E26,,RateTickValue,Permanent,Trigger,ObjectOverwrite)</f>
        <v>EUR3E6E20Y_Quote#0002</v>
      </c>
      <c r="G26" s="81" t="str">
        <f>_xll.ohRangeRetrieveError(F26)</f>
        <v/>
      </c>
      <c r="H26" s="80"/>
    </row>
    <row r="27" spans="1:8" x14ac:dyDescent="0.2">
      <c r="A27" s="86"/>
      <c r="B27" s="85" t="s">
        <v>96</v>
      </c>
      <c r="C27" s="84" t="str">
        <f t="shared" si="1"/>
        <v>3E</v>
      </c>
      <c r="D27" s="83" t="str">
        <f t="shared" si="2"/>
        <v>6E</v>
      </c>
      <c r="E27" s="82" t="str">
        <f t="shared" si="0"/>
        <v>EUR3E6E21Y_Quote</v>
      </c>
      <c r="F27" s="82" t="str">
        <f>_xll.qlSimpleQuote(E27,,RateTickValue,Permanent,Trigger,ObjectOverwrite)</f>
        <v>EUR3E6E21Y_Quote#0002</v>
      </c>
      <c r="G27" s="81" t="str">
        <f>_xll.ohRangeRetrieveError(F27)</f>
        <v/>
      </c>
      <c r="H27" s="80"/>
    </row>
    <row r="28" spans="1:8" x14ac:dyDescent="0.2">
      <c r="A28" s="86"/>
      <c r="B28" s="85" t="s">
        <v>95</v>
      </c>
      <c r="C28" s="84" t="str">
        <f t="shared" si="1"/>
        <v>3E</v>
      </c>
      <c r="D28" s="83" t="str">
        <f t="shared" si="2"/>
        <v>6E</v>
      </c>
      <c r="E28" s="82" t="str">
        <f t="shared" si="0"/>
        <v>EUR3E6E22Y_Quote</v>
      </c>
      <c r="F28" s="82" t="str">
        <f>_xll.qlSimpleQuote(E28,,RateTickValue,Permanent,Trigger,ObjectOverwrite)</f>
        <v>EUR3E6E22Y_Quote#0002</v>
      </c>
      <c r="G28" s="81" t="str">
        <f>_xll.ohRangeRetrieveError(F28)</f>
        <v/>
      </c>
      <c r="H28" s="80"/>
    </row>
    <row r="29" spans="1:8" x14ac:dyDescent="0.2">
      <c r="A29" s="86"/>
      <c r="B29" s="85" t="s">
        <v>94</v>
      </c>
      <c r="C29" s="84" t="str">
        <f t="shared" si="1"/>
        <v>3E</v>
      </c>
      <c r="D29" s="83" t="str">
        <f t="shared" si="2"/>
        <v>6E</v>
      </c>
      <c r="E29" s="82" t="str">
        <f t="shared" si="0"/>
        <v>EUR3E6E23Y_Quote</v>
      </c>
      <c r="F29" s="82" t="str">
        <f>_xll.qlSimpleQuote(E29,,RateTickValue,Permanent,Trigger,ObjectOverwrite)</f>
        <v>EUR3E6E23Y_Quote#0002</v>
      </c>
      <c r="G29" s="81" t="str">
        <f>_xll.ohRangeRetrieveError(F29)</f>
        <v/>
      </c>
      <c r="H29" s="80"/>
    </row>
    <row r="30" spans="1:8" x14ac:dyDescent="0.2">
      <c r="A30" s="86"/>
      <c r="B30" s="85" t="s">
        <v>93</v>
      </c>
      <c r="C30" s="84" t="str">
        <f t="shared" si="1"/>
        <v>3E</v>
      </c>
      <c r="D30" s="83" t="str">
        <f t="shared" si="2"/>
        <v>6E</v>
      </c>
      <c r="E30" s="82" t="str">
        <f t="shared" si="0"/>
        <v>EUR3E6E24Y_Quote</v>
      </c>
      <c r="F30" s="82" t="str">
        <f>_xll.qlSimpleQuote(E30,,RateTickValue,Permanent,Trigger,ObjectOverwrite)</f>
        <v>EUR3E6E24Y_Quote#0002</v>
      </c>
      <c r="G30" s="81" t="str">
        <f>_xll.ohRangeRetrieveError(F30)</f>
        <v/>
      </c>
      <c r="H30" s="80"/>
    </row>
    <row r="31" spans="1:8" x14ac:dyDescent="0.2">
      <c r="A31" s="86"/>
      <c r="B31" s="85" t="s">
        <v>92</v>
      </c>
      <c r="C31" s="84" t="str">
        <f t="shared" si="1"/>
        <v>3E</v>
      </c>
      <c r="D31" s="83" t="str">
        <f t="shared" si="2"/>
        <v>6E</v>
      </c>
      <c r="E31" s="82" t="str">
        <f t="shared" si="0"/>
        <v>EUR3E6E25Y_Quote</v>
      </c>
      <c r="F31" s="82" t="str">
        <f>_xll.qlSimpleQuote(E31,,RateTickValue,Permanent,Trigger,ObjectOverwrite)</f>
        <v>EUR3E6E25Y_Quote#0002</v>
      </c>
      <c r="G31" s="81" t="str">
        <f>_xll.ohRangeRetrieveError(F31)</f>
        <v/>
      </c>
      <c r="H31" s="80"/>
    </row>
    <row r="32" spans="1:8" x14ac:dyDescent="0.2">
      <c r="A32" s="86"/>
      <c r="B32" s="85" t="s">
        <v>91</v>
      </c>
      <c r="C32" s="84" t="str">
        <f t="shared" si="1"/>
        <v>3E</v>
      </c>
      <c r="D32" s="83" t="str">
        <f t="shared" si="2"/>
        <v>6E</v>
      </c>
      <c r="E32" s="82" t="str">
        <f t="shared" si="0"/>
        <v>EUR3E6E26Y_Quote</v>
      </c>
      <c r="F32" s="82" t="str">
        <f>_xll.qlSimpleQuote(E32,,RateTickValue,Permanent,Trigger,ObjectOverwrite)</f>
        <v>EUR3E6E26Y_Quote#0002</v>
      </c>
      <c r="G32" s="81" t="str">
        <f>_xll.ohRangeRetrieveError(F32)</f>
        <v/>
      </c>
      <c r="H32" s="80"/>
    </row>
    <row r="33" spans="1:8" x14ac:dyDescent="0.2">
      <c r="A33" s="86"/>
      <c r="B33" s="85" t="s">
        <v>90</v>
      </c>
      <c r="C33" s="84" t="str">
        <f t="shared" si="1"/>
        <v>3E</v>
      </c>
      <c r="D33" s="83" t="str">
        <f t="shared" si="2"/>
        <v>6E</v>
      </c>
      <c r="E33" s="82" t="str">
        <f t="shared" si="0"/>
        <v>EUR3E6E27Y_Quote</v>
      </c>
      <c r="F33" s="82" t="str">
        <f>_xll.qlSimpleQuote(E33,,RateTickValue,Permanent,Trigger,ObjectOverwrite)</f>
        <v>EUR3E6E27Y_Quote#0002</v>
      </c>
      <c r="G33" s="81" t="str">
        <f>_xll.ohRangeRetrieveError(F33)</f>
        <v/>
      </c>
      <c r="H33" s="80"/>
    </row>
    <row r="34" spans="1:8" x14ac:dyDescent="0.2">
      <c r="A34" s="86"/>
      <c r="B34" s="85" t="s">
        <v>89</v>
      </c>
      <c r="C34" s="84" t="str">
        <f t="shared" si="1"/>
        <v>3E</v>
      </c>
      <c r="D34" s="83" t="str">
        <f t="shared" si="2"/>
        <v>6E</v>
      </c>
      <c r="E34" s="82" t="str">
        <f t="shared" si="0"/>
        <v>EUR3E6E28Y_Quote</v>
      </c>
      <c r="F34" s="82" t="str">
        <f>_xll.qlSimpleQuote(E34,,RateTickValue,Permanent,Trigger,ObjectOverwrite)</f>
        <v>EUR3E6E28Y_Quote#0002</v>
      </c>
      <c r="G34" s="81" t="str">
        <f>_xll.ohRangeRetrieveError(F34)</f>
        <v/>
      </c>
      <c r="H34" s="80"/>
    </row>
    <row r="35" spans="1:8" x14ac:dyDescent="0.2">
      <c r="A35" s="86"/>
      <c r="B35" s="85" t="s">
        <v>88</v>
      </c>
      <c r="C35" s="84" t="str">
        <f t="shared" si="1"/>
        <v>3E</v>
      </c>
      <c r="D35" s="83" t="str">
        <f t="shared" si="2"/>
        <v>6E</v>
      </c>
      <c r="E35" s="82" t="str">
        <f t="shared" si="0"/>
        <v>EUR3E6E29Y_Quote</v>
      </c>
      <c r="F35" s="82" t="str">
        <f>_xll.qlSimpleQuote(E35,,RateTickValue,Permanent,Trigger,ObjectOverwrite)</f>
        <v>EUR3E6E29Y_Quote#0002</v>
      </c>
      <c r="G35" s="81" t="str">
        <f>_xll.ohRangeRetrieveError(F35)</f>
        <v/>
      </c>
      <c r="H35" s="80"/>
    </row>
    <row r="36" spans="1:8" x14ac:dyDescent="0.2">
      <c r="A36" s="86"/>
      <c r="B36" s="85" t="s">
        <v>87</v>
      </c>
      <c r="C36" s="84" t="str">
        <f t="shared" si="1"/>
        <v>3E</v>
      </c>
      <c r="D36" s="83" t="str">
        <f t="shared" si="2"/>
        <v>6E</v>
      </c>
      <c r="E36" s="82" t="str">
        <f t="shared" si="0"/>
        <v>EUR3E6E30Y_Quote</v>
      </c>
      <c r="F36" s="82" t="str">
        <f>_xll.qlSimpleQuote(E36,,RateTickValue,Permanent,Trigger,ObjectOverwrite)</f>
        <v>EUR3E6E30Y_Quote#0002</v>
      </c>
      <c r="G36" s="81" t="str">
        <f>_xll.ohRangeRetrieveError(F36)</f>
        <v/>
      </c>
      <c r="H36" s="80"/>
    </row>
    <row r="37" spans="1:8" x14ac:dyDescent="0.2">
      <c r="A37" s="86"/>
      <c r="B37" s="85" t="s">
        <v>82</v>
      </c>
      <c r="C37" s="84" t="str">
        <f t="shared" si="1"/>
        <v>3E</v>
      </c>
      <c r="D37" s="83" t="str">
        <f t="shared" si="2"/>
        <v>6E</v>
      </c>
      <c r="E37" s="82" t="str">
        <f t="shared" si="0"/>
        <v>EUR3E6E35Y_Quote</v>
      </c>
      <c r="F37" s="82" t="str">
        <f>_xll.qlSimpleQuote(E37,,RateTickValue,Permanent,Trigger,ObjectOverwrite)</f>
        <v>EUR3E6E35Y_Quote#0002</v>
      </c>
      <c r="G37" s="81" t="str">
        <f>_xll.ohRangeRetrieveError(F37)</f>
        <v/>
      </c>
      <c r="H37" s="80"/>
    </row>
    <row r="38" spans="1:8" x14ac:dyDescent="0.2">
      <c r="A38" s="86"/>
      <c r="B38" s="85" t="s">
        <v>77</v>
      </c>
      <c r="C38" s="84" t="str">
        <f t="shared" si="1"/>
        <v>3E</v>
      </c>
      <c r="D38" s="83" t="str">
        <f t="shared" si="2"/>
        <v>6E</v>
      </c>
      <c r="E38" s="82" t="str">
        <f t="shared" si="0"/>
        <v>EUR3E6E40Y_Quote</v>
      </c>
      <c r="F38" s="82" t="str">
        <f>_xll.qlSimpleQuote(E38,,RateTickValue,Permanent,Trigger,ObjectOverwrite)</f>
        <v>EUR3E6E40Y_Quote#0002</v>
      </c>
      <c r="G38" s="81" t="str">
        <f>_xll.ohRangeRetrieveError(F38)</f>
        <v/>
      </c>
      <c r="H38" s="80"/>
    </row>
    <row r="39" spans="1:8" x14ac:dyDescent="0.2">
      <c r="A39" s="86"/>
      <c r="B39" s="85" t="s">
        <v>67</v>
      </c>
      <c r="C39" s="84" t="str">
        <f t="shared" si="1"/>
        <v>3E</v>
      </c>
      <c r="D39" s="83" t="str">
        <f t="shared" si="2"/>
        <v>6E</v>
      </c>
      <c r="E39" s="82" t="str">
        <f t="shared" si="0"/>
        <v>EUR3E6E50Y_Quote</v>
      </c>
      <c r="F39" s="82" t="str">
        <f>_xll.qlSimpleQuote(E39,,RateTickValue,Permanent,Trigger,ObjectOverwrite)</f>
        <v>EUR3E6E50Y_Quote#0002</v>
      </c>
      <c r="G39" s="81" t="str">
        <f>_xll.ohRangeRetrieveError(F39)</f>
        <v/>
      </c>
      <c r="H39" s="80"/>
    </row>
    <row r="40" spans="1:8" x14ac:dyDescent="0.2">
      <c r="A40" s="86"/>
      <c r="B40" s="85" t="s">
        <v>57</v>
      </c>
      <c r="C40" s="84" t="str">
        <f t="shared" si="1"/>
        <v>3E</v>
      </c>
      <c r="D40" s="83" t="str">
        <f t="shared" si="2"/>
        <v>6E</v>
      </c>
      <c r="E40" s="82" t="str">
        <f t="shared" si="0"/>
        <v>EUR3E6E60Y_Quote</v>
      </c>
      <c r="F40" s="82" t="str">
        <f>_xll.qlSimpleQuote(E40,,RateTickValue,Permanent,Trigger,ObjectOverwrite)</f>
        <v>EUR3E6E60Y_Quote#0002</v>
      </c>
      <c r="G40" s="81" t="str">
        <f>_xll.ohRangeRetrieveError(F40)</f>
        <v/>
      </c>
      <c r="H40" s="80"/>
    </row>
    <row r="41" spans="1:8" x14ac:dyDescent="0.2">
      <c r="A41" s="79"/>
      <c r="B41" s="78"/>
      <c r="C41" s="78"/>
      <c r="D41" s="78"/>
      <c r="E41" s="78"/>
      <c r="F41" s="77"/>
      <c r="G41" s="77"/>
      <c r="H41" s="76"/>
    </row>
  </sheetData>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L41"/>
  <sheetViews>
    <sheetView workbookViewId="0"/>
  </sheetViews>
  <sheetFormatPr defaultRowHeight="12.75" x14ac:dyDescent="0.2"/>
  <cols>
    <col min="1" max="1" width="4.140625" style="20" customWidth="1"/>
    <col min="2" max="2" width="6.5703125" style="20" bestFit="1" customWidth="1"/>
    <col min="3" max="3" width="2.7109375" style="20" bestFit="1" customWidth="1"/>
    <col min="4" max="4" width="3.5703125" style="20" bestFit="1" customWidth="1"/>
    <col min="5" max="5" width="18.7109375" style="20" bestFit="1" customWidth="1"/>
    <col min="6" max="6" width="20.5703125" style="20" bestFit="1" customWidth="1"/>
    <col min="7" max="7" width="34.42578125" style="20" customWidth="1"/>
    <col min="8" max="8" width="3.7109375" style="20" customWidth="1"/>
    <col min="9" max="9" width="3.140625" style="20" customWidth="1"/>
    <col min="10" max="10" width="4" style="20" bestFit="1" customWidth="1"/>
    <col min="11" max="11" width="3.5703125" style="20" customWidth="1"/>
    <col min="12" max="12" width="3.5703125" style="20" bestFit="1" customWidth="1"/>
    <col min="13" max="16384" width="9.140625" style="20"/>
  </cols>
  <sheetData>
    <row r="1" spans="1:12" x14ac:dyDescent="0.2">
      <c r="A1" s="111" t="s">
        <v>151</v>
      </c>
      <c r="B1" s="104"/>
      <c r="C1" s="104"/>
      <c r="D1" s="104"/>
      <c r="E1" s="105"/>
      <c r="F1" s="106"/>
      <c r="G1" s="105"/>
      <c r="H1" s="101"/>
    </row>
    <row r="2" spans="1:12" x14ac:dyDescent="0.2">
      <c r="A2" s="86"/>
      <c r="B2" s="99" t="s">
        <v>141</v>
      </c>
      <c r="C2" s="100"/>
      <c r="D2" s="99"/>
      <c r="E2" s="98" t="str">
        <f>Currency&amp;"_010_Sw"&amp;$C$7&amp;$D$7&amp;".xml"</f>
        <v>EUR_010_Sw6E12E.xml</v>
      </c>
      <c r="F2" s="97">
        <f ca="1">IF(Serialize,_xll.ohObjectSave(F3:F40,SerializationPath&amp;E2,FileOverwrite,Serialize),"---")</f>
        <v>38</v>
      </c>
      <c r="G2" s="81" t="str">
        <f ca="1">_xll.ohRangeRetrieveError(F2)</f>
        <v/>
      </c>
      <c r="H2" s="80"/>
    </row>
    <row r="3" spans="1:12" x14ac:dyDescent="0.2">
      <c r="A3" s="86"/>
      <c r="B3" s="96" t="s">
        <v>40</v>
      </c>
      <c r="C3" s="84" t="str">
        <f>VLOOKUP(Currency,$J$8:$L$12,2)</f>
        <v>6E</v>
      </c>
      <c r="D3" s="83" t="str">
        <f>VLOOKUP(Currency,$J$8:$L$12,3)</f>
        <v>12E</v>
      </c>
      <c r="E3" s="82" t="str">
        <f t="shared" ref="E3:E40" si="0">IF(ISBLANK(C3),"#",Currency&amp;$C3&amp;$D3&amp;$B3&amp;QuoteSuffix)</f>
        <v>EUR6E12E6M_Quote</v>
      </c>
      <c r="F3" s="82" t="str">
        <f>_xll.qlSimpleQuote(E3,,RateTickValue,Permanent,Trigger,ObjectOverwrite)</f>
        <v>EUR6E12E6M_Quote#0002</v>
      </c>
      <c r="G3" s="81" t="str">
        <f>_xll.ohRangeRetrieveError(F3)</f>
        <v/>
      </c>
      <c r="H3" s="80"/>
    </row>
    <row r="4" spans="1:12" x14ac:dyDescent="0.2">
      <c r="A4" s="86"/>
      <c r="B4" s="96" t="s">
        <v>34</v>
      </c>
      <c r="C4" s="84" t="str">
        <f t="shared" ref="C4:C40" si="1">C3</f>
        <v>6E</v>
      </c>
      <c r="D4" s="83" t="str">
        <f t="shared" ref="D4:D40" si="2">D3</f>
        <v>12E</v>
      </c>
      <c r="E4" s="82" t="str">
        <f t="shared" si="0"/>
        <v>EUR6E12E1Y_Quote</v>
      </c>
      <c r="F4" s="82" t="str">
        <f>_xll.qlSimpleQuote(E4,,RateTickValue,Permanent,Trigger,ObjectOverwrite)</f>
        <v>EUR6E12E1Y_Quote#0002</v>
      </c>
      <c r="G4" s="81" t="str">
        <f>_xll.ohRangeRetrieveError(F4)</f>
        <v/>
      </c>
      <c r="H4" s="80"/>
    </row>
    <row r="5" spans="1:12" x14ac:dyDescent="0.2">
      <c r="A5" s="86"/>
      <c r="B5" s="96" t="s">
        <v>140</v>
      </c>
      <c r="C5" s="84" t="str">
        <f t="shared" si="1"/>
        <v>6E</v>
      </c>
      <c r="D5" s="83" t="str">
        <f t="shared" si="2"/>
        <v>12E</v>
      </c>
      <c r="E5" s="82" t="str">
        <f t="shared" si="0"/>
        <v>EUR6E12E15M_Quote</v>
      </c>
      <c r="F5" s="82" t="str">
        <f>_xll.qlSimpleQuote(E5,,RateTickValue,Permanent,Trigger,ObjectOverwrite)</f>
        <v>EUR6E12E15M_Quote#0002</v>
      </c>
      <c r="G5" s="81" t="str">
        <f>_xll.ohRangeRetrieveError(F5)</f>
        <v/>
      </c>
      <c r="H5" s="80"/>
    </row>
    <row r="6" spans="1:12" x14ac:dyDescent="0.2">
      <c r="A6" s="86"/>
      <c r="B6" s="96" t="s">
        <v>139</v>
      </c>
      <c r="C6" s="84" t="str">
        <f t="shared" si="1"/>
        <v>6E</v>
      </c>
      <c r="D6" s="83" t="str">
        <f t="shared" si="2"/>
        <v>12E</v>
      </c>
      <c r="E6" s="82" t="str">
        <f t="shared" si="0"/>
        <v>EUR6E12E18M_Quote</v>
      </c>
      <c r="F6" s="82" t="str">
        <f>_xll.qlSimpleQuote(E6,,RateTickValue,Permanent,Trigger,ObjectOverwrite)</f>
        <v>EUR6E12E18M_Quote#0002</v>
      </c>
      <c r="G6" s="81" t="str">
        <f>_xll.ohRangeRetrieveError(F6)</f>
        <v/>
      </c>
      <c r="H6" s="80"/>
    </row>
    <row r="7" spans="1:12" ht="13.5" thickBot="1" x14ac:dyDescent="0.25">
      <c r="A7" s="86"/>
      <c r="B7" s="96" t="s">
        <v>138</v>
      </c>
      <c r="C7" s="84" t="str">
        <f t="shared" si="1"/>
        <v>6E</v>
      </c>
      <c r="D7" s="83" t="str">
        <f t="shared" si="2"/>
        <v>12E</v>
      </c>
      <c r="E7" s="82" t="str">
        <f t="shared" si="0"/>
        <v>EUR6E12E21M_Quote</v>
      </c>
      <c r="F7" s="82" t="str">
        <f>_xll.qlSimpleQuote(E7,,RateTickValue,Permanent,Trigger,ObjectOverwrite)</f>
        <v>EUR6E12E21M_Quote#0002</v>
      </c>
      <c r="G7" s="81" t="str">
        <f>_xll.ohRangeRetrieveError(F7)</f>
        <v/>
      </c>
      <c r="H7" s="80"/>
    </row>
    <row r="8" spans="1:12" x14ac:dyDescent="0.2">
      <c r="A8" s="86"/>
      <c r="B8" s="85" t="s">
        <v>115</v>
      </c>
      <c r="C8" s="84" t="str">
        <f t="shared" si="1"/>
        <v>6E</v>
      </c>
      <c r="D8" s="83" t="str">
        <f t="shared" si="2"/>
        <v>12E</v>
      </c>
      <c r="E8" s="82" t="str">
        <f t="shared" si="0"/>
        <v>EUR6E12E2Y_Quote</v>
      </c>
      <c r="F8" s="82" t="str">
        <f>_xll.qlSimpleQuote(E8,,RateTickValue,Permanent,Trigger,ObjectOverwrite)</f>
        <v>EUR6E12E2Y_Quote#0002</v>
      </c>
      <c r="G8" s="81" t="str">
        <f>_xll.ohRangeRetrieveError(F8)</f>
        <v/>
      </c>
      <c r="H8" s="80"/>
      <c r="J8" s="95" t="s">
        <v>137</v>
      </c>
      <c r="K8" s="94" t="s">
        <v>132</v>
      </c>
      <c r="L8" s="93" t="s">
        <v>143</v>
      </c>
    </row>
    <row r="9" spans="1:12" x14ac:dyDescent="0.2">
      <c r="A9" s="86"/>
      <c r="B9" s="85" t="s">
        <v>114</v>
      </c>
      <c r="C9" s="84" t="str">
        <f t="shared" si="1"/>
        <v>6E</v>
      </c>
      <c r="D9" s="83" t="str">
        <f t="shared" si="2"/>
        <v>12E</v>
      </c>
      <c r="E9" s="82" t="str">
        <f t="shared" si="0"/>
        <v>EUR6E12E3Y_Quote</v>
      </c>
      <c r="F9" s="82" t="str">
        <f>_xll.qlSimpleQuote(E9,,RateTickValue,Permanent,Trigger,ObjectOverwrite)</f>
        <v>EUR6E12E3Y_Quote#0002</v>
      </c>
      <c r="G9" s="81" t="str">
        <f>_xll.ohRangeRetrieveError(F9)</f>
        <v/>
      </c>
      <c r="H9" s="80"/>
      <c r="J9" s="92" t="s">
        <v>123</v>
      </c>
      <c r="K9" s="91" t="s">
        <v>135</v>
      </c>
      <c r="L9" s="90" t="s">
        <v>144</v>
      </c>
    </row>
    <row r="10" spans="1:12" x14ac:dyDescent="0.2">
      <c r="A10" s="86"/>
      <c r="B10" s="85" t="s">
        <v>113</v>
      </c>
      <c r="C10" s="84" t="str">
        <f t="shared" si="1"/>
        <v>6E</v>
      </c>
      <c r="D10" s="83" t="str">
        <f t="shared" si="2"/>
        <v>12E</v>
      </c>
      <c r="E10" s="82" t="str">
        <f t="shared" si="0"/>
        <v>EUR6E12E4Y_Quote</v>
      </c>
      <c r="F10" s="82" t="str">
        <f>_xll.qlSimpleQuote(E10,,RateTickValue,Permanent,Trigger,ObjectOverwrite)</f>
        <v>EUR6E12E4Y_Quote#0002</v>
      </c>
      <c r="G10" s="81" t="str">
        <f>_xll.ohRangeRetrieveError(F10)</f>
        <v/>
      </c>
      <c r="H10" s="80"/>
      <c r="J10" s="92" t="s">
        <v>134</v>
      </c>
      <c r="K10" s="91" t="s">
        <v>132</v>
      </c>
      <c r="L10" s="90" t="s">
        <v>143</v>
      </c>
    </row>
    <row r="11" spans="1:12" x14ac:dyDescent="0.2">
      <c r="A11" s="86"/>
      <c r="B11" s="85" t="s">
        <v>112</v>
      </c>
      <c r="C11" s="84" t="str">
        <f t="shared" si="1"/>
        <v>6E</v>
      </c>
      <c r="D11" s="83" t="str">
        <f t="shared" si="2"/>
        <v>12E</v>
      </c>
      <c r="E11" s="82" t="str">
        <f t="shared" si="0"/>
        <v>EUR6E12E5Y_Quote</v>
      </c>
      <c r="F11" s="82" t="str">
        <f>_xll.qlSimpleQuote(E11,,RateTickValue,Permanent,Trigger,ObjectOverwrite)</f>
        <v>EUR6E12E5Y_Quote#0002</v>
      </c>
      <c r="G11" s="81" t="str">
        <f>_xll.ohRangeRetrieveError(F11)</f>
        <v/>
      </c>
      <c r="H11" s="80"/>
      <c r="J11" s="92" t="s">
        <v>133</v>
      </c>
      <c r="K11" s="91" t="s">
        <v>132</v>
      </c>
      <c r="L11" s="90" t="s">
        <v>143</v>
      </c>
    </row>
    <row r="12" spans="1:12" ht="13.5" thickBot="1" x14ac:dyDescent="0.25">
      <c r="A12" s="86"/>
      <c r="B12" s="85" t="s">
        <v>111</v>
      </c>
      <c r="C12" s="84" t="str">
        <f t="shared" si="1"/>
        <v>6E</v>
      </c>
      <c r="D12" s="83" t="str">
        <f t="shared" si="2"/>
        <v>12E</v>
      </c>
      <c r="E12" s="82" t="str">
        <f t="shared" si="0"/>
        <v>EUR6E12E6Y_Quote</v>
      </c>
      <c r="F12" s="82" t="str">
        <f>_xll.qlSimpleQuote(E12,,RateTickValue,Permanent,Trigger,ObjectOverwrite)</f>
        <v>EUR6E12E6Y_Quote#0002</v>
      </c>
      <c r="G12" s="81" t="str">
        <f>_xll.ohRangeRetrieveError(F12)</f>
        <v/>
      </c>
      <c r="H12" s="80"/>
      <c r="J12" s="89" t="s">
        <v>131</v>
      </c>
      <c r="K12" s="88" t="s">
        <v>143</v>
      </c>
      <c r="L12" s="87" t="s">
        <v>130</v>
      </c>
    </row>
    <row r="13" spans="1:12" x14ac:dyDescent="0.2">
      <c r="A13" s="86"/>
      <c r="B13" s="85" t="s">
        <v>110</v>
      </c>
      <c r="C13" s="84" t="str">
        <f t="shared" si="1"/>
        <v>6E</v>
      </c>
      <c r="D13" s="83" t="str">
        <f t="shared" si="2"/>
        <v>12E</v>
      </c>
      <c r="E13" s="82" t="str">
        <f t="shared" si="0"/>
        <v>EUR6E12E7Y_Quote</v>
      </c>
      <c r="F13" s="82" t="str">
        <f>_xll.qlSimpleQuote(E13,,RateTickValue,Permanent,Trigger,ObjectOverwrite)</f>
        <v>EUR6E12E7Y_Quote#0002</v>
      </c>
      <c r="G13" s="81" t="str">
        <f>_xll.ohRangeRetrieveError(F13)</f>
        <v/>
      </c>
      <c r="H13" s="80"/>
    </row>
    <row r="14" spans="1:12" x14ac:dyDescent="0.2">
      <c r="A14" s="86"/>
      <c r="B14" s="85" t="s">
        <v>109</v>
      </c>
      <c r="C14" s="84" t="str">
        <f t="shared" si="1"/>
        <v>6E</v>
      </c>
      <c r="D14" s="83" t="str">
        <f t="shared" si="2"/>
        <v>12E</v>
      </c>
      <c r="E14" s="82" t="str">
        <f t="shared" si="0"/>
        <v>EUR6E12E8Y_Quote</v>
      </c>
      <c r="F14" s="82" t="str">
        <f>_xll.qlSimpleQuote(E14,,RateTickValue,Permanent,Trigger,ObjectOverwrite)</f>
        <v>EUR6E12E8Y_Quote#0002</v>
      </c>
      <c r="G14" s="81" t="str">
        <f>_xll.ohRangeRetrieveError(F14)</f>
        <v/>
      </c>
      <c r="H14" s="80"/>
    </row>
    <row r="15" spans="1:12" x14ac:dyDescent="0.2">
      <c r="A15" s="86"/>
      <c r="B15" s="85" t="s">
        <v>108</v>
      </c>
      <c r="C15" s="84" t="str">
        <f t="shared" si="1"/>
        <v>6E</v>
      </c>
      <c r="D15" s="83" t="str">
        <f t="shared" si="2"/>
        <v>12E</v>
      </c>
      <c r="E15" s="82" t="str">
        <f t="shared" si="0"/>
        <v>EUR6E12E9Y_Quote</v>
      </c>
      <c r="F15" s="82" t="str">
        <f>_xll.qlSimpleQuote(E15,,RateTickValue,Permanent,Trigger,ObjectOverwrite)</f>
        <v>EUR6E12E9Y_Quote#0002</v>
      </c>
      <c r="G15" s="81" t="str">
        <f>_xll.ohRangeRetrieveError(F15)</f>
        <v/>
      </c>
      <c r="H15" s="80"/>
    </row>
    <row r="16" spans="1:12" x14ac:dyDescent="0.2">
      <c r="A16" s="86"/>
      <c r="B16" s="85" t="s">
        <v>107</v>
      </c>
      <c r="C16" s="84" t="str">
        <f t="shared" si="1"/>
        <v>6E</v>
      </c>
      <c r="D16" s="83" t="str">
        <f t="shared" si="2"/>
        <v>12E</v>
      </c>
      <c r="E16" s="82" t="str">
        <f t="shared" si="0"/>
        <v>EUR6E12E10Y_Quote</v>
      </c>
      <c r="F16" s="82" t="str">
        <f>_xll.qlSimpleQuote(E16,,RateTickValue,Permanent,Trigger,ObjectOverwrite)</f>
        <v>EUR6E12E10Y_Quote#0002</v>
      </c>
      <c r="G16" s="81" t="str">
        <f>_xll.ohRangeRetrieveError(F16)</f>
        <v/>
      </c>
      <c r="H16" s="80"/>
    </row>
    <row r="17" spans="1:8" x14ac:dyDescent="0.2">
      <c r="A17" s="86"/>
      <c r="B17" s="85" t="s">
        <v>106</v>
      </c>
      <c r="C17" s="84" t="str">
        <f t="shared" si="1"/>
        <v>6E</v>
      </c>
      <c r="D17" s="83" t="str">
        <f t="shared" si="2"/>
        <v>12E</v>
      </c>
      <c r="E17" s="82" t="str">
        <f t="shared" si="0"/>
        <v>EUR6E12E11Y_Quote</v>
      </c>
      <c r="F17" s="82" t="str">
        <f>_xll.qlSimpleQuote(E17,,RateTickValue,Permanent,Trigger,ObjectOverwrite)</f>
        <v>EUR6E12E11Y_Quote#0002</v>
      </c>
      <c r="G17" s="81" t="str">
        <f>_xll.ohRangeRetrieveError(F17)</f>
        <v/>
      </c>
      <c r="H17" s="80"/>
    </row>
    <row r="18" spans="1:8" x14ac:dyDescent="0.2">
      <c r="A18" s="86"/>
      <c r="B18" s="85" t="s">
        <v>105</v>
      </c>
      <c r="C18" s="84" t="str">
        <f t="shared" si="1"/>
        <v>6E</v>
      </c>
      <c r="D18" s="83" t="str">
        <f t="shared" si="2"/>
        <v>12E</v>
      </c>
      <c r="E18" s="82" t="str">
        <f t="shared" si="0"/>
        <v>EUR6E12E12Y_Quote</v>
      </c>
      <c r="F18" s="82" t="str">
        <f>_xll.qlSimpleQuote(E18,,RateTickValue,Permanent,Trigger,ObjectOverwrite)</f>
        <v>EUR6E12E12Y_Quote#0002</v>
      </c>
      <c r="G18" s="81" t="str">
        <f>_xll.ohRangeRetrieveError(F18)</f>
        <v/>
      </c>
      <c r="H18" s="80"/>
    </row>
    <row r="19" spans="1:8" x14ac:dyDescent="0.2">
      <c r="A19" s="86"/>
      <c r="B19" s="85" t="s">
        <v>104</v>
      </c>
      <c r="C19" s="84" t="str">
        <f t="shared" si="1"/>
        <v>6E</v>
      </c>
      <c r="D19" s="83" t="str">
        <f t="shared" si="2"/>
        <v>12E</v>
      </c>
      <c r="E19" s="82" t="str">
        <f t="shared" si="0"/>
        <v>EUR6E12E13Y_Quote</v>
      </c>
      <c r="F19" s="82" t="str">
        <f>_xll.qlSimpleQuote(E19,,RateTickValue,Permanent,Trigger,ObjectOverwrite)</f>
        <v>EUR6E12E13Y_Quote#0002</v>
      </c>
      <c r="G19" s="81" t="str">
        <f>_xll.ohRangeRetrieveError(F19)</f>
        <v/>
      </c>
      <c r="H19" s="80"/>
    </row>
    <row r="20" spans="1:8" x14ac:dyDescent="0.2">
      <c r="A20" s="86"/>
      <c r="B20" s="85" t="s">
        <v>103</v>
      </c>
      <c r="C20" s="84" t="str">
        <f t="shared" si="1"/>
        <v>6E</v>
      </c>
      <c r="D20" s="83" t="str">
        <f t="shared" si="2"/>
        <v>12E</v>
      </c>
      <c r="E20" s="82" t="str">
        <f t="shared" si="0"/>
        <v>EUR6E12E14Y_Quote</v>
      </c>
      <c r="F20" s="82" t="str">
        <f>_xll.qlSimpleQuote(E20,,RateTickValue,Permanent,Trigger,ObjectOverwrite)</f>
        <v>EUR6E12E14Y_Quote#0002</v>
      </c>
      <c r="G20" s="81" t="str">
        <f>_xll.ohRangeRetrieveError(F20)</f>
        <v/>
      </c>
      <c r="H20" s="80"/>
    </row>
    <row r="21" spans="1:8" x14ac:dyDescent="0.2">
      <c r="A21" s="86"/>
      <c r="B21" s="85" t="s">
        <v>102</v>
      </c>
      <c r="C21" s="84" t="str">
        <f t="shared" si="1"/>
        <v>6E</v>
      </c>
      <c r="D21" s="83" t="str">
        <f t="shared" si="2"/>
        <v>12E</v>
      </c>
      <c r="E21" s="82" t="str">
        <f t="shared" si="0"/>
        <v>EUR6E12E15Y_Quote</v>
      </c>
      <c r="F21" s="82" t="str">
        <f>_xll.qlSimpleQuote(E21,,RateTickValue,Permanent,Trigger,ObjectOverwrite)</f>
        <v>EUR6E12E15Y_Quote#0002</v>
      </c>
      <c r="G21" s="81" t="str">
        <f>_xll.ohRangeRetrieveError(F21)</f>
        <v/>
      </c>
      <c r="H21" s="80"/>
    </row>
    <row r="22" spans="1:8" x14ac:dyDescent="0.2">
      <c r="A22" s="86"/>
      <c r="B22" s="85" t="s">
        <v>101</v>
      </c>
      <c r="C22" s="84" t="str">
        <f t="shared" si="1"/>
        <v>6E</v>
      </c>
      <c r="D22" s="83" t="str">
        <f t="shared" si="2"/>
        <v>12E</v>
      </c>
      <c r="E22" s="82" t="str">
        <f t="shared" si="0"/>
        <v>EUR6E12E16Y_Quote</v>
      </c>
      <c r="F22" s="82" t="str">
        <f>_xll.qlSimpleQuote(E22,,RateTickValue,Permanent,Trigger,ObjectOverwrite)</f>
        <v>EUR6E12E16Y_Quote#0002</v>
      </c>
      <c r="G22" s="81" t="str">
        <f>_xll.ohRangeRetrieveError(F22)</f>
        <v/>
      </c>
      <c r="H22" s="80"/>
    </row>
    <row r="23" spans="1:8" x14ac:dyDescent="0.2">
      <c r="A23" s="86"/>
      <c r="B23" s="85" t="s">
        <v>100</v>
      </c>
      <c r="C23" s="84" t="str">
        <f t="shared" si="1"/>
        <v>6E</v>
      </c>
      <c r="D23" s="83" t="str">
        <f t="shared" si="2"/>
        <v>12E</v>
      </c>
      <c r="E23" s="82" t="str">
        <f t="shared" si="0"/>
        <v>EUR6E12E17Y_Quote</v>
      </c>
      <c r="F23" s="82" t="str">
        <f>_xll.qlSimpleQuote(E23,,RateTickValue,Permanent,Trigger,ObjectOverwrite)</f>
        <v>EUR6E12E17Y_Quote#0002</v>
      </c>
      <c r="G23" s="81" t="str">
        <f>_xll.ohRangeRetrieveError(F23)</f>
        <v/>
      </c>
      <c r="H23" s="80"/>
    </row>
    <row r="24" spans="1:8" x14ac:dyDescent="0.2">
      <c r="A24" s="86"/>
      <c r="B24" s="85" t="s">
        <v>99</v>
      </c>
      <c r="C24" s="84" t="str">
        <f t="shared" si="1"/>
        <v>6E</v>
      </c>
      <c r="D24" s="83" t="str">
        <f t="shared" si="2"/>
        <v>12E</v>
      </c>
      <c r="E24" s="82" t="str">
        <f t="shared" si="0"/>
        <v>EUR6E12E18Y_Quote</v>
      </c>
      <c r="F24" s="82" t="str">
        <f>_xll.qlSimpleQuote(E24,,RateTickValue,Permanent,Trigger,ObjectOverwrite)</f>
        <v>EUR6E12E18Y_Quote#0002</v>
      </c>
      <c r="G24" s="81" t="str">
        <f>_xll.ohRangeRetrieveError(F24)</f>
        <v/>
      </c>
      <c r="H24" s="80"/>
    </row>
    <row r="25" spans="1:8" x14ac:dyDescent="0.2">
      <c r="A25" s="86"/>
      <c r="B25" s="85" t="s">
        <v>98</v>
      </c>
      <c r="C25" s="84" t="str">
        <f t="shared" si="1"/>
        <v>6E</v>
      </c>
      <c r="D25" s="83" t="str">
        <f t="shared" si="2"/>
        <v>12E</v>
      </c>
      <c r="E25" s="82" t="str">
        <f t="shared" si="0"/>
        <v>EUR6E12E19Y_Quote</v>
      </c>
      <c r="F25" s="82" t="str">
        <f>_xll.qlSimpleQuote(E25,,RateTickValue,Permanent,Trigger,ObjectOverwrite)</f>
        <v>EUR6E12E19Y_Quote#0002</v>
      </c>
      <c r="G25" s="81" t="str">
        <f>_xll.ohRangeRetrieveError(F25)</f>
        <v/>
      </c>
      <c r="H25" s="80"/>
    </row>
    <row r="26" spans="1:8" x14ac:dyDescent="0.2">
      <c r="A26" s="86"/>
      <c r="B26" s="85" t="s">
        <v>97</v>
      </c>
      <c r="C26" s="84" t="str">
        <f t="shared" si="1"/>
        <v>6E</v>
      </c>
      <c r="D26" s="83" t="str">
        <f t="shared" si="2"/>
        <v>12E</v>
      </c>
      <c r="E26" s="82" t="str">
        <f t="shared" si="0"/>
        <v>EUR6E12E20Y_Quote</v>
      </c>
      <c r="F26" s="82" t="str">
        <f>_xll.qlSimpleQuote(E26,,RateTickValue,Permanent,Trigger,ObjectOverwrite)</f>
        <v>EUR6E12E20Y_Quote#0002</v>
      </c>
      <c r="G26" s="81" t="str">
        <f>_xll.ohRangeRetrieveError(F26)</f>
        <v/>
      </c>
      <c r="H26" s="80"/>
    </row>
    <row r="27" spans="1:8" x14ac:dyDescent="0.2">
      <c r="A27" s="86"/>
      <c r="B27" s="85" t="s">
        <v>96</v>
      </c>
      <c r="C27" s="84" t="str">
        <f t="shared" si="1"/>
        <v>6E</v>
      </c>
      <c r="D27" s="83" t="str">
        <f t="shared" si="2"/>
        <v>12E</v>
      </c>
      <c r="E27" s="82" t="str">
        <f t="shared" si="0"/>
        <v>EUR6E12E21Y_Quote</v>
      </c>
      <c r="F27" s="82" t="str">
        <f>_xll.qlSimpleQuote(E27,,RateTickValue,Permanent,Trigger,ObjectOverwrite)</f>
        <v>EUR6E12E21Y_Quote#0002</v>
      </c>
      <c r="G27" s="81" t="str">
        <f>_xll.ohRangeRetrieveError(F27)</f>
        <v/>
      </c>
      <c r="H27" s="80"/>
    </row>
    <row r="28" spans="1:8" x14ac:dyDescent="0.2">
      <c r="A28" s="86"/>
      <c r="B28" s="85" t="s">
        <v>95</v>
      </c>
      <c r="C28" s="84" t="str">
        <f t="shared" si="1"/>
        <v>6E</v>
      </c>
      <c r="D28" s="83" t="str">
        <f t="shared" si="2"/>
        <v>12E</v>
      </c>
      <c r="E28" s="82" t="str">
        <f t="shared" si="0"/>
        <v>EUR6E12E22Y_Quote</v>
      </c>
      <c r="F28" s="82" t="str">
        <f>_xll.qlSimpleQuote(E28,,RateTickValue,Permanent,Trigger,ObjectOverwrite)</f>
        <v>EUR6E12E22Y_Quote#0002</v>
      </c>
      <c r="G28" s="81" t="str">
        <f>_xll.ohRangeRetrieveError(F28)</f>
        <v/>
      </c>
      <c r="H28" s="80"/>
    </row>
    <row r="29" spans="1:8" x14ac:dyDescent="0.2">
      <c r="A29" s="86"/>
      <c r="B29" s="85" t="s">
        <v>94</v>
      </c>
      <c r="C29" s="84" t="str">
        <f t="shared" si="1"/>
        <v>6E</v>
      </c>
      <c r="D29" s="83" t="str">
        <f t="shared" si="2"/>
        <v>12E</v>
      </c>
      <c r="E29" s="82" t="str">
        <f t="shared" si="0"/>
        <v>EUR6E12E23Y_Quote</v>
      </c>
      <c r="F29" s="82" t="str">
        <f>_xll.qlSimpleQuote(E29,,RateTickValue,Permanent,Trigger,ObjectOverwrite)</f>
        <v>EUR6E12E23Y_Quote#0002</v>
      </c>
      <c r="G29" s="81" t="str">
        <f>_xll.ohRangeRetrieveError(F29)</f>
        <v/>
      </c>
      <c r="H29" s="80"/>
    </row>
    <row r="30" spans="1:8" x14ac:dyDescent="0.2">
      <c r="A30" s="86"/>
      <c r="B30" s="85" t="s">
        <v>93</v>
      </c>
      <c r="C30" s="84" t="str">
        <f t="shared" si="1"/>
        <v>6E</v>
      </c>
      <c r="D30" s="83" t="str">
        <f t="shared" si="2"/>
        <v>12E</v>
      </c>
      <c r="E30" s="82" t="str">
        <f t="shared" si="0"/>
        <v>EUR6E12E24Y_Quote</v>
      </c>
      <c r="F30" s="82" t="str">
        <f>_xll.qlSimpleQuote(E30,,RateTickValue,Permanent,Trigger,ObjectOverwrite)</f>
        <v>EUR6E12E24Y_Quote#0002</v>
      </c>
      <c r="G30" s="81" t="str">
        <f>_xll.ohRangeRetrieveError(F30)</f>
        <v/>
      </c>
      <c r="H30" s="80"/>
    </row>
    <row r="31" spans="1:8" x14ac:dyDescent="0.2">
      <c r="A31" s="86"/>
      <c r="B31" s="85" t="s">
        <v>92</v>
      </c>
      <c r="C31" s="84" t="str">
        <f t="shared" si="1"/>
        <v>6E</v>
      </c>
      <c r="D31" s="83" t="str">
        <f t="shared" si="2"/>
        <v>12E</v>
      </c>
      <c r="E31" s="82" t="str">
        <f t="shared" si="0"/>
        <v>EUR6E12E25Y_Quote</v>
      </c>
      <c r="F31" s="82" t="str">
        <f>_xll.qlSimpleQuote(E31,,RateTickValue,Permanent,Trigger,ObjectOverwrite)</f>
        <v>EUR6E12E25Y_Quote#0002</v>
      </c>
      <c r="G31" s="81" t="str">
        <f>_xll.ohRangeRetrieveError(F31)</f>
        <v/>
      </c>
      <c r="H31" s="80"/>
    </row>
    <row r="32" spans="1:8" x14ac:dyDescent="0.2">
      <c r="A32" s="86"/>
      <c r="B32" s="85" t="s">
        <v>91</v>
      </c>
      <c r="C32" s="84" t="str">
        <f t="shared" si="1"/>
        <v>6E</v>
      </c>
      <c r="D32" s="83" t="str">
        <f t="shared" si="2"/>
        <v>12E</v>
      </c>
      <c r="E32" s="82" t="str">
        <f t="shared" si="0"/>
        <v>EUR6E12E26Y_Quote</v>
      </c>
      <c r="F32" s="82" t="str">
        <f>_xll.qlSimpleQuote(E32,,RateTickValue,Permanent,Trigger,ObjectOverwrite)</f>
        <v>EUR6E12E26Y_Quote#0002</v>
      </c>
      <c r="G32" s="81" t="str">
        <f>_xll.ohRangeRetrieveError(F32)</f>
        <v/>
      </c>
      <c r="H32" s="80"/>
    </row>
    <row r="33" spans="1:8" x14ac:dyDescent="0.2">
      <c r="A33" s="86"/>
      <c r="B33" s="85" t="s">
        <v>90</v>
      </c>
      <c r="C33" s="84" t="str">
        <f t="shared" si="1"/>
        <v>6E</v>
      </c>
      <c r="D33" s="83" t="str">
        <f t="shared" si="2"/>
        <v>12E</v>
      </c>
      <c r="E33" s="82" t="str">
        <f t="shared" si="0"/>
        <v>EUR6E12E27Y_Quote</v>
      </c>
      <c r="F33" s="82" t="str">
        <f>_xll.qlSimpleQuote(E33,,RateTickValue,Permanent,Trigger,ObjectOverwrite)</f>
        <v>EUR6E12E27Y_Quote#0002</v>
      </c>
      <c r="G33" s="81" t="str">
        <f>_xll.ohRangeRetrieveError(F33)</f>
        <v/>
      </c>
      <c r="H33" s="80"/>
    </row>
    <row r="34" spans="1:8" x14ac:dyDescent="0.2">
      <c r="A34" s="86"/>
      <c r="B34" s="85" t="s">
        <v>89</v>
      </c>
      <c r="C34" s="84" t="str">
        <f t="shared" si="1"/>
        <v>6E</v>
      </c>
      <c r="D34" s="83" t="str">
        <f t="shared" si="2"/>
        <v>12E</v>
      </c>
      <c r="E34" s="82" t="str">
        <f t="shared" si="0"/>
        <v>EUR6E12E28Y_Quote</v>
      </c>
      <c r="F34" s="82" t="str">
        <f>_xll.qlSimpleQuote(E34,,RateTickValue,Permanent,Trigger,ObjectOverwrite)</f>
        <v>EUR6E12E28Y_Quote#0002</v>
      </c>
      <c r="G34" s="81" t="str">
        <f>_xll.ohRangeRetrieveError(F34)</f>
        <v/>
      </c>
      <c r="H34" s="80"/>
    </row>
    <row r="35" spans="1:8" x14ac:dyDescent="0.2">
      <c r="A35" s="86"/>
      <c r="B35" s="85" t="s">
        <v>88</v>
      </c>
      <c r="C35" s="84" t="str">
        <f t="shared" si="1"/>
        <v>6E</v>
      </c>
      <c r="D35" s="83" t="str">
        <f t="shared" si="2"/>
        <v>12E</v>
      </c>
      <c r="E35" s="82" t="str">
        <f t="shared" si="0"/>
        <v>EUR6E12E29Y_Quote</v>
      </c>
      <c r="F35" s="82" t="str">
        <f>_xll.qlSimpleQuote(E35,,RateTickValue,Permanent,Trigger,ObjectOverwrite)</f>
        <v>EUR6E12E29Y_Quote#0002</v>
      </c>
      <c r="G35" s="81" t="str">
        <f>_xll.ohRangeRetrieveError(F35)</f>
        <v/>
      </c>
      <c r="H35" s="80"/>
    </row>
    <row r="36" spans="1:8" x14ac:dyDescent="0.2">
      <c r="A36" s="86"/>
      <c r="B36" s="85" t="s">
        <v>87</v>
      </c>
      <c r="C36" s="84" t="str">
        <f t="shared" si="1"/>
        <v>6E</v>
      </c>
      <c r="D36" s="83" t="str">
        <f t="shared" si="2"/>
        <v>12E</v>
      </c>
      <c r="E36" s="82" t="str">
        <f t="shared" si="0"/>
        <v>EUR6E12E30Y_Quote</v>
      </c>
      <c r="F36" s="82" t="str">
        <f>_xll.qlSimpleQuote(E36,,RateTickValue,Permanent,Trigger,ObjectOverwrite)</f>
        <v>EUR6E12E30Y_Quote#0002</v>
      </c>
      <c r="G36" s="81" t="str">
        <f>_xll.ohRangeRetrieveError(F36)</f>
        <v/>
      </c>
      <c r="H36" s="80"/>
    </row>
    <row r="37" spans="1:8" x14ac:dyDescent="0.2">
      <c r="A37" s="86"/>
      <c r="B37" s="85" t="s">
        <v>82</v>
      </c>
      <c r="C37" s="84" t="str">
        <f t="shared" si="1"/>
        <v>6E</v>
      </c>
      <c r="D37" s="83" t="str">
        <f t="shared" si="2"/>
        <v>12E</v>
      </c>
      <c r="E37" s="82" t="str">
        <f t="shared" si="0"/>
        <v>EUR6E12E35Y_Quote</v>
      </c>
      <c r="F37" s="82" t="str">
        <f>_xll.qlSimpleQuote(E37,,RateTickValue,Permanent,Trigger,ObjectOverwrite)</f>
        <v>EUR6E12E35Y_Quote#0002</v>
      </c>
      <c r="G37" s="81" t="str">
        <f>_xll.ohRangeRetrieveError(F37)</f>
        <v/>
      </c>
      <c r="H37" s="80"/>
    </row>
    <row r="38" spans="1:8" x14ac:dyDescent="0.2">
      <c r="A38" s="86"/>
      <c r="B38" s="85" t="s">
        <v>77</v>
      </c>
      <c r="C38" s="84" t="str">
        <f t="shared" si="1"/>
        <v>6E</v>
      </c>
      <c r="D38" s="83" t="str">
        <f t="shared" si="2"/>
        <v>12E</v>
      </c>
      <c r="E38" s="82" t="str">
        <f t="shared" si="0"/>
        <v>EUR6E12E40Y_Quote</v>
      </c>
      <c r="F38" s="82" t="str">
        <f>_xll.qlSimpleQuote(E38,,RateTickValue,Permanent,Trigger,ObjectOverwrite)</f>
        <v>EUR6E12E40Y_Quote#0002</v>
      </c>
      <c r="G38" s="81" t="str">
        <f>_xll.ohRangeRetrieveError(F38)</f>
        <v/>
      </c>
      <c r="H38" s="80"/>
    </row>
    <row r="39" spans="1:8" x14ac:dyDescent="0.2">
      <c r="A39" s="86"/>
      <c r="B39" s="85" t="s">
        <v>67</v>
      </c>
      <c r="C39" s="84" t="str">
        <f t="shared" si="1"/>
        <v>6E</v>
      </c>
      <c r="D39" s="83" t="str">
        <f t="shared" si="2"/>
        <v>12E</v>
      </c>
      <c r="E39" s="82" t="str">
        <f t="shared" si="0"/>
        <v>EUR6E12E50Y_Quote</v>
      </c>
      <c r="F39" s="82" t="str">
        <f>_xll.qlSimpleQuote(E39,,RateTickValue,Permanent,Trigger,ObjectOverwrite)</f>
        <v>EUR6E12E50Y_Quote#0002</v>
      </c>
      <c r="G39" s="81" t="str">
        <f>_xll.ohRangeRetrieveError(F39)</f>
        <v/>
      </c>
      <c r="H39" s="80"/>
    </row>
    <row r="40" spans="1:8" x14ac:dyDescent="0.2">
      <c r="A40" s="86"/>
      <c r="B40" s="85" t="s">
        <v>57</v>
      </c>
      <c r="C40" s="84" t="str">
        <f t="shared" si="1"/>
        <v>6E</v>
      </c>
      <c r="D40" s="83" t="str">
        <f t="shared" si="2"/>
        <v>12E</v>
      </c>
      <c r="E40" s="82" t="str">
        <f t="shared" si="0"/>
        <v>EUR6E12E60Y_Quote</v>
      </c>
      <c r="F40" s="82" t="str">
        <f>_xll.qlSimpleQuote(E40,,RateTickValue,Permanent,Trigger,ObjectOverwrite)</f>
        <v>EUR6E12E60Y_Quote#0002</v>
      </c>
      <c r="G40" s="81" t="str">
        <f>_xll.ohRangeRetrieveError(F40)</f>
        <v/>
      </c>
      <c r="H40" s="80"/>
    </row>
    <row r="41" spans="1:8" x14ac:dyDescent="0.2">
      <c r="A41" s="79"/>
      <c r="B41" s="78"/>
      <c r="C41" s="78"/>
      <c r="D41" s="78"/>
      <c r="E41" s="78"/>
      <c r="F41" s="77"/>
      <c r="G41" s="77"/>
      <c r="H41" s="76"/>
    </row>
  </sheetData>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E18"/>
  <sheetViews>
    <sheetView workbookViewId="0"/>
  </sheetViews>
  <sheetFormatPr defaultColWidth="8" defaultRowHeight="11.25" x14ac:dyDescent="0.2"/>
  <cols>
    <col min="1" max="1" width="3.28515625" style="107" customWidth="1"/>
    <col min="2" max="2" width="4.28515625" style="107" customWidth="1"/>
    <col min="3" max="3" width="15.5703125" style="107" bestFit="1" customWidth="1"/>
    <col min="4" max="4" width="90.7109375" style="107" bestFit="1" customWidth="1"/>
    <col min="5" max="5" width="3.7109375" style="107" customWidth="1"/>
    <col min="6" max="6" width="35.28515625" style="107" customWidth="1"/>
    <col min="7" max="7" width="4.28515625" style="107" customWidth="1"/>
    <col min="8" max="16384" width="8" style="107"/>
  </cols>
  <sheetData>
    <row r="1" spans="1:5" ht="13.5" thickBot="1" x14ac:dyDescent="0.25">
      <c r="A1" s="107" t="s">
        <v>151</v>
      </c>
      <c r="B1" s="110" t="str">
        <f>_xll.qlxlVersion(TRUE,Trigger)</f>
        <v>QuantLibXL 1.3.0 - MS VC++ 9.0 - Multithreaded Static Runtime library - Release Configuration - Dec  5 2013 11:03:51</v>
      </c>
    </row>
    <row r="2" spans="1:5" s="1" customFormat="1" ht="15.75" x14ac:dyDescent="0.25">
      <c r="A2" s="23"/>
      <c r="B2" s="455" t="s">
        <v>150</v>
      </c>
      <c r="C2" s="456"/>
      <c r="D2" s="456"/>
      <c r="E2" s="457"/>
    </row>
    <row r="3" spans="1:5" s="1" customFormat="1" ht="12.75" x14ac:dyDescent="0.2">
      <c r="A3" s="23"/>
      <c r="B3" s="9"/>
      <c r="C3" s="13"/>
      <c r="D3" s="13"/>
      <c r="E3" s="5"/>
    </row>
    <row r="4" spans="1:5" s="1" customFormat="1" ht="12.75" x14ac:dyDescent="0.2">
      <c r="A4" s="23"/>
      <c r="B4" s="9"/>
      <c r="C4" s="16" t="s">
        <v>31</v>
      </c>
      <c r="D4" s="15"/>
      <c r="E4" s="14"/>
    </row>
    <row r="5" spans="1:5" s="1" customFormat="1" ht="12.75" x14ac:dyDescent="0.2">
      <c r="A5" s="23"/>
      <c r="B5" s="9"/>
      <c r="C5" s="16" t="s">
        <v>30</v>
      </c>
      <c r="D5" s="15" t="b">
        <v>1</v>
      </c>
      <c r="E5" s="14"/>
    </row>
    <row r="6" spans="1:5" s="1" customFormat="1" ht="12.75" x14ac:dyDescent="0.2">
      <c r="A6" s="23"/>
      <c r="B6" s="9"/>
      <c r="C6" s="16" t="s">
        <v>29</v>
      </c>
      <c r="D6" s="15" t="b">
        <v>0</v>
      </c>
      <c r="E6" s="14"/>
    </row>
    <row r="7" spans="1:5" s="1" customFormat="1" ht="12.75" x14ac:dyDescent="0.2">
      <c r="A7" s="23"/>
      <c r="B7" s="9"/>
      <c r="C7" s="16" t="s">
        <v>28</v>
      </c>
      <c r="D7" s="15" t="b">
        <v>1</v>
      </c>
      <c r="E7" s="14"/>
    </row>
    <row r="8" spans="1:5" s="1" customFormat="1" ht="12.75" x14ac:dyDescent="0.2">
      <c r="A8" s="23"/>
      <c r="B8" s="9"/>
      <c r="C8" s="16" t="s">
        <v>27</v>
      </c>
      <c r="D8" s="25" t="str">
        <f ca="1">SUBSTITUTE(LEFT(CELL("filename",A1),FIND("[",CELL("filename",A1),1)-1),"\XLS\","\XML\")</f>
        <v>C:\Users\erik\Documents\repos\quantlib_nando\QuantLibXL\Data2\XML\</v>
      </c>
      <c r="E8" s="14"/>
    </row>
    <row r="9" spans="1:5" s="1" customFormat="1" ht="12.75" x14ac:dyDescent="0.2">
      <c r="A9" s="23"/>
      <c r="B9" s="9"/>
      <c r="C9" s="16" t="s">
        <v>26</v>
      </c>
      <c r="D9" s="24" t="b">
        <v>1</v>
      </c>
      <c r="E9" s="14"/>
    </row>
    <row r="10" spans="1:5" s="1" customFormat="1" ht="13.5" thickBot="1" x14ac:dyDescent="0.25">
      <c r="A10" s="23"/>
      <c r="B10" s="4"/>
      <c r="C10" s="3"/>
      <c r="D10" s="3"/>
      <c r="E10" s="2"/>
    </row>
    <row r="11" spans="1:5" ht="12" thickBot="1" x14ac:dyDescent="0.25"/>
    <row r="12" spans="1:5" ht="15.75" x14ac:dyDescent="0.25">
      <c r="B12" s="455" t="s">
        <v>149</v>
      </c>
      <c r="C12" s="456"/>
      <c r="D12" s="456"/>
      <c r="E12" s="457"/>
    </row>
    <row r="13" spans="1:5" x14ac:dyDescent="0.2">
      <c r="B13" s="9"/>
      <c r="C13" s="13"/>
      <c r="D13" s="13"/>
      <c r="E13" s="5"/>
    </row>
    <row r="14" spans="1:5" x14ac:dyDescent="0.2">
      <c r="B14" s="9"/>
      <c r="C14" s="16" t="s">
        <v>25</v>
      </c>
      <c r="D14" s="15" t="s">
        <v>123</v>
      </c>
      <c r="E14" s="14"/>
    </row>
    <row r="15" spans="1:5" x14ac:dyDescent="0.2">
      <c r="B15" s="9"/>
      <c r="C15" s="16" t="s">
        <v>148</v>
      </c>
      <c r="D15" s="24" t="s">
        <v>147</v>
      </c>
      <c r="E15" s="14"/>
    </row>
    <row r="16" spans="1:5" x14ac:dyDescent="0.2">
      <c r="B16" s="9"/>
      <c r="C16" s="16" t="s">
        <v>146</v>
      </c>
      <c r="D16" s="109">
        <v>1E-4</v>
      </c>
      <c r="E16" s="14"/>
    </row>
    <row r="17" spans="2:5" x14ac:dyDescent="0.2">
      <c r="B17" s="9"/>
      <c r="C17" s="16" t="s">
        <v>145</v>
      </c>
      <c r="D17" s="108">
        <v>-0.01</v>
      </c>
      <c r="E17" s="14"/>
    </row>
    <row r="18" spans="2:5" ht="12" thickBot="1" x14ac:dyDescent="0.25">
      <c r="B18" s="4"/>
      <c r="C18" s="3"/>
      <c r="D18" s="3"/>
      <c r="E18" s="2"/>
    </row>
  </sheetData>
  <mergeCells count="2">
    <mergeCell ref="B2:E2"/>
    <mergeCell ref="B12:E12"/>
  </mergeCells>
  <dataValidations count="1">
    <dataValidation type="list" allowBlank="1" showInputMessage="1" showErrorMessage="1" sqref="D14">
      <formula1>"EUR,USD,GBP,JPY,CHF"</formula1>
    </dataValidation>
  </dataValidations>
  <pageMargins left="0.75" right="0.75" top="1" bottom="1" header="0.5" footer="0.5"/>
  <pageSetup paperSize="9" orientation="portrait"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F21"/>
  <sheetViews>
    <sheetView workbookViewId="0"/>
  </sheetViews>
  <sheetFormatPr defaultRowHeight="11.25" x14ac:dyDescent="0.2"/>
  <cols>
    <col min="1" max="1" width="4.42578125" style="74" customWidth="1"/>
    <col min="2" max="2" width="4.42578125" style="74" bestFit="1" customWidth="1"/>
    <col min="3" max="3" width="17.85546875" style="74" bestFit="1" customWidth="1"/>
    <col min="4" max="4" width="16.7109375" style="74" bestFit="1" customWidth="1"/>
    <col min="5" max="5" width="36.85546875" style="74" bestFit="1" customWidth="1"/>
    <col min="6" max="6" width="5" style="74" customWidth="1"/>
    <col min="7" max="16384" width="9.140625" style="74"/>
  </cols>
  <sheetData>
    <row r="1" spans="1:6" x14ac:dyDescent="0.2">
      <c r="A1" s="172" t="s">
        <v>191</v>
      </c>
      <c r="B1" s="120"/>
      <c r="C1" s="120"/>
      <c r="D1" s="120"/>
      <c r="E1" s="120"/>
      <c r="F1" s="119"/>
    </row>
    <row r="2" spans="1:6" ht="21" customHeight="1" x14ac:dyDescent="0.2">
      <c r="A2" s="86"/>
      <c r="B2" s="118"/>
      <c r="C2" s="98" t="str">
        <f>Currency&amp;"_010_"&amp;"Deposits.xml"</f>
        <v>EUR_010_Deposits.xml</v>
      </c>
      <c r="D2" s="117">
        <f ca="1">IF(Serialize,_xll.ohObjectSave(D3:D20,SerializationPath&amp;C2,FileOverwrite,Serialize),"---")</f>
        <v>18</v>
      </c>
      <c r="E2" s="116" t="str">
        <f ca="1">_xll.ohRangeRetrieveError(D2)</f>
        <v/>
      </c>
      <c r="F2" s="112"/>
    </row>
    <row r="3" spans="1:6" x14ac:dyDescent="0.2">
      <c r="A3" s="86"/>
      <c r="B3" s="115" t="s">
        <v>169</v>
      </c>
      <c r="C3" s="114" t="str">
        <f t="shared" ref="C3:C20" si="0">Currency&amp;$B3&amp;QuoteSuffix</f>
        <v>EUROND_Quote</v>
      </c>
      <c r="D3" s="114" t="str">
        <f>_xll.qlSimpleQuote(C3,,RateTickValue,Permanent,Trigger,ObjectOverwrite)</f>
        <v>EUROND_Quote#0002</v>
      </c>
      <c r="E3" s="113" t="str">
        <f>_xll.ohRangeRetrieveError(D3)</f>
        <v/>
      </c>
      <c r="F3" s="112"/>
    </row>
    <row r="4" spans="1:6" x14ac:dyDescent="0.2">
      <c r="A4" s="86"/>
      <c r="B4" s="115" t="s">
        <v>168</v>
      </c>
      <c r="C4" s="114" t="str">
        <f t="shared" si="0"/>
        <v>EURTND_Quote</v>
      </c>
      <c r="D4" s="114" t="str">
        <f>_xll.qlSimpleQuote(C4,,RateTickValue,Permanent,Trigger,ObjectOverwrite)</f>
        <v>EURTND_Quote#0002</v>
      </c>
      <c r="E4" s="113" t="str">
        <f>_xll.ohRangeRetrieveError(D4)</f>
        <v/>
      </c>
      <c r="F4" s="112"/>
    </row>
    <row r="5" spans="1:6" x14ac:dyDescent="0.2">
      <c r="A5" s="86"/>
      <c r="B5" s="115" t="s">
        <v>167</v>
      </c>
      <c r="C5" s="114" t="str">
        <f t="shared" si="0"/>
        <v>EURSND_Quote</v>
      </c>
      <c r="D5" s="114" t="str">
        <f>_xll.qlSimpleQuote(C5,,RateTickValue,Permanent,Trigger,ObjectOverwrite)</f>
        <v>EURSND_Quote#0002</v>
      </c>
      <c r="E5" s="113" t="str">
        <f>_xll.ohRangeRetrieveError(D5)</f>
        <v/>
      </c>
      <c r="F5" s="112"/>
    </row>
    <row r="6" spans="1:6" x14ac:dyDescent="0.2">
      <c r="A6" s="86"/>
      <c r="B6" s="115" t="s">
        <v>166</v>
      </c>
      <c r="C6" s="114" t="str">
        <f t="shared" si="0"/>
        <v>EURSWD_Quote</v>
      </c>
      <c r="D6" s="114" t="str">
        <f>_xll.qlSimpleQuote(C6,,RateTickValue,Permanent,Trigger,ObjectOverwrite)</f>
        <v>EURSWD_Quote#0002</v>
      </c>
      <c r="E6" s="113" t="str">
        <f>_xll.ohRangeRetrieveError(D6)</f>
        <v/>
      </c>
      <c r="F6" s="112"/>
    </row>
    <row r="7" spans="1:6" x14ac:dyDescent="0.2">
      <c r="A7" s="86"/>
      <c r="B7" s="115" t="s">
        <v>165</v>
      </c>
      <c r="C7" s="114" t="str">
        <f t="shared" si="0"/>
        <v>EUR2WD_Quote</v>
      </c>
      <c r="D7" s="114" t="str">
        <f>_xll.qlSimpleQuote(C7,,RateTickValue,Permanent,Trigger,ObjectOverwrite)</f>
        <v>EUR2WD_Quote#0002</v>
      </c>
      <c r="E7" s="113" t="str">
        <f>_xll.ohRangeRetrieveError(D7)</f>
        <v/>
      </c>
      <c r="F7" s="112"/>
    </row>
    <row r="8" spans="1:6" x14ac:dyDescent="0.2">
      <c r="A8" s="86"/>
      <c r="B8" s="115" t="s">
        <v>164</v>
      </c>
      <c r="C8" s="114" t="str">
        <f t="shared" si="0"/>
        <v>EUR3WD_Quote</v>
      </c>
      <c r="D8" s="114" t="str">
        <f>_xll.qlSimpleQuote(C8,,RateTickValue,Permanent,Trigger,ObjectOverwrite)</f>
        <v>EUR3WD_Quote#0002</v>
      </c>
      <c r="E8" s="113" t="str">
        <f>_xll.ohRangeRetrieveError(D8)</f>
        <v/>
      </c>
      <c r="F8" s="112"/>
    </row>
    <row r="9" spans="1:6" x14ac:dyDescent="0.2">
      <c r="A9" s="86"/>
      <c r="B9" s="115" t="s">
        <v>163</v>
      </c>
      <c r="C9" s="114" t="str">
        <f t="shared" si="0"/>
        <v>EUR1MD_Quote</v>
      </c>
      <c r="D9" s="114" t="str">
        <f>_xll.qlSimpleQuote(C9,,RateTickValue,Permanent,Trigger,ObjectOverwrite)</f>
        <v>EUR1MD_Quote#0002</v>
      </c>
      <c r="E9" s="113" t="str">
        <f>_xll.ohRangeRetrieveError(D9)</f>
        <v/>
      </c>
      <c r="F9" s="112"/>
    </row>
    <row r="10" spans="1:6" x14ac:dyDescent="0.2">
      <c r="A10" s="86"/>
      <c r="B10" s="115" t="s">
        <v>162</v>
      </c>
      <c r="C10" s="114" t="str">
        <f t="shared" si="0"/>
        <v>EUR2MD_Quote</v>
      </c>
      <c r="D10" s="114" t="str">
        <f>_xll.qlSimpleQuote(C10,,RateTickValue,Permanent,Trigger,ObjectOverwrite)</f>
        <v>EUR2MD_Quote#0002</v>
      </c>
      <c r="E10" s="113" t="str">
        <f>_xll.ohRangeRetrieveError(D10)</f>
        <v/>
      </c>
      <c r="F10" s="112"/>
    </row>
    <row r="11" spans="1:6" x14ac:dyDescent="0.2">
      <c r="A11" s="86"/>
      <c r="B11" s="115" t="s">
        <v>161</v>
      </c>
      <c r="C11" s="114" t="str">
        <f t="shared" si="0"/>
        <v>EUR3MD_Quote</v>
      </c>
      <c r="D11" s="114" t="str">
        <f>_xll.qlSimpleQuote(C11,,RateTickValue,Permanent,Trigger,ObjectOverwrite)</f>
        <v>EUR3MD_Quote#0002</v>
      </c>
      <c r="E11" s="113" t="str">
        <f>_xll.ohRangeRetrieveError(D11)</f>
        <v/>
      </c>
      <c r="F11" s="112"/>
    </row>
    <row r="12" spans="1:6" x14ac:dyDescent="0.2">
      <c r="A12" s="86"/>
      <c r="B12" s="115" t="s">
        <v>160</v>
      </c>
      <c r="C12" s="114" t="str">
        <f t="shared" si="0"/>
        <v>EUR4MD_Quote</v>
      </c>
      <c r="D12" s="114" t="str">
        <f>_xll.qlSimpleQuote(C12,,RateTickValue,Permanent,Trigger,ObjectOverwrite)</f>
        <v>EUR4MD_Quote#0002</v>
      </c>
      <c r="E12" s="113" t="str">
        <f>_xll.ohRangeRetrieveError(D12)</f>
        <v/>
      </c>
      <c r="F12" s="112"/>
    </row>
    <row r="13" spans="1:6" x14ac:dyDescent="0.2">
      <c r="A13" s="86"/>
      <c r="B13" s="115" t="s">
        <v>159</v>
      </c>
      <c r="C13" s="114" t="str">
        <f t="shared" si="0"/>
        <v>EUR5MD_Quote</v>
      </c>
      <c r="D13" s="114" t="str">
        <f>_xll.qlSimpleQuote(C13,,RateTickValue,Permanent,Trigger,ObjectOverwrite)</f>
        <v>EUR5MD_Quote#0002</v>
      </c>
      <c r="E13" s="113" t="str">
        <f>_xll.ohRangeRetrieveError(D13)</f>
        <v/>
      </c>
      <c r="F13" s="112"/>
    </row>
    <row r="14" spans="1:6" x14ac:dyDescent="0.2">
      <c r="A14" s="86"/>
      <c r="B14" s="115" t="s">
        <v>158</v>
      </c>
      <c r="C14" s="114" t="str">
        <f t="shared" si="0"/>
        <v>EUR6MD_Quote</v>
      </c>
      <c r="D14" s="114" t="str">
        <f>_xll.qlSimpleQuote(C14,,RateTickValue,Permanent,Trigger,ObjectOverwrite)</f>
        <v>EUR6MD_Quote#0002</v>
      </c>
      <c r="E14" s="113" t="str">
        <f>_xll.ohRangeRetrieveError(D14)</f>
        <v/>
      </c>
      <c r="F14" s="112"/>
    </row>
    <row r="15" spans="1:6" x14ac:dyDescent="0.2">
      <c r="A15" s="86"/>
      <c r="B15" s="115" t="s">
        <v>157</v>
      </c>
      <c r="C15" s="114" t="str">
        <f t="shared" si="0"/>
        <v>EUR7MD_Quote</v>
      </c>
      <c r="D15" s="114" t="str">
        <f>_xll.qlSimpleQuote(C15,,RateTickValue,Permanent,Trigger,ObjectOverwrite)</f>
        <v>EUR7MD_Quote#0002</v>
      </c>
      <c r="E15" s="113" t="str">
        <f>_xll.ohRangeRetrieveError(D15)</f>
        <v/>
      </c>
      <c r="F15" s="112"/>
    </row>
    <row r="16" spans="1:6" x14ac:dyDescent="0.2">
      <c r="A16" s="86"/>
      <c r="B16" s="115" t="s">
        <v>156</v>
      </c>
      <c r="C16" s="114" t="str">
        <f t="shared" si="0"/>
        <v>EUR8MD_Quote</v>
      </c>
      <c r="D16" s="114" t="str">
        <f>_xll.qlSimpleQuote(C16,,RateTickValue,Permanent,Trigger,ObjectOverwrite)</f>
        <v>EUR8MD_Quote#0002</v>
      </c>
      <c r="E16" s="113" t="str">
        <f>_xll.ohRangeRetrieveError(D16)</f>
        <v/>
      </c>
      <c r="F16" s="112"/>
    </row>
    <row r="17" spans="1:6" x14ac:dyDescent="0.2">
      <c r="A17" s="86"/>
      <c r="B17" s="115" t="s">
        <v>155</v>
      </c>
      <c r="C17" s="114" t="str">
        <f t="shared" si="0"/>
        <v>EUR9MD_Quote</v>
      </c>
      <c r="D17" s="114" t="str">
        <f>_xll.qlSimpleQuote(C17,,RateTickValue,Permanent,Trigger,ObjectOverwrite)</f>
        <v>EUR9MD_Quote#0002</v>
      </c>
      <c r="E17" s="113" t="str">
        <f>_xll.ohRangeRetrieveError(D17)</f>
        <v/>
      </c>
      <c r="F17" s="112"/>
    </row>
    <row r="18" spans="1:6" x14ac:dyDescent="0.2">
      <c r="A18" s="86"/>
      <c r="B18" s="115" t="s">
        <v>154</v>
      </c>
      <c r="C18" s="114" t="str">
        <f t="shared" si="0"/>
        <v>EUR10MD_Quote</v>
      </c>
      <c r="D18" s="114" t="str">
        <f>_xll.qlSimpleQuote(C18,,RateTickValue,Permanent,Trigger,ObjectOverwrite)</f>
        <v>EUR10MD_Quote#0002</v>
      </c>
      <c r="E18" s="113" t="str">
        <f>_xll.ohRangeRetrieveError(D18)</f>
        <v/>
      </c>
      <c r="F18" s="112"/>
    </row>
    <row r="19" spans="1:6" x14ac:dyDescent="0.2">
      <c r="A19" s="86"/>
      <c r="B19" s="115" t="s">
        <v>153</v>
      </c>
      <c r="C19" s="114" t="str">
        <f t="shared" si="0"/>
        <v>EUR11MD_Quote</v>
      </c>
      <c r="D19" s="114" t="str">
        <f>_xll.qlSimpleQuote(C19,,RateTickValue,Permanent,Trigger,ObjectOverwrite)</f>
        <v>EUR11MD_Quote#0002</v>
      </c>
      <c r="E19" s="113" t="str">
        <f>_xll.ohRangeRetrieveError(D19)</f>
        <v/>
      </c>
      <c r="F19" s="112"/>
    </row>
    <row r="20" spans="1:6" x14ac:dyDescent="0.2">
      <c r="A20" s="86"/>
      <c r="B20" s="115" t="s">
        <v>152</v>
      </c>
      <c r="C20" s="114" t="str">
        <f t="shared" si="0"/>
        <v>EUR1YD_Quote</v>
      </c>
      <c r="D20" s="114" t="str">
        <f>_xll.qlSimpleQuote(C20,,RateTickValue,Permanent,Trigger,ObjectOverwrite)</f>
        <v>EUR1YD_Quote#0002</v>
      </c>
      <c r="E20" s="113" t="str">
        <f>_xll.ohRangeRetrieveError(D20)</f>
        <v/>
      </c>
      <c r="F20" s="112"/>
    </row>
    <row r="21" spans="1:6" x14ac:dyDescent="0.2">
      <c r="A21" s="79"/>
      <c r="B21" s="78"/>
      <c r="C21" s="78"/>
      <c r="D21" s="78"/>
      <c r="E21" s="78"/>
      <c r="F21" s="76"/>
    </row>
  </sheetData>
  <pageMargins left="0.75" right="0.75" top="1" bottom="1" header="0.5" footer="0.5"/>
  <pageSetup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G36"/>
  <sheetViews>
    <sheetView workbookViewId="0"/>
  </sheetViews>
  <sheetFormatPr defaultRowHeight="12.75" x14ac:dyDescent="0.2"/>
  <cols>
    <col min="1" max="1" width="4.28515625" style="20" customWidth="1"/>
    <col min="2" max="2" width="5.85546875" style="20" bestFit="1" customWidth="1"/>
    <col min="3" max="3" width="4.42578125" style="20" bestFit="1" customWidth="1"/>
    <col min="4" max="4" width="15.5703125" style="123" bestFit="1" customWidth="1"/>
    <col min="5" max="5" width="20" style="20" bestFit="1" customWidth="1"/>
    <col min="6" max="6" width="57.42578125" style="122" customWidth="1"/>
    <col min="7" max="7" width="4.28515625" style="20" customWidth="1"/>
    <col min="8" max="8" width="4.42578125" style="20" customWidth="1"/>
    <col min="9" max="16384" width="9.140625" style="20"/>
  </cols>
  <sheetData>
    <row r="1" spans="1:7" x14ac:dyDescent="0.2">
      <c r="A1" s="172" t="s">
        <v>191</v>
      </c>
      <c r="B1" s="145"/>
      <c r="C1" s="145"/>
      <c r="D1" s="20"/>
      <c r="E1" s="122"/>
      <c r="F1" s="20"/>
      <c r="G1" s="54"/>
    </row>
    <row r="2" spans="1:7" ht="24" customHeight="1" x14ac:dyDescent="0.2">
      <c r="A2" s="130"/>
      <c r="B2" s="144"/>
      <c r="C2" s="143"/>
      <c r="D2" s="142" t="str">
        <f>Currency&amp;"_010_"&amp;"FRA.xml"</f>
        <v>EUR_010_FRA.xml</v>
      </c>
      <c r="E2" s="141">
        <f ca="1">IF(Serialize,_xll.ohObjectSave(E3:E35,SerializationPath&amp;D2,FileOverwrite,Serialize),"---")</f>
        <v>33</v>
      </c>
      <c r="F2" s="140" t="str">
        <f ca="1">_xll.ohRangeRetrieveError(E2)</f>
        <v/>
      </c>
      <c r="G2" s="54"/>
    </row>
    <row r="3" spans="1:7" x14ac:dyDescent="0.2">
      <c r="A3" s="130"/>
      <c r="B3" s="134" t="s">
        <v>185</v>
      </c>
      <c r="C3" s="135" t="s">
        <v>171</v>
      </c>
      <c r="D3" s="134" t="str">
        <f t="shared" ref="D3:D35" si="0">Currency&amp;$B3&amp;$C3&amp;QuoteSuffix</f>
        <v>EURT1F1_Quote</v>
      </c>
      <c r="E3" s="133" t="str">
        <f>_xll.qlSimpleQuote(D3,,RateTickValue,Permanent,Trigger,ObjectOverwrite)</f>
        <v>EURT1F1_Quote#0002</v>
      </c>
      <c r="F3" s="132" t="str">
        <f>_xll.ohRangeRetrieveError(E3)</f>
        <v/>
      </c>
      <c r="G3" s="54"/>
    </row>
    <row r="4" spans="1:7" x14ac:dyDescent="0.2">
      <c r="A4" s="130"/>
      <c r="B4" s="127" t="s">
        <v>184</v>
      </c>
      <c r="C4" s="131" t="s">
        <v>171</v>
      </c>
      <c r="D4" s="127" t="str">
        <f t="shared" si="0"/>
        <v>EURTOM1F1_Quote</v>
      </c>
      <c r="E4" s="126" t="str">
        <f>_xll.qlSimpleQuote(D4,,RateTickValue,Permanent,Trigger,ObjectOverwrite)</f>
        <v>EURTOM1F1_Quote#0002</v>
      </c>
      <c r="F4" s="125" t="str">
        <f>_xll.ohRangeRetrieveError(E4)</f>
        <v/>
      </c>
      <c r="G4" s="54"/>
    </row>
    <row r="5" spans="1:7" x14ac:dyDescent="0.2">
      <c r="A5" s="130"/>
      <c r="B5" s="134" t="s">
        <v>183</v>
      </c>
      <c r="C5" s="135" t="s">
        <v>171</v>
      </c>
      <c r="D5" s="134" t="str">
        <f t="shared" si="0"/>
        <v>EURT3F1_Quote</v>
      </c>
      <c r="E5" s="133" t="str">
        <f>_xll.qlSimpleQuote(D5,,RateTickValue,Permanent,Trigger,ObjectOverwrite)</f>
        <v>EURT3F1_Quote#0002</v>
      </c>
      <c r="F5" s="132" t="str">
        <f>_xll.ohRangeRetrieveError(E5)</f>
        <v/>
      </c>
      <c r="G5" s="54"/>
    </row>
    <row r="6" spans="1:7" x14ac:dyDescent="0.2">
      <c r="A6" s="130"/>
      <c r="B6" s="127" t="s">
        <v>182</v>
      </c>
      <c r="C6" s="131" t="s">
        <v>171</v>
      </c>
      <c r="D6" s="127" t="str">
        <f t="shared" si="0"/>
        <v>EURTOM3F1_Quote</v>
      </c>
      <c r="E6" s="126" t="str">
        <f>_xll.qlSimpleQuote(D6,,RateTickValue,Permanent,Trigger,ObjectOverwrite)</f>
        <v>EURTOM3F1_Quote#0002</v>
      </c>
      <c r="F6" s="125" t="str">
        <f>_xll.ohRangeRetrieveError(E6)</f>
        <v/>
      </c>
      <c r="G6" s="54"/>
    </row>
    <row r="7" spans="1:7" x14ac:dyDescent="0.2">
      <c r="A7" s="130"/>
      <c r="B7" s="134">
        <v>1</v>
      </c>
      <c r="C7" s="135" t="s">
        <v>181</v>
      </c>
      <c r="D7" s="134" t="str">
        <f t="shared" si="0"/>
        <v>EUR1x4F_Quote</v>
      </c>
      <c r="E7" s="133" t="str">
        <f>_xll.qlSimpleQuote(D7,,RateTickValue,Permanent,Trigger,ObjectOverwrite)</f>
        <v>EUR1x4F_Quote#0002</v>
      </c>
      <c r="F7" s="132" t="str">
        <f>_xll.ohRangeRetrieveError(E7)</f>
        <v/>
      </c>
      <c r="G7" s="54"/>
    </row>
    <row r="8" spans="1:7" x14ac:dyDescent="0.2">
      <c r="A8" s="130"/>
      <c r="B8" s="138">
        <v>2</v>
      </c>
      <c r="C8" s="139" t="s">
        <v>180</v>
      </c>
      <c r="D8" s="138" t="str">
        <f t="shared" si="0"/>
        <v>EUR2x5F_Quote</v>
      </c>
      <c r="E8" s="137" t="str">
        <f>_xll.qlSimpleQuote(D8,,RateTickValue,Permanent,Trigger,ObjectOverwrite)</f>
        <v>EUR2x5F_Quote#0002</v>
      </c>
      <c r="F8" s="136" t="str">
        <f>_xll.ohRangeRetrieveError(E8)</f>
        <v/>
      </c>
      <c r="G8" s="54"/>
    </row>
    <row r="9" spans="1:7" x14ac:dyDescent="0.2">
      <c r="A9" s="130"/>
      <c r="B9" s="138">
        <v>3</v>
      </c>
      <c r="C9" s="139" t="s">
        <v>179</v>
      </c>
      <c r="D9" s="138" t="str">
        <f t="shared" si="0"/>
        <v>EUR3x6F_Quote</v>
      </c>
      <c r="E9" s="137" t="str">
        <f>_xll.qlSimpleQuote(D9,,RateTickValue,Permanent,Trigger,ObjectOverwrite)</f>
        <v>EUR3x6F_Quote#0002</v>
      </c>
      <c r="F9" s="136" t="str">
        <f>_xll.ohRangeRetrieveError(E9)</f>
        <v/>
      </c>
      <c r="G9" s="54"/>
    </row>
    <row r="10" spans="1:7" x14ac:dyDescent="0.2">
      <c r="A10" s="130"/>
      <c r="B10" s="138">
        <v>4</v>
      </c>
      <c r="C10" s="139" t="s">
        <v>178</v>
      </c>
      <c r="D10" s="138" t="str">
        <f t="shared" si="0"/>
        <v>EUR4x7F_Quote</v>
      </c>
      <c r="E10" s="137" t="str">
        <f>_xll.qlSimpleQuote(D10,,RateTickValue,Permanent,Trigger,ObjectOverwrite)</f>
        <v>EUR4x7F_Quote#0002</v>
      </c>
      <c r="F10" s="136" t="str">
        <f>_xll.ohRangeRetrieveError(E10)</f>
        <v/>
      </c>
      <c r="G10" s="54"/>
    </row>
    <row r="11" spans="1:7" x14ac:dyDescent="0.2">
      <c r="A11" s="130"/>
      <c r="B11" s="138">
        <v>5</v>
      </c>
      <c r="C11" s="139" t="s">
        <v>177</v>
      </c>
      <c r="D11" s="138" t="str">
        <f t="shared" si="0"/>
        <v>EUR5x8F_Quote</v>
      </c>
      <c r="E11" s="137" t="str">
        <f>_xll.qlSimpleQuote(D11,,RateTickValue,Permanent,Trigger,ObjectOverwrite)</f>
        <v>EUR5x8F_Quote#0002</v>
      </c>
      <c r="F11" s="136" t="str">
        <f>_xll.ohRangeRetrieveError(E11)</f>
        <v/>
      </c>
      <c r="G11" s="54"/>
    </row>
    <row r="12" spans="1:7" x14ac:dyDescent="0.2">
      <c r="A12" s="130"/>
      <c r="B12" s="127">
        <v>6</v>
      </c>
      <c r="C12" s="131" t="s">
        <v>176</v>
      </c>
      <c r="D12" s="127" t="str">
        <f t="shared" si="0"/>
        <v>EUR6x9F_Quote</v>
      </c>
      <c r="E12" s="126" t="str">
        <f>_xll.qlSimpleQuote(D12,,RateTickValue,Permanent,Trigger,ObjectOverwrite)</f>
        <v>EUR6x9F_Quote#0002</v>
      </c>
      <c r="F12" s="125" t="str">
        <f>_xll.ohRangeRetrieveError(E12)</f>
        <v/>
      </c>
      <c r="G12" s="54"/>
    </row>
    <row r="13" spans="1:7" x14ac:dyDescent="0.2">
      <c r="A13" s="130"/>
      <c r="B13" s="134" t="s">
        <v>175</v>
      </c>
      <c r="C13" s="135" t="s">
        <v>171</v>
      </c>
      <c r="D13" s="134" t="str">
        <f t="shared" si="0"/>
        <v>EURT6F1_Quote</v>
      </c>
      <c r="E13" s="133" t="str">
        <f>_xll.qlSimpleQuote(D13,,RateTickValue,Permanent,Trigger,ObjectOverwrite)</f>
        <v>EURT6F1_Quote#0002</v>
      </c>
      <c r="F13" s="132" t="str">
        <f>_xll.ohRangeRetrieveError(E13)</f>
        <v/>
      </c>
      <c r="G13" s="54"/>
    </row>
    <row r="14" spans="1:7" x14ac:dyDescent="0.2">
      <c r="A14" s="130"/>
      <c r="B14" s="127" t="s">
        <v>174</v>
      </c>
      <c r="C14" s="131" t="s">
        <v>171</v>
      </c>
      <c r="D14" s="127" t="str">
        <f t="shared" si="0"/>
        <v>EURTOM6F1_Quote</v>
      </c>
      <c r="E14" s="126" t="str">
        <f>_xll.qlSimpleQuote(D14,,RateTickValue,Permanent,Trigger,ObjectOverwrite)</f>
        <v>EURTOM6F1_Quote#0002</v>
      </c>
      <c r="F14" s="125" t="str">
        <f>_xll.ohRangeRetrieveError(E14)</f>
        <v/>
      </c>
      <c r="G14" s="54"/>
    </row>
    <row r="15" spans="1:7" x14ac:dyDescent="0.2">
      <c r="A15" s="130"/>
      <c r="B15" s="138">
        <v>1</v>
      </c>
      <c r="C15" s="139" t="str">
        <f t="shared" ref="C15:C32" si="1">"x"&amp;B15+6&amp;"F"</f>
        <v>x7F</v>
      </c>
      <c r="D15" s="138" t="str">
        <f t="shared" si="0"/>
        <v>EUR1x7F_Quote</v>
      </c>
      <c r="E15" s="137" t="str">
        <f>_xll.qlSimpleQuote(D15,,RateTickValue,Permanent,Trigger,ObjectOverwrite)</f>
        <v>EUR1x7F_Quote#0002</v>
      </c>
      <c r="F15" s="136" t="str">
        <f>_xll.ohRangeRetrieveError(E15)</f>
        <v/>
      </c>
      <c r="G15" s="54"/>
    </row>
    <row r="16" spans="1:7" x14ac:dyDescent="0.2">
      <c r="A16" s="130"/>
      <c r="B16" s="138">
        <v>2</v>
      </c>
      <c r="C16" s="139" t="str">
        <f t="shared" si="1"/>
        <v>x8F</v>
      </c>
      <c r="D16" s="138" t="str">
        <f t="shared" si="0"/>
        <v>EUR2x8F_Quote</v>
      </c>
      <c r="E16" s="137" t="str">
        <f>_xll.qlSimpleQuote(D16,,RateTickValue,Permanent,Trigger,ObjectOverwrite)</f>
        <v>EUR2x8F_Quote#0002</v>
      </c>
      <c r="F16" s="136" t="str">
        <f>_xll.ohRangeRetrieveError(E16)</f>
        <v/>
      </c>
      <c r="G16" s="54"/>
    </row>
    <row r="17" spans="1:7" x14ac:dyDescent="0.2">
      <c r="A17" s="130"/>
      <c r="B17" s="138">
        <v>3</v>
      </c>
      <c r="C17" s="139" t="str">
        <f t="shared" si="1"/>
        <v>x9F</v>
      </c>
      <c r="D17" s="138" t="str">
        <f t="shared" si="0"/>
        <v>EUR3x9F_Quote</v>
      </c>
      <c r="E17" s="137" t="str">
        <f>_xll.qlSimpleQuote(D17,,RateTickValue,Permanent,Trigger,ObjectOverwrite)</f>
        <v>EUR3x9F_Quote#0002</v>
      </c>
      <c r="F17" s="136" t="str">
        <f>_xll.ohRangeRetrieveError(E17)</f>
        <v/>
      </c>
      <c r="G17" s="54"/>
    </row>
    <row r="18" spans="1:7" x14ac:dyDescent="0.2">
      <c r="A18" s="130"/>
      <c r="B18" s="138">
        <v>4</v>
      </c>
      <c r="C18" s="139" t="str">
        <f t="shared" si="1"/>
        <v>x10F</v>
      </c>
      <c r="D18" s="138" t="str">
        <f t="shared" si="0"/>
        <v>EUR4x10F_Quote</v>
      </c>
      <c r="E18" s="137" t="str">
        <f>_xll.qlSimpleQuote(D18,,RateTickValue,Permanent,Trigger,ObjectOverwrite)</f>
        <v>EUR4x10F_Quote#0002</v>
      </c>
      <c r="F18" s="136" t="str">
        <f>_xll.ohRangeRetrieveError(E18)</f>
        <v/>
      </c>
      <c r="G18" s="54"/>
    </row>
    <row r="19" spans="1:7" x14ac:dyDescent="0.2">
      <c r="A19" s="130"/>
      <c r="B19" s="138">
        <v>5</v>
      </c>
      <c r="C19" s="139" t="str">
        <f t="shared" si="1"/>
        <v>x11F</v>
      </c>
      <c r="D19" s="138" t="str">
        <f t="shared" si="0"/>
        <v>EUR5x11F_Quote</v>
      </c>
      <c r="E19" s="137" t="str">
        <f>_xll.qlSimpleQuote(D19,,RateTickValue,Permanent,Trigger,ObjectOverwrite)</f>
        <v>EUR5x11F_Quote#0002</v>
      </c>
      <c r="F19" s="136" t="str">
        <f>_xll.ohRangeRetrieveError(E19)</f>
        <v/>
      </c>
      <c r="G19" s="54"/>
    </row>
    <row r="20" spans="1:7" x14ac:dyDescent="0.2">
      <c r="A20" s="130"/>
      <c r="B20" s="138">
        <v>6</v>
      </c>
      <c r="C20" s="139" t="str">
        <f t="shared" si="1"/>
        <v>x12F</v>
      </c>
      <c r="D20" s="138" t="str">
        <f t="shared" si="0"/>
        <v>EUR6x12F_Quote</v>
      </c>
      <c r="E20" s="137" t="str">
        <f>_xll.qlSimpleQuote(D20,,RateTickValue,Permanent,Trigger,ObjectOverwrite)</f>
        <v>EUR6x12F_Quote#0002</v>
      </c>
      <c r="F20" s="136" t="str">
        <f>_xll.ohRangeRetrieveError(E20)</f>
        <v/>
      </c>
      <c r="G20" s="54"/>
    </row>
    <row r="21" spans="1:7" x14ac:dyDescent="0.2">
      <c r="A21" s="130"/>
      <c r="B21" s="138">
        <v>7</v>
      </c>
      <c r="C21" s="139" t="str">
        <f t="shared" si="1"/>
        <v>x13F</v>
      </c>
      <c r="D21" s="138" t="str">
        <f t="shared" si="0"/>
        <v>EUR7x13F_Quote</v>
      </c>
      <c r="E21" s="137" t="str">
        <f>_xll.qlSimpleQuote(D21,,RateTickValue,Permanent,Trigger,ObjectOverwrite)</f>
        <v>EUR7x13F_Quote#0002</v>
      </c>
      <c r="F21" s="136" t="str">
        <f>_xll.ohRangeRetrieveError(E21)</f>
        <v/>
      </c>
      <c r="G21" s="54"/>
    </row>
    <row r="22" spans="1:7" x14ac:dyDescent="0.2">
      <c r="A22" s="130"/>
      <c r="B22" s="138">
        <v>8</v>
      </c>
      <c r="C22" s="139" t="str">
        <f t="shared" si="1"/>
        <v>x14F</v>
      </c>
      <c r="D22" s="138" t="str">
        <f t="shared" si="0"/>
        <v>EUR8x14F_Quote</v>
      </c>
      <c r="E22" s="137" t="str">
        <f>_xll.qlSimpleQuote(D22,,RateTickValue,Permanent,Trigger,ObjectOverwrite)</f>
        <v>EUR8x14F_Quote#0002</v>
      </c>
      <c r="F22" s="136" t="str">
        <f>_xll.ohRangeRetrieveError(E22)</f>
        <v/>
      </c>
      <c r="G22" s="54"/>
    </row>
    <row r="23" spans="1:7" x14ac:dyDescent="0.2">
      <c r="A23" s="130"/>
      <c r="B23" s="138">
        <v>9</v>
      </c>
      <c r="C23" s="139" t="str">
        <f t="shared" si="1"/>
        <v>x15F</v>
      </c>
      <c r="D23" s="138" t="str">
        <f t="shared" si="0"/>
        <v>EUR9x15F_Quote</v>
      </c>
      <c r="E23" s="137" t="str">
        <f>_xll.qlSimpleQuote(D23,,RateTickValue,Permanent,Trigger,ObjectOverwrite)</f>
        <v>EUR9x15F_Quote#0002</v>
      </c>
      <c r="F23" s="136" t="str">
        <f>_xll.ohRangeRetrieveError(E23)</f>
        <v/>
      </c>
      <c r="G23" s="54"/>
    </row>
    <row r="24" spans="1:7" x14ac:dyDescent="0.2">
      <c r="A24" s="130"/>
      <c r="B24" s="138">
        <v>10</v>
      </c>
      <c r="C24" s="139" t="str">
        <f t="shared" si="1"/>
        <v>x16F</v>
      </c>
      <c r="D24" s="138" t="str">
        <f t="shared" si="0"/>
        <v>EUR10x16F_Quote</v>
      </c>
      <c r="E24" s="137" t="str">
        <f>_xll.qlSimpleQuote(D24,,RateTickValue,Permanent,Trigger,ObjectOverwrite)</f>
        <v>EUR10x16F_Quote#0002</v>
      </c>
      <c r="F24" s="136" t="str">
        <f>_xll.ohRangeRetrieveError(E24)</f>
        <v/>
      </c>
      <c r="G24" s="54"/>
    </row>
    <row r="25" spans="1:7" x14ac:dyDescent="0.2">
      <c r="A25" s="130"/>
      <c r="B25" s="138">
        <v>11</v>
      </c>
      <c r="C25" s="139" t="str">
        <f t="shared" si="1"/>
        <v>x17F</v>
      </c>
      <c r="D25" s="138" t="str">
        <f t="shared" si="0"/>
        <v>EUR11x17F_Quote</v>
      </c>
      <c r="E25" s="137" t="str">
        <f>_xll.qlSimpleQuote(D25,,RateTickValue,Permanent,Trigger,ObjectOverwrite)</f>
        <v>EUR11x17F_Quote#0002</v>
      </c>
      <c r="F25" s="136" t="str">
        <f>_xll.ohRangeRetrieveError(E25)</f>
        <v/>
      </c>
      <c r="G25" s="54"/>
    </row>
    <row r="26" spans="1:7" x14ac:dyDescent="0.2">
      <c r="A26" s="130"/>
      <c r="B26" s="138">
        <v>12</v>
      </c>
      <c r="C26" s="139" t="str">
        <f t="shared" si="1"/>
        <v>x18F</v>
      </c>
      <c r="D26" s="138" t="str">
        <f t="shared" si="0"/>
        <v>EUR12x18F_Quote</v>
      </c>
      <c r="E26" s="137" t="str">
        <f>_xll.qlSimpleQuote(D26,,RateTickValue,Permanent,Trigger,ObjectOverwrite)</f>
        <v>EUR12x18F_Quote#0002</v>
      </c>
      <c r="F26" s="136" t="str">
        <f>_xll.ohRangeRetrieveError(E26)</f>
        <v/>
      </c>
      <c r="G26" s="54"/>
    </row>
    <row r="27" spans="1:7" x14ac:dyDescent="0.2">
      <c r="A27" s="130"/>
      <c r="B27" s="138">
        <v>13</v>
      </c>
      <c r="C27" s="139" t="str">
        <f t="shared" si="1"/>
        <v>x19F</v>
      </c>
      <c r="D27" s="138" t="str">
        <f t="shared" si="0"/>
        <v>EUR13x19F_Quote</v>
      </c>
      <c r="E27" s="137" t="str">
        <f>_xll.qlSimpleQuote(D27,,RateTickValue,Permanent,Trigger,ObjectOverwrite)</f>
        <v>EUR13x19F_Quote#0002</v>
      </c>
      <c r="F27" s="136" t="str">
        <f>_xll.ohRangeRetrieveError(E27)</f>
        <v/>
      </c>
      <c r="G27" s="54"/>
    </row>
    <row r="28" spans="1:7" x14ac:dyDescent="0.2">
      <c r="A28" s="130"/>
      <c r="B28" s="138">
        <v>14</v>
      </c>
      <c r="C28" s="139" t="str">
        <f t="shared" si="1"/>
        <v>x20F</v>
      </c>
      <c r="D28" s="138" t="str">
        <f t="shared" si="0"/>
        <v>EUR14x20F_Quote</v>
      </c>
      <c r="E28" s="137" t="str">
        <f>_xll.qlSimpleQuote(D28,,RateTickValue,Permanent,Trigger,ObjectOverwrite)</f>
        <v>EUR14x20F_Quote#0002</v>
      </c>
      <c r="F28" s="136" t="str">
        <f>_xll.ohRangeRetrieveError(E28)</f>
        <v/>
      </c>
      <c r="G28" s="54"/>
    </row>
    <row r="29" spans="1:7" x14ac:dyDescent="0.2">
      <c r="A29" s="130"/>
      <c r="B29" s="138">
        <v>15</v>
      </c>
      <c r="C29" s="139" t="str">
        <f t="shared" si="1"/>
        <v>x21F</v>
      </c>
      <c r="D29" s="138" t="str">
        <f t="shared" si="0"/>
        <v>EUR15x21F_Quote</v>
      </c>
      <c r="E29" s="137" t="str">
        <f>_xll.qlSimpleQuote(D29,,RateTickValue,Permanent,Trigger,ObjectOverwrite)</f>
        <v>EUR15x21F_Quote#0002</v>
      </c>
      <c r="F29" s="136" t="str">
        <f>_xll.ohRangeRetrieveError(E29)</f>
        <v/>
      </c>
      <c r="G29" s="54"/>
    </row>
    <row r="30" spans="1:7" x14ac:dyDescent="0.2">
      <c r="A30" s="130"/>
      <c r="B30" s="138">
        <v>16</v>
      </c>
      <c r="C30" s="139" t="str">
        <f t="shared" si="1"/>
        <v>x22F</v>
      </c>
      <c r="D30" s="138" t="str">
        <f t="shared" si="0"/>
        <v>EUR16x22F_Quote</v>
      </c>
      <c r="E30" s="137" t="str">
        <f>_xll.qlSimpleQuote(D30,,RateTickValue,Permanent,Trigger,ObjectOverwrite)</f>
        <v>EUR16x22F_Quote#0002</v>
      </c>
      <c r="F30" s="136" t="str">
        <f>_xll.ohRangeRetrieveError(E30)</f>
        <v/>
      </c>
      <c r="G30" s="54"/>
    </row>
    <row r="31" spans="1:7" x14ac:dyDescent="0.2">
      <c r="A31" s="130"/>
      <c r="B31" s="138">
        <v>17</v>
      </c>
      <c r="C31" s="139" t="str">
        <f t="shared" si="1"/>
        <v>x23F</v>
      </c>
      <c r="D31" s="138" t="str">
        <f t="shared" si="0"/>
        <v>EUR17x23F_Quote</v>
      </c>
      <c r="E31" s="137" t="str">
        <f>_xll.qlSimpleQuote(D31,,RateTickValue,Permanent,Trigger,ObjectOverwrite)</f>
        <v>EUR17x23F_Quote#0002</v>
      </c>
      <c r="F31" s="136" t="str">
        <f>_xll.ohRangeRetrieveError(E31)</f>
        <v/>
      </c>
      <c r="G31" s="54"/>
    </row>
    <row r="32" spans="1:7" x14ac:dyDescent="0.2">
      <c r="A32" s="130"/>
      <c r="B32" s="138">
        <v>18</v>
      </c>
      <c r="C32" s="139" t="str">
        <f t="shared" si="1"/>
        <v>x24F</v>
      </c>
      <c r="D32" s="138" t="str">
        <f t="shared" si="0"/>
        <v>EUR18x24F_Quote</v>
      </c>
      <c r="E32" s="137" t="str">
        <f>_xll.qlSimpleQuote(D32,,RateTickValue,Permanent,Trigger,ObjectOverwrite)</f>
        <v>EUR18x24F_Quote#0002</v>
      </c>
      <c r="F32" s="136" t="str">
        <f>_xll.ohRangeRetrieveError(E32)</f>
        <v/>
      </c>
      <c r="G32" s="54"/>
    </row>
    <row r="33" spans="1:7" x14ac:dyDescent="0.2">
      <c r="A33" s="130"/>
      <c r="B33" s="134" t="s">
        <v>173</v>
      </c>
      <c r="C33" s="135" t="s">
        <v>171</v>
      </c>
      <c r="D33" s="134" t="str">
        <f t="shared" si="0"/>
        <v>EURT12F1_Quote</v>
      </c>
      <c r="E33" s="133" t="str">
        <f>_xll.qlSimpleQuote(D33,,RateTickValue,Permanent,Trigger,ObjectOverwrite)</f>
        <v>EURT12F1_Quote#0002</v>
      </c>
      <c r="F33" s="132" t="str">
        <f>_xll.ohRangeRetrieveError(E33)</f>
        <v/>
      </c>
      <c r="G33" s="54"/>
    </row>
    <row r="34" spans="1:7" x14ac:dyDescent="0.2">
      <c r="A34" s="130"/>
      <c r="B34" s="127" t="s">
        <v>172</v>
      </c>
      <c r="C34" s="131" t="s">
        <v>171</v>
      </c>
      <c r="D34" s="127" t="str">
        <f t="shared" si="0"/>
        <v>EURTOM12F1_Quote</v>
      </c>
      <c r="E34" s="126" t="str">
        <f>_xll.qlSimpleQuote(D34,,RateTickValue,Permanent,Trigger,ObjectOverwrite)</f>
        <v>EURTOM12F1_Quote#0002</v>
      </c>
      <c r="F34" s="125" t="str">
        <f>_xll.ohRangeRetrieveError(E34)</f>
        <v/>
      </c>
      <c r="G34" s="54"/>
    </row>
    <row r="35" spans="1:7" x14ac:dyDescent="0.2">
      <c r="A35" s="130"/>
      <c r="B35" s="129">
        <v>12</v>
      </c>
      <c r="C35" s="128" t="s">
        <v>170</v>
      </c>
      <c r="D35" s="127" t="str">
        <f t="shared" si="0"/>
        <v>EUR12x24F_Quote</v>
      </c>
      <c r="E35" s="126" t="str">
        <f>_xll.qlSimpleQuote(D35,,RateTickValue,Permanent,Trigger,ObjectOverwrite)</f>
        <v>EUR12x24F_Quote#0002</v>
      </c>
      <c r="F35" s="125" t="str">
        <f>_xll.ohRangeRetrieveError(E35)</f>
        <v/>
      </c>
      <c r="G35" s="54"/>
    </row>
    <row r="36" spans="1:7" ht="13.5" thickBot="1" x14ac:dyDescent="0.25">
      <c r="A36" s="53"/>
      <c r="B36" s="52"/>
      <c r="C36" s="52"/>
      <c r="D36" s="52"/>
      <c r="E36" s="124"/>
      <c r="F36" s="124"/>
      <c r="G36" s="51"/>
    </row>
  </sheetData>
  <pageMargins left="0.75" right="0.75" top="1" bottom="1" header="0.5" footer="0.5"/>
  <pageSetup paperSize="9"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H123"/>
  <sheetViews>
    <sheetView workbookViewId="0"/>
  </sheetViews>
  <sheetFormatPr defaultRowHeight="11.25" x14ac:dyDescent="0.2"/>
  <cols>
    <col min="1" max="1" width="3.28515625" style="74" customWidth="1"/>
    <col min="2" max="2" width="3.5703125" style="74" bestFit="1" customWidth="1"/>
    <col min="3" max="3" width="5.7109375" style="74" bestFit="1" customWidth="1"/>
    <col min="4" max="4" width="6.140625" style="74" bestFit="1" customWidth="1"/>
    <col min="5" max="5" width="19.140625" style="74" bestFit="1" customWidth="1"/>
    <col min="6" max="6" width="20.140625" style="74" bestFit="1" customWidth="1"/>
    <col min="7" max="7" width="33.85546875" style="74" customWidth="1"/>
    <col min="8" max="8" width="4.5703125" style="74" customWidth="1"/>
    <col min="9" max="16384" width="9.140625" style="74"/>
  </cols>
  <sheetData>
    <row r="1" spans="1:8" x14ac:dyDescent="0.2">
      <c r="A1" s="165" t="s">
        <v>191</v>
      </c>
      <c r="B1" s="164"/>
      <c r="C1" s="164"/>
      <c r="D1" s="163" t="s">
        <v>189</v>
      </c>
      <c r="E1" s="163" t="s">
        <v>45</v>
      </c>
      <c r="F1" s="162"/>
      <c r="G1" s="162"/>
      <c r="H1" s="161"/>
    </row>
    <row r="2" spans="1:8" ht="22.5" x14ac:dyDescent="0.2">
      <c r="A2" s="160"/>
      <c r="B2" s="99" t="s">
        <v>188</v>
      </c>
      <c r="C2" s="100" t="s">
        <v>187</v>
      </c>
      <c r="D2" s="100" t="s">
        <v>186</v>
      </c>
      <c r="E2" s="98" t="str">
        <f>Currency&amp;"_010_"&amp;$D$1&amp;$E$1&amp;".xml"</f>
        <v>EUR_010_FUT1M.xml</v>
      </c>
      <c r="F2" s="97">
        <f ca="1">IF(Serialize,_xll.ohObjectSave(F3:F122,SerializationPath&amp;E2,FileOverwrite,Serialize),"---")</f>
        <v>120</v>
      </c>
      <c r="G2" s="116" t="str">
        <f ca="1">_xll.ohRangeRetrieveError(F2)</f>
        <v/>
      </c>
      <c r="H2" s="149"/>
    </row>
    <row r="3" spans="1:8" x14ac:dyDescent="0.2">
      <c r="A3" s="154"/>
      <c r="B3" s="159">
        <v>1</v>
      </c>
      <c r="C3" s="158" t="b">
        <v>0</v>
      </c>
      <c r="D3" s="157" t="str">
        <f t="array" ref="D3:D122">_xll.qlIMMNextCodes(_xll.qlSettingsEvaluationDate(Trigger)-1,$C3:$C122)</f>
        <v>Z3</v>
      </c>
      <c r="E3" s="151" t="str">
        <f t="shared" ref="E3:E34" si="0">Currency&amp;$D$1&amp;$E$1&amp;$D3&amp;QuoteSuffix</f>
        <v>EURFUT1MZ3_Quote</v>
      </c>
      <c r="F3" s="156" t="str">
        <f>_xll.qlSimpleQuote(E3,,PriceTickValue,Permanent,Trigger,ObjectOverwrite)</f>
        <v>EURFUT1MZ3_Quote#0002</v>
      </c>
      <c r="G3" s="155" t="str">
        <f>_xll.ohRangeRetrieveError(F3)</f>
        <v/>
      </c>
      <c r="H3" s="149"/>
    </row>
    <row r="4" spans="1:8" x14ac:dyDescent="0.2">
      <c r="A4" s="154"/>
      <c r="B4" s="115">
        <v>2</v>
      </c>
      <c r="C4" s="153" t="b">
        <v>0</v>
      </c>
      <c r="D4" s="152" t="str">
        <v>F4</v>
      </c>
      <c r="E4" s="151" t="str">
        <f t="shared" si="0"/>
        <v>EURFUT1MF4_Quote</v>
      </c>
      <c r="F4" s="150" t="str">
        <f>_xll.qlSimpleQuote(E4,,PriceTickValue,Permanent,Trigger,ObjectOverwrite)</f>
        <v>EURFUT1MF4_Quote#0002</v>
      </c>
      <c r="G4" s="113" t="str">
        <f>_xll.ohRangeRetrieveError(F4)</f>
        <v/>
      </c>
      <c r="H4" s="149"/>
    </row>
    <row r="5" spans="1:8" x14ac:dyDescent="0.2">
      <c r="A5" s="154"/>
      <c r="B5" s="115">
        <v>3</v>
      </c>
      <c r="C5" s="153" t="b">
        <v>0</v>
      </c>
      <c r="D5" s="152" t="str">
        <v>G4</v>
      </c>
      <c r="E5" s="151" t="str">
        <f t="shared" si="0"/>
        <v>EURFUT1MG4_Quote</v>
      </c>
      <c r="F5" s="150" t="str">
        <f>_xll.qlSimpleQuote(E5,,PriceTickValue,Permanent,Trigger,ObjectOverwrite)</f>
        <v>EURFUT1MG4_Quote#0002</v>
      </c>
      <c r="G5" s="113" t="str">
        <f>_xll.ohRangeRetrieveError(F5)</f>
        <v/>
      </c>
      <c r="H5" s="149"/>
    </row>
    <row r="6" spans="1:8" x14ac:dyDescent="0.2">
      <c r="A6" s="154"/>
      <c r="B6" s="115">
        <v>4</v>
      </c>
      <c r="C6" s="153" t="b">
        <v>0</v>
      </c>
      <c r="D6" s="152" t="str">
        <v>H4</v>
      </c>
      <c r="E6" s="151" t="str">
        <f t="shared" si="0"/>
        <v>EURFUT1MH4_Quote</v>
      </c>
      <c r="F6" s="150" t="str">
        <f>_xll.qlSimpleQuote(E6,,PriceTickValue,Permanent,Trigger,ObjectOverwrite)</f>
        <v>EURFUT1MH4_Quote#0002</v>
      </c>
      <c r="G6" s="113" t="str">
        <f>_xll.ohRangeRetrieveError(F6)</f>
        <v/>
      </c>
      <c r="H6" s="149"/>
    </row>
    <row r="7" spans="1:8" x14ac:dyDescent="0.2">
      <c r="A7" s="154"/>
      <c r="B7" s="115">
        <v>5</v>
      </c>
      <c r="C7" s="153" t="b">
        <v>0</v>
      </c>
      <c r="D7" s="152" t="str">
        <v>J4</v>
      </c>
      <c r="E7" s="151" t="str">
        <f t="shared" si="0"/>
        <v>EURFUT1MJ4_Quote</v>
      </c>
      <c r="F7" s="150" t="str">
        <f>_xll.qlSimpleQuote(E7,,PriceTickValue,Permanent,Trigger,ObjectOverwrite)</f>
        <v>EURFUT1MJ4_Quote#0002</v>
      </c>
      <c r="G7" s="113" t="str">
        <f>_xll.ohRangeRetrieveError(F7)</f>
        <v/>
      </c>
      <c r="H7" s="149"/>
    </row>
    <row r="8" spans="1:8" x14ac:dyDescent="0.2">
      <c r="A8" s="154"/>
      <c r="B8" s="115">
        <v>6</v>
      </c>
      <c r="C8" s="153" t="b">
        <v>0</v>
      </c>
      <c r="D8" s="152" t="str">
        <v>K4</v>
      </c>
      <c r="E8" s="151" t="str">
        <f t="shared" si="0"/>
        <v>EURFUT1MK4_Quote</v>
      </c>
      <c r="F8" s="150" t="str">
        <f>_xll.qlSimpleQuote(E8,,PriceTickValue,Permanent,Trigger,ObjectOverwrite)</f>
        <v>EURFUT1MK4_Quote#0002</v>
      </c>
      <c r="G8" s="113" t="str">
        <f>_xll.ohRangeRetrieveError(F8)</f>
        <v/>
      </c>
      <c r="H8" s="149"/>
    </row>
    <row r="9" spans="1:8" x14ac:dyDescent="0.2">
      <c r="A9" s="154"/>
      <c r="B9" s="115">
        <v>7</v>
      </c>
      <c r="C9" s="153" t="b">
        <v>0</v>
      </c>
      <c r="D9" s="152" t="str">
        <v>M4</v>
      </c>
      <c r="E9" s="151" t="str">
        <f t="shared" si="0"/>
        <v>EURFUT1MM4_Quote</v>
      </c>
      <c r="F9" s="150" t="str">
        <f>_xll.qlSimpleQuote(E9,,PriceTickValue,Permanent,Trigger,ObjectOverwrite)</f>
        <v>EURFUT1MM4_Quote#0002</v>
      </c>
      <c r="G9" s="113" t="str">
        <f>_xll.ohRangeRetrieveError(F9)</f>
        <v/>
      </c>
      <c r="H9" s="149"/>
    </row>
    <row r="10" spans="1:8" x14ac:dyDescent="0.2">
      <c r="A10" s="154"/>
      <c r="B10" s="115">
        <v>8</v>
      </c>
      <c r="C10" s="153" t="b">
        <v>0</v>
      </c>
      <c r="D10" s="152" t="str">
        <v>N4</v>
      </c>
      <c r="E10" s="151" t="str">
        <f t="shared" si="0"/>
        <v>EURFUT1MN4_Quote</v>
      </c>
      <c r="F10" s="150" t="str">
        <f>_xll.qlSimpleQuote(E10,,PriceTickValue,Permanent,Trigger,ObjectOverwrite)</f>
        <v>EURFUT1MN4_Quote#0002</v>
      </c>
      <c r="G10" s="113" t="str">
        <f>_xll.ohRangeRetrieveError(F10)</f>
        <v/>
      </c>
      <c r="H10" s="149"/>
    </row>
    <row r="11" spans="1:8" x14ac:dyDescent="0.2">
      <c r="A11" s="154"/>
      <c r="B11" s="115">
        <v>9</v>
      </c>
      <c r="C11" s="153" t="b">
        <v>0</v>
      </c>
      <c r="D11" s="152" t="str">
        <v>Q4</v>
      </c>
      <c r="E11" s="151" t="str">
        <f t="shared" si="0"/>
        <v>EURFUT1MQ4_Quote</v>
      </c>
      <c r="F11" s="150" t="str">
        <f>_xll.qlSimpleQuote(E11,,PriceTickValue,Permanent,Trigger,ObjectOverwrite)</f>
        <v>EURFUT1MQ4_Quote#0002</v>
      </c>
      <c r="G11" s="113" t="str">
        <f>_xll.ohRangeRetrieveError(F11)</f>
        <v/>
      </c>
      <c r="H11" s="149"/>
    </row>
    <row r="12" spans="1:8" x14ac:dyDescent="0.2">
      <c r="A12" s="154"/>
      <c r="B12" s="115">
        <v>10</v>
      </c>
      <c r="C12" s="153" t="b">
        <v>0</v>
      </c>
      <c r="D12" s="152" t="str">
        <v>U4</v>
      </c>
      <c r="E12" s="151" t="str">
        <f t="shared" si="0"/>
        <v>EURFUT1MU4_Quote</v>
      </c>
      <c r="F12" s="150" t="str">
        <f>_xll.qlSimpleQuote(E12,,PriceTickValue,Permanent,Trigger,ObjectOverwrite)</f>
        <v>EURFUT1MU4_Quote#0002</v>
      </c>
      <c r="G12" s="113" t="str">
        <f>_xll.ohRangeRetrieveError(F12)</f>
        <v/>
      </c>
      <c r="H12" s="149"/>
    </row>
    <row r="13" spans="1:8" x14ac:dyDescent="0.2">
      <c r="A13" s="154"/>
      <c r="B13" s="115">
        <v>11</v>
      </c>
      <c r="C13" s="153" t="b">
        <v>0</v>
      </c>
      <c r="D13" s="152" t="str">
        <v>V4</v>
      </c>
      <c r="E13" s="151" t="str">
        <f t="shared" si="0"/>
        <v>EURFUT1MV4_Quote</v>
      </c>
      <c r="F13" s="150" t="str">
        <f>_xll.qlSimpleQuote(E13,,PriceTickValue,Permanent,Trigger,ObjectOverwrite)</f>
        <v>EURFUT1MV4_Quote#0002</v>
      </c>
      <c r="G13" s="113" t="str">
        <f>_xll.ohRangeRetrieveError(F13)</f>
        <v/>
      </c>
      <c r="H13" s="149"/>
    </row>
    <row r="14" spans="1:8" x14ac:dyDescent="0.2">
      <c r="A14" s="154"/>
      <c r="B14" s="115">
        <v>12</v>
      </c>
      <c r="C14" s="153" t="b">
        <v>0</v>
      </c>
      <c r="D14" s="152" t="str">
        <v>X4</v>
      </c>
      <c r="E14" s="151" t="str">
        <f t="shared" si="0"/>
        <v>EURFUT1MX4_Quote</v>
      </c>
      <c r="F14" s="150" t="str">
        <f>_xll.qlSimpleQuote(E14,,PriceTickValue,Permanent,Trigger,ObjectOverwrite)</f>
        <v>EURFUT1MX4_Quote#0002</v>
      </c>
      <c r="G14" s="113" t="str">
        <f>_xll.ohRangeRetrieveError(F14)</f>
        <v/>
      </c>
      <c r="H14" s="149"/>
    </row>
    <row r="15" spans="1:8" x14ac:dyDescent="0.2">
      <c r="A15" s="154"/>
      <c r="B15" s="115">
        <v>13</v>
      </c>
      <c r="C15" s="153" t="b">
        <v>0</v>
      </c>
      <c r="D15" s="152" t="str">
        <v>Z4</v>
      </c>
      <c r="E15" s="151" t="str">
        <f t="shared" si="0"/>
        <v>EURFUT1MZ4_Quote</v>
      </c>
      <c r="F15" s="150" t="str">
        <f>_xll.qlSimpleQuote(E15,,PriceTickValue,Permanent,Trigger,ObjectOverwrite)</f>
        <v>EURFUT1MZ4_Quote#0002</v>
      </c>
      <c r="G15" s="113" t="str">
        <f>_xll.ohRangeRetrieveError(F15)</f>
        <v/>
      </c>
      <c r="H15" s="149"/>
    </row>
    <row r="16" spans="1:8" x14ac:dyDescent="0.2">
      <c r="A16" s="154"/>
      <c r="B16" s="115">
        <v>14</v>
      </c>
      <c r="C16" s="153" t="b">
        <v>0</v>
      </c>
      <c r="D16" s="152" t="str">
        <v>F5</v>
      </c>
      <c r="E16" s="151" t="str">
        <f t="shared" si="0"/>
        <v>EURFUT1MF5_Quote</v>
      </c>
      <c r="F16" s="150" t="str">
        <f>_xll.qlSimpleQuote(E16,,PriceTickValue,Permanent,Trigger,ObjectOverwrite)</f>
        <v>EURFUT1MF5_Quote#0002</v>
      </c>
      <c r="G16" s="113" t="str">
        <f>_xll.ohRangeRetrieveError(F16)</f>
        <v/>
      </c>
      <c r="H16" s="149"/>
    </row>
    <row r="17" spans="1:8" x14ac:dyDescent="0.2">
      <c r="A17" s="154"/>
      <c r="B17" s="115">
        <v>15</v>
      </c>
      <c r="C17" s="153" t="b">
        <v>0</v>
      </c>
      <c r="D17" s="152" t="str">
        <v>G5</v>
      </c>
      <c r="E17" s="151" t="str">
        <f t="shared" si="0"/>
        <v>EURFUT1MG5_Quote</v>
      </c>
      <c r="F17" s="150" t="str">
        <f>_xll.qlSimpleQuote(E17,,PriceTickValue,Permanent,Trigger,ObjectOverwrite)</f>
        <v>EURFUT1MG5_Quote#0002</v>
      </c>
      <c r="G17" s="113" t="str">
        <f>_xll.ohRangeRetrieveError(F17)</f>
        <v/>
      </c>
      <c r="H17" s="149"/>
    </row>
    <row r="18" spans="1:8" x14ac:dyDescent="0.2">
      <c r="A18" s="154"/>
      <c r="B18" s="115">
        <v>16</v>
      </c>
      <c r="C18" s="153" t="b">
        <v>0</v>
      </c>
      <c r="D18" s="152" t="str">
        <v>H5</v>
      </c>
      <c r="E18" s="151" t="str">
        <f t="shared" si="0"/>
        <v>EURFUT1MH5_Quote</v>
      </c>
      <c r="F18" s="150" t="str">
        <f>_xll.qlSimpleQuote(E18,,PriceTickValue,Permanent,Trigger,ObjectOverwrite)</f>
        <v>EURFUT1MH5_Quote#0002</v>
      </c>
      <c r="G18" s="113" t="str">
        <f>_xll.ohRangeRetrieveError(F18)</f>
        <v/>
      </c>
      <c r="H18" s="149"/>
    </row>
    <row r="19" spans="1:8" x14ac:dyDescent="0.2">
      <c r="A19" s="154"/>
      <c r="B19" s="115">
        <v>17</v>
      </c>
      <c r="C19" s="153" t="b">
        <v>0</v>
      </c>
      <c r="D19" s="152" t="str">
        <v>J5</v>
      </c>
      <c r="E19" s="151" t="str">
        <f t="shared" si="0"/>
        <v>EURFUT1MJ5_Quote</v>
      </c>
      <c r="F19" s="150" t="str">
        <f>_xll.qlSimpleQuote(E19,,PriceTickValue,Permanent,Trigger,ObjectOverwrite)</f>
        <v>EURFUT1MJ5_Quote#0002</v>
      </c>
      <c r="G19" s="113" t="str">
        <f>_xll.ohRangeRetrieveError(F19)</f>
        <v/>
      </c>
      <c r="H19" s="149"/>
    </row>
    <row r="20" spans="1:8" x14ac:dyDescent="0.2">
      <c r="A20" s="154"/>
      <c r="B20" s="115">
        <v>18</v>
      </c>
      <c r="C20" s="153" t="b">
        <v>0</v>
      </c>
      <c r="D20" s="152" t="str">
        <v>K5</v>
      </c>
      <c r="E20" s="151" t="str">
        <f t="shared" si="0"/>
        <v>EURFUT1MK5_Quote</v>
      </c>
      <c r="F20" s="150" t="str">
        <f>_xll.qlSimpleQuote(E20,,PriceTickValue,Permanent,Trigger,ObjectOverwrite)</f>
        <v>EURFUT1MK5_Quote#0002</v>
      </c>
      <c r="G20" s="113" t="str">
        <f>_xll.ohRangeRetrieveError(F20)</f>
        <v/>
      </c>
      <c r="H20" s="149"/>
    </row>
    <row r="21" spans="1:8" x14ac:dyDescent="0.2">
      <c r="A21" s="154"/>
      <c r="B21" s="115">
        <v>19</v>
      </c>
      <c r="C21" s="153" t="b">
        <v>0</v>
      </c>
      <c r="D21" s="152" t="str">
        <v>M5</v>
      </c>
      <c r="E21" s="151" t="str">
        <f t="shared" si="0"/>
        <v>EURFUT1MM5_Quote</v>
      </c>
      <c r="F21" s="150" t="str">
        <f>_xll.qlSimpleQuote(E21,,PriceTickValue,Permanent,Trigger,ObjectOverwrite)</f>
        <v>EURFUT1MM5_Quote#0002</v>
      </c>
      <c r="G21" s="113" t="str">
        <f>_xll.ohRangeRetrieveError(F21)</f>
        <v/>
      </c>
      <c r="H21" s="149"/>
    </row>
    <row r="22" spans="1:8" x14ac:dyDescent="0.2">
      <c r="A22" s="154"/>
      <c r="B22" s="115">
        <v>20</v>
      </c>
      <c r="C22" s="153" t="b">
        <v>0</v>
      </c>
      <c r="D22" s="152" t="str">
        <v>N5</v>
      </c>
      <c r="E22" s="151" t="str">
        <f t="shared" si="0"/>
        <v>EURFUT1MN5_Quote</v>
      </c>
      <c r="F22" s="150" t="str">
        <f>_xll.qlSimpleQuote(E22,,PriceTickValue,Permanent,Trigger,ObjectOverwrite)</f>
        <v>EURFUT1MN5_Quote#0002</v>
      </c>
      <c r="G22" s="113" t="str">
        <f>_xll.ohRangeRetrieveError(F22)</f>
        <v/>
      </c>
      <c r="H22" s="149"/>
    </row>
    <row r="23" spans="1:8" x14ac:dyDescent="0.2">
      <c r="A23" s="154"/>
      <c r="B23" s="115">
        <v>21</v>
      </c>
      <c r="C23" s="153" t="b">
        <v>0</v>
      </c>
      <c r="D23" s="152" t="str">
        <v>Q5</v>
      </c>
      <c r="E23" s="151" t="str">
        <f t="shared" si="0"/>
        <v>EURFUT1MQ5_Quote</v>
      </c>
      <c r="F23" s="150" t="str">
        <f>_xll.qlSimpleQuote(E23,,PriceTickValue,Permanent,Trigger,ObjectOverwrite)</f>
        <v>EURFUT1MQ5_Quote#0002</v>
      </c>
      <c r="G23" s="113" t="str">
        <f>_xll.ohRangeRetrieveError(F23)</f>
        <v/>
      </c>
      <c r="H23" s="149"/>
    </row>
    <row r="24" spans="1:8" x14ac:dyDescent="0.2">
      <c r="A24" s="154"/>
      <c r="B24" s="115">
        <v>22</v>
      </c>
      <c r="C24" s="153" t="b">
        <v>0</v>
      </c>
      <c r="D24" s="152" t="str">
        <v>U5</v>
      </c>
      <c r="E24" s="151" t="str">
        <f t="shared" si="0"/>
        <v>EURFUT1MU5_Quote</v>
      </c>
      <c r="F24" s="150" t="str">
        <f>_xll.qlSimpleQuote(E24,,PriceTickValue,Permanent,Trigger,ObjectOverwrite)</f>
        <v>EURFUT1MU5_Quote#0002</v>
      </c>
      <c r="G24" s="113" t="str">
        <f>_xll.ohRangeRetrieveError(F24)</f>
        <v/>
      </c>
      <c r="H24" s="149"/>
    </row>
    <row r="25" spans="1:8" x14ac:dyDescent="0.2">
      <c r="A25" s="154"/>
      <c r="B25" s="115">
        <v>23</v>
      </c>
      <c r="C25" s="153" t="b">
        <v>0</v>
      </c>
      <c r="D25" s="152" t="str">
        <v>V5</v>
      </c>
      <c r="E25" s="151" t="str">
        <f t="shared" si="0"/>
        <v>EURFUT1MV5_Quote</v>
      </c>
      <c r="F25" s="150" t="str">
        <f>_xll.qlSimpleQuote(E25,,PriceTickValue,Permanent,Trigger,ObjectOverwrite)</f>
        <v>EURFUT1MV5_Quote#0002</v>
      </c>
      <c r="G25" s="113" t="str">
        <f>_xll.ohRangeRetrieveError(F25)</f>
        <v/>
      </c>
      <c r="H25" s="149"/>
    </row>
    <row r="26" spans="1:8" x14ac:dyDescent="0.2">
      <c r="A26" s="154"/>
      <c r="B26" s="115">
        <v>24</v>
      </c>
      <c r="C26" s="153" t="b">
        <v>0</v>
      </c>
      <c r="D26" s="152" t="str">
        <v>X5</v>
      </c>
      <c r="E26" s="151" t="str">
        <f t="shared" si="0"/>
        <v>EURFUT1MX5_Quote</v>
      </c>
      <c r="F26" s="150" t="str">
        <f>_xll.qlSimpleQuote(E26,,PriceTickValue,Permanent,Trigger,ObjectOverwrite)</f>
        <v>EURFUT1MX5_Quote#0002</v>
      </c>
      <c r="G26" s="113" t="str">
        <f>_xll.ohRangeRetrieveError(F26)</f>
        <v/>
      </c>
      <c r="H26" s="149"/>
    </row>
    <row r="27" spans="1:8" x14ac:dyDescent="0.2">
      <c r="A27" s="154"/>
      <c r="B27" s="115">
        <v>25</v>
      </c>
      <c r="C27" s="153" t="b">
        <v>0</v>
      </c>
      <c r="D27" s="152" t="str">
        <v>Z5</v>
      </c>
      <c r="E27" s="151" t="str">
        <f t="shared" si="0"/>
        <v>EURFUT1MZ5_Quote</v>
      </c>
      <c r="F27" s="150" t="str">
        <f>_xll.qlSimpleQuote(E27,,PriceTickValue,Permanent,Trigger,ObjectOverwrite)</f>
        <v>EURFUT1MZ5_Quote#0002</v>
      </c>
      <c r="G27" s="113" t="str">
        <f>_xll.ohRangeRetrieveError(F27)</f>
        <v/>
      </c>
      <c r="H27" s="149"/>
    </row>
    <row r="28" spans="1:8" x14ac:dyDescent="0.2">
      <c r="A28" s="154"/>
      <c r="B28" s="115">
        <v>26</v>
      </c>
      <c r="C28" s="153" t="b">
        <v>0</v>
      </c>
      <c r="D28" s="152" t="str">
        <v>F6</v>
      </c>
      <c r="E28" s="151" t="str">
        <f t="shared" si="0"/>
        <v>EURFUT1MF6_Quote</v>
      </c>
      <c r="F28" s="150" t="str">
        <f>_xll.qlSimpleQuote(E28,,PriceTickValue,Permanent,Trigger,ObjectOverwrite)</f>
        <v>EURFUT1MF6_Quote#0002</v>
      </c>
      <c r="G28" s="113" t="str">
        <f>_xll.ohRangeRetrieveError(F28)</f>
        <v/>
      </c>
      <c r="H28" s="149"/>
    </row>
    <row r="29" spans="1:8" x14ac:dyDescent="0.2">
      <c r="A29" s="154"/>
      <c r="B29" s="115">
        <v>27</v>
      </c>
      <c r="C29" s="153" t="b">
        <v>0</v>
      </c>
      <c r="D29" s="152" t="str">
        <v>G6</v>
      </c>
      <c r="E29" s="151" t="str">
        <f t="shared" si="0"/>
        <v>EURFUT1MG6_Quote</v>
      </c>
      <c r="F29" s="150" t="str">
        <f>_xll.qlSimpleQuote(E29,,PriceTickValue,Permanent,Trigger,ObjectOverwrite)</f>
        <v>EURFUT1MG6_Quote#0002</v>
      </c>
      <c r="G29" s="113" t="str">
        <f>_xll.ohRangeRetrieveError(F29)</f>
        <v/>
      </c>
      <c r="H29" s="149"/>
    </row>
    <row r="30" spans="1:8" x14ac:dyDescent="0.2">
      <c r="A30" s="154"/>
      <c r="B30" s="115">
        <v>28</v>
      </c>
      <c r="C30" s="153" t="b">
        <v>0</v>
      </c>
      <c r="D30" s="152" t="str">
        <v>H6</v>
      </c>
      <c r="E30" s="151" t="str">
        <f t="shared" si="0"/>
        <v>EURFUT1MH6_Quote</v>
      </c>
      <c r="F30" s="150" t="str">
        <f>_xll.qlSimpleQuote(E30,,PriceTickValue,Permanent,Trigger,ObjectOverwrite)</f>
        <v>EURFUT1MH6_Quote#0002</v>
      </c>
      <c r="G30" s="113" t="str">
        <f>_xll.ohRangeRetrieveError(F30)</f>
        <v/>
      </c>
      <c r="H30" s="149"/>
    </row>
    <row r="31" spans="1:8" x14ac:dyDescent="0.2">
      <c r="A31" s="154"/>
      <c r="B31" s="115">
        <v>29</v>
      </c>
      <c r="C31" s="153" t="b">
        <v>0</v>
      </c>
      <c r="D31" s="152" t="str">
        <v>J6</v>
      </c>
      <c r="E31" s="151" t="str">
        <f t="shared" si="0"/>
        <v>EURFUT1MJ6_Quote</v>
      </c>
      <c r="F31" s="150" t="str">
        <f>_xll.qlSimpleQuote(E31,,PriceTickValue,Permanent,Trigger,ObjectOverwrite)</f>
        <v>EURFUT1MJ6_Quote#0002</v>
      </c>
      <c r="G31" s="113" t="str">
        <f>_xll.ohRangeRetrieveError(F31)</f>
        <v/>
      </c>
      <c r="H31" s="149"/>
    </row>
    <row r="32" spans="1:8" x14ac:dyDescent="0.2">
      <c r="A32" s="154"/>
      <c r="B32" s="115">
        <v>30</v>
      </c>
      <c r="C32" s="153" t="b">
        <v>0</v>
      </c>
      <c r="D32" s="152" t="str">
        <v>K6</v>
      </c>
      <c r="E32" s="151" t="str">
        <f t="shared" si="0"/>
        <v>EURFUT1MK6_Quote</v>
      </c>
      <c r="F32" s="150" t="str">
        <f>_xll.qlSimpleQuote(E32,,PriceTickValue,Permanent,Trigger,ObjectOverwrite)</f>
        <v>EURFUT1MK6_Quote#0002</v>
      </c>
      <c r="G32" s="113" t="str">
        <f>_xll.ohRangeRetrieveError(F32)</f>
        <v/>
      </c>
      <c r="H32" s="149"/>
    </row>
    <row r="33" spans="1:8" x14ac:dyDescent="0.2">
      <c r="A33" s="154"/>
      <c r="B33" s="115">
        <v>31</v>
      </c>
      <c r="C33" s="153" t="b">
        <v>0</v>
      </c>
      <c r="D33" s="152" t="str">
        <v>M6</v>
      </c>
      <c r="E33" s="151" t="str">
        <f t="shared" si="0"/>
        <v>EURFUT1MM6_Quote</v>
      </c>
      <c r="F33" s="150" t="str">
        <f>_xll.qlSimpleQuote(E33,,PriceTickValue,Permanent,Trigger,ObjectOverwrite)</f>
        <v>EURFUT1MM6_Quote#0002</v>
      </c>
      <c r="G33" s="113" t="str">
        <f>_xll.ohRangeRetrieveError(F33)</f>
        <v/>
      </c>
      <c r="H33" s="149"/>
    </row>
    <row r="34" spans="1:8" x14ac:dyDescent="0.2">
      <c r="A34" s="154"/>
      <c r="B34" s="115">
        <v>32</v>
      </c>
      <c r="C34" s="153" t="b">
        <v>0</v>
      </c>
      <c r="D34" s="152" t="str">
        <v>N6</v>
      </c>
      <c r="E34" s="151" t="str">
        <f t="shared" si="0"/>
        <v>EURFUT1MN6_Quote</v>
      </c>
      <c r="F34" s="150" t="str">
        <f>_xll.qlSimpleQuote(E34,,PriceTickValue,Permanent,Trigger,ObjectOverwrite)</f>
        <v>EURFUT1MN6_Quote#0002</v>
      </c>
      <c r="G34" s="113" t="str">
        <f>_xll.ohRangeRetrieveError(F34)</f>
        <v/>
      </c>
      <c r="H34" s="149"/>
    </row>
    <row r="35" spans="1:8" x14ac:dyDescent="0.2">
      <c r="A35" s="154"/>
      <c r="B35" s="115">
        <v>33</v>
      </c>
      <c r="C35" s="153" t="b">
        <v>0</v>
      </c>
      <c r="D35" s="152" t="str">
        <v>Q6</v>
      </c>
      <c r="E35" s="151" t="str">
        <f t="shared" ref="E35:E66" si="1">Currency&amp;$D$1&amp;$E$1&amp;$D35&amp;QuoteSuffix</f>
        <v>EURFUT1MQ6_Quote</v>
      </c>
      <c r="F35" s="150" t="str">
        <f>_xll.qlSimpleQuote(E35,,PriceTickValue,Permanent,Trigger,ObjectOverwrite)</f>
        <v>EURFUT1MQ6_Quote#0002</v>
      </c>
      <c r="G35" s="113" t="str">
        <f>_xll.ohRangeRetrieveError(F35)</f>
        <v/>
      </c>
      <c r="H35" s="149"/>
    </row>
    <row r="36" spans="1:8" x14ac:dyDescent="0.2">
      <c r="A36" s="154"/>
      <c r="B36" s="115">
        <v>34</v>
      </c>
      <c r="C36" s="153" t="b">
        <v>0</v>
      </c>
      <c r="D36" s="152" t="str">
        <v>U6</v>
      </c>
      <c r="E36" s="151" t="str">
        <f t="shared" si="1"/>
        <v>EURFUT1MU6_Quote</v>
      </c>
      <c r="F36" s="150" t="str">
        <f>_xll.qlSimpleQuote(E36,,PriceTickValue,Permanent,Trigger,ObjectOverwrite)</f>
        <v>EURFUT1MU6_Quote#0002</v>
      </c>
      <c r="G36" s="113" t="str">
        <f>_xll.ohRangeRetrieveError(F36)</f>
        <v/>
      </c>
      <c r="H36" s="149"/>
    </row>
    <row r="37" spans="1:8" x14ac:dyDescent="0.2">
      <c r="A37" s="154"/>
      <c r="B37" s="115">
        <v>35</v>
      </c>
      <c r="C37" s="153" t="b">
        <v>0</v>
      </c>
      <c r="D37" s="152" t="str">
        <v>V6</v>
      </c>
      <c r="E37" s="151" t="str">
        <f t="shared" si="1"/>
        <v>EURFUT1MV6_Quote</v>
      </c>
      <c r="F37" s="150" t="str">
        <f>_xll.qlSimpleQuote(E37,,PriceTickValue,Permanent,Trigger,ObjectOverwrite)</f>
        <v>EURFUT1MV6_Quote#0002</v>
      </c>
      <c r="G37" s="113" t="str">
        <f>_xll.ohRangeRetrieveError(F37)</f>
        <v/>
      </c>
      <c r="H37" s="149"/>
    </row>
    <row r="38" spans="1:8" x14ac:dyDescent="0.2">
      <c r="A38" s="154"/>
      <c r="B38" s="115">
        <v>36</v>
      </c>
      <c r="C38" s="153" t="b">
        <v>0</v>
      </c>
      <c r="D38" s="152" t="str">
        <v>X6</v>
      </c>
      <c r="E38" s="151" t="str">
        <f t="shared" si="1"/>
        <v>EURFUT1MX6_Quote</v>
      </c>
      <c r="F38" s="150" t="str">
        <f>_xll.qlSimpleQuote(E38,,PriceTickValue,Permanent,Trigger,ObjectOverwrite)</f>
        <v>EURFUT1MX6_Quote#0002</v>
      </c>
      <c r="G38" s="113" t="str">
        <f>_xll.ohRangeRetrieveError(F38)</f>
        <v/>
      </c>
      <c r="H38" s="149"/>
    </row>
    <row r="39" spans="1:8" x14ac:dyDescent="0.2">
      <c r="A39" s="154"/>
      <c r="B39" s="115">
        <v>37</v>
      </c>
      <c r="C39" s="153" t="b">
        <v>0</v>
      </c>
      <c r="D39" s="152" t="str">
        <v>Z6</v>
      </c>
      <c r="E39" s="151" t="str">
        <f t="shared" si="1"/>
        <v>EURFUT1MZ6_Quote</v>
      </c>
      <c r="F39" s="150" t="str">
        <f>_xll.qlSimpleQuote(E39,,PriceTickValue,Permanent,Trigger,ObjectOverwrite)</f>
        <v>EURFUT1MZ6_Quote#0002</v>
      </c>
      <c r="G39" s="113" t="str">
        <f>_xll.ohRangeRetrieveError(F39)</f>
        <v/>
      </c>
      <c r="H39" s="149"/>
    </row>
    <row r="40" spans="1:8" x14ac:dyDescent="0.2">
      <c r="A40" s="154"/>
      <c r="B40" s="115">
        <v>38</v>
      </c>
      <c r="C40" s="153" t="b">
        <v>0</v>
      </c>
      <c r="D40" s="152" t="str">
        <v>F7</v>
      </c>
      <c r="E40" s="151" t="str">
        <f t="shared" si="1"/>
        <v>EURFUT1MF7_Quote</v>
      </c>
      <c r="F40" s="150" t="str">
        <f>_xll.qlSimpleQuote(E40,,PriceTickValue,Permanent,Trigger,ObjectOverwrite)</f>
        <v>EURFUT1MF7_Quote#0002</v>
      </c>
      <c r="G40" s="113" t="str">
        <f>_xll.ohRangeRetrieveError(F40)</f>
        <v/>
      </c>
      <c r="H40" s="149"/>
    </row>
    <row r="41" spans="1:8" x14ac:dyDescent="0.2">
      <c r="A41" s="154"/>
      <c r="B41" s="115">
        <v>39</v>
      </c>
      <c r="C41" s="153" t="b">
        <v>0</v>
      </c>
      <c r="D41" s="152" t="str">
        <v>G7</v>
      </c>
      <c r="E41" s="151" t="str">
        <f t="shared" si="1"/>
        <v>EURFUT1MG7_Quote</v>
      </c>
      <c r="F41" s="150" t="str">
        <f>_xll.qlSimpleQuote(E41,,PriceTickValue,Permanent,Trigger,ObjectOverwrite)</f>
        <v>EURFUT1MG7_Quote#0002</v>
      </c>
      <c r="G41" s="113" t="str">
        <f>_xll.ohRangeRetrieveError(F41)</f>
        <v/>
      </c>
      <c r="H41" s="149"/>
    </row>
    <row r="42" spans="1:8" x14ac:dyDescent="0.2">
      <c r="A42" s="154"/>
      <c r="B42" s="115">
        <v>40</v>
      </c>
      <c r="C42" s="153" t="b">
        <v>0</v>
      </c>
      <c r="D42" s="152" t="str">
        <v>H7</v>
      </c>
      <c r="E42" s="151" t="str">
        <f t="shared" si="1"/>
        <v>EURFUT1MH7_Quote</v>
      </c>
      <c r="F42" s="150" t="str">
        <f>_xll.qlSimpleQuote(E42,,PriceTickValue,Permanent,Trigger,ObjectOverwrite)</f>
        <v>EURFUT1MH7_Quote#0002</v>
      </c>
      <c r="G42" s="113" t="str">
        <f>_xll.ohRangeRetrieveError(F42)</f>
        <v/>
      </c>
      <c r="H42" s="149"/>
    </row>
    <row r="43" spans="1:8" x14ac:dyDescent="0.2">
      <c r="A43" s="154"/>
      <c r="B43" s="115">
        <v>41</v>
      </c>
      <c r="C43" s="153" t="b">
        <v>0</v>
      </c>
      <c r="D43" s="152" t="str">
        <v>J7</v>
      </c>
      <c r="E43" s="151" t="str">
        <f t="shared" si="1"/>
        <v>EURFUT1MJ7_Quote</v>
      </c>
      <c r="F43" s="150" t="str">
        <f>_xll.qlSimpleQuote(E43,,PriceTickValue,Permanent,Trigger,ObjectOverwrite)</f>
        <v>EURFUT1MJ7_Quote#0002</v>
      </c>
      <c r="G43" s="113" t="str">
        <f>_xll.ohRangeRetrieveError(F43)</f>
        <v/>
      </c>
      <c r="H43" s="149"/>
    </row>
    <row r="44" spans="1:8" x14ac:dyDescent="0.2">
      <c r="A44" s="154"/>
      <c r="B44" s="115">
        <v>42</v>
      </c>
      <c r="C44" s="153" t="b">
        <v>0</v>
      </c>
      <c r="D44" s="152" t="str">
        <v>K7</v>
      </c>
      <c r="E44" s="151" t="str">
        <f t="shared" si="1"/>
        <v>EURFUT1MK7_Quote</v>
      </c>
      <c r="F44" s="150" t="str">
        <f>_xll.qlSimpleQuote(E44,,PriceTickValue,Permanent,Trigger,ObjectOverwrite)</f>
        <v>EURFUT1MK7_Quote#0002</v>
      </c>
      <c r="G44" s="113" t="str">
        <f>_xll.ohRangeRetrieveError(F44)</f>
        <v/>
      </c>
      <c r="H44" s="149"/>
    </row>
    <row r="45" spans="1:8" x14ac:dyDescent="0.2">
      <c r="A45" s="154"/>
      <c r="B45" s="115">
        <v>43</v>
      </c>
      <c r="C45" s="153" t="b">
        <v>0</v>
      </c>
      <c r="D45" s="152" t="str">
        <v>M7</v>
      </c>
      <c r="E45" s="151" t="str">
        <f t="shared" si="1"/>
        <v>EURFUT1MM7_Quote</v>
      </c>
      <c r="F45" s="150" t="str">
        <f>_xll.qlSimpleQuote(E45,,PriceTickValue,Permanent,Trigger,ObjectOverwrite)</f>
        <v>EURFUT1MM7_Quote#0002</v>
      </c>
      <c r="G45" s="113" t="str">
        <f>_xll.ohRangeRetrieveError(F45)</f>
        <v/>
      </c>
      <c r="H45" s="149"/>
    </row>
    <row r="46" spans="1:8" x14ac:dyDescent="0.2">
      <c r="A46" s="154"/>
      <c r="B46" s="115">
        <v>44</v>
      </c>
      <c r="C46" s="153" t="b">
        <v>0</v>
      </c>
      <c r="D46" s="152" t="str">
        <v>N7</v>
      </c>
      <c r="E46" s="151" t="str">
        <f t="shared" si="1"/>
        <v>EURFUT1MN7_Quote</v>
      </c>
      <c r="F46" s="150" t="str">
        <f>_xll.qlSimpleQuote(E46,,PriceTickValue,Permanent,Trigger,ObjectOverwrite)</f>
        <v>EURFUT1MN7_Quote#0002</v>
      </c>
      <c r="G46" s="113" t="str">
        <f>_xll.ohRangeRetrieveError(F46)</f>
        <v/>
      </c>
      <c r="H46" s="149"/>
    </row>
    <row r="47" spans="1:8" x14ac:dyDescent="0.2">
      <c r="A47" s="154"/>
      <c r="B47" s="115">
        <v>45</v>
      </c>
      <c r="C47" s="153" t="b">
        <v>0</v>
      </c>
      <c r="D47" s="152" t="str">
        <v>Q7</v>
      </c>
      <c r="E47" s="151" t="str">
        <f t="shared" si="1"/>
        <v>EURFUT1MQ7_Quote</v>
      </c>
      <c r="F47" s="150" t="str">
        <f>_xll.qlSimpleQuote(E47,,PriceTickValue,Permanent,Trigger,ObjectOverwrite)</f>
        <v>EURFUT1MQ7_Quote#0002</v>
      </c>
      <c r="G47" s="113" t="str">
        <f>_xll.ohRangeRetrieveError(F47)</f>
        <v/>
      </c>
      <c r="H47" s="149"/>
    </row>
    <row r="48" spans="1:8" x14ac:dyDescent="0.2">
      <c r="A48" s="154"/>
      <c r="B48" s="115">
        <v>46</v>
      </c>
      <c r="C48" s="153" t="b">
        <v>0</v>
      </c>
      <c r="D48" s="152" t="str">
        <v>U7</v>
      </c>
      <c r="E48" s="151" t="str">
        <f t="shared" si="1"/>
        <v>EURFUT1MU7_Quote</v>
      </c>
      <c r="F48" s="150" t="str">
        <f>_xll.qlSimpleQuote(E48,,PriceTickValue,Permanent,Trigger,ObjectOverwrite)</f>
        <v>EURFUT1MU7_Quote#0002</v>
      </c>
      <c r="G48" s="113" t="str">
        <f>_xll.ohRangeRetrieveError(F48)</f>
        <v/>
      </c>
      <c r="H48" s="149"/>
    </row>
    <row r="49" spans="1:8" x14ac:dyDescent="0.2">
      <c r="A49" s="154"/>
      <c r="B49" s="115">
        <v>47</v>
      </c>
      <c r="C49" s="153" t="b">
        <v>0</v>
      </c>
      <c r="D49" s="152" t="str">
        <v>V7</v>
      </c>
      <c r="E49" s="151" t="str">
        <f t="shared" si="1"/>
        <v>EURFUT1MV7_Quote</v>
      </c>
      <c r="F49" s="150" t="str">
        <f>_xll.qlSimpleQuote(E49,,PriceTickValue,Permanent,Trigger,ObjectOverwrite)</f>
        <v>EURFUT1MV7_Quote#0002</v>
      </c>
      <c r="G49" s="113" t="str">
        <f>_xll.ohRangeRetrieveError(F49)</f>
        <v/>
      </c>
      <c r="H49" s="149"/>
    </row>
    <row r="50" spans="1:8" x14ac:dyDescent="0.2">
      <c r="A50" s="154"/>
      <c r="B50" s="115">
        <v>48</v>
      </c>
      <c r="C50" s="153" t="b">
        <v>0</v>
      </c>
      <c r="D50" s="152" t="str">
        <v>X7</v>
      </c>
      <c r="E50" s="151" t="str">
        <f t="shared" si="1"/>
        <v>EURFUT1MX7_Quote</v>
      </c>
      <c r="F50" s="150" t="str">
        <f>_xll.qlSimpleQuote(E50,,PriceTickValue,Permanent,Trigger,ObjectOverwrite)</f>
        <v>EURFUT1MX7_Quote#0002</v>
      </c>
      <c r="G50" s="113" t="str">
        <f>_xll.ohRangeRetrieveError(F50)</f>
        <v/>
      </c>
      <c r="H50" s="149"/>
    </row>
    <row r="51" spans="1:8" x14ac:dyDescent="0.2">
      <c r="A51" s="154"/>
      <c r="B51" s="115">
        <v>49</v>
      </c>
      <c r="C51" s="153" t="b">
        <v>0</v>
      </c>
      <c r="D51" s="152" t="str">
        <v>Z7</v>
      </c>
      <c r="E51" s="151" t="str">
        <f t="shared" si="1"/>
        <v>EURFUT1MZ7_Quote</v>
      </c>
      <c r="F51" s="150" t="str">
        <f>_xll.qlSimpleQuote(E51,,PriceTickValue,Permanent,Trigger,ObjectOverwrite)</f>
        <v>EURFUT1MZ7_Quote#0002</v>
      </c>
      <c r="G51" s="113" t="str">
        <f>_xll.ohRangeRetrieveError(F51)</f>
        <v/>
      </c>
      <c r="H51" s="149"/>
    </row>
    <row r="52" spans="1:8" x14ac:dyDescent="0.2">
      <c r="A52" s="154"/>
      <c r="B52" s="115">
        <v>50</v>
      </c>
      <c r="C52" s="153" t="b">
        <v>0</v>
      </c>
      <c r="D52" s="152" t="str">
        <v>F8</v>
      </c>
      <c r="E52" s="151" t="str">
        <f t="shared" si="1"/>
        <v>EURFUT1MF8_Quote</v>
      </c>
      <c r="F52" s="150" t="str">
        <f>_xll.qlSimpleQuote(E52,,PriceTickValue,Permanent,Trigger,ObjectOverwrite)</f>
        <v>EURFUT1MF8_Quote#0002</v>
      </c>
      <c r="G52" s="113" t="str">
        <f>_xll.ohRangeRetrieveError(F52)</f>
        <v/>
      </c>
      <c r="H52" s="149"/>
    </row>
    <row r="53" spans="1:8" x14ac:dyDescent="0.2">
      <c r="A53" s="154"/>
      <c r="B53" s="115">
        <v>51</v>
      </c>
      <c r="C53" s="153" t="b">
        <v>0</v>
      </c>
      <c r="D53" s="152" t="str">
        <v>G8</v>
      </c>
      <c r="E53" s="151" t="str">
        <f t="shared" si="1"/>
        <v>EURFUT1MG8_Quote</v>
      </c>
      <c r="F53" s="150" t="str">
        <f>_xll.qlSimpleQuote(E53,,PriceTickValue,Permanent,Trigger,ObjectOverwrite)</f>
        <v>EURFUT1MG8_Quote#0002</v>
      </c>
      <c r="G53" s="113" t="str">
        <f>_xll.ohRangeRetrieveError(F53)</f>
        <v/>
      </c>
      <c r="H53" s="149"/>
    </row>
    <row r="54" spans="1:8" x14ac:dyDescent="0.2">
      <c r="A54" s="154"/>
      <c r="B54" s="115">
        <v>52</v>
      </c>
      <c r="C54" s="153" t="b">
        <v>0</v>
      </c>
      <c r="D54" s="152" t="str">
        <v>H8</v>
      </c>
      <c r="E54" s="151" t="str">
        <f t="shared" si="1"/>
        <v>EURFUT1MH8_Quote</v>
      </c>
      <c r="F54" s="150" t="str">
        <f>_xll.qlSimpleQuote(E54,,PriceTickValue,Permanent,Trigger,ObjectOverwrite)</f>
        <v>EURFUT1MH8_Quote#0002</v>
      </c>
      <c r="G54" s="113" t="str">
        <f>_xll.ohRangeRetrieveError(F54)</f>
        <v/>
      </c>
      <c r="H54" s="149"/>
    </row>
    <row r="55" spans="1:8" x14ac:dyDescent="0.2">
      <c r="A55" s="154"/>
      <c r="B55" s="115">
        <v>53</v>
      </c>
      <c r="C55" s="153" t="b">
        <v>0</v>
      </c>
      <c r="D55" s="152" t="str">
        <v>J8</v>
      </c>
      <c r="E55" s="151" t="str">
        <f t="shared" si="1"/>
        <v>EURFUT1MJ8_Quote</v>
      </c>
      <c r="F55" s="150" t="str">
        <f>_xll.qlSimpleQuote(E55,,PriceTickValue,Permanent,Trigger,ObjectOverwrite)</f>
        <v>EURFUT1MJ8_Quote#0002</v>
      </c>
      <c r="G55" s="113" t="str">
        <f>_xll.ohRangeRetrieveError(F55)</f>
        <v/>
      </c>
      <c r="H55" s="149"/>
    </row>
    <row r="56" spans="1:8" x14ac:dyDescent="0.2">
      <c r="A56" s="154"/>
      <c r="B56" s="115">
        <v>54</v>
      </c>
      <c r="C56" s="153" t="b">
        <v>0</v>
      </c>
      <c r="D56" s="152" t="str">
        <v>K8</v>
      </c>
      <c r="E56" s="151" t="str">
        <f t="shared" si="1"/>
        <v>EURFUT1MK8_Quote</v>
      </c>
      <c r="F56" s="150" t="str">
        <f>_xll.qlSimpleQuote(E56,,PriceTickValue,Permanent,Trigger,ObjectOverwrite)</f>
        <v>EURFUT1MK8_Quote#0002</v>
      </c>
      <c r="G56" s="113" t="str">
        <f>_xll.ohRangeRetrieveError(F56)</f>
        <v/>
      </c>
      <c r="H56" s="149"/>
    </row>
    <row r="57" spans="1:8" x14ac:dyDescent="0.2">
      <c r="A57" s="154"/>
      <c r="B57" s="115">
        <v>55</v>
      </c>
      <c r="C57" s="153" t="b">
        <v>0</v>
      </c>
      <c r="D57" s="152" t="str">
        <v>M8</v>
      </c>
      <c r="E57" s="151" t="str">
        <f t="shared" si="1"/>
        <v>EURFUT1MM8_Quote</v>
      </c>
      <c r="F57" s="150" t="str">
        <f>_xll.qlSimpleQuote(E57,,PriceTickValue,Permanent,Trigger,ObjectOverwrite)</f>
        <v>EURFUT1MM8_Quote#0002</v>
      </c>
      <c r="G57" s="113" t="str">
        <f>_xll.ohRangeRetrieveError(F57)</f>
        <v/>
      </c>
      <c r="H57" s="149"/>
    </row>
    <row r="58" spans="1:8" x14ac:dyDescent="0.2">
      <c r="A58" s="154"/>
      <c r="B58" s="115">
        <v>56</v>
      </c>
      <c r="C58" s="153" t="b">
        <v>0</v>
      </c>
      <c r="D58" s="152" t="str">
        <v>N8</v>
      </c>
      <c r="E58" s="151" t="str">
        <f t="shared" si="1"/>
        <v>EURFUT1MN8_Quote</v>
      </c>
      <c r="F58" s="150" t="str">
        <f>_xll.qlSimpleQuote(E58,,PriceTickValue,Permanent,Trigger,ObjectOverwrite)</f>
        <v>EURFUT1MN8_Quote#0002</v>
      </c>
      <c r="G58" s="113" t="str">
        <f>_xll.ohRangeRetrieveError(F58)</f>
        <v/>
      </c>
      <c r="H58" s="149"/>
    </row>
    <row r="59" spans="1:8" x14ac:dyDescent="0.2">
      <c r="A59" s="154"/>
      <c r="B59" s="115">
        <v>57</v>
      </c>
      <c r="C59" s="153" t="b">
        <v>0</v>
      </c>
      <c r="D59" s="152" t="str">
        <v>Q8</v>
      </c>
      <c r="E59" s="151" t="str">
        <f t="shared" si="1"/>
        <v>EURFUT1MQ8_Quote</v>
      </c>
      <c r="F59" s="150" t="str">
        <f>_xll.qlSimpleQuote(E59,,PriceTickValue,Permanent,Trigger,ObjectOverwrite)</f>
        <v>EURFUT1MQ8_Quote#0002</v>
      </c>
      <c r="G59" s="113" t="str">
        <f>_xll.ohRangeRetrieveError(F59)</f>
        <v/>
      </c>
      <c r="H59" s="149"/>
    </row>
    <row r="60" spans="1:8" x14ac:dyDescent="0.2">
      <c r="A60" s="154"/>
      <c r="B60" s="115">
        <v>58</v>
      </c>
      <c r="C60" s="153" t="b">
        <v>0</v>
      </c>
      <c r="D60" s="152" t="str">
        <v>U8</v>
      </c>
      <c r="E60" s="151" t="str">
        <f t="shared" si="1"/>
        <v>EURFUT1MU8_Quote</v>
      </c>
      <c r="F60" s="150" t="str">
        <f>_xll.qlSimpleQuote(E60,,PriceTickValue,Permanent,Trigger,ObjectOverwrite)</f>
        <v>EURFUT1MU8_Quote#0002</v>
      </c>
      <c r="G60" s="113" t="str">
        <f>_xll.ohRangeRetrieveError(F60)</f>
        <v/>
      </c>
      <c r="H60" s="149"/>
    </row>
    <row r="61" spans="1:8" x14ac:dyDescent="0.2">
      <c r="A61" s="154"/>
      <c r="B61" s="115">
        <v>59</v>
      </c>
      <c r="C61" s="153" t="b">
        <v>0</v>
      </c>
      <c r="D61" s="152" t="str">
        <v>V8</v>
      </c>
      <c r="E61" s="151" t="str">
        <f t="shared" si="1"/>
        <v>EURFUT1MV8_Quote</v>
      </c>
      <c r="F61" s="150" t="str">
        <f>_xll.qlSimpleQuote(E61,,PriceTickValue,Permanent,Trigger,ObjectOverwrite)</f>
        <v>EURFUT1MV8_Quote#0002</v>
      </c>
      <c r="G61" s="113" t="str">
        <f>_xll.ohRangeRetrieveError(F61)</f>
        <v/>
      </c>
      <c r="H61" s="149"/>
    </row>
    <row r="62" spans="1:8" x14ac:dyDescent="0.2">
      <c r="A62" s="154"/>
      <c r="B62" s="115">
        <v>60</v>
      </c>
      <c r="C62" s="153" t="b">
        <v>0</v>
      </c>
      <c r="D62" s="152" t="str">
        <v>X8</v>
      </c>
      <c r="E62" s="151" t="str">
        <f t="shared" si="1"/>
        <v>EURFUT1MX8_Quote</v>
      </c>
      <c r="F62" s="150" t="str">
        <f>_xll.qlSimpleQuote(E62,,PriceTickValue,Permanent,Trigger,ObjectOverwrite)</f>
        <v>EURFUT1MX8_Quote#0002</v>
      </c>
      <c r="G62" s="113" t="str">
        <f>_xll.ohRangeRetrieveError(F62)</f>
        <v/>
      </c>
      <c r="H62" s="149"/>
    </row>
    <row r="63" spans="1:8" x14ac:dyDescent="0.2">
      <c r="A63" s="154"/>
      <c r="B63" s="115">
        <v>61</v>
      </c>
      <c r="C63" s="153" t="b">
        <v>0</v>
      </c>
      <c r="D63" s="152" t="str">
        <v>Z8</v>
      </c>
      <c r="E63" s="151" t="str">
        <f t="shared" si="1"/>
        <v>EURFUT1MZ8_Quote</v>
      </c>
      <c r="F63" s="150" t="str">
        <f>_xll.qlSimpleQuote(E63,,PriceTickValue,Permanent,Trigger,ObjectOverwrite)</f>
        <v>EURFUT1MZ8_Quote#0002</v>
      </c>
      <c r="G63" s="113" t="str">
        <f>_xll.ohRangeRetrieveError(F63)</f>
        <v/>
      </c>
      <c r="H63" s="149"/>
    </row>
    <row r="64" spans="1:8" x14ac:dyDescent="0.2">
      <c r="A64" s="154"/>
      <c r="B64" s="115">
        <v>62</v>
      </c>
      <c r="C64" s="153" t="b">
        <v>0</v>
      </c>
      <c r="D64" s="152" t="str">
        <v>F9</v>
      </c>
      <c r="E64" s="151" t="str">
        <f t="shared" si="1"/>
        <v>EURFUT1MF9_Quote</v>
      </c>
      <c r="F64" s="150" t="str">
        <f>_xll.qlSimpleQuote(E64,,PriceTickValue,Permanent,Trigger,ObjectOverwrite)</f>
        <v>EURFUT1MF9_Quote#0002</v>
      </c>
      <c r="G64" s="113" t="str">
        <f>_xll.ohRangeRetrieveError(F64)</f>
        <v/>
      </c>
      <c r="H64" s="149"/>
    </row>
    <row r="65" spans="1:8" x14ac:dyDescent="0.2">
      <c r="A65" s="154"/>
      <c r="B65" s="115">
        <v>63</v>
      </c>
      <c r="C65" s="153" t="b">
        <v>0</v>
      </c>
      <c r="D65" s="152" t="str">
        <v>G9</v>
      </c>
      <c r="E65" s="151" t="str">
        <f t="shared" si="1"/>
        <v>EURFUT1MG9_Quote</v>
      </c>
      <c r="F65" s="150" t="str">
        <f>_xll.qlSimpleQuote(E65,,PriceTickValue,Permanent,Trigger,ObjectOverwrite)</f>
        <v>EURFUT1MG9_Quote#0002</v>
      </c>
      <c r="G65" s="113" t="str">
        <f>_xll.ohRangeRetrieveError(F65)</f>
        <v/>
      </c>
      <c r="H65" s="149"/>
    </row>
    <row r="66" spans="1:8" x14ac:dyDescent="0.2">
      <c r="A66" s="154"/>
      <c r="B66" s="115">
        <v>64</v>
      </c>
      <c r="C66" s="153" t="b">
        <v>0</v>
      </c>
      <c r="D66" s="152" t="str">
        <v>H9</v>
      </c>
      <c r="E66" s="151" t="str">
        <f t="shared" si="1"/>
        <v>EURFUT1MH9_Quote</v>
      </c>
      <c r="F66" s="150" t="str">
        <f>_xll.qlSimpleQuote(E66,,PriceTickValue,Permanent,Trigger,ObjectOverwrite)</f>
        <v>EURFUT1MH9_Quote#0002</v>
      </c>
      <c r="G66" s="113" t="str">
        <f>_xll.ohRangeRetrieveError(F66)</f>
        <v/>
      </c>
      <c r="H66" s="149"/>
    </row>
    <row r="67" spans="1:8" x14ac:dyDescent="0.2">
      <c r="A67" s="154"/>
      <c r="B67" s="115">
        <v>65</v>
      </c>
      <c r="C67" s="153" t="b">
        <v>0</v>
      </c>
      <c r="D67" s="152" t="str">
        <v>J9</v>
      </c>
      <c r="E67" s="151" t="str">
        <f t="shared" ref="E67:E98" si="2">Currency&amp;$D$1&amp;$E$1&amp;$D67&amp;QuoteSuffix</f>
        <v>EURFUT1MJ9_Quote</v>
      </c>
      <c r="F67" s="150" t="str">
        <f>_xll.qlSimpleQuote(E67,,PriceTickValue,Permanent,Trigger,ObjectOverwrite)</f>
        <v>EURFUT1MJ9_Quote#0002</v>
      </c>
      <c r="G67" s="113" t="str">
        <f>_xll.ohRangeRetrieveError(F67)</f>
        <v/>
      </c>
      <c r="H67" s="149"/>
    </row>
    <row r="68" spans="1:8" x14ac:dyDescent="0.2">
      <c r="A68" s="154"/>
      <c r="B68" s="115">
        <v>66</v>
      </c>
      <c r="C68" s="153" t="b">
        <v>0</v>
      </c>
      <c r="D68" s="152" t="str">
        <v>K9</v>
      </c>
      <c r="E68" s="151" t="str">
        <f t="shared" si="2"/>
        <v>EURFUT1MK9_Quote</v>
      </c>
      <c r="F68" s="150" t="str">
        <f>_xll.qlSimpleQuote(E68,,PriceTickValue,Permanent,Trigger,ObjectOverwrite)</f>
        <v>EURFUT1MK9_Quote#0002</v>
      </c>
      <c r="G68" s="113" t="str">
        <f>_xll.ohRangeRetrieveError(F68)</f>
        <v/>
      </c>
      <c r="H68" s="149"/>
    </row>
    <row r="69" spans="1:8" x14ac:dyDescent="0.2">
      <c r="A69" s="154"/>
      <c r="B69" s="115">
        <v>67</v>
      </c>
      <c r="C69" s="153" t="b">
        <v>0</v>
      </c>
      <c r="D69" s="152" t="str">
        <v>M9</v>
      </c>
      <c r="E69" s="151" t="str">
        <f t="shared" si="2"/>
        <v>EURFUT1MM9_Quote</v>
      </c>
      <c r="F69" s="150" t="str">
        <f>_xll.qlSimpleQuote(E69,,PriceTickValue,Permanent,Trigger,ObjectOverwrite)</f>
        <v>EURFUT1MM9_Quote#0002</v>
      </c>
      <c r="G69" s="113" t="str">
        <f>_xll.ohRangeRetrieveError(F69)</f>
        <v/>
      </c>
      <c r="H69" s="149"/>
    </row>
    <row r="70" spans="1:8" x14ac:dyDescent="0.2">
      <c r="A70" s="154"/>
      <c r="B70" s="115">
        <v>68</v>
      </c>
      <c r="C70" s="153" t="b">
        <v>0</v>
      </c>
      <c r="D70" s="152" t="str">
        <v>N9</v>
      </c>
      <c r="E70" s="151" t="str">
        <f t="shared" si="2"/>
        <v>EURFUT1MN9_Quote</v>
      </c>
      <c r="F70" s="150" t="str">
        <f>_xll.qlSimpleQuote(E70,,PriceTickValue,Permanent,Trigger,ObjectOverwrite)</f>
        <v>EURFUT1MN9_Quote#0002</v>
      </c>
      <c r="G70" s="113" t="str">
        <f>_xll.ohRangeRetrieveError(F70)</f>
        <v/>
      </c>
      <c r="H70" s="149"/>
    </row>
    <row r="71" spans="1:8" x14ac:dyDescent="0.2">
      <c r="A71" s="154"/>
      <c r="B71" s="115">
        <v>69</v>
      </c>
      <c r="C71" s="153" t="b">
        <v>0</v>
      </c>
      <c r="D71" s="152" t="str">
        <v>Q9</v>
      </c>
      <c r="E71" s="151" t="str">
        <f t="shared" si="2"/>
        <v>EURFUT1MQ9_Quote</v>
      </c>
      <c r="F71" s="150" t="str">
        <f>_xll.qlSimpleQuote(E71,,PriceTickValue,Permanent,Trigger,ObjectOverwrite)</f>
        <v>EURFUT1MQ9_Quote#0002</v>
      </c>
      <c r="G71" s="113" t="str">
        <f>_xll.ohRangeRetrieveError(F71)</f>
        <v/>
      </c>
      <c r="H71" s="149"/>
    </row>
    <row r="72" spans="1:8" x14ac:dyDescent="0.2">
      <c r="A72" s="154"/>
      <c r="B72" s="115">
        <v>70</v>
      </c>
      <c r="C72" s="153" t="b">
        <v>0</v>
      </c>
      <c r="D72" s="152" t="str">
        <v>U9</v>
      </c>
      <c r="E72" s="151" t="str">
        <f t="shared" si="2"/>
        <v>EURFUT1MU9_Quote</v>
      </c>
      <c r="F72" s="150" t="str">
        <f>_xll.qlSimpleQuote(E72,,PriceTickValue,Permanent,Trigger,ObjectOverwrite)</f>
        <v>EURFUT1MU9_Quote#0002</v>
      </c>
      <c r="G72" s="113" t="str">
        <f>_xll.ohRangeRetrieveError(F72)</f>
        <v/>
      </c>
      <c r="H72" s="149"/>
    </row>
    <row r="73" spans="1:8" x14ac:dyDescent="0.2">
      <c r="A73" s="154"/>
      <c r="B73" s="115">
        <v>71</v>
      </c>
      <c r="C73" s="153" t="b">
        <v>0</v>
      </c>
      <c r="D73" s="152" t="str">
        <v>V9</v>
      </c>
      <c r="E73" s="151" t="str">
        <f t="shared" si="2"/>
        <v>EURFUT1MV9_Quote</v>
      </c>
      <c r="F73" s="150" t="str">
        <f>_xll.qlSimpleQuote(E73,,PriceTickValue,Permanent,Trigger,ObjectOverwrite)</f>
        <v>EURFUT1MV9_Quote#0002</v>
      </c>
      <c r="G73" s="113" t="str">
        <f>_xll.ohRangeRetrieveError(F73)</f>
        <v/>
      </c>
      <c r="H73" s="149"/>
    </row>
    <row r="74" spans="1:8" x14ac:dyDescent="0.2">
      <c r="A74" s="154"/>
      <c r="B74" s="115">
        <v>72</v>
      </c>
      <c r="C74" s="153" t="b">
        <v>0</v>
      </c>
      <c r="D74" s="152" t="str">
        <v>X9</v>
      </c>
      <c r="E74" s="151" t="str">
        <f t="shared" si="2"/>
        <v>EURFUT1MX9_Quote</v>
      </c>
      <c r="F74" s="150" t="str">
        <f>_xll.qlSimpleQuote(E74,,PriceTickValue,Permanent,Trigger,ObjectOverwrite)</f>
        <v>EURFUT1MX9_Quote#0002</v>
      </c>
      <c r="G74" s="113" t="str">
        <f>_xll.ohRangeRetrieveError(F74)</f>
        <v/>
      </c>
      <c r="H74" s="149"/>
    </row>
    <row r="75" spans="1:8" x14ac:dyDescent="0.2">
      <c r="A75" s="154"/>
      <c r="B75" s="115">
        <v>73</v>
      </c>
      <c r="C75" s="153" t="b">
        <v>0</v>
      </c>
      <c r="D75" s="152" t="str">
        <v>Z9</v>
      </c>
      <c r="E75" s="151" t="str">
        <f t="shared" si="2"/>
        <v>EURFUT1MZ9_Quote</v>
      </c>
      <c r="F75" s="150" t="str">
        <f>_xll.qlSimpleQuote(E75,,PriceTickValue,Permanent,Trigger,ObjectOverwrite)</f>
        <v>EURFUT1MZ9_Quote#0002</v>
      </c>
      <c r="G75" s="113" t="str">
        <f>_xll.ohRangeRetrieveError(F75)</f>
        <v/>
      </c>
      <c r="H75" s="149"/>
    </row>
    <row r="76" spans="1:8" x14ac:dyDescent="0.2">
      <c r="A76" s="154"/>
      <c r="B76" s="115">
        <v>74</v>
      </c>
      <c r="C76" s="153" t="b">
        <v>0</v>
      </c>
      <c r="D76" s="152" t="str">
        <v>F0</v>
      </c>
      <c r="E76" s="151" t="str">
        <f t="shared" si="2"/>
        <v>EURFUT1MF0_Quote</v>
      </c>
      <c r="F76" s="150" t="str">
        <f>_xll.qlSimpleQuote(E76,,PriceTickValue,Permanent,Trigger,ObjectOverwrite)</f>
        <v>EURFUT1MF0_Quote#0002</v>
      </c>
      <c r="G76" s="113" t="str">
        <f>_xll.ohRangeRetrieveError(F76)</f>
        <v/>
      </c>
      <c r="H76" s="149"/>
    </row>
    <row r="77" spans="1:8" x14ac:dyDescent="0.2">
      <c r="A77" s="154"/>
      <c r="B77" s="115">
        <v>75</v>
      </c>
      <c r="C77" s="153" t="b">
        <v>0</v>
      </c>
      <c r="D77" s="152" t="str">
        <v>G0</v>
      </c>
      <c r="E77" s="151" t="str">
        <f t="shared" si="2"/>
        <v>EURFUT1MG0_Quote</v>
      </c>
      <c r="F77" s="150" t="str">
        <f>_xll.qlSimpleQuote(E77,,PriceTickValue,Permanent,Trigger,ObjectOverwrite)</f>
        <v>EURFUT1MG0_Quote#0002</v>
      </c>
      <c r="G77" s="113" t="str">
        <f>_xll.ohRangeRetrieveError(F77)</f>
        <v/>
      </c>
      <c r="H77" s="149"/>
    </row>
    <row r="78" spans="1:8" x14ac:dyDescent="0.2">
      <c r="A78" s="154"/>
      <c r="B78" s="115">
        <v>76</v>
      </c>
      <c r="C78" s="153" t="b">
        <v>0</v>
      </c>
      <c r="D78" s="152" t="str">
        <v>H0</v>
      </c>
      <c r="E78" s="151" t="str">
        <f t="shared" si="2"/>
        <v>EURFUT1MH0_Quote</v>
      </c>
      <c r="F78" s="150" t="str">
        <f>_xll.qlSimpleQuote(E78,,PriceTickValue,Permanent,Trigger,ObjectOverwrite)</f>
        <v>EURFUT1MH0_Quote#0002</v>
      </c>
      <c r="G78" s="113" t="str">
        <f>_xll.ohRangeRetrieveError(F78)</f>
        <v/>
      </c>
      <c r="H78" s="149"/>
    </row>
    <row r="79" spans="1:8" x14ac:dyDescent="0.2">
      <c r="A79" s="154"/>
      <c r="B79" s="115">
        <v>77</v>
      </c>
      <c r="C79" s="153" t="b">
        <v>0</v>
      </c>
      <c r="D79" s="152" t="str">
        <v>J0</v>
      </c>
      <c r="E79" s="151" t="str">
        <f t="shared" si="2"/>
        <v>EURFUT1MJ0_Quote</v>
      </c>
      <c r="F79" s="150" t="str">
        <f>_xll.qlSimpleQuote(E79,,PriceTickValue,Permanent,Trigger,ObjectOverwrite)</f>
        <v>EURFUT1MJ0_Quote#0002</v>
      </c>
      <c r="G79" s="113" t="str">
        <f>_xll.ohRangeRetrieveError(F79)</f>
        <v/>
      </c>
      <c r="H79" s="149"/>
    </row>
    <row r="80" spans="1:8" x14ac:dyDescent="0.2">
      <c r="A80" s="154"/>
      <c r="B80" s="115">
        <v>78</v>
      </c>
      <c r="C80" s="153" t="b">
        <v>0</v>
      </c>
      <c r="D80" s="152" t="str">
        <v>K0</v>
      </c>
      <c r="E80" s="151" t="str">
        <f t="shared" si="2"/>
        <v>EURFUT1MK0_Quote</v>
      </c>
      <c r="F80" s="150" t="str">
        <f>_xll.qlSimpleQuote(E80,,PriceTickValue,Permanent,Trigger,ObjectOverwrite)</f>
        <v>EURFUT1MK0_Quote#0002</v>
      </c>
      <c r="G80" s="113" t="str">
        <f>_xll.ohRangeRetrieveError(F80)</f>
        <v/>
      </c>
      <c r="H80" s="149"/>
    </row>
    <row r="81" spans="1:8" x14ac:dyDescent="0.2">
      <c r="A81" s="154"/>
      <c r="B81" s="115">
        <v>79</v>
      </c>
      <c r="C81" s="153" t="b">
        <v>0</v>
      </c>
      <c r="D81" s="152" t="str">
        <v>M0</v>
      </c>
      <c r="E81" s="151" t="str">
        <f t="shared" si="2"/>
        <v>EURFUT1MM0_Quote</v>
      </c>
      <c r="F81" s="150" t="str">
        <f>_xll.qlSimpleQuote(E81,,PriceTickValue,Permanent,Trigger,ObjectOverwrite)</f>
        <v>EURFUT1MM0_Quote#0002</v>
      </c>
      <c r="G81" s="113" t="str">
        <f>_xll.ohRangeRetrieveError(F81)</f>
        <v/>
      </c>
      <c r="H81" s="149"/>
    </row>
    <row r="82" spans="1:8" x14ac:dyDescent="0.2">
      <c r="A82" s="154"/>
      <c r="B82" s="115">
        <v>80</v>
      </c>
      <c r="C82" s="153" t="b">
        <v>0</v>
      </c>
      <c r="D82" s="152" t="str">
        <v>N0</v>
      </c>
      <c r="E82" s="151" t="str">
        <f t="shared" si="2"/>
        <v>EURFUT1MN0_Quote</v>
      </c>
      <c r="F82" s="150" t="str">
        <f>_xll.qlSimpleQuote(E82,,PriceTickValue,Permanent,Trigger,ObjectOverwrite)</f>
        <v>EURFUT1MN0_Quote#0002</v>
      </c>
      <c r="G82" s="113" t="str">
        <f>_xll.ohRangeRetrieveError(F82)</f>
        <v/>
      </c>
      <c r="H82" s="149"/>
    </row>
    <row r="83" spans="1:8" x14ac:dyDescent="0.2">
      <c r="A83" s="154"/>
      <c r="B83" s="115">
        <v>81</v>
      </c>
      <c r="C83" s="153" t="b">
        <v>0</v>
      </c>
      <c r="D83" s="152" t="str">
        <v>Q0</v>
      </c>
      <c r="E83" s="151" t="str">
        <f t="shared" si="2"/>
        <v>EURFUT1MQ0_Quote</v>
      </c>
      <c r="F83" s="150" t="str">
        <f>_xll.qlSimpleQuote(E83,,PriceTickValue,Permanent,Trigger,ObjectOverwrite)</f>
        <v>EURFUT1MQ0_Quote#0002</v>
      </c>
      <c r="G83" s="113" t="str">
        <f>_xll.ohRangeRetrieveError(F83)</f>
        <v/>
      </c>
      <c r="H83" s="149"/>
    </row>
    <row r="84" spans="1:8" x14ac:dyDescent="0.2">
      <c r="A84" s="154"/>
      <c r="B84" s="115">
        <v>82</v>
      </c>
      <c r="C84" s="153" t="b">
        <v>0</v>
      </c>
      <c r="D84" s="152" t="str">
        <v>U0</v>
      </c>
      <c r="E84" s="151" t="str">
        <f t="shared" si="2"/>
        <v>EURFUT1MU0_Quote</v>
      </c>
      <c r="F84" s="150" t="str">
        <f>_xll.qlSimpleQuote(E84,,PriceTickValue,Permanent,Trigger,ObjectOverwrite)</f>
        <v>EURFUT1MU0_Quote#0002</v>
      </c>
      <c r="G84" s="113" t="str">
        <f>_xll.ohRangeRetrieveError(F84)</f>
        <v/>
      </c>
      <c r="H84" s="149"/>
    </row>
    <row r="85" spans="1:8" x14ac:dyDescent="0.2">
      <c r="A85" s="154"/>
      <c r="B85" s="115">
        <v>83</v>
      </c>
      <c r="C85" s="153" t="b">
        <v>0</v>
      </c>
      <c r="D85" s="152" t="str">
        <v>V0</v>
      </c>
      <c r="E85" s="151" t="str">
        <f t="shared" si="2"/>
        <v>EURFUT1MV0_Quote</v>
      </c>
      <c r="F85" s="150" t="str">
        <f>_xll.qlSimpleQuote(E85,,PriceTickValue,Permanent,Trigger,ObjectOverwrite)</f>
        <v>EURFUT1MV0_Quote#0002</v>
      </c>
      <c r="G85" s="113" t="str">
        <f>_xll.ohRangeRetrieveError(F85)</f>
        <v/>
      </c>
      <c r="H85" s="149"/>
    </row>
    <row r="86" spans="1:8" x14ac:dyDescent="0.2">
      <c r="A86" s="154"/>
      <c r="B86" s="115">
        <v>84</v>
      </c>
      <c r="C86" s="153" t="b">
        <v>0</v>
      </c>
      <c r="D86" s="152" t="str">
        <v>X0</v>
      </c>
      <c r="E86" s="151" t="str">
        <f t="shared" si="2"/>
        <v>EURFUT1MX0_Quote</v>
      </c>
      <c r="F86" s="150" t="str">
        <f>_xll.qlSimpleQuote(E86,,PriceTickValue,Permanent,Trigger,ObjectOverwrite)</f>
        <v>EURFUT1MX0_Quote#0002</v>
      </c>
      <c r="G86" s="113" t="str">
        <f>_xll.ohRangeRetrieveError(F86)</f>
        <v/>
      </c>
      <c r="H86" s="149"/>
    </row>
    <row r="87" spans="1:8" x14ac:dyDescent="0.2">
      <c r="A87" s="154"/>
      <c r="B87" s="115">
        <v>85</v>
      </c>
      <c r="C87" s="153" t="b">
        <v>0</v>
      </c>
      <c r="D87" s="152" t="str">
        <v>Z0</v>
      </c>
      <c r="E87" s="151" t="str">
        <f t="shared" si="2"/>
        <v>EURFUT1MZ0_Quote</v>
      </c>
      <c r="F87" s="150" t="str">
        <f>_xll.qlSimpleQuote(E87,,PriceTickValue,Permanent,Trigger,ObjectOverwrite)</f>
        <v>EURFUT1MZ0_Quote#0002</v>
      </c>
      <c r="G87" s="113" t="str">
        <f>_xll.ohRangeRetrieveError(F87)</f>
        <v/>
      </c>
      <c r="H87" s="149"/>
    </row>
    <row r="88" spans="1:8" x14ac:dyDescent="0.2">
      <c r="A88" s="154"/>
      <c r="B88" s="115">
        <v>86</v>
      </c>
      <c r="C88" s="153" t="b">
        <v>0</v>
      </c>
      <c r="D88" s="152" t="str">
        <v>F1</v>
      </c>
      <c r="E88" s="151" t="str">
        <f t="shared" si="2"/>
        <v>EURFUT1MF1_Quote</v>
      </c>
      <c r="F88" s="150" t="str">
        <f>_xll.qlSimpleQuote(E88,,PriceTickValue,Permanent,Trigger,ObjectOverwrite)</f>
        <v>EURFUT1MF1_Quote#0002</v>
      </c>
      <c r="G88" s="113" t="str">
        <f>_xll.ohRangeRetrieveError(F88)</f>
        <v/>
      </c>
      <c r="H88" s="149"/>
    </row>
    <row r="89" spans="1:8" x14ac:dyDescent="0.2">
      <c r="A89" s="154"/>
      <c r="B89" s="115">
        <v>87</v>
      </c>
      <c r="C89" s="153" t="b">
        <v>0</v>
      </c>
      <c r="D89" s="152" t="str">
        <v>G1</v>
      </c>
      <c r="E89" s="151" t="str">
        <f t="shared" si="2"/>
        <v>EURFUT1MG1_Quote</v>
      </c>
      <c r="F89" s="150" t="str">
        <f>_xll.qlSimpleQuote(E89,,PriceTickValue,Permanent,Trigger,ObjectOverwrite)</f>
        <v>EURFUT1MG1_Quote#0002</v>
      </c>
      <c r="G89" s="113" t="str">
        <f>_xll.ohRangeRetrieveError(F89)</f>
        <v/>
      </c>
      <c r="H89" s="149"/>
    </row>
    <row r="90" spans="1:8" x14ac:dyDescent="0.2">
      <c r="A90" s="154"/>
      <c r="B90" s="115">
        <v>88</v>
      </c>
      <c r="C90" s="153" t="b">
        <v>0</v>
      </c>
      <c r="D90" s="152" t="str">
        <v>H1</v>
      </c>
      <c r="E90" s="151" t="str">
        <f t="shared" si="2"/>
        <v>EURFUT1MH1_Quote</v>
      </c>
      <c r="F90" s="150" t="str">
        <f>_xll.qlSimpleQuote(E90,,PriceTickValue,Permanent,Trigger,ObjectOverwrite)</f>
        <v>EURFUT1MH1_Quote#0002</v>
      </c>
      <c r="G90" s="113" t="str">
        <f>_xll.ohRangeRetrieveError(F90)</f>
        <v/>
      </c>
      <c r="H90" s="149"/>
    </row>
    <row r="91" spans="1:8" x14ac:dyDescent="0.2">
      <c r="A91" s="154"/>
      <c r="B91" s="115">
        <v>89</v>
      </c>
      <c r="C91" s="153" t="b">
        <v>0</v>
      </c>
      <c r="D91" s="152" t="str">
        <v>J1</v>
      </c>
      <c r="E91" s="151" t="str">
        <f t="shared" si="2"/>
        <v>EURFUT1MJ1_Quote</v>
      </c>
      <c r="F91" s="150" t="str">
        <f>_xll.qlSimpleQuote(E91,,PriceTickValue,Permanent,Trigger,ObjectOverwrite)</f>
        <v>EURFUT1MJ1_Quote#0002</v>
      </c>
      <c r="G91" s="113" t="str">
        <f>_xll.ohRangeRetrieveError(F91)</f>
        <v/>
      </c>
      <c r="H91" s="149"/>
    </row>
    <row r="92" spans="1:8" x14ac:dyDescent="0.2">
      <c r="A92" s="154"/>
      <c r="B92" s="115">
        <v>90</v>
      </c>
      <c r="C92" s="153" t="b">
        <v>0</v>
      </c>
      <c r="D92" s="152" t="str">
        <v>K1</v>
      </c>
      <c r="E92" s="151" t="str">
        <f t="shared" si="2"/>
        <v>EURFUT1MK1_Quote</v>
      </c>
      <c r="F92" s="150" t="str">
        <f>_xll.qlSimpleQuote(E92,,PriceTickValue,Permanent,Trigger,ObjectOverwrite)</f>
        <v>EURFUT1MK1_Quote#0002</v>
      </c>
      <c r="G92" s="113" t="str">
        <f>_xll.ohRangeRetrieveError(F92)</f>
        <v/>
      </c>
      <c r="H92" s="149"/>
    </row>
    <row r="93" spans="1:8" x14ac:dyDescent="0.2">
      <c r="A93" s="154"/>
      <c r="B93" s="115">
        <v>91</v>
      </c>
      <c r="C93" s="153" t="b">
        <v>0</v>
      </c>
      <c r="D93" s="152" t="str">
        <v>M1</v>
      </c>
      <c r="E93" s="151" t="str">
        <f t="shared" si="2"/>
        <v>EURFUT1MM1_Quote</v>
      </c>
      <c r="F93" s="150" t="str">
        <f>_xll.qlSimpleQuote(E93,,PriceTickValue,Permanent,Trigger,ObjectOverwrite)</f>
        <v>EURFUT1MM1_Quote#0002</v>
      </c>
      <c r="G93" s="113" t="str">
        <f>_xll.ohRangeRetrieveError(F93)</f>
        <v/>
      </c>
      <c r="H93" s="149"/>
    </row>
    <row r="94" spans="1:8" x14ac:dyDescent="0.2">
      <c r="A94" s="154"/>
      <c r="B94" s="115">
        <v>92</v>
      </c>
      <c r="C94" s="153" t="b">
        <v>0</v>
      </c>
      <c r="D94" s="152" t="str">
        <v>N1</v>
      </c>
      <c r="E94" s="151" t="str">
        <f t="shared" si="2"/>
        <v>EURFUT1MN1_Quote</v>
      </c>
      <c r="F94" s="150" t="str">
        <f>_xll.qlSimpleQuote(E94,,PriceTickValue,Permanent,Trigger,ObjectOverwrite)</f>
        <v>EURFUT1MN1_Quote#0002</v>
      </c>
      <c r="G94" s="113" t="str">
        <f>_xll.ohRangeRetrieveError(F94)</f>
        <v/>
      </c>
      <c r="H94" s="149"/>
    </row>
    <row r="95" spans="1:8" x14ac:dyDescent="0.2">
      <c r="A95" s="154"/>
      <c r="B95" s="115">
        <v>93</v>
      </c>
      <c r="C95" s="153" t="b">
        <v>0</v>
      </c>
      <c r="D95" s="152" t="str">
        <v>Q1</v>
      </c>
      <c r="E95" s="151" t="str">
        <f t="shared" si="2"/>
        <v>EURFUT1MQ1_Quote</v>
      </c>
      <c r="F95" s="150" t="str">
        <f>_xll.qlSimpleQuote(E95,,PriceTickValue,Permanent,Trigger,ObjectOverwrite)</f>
        <v>EURFUT1MQ1_Quote#0002</v>
      </c>
      <c r="G95" s="113" t="str">
        <f>_xll.ohRangeRetrieveError(F95)</f>
        <v/>
      </c>
      <c r="H95" s="149"/>
    </row>
    <row r="96" spans="1:8" x14ac:dyDescent="0.2">
      <c r="A96" s="154"/>
      <c r="B96" s="115">
        <v>94</v>
      </c>
      <c r="C96" s="153" t="b">
        <v>0</v>
      </c>
      <c r="D96" s="152" t="str">
        <v>U1</v>
      </c>
      <c r="E96" s="151" t="str">
        <f t="shared" si="2"/>
        <v>EURFUT1MU1_Quote</v>
      </c>
      <c r="F96" s="150" t="str">
        <f>_xll.qlSimpleQuote(E96,,PriceTickValue,Permanent,Trigger,ObjectOverwrite)</f>
        <v>EURFUT1MU1_Quote#0002</v>
      </c>
      <c r="G96" s="113" t="str">
        <f>_xll.ohRangeRetrieveError(F96)</f>
        <v/>
      </c>
      <c r="H96" s="149"/>
    </row>
    <row r="97" spans="1:8" x14ac:dyDescent="0.2">
      <c r="A97" s="154"/>
      <c r="B97" s="115">
        <v>95</v>
      </c>
      <c r="C97" s="153" t="b">
        <v>0</v>
      </c>
      <c r="D97" s="152" t="str">
        <v>V1</v>
      </c>
      <c r="E97" s="151" t="str">
        <f t="shared" si="2"/>
        <v>EURFUT1MV1_Quote</v>
      </c>
      <c r="F97" s="150" t="str">
        <f>_xll.qlSimpleQuote(E97,,PriceTickValue,Permanent,Trigger,ObjectOverwrite)</f>
        <v>EURFUT1MV1_Quote#0002</v>
      </c>
      <c r="G97" s="113" t="str">
        <f>_xll.ohRangeRetrieveError(F97)</f>
        <v/>
      </c>
      <c r="H97" s="149"/>
    </row>
    <row r="98" spans="1:8" x14ac:dyDescent="0.2">
      <c r="A98" s="154"/>
      <c r="B98" s="115">
        <v>96</v>
      </c>
      <c r="C98" s="153" t="b">
        <v>0</v>
      </c>
      <c r="D98" s="152" t="str">
        <v>X1</v>
      </c>
      <c r="E98" s="151" t="str">
        <f t="shared" si="2"/>
        <v>EURFUT1MX1_Quote</v>
      </c>
      <c r="F98" s="150" t="str">
        <f>_xll.qlSimpleQuote(E98,,PriceTickValue,Permanent,Trigger,ObjectOverwrite)</f>
        <v>EURFUT1MX1_Quote#0002</v>
      </c>
      <c r="G98" s="113" t="str">
        <f>_xll.ohRangeRetrieveError(F98)</f>
        <v/>
      </c>
      <c r="H98" s="149"/>
    </row>
    <row r="99" spans="1:8" x14ac:dyDescent="0.2">
      <c r="A99" s="154"/>
      <c r="B99" s="115">
        <v>97</v>
      </c>
      <c r="C99" s="153" t="b">
        <v>0</v>
      </c>
      <c r="D99" s="152" t="str">
        <v>Z1</v>
      </c>
      <c r="E99" s="151" t="str">
        <f t="shared" ref="E99:E122" si="3">Currency&amp;$D$1&amp;$E$1&amp;$D99&amp;QuoteSuffix</f>
        <v>EURFUT1MZ1_Quote</v>
      </c>
      <c r="F99" s="150" t="str">
        <f>_xll.qlSimpleQuote(E99,,PriceTickValue,Permanent,Trigger,ObjectOverwrite)</f>
        <v>EURFUT1MZ1_Quote#0002</v>
      </c>
      <c r="G99" s="113" t="str">
        <f>_xll.ohRangeRetrieveError(F99)</f>
        <v/>
      </c>
      <c r="H99" s="149"/>
    </row>
    <row r="100" spans="1:8" x14ac:dyDescent="0.2">
      <c r="A100" s="154"/>
      <c r="B100" s="115">
        <v>98</v>
      </c>
      <c r="C100" s="153" t="b">
        <v>0</v>
      </c>
      <c r="D100" s="152" t="str">
        <v>F2</v>
      </c>
      <c r="E100" s="151" t="str">
        <f t="shared" si="3"/>
        <v>EURFUT1MF2_Quote</v>
      </c>
      <c r="F100" s="150" t="str">
        <f>_xll.qlSimpleQuote(E100,,PriceTickValue,Permanent,Trigger,ObjectOverwrite)</f>
        <v>EURFUT1MF2_Quote#0002</v>
      </c>
      <c r="G100" s="113" t="str">
        <f>_xll.ohRangeRetrieveError(F100)</f>
        <v/>
      </c>
      <c r="H100" s="149"/>
    </row>
    <row r="101" spans="1:8" x14ac:dyDescent="0.2">
      <c r="A101" s="154"/>
      <c r="B101" s="115">
        <v>99</v>
      </c>
      <c r="C101" s="153" t="b">
        <v>0</v>
      </c>
      <c r="D101" s="152" t="str">
        <v>G2</v>
      </c>
      <c r="E101" s="151" t="str">
        <f t="shared" si="3"/>
        <v>EURFUT1MG2_Quote</v>
      </c>
      <c r="F101" s="150" t="str">
        <f>_xll.qlSimpleQuote(E101,,PriceTickValue,Permanent,Trigger,ObjectOverwrite)</f>
        <v>EURFUT1MG2_Quote#0002</v>
      </c>
      <c r="G101" s="113" t="str">
        <f>_xll.ohRangeRetrieveError(F101)</f>
        <v/>
      </c>
      <c r="H101" s="149"/>
    </row>
    <row r="102" spans="1:8" x14ac:dyDescent="0.2">
      <c r="A102" s="154"/>
      <c r="B102" s="115">
        <v>100</v>
      </c>
      <c r="C102" s="153" t="b">
        <v>0</v>
      </c>
      <c r="D102" s="152" t="str">
        <v>H2</v>
      </c>
      <c r="E102" s="151" t="str">
        <f t="shared" si="3"/>
        <v>EURFUT1MH2_Quote</v>
      </c>
      <c r="F102" s="150" t="str">
        <f>_xll.qlSimpleQuote(E102,,PriceTickValue,Permanent,Trigger,ObjectOverwrite)</f>
        <v>EURFUT1MH2_Quote#0002</v>
      </c>
      <c r="G102" s="113" t="str">
        <f>_xll.ohRangeRetrieveError(F102)</f>
        <v/>
      </c>
      <c r="H102" s="149"/>
    </row>
    <row r="103" spans="1:8" x14ac:dyDescent="0.2">
      <c r="A103" s="154"/>
      <c r="B103" s="115">
        <v>101</v>
      </c>
      <c r="C103" s="153" t="b">
        <v>0</v>
      </c>
      <c r="D103" s="152" t="str">
        <v>J2</v>
      </c>
      <c r="E103" s="151" t="str">
        <f t="shared" si="3"/>
        <v>EURFUT1MJ2_Quote</v>
      </c>
      <c r="F103" s="150" t="str">
        <f>_xll.qlSimpleQuote(E103,,PriceTickValue,Permanent,Trigger,ObjectOverwrite)</f>
        <v>EURFUT1MJ2_Quote#0002</v>
      </c>
      <c r="G103" s="113" t="str">
        <f>_xll.ohRangeRetrieveError(F103)</f>
        <v/>
      </c>
      <c r="H103" s="149"/>
    </row>
    <row r="104" spans="1:8" x14ac:dyDescent="0.2">
      <c r="A104" s="154"/>
      <c r="B104" s="115">
        <v>102</v>
      </c>
      <c r="C104" s="153" t="b">
        <v>0</v>
      </c>
      <c r="D104" s="152" t="str">
        <v>K2</v>
      </c>
      <c r="E104" s="151" t="str">
        <f t="shared" si="3"/>
        <v>EURFUT1MK2_Quote</v>
      </c>
      <c r="F104" s="150" t="str">
        <f>_xll.qlSimpleQuote(E104,,PriceTickValue,Permanent,Trigger,ObjectOverwrite)</f>
        <v>EURFUT1MK2_Quote#0002</v>
      </c>
      <c r="G104" s="113" t="str">
        <f>_xll.ohRangeRetrieveError(F104)</f>
        <v/>
      </c>
      <c r="H104" s="149"/>
    </row>
    <row r="105" spans="1:8" x14ac:dyDescent="0.2">
      <c r="A105" s="154"/>
      <c r="B105" s="115">
        <v>103</v>
      </c>
      <c r="C105" s="153" t="b">
        <v>0</v>
      </c>
      <c r="D105" s="152" t="str">
        <v>M2</v>
      </c>
      <c r="E105" s="151" t="str">
        <f t="shared" si="3"/>
        <v>EURFUT1MM2_Quote</v>
      </c>
      <c r="F105" s="150" t="str">
        <f>_xll.qlSimpleQuote(E105,,PriceTickValue,Permanent,Trigger,ObjectOverwrite)</f>
        <v>EURFUT1MM2_Quote#0002</v>
      </c>
      <c r="G105" s="113" t="str">
        <f>_xll.ohRangeRetrieveError(F105)</f>
        <v/>
      </c>
      <c r="H105" s="149"/>
    </row>
    <row r="106" spans="1:8" x14ac:dyDescent="0.2">
      <c r="A106" s="154"/>
      <c r="B106" s="115">
        <v>104</v>
      </c>
      <c r="C106" s="153" t="b">
        <v>0</v>
      </c>
      <c r="D106" s="152" t="str">
        <v>N2</v>
      </c>
      <c r="E106" s="151" t="str">
        <f t="shared" si="3"/>
        <v>EURFUT1MN2_Quote</v>
      </c>
      <c r="F106" s="150" t="str">
        <f>_xll.qlSimpleQuote(E106,,PriceTickValue,Permanent,Trigger,ObjectOverwrite)</f>
        <v>EURFUT1MN2_Quote#0002</v>
      </c>
      <c r="G106" s="113" t="str">
        <f>_xll.ohRangeRetrieveError(F106)</f>
        <v/>
      </c>
      <c r="H106" s="149"/>
    </row>
    <row r="107" spans="1:8" x14ac:dyDescent="0.2">
      <c r="A107" s="154"/>
      <c r="B107" s="115">
        <v>105</v>
      </c>
      <c r="C107" s="153" t="b">
        <v>0</v>
      </c>
      <c r="D107" s="152" t="str">
        <v>Q2</v>
      </c>
      <c r="E107" s="151" t="str">
        <f t="shared" si="3"/>
        <v>EURFUT1MQ2_Quote</v>
      </c>
      <c r="F107" s="150" t="str">
        <f>_xll.qlSimpleQuote(E107,,PriceTickValue,Permanent,Trigger,ObjectOverwrite)</f>
        <v>EURFUT1MQ2_Quote#0002</v>
      </c>
      <c r="G107" s="113" t="str">
        <f>_xll.ohRangeRetrieveError(F107)</f>
        <v/>
      </c>
      <c r="H107" s="149"/>
    </row>
    <row r="108" spans="1:8" x14ac:dyDescent="0.2">
      <c r="A108" s="154"/>
      <c r="B108" s="115">
        <v>106</v>
      </c>
      <c r="C108" s="153" t="b">
        <v>0</v>
      </c>
      <c r="D108" s="152" t="str">
        <v>U2</v>
      </c>
      <c r="E108" s="151" t="str">
        <f t="shared" si="3"/>
        <v>EURFUT1MU2_Quote</v>
      </c>
      <c r="F108" s="150" t="str">
        <f>_xll.qlSimpleQuote(E108,,PriceTickValue,Permanent,Trigger,ObjectOverwrite)</f>
        <v>EURFUT1MU2_Quote#0002</v>
      </c>
      <c r="G108" s="113" t="str">
        <f>_xll.ohRangeRetrieveError(F108)</f>
        <v/>
      </c>
      <c r="H108" s="149"/>
    </row>
    <row r="109" spans="1:8" x14ac:dyDescent="0.2">
      <c r="A109" s="154"/>
      <c r="B109" s="115">
        <v>107</v>
      </c>
      <c r="C109" s="153" t="b">
        <v>0</v>
      </c>
      <c r="D109" s="152" t="str">
        <v>V2</v>
      </c>
      <c r="E109" s="151" t="str">
        <f t="shared" si="3"/>
        <v>EURFUT1MV2_Quote</v>
      </c>
      <c r="F109" s="150" t="str">
        <f>_xll.qlSimpleQuote(E109,,PriceTickValue,Permanent,Trigger,ObjectOverwrite)</f>
        <v>EURFUT1MV2_Quote#0002</v>
      </c>
      <c r="G109" s="113" t="str">
        <f>_xll.ohRangeRetrieveError(F109)</f>
        <v/>
      </c>
      <c r="H109" s="149"/>
    </row>
    <row r="110" spans="1:8" x14ac:dyDescent="0.2">
      <c r="A110" s="154"/>
      <c r="B110" s="115">
        <v>108</v>
      </c>
      <c r="C110" s="153" t="b">
        <v>0</v>
      </c>
      <c r="D110" s="152" t="str">
        <v>X2</v>
      </c>
      <c r="E110" s="151" t="str">
        <f t="shared" si="3"/>
        <v>EURFUT1MX2_Quote</v>
      </c>
      <c r="F110" s="150" t="str">
        <f>_xll.qlSimpleQuote(E110,,PriceTickValue,Permanent,Trigger,ObjectOverwrite)</f>
        <v>EURFUT1MX2_Quote#0002</v>
      </c>
      <c r="G110" s="113" t="str">
        <f>_xll.ohRangeRetrieveError(F110)</f>
        <v/>
      </c>
      <c r="H110" s="149"/>
    </row>
    <row r="111" spans="1:8" x14ac:dyDescent="0.2">
      <c r="A111" s="154"/>
      <c r="B111" s="115">
        <v>109</v>
      </c>
      <c r="C111" s="153" t="b">
        <v>0</v>
      </c>
      <c r="D111" s="152" t="str">
        <v>Z2</v>
      </c>
      <c r="E111" s="151" t="str">
        <f t="shared" si="3"/>
        <v>EURFUT1MZ2_Quote</v>
      </c>
      <c r="F111" s="150" t="str">
        <f>_xll.qlSimpleQuote(E111,,PriceTickValue,Permanent,Trigger,ObjectOverwrite)</f>
        <v>EURFUT1MZ2_Quote#0002</v>
      </c>
      <c r="G111" s="113" t="str">
        <f>_xll.ohRangeRetrieveError(F111)</f>
        <v/>
      </c>
      <c r="H111" s="149"/>
    </row>
    <row r="112" spans="1:8" x14ac:dyDescent="0.2">
      <c r="A112" s="154"/>
      <c r="B112" s="115">
        <v>110</v>
      </c>
      <c r="C112" s="153" t="b">
        <v>0</v>
      </c>
      <c r="D112" s="152" t="str">
        <v>F3</v>
      </c>
      <c r="E112" s="151" t="str">
        <f t="shared" si="3"/>
        <v>EURFUT1MF3_Quote</v>
      </c>
      <c r="F112" s="150" t="str">
        <f>_xll.qlSimpleQuote(E112,,PriceTickValue,Permanent,Trigger,ObjectOverwrite)</f>
        <v>EURFUT1MF3_Quote#0002</v>
      </c>
      <c r="G112" s="113" t="str">
        <f>_xll.ohRangeRetrieveError(F112)</f>
        <v/>
      </c>
      <c r="H112" s="149"/>
    </row>
    <row r="113" spans="1:8" x14ac:dyDescent="0.2">
      <c r="A113" s="154"/>
      <c r="B113" s="115">
        <v>111</v>
      </c>
      <c r="C113" s="153" t="b">
        <v>0</v>
      </c>
      <c r="D113" s="152" t="str">
        <v>G3</v>
      </c>
      <c r="E113" s="151" t="str">
        <f t="shared" si="3"/>
        <v>EURFUT1MG3_Quote</v>
      </c>
      <c r="F113" s="150" t="str">
        <f>_xll.qlSimpleQuote(E113,,PriceTickValue,Permanent,Trigger,ObjectOverwrite)</f>
        <v>EURFUT1MG3_Quote#0002</v>
      </c>
      <c r="G113" s="113" t="str">
        <f>_xll.ohRangeRetrieveError(F113)</f>
        <v/>
      </c>
      <c r="H113" s="149"/>
    </row>
    <row r="114" spans="1:8" x14ac:dyDescent="0.2">
      <c r="A114" s="154"/>
      <c r="B114" s="115">
        <v>112</v>
      </c>
      <c r="C114" s="153" t="b">
        <v>0</v>
      </c>
      <c r="D114" s="152" t="str">
        <v>H3</v>
      </c>
      <c r="E114" s="151" t="str">
        <f t="shared" si="3"/>
        <v>EURFUT1MH3_Quote</v>
      </c>
      <c r="F114" s="150" t="str">
        <f>_xll.qlSimpleQuote(E114,,PriceTickValue,Permanent,Trigger,ObjectOverwrite)</f>
        <v>EURFUT1MH3_Quote#0002</v>
      </c>
      <c r="G114" s="113" t="str">
        <f>_xll.ohRangeRetrieveError(F114)</f>
        <v/>
      </c>
      <c r="H114" s="149"/>
    </row>
    <row r="115" spans="1:8" x14ac:dyDescent="0.2">
      <c r="A115" s="154"/>
      <c r="B115" s="115">
        <v>113</v>
      </c>
      <c r="C115" s="153" t="b">
        <v>0</v>
      </c>
      <c r="D115" s="152" t="str">
        <v>J3</v>
      </c>
      <c r="E115" s="151" t="str">
        <f t="shared" si="3"/>
        <v>EURFUT1MJ3_Quote</v>
      </c>
      <c r="F115" s="150" t="str">
        <f>_xll.qlSimpleQuote(E115,,PriceTickValue,Permanent,Trigger,ObjectOverwrite)</f>
        <v>EURFUT1MJ3_Quote#0002</v>
      </c>
      <c r="G115" s="113" t="str">
        <f>_xll.ohRangeRetrieveError(F115)</f>
        <v/>
      </c>
      <c r="H115" s="149"/>
    </row>
    <row r="116" spans="1:8" x14ac:dyDescent="0.2">
      <c r="A116" s="154"/>
      <c r="B116" s="115">
        <v>114</v>
      </c>
      <c r="C116" s="153" t="b">
        <v>0</v>
      </c>
      <c r="D116" s="152" t="str">
        <v>K3</v>
      </c>
      <c r="E116" s="151" t="str">
        <f t="shared" si="3"/>
        <v>EURFUT1MK3_Quote</v>
      </c>
      <c r="F116" s="150" t="str">
        <f>_xll.qlSimpleQuote(E116,,PriceTickValue,Permanent,Trigger,ObjectOverwrite)</f>
        <v>EURFUT1MK3_Quote#0002</v>
      </c>
      <c r="G116" s="113" t="str">
        <f>_xll.ohRangeRetrieveError(F116)</f>
        <v/>
      </c>
      <c r="H116" s="149"/>
    </row>
    <row r="117" spans="1:8" x14ac:dyDescent="0.2">
      <c r="A117" s="154"/>
      <c r="B117" s="115">
        <v>115</v>
      </c>
      <c r="C117" s="153" t="b">
        <v>0</v>
      </c>
      <c r="D117" s="152" t="str">
        <v>M3</v>
      </c>
      <c r="E117" s="151" t="str">
        <f t="shared" si="3"/>
        <v>EURFUT1MM3_Quote</v>
      </c>
      <c r="F117" s="150" t="str">
        <f>_xll.qlSimpleQuote(E117,,PriceTickValue,Permanent,Trigger,ObjectOverwrite)</f>
        <v>EURFUT1MM3_Quote#0002</v>
      </c>
      <c r="G117" s="113" t="str">
        <f>_xll.ohRangeRetrieveError(F117)</f>
        <v/>
      </c>
      <c r="H117" s="149"/>
    </row>
    <row r="118" spans="1:8" x14ac:dyDescent="0.2">
      <c r="A118" s="154"/>
      <c r="B118" s="115">
        <v>116</v>
      </c>
      <c r="C118" s="153" t="b">
        <v>0</v>
      </c>
      <c r="D118" s="152" t="str">
        <v>N3</v>
      </c>
      <c r="E118" s="151" t="str">
        <f t="shared" si="3"/>
        <v>EURFUT1MN3_Quote</v>
      </c>
      <c r="F118" s="150" t="str">
        <f>_xll.qlSimpleQuote(E118,,PriceTickValue,Permanent,Trigger,ObjectOverwrite)</f>
        <v>EURFUT1MN3_Quote#0002</v>
      </c>
      <c r="G118" s="113" t="str">
        <f>_xll.ohRangeRetrieveError(F118)</f>
        <v/>
      </c>
      <c r="H118" s="149"/>
    </row>
    <row r="119" spans="1:8" x14ac:dyDescent="0.2">
      <c r="A119" s="154"/>
      <c r="B119" s="115">
        <v>117</v>
      </c>
      <c r="C119" s="153" t="b">
        <v>0</v>
      </c>
      <c r="D119" s="152" t="str">
        <v>Q3</v>
      </c>
      <c r="E119" s="151" t="str">
        <f t="shared" si="3"/>
        <v>EURFUT1MQ3_Quote</v>
      </c>
      <c r="F119" s="150" t="str">
        <f>_xll.qlSimpleQuote(E119,,PriceTickValue,Permanent,Trigger,ObjectOverwrite)</f>
        <v>EURFUT1MQ3_Quote#0002</v>
      </c>
      <c r="G119" s="113" t="str">
        <f>_xll.ohRangeRetrieveError(F119)</f>
        <v/>
      </c>
      <c r="H119" s="149"/>
    </row>
    <row r="120" spans="1:8" x14ac:dyDescent="0.2">
      <c r="A120" s="154"/>
      <c r="B120" s="115">
        <v>118</v>
      </c>
      <c r="C120" s="153" t="b">
        <v>0</v>
      </c>
      <c r="D120" s="152" t="str">
        <v>U3</v>
      </c>
      <c r="E120" s="151" t="str">
        <f t="shared" si="3"/>
        <v>EURFUT1MU3_Quote</v>
      </c>
      <c r="F120" s="150" t="str">
        <f>_xll.qlSimpleQuote(E120,,PriceTickValue,Permanent,Trigger,ObjectOverwrite)</f>
        <v>EURFUT1MU3_Quote#0002</v>
      </c>
      <c r="G120" s="113" t="str">
        <f>_xll.ohRangeRetrieveError(F120)</f>
        <v/>
      </c>
      <c r="H120" s="149"/>
    </row>
    <row r="121" spans="1:8" x14ac:dyDescent="0.2">
      <c r="A121" s="154"/>
      <c r="B121" s="115">
        <v>119</v>
      </c>
      <c r="C121" s="153" t="b">
        <v>0</v>
      </c>
      <c r="D121" s="152" t="str">
        <v>V3</v>
      </c>
      <c r="E121" s="151" t="str">
        <f t="shared" si="3"/>
        <v>EURFUT1MV3_Quote</v>
      </c>
      <c r="F121" s="150" t="str">
        <f>_xll.qlSimpleQuote(E121,,PriceTickValue,Permanent,Trigger,ObjectOverwrite)</f>
        <v>EURFUT1MV3_Quote#0002</v>
      </c>
      <c r="G121" s="113" t="str">
        <f>_xll.ohRangeRetrieveError(F121)</f>
        <v/>
      </c>
      <c r="H121" s="149"/>
    </row>
    <row r="122" spans="1:8" x14ac:dyDescent="0.2">
      <c r="A122" s="154"/>
      <c r="B122" s="115">
        <v>120</v>
      </c>
      <c r="C122" s="153" t="b">
        <v>0</v>
      </c>
      <c r="D122" s="152" t="str">
        <v>X3</v>
      </c>
      <c r="E122" s="151" t="str">
        <f t="shared" si="3"/>
        <v>EURFUT1MX3_Quote</v>
      </c>
      <c r="F122" s="150" t="str">
        <f>_xll.qlSimpleQuote(E122,,PriceTickValue,Permanent,Trigger,ObjectOverwrite)</f>
        <v>EURFUT1MX3_Quote#0002</v>
      </c>
      <c r="G122" s="113" t="str">
        <f>_xll.ohRangeRetrieveError(F122)</f>
        <v/>
      </c>
      <c r="H122" s="149"/>
    </row>
    <row r="123" spans="1:8" ht="12" thickBot="1" x14ac:dyDescent="0.25">
      <c r="A123" s="148"/>
      <c r="B123" s="147"/>
      <c r="C123" s="147"/>
      <c r="D123" s="147"/>
      <c r="E123" s="147"/>
      <c r="F123" s="147"/>
      <c r="G123" s="147"/>
      <c r="H123" s="146"/>
    </row>
  </sheetData>
  <pageMargins left="0.75" right="0.75" top="1" bottom="1" header="0.5" footer="0.5"/>
  <pageSetup paperSize="9"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H123"/>
  <sheetViews>
    <sheetView workbookViewId="0"/>
  </sheetViews>
  <sheetFormatPr defaultRowHeight="11.25" x14ac:dyDescent="0.2"/>
  <cols>
    <col min="1" max="1" width="3.28515625" style="74" customWidth="1"/>
    <col min="2" max="2" width="3.5703125" style="74" bestFit="1" customWidth="1"/>
    <col min="3" max="3" width="5.7109375" style="74" bestFit="1" customWidth="1"/>
    <col min="4" max="4" width="6.140625" style="74" bestFit="1" customWidth="1"/>
    <col min="5" max="5" width="19.140625" style="74" bestFit="1" customWidth="1"/>
    <col min="6" max="6" width="20.140625" style="74" bestFit="1" customWidth="1"/>
    <col min="7" max="7" width="33.85546875" style="74" customWidth="1"/>
    <col min="8" max="8" width="4.5703125" style="74" customWidth="1"/>
    <col min="9" max="16384" width="9.140625" style="74"/>
  </cols>
  <sheetData>
    <row r="1" spans="1:8" x14ac:dyDescent="0.2">
      <c r="A1" s="165" t="s">
        <v>191</v>
      </c>
      <c r="B1" s="164"/>
      <c r="C1" s="164"/>
      <c r="D1" s="163" t="s">
        <v>189</v>
      </c>
      <c r="E1" s="163" t="s">
        <v>43</v>
      </c>
      <c r="F1" s="162"/>
      <c r="G1" s="162"/>
      <c r="H1" s="161"/>
    </row>
    <row r="2" spans="1:8" ht="22.5" x14ac:dyDescent="0.2">
      <c r="A2" s="160"/>
      <c r="B2" s="99" t="s">
        <v>188</v>
      </c>
      <c r="C2" s="100" t="s">
        <v>187</v>
      </c>
      <c r="D2" s="100" t="s">
        <v>186</v>
      </c>
      <c r="E2" s="98" t="str">
        <f>Currency&amp;"_010_"&amp;$D$1&amp;$E$1&amp;".xml"</f>
        <v>EUR_010_FUT3M.xml</v>
      </c>
      <c r="F2" s="97">
        <f ca="1">IF(Serialize,_xll.ohObjectSave(F3:F122,SerializationPath&amp;E2,FileOverwrite,Serialize),"---")</f>
        <v>120</v>
      </c>
      <c r="G2" s="116" t="str">
        <f ca="1">_xll.ohRangeRetrieveError(F2)</f>
        <v/>
      </c>
      <c r="H2" s="149"/>
    </row>
    <row r="3" spans="1:8" x14ac:dyDescent="0.2">
      <c r="A3" s="154"/>
      <c r="B3" s="159">
        <v>1</v>
      </c>
      <c r="C3" s="158" t="b">
        <v>0</v>
      </c>
      <c r="D3" s="157" t="str">
        <f t="array" ref="D3:D122">_xll.qlIMMNextCodes(_xll.qlSettingsEvaluationDate(Trigger)-1,$C3:$C122)</f>
        <v>Z3</v>
      </c>
      <c r="E3" s="151" t="str">
        <f t="shared" ref="E3:E34" si="0">Currency&amp;$D$1&amp;$E$1&amp;$D3&amp;QuoteSuffix</f>
        <v>EURFUT3MZ3_Quote</v>
      </c>
      <c r="F3" s="156" t="str">
        <f>_xll.qlSimpleQuote(E3,,PriceTickValue,Permanent,Trigger,ObjectOverwrite)</f>
        <v>EURFUT3MZ3_Quote#0002</v>
      </c>
      <c r="G3" s="155" t="str">
        <f>_xll.ohRangeRetrieveError(F3)</f>
        <v/>
      </c>
      <c r="H3" s="149"/>
    </row>
    <row r="4" spans="1:8" x14ac:dyDescent="0.2">
      <c r="A4" s="154"/>
      <c r="B4" s="115">
        <v>2</v>
      </c>
      <c r="C4" s="153" t="b">
        <v>0</v>
      </c>
      <c r="D4" s="152" t="str">
        <v>F4</v>
      </c>
      <c r="E4" s="151" t="str">
        <f t="shared" si="0"/>
        <v>EURFUT3MF4_Quote</v>
      </c>
      <c r="F4" s="150" t="str">
        <f>_xll.qlSimpleQuote(E4,,PriceTickValue,Permanent,Trigger,ObjectOverwrite)</f>
        <v>EURFUT3MF4_Quote#0002</v>
      </c>
      <c r="G4" s="113" t="str">
        <f>_xll.ohRangeRetrieveError(F4)</f>
        <v/>
      </c>
      <c r="H4" s="149"/>
    </row>
    <row r="5" spans="1:8" x14ac:dyDescent="0.2">
      <c r="A5" s="154"/>
      <c r="B5" s="115">
        <v>3</v>
      </c>
      <c r="C5" s="153" t="b">
        <v>0</v>
      </c>
      <c r="D5" s="152" t="str">
        <v>G4</v>
      </c>
      <c r="E5" s="151" t="str">
        <f t="shared" si="0"/>
        <v>EURFUT3MG4_Quote</v>
      </c>
      <c r="F5" s="150" t="str">
        <f>_xll.qlSimpleQuote(E5,,PriceTickValue,Permanent,Trigger,ObjectOverwrite)</f>
        <v>EURFUT3MG4_Quote#0002</v>
      </c>
      <c r="G5" s="113" t="str">
        <f>_xll.ohRangeRetrieveError(F5)</f>
        <v/>
      </c>
      <c r="H5" s="149"/>
    </row>
    <row r="6" spans="1:8" x14ac:dyDescent="0.2">
      <c r="A6" s="154"/>
      <c r="B6" s="115">
        <v>4</v>
      </c>
      <c r="C6" s="153" t="b">
        <v>0</v>
      </c>
      <c r="D6" s="152" t="str">
        <v>H4</v>
      </c>
      <c r="E6" s="151" t="str">
        <f t="shared" si="0"/>
        <v>EURFUT3MH4_Quote</v>
      </c>
      <c r="F6" s="150" t="str">
        <f>_xll.qlSimpleQuote(E6,,PriceTickValue,Permanent,Trigger,ObjectOverwrite)</f>
        <v>EURFUT3MH4_Quote#0002</v>
      </c>
      <c r="G6" s="113" t="str">
        <f>_xll.ohRangeRetrieveError(F6)</f>
        <v/>
      </c>
      <c r="H6" s="149"/>
    </row>
    <row r="7" spans="1:8" x14ac:dyDescent="0.2">
      <c r="A7" s="154"/>
      <c r="B7" s="115">
        <v>5</v>
      </c>
      <c r="C7" s="153" t="b">
        <v>0</v>
      </c>
      <c r="D7" s="152" t="str">
        <v>J4</v>
      </c>
      <c r="E7" s="151" t="str">
        <f t="shared" si="0"/>
        <v>EURFUT3MJ4_Quote</v>
      </c>
      <c r="F7" s="150" t="str">
        <f>_xll.qlSimpleQuote(E7,,PriceTickValue,Permanent,Trigger,ObjectOverwrite)</f>
        <v>EURFUT3MJ4_Quote#0002</v>
      </c>
      <c r="G7" s="113" t="str">
        <f>_xll.ohRangeRetrieveError(F7)</f>
        <v/>
      </c>
      <c r="H7" s="149"/>
    </row>
    <row r="8" spans="1:8" x14ac:dyDescent="0.2">
      <c r="A8" s="154"/>
      <c r="B8" s="115">
        <v>6</v>
      </c>
      <c r="C8" s="153" t="b">
        <v>0</v>
      </c>
      <c r="D8" s="152" t="str">
        <v>K4</v>
      </c>
      <c r="E8" s="151" t="str">
        <f t="shared" si="0"/>
        <v>EURFUT3MK4_Quote</v>
      </c>
      <c r="F8" s="150" t="str">
        <f>_xll.qlSimpleQuote(E8,,PriceTickValue,Permanent,Trigger,ObjectOverwrite)</f>
        <v>EURFUT3MK4_Quote#0002</v>
      </c>
      <c r="G8" s="113" t="str">
        <f>_xll.ohRangeRetrieveError(F8)</f>
        <v/>
      </c>
      <c r="H8" s="149"/>
    </row>
    <row r="9" spans="1:8" x14ac:dyDescent="0.2">
      <c r="A9" s="154"/>
      <c r="B9" s="115">
        <v>7</v>
      </c>
      <c r="C9" s="153" t="b">
        <v>0</v>
      </c>
      <c r="D9" s="152" t="str">
        <v>M4</v>
      </c>
      <c r="E9" s="151" t="str">
        <f t="shared" si="0"/>
        <v>EURFUT3MM4_Quote</v>
      </c>
      <c r="F9" s="150" t="str">
        <f>_xll.qlSimpleQuote(E9,,PriceTickValue,Permanent,Trigger,ObjectOverwrite)</f>
        <v>EURFUT3MM4_Quote#0002</v>
      </c>
      <c r="G9" s="113" t="str">
        <f>_xll.ohRangeRetrieveError(F9)</f>
        <v/>
      </c>
      <c r="H9" s="149"/>
    </row>
    <row r="10" spans="1:8" x14ac:dyDescent="0.2">
      <c r="A10" s="154"/>
      <c r="B10" s="115">
        <v>8</v>
      </c>
      <c r="C10" s="153" t="b">
        <v>0</v>
      </c>
      <c r="D10" s="152" t="str">
        <v>N4</v>
      </c>
      <c r="E10" s="151" t="str">
        <f t="shared" si="0"/>
        <v>EURFUT3MN4_Quote</v>
      </c>
      <c r="F10" s="150" t="str">
        <f>_xll.qlSimpleQuote(E10,,PriceTickValue,Permanent,Trigger,ObjectOverwrite)</f>
        <v>EURFUT3MN4_Quote#0002</v>
      </c>
      <c r="G10" s="113" t="str">
        <f>_xll.ohRangeRetrieveError(F10)</f>
        <v/>
      </c>
      <c r="H10" s="149"/>
    </row>
    <row r="11" spans="1:8" x14ac:dyDescent="0.2">
      <c r="A11" s="154"/>
      <c r="B11" s="115">
        <v>9</v>
      </c>
      <c r="C11" s="153" t="b">
        <v>0</v>
      </c>
      <c r="D11" s="152" t="str">
        <v>Q4</v>
      </c>
      <c r="E11" s="151" t="str">
        <f t="shared" si="0"/>
        <v>EURFUT3MQ4_Quote</v>
      </c>
      <c r="F11" s="150" t="str">
        <f>_xll.qlSimpleQuote(E11,,PriceTickValue,Permanent,Trigger,ObjectOverwrite)</f>
        <v>EURFUT3MQ4_Quote#0002</v>
      </c>
      <c r="G11" s="113" t="str">
        <f>_xll.ohRangeRetrieveError(F11)</f>
        <v/>
      </c>
      <c r="H11" s="149"/>
    </row>
    <row r="12" spans="1:8" x14ac:dyDescent="0.2">
      <c r="A12" s="154"/>
      <c r="B12" s="115">
        <v>10</v>
      </c>
      <c r="C12" s="153" t="b">
        <v>0</v>
      </c>
      <c r="D12" s="152" t="str">
        <v>U4</v>
      </c>
      <c r="E12" s="151" t="str">
        <f t="shared" si="0"/>
        <v>EURFUT3MU4_Quote</v>
      </c>
      <c r="F12" s="150" t="str">
        <f>_xll.qlSimpleQuote(E12,,PriceTickValue,Permanent,Trigger,ObjectOverwrite)</f>
        <v>EURFUT3MU4_Quote#0002</v>
      </c>
      <c r="G12" s="113" t="str">
        <f>_xll.ohRangeRetrieveError(F12)</f>
        <v/>
      </c>
      <c r="H12" s="149"/>
    </row>
    <row r="13" spans="1:8" x14ac:dyDescent="0.2">
      <c r="A13" s="154"/>
      <c r="B13" s="115">
        <v>11</v>
      </c>
      <c r="C13" s="153" t="b">
        <v>0</v>
      </c>
      <c r="D13" s="152" t="str">
        <v>V4</v>
      </c>
      <c r="E13" s="151" t="str">
        <f t="shared" si="0"/>
        <v>EURFUT3MV4_Quote</v>
      </c>
      <c r="F13" s="150" t="str">
        <f>_xll.qlSimpleQuote(E13,,PriceTickValue,Permanent,Trigger,ObjectOverwrite)</f>
        <v>EURFUT3MV4_Quote#0002</v>
      </c>
      <c r="G13" s="113" t="str">
        <f>_xll.ohRangeRetrieveError(F13)</f>
        <v/>
      </c>
      <c r="H13" s="149"/>
    </row>
    <row r="14" spans="1:8" x14ac:dyDescent="0.2">
      <c r="A14" s="154"/>
      <c r="B14" s="115">
        <v>12</v>
      </c>
      <c r="C14" s="153" t="b">
        <v>0</v>
      </c>
      <c r="D14" s="152" t="str">
        <v>X4</v>
      </c>
      <c r="E14" s="151" t="str">
        <f t="shared" si="0"/>
        <v>EURFUT3MX4_Quote</v>
      </c>
      <c r="F14" s="150" t="str">
        <f>_xll.qlSimpleQuote(E14,,PriceTickValue,Permanent,Trigger,ObjectOverwrite)</f>
        <v>EURFUT3MX4_Quote#0002</v>
      </c>
      <c r="G14" s="113" t="str">
        <f>_xll.ohRangeRetrieveError(F14)</f>
        <v/>
      </c>
      <c r="H14" s="149"/>
    </row>
    <row r="15" spans="1:8" x14ac:dyDescent="0.2">
      <c r="A15" s="154"/>
      <c r="B15" s="115">
        <v>13</v>
      </c>
      <c r="C15" s="153" t="b">
        <v>0</v>
      </c>
      <c r="D15" s="152" t="str">
        <v>Z4</v>
      </c>
      <c r="E15" s="151" t="str">
        <f t="shared" si="0"/>
        <v>EURFUT3MZ4_Quote</v>
      </c>
      <c r="F15" s="150" t="str">
        <f>_xll.qlSimpleQuote(E15,,PriceTickValue,Permanent,Trigger,ObjectOverwrite)</f>
        <v>EURFUT3MZ4_Quote#0002</v>
      </c>
      <c r="G15" s="113" t="str">
        <f>_xll.ohRangeRetrieveError(F15)</f>
        <v/>
      </c>
      <c r="H15" s="149"/>
    </row>
    <row r="16" spans="1:8" x14ac:dyDescent="0.2">
      <c r="A16" s="154"/>
      <c r="B16" s="115">
        <v>14</v>
      </c>
      <c r="C16" s="153" t="b">
        <v>0</v>
      </c>
      <c r="D16" s="152" t="str">
        <v>F5</v>
      </c>
      <c r="E16" s="151" t="str">
        <f t="shared" si="0"/>
        <v>EURFUT3MF5_Quote</v>
      </c>
      <c r="F16" s="150" t="str">
        <f>_xll.qlSimpleQuote(E16,,PriceTickValue,Permanent,Trigger,ObjectOverwrite)</f>
        <v>EURFUT3MF5_Quote#0002</v>
      </c>
      <c r="G16" s="113" t="str">
        <f>_xll.ohRangeRetrieveError(F16)</f>
        <v/>
      </c>
      <c r="H16" s="149"/>
    </row>
    <row r="17" spans="1:8" x14ac:dyDescent="0.2">
      <c r="A17" s="154"/>
      <c r="B17" s="115">
        <v>15</v>
      </c>
      <c r="C17" s="153" t="b">
        <v>0</v>
      </c>
      <c r="D17" s="152" t="str">
        <v>G5</v>
      </c>
      <c r="E17" s="151" t="str">
        <f t="shared" si="0"/>
        <v>EURFUT3MG5_Quote</v>
      </c>
      <c r="F17" s="150" t="str">
        <f>_xll.qlSimpleQuote(E17,,PriceTickValue,Permanent,Trigger,ObjectOverwrite)</f>
        <v>EURFUT3MG5_Quote#0002</v>
      </c>
      <c r="G17" s="113" t="str">
        <f>_xll.ohRangeRetrieveError(F17)</f>
        <v/>
      </c>
      <c r="H17" s="149"/>
    </row>
    <row r="18" spans="1:8" x14ac:dyDescent="0.2">
      <c r="A18" s="154"/>
      <c r="B18" s="115">
        <v>16</v>
      </c>
      <c r="C18" s="153" t="b">
        <v>0</v>
      </c>
      <c r="D18" s="152" t="str">
        <v>H5</v>
      </c>
      <c r="E18" s="151" t="str">
        <f t="shared" si="0"/>
        <v>EURFUT3MH5_Quote</v>
      </c>
      <c r="F18" s="150" t="str">
        <f>_xll.qlSimpleQuote(E18,,PriceTickValue,Permanent,Trigger,ObjectOverwrite)</f>
        <v>EURFUT3MH5_Quote#0002</v>
      </c>
      <c r="G18" s="113" t="str">
        <f>_xll.ohRangeRetrieveError(F18)</f>
        <v/>
      </c>
      <c r="H18" s="149"/>
    </row>
    <row r="19" spans="1:8" x14ac:dyDescent="0.2">
      <c r="A19" s="154"/>
      <c r="B19" s="115">
        <v>17</v>
      </c>
      <c r="C19" s="153" t="b">
        <v>0</v>
      </c>
      <c r="D19" s="152" t="str">
        <v>J5</v>
      </c>
      <c r="E19" s="151" t="str">
        <f t="shared" si="0"/>
        <v>EURFUT3MJ5_Quote</v>
      </c>
      <c r="F19" s="150" t="str">
        <f>_xll.qlSimpleQuote(E19,,PriceTickValue,Permanent,Trigger,ObjectOverwrite)</f>
        <v>EURFUT3MJ5_Quote#0002</v>
      </c>
      <c r="G19" s="113" t="str">
        <f>_xll.ohRangeRetrieveError(F19)</f>
        <v/>
      </c>
      <c r="H19" s="149"/>
    </row>
    <row r="20" spans="1:8" x14ac:dyDescent="0.2">
      <c r="A20" s="154"/>
      <c r="B20" s="115">
        <v>18</v>
      </c>
      <c r="C20" s="153" t="b">
        <v>0</v>
      </c>
      <c r="D20" s="152" t="str">
        <v>K5</v>
      </c>
      <c r="E20" s="151" t="str">
        <f t="shared" si="0"/>
        <v>EURFUT3MK5_Quote</v>
      </c>
      <c r="F20" s="150" t="str">
        <f>_xll.qlSimpleQuote(E20,,PriceTickValue,Permanent,Trigger,ObjectOverwrite)</f>
        <v>EURFUT3MK5_Quote#0002</v>
      </c>
      <c r="G20" s="113" t="str">
        <f>_xll.ohRangeRetrieveError(F20)</f>
        <v/>
      </c>
      <c r="H20" s="149"/>
    </row>
    <row r="21" spans="1:8" x14ac:dyDescent="0.2">
      <c r="A21" s="154"/>
      <c r="B21" s="115">
        <v>19</v>
      </c>
      <c r="C21" s="153" t="b">
        <v>0</v>
      </c>
      <c r="D21" s="152" t="str">
        <v>M5</v>
      </c>
      <c r="E21" s="151" t="str">
        <f t="shared" si="0"/>
        <v>EURFUT3MM5_Quote</v>
      </c>
      <c r="F21" s="150" t="str">
        <f>_xll.qlSimpleQuote(E21,,PriceTickValue,Permanent,Trigger,ObjectOverwrite)</f>
        <v>EURFUT3MM5_Quote#0002</v>
      </c>
      <c r="G21" s="113" t="str">
        <f>_xll.ohRangeRetrieveError(F21)</f>
        <v/>
      </c>
      <c r="H21" s="149"/>
    </row>
    <row r="22" spans="1:8" x14ac:dyDescent="0.2">
      <c r="A22" s="154"/>
      <c r="B22" s="115">
        <v>20</v>
      </c>
      <c r="C22" s="153" t="b">
        <v>0</v>
      </c>
      <c r="D22" s="152" t="str">
        <v>N5</v>
      </c>
      <c r="E22" s="151" t="str">
        <f t="shared" si="0"/>
        <v>EURFUT3MN5_Quote</v>
      </c>
      <c r="F22" s="150" t="str">
        <f>_xll.qlSimpleQuote(E22,,PriceTickValue,Permanent,Trigger,ObjectOverwrite)</f>
        <v>EURFUT3MN5_Quote#0002</v>
      </c>
      <c r="G22" s="113" t="str">
        <f>_xll.ohRangeRetrieveError(F22)</f>
        <v/>
      </c>
      <c r="H22" s="149"/>
    </row>
    <row r="23" spans="1:8" x14ac:dyDescent="0.2">
      <c r="A23" s="154"/>
      <c r="B23" s="115">
        <v>21</v>
      </c>
      <c r="C23" s="153" t="b">
        <v>0</v>
      </c>
      <c r="D23" s="152" t="str">
        <v>Q5</v>
      </c>
      <c r="E23" s="151" t="str">
        <f t="shared" si="0"/>
        <v>EURFUT3MQ5_Quote</v>
      </c>
      <c r="F23" s="150" t="str">
        <f>_xll.qlSimpleQuote(E23,,PriceTickValue,Permanent,Trigger,ObjectOverwrite)</f>
        <v>EURFUT3MQ5_Quote#0002</v>
      </c>
      <c r="G23" s="113" t="str">
        <f>_xll.ohRangeRetrieveError(F23)</f>
        <v/>
      </c>
      <c r="H23" s="149"/>
    </row>
    <row r="24" spans="1:8" x14ac:dyDescent="0.2">
      <c r="A24" s="154"/>
      <c r="B24" s="115">
        <v>22</v>
      </c>
      <c r="C24" s="153" t="b">
        <v>0</v>
      </c>
      <c r="D24" s="152" t="str">
        <v>U5</v>
      </c>
      <c r="E24" s="151" t="str">
        <f t="shared" si="0"/>
        <v>EURFUT3MU5_Quote</v>
      </c>
      <c r="F24" s="150" t="str">
        <f>_xll.qlSimpleQuote(E24,,PriceTickValue,Permanent,Trigger,ObjectOverwrite)</f>
        <v>EURFUT3MU5_Quote#0002</v>
      </c>
      <c r="G24" s="113" t="str">
        <f>_xll.ohRangeRetrieveError(F24)</f>
        <v/>
      </c>
      <c r="H24" s="149"/>
    </row>
    <row r="25" spans="1:8" x14ac:dyDescent="0.2">
      <c r="A25" s="154"/>
      <c r="B25" s="115">
        <v>23</v>
      </c>
      <c r="C25" s="153" t="b">
        <v>0</v>
      </c>
      <c r="D25" s="152" t="str">
        <v>V5</v>
      </c>
      <c r="E25" s="151" t="str">
        <f t="shared" si="0"/>
        <v>EURFUT3MV5_Quote</v>
      </c>
      <c r="F25" s="150" t="str">
        <f>_xll.qlSimpleQuote(E25,,PriceTickValue,Permanent,Trigger,ObjectOverwrite)</f>
        <v>EURFUT3MV5_Quote#0002</v>
      </c>
      <c r="G25" s="113" t="str">
        <f>_xll.ohRangeRetrieveError(F25)</f>
        <v/>
      </c>
      <c r="H25" s="149"/>
    </row>
    <row r="26" spans="1:8" x14ac:dyDescent="0.2">
      <c r="A26" s="154"/>
      <c r="B26" s="115">
        <v>24</v>
      </c>
      <c r="C26" s="153" t="b">
        <v>0</v>
      </c>
      <c r="D26" s="152" t="str">
        <v>X5</v>
      </c>
      <c r="E26" s="151" t="str">
        <f t="shared" si="0"/>
        <v>EURFUT3MX5_Quote</v>
      </c>
      <c r="F26" s="150" t="str">
        <f>_xll.qlSimpleQuote(E26,,PriceTickValue,Permanent,Trigger,ObjectOverwrite)</f>
        <v>EURFUT3MX5_Quote#0002</v>
      </c>
      <c r="G26" s="113" t="str">
        <f>_xll.ohRangeRetrieveError(F26)</f>
        <v/>
      </c>
      <c r="H26" s="149"/>
    </row>
    <row r="27" spans="1:8" x14ac:dyDescent="0.2">
      <c r="A27" s="154"/>
      <c r="B27" s="115">
        <v>25</v>
      </c>
      <c r="C27" s="153" t="b">
        <v>0</v>
      </c>
      <c r="D27" s="152" t="str">
        <v>Z5</v>
      </c>
      <c r="E27" s="151" t="str">
        <f t="shared" si="0"/>
        <v>EURFUT3MZ5_Quote</v>
      </c>
      <c r="F27" s="150" t="str">
        <f>_xll.qlSimpleQuote(E27,,PriceTickValue,Permanent,Trigger,ObjectOverwrite)</f>
        <v>EURFUT3MZ5_Quote#0002</v>
      </c>
      <c r="G27" s="113" t="str">
        <f>_xll.ohRangeRetrieveError(F27)</f>
        <v/>
      </c>
      <c r="H27" s="149"/>
    </row>
    <row r="28" spans="1:8" x14ac:dyDescent="0.2">
      <c r="A28" s="154"/>
      <c r="B28" s="115">
        <v>26</v>
      </c>
      <c r="C28" s="153" t="b">
        <v>0</v>
      </c>
      <c r="D28" s="152" t="str">
        <v>F6</v>
      </c>
      <c r="E28" s="151" t="str">
        <f t="shared" si="0"/>
        <v>EURFUT3MF6_Quote</v>
      </c>
      <c r="F28" s="150" t="str">
        <f>_xll.qlSimpleQuote(E28,,PriceTickValue,Permanent,Trigger,ObjectOverwrite)</f>
        <v>EURFUT3MF6_Quote#0002</v>
      </c>
      <c r="G28" s="113" t="str">
        <f>_xll.ohRangeRetrieveError(F28)</f>
        <v/>
      </c>
      <c r="H28" s="149"/>
    </row>
    <row r="29" spans="1:8" x14ac:dyDescent="0.2">
      <c r="A29" s="154"/>
      <c r="B29" s="115">
        <v>27</v>
      </c>
      <c r="C29" s="153" t="b">
        <v>0</v>
      </c>
      <c r="D29" s="152" t="str">
        <v>G6</v>
      </c>
      <c r="E29" s="151" t="str">
        <f t="shared" si="0"/>
        <v>EURFUT3MG6_Quote</v>
      </c>
      <c r="F29" s="150" t="str">
        <f>_xll.qlSimpleQuote(E29,,PriceTickValue,Permanent,Trigger,ObjectOverwrite)</f>
        <v>EURFUT3MG6_Quote#0002</v>
      </c>
      <c r="G29" s="113" t="str">
        <f>_xll.ohRangeRetrieveError(F29)</f>
        <v/>
      </c>
      <c r="H29" s="149"/>
    </row>
    <row r="30" spans="1:8" x14ac:dyDescent="0.2">
      <c r="A30" s="154"/>
      <c r="B30" s="115">
        <v>28</v>
      </c>
      <c r="C30" s="153" t="b">
        <v>0</v>
      </c>
      <c r="D30" s="152" t="str">
        <v>H6</v>
      </c>
      <c r="E30" s="151" t="str">
        <f t="shared" si="0"/>
        <v>EURFUT3MH6_Quote</v>
      </c>
      <c r="F30" s="150" t="str">
        <f>_xll.qlSimpleQuote(E30,,PriceTickValue,Permanent,Trigger,ObjectOverwrite)</f>
        <v>EURFUT3MH6_Quote#0002</v>
      </c>
      <c r="G30" s="113" t="str">
        <f>_xll.ohRangeRetrieveError(F30)</f>
        <v/>
      </c>
      <c r="H30" s="149"/>
    </row>
    <row r="31" spans="1:8" x14ac:dyDescent="0.2">
      <c r="A31" s="154"/>
      <c r="B31" s="115">
        <v>29</v>
      </c>
      <c r="C31" s="153" t="b">
        <v>0</v>
      </c>
      <c r="D31" s="152" t="str">
        <v>J6</v>
      </c>
      <c r="E31" s="151" t="str">
        <f t="shared" si="0"/>
        <v>EURFUT3MJ6_Quote</v>
      </c>
      <c r="F31" s="150" t="str">
        <f>_xll.qlSimpleQuote(E31,,PriceTickValue,Permanent,Trigger,ObjectOverwrite)</f>
        <v>EURFUT3MJ6_Quote#0002</v>
      </c>
      <c r="G31" s="113" t="str">
        <f>_xll.ohRangeRetrieveError(F31)</f>
        <v/>
      </c>
      <c r="H31" s="149"/>
    </row>
    <row r="32" spans="1:8" x14ac:dyDescent="0.2">
      <c r="A32" s="154"/>
      <c r="B32" s="115">
        <v>30</v>
      </c>
      <c r="C32" s="153" t="b">
        <v>0</v>
      </c>
      <c r="D32" s="152" t="str">
        <v>K6</v>
      </c>
      <c r="E32" s="151" t="str">
        <f t="shared" si="0"/>
        <v>EURFUT3MK6_Quote</v>
      </c>
      <c r="F32" s="150" t="str">
        <f>_xll.qlSimpleQuote(E32,,PriceTickValue,Permanent,Trigger,ObjectOverwrite)</f>
        <v>EURFUT3MK6_Quote#0002</v>
      </c>
      <c r="G32" s="113" t="str">
        <f>_xll.ohRangeRetrieveError(F32)</f>
        <v/>
      </c>
      <c r="H32" s="149"/>
    </row>
    <row r="33" spans="1:8" x14ac:dyDescent="0.2">
      <c r="A33" s="154"/>
      <c r="B33" s="115">
        <v>31</v>
      </c>
      <c r="C33" s="153" t="b">
        <v>0</v>
      </c>
      <c r="D33" s="152" t="str">
        <v>M6</v>
      </c>
      <c r="E33" s="151" t="str">
        <f t="shared" si="0"/>
        <v>EURFUT3MM6_Quote</v>
      </c>
      <c r="F33" s="150" t="str">
        <f>_xll.qlSimpleQuote(E33,,PriceTickValue,Permanent,Trigger,ObjectOverwrite)</f>
        <v>EURFUT3MM6_Quote#0002</v>
      </c>
      <c r="G33" s="113" t="str">
        <f>_xll.ohRangeRetrieveError(F33)</f>
        <v/>
      </c>
      <c r="H33" s="149"/>
    </row>
    <row r="34" spans="1:8" x14ac:dyDescent="0.2">
      <c r="A34" s="154"/>
      <c r="B34" s="115">
        <v>32</v>
      </c>
      <c r="C34" s="153" t="b">
        <v>0</v>
      </c>
      <c r="D34" s="152" t="str">
        <v>N6</v>
      </c>
      <c r="E34" s="151" t="str">
        <f t="shared" si="0"/>
        <v>EURFUT3MN6_Quote</v>
      </c>
      <c r="F34" s="150" t="str">
        <f>_xll.qlSimpleQuote(E34,,PriceTickValue,Permanent,Trigger,ObjectOverwrite)</f>
        <v>EURFUT3MN6_Quote#0002</v>
      </c>
      <c r="G34" s="113" t="str">
        <f>_xll.ohRangeRetrieveError(F34)</f>
        <v/>
      </c>
      <c r="H34" s="149"/>
    </row>
    <row r="35" spans="1:8" x14ac:dyDescent="0.2">
      <c r="A35" s="154"/>
      <c r="B35" s="115">
        <v>33</v>
      </c>
      <c r="C35" s="153" t="b">
        <v>0</v>
      </c>
      <c r="D35" s="152" t="str">
        <v>Q6</v>
      </c>
      <c r="E35" s="151" t="str">
        <f t="shared" ref="E35:E66" si="1">Currency&amp;$D$1&amp;$E$1&amp;$D35&amp;QuoteSuffix</f>
        <v>EURFUT3MQ6_Quote</v>
      </c>
      <c r="F35" s="150" t="str">
        <f>_xll.qlSimpleQuote(E35,,PriceTickValue,Permanent,Trigger,ObjectOverwrite)</f>
        <v>EURFUT3MQ6_Quote#0002</v>
      </c>
      <c r="G35" s="113" t="str">
        <f>_xll.ohRangeRetrieveError(F35)</f>
        <v/>
      </c>
      <c r="H35" s="149"/>
    </row>
    <row r="36" spans="1:8" x14ac:dyDescent="0.2">
      <c r="A36" s="154"/>
      <c r="B36" s="115">
        <v>34</v>
      </c>
      <c r="C36" s="153" t="b">
        <v>0</v>
      </c>
      <c r="D36" s="152" t="str">
        <v>U6</v>
      </c>
      <c r="E36" s="151" t="str">
        <f t="shared" si="1"/>
        <v>EURFUT3MU6_Quote</v>
      </c>
      <c r="F36" s="150" t="str">
        <f>_xll.qlSimpleQuote(E36,,PriceTickValue,Permanent,Trigger,ObjectOverwrite)</f>
        <v>EURFUT3MU6_Quote#0002</v>
      </c>
      <c r="G36" s="113" t="str">
        <f>_xll.ohRangeRetrieveError(F36)</f>
        <v/>
      </c>
      <c r="H36" s="149"/>
    </row>
    <row r="37" spans="1:8" x14ac:dyDescent="0.2">
      <c r="A37" s="154"/>
      <c r="B37" s="115">
        <v>35</v>
      </c>
      <c r="C37" s="153" t="b">
        <v>0</v>
      </c>
      <c r="D37" s="152" t="str">
        <v>V6</v>
      </c>
      <c r="E37" s="151" t="str">
        <f t="shared" si="1"/>
        <v>EURFUT3MV6_Quote</v>
      </c>
      <c r="F37" s="150" t="str">
        <f>_xll.qlSimpleQuote(E37,,PriceTickValue,Permanent,Trigger,ObjectOverwrite)</f>
        <v>EURFUT3MV6_Quote#0002</v>
      </c>
      <c r="G37" s="113" t="str">
        <f>_xll.ohRangeRetrieveError(F37)</f>
        <v/>
      </c>
      <c r="H37" s="149"/>
    </row>
    <row r="38" spans="1:8" x14ac:dyDescent="0.2">
      <c r="A38" s="154"/>
      <c r="B38" s="115">
        <v>36</v>
      </c>
      <c r="C38" s="153" t="b">
        <v>0</v>
      </c>
      <c r="D38" s="152" t="str">
        <v>X6</v>
      </c>
      <c r="E38" s="151" t="str">
        <f t="shared" si="1"/>
        <v>EURFUT3MX6_Quote</v>
      </c>
      <c r="F38" s="150" t="str">
        <f>_xll.qlSimpleQuote(E38,,PriceTickValue,Permanent,Trigger,ObjectOverwrite)</f>
        <v>EURFUT3MX6_Quote#0002</v>
      </c>
      <c r="G38" s="113" t="str">
        <f>_xll.ohRangeRetrieveError(F38)</f>
        <v/>
      </c>
      <c r="H38" s="149"/>
    </row>
    <row r="39" spans="1:8" x14ac:dyDescent="0.2">
      <c r="A39" s="154"/>
      <c r="B39" s="115">
        <v>37</v>
      </c>
      <c r="C39" s="153" t="b">
        <v>0</v>
      </c>
      <c r="D39" s="152" t="str">
        <v>Z6</v>
      </c>
      <c r="E39" s="151" t="str">
        <f t="shared" si="1"/>
        <v>EURFUT3MZ6_Quote</v>
      </c>
      <c r="F39" s="150" t="str">
        <f>_xll.qlSimpleQuote(E39,,PriceTickValue,Permanent,Trigger,ObjectOverwrite)</f>
        <v>EURFUT3MZ6_Quote#0002</v>
      </c>
      <c r="G39" s="113" t="str">
        <f>_xll.ohRangeRetrieveError(F39)</f>
        <v/>
      </c>
      <c r="H39" s="149"/>
    </row>
    <row r="40" spans="1:8" x14ac:dyDescent="0.2">
      <c r="A40" s="154"/>
      <c r="B40" s="115">
        <v>38</v>
      </c>
      <c r="C40" s="153" t="b">
        <v>0</v>
      </c>
      <c r="D40" s="152" t="str">
        <v>F7</v>
      </c>
      <c r="E40" s="151" t="str">
        <f t="shared" si="1"/>
        <v>EURFUT3MF7_Quote</v>
      </c>
      <c r="F40" s="150" t="str">
        <f>_xll.qlSimpleQuote(E40,,PriceTickValue,Permanent,Trigger,ObjectOverwrite)</f>
        <v>EURFUT3MF7_Quote#0002</v>
      </c>
      <c r="G40" s="113" t="str">
        <f>_xll.ohRangeRetrieveError(F40)</f>
        <v/>
      </c>
      <c r="H40" s="149"/>
    </row>
    <row r="41" spans="1:8" x14ac:dyDescent="0.2">
      <c r="A41" s="154"/>
      <c r="B41" s="115">
        <v>39</v>
      </c>
      <c r="C41" s="153" t="b">
        <v>0</v>
      </c>
      <c r="D41" s="152" t="str">
        <v>G7</v>
      </c>
      <c r="E41" s="151" t="str">
        <f t="shared" si="1"/>
        <v>EURFUT3MG7_Quote</v>
      </c>
      <c r="F41" s="150" t="str">
        <f>_xll.qlSimpleQuote(E41,,PriceTickValue,Permanent,Trigger,ObjectOverwrite)</f>
        <v>EURFUT3MG7_Quote#0002</v>
      </c>
      <c r="G41" s="113" t="str">
        <f>_xll.ohRangeRetrieveError(F41)</f>
        <v/>
      </c>
      <c r="H41" s="149"/>
    </row>
    <row r="42" spans="1:8" x14ac:dyDescent="0.2">
      <c r="A42" s="154"/>
      <c r="B42" s="115">
        <v>40</v>
      </c>
      <c r="C42" s="153" t="b">
        <v>0</v>
      </c>
      <c r="D42" s="152" t="str">
        <v>H7</v>
      </c>
      <c r="E42" s="151" t="str">
        <f t="shared" si="1"/>
        <v>EURFUT3MH7_Quote</v>
      </c>
      <c r="F42" s="150" t="str">
        <f>_xll.qlSimpleQuote(E42,,PriceTickValue,Permanent,Trigger,ObjectOverwrite)</f>
        <v>EURFUT3MH7_Quote#0002</v>
      </c>
      <c r="G42" s="113" t="str">
        <f>_xll.ohRangeRetrieveError(F42)</f>
        <v/>
      </c>
      <c r="H42" s="149"/>
    </row>
    <row r="43" spans="1:8" x14ac:dyDescent="0.2">
      <c r="A43" s="154"/>
      <c r="B43" s="115">
        <v>41</v>
      </c>
      <c r="C43" s="153" t="b">
        <v>0</v>
      </c>
      <c r="D43" s="152" t="str">
        <v>J7</v>
      </c>
      <c r="E43" s="151" t="str">
        <f t="shared" si="1"/>
        <v>EURFUT3MJ7_Quote</v>
      </c>
      <c r="F43" s="150" t="str">
        <f>_xll.qlSimpleQuote(E43,,PriceTickValue,Permanent,Trigger,ObjectOverwrite)</f>
        <v>EURFUT3MJ7_Quote#0002</v>
      </c>
      <c r="G43" s="113" t="str">
        <f>_xll.ohRangeRetrieveError(F43)</f>
        <v/>
      </c>
      <c r="H43" s="149"/>
    </row>
    <row r="44" spans="1:8" x14ac:dyDescent="0.2">
      <c r="A44" s="154"/>
      <c r="B44" s="115">
        <v>42</v>
      </c>
      <c r="C44" s="153" t="b">
        <v>0</v>
      </c>
      <c r="D44" s="152" t="str">
        <v>K7</v>
      </c>
      <c r="E44" s="151" t="str">
        <f t="shared" si="1"/>
        <v>EURFUT3MK7_Quote</v>
      </c>
      <c r="F44" s="150" t="str">
        <f>_xll.qlSimpleQuote(E44,,PriceTickValue,Permanent,Trigger,ObjectOverwrite)</f>
        <v>EURFUT3MK7_Quote#0002</v>
      </c>
      <c r="G44" s="113" t="str">
        <f>_xll.ohRangeRetrieveError(F44)</f>
        <v/>
      </c>
      <c r="H44" s="149"/>
    </row>
    <row r="45" spans="1:8" x14ac:dyDescent="0.2">
      <c r="A45" s="154"/>
      <c r="B45" s="115">
        <v>43</v>
      </c>
      <c r="C45" s="153" t="b">
        <v>0</v>
      </c>
      <c r="D45" s="152" t="str">
        <v>M7</v>
      </c>
      <c r="E45" s="151" t="str">
        <f t="shared" si="1"/>
        <v>EURFUT3MM7_Quote</v>
      </c>
      <c r="F45" s="150" t="str">
        <f>_xll.qlSimpleQuote(E45,,PriceTickValue,Permanent,Trigger,ObjectOverwrite)</f>
        <v>EURFUT3MM7_Quote#0002</v>
      </c>
      <c r="G45" s="113" t="str">
        <f>_xll.ohRangeRetrieveError(F45)</f>
        <v/>
      </c>
      <c r="H45" s="149"/>
    </row>
    <row r="46" spans="1:8" x14ac:dyDescent="0.2">
      <c r="A46" s="154"/>
      <c r="B46" s="115">
        <v>44</v>
      </c>
      <c r="C46" s="153" t="b">
        <v>0</v>
      </c>
      <c r="D46" s="152" t="str">
        <v>N7</v>
      </c>
      <c r="E46" s="151" t="str">
        <f t="shared" si="1"/>
        <v>EURFUT3MN7_Quote</v>
      </c>
      <c r="F46" s="150" t="str">
        <f>_xll.qlSimpleQuote(E46,,PriceTickValue,Permanent,Trigger,ObjectOverwrite)</f>
        <v>EURFUT3MN7_Quote#0002</v>
      </c>
      <c r="G46" s="113" t="str">
        <f>_xll.ohRangeRetrieveError(F46)</f>
        <v/>
      </c>
      <c r="H46" s="149"/>
    </row>
    <row r="47" spans="1:8" x14ac:dyDescent="0.2">
      <c r="A47" s="154"/>
      <c r="B47" s="115">
        <v>45</v>
      </c>
      <c r="C47" s="153" t="b">
        <v>0</v>
      </c>
      <c r="D47" s="152" t="str">
        <v>Q7</v>
      </c>
      <c r="E47" s="151" t="str">
        <f t="shared" si="1"/>
        <v>EURFUT3MQ7_Quote</v>
      </c>
      <c r="F47" s="150" t="str">
        <f>_xll.qlSimpleQuote(E47,,PriceTickValue,Permanent,Trigger,ObjectOverwrite)</f>
        <v>EURFUT3MQ7_Quote#0002</v>
      </c>
      <c r="G47" s="113" t="str">
        <f>_xll.ohRangeRetrieveError(F47)</f>
        <v/>
      </c>
      <c r="H47" s="149"/>
    </row>
    <row r="48" spans="1:8" x14ac:dyDescent="0.2">
      <c r="A48" s="154"/>
      <c r="B48" s="115">
        <v>46</v>
      </c>
      <c r="C48" s="153" t="b">
        <v>0</v>
      </c>
      <c r="D48" s="152" t="str">
        <v>U7</v>
      </c>
      <c r="E48" s="151" t="str">
        <f t="shared" si="1"/>
        <v>EURFUT3MU7_Quote</v>
      </c>
      <c r="F48" s="150" t="str">
        <f>_xll.qlSimpleQuote(E48,,PriceTickValue,Permanent,Trigger,ObjectOverwrite)</f>
        <v>EURFUT3MU7_Quote#0002</v>
      </c>
      <c r="G48" s="113" t="str">
        <f>_xll.ohRangeRetrieveError(F48)</f>
        <v/>
      </c>
      <c r="H48" s="149"/>
    </row>
    <row r="49" spans="1:8" x14ac:dyDescent="0.2">
      <c r="A49" s="154"/>
      <c r="B49" s="115">
        <v>47</v>
      </c>
      <c r="C49" s="153" t="b">
        <v>0</v>
      </c>
      <c r="D49" s="152" t="str">
        <v>V7</v>
      </c>
      <c r="E49" s="151" t="str">
        <f t="shared" si="1"/>
        <v>EURFUT3MV7_Quote</v>
      </c>
      <c r="F49" s="150" t="str">
        <f>_xll.qlSimpleQuote(E49,,PriceTickValue,Permanent,Trigger,ObjectOverwrite)</f>
        <v>EURFUT3MV7_Quote#0002</v>
      </c>
      <c r="G49" s="113" t="str">
        <f>_xll.ohRangeRetrieveError(F49)</f>
        <v/>
      </c>
      <c r="H49" s="149"/>
    </row>
    <row r="50" spans="1:8" x14ac:dyDescent="0.2">
      <c r="A50" s="154"/>
      <c r="B50" s="115">
        <v>48</v>
      </c>
      <c r="C50" s="153" t="b">
        <v>0</v>
      </c>
      <c r="D50" s="152" t="str">
        <v>X7</v>
      </c>
      <c r="E50" s="151" t="str">
        <f t="shared" si="1"/>
        <v>EURFUT3MX7_Quote</v>
      </c>
      <c r="F50" s="150" t="str">
        <f>_xll.qlSimpleQuote(E50,,PriceTickValue,Permanent,Trigger,ObjectOverwrite)</f>
        <v>EURFUT3MX7_Quote#0002</v>
      </c>
      <c r="G50" s="113" t="str">
        <f>_xll.ohRangeRetrieveError(F50)</f>
        <v/>
      </c>
      <c r="H50" s="149"/>
    </row>
    <row r="51" spans="1:8" x14ac:dyDescent="0.2">
      <c r="A51" s="154"/>
      <c r="B51" s="115">
        <v>49</v>
      </c>
      <c r="C51" s="153" t="b">
        <v>0</v>
      </c>
      <c r="D51" s="152" t="str">
        <v>Z7</v>
      </c>
      <c r="E51" s="151" t="str">
        <f t="shared" si="1"/>
        <v>EURFUT3MZ7_Quote</v>
      </c>
      <c r="F51" s="150" t="str">
        <f>_xll.qlSimpleQuote(E51,,PriceTickValue,Permanent,Trigger,ObjectOverwrite)</f>
        <v>EURFUT3MZ7_Quote#0002</v>
      </c>
      <c r="G51" s="113" t="str">
        <f>_xll.ohRangeRetrieveError(F51)</f>
        <v/>
      </c>
      <c r="H51" s="149"/>
    </row>
    <row r="52" spans="1:8" x14ac:dyDescent="0.2">
      <c r="A52" s="154"/>
      <c r="B52" s="115">
        <v>50</v>
      </c>
      <c r="C52" s="153" t="b">
        <v>0</v>
      </c>
      <c r="D52" s="152" t="str">
        <v>F8</v>
      </c>
      <c r="E52" s="151" t="str">
        <f t="shared" si="1"/>
        <v>EURFUT3MF8_Quote</v>
      </c>
      <c r="F52" s="150" t="str">
        <f>_xll.qlSimpleQuote(E52,,PriceTickValue,Permanent,Trigger,ObjectOverwrite)</f>
        <v>EURFUT3MF8_Quote#0002</v>
      </c>
      <c r="G52" s="113" t="str">
        <f>_xll.ohRangeRetrieveError(F52)</f>
        <v/>
      </c>
      <c r="H52" s="149"/>
    </row>
    <row r="53" spans="1:8" x14ac:dyDescent="0.2">
      <c r="A53" s="154"/>
      <c r="B53" s="115">
        <v>51</v>
      </c>
      <c r="C53" s="153" t="b">
        <v>0</v>
      </c>
      <c r="D53" s="152" t="str">
        <v>G8</v>
      </c>
      <c r="E53" s="151" t="str">
        <f t="shared" si="1"/>
        <v>EURFUT3MG8_Quote</v>
      </c>
      <c r="F53" s="150" t="str">
        <f>_xll.qlSimpleQuote(E53,,PriceTickValue,Permanent,Trigger,ObjectOverwrite)</f>
        <v>EURFUT3MG8_Quote#0002</v>
      </c>
      <c r="G53" s="113" t="str">
        <f>_xll.ohRangeRetrieveError(F53)</f>
        <v/>
      </c>
      <c r="H53" s="149"/>
    </row>
    <row r="54" spans="1:8" x14ac:dyDescent="0.2">
      <c r="A54" s="154"/>
      <c r="B54" s="115">
        <v>52</v>
      </c>
      <c r="C54" s="153" t="b">
        <v>0</v>
      </c>
      <c r="D54" s="152" t="str">
        <v>H8</v>
      </c>
      <c r="E54" s="151" t="str">
        <f t="shared" si="1"/>
        <v>EURFUT3MH8_Quote</v>
      </c>
      <c r="F54" s="150" t="str">
        <f>_xll.qlSimpleQuote(E54,,PriceTickValue,Permanent,Trigger,ObjectOverwrite)</f>
        <v>EURFUT3MH8_Quote#0002</v>
      </c>
      <c r="G54" s="113" t="str">
        <f>_xll.ohRangeRetrieveError(F54)</f>
        <v/>
      </c>
      <c r="H54" s="149"/>
    </row>
    <row r="55" spans="1:8" x14ac:dyDescent="0.2">
      <c r="A55" s="154"/>
      <c r="B55" s="115">
        <v>53</v>
      </c>
      <c r="C55" s="153" t="b">
        <v>0</v>
      </c>
      <c r="D55" s="152" t="str">
        <v>J8</v>
      </c>
      <c r="E55" s="151" t="str">
        <f t="shared" si="1"/>
        <v>EURFUT3MJ8_Quote</v>
      </c>
      <c r="F55" s="150" t="str">
        <f>_xll.qlSimpleQuote(E55,,PriceTickValue,Permanent,Trigger,ObjectOverwrite)</f>
        <v>EURFUT3MJ8_Quote#0002</v>
      </c>
      <c r="G55" s="113" t="str">
        <f>_xll.ohRangeRetrieveError(F55)</f>
        <v/>
      </c>
      <c r="H55" s="149"/>
    </row>
    <row r="56" spans="1:8" x14ac:dyDescent="0.2">
      <c r="A56" s="154"/>
      <c r="B56" s="115">
        <v>54</v>
      </c>
      <c r="C56" s="153" t="b">
        <v>0</v>
      </c>
      <c r="D56" s="152" t="str">
        <v>K8</v>
      </c>
      <c r="E56" s="151" t="str">
        <f t="shared" si="1"/>
        <v>EURFUT3MK8_Quote</v>
      </c>
      <c r="F56" s="150" t="str">
        <f>_xll.qlSimpleQuote(E56,,PriceTickValue,Permanent,Trigger,ObjectOverwrite)</f>
        <v>EURFUT3MK8_Quote#0002</v>
      </c>
      <c r="G56" s="113" t="str">
        <f>_xll.ohRangeRetrieveError(F56)</f>
        <v/>
      </c>
      <c r="H56" s="149"/>
    </row>
    <row r="57" spans="1:8" x14ac:dyDescent="0.2">
      <c r="A57" s="154"/>
      <c r="B57" s="115">
        <v>55</v>
      </c>
      <c r="C57" s="153" t="b">
        <v>0</v>
      </c>
      <c r="D57" s="152" t="str">
        <v>M8</v>
      </c>
      <c r="E57" s="151" t="str">
        <f t="shared" si="1"/>
        <v>EURFUT3MM8_Quote</v>
      </c>
      <c r="F57" s="150" t="str">
        <f>_xll.qlSimpleQuote(E57,,PriceTickValue,Permanent,Trigger,ObjectOverwrite)</f>
        <v>EURFUT3MM8_Quote#0002</v>
      </c>
      <c r="G57" s="113" t="str">
        <f>_xll.ohRangeRetrieveError(F57)</f>
        <v/>
      </c>
      <c r="H57" s="149"/>
    </row>
    <row r="58" spans="1:8" x14ac:dyDescent="0.2">
      <c r="A58" s="154"/>
      <c r="B58" s="115">
        <v>56</v>
      </c>
      <c r="C58" s="153" t="b">
        <v>0</v>
      </c>
      <c r="D58" s="152" t="str">
        <v>N8</v>
      </c>
      <c r="E58" s="151" t="str">
        <f t="shared" si="1"/>
        <v>EURFUT3MN8_Quote</v>
      </c>
      <c r="F58" s="150" t="str">
        <f>_xll.qlSimpleQuote(E58,,PriceTickValue,Permanent,Trigger,ObjectOverwrite)</f>
        <v>EURFUT3MN8_Quote#0002</v>
      </c>
      <c r="G58" s="113" t="str">
        <f>_xll.ohRangeRetrieveError(F58)</f>
        <v/>
      </c>
      <c r="H58" s="149"/>
    </row>
    <row r="59" spans="1:8" x14ac:dyDescent="0.2">
      <c r="A59" s="154"/>
      <c r="B59" s="115">
        <v>57</v>
      </c>
      <c r="C59" s="153" t="b">
        <v>0</v>
      </c>
      <c r="D59" s="152" t="str">
        <v>Q8</v>
      </c>
      <c r="E59" s="151" t="str">
        <f t="shared" si="1"/>
        <v>EURFUT3MQ8_Quote</v>
      </c>
      <c r="F59" s="150" t="str">
        <f>_xll.qlSimpleQuote(E59,,PriceTickValue,Permanent,Trigger,ObjectOverwrite)</f>
        <v>EURFUT3MQ8_Quote#0002</v>
      </c>
      <c r="G59" s="113" t="str">
        <f>_xll.ohRangeRetrieveError(F59)</f>
        <v/>
      </c>
      <c r="H59" s="149"/>
    </row>
    <row r="60" spans="1:8" x14ac:dyDescent="0.2">
      <c r="A60" s="154"/>
      <c r="B60" s="115">
        <v>58</v>
      </c>
      <c r="C60" s="153" t="b">
        <v>0</v>
      </c>
      <c r="D60" s="152" t="str">
        <v>U8</v>
      </c>
      <c r="E60" s="151" t="str">
        <f t="shared" si="1"/>
        <v>EURFUT3MU8_Quote</v>
      </c>
      <c r="F60" s="150" t="str">
        <f>_xll.qlSimpleQuote(E60,,PriceTickValue,Permanent,Trigger,ObjectOverwrite)</f>
        <v>EURFUT3MU8_Quote#0002</v>
      </c>
      <c r="G60" s="113" t="str">
        <f>_xll.ohRangeRetrieveError(F60)</f>
        <v/>
      </c>
      <c r="H60" s="149"/>
    </row>
    <row r="61" spans="1:8" x14ac:dyDescent="0.2">
      <c r="A61" s="154"/>
      <c r="B61" s="115">
        <v>59</v>
      </c>
      <c r="C61" s="153" t="b">
        <v>0</v>
      </c>
      <c r="D61" s="152" t="str">
        <v>V8</v>
      </c>
      <c r="E61" s="151" t="str">
        <f t="shared" si="1"/>
        <v>EURFUT3MV8_Quote</v>
      </c>
      <c r="F61" s="150" t="str">
        <f>_xll.qlSimpleQuote(E61,,PriceTickValue,Permanent,Trigger,ObjectOverwrite)</f>
        <v>EURFUT3MV8_Quote#0002</v>
      </c>
      <c r="G61" s="113" t="str">
        <f>_xll.ohRangeRetrieveError(F61)</f>
        <v/>
      </c>
      <c r="H61" s="149"/>
    </row>
    <row r="62" spans="1:8" x14ac:dyDescent="0.2">
      <c r="A62" s="154"/>
      <c r="B62" s="115">
        <v>60</v>
      </c>
      <c r="C62" s="153" t="b">
        <v>0</v>
      </c>
      <c r="D62" s="152" t="str">
        <v>X8</v>
      </c>
      <c r="E62" s="151" t="str">
        <f t="shared" si="1"/>
        <v>EURFUT3MX8_Quote</v>
      </c>
      <c r="F62" s="150" t="str">
        <f>_xll.qlSimpleQuote(E62,,PriceTickValue,Permanent,Trigger,ObjectOverwrite)</f>
        <v>EURFUT3MX8_Quote#0002</v>
      </c>
      <c r="G62" s="113" t="str">
        <f>_xll.ohRangeRetrieveError(F62)</f>
        <v/>
      </c>
      <c r="H62" s="149"/>
    </row>
    <row r="63" spans="1:8" x14ac:dyDescent="0.2">
      <c r="A63" s="154"/>
      <c r="B63" s="115">
        <v>61</v>
      </c>
      <c r="C63" s="153" t="b">
        <v>0</v>
      </c>
      <c r="D63" s="152" t="str">
        <v>Z8</v>
      </c>
      <c r="E63" s="151" t="str">
        <f t="shared" si="1"/>
        <v>EURFUT3MZ8_Quote</v>
      </c>
      <c r="F63" s="150" t="str">
        <f>_xll.qlSimpleQuote(E63,,PriceTickValue,Permanent,Trigger,ObjectOverwrite)</f>
        <v>EURFUT3MZ8_Quote#0002</v>
      </c>
      <c r="G63" s="113" t="str">
        <f>_xll.ohRangeRetrieveError(F63)</f>
        <v/>
      </c>
      <c r="H63" s="149"/>
    </row>
    <row r="64" spans="1:8" x14ac:dyDescent="0.2">
      <c r="A64" s="154"/>
      <c r="B64" s="115">
        <v>62</v>
      </c>
      <c r="C64" s="153" t="b">
        <v>0</v>
      </c>
      <c r="D64" s="152" t="str">
        <v>F9</v>
      </c>
      <c r="E64" s="151" t="str">
        <f t="shared" si="1"/>
        <v>EURFUT3MF9_Quote</v>
      </c>
      <c r="F64" s="150" t="str">
        <f>_xll.qlSimpleQuote(E64,,PriceTickValue,Permanent,Trigger,ObjectOverwrite)</f>
        <v>EURFUT3MF9_Quote#0002</v>
      </c>
      <c r="G64" s="113" t="str">
        <f>_xll.ohRangeRetrieveError(F64)</f>
        <v/>
      </c>
      <c r="H64" s="149"/>
    </row>
    <row r="65" spans="1:8" x14ac:dyDescent="0.2">
      <c r="A65" s="154"/>
      <c r="B65" s="115">
        <v>63</v>
      </c>
      <c r="C65" s="153" t="b">
        <v>0</v>
      </c>
      <c r="D65" s="152" t="str">
        <v>G9</v>
      </c>
      <c r="E65" s="151" t="str">
        <f t="shared" si="1"/>
        <v>EURFUT3MG9_Quote</v>
      </c>
      <c r="F65" s="150" t="str">
        <f>_xll.qlSimpleQuote(E65,,PriceTickValue,Permanent,Trigger,ObjectOverwrite)</f>
        <v>EURFUT3MG9_Quote#0002</v>
      </c>
      <c r="G65" s="113" t="str">
        <f>_xll.ohRangeRetrieveError(F65)</f>
        <v/>
      </c>
      <c r="H65" s="149"/>
    </row>
    <row r="66" spans="1:8" x14ac:dyDescent="0.2">
      <c r="A66" s="154"/>
      <c r="B66" s="115">
        <v>64</v>
      </c>
      <c r="C66" s="153" t="b">
        <v>0</v>
      </c>
      <c r="D66" s="152" t="str">
        <v>H9</v>
      </c>
      <c r="E66" s="151" t="str">
        <f t="shared" si="1"/>
        <v>EURFUT3MH9_Quote</v>
      </c>
      <c r="F66" s="150" t="str">
        <f>_xll.qlSimpleQuote(E66,,PriceTickValue,Permanent,Trigger,ObjectOverwrite)</f>
        <v>EURFUT3MH9_Quote#0002</v>
      </c>
      <c r="G66" s="113" t="str">
        <f>_xll.ohRangeRetrieveError(F66)</f>
        <v/>
      </c>
      <c r="H66" s="149"/>
    </row>
    <row r="67" spans="1:8" x14ac:dyDescent="0.2">
      <c r="A67" s="154"/>
      <c r="B67" s="115">
        <v>65</v>
      </c>
      <c r="C67" s="153" t="b">
        <v>0</v>
      </c>
      <c r="D67" s="152" t="str">
        <v>J9</v>
      </c>
      <c r="E67" s="151" t="str">
        <f t="shared" ref="E67:E98" si="2">Currency&amp;$D$1&amp;$E$1&amp;$D67&amp;QuoteSuffix</f>
        <v>EURFUT3MJ9_Quote</v>
      </c>
      <c r="F67" s="150" t="str">
        <f>_xll.qlSimpleQuote(E67,,PriceTickValue,Permanent,Trigger,ObjectOverwrite)</f>
        <v>EURFUT3MJ9_Quote#0002</v>
      </c>
      <c r="G67" s="113" t="str">
        <f>_xll.ohRangeRetrieveError(F67)</f>
        <v/>
      </c>
      <c r="H67" s="149"/>
    </row>
    <row r="68" spans="1:8" x14ac:dyDescent="0.2">
      <c r="A68" s="154"/>
      <c r="B68" s="115">
        <v>66</v>
      </c>
      <c r="C68" s="153" t="b">
        <v>0</v>
      </c>
      <c r="D68" s="152" t="str">
        <v>K9</v>
      </c>
      <c r="E68" s="151" t="str">
        <f t="shared" si="2"/>
        <v>EURFUT3MK9_Quote</v>
      </c>
      <c r="F68" s="150" t="str">
        <f>_xll.qlSimpleQuote(E68,,PriceTickValue,Permanent,Trigger,ObjectOverwrite)</f>
        <v>EURFUT3MK9_Quote#0002</v>
      </c>
      <c r="G68" s="113" t="str">
        <f>_xll.ohRangeRetrieveError(F68)</f>
        <v/>
      </c>
      <c r="H68" s="149"/>
    </row>
    <row r="69" spans="1:8" x14ac:dyDescent="0.2">
      <c r="A69" s="154"/>
      <c r="B69" s="115">
        <v>67</v>
      </c>
      <c r="C69" s="153" t="b">
        <v>0</v>
      </c>
      <c r="D69" s="152" t="str">
        <v>M9</v>
      </c>
      <c r="E69" s="151" t="str">
        <f t="shared" si="2"/>
        <v>EURFUT3MM9_Quote</v>
      </c>
      <c r="F69" s="150" t="str">
        <f>_xll.qlSimpleQuote(E69,,PriceTickValue,Permanent,Trigger,ObjectOverwrite)</f>
        <v>EURFUT3MM9_Quote#0002</v>
      </c>
      <c r="G69" s="113" t="str">
        <f>_xll.ohRangeRetrieveError(F69)</f>
        <v/>
      </c>
      <c r="H69" s="149"/>
    </row>
    <row r="70" spans="1:8" x14ac:dyDescent="0.2">
      <c r="A70" s="154"/>
      <c r="B70" s="115">
        <v>68</v>
      </c>
      <c r="C70" s="153" t="b">
        <v>0</v>
      </c>
      <c r="D70" s="152" t="str">
        <v>N9</v>
      </c>
      <c r="E70" s="151" t="str">
        <f t="shared" si="2"/>
        <v>EURFUT3MN9_Quote</v>
      </c>
      <c r="F70" s="150" t="str">
        <f>_xll.qlSimpleQuote(E70,,PriceTickValue,Permanent,Trigger,ObjectOverwrite)</f>
        <v>EURFUT3MN9_Quote#0002</v>
      </c>
      <c r="G70" s="113" t="str">
        <f>_xll.ohRangeRetrieveError(F70)</f>
        <v/>
      </c>
      <c r="H70" s="149"/>
    </row>
    <row r="71" spans="1:8" x14ac:dyDescent="0.2">
      <c r="A71" s="154"/>
      <c r="B71" s="115">
        <v>69</v>
      </c>
      <c r="C71" s="153" t="b">
        <v>0</v>
      </c>
      <c r="D71" s="152" t="str">
        <v>Q9</v>
      </c>
      <c r="E71" s="151" t="str">
        <f t="shared" si="2"/>
        <v>EURFUT3MQ9_Quote</v>
      </c>
      <c r="F71" s="150" t="str">
        <f>_xll.qlSimpleQuote(E71,,PriceTickValue,Permanent,Trigger,ObjectOverwrite)</f>
        <v>EURFUT3MQ9_Quote#0002</v>
      </c>
      <c r="G71" s="113" t="str">
        <f>_xll.ohRangeRetrieveError(F71)</f>
        <v/>
      </c>
      <c r="H71" s="149"/>
    </row>
    <row r="72" spans="1:8" x14ac:dyDescent="0.2">
      <c r="A72" s="154"/>
      <c r="B72" s="115">
        <v>70</v>
      </c>
      <c r="C72" s="153" t="b">
        <v>0</v>
      </c>
      <c r="D72" s="152" t="str">
        <v>U9</v>
      </c>
      <c r="E72" s="151" t="str">
        <f t="shared" si="2"/>
        <v>EURFUT3MU9_Quote</v>
      </c>
      <c r="F72" s="150" t="str">
        <f>_xll.qlSimpleQuote(E72,,PriceTickValue,Permanent,Trigger,ObjectOverwrite)</f>
        <v>EURFUT3MU9_Quote#0002</v>
      </c>
      <c r="G72" s="113" t="str">
        <f>_xll.ohRangeRetrieveError(F72)</f>
        <v/>
      </c>
      <c r="H72" s="149"/>
    </row>
    <row r="73" spans="1:8" x14ac:dyDescent="0.2">
      <c r="A73" s="154"/>
      <c r="B73" s="115">
        <v>71</v>
      </c>
      <c r="C73" s="153" t="b">
        <v>0</v>
      </c>
      <c r="D73" s="152" t="str">
        <v>V9</v>
      </c>
      <c r="E73" s="151" t="str">
        <f t="shared" si="2"/>
        <v>EURFUT3MV9_Quote</v>
      </c>
      <c r="F73" s="150" t="str">
        <f>_xll.qlSimpleQuote(E73,,PriceTickValue,Permanent,Trigger,ObjectOverwrite)</f>
        <v>EURFUT3MV9_Quote#0002</v>
      </c>
      <c r="G73" s="113" t="str">
        <f>_xll.ohRangeRetrieveError(F73)</f>
        <v/>
      </c>
      <c r="H73" s="149"/>
    </row>
    <row r="74" spans="1:8" x14ac:dyDescent="0.2">
      <c r="A74" s="154"/>
      <c r="B74" s="115">
        <v>72</v>
      </c>
      <c r="C74" s="153" t="b">
        <v>0</v>
      </c>
      <c r="D74" s="152" t="str">
        <v>X9</v>
      </c>
      <c r="E74" s="151" t="str">
        <f t="shared" si="2"/>
        <v>EURFUT3MX9_Quote</v>
      </c>
      <c r="F74" s="150" t="str">
        <f>_xll.qlSimpleQuote(E74,,PriceTickValue,Permanent,Trigger,ObjectOverwrite)</f>
        <v>EURFUT3MX9_Quote#0002</v>
      </c>
      <c r="G74" s="113" t="str">
        <f>_xll.ohRangeRetrieveError(F74)</f>
        <v/>
      </c>
      <c r="H74" s="149"/>
    </row>
    <row r="75" spans="1:8" x14ac:dyDescent="0.2">
      <c r="A75" s="154"/>
      <c r="B75" s="115">
        <v>73</v>
      </c>
      <c r="C75" s="153" t="b">
        <v>0</v>
      </c>
      <c r="D75" s="152" t="str">
        <v>Z9</v>
      </c>
      <c r="E75" s="151" t="str">
        <f t="shared" si="2"/>
        <v>EURFUT3MZ9_Quote</v>
      </c>
      <c r="F75" s="150" t="str">
        <f>_xll.qlSimpleQuote(E75,,PriceTickValue,Permanent,Trigger,ObjectOverwrite)</f>
        <v>EURFUT3MZ9_Quote#0002</v>
      </c>
      <c r="G75" s="113" t="str">
        <f>_xll.ohRangeRetrieveError(F75)</f>
        <v/>
      </c>
      <c r="H75" s="149"/>
    </row>
    <row r="76" spans="1:8" x14ac:dyDescent="0.2">
      <c r="A76" s="154"/>
      <c r="B76" s="115">
        <v>74</v>
      </c>
      <c r="C76" s="153" t="b">
        <v>0</v>
      </c>
      <c r="D76" s="152" t="str">
        <v>F0</v>
      </c>
      <c r="E76" s="151" t="str">
        <f t="shared" si="2"/>
        <v>EURFUT3MF0_Quote</v>
      </c>
      <c r="F76" s="150" t="str">
        <f>_xll.qlSimpleQuote(E76,,PriceTickValue,Permanent,Trigger,ObjectOverwrite)</f>
        <v>EURFUT3MF0_Quote#0002</v>
      </c>
      <c r="G76" s="113" t="str">
        <f>_xll.ohRangeRetrieveError(F76)</f>
        <v/>
      </c>
      <c r="H76" s="149"/>
    </row>
    <row r="77" spans="1:8" x14ac:dyDescent="0.2">
      <c r="A77" s="154"/>
      <c r="B77" s="115">
        <v>75</v>
      </c>
      <c r="C77" s="153" t="b">
        <v>0</v>
      </c>
      <c r="D77" s="152" t="str">
        <v>G0</v>
      </c>
      <c r="E77" s="151" t="str">
        <f t="shared" si="2"/>
        <v>EURFUT3MG0_Quote</v>
      </c>
      <c r="F77" s="150" t="str">
        <f>_xll.qlSimpleQuote(E77,,PriceTickValue,Permanent,Trigger,ObjectOverwrite)</f>
        <v>EURFUT3MG0_Quote#0002</v>
      </c>
      <c r="G77" s="113" t="str">
        <f>_xll.ohRangeRetrieveError(F77)</f>
        <v/>
      </c>
      <c r="H77" s="149"/>
    </row>
    <row r="78" spans="1:8" x14ac:dyDescent="0.2">
      <c r="A78" s="154"/>
      <c r="B78" s="115">
        <v>76</v>
      </c>
      <c r="C78" s="153" t="b">
        <v>0</v>
      </c>
      <c r="D78" s="152" t="str">
        <v>H0</v>
      </c>
      <c r="E78" s="151" t="str">
        <f t="shared" si="2"/>
        <v>EURFUT3MH0_Quote</v>
      </c>
      <c r="F78" s="150" t="str">
        <f>_xll.qlSimpleQuote(E78,,PriceTickValue,Permanent,Trigger,ObjectOverwrite)</f>
        <v>EURFUT3MH0_Quote#0002</v>
      </c>
      <c r="G78" s="113" t="str">
        <f>_xll.ohRangeRetrieveError(F78)</f>
        <v/>
      </c>
      <c r="H78" s="149"/>
    </row>
    <row r="79" spans="1:8" x14ac:dyDescent="0.2">
      <c r="A79" s="154"/>
      <c r="B79" s="115">
        <v>77</v>
      </c>
      <c r="C79" s="153" t="b">
        <v>0</v>
      </c>
      <c r="D79" s="152" t="str">
        <v>J0</v>
      </c>
      <c r="E79" s="151" t="str">
        <f t="shared" si="2"/>
        <v>EURFUT3MJ0_Quote</v>
      </c>
      <c r="F79" s="150" t="str">
        <f>_xll.qlSimpleQuote(E79,,PriceTickValue,Permanent,Trigger,ObjectOverwrite)</f>
        <v>EURFUT3MJ0_Quote#0002</v>
      </c>
      <c r="G79" s="113" t="str">
        <f>_xll.ohRangeRetrieveError(F79)</f>
        <v/>
      </c>
      <c r="H79" s="149"/>
    </row>
    <row r="80" spans="1:8" x14ac:dyDescent="0.2">
      <c r="A80" s="154"/>
      <c r="B80" s="115">
        <v>78</v>
      </c>
      <c r="C80" s="153" t="b">
        <v>0</v>
      </c>
      <c r="D80" s="152" t="str">
        <v>K0</v>
      </c>
      <c r="E80" s="151" t="str">
        <f t="shared" si="2"/>
        <v>EURFUT3MK0_Quote</v>
      </c>
      <c r="F80" s="150" t="str">
        <f>_xll.qlSimpleQuote(E80,,PriceTickValue,Permanent,Trigger,ObjectOverwrite)</f>
        <v>EURFUT3MK0_Quote#0002</v>
      </c>
      <c r="G80" s="113" t="str">
        <f>_xll.ohRangeRetrieveError(F80)</f>
        <v/>
      </c>
      <c r="H80" s="149"/>
    </row>
    <row r="81" spans="1:8" x14ac:dyDescent="0.2">
      <c r="A81" s="154"/>
      <c r="B81" s="115">
        <v>79</v>
      </c>
      <c r="C81" s="153" t="b">
        <v>0</v>
      </c>
      <c r="D81" s="152" t="str">
        <v>M0</v>
      </c>
      <c r="E81" s="151" t="str">
        <f t="shared" si="2"/>
        <v>EURFUT3MM0_Quote</v>
      </c>
      <c r="F81" s="150" t="str">
        <f>_xll.qlSimpleQuote(E81,,PriceTickValue,Permanent,Trigger,ObjectOverwrite)</f>
        <v>EURFUT3MM0_Quote#0002</v>
      </c>
      <c r="G81" s="113" t="str">
        <f>_xll.ohRangeRetrieveError(F81)</f>
        <v/>
      </c>
      <c r="H81" s="149"/>
    </row>
    <row r="82" spans="1:8" x14ac:dyDescent="0.2">
      <c r="A82" s="154"/>
      <c r="B82" s="115">
        <v>80</v>
      </c>
      <c r="C82" s="153" t="b">
        <v>0</v>
      </c>
      <c r="D82" s="152" t="str">
        <v>N0</v>
      </c>
      <c r="E82" s="151" t="str">
        <f t="shared" si="2"/>
        <v>EURFUT3MN0_Quote</v>
      </c>
      <c r="F82" s="150" t="str">
        <f>_xll.qlSimpleQuote(E82,,PriceTickValue,Permanent,Trigger,ObjectOverwrite)</f>
        <v>EURFUT3MN0_Quote#0002</v>
      </c>
      <c r="G82" s="113" t="str">
        <f>_xll.ohRangeRetrieveError(F82)</f>
        <v/>
      </c>
      <c r="H82" s="149"/>
    </row>
    <row r="83" spans="1:8" x14ac:dyDescent="0.2">
      <c r="A83" s="154"/>
      <c r="B83" s="115">
        <v>81</v>
      </c>
      <c r="C83" s="153" t="b">
        <v>0</v>
      </c>
      <c r="D83" s="152" t="str">
        <v>Q0</v>
      </c>
      <c r="E83" s="151" t="str">
        <f t="shared" si="2"/>
        <v>EURFUT3MQ0_Quote</v>
      </c>
      <c r="F83" s="150" t="str">
        <f>_xll.qlSimpleQuote(E83,,PriceTickValue,Permanent,Trigger,ObjectOverwrite)</f>
        <v>EURFUT3MQ0_Quote#0002</v>
      </c>
      <c r="G83" s="113" t="str">
        <f>_xll.ohRangeRetrieveError(F83)</f>
        <v/>
      </c>
      <c r="H83" s="149"/>
    </row>
    <row r="84" spans="1:8" x14ac:dyDescent="0.2">
      <c r="A84" s="154"/>
      <c r="B84" s="115">
        <v>82</v>
      </c>
      <c r="C84" s="153" t="b">
        <v>0</v>
      </c>
      <c r="D84" s="152" t="str">
        <v>U0</v>
      </c>
      <c r="E84" s="151" t="str">
        <f t="shared" si="2"/>
        <v>EURFUT3MU0_Quote</v>
      </c>
      <c r="F84" s="150" t="str">
        <f>_xll.qlSimpleQuote(E84,,PriceTickValue,Permanent,Trigger,ObjectOverwrite)</f>
        <v>EURFUT3MU0_Quote#0002</v>
      </c>
      <c r="G84" s="113" t="str">
        <f>_xll.ohRangeRetrieveError(F84)</f>
        <v/>
      </c>
      <c r="H84" s="149"/>
    </row>
    <row r="85" spans="1:8" x14ac:dyDescent="0.2">
      <c r="A85" s="154"/>
      <c r="B85" s="115">
        <v>83</v>
      </c>
      <c r="C85" s="153" t="b">
        <v>0</v>
      </c>
      <c r="D85" s="152" t="str">
        <v>V0</v>
      </c>
      <c r="E85" s="151" t="str">
        <f t="shared" si="2"/>
        <v>EURFUT3MV0_Quote</v>
      </c>
      <c r="F85" s="150" t="str">
        <f>_xll.qlSimpleQuote(E85,,PriceTickValue,Permanent,Trigger,ObjectOverwrite)</f>
        <v>EURFUT3MV0_Quote#0002</v>
      </c>
      <c r="G85" s="113" t="str">
        <f>_xll.ohRangeRetrieveError(F85)</f>
        <v/>
      </c>
      <c r="H85" s="149"/>
    </row>
    <row r="86" spans="1:8" x14ac:dyDescent="0.2">
      <c r="A86" s="154"/>
      <c r="B86" s="115">
        <v>84</v>
      </c>
      <c r="C86" s="153" t="b">
        <v>0</v>
      </c>
      <c r="D86" s="152" t="str">
        <v>X0</v>
      </c>
      <c r="E86" s="151" t="str">
        <f t="shared" si="2"/>
        <v>EURFUT3MX0_Quote</v>
      </c>
      <c r="F86" s="150" t="str">
        <f>_xll.qlSimpleQuote(E86,,PriceTickValue,Permanent,Trigger,ObjectOverwrite)</f>
        <v>EURFUT3MX0_Quote#0002</v>
      </c>
      <c r="G86" s="113" t="str">
        <f>_xll.ohRangeRetrieveError(F86)</f>
        <v/>
      </c>
      <c r="H86" s="149"/>
    </row>
    <row r="87" spans="1:8" x14ac:dyDescent="0.2">
      <c r="A87" s="154"/>
      <c r="B87" s="115">
        <v>85</v>
      </c>
      <c r="C87" s="153" t="b">
        <v>0</v>
      </c>
      <c r="D87" s="152" t="str">
        <v>Z0</v>
      </c>
      <c r="E87" s="151" t="str">
        <f t="shared" si="2"/>
        <v>EURFUT3MZ0_Quote</v>
      </c>
      <c r="F87" s="150" t="str">
        <f>_xll.qlSimpleQuote(E87,,PriceTickValue,Permanent,Trigger,ObjectOverwrite)</f>
        <v>EURFUT3MZ0_Quote#0002</v>
      </c>
      <c r="G87" s="113" t="str">
        <f>_xll.ohRangeRetrieveError(F87)</f>
        <v/>
      </c>
      <c r="H87" s="149"/>
    </row>
    <row r="88" spans="1:8" x14ac:dyDescent="0.2">
      <c r="A88" s="154"/>
      <c r="B88" s="115">
        <v>86</v>
      </c>
      <c r="C88" s="153" t="b">
        <v>0</v>
      </c>
      <c r="D88" s="152" t="str">
        <v>F1</v>
      </c>
      <c r="E88" s="151" t="str">
        <f t="shared" si="2"/>
        <v>EURFUT3MF1_Quote</v>
      </c>
      <c r="F88" s="150" t="str">
        <f>_xll.qlSimpleQuote(E88,,PriceTickValue,Permanent,Trigger,ObjectOverwrite)</f>
        <v>EURFUT3MF1_Quote#0002</v>
      </c>
      <c r="G88" s="113" t="str">
        <f>_xll.ohRangeRetrieveError(F88)</f>
        <v/>
      </c>
      <c r="H88" s="149"/>
    </row>
    <row r="89" spans="1:8" x14ac:dyDescent="0.2">
      <c r="A89" s="154"/>
      <c r="B89" s="115">
        <v>87</v>
      </c>
      <c r="C89" s="153" t="b">
        <v>0</v>
      </c>
      <c r="D89" s="152" t="str">
        <v>G1</v>
      </c>
      <c r="E89" s="151" t="str">
        <f t="shared" si="2"/>
        <v>EURFUT3MG1_Quote</v>
      </c>
      <c r="F89" s="150" t="str">
        <f>_xll.qlSimpleQuote(E89,,PriceTickValue,Permanent,Trigger,ObjectOverwrite)</f>
        <v>EURFUT3MG1_Quote#0002</v>
      </c>
      <c r="G89" s="113" t="str">
        <f>_xll.ohRangeRetrieveError(F89)</f>
        <v/>
      </c>
      <c r="H89" s="149"/>
    </row>
    <row r="90" spans="1:8" x14ac:dyDescent="0.2">
      <c r="A90" s="154"/>
      <c r="B90" s="115">
        <v>88</v>
      </c>
      <c r="C90" s="153" t="b">
        <v>0</v>
      </c>
      <c r="D90" s="152" t="str">
        <v>H1</v>
      </c>
      <c r="E90" s="151" t="str">
        <f t="shared" si="2"/>
        <v>EURFUT3MH1_Quote</v>
      </c>
      <c r="F90" s="150" t="str">
        <f>_xll.qlSimpleQuote(E90,,PriceTickValue,Permanent,Trigger,ObjectOverwrite)</f>
        <v>EURFUT3MH1_Quote#0002</v>
      </c>
      <c r="G90" s="113" t="str">
        <f>_xll.ohRangeRetrieveError(F90)</f>
        <v/>
      </c>
      <c r="H90" s="149"/>
    </row>
    <row r="91" spans="1:8" x14ac:dyDescent="0.2">
      <c r="A91" s="154"/>
      <c r="B91" s="115">
        <v>89</v>
      </c>
      <c r="C91" s="153" t="b">
        <v>0</v>
      </c>
      <c r="D91" s="152" t="str">
        <v>J1</v>
      </c>
      <c r="E91" s="151" t="str">
        <f t="shared" si="2"/>
        <v>EURFUT3MJ1_Quote</v>
      </c>
      <c r="F91" s="150" t="str">
        <f>_xll.qlSimpleQuote(E91,,PriceTickValue,Permanent,Trigger,ObjectOverwrite)</f>
        <v>EURFUT3MJ1_Quote#0002</v>
      </c>
      <c r="G91" s="113" t="str">
        <f>_xll.ohRangeRetrieveError(F91)</f>
        <v/>
      </c>
      <c r="H91" s="149"/>
    </row>
    <row r="92" spans="1:8" x14ac:dyDescent="0.2">
      <c r="A92" s="154"/>
      <c r="B92" s="115">
        <v>90</v>
      </c>
      <c r="C92" s="153" t="b">
        <v>0</v>
      </c>
      <c r="D92" s="152" t="str">
        <v>K1</v>
      </c>
      <c r="E92" s="151" t="str">
        <f t="shared" si="2"/>
        <v>EURFUT3MK1_Quote</v>
      </c>
      <c r="F92" s="150" t="str">
        <f>_xll.qlSimpleQuote(E92,,PriceTickValue,Permanent,Trigger,ObjectOverwrite)</f>
        <v>EURFUT3MK1_Quote#0002</v>
      </c>
      <c r="G92" s="113" t="str">
        <f>_xll.ohRangeRetrieveError(F92)</f>
        <v/>
      </c>
      <c r="H92" s="149"/>
    </row>
    <row r="93" spans="1:8" x14ac:dyDescent="0.2">
      <c r="A93" s="154"/>
      <c r="B93" s="115">
        <v>91</v>
      </c>
      <c r="C93" s="153" t="b">
        <v>0</v>
      </c>
      <c r="D93" s="152" t="str">
        <v>M1</v>
      </c>
      <c r="E93" s="151" t="str">
        <f t="shared" si="2"/>
        <v>EURFUT3MM1_Quote</v>
      </c>
      <c r="F93" s="150" t="str">
        <f>_xll.qlSimpleQuote(E93,,PriceTickValue,Permanent,Trigger,ObjectOverwrite)</f>
        <v>EURFUT3MM1_Quote#0002</v>
      </c>
      <c r="G93" s="113" t="str">
        <f>_xll.ohRangeRetrieveError(F93)</f>
        <v/>
      </c>
      <c r="H93" s="149"/>
    </row>
    <row r="94" spans="1:8" x14ac:dyDescent="0.2">
      <c r="A94" s="154"/>
      <c r="B94" s="115">
        <v>92</v>
      </c>
      <c r="C94" s="153" t="b">
        <v>0</v>
      </c>
      <c r="D94" s="152" t="str">
        <v>N1</v>
      </c>
      <c r="E94" s="151" t="str">
        <f t="shared" si="2"/>
        <v>EURFUT3MN1_Quote</v>
      </c>
      <c r="F94" s="150" t="str">
        <f>_xll.qlSimpleQuote(E94,,PriceTickValue,Permanent,Trigger,ObjectOverwrite)</f>
        <v>EURFUT3MN1_Quote#0002</v>
      </c>
      <c r="G94" s="113" t="str">
        <f>_xll.ohRangeRetrieveError(F94)</f>
        <v/>
      </c>
      <c r="H94" s="149"/>
    </row>
    <row r="95" spans="1:8" x14ac:dyDescent="0.2">
      <c r="A95" s="154"/>
      <c r="B95" s="115">
        <v>93</v>
      </c>
      <c r="C95" s="153" t="b">
        <v>0</v>
      </c>
      <c r="D95" s="152" t="str">
        <v>Q1</v>
      </c>
      <c r="E95" s="151" t="str">
        <f t="shared" si="2"/>
        <v>EURFUT3MQ1_Quote</v>
      </c>
      <c r="F95" s="150" t="str">
        <f>_xll.qlSimpleQuote(E95,,PriceTickValue,Permanent,Trigger,ObjectOverwrite)</f>
        <v>EURFUT3MQ1_Quote#0002</v>
      </c>
      <c r="G95" s="113" t="str">
        <f>_xll.ohRangeRetrieveError(F95)</f>
        <v/>
      </c>
      <c r="H95" s="149"/>
    </row>
    <row r="96" spans="1:8" x14ac:dyDescent="0.2">
      <c r="A96" s="154"/>
      <c r="B96" s="115">
        <v>94</v>
      </c>
      <c r="C96" s="153" t="b">
        <v>0</v>
      </c>
      <c r="D96" s="152" t="str">
        <v>U1</v>
      </c>
      <c r="E96" s="151" t="str">
        <f t="shared" si="2"/>
        <v>EURFUT3MU1_Quote</v>
      </c>
      <c r="F96" s="150" t="str">
        <f>_xll.qlSimpleQuote(E96,,PriceTickValue,Permanent,Trigger,ObjectOverwrite)</f>
        <v>EURFUT3MU1_Quote#0002</v>
      </c>
      <c r="G96" s="113" t="str">
        <f>_xll.ohRangeRetrieveError(F96)</f>
        <v/>
      </c>
      <c r="H96" s="149"/>
    </row>
    <row r="97" spans="1:8" x14ac:dyDescent="0.2">
      <c r="A97" s="154"/>
      <c r="B97" s="115">
        <v>95</v>
      </c>
      <c r="C97" s="153" t="b">
        <v>0</v>
      </c>
      <c r="D97" s="152" t="str">
        <v>V1</v>
      </c>
      <c r="E97" s="151" t="str">
        <f t="shared" si="2"/>
        <v>EURFUT3MV1_Quote</v>
      </c>
      <c r="F97" s="150" t="str">
        <f>_xll.qlSimpleQuote(E97,,PriceTickValue,Permanent,Trigger,ObjectOverwrite)</f>
        <v>EURFUT3MV1_Quote#0002</v>
      </c>
      <c r="G97" s="113" t="str">
        <f>_xll.ohRangeRetrieveError(F97)</f>
        <v/>
      </c>
      <c r="H97" s="149"/>
    </row>
    <row r="98" spans="1:8" x14ac:dyDescent="0.2">
      <c r="A98" s="154"/>
      <c r="B98" s="115">
        <v>96</v>
      </c>
      <c r="C98" s="153" t="b">
        <v>0</v>
      </c>
      <c r="D98" s="152" t="str">
        <v>X1</v>
      </c>
      <c r="E98" s="151" t="str">
        <f t="shared" si="2"/>
        <v>EURFUT3MX1_Quote</v>
      </c>
      <c r="F98" s="150" t="str">
        <f>_xll.qlSimpleQuote(E98,,PriceTickValue,Permanent,Trigger,ObjectOverwrite)</f>
        <v>EURFUT3MX1_Quote#0002</v>
      </c>
      <c r="G98" s="113" t="str">
        <f>_xll.ohRangeRetrieveError(F98)</f>
        <v/>
      </c>
      <c r="H98" s="149"/>
    </row>
    <row r="99" spans="1:8" x14ac:dyDescent="0.2">
      <c r="A99" s="154"/>
      <c r="B99" s="115">
        <v>97</v>
      </c>
      <c r="C99" s="153" t="b">
        <v>0</v>
      </c>
      <c r="D99" s="152" t="str">
        <v>Z1</v>
      </c>
      <c r="E99" s="151" t="str">
        <f t="shared" ref="E99:E122" si="3">Currency&amp;$D$1&amp;$E$1&amp;$D99&amp;QuoteSuffix</f>
        <v>EURFUT3MZ1_Quote</v>
      </c>
      <c r="F99" s="150" t="str">
        <f>_xll.qlSimpleQuote(E99,,PriceTickValue,Permanent,Trigger,ObjectOverwrite)</f>
        <v>EURFUT3MZ1_Quote#0002</v>
      </c>
      <c r="G99" s="113" t="str">
        <f>_xll.ohRangeRetrieveError(F99)</f>
        <v/>
      </c>
      <c r="H99" s="149"/>
    </row>
    <row r="100" spans="1:8" x14ac:dyDescent="0.2">
      <c r="A100" s="154"/>
      <c r="B100" s="115">
        <v>98</v>
      </c>
      <c r="C100" s="153" t="b">
        <v>0</v>
      </c>
      <c r="D100" s="152" t="str">
        <v>F2</v>
      </c>
      <c r="E100" s="151" t="str">
        <f t="shared" si="3"/>
        <v>EURFUT3MF2_Quote</v>
      </c>
      <c r="F100" s="150" t="str">
        <f>_xll.qlSimpleQuote(E100,,PriceTickValue,Permanent,Trigger,ObjectOverwrite)</f>
        <v>EURFUT3MF2_Quote#0002</v>
      </c>
      <c r="G100" s="113" t="str">
        <f>_xll.ohRangeRetrieveError(F100)</f>
        <v/>
      </c>
      <c r="H100" s="149"/>
    </row>
    <row r="101" spans="1:8" x14ac:dyDescent="0.2">
      <c r="A101" s="154"/>
      <c r="B101" s="115">
        <v>99</v>
      </c>
      <c r="C101" s="153" t="b">
        <v>0</v>
      </c>
      <c r="D101" s="152" t="str">
        <v>G2</v>
      </c>
      <c r="E101" s="151" t="str">
        <f t="shared" si="3"/>
        <v>EURFUT3MG2_Quote</v>
      </c>
      <c r="F101" s="150" t="str">
        <f>_xll.qlSimpleQuote(E101,,PriceTickValue,Permanent,Trigger,ObjectOverwrite)</f>
        <v>EURFUT3MG2_Quote#0002</v>
      </c>
      <c r="G101" s="113" t="str">
        <f>_xll.ohRangeRetrieveError(F101)</f>
        <v/>
      </c>
      <c r="H101" s="149"/>
    </row>
    <row r="102" spans="1:8" x14ac:dyDescent="0.2">
      <c r="A102" s="154"/>
      <c r="B102" s="115">
        <v>100</v>
      </c>
      <c r="C102" s="153" t="b">
        <v>0</v>
      </c>
      <c r="D102" s="152" t="str">
        <v>H2</v>
      </c>
      <c r="E102" s="151" t="str">
        <f t="shared" si="3"/>
        <v>EURFUT3MH2_Quote</v>
      </c>
      <c r="F102" s="150" t="str">
        <f>_xll.qlSimpleQuote(E102,,PriceTickValue,Permanent,Trigger,ObjectOverwrite)</f>
        <v>EURFUT3MH2_Quote#0002</v>
      </c>
      <c r="G102" s="113" t="str">
        <f>_xll.ohRangeRetrieveError(F102)</f>
        <v/>
      </c>
      <c r="H102" s="149"/>
    </row>
    <row r="103" spans="1:8" x14ac:dyDescent="0.2">
      <c r="A103" s="154"/>
      <c r="B103" s="115">
        <v>101</v>
      </c>
      <c r="C103" s="153" t="b">
        <v>0</v>
      </c>
      <c r="D103" s="152" t="str">
        <v>J2</v>
      </c>
      <c r="E103" s="151" t="str">
        <f t="shared" si="3"/>
        <v>EURFUT3MJ2_Quote</v>
      </c>
      <c r="F103" s="150" t="str">
        <f>_xll.qlSimpleQuote(E103,,PriceTickValue,Permanent,Trigger,ObjectOverwrite)</f>
        <v>EURFUT3MJ2_Quote#0002</v>
      </c>
      <c r="G103" s="113" t="str">
        <f>_xll.ohRangeRetrieveError(F103)</f>
        <v/>
      </c>
      <c r="H103" s="149"/>
    </row>
    <row r="104" spans="1:8" x14ac:dyDescent="0.2">
      <c r="A104" s="154"/>
      <c r="B104" s="115">
        <v>102</v>
      </c>
      <c r="C104" s="153" t="b">
        <v>0</v>
      </c>
      <c r="D104" s="152" t="str">
        <v>K2</v>
      </c>
      <c r="E104" s="151" t="str">
        <f t="shared" si="3"/>
        <v>EURFUT3MK2_Quote</v>
      </c>
      <c r="F104" s="150" t="str">
        <f>_xll.qlSimpleQuote(E104,,PriceTickValue,Permanent,Trigger,ObjectOverwrite)</f>
        <v>EURFUT3MK2_Quote#0002</v>
      </c>
      <c r="G104" s="113" t="str">
        <f>_xll.ohRangeRetrieveError(F104)</f>
        <v/>
      </c>
      <c r="H104" s="149"/>
    </row>
    <row r="105" spans="1:8" x14ac:dyDescent="0.2">
      <c r="A105" s="154"/>
      <c r="B105" s="115">
        <v>103</v>
      </c>
      <c r="C105" s="153" t="b">
        <v>0</v>
      </c>
      <c r="D105" s="152" t="str">
        <v>M2</v>
      </c>
      <c r="E105" s="151" t="str">
        <f t="shared" si="3"/>
        <v>EURFUT3MM2_Quote</v>
      </c>
      <c r="F105" s="150" t="str">
        <f>_xll.qlSimpleQuote(E105,,PriceTickValue,Permanent,Trigger,ObjectOverwrite)</f>
        <v>EURFUT3MM2_Quote#0002</v>
      </c>
      <c r="G105" s="113" t="str">
        <f>_xll.ohRangeRetrieveError(F105)</f>
        <v/>
      </c>
      <c r="H105" s="149"/>
    </row>
    <row r="106" spans="1:8" x14ac:dyDescent="0.2">
      <c r="A106" s="154"/>
      <c r="B106" s="115">
        <v>104</v>
      </c>
      <c r="C106" s="153" t="b">
        <v>0</v>
      </c>
      <c r="D106" s="152" t="str">
        <v>N2</v>
      </c>
      <c r="E106" s="151" t="str">
        <f t="shared" si="3"/>
        <v>EURFUT3MN2_Quote</v>
      </c>
      <c r="F106" s="150" t="str">
        <f>_xll.qlSimpleQuote(E106,,PriceTickValue,Permanent,Trigger,ObjectOverwrite)</f>
        <v>EURFUT3MN2_Quote#0002</v>
      </c>
      <c r="G106" s="113" t="str">
        <f>_xll.ohRangeRetrieveError(F106)</f>
        <v/>
      </c>
      <c r="H106" s="149"/>
    </row>
    <row r="107" spans="1:8" x14ac:dyDescent="0.2">
      <c r="A107" s="154"/>
      <c r="B107" s="115">
        <v>105</v>
      </c>
      <c r="C107" s="153" t="b">
        <v>0</v>
      </c>
      <c r="D107" s="152" t="str">
        <v>Q2</v>
      </c>
      <c r="E107" s="151" t="str">
        <f t="shared" si="3"/>
        <v>EURFUT3MQ2_Quote</v>
      </c>
      <c r="F107" s="150" t="str">
        <f>_xll.qlSimpleQuote(E107,,PriceTickValue,Permanent,Trigger,ObjectOverwrite)</f>
        <v>EURFUT3MQ2_Quote#0002</v>
      </c>
      <c r="G107" s="113" t="str">
        <f>_xll.ohRangeRetrieveError(F107)</f>
        <v/>
      </c>
      <c r="H107" s="149"/>
    </row>
    <row r="108" spans="1:8" x14ac:dyDescent="0.2">
      <c r="A108" s="154"/>
      <c r="B108" s="115">
        <v>106</v>
      </c>
      <c r="C108" s="153" t="b">
        <v>0</v>
      </c>
      <c r="D108" s="152" t="str">
        <v>U2</v>
      </c>
      <c r="E108" s="151" t="str">
        <f t="shared" si="3"/>
        <v>EURFUT3MU2_Quote</v>
      </c>
      <c r="F108" s="150" t="str">
        <f>_xll.qlSimpleQuote(E108,,PriceTickValue,Permanent,Trigger,ObjectOverwrite)</f>
        <v>EURFUT3MU2_Quote#0002</v>
      </c>
      <c r="G108" s="113" t="str">
        <f>_xll.ohRangeRetrieveError(F108)</f>
        <v/>
      </c>
      <c r="H108" s="149"/>
    </row>
    <row r="109" spans="1:8" x14ac:dyDescent="0.2">
      <c r="A109" s="154"/>
      <c r="B109" s="115">
        <v>107</v>
      </c>
      <c r="C109" s="153" t="b">
        <v>0</v>
      </c>
      <c r="D109" s="152" t="str">
        <v>V2</v>
      </c>
      <c r="E109" s="151" t="str">
        <f t="shared" si="3"/>
        <v>EURFUT3MV2_Quote</v>
      </c>
      <c r="F109" s="150" t="str">
        <f>_xll.qlSimpleQuote(E109,,PriceTickValue,Permanent,Trigger,ObjectOverwrite)</f>
        <v>EURFUT3MV2_Quote#0002</v>
      </c>
      <c r="G109" s="113" t="str">
        <f>_xll.ohRangeRetrieveError(F109)</f>
        <v/>
      </c>
      <c r="H109" s="149"/>
    </row>
    <row r="110" spans="1:8" x14ac:dyDescent="0.2">
      <c r="A110" s="154"/>
      <c r="B110" s="115">
        <v>108</v>
      </c>
      <c r="C110" s="153" t="b">
        <v>0</v>
      </c>
      <c r="D110" s="152" t="str">
        <v>X2</v>
      </c>
      <c r="E110" s="151" t="str">
        <f t="shared" si="3"/>
        <v>EURFUT3MX2_Quote</v>
      </c>
      <c r="F110" s="150" t="str">
        <f>_xll.qlSimpleQuote(E110,,PriceTickValue,Permanent,Trigger,ObjectOverwrite)</f>
        <v>EURFUT3MX2_Quote#0002</v>
      </c>
      <c r="G110" s="113" t="str">
        <f>_xll.ohRangeRetrieveError(F110)</f>
        <v/>
      </c>
      <c r="H110" s="149"/>
    </row>
    <row r="111" spans="1:8" x14ac:dyDescent="0.2">
      <c r="A111" s="154"/>
      <c r="B111" s="115">
        <v>109</v>
      </c>
      <c r="C111" s="153" t="b">
        <v>0</v>
      </c>
      <c r="D111" s="152" t="str">
        <v>Z2</v>
      </c>
      <c r="E111" s="151" t="str">
        <f t="shared" si="3"/>
        <v>EURFUT3MZ2_Quote</v>
      </c>
      <c r="F111" s="150" t="str">
        <f>_xll.qlSimpleQuote(E111,,PriceTickValue,Permanent,Trigger,ObjectOverwrite)</f>
        <v>EURFUT3MZ2_Quote#0002</v>
      </c>
      <c r="G111" s="113" t="str">
        <f>_xll.ohRangeRetrieveError(F111)</f>
        <v/>
      </c>
      <c r="H111" s="149"/>
    </row>
    <row r="112" spans="1:8" x14ac:dyDescent="0.2">
      <c r="A112" s="154"/>
      <c r="B112" s="115">
        <v>110</v>
      </c>
      <c r="C112" s="153" t="b">
        <v>0</v>
      </c>
      <c r="D112" s="152" t="str">
        <v>F3</v>
      </c>
      <c r="E112" s="151" t="str">
        <f t="shared" si="3"/>
        <v>EURFUT3MF3_Quote</v>
      </c>
      <c r="F112" s="150" t="str">
        <f>_xll.qlSimpleQuote(E112,,PriceTickValue,Permanent,Trigger,ObjectOverwrite)</f>
        <v>EURFUT3MF3_Quote#0002</v>
      </c>
      <c r="G112" s="113" t="str">
        <f>_xll.ohRangeRetrieveError(F112)</f>
        <v/>
      </c>
      <c r="H112" s="149"/>
    </row>
    <row r="113" spans="1:8" x14ac:dyDescent="0.2">
      <c r="A113" s="154"/>
      <c r="B113" s="115">
        <v>111</v>
      </c>
      <c r="C113" s="153" t="b">
        <v>0</v>
      </c>
      <c r="D113" s="152" t="str">
        <v>G3</v>
      </c>
      <c r="E113" s="151" t="str">
        <f t="shared" si="3"/>
        <v>EURFUT3MG3_Quote</v>
      </c>
      <c r="F113" s="150" t="str">
        <f>_xll.qlSimpleQuote(E113,,PriceTickValue,Permanent,Trigger,ObjectOverwrite)</f>
        <v>EURFUT3MG3_Quote#0002</v>
      </c>
      <c r="G113" s="113" t="str">
        <f>_xll.ohRangeRetrieveError(F113)</f>
        <v/>
      </c>
      <c r="H113" s="149"/>
    </row>
    <row r="114" spans="1:8" x14ac:dyDescent="0.2">
      <c r="A114" s="154"/>
      <c r="B114" s="115">
        <v>112</v>
      </c>
      <c r="C114" s="153" t="b">
        <v>0</v>
      </c>
      <c r="D114" s="152" t="str">
        <v>H3</v>
      </c>
      <c r="E114" s="151" t="str">
        <f t="shared" si="3"/>
        <v>EURFUT3MH3_Quote</v>
      </c>
      <c r="F114" s="150" t="str">
        <f>_xll.qlSimpleQuote(E114,,PriceTickValue,Permanent,Trigger,ObjectOverwrite)</f>
        <v>EURFUT3MH3_Quote#0002</v>
      </c>
      <c r="G114" s="113" t="str">
        <f>_xll.ohRangeRetrieveError(F114)</f>
        <v/>
      </c>
      <c r="H114" s="149"/>
    </row>
    <row r="115" spans="1:8" x14ac:dyDescent="0.2">
      <c r="A115" s="154"/>
      <c r="B115" s="115">
        <v>113</v>
      </c>
      <c r="C115" s="153" t="b">
        <v>0</v>
      </c>
      <c r="D115" s="152" t="str">
        <v>J3</v>
      </c>
      <c r="E115" s="151" t="str">
        <f t="shared" si="3"/>
        <v>EURFUT3MJ3_Quote</v>
      </c>
      <c r="F115" s="150" t="str">
        <f>_xll.qlSimpleQuote(E115,,PriceTickValue,Permanent,Trigger,ObjectOverwrite)</f>
        <v>EURFUT3MJ3_Quote#0002</v>
      </c>
      <c r="G115" s="113" t="str">
        <f>_xll.ohRangeRetrieveError(F115)</f>
        <v/>
      </c>
      <c r="H115" s="149"/>
    </row>
    <row r="116" spans="1:8" x14ac:dyDescent="0.2">
      <c r="A116" s="154"/>
      <c r="B116" s="115">
        <v>114</v>
      </c>
      <c r="C116" s="153" t="b">
        <v>0</v>
      </c>
      <c r="D116" s="152" t="str">
        <v>K3</v>
      </c>
      <c r="E116" s="151" t="str">
        <f t="shared" si="3"/>
        <v>EURFUT3MK3_Quote</v>
      </c>
      <c r="F116" s="150" t="str">
        <f>_xll.qlSimpleQuote(E116,,PriceTickValue,Permanent,Trigger,ObjectOverwrite)</f>
        <v>EURFUT3MK3_Quote#0002</v>
      </c>
      <c r="G116" s="113" t="str">
        <f>_xll.ohRangeRetrieveError(F116)</f>
        <v/>
      </c>
      <c r="H116" s="149"/>
    </row>
    <row r="117" spans="1:8" x14ac:dyDescent="0.2">
      <c r="A117" s="154"/>
      <c r="B117" s="115">
        <v>115</v>
      </c>
      <c r="C117" s="153" t="b">
        <v>0</v>
      </c>
      <c r="D117" s="152" t="str">
        <v>M3</v>
      </c>
      <c r="E117" s="151" t="str">
        <f t="shared" si="3"/>
        <v>EURFUT3MM3_Quote</v>
      </c>
      <c r="F117" s="150" t="str">
        <f>_xll.qlSimpleQuote(E117,,PriceTickValue,Permanent,Trigger,ObjectOverwrite)</f>
        <v>EURFUT3MM3_Quote#0002</v>
      </c>
      <c r="G117" s="113" t="str">
        <f>_xll.ohRangeRetrieveError(F117)</f>
        <v/>
      </c>
      <c r="H117" s="149"/>
    </row>
    <row r="118" spans="1:8" x14ac:dyDescent="0.2">
      <c r="A118" s="154"/>
      <c r="B118" s="115">
        <v>116</v>
      </c>
      <c r="C118" s="153" t="b">
        <v>0</v>
      </c>
      <c r="D118" s="152" t="str">
        <v>N3</v>
      </c>
      <c r="E118" s="151" t="str">
        <f t="shared" si="3"/>
        <v>EURFUT3MN3_Quote</v>
      </c>
      <c r="F118" s="150" t="str">
        <f>_xll.qlSimpleQuote(E118,,PriceTickValue,Permanent,Trigger,ObjectOverwrite)</f>
        <v>EURFUT3MN3_Quote#0002</v>
      </c>
      <c r="G118" s="113" t="str">
        <f>_xll.ohRangeRetrieveError(F118)</f>
        <v/>
      </c>
      <c r="H118" s="149"/>
    </row>
    <row r="119" spans="1:8" x14ac:dyDescent="0.2">
      <c r="A119" s="154"/>
      <c r="B119" s="115">
        <v>117</v>
      </c>
      <c r="C119" s="153" t="b">
        <v>0</v>
      </c>
      <c r="D119" s="152" t="str">
        <v>Q3</v>
      </c>
      <c r="E119" s="151" t="str">
        <f t="shared" si="3"/>
        <v>EURFUT3MQ3_Quote</v>
      </c>
      <c r="F119" s="150" t="str">
        <f>_xll.qlSimpleQuote(E119,,PriceTickValue,Permanent,Trigger,ObjectOverwrite)</f>
        <v>EURFUT3MQ3_Quote#0002</v>
      </c>
      <c r="G119" s="113" t="str">
        <f>_xll.ohRangeRetrieveError(F119)</f>
        <v/>
      </c>
      <c r="H119" s="149"/>
    </row>
    <row r="120" spans="1:8" x14ac:dyDescent="0.2">
      <c r="A120" s="154"/>
      <c r="B120" s="115">
        <v>118</v>
      </c>
      <c r="C120" s="153" t="b">
        <v>0</v>
      </c>
      <c r="D120" s="152" t="str">
        <v>U3</v>
      </c>
      <c r="E120" s="151" t="str">
        <f t="shared" si="3"/>
        <v>EURFUT3MU3_Quote</v>
      </c>
      <c r="F120" s="150" t="str">
        <f>_xll.qlSimpleQuote(E120,,PriceTickValue,Permanent,Trigger,ObjectOverwrite)</f>
        <v>EURFUT3MU3_Quote#0002</v>
      </c>
      <c r="G120" s="113" t="str">
        <f>_xll.ohRangeRetrieveError(F120)</f>
        <v/>
      </c>
      <c r="H120" s="149"/>
    </row>
    <row r="121" spans="1:8" x14ac:dyDescent="0.2">
      <c r="A121" s="154"/>
      <c r="B121" s="115">
        <v>119</v>
      </c>
      <c r="C121" s="153" t="b">
        <v>0</v>
      </c>
      <c r="D121" s="152" t="str">
        <v>V3</v>
      </c>
      <c r="E121" s="151" t="str">
        <f t="shared" si="3"/>
        <v>EURFUT3MV3_Quote</v>
      </c>
      <c r="F121" s="150" t="str">
        <f>_xll.qlSimpleQuote(E121,,PriceTickValue,Permanent,Trigger,ObjectOverwrite)</f>
        <v>EURFUT3MV3_Quote#0002</v>
      </c>
      <c r="G121" s="113" t="str">
        <f>_xll.ohRangeRetrieveError(F121)</f>
        <v/>
      </c>
      <c r="H121" s="149"/>
    </row>
    <row r="122" spans="1:8" x14ac:dyDescent="0.2">
      <c r="A122" s="154"/>
      <c r="B122" s="115">
        <v>120</v>
      </c>
      <c r="C122" s="153" t="b">
        <v>0</v>
      </c>
      <c r="D122" s="152" t="str">
        <v>X3</v>
      </c>
      <c r="E122" s="151" t="str">
        <f t="shared" si="3"/>
        <v>EURFUT3MX3_Quote</v>
      </c>
      <c r="F122" s="150" t="str">
        <f>_xll.qlSimpleQuote(E122,,PriceTickValue,Permanent,Trigger,ObjectOverwrite)</f>
        <v>EURFUT3MX3_Quote#0002</v>
      </c>
      <c r="G122" s="113" t="str">
        <f>_xll.ohRangeRetrieveError(F122)</f>
        <v/>
      </c>
      <c r="H122" s="149"/>
    </row>
    <row r="123" spans="1:8" ht="12" thickBot="1" x14ac:dyDescent="0.25">
      <c r="A123" s="148"/>
      <c r="B123" s="147"/>
      <c r="C123" s="147"/>
      <c r="D123" s="147"/>
      <c r="E123" s="147"/>
      <c r="F123" s="147"/>
      <c r="G123" s="147"/>
      <c r="H123" s="146"/>
    </row>
  </sheetData>
  <pageMargins left="0.75" right="0.75" top="1" bottom="1" header="0.5" footer="0.5"/>
  <pageSetup paperSize="9"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H123"/>
  <sheetViews>
    <sheetView workbookViewId="0"/>
  </sheetViews>
  <sheetFormatPr defaultRowHeight="11.25" x14ac:dyDescent="0.2"/>
  <cols>
    <col min="1" max="1" width="3.28515625" style="74" customWidth="1"/>
    <col min="2" max="2" width="3.5703125" style="74" bestFit="1" customWidth="1"/>
    <col min="3" max="3" width="5.7109375" style="74" bestFit="1" customWidth="1"/>
    <col min="4" max="4" width="6.5703125" style="74" bestFit="1" customWidth="1"/>
    <col min="5" max="5" width="20.140625" style="74" bestFit="1" customWidth="1"/>
    <col min="6" max="6" width="23.140625" style="74" bestFit="1" customWidth="1"/>
    <col min="7" max="7" width="33.85546875" style="74" customWidth="1"/>
    <col min="8" max="8" width="4.5703125" style="74" customWidth="1"/>
    <col min="9" max="16384" width="9.140625" style="74"/>
  </cols>
  <sheetData>
    <row r="1" spans="1:8" x14ac:dyDescent="0.2">
      <c r="A1" s="165" t="s">
        <v>191</v>
      </c>
      <c r="B1" s="164"/>
      <c r="C1" s="164"/>
      <c r="D1" s="163" t="s">
        <v>190</v>
      </c>
      <c r="E1" s="163" t="s">
        <v>40</v>
      </c>
      <c r="F1" s="162"/>
      <c r="G1" s="162"/>
      <c r="H1" s="161"/>
    </row>
    <row r="2" spans="1:8" ht="22.5" x14ac:dyDescent="0.2">
      <c r="A2" s="160"/>
      <c r="B2" s="99" t="s">
        <v>188</v>
      </c>
      <c r="C2" s="100" t="s">
        <v>187</v>
      </c>
      <c r="D2" s="100" t="s">
        <v>186</v>
      </c>
      <c r="E2" s="98" t="str">
        <f>Currency&amp;"_010_"&amp;$D$1&amp;$E$1&amp;".xml"</f>
        <v>EUR_010_IMMFRA6M.xml</v>
      </c>
      <c r="F2" s="97">
        <f ca="1">IF(Serialize,_xll.ohObjectSave(F3:F122,SerializationPath&amp;E2,FileOverwrite,Serialize),"---")</f>
        <v>120</v>
      </c>
      <c r="G2" s="116" t="str">
        <f ca="1">_xll.ohRangeRetrieveError(F2)</f>
        <v/>
      </c>
      <c r="H2" s="149"/>
    </row>
    <row r="3" spans="1:8" x14ac:dyDescent="0.2">
      <c r="A3" s="154"/>
      <c r="B3" s="159">
        <v>1</v>
      </c>
      <c r="C3" s="158" t="b">
        <v>0</v>
      </c>
      <c r="D3" s="157" t="str">
        <f t="array" ref="D3:D122">_xll.qlIMMNextCodes(_xll.qlSettingsEvaluationDate(Trigger)-1,$C3:$C122)</f>
        <v>Z3</v>
      </c>
      <c r="E3" s="151" t="str">
        <f t="shared" ref="E3:E34" si="0">Currency&amp;$D$1&amp;$E$1&amp;$D3&amp;QuoteSuffix</f>
        <v>EURIMMFRA6MZ3_Quote</v>
      </c>
      <c r="F3" s="156" t="str">
        <f>_xll.qlSimpleQuote(E3,,PriceTickValue,Permanent,Trigger,ObjectOverwrite)</f>
        <v>EURIMMFRA6MZ3_Quote#0002</v>
      </c>
      <c r="G3" s="155" t="str">
        <f>_xll.ohRangeRetrieveError(F3)</f>
        <v/>
      </c>
      <c r="H3" s="149"/>
    </row>
    <row r="4" spans="1:8" x14ac:dyDescent="0.2">
      <c r="A4" s="154"/>
      <c r="B4" s="115">
        <v>2</v>
      </c>
      <c r="C4" s="153" t="b">
        <v>0</v>
      </c>
      <c r="D4" s="152" t="str">
        <v>F4</v>
      </c>
      <c r="E4" s="151" t="str">
        <f t="shared" si="0"/>
        <v>EURIMMFRA6MF4_Quote</v>
      </c>
      <c r="F4" s="150" t="str">
        <f>_xll.qlSimpleQuote(E4,,PriceTickValue,Permanent,Trigger,ObjectOverwrite)</f>
        <v>EURIMMFRA6MF4_Quote#0002</v>
      </c>
      <c r="G4" s="113" t="str">
        <f>_xll.ohRangeRetrieveError(F4)</f>
        <v/>
      </c>
      <c r="H4" s="149"/>
    </row>
    <row r="5" spans="1:8" x14ac:dyDescent="0.2">
      <c r="A5" s="154"/>
      <c r="B5" s="115">
        <v>3</v>
      </c>
      <c r="C5" s="153" t="b">
        <v>0</v>
      </c>
      <c r="D5" s="152" t="str">
        <v>G4</v>
      </c>
      <c r="E5" s="151" t="str">
        <f t="shared" si="0"/>
        <v>EURIMMFRA6MG4_Quote</v>
      </c>
      <c r="F5" s="150" t="str">
        <f>_xll.qlSimpleQuote(E5,,PriceTickValue,Permanent,Trigger,ObjectOverwrite)</f>
        <v>EURIMMFRA6MG4_Quote#0002</v>
      </c>
      <c r="G5" s="113" t="str">
        <f>_xll.ohRangeRetrieveError(F5)</f>
        <v/>
      </c>
      <c r="H5" s="149"/>
    </row>
    <row r="6" spans="1:8" x14ac:dyDescent="0.2">
      <c r="A6" s="154"/>
      <c r="B6" s="115">
        <v>4</v>
      </c>
      <c r="C6" s="153" t="b">
        <v>0</v>
      </c>
      <c r="D6" s="152" t="str">
        <v>H4</v>
      </c>
      <c r="E6" s="151" t="str">
        <f t="shared" si="0"/>
        <v>EURIMMFRA6MH4_Quote</v>
      </c>
      <c r="F6" s="150" t="str">
        <f>_xll.qlSimpleQuote(E6,,PriceTickValue,Permanent,Trigger,ObjectOverwrite)</f>
        <v>EURIMMFRA6MH4_Quote#0002</v>
      </c>
      <c r="G6" s="113" t="str">
        <f>_xll.ohRangeRetrieveError(F6)</f>
        <v/>
      </c>
      <c r="H6" s="149"/>
    </row>
    <row r="7" spans="1:8" x14ac:dyDescent="0.2">
      <c r="A7" s="154"/>
      <c r="B7" s="115">
        <v>5</v>
      </c>
      <c r="C7" s="153" t="b">
        <v>0</v>
      </c>
      <c r="D7" s="152" t="str">
        <v>J4</v>
      </c>
      <c r="E7" s="151" t="str">
        <f t="shared" si="0"/>
        <v>EURIMMFRA6MJ4_Quote</v>
      </c>
      <c r="F7" s="150" t="str">
        <f>_xll.qlSimpleQuote(E7,,PriceTickValue,Permanent,Trigger,ObjectOverwrite)</f>
        <v>EURIMMFRA6MJ4_Quote#0002</v>
      </c>
      <c r="G7" s="113" t="str">
        <f>_xll.ohRangeRetrieveError(F7)</f>
        <v/>
      </c>
      <c r="H7" s="149"/>
    </row>
    <row r="8" spans="1:8" x14ac:dyDescent="0.2">
      <c r="A8" s="154"/>
      <c r="B8" s="115">
        <v>6</v>
      </c>
      <c r="C8" s="153" t="b">
        <v>0</v>
      </c>
      <c r="D8" s="152" t="str">
        <v>K4</v>
      </c>
      <c r="E8" s="151" t="str">
        <f t="shared" si="0"/>
        <v>EURIMMFRA6MK4_Quote</v>
      </c>
      <c r="F8" s="150" t="str">
        <f>_xll.qlSimpleQuote(E8,,PriceTickValue,Permanent,Trigger,ObjectOverwrite)</f>
        <v>EURIMMFRA6MK4_Quote#0002</v>
      </c>
      <c r="G8" s="113" t="str">
        <f>_xll.ohRangeRetrieveError(F8)</f>
        <v/>
      </c>
      <c r="H8" s="149"/>
    </row>
    <row r="9" spans="1:8" x14ac:dyDescent="0.2">
      <c r="A9" s="154"/>
      <c r="B9" s="115">
        <v>7</v>
      </c>
      <c r="C9" s="153" t="b">
        <v>0</v>
      </c>
      <c r="D9" s="152" t="str">
        <v>M4</v>
      </c>
      <c r="E9" s="151" t="str">
        <f t="shared" si="0"/>
        <v>EURIMMFRA6MM4_Quote</v>
      </c>
      <c r="F9" s="150" t="str">
        <f>_xll.qlSimpleQuote(E9,,PriceTickValue,Permanent,Trigger,ObjectOverwrite)</f>
        <v>EURIMMFRA6MM4_Quote#0002</v>
      </c>
      <c r="G9" s="113" t="str">
        <f>_xll.ohRangeRetrieveError(F9)</f>
        <v/>
      </c>
      <c r="H9" s="149"/>
    </row>
    <row r="10" spans="1:8" x14ac:dyDescent="0.2">
      <c r="A10" s="154"/>
      <c r="B10" s="115">
        <v>8</v>
      </c>
      <c r="C10" s="153" t="b">
        <v>0</v>
      </c>
      <c r="D10" s="152" t="str">
        <v>N4</v>
      </c>
      <c r="E10" s="151" t="str">
        <f t="shared" si="0"/>
        <v>EURIMMFRA6MN4_Quote</v>
      </c>
      <c r="F10" s="150" t="str">
        <f>_xll.qlSimpleQuote(E10,,PriceTickValue,Permanent,Trigger,ObjectOverwrite)</f>
        <v>EURIMMFRA6MN4_Quote#0002</v>
      </c>
      <c r="G10" s="113" t="str">
        <f>_xll.ohRangeRetrieveError(F10)</f>
        <v/>
      </c>
      <c r="H10" s="149"/>
    </row>
    <row r="11" spans="1:8" x14ac:dyDescent="0.2">
      <c r="A11" s="154"/>
      <c r="B11" s="115">
        <v>9</v>
      </c>
      <c r="C11" s="153" t="b">
        <v>0</v>
      </c>
      <c r="D11" s="152" t="str">
        <v>Q4</v>
      </c>
      <c r="E11" s="151" t="str">
        <f t="shared" si="0"/>
        <v>EURIMMFRA6MQ4_Quote</v>
      </c>
      <c r="F11" s="150" t="str">
        <f>_xll.qlSimpleQuote(E11,,PriceTickValue,Permanent,Trigger,ObjectOverwrite)</f>
        <v>EURIMMFRA6MQ4_Quote#0002</v>
      </c>
      <c r="G11" s="113" t="str">
        <f>_xll.ohRangeRetrieveError(F11)</f>
        <v/>
      </c>
      <c r="H11" s="149"/>
    </row>
    <row r="12" spans="1:8" x14ac:dyDescent="0.2">
      <c r="A12" s="154"/>
      <c r="B12" s="115">
        <v>10</v>
      </c>
      <c r="C12" s="153" t="b">
        <v>0</v>
      </c>
      <c r="D12" s="152" t="str">
        <v>U4</v>
      </c>
      <c r="E12" s="151" t="str">
        <f t="shared" si="0"/>
        <v>EURIMMFRA6MU4_Quote</v>
      </c>
      <c r="F12" s="150" t="str">
        <f>_xll.qlSimpleQuote(E12,,PriceTickValue,Permanent,Trigger,ObjectOverwrite)</f>
        <v>EURIMMFRA6MU4_Quote#0002</v>
      </c>
      <c r="G12" s="113" t="str">
        <f>_xll.ohRangeRetrieveError(F12)</f>
        <v/>
      </c>
      <c r="H12" s="149"/>
    </row>
    <row r="13" spans="1:8" x14ac:dyDescent="0.2">
      <c r="A13" s="154"/>
      <c r="B13" s="115">
        <v>11</v>
      </c>
      <c r="C13" s="153" t="b">
        <v>0</v>
      </c>
      <c r="D13" s="152" t="str">
        <v>V4</v>
      </c>
      <c r="E13" s="151" t="str">
        <f t="shared" si="0"/>
        <v>EURIMMFRA6MV4_Quote</v>
      </c>
      <c r="F13" s="150" t="str">
        <f>_xll.qlSimpleQuote(E13,,PriceTickValue,Permanent,Trigger,ObjectOverwrite)</f>
        <v>EURIMMFRA6MV4_Quote#0002</v>
      </c>
      <c r="G13" s="113" t="str">
        <f>_xll.ohRangeRetrieveError(F13)</f>
        <v/>
      </c>
      <c r="H13" s="149"/>
    </row>
    <row r="14" spans="1:8" x14ac:dyDescent="0.2">
      <c r="A14" s="154"/>
      <c r="B14" s="115">
        <v>12</v>
      </c>
      <c r="C14" s="153" t="b">
        <v>0</v>
      </c>
      <c r="D14" s="152" t="str">
        <v>X4</v>
      </c>
      <c r="E14" s="151" t="str">
        <f t="shared" si="0"/>
        <v>EURIMMFRA6MX4_Quote</v>
      </c>
      <c r="F14" s="150" t="str">
        <f>_xll.qlSimpleQuote(E14,,PriceTickValue,Permanent,Trigger,ObjectOverwrite)</f>
        <v>EURIMMFRA6MX4_Quote#0002</v>
      </c>
      <c r="G14" s="113" t="str">
        <f>_xll.ohRangeRetrieveError(F14)</f>
        <v/>
      </c>
      <c r="H14" s="149"/>
    </row>
    <row r="15" spans="1:8" x14ac:dyDescent="0.2">
      <c r="A15" s="154"/>
      <c r="B15" s="115">
        <v>13</v>
      </c>
      <c r="C15" s="153" t="b">
        <v>0</v>
      </c>
      <c r="D15" s="152" t="str">
        <v>Z4</v>
      </c>
      <c r="E15" s="151" t="str">
        <f t="shared" si="0"/>
        <v>EURIMMFRA6MZ4_Quote</v>
      </c>
      <c r="F15" s="150" t="str">
        <f>_xll.qlSimpleQuote(E15,,PriceTickValue,Permanent,Trigger,ObjectOverwrite)</f>
        <v>EURIMMFRA6MZ4_Quote#0002</v>
      </c>
      <c r="G15" s="113" t="str">
        <f>_xll.ohRangeRetrieveError(F15)</f>
        <v/>
      </c>
      <c r="H15" s="149"/>
    </row>
    <row r="16" spans="1:8" x14ac:dyDescent="0.2">
      <c r="A16" s="154"/>
      <c r="B16" s="115">
        <v>14</v>
      </c>
      <c r="C16" s="153" t="b">
        <v>0</v>
      </c>
      <c r="D16" s="152" t="str">
        <v>F5</v>
      </c>
      <c r="E16" s="151" t="str">
        <f t="shared" si="0"/>
        <v>EURIMMFRA6MF5_Quote</v>
      </c>
      <c r="F16" s="150" t="str">
        <f>_xll.qlSimpleQuote(E16,,PriceTickValue,Permanent,Trigger,ObjectOverwrite)</f>
        <v>EURIMMFRA6MF5_Quote#0002</v>
      </c>
      <c r="G16" s="113" t="str">
        <f>_xll.ohRangeRetrieveError(F16)</f>
        <v/>
      </c>
      <c r="H16" s="149"/>
    </row>
    <row r="17" spans="1:8" x14ac:dyDescent="0.2">
      <c r="A17" s="154"/>
      <c r="B17" s="115">
        <v>15</v>
      </c>
      <c r="C17" s="153" t="b">
        <v>0</v>
      </c>
      <c r="D17" s="152" t="str">
        <v>G5</v>
      </c>
      <c r="E17" s="151" t="str">
        <f t="shared" si="0"/>
        <v>EURIMMFRA6MG5_Quote</v>
      </c>
      <c r="F17" s="150" t="str">
        <f>_xll.qlSimpleQuote(E17,,PriceTickValue,Permanent,Trigger,ObjectOverwrite)</f>
        <v>EURIMMFRA6MG5_Quote#0002</v>
      </c>
      <c r="G17" s="113" t="str">
        <f>_xll.ohRangeRetrieveError(F17)</f>
        <v/>
      </c>
      <c r="H17" s="149"/>
    </row>
    <row r="18" spans="1:8" x14ac:dyDescent="0.2">
      <c r="A18" s="154"/>
      <c r="B18" s="115">
        <v>16</v>
      </c>
      <c r="C18" s="153" t="b">
        <v>0</v>
      </c>
      <c r="D18" s="152" t="str">
        <v>H5</v>
      </c>
      <c r="E18" s="151" t="str">
        <f t="shared" si="0"/>
        <v>EURIMMFRA6MH5_Quote</v>
      </c>
      <c r="F18" s="150" t="str">
        <f>_xll.qlSimpleQuote(E18,,PriceTickValue,Permanent,Trigger,ObjectOverwrite)</f>
        <v>EURIMMFRA6MH5_Quote#0002</v>
      </c>
      <c r="G18" s="113" t="str">
        <f>_xll.ohRangeRetrieveError(F18)</f>
        <v/>
      </c>
      <c r="H18" s="149"/>
    </row>
    <row r="19" spans="1:8" x14ac:dyDescent="0.2">
      <c r="A19" s="154"/>
      <c r="B19" s="115">
        <v>17</v>
      </c>
      <c r="C19" s="153" t="b">
        <v>0</v>
      </c>
      <c r="D19" s="152" t="str">
        <v>J5</v>
      </c>
      <c r="E19" s="151" t="str">
        <f t="shared" si="0"/>
        <v>EURIMMFRA6MJ5_Quote</v>
      </c>
      <c r="F19" s="150" t="str">
        <f>_xll.qlSimpleQuote(E19,,PriceTickValue,Permanent,Trigger,ObjectOverwrite)</f>
        <v>EURIMMFRA6MJ5_Quote#0002</v>
      </c>
      <c r="G19" s="113" t="str">
        <f>_xll.ohRangeRetrieveError(F19)</f>
        <v/>
      </c>
      <c r="H19" s="149"/>
    </row>
    <row r="20" spans="1:8" x14ac:dyDescent="0.2">
      <c r="A20" s="154"/>
      <c r="B20" s="115">
        <v>18</v>
      </c>
      <c r="C20" s="153" t="b">
        <v>0</v>
      </c>
      <c r="D20" s="152" t="str">
        <v>K5</v>
      </c>
      <c r="E20" s="151" t="str">
        <f t="shared" si="0"/>
        <v>EURIMMFRA6MK5_Quote</v>
      </c>
      <c r="F20" s="150" t="str">
        <f>_xll.qlSimpleQuote(E20,,PriceTickValue,Permanent,Trigger,ObjectOverwrite)</f>
        <v>EURIMMFRA6MK5_Quote#0002</v>
      </c>
      <c r="G20" s="113" t="str">
        <f>_xll.ohRangeRetrieveError(F20)</f>
        <v/>
      </c>
      <c r="H20" s="149"/>
    </row>
    <row r="21" spans="1:8" x14ac:dyDescent="0.2">
      <c r="A21" s="154"/>
      <c r="B21" s="115">
        <v>19</v>
      </c>
      <c r="C21" s="153" t="b">
        <v>0</v>
      </c>
      <c r="D21" s="152" t="str">
        <v>M5</v>
      </c>
      <c r="E21" s="151" t="str">
        <f t="shared" si="0"/>
        <v>EURIMMFRA6MM5_Quote</v>
      </c>
      <c r="F21" s="150" t="str">
        <f>_xll.qlSimpleQuote(E21,,PriceTickValue,Permanent,Trigger,ObjectOverwrite)</f>
        <v>EURIMMFRA6MM5_Quote#0002</v>
      </c>
      <c r="G21" s="113" t="str">
        <f>_xll.ohRangeRetrieveError(F21)</f>
        <v/>
      </c>
      <c r="H21" s="149"/>
    </row>
    <row r="22" spans="1:8" x14ac:dyDescent="0.2">
      <c r="A22" s="154"/>
      <c r="B22" s="115">
        <v>20</v>
      </c>
      <c r="C22" s="153" t="b">
        <v>0</v>
      </c>
      <c r="D22" s="152" t="str">
        <v>N5</v>
      </c>
      <c r="E22" s="151" t="str">
        <f t="shared" si="0"/>
        <v>EURIMMFRA6MN5_Quote</v>
      </c>
      <c r="F22" s="150" t="str">
        <f>_xll.qlSimpleQuote(E22,,PriceTickValue,Permanent,Trigger,ObjectOverwrite)</f>
        <v>EURIMMFRA6MN5_Quote#0002</v>
      </c>
      <c r="G22" s="113" t="str">
        <f>_xll.ohRangeRetrieveError(F22)</f>
        <v/>
      </c>
      <c r="H22" s="149"/>
    </row>
    <row r="23" spans="1:8" x14ac:dyDescent="0.2">
      <c r="A23" s="154"/>
      <c r="B23" s="115">
        <v>21</v>
      </c>
      <c r="C23" s="153" t="b">
        <v>0</v>
      </c>
      <c r="D23" s="152" t="str">
        <v>Q5</v>
      </c>
      <c r="E23" s="151" t="str">
        <f t="shared" si="0"/>
        <v>EURIMMFRA6MQ5_Quote</v>
      </c>
      <c r="F23" s="150" t="str">
        <f>_xll.qlSimpleQuote(E23,,PriceTickValue,Permanent,Trigger,ObjectOverwrite)</f>
        <v>EURIMMFRA6MQ5_Quote#0002</v>
      </c>
      <c r="G23" s="113" t="str">
        <f>_xll.ohRangeRetrieveError(F23)</f>
        <v/>
      </c>
      <c r="H23" s="149"/>
    </row>
    <row r="24" spans="1:8" x14ac:dyDescent="0.2">
      <c r="A24" s="154"/>
      <c r="B24" s="115">
        <v>22</v>
      </c>
      <c r="C24" s="153" t="b">
        <v>0</v>
      </c>
      <c r="D24" s="152" t="str">
        <v>U5</v>
      </c>
      <c r="E24" s="151" t="str">
        <f t="shared" si="0"/>
        <v>EURIMMFRA6MU5_Quote</v>
      </c>
      <c r="F24" s="150" t="str">
        <f>_xll.qlSimpleQuote(E24,,PriceTickValue,Permanent,Trigger,ObjectOverwrite)</f>
        <v>EURIMMFRA6MU5_Quote#0002</v>
      </c>
      <c r="G24" s="113" t="str">
        <f>_xll.ohRangeRetrieveError(F24)</f>
        <v/>
      </c>
      <c r="H24" s="149"/>
    </row>
    <row r="25" spans="1:8" x14ac:dyDescent="0.2">
      <c r="A25" s="154"/>
      <c r="B25" s="115">
        <v>23</v>
      </c>
      <c r="C25" s="153" t="b">
        <v>0</v>
      </c>
      <c r="D25" s="152" t="str">
        <v>V5</v>
      </c>
      <c r="E25" s="151" t="str">
        <f t="shared" si="0"/>
        <v>EURIMMFRA6MV5_Quote</v>
      </c>
      <c r="F25" s="150" t="str">
        <f>_xll.qlSimpleQuote(E25,,PriceTickValue,Permanent,Trigger,ObjectOverwrite)</f>
        <v>EURIMMFRA6MV5_Quote#0002</v>
      </c>
      <c r="G25" s="113" t="str">
        <f>_xll.ohRangeRetrieveError(F25)</f>
        <v/>
      </c>
      <c r="H25" s="149"/>
    </row>
    <row r="26" spans="1:8" x14ac:dyDescent="0.2">
      <c r="A26" s="154"/>
      <c r="B26" s="115">
        <v>24</v>
      </c>
      <c r="C26" s="153" t="b">
        <v>0</v>
      </c>
      <c r="D26" s="152" t="str">
        <v>X5</v>
      </c>
      <c r="E26" s="151" t="str">
        <f t="shared" si="0"/>
        <v>EURIMMFRA6MX5_Quote</v>
      </c>
      <c r="F26" s="150" t="str">
        <f>_xll.qlSimpleQuote(E26,,PriceTickValue,Permanent,Trigger,ObjectOverwrite)</f>
        <v>EURIMMFRA6MX5_Quote#0002</v>
      </c>
      <c r="G26" s="113" t="str">
        <f>_xll.ohRangeRetrieveError(F26)</f>
        <v/>
      </c>
      <c r="H26" s="149"/>
    </row>
    <row r="27" spans="1:8" x14ac:dyDescent="0.2">
      <c r="A27" s="154"/>
      <c r="B27" s="115">
        <v>25</v>
      </c>
      <c r="C27" s="153" t="b">
        <v>0</v>
      </c>
      <c r="D27" s="152" t="str">
        <v>Z5</v>
      </c>
      <c r="E27" s="151" t="str">
        <f t="shared" si="0"/>
        <v>EURIMMFRA6MZ5_Quote</v>
      </c>
      <c r="F27" s="150" t="str">
        <f>_xll.qlSimpleQuote(E27,,PriceTickValue,Permanent,Trigger,ObjectOverwrite)</f>
        <v>EURIMMFRA6MZ5_Quote#0002</v>
      </c>
      <c r="G27" s="113" t="str">
        <f>_xll.ohRangeRetrieveError(F27)</f>
        <v/>
      </c>
      <c r="H27" s="149"/>
    </row>
    <row r="28" spans="1:8" x14ac:dyDescent="0.2">
      <c r="A28" s="154"/>
      <c r="B28" s="115">
        <v>26</v>
      </c>
      <c r="C28" s="153" t="b">
        <v>0</v>
      </c>
      <c r="D28" s="152" t="str">
        <v>F6</v>
      </c>
      <c r="E28" s="151" t="str">
        <f t="shared" si="0"/>
        <v>EURIMMFRA6MF6_Quote</v>
      </c>
      <c r="F28" s="150" t="str">
        <f>_xll.qlSimpleQuote(E28,,PriceTickValue,Permanent,Trigger,ObjectOverwrite)</f>
        <v>EURIMMFRA6MF6_Quote#0002</v>
      </c>
      <c r="G28" s="113" t="str">
        <f>_xll.ohRangeRetrieveError(F28)</f>
        <v/>
      </c>
      <c r="H28" s="149"/>
    </row>
    <row r="29" spans="1:8" x14ac:dyDescent="0.2">
      <c r="A29" s="154"/>
      <c r="B29" s="115">
        <v>27</v>
      </c>
      <c r="C29" s="153" t="b">
        <v>0</v>
      </c>
      <c r="D29" s="152" t="str">
        <v>G6</v>
      </c>
      <c r="E29" s="151" t="str">
        <f t="shared" si="0"/>
        <v>EURIMMFRA6MG6_Quote</v>
      </c>
      <c r="F29" s="150" t="str">
        <f>_xll.qlSimpleQuote(E29,,PriceTickValue,Permanent,Trigger,ObjectOverwrite)</f>
        <v>EURIMMFRA6MG6_Quote#0002</v>
      </c>
      <c r="G29" s="113" t="str">
        <f>_xll.ohRangeRetrieveError(F29)</f>
        <v/>
      </c>
      <c r="H29" s="149"/>
    </row>
    <row r="30" spans="1:8" x14ac:dyDescent="0.2">
      <c r="A30" s="154"/>
      <c r="B30" s="115">
        <v>28</v>
      </c>
      <c r="C30" s="153" t="b">
        <v>0</v>
      </c>
      <c r="D30" s="152" t="str">
        <v>H6</v>
      </c>
      <c r="E30" s="151" t="str">
        <f t="shared" si="0"/>
        <v>EURIMMFRA6MH6_Quote</v>
      </c>
      <c r="F30" s="150" t="str">
        <f>_xll.qlSimpleQuote(E30,,PriceTickValue,Permanent,Trigger,ObjectOverwrite)</f>
        <v>EURIMMFRA6MH6_Quote#0002</v>
      </c>
      <c r="G30" s="113" t="str">
        <f>_xll.ohRangeRetrieveError(F30)</f>
        <v/>
      </c>
      <c r="H30" s="149"/>
    </row>
    <row r="31" spans="1:8" x14ac:dyDescent="0.2">
      <c r="A31" s="154"/>
      <c r="B31" s="115">
        <v>29</v>
      </c>
      <c r="C31" s="153" t="b">
        <v>0</v>
      </c>
      <c r="D31" s="152" t="str">
        <v>J6</v>
      </c>
      <c r="E31" s="151" t="str">
        <f t="shared" si="0"/>
        <v>EURIMMFRA6MJ6_Quote</v>
      </c>
      <c r="F31" s="150" t="str">
        <f>_xll.qlSimpleQuote(E31,,PriceTickValue,Permanent,Trigger,ObjectOverwrite)</f>
        <v>EURIMMFRA6MJ6_Quote#0002</v>
      </c>
      <c r="G31" s="113" t="str">
        <f>_xll.ohRangeRetrieveError(F31)</f>
        <v/>
      </c>
      <c r="H31" s="149"/>
    </row>
    <row r="32" spans="1:8" x14ac:dyDescent="0.2">
      <c r="A32" s="154"/>
      <c r="B32" s="115">
        <v>30</v>
      </c>
      <c r="C32" s="153" t="b">
        <v>0</v>
      </c>
      <c r="D32" s="152" t="str">
        <v>K6</v>
      </c>
      <c r="E32" s="151" t="str">
        <f t="shared" si="0"/>
        <v>EURIMMFRA6MK6_Quote</v>
      </c>
      <c r="F32" s="150" t="str">
        <f>_xll.qlSimpleQuote(E32,,PriceTickValue,Permanent,Trigger,ObjectOverwrite)</f>
        <v>EURIMMFRA6MK6_Quote#0002</v>
      </c>
      <c r="G32" s="113" t="str">
        <f>_xll.ohRangeRetrieveError(F32)</f>
        <v/>
      </c>
      <c r="H32" s="149"/>
    </row>
    <row r="33" spans="1:8" x14ac:dyDescent="0.2">
      <c r="A33" s="154"/>
      <c r="B33" s="115">
        <v>31</v>
      </c>
      <c r="C33" s="153" t="b">
        <v>0</v>
      </c>
      <c r="D33" s="152" t="str">
        <v>M6</v>
      </c>
      <c r="E33" s="151" t="str">
        <f t="shared" si="0"/>
        <v>EURIMMFRA6MM6_Quote</v>
      </c>
      <c r="F33" s="150" t="str">
        <f>_xll.qlSimpleQuote(E33,,PriceTickValue,Permanent,Trigger,ObjectOverwrite)</f>
        <v>EURIMMFRA6MM6_Quote#0002</v>
      </c>
      <c r="G33" s="113" t="str">
        <f>_xll.ohRangeRetrieveError(F33)</f>
        <v/>
      </c>
      <c r="H33" s="149"/>
    </row>
    <row r="34" spans="1:8" x14ac:dyDescent="0.2">
      <c r="A34" s="154"/>
      <c r="B34" s="115">
        <v>32</v>
      </c>
      <c r="C34" s="153" t="b">
        <v>0</v>
      </c>
      <c r="D34" s="152" t="str">
        <v>N6</v>
      </c>
      <c r="E34" s="151" t="str">
        <f t="shared" si="0"/>
        <v>EURIMMFRA6MN6_Quote</v>
      </c>
      <c r="F34" s="150" t="str">
        <f>_xll.qlSimpleQuote(E34,,PriceTickValue,Permanent,Trigger,ObjectOverwrite)</f>
        <v>EURIMMFRA6MN6_Quote#0002</v>
      </c>
      <c r="G34" s="113" t="str">
        <f>_xll.ohRangeRetrieveError(F34)</f>
        <v/>
      </c>
      <c r="H34" s="149"/>
    </row>
    <row r="35" spans="1:8" x14ac:dyDescent="0.2">
      <c r="A35" s="154"/>
      <c r="B35" s="115">
        <v>33</v>
      </c>
      <c r="C35" s="153" t="b">
        <v>0</v>
      </c>
      <c r="D35" s="152" t="str">
        <v>Q6</v>
      </c>
      <c r="E35" s="151" t="str">
        <f t="shared" ref="E35:E66" si="1">Currency&amp;$D$1&amp;$E$1&amp;$D35&amp;QuoteSuffix</f>
        <v>EURIMMFRA6MQ6_Quote</v>
      </c>
      <c r="F35" s="150" t="str">
        <f>_xll.qlSimpleQuote(E35,,PriceTickValue,Permanent,Trigger,ObjectOverwrite)</f>
        <v>EURIMMFRA6MQ6_Quote#0002</v>
      </c>
      <c r="G35" s="113" t="str">
        <f>_xll.ohRangeRetrieveError(F35)</f>
        <v/>
      </c>
      <c r="H35" s="149"/>
    </row>
    <row r="36" spans="1:8" x14ac:dyDescent="0.2">
      <c r="A36" s="154"/>
      <c r="B36" s="115">
        <v>34</v>
      </c>
      <c r="C36" s="153" t="b">
        <v>0</v>
      </c>
      <c r="D36" s="152" t="str">
        <v>U6</v>
      </c>
      <c r="E36" s="151" t="str">
        <f t="shared" si="1"/>
        <v>EURIMMFRA6MU6_Quote</v>
      </c>
      <c r="F36" s="150" t="str">
        <f>_xll.qlSimpleQuote(E36,,PriceTickValue,Permanent,Trigger,ObjectOverwrite)</f>
        <v>EURIMMFRA6MU6_Quote#0002</v>
      </c>
      <c r="G36" s="113" t="str">
        <f>_xll.ohRangeRetrieveError(F36)</f>
        <v/>
      </c>
      <c r="H36" s="149"/>
    </row>
    <row r="37" spans="1:8" x14ac:dyDescent="0.2">
      <c r="A37" s="154"/>
      <c r="B37" s="115">
        <v>35</v>
      </c>
      <c r="C37" s="153" t="b">
        <v>0</v>
      </c>
      <c r="D37" s="152" t="str">
        <v>V6</v>
      </c>
      <c r="E37" s="151" t="str">
        <f t="shared" si="1"/>
        <v>EURIMMFRA6MV6_Quote</v>
      </c>
      <c r="F37" s="150" t="str">
        <f>_xll.qlSimpleQuote(E37,,PriceTickValue,Permanent,Trigger,ObjectOverwrite)</f>
        <v>EURIMMFRA6MV6_Quote#0002</v>
      </c>
      <c r="G37" s="113" t="str">
        <f>_xll.ohRangeRetrieveError(F37)</f>
        <v/>
      </c>
      <c r="H37" s="149"/>
    </row>
    <row r="38" spans="1:8" x14ac:dyDescent="0.2">
      <c r="A38" s="154"/>
      <c r="B38" s="115">
        <v>36</v>
      </c>
      <c r="C38" s="153" t="b">
        <v>0</v>
      </c>
      <c r="D38" s="152" t="str">
        <v>X6</v>
      </c>
      <c r="E38" s="151" t="str">
        <f t="shared" si="1"/>
        <v>EURIMMFRA6MX6_Quote</v>
      </c>
      <c r="F38" s="150" t="str">
        <f>_xll.qlSimpleQuote(E38,,PriceTickValue,Permanent,Trigger,ObjectOverwrite)</f>
        <v>EURIMMFRA6MX6_Quote#0002</v>
      </c>
      <c r="G38" s="113" t="str">
        <f>_xll.ohRangeRetrieveError(F38)</f>
        <v/>
      </c>
      <c r="H38" s="149"/>
    </row>
    <row r="39" spans="1:8" x14ac:dyDescent="0.2">
      <c r="A39" s="154"/>
      <c r="B39" s="115">
        <v>37</v>
      </c>
      <c r="C39" s="153" t="b">
        <v>0</v>
      </c>
      <c r="D39" s="152" t="str">
        <v>Z6</v>
      </c>
      <c r="E39" s="151" t="str">
        <f t="shared" si="1"/>
        <v>EURIMMFRA6MZ6_Quote</v>
      </c>
      <c r="F39" s="150" t="str">
        <f>_xll.qlSimpleQuote(E39,,PriceTickValue,Permanent,Trigger,ObjectOverwrite)</f>
        <v>EURIMMFRA6MZ6_Quote#0002</v>
      </c>
      <c r="G39" s="113" t="str">
        <f>_xll.ohRangeRetrieveError(F39)</f>
        <v/>
      </c>
      <c r="H39" s="149"/>
    </row>
    <row r="40" spans="1:8" x14ac:dyDescent="0.2">
      <c r="A40" s="154"/>
      <c r="B40" s="115">
        <v>38</v>
      </c>
      <c r="C40" s="153" t="b">
        <v>0</v>
      </c>
      <c r="D40" s="152" t="str">
        <v>F7</v>
      </c>
      <c r="E40" s="151" t="str">
        <f t="shared" si="1"/>
        <v>EURIMMFRA6MF7_Quote</v>
      </c>
      <c r="F40" s="150" t="str">
        <f>_xll.qlSimpleQuote(E40,,PriceTickValue,Permanent,Trigger,ObjectOverwrite)</f>
        <v>EURIMMFRA6MF7_Quote#0002</v>
      </c>
      <c r="G40" s="113" t="str">
        <f>_xll.ohRangeRetrieveError(F40)</f>
        <v/>
      </c>
      <c r="H40" s="149"/>
    </row>
    <row r="41" spans="1:8" x14ac:dyDescent="0.2">
      <c r="A41" s="154"/>
      <c r="B41" s="115">
        <v>39</v>
      </c>
      <c r="C41" s="153" t="b">
        <v>0</v>
      </c>
      <c r="D41" s="152" t="str">
        <v>G7</v>
      </c>
      <c r="E41" s="151" t="str">
        <f t="shared" si="1"/>
        <v>EURIMMFRA6MG7_Quote</v>
      </c>
      <c r="F41" s="150" t="str">
        <f>_xll.qlSimpleQuote(E41,,PriceTickValue,Permanent,Trigger,ObjectOverwrite)</f>
        <v>EURIMMFRA6MG7_Quote#0002</v>
      </c>
      <c r="G41" s="113" t="str">
        <f>_xll.ohRangeRetrieveError(F41)</f>
        <v/>
      </c>
      <c r="H41" s="149"/>
    </row>
    <row r="42" spans="1:8" x14ac:dyDescent="0.2">
      <c r="A42" s="154"/>
      <c r="B42" s="115">
        <v>40</v>
      </c>
      <c r="C42" s="153" t="b">
        <v>0</v>
      </c>
      <c r="D42" s="152" t="str">
        <v>H7</v>
      </c>
      <c r="E42" s="151" t="str">
        <f t="shared" si="1"/>
        <v>EURIMMFRA6MH7_Quote</v>
      </c>
      <c r="F42" s="150" t="str">
        <f>_xll.qlSimpleQuote(E42,,PriceTickValue,Permanent,Trigger,ObjectOverwrite)</f>
        <v>EURIMMFRA6MH7_Quote#0002</v>
      </c>
      <c r="G42" s="113" t="str">
        <f>_xll.ohRangeRetrieveError(F42)</f>
        <v/>
      </c>
      <c r="H42" s="149"/>
    </row>
    <row r="43" spans="1:8" x14ac:dyDescent="0.2">
      <c r="A43" s="154"/>
      <c r="B43" s="115">
        <v>41</v>
      </c>
      <c r="C43" s="153" t="b">
        <v>0</v>
      </c>
      <c r="D43" s="152" t="str">
        <v>J7</v>
      </c>
      <c r="E43" s="151" t="str">
        <f t="shared" si="1"/>
        <v>EURIMMFRA6MJ7_Quote</v>
      </c>
      <c r="F43" s="150" t="str">
        <f>_xll.qlSimpleQuote(E43,,PriceTickValue,Permanent,Trigger,ObjectOverwrite)</f>
        <v>EURIMMFRA6MJ7_Quote#0002</v>
      </c>
      <c r="G43" s="113" t="str">
        <f>_xll.ohRangeRetrieveError(F43)</f>
        <v/>
      </c>
      <c r="H43" s="149"/>
    </row>
    <row r="44" spans="1:8" x14ac:dyDescent="0.2">
      <c r="A44" s="154"/>
      <c r="B44" s="115">
        <v>42</v>
      </c>
      <c r="C44" s="153" t="b">
        <v>0</v>
      </c>
      <c r="D44" s="152" t="str">
        <v>K7</v>
      </c>
      <c r="E44" s="151" t="str">
        <f t="shared" si="1"/>
        <v>EURIMMFRA6MK7_Quote</v>
      </c>
      <c r="F44" s="150" t="str">
        <f>_xll.qlSimpleQuote(E44,,PriceTickValue,Permanent,Trigger,ObjectOverwrite)</f>
        <v>EURIMMFRA6MK7_Quote#0002</v>
      </c>
      <c r="G44" s="113" t="str">
        <f>_xll.ohRangeRetrieveError(F44)</f>
        <v/>
      </c>
      <c r="H44" s="149"/>
    </row>
    <row r="45" spans="1:8" x14ac:dyDescent="0.2">
      <c r="A45" s="154"/>
      <c r="B45" s="115">
        <v>43</v>
      </c>
      <c r="C45" s="153" t="b">
        <v>0</v>
      </c>
      <c r="D45" s="152" t="str">
        <v>M7</v>
      </c>
      <c r="E45" s="151" t="str">
        <f t="shared" si="1"/>
        <v>EURIMMFRA6MM7_Quote</v>
      </c>
      <c r="F45" s="150" t="str">
        <f>_xll.qlSimpleQuote(E45,,PriceTickValue,Permanent,Trigger,ObjectOverwrite)</f>
        <v>EURIMMFRA6MM7_Quote#0002</v>
      </c>
      <c r="G45" s="113" t="str">
        <f>_xll.ohRangeRetrieveError(F45)</f>
        <v/>
      </c>
      <c r="H45" s="149"/>
    </row>
    <row r="46" spans="1:8" x14ac:dyDescent="0.2">
      <c r="A46" s="154"/>
      <c r="B46" s="115">
        <v>44</v>
      </c>
      <c r="C46" s="153" t="b">
        <v>0</v>
      </c>
      <c r="D46" s="152" t="str">
        <v>N7</v>
      </c>
      <c r="E46" s="151" t="str">
        <f t="shared" si="1"/>
        <v>EURIMMFRA6MN7_Quote</v>
      </c>
      <c r="F46" s="150" t="str">
        <f>_xll.qlSimpleQuote(E46,,PriceTickValue,Permanent,Trigger,ObjectOverwrite)</f>
        <v>EURIMMFRA6MN7_Quote#0002</v>
      </c>
      <c r="G46" s="113" t="str">
        <f>_xll.ohRangeRetrieveError(F46)</f>
        <v/>
      </c>
      <c r="H46" s="149"/>
    </row>
    <row r="47" spans="1:8" x14ac:dyDescent="0.2">
      <c r="A47" s="154"/>
      <c r="B47" s="115">
        <v>45</v>
      </c>
      <c r="C47" s="153" t="b">
        <v>0</v>
      </c>
      <c r="D47" s="152" t="str">
        <v>Q7</v>
      </c>
      <c r="E47" s="151" t="str">
        <f t="shared" si="1"/>
        <v>EURIMMFRA6MQ7_Quote</v>
      </c>
      <c r="F47" s="150" t="str">
        <f>_xll.qlSimpleQuote(E47,,PriceTickValue,Permanent,Trigger,ObjectOverwrite)</f>
        <v>EURIMMFRA6MQ7_Quote#0002</v>
      </c>
      <c r="G47" s="113" t="str">
        <f>_xll.ohRangeRetrieveError(F47)</f>
        <v/>
      </c>
      <c r="H47" s="149"/>
    </row>
    <row r="48" spans="1:8" x14ac:dyDescent="0.2">
      <c r="A48" s="154"/>
      <c r="B48" s="115">
        <v>46</v>
      </c>
      <c r="C48" s="153" t="b">
        <v>0</v>
      </c>
      <c r="D48" s="152" t="str">
        <v>U7</v>
      </c>
      <c r="E48" s="151" t="str">
        <f t="shared" si="1"/>
        <v>EURIMMFRA6MU7_Quote</v>
      </c>
      <c r="F48" s="150" t="str">
        <f>_xll.qlSimpleQuote(E48,,PriceTickValue,Permanent,Trigger,ObjectOverwrite)</f>
        <v>EURIMMFRA6MU7_Quote#0002</v>
      </c>
      <c r="G48" s="113" t="str">
        <f>_xll.ohRangeRetrieveError(F48)</f>
        <v/>
      </c>
      <c r="H48" s="149"/>
    </row>
    <row r="49" spans="1:8" x14ac:dyDescent="0.2">
      <c r="A49" s="154"/>
      <c r="B49" s="115">
        <v>47</v>
      </c>
      <c r="C49" s="153" t="b">
        <v>0</v>
      </c>
      <c r="D49" s="152" t="str">
        <v>V7</v>
      </c>
      <c r="E49" s="151" t="str">
        <f t="shared" si="1"/>
        <v>EURIMMFRA6MV7_Quote</v>
      </c>
      <c r="F49" s="150" t="str">
        <f>_xll.qlSimpleQuote(E49,,PriceTickValue,Permanent,Trigger,ObjectOverwrite)</f>
        <v>EURIMMFRA6MV7_Quote#0002</v>
      </c>
      <c r="G49" s="113" t="str">
        <f>_xll.ohRangeRetrieveError(F49)</f>
        <v/>
      </c>
      <c r="H49" s="149"/>
    </row>
    <row r="50" spans="1:8" x14ac:dyDescent="0.2">
      <c r="A50" s="154"/>
      <c r="B50" s="115">
        <v>48</v>
      </c>
      <c r="C50" s="153" t="b">
        <v>0</v>
      </c>
      <c r="D50" s="152" t="str">
        <v>X7</v>
      </c>
      <c r="E50" s="151" t="str">
        <f t="shared" si="1"/>
        <v>EURIMMFRA6MX7_Quote</v>
      </c>
      <c r="F50" s="150" t="str">
        <f>_xll.qlSimpleQuote(E50,,PriceTickValue,Permanent,Trigger,ObjectOverwrite)</f>
        <v>EURIMMFRA6MX7_Quote#0002</v>
      </c>
      <c r="G50" s="113" t="str">
        <f>_xll.ohRangeRetrieveError(F50)</f>
        <v/>
      </c>
      <c r="H50" s="149"/>
    </row>
    <row r="51" spans="1:8" x14ac:dyDescent="0.2">
      <c r="A51" s="154"/>
      <c r="B51" s="115">
        <v>49</v>
      </c>
      <c r="C51" s="153" t="b">
        <v>0</v>
      </c>
      <c r="D51" s="152" t="str">
        <v>Z7</v>
      </c>
      <c r="E51" s="151" t="str">
        <f t="shared" si="1"/>
        <v>EURIMMFRA6MZ7_Quote</v>
      </c>
      <c r="F51" s="150" t="str">
        <f>_xll.qlSimpleQuote(E51,,PriceTickValue,Permanent,Trigger,ObjectOverwrite)</f>
        <v>EURIMMFRA6MZ7_Quote#0002</v>
      </c>
      <c r="G51" s="113" t="str">
        <f>_xll.ohRangeRetrieveError(F51)</f>
        <v/>
      </c>
      <c r="H51" s="149"/>
    </row>
    <row r="52" spans="1:8" x14ac:dyDescent="0.2">
      <c r="A52" s="154"/>
      <c r="B52" s="115">
        <v>50</v>
      </c>
      <c r="C52" s="153" t="b">
        <v>0</v>
      </c>
      <c r="D52" s="152" t="str">
        <v>F8</v>
      </c>
      <c r="E52" s="151" t="str">
        <f t="shared" si="1"/>
        <v>EURIMMFRA6MF8_Quote</v>
      </c>
      <c r="F52" s="150" t="str">
        <f>_xll.qlSimpleQuote(E52,,PriceTickValue,Permanent,Trigger,ObjectOverwrite)</f>
        <v>EURIMMFRA6MF8_Quote#0002</v>
      </c>
      <c r="G52" s="113" t="str">
        <f>_xll.ohRangeRetrieveError(F52)</f>
        <v/>
      </c>
      <c r="H52" s="149"/>
    </row>
    <row r="53" spans="1:8" x14ac:dyDescent="0.2">
      <c r="A53" s="154"/>
      <c r="B53" s="115">
        <v>51</v>
      </c>
      <c r="C53" s="153" t="b">
        <v>0</v>
      </c>
      <c r="D53" s="152" t="str">
        <v>G8</v>
      </c>
      <c r="E53" s="151" t="str">
        <f t="shared" si="1"/>
        <v>EURIMMFRA6MG8_Quote</v>
      </c>
      <c r="F53" s="150" t="str">
        <f>_xll.qlSimpleQuote(E53,,PriceTickValue,Permanent,Trigger,ObjectOverwrite)</f>
        <v>EURIMMFRA6MG8_Quote#0002</v>
      </c>
      <c r="G53" s="113" t="str">
        <f>_xll.ohRangeRetrieveError(F53)</f>
        <v/>
      </c>
      <c r="H53" s="149"/>
    </row>
    <row r="54" spans="1:8" x14ac:dyDescent="0.2">
      <c r="A54" s="154"/>
      <c r="B54" s="115">
        <v>52</v>
      </c>
      <c r="C54" s="153" t="b">
        <v>0</v>
      </c>
      <c r="D54" s="152" t="str">
        <v>H8</v>
      </c>
      <c r="E54" s="151" t="str">
        <f t="shared" si="1"/>
        <v>EURIMMFRA6MH8_Quote</v>
      </c>
      <c r="F54" s="150" t="str">
        <f>_xll.qlSimpleQuote(E54,,PriceTickValue,Permanent,Trigger,ObjectOverwrite)</f>
        <v>EURIMMFRA6MH8_Quote#0002</v>
      </c>
      <c r="G54" s="113" t="str">
        <f>_xll.ohRangeRetrieveError(F54)</f>
        <v/>
      </c>
      <c r="H54" s="149"/>
    </row>
    <row r="55" spans="1:8" x14ac:dyDescent="0.2">
      <c r="A55" s="154"/>
      <c r="B55" s="115">
        <v>53</v>
      </c>
      <c r="C55" s="153" t="b">
        <v>0</v>
      </c>
      <c r="D55" s="152" t="str">
        <v>J8</v>
      </c>
      <c r="E55" s="151" t="str">
        <f t="shared" si="1"/>
        <v>EURIMMFRA6MJ8_Quote</v>
      </c>
      <c r="F55" s="150" t="str">
        <f>_xll.qlSimpleQuote(E55,,PriceTickValue,Permanent,Trigger,ObjectOverwrite)</f>
        <v>EURIMMFRA6MJ8_Quote#0002</v>
      </c>
      <c r="G55" s="113" t="str">
        <f>_xll.ohRangeRetrieveError(F55)</f>
        <v/>
      </c>
      <c r="H55" s="149"/>
    </row>
    <row r="56" spans="1:8" x14ac:dyDescent="0.2">
      <c r="A56" s="154"/>
      <c r="B56" s="115">
        <v>54</v>
      </c>
      <c r="C56" s="153" t="b">
        <v>0</v>
      </c>
      <c r="D56" s="152" t="str">
        <v>K8</v>
      </c>
      <c r="E56" s="151" t="str">
        <f t="shared" si="1"/>
        <v>EURIMMFRA6MK8_Quote</v>
      </c>
      <c r="F56" s="150" t="str">
        <f>_xll.qlSimpleQuote(E56,,PriceTickValue,Permanent,Trigger,ObjectOverwrite)</f>
        <v>EURIMMFRA6MK8_Quote#0002</v>
      </c>
      <c r="G56" s="113" t="str">
        <f>_xll.ohRangeRetrieveError(F56)</f>
        <v/>
      </c>
      <c r="H56" s="149"/>
    </row>
    <row r="57" spans="1:8" x14ac:dyDescent="0.2">
      <c r="A57" s="154"/>
      <c r="B57" s="115">
        <v>55</v>
      </c>
      <c r="C57" s="153" t="b">
        <v>0</v>
      </c>
      <c r="D57" s="152" t="str">
        <v>M8</v>
      </c>
      <c r="E57" s="151" t="str">
        <f t="shared" si="1"/>
        <v>EURIMMFRA6MM8_Quote</v>
      </c>
      <c r="F57" s="150" t="str">
        <f>_xll.qlSimpleQuote(E57,,PriceTickValue,Permanent,Trigger,ObjectOverwrite)</f>
        <v>EURIMMFRA6MM8_Quote#0002</v>
      </c>
      <c r="G57" s="113" t="str">
        <f>_xll.ohRangeRetrieveError(F57)</f>
        <v/>
      </c>
      <c r="H57" s="149"/>
    </row>
    <row r="58" spans="1:8" x14ac:dyDescent="0.2">
      <c r="A58" s="154"/>
      <c r="B58" s="115">
        <v>56</v>
      </c>
      <c r="C58" s="153" t="b">
        <v>0</v>
      </c>
      <c r="D58" s="152" t="str">
        <v>N8</v>
      </c>
      <c r="E58" s="151" t="str">
        <f t="shared" si="1"/>
        <v>EURIMMFRA6MN8_Quote</v>
      </c>
      <c r="F58" s="150" t="str">
        <f>_xll.qlSimpleQuote(E58,,PriceTickValue,Permanent,Trigger,ObjectOverwrite)</f>
        <v>EURIMMFRA6MN8_Quote#0002</v>
      </c>
      <c r="G58" s="113" t="str">
        <f>_xll.ohRangeRetrieveError(F58)</f>
        <v/>
      </c>
      <c r="H58" s="149"/>
    </row>
    <row r="59" spans="1:8" x14ac:dyDescent="0.2">
      <c r="A59" s="154"/>
      <c r="B59" s="115">
        <v>57</v>
      </c>
      <c r="C59" s="153" t="b">
        <v>0</v>
      </c>
      <c r="D59" s="152" t="str">
        <v>Q8</v>
      </c>
      <c r="E59" s="151" t="str">
        <f t="shared" si="1"/>
        <v>EURIMMFRA6MQ8_Quote</v>
      </c>
      <c r="F59" s="150" t="str">
        <f>_xll.qlSimpleQuote(E59,,PriceTickValue,Permanent,Trigger,ObjectOverwrite)</f>
        <v>EURIMMFRA6MQ8_Quote#0002</v>
      </c>
      <c r="G59" s="113" t="str">
        <f>_xll.ohRangeRetrieveError(F59)</f>
        <v/>
      </c>
      <c r="H59" s="149"/>
    </row>
    <row r="60" spans="1:8" x14ac:dyDescent="0.2">
      <c r="A60" s="154"/>
      <c r="B60" s="115">
        <v>58</v>
      </c>
      <c r="C60" s="153" t="b">
        <v>0</v>
      </c>
      <c r="D60" s="152" t="str">
        <v>U8</v>
      </c>
      <c r="E60" s="151" t="str">
        <f t="shared" si="1"/>
        <v>EURIMMFRA6MU8_Quote</v>
      </c>
      <c r="F60" s="150" t="str">
        <f>_xll.qlSimpleQuote(E60,,PriceTickValue,Permanent,Trigger,ObjectOverwrite)</f>
        <v>EURIMMFRA6MU8_Quote#0002</v>
      </c>
      <c r="G60" s="113" t="str">
        <f>_xll.ohRangeRetrieveError(F60)</f>
        <v/>
      </c>
      <c r="H60" s="149"/>
    </row>
    <row r="61" spans="1:8" x14ac:dyDescent="0.2">
      <c r="A61" s="154"/>
      <c r="B61" s="115">
        <v>59</v>
      </c>
      <c r="C61" s="153" t="b">
        <v>0</v>
      </c>
      <c r="D61" s="152" t="str">
        <v>V8</v>
      </c>
      <c r="E61" s="151" t="str">
        <f t="shared" si="1"/>
        <v>EURIMMFRA6MV8_Quote</v>
      </c>
      <c r="F61" s="150" t="str">
        <f>_xll.qlSimpleQuote(E61,,PriceTickValue,Permanent,Trigger,ObjectOverwrite)</f>
        <v>EURIMMFRA6MV8_Quote#0002</v>
      </c>
      <c r="G61" s="113" t="str">
        <f>_xll.ohRangeRetrieveError(F61)</f>
        <v/>
      </c>
      <c r="H61" s="149"/>
    </row>
    <row r="62" spans="1:8" x14ac:dyDescent="0.2">
      <c r="A62" s="154"/>
      <c r="B62" s="115">
        <v>60</v>
      </c>
      <c r="C62" s="153" t="b">
        <v>0</v>
      </c>
      <c r="D62" s="152" t="str">
        <v>X8</v>
      </c>
      <c r="E62" s="151" t="str">
        <f t="shared" si="1"/>
        <v>EURIMMFRA6MX8_Quote</v>
      </c>
      <c r="F62" s="150" t="str">
        <f>_xll.qlSimpleQuote(E62,,PriceTickValue,Permanent,Trigger,ObjectOverwrite)</f>
        <v>EURIMMFRA6MX8_Quote#0002</v>
      </c>
      <c r="G62" s="113" t="str">
        <f>_xll.ohRangeRetrieveError(F62)</f>
        <v/>
      </c>
      <c r="H62" s="149"/>
    </row>
    <row r="63" spans="1:8" x14ac:dyDescent="0.2">
      <c r="A63" s="154"/>
      <c r="B63" s="115">
        <v>61</v>
      </c>
      <c r="C63" s="153" t="b">
        <v>0</v>
      </c>
      <c r="D63" s="152" t="str">
        <v>Z8</v>
      </c>
      <c r="E63" s="151" t="str">
        <f t="shared" si="1"/>
        <v>EURIMMFRA6MZ8_Quote</v>
      </c>
      <c r="F63" s="150" t="str">
        <f>_xll.qlSimpleQuote(E63,,PriceTickValue,Permanent,Trigger,ObjectOverwrite)</f>
        <v>EURIMMFRA6MZ8_Quote#0002</v>
      </c>
      <c r="G63" s="113" t="str">
        <f>_xll.ohRangeRetrieveError(F63)</f>
        <v/>
      </c>
      <c r="H63" s="149"/>
    </row>
    <row r="64" spans="1:8" x14ac:dyDescent="0.2">
      <c r="A64" s="154"/>
      <c r="B64" s="115">
        <v>62</v>
      </c>
      <c r="C64" s="153" t="b">
        <v>0</v>
      </c>
      <c r="D64" s="152" t="str">
        <v>F9</v>
      </c>
      <c r="E64" s="151" t="str">
        <f t="shared" si="1"/>
        <v>EURIMMFRA6MF9_Quote</v>
      </c>
      <c r="F64" s="150" t="str">
        <f>_xll.qlSimpleQuote(E64,,PriceTickValue,Permanent,Trigger,ObjectOverwrite)</f>
        <v>EURIMMFRA6MF9_Quote#0002</v>
      </c>
      <c r="G64" s="113" t="str">
        <f>_xll.ohRangeRetrieveError(F64)</f>
        <v/>
      </c>
      <c r="H64" s="149"/>
    </row>
    <row r="65" spans="1:8" x14ac:dyDescent="0.2">
      <c r="A65" s="154"/>
      <c r="B65" s="115">
        <v>63</v>
      </c>
      <c r="C65" s="153" t="b">
        <v>0</v>
      </c>
      <c r="D65" s="152" t="str">
        <v>G9</v>
      </c>
      <c r="E65" s="151" t="str">
        <f t="shared" si="1"/>
        <v>EURIMMFRA6MG9_Quote</v>
      </c>
      <c r="F65" s="150" t="str">
        <f>_xll.qlSimpleQuote(E65,,PriceTickValue,Permanent,Trigger,ObjectOverwrite)</f>
        <v>EURIMMFRA6MG9_Quote#0002</v>
      </c>
      <c r="G65" s="113" t="str">
        <f>_xll.ohRangeRetrieveError(F65)</f>
        <v/>
      </c>
      <c r="H65" s="149"/>
    </row>
    <row r="66" spans="1:8" x14ac:dyDescent="0.2">
      <c r="A66" s="154"/>
      <c r="B66" s="115">
        <v>64</v>
      </c>
      <c r="C66" s="153" t="b">
        <v>0</v>
      </c>
      <c r="D66" s="152" t="str">
        <v>H9</v>
      </c>
      <c r="E66" s="151" t="str">
        <f t="shared" si="1"/>
        <v>EURIMMFRA6MH9_Quote</v>
      </c>
      <c r="F66" s="150" t="str">
        <f>_xll.qlSimpleQuote(E66,,PriceTickValue,Permanent,Trigger,ObjectOverwrite)</f>
        <v>EURIMMFRA6MH9_Quote#0002</v>
      </c>
      <c r="G66" s="113" t="str">
        <f>_xll.ohRangeRetrieveError(F66)</f>
        <v/>
      </c>
      <c r="H66" s="149"/>
    </row>
    <row r="67" spans="1:8" x14ac:dyDescent="0.2">
      <c r="A67" s="154"/>
      <c r="B67" s="115">
        <v>65</v>
      </c>
      <c r="C67" s="153" t="b">
        <v>0</v>
      </c>
      <c r="D67" s="152" t="str">
        <v>J9</v>
      </c>
      <c r="E67" s="151" t="str">
        <f t="shared" ref="E67:E98" si="2">Currency&amp;$D$1&amp;$E$1&amp;$D67&amp;QuoteSuffix</f>
        <v>EURIMMFRA6MJ9_Quote</v>
      </c>
      <c r="F67" s="150" t="str">
        <f>_xll.qlSimpleQuote(E67,,PriceTickValue,Permanent,Trigger,ObjectOverwrite)</f>
        <v>EURIMMFRA6MJ9_Quote#0002</v>
      </c>
      <c r="G67" s="113" t="str">
        <f>_xll.ohRangeRetrieveError(F67)</f>
        <v/>
      </c>
      <c r="H67" s="149"/>
    </row>
    <row r="68" spans="1:8" x14ac:dyDescent="0.2">
      <c r="A68" s="154"/>
      <c r="B68" s="115">
        <v>66</v>
      </c>
      <c r="C68" s="153" t="b">
        <v>0</v>
      </c>
      <c r="D68" s="152" t="str">
        <v>K9</v>
      </c>
      <c r="E68" s="151" t="str">
        <f t="shared" si="2"/>
        <v>EURIMMFRA6MK9_Quote</v>
      </c>
      <c r="F68" s="150" t="str">
        <f>_xll.qlSimpleQuote(E68,,PriceTickValue,Permanent,Trigger,ObjectOverwrite)</f>
        <v>EURIMMFRA6MK9_Quote#0002</v>
      </c>
      <c r="G68" s="113" t="str">
        <f>_xll.ohRangeRetrieveError(F68)</f>
        <v/>
      </c>
      <c r="H68" s="149"/>
    </row>
    <row r="69" spans="1:8" x14ac:dyDescent="0.2">
      <c r="A69" s="154"/>
      <c r="B69" s="115">
        <v>67</v>
      </c>
      <c r="C69" s="153" t="b">
        <v>0</v>
      </c>
      <c r="D69" s="152" t="str">
        <v>M9</v>
      </c>
      <c r="E69" s="151" t="str">
        <f t="shared" si="2"/>
        <v>EURIMMFRA6MM9_Quote</v>
      </c>
      <c r="F69" s="150" t="str">
        <f>_xll.qlSimpleQuote(E69,,PriceTickValue,Permanent,Trigger,ObjectOverwrite)</f>
        <v>EURIMMFRA6MM9_Quote#0002</v>
      </c>
      <c r="G69" s="113" t="str">
        <f>_xll.ohRangeRetrieveError(F69)</f>
        <v/>
      </c>
      <c r="H69" s="149"/>
    </row>
    <row r="70" spans="1:8" x14ac:dyDescent="0.2">
      <c r="A70" s="154"/>
      <c r="B70" s="115">
        <v>68</v>
      </c>
      <c r="C70" s="153" t="b">
        <v>0</v>
      </c>
      <c r="D70" s="152" t="str">
        <v>N9</v>
      </c>
      <c r="E70" s="151" t="str">
        <f t="shared" si="2"/>
        <v>EURIMMFRA6MN9_Quote</v>
      </c>
      <c r="F70" s="150" t="str">
        <f>_xll.qlSimpleQuote(E70,,PriceTickValue,Permanent,Trigger,ObjectOverwrite)</f>
        <v>EURIMMFRA6MN9_Quote#0002</v>
      </c>
      <c r="G70" s="113" t="str">
        <f>_xll.ohRangeRetrieveError(F70)</f>
        <v/>
      </c>
      <c r="H70" s="149"/>
    </row>
    <row r="71" spans="1:8" x14ac:dyDescent="0.2">
      <c r="A71" s="154"/>
      <c r="B71" s="115">
        <v>69</v>
      </c>
      <c r="C71" s="153" t="b">
        <v>0</v>
      </c>
      <c r="D71" s="152" t="str">
        <v>Q9</v>
      </c>
      <c r="E71" s="151" t="str">
        <f t="shared" si="2"/>
        <v>EURIMMFRA6MQ9_Quote</v>
      </c>
      <c r="F71" s="150" t="str">
        <f>_xll.qlSimpleQuote(E71,,PriceTickValue,Permanent,Trigger,ObjectOverwrite)</f>
        <v>EURIMMFRA6MQ9_Quote#0002</v>
      </c>
      <c r="G71" s="113" t="str">
        <f>_xll.ohRangeRetrieveError(F71)</f>
        <v/>
      </c>
      <c r="H71" s="149"/>
    </row>
    <row r="72" spans="1:8" x14ac:dyDescent="0.2">
      <c r="A72" s="154"/>
      <c r="B72" s="115">
        <v>70</v>
      </c>
      <c r="C72" s="153" t="b">
        <v>0</v>
      </c>
      <c r="D72" s="152" t="str">
        <v>U9</v>
      </c>
      <c r="E72" s="151" t="str">
        <f t="shared" si="2"/>
        <v>EURIMMFRA6MU9_Quote</v>
      </c>
      <c r="F72" s="150" t="str">
        <f>_xll.qlSimpleQuote(E72,,PriceTickValue,Permanent,Trigger,ObjectOverwrite)</f>
        <v>EURIMMFRA6MU9_Quote#0002</v>
      </c>
      <c r="G72" s="113" t="str">
        <f>_xll.ohRangeRetrieveError(F72)</f>
        <v/>
      </c>
      <c r="H72" s="149"/>
    </row>
    <row r="73" spans="1:8" x14ac:dyDescent="0.2">
      <c r="A73" s="154"/>
      <c r="B73" s="115">
        <v>71</v>
      </c>
      <c r="C73" s="153" t="b">
        <v>0</v>
      </c>
      <c r="D73" s="152" t="str">
        <v>V9</v>
      </c>
      <c r="E73" s="151" t="str">
        <f t="shared" si="2"/>
        <v>EURIMMFRA6MV9_Quote</v>
      </c>
      <c r="F73" s="150" t="str">
        <f>_xll.qlSimpleQuote(E73,,PriceTickValue,Permanent,Trigger,ObjectOverwrite)</f>
        <v>EURIMMFRA6MV9_Quote#0002</v>
      </c>
      <c r="G73" s="113" t="str">
        <f>_xll.ohRangeRetrieveError(F73)</f>
        <v/>
      </c>
      <c r="H73" s="149"/>
    </row>
    <row r="74" spans="1:8" x14ac:dyDescent="0.2">
      <c r="A74" s="154"/>
      <c r="B74" s="115">
        <v>72</v>
      </c>
      <c r="C74" s="153" t="b">
        <v>0</v>
      </c>
      <c r="D74" s="152" t="str">
        <v>X9</v>
      </c>
      <c r="E74" s="151" t="str">
        <f t="shared" si="2"/>
        <v>EURIMMFRA6MX9_Quote</v>
      </c>
      <c r="F74" s="150" t="str">
        <f>_xll.qlSimpleQuote(E74,,PriceTickValue,Permanent,Trigger,ObjectOverwrite)</f>
        <v>EURIMMFRA6MX9_Quote#0002</v>
      </c>
      <c r="G74" s="113" t="str">
        <f>_xll.ohRangeRetrieveError(F74)</f>
        <v/>
      </c>
      <c r="H74" s="149"/>
    </row>
    <row r="75" spans="1:8" x14ac:dyDescent="0.2">
      <c r="A75" s="154"/>
      <c r="B75" s="115">
        <v>73</v>
      </c>
      <c r="C75" s="153" t="b">
        <v>0</v>
      </c>
      <c r="D75" s="152" t="str">
        <v>Z9</v>
      </c>
      <c r="E75" s="151" t="str">
        <f t="shared" si="2"/>
        <v>EURIMMFRA6MZ9_Quote</v>
      </c>
      <c r="F75" s="150" t="str">
        <f>_xll.qlSimpleQuote(E75,,PriceTickValue,Permanent,Trigger,ObjectOverwrite)</f>
        <v>EURIMMFRA6MZ9_Quote#0002</v>
      </c>
      <c r="G75" s="113" t="str">
        <f>_xll.ohRangeRetrieveError(F75)</f>
        <v/>
      </c>
      <c r="H75" s="149"/>
    </row>
    <row r="76" spans="1:8" x14ac:dyDescent="0.2">
      <c r="A76" s="154"/>
      <c r="B76" s="115">
        <v>74</v>
      </c>
      <c r="C76" s="153" t="b">
        <v>0</v>
      </c>
      <c r="D76" s="152" t="str">
        <v>F0</v>
      </c>
      <c r="E76" s="151" t="str">
        <f t="shared" si="2"/>
        <v>EURIMMFRA6MF0_Quote</v>
      </c>
      <c r="F76" s="150" t="str">
        <f>_xll.qlSimpleQuote(E76,,PriceTickValue,Permanent,Trigger,ObjectOverwrite)</f>
        <v>EURIMMFRA6MF0_Quote#0002</v>
      </c>
      <c r="G76" s="113" t="str">
        <f>_xll.ohRangeRetrieveError(F76)</f>
        <v/>
      </c>
      <c r="H76" s="149"/>
    </row>
    <row r="77" spans="1:8" x14ac:dyDescent="0.2">
      <c r="A77" s="154"/>
      <c r="B77" s="115">
        <v>75</v>
      </c>
      <c r="C77" s="153" t="b">
        <v>0</v>
      </c>
      <c r="D77" s="152" t="str">
        <v>G0</v>
      </c>
      <c r="E77" s="151" t="str">
        <f t="shared" si="2"/>
        <v>EURIMMFRA6MG0_Quote</v>
      </c>
      <c r="F77" s="150" t="str">
        <f>_xll.qlSimpleQuote(E77,,PriceTickValue,Permanent,Trigger,ObjectOverwrite)</f>
        <v>EURIMMFRA6MG0_Quote#0002</v>
      </c>
      <c r="G77" s="113" t="str">
        <f>_xll.ohRangeRetrieveError(F77)</f>
        <v/>
      </c>
      <c r="H77" s="149"/>
    </row>
    <row r="78" spans="1:8" x14ac:dyDescent="0.2">
      <c r="A78" s="154"/>
      <c r="B78" s="115">
        <v>76</v>
      </c>
      <c r="C78" s="153" t="b">
        <v>0</v>
      </c>
      <c r="D78" s="152" t="str">
        <v>H0</v>
      </c>
      <c r="E78" s="151" t="str">
        <f t="shared" si="2"/>
        <v>EURIMMFRA6MH0_Quote</v>
      </c>
      <c r="F78" s="150" t="str">
        <f>_xll.qlSimpleQuote(E78,,PriceTickValue,Permanent,Trigger,ObjectOverwrite)</f>
        <v>EURIMMFRA6MH0_Quote#0002</v>
      </c>
      <c r="G78" s="113" t="str">
        <f>_xll.ohRangeRetrieveError(F78)</f>
        <v/>
      </c>
      <c r="H78" s="149"/>
    </row>
    <row r="79" spans="1:8" x14ac:dyDescent="0.2">
      <c r="A79" s="154"/>
      <c r="B79" s="115">
        <v>77</v>
      </c>
      <c r="C79" s="153" t="b">
        <v>0</v>
      </c>
      <c r="D79" s="152" t="str">
        <v>J0</v>
      </c>
      <c r="E79" s="151" t="str">
        <f t="shared" si="2"/>
        <v>EURIMMFRA6MJ0_Quote</v>
      </c>
      <c r="F79" s="150" t="str">
        <f>_xll.qlSimpleQuote(E79,,PriceTickValue,Permanent,Trigger,ObjectOverwrite)</f>
        <v>EURIMMFRA6MJ0_Quote#0002</v>
      </c>
      <c r="G79" s="113" t="str">
        <f>_xll.ohRangeRetrieveError(F79)</f>
        <v/>
      </c>
      <c r="H79" s="149"/>
    </row>
    <row r="80" spans="1:8" x14ac:dyDescent="0.2">
      <c r="A80" s="154"/>
      <c r="B80" s="115">
        <v>78</v>
      </c>
      <c r="C80" s="153" t="b">
        <v>0</v>
      </c>
      <c r="D80" s="152" t="str">
        <v>K0</v>
      </c>
      <c r="E80" s="151" t="str">
        <f t="shared" si="2"/>
        <v>EURIMMFRA6MK0_Quote</v>
      </c>
      <c r="F80" s="150" t="str">
        <f>_xll.qlSimpleQuote(E80,,PriceTickValue,Permanent,Trigger,ObjectOverwrite)</f>
        <v>EURIMMFRA6MK0_Quote#0002</v>
      </c>
      <c r="G80" s="113" t="str">
        <f>_xll.ohRangeRetrieveError(F80)</f>
        <v/>
      </c>
      <c r="H80" s="149"/>
    </row>
    <row r="81" spans="1:8" x14ac:dyDescent="0.2">
      <c r="A81" s="154"/>
      <c r="B81" s="115">
        <v>79</v>
      </c>
      <c r="C81" s="153" t="b">
        <v>0</v>
      </c>
      <c r="D81" s="152" t="str">
        <v>M0</v>
      </c>
      <c r="E81" s="151" t="str">
        <f t="shared" si="2"/>
        <v>EURIMMFRA6MM0_Quote</v>
      </c>
      <c r="F81" s="150" t="str">
        <f>_xll.qlSimpleQuote(E81,,PriceTickValue,Permanent,Trigger,ObjectOverwrite)</f>
        <v>EURIMMFRA6MM0_Quote#0002</v>
      </c>
      <c r="G81" s="113" t="str">
        <f>_xll.ohRangeRetrieveError(F81)</f>
        <v/>
      </c>
      <c r="H81" s="149"/>
    </row>
    <row r="82" spans="1:8" x14ac:dyDescent="0.2">
      <c r="A82" s="154"/>
      <c r="B82" s="115">
        <v>80</v>
      </c>
      <c r="C82" s="153" t="b">
        <v>0</v>
      </c>
      <c r="D82" s="152" t="str">
        <v>N0</v>
      </c>
      <c r="E82" s="151" t="str">
        <f t="shared" si="2"/>
        <v>EURIMMFRA6MN0_Quote</v>
      </c>
      <c r="F82" s="150" t="str">
        <f>_xll.qlSimpleQuote(E82,,PriceTickValue,Permanent,Trigger,ObjectOverwrite)</f>
        <v>EURIMMFRA6MN0_Quote#0002</v>
      </c>
      <c r="G82" s="113" t="str">
        <f>_xll.ohRangeRetrieveError(F82)</f>
        <v/>
      </c>
      <c r="H82" s="149"/>
    </row>
    <row r="83" spans="1:8" x14ac:dyDescent="0.2">
      <c r="A83" s="154"/>
      <c r="B83" s="115">
        <v>81</v>
      </c>
      <c r="C83" s="153" t="b">
        <v>0</v>
      </c>
      <c r="D83" s="152" t="str">
        <v>Q0</v>
      </c>
      <c r="E83" s="151" t="str">
        <f t="shared" si="2"/>
        <v>EURIMMFRA6MQ0_Quote</v>
      </c>
      <c r="F83" s="150" t="str">
        <f>_xll.qlSimpleQuote(E83,,PriceTickValue,Permanent,Trigger,ObjectOverwrite)</f>
        <v>EURIMMFRA6MQ0_Quote#0002</v>
      </c>
      <c r="G83" s="113" t="str">
        <f>_xll.ohRangeRetrieveError(F83)</f>
        <v/>
      </c>
      <c r="H83" s="149"/>
    </row>
    <row r="84" spans="1:8" x14ac:dyDescent="0.2">
      <c r="A84" s="154"/>
      <c r="B84" s="115">
        <v>82</v>
      </c>
      <c r="C84" s="153" t="b">
        <v>0</v>
      </c>
      <c r="D84" s="152" t="str">
        <v>U0</v>
      </c>
      <c r="E84" s="151" t="str">
        <f t="shared" si="2"/>
        <v>EURIMMFRA6MU0_Quote</v>
      </c>
      <c r="F84" s="150" t="str">
        <f>_xll.qlSimpleQuote(E84,,PriceTickValue,Permanent,Trigger,ObjectOverwrite)</f>
        <v>EURIMMFRA6MU0_Quote#0002</v>
      </c>
      <c r="G84" s="113" t="str">
        <f>_xll.ohRangeRetrieveError(F84)</f>
        <v/>
      </c>
      <c r="H84" s="149"/>
    </row>
    <row r="85" spans="1:8" x14ac:dyDescent="0.2">
      <c r="A85" s="154"/>
      <c r="B85" s="115">
        <v>83</v>
      </c>
      <c r="C85" s="153" t="b">
        <v>0</v>
      </c>
      <c r="D85" s="152" t="str">
        <v>V0</v>
      </c>
      <c r="E85" s="151" t="str">
        <f t="shared" si="2"/>
        <v>EURIMMFRA6MV0_Quote</v>
      </c>
      <c r="F85" s="150" t="str">
        <f>_xll.qlSimpleQuote(E85,,PriceTickValue,Permanent,Trigger,ObjectOverwrite)</f>
        <v>EURIMMFRA6MV0_Quote#0002</v>
      </c>
      <c r="G85" s="113" t="str">
        <f>_xll.ohRangeRetrieveError(F85)</f>
        <v/>
      </c>
      <c r="H85" s="149"/>
    </row>
    <row r="86" spans="1:8" x14ac:dyDescent="0.2">
      <c r="A86" s="154"/>
      <c r="B86" s="115">
        <v>84</v>
      </c>
      <c r="C86" s="153" t="b">
        <v>0</v>
      </c>
      <c r="D86" s="152" t="str">
        <v>X0</v>
      </c>
      <c r="E86" s="151" t="str">
        <f t="shared" si="2"/>
        <v>EURIMMFRA6MX0_Quote</v>
      </c>
      <c r="F86" s="150" t="str">
        <f>_xll.qlSimpleQuote(E86,,PriceTickValue,Permanent,Trigger,ObjectOverwrite)</f>
        <v>EURIMMFRA6MX0_Quote#0002</v>
      </c>
      <c r="G86" s="113" t="str">
        <f>_xll.ohRangeRetrieveError(F86)</f>
        <v/>
      </c>
      <c r="H86" s="149"/>
    </row>
    <row r="87" spans="1:8" x14ac:dyDescent="0.2">
      <c r="A87" s="154"/>
      <c r="B87" s="115">
        <v>85</v>
      </c>
      <c r="C87" s="153" t="b">
        <v>0</v>
      </c>
      <c r="D87" s="152" t="str">
        <v>Z0</v>
      </c>
      <c r="E87" s="151" t="str">
        <f t="shared" si="2"/>
        <v>EURIMMFRA6MZ0_Quote</v>
      </c>
      <c r="F87" s="150" t="str">
        <f>_xll.qlSimpleQuote(E87,,PriceTickValue,Permanent,Trigger,ObjectOverwrite)</f>
        <v>EURIMMFRA6MZ0_Quote#0002</v>
      </c>
      <c r="G87" s="113" t="str">
        <f>_xll.ohRangeRetrieveError(F87)</f>
        <v/>
      </c>
      <c r="H87" s="149"/>
    </row>
    <row r="88" spans="1:8" x14ac:dyDescent="0.2">
      <c r="A88" s="154"/>
      <c r="B88" s="115">
        <v>86</v>
      </c>
      <c r="C88" s="153" t="b">
        <v>0</v>
      </c>
      <c r="D88" s="152" t="str">
        <v>F1</v>
      </c>
      <c r="E88" s="151" t="str">
        <f t="shared" si="2"/>
        <v>EURIMMFRA6MF1_Quote</v>
      </c>
      <c r="F88" s="150" t="str">
        <f>_xll.qlSimpleQuote(E88,,PriceTickValue,Permanent,Trigger,ObjectOverwrite)</f>
        <v>EURIMMFRA6MF1_Quote#0002</v>
      </c>
      <c r="G88" s="113" t="str">
        <f>_xll.ohRangeRetrieveError(F88)</f>
        <v/>
      </c>
      <c r="H88" s="149"/>
    </row>
    <row r="89" spans="1:8" x14ac:dyDescent="0.2">
      <c r="A89" s="154"/>
      <c r="B89" s="115">
        <v>87</v>
      </c>
      <c r="C89" s="153" t="b">
        <v>0</v>
      </c>
      <c r="D89" s="152" t="str">
        <v>G1</v>
      </c>
      <c r="E89" s="151" t="str">
        <f t="shared" si="2"/>
        <v>EURIMMFRA6MG1_Quote</v>
      </c>
      <c r="F89" s="150" t="str">
        <f>_xll.qlSimpleQuote(E89,,PriceTickValue,Permanent,Trigger,ObjectOverwrite)</f>
        <v>EURIMMFRA6MG1_Quote#0002</v>
      </c>
      <c r="G89" s="113" t="str">
        <f>_xll.ohRangeRetrieveError(F89)</f>
        <v/>
      </c>
      <c r="H89" s="149"/>
    </row>
    <row r="90" spans="1:8" x14ac:dyDescent="0.2">
      <c r="A90" s="154"/>
      <c r="B90" s="115">
        <v>88</v>
      </c>
      <c r="C90" s="153" t="b">
        <v>0</v>
      </c>
      <c r="D90" s="152" t="str">
        <v>H1</v>
      </c>
      <c r="E90" s="151" t="str">
        <f t="shared" si="2"/>
        <v>EURIMMFRA6MH1_Quote</v>
      </c>
      <c r="F90" s="150" t="str">
        <f>_xll.qlSimpleQuote(E90,,PriceTickValue,Permanent,Trigger,ObjectOverwrite)</f>
        <v>EURIMMFRA6MH1_Quote#0002</v>
      </c>
      <c r="G90" s="113" t="str">
        <f>_xll.ohRangeRetrieveError(F90)</f>
        <v/>
      </c>
      <c r="H90" s="149"/>
    </row>
    <row r="91" spans="1:8" x14ac:dyDescent="0.2">
      <c r="A91" s="154"/>
      <c r="B91" s="115">
        <v>89</v>
      </c>
      <c r="C91" s="153" t="b">
        <v>0</v>
      </c>
      <c r="D91" s="152" t="str">
        <v>J1</v>
      </c>
      <c r="E91" s="151" t="str">
        <f t="shared" si="2"/>
        <v>EURIMMFRA6MJ1_Quote</v>
      </c>
      <c r="F91" s="150" t="str">
        <f>_xll.qlSimpleQuote(E91,,PriceTickValue,Permanent,Trigger,ObjectOverwrite)</f>
        <v>EURIMMFRA6MJ1_Quote#0002</v>
      </c>
      <c r="G91" s="113" t="str">
        <f>_xll.ohRangeRetrieveError(F91)</f>
        <v/>
      </c>
      <c r="H91" s="149"/>
    </row>
    <row r="92" spans="1:8" x14ac:dyDescent="0.2">
      <c r="A92" s="154"/>
      <c r="B92" s="115">
        <v>90</v>
      </c>
      <c r="C92" s="153" t="b">
        <v>0</v>
      </c>
      <c r="D92" s="152" t="str">
        <v>K1</v>
      </c>
      <c r="E92" s="151" t="str">
        <f t="shared" si="2"/>
        <v>EURIMMFRA6MK1_Quote</v>
      </c>
      <c r="F92" s="150" t="str">
        <f>_xll.qlSimpleQuote(E92,,PriceTickValue,Permanent,Trigger,ObjectOverwrite)</f>
        <v>EURIMMFRA6MK1_Quote#0002</v>
      </c>
      <c r="G92" s="113" t="str">
        <f>_xll.ohRangeRetrieveError(F92)</f>
        <v/>
      </c>
      <c r="H92" s="149"/>
    </row>
    <row r="93" spans="1:8" x14ac:dyDescent="0.2">
      <c r="A93" s="154"/>
      <c r="B93" s="115">
        <v>91</v>
      </c>
      <c r="C93" s="153" t="b">
        <v>0</v>
      </c>
      <c r="D93" s="152" t="str">
        <v>M1</v>
      </c>
      <c r="E93" s="151" t="str">
        <f t="shared" si="2"/>
        <v>EURIMMFRA6MM1_Quote</v>
      </c>
      <c r="F93" s="150" t="str">
        <f>_xll.qlSimpleQuote(E93,,PriceTickValue,Permanent,Trigger,ObjectOverwrite)</f>
        <v>EURIMMFRA6MM1_Quote#0002</v>
      </c>
      <c r="G93" s="113" t="str">
        <f>_xll.ohRangeRetrieveError(F93)</f>
        <v/>
      </c>
      <c r="H93" s="149"/>
    </row>
    <row r="94" spans="1:8" x14ac:dyDescent="0.2">
      <c r="A94" s="154"/>
      <c r="B94" s="115">
        <v>92</v>
      </c>
      <c r="C94" s="153" t="b">
        <v>0</v>
      </c>
      <c r="D94" s="152" t="str">
        <v>N1</v>
      </c>
      <c r="E94" s="151" t="str">
        <f t="shared" si="2"/>
        <v>EURIMMFRA6MN1_Quote</v>
      </c>
      <c r="F94" s="150" t="str">
        <f>_xll.qlSimpleQuote(E94,,PriceTickValue,Permanent,Trigger,ObjectOverwrite)</f>
        <v>EURIMMFRA6MN1_Quote#0002</v>
      </c>
      <c r="G94" s="113" t="str">
        <f>_xll.ohRangeRetrieveError(F94)</f>
        <v/>
      </c>
      <c r="H94" s="149"/>
    </row>
    <row r="95" spans="1:8" x14ac:dyDescent="0.2">
      <c r="A95" s="154"/>
      <c r="B95" s="115">
        <v>93</v>
      </c>
      <c r="C95" s="153" t="b">
        <v>0</v>
      </c>
      <c r="D95" s="152" t="str">
        <v>Q1</v>
      </c>
      <c r="E95" s="151" t="str">
        <f t="shared" si="2"/>
        <v>EURIMMFRA6MQ1_Quote</v>
      </c>
      <c r="F95" s="150" t="str">
        <f>_xll.qlSimpleQuote(E95,,PriceTickValue,Permanent,Trigger,ObjectOverwrite)</f>
        <v>EURIMMFRA6MQ1_Quote#0002</v>
      </c>
      <c r="G95" s="113" t="str">
        <f>_xll.ohRangeRetrieveError(F95)</f>
        <v/>
      </c>
      <c r="H95" s="149"/>
    </row>
    <row r="96" spans="1:8" x14ac:dyDescent="0.2">
      <c r="A96" s="154"/>
      <c r="B96" s="115">
        <v>94</v>
      </c>
      <c r="C96" s="153" t="b">
        <v>0</v>
      </c>
      <c r="D96" s="152" t="str">
        <v>U1</v>
      </c>
      <c r="E96" s="151" t="str">
        <f t="shared" si="2"/>
        <v>EURIMMFRA6MU1_Quote</v>
      </c>
      <c r="F96" s="150" t="str">
        <f>_xll.qlSimpleQuote(E96,,PriceTickValue,Permanent,Trigger,ObjectOverwrite)</f>
        <v>EURIMMFRA6MU1_Quote#0002</v>
      </c>
      <c r="G96" s="113" t="str">
        <f>_xll.ohRangeRetrieveError(F96)</f>
        <v/>
      </c>
      <c r="H96" s="149"/>
    </row>
    <row r="97" spans="1:8" x14ac:dyDescent="0.2">
      <c r="A97" s="154"/>
      <c r="B97" s="115">
        <v>95</v>
      </c>
      <c r="C97" s="153" t="b">
        <v>0</v>
      </c>
      <c r="D97" s="152" t="str">
        <v>V1</v>
      </c>
      <c r="E97" s="151" t="str">
        <f t="shared" si="2"/>
        <v>EURIMMFRA6MV1_Quote</v>
      </c>
      <c r="F97" s="150" t="str">
        <f>_xll.qlSimpleQuote(E97,,PriceTickValue,Permanent,Trigger,ObjectOverwrite)</f>
        <v>EURIMMFRA6MV1_Quote#0002</v>
      </c>
      <c r="G97" s="113" t="str">
        <f>_xll.ohRangeRetrieveError(F97)</f>
        <v/>
      </c>
      <c r="H97" s="149"/>
    </row>
    <row r="98" spans="1:8" x14ac:dyDescent="0.2">
      <c r="A98" s="154"/>
      <c r="B98" s="115">
        <v>96</v>
      </c>
      <c r="C98" s="153" t="b">
        <v>0</v>
      </c>
      <c r="D98" s="152" t="str">
        <v>X1</v>
      </c>
      <c r="E98" s="151" t="str">
        <f t="shared" si="2"/>
        <v>EURIMMFRA6MX1_Quote</v>
      </c>
      <c r="F98" s="150" t="str">
        <f>_xll.qlSimpleQuote(E98,,PriceTickValue,Permanent,Trigger,ObjectOverwrite)</f>
        <v>EURIMMFRA6MX1_Quote#0002</v>
      </c>
      <c r="G98" s="113" t="str">
        <f>_xll.ohRangeRetrieveError(F98)</f>
        <v/>
      </c>
      <c r="H98" s="149"/>
    </row>
    <row r="99" spans="1:8" x14ac:dyDescent="0.2">
      <c r="A99" s="154"/>
      <c r="B99" s="115">
        <v>97</v>
      </c>
      <c r="C99" s="153" t="b">
        <v>0</v>
      </c>
      <c r="D99" s="152" t="str">
        <v>Z1</v>
      </c>
      <c r="E99" s="151" t="str">
        <f t="shared" ref="E99:E122" si="3">Currency&amp;$D$1&amp;$E$1&amp;$D99&amp;QuoteSuffix</f>
        <v>EURIMMFRA6MZ1_Quote</v>
      </c>
      <c r="F99" s="150" t="str">
        <f>_xll.qlSimpleQuote(E99,,PriceTickValue,Permanent,Trigger,ObjectOverwrite)</f>
        <v>EURIMMFRA6MZ1_Quote#0002</v>
      </c>
      <c r="G99" s="113" t="str">
        <f>_xll.ohRangeRetrieveError(F99)</f>
        <v/>
      </c>
      <c r="H99" s="149"/>
    </row>
    <row r="100" spans="1:8" x14ac:dyDescent="0.2">
      <c r="A100" s="154"/>
      <c r="B100" s="115">
        <v>98</v>
      </c>
      <c r="C100" s="153" t="b">
        <v>0</v>
      </c>
      <c r="D100" s="152" t="str">
        <v>F2</v>
      </c>
      <c r="E100" s="151" t="str">
        <f t="shared" si="3"/>
        <v>EURIMMFRA6MF2_Quote</v>
      </c>
      <c r="F100" s="150" t="str">
        <f>_xll.qlSimpleQuote(E100,,PriceTickValue,Permanent,Trigger,ObjectOverwrite)</f>
        <v>EURIMMFRA6MF2_Quote#0002</v>
      </c>
      <c r="G100" s="113" t="str">
        <f>_xll.ohRangeRetrieveError(F100)</f>
        <v/>
      </c>
      <c r="H100" s="149"/>
    </row>
    <row r="101" spans="1:8" x14ac:dyDescent="0.2">
      <c r="A101" s="154"/>
      <c r="B101" s="115">
        <v>99</v>
      </c>
      <c r="C101" s="153" t="b">
        <v>0</v>
      </c>
      <c r="D101" s="152" t="str">
        <v>G2</v>
      </c>
      <c r="E101" s="151" t="str">
        <f t="shared" si="3"/>
        <v>EURIMMFRA6MG2_Quote</v>
      </c>
      <c r="F101" s="150" t="str">
        <f>_xll.qlSimpleQuote(E101,,PriceTickValue,Permanent,Trigger,ObjectOverwrite)</f>
        <v>EURIMMFRA6MG2_Quote#0002</v>
      </c>
      <c r="G101" s="113" t="str">
        <f>_xll.ohRangeRetrieveError(F101)</f>
        <v/>
      </c>
      <c r="H101" s="149"/>
    </row>
    <row r="102" spans="1:8" x14ac:dyDescent="0.2">
      <c r="A102" s="154"/>
      <c r="B102" s="115">
        <v>100</v>
      </c>
      <c r="C102" s="153" t="b">
        <v>0</v>
      </c>
      <c r="D102" s="152" t="str">
        <v>H2</v>
      </c>
      <c r="E102" s="151" t="str">
        <f t="shared" si="3"/>
        <v>EURIMMFRA6MH2_Quote</v>
      </c>
      <c r="F102" s="150" t="str">
        <f>_xll.qlSimpleQuote(E102,,PriceTickValue,Permanent,Trigger,ObjectOverwrite)</f>
        <v>EURIMMFRA6MH2_Quote#0002</v>
      </c>
      <c r="G102" s="113" t="str">
        <f>_xll.ohRangeRetrieveError(F102)</f>
        <v/>
      </c>
      <c r="H102" s="149"/>
    </row>
    <row r="103" spans="1:8" x14ac:dyDescent="0.2">
      <c r="A103" s="154"/>
      <c r="B103" s="115">
        <v>101</v>
      </c>
      <c r="C103" s="153" t="b">
        <v>0</v>
      </c>
      <c r="D103" s="152" t="str">
        <v>J2</v>
      </c>
      <c r="E103" s="151" t="str">
        <f t="shared" si="3"/>
        <v>EURIMMFRA6MJ2_Quote</v>
      </c>
      <c r="F103" s="150" t="str">
        <f>_xll.qlSimpleQuote(E103,,PriceTickValue,Permanent,Trigger,ObjectOverwrite)</f>
        <v>EURIMMFRA6MJ2_Quote#0002</v>
      </c>
      <c r="G103" s="113" t="str">
        <f>_xll.ohRangeRetrieveError(F103)</f>
        <v/>
      </c>
      <c r="H103" s="149"/>
    </row>
    <row r="104" spans="1:8" x14ac:dyDescent="0.2">
      <c r="A104" s="154"/>
      <c r="B104" s="115">
        <v>102</v>
      </c>
      <c r="C104" s="153" t="b">
        <v>0</v>
      </c>
      <c r="D104" s="152" t="str">
        <v>K2</v>
      </c>
      <c r="E104" s="151" t="str">
        <f t="shared" si="3"/>
        <v>EURIMMFRA6MK2_Quote</v>
      </c>
      <c r="F104" s="150" t="str">
        <f>_xll.qlSimpleQuote(E104,,PriceTickValue,Permanent,Trigger,ObjectOverwrite)</f>
        <v>EURIMMFRA6MK2_Quote#0002</v>
      </c>
      <c r="G104" s="113" t="str">
        <f>_xll.ohRangeRetrieveError(F104)</f>
        <v/>
      </c>
      <c r="H104" s="149"/>
    </row>
    <row r="105" spans="1:8" x14ac:dyDescent="0.2">
      <c r="A105" s="154"/>
      <c r="B105" s="115">
        <v>103</v>
      </c>
      <c r="C105" s="153" t="b">
        <v>0</v>
      </c>
      <c r="D105" s="152" t="str">
        <v>M2</v>
      </c>
      <c r="E105" s="151" t="str">
        <f t="shared" si="3"/>
        <v>EURIMMFRA6MM2_Quote</v>
      </c>
      <c r="F105" s="150" t="str">
        <f>_xll.qlSimpleQuote(E105,,PriceTickValue,Permanent,Trigger,ObjectOverwrite)</f>
        <v>EURIMMFRA6MM2_Quote#0002</v>
      </c>
      <c r="G105" s="113" t="str">
        <f>_xll.ohRangeRetrieveError(F105)</f>
        <v/>
      </c>
      <c r="H105" s="149"/>
    </row>
    <row r="106" spans="1:8" x14ac:dyDescent="0.2">
      <c r="A106" s="154"/>
      <c r="B106" s="115">
        <v>104</v>
      </c>
      <c r="C106" s="153" t="b">
        <v>0</v>
      </c>
      <c r="D106" s="152" t="str">
        <v>N2</v>
      </c>
      <c r="E106" s="151" t="str">
        <f t="shared" si="3"/>
        <v>EURIMMFRA6MN2_Quote</v>
      </c>
      <c r="F106" s="150" t="str">
        <f>_xll.qlSimpleQuote(E106,,PriceTickValue,Permanent,Trigger,ObjectOverwrite)</f>
        <v>EURIMMFRA6MN2_Quote#0002</v>
      </c>
      <c r="G106" s="113" t="str">
        <f>_xll.ohRangeRetrieveError(F106)</f>
        <v/>
      </c>
      <c r="H106" s="149"/>
    </row>
    <row r="107" spans="1:8" x14ac:dyDescent="0.2">
      <c r="A107" s="154"/>
      <c r="B107" s="115">
        <v>105</v>
      </c>
      <c r="C107" s="153" t="b">
        <v>0</v>
      </c>
      <c r="D107" s="152" t="str">
        <v>Q2</v>
      </c>
      <c r="E107" s="151" t="str">
        <f t="shared" si="3"/>
        <v>EURIMMFRA6MQ2_Quote</v>
      </c>
      <c r="F107" s="150" t="str">
        <f>_xll.qlSimpleQuote(E107,,PriceTickValue,Permanent,Trigger,ObjectOverwrite)</f>
        <v>EURIMMFRA6MQ2_Quote#0002</v>
      </c>
      <c r="G107" s="113" t="str">
        <f>_xll.ohRangeRetrieveError(F107)</f>
        <v/>
      </c>
      <c r="H107" s="149"/>
    </row>
    <row r="108" spans="1:8" x14ac:dyDescent="0.2">
      <c r="A108" s="154"/>
      <c r="B108" s="115">
        <v>106</v>
      </c>
      <c r="C108" s="153" t="b">
        <v>0</v>
      </c>
      <c r="D108" s="152" t="str">
        <v>U2</v>
      </c>
      <c r="E108" s="151" t="str">
        <f t="shared" si="3"/>
        <v>EURIMMFRA6MU2_Quote</v>
      </c>
      <c r="F108" s="150" t="str">
        <f>_xll.qlSimpleQuote(E108,,PriceTickValue,Permanent,Trigger,ObjectOverwrite)</f>
        <v>EURIMMFRA6MU2_Quote#0002</v>
      </c>
      <c r="G108" s="113" t="str">
        <f>_xll.ohRangeRetrieveError(F108)</f>
        <v/>
      </c>
      <c r="H108" s="149"/>
    </row>
    <row r="109" spans="1:8" x14ac:dyDescent="0.2">
      <c r="A109" s="154"/>
      <c r="B109" s="115">
        <v>107</v>
      </c>
      <c r="C109" s="153" t="b">
        <v>0</v>
      </c>
      <c r="D109" s="152" t="str">
        <v>V2</v>
      </c>
      <c r="E109" s="151" t="str">
        <f t="shared" si="3"/>
        <v>EURIMMFRA6MV2_Quote</v>
      </c>
      <c r="F109" s="150" t="str">
        <f>_xll.qlSimpleQuote(E109,,PriceTickValue,Permanent,Trigger,ObjectOverwrite)</f>
        <v>EURIMMFRA6MV2_Quote#0002</v>
      </c>
      <c r="G109" s="113" t="str">
        <f>_xll.ohRangeRetrieveError(F109)</f>
        <v/>
      </c>
      <c r="H109" s="149"/>
    </row>
    <row r="110" spans="1:8" x14ac:dyDescent="0.2">
      <c r="A110" s="154"/>
      <c r="B110" s="115">
        <v>108</v>
      </c>
      <c r="C110" s="153" t="b">
        <v>0</v>
      </c>
      <c r="D110" s="152" t="str">
        <v>X2</v>
      </c>
      <c r="E110" s="151" t="str">
        <f t="shared" si="3"/>
        <v>EURIMMFRA6MX2_Quote</v>
      </c>
      <c r="F110" s="150" t="str">
        <f>_xll.qlSimpleQuote(E110,,PriceTickValue,Permanent,Trigger,ObjectOverwrite)</f>
        <v>EURIMMFRA6MX2_Quote#0002</v>
      </c>
      <c r="G110" s="113" t="str">
        <f>_xll.ohRangeRetrieveError(F110)</f>
        <v/>
      </c>
      <c r="H110" s="149"/>
    </row>
    <row r="111" spans="1:8" x14ac:dyDescent="0.2">
      <c r="A111" s="154"/>
      <c r="B111" s="115">
        <v>109</v>
      </c>
      <c r="C111" s="153" t="b">
        <v>0</v>
      </c>
      <c r="D111" s="152" t="str">
        <v>Z2</v>
      </c>
      <c r="E111" s="151" t="str">
        <f t="shared" si="3"/>
        <v>EURIMMFRA6MZ2_Quote</v>
      </c>
      <c r="F111" s="150" t="str">
        <f>_xll.qlSimpleQuote(E111,,PriceTickValue,Permanent,Trigger,ObjectOverwrite)</f>
        <v>EURIMMFRA6MZ2_Quote#0002</v>
      </c>
      <c r="G111" s="113" t="str">
        <f>_xll.ohRangeRetrieveError(F111)</f>
        <v/>
      </c>
      <c r="H111" s="149"/>
    </row>
    <row r="112" spans="1:8" x14ac:dyDescent="0.2">
      <c r="A112" s="154"/>
      <c r="B112" s="115">
        <v>110</v>
      </c>
      <c r="C112" s="153" t="b">
        <v>0</v>
      </c>
      <c r="D112" s="152" t="str">
        <v>F3</v>
      </c>
      <c r="E112" s="151" t="str">
        <f t="shared" si="3"/>
        <v>EURIMMFRA6MF3_Quote</v>
      </c>
      <c r="F112" s="150" t="str">
        <f>_xll.qlSimpleQuote(E112,,PriceTickValue,Permanent,Trigger,ObjectOverwrite)</f>
        <v>EURIMMFRA6MF3_Quote#0002</v>
      </c>
      <c r="G112" s="113" t="str">
        <f>_xll.ohRangeRetrieveError(F112)</f>
        <v/>
      </c>
      <c r="H112" s="149"/>
    </row>
    <row r="113" spans="1:8" x14ac:dyDescent="0.2">
      <c r="A113" s="154"/>
      <c r="B113" s="115">
        <v>111</v>
      </c>
      <c r="C113" s="153" t="b">
        <v>0</v>
      </c>
      <c r="D113" s="152" t="str">
        <v>G3</v>
      </c>
      <c r="E113" s="151" t="str">
        <f t="shared" si="3"/>
        <v>EURIMMFRA6MG3_Quote</v>
      </c>
      <c r="F113" s="150" t="str">
        <f>_xll.qlSimpleQuote(E113,,PriceTickValue,Permanent,Trigger,ObjectOverwrite)</f>
        <v>EURIMMFRA6MG3_Quote#0002</v>
      </c>
      <c r="G113" s="113" t="str">
        <f>_xll.ohRangeRetrieveError(F113)</f>
        <v/>
      </c>
      <c r="H113" s="149"/>
    </row>
    <row r="114" spans="1:8" x14ac:dyDescent="0.2">
      <c r="A114" s="154"/>
      <c r="B114" s="115">
        <v>112</v>
      </c>
      <c r="C114" s="153" t="b">
        <v>0</v>
      </c>
      <c r="D114" s="152" t="str">
        <v>H3</v>
      </c>
      <c r="E114" s="151" t="str">
        <f t="shared" si="3"/>
        <v>EURIMMFRA6MH3_Quote</v>
      </c>
      <c r="F114" s="150" t="str">
        <f>_xll.qlSimpleQuote(E114,,PriceTickValue,Permanent,Trigger,ObjectOverwrite)</f>
        <v>EURIMMFRA6MH3_Quote#0002</v>
      </c>
      <c r="G114" s="113" t="str">
        <f>_xll.ohRangeRetrieveError(F114)</f>
        <v/>
      </c>
      <c r="H114" s="149"/>
    </row>
    <row r="115" spans="1:8" x14ac:dyDescent="0.2">
      <c r="A115" s="154"/>
      <c r="B115" s="115">
        <v>113</v>
      </c>
      <c r="C115" s="153" t="b">
        <v>0</v>
      </c>
      <c r="D115" s="152" t="str">
        <v>J3</v>
      </c>
      <c r="E115" s="151" t="str">
        <f t="shared" si="3"/>
        <v>EURIMMFRA6MJ3_Quote</v>
      </c>
      <c r="F115" s="150" t="str">
        <f>_xll.qlSimpleQuote(E115,,PriceTickValue,Permanent,Trigger,ObjectOverwrite)</f>
        <v>EURIMMFRA6MJ3_Quote#0002</v>
      </c>
      <c r="G115" s="113" t="str">
        <f>_xll.ohRangeRetrieveError(F115)</f>
        <v/>
      </c>
      <c r="H115" s="149"/>
    </row>
    <row r="116" spans="1:8" x14ac:dyDescent="0.2">
      <c r="A116" s="154"/>
      <c r="B116" s="115">
        <v>114</v>
      </c>
      <c r="C116" s="153" t="b">
        <v>0</v>
      </c>
      <c r="D116" s="152" t="str">
        <v>K3</v>
      </c>
      <c r="E116" s="151" t="str">
        <f t="shared" si="3"/>
        <v>EURIMMFRA6MK3_Quote</v>
      </c>
      <c r="F116" s="150" t="str">
        <f>_xll.qlSimpleQuote(E116,,PriceTickValue,Permanent,Trigger,ObjectOverwrite)</f>
        <v>EURIMMFRA6MK3_Quote#0002</v>
      </c>
      <c r="G116" s="113" t="str">
        <f>_xll.ohRangeRetrieveError(F116)</f>
        <v/>
      </c>
      <c r="H116" s="149"/>
    </row>
    <row r="117" spans="1:8" x14ac:dyDescent="0.2">
      <c r="A117" s="154"/>
      <c r="B117" s="115">
        <v>115</v>
      </c>
      <c r="C117" s="153" t="b">
        <v>0</v>
      </c>
      <c r="D117" s="152" t="str">
        <v>M3</v>
      </c>
      <c r="E117" s="151" t="str">
        <f t="shared" si="3"/>
        <v>EURIMMFRA6MM3_Quote</v>
      </c>
      <c r="F117" s="150" t="str">
        <f>_xll.qlSimpleQuote(E117,,PriceTickValue,Permanent,Trigger,ObjectOverwrite)</f>
        <v>EURIMMFRA6MM3_Quote#0002</v>
      </c>
      <c r="G117" s="113" t="str">
        <f>_xll.ohRangeRetrieveError(F117)</f>
        <v/>
      </c>
      <c r="H117" s="149"/>
    </row>
    <row r="118" spans="1:8" x14ac:dyDescent="0.2">
      <c r="A118" s="154"/>
      <c r="B118" s="115">
        <v>116</v>
      </c>
      <c r="C118" s="153" t="b">
        <v>0</v>
      </c>
      <c r="D118" s="152" t="str">
        <v>N3</v>
      </c>
      <c r="E118" s="151" t="str">
        <f t="shared" si="3"/>
        <v>EURIMMFRA6MN3_Quote</v>
      </c>
      <c r="F118" s="150" t="str">
        <f>_xll.qlSimpleQuote(E118,,PriceTickValue,Permanent,Trigger,ObjectOverwrite)</f>
        <v>EURIMMFRA6MN3_Quote#0002</v>
      </c>
      <c r="G118" s="113" t="str">
        <f>_xll.ohRangeRetrieveError(F118)</f>
        <v/>
      </c>
      <c r="H118" s="149"/>
    </row>
    <row r="119" spans="1:8" x14ac:dyDescent="0.2">
      <c r="A119" s="154"/>
      <c r="B119" s="115">
        <v>117</v>
      </c>
      <c r="C119" s="153" t="b">
        <v>0</v>
      </c>
      <c r="D119" s="152" t="str">
        <v>Q3</v>
      </c>
      <c r="E119" s="151" t="str">
        <f t="shared" si="3"/>
        <v>EURIMMFRA6MQ3_Quote</v>
      </c>
      <c r="F119" s="150" t="str">
        <f>_xll.qlSimpleQuote(E119,,PriceTickValue,Permanent,Trigger,ObjectOverwrite)</f>
        <v>EURIMMFRA6MQ3_Quote#0002</v>
      </c>
      <c r="G119" s="113" t="str">
        <f>_xll.ohRangeRetrieveError(F119)</f>
        <v/>
      </c>
      <c r="H119" s="149"/>
    </row>
    <row r="120" spans="1:8" x14ac:dyDescent="0.2">
      <c r="A120" s="154"/>
      <c r="B120" s="115">
        <v>118</v>
      </c>
      <c r="C120" s="153" t="b">
        <v>0</v>
      </c>
      <c r="D120" s="152" t="str">
        <v>U3</v>
      </c>
      <c r="E120" s="151" t="str">
        <f t="shared" si="3"/>
        <v>EURIMMFRA6MU3_Quote</v>
      </c>
      <c r="F120" s="150" t="str">
        <f>_xll.qlSimpleQuote(E120,,PriceTickValue,Permanent,Trigger,ObjectOverwrite)</f>
        <v>EURIMMFRA6MU3_Quote#0002</v>
      </c>
      <c r="G120" s="113" t="str">
        <f>_xll.ohRangeRetrieveError(F120)</f>
        <v/>
      </c>
      <c r="H120" s="149"/>
    </row>
    <row r="121" spans="1:8" x14ac:dyDescent="0.2">
      <c r="A121" s="154"/>
      <c r="B121" s="115">
        <v>119</v>
      </c>
      <c r="C121" s="153" t="b">
        <v>0</v>
      </c>
      <c r="D121" s="152" t="str">
        <v>V3</v>
      </c>
      <c r="E121" s="151" t="str">
        <f t="shared" si="3"/>
        <v>EURIMMFRA6MV3_Quote</v>
      </c>
      <c r="F121" s="150" t="str">
        <f>_xll.qlSimpleQuote(E121,,PriceTickValue,Permanent,Trigger,ObjectOverwrite)</f>
        <v>EURIMMFRA6MV3_Quote#0002</v>
      </c>
      <c r="G121" s="113" t="str">
        <f>_xll.ohRangeRetrieveError(F121)</f>
        <v/>
      </c>
      <c r="H121" s="149"/>
    </row>
    <row r="122" spans="1:8" x14ac:dyDescent="0.2">
      <c r="A122" s="154"/>
      <c r="B122" s="115">
        <v>120</v>
      </c>
      <c r="C122" s="153" t="b">
        <v>0</v>
      </c>
      <c r="D122" s="152" t="str">
        <v>X3</v>
      </c>
      <c r="E122" s="151" t="str">
        <f t="shared" si="3"/>
        <v>EURIMMFRA6MX3_Quote</v>
      </c>
      <c r="F122" s="150" t="str">
        <f>_xll.qlSimpleQuote(E122,,PriceTickValue,Permanent,Trigger,ObjectOverwrite)</f>
        <v>EURIMMFRA6MX3_Quote#0002</v>
      </c>
      <c r="G122" s="113" t="str">
        <f>_xll.ohRangeRetrieveError(F122)</f>
        <v/>
      </c>
      <c r="H122" s="149"/>
    </row>
    <row r="123" spans="1:8" ht="12" thickBot="1" x14ac:dyDescent="0.25">
      <c r="A123" s="148"/>
      <c r="B123" s="147"/>
      <c r="C123" s="147"/>
      <c r="D123" s="147"/>
      <c r="E123" s="147"/>
      <c r="F123" s="147"/>
      <c r="G123" s="147"/>
      <c r="H123" s="146"/>
    </row>
  </sheetData>
  <pageMargins left="0.75" right="0.75" top="1" bottom="1" header="0.5" footer="0.5"/>
  <pageSetup paperSize="9"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E5"/>
  <sheetViews>
    <sheetView workbookViewId="0"/>
  </sheetViews>
  <sheetFormatPr defaultRowHeight="11.25" x14ac:dyDescent="0.2"/>
  <cols>
    <col min="1" max="1" width="3.85546875" style="74" customWidth="1"/>
    <col min="2" max="2" width="25.5703125" style="74" bestFit="1" customWidth="1"/>
    <col min="3" max="3" width="27.7109375" style="74" bestFit="1" customWidth="1"/>
    <col min="4" max="4" width="23.28515625" style="74" customWidth="1"/>
    <col min="5" max="5" width="4.85546875" style="74" customWidth="1"/>
    <col min="6" max="16384" width="9.140625" style="74"/>
  </cols>
  <sheetData>
    <row r="1" spans="1:5" x14ac:dyDescent="0.2">
      <c r="A1" s="121" t="s">
        <v>191</v>
      </c>
      <c r="B1" s="120"/>
      <c r="C1" s="120"/>
      <c r="D1" s="120"/>
      <c r="E1" s="119"/>
    </row>
    <row r="2" spans="1:5" x14ac:dyDescent="0.2">
      <c r="A2" s="171"/>
      <c r="B2" s="37" t="str">
        <f>Currency&amp;"_010_"&amp;"FuturesHWConvAdj.xml"</f>
        <v>EUR_010_FuturesHWConvAdj.xml</v>
      </c>
      <c r="C2" s="10">
        <f ca="1">IF(Serialize,_xll.ohObjectSave(C3:C4,SerializationPath&amp;B2,FileOverwrite,Serialize),"---")</f>
        <v>2</v>
      </c>
      <c r="D2" s="113" t="str">
        <f ca="1">_xll.ohRangeRetrieveError(C2)</f>
        <v/>
      </c>
      <c r="E2" s="169"/>
    </row>
    <row r="3" spans="1:5" x14ac:dyDescent="0.2">
      <c r="A3" s="171"/>
      <c r="B3" s="170" t="str">
        <f>Currency&amp;"HW_Volatility"&amp;QuoteSuffix</f>
        <v>EURHW_Volatility_Quote</v>
      </c>
      <c r="C3" s="170" t="str">
        <f>_xll.qlSimpleQuote(B3,,,Permanent,Trigger,ObjectOverwrite)</f>
        <v>EURHW_Volatility_Quote#0002</v>
      </c>
      <c r="D3" s="113" t="str">
        <f>_xll.ohRangeRetrieveError(C3)</f>
        <v/>
      </c>
      <c r="E3" s="169"/>
    </row>
    <row r="4" spans="1:5" x14ac:dyDescent="0.2">
      <c r="A4" s="171"/>
      <c r="B4" s="170" t="str">
        <f>Currency&amp;"HW_MeanReversion"&amp;QuoteSuffix</f>
        <v>EURHW_MeanReversion_Quote</v>
      </c>
      <c r="C4" s="170" t="str">
        <f>_xll.qlSimpleQuote(B4,,,Permanent,Trigger,ObjectOverwrite)</f>
        <v>EURHW_MeanReversion_Quote#0002</v>
      </c>
      <c r="D4" s="113" t="str">
        <f>_xll.ohRangeRetrieveError(C4)</f>
        <v/>
      </c>
      <c r="E4" s="169"/>
    </row>
    <row r="5" spans="1:5" x14ac:dyDescent="0.2">
      <c r="A5" s="168"/>
      <c r="B5" s="167"/>
      <c r="C5" s="167"/>
      <c r="D5" s="167"/>
      <c r="E5" s="166"/>
    </row>
  </sheetData>
  <pageMargins left="0.75" right="0.75" top="1" bottom="1" header="0.5" footer="0.5"/>
  <pageSetup paperSize="9" orientation="portrait"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E18"/>
  <sheetViews>
    <sheetView workbookViewId="0"/>
  </sheetViews>
  <sheetFormatPr defaultColWidth="8" defaultRowHeight="11.25" x14ac:dyDescent="0.2"/>
  <cols>
    <col min="1" max="1" width="3.28515625" style="107" customWidth="1"/>
    <col min="2" max="2" width="4.28515625" style="107" customWidth="1"/>
    <col min="3" max="3" width="15.5703125" style="107" bestFit="1" customWidth="1"/>
    <col min="4" max="4" width="101.42578125" style="107" bestFit="1" customWidth="1"/>
    <col min="5" max="5" width="3.7109375" style="107" customWidth="1"/>
    <col min="6" max="6" width="35.28515625" style="107" customWidth="1"/>
    <col min="7" max="7" width="4.28515625" style="107" customWidth="1"/>
    <col min="8" max="16384" width="8" style="107"/>
  </cols>
  <sheetData>
    <row r="1" spans="1:5" ht="13.5" thickBot="1" x14ac:dyDescent="0.25">
      <c r="A1" s="107" t="s">
        <v>191</v>
      </c>
      <c r="B1" s="110" t="str">
        <f>_xll.qlxlVersion(TRUE,Trigger)</f>
        <v>QuantLibXL 1.3.0 - MS VC++ 9.0 - Multithreaded Static Runtime library - Release Configuration - Dec  5 2013 11:03:51</v>
      </c>
    </row>
    <row r="2" spans="1:5" s="1" customFormat="1" ht="15.75" x14ac:dyDescent="0.25">
      <c r="A2" s="23"/>
      <c r="B2" s="455" t="s">
        <v>150</v>
      </c>
      <c r="C2" s="456"/>
      <c r="D2" s="456"/>
      <c r="E2" s="457"/>
    </row>
    <row r="3" spans="1:5" s="1" customFormat="1" ht="12.75" x14ac:dyDescent="0.2">
      <c r="A3" s="23"/>
      <c r="B3" s="9"/>
      <c r="C3" s="13"/>
      <c r="D3" s="13"/>
      <c r="E3" s="5"/>
    </row>
    <row r="4" spans="1:5" s="1" customFormat="1" ht="12.75" x14ac:dyDescent="0.2">
      <c r="A4" s="23"/>
      <c r="B4" s="9"/>
      <c r="C4" s="16" t="s">
        <v>31</v>
      </c>
      <c r="D4" s="15"/>
      <c r="E4" s="14"/>
    </row>
    <row r="5" spans="1:5" s="1" customFormat="1" ht="12.75" x14ac:dyDescent="0.2">
      <c r="A5" s="23"/>
      <c r="B5" s="9"/>
      <c r="C5" s="16" t="s">
        <v>30</v>
      </c>
      <c r="D5" s="15" t="b">
        <v>1</v>
      </c>
      <c r="E5" s="14"/>
    </row>
    <row r="6" spans="1:5" s="1" customFormat="1" ht="12.75" x14ac:dyDescent="0.2">
      <c r="A6" s="23"/>
      <c r="B6" s="9"/>
      <c r="C6" s="16" t="s">
        <v>29</v>
      </c>
      <c r="D6" s="15" t="b">
        <v>0</v>
      </c>
      <c r="E6" s="14"/>
    </row>
    <row r="7" spans="1:5" s="1" customFormat="1" ht="12.75" x14ac:dyDescent="0.2">
      <c r="A7" s="23"/>
      <c r="B7" s="9"/>
      <c r="C7" s="16" t="s">
        <v>28</v>
      </c>
      <c r="D7" s="15" t="b">
        <v>1</v>
      </c>
      <c r="E7" s="14"/>
    </row>
    <row r="8" spans="1:5" s="1" customFormat="1" ht="12.75" x14ac:dyDescent="0.2">
      <c r="A8" s="23"/>
      <c r="B8" s="9"/>
      <c r="C8" s="16" t="s">
        <v>27</v>
      </c>
      <c r="D8" s="25" t="str">
        <f ca="1">SUBSTITUTE(LEFT(CELL("filename",A1),FIND("[",CELL("filename",A1),1)-1),"\XLS\","\XML\")</f>
        <v>C:\Users\erik\Documents\repos\quantlib_nando\QuantLibXL\Data2\XML\</v>
      </c>
      <c r="E8" s="14"/>
    </row>
    <row r="9" spans="1:5" s="1" customFormat="1" ht="12.75" x14ac:dyDescent="0.2">
      <c r="A9" s="23"/>
      <c r="B9" s="9"/>
      <c r="C9" s="16" t="s">
        <v>26</v>
      </c>
      <c r="D9" s="24" t="b">
        <v>1</v>
      </c>
      <c r="E9" s="14"/>
    </row>
    <row r="10" spans="1:5" s="1" customFormat="1" ht="13.5" thickBot="1" x14ac:dyDescent="0.25">
      <c r="A10" s="23"/>
      <c r="B10" s="4"/>
      <c r="C10" s="3"/>
      <c r="D10" s="3"/>
      <c r="E10" s="2"/>
    </row>
    <row r="11" spans="1:5" ht="12" thickBot="1" x14ac:dyDescent="0.25"/>
    <row r="12" spans="1:5" ht="15.75" x14ac:dyDescent="0.25">
      <c r="B12" s="455" t="s">
        <v>149</v>
      </c>
      <c r="C12" s="456"/>
      <c r="D12" s="456"/>
      <c r="E12" s="457"/>
    </row>
    <row r="13" spans="1:5" x14ac:dyDescent="0.2">
      <c r="B13" s="9"/>
      <c r="C13" s="13"/>
      <c r="D13" s="13"/>
      <c r="E13" s="5"/>
    </row>
    <row r="14" spans="1:5" x14ac:dyDescent="0.2">
      <c r="B14" s="9"/>
      <c r="C14" s="16" t="s">
        <v>25</v>
      </c>
      <c r="D14" s="15" t="s">
        <v>123</v>
      </c>
      <c r="E14" s="14"/>
    </row>
    <row r="15" spans="1:5" x14ac:dyDescent="0.2">
      <c r="B15" s="9"/>
      <c r="C15" s="16" t="s">
        <v>148</v>
      </c>
      <c r="D15" s="24" t="s">
        <v>147</v>
      </c>
      <c r="E15" s="14"/>
    </row>
    <row r="16" spans="1:5" x14ac:dyDescent="0.2">
      <c r="B16" s="9"/>
      <c r="C16" s="16" t="s">
        <v>146</v>
      </c>
      <c r="D16" s="109">
        <v>1E-4</v>
      </c>
      <c r="E16" s="14"/>
    </row>
    <row r="17" spans="2:5" x14ac:dyDescent="0.2">
      <c r="B17" s="9"/>
      <c r="C17" s="16" t="s">
        <v>145</v>
      </c>
      <c r="D17" s="108">
        <v>-0.01</v>
      </c>
      <c r="E17" s="14"/>
    </row>
    <row r="18" spans="2:5" ht="12" thickBot="1" x14ac:dyDescent="0.25">
      <c r="B18" s="4"/>
      <c r="C18" s="3"/>
      <c r="D18" s="3"/>
      <c r="E18" s="2"/>
    </row>
  </sheetData>
  <mergeCells count="2">
    <mergeCell ref="B2:E2"/>
    <mergeCell ref="B12:E12"/>
  </mergeCells>
  <dataValidations count="1">
    <dataValidation type="list" allowBlank="1" showInputMessage="1" showErrorMessage="1" sqref="D14">
      <formula1>"EUR,USD,GBP,JPY,CHF"</formula1>
    </dataValidation>
  </dataValidations>
  <pageMargins left="0.75" right="0.75" top="1" bottom="1" header="0.5" footer="0.5"/>
  <pageSetup paperSize="9" orientation="portrait"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H76"/>
  <sheetViews>
    <sheetView workbookViewId="0"/>
  </sheetViews>
  <sheetFormatPr defaultRowHeight="13.5" x14ac:dyDescent="0.25"/>
  <cols>
    <col min="1" max="1" width="3.7109375" style="173" customWidth="1"/>
    <col min="2" max="3" width="4" style="173" bestFit="1" customWidth="1"/>
    <col min="4" max="4" width="6" style="173" bestFit="1" customWidth="1"/>
    <col min="5" max="5" width="21.42578125" style="173" bestFit="1" customWidth="1"/>
    <col min="6" max="6" width="26.5703125" style="174" bestFit="1" customWidth="1"/>
    <col min="7" max="7" width="38.28515625" style="173" customWidth="1"/>
    <col min="8" max="8" width="4.42578125" style="173" customWidth="1"/>
    <col min="9" max="16384" width="9.140625" style="173"/>
  </cols>
  <sheetData>
    <row r="1" spans="1:8" x14ac:dyDescent="0.25">
      <c r="A1" s="224" t="s">
        <v>207</v>
      </c>
      <c r="B1" s="198"/>
      <c r="C1" s="198"/>
      <c r="D1" s="198"/>
      <c r="E1" s="196"/>
      <c r="F1" s="197"/>
      <c r="G1" s="196"/>
      <c r="H1" s="195"/>
    </row>
    <row r="2" spans="1:8" x14ac:dyDescent="0.25">
      <c r="A2" s="184"/>
      <c r="B2" s="194"/>
      <c r="C2" s="194"/>
      <c r="D2" s="193"/>
      <c r="E2" s="192" t="str">
        <f>Currency&amp;"_010_"&amp;"OIS.xml"</f>
        <v>EUR_010_OIS.xml</v>
      </c>
      <c r="F2" s="191">
        <f ca="1">IF(Serialize,_xll.ohObjectSave(_xll.ohPack(F3:F75),SerializationPath&amp;E2,FileOverwrite,Serialize),"---")</f>
        <v>49</v>
      </c>
      <c r="G2" s="190" t="str">
        <f ca="1">_xll.ohRangeRetrieveError(F2)</f>
        <v/>
      </c>
      <c r="H2" s="179"/>
    </row>
    <row r="3" spans="1:8" x14ac:dyDescent="0.25">
      <c r="A3" s="184"/>
      <c r="B3" s="183"/>
      <c r="C3" s="183" t="s">
        <v>194</v>
      </c>
      <c r="D3" s="189" t="s">
        <v>48</v>
      </c>
      <c r="E3" s="181" t="str">
        <f t="shared" ref="E3:E38" si="0">Currency&amp;$B3&amp;$C3&amp;$D3&amp;QuoteSuffix</f>
        <v>EUREONSW_Quote</v>
      </c>
      <c r="F3" s="181" t="str">
        <f>_xll.qlSimpleQuote(Currency&amp;$B3&amp;$C3&amp;$D3&amp;QuoteSuffix,,RateTickValue,Permanent,Trigger,ObjectOverwrite)</f>
        <v>EUREONSW_Quote#0002</v>
      </c>
      <c r="G3" s="180" t="str">
        <f>_xll.ohRangeRetrieveError(F3)</f>
        <v/>
      </c>
      <c r="H3" s="179"/>
    </row>
    <row r="4" spans="1:8" x14ac:dyDescent="0.25">
      <c r="A4" s="184"/>
      <c r="B4" s="183"/>
      <c r="C4" s="183" t="s">
        <v>194</v>
      </c>
      <c r="D4" s="189" t="s">
        <v>47</v>
      </c>
      <c r="E4" s="181" t="str">
        <f t="shared" si="0"/>
        <v>EUREON2W_Quote</v>
      </c>
      <c r="F4" s="181" t="str">
        <f>_xll.qlSimpleQuote(Currency&amp;$B4&amp;$C4&amp;$D4&amp;QuoteSuffix,,RateTickValue,Permanent,Trigger,ObjectOverwrite)</f>
        <v>EUREON2W_Quote#0002</v>
      </c>
      <c r="G4" s="180" t="str">
        <f>_xll.ohRangeRetrieveError(F4)</f>
        <v/>
      </c>
      <c r="H4" s="179"/>
    </row>
    <row r="5" spans="1:8" x14ac:dyDescent="0.25">
      <c r="A5" s="184"/>
      <c r="B5" s="183"/>
      <c r="C5" s="183" t="s">
        <v>194</v>
      </c>
      <c r="D5" s="189" t="s">
        <v>46</v>
      </c>
      <c r="E5" s="181" t="str">
        <f t="shared" si="0"/>
        <v>EUREON3W_Quote</v>
      </c>
      <c r="F5" s="181" t="str">
        <f>_xll.qlSimpleQuote(Currency&amp;$B5&amp;$C5&amp;$D5&amp;QuoteSuffix,,RateTickValue,Permanent,Trigger,ObjectOverwrite)</f>
        <v>EUREON3W_Quote#0002</v>
      </c>
      <c r="G5" s="180" t="str">
        <f>_xll.ohRangeRetrieveError(F5)</f>
        <v/>
      </c>
      <c r="H5" s="179"/>
    </row>
    <row r="6" spans="1:8" x14ac:dyDescent="0.25">
      <c r="A6" s="184"/>
      <c r="B6" s="183"/>
      <c r="C6" s="183" t="s">
        <v>194</v>
      </c>
      <c r="D6" s="189" t="s">
        <v>45</v>
      </c>
      <c r="E6" s="181" t="str">
        <f t="shared" si="0"/>
        <v>EUREON1M_Quote</v>
      </c>
      <c r="F6" s="181" t="str">
        <f>_xll.qlSimpleQuote(Currency&amp;$B6&amp;$C6&amp;$D6&amp;QuoteSuffix,,RateTickValue,Permanent,Trigger,ObjectOverwrite)</f>
        <v>EUREON1M_Quote#0002</v>
      </c>
      <c r="G6" s="180" t="str">
        <f>_xll.ohRangeRetrieveError(F6)</f>
        <v/>
      </c>
      <c r="H6" s="179"/>
    </row>
    <row r="7" spans="1:8" x14ac:dyDescent="0.25">
      <c r="A7" s="184"/>
      <c r="B7" s="183"/>
      <c r="C7" s="183" t="s">
        <v>194</v>
      </c>
      <c r="D7" s="189" t="s">
        <v>44</v>
      </c>
      <c r="E7" s="181" t="str">
        <f t="shared" si="0"/>
        <v>EUREON2M_Quote</v>
      </c>
      <c r="F7" s="181" t="str">
        <f>_xll.qlSimpleQuote(Currency&amp;$B7&amp;$C7&amp;$D7&amp;QuoteSuffix,,RateTickValue,Permanent,Trigger,ObjectOverwrite)</f>
        <v>EUREON2M_Quote#0002</v>
      </c>
      <c r="G7" s="180" t="str">
        <f>_xll.ohRangeRetrieveError(F7)</f>
        <v/>
      </c>
      <c r="H7" s="179"/>
    </row>
    <row r="8" spans="1:8" x14ac:dyDescent="0.25">
      <c r="A8" s="184"/>
      <c r="B8" s="183"/>
      <c r="C8" s="183" t="s">
        <v>194</v>
      </c>
      <c r="D8" s="189" t="s">
        <v>43</v>
      </c>
      <c r="E8" s="181" t="str">
        <f t="shared" si="0"/>
        <v>EUREON3M_Quote</v>
      </c>
      <c r="F8" s="181" t="str">
        <f>_xll.qlSimpleQuote(Currency&amp;$B8&amp;$C8&amp;$D8&amp;QuoteSuffix,,RateTickValue,Permanent,Trigger,ObjectOverwrite)</f>
        <v>EUREON3M_Quote#0002</v>
      </c>
      <c r="G8" s="180" t="str">
        <f>_xll.ohRangeRetrieveError(F8)</f>
        <v/>
      </c>
      <c r="H8" s="179"/>
    </row>
    <row r="9" spans="1:8" x14ac:dyDescent="0.25">
      <c r="A9" s="184"/>
      <c r="B9" s="183"/>
      <c r="C9" s="183" t="s">
        <v>194</v>
      </c>
      <c r="D9" s="189" t="s">
        <v>42</v>
      </c>
      <c r="E9" s="181" t="str">
        <f t="shared" si="0"/>
        <v>EUREON4M_Quote</v>
      </c>
      <c r="F9" s="181" t="str">
        <f>_xll.qlSimpleQuote(Currency&amp;$B9&amp;$C9&amp;$D9&amp;QuoteSuffix,,RateTickValue,Permanent,Trigger,ObjectOverwrite)</f>
        <v>EUREON4M_Quote#0002</v>
      </c>
      <c r="G9" s="180" t="str">
        <f>_xll.ohRangeRetrieveError(F9)</f>
        <v/>
      </c>
      <c r="H9" s="179"/>
    </row>
    <row r="10" spans="1:8" x14ac:dyDescent="0.25">
      <c r="A10" s="184"/>
      <c r="B10" s="183"/>
      <c r="C10" s="183" t="s">
        <v>194</v>
      </c>
      <c r="D10" s="189" t="s">
        <v>41</v>
      </c>
      <c r="E10" s="181" t="str">
        <f t="shared" si="0"/>
        <v>EUREON5M_Quote</v>
      </c>
      <c r="F10" s="181" t="str">
        <f>_xll.qlSimpleQuote(Currency&amp;$B10&amp;$C10&amp;$D10&amp;QuoteSuffix,,RateTickValue,Permanent,Trigger,ObjectOverwrite)</f>
        <v>EUREON5M_Quote#0002</v>
      </c>
      <c r="G10" s="180" t="str">
        <f>_xll.ohRangeRetrieveError(F10)</f>
        <v/>
      </c>
      <c r="H10" s="179"/>
    </row>
    <row r="11" spans="1:8" x14ac:dyDescent="0.25">
      <c r="A11" s="184"/>
      <c r="B11" s="183"/>
      <c r="C11" s="183" t="s">
        <v>194</v>
      </c>
      <c r="D11" s="189" t="s">
        <v>40</v>
      </c>
      <c r="E11" s="181" t="str">
        <f t="shared" si="0"/>
        <v>EUREON6M_Quote</v>
      </c>
      <c r="F11" s="181" t="str">
        <f>_xll.qlSimpleQuote(Currency&amp;$B11&amp;$C11&amp;$D11&amp;QuoteSuffix,,RateTickValue,Permanent,Trigger,ObjectOverwrite)</f>
        <v>EUREON6M_Quote#0002</v>
      </c>
      <c r="G11" s="180" t="str">
        <f>_xll.ohRangeRetrieveError(F11)</f>
        <v/>
      </c>
      <c r="H11" s="179"/>
    </row>
    <row r="12" spans="1:8" x14ac:dyDescent="0.25">
      <c r="A12" s="184"/>
      <c r="B12" s="183"/>
      <c r="C12" s="183" t="s">
        <v>194</v>
      </c>
      <c r="D12" s="189" t="s">
        <v>39</v>
      </c>
      <c r="E12" s="181" t="str">
        <f t="shared" si="0"/>
        <v>EUREON7M_Quote</v>
      </c>
      <c r="F12" s="181" t="str">
        <f>_xll.qlSimpleQuote(Currency&amp;$B12&amp;$C12&amp;$D12&amp;QuoteSuffix,,RateTickValue,Permanent,Trigger,ObjectOverwrite)</f>
        <v>EUREON7M_Quote#0002</v>
      </c>
      <c r="G12" s="180" t="str">
        <f>_xll.ohRangeRetrieveError(F12)</f>
        <v/>
      </c>
      <c r="H12" s="179"/>
    </row>
    <row r="13" spans="1:8" x14ac:dyDescent="0.25">
      <c r="A13" s="184"/>
      <c r="B13" s="183"/>
      <c r="C13" s="183" t="s">
        <v>194</v>
      </c>
      <c r="D13" s="189" t="s">
        <v>38</v>
      </c>
      <c r="E13" s="181" t="str">
        <f t="shared" si="0"/>
        <v>EUREON8M_Quote</v>
      </c>
      <c r="F13" s="181" t="str">
        <f>_xll.qlSimpleQuote(Currency&amp;$B13&amp;$C13&amp;$D13&amp;QuoteSuffix,,RateTickValue,Permanent,Trigger,ObjectOverwrite)</f>
        <v>EUREON8M_Quote#0002</v>
      </c>
      <c r="G13" s="180" t="str">
        <f>_xll.ohRangeRetrieveError(F13)</f>
        <v/>
      </c>
      <c r="H13" s="179"/>
    </row>
    <row r="14" spans="1:8" x14ac:dyDescent="0.25">
      <c r="A14" s="184"/>
      <c r="B14" s="183"/>
      <c r="C14" s="183" t="s">
        <v>194</v>
      </c>
      <c r="D14" s="189" t="s">
        <v>37</v>
      </c>
      <c r="E14" s="181" t="str">
        <f t="shared" si="0"/>
        <v>EUREON9M_Quote</v>
      </c>
      <c r="F14" s="181" t="str">
        <f>_xll.qlSimpleQuote(Currency&amp;$B14&amp;$C14&amp;$D14&amp;QuoteSuffix,,RateTickValue,Permanent,Trigger,ObjectOverwrite)</f>
        <v>EUREON9M_Quote#0002</v>
      </c>
      <c r="G14" s="180" t="str">
        <f>_xll.ohRangeRetrieveError(F14)</f>
        <v/>
      </c>
      <c r="H14" s="179"/>
    </row>
    <row r="15" spans="1:8" x14ac:dyDescent="0.25">
      <c r="A15" s="184"/>
      <c r="B15" s="183"/>
      <c r="C15" s="183" t="s">
        <v>194</v>
      </c>
      <c r="D15" s="189" t="s">
        <v>36</v>
      </c>
      <c r="E15" s="181" t="str">
        <f t="shared" si="0"/>
        <v>EUREON10M_Quote</v>
      </c>
      <c r="F15" s="181" t="str">
        <f>_xll.qlSimpleQuote(Currency&amp;$B15&amp;$C15&amp;$D15&amp;QuoteSuffix,,RateTickValue,Permanent,Trigger,ObjectOverwrite)</f>
        <v>EUREON10M_Quote#0002</v>
      </c>
      <c r="G15" s="180" t="str">
        <f>_xll.ohRangeRetrieveError(F15)</f>
        <v/>
      </c>
      <c r="H15" s="179"/>
    </row>
    <row r="16" spans="1:8" x14ac:dyDescent="0.25">
      <c r="A16" s="184"/>
      <c r="B16" s="183"/>
      <c r="C16" s="183" t="s">
        <v>194</v>
      </c>
      <c r="D16" s="189" t="s">
        <v>35</v>
      </c>
      <c r="E16" s="181" t="str">
        <f t="shared" si="0"/>
        <v>EUREON11M_Quote</v>
      </c>
      <c r="F16" s="181" t="str">
        <f>_xll.qlSimpleQuote(Currency&amp;$B16&amp;$C16&amp;$D16&amp;QuoteSuffix,,RateTickValue,Permanent,Trigger,ObjectOverwrite)</f>
        <v>EUREON11M_Quote#0002</v>
      </c>
      <c r="G16" s="180" t="str">
        <f>_xll.ohRangeRetrieveError(F16)</f>
        <v/>
      </c>
      <c r="H16" s="179"/>
    </row>
    <row r="17" spans="1:8" x14ac:dyDescent="0.25">
      <c r="A17" s="184"/>
      <c r="B17" s="183"/>
      <c r="C17" s="183" t="s">
        <v>194</v>
      </c>
      <c r="D17" s="189" t="s">
        <v>34</v>
      </c>
      <c r="E17" s="181" t="str">
        <f t="shared" si="0"/>
        <v>EUREON1Y_Quote</v>
      </c>
      <c r="F17" s="181" t="str">
        <f>_xll.qlSimpleQuote(Currency&amp;$B17&amp;$C17&amp;$D17&amp;QuoteSuffix,,RateTickValue,Permanent,Trigger,ObjectOverwrite)</f>
        <v>EUREON1Y_Quote#0002</v>
      </c>
      <c r="G17" s="180" t="str">
        <f>_xll.ohRangeRetrieveError(F17)</f>
        <v/>
      </c>
      <c r="H17" s="179"/>
    </row>
    <row r="18" spans="1:8" x14ac:dyDescent="0.25">
      <c r="A18" s="184"/>
      <c r="B18" s="183"/>
      <c r="C18" s="183" t="s">
        <v>194</v>
      </c>
      <c r="D18" s="189" t="s">
        <v>140</v>
      </c>
      <c r="E18" s="181" t="str">
        <f t="shared" si="0"/>
        <v>EUREON15M_Quote</v>
      </c>
      <c r="F18" s="181" t="str">
        <f>_xll.qlSimpleQuote(Currency&amp;$B18&amp;$C18&amp;$D18&amp;QuoteSuffix,,RateTickValue,Permanent,Trigger,ObjectOverwrite)</f>
        <v>EUREON15M_Quote#0002</v>
      </c>
      <c r="G18" s="180" t="str">
        <f>_xll.ohRangeRetrieveError(F18)</f>
        <v/>
      </c>
      <c r="H18" s="179"/>
    </row>
    <row r="19" spans="1:8" x14ac:dyDescent="0.25">
      <c r="A19" s="184"/>
      <c r="B19" s="183"/>
      <c r="C19" s="183" t="s">
        <v>194</v>
      </c>
      <c r="D19" s="189" t="s">
        <v>139</v>
      </c>
      <c r="E19" s="181" t="str">
        <f t="shared" si="0"/>
        <v>EUREON18M_Quote</v>
      </c>
      <c r="F19" s="181" t="str">
        <f>_xll.qlSimpleQuote(Currency&amp;$B19&amp;$C19&amp;$D19&amp;QuoteSuffix,,RateTickValue,Permanent,Trigger,ObjectOverwrite)</f>
        <v>EUREON18M_Quote#0002</v>
      </c>
      <c r="G19" s="180" t="str">
        <f>_xll.ohRangeRetrieveError(F19)</f>
        <v/>
      </c>
      <c r="H19" s="179"/>
    </row>
    <row r="20" spans="1:8" x14ac:dyDescent="0.25">
      <c r="A20" s="184"/>
      <c r="B20" s="183"/>
      <c r="C20" s="183" t="s">
        <v>194</v>
      </c>
      <c r="D20" s="189" t="s">
        <v>138</v>
      </c>
      <c r="E20" s="181" t="str">
        <f t="shared" si="0"/>
        <v>EUREON21M_Quote</v>
      </c>
      <c r="F20" s="181" t="str">
        <f>_xll.qlSimpleQuote(Currency&amp;$B20&amp;$C20&amp;$D20&amp;QuoteSuffix,,RateTickValue,Permanent,Trigger,ObjectOverwrite)</f>
        <v>EUREON21M_Quote#0002</v>
      </c>
      <c r="G20" s="180" t="str">
        <f>_xll.ohRangeRetrieveError(F20)</f>
        <v/>
      </c>
      <c r="H20" s="179"/>
    </row>
    <row r="21" spans="1:8" x14ac:dyDescent="0.25">
      <c r="A21" s="184"/>
      <c r="B21" s="183"/>
      <c r="C21" s="183" t="s">
        <v>194</v>
      </c>
      <c r="D21" s="189" t="s">
        <v>115</v>
      </c>
      <c r="E21" s="181" t="str">
        <f t="shared" si="0"/>
        <v>EUREON2Y_Quote</v>
      </c>
      <c r="F21" s="181" t="str">
        <f>_xll.qlSimpleQuote(Currency&amp;$B21&amp;$C21&amp;$D21&amp;QuoteSuffix,,RateTickValue,Permanent,Trigger,ObjectOverwrite)</f>
        <v>EUREON2Y_Quote#0002</v>
      </c>
      <c r="G21" s="180" t="str">
        <f>_xll.ohRangeRetrieveError(F21)</f>
        <v/>
      </c>
      <c r="H21" s="179"/>
    </row>
    <row r="22" spans="1:8" x14ac:dyDescent="0.25">
      <c r="A22" s="184"/>
      <c r="B22" s="183"/>
      <c r="C22" s="183" t="s">
        <v>194</v>
      </c>
      <c r="D22" s="189" t="s">
        <v>114</v>
      </c>
      <c r="E22" s="181" t="str">
        <f t="shared" si="0"/>
        <v>EUREON3Y_Quote</v>
      </c>
      <c r="F22" s="181" t="str">
        <f>_xll.qlSimpleQuote(Currency&amp;$B22&amp;$C22&amp;$D22&amp;QuoteSuffix,,RateTickValue,Permanent,Trigger,ObjectOverwrite)</f>
        <v>EUREON3Y_Quote#0002</v>
      </c>
      <c r="G22" s="180" t="str">
        <f>_xll.ohRangeRetrieveError(F22)</f>
        <v/>
      </c>
      <c r="H22" s="179"/>
    </row>
    <row r="23" spans="1:8" x14ac:dyDescent="0.25">
      <c r="A23" s="184"/>
      <c r="B23" s="183"/>
      <c r="C23" s="183" t="s">
        <v>194</v>
      </c>
      <c r="D23" s="189" t="s">
        <v>113</v>
      </c>
      <c r="E23" s="181" t="str">
        <f t="shared" si="0"/>
        <v>EUREON4Y_Quote</v>
      </c>
      <c r="F23" s="181" t="str">
        <f>_xll.qlSimpleQuote(Currency&amp;$B23&amp;$C23&amp;$D23&amp;QuoteSuffix,,RateTickValue,Permanent,Trigger,ObjectOverwrite)</f>
        <v>EUREON4Y_Quote#0002</v>
      </c>
      <c r="G23" s="180" t="str">
        <f>_xll.ohRangeRetrieveError(F23)</f>
        <v/>
      </c>
      <c r="H23" s="179"/>
    </row>
    <row r="24" spans="1:8" x14ac:dyDescent="0.25">
      <c r="A24" s="184"/>
      <c r="B24" s="183"/>
      <c r="C24" s="183" t="s">
        <v>194</v>
      </c>
      <c r="D24" s="189" t="s">
        <v>112</v>
      </c>
      <c r="E24" s="181" t="str">
        <f t="shared" si="0"/>
        <v>EUREON5Y_Quote</v>
      </c>
      <c r="F24" s="181" t="str">
        <f>_xll.qlSimpleQuote(Currency&amp;$B24&amp;$C24&amp;$D24&amp;QuoteSuffix,,RateTickValue,Permanent,Trigger,ObjectOverwrite)</f>
        <v>EUREON5Y_Quote#0002</v>
      </c>
      <c r="G24" s="180" t="str">
        <f>_xll.ohRangeRetrieveError(F24)</f>
        <v/>
      </c>
      <c r="H24" s="179"/>
    </row>
    <row r="25" spans="1:8" x14ac:dyDescent="0.25">
      <c r="A25" s="184"/>
      <c r="B25" s="183"/>
      <c r="C25" s="183" t="s">
        <v>194</v>
      </c>
      <c r="D25" s="189" t="s">
        <v>111</v>
      </c>
      <c r="E25" s="181" t="str">
        <f t="shared" si="0"/>
        <v>EUREON6Y_Quote</v>
      </c>
      <c r="F25" s="181" t="str">
        <f>_xll.qlSimpleQuote(Currency&amp;$B25&amp;$C25&amp;$D25&amp;QuoteSuffix,,RateTickValue,Permanent,Trigger,ObjectOverwrite)</f>
        <v>EUREON6Y_Quote#0002</v>
      </c>
      <c r="G25" s="180" t="str">
        <f>_xll.ohRangeRetrieveError(F25)</f>
        <v/>
      </c>
      <c r="H25" s="179"/>
    </row>
    <row r="26" spans="1:8" x14ac:dyDescent="0.25">
      <c r="A26" s="184"/>
      <c r="B26" s="183"/>
      <c r="C26" s="183" t="s">
        <v>194</v>
      </c>
      <c r="D26" s="189" t="s">
        <v>110</v>
      </c>
      <c r="E26" s="181" t="str">
        <f t="shared" si="0"/>
        <v>EUREON7Y_Quote</v>
      </c>
      <c r="F26" s="181" t="str">
        <f>_xll.qlSimpleQuote(Currency&amp;$B26&amp;$C26&amp;$D26&amp;QuoteSuffix,,RateTickValue,Permanent,Trigger,ObjectOverwrite)</f>
        <v>EUREON7Y_Quote#0002</v>
      </c>
      <c r="G26" s="180" t="str">
        <f>_xll.ohRangeRetrieveError(F26)</f>
        <v/>
      </c>
      <c r="H26" s="179"/>
    </row>
    <row r="27" spans="1:8" x14ac:dyDescent="0.25">
      <c r="A27" s="184"/>
      <c r="B27" s="183"/>
      <c r="C27" s="183" t="s">
        <v>194</v>
      </c>
      <c r="D27" s="189" t="s">
        <v>109</v>
      </c>
      <c r="E27" s="181" t="str">
        <f t="shared" si="0"/>
        <v>EUREON8Y_Quote</v>
      </c>
      <c r="F27" s="181" t="str">
        <f>_xll.qlSimpleQuote(Currency&amp;$B27&amp;$C27&amp;$D27&amp;QuoteSuffix,,RateTickValue,Permanent,Trigger,ObjectOverwrite)</f>
        <v>EUREON8Y_Quote#0002</v>
      </c>
      <c r="G27" s="180" t="str">
        <f>_xll.ohRangeRetrieveError(F27)</f>
        <v/>
      </c>
      <c r="H27" s="179"/>
    </row>
    <row r="28" spans="1:8" x14ac:dyDescent="0.25">
      <c r="A28" s="184"/>
      <c r="B28" s="183"/>
      <c r="C28" s="183" t="s">
        <v>194</v>
      </c>
      <c r="D28" s="189" t="s">
        <v>108</v>
      </c>
      <c r="E28" s="181" t="str">
        <f t="shared" si="0"/>
        <v>EUREON9Y_Quote</v>
      </c>
      <c r="F28" s="181" t="str">
        <f>_xll.qlSimpleQuote(Currency&amp;$B28&amp;$C28&amp;$D28&amp;QuoteSuffix,,RateTickValue,Permanent,Trigger,ObjectOverwrite)</f>
        <v>EUREON9Y_Quote#0002</v>
      </c>
      <c r="G28" s="180" t="str">
        <f>_xll.ohRangeRetrieveError(F28)</f>
        <v/>
      </c>
      <c r="H28" s="179"/>
    </row>
    <row r="29" spans="1:8" x14ac:dyDescent="0.25">
      <c r="A29" s="184"/>
      <c r="B29" s="183"/>
      <c r="C29" s="183" t="s">
        <v>194</v>
      </c>
      <c r="D29" s="189" t="s">
        <v>107</v>
      </c>
      <c r="E29" s="181" t="str">
        <f t="shared" si="0"/>
        <v>EUREON10Y_Quote</v>
      </c>
      <c r="F29" s="181" t="str">
        <f>_xll.qlSimpleQuote(Currency&amp;$B29&amp;$C29&amp;$D29&amp;QuoteSuffix,,RateTickValue,Permanent,Trigger,ObjectOverwrite)</f>
        <v>EUREON10Y_Quote#0002</v>
      </c>
      <c r="G29" s="180" t="str">
        <f>_xll.ohRangeRetrieveError(F29)</f>
        <v/>
      </c>
      <c r="H29" s="179"/>
    </row>
    <row r="30" spans="1:8" x14ac:dyDescent="0.25">
      <c r="A30" s="184"/>
      <c r="B30" s="183"/>
      <c r="C30" s="183" t="s">
        <v>194</v>
      </c>
      <c r="D30" s="189" t="s">
        <v>106</v>
      </c>
      <c r="E30" s="181" t="str">
        <f t="shared" si="0"/>
        <v>EUREON11Y_Quote</v>
      </c>
      <c r="F30" s="181" t="str">
        <f>_xll.qlSimpleQuote(Currency&amp;$B30&amp;$C30&amp;$D30&amp;QuoteSuffix,,RateTickValue,Permanent,Trigger,ObjectOverwrite)</f>
        <v>EUREON11Y_Quote#0002</v>
      </c>
      <c r="G30" s="180" t="str">
        <f>_xll.ohRangeRetrieveError(F30)</f>
        <v/>
      </c>
      <c r="H30" s="179"/>
    </row>
    <row r="31" spans="1:8" x14ac:dyDescent="0.25">
      <c r="A31" s="184"/>
      <c r="B31" s="183"/>
      <c r="C31" s="183" t="s">
        <v>194</v>
      </c>
      <c r="D31" s="189" t="s">
        <v>105</v>
      </c>
      <c r="E31" s="181" t="str">
        <f t="shared" si="0"/>
        <v>EUREON12Y_Quote</v>
      </c>
      <c r="F31" s="181" t="str">
        <f>_xll.qlSimpleQuote(Currency&amp;$B31&amp;$C31&amp;$D31&amp;QuoteSuffix,,RateTickValue,Permanent,Trigger,ObjectOverwrite)</f>
        <v>EUREON12Y_Quote#0002</v>
      </c>
      <c r="G31" s="180" t="str">
        <f>_xll.ohRangeRetrieveError(F31)</f>
        <v/>
      </c>
      <c r="H31" s="179"/>
    </row>
    <row r="32" spans="1:8" x14ac:dyDescent="0.25">
      <c r="A32" s="184"/>
      <c r="B32" s="183"/>
      <c r="C32" s="183" t="s">
        <v>194</v>
      </c>
      <c r="D32" s="189" t="s">
        <v>102</v>
      </c>
      <c r="E32" s="181" t="str">
        <f t="shared" si="0"/>
        <v>EUREON15Y_Quote</v>
      </c>
      <c r="F32" s="181" t="str">
        <f>_xll.qlSimpleQuote(Currency&amp;$B32&amp;$C32&amp;$D32&amp;QuoteSuffix,,RateTickValue,Permanent,Trigger,ObjectOverwrite)</f>
        <v>EUREON15Y_Quote#0002</v>
      </c>
      <c r="G32" s="180" t="str">
        <f>_xll.ohRangeRetrieveError(F32)</f>
        <v/>
      </c>
      <c r="H32" s="179"/>
    </row>
    <row r="33" spans="1:8" x14ac:dyDescent="0.25">
      <c r="A33" s="184"/>
      <c r="B33" s="183"/>
      <c r="C33" s="183" t="s">
        <v>194</v>
      </c>
      <c r="D33" s="189" t="s">
        <v>97</v>
      </c>
      <c r="E33" s="181" t="str">
        <f t="shared" si="0"/>
        <v>EUREON20Y_Quote</v>
      </c>
      <c r="F33" s="181" t="str">
        <f>_xll.qlSimpleQuote(Currency&amp;$B33&amp;$C33&amp;$D33&amp;QuoteSuffix,,RateTickValue,Permanent,Trigger,ObjectOverwrite)</f>
        <v>EUREON20Y_Quote#0002</v>
      </c>
      <c r="G33" s="180" t="str">
        <f>_xll.ohRangeRetrieveError(F33)</f>
        <v/>
      </c>
      <c r="H33" s="179"/>
    </row>
    <row r="34" spans="1:8" x14ac:dyDescent="0.25">
      <c r="A34" s="184"/>
      <c r="B34" s="183"/>
      <c r="C34" s="183" t="s">
        <v>194</v>
      </c>
      <c r="D34" s="189" t="s">
        <v>92</v>
      </c>
      <c r="E34" s="181" t="str">
        <f t="shared" si="0"/>
        <v>EUREON25Y_Quote</v>
      </c>
      <c r="F34" s="181" t="str">
        <f>_xll.qlSimpleQuote(Currency&amp;$B34&amp;$C34&amp;$D34&amp;QuoteSuffix,,RateTickValue,Permanent,Trigger,ObjectOverwrite)</f>
        <v>EUREON25Y_Quote#0002</v>
      </c>
      <c r="G34" s="180" t="str">
        <f>_xll.ohRangeRetrieveError(F34)</f>
        <v/>
      </c>
      <c r="H34" s="179"/>
    </row>
    <row r="35" spans="1:8" x14ac:dyDescent="0.25">
      <c r="A35" s="184"/>
      <c r="B35" s="183"/>
      <c r="C35" s="183" t="s">
        <v>194</v>
      </c>
      <c r="D35" s="189" t="s">
        <v>87</v>
      </c>
      <c r="E35" s="181" t="str">
        <f t="shared" si="0"/>
        <v>EUREON30Y_Quote</v>
      </c>
      <c r="F35" s="181" t="str">
        <f>_xll.qlSimpleQuote(Currency&amp;$B35&amp;$C35&amp;$D35&amp;QuoteSuffix,,RateTickValue,Permanent,Trigger,ObjectOverwrite)</f>
        <v>EUREON30Y_Quote#0002</v>
      </c>
      <c r="G35" s="180" t="str">
        <f>_xll.ohRangeRetrieveError(F35)</f>
        <v/>
      </c>
      <c r="H35" s="179"/>
    </row>
    <row r="36" spans="1:8" x14ac:dyDescent="0.25">
      <c r="A36" s="184"/>
      <c r="B36" s="183"/>
      <c r="C36" s="183" t="s">
        <v>194</v>
      </c>
      <c r="D36" s="189" t="s">
        <v>77</v>
      </c>
      <c r="E36" s="181" t="str">
        <f t="shared" si="0"/>
        <v>EUREON40Y_Quote</v>
      </c>
      <c r="F36" s="181" t="str">
        <f>_xll.qlSimpleQuote(Currency&amp;$B36&amp;$C36&amp;$D36&amp;QuoteSuffix,,RateTickValue,Permanent,Trigger,ObjectOverwrite)</f>
        <v>EUREON40Y_Quote#0002</v>
      </c>
      <c r="G36" s="180" t="str">
        <f>_xll.ohRangeRetrieveError(F36)</f>
        <v/>
      </c>
      <c r="H36" s="179"/>
    </row>
    <row r="37" spans="1:8" x14ac:dyDescent="0.25">
      <c r="A37" s="184"/>
      <c r="B37" s="183"/>
      <c r="C37" s="183" t="s">
        <v>194</v>
      </c>
      <c r="D37" s="189" t="s">
        <v>67</v>
      </c>
      <c r="E37" s="181" t="str">
        <f t="shared" si="0"/>
        <v>EUREON50Y_Quote</v>
      </c>
      <c r="F37" s="181" t="str">
        <f>_xll.qlSimpleQuote(Currency&amp;$B37&amp;$C37&amp;$D37&amp;QuoteSuffix,,RateTickValue,Permanent,Trigger,ObjectOverwrite)</f>
        <v>EUREON50Y_Quote#0002</v>
      </c>
      <c r="G37" s="180" t="str">
        <f>_xll.ohRangeRetrieveError(F37)</f>
        <v/>
      </c>
      <c r="H37" s="179"/>
    </row>
    <row r="38" spans="1:8" x14ac:dyDescent="0.25">
      <c r="A38" s="184"/>
      <c r="B38" s="183"/>
      <c r="C38" s="183" t="s">
        <v>194</v>
      </c>
      <c r="D38" s="189" t="s">
        <v>57</v>
      </c>
      <c r="E38" s="181" t="str">
        <f t="shared" si="0"/>
        <v>EUREON60Y_Quote</v>
      </c>
      <c r="F38" s="181" t="str">
        <f>_xll.qlSimpleQuote(Currency&amp;$B38&amp;$C38&amp;$D38&amp;QuoteSuffix,,RateTickValue,Permanent,Trigger,ObjectOverwrite)</f>
        <v>EUREON60Y_Quote#0002</v>
      </c>
      <c r="G38" s="180" t="str">
        <f>_xll.ohRangeRetrieveError(F38)</f>
        <v/>
      </c>
      <c r="H38" s="179"/>
    </row>
    <row r="39" spans="1:8" x14ac:dyDescent="0.25">
      <c r="A39" s="184"/>
      <c r="B39" s="188"/>
      <c r="C39" s="188"/>
      <c r="D39" s="187"/>
      <c r="E39" s="186"/>
      <c r="F39" s="186"/>
      <c r="G39" s="185"/>
      <c r="H39" s="179"/>
    </row>
    <row r="40" spans="1:8" x14ac:dyDescent="0.25">
      <c r="A40" s="184"/>
      <c r="B40" s="183" t="s">
        <v>193</v>
      </c>
      <c r="C40" s="183" t="s">
        <v>192</v>
      </c>
      <c r="D40" s="182" t="str">
        <f>_xll.qlECBNextCode(_xll.qlSettingsEvaluationDate(Trigger)-365)</f>
        <v>DEC12</v>
      </c>
      <c r="E40" s="181" t="str">
        <f t="shared" ref="E40:E75" si="1">Currency&amp;$B40&amp;$C40&amp;$D40&amp;QuoteSuffix</f>
        <v>EURECBOISDEC12_Quote</v>
      </c>
      <c r="F40" s="181" t="str">
        <f>_xll.qlSimpleQuote(Currency&amp;$B40&amp;$C40&amp;$D40&amp;QuoteSuffix,,RateTickValue,Permanent,Trigger,ObjectOverwrite)</f>
        <v>EURECBOISDEC12_Quote#0002</v>
      </c>
      <c r="G40" s="180" t="str">
        <f>_xll.ohRangeRetrieveError(F40)</f>
        <v/>
      </c>
      <c r="H40" s="179"/>
    </row>
    <row r="41" spans="1:8" x14ac:dyDescent="0.25">
      <c r="A41" s="184"/>
      <c r="B41" s="183" t="s">
        <v>193</v>
      </c>
      <c r="C41" s="183" t="s">
        <v>192</v>
      </c>
      <c r="D41" s="182" t="str">
        <f>_xll.qlECBNextCode(_xll.qlECBdate(D40))</f>
        <v>JAN13</v>
      </c>
      <c r="E41" s="181" t="str">
        <f t="shared" si="1"/>
        <v>EURECBOISJAN13_Quote</v>
      </c>
      <c r="F41" s="181" t="str">
        <f>_xll.qlSimpleQuote(Currency&amp;$B41&amp;$C41&amp;$D41&amp;QuoteSuffix,,RateTickValue,Permanent,Trigger,ObjectOverwrite)</f>
        <v>EURECBOISJAN13_Quote#0002</v>
      </c>
      <c r="G41" s="180" t="str">
        <f>_xll.ohRangeRetrieveError(F41)</f>
        <v/>
      </c>
      <c r="H41" s="179"/>
    </row>
    <row r="42" spans="1:8" x14ac:dyDescent="0.25">
      <c r="A42" s="184"/>
      <c r="B42" s="183" t="s">
        <v>193</v>
      </c>
      <c r="C42" s="183" t="s">
        <v>192</v>
      </c>
      <c r="D42" s="182" t="str">
        <f>_xll.qlECBNextCode(_xll.qlECBdate(D41))</f>
        <v>FEB13</v>
      </c>
      <c r="E42" s="181" t="str">
        <f t="shared" si="1"/>
        <v>EURECBOISFEB13_Quote</v>
      </c>
      <c r="F42" s="181" t="str">
        <f>_xll.qlSimpleQuote(Currency&amp;$B42&amp;$C42&amp;$D42&amp;QuoteSuffix,,RateTickValue,Permanent,Trigger,ObjectOverwrite)</f>
        <v>EURECBOISFEB13_Quote#0002</v>
      </c>
      <c r="G42" s="180" t="str">
        <f>_xll.ohRangeRetrieveError(F42)</f>
        <v/>
      </c>
      <c r="H42" s="179"/>
    </row>
    <row r="43" spans="1:8" x14ac:dyDescent="0.25">
      <c r="A43" s="184"/>
      <c r="B43" s="183" t="s">
        <v>193</v>
      </c>
      <c r="C43" s="183" t="s">
        <v>192</v>
      </c>
      <c r="D43" s="182" t="str">
        <f>_xll.qlECBNextCode(_xll.qlECBdate(D42))</f>
        <v>MAR13</v>
      </c>
      <c r="E43" s="181" t="str">
        <f t="shared" si="1"/>
        <v>EURECBOISMAR13_Quote</v>
      </c>
      <c r="F43" s="181" t="str">
        <f>_xll.qlSimpleQuote(Currency&amp;$B43&amp;$C43&amp;$D43&amp;QuoteSuffix,,RateTickValue,Permanent,Trigger,ObjectOverwrite)</f>
        <v>EURECBOISMAR13_Quote#0002</v>
      </c>
      <c r="G43" s="180" t="str">
        <f>_xll.ohRangeRetrieveError(F43)</f>
        <v/>
      </c>
      <c r="H43" s="179"/>
    </row>
    <row r="44" spans="1:8" x14ac:dyDescent="0.25">
      <c r="A44" s="184"/>
      <c r="B44" s="183" t="s">
        <v>193</v>
      </c>
      <c r="C44" s="183" t="s">
        <v>192</v>
      </c>
      <c r="D44" s="182" t="str">
        <f>_xll.qlECBNextCode(_xll.qlECBdate(D43))</f>
        <v>APR13</v>
      </c>
      <c r="E44" s="181" t="str">
        <f t="shared" si="1"/>
        <v>EURECBOISAPR13_Quote</v>
      </c>
      <c r="F44" s="181" t="str">
        <f>_xll.qlSimpleQuote(Currency&amp;$B44&amp;$C44&amp;$D44&amp;QuoteSuffix,,RateTickValue,Permanent,Trigger,ObjectOverwrite)</f>
        <v>EURECBOISAPR13_Quote#0002</v>
      </c>
      <c r="G44" s="180" t="str">
        <f>_xll.ohRangeRetrieveError(F44)</f>
        <v/>
      </c>
      <c r="H44" s="179"/>
    </row>
    <row r="45" spans="1:8" x14ac:dyDescent="0.25">
      <c r="A45" s="184"/>
      <c r="B45" s="183" t="s">
        <v>193</v>
      </c>
      <c r="C45" s="183" t="s">
        <v>192</v>
      </c>
      <c r="D45" s="182" t="str">
        <f>_xll.qlECBNextCode(_xll.qlECBdate(D44))</f>
        <v>MAY13</v>
      </c>
      <c r="E45" s="181" t="str">
        <f t="shared" si="1"/>
        <v>EURECBOISMAY13_Quote</v>
      </c>
      <c r="F45" s="181" t="str">
        <f>_xll.qlSimpleQuote(Currency&amp;$B45&amp;$C45&amp;$D45&amp;QuoteSuffix,,RateTickValue,Permanent,Trigger,ObjectOverwrite)</f>
        <v>EURECBOISMAY13_Quote#0002</v>
      </c>
      <c r="G45" s="180" t="str">
        <f>_xll.ohRangeRetrieveError(F45)</f>
        <v/>
      </c>
      <c r="H45" s="179"/>
    </row>
    <row r="46" spans="1:8" x14ac:dyDescent="0.25">
      <c r="A46" s="184"/>
      <c r="B46" s="183" t="s">
        <v>193</v>
      </c>
      <c r="C46" s="183" t="s">
        <v>192</v>
      </c>
      <c r="D46" s="182" t="str">
        <f>_xll.qlECBNextCode(_xll.qlECBdate(D45))</f>
        <v>JUN13</v>
      </c>
      <c r="E46" s="181" t="str">
        <f t="shared" si="1"/>
        <v>EURECBOISJUN13_Quote</v>
      </c>
      <c r="F46" s="181" t="str">
        <f>_xll.qlSimpleQuote(Currency&amp;$B46&amp;$C46&amp;$D46&amp;QuoteSuffix,,RateTickValue,Permanent,Trigger,ObjectOverwrite)</f>
        <v>EURECBOISJUN13_Quote#0002</v>
      </c>
      <c r="G46" s="180" t="str">
        <f>_xll.ohRangeRetrieveError(F46)</f>
        <v/>
      </c>
      <c r="H46" s="179"/>
    </row>
    <row r="47" spans="1:8" x14ac:dyDescent="0.25">
      <c r="A47" s="184"/>
      <c r="B47" s="183" t="s">
        <v>193</v>
      </c>
      <c r="C47" s="183" t="s">
        <v>192</v>
      </c>
      <c r="D47" s="182" t="str">
        <f>_xll.qlECBNextCode(_xll.qlECBdate(D46))</f>
        <v>JUL13</v>
      </c>
      <c r="E47" s="181" t="str">
        <f t="shared" si="1"/>
        <v>EURECBOISJUL13_Quote</v>
      </c>
      <c r="F47" s="181" t="str">
        <f>_xll.qlSimpleQuote(Currency&amp;$B47&amp;$C47&amp;$D47&amp;QuoteSuffix,,RateTickValue,Permanent,Trigger,ObjectOverwrite)</f>
        <v>EURECBOISJUL13_Quote#0002</v>
      </c>
      <c r="G47" s="180" t="str">
        <f>_xll.ohRangeRetrieveError(F47)</f>
        <v/>
      </c>
      <c r="H47" s="179"/>
    </row>
    <row r="48" spans="1:8" x14ac:dyDescent="0.25">
      <c r="A48" s="184"/>
      <c r="B48" s="183" t="s">
        <v>193</v>
      </c>
      <c r="C48" s="183" t="s">
        <v>192</v>
      </c>
      <c r="D48" s="182" t="str">
        <f>_xll.qlECBNextCode(_xll.qlECBdate(D47))</f>
        <v>AUG13</v>
      </c>
      <c r="E48" s="181" t="str">
        <f t="shared" si="1"/>
        <v>EURECBOISAUG13_Quote</v>
      </c>
      <c r="F48" s="181" t="str">
        <f>_xll.qlSimpleQuote(Currency&amp;$B48&amp;$C48&amp;$D48&amp;QuoteSuffix,,RateTickValue,Permanent,Trigger,ObjectOverwrite)</f>
        <v>EURECBOISAUG13_Quote#0002</v>
      </c>
      <c r="G48" s="180" t="str">
        <f>_xll.ohRangeRetrieveError(F48)</f>
        <v/>
      </c>
      <c r="H48" s="179"/>
    </row>
    <row r="49" spans="1:8" x14ac:dyDescent="0.25">
      <c r="A49" s="184"/>
      <c r="B49" s="183" t="s">
        <v>193</v>
      </c>
      <c r="C49" s="183" t="s">
        <v>192</v>
      </c>
      <c r="D49" s="182" t="str">
        <f>_xll.qlECBNextCode(_xll.qlECBdate(D48))</f>
        <v>SEP13</v>
      </c>
      <c r="E49" s="181" t="str">
        <f t="shared" si="1"/>
        <v>EURECBOISSEP13_Quote</v>
      </c>
      <c r="F49" s="181" t="str">
        <f>_xll.qlSimpleQuote(Currency&amp;$B49&amp;$C49&amp;$D49&amp;QuoteSuffix,,RateTickValue,Permanent,Trigger,ObjectOverwrite)</f>
        <v>EURECBOISSEP13_Quote#0002</v>
      </c>
      <c r="G49" s="180" t="str">
        <f>_xll.ohRangeRetrieveError(F49)</f>
        <v/>
      </c>
      <c r="H49" s="179"/>
    </row>
    <row r="50" spans="1:8" x14ac:dyDescent="0.25">
      <c r="A50" s="184"/>
      <c r="B50" s="183" t="s">
        <v>193</v>
      </c>
      <c r="C50" s="183" t="s">
        <v>192</v>
      </c>
      <c r="D50" s="182" t="str">
        <f>_xll.qlECBNextCode(_xll.qlECBdate(D49))</f>
        <v>OCT13</v>
      </c>
      <c r="E50" s="181" t="str">
        <f t="shared" si="1"/>
        <v>EURECBOISOCT13_Quote</v>
      </c>
      <c r="F50" s="181" t="str">
        <f>_xll.qlSimpleQuote(Currency&amp;$B50&amp;$C50&amp;$D50&amp;QuoteSuffix,,RateTickValue,Permanent,Trigger,ObjectOverwrite)</f>
        <v>EURECBOISOCT13_Quote#0002</v>
      </c>
      <c r="G50" s="180" t="str">
        <f>_xll.ohRangeRetrieveError(F50)</f>
        <v/>
      </c>
      <c r="H50" s="179"/>
    </row>
    <row r="51" spans="1:8" x14ac:dyDescent="0.25">
      <c r="A51" s="184"/>
      <c r="B51" s="183" t="s">
        <v>193</v>
      </c>
      <c r="C51" s="183" t="s">
        <v>192</v>
      </c>
      <c r="D51" s="182" t="str">
        <f>_xll.qlECBNextCode(_xll.qlECBdate(D50))</f>
        <v>NOV13</v>
      </c>
      <c r="E51" s="181" t="str">
        <f t="shared" si="1"/>
        <v>EURECBOISNOV13_Quote</v>
      </c>
      <c r="F51" s="181" t="str">
        <f>_xll.qlSimpleQuote(Currency&amp;$B51&amp;$C51&amp;$D51&amp;QuoteSuffix,,RateTickValue,Permanent,Trigger,ObjectOverwrite)</f>
        <v>EURECBOISNOV13_Quote#0002</v>
      </c>
      <c r="G51" s="180" t="str">
        <f>_xll.ohRangeRetrieveError(F51)</f>
        <v/>
      </c>
      <c r="H51" s="179"/>
    </row>
    <row r="52" spans="1:8" x14ac:dyDescent="0.25">
      <c r="A52" s="184"/>
      <c r="B52" s="183" t="s">
        <v>193</v>
      </c>
      <c r="C52" s="183" t="s">
        <v>192</v>
      </c>
      <c r="D52" s="182" t="str">
        <f>_xll.qlECBNextCode(_xll.qlECBdate(D51))</f>
        <v>DEC13</v>
      </c>
      <c r="E52" s="181" t="str">
        <f t="shared" si="1"/>
        <v>EURECBOISDEC13_Quote</v>
      </c>
      <c r="F52" s="181" t="str">
        <f>_xll.qlSimpleQuote(Currency&amp;$B52&amp;$C52&amp;$D52&amp;QuoteSuffix,,RateTickValue,Permanent,Trigger,ObjectOverwrite)</f>
        <v>EURECBOISDEC13_Quote#0002</v>
      </c>
      <c r="G52" s="180" t="str">
        <f>_xll.ohRangeRetrieveError(F52)</f>
        <v/>
      </c>
      <c r="H52" s="179"/>
    </row>
    <row r="53" spans="1:8" x14ac:dyDescent="0.25">
      <c r="A53" s="184"/>
      <c r="B53" s="183" t="s">
        <v>193</v>
      </c>
      <c r="C53" s="183" t="s">
        <v>192</v>
      </c>
      <c r="D53" s="182" t="e">
        <f>_xll.qlECBNextCode(_xll.qlECBdate(D52))</f>
        <v>#NUM!</v>
      </c>
      <c r="E53" s="181" t="e">
        <f t="shared" si="1"/>
        <v>#NUM!</v>
      </c>
      <c r="F53" s="181" t="e">
        <f>_xll.qlSimpleQuote(Currency&amp;$B53&amp;$C53&amp;$D53&amp;QuoteSuffix,,RateTickValue,Permanent,Trigger,ObjectOverwrite)</f>
        <v>#VALUE!</v>
      </c>
      <c r="G53" s="180" t="str">
        <f ca="1">_xll.ohRangeRetrieveError(F53)</f>
        <v/>
      </c>
      <c r="H53" s="179"/>
    </row>
    <row r="54" spans="1:8" x14ac:dyDescent="0.25">
      <c r="A54" s="184"/>
      <c r="B54" s="183" t="s">
        <v>193</v>
      </c>
      <c r="C54" s="183" t="s">
        <v>192</v>
      </c>
      <c r="D54" s="182" t="e">
        <f>_xll.qlECBNextCode(_xll.qlECBdate(D53))</f>
        <v>#NUM!</v>
      </c>
      <c r="E54" s="181" t="e">
        <f t="shared" si="1"/>
        <v>#NUM!</v>
      </c>
      <c r="F54" s="181" t="e">
        <f>_xll.qlSimpleQuote(Currency&amp;$B54&amp;$C54&amp;$D54&amp;QuoteSuffix,,RateTickValue,Permanent,Trigger,ObjectOverwrite)</f>
        <v>#VALUE!</v>
      </c>
      <c r="G54" s="180" t="str">
        <f ca="1">_xll.ohRangeRetrieveError(F54)</f>
        <v/>
      </c>
      <c r="H54" s="179"/>
    </row>
    <row r="55" spans="1:8" x14ac:dyDescent="0.25">
      <c r="A55" s="184"/>
      <c r="B55" s="183" t="s">
        <v>193</v>
      </c>
      <c r="C55" s="183" t="s">
        <v>192</v>
      </c>
      <c r="D55" s="182" t="e">
        <f>_xll.qlECBNextCode(_xll.qlECBdate(D54))</f>
        <v>#NUM!</v>
      </c>
      <c r="E55" s="181" t="e">
        <f t="shared" si="1"/>
        <v>#NUM!</v>
      </c>
      <c r="F55" s="181" t="e">
        <f>_xll.qlSimpleQuote(Currency&amp;$B55&amp;$C55&amp;$D55&amp;QuoteSuffix,,RateTickValue,Permanent,Trigger,ObjectOverwrite)</f>
        <v>#VALUE!</v>
      </c>
      <c r="G55" s="180" t="str">
        <f ca="1">_xll.ohRangeRetrieveError(F55)</f>
        <v/>
      </c>
      <c r="H55" s="179"/>
    </row>
    <row r="56" spans="1:8" x14ac:dyDescent="0.25">
      <c r="A56" s="184"/>
      <c r="B56" s="183" t="s">
        <v>193</v>
      </c>
      <c r="C56" s="183" t="s">
        <v>192</v>
      </c>
      <c r="D56" s="182" t="e">
        <f>_xll.qlECBNextCode(_xll.qlECBdate(D55))</f>
        <v>#NUM!</v>
      </c>
      <c r="E56" s="181" t="e">
        <f t="shared" si="1"/>
        <v>#NUM!</v>
      </c>
      <c r="F56" s="181" t="e">
        <f>_xll.qlSimpleQuote(Currency&amp;$B56&amp;$C56&amp;$D56&amp;QuoteSuffix,,RateTickValue,Permanent,Trigger,ObjectOverwrite)</f>
        <v>#VALUE!</v>
      </c>
      <c r="G56" s="180" t="str">
        <f ca="1">_xll.ohRangeRetrieveError(F56)</f>
        <v/>
      </c>
      <c r="H56" s="179"/>
    </row>
    <row r="57" spans="1:8" x14ac:dyDescent="0.25">
      <c r="A57" s="184"/>
      <c r="B57" s="183" t="s">
        <v>193</v>
      </c>
      <c r="C57" s="183" t="s">
        <v>192</v>
      </c>
      <c r="D57" s="182" t="e">
        <f>_xll.qlECBNextCode(_xll.qlECBdate(D56))</f>
        <v>#NUM!</v>
      </c>
      <c r="E57" s="181" t="e">
        <f t="shared" si="1"/>
        <v>#NUM!</v>
      </c>
      <c r="F57" s="181" t="e">
        <f>_xll.qlSimpleQuote(Currency&amp;$B57&amp;$C57&amp;$D57&amp;QuoteSuffix,,RateTickValue,Permanent,Trigger,ObjectOverwrite)</f>
        <v>#VALUE!</v>
      </c>
      <c r="G57" s="180" t="str">
        <f ca="1">_xll.ohRangeRetrieveError(F57)</f>
        <v/>
      </c>
      <c r="H57" s="179"/>
    </row>
    <row r="58" spans="1:8" x14ac:dyDescent="0.25">
      <c r="A58" s="184"/>
      <c r="B58" s="183" t="s">
        <v>193</v>
      </c>
      <c r="C58" s="183" t="s">
        <v>192</v>
      </c>
      <c r="D58" s="182" t="e">
        <f>_xll.qlECBNextCode(_xll.qlECBdate(D57))</f>
        <v>#NUM!</v>
      </c>
      <c r="E58" s="181" t="e">
        <f t="shared" si="1"/>
        <v>#NUM!</v>
      </c>
      <c r="F58" s="181" t="e">
        <f>_xll.qlSimpleQuote(Currency&amp;$B58&amp;$C58&amp;$D58&amp;QuoteSuffix,,RateTickValue,Permanent,Trigger,ObjectOverwrite)</f>
        <v>#VALUE!</v>
      </c>
      <c r="G58" s="180" t="str">
        <f ca="1">_xll.ohRangeRetrieveError(F58)</f>
        <v/>
      </c>
      <c r="H58" s="179"/>
    </row>
    <row r="59" spans="1:8" x14ac:dyDescent="0.25">
      <c r="A59" s="184"/>
      <c r="B59" s="183" t="s">
        <v>193</v>
      </c>
      <c r="C59" s="183" t="s">
        <v>192</v>
      </c>
      <c r="D59" s="182" t="e">
        <f>_xll.qlECBNextCode(_xll.qlECBdate(D58))</f>
        <v>#NUM!</v>
      </c>
      <c r="E59" s="181" t="e">
        <f t="shared" si="1"/>
        <v>#NUM!</v>
      </c>
      <c r="F59" s="181" t="e">
        <f>_xll.qlSimpleQuote(Currency&amp;$B59&amp;$C59&amp;$D59&amp;QuoteSuffix,,RateTickValue,Permanent,Trigger,ObjectOverwrite)</f>
        <v>#VALUE!</v>
      </c>
      <c r="G59" s="180" t="str">
        <f ca="1">_xll.ohRangeRetrieveError(F59)</f>
        <v/>
      </c>
      <c r="H59" s="179"/>
    </row>
    <row r="60" spans="1:8" x14ac:dyDescent="0.25">
      <c r="A60" s="184"/>
      <c r="B60" s="183" t="s">
        <v>193</v>
      </c>
      <c r="C60" s="183" t="s">
        <v>192</v>
      </c>
      <c r="D60" s="182" t="e">
        <f>_xll.qlECBNextCode(_xll.qlECBdate(D59))</f>
        <v>#NUM!</v>
      </c>
      <c r="E60" s="181" t="e">
        <f t="shared" si="1"/>
        <v>#NUM!</v>
      </c>
      <c r="F60" s="181" t="e">
        <f>_xll.qlSimpleQuote(Currency&amp;$B60&amp;$C60&amp;$D60&amp;QuoteSuffix,,RateTickValue,Permanent,Trigger,ObjectOverwrite)</f>
        <v>#VALUE!</v>
      </c>
      <c r="G60" s="180" t="str">
        <f ca="1">_xll.ohRangeRetrieveError(F60)</f>
        <v/>
      </c>
      <c r="H60" s="179"/>
    </row>
    <row r="61" spans="1:8" x14ac:dyDescent="0.25">
      <c r="A61" s="184"/>
      <c r="B61" s="183" t="s">
        <v>193</v>
      </c>
      <c r="C61" s="183" t="s">
        <v>192</v>
      </c>
      <c r="D61" s="182" t="e">
        <f>_xll.qlECBNextCode(_xll.qlECBdate(D60))</f>
        <v>#NUM!</v>
      </c>
      <c r="E61" s="181" t="e">
        <f t="shared" si="1"/>
        <v>#NUM!</v>
      </c>
      <c r="F61" s="181" t="e">
        <f>_xll.qlSimpleQuote(Currency&amp;$B61&amp;$C61&amp;$D61&amp;QuoteSuffix,,RateTickValue,Permanent,Trigger,ObjectOverwrite)</f>
        <v>#VALUE!</v>
      </c>
      <c r="G61" s="180" t="str">
        <f ca="1">_xll.ohRangeRetrieveError(F61)</f>
        <v/>
      </c>
      <c r="H61" s="179"/>
    </row>
    <row r="62" spans="1:8" x14ac:dyDescent="0.25">
      <c r="A62" s="184"/>
      <c r="B62" s="183" t="s">
        <v>193</v>
      </c>
      <c r="C62" s="183" t="s">
        <v>192</v>
      </c>
      <c r="D62" s="182" t="e">
        <f>_xll.qlECBNextCode(_xll.qlECBdate(D61))</f>
        <v>#NUM!</v>
      </c>
      <c r="E62" s="181" t="e">
        <f t="shared" si="1"/>
        <v>#NUM!</v>
      </c>
      <c r="F62" s="181" t="e">
        <f>_xll.qlSimpleQuote(Currency&amp;$B62&amp;$C62&amp;$D62&amp;QuoteSuffix,,RateTickValue,Permanent,Trigger,ObjectOverwrite)</f>
        <v>#VALUE!</v>
      </c>
      <c r="G62" s="180" t="str">
        <f ca="1">_xll.ohRangeRetrieveError(F62)</f>
        <v/>
      </c>
      <c r="H62" s="179"/>
    </row>
    <row r="63" spans="1:8" x14ac:dyDescent="0.25">
      <c r="A63" s="184"/>
      <c r="B63" s="183" t="s">
        <v>193</v>
      </c>
      <c r="C63" s="183" t="s">
        <v>192</v>
      </c>
      <c r="D63" s="182" t="e">
        <f>_xll.qlECBNextCode(_xll.qlECBdate(D62))</f>
        <v>#NUM!</v>
      </c>
      <c r="E63" s="181" t="e">
        <f t="shared" si="1"/>
        <v>#NUM!</v>
      </c>
      <c r="F63" s="181" t="e">
        <f>_xll.qlSimpleQuote(Currency&amp;$B63&amp;$C63&amp;$D63&amp;QuoteSuffix,,RateTickValue,Permanent,Trigger,ObjectOverwrite)</f>
        <v>#VALUE!</v>
      </c>
      <c r="G63" s="180" t="str">
        <f ca="1">_xll.ohRangeRetrieveError(F63)</f>
        <v/>
      </c>
      <c r="H63" s="179"/>
    </row>
    <row r="64" spans="1:8" x14ac:dyDescent="0.25">
      <c r="A64" s="184"/>
      <c r="B64" s="183" t="s">
        <v>193</v>
      </c>
      <c r="C64" s="183" t="s">
        <v>192</v>
      </c>
      <c r="D64" s="182" t="e">
        <f>_xll.qlECBNextCode(_xll.qlECBdate(D63))</f>
        <v>#NUM!</v>
      </c>
      <c r="E64" s="181" t="e">
        <f t="shared" si="1"/>
        <v>#NUM!</v>
      </c>
      <c r="F64" s="181" t="e">
        <f>_xll.qlSimpleQuote(Currency&amp;$B64&amp;$C64&amp;$D64&amp;QuoteSuffix,,RateTickValue,Permanent,Trigger,ObjectOverwrite)</f>
        <v>#VALUE!</v>
      </c>
      <c r="G64" s="180" t="str">
        <f ca="1">_xll.ohRangeRetrieveError(F64)</f>
        <v/>
      </c>
      <c r="H64" s="179"/>
    </row>
    <row r="65" spans="1:8" x14ac:dyDescent="0.25">
      <c r="A65" s="184"/>
      <c r="B65" s="183" t="s">
        <v>193</v>
      </c>
      <c r="C65" s="183" t="s">
        <v>192</v>
      </c>
      <c r="D65" s="182" t="e">
        <f>_xll.qlECBNextCode(_xll.qlECBdate(D64))</f>
        <v>#NUM!</v>
      </c>
      <c r="E65" s="181" t="e">
        <f t="shared" si="1"/>
        <v>#NUM!</v>
      </c>
      <c r="F65" s="181" t="e">
        <f>_xll.qlSimpleQuote(Currency&amp;$B65&amp;$C65&amp;$D65&amp;QuoteSuffix,,RateTickValue,Permanent,Trigger,ObjectOverwrite)</f>
        <v>#VALUE!</v>
      </c>
      <c r="G65" s="180" t="str">
        <f ca="1">_xll.ohRangeRetrieveError(F65)</f>
        <v/>
      </c>
      <c r="H65" s="179"/>
    </row>
    <row r="66" spans="1:8" x14ac:dyDescent="0.25">
      <c r="A66" s="184"/>
      <c r="B66" s="183" t="s">
        <v>193</v>
      </c>
      <c r="C66" s="183" t="s">
        <v>192</v>
      </c>
      <c r="D66" s="182" t="e">
        <f>_xll.qlECBNextCode(_xll.qlECBdate(D65))</f>
        <v>#NUM!</v>
      </c>
      <c r="E66" s="181" t="e">
        <f t="shared" si="1"/>
        <v>#NUM!</v>
      </c>
      <c r="F66" s="181" t="e">
        <f>_xll.qlSimpleQuote(Currency&amp;$B66&amp;$C66&amp;$D66&amp;QuoteSuffix,,RateTickValue,Permanent,Trigger,ObjectOverwrite)</f>
        <v>#VALUE!</v>
      </c>
      <c r="G66" s="180" t="str">
        <f ca="1">_xll.ohRangeRetrieveError(F66)</f>
        <v/>
      </c>
      <c r="H66" s="179"/>
    </row>
    <row r="67" spans="1:8" x14ac:dyDescent="0.25">
      <c r="A67" s="184"/>
      <c r="B67" s="183" t="s">
        <v>193</v>
      </c>
      <c r="C67" s="183" t="s">
        <v>192</v>
      </c>
      <c r="D67" s="182" t="e">
        <f>_xll.qlECBNextCode(_xll.qlECBdate(D66))</f>
        <v>#NUM!</v>
      </c>
      <c r="E67" s="181" t="e">
        <f t="shared" si="1"/>
        <v>#NUM!</v>
      </c>
      <c r="F67" s="181" t="e">
        <f>_xll.qlSimpleQuote(Currency&amp;$B67&amp;$C67&amp;$D67&amp;QuoteSuffix,,RateTickValue,Permanent,Trigger,ObjectOverwrite)</f>
        <v>#VALUE!</v>
      </c>
      <c r="G67" s="180" t="str">
        <f ca="1">_xll.ohRangeRetrieveError(F67)</f>
        <v/>
      </c>
      <c r="H67" s="179"/>
    </row>
    <row r="68" spans="1:8" x14ac:dyDescent="0.25">
      <c r="A68" s="184"/>
      <c r="B68" s="183" t="s">
        <v>193</v>
      </c>
      <c r="C68" s="183" t="s">
        <v>192</v>
      </c>
      <c r="D68" s="182" t="e">
        <f>_xll.qlECBNextCode(_xll.qlECBdate(D67))</f>
        <v>#NUM!</v>
      </c>
      <c r="E68" s="181" t="e">
        <f t="shared" si="1"/>
        <v>#NUM!</v>
      </c>
      <c r="F68" s="181" t="e">
        <f>_xll.qlSimpleQuote(Currency&amp;$B68&amp;$C68&amp;$D68&amp;QuoteSuffix,,RateTickValue,Permanent,Trigger,ObjectOverwrite)</f>
        <v>#VALUE!</v>
      </c>
      <c r="G68" s="180" t="str">
        <f ca="1">_xll.ohRangeRetrieveError(F68)</f>
        <v/>
      </c>
      <c r="H68" s="179"/>
    </row>
    <row r="69" spans="1:8" x14ac:dyDescent="0.25">
      <c r="A69" s="184"/>
      <c r="B69" s="183" t="s">
        <v>193</v>
      </c>
      <c r="C69" s="183" t="s">
        <v>192</v>
      </c>
      <c r="D69" s="182" t="e">
        <f>_xll.qlECBNextCode(_xll.qlECBdate(D68))</f>
        <v>#NUM!</v>
      </c>
      <c r="E69" s="181" t="e">
        <f t="shared" si="1"/>
        <v>#NUM!</v>
      </c>
      <c r="F69" s="181" t="e">
        <f>_xll.qlSimpleQuote(Currency&amp;$B69&amp;$C69&amp;$D69&amp;QuoteSuffix,,RateTickValue,Permanent,Trigger,ObjectOverwrite)</f>
        <v>#VALUE!</v>
      </c>
      <c r="G69" s="180" t="str">
        <f ca="1">_xll.ohRangeRetrieveError(F69)</f>
        <v/>
      </c>
      <c r="H69" s="179"/>
    </row>
    <row r="70" spans="1:8" x14ac:dyDescent="0.25">
      <c r="A70" s="184"/>
      <c r="B70" s="183" t="s">
        <v>193</v>
      </c>
      <c r="C70" s="183" t="s">
        <v>192</v>
      </c>
      <c r="D70" s="182" t="e">
        <f>_xll.qlECBNextCode(_xll.qlECBdate(D69))</f>
        <v>#NUM!</v>
      </c>
      <c r="E70" s="181" t="e">
        <f t="shared" si="1"/>
        <v>#NUM!</v>
      </c>
      <c r="F70" s="181" t="e">
        <f>_xll.qlSimpleQuote(Currency&amp;$B70&amp;$C70&amp;$D70&amp;QuoteSuffix,,RateTickValue,Permanent,Trigger,ObjectOverwrite)</f>
        <v>#VALUE!</v>
      </c>
      <c r="G70" s="180" t="str">
        <f ca="1">_xll.ohRangeRetrieveError(F70)</f>
        <v/>
      </c>
      <c r="H70" s="179"/>
    </row>
    <row r="71" spans="1:8" x14ac:dyDescent="0.25">
      <c r="A71" s="184"/>
      <c r="B71" s="183" t="s">
        <v>193</v>
      </c>
      <c r="C71" s="183" t="s">
        <v>192</v>
      </c>
      <c r="D71" s="182" t="e">
        <f>_xll.qlECBNextCode(_xll.qlECBdate(D70))</f>
        <v>#NUM!</v>
      </c>
      <c r="E71" s="181" t="e">
        <f t="shared" si="1"/>
        <v>#NUM!</v>
      </c>
      <c r="F71" s="181" t="e">
        <f>_xll.qlSimpleQuote(Currency&amp;$B71&amp;$C71&amp;$D71&amp;QuoteSuffix,,RateTickValue,Permanent,Trigger,ObjectOverwrite)</f>
        <v>#VALUE!</v>
      </c>
      <c r="G71" s="180" t="str">
        <f ca="1">_xll.ohRangeRetrieveError(F71)</f>
        <v/>
      </c>
      <c r="H71" s="179"/>
    </row>
    <row r="72" spans="1:8" x14ac:dyDescent="0.25">
      <c r="A72" s="184"/>
      <c r="B72" s="183" t="s">
        <v>193</v>
      </c>
      <c r="C72" s="183" t="s">
        <v>192</v>
      </c>
      <c r="D72" s="182" t="e">
        <f>_xll.qlECBNextCode(_xll.qlECBdate(D71))</f>
        <v>#NUM!</v>
      </c>
      <c r="E72" s="181" t="e">
        <f t="shared" si="1"/>
        <v>#NUM!</v>
      </c>
      <c r="F72" s="181" t="e">
        <f>_xll.qlSimpleQuote(Currency&amp;$B72&amp;$C72&amp;$D72&amp;QuoteSuffix,,RateTickValue,Permanent,Trigger,ObjectOverwrite)</f>
        <v>#VALUE!</v>
      </c>
      <c r="G72" s="180" t="str">
        <f ca="1">_xll.ohRangeRetrieveError(F72)</f>
        <v/>
      </c>
      <c r="H72" s="179"/>
    </row>
    <row r="73" spans="1:8" x14ac:dyDescent="0.25">
      <c r="A73" s="184"/>
      <c r="B73" s="183" t="s">
        <v>193</v>
      </c>
      <c r="C73" s="183" t="s">
        <v>192</v>
      </c>
      <c r="D73" s="182" t="e">
        <f>_xll.qlECBNextCode(_xll.qlECBdate(D72))</f>
        <v>#NUM!</v>
      </c>
      <c r="E73" s="181" t="e">
        <f t="shared" si="1"/>
        <v>#NUM!</v>
      </c>
      <c r="F73" s="181" t="e">
        <f>_xll.qlSimpleQuote(Currency&amp;$B73&amp;$C73&amp;$D73&amp;QuoteSuffix,,RateTickValue,Permanent,Trigger,ObjectOverwrite)</f>
        <v>#VALUE!</v>
      </c>
      <c r="G73" s="180" t="str">
        <f ca="1">_xll.ohRangeRetrieveError(F73)</f>
        <v/>
      </c>
      <c r="H73" s="179"/>
    </row>
    <row r="74" spans="1:8" x14ac:dyDescent="0.25">
      <c r="A74" s="184"/>
      <c r="B74" s="183" t="s">
        <v>193</v>
      </c>
      <c r="C74" s="183" t="s">
        <v>192</v>
      </c>
      <c r="D74" s="182" t="e">
        <f>_xll.qlECBNextCode(_xll.qlECBdate(D73))</f>
        <v>#NUM!</v>
      </c>
      <c r="E74" s="181" t="e">
        <f t="shared" si="1"/>
        <v>#NUM!</v>
      </c>
      <c r="F74" s="181" t="e">
        <f>_xll.qlSimpleQuote(Currency&amp;$B74&amp;$C74&amp;$D74&amp;QuoteSuffix,,RateTickValue,Permanent,Trigger,ObjectOverwrite)</f>
        <v>#VALUE!</v>
      </c>
      <c r="G74" s="180" t="str">
        <f ca="1">_xll.ohRangeRetrieveError(F74)</f>
        <v/>
      </c>
      <c r="H74" s="179"/>
    </row>
    <row r="75" spans="1:8" x14ac:dyDescent="0.25">
      <c r="A75" s="184"/>
      <c r="B75" s="183" t="s">
        <v>193</v>
      </c>
      <c r="C75" s="183" t="s">
        <v>192</v>
      </c>
      <c r="D75" s="182" t="e">
        <f>_xll.qlECBNextCode(_xll.qlECBdate(D74))</f>
        <v>#NUM!</v>
      </c>
      <c r="E75" s="181" t="e">
        <f t="shared" si="1"/>
        <v>#NUM!</v>
      </c>
      <c r="F75" s="181" t="e">
        <f>_xll.qlSimpleQuote(Currency&amp;$B75&amp;$C75&amp;$D75&amp;QuoteSuffix,,RateTickValue,Permanent,Trigger,ObjectOverwrite)</f>
        <v>#VALUE!</v>
      </c>
      <c r="G75" s="180" t="str">
        <f ca="1">_xll.ohRangeRetrieveError(F75)</f>
        <v/>
      </c>
      <c r="H75" s="179"/>
    </row>
    <row r="76" spans="1:8" ht="14.25" thickBot="1" x14ac:dyDescent="0.3">
      <c r="A76" s="178"/>
      <c r="B76" s="177"/>
      <c r="C76" s="177"/>
      <c r="D76" s="177"/>
      <c r="E76" s="177"/>
      <c r="F76" s="176"/>
      <c r="G76" s="176"/>
      <c r="H76" s="175"/>
    </row>
  </sheetData>
  <pageMargins left="0.75" right="0.75" top="1" bottom="1" header="0.5" footer="0.5"/>
  <pageSetup paperSize="9" orientation="portrait"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H14"/>
  <sheetViews>
    <sheetView workbookViewId="0"/>
  </sheetViews>
  <sheetFormatPr defaultRowHeight="12.75" x14ac:dyDescent="0.2"/>
  <cols>
    <col min="1" max="1" width="3.7109375" style="20" customWidth="1"/>
    <col min="2" max="2" width="4.85546875" style="123" bestFit="1" customWidth="1"/>
    <col min="3" max="3" width="2.7109375" style="20" bestFit="1" customWidth="1"/>
    <col min="4" max="4" width="3.85546875" style="20" bestFit="1" customWidth="1"/>
    <col min="5" max="5" width="16.140625" style="20" bestFit="1" customWidth="1"/>
    <col min="6" max="6" width="18" style="122" bestFit="1" customWidth="1"/>
    <col min="7" max="7" width="38.28515625" style="20" customWidth="1"/>
    <col min="8" max="8" width="4.42578125" style="20" customWidth="1"/>
    <col min="9" max="16384" width="9.140625" style="20"/>
  </cols>
  <sheetData>
    <row r="1" spans="1:8" x14ac:dyDescent="0.2">
      <c r="A1" s="224" t="s">
        <v>207</v>
      </c>
      <c r="B1" s="207"/>
      <c r="C1" s="207"/>
      <c r="D1" s="207"/>
      <c r="E1" s="205"/>
      <c r="F1" s="206"/>
      <c r="G1" s="205"/>
      <c r="H1" s="204"/>
    </row>
    <row r="2" spans="1:8" x14ac:dyDescent="0.2">
      <c r="A2" s="130"/>
      <c r="B2" s="203"/>
      <c r="C2" s="202"/>
      <c r="D2" s="99"/>
      <c r="E2" s="98" t="str">
        <f>Currency&amp;"_010_Sw"&amp;"1M.xml"</f>
        <v>EUR_010_Sw1M.xml</v>
      </c>
      <c r="F2" s="97">
        <f ca="1">IF(Serialize,_xll.ohObjectSave(F3:F13,SerializationPath&amp;E2,FileOverwrite,Serialize),"---")</f>
        <v>11</v>
      </c>
      <c r="G2" s="81" t="str">
        <f ca="1">_xll.ohRangeRetrieveError(F2)</f>
        <v/>
      </c>
      <c r="H2" s="54"/>
    </row>
    <row r="3" spans="1:8" x14ac:dyDescent="0.2">
      <c r="A3" s="130"/>
      <c r="B3" s="201"/>
      <c r="C3" s="84">
        <v>2</v>
      </c>
      <c r="D3" s="83" t="s">
        <v>195</v>
      </c>
      <c r="E3" s="82" t="str">
        <f t="shared" ref="E3:E13" si="0">Currency&amp;$C3&amp;$D3&amp;$B3&amp;QuoteSuffix</f>
        <v>EUR2X1S_Quote</v>
      </c>
      <c r="F3" s="82" t="str">
        <f>_xll.qlSimpleQuote(Currency&amp;$C3&amp;$D3&amp;$B3&amp;QuoteSuffix,,RateTickValue,Permanent,Trigger,ObjectOverwrite)</f>
        <v>EUR2X1S_Quote#0002</v>
      </c>
      <c r="G3" s="27" t="str">
        <f>_xll.ohRangeRetrieveError(F3)</f>
        <v/>
      </c>
      <c r="H3" s="54"/>
    </row>
    <row r="4" spans="1:8" x14ac:dyDescent="0.2">
      <c r="A4" s="130"/>
      <c r="B4" s="200"/>
      <c r="C4" s="199">
        <v>3</v>
      </c>
      <c r="D4" s="114" t="s">
        <v>195</v>
      </c>
      <c r="E4" s="82" t="str">
        <f t="shared" si="0"/>
        <v>EUR3X1S_Quote</v>
      </c>
      <c r="F4" s="82" t="str">
        <f>_xll.qlSimpleQuote(Currency&amp;$C4&amp;$D4&amp;$B4&amp;QuoteSuffix,,RateTickValue,Permanent,Trigger,ObjectOverwrite)</f>
        <v>EUR3X1S_Quote#0002</v>
      </c>
      <c r="G4" s="35" t="str">
        <f>_xll.ohRangeRetrieveError(F4)</f>
        <v/>
      </c>
      <c r="H4" s="54"/>
    </row>
    <row r="5" spans="1:8" x14ac:dyDescent="0.2">
      <c r="A5" s="130"/>
      <c r="B5" s="200"/>
      <c r="C5" s="199">
        <v>4</v>
      </c>
      <c r="D5" s="114" t="s">
        <v>195</v>
      </c>
      <c r="E5" s="82" t="str">
        <f t="shared" si="0"/>
        <v>EUR4X1S_Quote</v>
      </c>
      <c r="F5" s="82" t="str">
        <f>_xll.qlSimpleQuote(Currency&amp;$C5&amp;$D5&amp;$B5&amp;QuoteSuffix,,RateTickValue,Permanent,Trigger,ObjectOverwrite)</f>
        <v>EUR4X1S_Quote#0002</v>
      </c>
      <c r="G5" s="35" t="str">
        <f>_xll.ohRangeRetrieveError(F5)</f>
        <v/>
      </c>
      <c r="H5" s="54"/>
    </row>
    <row r="6" spans="1:8" x14ac:dyDescent="0.2">
      <c r="A6" s="130"/>
      <c r="B6" s="200"/>
      <c r="C6" s="199">
        <v>5</v>
      </c>
      <c r="D6" s="114" t="s">
        <v>195</v>
      </c>
      <c r="E6" s="82" t="str">
        <f t="shared" si="0"/>
        <v>EUR5X1S_Quote</v>
      </c>
      <c r="F6" s="82" t="str">
        <f>_xll.qlSimpleQuote(Currency&amp;$C6&amp;$D6&amp;$B6&amp;QuoteSuffix,,RateTickValue,Permanent,Trigger,ObjectOverwrite)</f>
        <v>EUR5X1S_Quote#0002</v>
      </c>
      <c r="G6" s="35" t="str">
        <f>_xll.ohRangeRetrieveError(F6)</f>
        <v/>
      </c>
      <c r="H6" s="54"/>
    </row>
    <row r="7" spans="1:8" x14ac:dyDescent="0.2">
      <c r="A7" s="130"/>
      <c r="B7" s="200"/>
      <c r="C7" s="199">
        <v>6</v>
      </c>
      <c r="D7" s="114" t="s">
        <v>195</v>
      </c>
      <c r="E7" s="82" t="str">
        <f t="shared" si="0"/>
        <v>EUR6X1S_Quote</v>
      </c>
      <c r="F7" s="82" t="str">
        <f>_xll.qlSimpleQuote(Currency&amp;$C7&amp;$D7&amp;$B7&amp;QuoteSuffix,,RateTickValue,Permanent,Trigger,ObjectOverwrite)</f>
        <v>EUR6X1S_Quote#0002</v>
      </c>
      <c r="G7" s="35" t="str">
        <f>_xll.ohRangeRetrieveError(F7)</f>
        <v/>
      </c>
      <c r="H7" s="54"/>
    </row>
    <row r="8" spans="1:8" x14ac:dyDescent="0.2">
      <c r="A8" s="130"/>
      <c r="B8" s="200"/>
      <c r="C8" s="199">
        <v>7</v>
      </c>
      <c r="D8" s="114" t="s">
        <v>195</v>
      </c>
      <c r="E8" s="82" t="str">
        <f t="shared" si="0"/>
        <v>EUR7X1S_Quote</v>
      </c>
      <c r="F8" s="82" t="str">
        <f>_xll.qlSimpleQuote(Currency&amp;$C8&amp;$D8&amp;$B8&amp;QuoteSuffix,,RateTickValue,Permanent,Trigger,ObjectOverwrite)</f>
        <v>EUR7X1S_Quote#0002</v>
      </c>
      <c r="G8" s="35" t="str">
        <f>_xll.ohRangeRetrieveError(F8)</f>
        <v/>
      </c>
      <c r="H8" s="54"/>
    </row>
    <row r="9" spans="1:8" x14ac:dyDescent="0.2">
      <c r="A9" s="130"/>
      <c r="B9" s="200"/>
      <c r="C9" s="199">
        <v>8</v>
      </c>
      <c r="D9" s="114" t="s">
        <v>195</v>
      </c>
      <c r="E9" s="82" t="str">
        <f t="shared" si="0"/>
        <v>EUR8X1S_Quote</v>
      </c>
      <c r="F9" s="82" t="str">
        <f>_xll.qlSimpleQuote(Currency&amp;$C9&amp;$D9&amp;$B9&amp;QuoteSuffix,,RateTickValue,Permanent,Trigger,ObjectOverwrite)</f>
        <v>EUR8X1S_Quote#0002</v>
      </c>
      <c r="G9" s="35" t="str">
        <f>_xll.ohRangeRetrieveError(F9)</f>
        <v/>
      </c>
      <c r="H9" s="54"/>
    </row>
    <row r="10" spans="1:8" x14ac:dyDescent="0.2">
      <c r="A10" s="130"/>
      <c r="B10" s="200"/>
      <c r="C10" s="199">
        <v>9</v>
      </c>
      <c r="D10" s="114" t="s">
        <v>195</v>
      </c>
      <c r="E10" s="82" t="str">
        <f t="shared" si="0"/>
        <v>EUR9X1S_Quote</v>
      </c>
      <c r="F10" s="82" t="str">
        <f>_xll.qlSimpleQuote(Currency&amp;$C10&amp;$D10&amp;$B10&amp;QuoteSuffix,,RateTickValue,Permanent,Trigger,ObjectOverwrite)</f>
        <v>EUR9X1S_Quote#0002</v>
      </c>
      <c r="G10" s="35" t="str">
        <f>_xll.ohRangeRetrieveError(F10)</f>
        <v/>
      </c>
      <c r="H10" s="54"/>
    </row>
    <row r="11" spans="1:8" x14ac:dyDescent="0.2">
      <c r="A11" s="130"/>
      <c r="B11" s="200"/>
      <c r="C11" s="199">
        <v>10</v>
      </c>
      <c r="D11" s="114" t="s">
        <v>195</v>
      </c>
      <c r="E11" s="82" t="str">
        <f t="shared" si="0"/>
        <v>EUR10X1S_Quote</v>
      </c>
      <c r="F11" s="82" t="str">
        <f>_xll.qlSimpleQuote(Currency&amp;$C11&amp;$D11&amp;$B11&amp;QuoteSuffix,,RateTickValue,Permanent,Trigger,ObjectOverwrite)</f>
        <v>EUR10X1S_Quote#0002</v>
      </c>
      <c r="G11" s="35" t="str">
        <f>_xll.ohRangeRetrieveError(F11)</f>
        <v/>
      </c>
      <c r="H11" s="54"/>
    </row>
    <row r="12" spans="1:8" x14ac:dyDescent="0.2">
      <c r="A12" s="130"/>
      <c r="B12" s="200"/>
      <c r="C12" s="199">
        <v>11</v>
      </c>
      <c r="D12" s="114" t="s">
        <v>195</v>
      </c>
      <c r="E12" s="82" t="str">
        <f t="shared" si="0"/>
        <v>EUR11X1S_Quote</v>
      </c>
      <c r="F12" s="82" t="str">
        <f>_xll.qlSimpleQuote(Currency&amp;$C12&amp;$D12&amp;$B12&amp;QuoteSuffix,,RateTickValue,Permanent,Trigger,ObjectOverwrite)</f>
        <v>EUR11X1S_Quote#0002</v>
      </c>
      <c r="G12" s="35" t="str">
        <f>_xll.ohRangeRetrieveError(F12)</f>
        <v/>
      </c>
      <c r="H12" s="54"/>
    </row>
    <row r="13" spans="1:8" x14ac:dyDescent="0.2">
      <c r="A13" s="130"/>
      <c r="B13" s="200"/>
      <c r="C13" s="199">
        <v>12</v>
      </c>
      <c r="D13" s="114" t="s">
        <v>195</v>
      </c>
      <c r="E13" s="82" t="str">
        <f t="shared" si="0"/>
        <v>EUR12X1S_Quote</v>
      </c>
      <c r="F13" s="82" t="str">
        <f>_xll.qlSimpleQuote(Currency&amp;$C13&amp;$D13&amp;$B13&amp;QuoteSuffix,,RateTickValue,Permanent,Trigger,ObjectOverwrite)</f>
        <v>EUR12X1S_Quote#0002</v>
      </c>
      <c r="G13" s="35" t="str">
        <f>_xll.ohRangeRetrieveError(F13)</f>
        <v/>
      </c>
      <c r="H13" s="54"/>
    </row>
    <row r="14" spans="1:8" ht="13.5" thickBot="1" x14ac:dyDescent="0.25">
      <c r="A14" s="53"/>
      <c r="B14" s="52"/>
      <c r="C14" s="52"/>
      <c r="D14" s="52"/>
      <c r="E14" s="52"/>
      <c r="F14" s="124"/>
      <c r="G14" s="124"/>
      <c r="H14" s="51"/>
    </row>
  </sheetData>
  <pageMargins left="0.75" right="0.75" top="1" bottom="1" header="0.5" footer="0.5"/>
  <pageSetup paperSize="9" orientation="portrait" r:id="rId1"/>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H10"/>
  <sheetViews>
    <sheetView workbookViewId="0"/>
  </sheetViews>
  <sheetFormatPr defaultRowHeight="12.75" x14ac:dyDescent="0.2"/>
  <cols>
    <col min="1" max="1" width="3.7109375" style="20" customWidth="1"/>
    <col min="2" max="2" width="4.85546875" style="123" bestFit="1" customWidth="1"/>
    <col min="3" max="3" width="2.85546875" style="20" bestFit="1" customWidth="1"/>
    <col min="4" max="4" width="2.7109375" style="20" bestFit="1" customWidth="1"/>
    <col min="5" max="5" width="17" style="20" bestFit="1" customWidth="1"/>
    <col min="6" max="6" width="16.85546875" style="122" bestFit="1" customWidth="1"/>
    <col min="7" max="7" width="38.28515625" style="20" customWidth="1"/>
    <col min="8" max="8" width="4.42578125" style="20" customWidth="1"/>
    <col min="9" max="16384" width="9.140625" style="20"/>
  </cols>
  <sheetData>
    <row r="1" spans="1:8" x14ac:dyDescent="0.2">
      <c r="A1" s="224" t="s">
        <v>207</v>
      </c>
      <c r="B1" s="207"/>
      <c r="C1" s="207"/>
      <c r="D1" s="207"/>
      <c r="E1" s="205"/>
      <c r="F1" s="206"/>
      <c r="G1" s="205"/>
      <c r="H1" s="204"/>
    </row>
    <row r="2" spans="1:8" x14ac:dyDescent="0.2">
      <c r="A2" s="130"/>
      <c r="B2" s="211"/>
      <c r="C2" s="210"/>
      <c r="D2" s="99"/>
      <c r="E2" s="98" t="str">
        <f>Currency&amp;"_010_Sw"&amp;"IMM.xml"</f>
        <v>EUR_010_SwIMM.xml</v>
      </c>
      <c r="F2" s="97">
        <f ca="1">IF(Serialize,_xll.ohObjectSave(F3:F9,SerializationPath&amp;E2,FileOverwrite,Serialize),"---")</f>
        <v>7</v>
      </c>
      <c r="G2" s="81" t="str">
        <f ca="1">_xll.ohRangeRetrieveError(F2)</f>
        <v/>
      </c>
      <c r="H2" s="54"/>
    </row>
    <row r="3" spans="1:8" x14ac:dyDescent="0.2">
      <c r="A3" s="130"/>
      <c r="B3" s="209"/>
      <c r="C3" s="83" t="s">
        <v>196</v>
      </c>
      <c r="D3" s="83">
        <v>12</v>
      </c>
      <c r="E3" s="82" t="str">
        <f t="shared" ref="E3:E9" si="0">Currency&amp;$C3&amp;$D3&amp;$B3&amp;QuoteSuffix</f>
        <v>EUR1S12_Quote</v>
      </c>
      <c r="F3" s="82" t="str">
        <f>_xll.qlSimpleQuote(Currency&amp;$C3&amp;$D3&amp;$B3&amp;QuoteSuffix,,RateTickValue,Permanent,Trigger,ObjectOverwrite)</f>
        <v>EUR1S12_Quote#0002</v>
      </c>
      <c r="G3" s="27" t="str">
        <f>_xll.ohRangeRetrieveError(F3)</f>
        <v/>
      </c>
      <c r="H3" s="54"/>
    </row>
    <row r="4" spans="1:8" x14ac:dyDescent="0.2">
      <c r="A4" s="130"/>
      <c r="B4" s="208"/>
      <c r="C4" s="114" t="s">
        <v>197</v>
      </c>
      <c r="D4" s="114">
        <v>12</v>
      </c>
      <c r="E4" s="82" t="str">
        <f t="shared" si="0"/>
        <v>EUR2S12_Quote</v>
      </c>
      <c r="F4" s="82" t="str">
        <f>_xll.qlSimpleQuote(Currency&amp;$C4&amp;$D4&amp;$B4&amp;QuoteSuffix,,RateTickValue,Permanent,Trigger,ObjectOverwrite)</f>
        <v>EUR2S12_Quote#0002</v>
      </c>
      <c r="G4" s="35" t="str">
        <f>_xll.ohRangeRetrieveError(F4)</f>
        <v/>
      </c>
      <c r="H4" s="54"/>
    </row>
    <row r="5" spans="1:8" x14ac:dyDescent="0.2">
      <c r="A5" s="130"/>
      <c r="B5" s="208"/>
      <c r="C5" s="114" t="s">
        <v>199</v>
      </c>
      <c r="D5" s="114">
        <v>12</v>
      </c>
      <c r="E5" s="82" t="str">
        <f t="shared" si="0"/>
        <v>EUR3S12_Quote</v>
      </c>
      <c r="F5" s="82" t="str">
        <f>_xll.qlSimpleQuote(Currency&amp;$C5&amp;$D5&amp;$B5&amp;QuoteSuffix,,RateTickValue,Permanent,Trigger,ObjectOverwrite)</f>
        <v>EUR3S12_Quote#0002</v>
      </c>
      <c r="G5" s="35" t="str">
        <f>_xll.ohRangeRetrieveError(F5)</f>
        <v/>
      </c>
      <c r="H5" s="54"/>
    </row>
    <row r="6" spans="1:8" x14ac:dyDescent="0.2">
      <c r="A6" s="130"/>
      <c r="B6" s="208"/>
      <c r="C6" s="114" t="s">
        <v>198</v>
      </c>
      <c r="D6" s="114">
        <v>12</v>
      </c>
      <c r="E6" s="82" t="str">
        <f t="shared" si="0"/>
        <v>EUR4S12_Quote</v>
      </c>
      <c r="F6" s="82" t="str">
        <f>_xll.qlSimpleQuote(Currency&amp;$C6&amp;$D6&amp;$B6&amp;QuoteSuffix,,RateTickValue,Permanent,Trigger,ObjectOverwrite)</f>
        <v>EUR4S12_Quote#0002</v>
      </c>
      <c r="G6" s="35" t="str">
        <f>_xll.ohRangeRetrieveError(F6)</f>
        <v/>
      </c>
      <c r="H6" s="54"/>
    </row>
    <row r="7" spans="1:8" x14ac:dyDescent="0.2">
      <c r="A7" s="130"/>
      <c r="B7" s="208"/>
      <c r="C7" s="114" t="s">
        <v>196</v>
      </c>
      <c r="D7" s="114">
        <v>24</v>
      </c>
      <c r="E7" s="82" t="str">
        <f t="shared" si="0"/>
        <v>EUR1S24_Quote</v>
      </c>
      <c r="F7" s="82" t="str">
        <f>_xll.qlSimpleQuote(Currency&amp;$C7&amp;$D7&amp;$B7&amp;QuoteSuffix,,RateTickValue,Permanent,Trigger,ObjectOverwrite)</f>
        <v>EUR1S24_Quote#0002</v>
      </c>
      <c r="G7" s="35" t="str">
        <f>_xll.ohRangeRetrieveError(F7)</f>
        <v/>
      </c>
      <c r="H7" s="54"/>
    </row>
    <row r="8" spans="1:8" x14ac:dyDescent="0.2">
      <c r="A8" s="130"/>
      <c r="B8" s="208"/>
      <c r="C8" s="114" t="s">
        <v>197</v>
      </c>
      <c r="D8" s="114">
        <v>24</v>
      </c>
      <c r="E8" s="82" t="str">
        <f t="shared" si="0"/>
        <v>EUR2S24_Quote</v>
      </c>
      <c r="F8" s="82" t="str">
        <f>_xll.qlSimpleQuote(Currency&amp;$C8&amp;$D8&amp;$B8&amp;QuoteSuffix,,RateTickValue,Permanent,Trigger,ObjectOverwrite)</f>
        <v>EUR2S24_Quote#0002</v>
      </c>
      <c r="G8" s="35" t="str">
        <f>_xll.ohRangeRetrieveError(F8)</f>
        <v/>
      </c>
      <c r="H8" s="54"/>
    </row>
    <row r="9" spans="1:8" x14ac:dyDescent="0.2">
      <c r="A9" s="130"/>
      <c r="B9" s="208"/>
      <c r="C9" s="114" t="s">
        <v>196</v>
      </c>
      <c r="D9" s="114">
        <v>36</v>
      </c>
      <c r="E9" s="82" t="str">
        <f t="shared" si="0"/>
        <v>EUR1S36_Quote</v>
      </c>
      <c r="F9" s="82" t="str">
        <f>_xll.qlSimpleQuote(Currency&amp;$C9&amp;$D9&amp;$B9&amp;QuoteSuffix,,RateTickValue,Permanent,Trigger,ObjectOverwrite)</f>
        <v>EUR1S36_Quote#0002</v>
      </c>
      <c r="G9" s="35" t="str">
        <f>_xll.ohRangeRetrieveError(F9)</f>
        <v/>
      </c>
      <c r="H9" s="54"/>
    </row>
    <row r="10" spans="1:8" ht="13.5" thickBot="1" x14ac:dyDescent="0.25">
      <c r="A10" s="53"/>
      <c r="B10" s="52"/>
      <c r="C10" s="52"/>
      <c r="D10" s="52"/>
      <c r="E10" s="52"/>
      <c r="F10" s="124"/>
      <c r="G10" s="124"/>
      <c r="H10" s="51"/>
    </row>
  </sheetData>
  <pageMargins left="0.75" right="0.75" top="1" bottom="1" header="0.5" footer="0.5"/>
  <pageSetup paperSize="9" orientation="portrait" r:id="rId1"/>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L40"/>
  <sheetViews>
    <sheetView workbookViewId="0"/>
  </sheetViews>
  <sheetFormatPr defaultRowHeight="12.75" x14ac:dyDescent="0.2"/>
  <cols>
    <col min="1" max="1" width="3.7109375" style="20" customWidth="1"/>
    <col min="2" max="2" width="6.5703125" style="123" bestFit="1" customWidth="1"/>
    <col min="3" max="3" width="3.140625" style="20" bestFit="1" customWidth="1"/>
    <col min="4" max="4" width="2.7109375" style="20" bestFit="1" customWidth="1"/>
    <col min="5" max="5" width="18" style="20" bestFit="1" customWidth="1"/>
    <col min="6" max="6" width="20.140625" style="122" bestFit="1" customWidth="1"/>
    <col min="7" max="7" width="38.28515625" style="20" customWidth="1"/>
    <col min="8" max="9" width="4.42578125" style="20" customWidth="1"/>
    <col min="10" max="10" width="4.140625" style="20" bestFit="1" customWidth="1"/>
    <col min="11" max="11" width="3.28515625" style="20" bestFit="1" customWidth="1"/>
    <col min="12" max="12" width="9.5703125" style="20" bestFit="1" customWidth="1"/>
    <col min="13" max="16384" width="9.140625" style="20"/>
  </cols>
  <sheetData>
    <row r="1" spans="1:12" ht="13.5" thickBot="1" x14ac:dyDescent="0.25">
      <c r="A1" s="224" t="s">
        <v>207</v>
      </c>
      <c r="B1" s="207"/>
      <c r="C1" s="207"/>
      <c r="D1" s="207"/>
      <c r="E1" s="205"/>
      <c r="F1" s="206"/>
      <c r="G1" s="205"/>
      <c r="H1" s="204"/>
    </row>
    <row r="2" spans="1:12" x14ac:dyDescent="0.2">
      <c r="A2" s="130"/>
      <c r="B2" s="99" t="s">
        <v>141</v>
      </c>
      <c r="C2" s="99"/>
      <c r="D2" s="99"/>
      <c r="E2" s="98" t="str">
        <f>Currency&amp;"_010_Sw"&amp;$C$3&amp;$D$3&amp;".xml"</f>
        <v>EUR_010_SwAB3E.xml</v>
      </c>
      <c r="F2" s="97">
        <f ca="1">IF(Serialize,_xll.ohObjectSave(F3:F39,SerializationPath&amp;E2,FileOverwrite,Serialize),"---")</f>
        <v>37</v>
      </c>
      <c r="G2" s="81" t="str">
        <f ca="1">_xll.ohRangeRetrieveError(F2)</f>
        <v/>
      </c>
      <c r="H2" s="54"/>
      <c r="J2" s="216" t="s">
        <v>205</v>
      </c>
      <c r="K2" s="215" t="s">
        <v>204</v>
      </c>
      <c r="L2" s="214" t="s">
        <v>203</v>
      </c>
    </row>
    <row r="3" spans="1:12" x14ac:dyDescent="0.2">
      <c r="A3" s="130"/>
      <c r="B3" s="201" t="s">
        <v>34</v>
      </c>
      <c r="C3" s="84" t="str">
        <f t="array" ref="C3:C39">VLOOKUP(Currency,SwapMainSetConventions,2)</f>
        <v>AB</v>
      </c>
      <c r="D3" s="84" t="str">
        <f t="array" ref="D3:D39">VLOOKUP(Currency,SwapMainSetConventions,3)</f>
        <v>3E</v>
      </c>
      <c r="E3" s="82" t="str">
        <f t="shared" ref="E3:E39" si="0">Currency&amp;$C3&amp;$D3&amp;$B3&amp;QuoteSuffix</f>
        <v>EURAB3E1Y_Quote</v>
      </c>
      <c r="F3" s="82" t="str">
        <f>_xll.qlSimpleQuote(Currency&amp;$C3&amp;$D3&amp;$B3&amp;QuoteSuffix,,RateTickValue,Permanent,Trigger,ObjectOverwrite)</f>
        <v>EURAB3E1Y_Quote#0002</v>
      </c>
      <c r="G3" s="27" t="str">
        <f>_xll.ohRangeRetrieveError(F3)</f>
        <v/>
      </c>
      <c r="H3" s="54"/>
      <c r="J3" s="213" t="s">
        <v>137</v>
      </c>
      <c r="K3" s="91" t="s">
        <v>202</v>
      </c>
      <c r="L3" s="90" t="s">
        <v>130</v>
      </c>
    </row>
    <row r="4" spans="1:12" x14ac:dyDescent="0.2">
      <c r="A4" s="130"/>
      <c r="B4" s="200" t="s">
        <v>140</v>
      </c>
      <c r="C4" s="84" t="str">
        <v>AB</v>
      </c>
      <c r="D4" s="84" t="str">
        <v>3E</v>
      </c>
      <c r="E4" s="82" t="str">
        <f t="shared" si="0"/>
        <v>EURAB3E15M_Quote</v>
      </c>
      <c r="F4" s="82" t="str">
        <f>_xll.qlSimpleQuote(Currency&amp;$C4&amp;$D4&amp;$B4&amp;QuoteSuffix,,RateTickValue,Permanent,Trigger,ObjectOverwrite)</f>
        <v>EURAB3E15M_Quote#0002</v>
      </c>
      <c r="G4" s="35" t="str">
        <f>_xll.ohRangeRetrieveError(F4)</f>
        <v/>
      </c>
      <c r="H4" s="54"/>
      <c r="J4" s="213" t="s">
        <v>123</v>
      </c>
      <c r="K4" s="91" t="s">
        <v>202</v>
      </c>
      <c r="L4" s="90" t="s">
        <v>142</v>
      </c>
    </row>
    <row r="5" spans="1:12" x14ac:dyDescent="0.2">
      <c r="A5" s="130"/>
      <c r="B5" s="200" t="s">
        <v>139</v>
      </c>
      <c r="C5" s="84" t="str">
        <v>AB</v>
      </c>
      <c r="D5" s="84" t="str">
        <v>3E</v>
      </c>
      <c r="E5" s="82" t="str">
        <f t="shared" si="0"/>
        <v>EURAB3E18M_Quote</v>
      </c>
      <c r="F5" s="82" t="str">
        <f>_xll.qlSimpleQuote(Currency&amp;$C5&amp;$D5&amp;$B5&amp;QuoteSuffix,,RateTickValue,Permanent,Trigger,ObjectOverwrite)</f>
        <v>EURAB3E18M_Quote#0002</v>
      </c>
      <c r="G5" s="35" t="str">
        <f>_xll.ohRangeRetrieveError(F5)</f>
        <v/>
      </c>
      <c r="H5" s="54"/>
      <c r="J5" s="213" t="s">
        <v>134</v>
      </c>
      <c r="K5" s="91" t="s">
        <v>200</v>
      </c>
      <c r="L5" s="90" t="s">
        <v>130</v>
      </c>
    </row>
    <row r="6" spans="1:12" x14ac:dyDescent="0.2">
      <c r="A6" s="130"/>
      <c r="B6" s="200" t="s">
        <v>138</v>
      </c>
      <c r="C6" s="84" t="str">
        <v>AB</v>
      </c>
      <c r="D6" s="84" t="str">
        <v>3E</v>
      </c>
      <c r="E6" s="82" t="str">
        <f t="shared" si="0"/>
        <v>EURAB3E21M_Quote</v>
      </c>
      <c r="F6" s="82" t="str">
        <f>_xll.qlSimpleQuote(Currency&amp;$C6&amp;$D6&amp;$B6&amp;QuoteSuffix,,RateTickValue,Permanent,Trigger,ObjectOverwrite)</f>
        <v>EURAB3E21M_Quote#0002</v>
      </c>
      <c r="G6" s="35" t="str">
        <f>_xll.ohRangeRetrieveError(F6)</f>
        <v/>
      </c>
      <c r="H6" s="54"/>
      <c r="J6" s="213" t="s">
        <v>133</v>
      </c>
      <c r="K6" s="91" t="s">
        <v>201</v>
      </c>
      <c r="L6" s="90" t="s">
        <v>130</v>
      </c>
    </row>
    <row r="7" spans="1:12" ht="13.5" thickBot="1" x14ac:dyDescent="0.25">
      <c r="A7" s="130"/>
      <c r="B7" s="200" t="s">
        <v>115</v>
      </c>
      <c r="C7" s="84" t="str">
        <v>AB</v>
      </c>
      <c r="D7" s="84" t="str">
        <v>3E</v>
      </c>
      <c r="E7" s="82" t="str">
        <f t="shared" si="0"/>
        <v>EURAB3E2Y_Quote</v>
      </c>
      <c r="F7" s="82" t="str">
        <f>_xll.qlSimpleQuote(Currency&amp;$C7&amp;$D7&amp;$B7&amp;QuoteSuffix,,RateTickValue,Permanent,Trigger,ObjectOverwrite)</f>
        <v>EURAB3E2Y_Quote#0002</v>
      </c>
      <c r="G7" s="35" t="str">
        <f>_xll.ohRangeRetrieveError(F7)</f>
        <v/>
      </c>
      <c r="H7" s="54"/>
      <c r="J7" s="212" t="s">
        <v>131</v>
      </c>
      <c r="K7" s="88" t="s">
        <v>200</v>
      </c>
      <c r="L7" s="87" t="s">
        <v>130</v>
      </c>
    </row>
    <row r="8" spans="1:12" x14ac:dyDescent="0.2">
      <c r="A8" s="130"/>
      <c r="B8" s="200" t="s">
        <v>114</v>
      </c>
      <c r="C8" s="84" t="str">
        <v>AB</v>
      </c>
      <c r="D8" s="84" t="str">
        <v>3E</v>
      </c>
      <c r="E8" s="82" t="str">
        <f t="shared" si="0"/>
        <v>EURAB3E3Y_Quote</v>
      </c>
      <c r="F8" s="82" t="str">
        <f>_xll.qlSimpleQuote(Currency&amp;$C8&amp;$D8&amp;$B8&amp;QuoteSuffix,,RateTickValue,Permanent,Trigger,ObjectOverwrite)</f>
        <v>EURAB3E3Y_Quote#0002</v>
      </c>
      <c r="G8" s="35" t="str">
        <f>_xll.ohRangeRetrieveError(F8)</f>
        <v/>
      </c>
      <c r="H8" s="54"/>
    </row>
    <row r="9" spans="1:12" x14ac:dyDescent="0.2">
      <c r="A9" s="130"/>
      <c r="B9" s="200" t="s">
        <v>113</v>
      </c>
      <c r="C9" s="84" t="str">
        <v>AB</v>
      </c>
      <c r="D9" s="84" t="str">
        <v>3E</v>
      </c>
      <c r="E9" s="82" t="str">
        <f t="shared" si="0"/>
        <v>EURAB3E4Y_Quote</v>
      </c>
      <c r="F9" s="82" t="str">
        <f>_xll.qlSimpleQuote(Currency&amp;$C9&amp;$D9&amp;$B9&amp;QuoteSuffix,,RateTickValue,Permanent,Trigger,ObjectOverwrite)</f>
        <v>EURAB3E4Y_Quote#0002</v>
      </c>
      <c r="G9" s="35" t="str">
        <f>_xll.ohRangeRetrieveError(F9)</f>
        <v/>
      </c>
      <c r="H9" s="54"/>
    </row>
    <row r="10" spans="1:12" x14ac:dyDescent="0.2">
      <c r="A10" s="130"/>
      <c r="B10" s="200" t="s">
        <v>112</v>
      </c>
      <c r="C10" s="84" t="str">
        <v>AB</v>
      </c>
      <c r="D10" s="84" t="str">
        <v>3E</v>
      </c>
      <c r="E10" s="82" t="str">
        <f t="shared" si="0"/>
        <v>EURAB3E5Y_Quote</v>
      </c>
      <c r="F10" s="82" t="str">
        <f>_xll.qlSimpleQuote(Currency&amp;$C10&amp;$D10&amp;$B10&amp;QuoteSuffix,,RateTickValue,Permanent,Trigger,ObjectOverwrite)</f>
        <v>EURAB3E5Y_Quote#0002</v>
      </c>
      <c r="G10" s="35" t="str">
        <f>_xll.ohRangeRetrieveError(F10)</f>
        <v/>
      </c>
      <c r="H10" s="54"/>
    </row>
    <row r="11" spans="1:12" x14ac:dyDescent="0.2">
      <c r="A11" s="130"/>
      <c r="B11" s="200" t="s">
        <v>111</v>
      </c>
      <c r="C11" s="84" t="str">
        <v>AB</v>
      </c>
      <c r="D11" s="84" t="str">
        <v>3E</v>
      </c>
      <c r="E11" s="82" t="str">
        <f t="shared" si="0"/>
        <v>EURAB3E6Y_Quote</v>
      </c>
      <c r="F11" s="82" t="str">
        <f>_xll.qlSimpleQuote(Currency&amp;$C11&amp;$D11&amp;$B11&amp;QuoteSuffix,,RateTickValue,Permanent,Trigger,ObjectOverwrite)</f>
        <v>EURAB3E6Y_Quote#0002</v>
      </c>
      <c r="G11" s="35" t="str">
        <f>_xll.ohRangeRetrieveError(F11)</f>
        <v/>
      </c>
      <c r="H11" s="54"/>
    </row>
    <row r="12" spans="1:12" x14ac:dyDescent="0.2">
      <c r="A12" s="130"/>
      <c r="B12" s="200" t="s">
        <v>110</v>
      </c>
      <c r="C12" s="84" t="str">
        <v>AB</v>
      </c>
      <c r="D12" s="84" t="str">
        <v>3E</v>
      </c>
      <c r="E12" s="82" t="str">
        <f t="shared" si="0"/>
        <v>EURAB3E7Y_Quote</v>
      </c>
      <c r="F12" s="82" t="str">
        <f>_xll.qlSimpleQuote(Currency&amp;$C12&amp;$D12&amp;$B12&amp;QuoteSuffix,,RateTickValue,Permanent,Trigger,ObjectOverwrite)</f>
        <v>EURAB3E7Y_Quote#0002</v>
      </c>
      <c r="G12" s="35" t="str">
        <f>_xll.ohRangeRetrieveError(F12)</f>
        <v/>
      </c>
      <c r="H12" s="54"/>
    </row>
    <row r="13" spans="1:12" x14ac:dyDescent="0.2">
      <c r="A13" s="130"/>
      <c r="B13" s="200" t="s">
        <v>109</v>
      </c>
      <c r="C13" s="84" t="str">
        <v>AB</v>
      </c>
      <c r="D13" s="84" t="str">
        <v>3E</v>
      </c>
      <c r="E13" s="82" t="str">
        <f t="shared" si="0"/>
        <v>EURAB3E8Y_Quote</v>
      </c>
      <c r="F13" s="82" t="str">
        <f>_xll.qlSimpleQuote(Currency&amp;$C13&amp;$D13&amp;$B13&amp;QuoteSuffix,,RateTickValue,Permanent,Trigger,ObjectOverwrite)</f>
        <v>EURAB3E8Y_Quote#0002</v>
      </c>
      <c r="G13" s="35" t="str">
        <f>_xll.ohRangeRetrieveError(F13)</f>
        <v/>
      </c>
      <c r="H13" s="54"/>
    </row>
    <row r="14" spans="1:12" x14ac:dyDescent="0.2">
      <c r="A14" s="130"/>
      <c r="B14" s="200" t="s">
        <v>108</v>
      </c>
      <c r="C14" s="84" t="str">
        <v>AB</v>
      </c>
      <c r="D14" s="84" t="str">
        <v>3E</v>
      </c>
      <c r="E14" s="82" t="str">
        <f t="shared" si="0"/>
        <v>EURAB3E9Y_Quote</v>
      </c>
      <c r="F14" s="82" t="str">
        <f>_xll.qlSimpleQuote(Currency&amp;$C14&amp;$D14&amp;$B14&amp;QuoteSuffix,,RateTickValue,Permanent,Trigger,ObjectOverwrite)</f>
        <v>EURAB3E9Y_Quote#0002</v>
      </c>
      <c r="G14" s="35" t="str">
        <f>_xll.ohRangeRetrieveError(F14)</f>
        <v/>
      </c>
      <c r="H14" s="54"/>
    </row>
    <row r="15" spans="1:12" x14ac:dyDescent="0.2">
      <c r="A15" s="130"/>
      <c r="B15" s="200" t="s">
        <v>107</v>
      </c>
      <c r="C15" s="84" t="str">
        <v>AB</v>
      </c>
      <c r="D15" s="84" t="str">
        <v>3E</v>
      </c>
      <c r="E15" s="82" t="str">
        <f t="shared" si="0"/>
        <v>EURAB3E10Y_Quote</v>
      </c>
      <c r="F15" s="82" t="str">
        <f>_xll.qlSimpleQuote(Currency&amp;$C15&amp;$D15&amp;$B15&amp;QuoteSuffix,,RateTickValue,Permanent,Trigger,ObjectOverwrite)</f>
        <v>EURAB3E10Y_Quote#0002</v>
      </c>
      <c r="G15" s="35" t="str">
        <f>_xll.ohRangeRetrieveError(F15)</f>
        <v/>
      </c>
      <c r="H15" s="54"/>
    </row>
    <row r="16" spans="1:12" x14ac:dyDescent="0.2">
      <c r="A16" s="130"/>
      <c r="B16" s="200" t="s">
        <v>106</v>
      </c>
      <c r="C16" s="84" t="str">
        <v>AB</v>
      </c>
      <c r="D16" s="84" t="str">
        <v>3E</v>
      </c>
      <c r="E16" s="82" t="str">
        <f t="shared" si="0"/>
        <v>EURAB3E11Y_Quote</v>
      </c>
      <c r="F16" s="82" t="str">
        <f>_xll.qlSimpleQuote(Currency&amp;$C16&amp;$D16&amp;$B16&amp;QuoteSuffix,,RateTickValue,Permanent,Trigger,ObjectOverwrite)</f>
        <v>EURAB3E11Y_Quote#0002</v>
      </c>
      <c r="G16" s="35" t="str">
        <f>_xll.ohRangeRetrieveError(F16)</f>
        <v/>
      </c>
      <c r="H16" s="54"/>
    </row>
    <row r="17" spans="1:8" x14ac:dyDescent="0.2">
      <c r="A17" s="130"/>
      <c r="B17" s="200" t="s">
        <v>105</v>
      </c>
      <c r="C17" s="84" t="str">
        <v>AB</v>
      </c>
      <c r="D17" s="84" t="str">
        <v>3E</v>
      </c>
      <c r="E17" s="82" t="str">
        <f t="shared" si="0"/>
        <v>EURAB3E12Y_Quote</v>
      </c>
      <c r="F17" s="82" t="str">
        <f>_xll.qlSimpleQuote(Currency&amp;$C17&amp;$D17&amp;$B17&amp;QuoteSuffix,,RateTickValue,Permanent,Trigger,ObjectOverwrite)</f>
        <v>EURAB3E12Y_Quote#0002</v>
      </c>
      <c r="G17" s="35" t="str">
        <f>_xll.ohRangeRetrieveError(F17)</f>
        <v/>
      </c>
      <c r="H17" s="54"/>
    </row>
    <row r="18" spans="1:8" x14ac:dyDescent="0.2">
      <c r="A18" s="130"/>
      <c r="B18" s="200" t="s">
        <v>104</v>
      </c>
      <c r="C18" s="84" t="str">
        <v>AB</v>
      </c>
      <c r="D18" s="84" t="str">
        <v>3E</v>
      </c>
      <c r="E18" s="82" t="str">
        <f t="shared" si="0"/>
        <v>EURAB3E13Y_Quote</v>
      </c>
      <c r="F18" s="82" t="str">
        <f>_xll.qlSimpleQuote(Currency&amp;$C18&amp;$D18&amp;$B18&amp;QuoteSuffix,,RateTickValue,Permanent,Trigger,ObjectOverwrite)</f>
        <v>EURAB3E13Y_Quote#0002</v>
      </c>
      <c r="G18" s="35" t="str">
        <f>_xll.ohRangeRetrieveError(F18)</f>
        <v/>
      </c>
      <c r="H18" s="54"/>
    </row>
    <row r="19" spans="1:8" x14ac:dyDescent="0.2">
      <c r="A19" s="130"/>
      <c r="B19" s="200" t="s">
        <v>103</v>
      </c>
      <c r="C19" s="84" t="str">
        <v>AB</v>
      </c>
      <c r="D19" s="84" t="str">
        <v>3E</v>
      </c>
      <c r="E19" s="82" t="str">
        <f t="shared" si="0"/>
        <v>EURAB3E14Y_Quote</v>
      </c>
      <c r="F19" s="82" t="str">
        <f>_xll.qlSimpleQuote(Currency&amp;$C19&amp;$D19&amp;$B19&amp;QuoteSuffix,,RateTickValue,Permanent,Trigger,ObjectOverwrite)</f>
        <v>EURAB3E14Y_Quote#0002</v>
      </c>
      <c r="G19" s="35" t="str">
        <f>_xll.ohRangeRetrieveError(F19)</f>
        <v/>
      </c>
      <c r="H19" s="54"/>
    </row>
    <row r="20" spans="1:8" x14ac:dyDescent="0.2">
      <c r="A20" s="130"/>
      <c r="B20" s="200" t="s">
        <v>102</v>
      </c>
      <c r="C20" s="84" t="str">
        <v>AB</v>
      </c>
      <c r="D20" s="84" t="str">
        <v>3E</v>
      </c>
      <c r="E20" s="82" t="str">
        <f t="shared" si="0"/>
        <v>EURAB3E15Y_Quote</v>
      </c>
      <c r="F20" s="82" t="str">
        <f>_xll.qlSimpleQuote(Currency&amp;$C20&amp;$D20&amp;$B20&amp;QuoteSuffix,,RateTickValue,Permanent,Trigger,ObjectOverwrite)</f>
        <v>EURAB3E15Y_Quote#0002</v>
      </c>
      <c r="G20" s="35" t="str">
        <f>_xll.ohRangeRetrieveError(F20)</f>
        <v/>
      </c>
      <c r="H20" s="54"/>
    </row>
    <row r="21" spans="1:8" x14ac:dyDescent="0.2">
      <c r="A21" s="130"/>
      <c r="B21" s="200" t="s">
        <v>101</v>
      </c>
      <c r="C21" s="84" t="str">
        <v>AB</v>
      </c>
      <c r="D21" s="84" t="str">
        <v>3E</v>
      </c>
      <c r="E21" s="82" t="str">
        <f t="shared" si="0"/>
        <v>EURAB3E16Y_Quote</v>
      </c>
      <c r="F21" s="82" t="str">
        <f>_xll.qlSimpleQuote(Currency&amp;$C21&amp;$D21&amp;$B21&amp;QuoteSuffix,,RateTickValue,Permanent,Trigger,ObjectOverwrite)</f>
        <v>EURAB3E16Y_Quote#0002</v>
      </c>
      <c r="G21" s="35" t="str">
        <f>_xll.ohRangeRetrieveError(F21)</f>
        <v/>
      </c>
      <c r="H21" s="54"/>
    </row>
    <row r="22" spans="1:8" x14ac:dyDescent="0.2">
      <c r="A22" s="130"/>
      <c r="B22" s="200" t="s">
        <v>100</v>
      </c>
      <c r="C22" s="84" t="str">
        <v>AB</v>
      </c>
      <c r="D22" s="84" t="str">
        <v>3E</v>
      </c>
      <c r="E22" s="82" t="str">
        <f t="shared" si="0"/>
        <v>EURAB3E17Y_Quote</v>
      </c>
      <c r="F22" s="82" t="str">
        <f>_xll.qlSimpleQuote(Currency&amp;$C22&amp;$D22&amp;$B22&amp;QuoteSuffix,,RateTickValue,Permanent,Trigger,ObjectOverwrite)</f>
        <v>EURAB3E17Y_Quote#0002</v>
      </c>
      <c r="G22" s="35" t="str">
        <f>_xll.ohRangeRetrieveError(F22)</f>
        <v/>
      </c>
      <c r="H22" s="54"/>
    </row>
    <row r="23" spans="1:8" x14ac:dyDescent="0.2">
      <c r="A23" s="130"/>
      <c r="B23" s="200" t="s">
        <v>99</v>
      </c>
      <c r="C23" s="84" t="str">
        <v>AB</v>
      </c>
      <c r="D23" s="84" t="str">
        <v>3E</v>
      </c>
      <c r="E23" s="82" t="str">
        <f t="shared" si="0"/>
        <v>EURAB3E18Y_Quote</v>
      </c>
      <c r="F23" s="82" t="str">
        <f>_xll.qlSimpleQuote(Currency&amp;$C23&amp;$D23&amp;$B23&amp;QuoteSuffix,,RateTickValue,Permanent,Trigger,ObjectOverwrite)</f>
        <v>EURAB3E18Y_Quote#0002</v>
      </c>
      <c r="G23" s="35" t="str">
        <f>_xll.ohRangeRetrieveError(F23)</f>
        <v/>
      </c>
      <c r="H23" s="54"/>
    </row>
    <row r="24" spans="1:8" x14ac:dyDescent="0.2">
      <c r="A24" s="130"/>
      <c r="B24" s="200" t="s">
        <v>98</v>
      </c>
      <c r="C24" s="84" t="str">
        <v>AB</v>
      </c>
      <c r="D24" s="84" t="str">
        <v>3E</v>
      </c>
      <c r="E24" s="82" t="str">
        <f t="shared" si="0"/>
        <v>EURAB3E19Y_Quote</v>
      </c>
      <c r="F24" s="82" t="str">
        <f>_xll.qlSimpleQuote(Currency&amp;$C24&amp;$D24&amp;$B24&amp;QuoteSuffix,,RateTickValue,Permanent,Trigger,ObjectOverwrite)</f>
        <v>EURAB3E19Y_Quote#0002</v>
      </c>
      <c r="G24" s="35" t="str">
        <f>_xll.ohRangeRetrieveError(F24)</f>
        <v/>
      </c>
      <c r="H24" s="54"/>
    </row>
    <row r="25" spans="1:8" x14ac:dyDescent="0.2">
      <c r="A25" s="130"/>
      <c r="B25" s="200" t="s">
        <v>97</v>
      </c>
      <c r="C25" s="84" t="str">
        <v>AB</v>
      </c>
      <c r="D25" s="84" t="str">
        <v>3E</v>
      </c>
      <c r="E25" s="82" t="str">
        <f t="shared" si="0"/>
        <v>EURAB3E20Y_Quote</v>
      </c>
      <c r="F25" s="82" t="str">
        <f>_xll.qlSimpleQuote(Currency&amp;$C25&amp;$D25&amp;$B25&amp;QuoteSuffix,,RateTickValue,Permanent,Trigger,ObjectOverwrite)</f>
        <v>EURAB3E20Y_Quote#0002</v>
      </c>
      <c r="G25" s="35" t="str">
        <f>_xll.ohRangeRetrieveError(F25)</f>
        <v/>
      </c>
      <c r="H25" s="54"/>
    </row>
    <row r="26" spans="1:8" x14ac:dyDescent="0.2">
      <c r="A26" s="130"/>
      <c r="B26" s="200" t="s">
        <v>96</v>
      </c>
      <c r="C26" s="84" t="str">
        <v>AB</v>
      </c>
      <c r="D26" s="84" t="str">
        <v>3E</v>
      </c>
      <c r="E26" s="82" t="str">
        <f t="shared" si="0"/>
        <v>EURAB3E21Y_Quote</v>
      </c>
      <c r="F26" s="82" t="str">
        <f>_xll.qlSimpleQuote(Currency&amp;$C26&amp;$D26&amp;$B26&amp;QuoteSuffix,,RateTickValue,Permanent,Trigger,ObjectOverwrite)</f>
        <v>EURAB3E21Y_Quote#0002</v>
      </c>
      <c r="G26" s="35" t="str">
        <f>_xll.ohRangeRetrieveError(F26)</f>
        <v/>
      </c>
      <c r="H26" s="54"/>
    </row>
    <row r="27" spans="1:8" x14ac:dyDescent="0.2">
      <c r="A27" s="130"/>
      <c r="B27" s="200" t="s">
        <v>95</v>
      </c>
      <c r="C27" s="84" t="str">
        <v>AB</v>
      </c>
      <c r="D27" s="84" t="str">
        <v>3E</v>
      </c>
      <c r="E27" s="82" t="str">
        <f t="shared" si="0"/>
        <v>EURAB3E22Y_Quote</v>
      </c>
      <c r="F27" s="82" t="str">
        <f>_xll.qlSimpleQuote(Currency&amp;$C27&amp;$D27&amp;$B27&amp;QuoteSuffix,,RateTickValue,Permanent,Trigger,ObjectOverwrite)</f>
        <v>EURAB3E22Y_Quote#0002</v>
      </c>
      <c r="G27" s="35" t="str">
        <f>_xll.ohRangeRetrieveError(F27)</f>
        <v/>
      </c>
      <c r="H27" s="54"/>
    </row>
    <row r="28" spans="1:8" x14ac:dyDescent="0.2">
      <c r="A28" s="130"/>
      <c r="B28" s="200" t="s">
        <v>94</v>
      </c>
      <c r="C28" s="84" t="str">
        <v>AB</v>
      </c>
      <c r="D28" s="84" t="str">
        <v>3E</v>
      </c>
      <c r="E28" s="82" t="str">
        <f t="shared" si="0"/>
        <v>EURAB3E23Y_Quote</v>
      </c>
      <c r="F28" s="82" t="str">
        <f>_xll.qlSimpleQuote(Currency&amp;$C28&amp;$D28&amp;$B28&amp;QuoteSuffix,,RateTickValue,Permanent,Trigger,ObjectOverwrite)</f>
        <v>EURAB3E23Y_Quote#0002</v>
      </c>
      <c r="G28" s="35" t="str">
        <f>_xll.ohRangeRetrieveError(F28)</f>
        <v/>
      </c>
      <c r="H28" s="54"/>
    </row>
    <row r="29" spans="1:8" x14ac:dyDescent="0.2">
      <c r="A29" s="130"/>
      <c r="B29" s="200" t="s">
        <v>93</v>
      </c>
      <c r="C29" s="84" t="str">
        <v>AB</v>
      </c>
      <c r="D29" s="84" t="str">
        <v>3E</v>
      </c>
      <c r="E29" s="82" t="str">
        <f t="shared" si="0"/>
        <v>EURAB3E24Y_Quote</v>
      </c>
      <c r="F29" s="82" t="str">
        <f>_xll.qlSimpleQuote(Currency&amp;$C29&amp;$D29&amp;$B29&amp;QuoteSuffix,,RateTickValue,Permanent,Trigger,ObjectOverwrite)</f>
        <v>EURAB3E24Y_Quote#0002</v>
      </c>
      <c r="G29" s="35" t="str">
        <f>_xll.ohRangeRetrieveError(F29)</f>
        <v/>
      </c>
      <c r="H29" s="54"/>
    </row>
    <row r="30" spans="1:8" x14ac:dyDescent="0.2">
      <c r="A30" s="130"/>
      <c r="B30" s="200" t="s">
        <v>92</v>
      </c>
      <c r="C30" s="84" t="str">
        <v>AB</v>
      </c>
      <c r="D30" s="84" t="str">
        <v>3E</v>
      </c>
      <c r="E30" s="82" t="str">
        <f t="shared" si="0"/>
        <v>EURAB3E25Y_Quote</v>
      </c>
      <c r="F30" s="82" t="str">
        <f>_xll.qlSimpleQuote(Currency&amp;$C30&amp;$D30&amp;$B30&amp;QuoteSuffix,,RateTickValue,Permanent,Trigger,ObjectOverwrite)</f>
        <v>EURAB3E25Y_Quote#0002</v>
      </c>
      <c r="G30" s="35" t="str">
        <f>_xll.ohRangeRetrieveError(F30)</f>
        <v/>
      </c>
      <c r="H30" s="54"/>
    </row>
    <row r="31" spans="1:8" x14ac:dyDescent="0.2">
      <c r="A31" s="130"/>
      <c r="B31" s="200" t="s">
        <v>91</v>
      </c>
      <c r="C31" s="84" t="str">
        <v>AB</v>
      </c>
      <c r="D31" s="84" t="str">
        <v>3E</v>
      </c>
      <c r="E31" s="82" t="str">
        <f t="shared" si="0"/>
        <v>EURAB3E26Y_Quote</v>
      </c>
      <c r="F31" s="82" t="str">
        <f>_xll.qlSimpleQuote(Currency&amp;$C31&amp;$D31&amp;$B31&amp;QuoteSuffix,,RateTickValue,Permanent,Trigger,ObjectOverwrite)</f>
        <v>EURAB3E26Y_Quote#0002</v>
      </c>
      <c r="G31" s="35" t="str">
        <f>_xll.ohRangeRetrieveError(F31)</f>
        <v/>
      </c>
      <c r="H31" s="54"/>
    </row>
    <row r="32" spans="1:8" x14ac:dyDescent="0.2">
      <c r="A32" s="130"/>
      <c r="B32" s="200" t="s">
        <v>90</v>
      </c>
      <c r="C32" s="84" t="str">
        <v>AB</v>
      </c>
      <c r="D32" s="84" t="str">
        <v>3E</v>
      </c>
      <c r="E32" s="82" t="str">
        <f t="shared" si="0"/>
        <v>EURAB3E27Y_Quote</v>
      </c>
      <c r="F32" s="82" t="str">
        <f>_xll.qlSimpleQuote(Currency&amp;$C32&amp;$D32&amp;$B32&amp;QuoteSuffix,,RateTickValue,Permanent,Trigger,ObjectOverwrite)</f>
        <v>EURAB3E27Y_Quote#0002</v>
      </c>
      <c r="G32" s="35" t="str">
        <f>_xll.ohRangeRetrieveError(F32)</f>
        <v/>
      </c>
      <c r="H32" s="54"/>
    </row>
    <row r="33" spans="1:8" x14ac:dyDescent="0.2">
      <c r="A33" s="130"/>
      <c r="B33" s="200" t="s">
        <v>89</v>
      </c>
      <c r="C33" s="84" t="str">
        <v>AB</v>
      </c>
      <c r="D33" s="84" t="str">
        <v>3E</v>
      </c>
      <c r="E33" s="82" t="str">
        <f t="shared" si="0"/>
        <v>EURAB3E28Y_Quote</v>
      </c>
      <c r="F33" s="82" t="str">
        <f>_xll.qlSimpleQuote(Currency&amp;$C33&amp;$D33&amp;$B33&amp;QuoteSuffix,,RateTickValue,Permanent,Trigger,ObjectOverwrite)</f>
        <v>EURAB3E28Y_Quote#0002</v>
      </c>
      <c r="G33" s="35" t="str">
        <f>_xll.ohRangeRetrieveError(F33)</f>
        <v/>
      </c>
      <c r="H33" s="54"/>
    </row>
    <row r="34" spans="1:8" x14ac:dyDescent="0.2">
      <c r="A34" s="130"/>
      <c r="B34" s="200" t="s">
        <v>88</v>
      </c>
      <c r="C34" s="84" t="str">
        <v>AB</v>
      </c>
      <c r="D34" s="84" t="str">
        <v>3E</v>
      </c>
      <c r="E34" s="82" t="str">
        <f t="shared" si="0"/>
        <v>EURAB3E29Y_Quote</v>
      </c>
      <c r="F34" s="82" t="str">
        <f>_xll.qlSimpleQuote(Currency&amp;$C34&amp;$D34&amp;$B34&amp;QuoteSuffix,,RateTickValue,Permanent,Trigger,ObjectOverwrite)</f>
        <v>EURAB3E29Y_Quote#0002</v>
      </c>
      <c r="G34" s="35" t="str">
        <f>_xll.ohRangeRetrieveError(F34)</f>
        <v/>
      </c>
      <c r="H34" s="54"/>
    </row>
    <row r="35" spans="1:8" x14ac:dyDescent="0.2">
      <c r="A35" s="130"/>
      <c r="B35" s="200" t="s">
        <v>87</v>
      </c>
      <c r="C35" s="84" t="str">
        <v>AB</v>
      </c>
      <c r="D35" s="84" t="str">
        <v>3E</v>
      </c>
      <c r="E35" s="82" t="str">
        <f t="shared" si="0"/>
        <v>EURAB3E30Y_Quote</v>
      </c>
      <c r="F35" s="82" t="str">
        <f>_xll.qlSimpleQuote(Currency&amp;$C35&amp;$D35&amp;$B35&amp;QuoteSuffix,,RateTickValue,Permanent,Trigger,ObjectOverwrite)</f>
        <v>EURAB3E30Y_Quote#0002</v>
      </c>
      <c r="G35" s="35" t="str">
        <f>_xll.ohRangeRetrieveError(F35)</f>
        <v/>
      </c>
      <c r="H35" s="54"/>
    </row>
    <row r="36" spans="1:8" x14ac:dyDescent="0.2">
      <c r="A36" s="130"/>
      <c r="B36" s="200" t="s">
        <v>82</v>
      </c>
      <c r="C36" s="84" t="str">
        <v>AB</v>
      </c>
      <c r="D36" s="84" t="str">
        <v>3E</v>
      </c>
      <c r="E36" s="82" t="str">
        <f t="shared" si="0"/>
        <v>EURAB3E35Y_Quote</v>
      </c>
      <c r="F36" s="82" t="str">
        <f>_xll.qlSimpleQuote(Currency&amp;$C36&amp;$D36&amp;$B36&amp;QuoteSuffix,,RateTickValue,Permanent,Trigger,ObjectOverwrite)</f>
        <v>EURAB3E35Y_Quote#0002</v>
      </c>
      <c r="G36" s="35" t="str">
        <f>_xll.ohRangeRetrieveError(F36)</f>
        <v/>
      </c>
      <c r="H36" s="54"/>
    </row>
    <row r="37" spans="1:8" x14ac:dyDescent="0.2">
      <c r="A37" s="130"/>
      <c r="B37" s="200" t="s">
        <v>77</v>
      </c>
      <c r="C37" s="84" t="str">
        <v>AB</v>
      </c>
      <c r="D37" s="84" t="str">
        <v>3E</v>
      </c>
      <c r="E37" s="82" t="str">
        <f t="shared" si="0"/>
        <v>EURAB3E40Y_Quote</v>
      </c>
      <c r="F37" s="82" t="str">
        <f>_xll.qlSimpleQuote(Currency&amp;$C37&amp;$D37&amp;$B37&amp;QuoteSuffix,,RateTickValue,Permanent,Trigger,ObjectOverwrite)</f>
        <v>EURAB3E40Y_Quote#0002</v>
      </c>
      <c r="G37" s="35" t="str">
        <f>_xll.ohRangeRetrieveError(F37)</f>
        <v/>
      </c>
      <c r="H37" s="54"/>
    </row>
    <row r="38" spans="1:8" x14ac:dyDescent="0.2">
      <c r="A38" s="130"/>
      <c r="B38" s="200" t="s">
        <v>67</v>
      </c>
      <c r="C38" s="84" t="str">
        <v>AB</v>
      </c>
      <c r="D38" s="84" t="str">
        <v>3E</v>
      </c>
      <c r="E38" s="82" t="str">
        <f t="shared" si="0"/>
        <v>EURAB3E50Y_Quote</v>
      </c>
      <c r="F38" s="82" t="str">
        <f>_xll.qlSimpleQuote(Currency&amp;$C38&amp;$D38&amp;$B38&amp;QuoteSuffix,,RateTickValue,Permanent,Trigger,ObjectOverwrite)</f>
        <v>EURAB3E50Y_Quote#0002</v>
      </c>
      <c r="G38" s="35" t="str">
        <f>_xll.ohRangeRetrieveError(F38)</f>
        <v/>
      </c>
      <c r="H38" s="54"/>
    </row>
    <row r="39" spans="1:8" x14ac:dyDescent="0.2">
      <c r="A39" s="130"/>
      <c r="B39" s="200" t="s">
        <v>57</v>
      </c>
      <c r="C39" s="84" t="str">
        <v>AB</v>
      </c>
      <c r="D39" s="84" t="str">
        <v>3E</v>
      </c>
      <c r="E39" s="82" t="str">
        <f t="shared" si="0"/>
        <v>EURAB3E60Y_Quote</v>
      </c>
      <c r="F39" s="82" t="str">
        <f>_xll.qlSimpleQuote(Currency&amp;$C39&amp;$D39&amp;$B39&amp;QuoteSuffix,,RateTickValue,Permanent,Trigger,ObjectOverwrite)</f>
        <v>EURAB3E60Y_Quote#0002</v>
      </c>
      <c r="G39" s="35" t="str">
        <f>_xll.ohRangeRetrieveError(F39)</f>
        <v/>
      </c>
      <c r="H39" s="54"/>
    </row>
    <row r="40" spans="1:8" ht="13.5" thickBot="1" x14ac:dyDescent="0.25">
      <c r="A40" s="53"/>
      <c r="B40" s="52"/>
      <c r="C40" s="52"/>
      <c r="D40" s="52"/>
      <c r="E40" s="52"/>
      <c r="F40" s="124"/>
      <c r="G40" s="124"/>
      <c r="H40" s="51"/>
    </row>
  </sheetData>
  <pageMargins left="0.75" right="0.75" top="1" bottom="1" header="0.5" footer="0.5"/>
  <pageSetup paperSize="9" orientation="portrait" r:id="rId1"/>
  <headerFooter alignWithMargins="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L40"/>
  <sheetViews>
    <sheetView workbookViewId="0"/>
  </sheetViews>
  <sheetFormatPr defaultRowHeight="11.25" x14ac:dyDescent="0.2"/>
  <cols>
    <col min="1" max="1" width="3.7109375" style="74" customWidth="1"/>
    <col min="2" max="2" width="6.5703125" style="21" bestFit="1" customWidth="1"/>
    <col min="3" max="3" width="3.140625" style="74" bestFit="1" customWidth="1"/>
    <col min="4" max="4" width="2.7109375" style="74" bestFit="1" customWidth="1"/>
    <col min="5" max="5" width="18" style="74" bestFit="1" customWidth="1"/>
    <col min="6" max="6" width="20.140625" style="75" bestFit="1" customWidth="1"/>
    <col min="7" max="7" width="38.28515625" style="74" customWidth="1"/>
    <col min="8" max="8" width="4.42578125" style="74" customWidth="1"/>
    <col min="9" max="9" width="2.42578125" style="74" customWidth="1"/>
    <col min="10" max="10" width="8.5703125" style="74" bestFit="1" customWidth="1"/>
    <col min="11" max="11" width="3.28515625" style="74" bestFit="1" customWidth="1"/>
    <col min="12" max="12" width="9.5703125" style="74" bestFit="1" customWidth="1"/>
    <col min="13" max="16384" width="9.140625" style="74"/>
  </cols>
  <sheetData>
    <row r="1" spans="1:12" ht="12" thickBot="1" x14ac:dyDescent="0.25">
      <c r="A1" s="224" t="s">
        <v>207</v>
      </c>
      <c r="B1" s="207"/>
      <c r="C1" s="207"/>
      <c r="D1" s="207"/>
      <c r="E1" s="162"/>
      <c r="F1" s="223"/>
      <c r="G1" s="162"/>
      <c r="H1" s="204"/>
    </row>
    <row r="2" spans="1:12" x14ac:dyDescent="0.2">
      <c r="A2" s="130"/>
      <c r="B2" s="99" t="s">
        <v>141</v>
      </c>
      <c r="C2" s="99"/>
      <c r="D2" s="99"/>
      <c r="E2" s="98" t="str">
        <f>Currency&amp;"_010_Sw"&amp;$C$3&amp;$D$3&amp;".xml"</f>
        <v>EUR_010_SwAB6E.xml</v>
      </c>
      <c r="F2" s="97">
        <f ca="1">IF(Serialize,_xll.ohObjectSave(F3:F39,SerializationPath&amp;E2,FileOverwrite,Serialize),"---")</f>
        <v>37</v>
      </c>
      <c r="G2" s="81" t="str">
        <f ca="1">_xll.ohRangeRetrieveError(F2)</f>
        <v/>
      </c>
      <c r="H2" s="54"/>
      <c r="J2" s="216" t="s">
        <v>206</v>
      </c>
      <c r="K2" s="215" t="s">
        <v>204</v>
      </c>
      <c r="L2" s="214" t="s">
        <v>203</v>
      </c>
    </row>
    <row r="3" spans="1:12" x14ac:dyDescent="0.2">
      <c r="A3" s="130"/>
      <c r="B3" s="219" t="s">
        <v>34</v>
      </c>
      <c r="C3" s="84" t="str">
        <f t="array" ref="C3:C39">VLOOKUP(Currency,SwapSecondarySetConventions,2)</f>
        <v>AB</v>
      </c>
      <c r="D3" s="84" t="str">
        <f t="array" ref="D3:D39">VLOOKUP(Currency,SwapSecondarySetConventions,3)</f>
        <v>6E</v>
      </c>
      <c r="E3" s="82" t="str">
        <f t="shared" ref="E3:E39" si="0">Currency&amp;$C3&amp;$D3&amp;$B3&amp;QuoteSuffix</f>
        <v>EURAB6E1Y_Quote</v>
      </c>
      <c r="F3" s="82" t="str">
        <f>_xll.qlSimpleQuote(Currency&amp;$C3&amp;$D3&amp;$B3&amp;QuoteSuffix,,RateTickValue,Permanent,Trigger,ObjectOverwrite)</f>
        <v>EURAB6E1Y_Quote#0002</v>
      </c>
      <c r="G3" s="81" t="str">
        <f>_xll.ohRangeRetrieveError(F3)</f>
        <v/>
      </c>
      <c r="H3" s="54"/>
      <c r="J3" s="213" t="s">
        <v>137</v>
      </c>
      <c r="K3" s="221" t="s">
        <v>202</v>
      </c>
      <c r="L3" s="220" t="s">
        <v>132</v>
      </c>
    </row>
    <row r="4" spans="1:12" x14ac:dyDescent="0.2">
      <c r="A4" s="130"/>
      <c r="B4" s="222" t="s">
        <v>140</v>
      </c>
      <c r="C4" s="84" t="str">
        <v>AB</v>
      </c>
      <c r="D4" s="84" t="str">
        <v>6E</v>
      </c>
      <c r="E4" s="82" t="str">
        <f t="shared" si="0"/>
        <v>EURAB6E15M_Quote</v>
      </c>
      <c r="F4" s="82" t="str">
        <f>_xll.qlSimpleQuote(Currency&amp;$C4&amp;$D4&amp;$B4&amp;QuoteSuffix,,RateTickValue,Permanent,Trigger,ObjectOverwrite)</f>
        <v>EURAB6E15M_Quote#0002</v>
      </c>
      <c r="G4" s="81" t="str">
        <f>_xll.ohRangeRetrieveError(F4)</f>
        <v/>
      </c>
      <c r="H4" s="54"/>
      <c r="J4" s="213" t="s">
        <v>123</v>
      </c>
      <c r="K4" s="91" t="s">
        <v>202</v>
      </c>
      <c r="L4" s="90" t="s">
        <v>135</v>
      </c>
    </row>
    <row r="5" spans="1:12" x14ac:dyDescent="0.2">
      <c r="A5" s="130"/>
      <c r="B5" s="222" t="s">
        <v>139</v>
      </c>
      <c r="C5" s="84" t="str">
        <v>AB</v>
      </c>
      <c r="D5" s="84" t="str">
        <v>6E</v>
      </c>
      <c r="E5" s="82" t="str">
        <f t="shared" si="0"/>
        <v>EURAB6E18M_Quote</v>
      </c>
      <c r="F5" s="82" t="str">
        <f>_xll.qlSimpleQuote(Currency&amp;$C5&amp;$D5&amp;$B5&amp;QuoteSuffix,,RateTickValue,Permanent,Trigger,ObjectOverwrite)</f>
        <v>EURAB6E18M_Quote#0002</v>
      </c>
      <c r="G5" s="81" t="str">
        <f>_xll.ohRangeRetrieveError(F5)</f>
        <v/>
      </c>
      <c r="H5" s="54"/>
      <c r="J5" s="213" t="s">
        <v>134</v>
      </c>
      <c r="K5" s="91" t="s">
        <v>201</v>
      </c>
      <c r="L5" s="90" t="s">
        <v>132</v>
      </c>
    </row>
    <row r="6" spans="1:12" x14ac:dyDescent="0.2">
      <c r="A6" s="130"/>
      <c r="B6" s="222" t="s">
        <v>138</v>
      </c>
      <c r="C6" s="84" t="str">
        <v>AB</v>
      </c>
      <c r="D6" s="84" t="str">
        <v>6E</v>
      </c>
      <c r="E6" s="82" t="str">
        <f t="shared" si="0"/>
        <v>EURAB6E21M_Quote</v>
      </c>
      <c r="F6" s="82" t="str">
        <f>_xll.qlSimpleQuote(Currency&amp;$C6&amp;$D6&amp;$B6&amp;QuoteSuffix,,RateTickValue,Permanent,Trigger,ObjectOverwrite)</f>
        <v>EURAB6E21M_Quote#0002</v>
      </c>
      <c r="G6" s="81" t="str">
        <f>_xll.ohRangeRetrieveError(F6)</f>
        <v/>
      </c>
      <c r="H6" s="54"/>
      <c r="J6" s="213" t="s">
        <v>133</v>
      </c>
      <c r="K6" s="221" t="s">
        <v>201</v>
      </c>
      <c r="L6" s="220" t="s">
        <v>132</v>
      </c>
    </row>
    <row r="7" spans="1:12" ht="12" thickBot="1" x14ac:dyDescent="0.25">
      <c r="A7" s="130"/>
      <c r="B7" s="219" t="s">
        <v>115</v>
      </c>
      <c r="C7" s="84" t="str">
        <v>AB</v>
      </c>
      <c r="D7" s="84" t="str">
        <v>6E</v>
      </c>
      <c r="E7" s="82" t="str">
        <f t="shared" si="0"/>
        <v>EURAB6E2Y_Quote</v>
      </c>
      <c r="F7" s="82" t="str">
        <f>_xll.qlSimpleQuote(Currency&amp;$C7&amp;$D7&amp;$B7&amp;QuoteSuffix,,RateTickValue,Permanent,Trigger,ObjectOverwrite)</f>
        <v>EURAB6E2Y_Quote#0002</v>
      </c>
      <c r="G7" s="81" t="str">
        <f>_xll.ohRangeRetrieveError(F7)</f>
        <v/>
      </c>
      <c r="H7" s="54"/>
      <c r="J7" s="212" t="s">
        <v>131</v>
      </c>
      <c r="K7" s="88" t="s">
        <v>200</v>
      </c>
      <c r="L7" s="87" t="s">
        <v>132</v>
      </c>
    </row>
    <row r="8" spans="1:12" x14ac:dyDescent="0.2">
      <c r="A8" s="130"/>
      <c r="B8" s="219" t="s">
        <v>114</v>
      </c>
      <c r="C8" s="84" t="str">
        <v>AB</v>
      </c>
      <c r="D8" s="84" t="str">
        <v>6E</v>
      </c>
      <c r="E8" s="82" t="str">
        <f t="shared" si="0"/>
        <v>EURAB6E3Y_Quote</v>
      </c>
      <c r="F8" s="82" t="str">
        <f>_xll.qlSimpleQuote(Currency&amp;$C8&amp;$D8&amp;$B8&amp;QuoteSuffix,,RateTickValue,Permanent,Trigger,ObjectOverwrite)</f>
        <v>EURAB6E3Y_Quote#0002</v>
      </c>
      <c r="G8" s="81" t="str">
        <f>_xll.ohRangeRetrieveError(F8)</f>
        <v/>
      </c>
      <c r="H8" s="54"/>
    </row>
    <row r="9" spans="1:12" x14ac:dyDescent="0.2">
      <c r="A9" s="130"/>
      <c r="B9" s="219" t="s">
        <v>113</v>
      </c>
      <c r="C9" s="84" t="str">
        <v>AB</v>
      </c>
      <c r="D9" s="84" t="str">
        <v>6E</v>
      </c>
      <c r="E9" s="82" t="str">
        <f t="shared" si="0"/>
        <v>EURAB6E4Y_Quote</v>
      </c>
      <c r="F9" s="82" t="str">
        <f>_xll.qlSimpleQuote(Currency&amp;$C9&amp;$D9&amp;$B9&amp;QuoteSuffix,,RateTickValue,Permanent,Trigger,ObjectOverwrite)</f>
        <v>EURAB6E4Y_Quote#0002</v>
      </c>
      <c r="G9" s="81" t="str">
        <f>_xll.ohRangeRetrieveError(F9)</f>
        <v/>
      </c>
      <c r="H9" s="54"/>
    </row>
    <row r="10" spans="1:12" x14ac:dyDescent="0.2">
      <c r="A10" s="130"/>
      <c r="B10" s="219" t="s">
        <v>112</v>
      </c>
      <c r="C10" s="84" t="str">
        <v>AB</v>
      </c>
      <c r="D10" s="84" t="str">
        <v>6E</v>
      </c>
      <c r="E10" s="82" t="str">
        <f t="shared" si="0"/>
        <v>EURAB6E5Y_Quote</v>
      </c>
      <c r="F10" s="82" t="str">
        <f>_xll.qlSimpleQuote(Currency&amp;$C10&amp;$D10&amp;$B10&amp;QuoteSuffix,,RateTickValue,Permanent,Trigger,ObjectOverwrite)</f>
        <v>EURAB6E5Y_Quote#0002</v>
      </c>
      <c r="G10" s="81" t="str">
        <f>_xll.ohRangeRetrieveError(F10)</f>
        <v/>
      </c>
      <c r="H10" s="54"/>
    </row>
    <row r="11" spans="1:12" x14ac:dyDescent="0.2">
      <c r="A11" s="130"/>
      <c r="B11" s="219" t="s">
        <v>111</v>
      </c>
      <c r="C11" s="84" t="str">
        <v>AB</v>
      </c>
      <c r="D11" s="84" t="str">
        <v>6E</v>
      </c>
      <c r="E11" s="82" t="str">
        <f t="shared" si="0"/>
        <v>EURAB6E6Y_Quote</v>
      </c>
      <c r="F11" s="82" t="str">
        <f>_xll.qlSimpleQuote(Currency&amp;$C11&amp;$D11&amp;$B11&amp;QuoteSuffix,,RateTickValue,Permanent,Trigger,ObjectOverwrite)</f>
        <v>EURAB6E6Y_Quote#0002</v>
      </c>
      <c r="G11" s="81" t="str">
        <f>_xll.ohRangeRetrieveError(F11)</f>
        <v/>
      </c>
      <c r="H11" s="54"/>
    </row>
    <row r="12" spans="1:12" x14ac:dyDescent="0.2">
      <c r="A12" s="130"/>
      <c r="B12" s="219" t="s">
        <v>110</v>
      </c>
      <c r="C12" s="84" t="str">
        <v>AB</v>
      </c>
      <c r="D12" s="84" t="str">
        <v>6E</v>
      </c>
      <c r="E12" s="82" t="str">
        <f t="shared" si="0"/>
        <v>EURAB6E7Y_Quote</v>
      </c>
      <c r="F12" s="82" t="str">
        <f>_xll.qlSimpleQuote(Currency&amp;$C12&amp;$D12&amp;$B12&amp;QuoteSuffix,,RateTickValue,Permanent,Trigger,ObjectOverwrite)</f>
        <v>EURAB6E7Y_Quote#0002</v>
      </c>
      <c r="G12" s="81" t="str">
        <f>_xll.ohRangeRetrieveError(F12)</f>
        <v/>
      </c>
      <c r="H12" s="54"/>
    </row>
    <row r="13" spans="1:12" x14ac:dyDescent="0.2">
      <c r="A13" s="130"/>
      <c r="B13" s="219" t="s">
        <v>109</v>
      </c>
      <c r="C13" s="84" t="str">
        <v>AB</v>
      </c>
      <c r="D13" s="84" t="str">
        <v>6E</v>
      </c>
      <c r="E13" s="82" t="str">
        <f t="shared" si="0"/>
        <v>EURAB6E8Y_Quote</v>
      </c>
      <c r="F13" s="82" t="str">
        <f>_xll.qlSimpleQuote(Currency&amp;$C13&amp;$D13&amp;$B13&amp;QuoteSuffix,,RateTickValue,Permanent,Trigger,ObjectOverwrite)</f>
        <v>EURAB6E8Y_Quote#0002</v>
      </c>
      <c r="G13" s="81" t="str">
        <f>_xll.ohRangeRetrieveError(F13)</f>
        <v/>
      </c>
      <c r="H13" s="54"/>
    </row>
    <row r="14" spans="1:12" x14ac:dyDescent="0.2">
      <c r="A14" s="130"/>
      <c r="B14" s="219" t="s">
        <v>108</v>
      </c>
      <c r="C14" s="84" t="str">
        <v>AB</v>
      </c>
      <c r="D14" s="84" t="str">
        <v>6E</v>
      </c>
      <c r="E14" s="82" t="str">
        <f t="shared" si="0"/>
        <v>EURAB6E9Y_Quote</v>
      </c>
      <c r="F14" s="82" t="str">
        <f>_xll.qlSimpleQuote(Currency&amp;$C14&amp;$D14&amp;$B14&amp;QuoteSuffix,,RateTickValue,Permanent,Trigger,ObjectOverwrite)</f>
        <v>EURAB6E9Y_Quote#0002</v>
      </c>
      <c r="G14" s="81" t="str">
        <f>_xll.ohRangeRetrieveError(F14)</f>
        <v/>
      </c>
      <c r="H14" s="54"/>
    </row>
    <row r="15" spans="1:12" x14ac:dyDescent="0.2">
      <c r="A15" s="130"/>
      <c r="B15" s="219" t="s">
        <v>107</v>
      </c>
      <c r="C15" s="84" t="str">
        <v>AB</v>
      </c>
      <c r="D15" s="84" t="str">
        <v>6E</v>
      </c>
      <c r="E15" s="82" t="str">
        <f t="shared" si="0"/>
        <v>EURAB6E10Y_Quote</v>
      </c>
      <c r="F15" s="82" t="str">
        <f>_xll.qlSimpleQuote(Currency&amp;$C15&amp;$D15&amp;$B15&amp;QuoteSuffix,,RateTickValue,Permanent,Trigger,ObjectOverwrite)</f>
        <v>EURAB6E10Y_Quote#0002</v>
      </c>
      <c r="G15" s="81" t="str">
        <f>_xll.ohRangeRetrieveError(F15)</f>
        <v/>
      </c>
      <c r="H15" s="54"/>
    </row>
    <row r="16" spans="1:12" x14ac:dyDescent="0.2">
      <c r="A16" s="130"/>
      <c r="B16" s="219" t="s">
        <v>106</v>
      </c>
      <c r="C16" s="84" t="str">
        <v>AB</v>
      </c>
      <c r="D16" s="84" t="str">
        <v>6E</v>
      </c>
      <c r="E16" s="82" t="str">
        <f t="shared" si="0"/>
        <v>EURAB6E11Y_Quote</v>
      </c>
      <c r="F16" s="82" t="str">
        <f>_xll.qlSimpleQuote(Currency&amp;$C16&amp;$D16&amp;$B16&amp;QuoteSuffix,,RateTickValue,Permanent,Trigger,ObjectOverwrite)</f>
        <v>EURAB6E11Y_Quote#0002</v>
      </c>
      <c r="G16" s="81" t="str">
        <f>_xll.ohRangeRetrieveError(F16)</f>
        <v/>
      </c>
      <c r="H16" s="54"/>
    </row>
    <row r="17" spans="1:8" x14ac:dyDescent="0.2">
      <c r="A17" s="130"/>
      <c r="B17" s="219" t="s">
        <v>105</v>
      </c>
      <c r="C17" s="84" t="str">
        <v>AB</v>
      </c>
      <c r="D17" s="84" t="str">
        <v>6E</v>
      </c>
      <c r="E17" s="82" t="str">
        <f t="shared" si="0"/>
        <v>EURAB6E12Y_Quote</v>
      </c>
      <c r="F17" s="82" t="str">
        <f>_xll.qlSimpleQuote(Currency&amp;$C17&amp;$D17&amp;$B17&amp;QuoteSuffix,,RateTickValue,Permanent,Trigger,ObjectOverwrite)</f>
        <v>EURAB6E12Y_Quote#0002</v>
      </c>
      <c r="G17" s="81" t="str">
        <f>_xll.ohRangeRetrieveError(F17)</f>
        <v/>
      </c>
      <c r="H17" s="54"/>
    </row>
    <row r="18" spans="1:8" x14ac:dyDescent="0.2">
      <c r="A18" s="130"/>
      <c r="B18" s="219" t="s">
        <v>104</v>
      </c>
      <c r="C18" s="84" t="str">
        <v>AB</v>
      </c>
      <c r="D18" s="84" t="str">
        <v>6E</v>
      </c>
      <c r="E18" s="82" t="str">
        <f t="shared" si="0"/>
        <v>EURAB6E13Y_Quote</v>
      </c>
      <c r="F18" s="82" t="str">
        <f>_xll.qlSimpleQuote(Currency&amp;$C18&amp;$D18&amp;$B18&amp;QuoteSuffix,,RateTickValue,Permanent,Trigger,ObjectOverwrite)</f>
        <v>EURAB6E13Y_Quote#0002</v>
      </c>
      <c r="G18" s="81" t="str">
        <f>_xll.ohRangeRetrieveError(F18)</f>
        <v/>
      </c>
      <c r="H18" s="54"/>
    </row>
    <row r="19" spans="1:8" x14ac:dyDescent="0.2">
      <c r="A19" s="130"/>
      <c r="B19" s="219" t="s">
        <v>103</v>
      </c>
      <c r="C19" s="84" t="str">
        <v>AB</v>
      </c>
      <c r="D19" s="84" t="str">
        <v>6E</v>
      </c>
      <c r="E19" s="82" t="str">
        <f t="shared" si="0"/>
        <v>EURAB6E14Y_Quote</v>
      </c>
      <c r="F19" s="82" t="str">
        <f>_xll.qlSimpleQuote(Currency&amp;$C19&amp;$D19&amp;$B19&amp;QuoteSuffix,,RateTickValue,Permanent,Trigger,ObjectOverwrite)</f>
        <v>EURAB6E14Y_Quote#0002</v>
      </c>
      <c r="G19" s="81" t="str">
        <f>_xll.ohRangeRetrieveError(F19)</f>
        <v/>
      </c>
      <c r="H19" s="54"/>
    </row>
    <row r="20" spans="1:8" x14ac:dyDescent="0.2">
      <c r="A20" s="130"/>
      <c r="B20" s="219" t="s">
        <v>102</v>
      </c>
      <c r="C20" s="84" t="str">
        <v>AB</v>
      </c>
      <c r="D20" s="84" t="str">
        <v>6E</v>
      </c>
      <c r="E20" s="82" t="str">
        <f t="shared" si="0"/>
        <v>EURAB6E15Y_Quote</v>
      </c>
      <c r="F20" s="82" t="str">
        <f>_xll.qlSimpleQuote(Currency&amp;$C20&amp;$D20&amp;$B20&amp;QuoteSuffix,,RateTickValue,Permanent,Trigger,ObjectOverwrite)</f>
        <v>EURAB6E15Y_Quote#0002</v>
      </c>
      <c r="G20" s="81" t="str">
        <f>_xll.ohRangeRetrieveError(F20)</f>
        <v/>
      </c>
      <c r="H20" s="54"/>
    </row>
    <row r="21" spans="1:8" x14ac:dyDescent="0.2">
      <c r="A21" s="130"/>
      <c r="B21" s="219" t="s">
        <v>101</v>
      </c>
      <c r="C21" s="84" t="str">
        <v>AB</v>
      </c>
      <c r="D21" s="84" t="str">
        <v>6E</v>
      </c>
      <c r="E21" s="82" t="str">
        <f t="shared" si="0"/>
        <v>EURAB6E16Y_Quote</v>
      </c>
      <c r="F21" s="82" t="str">
        <f>_xll.qlSimpleQuote(Currency&amp;$C21&amp;$D21&amp;$B21&amp;QuoteSuffix,,RateTickValue,Permanent,Trigger,ObjectOverwrite)</f>
        <v>EURAB6E16Y_Quote#0002</v>
      </c>
      <c r="G21" s="81" t="str">
        <f>_xll.ohRangeRetrieveError(F21)</f>
        <v/>
      </c>
      <c r="H21" s="54"/>
    </row>
    <row r="22" spans="1:8" x14ac:dyDescent="0.2">
      <c r="A22" s="130"/>
      <c r="B22" s="219" t="s">
        <v>100</v>
      </c>
      <c r="C22" s="84" t="str">
        <v>AB</v>
      </c>
      <c r="D22" s="84" t="str">
        <v>6E</v>
      </c>
      <c r="E22" s="82" t="str">
        <f t="shared" si="0"/>
        <v>EURAB6E17Y_Quote</v>
      </c>
      <c r="F22" s="82" t="str">
        <f>_xll.qlSimpleQuote(Currency&amp;$C22&amp;$D22&amp;$B22&amp;QuoteSuffix,,RateTickValue,Permanent,Trigger,ObjectOverwrite)</f>
        <v>EURAB6E17Y_Quote#0002</v>
      </c>
      <c r="G22" s="81" t="str">
        <f>_xll.ohRangeRetrieveError(F22)</f>
        <v/>
      </c>
      <c r="H22" s="54"/>
    </row>
    <row r="23" spans="1:8" x14ac:dyDescent="0.2">
      <c r="A23" s="130"/>
      <c r="B23" s="219" t="s">
        <v>99</v>
      </c>
      <c r="C23" s="84" t="str">
        <v>AB</v>
      </c>
      <c r="D23" s="84" t="str">
        <v>6E</v>
      </c>
      <c r="E23" s="82" t="str">
        <f t="shared" si="0"/>
        <v>EURAB6E18Y_Quote</v>
      </c>
      <c r="F23" s="82" t="str">
        <f>_xll.qlSimpleQuote(Currency&amp;$C23&amp;$D23&amp;$B23&amp;QuoteSuffix,,RateTickValue,Permanent,Trigger,ObjectOverwrite)</f>
        <v>EURAB6E18Y_Quote#0002</v>
      </c>
      <c r="G23" s="81" t="str">
        <f>_xll.ohRangeRetrieveError(F23)</f>
        <v/>
      </c>
      <c r="H23" s="54"/>
    </row>
    <row r="24" spans="1:8" x14ac:dyDescent="0.2">
      <c r="A24" s="130"/>
      <c r="B24" s="219" t="s">
        <v>98</v>
      </c>
      <c r="C24" s="84" t="str">
        <v>AB</v>
      </c>
      <c r="D24" s="84" t="str">
        <v>6E</v>
      </c>
      <c r="E24" s="82" t="str">
        <f t="shared" si="0"/>
        <v>EURAB6E19Y_Quote</v>
      </c>
      <c r="F24" s="82" t="str">
        <f>_xll.qlSimpleQuote(Currency&amp;$C24&amp;$D24&amp;$B24&amp;QuoteSuffix,,RateTickValue,Permanent,Trigger,ObjectOverwrite)</f>
        <v>EURAB6E19Y_Quote#0002</v>
      </c>
      <c r="G24" s="81" t="str">
        <f>_xll.ohRangeRetrieveError(F24)</f>
        <v/>
      </c>
      <c r="H24" s="54"/>
    </row>
    <row r="25" spans="1:8" x14ac:dyDescent="0.2">
      <c r="A25" s="130"/>
      <c r="B25" s="219" t="s">
        <v>97</v>
      </c>
      <c r="C25" s="84" t="str">
        <v>AB</v>
      </c>
      <c r="D25" s="84" t="str">
        <v>6E</v>
      </c>
      <c r="E25" s="82" t="str">
        <f t="shared" si="0"/>
        <v>EURAB6E20Y_Quote</v>
      </c>
      <c r="F25" s="82" t="str">
        <f>_xll.qlSimpleQuote(Currency&amp;$C25&amp;$D25&amp;$B25&amp;QuoteSuffix,,RateTickValue,Permanent,Trigger,ObjectOverwrite)</f>
        <v>EURAB6E20Y_Quote#0002</v>
      </c>
      <c r="G25" s="81" t="str">
        <f>_xll.ohRangeRetrieveError(F25)</f>
        <v/>
      </c>
      <c r="H25" s="54"/>
    </row>
    <row r="26" spans="1:8" x14ac:dyDescent="0.2">
      <c r="A26" s="130"/>
      <c r="B26" s="219" t="s">
        <v>96</v>
      </c>
      <c r="C26" s="84" t="str">
        <v>AB</v>
      </c>
      <c r="D26" s="84" t="str">
        <v>6E</v>
      </c>
      <c r="E26" s="82" t="str">
        <f t="shared" si="0"/>
        <v>EURAB6E21Y_Quote</v>
      </c>
      <c r="F26" s="82" t="str">
        <f>_xll.qlSimpleQuote(Currency&amp;$C26&amp;$D26&amp;$B26&amp;QuoteSuffix,,RateTickValue,Permanent,Trigger,ObjectOverwrite)</f>
        <v>EURAB6E21Y_Quote#0002</v>
      </c>
      <c r="G26" s="81" t="str">
        <f>_xll.ohRangeRetrieveError(F26)</f>
        <v/>
      </c>
      <c r="H26" s="54"/>
    </row>
    <row r="27" spans="1:8" x14ac:dyDescent="0.2">
      <c r="A27" s="130"/>
      <c r="B27" s="219" t="s">
        <v>95</v>
      </c>
      <c r="C27" s="84" t="str">
        <v>AB</v>
      </c>
      <c r="D27" s="84" t="str">
        <v>6E</v>
      </c>
      <c r="E27" s="82" t="str">
        <f t="shared" si="0"/>
        <v>EURAB6E22Y_Quote</v>
      </c>
      <c r="F27" s="82" t="str">
        <f>_xll.qlSimpleQuote(Currency&amp;$C27&amp;$D27&amp;$B27&amp;QuoteSuffix,,RateTickValue,Permanent,Trigger,ObjectOverwrite)</f>
        <v>EURAB6E22Y_Quote#0002</v>
      </c>
      <c r="G27" s="81" t="str">
        <f>_xll.ohRangeRetrieveError(F27)</f>
        <v/>
      </c>
      <c r="H27" s="54"/>
    </row>
    <row r="28" spans="1:8" x14ac:dyDescent="0.2">
      <c r="A28" s="130"/>
      <c r="B28" s="219" t="s">
        <v>94</v>
      </c>
      <c r="C28" s="84" t="str">
        <v>AB</v>
      </c>
      <c r="D28" s="84" t="str">
        <v>6E</v>
      </c>
      <c r="E28" s="82" t="str">
        <f t="shared" si="0"/>
        <v>EURAB6E23Y_Quote</v>
      </c>
      <c r="F28" s="82" t="str">
        <f>_xll.qlSimpleQuote(Currency&amp;$C28&amp;$D28&amp;$B28&amp;QuoteSuffix,,RateTickValue,Permanent,Trigger,ObjectOverwrite)</f>
        <v>EURAB6E23Y_Quote#0002</v>
      </c>
      <c r="G28" s="81" t="str">
        <f>_xll.ohRangeRetrieveError(F28)</f>
        <v/>
      </c>
      <c r="H28" s="54"/>
    </row>
    <row r="29" spans="1:8" x14ac:dyDescent="0.2">
      <c r="A29" s="130"/>
      <c r="B29" s="219" t="s">
        <v>93</v>
      </c>
      <c r="C29" s="84" t="str">
        <v>AB</v>
      </c>
      <c r="D29" s="84" t="str">
        <v>6E</v>
      </c>
      <c r="E29" s="82" t="str">
        <f t="shared" si="0"/>
        <v>EURAB6E24Y_Quote</v>
      </c>
      <c r="F29" s="82" t="str">
        <f>_xll.qlSimpleQuote(Currency&amp;$C29&amp;$D29&amp;$B29&amp;QuoteSuffix,,RateTickValue,Permanent,Trigger,ObjectOverwrite)</f>
        <v>EURAB6E24Y_Quote#0002</v>
      </c>
      <c r="G29" s="81" t="str">
        <f>_xll.ohRangeRetrieveError(F29)</f>
        <v/>
      </c>
      <c r="H29" s="54"/>
    </row>
    <row r="30" spans="1:8" x14ac:dyDescent="0.2">
      <c r="A30" s="130"/>
      <c r="B30" s="219" t="s">
        <v>92</v>
      </c>
      <c r="C30" s="84" t="str">
        <v>AB</v>
      </c>
      <c r="D30" s="84" t="str">
        <v>6E</v>
      </c>
      <c r="E30" s="82" t="str">
        <f t="shared" si="0"/>
        <v>EURAB6E25Y_Quote</v>
      </c>
      <c r="F30" s="82" t="str">
        <f>_xll.qlSimpleQuote(Currency&amp;$C30&amp;$D30&amp;$B30&amp;QuoteSuffix,,RateTickValue,Permanent,Trigger,ObjectOverwrite)</f>
        <v>EURAB6E25Y_Quote#0002</v>
      </c>
      <c r="G30" s="81" t="str">
        <f>_xll.ohRangeRetrieveError(F30)</f>
        <v/>
      </c>
      <c r="H30" s="54"/>
    </row>
    <row r="31" spans="1:8" x14ac:dyDescent="0.2">
      <c r="A31" s="130"/>
      <c r="B31" s="219" t="s">
        <v>91</v>
      </c>
      <c r="C31" s="84" t="str">
        <v>AB</v>
      </c>
      <c r="D31" s="84" t="str">
        <v>6E</v>
      </c>
      <c r="E31" s="82" t="str">
        <f t="shared" si="0"/>
        <v>EURAB6E26Y_Quote</v>
      </c>
      <c r="F31" s="82" t="str">
        <f>_xll.qlSimpleQuote(Currency&amp;$C31&amp;$D31&amp;$B31&amp;QuoteSuffix,,RateTickValue,Permanent,Trigger,ObjectOverwrite)</f>
        <v>EURAB6E26Y_Quote#0002</v>
      </c>
      <c r="G31" s="81" t="str">
        <f>_xll.ohRangeRetrieveError(F31)</f>
        <v/>
      </c>
      <c r="H31" s="54"/>
    </row>
    <row r="32" spans="1:8" x14ac:dyDescent="0.2">
      <c r="A32" s="130"/>
      <c r="B32" s="219" t="s">
        <v>90</v>
      </c>
      <c r="C32" s="84" t="str">
        <v>AB</v>
      </c>
      <c r="D32" s="84" t="str">
        <v>6E</v>
      </c>
      <c r="E32" s="82" t="str">
        <f t="shared" si="0"/>
        <v>EURAB6E27Y_Quote</v>
      </c>
      <c r="F32" s="82" t="str">
        <f>_xll.qlSimpleQuote(Currency&amp;$C32&amp;$D32&amp;$B32&amp;QuoteSuffix,,RateTickValue,Permanent,Trigger,ObjectOverwrite)</f>
        <v>EURAB6E27Y_Quote#0002</v>
      </c>
      <c r="G32" s="81" t="str">
        <f>_xll.ohRangeRetrieveError(F32)</f>
        <v/>
      </c>
      <c r="H32" s="54"/>
    </row>
    <row r="33" spans="1:8" x14ac:dyDescent="0.2">
      <c r="A33" s="130"/>
      <c r="B33" s="219" t="s">
        <v>89</v>
      </c>
      <c r="C33" s="84" t="str">
        <v>AB</v>
      </c>
      <c r="D33" s="84" t="str">
        <v>6E</v>
      </c>
      <c r="E33" s="82" t="str">
        <f t="shared" si="0"/>
        <v>EURAB6E28Y_Quote</v>
      </c>
      <c r="F33" s="82" t="str">
        <f>_xll.qlSimpleQuote(Currency&amp;$C33&amp;$D33&amp;$B33&amp;QuoteSuffix,,RateTickValue,Permanent,Trigger,ObjectOverwrite)</f>
        <v>EURAB6E28Y_Quote#0002</v>
      </c>
      <c r="G33" s="81" t="str">
        <f>_xll.ohRangeRetrieveError(F33)</f>
        <v/>
      </c>
      <c r="H33" s="54"/>
    </row>
    <row r="34" spans="1:8" x14ac:dyDescent="0.2">
      <c r="A34" s="130"/>
      <c r="B34" s="219" t="s">
        <v>88</v>
      </c>
      <c r="C34" s="84" t="str">
        <v>AB</v>
      </c>
      <c r="D34" s="84" t="str">
        <v>6E</v>
      </c>
      <c r="E34" s="82" t="str">
        <f t="shared" si="0"/>
        <v>EURAB6E29Y_Quote</v>
      </c>
      <c r="F34" s="82" t="str">
        <f>_xll.qlSimpleQuote(Currency&amp;$C34&amp;$D34&amp;$B34&amp;QuoteSuffix,,RateTickValue,Permanent,Trigger,ObjectOverwrite)</f>
        <v>EURAB6E29Y_Quote#0002</v>
      </c>
      <c r="G34" s="81" t="str">
        <f>_xll.ohRangeRetrieveError(F34)</f>
        <v/>
      </c>
      <c r="H34" s="54"/>
    </row>
    <row r="35" spans="1:8" x14ac:dyDescent="0.2">
      <c r="A35" s="130"/>
      <c r="B35" s="219" t="s">
        <v>87</v>
      </c>
      <c r="C35" s="84" t="str">
        <v>AB</v>
      </c>
      <c r="D35" s="84" t="str">
        <v>6E</v>
      </c>
      <c r="E35" s="82" t="str">
        <f t="shared" si="0"/>
        <v>EURAB6E30Y_Quote</v>
      </c>
      <c r="F35" s="82" t="str">
        <f>_xll.qlSimpleQuote(Currency&amp;$C35&amp;$D35&amp;$B35&amp;QuoteSuffix,,RateTickValue,Permanent,Trigger,ObjectOverwrite)</f>
        <v>EURAB6E30Y_Quote#0002</v>
      </c>
      <c r="G35" s="81" t="str">
        <f>_xll.ohRangeRetrieveError(F35)</f>
        <v/>
      </c>
      <c r="H35" s="54"/>
    </row>
    <row r="36" spans="1:8" x14ac:dyDescent="0.2">
      <c r="A36" s="130"/>
      <c r="B36" s="219" t="s">
        <v>82</v>
      </c>
      <c r="C36" s="84" t="str">
        <v>AB</v>
      </c>
      <c r="D36" s="84" t="str">
        <v>6E</v>
      </c>
      <c r="E36" s="82" t="str">
        <f t="shared" si="0"/>
        <v>EURAB6E35Y_Quote</v>
      </c>
      <c r="F36" s="82" t="str">
        <f>_xll.qlSimpleQuote(Currency&amp;$C36&amp;$D36&amp;$B36&amp;QuoteSuffix,,RateTickValue,Permanent,Trigger,ObjectOverwrite)</f>
        <v>EURAB6E35Y_Quote#0002</v>
      </c>
      <c r="G36" s="81" t="str">
        <f>_xll.ohRangeRetrieveError(F36)</f>
        <v/>
      </c>
      <c r="H36" s="54"/>
    </row>
    <row r="37" spans="1:8" x14ac:dyDescent="0.2">
      <c r="A37" s="130"/>
      <c r="B37" s="219" t="s">
        <v>77</v>
      </c>
      <c r="C37" s="84" t="str">
        <v>AB</v>
      </c>
      <c r="D37" s="84" t="str">
        <v>6E</v>
      </c>
      <c r="E37" s="82" t="str">
        <f t="shared" si="0"/>
        <v>EURAB6E40Y_Quote</v>
      </c>
      <c r="F37" s="82" t="str">
        <f>_xll.qlSimpleQuote(Currency&amp;$C37&amp;$D37&amp;$B37&amp;QuoteSuffix,,RateTickValue,Permanent,Trigger,ObjectOverwrite)</f>
        <v>EURAB6E40Y_Quote#0002</v>
      </c>
      <c r="G37" s="81" t="str">
        <f>_xll.ohRangeRetrieveError(F37)</f>
        <v/>
      </c>
      <c r="H37" s="54"/>
    </row>
    <row r="38" spans="1:8" x14ac:dyDescent="0.2">
      <c r="A38" s="130"/>
      <c r="B38" s="219" t="s">
        <v>67</v>
      </c>
      <c r="C38" s="84" t="str">
        <v>AB</v>
      </c>
      <c r="D38" s="84" t="str">
        <v>6E</v>
      </c>
      <c r="E38" s="82" t="str">
        <f t="shared" si="0"/>
        <v>EURAB6E50Y_Quote</v>
      </c>
      <c r="F38" s="82" t="str">
        <f>_xll.qlSimpleQuote(Currency&amp;$C38&amp;$D38&amp;$B38&amp;QuoteSuffix,,RateTickValue,Permanent,Trigger,ObjectOverwrite)</f>
        <v>EURAB6E50Y_Quote#0002</v>
      </c>
      <c r="G38" s="81" t="str">
        <f>_xll.ohRangeRetrieveError(F38)</f>
        <v/>
      </c>
      <c r="H38" s="54"/>
    </row>
    <row r="39" spans="1:8" x14ac:dyDescent="0.2">
      <c r="A39" s="130"/>
      <c r="B39" s="219" t="s">
        <v>57</v>
      </c>
      <c r="C39" s="84" t="str">
        <v>AB</v>
      </c>
      <c r="D39" s="84" t="str">
        <v>6E</v>
      </c>
      <c r="E39" s="82" t="str">
        <f t="shared" si="0"/>
        <v>EURAB6E60Y_Quote</v>
      </c>
      <c r="F39" s="82" t="str">
        <f>_xll.qlSimpleQuote(Currency&amp;$C39&amp;$D39&amp;$B39&amp;QuoteSuffix,,RateTickValue,Permanent,Trigger,ObjectOverwrite)</f>
        <v>EURAB6E60Y_Quote#0002</v>
      </c>
      <c r="G39" s="81" t="str">
        <f>_xll.ohRangeRetrieveError(F39)</f>
        <v/>
      </c>
      <c r="H39" s="54"/>
    </row>
    <row r="40" spans="1:8" ht="12" thickBot="1" x14ac:dyDescent="0.25">
      <c r="A40" s="218"/>
      <c r="B40" s="217"/>
      <c r="C40" s="217"/>
      <c r="D40" s="217"/>
      <c r="E40" s="217"/>
      <c r="F40" s="217"/>
      <c r="G40" s="217"/>
      <c r="H40" s="51"/>
    </row>
  </sheetData>
  <pageMargins left="0.75" right="0.75" top="1" bottom="1" header="0.5" footer="0.5"/>
  <pageSetup paperSize="9" orientation="portrait" r:id="rId1"/>
  <headerFooter alignWithMargins="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E18"/>
  <sheetViews>
    <sheetView workbookViewId="0"/>
  </sheetViews>
  <sheetFormatPr defaultColWidth="8" defaultRowHeight="11.25" x14ac:dyDescent="0.2"/>
  <cols>
    <col min="1" max="1" width="3.28515625" style="107" customWidth="1"/>
    <col min="2" max="2" width="4.28515625" style="107" customWidth="1"/>
    <col min="3" max="3" width="15.5703125" style="107" bestFit="1" customWidth="1"/>
    <col min="4" max="4" width="86.42578125" style="107" bestFit="1" customWidth="1"/>
    <col min="5" max="5" width="3.7109375" style="107" customWidth="1"/>
    <col min="6" max="6" width="35.28515625" style="107" customWidth="1"/>
    <col min="7" max="7" width="4.28515625" style="107" customWidth="1"/>
    <col min="8" max="16384" width="8" style="107"/>
  </cols>
  <sheetData>
    <row r="1" spans="1:5" ht="13.5" thickBot="1" x14ac:dyDescent="0.25">
      <c r="A1" s="107" t="s">
        <v>207</v>
      </c>
      <c r="B1" s="110" t="str">
        <f>_xll.qlxlVersion(TRUE,Trigger)</f>
        <v>QuantLibXL 1.3.0 - MS VC++ 9.0 - Multithreaded Static Runtime library - Release Configuration - Dec  5 2013 11:03:51</v>
      </c>
    </row>
    <row r="2" spans="1:5" s="1" customFormat="1" ht="15.75" x14ac:dyDescent="0.25">
      <c r="A2" s="23"/>
      <c r="B2" s="455" t="s">
        <v>150</v>
      </c>
      <c r="C2" s="456"/>
      <c r="D2" s="456"/>
      <c r="E2" s="457"/>
    </row>
    <row r="3" spans="1:5" s="1" customFormat="1" ht="12.75" x14ac:dyDescent="0.2">
      <c r="A3" s="23"/>
      <c r="B3" s="9"/>
      <c r="C3" s="13"/>
      <c r="D3" s="13"/>
      <c r="E3" s="5"/>
    </row>
    <row r="4" spans="1:5" s="1" customFormat="1" ht="12.75" x14ac:dyDescent="0.2">
      <c r="A4" s="23"/>
      <c r="B4" s="9"/>
      <c r="C4" s="16" t="s">
        <v>31</v>
      </c>
      <c r="D4" s="15"/>
      <c r="E4" s="14"/>
    </row>
    <row r="5" spans="1:5" s="1" customFormat="1" ht="12.75" x14ac:dyDescent="0.2">
      <c r="A5" s="23"/>
      <c r="B5" s="9"/>
      <c r="C5" s="16" t="s">
        <v>30</v>
      </c>
      <c r="D5" s="15" t="b">
        <v>1</v>
      </c>
      <c r="E5" s="14"/>
    </row>
    <row r="6" spans="1:5" s="1" customFormat="1" ht="12.75" x14ac:dyDescent="0.2">
      <c r="A6" s="23"/>
      <c r="B6" s="9"/>
      <c r="C6" s="16" t="s">
        <v>29</v>
      </c>
      <c r="D6" s="15" t="b">
        <v>0</v>
      </c>
      <c r="E6" s="14"/>
    </row>
    <row r="7" spans="1:5" s="1" customFormat="1" ht="12.75" x14ac:dyDescent="0.2">
      <c r="A7" s="23"/>
      <c r="B7" s="9"/>
      <c r="C7" s="16" t="s">
        <v>28</v>
      </c>
      <c r="D7" s="15" t="b">
        <v>1</v>
      </c>
      <c r="E7" s="14"/>
    </row>
    <row r="8" spans="1:5" s="1" customFormat="1" ht="12.75" x14ac:dyDescent="0.2">
      <c r="A8" s="23"/>
      <c r="B8" s="9"/>
      <c r="C8" s="16" t="s">
        <v>27</v>
      </c>
      <c r="D8" s="25" t="str">
        <f ca="1">SUBSTITUTE(LEFT(CELL("filename",A1),FIND("[",CELL("filename",A1),1)-1),"\XLS\","\XML\")</f>
        <v>C:\Users\erik\Documents\repos\quantlib_nando\QuantLibXL\Data2\XML\</v>
      </c>
      <c r="E8" s="14"/>
    </row>
    <row r="9" spans="1:5" s="1" customFormat="1" ht="12.75" x14ac:dyDescent="0.2">
      <c r="A9" s="23"/>
      <c r="B9" s="9"/>
      <c r="C9" s="16" t="s">
        <v>26</v>
      </c>
      <c r="D9" s="24" t="b">
        <v>1</v>
      </c>
      <c r="E9" s="14"/>
    </row>
    <row r="10" spans="1:5" s="1" customFormat="1" ht="13.5" thickBot="1" x14ac:dyDescent="0.25">
      <c r="A10" s="23"/>
      <c r="B10" s="4"/>
      <c r="C10" s="3"/>
      <c r="D10" s="3"/>
      <c r="E10" s="2"/>
    </row>
    <row r="11" spans="1:5" ht="12" thickBot="1" x14ac:dyDescent="0.25"/>
    <row r="12" spans="1:5" ht="15.75" x14ac:dyDescent="0.25">
      <c r="B12" s="455" t="s">
        <v>149</v>
      </c>
      <c r="C12" s="456"/>
      <c r="D12" s="456"/>
      <c r="E12" s="457"/>
    </row>
    <row r="13" spans="1:5" x14ac:dyDescent="0.2">
      <c r="B13" s="9"/>
      <c r="C13" s="13"/>
      <c r="D13" s="13"/>
      <c r="E13" s="5"/>
    </row>
    <row r="14" spans="1:5" x14ac:dyDescent="0.2">
      <c r="B14" s="9"/>
      <c r="C14" s="16" t="s">
        <v>25</v>
      </c>
      <c r="D14" s="15" t="s">
        <v>123</v>
      </c>
      <c r="E14" s="14"/>
    </row>
    <row r="15" spans="1:5" x14ac:dyDescent="0.2">
      <c r="B15" s="9"/>
      <c r="C15" s="16" t="s">
        <v>148</v>
      </c>
      <c r="D15" s="24" t="s">
        <v>147</v>
      </c>
      <c r="E15" s="14"/>
    </row>
    <row r="16" spans="1:5" x14ac:dyDescent="0.2">
      <c r="B16" s="9"/>
      <c r="C16" s="16" t="s">
        <v>146</v>
      </c>
      <c r="D16" s="109">
        <v>1E-4</v>
      </c>
      <c r="E16" s="14"/>
    </row>
    <row r="17" spans="2:5" x14ac:dyDescent="0.2">
      <c r="B17" s="9"/>
      <c r="C17" s="16" t="s">
        <v>145</v>
      </c>
      <c r="D17" s="108">
        <v>-0.01</v>
      </c>
      <c r="E17" s="14"/>
    </row>
    <row r="18" spans="2:5" ht="12" thickBot="1" x14ac:dyDescent="0.25">
      <c r="B18" s="4"/>
      <c r="C18" s="3"/>
      <c r="D18" s="3"/>
      <c r="E18" s="2"/>
    </row>
  </sheetData>
  <mergeCells count="2">
    <mergeCell ref="B2:E2"/>
    <mergeCell ref="B12:E12"/>
  </mergeCells>
  <dataValidations count="1">
    <dataValidation type="list" allowBlank="1" showInputMessage="1" showErrorMessage="1" sqref="D14">
      <formula1>"EUR,USD,GBP,JPY,CHF"</formula1>
    </dataValidation>
  </dataValidations>
  <pageMargins left="0.75" right="0.75" top="1" bottom="1" header="0.5" footer="0.5"/>
  <pageSetup paperSize="9" orientation="portrait" r:id="rId1"/>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F5"/>
  <sheetViews>
    <sheetView workbookViewId="0"/>
  </sheetViews>
  <sheetFormatPr defaultRowHeight="11.25" x14ac:dyDescent="0.2"/>
  <cols>
    <col min="1" max="1" width="5" style="74" customWidth="1"/>
    <col min="2" max="2" width="6.140625" style="74" bestFit="1" customWidth="1"/>
    <col min="3" max="3" width="25.42578125" style="74" bestFit="1" customWidth="1"/>
    <col min="4" max="4" width="26.7109375" style="74" bestFit="1" customWidth="1"/>
    <col min="5" max="5" width="36.85546875" style="74" bestFit="1" customWidth="1"/>
    <col min="6" max="6" width="5" style="74" customWidth="1"/>
    <col min="7" max="16384" width="9.140625" style="74"/>
  </cols>
  <sheetData>
    <row r="1" spans="1:6" x14ac:dyDescent="0.2">
      <c r="A1" s="165" t="s">
        <v>211</v>
      </c>
      <c r="B1" s="233">
        <v>1</v>
      </c>
      <c r="C1" s="234" t="s">
        <v>125</v>
      </c>
      <c r="D1" s="233"/>
      <c r="E1" s="233"/>
      <c r="F1" s="232"/>
    </row>
    <row r="2" spans="1:6" x14ac:dyDescent="0.2">
      <c r="A2" s="130"/>
      <c r="B2" s="231"/>
      <c r="C2" s="230" t="str">
        <f>Currency&amp;"_015_SyntheticQuotes"&amp;Tenor&amp;".xml"</f>
        <v>EUR_015_SyntheticQuotesON.xml</v>
      </c>
      <c r="D2" s="10">
        <f ca="1">IF(Serialize,_xll.ohObjectSave(D3:D4,SerializationPath&amp;C2,FileOverwrite,Serialize),"---")</f>
        <v>2</v>
      </c>
      <c r="E2" s="7" t="str">
        <f ca="1">_xll.ohRangeRetrieveError(D2)</f>
        <v/>
      </c>
      <c r="F2" s="225"/>
    </row>
    <row r="3" spans="1:6" x14ac:dyDescent="0.2">
      <c r="A3" s="130"/>
      <c r="B3" s="229" t="s">
        <v>209</v>
      </c>
      <c r="C3" s="133" t="str">
        <f>Currency&amp;$B3&amp;"_SYNTH"&amp;Tenor&amp;QuoteSuffix</f>
        <v>EURTOY_SYNTHON_Quote</v>
      </c>
      <c r="D3" s="135" t="str">
        <f>_xll.qlSimpleQuote(C3,1,RateTickValue,Permanent,Trigger,ObjectOverwrite)</f>
        <v>EURTOY_SYNTHON_Quote#0002</v>
      </c>
      <c r="E3" s="228" t="str">
        <f>_xll.ohRangeRetrieveError(D3)</f>
        <v/>
      </c>
      <c r="F3" s="225"/>
    </row>
    <row r="4" spans="1:6" x14ac:dyDescent="0.2">
      <c r="A4" s="130"/>
      <c r="B4" s="227" t="s">
        <v>208</v>
      </c>
      <c r="C4" s="126" t="str">
        <f>Currency&amp;$B4&amp;"_SYNTH"&amp;Tenor&amp;QuoteSuffix</f>
        <v>EURTOY2_SYNTHON_Quote</v>
      </c>
      <c r="D4" s="131" t="str">
        <f>_xll.qlSimpleQuote(C4,1,RateTickValue,Permanent,Trigger,ObjectOverwrite)</f>
        <v>EURTOY2_SYNTHON_Quote#0002</v>
      </c>
      <c r="E4" s="226" t="str">
        <f>_xll.ohRangeRetrieveError(D4)</f>
        <v/>
      </c>
      <c r="F4" s="225"/>
    </row>
    <row r="5" spans="1:6" ht="12" thickBot="1" x14ac:dyDescent="0.25">
      <c r="A5" s="53"/>
      <c r="B5" s="52"/>
      <c r="C5" s="52"/>
      <c r="D5" s="52"/>
      <c r="E5" s="52"/>
      <c r="F5" s="51"/>
    </row>
  </sheetData>
  <pageMargins left="0.75" right="0.75" top="1" bottom="1" header="0.5" footer="0.5"/>
  <pageSetup orientation="portrait" r:id="rId1"/>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F12"/>
  <sheetViews>
    <sheetView workbookViewId="0"/>
  </sheetViews>
  <sheetFormatPr defaultRowHeight="11.25" x14ac:dyDescent="0.2"/>
  <cols>
    <col min="1" max="1" width="5" style="74" customWidth="1"/>
    <col min="2" max="2" width="6.140625" style="74" bestFit="1" customWidth="1"/>
    <col min="3" max="3" width="25.42578125" style="74" bestFit="1" customWidth="1"/>
    <col min="4" max="4" width="26.7109375" style="74" bestFit="1" customWidth="1"/>
    <col min="5" max="5" width="36.85546875" style="74" bestFit="1" customWidth="1"/>
    <col min="6" max="6" width="5" style="74" customWidth="1"/>
    <col min="7" max="16384" width="9.140625" style="74"/>
  </cols>
  <sheetData>
    <row r="1" spans="1:6" x14ac:dyDescent="0.2">
      <c r="A1" s="165" t="s">
        <v>211</v>
      </c>
      <c r="B1" s="233">
        <v>1</v>
      </c>
      <c r="C1" s="234" t="str">
        <f>_xll.qlPeriodEquivalent(Months&amp;"M")</f>
        <v>1M</v>
      </c>
      <c r="D1" s="233"/>
      <c r="E1" s="233"/>
      <c r="F1" s="232"/>
    </row>
    <row r="2" spans="1:6" x14ac:dyDescent="0.2">
      <c r="A2" s="130"/>
      <c r="B2" s="231"/>
      <c r="C2" s="230" t="str">
        <f>Currency&amp;"_015_SyntheticQuotes"&amp;Tenor&amp;".xml"</f>
        <v>EUR_015_SyntheticQuotes1M.xml</v>
      </c>
      <c r="D2" s="10">
        <f ca="1">IF(Serialize,_xll.ohObjectSave(D3:D11,SerializationPath&amp;C2,FileOverwrite,Serialize),"---")</f>
        <v>9</v>
      </c>
      <c r="E2" s="7" t="str">
        <f ca="1">_xll.ohRangeRetrieveError(D2)</f>
        <v/>
      </c>
      <c r="F2" s="225"/>
    </row>
    <row r="3" spans="1:6" x14ac:dyDescent="0.2">
      <c r="A3" s="130"/>
      <c r="B3" s="237" t="s">
        <v>169</v>
      </c>
      <c r="C3" s="137" t="str">
        <f t="shared" ref="C3:C11" si="0">Currency&amp;$B3&amp;"_SYNTH"&amp;Tenor&amp;QuoteSuffix</f>
        <v>EUROND_SYNTH1M_Quote</v>
      </c>
      <c r="D3" s="139" t="str">
        <f>_xll.qlSimpleQuote(C3,,RateTickValue,Permanent,Trigger,ObjectOverwrite)</f>
        <v>EUROND_SYNTH1M_Quote#0002</v>
      </c>
      <c r="E3" s="235" t="str">
        <f>_xll.ohRangeRetrieveError(D3)</f>
        <v/>
      </c>
      <c r="F3" s="225"/>
    </row>
    <row r="4" spans="1:6" x14ac:dyDescent="0.2">
      <c r="A4" s="130"/>
      <c r="B4" s="237" t="s">
        <v>168</v>
      </c>
      <c r="C4" s="137" t="str">
        <f t="shared" si="0"/>
        <v>EURTND_SYNTH1M_Quote</v>
      </c>
      <c r="D4" s="139" t="str">
        <f>_xll.qlSimpleQuote(C4,,RateTickValue,Permanent,Trigger,ObjectOverwrite)</f>
        <v>EURTND_SYNTH1M_Quote#0002</v>
      </c>
      <c r="E4" s="235" t="str">
        <f>_xll.ohRangeRetrieveError(D4)</f>
        <v/>
      </c>
      <c r="F4" s="225"/>
    </row>
    <row r="5" spans="1:6" x14ac:dyDescent="0.2">
      <c r="A5" s="130"/>
      <c r="B5" s="237" t="s">
        <v>167</v>
      </c>
      <c r="C5" s="137" t="str">
        <f t="shared" si="0"/>
        <v>EURSND_SYNTH1M_Quote</v>
      </c>
      <c r="D5" s="139" t="str">
        <f>_xll.qlSimpleQuote(C5,,RateTickValue,Permanent,Trigger,ObjectOverwrite)</f>
        <v>EURSND_SYNTH1M_Quote#0002</v>
      </c>
      <c r="E5" s="235" t="str">
        <f>_xll.ohRangeRetrieveError(D5)</f>
        <v/>
      </c>
      <c r="F5" s="225"/>
    </row>
    <row r="6" spans="1:6" x14ac:dyDescent="0.2">
      <c r="A6" s="130"/>
      <c r="B6" s="237" t="s">
        <v>166</v>
      </c>
      <c r="C6" s="137" t="str">
        <f t="shared" si="0"/>
        <v>EURSWD_SYNTH1M_Quote</v>
      </c>
      <c r="D6" s="139" t="str">
        <f>_xll.qlSimpleQuote(C6,,RateTickValue,Permanent,Trigger,ObjectOverwrite)</f>
        <v>EURSWD_SYNTH1M_Quote#0002</v>
      </c>
      <c r="E6" s="235" t="str">
        <f>_xll.ohRangeRetrieveError(D6)</f>
        <v/>
      </c>
      <c r="F6" s="225"/>
    </row>
    <row r="7" spans="1:6" x14ac:dyDescent="0.2">
      <c r="A7" s="130"/>
      <c r="B7" s="237" t="s">
        <v>165</v>
      </c>
      <c r="C7" s="137" t="str">
        <f t="shared" si="0"/>
        <v>EUR2WD_SYNTH1M_Quote</v>
      </c>
      <c r="D7" s="139" t="str">
        <f>_xll.qlSimpleQuote(C7,,RateTickValue,Permanent,Trigger,ObjectOverwrite)</f>
        <v>EUR2WD_SYNTH1M_Quote#0002</v>
      </c>
      <c r="E7" s="235" t="str">
        <f>_xll.ohRangeRetrieveError(D7)</f>
        <v/>
      </c>
      <c r="F7" s="225"/>
    </row>
    <row r="8" spans="1:6" x14ac:dyDescent="0.2">
      <c r="A8" s="130"/>
      <c r="B8" s="237" t="s">
        <v>164</v>
      </c>
      <c r="C8" s="137" t="str">
        <f t="shared" si="0"/>
        <v>EUR3WD_SYNTH1M_Quote</v>
      </c>
      <c r="D8" s="139" t="str">
        <f>_xll.qlSimpleQuote(C8,,RateTickValue,Permanent,Trigger,ObjectOverwrite)</f>
        <v>EUR3WD_SYNTH1M_Quote#0002</v>
      </c>
      <c r="E8" s="235" t="str">
        <f>_xll.ohRangeRetrieveError(D8)</f>
        <v/>
      </c>
      <c r="F8" s="225"/>
    </row>
    <row r="9" spans="1:6" x14ac:dyDescent="0.2">
      <c r="A9" s="130"/>
      <c r="B9" s="236" t="s">
        <v>163</v>
      </c>
      <c r="C9" s="137" t="str">
        <f t="shared" si="0"/>
        <v>EUR1MD_SYNTH1M_Quote</v>
      </c>
      <c r="D9" s="137" t="str">
        <f>_xll.qlSimpleQuote(C9,,RateTickValue,Permanent,Trigger,ObjectOverwrite)</f>
        <v>EUR1MD_SYNTH1M_Quote#0002</v>
      </c>
      <c r="E9" s="235" t="str">
        <f>_xll.ohRangeRetrieveError(D9)</f>
        <v/>
      </c>
      <c r="F9" s="225"/>
    </row>
    <row r="10" spans="1:6" x14ac:dyDescent="0.2">
      <c r="A10" s="130"/>
      <c r="B10" s="229" t="s">
        <v>209</v>
      </c>
      <c r="C10" s="133" t="str">
        <f t="shared" si="0"/>
        <v>EURTOY_SYNTH1M_Quote</v>
      </c>
      <c r="D10" s="135" t="str">
        <f>_xll.qlSimpleQuote(C10,1,RateTickValue,Permanent,Trigger,ObjectOverwrite)</f>
        <v>EURTOY_SYNTH1M_Quote#0002</v>
      </c>
      <c r="E10" s="228" t="str">
        <f>_xll.ohRangeRetrieveError(D10)</f>
        <v/>
      </c>
      <c r="F10" s="225"/>
    </row>
    <row r="11" spans="1:6" x14ac:dyDescent="0.2">
      <c r="A11" s="130"/>
      <c r="B11" s="227" t="s">
        <v>208</v>
      </c>
      <c r="C11" s="126" t="str">
        <f t="shared" si="0"/>
        <v>EURTOY2_SYNTH1M_Quote</v>
      </c>
      <c r="D11" s="131" t="str">
        <f>_xll.qlSimpleQuote(C11,1,RateTickValue,Permanent,Trigger,ObjectOverwrite)</f>
        <v>EURTOY2_SYNTH1M_Quote#0002</v>
      </c>
      <c r="E11" s="226" t="str">
        <f>_xll.ohRangeRetrieveError(D11)</f>
        <v/>
      </c>
      <c r="F11" s="225"/>
    </row>
    <row r="12" spans="1:6" ht="12" thickBot="1" x14ac:dyDescent="0.25">
      <c r="A12" s="53"/>
      <c r="B12" s="52"/>
      <c r="C12" s="52"/>
      <c r="D12" s="52"/>
      <c r="E12" s="52"/>
      <c r="F12" s="51"/>
    </row>
  </sheetData>
  <pageMargins left="0.75" right="0.75" top="1" bottom="1" header="0.5" footer="0.5"/>
  <pageSetup orientation="portrait" r:id="rId1"/>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F14"/>
  <sheetViews>
    <sheetView workbookViewId="0"/>
  </sheetViews>
  <sheetFormatPr defaultRowHeight="11.25" x14ac:dyDescent="0.2"/>
  <cols>
    <col min="1" max="1" width="5" style="74" customWidth="1"/>
    <col min="2" max="2" width="6.140625" style="74" bestFit="1" customWidth="1"/>
    <col min="3" max="3" width="25.42578125" style="74" bestFit="1" customWidth="1"/>
    <col min="4" max="4" width="26.7109375" style="74" bestFit="1" customWidth="1"/>
    <col min="5" max="5" width="36.85546875" style="74" bestFit="1" customWidth="1"/>
    <col min="6" max="6" width="5" style="74" customWidth="1"/>
    <col min="7" max="16384" width="9.140625" style="74"/>
  </cols>
  <sheetData>
    <row r="1" spans="1:6" x14ac:dyDescent="0.2">
      <c r="A1" s="165" t="s">
        <v>211</v>
      </c>
      <c r="B1" s="233">
        <v>3</v>
      </c>
      <c r="C1" s="234" t="str">
        <f>_xll.qlPeriodEquivalent(Months&amp;"M")</f>
        <v>3M</v>
      </c>
      <c r="D1" s="233"/>
      <c r="E1" s="233"/>
      <c r="F1" s="232"/>
    </row>
    <row r="2" spans="1:6" x14ac:dyDescent="0.2">
      <c r="A2" s="130"/>
      <c r="B2" s="243"/>
      <c r="C2" s="230" t="str">
        <f>Currency&amp;"_015_SyntheticQuotes"&amp;Tenor&amp;".xml"</f>
        <v>EUR_015_SyntheticQuotes3M.xml</v>
      </c>
      <c r="D2" s="10">
        <f ca="1">IF(Serialize,_xll.ohObjectSave(D3:D13,SerializationPath&amp;C2,FileOverwrite,Serialize),"---")</f>
        <v>11</v>
      </c>
      <c r="E2" s="7" t="str">
        <f ca="1">_xll.ohRangeRetrieveError(D2)</f>
        <v/>
      </c>
      <c r="F2" s="225"/>
    </row>
    <row r="3" spans="1:6" x14ac:dyDescent="0.2">
      <c r="A3" s="130"/>
      <c r="B3" s="237" t="s">
        <v>169</v>
      </c>
      <c r="C3" s="137" t="str">
        <f t="shared" ref="C3:C13" si="0">Currency&amp;$B3&amp;"_SYNTH"&amp;Tenor&amp;QuoteSuffix</f>
        <v>EUROND_SYNTH3M_Quote</v>
      </c>
      <c r="D3" s="137" t="str">
        <f>_xll.qlSimpleQuote(C3,,RateTickValue,Permanent,Trigger,ObjectOverwrite)</f>
        <v>EUROND_SYNTH3M_Quote#0002</v>
      </c>
      <c r="E3" s="242" t="str">
        <f>_xll.ohRangeRetrieveError(D3)</f>
        <v/>
      </c>
      <c r="F3" s="225"/>
    </row>
    <row r="4" spans="1:6" x14ac:dyDescent="0.2">
      <c r="A4" s="130"/>
      <c r="B4" s="237" t="s">
        <v>168</v>
      </c>
      <c r="C4" s="137" t="str">
        <f t="shared" si="0"/>
        <v>EURTND_SYNTH3M_Quote</v>
      </c>
      <c r="D4" s="137" t="str">
        <f>_xll.qlSimpleQuote(C4,,RateTickValue,Permanent,Trigger,ObjectOverwrite)</f>
        <v>EURTND_SYNTH3M_Quote#0002</v>
      </c>
      <c r="E4" s="242" t="str">
        <f>_xll.ohRangeRetrieveError(D4)</f>
        <v/>
      </c>
      <c r="F4" s="225"/>
    </row>
    <row r="5" spans="1:6" x14ac:dyDescent="0.2">
      <c r="A5" s="130"/>
      <c r="B5" s="236" t="s">
        <v>167</v>
      </c>
      <c r="C5" s="137" t="str">
        <f t="shared" si="0"/>
        <v>EURSND_SYNTH3M_Quote</v>
      </c>
      <c r="D5" s="137" t="str">
        <f>_xll.qlSimpleQuote(C5,,RateTickValue,Permanent,Trigger,ObjectOverwrite)</f>
        <v>EURSND_SYNTH3M_Quote#0002</v>
      </c>
      <c r="E5" s="242" t="str">
        <f>_xll.ohRangeRetrieveError(D5)</f>
        <v/>
      </c>
      <c r="F5" s="225"/>
    </row>
    <row r="6" spans="1:6" x14ac:dyDescent="0.2">
      <c r="A6" s="130"/>
      <c r="B6" s="236" t="s">
        <v>166</v>
      </c>
      <c r="C6" s="137" t="str">
        <f t="shared" si="0"/>
        <v>EURSWD_SYNTH3M_Quote</v>
      </c>
      <c r="D6" s="137" t="str">
        <f>_xll.qlSimpleQuote(C6,,RateTickValue,Permanent,Trigger,ObjectOverwrite)</f>
        <v>EURSWD_SYNTH3M_Quote#0002</v>
      </c>
      <c r="E6" s="242" t="str">
        <f>_xll.ohRangeRetrieveError(D6)</f>
        <v/>
      </c>
      <c r="F6" s="225"/>
    </row>
    <row r="7" spans="1:6" x14ac:dyDescent="0.2">
      <c r="A7" s="130"/>
      <c r="B7" s="236" t="s">
        <v>165</v>
      </c>
      <c r="C7" s="137" t="str">
        <f t="shared" si="0"/>
        <v>EUR2WD_SYNTH3M_Quote</v>
      </c>
      <c r="D7" s="137" t="str">
        <f>_xll.qlSimpleQuote(C7,,RateTickValue,Permanent,Trigger,ObjectOverwrite)</f>
        <v>EUR2WD_SYNTH3M_Quote#0002</v>
      </c>
      <c r="E7" s="242" t="str">
        <f>_xll.ohRangeRetrieveError(D7)</f>
        <v/>
      </c>
      <c r="F7" s="225"/>
    </row>
    <row r="8" spans="1:6" x14ac:dyDescent="0.2">
      <c r="A8" s="130"/>
      <c r="B8" s="236" t="s">
        <v>164</v>
      </c>
      <c r="C8" s="137" t="str">
        <f t="shared" si="0"/>
        <v>EUR3WD_SYNTH3M_Quote</v>
      </c>
      <c r="D8" s="137" t="str">
        <f>_xll.qlSimpleQuote(C8,,RateTickValue,Permanent,Trigger,ObjectOverwrite)</f>
        <v>EUR3WD_SYNTH3M_Quote#0002</v>
      </c>
      <c r="E8" s="242" t="str">
        <f>_xll.ohRangeRetrieveError(D8)</f>
        <v/>
      </c>
      <c r="F8" s="225"/>
    </row>
    <row r="9" spans="1:6" x14ac:dyDescent="0.2">
      <c r="A9" s="130"/>
      <c r="B9" s="236" t="s">
        <v>163</v>
      </c>
      <c r="C9" s="137" t="str">
        <f t="shared" si="0"/>
        <v>EUR1MD_SYNTH3M_Quote</v>
      </c>
      <c r="D9" s="137" t="str">
        <f>_xll.qlSimpleQuote(C9,,RateTickValue,Permanent,Trigger,ObjectOverwrite)</f>
        <v>EUR1MD_SYNTH3M_Quote#0002</v>
      </c>
      <c r="E9" s="242" t="str">
        <f>_xll.ohRangeRetrieveError(D9)</f>
        <v/>
      </c>
      <c r="F9" s="225"/>
    </row>
    <row r="10" spans="1:6" x14ac:dyDescent="0.2">
      <c r="A10" s="130"/>
      <c r="B10" s="236" t="s">
        <v>162</v>
      </c>
      <c r="C10" s="137" t="str">
        <f t="shared" si="0"/>
        <v>EUR2MD_SYNTH3M_Quote</v>
      </c>
      <c r="D10" s="137" t="str">
        <f>_xll.qlSimpleQuote(C10,,RateTickValue,Permanent,Trigger,ObjectOverwrite)</f>
        <v>EUR2MD_SYNTH3M_Quote#0002</v>
      </c>
      <c r="E10" s="242" t="str">
        <f>_xll.ohRangeRetrieveError(D10)</f>
        <v/>
      </c>
      <c r="F10" s="225"/>
    </row>
    <row r="11" spans="1:6" x14ac:dyDescent="0.2">
      <c r="A11" s="130"/>
      <c r="B11" s="236" t="s">
        <v>161</v>
      </c>
      <c r="C11" s="137" t="str">
        <f t="shared" si="0"/>
        <v>EUR3MD_SYNTH3M_Quote</v>
      </c>
      <c r="D11" s="137" t="str">
        <f>_xll.qlSimpleQuote(C11,,RateTickValue,Permanent,Trigger,ObjectOverwrite)</f>
        <v>EUR3MD_SYNTH3M_Quote#0002</v>
      </c>
      <c r="E11" s="242" t="str">
        <f>_xll.ohRangeRetrieveError(D11)</f>
        <v/>
      </c>
      <c r="F11" s="225"/>
    </row>
    <row r="12" spans="1:6" x14ac:dyDescent="0.2">
      <c r="A12" s="130"/>
      <c r="B12" s="241" t="s">
        <v>209</v>
      </c>
      <c r="C12" s="133" t="str">
        <f t="shared" si="0"/>
        <v>EURTOY_SYNTH3M_Quote</v>
      </c>
      <c r="D12" s="133" t="str">
        <f>_xll.qlSimpleQuote(C12,1,RateTickValue,Permanent,Trigger,ObjectOverwrite)</f>
        <v>EURTOY_SYNTH3M_Quote#0002</v>
      </c>
      <c r="E12" s="240" t="str">
        <f>_xll.ohRangeRetrieveError(D12)</f>
        <v/>
      </c>
      <c r="F12" s="225"/>
    </row>
    <row r="13" spans="1:6" x14ac:dyDescent="0.2">
      <c r="A13" s="130"/>
      <c r="B13" s="239" t="s">
        <v>208</v>
      </c>
      <c r="C13" s="126" t="str">
        <f t="shared" si="0"/>
        <v>EURTOY2_SYNTH3M_Quote</v>
      </c>
      <c r="D13" s="126" t="str">
        <f>_xll.qlSimpleQuote(C13,1,RateTickValue,Permanent,Trigger,ObjectOverwrite)</f>
        <v>EURTOY2_SYNTH3M_Quote#0002</v>
      </c>
      <c r="E13" s="238" t="str">
        <f>_xll.ohRangeRetrieveError(D13)</f>
        <v/>
      </c>
      <c r="F13" s="225"/>
    </row>
    <row r="14" spans="1:6" ht="12" thickBot="1" x14ac:dyDescent="0.25">
      <c r="A14" s="53"/>
      <c r="B14" s="52"/>
      <c r="C14" s="52"/>
      <c r="D14" s="52"/>
      <c r="E14" s="52"/>
      <c r="F14" s="51"/>
    </row>
  </sheetData>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F17"/>
  <sheetViews>
    <sheetView workbookViewId="0"/>
  </sheetViews>
  <sheetFormatPr defaultRowHeight="11.25" x14ac:dyDescent="0.2"/>
  <cols>
    <col min="1" max="1" width="5" style="74" customWidth="1"/>
    <col min="2" max="2" width="7.28515625" style="74" bestFit="1" customWidth="1"/>
    <col min="3" max="3" width="25.42578125" style="74" bestFit="1" customWidth="1"/>
    <col min="4" max="4" width="26.7109375" style="74" bestFit="1" customWidth="1"/>
    <col min="5" max="5" width="36.85546875" style="74" bestFit="1" customWidth="1"/>
    <col min="6" max="6" width="5" style="74" customWidth="1"/>
    <col min="7" max="16384" width="9.140625" style="74"/>
  </cols>
  <sheetData>
    <row r="1" spans="1:6" x14ac:dyDescent="0.2">
      <c r="A1" s="165" t="s">
        <v>211</v>
      </c>
      <c r="B1" s="233">
        <v>6</v>
      </c>
      <c r="C1" s="234" t="str">
        <f>_xll.qlPeriodEquivalent(Months&amp;"M")</f>
        <v>6M</v>
      </c>
      <c r="D1" s="233"/>
      <c r="E1" s="233"/>
      <c r="F1" s="232"/>
    </row>
    <row r="2" spans="1:6" x14ac:dyDescent="0.2">
      <c r="A2" s="130"/>
      <c r="B2" s="231"/>
      <c r="C2" s="230" t="str">
        <f>Currency&amp;"_015_SyntheticQuotes"&amp;Tenor&amp;".xml"</f>
        <v>EUR_015_SyntheticQuotes6M.xml</v>
      </c>
      <c r="D2" s="10">
        <f ca="1">IF(Serialize,_xll.ohObjectSave(D3:D16,SerializationPath&amp;C2,FileOverwrite,Serialize),"---")</f>
        <v>14</v>
      </c>
      <c r="E2" s="7" t="str">
        <f ca="1">_xll.ohRangeRetrieveError(D2)</f>
        <v/>
      </c>
      <c r="F2" s="225"/>
    </row>
    <row r="3" spans="1:6" x14ac:dyDescent="0.2">
      <c r="A3" s="130"/>
      <c r="B3" s="229" t="s">
        <v>169</v>
      </c>
      <c r="C3" s="133" t="str">
        <f t="shared" ref="C3:C16" si="0">Currency&amp;$B3&amp;"_SYNTH"&amp;Tenor&amp;QuoteSuffix</f>
        <v>EUROND_SYNTH6M_Quote</v>
      </c>
      <c r="D3" s="133" t="str">
        <f>_xll.qlSimpleQuote(C3,,RateTickValue,Permanent,Trigger,ObjectOverwrite)</f>
        <v>EUROND_SYNTH6M_Quote#0002</v>
      </c>
      <c r="E3" s="240" t="str">
        <f>_xll.ohRangeRetrieveError(D3)</f>
        <v/>
      </c>
      <c r="F3" s="225"/>
    </row>
    <row r="4" spans="1:6" x14ac:dyDescent="0.2">
      <c r="A4" s="130"/>
      <c r="B4" s="237" t="s">
        <v>168</v>
      </c>
      <c r="C4" s="137" t="str">
        <f t="shared" si="0"/>
        <v>EURTND_SYNTH6M_Quote</v>
      </c>
      <c r="D4" s="137" t="str">
        <f>_xll.qlSimpleQuote(C4,,RateTickValue,Permanent,Trigger,ObjectOverwrite)</f>
        <v>EURTND_SYNTH6M_Quote#0002</v>
      </c>
      <c r="E4" s="242" t="str">
        <f>_xll.ohRangeRetrieveError(D4)</f>
        <v/>
      </c>
      <c r="F4" s="225"/>
    </row>
    <row r="5" spans="1:6" x14ac:dyDescent="0.2">
      <c r="A5" s="130"/>
      <c r="B5" s="236" t="s">
        <v>167</v>
      </c>
      <c r="C5" s="137" t="str">
        <f t="shared" si="0"/>
        <v>EURSND_SYNTH6M_Quote</v>
      </c>
      <c r="D5" s="137" t="str">
        <f>_xll.qlSimpleQuote(C5,,RateTickValue,Permanent,Trigger,ObjectOverwrite)</f>
        <v>EURSND_SYNTH6M_Quote#0002</v>
      </c>
      <c r="E5" s="242" t="str">
        <f>_xll.ohRangeRetrieveError(D5)</f>
        <v/>
      </c>
      <c r="F5" s="225"/>
    </row>
    <row r="6" spans="1:6" x14ac:dyDescent="0.2">
      <c r="A6" s="130"/>
      <c r="B6" s="236" t="s">
        <v>166</v>
      </c>
      <c r="C6" s="137" t="str">
        <f t="shared" si="0"/>
        <v>EURSWD_SYNTH6M_Quote</v>
      </c>
      <c r="D6" s="137" t="str">
        <f>_xll.qlSimpleQuote(C6,,RateTickValue,Permanent,Trigger,ObjectOverwrite)</f>
        <v>EURSWD_SYNTH6M_Quote#0002</v>
      </c>
      <c r="E6" s="242" t="str">
        <f>_xll.ohRangeRetrieveError(D6)</f>
        <v/>
      </c>
      <c r="F6" s="225"/>
    </row>
    <row r="7" spans="1:6" x14ac:dyDescent="0.2">
      <c r="A7" s="130"/>
      <c r="B7" s="236" t="s">
        <v>165</v>
      </c>
      <c r="C7" s="137" t="str">
        <f t="shared" si="0"/>
        <v>EUR2WD_SYNTH6M_Quote</v>
      </c>
      <c r="D7" s="137" t="str">
        <f>_xll.qlSimpleQuote(C7,,RateTickValue,Permanent,Trigger,ObjectOverwrite)</f>
        <v>EUR2WD_SYNTH6M_Quote#0002</v>
      </c>
      <c r="E7" s="242" t="str">
        <f>_xll.ohRangeRetrieveError(D7)</f>
        <v/>
      </c>
      <c r="F7" s="225"/>
    </row>
    <row r="8" spans="1:6" x14ac:dyDescent="0.2">
      <c r="A8" s="130"/>
      <c r="B8" s="236" t="s">
        <v>164</v>
      </c>
      <c r="C8" s="137" t="str">
        <f t="shared" si="0"/>
        <v>EUR3WD_SYNTH6M_Quote</v>
      </c>
      <c r="D8" s="137" t="str">
        <f>_xll.qlSimpleQuote(C8,,RateTickValue,Permanent,Trigger,ObjectOverwrite)</f>
        <v>EUR3WD_SYNTH6M_Quote#0002</v>
      </c>
      <c r="E8" s="242" t="str">
        <f>_xll.ohRangeRetrieveError(D8)</f>
        <v/>
      </c>
      <c r="F8" s="225"/>
    </row>
    <row r="9" spans="1:6" x14ac:dyDescent="0.2">
      <c r="A9" s="130"/>
      <c r="B9" s="236" t="s">
        <v>163</v>
      </c>
      <c r="C9" s="137" t="str">
        <f t="shared" si="0"/>
        <v>EUR1MD_SYNTH6M_Quote</v>
      </c>
      <c r="D9" s="137" t="str">
        <f>_xll.qlSimpleQuote(C9,,RateTickValue,Permanent,Trigger,ObjectOverwrite)</f>
        <v>EUR1MD_SYNTH6M_Quote#0002</v>
      </c>
      <c r="E9" s="242" t="str">
        <f>_xll.ohRangeRetrieveError(D9)</f>
        <v/>
      </c>
      <c r="F9" s="225"/>
    </row>
    <row r="10" spans="1:6" x14ac:dyDescent="0.2">
      <c r="A10" s="130"/>
      <c r="B10" s="236" t="s">
        <v>162</v>
      </c>
      <c r="C10" s="137" t="str">
        <f t="shared" si="0"/>
        <v>EUR2MD_SYNTH6M_Quote</v>
      </c>
      <c r="D10" s="137" t="str">
        <f>_xll.qlSimpleQuote(C10,,RateTickValue,Permanent,Trigger,ObjectOverwrite)</f>
        <v>EUR2MD_SYNTH6M_Quote#0002</v>
      </c>
      <c r="E10" s="242" t="str">
        <f>_xll.ohRangeRetrieveError(D10)</f>
        <v/>
      </c>
      <c r="F10" s="225"/>
    </row>
    <row r="11" spans="1:6" x14ac:dyDescent="0.2">
      <c r="A11" s="130"/>
      <c r="B11" s="236" t="s">
        <v>161</v>
      </c>
      <c r="C11" s="137" t="str">
        <f t="shared" si="0"/>
        <v>EUR3MD_SYNTH6M_Quote</v>
      </c>
      <c r="D11" s="137" t="str">
        <f>_xll.qlSimpleQuote(C11,,RateTickValue,Permanent,Trigger,ObjectOverwrite)</f>
        <v>EUR3MD_SYNTH6M_Quote#0002</v>
      </c>
      <c r="E11" s="242" t="str">
        <f>_xll.ohRangeRetrieveError(D11)</f>
        <v/>
      </c>
      <c r="F11" s="225"/>
    </row>
    <row r="12" spans="1:6" x14ac:dyDescent="0.2">
      <c r="A12" s="130"/>
      <c r="B12" s="236" t="s">
        <v>160</v>
      </c>
      <c r="C12" s="137" t="str">
        <f t="shared" si="0"/>
        <v>EUR4MD_SYNTH6M_Quote</v>
      </c>
      <c r="D12" s="137" t="str">
        <f>_xll.qlSimpleQuote(C12,,RateTickValue,Permanent,Trigger,ObjectOverwrite)</f>
        <v>EUR4MD_SYNTH6M_Quote#0002</v>
      </c>
      <c r="E12" s="242" t="str">
        <f>_xll.ohRangeRetrieveError(D12)</f>
        <v/>
      </c>
      <c r="F12" s="225"/>
    </row>
    <row r="13" spans="1:6" x14ac:dyDescent="0.2">
      <c r="A13" s="130"/>
      <c r="B13" s="236" t="s">
        <v>159</v>
      </c>
      <c r="C13" s="137" t="str">
        <f t="shared" si="0"/>
        <v>EUR5MD_SYNTH6M_Quote</v>
      </c>
      <c r="D13" s="137" t="str">
        <f>_xll.qlSimpleQuote(C13,,RateTickValue,Permanent,Trigger,ObjectOverwrite)</f>
        <v>EUR5MD_SYNTH6M_Quote#0002</v>
      </c>
      <c r="E13" s="242" t="str">
        <f>_xll.ohRangeRetrieveError(D13)</f>
        <v/>
      </c>
      <c r="F13" s="225"/>
    </row>
    <row r="14" spans="1:6" x14ac:dyDescent="0.2">
      <c r="A14" s="130"/>
      <c r="B14" s="239" t="s">
        <v>158</v>
      </c>
      <c r="C14" s="126" t="str">
        <f t="shared" si="0"/>
        <v>EUR6MD_SYNTH6M_Quote</v>
      </c>
      <c r="D14" s="126" t="str">
        <f>_xll.qlSimpleQuote(C14,,RateTickValue,Permanent,Trigger,ObjectOverwrite)</f>
        <v>EUR6MD_SYNTH6M_Quote#0002</v>
      </c>
      <c r="E14" s="238" t="str">
        <f>_xll.ohRangeRetrieveError(D14)</f>
        <v/>
      </c>
      <c r="F14" s="225"/>
    </row>
    <row r="15" spans="1:6" x14ac:dyDescent="0.2">
      <c r="A15" s="130"/>
      <c r="B15" s="236" t="s">
        <v>209</v>
      </c>
      <c r="C15" s="137" t="str">
        <f t="shared" si="0"/>
        <v>EURTOY_SYNTH6M_Quote</v>
      </c>
      <c r="D15" s="137" t="str">
        <f>_xll.qlSimpleQuote(C15,1,RateTickValue,Permanent,Trigger,ObjectOverwrite)</f>
        <v>EURTOY_SYNTH6M_Quote#0002</v>
      </c>
      <c r="E15" s="242" t="str">
        <f>_xll.ohRangeRetrieveError(D15)</f>
        <v/>
      </c>
      <c r="F15" s="225"/>
    </row>
    <row r="16" spans="1:6" x14ac:dyDescent="0.2">
      <c r="A16" s="130"/>
      <c r="B16" s="239" t="s">
        <v>208</v>
      </c>
      <c r="C16" s="126" t="str">
        <f t="shared" si="0"/>
        <v>EURTOY2_SYNTH6M_Quote</v>
      </c>
      <c r="D16" s="126" t="str">
        <f>_xll.qlSimpleQuote(C16,1,RateTickValue,Permanent,Trigger,ObjectOverwrite)</f>
        <v>EURTOY2_SYNTH6M_Quote#0002</v>
      </c>
      <c r="E16" s="238" t="str">
        <f>_xll.ohRangeRetrieveError(D16)</f>
        <v/>
      </c>
      <c r="F16" s="225"/>
    </row>
    <row r="17" spans="1:6" ht="12" thickBot="1" x14ac:dyDescent="0.25">
      <c r="A17" s="53"/>
      <c r="B17" s="52"/>
      <c r="C17" s="52"/>
      <c r="D17" s="52"/>
      <c r="E17" s="52"/>
      <c r="F17" s="51"/>
    </row>
  </sheetData>
  <pageMargins left="0.75" right="0.75" top="1" bottom="1" header="0.5" footer="0.5"/>
  <pageSetup orientation="portrait" r:id="rId1"/>
  <headerFooter alignWithMargins="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F65"/>
  <sheetViews>
    <sheetView workbookViewId="0"/>
  </sheetViews>
  <sheetFormatPr defaultRowHeight="11.25" x14ac:dyDescent="0.2"/>
  <cols>
    <col min="1" max="1" width="5" style="74" customWidth="1"/>
    <col min="2" max="2" width="6.140625" style="74" bestFit="1" customWidth="1"/>
    <col min="3" max="3" width="25.140625" style="74" bestFit="1" customWidth="1"/>
    <col min="4" max="4" width="26.7109375" style="74" bestFit="1" customWidth="1"/>
    <col min="5" max="5" width="36.85546875" style="74" bestFit="1" customWidth="1"/>
    <col min="6" max="6" width="5" style="74" customWidth="1"/>
    <col min="7" max="16384" width="9.140625" style="74"/>
  </cols>
  <sheetData>
    <row r="1" spans="1:6" x14ac:dyDescent="0.2">
      <c r="A1" s="165" t="s">
        <v>211</v>
      </c>
      <c r="B1" s="233">
        <v>12</v>
      </c>
      <c r="C1" s="234" t="str">
        <f>_xll.qlPeriodEquivalent(Months&amp;"M")</f>
        <v>1Y</v>
      </c>
      <c r="D1" s="233"/>
      <c r="E1" s="233"/>
      <c r="F1" s="232"/>
    </row>
    <row r="2" spans="1:6" x14ac:dyDescent="0.2">
      <c r="A2" s="130"/>
      <c r="B2" s="243"/>
      <c r="C2" s="230" t="str">
        <f>Currency&amp;"_015_SyntheticQuotes"&amp;Tenor&amp;".xml"</f>
        <v>EUR_015_SyntheticQuotes1Y.xml</v>
      </c>
      <c r="D2" s="10">
        <f ca="1">IF(Serialize,_xll.ohObjectSave(D3:D64,SerializationPath&amp;C2,FileOverwrite,Serialize),"---")</f>
        <v>62</v>
      </c>
      <c r="E2" s="7" t="str">
        <f ca="1">_xll.ohRangeRetrieveError(D2)</f>
        <v/>
      </c>
      <c r="F2" s="225"/>
    </row>
    <row r="3" spans="1:6" x14ac:dyDescent="0.2">
      <c r="A3" s="130"/>
      <c r="B3" s="237" t="s">
        <v>169</v>
      </c>
      <c r="C3" s="137" t="str">
        <f t="shared" ref="C3:C34" si="0">Currency&amp;$B3&amp;"_SYNTH"&amp;Tenor&amp;QuoteSuffix</f>
        <v>EUROND_SYNTH1Y_Quote</v>
      </c>
      <c r="D3" s="137" t="str">
        <f>_xll.qlSimpleQuote(C3,,RateTickValue,Permanent,Trigger,ObjectOverwrite)</f>
        <v>EUROND_SYNTH1Y_Quote#0002</v>
      </c>
      <c r="E3" s="242" t="str">
        <f>_xll.ohRangeRetrieveError(D3)</f>
        <v/>
      </c>
      <c r="F3" s="225"/>
    </row>
    <row r="4" spans="1:6" x14ac:dyDescent="0.2">
      <c r="A4" s="130"/>
      <c r="B4" s="237" t="s">
        <v>168</v>
      </c>
      <c r="C4" s="137" t="str">
        <f t="shared" si="0"/>
        <v>EURTND_SYNTH1Y_Quote</v>
      </c>
      <c r="D4" s="137" t="str">
        <f>_xll.qlSimpleQuote(C4,,RateTickValue,Permanent,Trigger,ObjectOverwrite)</f>
        <v>EURTND_SYNTH1Y_Quote#0002</v>
      </c>
      <c r="E4" s="242" t="str">
        <f>_xll.ohRangeRetrieveError(D4)</f>
        <v/>
      </c>
      <c r="F4" s="225"/>
    </row>
    <row r="5" spans="1:6" x14ac:dyDescent="0.2">
      <c r="A5" s="130"/>
      <c r="B5" s="236" t="s">
        <v>167</v>
      </c>
      <c r="C5" s="137" t="str">
        <f t="shared" si="0"/>
        <v>EURSND_SYNTH1Y_Quote</v>
      </c>
      <c r="D5" s="137" t="str">
        <f>_xll.qlSimpleQuote(C5,,RateTickValue,Permanent,Trigger,ObjectOverwrite)</f>
        <v>EURSND_SYNTH1Y_Quote#0002</v>
      </c>
      <c r="E5" s="242" t="str">
        <f>_xll.ohRangeRetrieveError(D5)</f>
        <v/>
      </c>
      <c r="F5" s="225"/>
    </row>
    <row r="6" spans="1:6" x14ac:dyDescent="0.2">
      <c r="A6" s="130"/>
      <c r="B6" s="236" t="s">
        <v>166</v>
      </c>
      <c r="C6" s="137" t="str">
        <f t="shared" si="0"/>
        <v>EURSWD_SYNTH1Y_Quote</v>
      </c>
      <c r="D6" s="137" t="str">
        <f>_xll.qlSimpleQuote(C6,,RateTickValue,Permanent,Trigger,ObjectOverwrite)</f>
        <v>EURSWD_SYNTH1Y_Quote#0002</v>
      </c>
      <c r="E6" s="242" t="str">
        <f>_xll.ohRangeRetrieveError(D6)</f>
        <v/>
      </c>
      <c r="F6" s="225"/>
    </row>
    <row r="7" spans="1:6" x14ac:dyDescent="0.2">
      <c r="A7" s="130"/>
      <c r="B7" s="236" t="s">
        <v>165</v>
      </c>
      <c r="C7" s="137" t="str">
        <f t="shared" si="0"/>
        <v>EUR2WD_SYNTH1Y_Quote</v>
      </c>
      <c r="D7" s="137" t="str">
        <f>_xll.qlSimpleQuote(C7,,RateTickValue,Permanent,Trigger,ObjectOverwrite)</f>
        <v>EUR2WD_SYNTH1Y_Quote#0002</v>
      </c>
      <c r="E7" s="242" t="str">
        <f>_xll.ohRangeRetrieveError(D7)</f>
        <v/>
      </c>
      <c r="F7" s="225"/>
    </row>
    <row r="8" spans="1:6" x14ac:dyDescent="0.2">
      <c r="A8" s="130"/>
      <c r="B8" s="236" t="s">
        <v>164</v>
      </c>
      <c r="C8" s="137" t="str">
        <f t="shared" si="0"/>
        <v>EUR3WD_SYNTH1Y_Quote</v>
      </c>
      <c r="D8" s="137" t="str">
        <f>_xll.qlSimpleQuote(C8,,RateTickValue,Permanent,Trigger,ObjectOverwrite)</f>
        <v>EUR3WD_SYNTH1Y_Quote#0002</v>
      </c>
      <c r="E8" s="242" t="str">
        <f>_xll.ohRangeRetrieveError(D8)</f>
        <v/>
      </c>
      <c r="F8" s="225"/>
    </row>
    <row r="9" spans="1:6" x14ac:dyDescent="0.2">
      <c r="A9" s="130"/>
      <c r="B9" s="236" t="s">
        <v>163</v>
      </c>
      <c r="C9" s="137" t="str">
        <f t="shared" si="0"/>
        <v>EUR1MD_SYNTH1Y_Quote</v>
      </c>
      <c r="D9" s="137" t="str">
        <f>_xll.qlSimpleQuote(C9,,RateTickValue,Permanent,Trigger,ObjectOverwrite)</f>
        <v>EUR1MD_SYNTH1Y_Quote#0002</v>
      </c>
      <c r="E9" s="242" t="str">
        <f>_xll.ohRangeRetrieveError(D9)</f>
        <v/>
      </c>
      <c r="F9" s="225"/>
    </row>
    <row r="10" spans="1:6" x14ac:dyDescent="0.2">
      <c r="A10" s="130"/>
      <c r="B10" s="236" t="s">
        <v>162</v>
      </c>
      <c r="C10" s="137" t="str">
        <f t="shared" si="0"/>
        <v>EUR2MD_SYNTH1Y_Quote</v>
      </c>
      <c r="D10" s="137" t="str">
        <f>_xll.qlSimpleQuote(C10,,RateTickValue,Permanent,Trigger,ObjectOverwrite)</f>
        <v>EUR2MD_SYNTH1Y_Quote#0002</v>
      </c>
      <c r="E10" s="242" t="str">
        <f>_xll.ohRangeRetrieveError(D10)</f>
        <v/>
      </c>
      <c r="F10" s="225"/>
    </row>
    <row r="11" spans="1:6" x14ac:dyDescent="0.2">
      <c r="A11" s="130"/>
      <c r="B11" s="236" t="s">
        <v>161</v>
      </c>
      <c r="C11" s="137" t="str">
        <f t="shared" si="0"/>
        <v>EUR3MD_SYNTH1Y_Quote</v>
      </c>
      <c r="D11" s="137" t="str">
        <f>_xll.qlSimpleQuote(C11,,RateTickValue,Permanent,Trigger,ObjectOverwrite)</f>
        <v>EUR3MD_SYNTH1Y_Quote#0002</v>
      </c>
      <c r="E11" s="242" t="str">
        <f>_xll.ohRangeRetrieveError(D11)</f>
        <v/>
      </c>
      <c r="F11" s="225"/>
    </row>
    <row r="12" spans="1:6" x14ac:dyDescent="0.2">
      <c r="A12" s="130"/>
      <c r="B12" s="236" t="s">
        <v>160</v>
      </c>
      <c r="C12" s="137" t="str">
        <f t="shared" si="0"/>
        <v>EUR4MD_SYNTH1Y_Quote</v>
      </c>
      <c r="D12" s="137" t="str">
        <f>_xll.qlSimpleQuote(C12,,RateTickValue,Permanent,Trigger,ObjectOverwrite)</f>
        <v>EUR4MD_SYNTH1Y_Quote#0002</v>
      </c>
      <c r="E12" s="242" t="str">
        <f>_xll.ohRangeRetrieveError(D12)</f>
        <v/>
      </c>
      <c r="F12" s="225"/>
    </row>
    <row r="13" spans="1:6" x14ac:dyDescent="0.2">
      <c r="A13" s="130"/>
      <c r="B13" s="236" t="s">
        <v>159</v>
      </c>
      <c r="C13" s="137" t="str">
        <f t="shared" si="0"/>
        <v>EUR5MD_SYNTH1Y_Quote</v>
      </c>
      <c r="D13" s="137" t="str">
        <f>_xll.qlSimpleQuote(C13,,RateTickValue,Permanent,Trigger,ObjectOverwrite)</f>
        <v>EUR5MD_SYNTH1Y_Quote#0002</v>
      </c>
      <c r="E13" s="242" t="str">
        <f>_xll.ohRangeRetrieveError(D13)</f>
        <v/>
      </c>
      <c r="F13" s="225"/>
    </row>
    <row r="14" spans="1:6" x14ac:dyDescent="0.2">
      <c r="A14" s="130"/>
      <c r="B14" s="236" t="s">
        <v>158</v>
      </c>
      <c r="C14" s="137" t="str">
        <f t="shared" si="0"/>
        <v>EUR6MD_SYNTH1Y_Quote</v>
      </c>
      <c r="D14" s="137" t="str">
        <f>_xll.qlSimpleQuote(C14,,RateTickValue,Permanent,Trigger,ObjectOverwrite)</f>
        <v>EUR6MD_SYNTH1Y_Quote#0002</v>
      </c>
      <c r="E14" s="242" t="str">
        <f>_xll.ohRangeRetrieveError(D14)</f>
        <v/>
      </c>
      <c r="F14" s="225"/>
    </row>
    <row r="15" spans="1:6" x14ac:dyDescent="0.2">
      <c r="A15" s="130"/>
      <c r="B15" s="236" t="s">
        <v>157</v>
      </c>
      <c r="C15" s="137" t="str">
        <f t="shared" si="0"/>
        <v>EUR7MD_SYNTH1Y_Quote</v>
      </c>
      <c r="D15" s="137" t="str">
        <f>_xll.qlSimpleQuote(C15,,RateTickValue,Permanent,Trigger,ObjectOverwrite)</f>
        <v>EUR7MD_SYNTH1Y_Quote#0002</v>
      </c>
      <c r="E15" s="242" t="str">
        <f>_xll.ohRangeRetrieveError(D15)</f>
        <v/>
      </c>
      <c r="F15" s="225"/>
    </row>
    <row r="16" spans="1:6" x14ac:dyDescent="0.2">
      <c r="A16" s="130"/>
      <c r="B16" s="236" t="s">
        <v>156</v>
      </c>
      <c r="C16" s="137" t="str">
        <f t="shared" si="0"/>
        <v>EUR8MD_SYNTH1Y_Quote</v>
      </c>
      <c r="D16" s="137" t="str">
        <f>_xll.qlSimpleQuote(C16,,RateTickValue,Permanent,Trigger,ObjectOverwrite)</f>
        <v>EUR8MD_SYNTH1Y_Quote#0002</v>
      </c>
      <c r="E16" s="242" t="str">
        <f>_xll.ohRangeRetrieveError(D16)</f>
        <v/>
      </c>
      <c r="F16" s="225"/>
    </row>
    <row r="17" spans="1:6" x14ac:dyDescent="0.2">
      <c r="A17" s="130"/>
      <c r="B17" s="236" t="s">
        <v>155</v>
      </c>
      <c r="C17" s="137" t="str">
        <f t="shared" si="0"/>
        <v>EUR9MD_SYNTH1Y_Quote</v>
      </c>
      <c r="D17" s="137" t="str">
        <f>_xll.qlSimpleQuote(C17,,RateTickValue,Permanent,Trigger,ObjectOverwrite)</f>
        <v>EUR9MD_SYNTH1Y_Quote#0002</v>
      </c>
      <c r="E17" s="242" t="str">
        <f>_xll.ohRangeRetrieveError(D17)</f>
        <v/>
      </c>
      <c r="F17" s="225"/>
    </row>
    <row r="18" spans="1:6" x14ac:dyDescent="0.2">
      <c r="A18" s="130"/>
      <c r="B18" s="236" t="s">
        <v>154</v>
      </c>
      <c r="C18" s="137" t="str">
        <f t="shared" si="0"/>
        <v>EUR10MD_SYNTH1Y_Quote</v>
      </c>
      <c r="D18" s="137" t="str">
        <f>_xll.qlSimpleQuote(C18,,RateTickValue,Permanent,Trigger,ObjectOverwrite)</f>
        <v>EUR10MD_SYNTH1Y_Quote#0002</v>
      </c>
      <c r="E18" s="242" t="str">
        <f>_xll.ohRangeRetrieveError(D18)</f>
        <v/>
      </c>
      <c r="F18" s="225"/>
    </row>
    <row r="19" spans="1:6" x14ac:dyDescent="0.2">
      <c r="A19" s="130"/>
      <c r="B19" s="236" t="s">
        <v>153</v>
      </c>
      <c r="C19" s="137" t="str">
        <f t="shared" si="0"/>
        <v>EUR11MD_SYNTH1Y_Quote</v>
      </c>
      <c r="D19" s="137" t="str">
        <f>_xll.qlSimpleQuote(C19,,RateTickValue,Permanent,Trigger,ObjectOverwrite)</f>
        <v>EUR11MD_SYNTH1Y_Quote#0002</v>
      </c>
      <c r="E19" s="242" t="str">
        <f>_xll.ohRangeRetrieveError(D19)</f>
        <v/>
      </c>
      <c r="F19" s="225"/>
    </row>
    <row r="20" spans="1:6" x14ac:dyDescent="0.2">
      <c r="A20" s="130"/>
      <c r="B20" s="239" t="s">
        <v>152</v>
      </c>
      <c r="C20" s="126" t="str">
        <f t="shared" si="0"/>
        <v>EUR1YD_SYNTH1Y_Quote</v>
      </c>
      <c r="D20" s="126" t="str">
        <f>_xll.qlSimpleQuote(C20,,RateTickValue,Permanent,Trigger,ObjectOverwrite)</f>
        <v>EUR1YD_SYNTH1Y_Quote#0002</v>
      </c>
      <c r="E20" s="238" t="str">
        <f>_xll.ohRangeRetrieveError(D20)</f>
        <v/>
      </c>
      <c r="F20" s="225"/>
    </row>
    <row r="21" spans="1:6" x14ac:dyDescent="0.2">
      <c r="A21" s="130">
        <v>1</v>
      </c>
      <c r="B21" s="241" t="str">
        <f t="shared" ref="B21:B64" si="1">A21&amp;"x"&amp;A21+Months&amp;"F"</f>
        <v>1x13F</v>
      </c>
      <c r="C21" s="133" t="str">
        <f t="shared" si="0"/>
        <v>EUR1x13F_SYNTH1Y_Quote</v>
      </c>
      <c r="D21" s="133" t="str">
        <f>_xll.qlSimpleQuote(C21,,RateTickValue,Permanent,Trigger,ObjectOverwrite)</f>
        <v>EUR1x13F_SYNTH1Y_Quote#0002</v>
      </c>
      <c r="E21" s="240" t="str">
        <f>_xll.ohRangeRetrieveError(D21)</f>
        <v/>
      </c>
      <c r="F21" s="225"/>
    </row>
    <row r="22" spans="1:6" x14ac:dyDescent="0.2">
      <c r="A22" s="130">
        <v>2</v>
      </c>
      <c r="B22" s="236" t="str">
        <f t="shared" si="1"/>
        <v>2x14F</v>
      </c>
      <c r="C22" s="137" t="str">
        <f t="shared" si="0"/>
        <v>EUR2x14F_SYNTH1Y_Quote</v>
      </c>
      <c r="D22" s="137" t="str">
        <f>_xll.qlSimpleQuote(C22,,RateTickValue,Permanent,Trigger,ObjectOverwrite)</f>
        <v>EUR2x14F_SYNTH1Y_Quote#0002</v>
      </c>
      <c r="E22" s="242" t="str">
        <f>_xll.ohRangeRetrieveError(D22)</f>
        <v/>
      </c>
      <c r="F22" s="225"/>
    </row>
    <row r="23" spans="1:6" x14ac:dyDescent="0.2">
      <c r="A23" s="130">
        <v>3</v>
      </c>
      <c r="B23" s="236" t="str">
        <f t="shared" si="1"/>
        <v>3x15F</v>
      </c>
      <c r="C23" s="137" t="str">
        <f t="shared" si="0"/>
        <v>EUR3x15F_SYNTH1Y_Quote</v>
      </c>
      <c r="D23" s="137" t="str">
        <f>_xll.qlSimpleQuote(C23,,RateTickValue,Permanent,Trigger,ObjectOverwrite)</f>
        <v>EUR3x15F_SYNTH1Y_Quote#0002</v>
      </c>
      <c r="E23" s="242" t="str">
        <f>_xll.ohRangeRetrieveError(D23)</f>
        <v/>
      </c>
      <c r="F23" s="225"/>
    </row>
    <row r="24" spans="1:6" x14ac:dyDescent="0.2">
      <c r="A24" s="130">
        <v>4</v>
      </c>
      <c r="B24" s="236" t="str">
        <f t="shared" si="1"/>
        <v>4x16F</v>
      </c>
      <c r="C24" s="137" t="str">
        <f t="shared" si="0"/>
        <v>EUR4x16F_SYNTH1Y_Quote</v>
      </c>
      <c r="D24" s="137" t="str">
        <f>_xll.qlSimpleQuote(C24,,RateTickValue,Permanent,Trigger,ObjectOverwrite)</f>
        <v>EUR4x16F_SYNTH1Y_Quote#0002</v>
      </c>
      <c r="E24" s="242" t="str">
        <f>_xll.ohRangeRetrieveError(D24)</f>
        <v/>
      </c>
      <c r="F24" s="225"/>
    </row>
    <row r="25" spans="1:6" x14ac:dyDescent="0.2">
      <c r="A25" s="130">
        <v>5</v>
      </c>
      <c r="B25" s="236" t="str">
        <f t="shared" si="1"/>
        <v>5x17F</v>
      </c>
      <c r="C25" s="137" t="str">
        <f t="shared" si="0"/>
        <v>EUR5x17F_SYNTH1Y_Quote</v>
      </c>
      <c r="D25" s="137" t="str">
        <f>_xll.qlSimpleQuote(C25,,RateTickValue,Permanent,Trigger,ObjectOverwrite)</f>
        <v>EUR5x17F_SYNTH1Y_Quote#0002</v>
      </c>
      <c r="E25" s="242" t="str">
        <f>_xll.ohRangeRetrieveError(D25)</f>
        <v/>
      </c>
      <c r="F25" s="225"/>
    </row>
    <row r="26" spans="1:6" x14ac:dyDescent="0.2">
      <c r="A26" s="130">
        <v>6</v>
      </c>
      <c r="B26" s="236" t="str">
        <f t="shared" si="1"/>
        <v>6x18F</v>
      </c>
      <c r="C26" s="137" t="str">
        <f t="shared" si="0"/>
        <v>EUR6x18F_SYNTH1Y_Quote</v>
      </c>
      <c r="D26" s="137" t="str">
        <f>_xll.qlSimpleQuote(C26,,RateTickValue,Permanent,Trigger,ObjectOverwrite)</f>
        <v>EUR6x18F_SYNTH1Y_Quote#0002</v>
      </c>
      <c r="E26" s="242" t="str">
        <f>_xll.ohRangeRetrieveError(D26)</f>
        <v/>
      </c>
      <c r="F26" s="225"/>
    </row>
    <row r="27" spans="1:6" x14ac:dyDescent="0.2">
      <c r="A27" s="130">
        <v>7</v>
      </c>
      <c r="B27" s="236" t="str">
        <f t="shared" si="1"/>
        <v>7x19F</v>
      </c>
      <c r="C27" s="137" t="str">
        <f t="shared" si="0"/>
        <v>EUR7x19F_SYNTH1Y_Quote</v>
      </c>
      <c r="D27" s="137" t="str">
        <f>_xll.qlSimpleQuote(C27,,RateTickValue,Permanent,Trigger,ObjectOverwrite)</f>
        <v>EUR7x19F_SYNTH1Y_Quote#0002</v>
      </c>
      <c r="E27" s="242" t="str">
        <f>_xll.ohRangeRetrieveError(D27)</f>
        <v/>
      </c>
      <c r="F27" s="225"/>
    </row>
    <row r="28" spans="1:6" x14ac:dyDescent="0.2">
      <c r="A28" s="130">
        <v>8</v>
      </c>
      <c r="B28" s="236" t="str">
        <f t="shared" si="1"/>
        <v>8x20F</v>
      </c>
      <c r="C28" s="137" t="str">
        <f t="shared" si="0"/>
        <v>EUR8x20F_SYNTH1Y_Quote</v>
      </c>
      <c r="D28" s="137" t="str">
        <f>_xll.qlSimpleQuote(C28,,RateTickValue,Permanent,Trigger,ObjectOverwrite)</f>
        <v>EUR8x20F_SYNTH1Y_Quote#0002</v>
      </c>
      <c r="E28" s="242" t="str">
        <f>_xll.ohRangeRetrieveError(D28)</f>
        <v/>
      </c>
      <c r="F28" s="225"/>
    </row>
    <row r="29" spans="1:6" x14ac:dyDescent="0.2">
      <c r="A29" s="130">
        <v>9</v>
      </c>
      <c r="B29" s="236" t="str">
        <f t="shared" si="1"/>
        <v>9x21F</v>
      </c>
      <c r="C29" s="137" t="str">
        <f t="shared" si="0"/>
        <v>EUR9x21F_SYNTH1Y_Quote</v>
      </c>
      <c r="D29" s="137" t="str">
        <f>_xll.qlSimpleQuote(C29,,RateTickValue,Permanent,Trigger,ObjectOverwrite)</f>
        <v>EUR9x21F_SYNTH1Y_Quote#0002</v>
      </c>
      <c r="E29" s="242" t="str">
        <f>_xll.ohRangeRetrieveError(D29)</f>
        <v/>
      </c>
      <c r="F29" s="225"/>
    </row>
    <row r="30" spans="1:6" x14ac:dyDescent="0.2">
      <c r="A30" s="130">
        <v>10</v>
      </c>
      <c r="B30" s="236" t="str">
        <f t="shared" si="1"/>
        <v>10x22F</v>
      </c>
      <c r="C30" s="137" t="str">
        <f t="shared" si="0"/>
        <v>EUR10x22F_SYNTH1Y_Quote</v>
      </c>
      <c r="D30" s="137" t="str">
        <f>_xll.qlSimpleQuote(C30,,RateTickValue,Permanent,Trigger,ObjectOverwrite)</f>
        <v>EUR10x22F_SYNTH1Y_Quote#0002</v>
      </c>
      <c r="E30" s="242" t="str">
        <f>_xll.ohRangeRetrieveError(D30)</f>
        <v/>
      </c>
      <c r="F30" s="225"/>
    </row>
    <row r="31" spans="1:6" x14ac:dyDescent="0.2">
      <c r="A31" s="130">
        <v>11</v>
      </c>
      <c r="B31" s="236" t="str">
        <f t="shared" si="1"/>
        <v>11x23F</v>
      </c>
      <c r="C31" s="137" t="str">
        <f t="shared" si="0"/>
        <v>EUR11x23F_SYNTH1Y_Quote</v>
      </c>
      <c r="D31" s="137" t="str">
        <f>_xll.qlSimpleQuote(C31,,RateTickValue,Permanent,Trigger,ObjectOverwrite)</f>
        <v>EUR11x23F_SYNTH1Y_Quote#0002</v>
      </c>
      <c r="E31" s="242" t="str">
        <f>_xll.ohRangeRetrieveError(D31)</f>
        <v/>
      </c>
      <c r="F31" s="225"/>
    </row>
    <row r="32" spans="1:6" x14ac:dyDescent="0.2">
      <c r="A32" s="130">
        <v>13</v>
      </c>
      <c r="B32" s="236" t="str">
        <f t="shared" si="1"/>
        <v>13x25F</v>
      </c>
      <c r="C32" s="137" t="str">
        <f t="shared" si="0"/>
        <v>EUR13x25F_SYNTH1Y_Quote</v>
      </c>
      <c r="D32" s="137" t="str">
        <f>_xll.qlSimpleQuote(C32,,RateTickValue,Permanent,Trigger,ObjectOverwrite)</f>
        <v>EUR13x25F_SYNTH1Y_Quote#0002</v>
      </c>
      <c r="E32" s="242" t="str">
        <f>_xll.ohRangeRetrieveError(D32)</f>
        <v/>
      </c>
      <c r="F32" s="225"/>
    </row>
    <row r="33" spans="1:6" x14ac:dyDescent="0.2">
      <c r="A33" s="130">
        <v>14</v>
      </c>
      <c r="B33" s="236" t="str">
        <f t="shared" si="1"/>
        <v>14x26F</v>
      </c>
      <c r="C33" s="137" t="str">
        <f t="shared" si="0"/>
        <v>EUR14x26F_SYNTH1Y_Quote</v>
      </c>
      <c r="D33" s="137" t="str">
        <f>_xll.qlSimpleQuote(C33,,RateTickValue,Permanent,Trigger,ObjectOverwrite)</f>
        <v>EUR14x26F_SYNTH1Y_Quote#0002</v>
      </c>
      <c r="E33" s="242" t="str">
        <f>_xll.ohRangeRetrieveError(D33)</f>
        <v/>
      </c>
      <c r="F33" s="225"/>
    </row>
    <row r="34" spans="1:6" x14ac:dyDescent="0.2">
      <c r="A34" s="130">
        <v>15</v>
      </c>
      <c r="B34" s="236" t="str">
        <f t="shared" si="1"/>
        <v>15x27F</v>
      </c>
      <c r="C34" s="137" t="str">
        <f t="shared" si="0"/>
        <v>EUR15x27F_SYNTH1Y_Quote</v>
      </c>
      <c r="D34" s="137" t="str">
        <f>_xll.qlSimpleQuote(C34,,RateTickValue,Permanent,Trigger,ObjectOverwrite)</f>
        <v>EUR15x27F_SYNTH1Y_Quote#0002</v>
      </c>
      <c r="E34" s="242" t="str">
        <f>_xll.ohRangeRetrieveError(D34)</f>
        <v/>
      </c>
      <c r="F34" s="225"/>
    </row>
    <row r="35" spans="1:6" x14ac:dyDescent="0.2">
      <c r="A35" s="130">
        <v>16</v>
      </c>
      <c r="B35" s="236" t="str">
        <f t="shared" si="1"/>
        <v>16x28F</v>
      </c>
      <c r="C35" s="137" t="str">
        <f t="shared" ref="C35:C64" si="2">Currency&amp;$B35&amp;"_SYNTH"&amp;Tenor&amp;QuoteSuffix</f>
        <v>EUR16x28F_SYNTH1Y_Quote</v>
      </c>
      <c r="D35" s="137" t="str">
        <f>_xll.qlSimpleQuote(C35,,RateTickValue,Permanent,Trigger,ObjectOverwrite)</f>
        <v>EUR16x28F_SYNTH1Y_Quote#0002</v>
      </c>
      <c r="E35" s="242" t="str">
        <f>_xll.ohRangeRetrieveError(D35)</f>
        <v/>
      </c>
      <c r="F35" s="225"/>
    </row>
    <row r="36" spans="1:6" x14ac:dyDescent="0.2">
      <c r="A36" s="130">
        <v>17</v>
      </c>
      <c r="B36" s="236" t="str">
        <f t="shared" si="1"/>
        <v>17x29F</v>
      </c>
      <c r="C36" s="137" t="str">
        <f t="shared" si="2"/>
        <v>EUR17x29F_SYNTH1Y_Quote</v>
      </c>
      <c r="D36" s="137" t="str">
        <f>_xll.qlSimpleQuote(C36,,RateTickValue,Permanent,Trigger,ObjectOverwrite)</f>
        <v>EUR17x29F_SYNTH1Y_Quote#0002</v>
      </c>
      <c r="E36" s="242" t="str">
        <f>_xll.ohRangeRetrieveError(D36)</f>
        <v/>
      </c>
      <c r="F36" s="225"/>
    </row>
    <row r="37" spans="1:6" x14ac:dyDescent="0.2">
      <c r="A37" s="130">
        <v>18</v>
      </c>
      <c r="B37" s="236" t="str">
        <f t="shared" si="1"/>
        <v>18x30F</v>
      </c>
      <c r="C37" s="137" t="str">
        <f t="shared" si="2"/>
        <v>EUR18x30F_SYNTH1Y_Quote</v>
      </c>
      <c r="D37" s="137" t="str">
        <f>_xll.qlSimpleQuote(C37,,RateTickValue,Permanent,Trigger,ObjectOverwrite)</f>
        <v>EUR18x30F_SYNTH1Y_Quote#0002</v>
      </c>
      <c r="E37" s="242" t="str">
        <f>_xll.ohRangeRetrieveError(D37)</f>
        <v/>
      </c>
      <c r="F37" s="225"/>
    </row>
    <row r="38" spans="1:6" x14ac:dyDescent="0.2">
      <c r="A38" s="130">
        <v>19</v>
      </c>
      <c r="B38" s="236" t="str">
        <f t="shared" si="1"/>
        <v>19x31F</v>
      </c>
      <c r="C38" s="137" t="str">
        <f t="shared" si="2"/>
        <v>EUR19x31F_SYNTH1Y_Quote</v>
      </c>
      <c r="D38" s="137" t="str">
        <f>_xll.qlSimpleQuote(C38,,RateTickValue,Permanent,Trigger,ObjectOverwrite)</f>
        <v>EUR19x31F_SYNTH1Y_Quote#0002</v>
      </c>
      <c r="E38" s="242" t="str">
        <f>_xll.ohRangeRetrieveError(D38)</f>
        <v/>
      </c>
      <c r="F38" s="225"/>
    </row>
    <row r="39" spans="1:6" x14ac:dyDescent="0.2">
      <c r="A39" s="130">
        <v>20</v>
      </c>
      <c r="B39" s="236" t="str">
        <f t="shared" si="1"/>
        <v>20x32F</v>
      </c>
      <c r="C39" s="137" t="str">
        <f t="shared" si="2"/>
        <v>EUR20x32F_SYNTH1Y_Quote</v>
      </c>
      <c r="D39" s="137" t="str">
        <f>_xll.qlSimpleQuote(C39,,RateTickValue,Permanent,Trigger,ObjectOverwrite)</f>
        <v>EUR20x32F_SYNTH1Y_Quote#0002</v>
      </c>
      <c r="E39" s="242" t="str">
        <f>_xll.ohRangeRetrieveError(D39)</f>
        <v/>
      </c>
      <c r="F39" s="225"/>
    </row>
    <row r="40" spans="1:6" x14ac:dyDescent="0.2">
      <c r="A40" s="130">
        <v>21</v>
      </c>
      <c r="B40" s="236" t="str">
        <f t="shared" si="1"/>
        <v>21x33F</v>
      </c>
      <c r="C40" s="137" t="str">
        <f t="shared" si="2"/>
        <v>EUR21x33F_SYNTH1Y_Quote</v>
      </c>
      <c r="D40" s="137" t="str">
        <f>_xll.qlSimpleQuote(C40,,RateTickValue,Permanent,Trigger,ObjectOverwrite)</f>
        <v>EUR21x33F_SYNTH1Y_Quote#0002</v>
      </c>
      <c r="E40" s="242" t="str">
        <f>_xll.ohRangeRetrieveError(D40)</f>
        <v/>
      </c>
      <c r="F40" s="225"/>
    </row>
    <row r="41" spans="1:6" x14ac:dyDescent="0.2">
      <c r="A41" s="130">
        <v>22</v>
      </c>
      <c r="B41" s="236" t="str">
        <f t="shared" si="1"/>
        <v>22x34F</v>
      </c>
      <c r="C41" s="137" t="str">
        <f t="shared" si="2"/>
        <v>EUR22x34F_SYNTH1Y_Quote</v>
      </c>
      <c r="D41" s="137" t="str">
        <f>_xll.qlSimpleQuote(C41,,RateTickValue,Permanent,Trigger,ObjectOverwrite)</f>
        <v>EUR22x34F_SYNTH1Y_Quote#0002</v>
      </c>
      <c r="E41" s="242" t="str">
        <f>_xll.ohRangeRetrieveError(D41)</f>
        <v/>
      </c>
      <c r="F41" s="225"/>
    </row>
    <row r="42" spans="1:6" x14ac:dyDescent="0.2">
      <c r="A42" s="130">
        <v>23</v>
      </c>
      <c r="B42" s="236" t="str">
        <f t="shared" si="1"/>
        <v>23x35F</v>
      </c>
      <c r="C42" s="137" t="str">
        <f t="shared" si="2"/>
        <v>EUR23x35F_SYNTH1Y_Quote</v>
      </c>
      <c r="D42" s="137" t="str">
        <f>_xll.qlSimpleQuote(C42,,RateTickValue,Permanent,Trigger,ObjectOverwrite)</f>
        <v>EUR23x35F_SYNTH1Y_Quote#0002</v>
      </c>
      <c r="E42" s="242" t="str">
        <f>_xll.ohRangeRetrieveError(D42)</f>
        <v/>
      </c>
      <c r="F42" s="225"/>
    </row>
    <row r="43" spans="1:6" x14ac:dyDescent="0.2">
      <c r="A43" s="130">
        <v>25</v>
      </c>
      <c r="B43" s="236" t="str">
        <f t="shared" si="1"/>
        <v>25x37F</v>
      </c>
      <c r="C43" s="137" t="str">
        <f t="shared" si="2"/>
        <v>EUR25x37F_SYNTH1Y_Quote</v>
      </c>
      <c r="D43" s="137" t="str">
        <f>_xll.qlSimpleQuote(C43,,RateTickValue,Permanent,Trigger,ObjectOverwrite)</f>
        <v>EUR25x37F_SYNTH1Y_Quote#0002</v>
      </c>
      <c r="E43" s="242" t="str">
        <f>_xll.ohRangeRetrieveError(D43)</f>
        <v/>
      </c>
      <c r="F43" s="225"/>
    </row>
    <row r="44" spans="1:6" x14ac:dyDescent="0.2">
      <c r="A44" s="130">
        <v>26</v>
      </c>
      <c r="B44" s="236" t="str">
        <f t="shared" si="1"/>
        <v>26x38F</v>
      </c>
      <c r="C44" s="137" t="str">
        <f t="shared" si="2"/>
        <v>EUR26x38F_SYNTH1Y_Quote</v>
      </c>
      <c r="D44" s="137" t="str">
        <f>_xll.qlSimpleQuote(C44,,RateTickValue,Permanent,Trigger,ObjectOverwrite)</f>
        <v>EUR26x38F_SYNTH1Y_Quote#0002</v>
      </c>
      <c r="E44" s="242" t="str">
        <f>_xll.ohRangeRetrieveError(D44)</f>
        <v/>
      </c>
      <c r="F44" s="225"/>
    </row>
    <row r="45" spans="1:6" x14ac:dyDescent="0.2">
      <c r="A45" s="130">
        <v>27</v>
      </c>
      <c r="B45" s="236" t="str">
        <f t="shared" si="1"/>
        <v>27x39F</v>
      </c>
      <c r="C45" s="137" t="str">
        <f t="shared" si="2"/>
        <v>EUR27x39F_SYNTH1Y_Quote</v>
      </c>
      <c r="D45" s="137" t="str">
        <f>_xll.qlSimpleQuote(C45,,RateTickValue,Permanent,Trigger,ObjectOverwrite)</f>
        <v>EUR27x39F_SYNTH1Y_Quote#0002</v>
      </c>
      <c r="E45" s="242" t="str">
        <f>_xll.ohRangeRetrieveError(D45)</f>
        <v/>
      </c>
      <c r="F45" s="225"/>
    </row>
    <row r="46" spans="1:6" x14ac:dyDescent="0.2">
      <c r="A46" s="130">
        <v>28</v>
      </c>
      <c r="B46" s="236" t="str">
        <f t="shared" si="1"/>
        <v>28x40F</v>
      </c>
      <c r="C46" s="137" t="str">
        <f t="shared" si="2"/>
        <v>EUR28x40F_SYNTH1Y_Quote</v>
      </c>
      <c r="D46" s="137" t="str">
        <f>_xll.qlSimpleQuote(C46,,RateTickValue,Permanent,Trigger,ObjectOverwrite)</f>
        <v>EUR28x40F_SYNTH1Y_Quote#0002</v>
      </c>
      <c r="E46" s="242" t="str">
        <f>_xll.ohRangeRetrieveError(D46)</f>
        <v/>
      </c>
      <c r="F46" s="225"/>
    </row>
    <row r="47" spans="1:6" x14ac:dyDescent="0.2">
      <c r="A47" s="130">
        <v>29</v>
      </c>
      <c r="B47" s="236" t="str">
        <f t="shared" si="1"/>
        <v>29x41F</v>
      </c>
      <c r="C47" s="137" t="str">
        <f t="shared" si="2"/>
        <v>EUR29x41F_SYNTH1Y_Quote</v>
      </c>
      <c r="D47" s="137" t="str">
        <f>_xll.qlSimpleQuote(C47,,RateTickValue,Permanent,Trigger,ObjectOverwrite)</f>
        <v>EUR29x41F_SYNTH1Y_Quote#0002</v>
      </c>
      <c r="E47" s="242" t="str">
        <f>_xll.ohRangeRetrieveError(D47)</f>
        <v/>
      </c>
      <c r="F47" s="225"/>
    </row>
    <row r="48" spans="1:6" x14ac:dyDescent="0.2">
      <c r="A48" s="130">
        <v>30</v>
      </c>
      <c r="B48" s="236" t="str">
        <f t="shared" si="1"/>
        <v>30x42F</v>
      </c>
      <c r="C48" s="137" t="str">
        <f t="shared" si="2"/>
        <v>EUR30x42F_SYNTH1Y_Quote</v>
      </c>
      <c r="D48" s="137" t="str">
        <f>_xll.qlSimpleQuote(C48,,RateTickValue,Permanent,Trigger,ObjectOverwrite)</f>
        <v>EUR30x42F_SYNTH1Y_Quote#0002</v>
      </c>
      <c r="E48" s="242" t="str">
        <f>_xll.ohRangeRetrieveError(D48)</f>
        <v/>
      </c>
      <c r="F48" s="225"/>
    </row>
    <row r="49" spans="1:6" x14ac:dyDescent="0.2">
      <c r="A49" s="130">
        <v>31</v>
      </c>
      <c r="B49" s="236" t="str">
        <f t="shared" si="1"/>
        <v>31x43F</v>
      </c>
      <c r="C49" s="137" t="str">
        <f t="shared" si="2"/>
        <v>EUR31x43F_SYNTH1Y_Quote</v>
      </c>
      <c r="D49" s="137" t="str">
        <f>_xll.qlSimpleQuote(C49,,RateTickValue,Permanent,Trigger,ObjectOverwrite)</f>
        <v>EUR31x43F_SYNTH1Y_Quote#0002</v>
      </c>
      <c r="E49" s="242" t="str">
        <f>_xll.ohRangeRetrieveError(D49)</f>
        <v/>
      </c>
      <c r="F49" s="225"/>
    </row>
    <row r="50" spans="1:6" x14ac:dyDescent="0.2">
      <c r="A50" s="130">
        <v>32</v>
      </c>
      <c r="B50" s="236" t="str">
        <f t="shared" si="1"/>
        <v>32x44F</v>
      </c>
      <c r="C50" s="137" t="str">
        <f t="shared" si="2"/>
        <v>EUR32x44F_SYNTH1Y_Quote</v>
      </c>
      <c r="D50" s="137" t="str">
        <f>_xll.qlSimpleQuote(C50,,RateTickValue,Permanent,Trigger,ObjectOverwrite)</f>
        <v>EUR32x44F_SYNTH1Y_Quote#0002</v>
      </c>
      <c r="E50" s="242" t="str">
        <f>_xll.ohRangeRetrieveError(D50)</f>
        <v/>
      </c>
      <c r="F50" s="225"/>
    </row>
    <row r="51" spans="1:6" x14ac:dyDescent="0.2">
      <c r="A51" s="130">
        <v>33</v>
      </c>
      <c r="B51" s="236" t="str">
        <f t="shared" si="1"/>
        <v>33x45F</v>
      </c>
      <c r="C51" s="137" t="str">
        <f t="shared" si="2"/>
        <v>EUR33x45F_SYNTH1Y_Quote</v>
      </c>
      <c r="D51" s="137" t="str">
        <f>_xll.qlSimpleQuote(C51,,RateTickValue,Permanent,Trigger,ObjectOverwrite)</f>
        <v>EUR33x45F_SYNTH1Y_Quote#0002</v>
      </c>
      <c r="E51" s="242" t="str">
        <f>_xll.ohRangeRetrieveError(D51)</f>
        <v/>
      </c>
      <c r="F51" s="225"/>
    </row>
    <row r="52" spans="1:6" x14ac:dyDescent="0.2">
      <c r="A52" s="130">
        <v>34</v>
      </c>
      <c r="B52" s="236" t="str">
        <f t="shared" si="1"/>
        <v>34x46F</v>
      </c>
      <c r="C52" s="137" t="str">
        <f t="shared" si="2"/>
        <v>EUR34x46F_SYNTH1Y_Quote</v>
      </c>
      <c r="D52" s="137" t="str">
        <f>_xll.qlSimpleQuote(C52,,RateTickValue,Permanent,Trigger,ObjectOverwrite)</f>
        <v>EUR34x46F_SYNTH1Y_Quote#0002</v>
      </c>
      <c r="E52" s="242" t="str">
        <f>_xll.ohRangeRetrieveError(D52)</f>
        <v/>
      </c>
      <c r="F52" s="225"/>
    </row>
    <row r="53" spans="1:6" x14ac:dyDescent="0.2">
      <c r="A53" s="130">
        <v>35</v>
      </c>
      <c r="B53" s="236" t="str">
        <f t="shared" si="1"/>
        <v>35x47F</v>
      </c>
      <c r="C53" s="137" t="str">
        <f t="shared" si="2"/>
        <v>EUR35x47F_SYNTH1Y_Quote</v>
      </c>
      <c r="D53" s="137" t="str">
        <f>_xll.qlSimpleQuote(C53,,RateTickValue,Permanent,Trigger,ObjectOverwrite)</f>
        <v>EUR35x47F_SYNTH1Y_Quote#0002</v>
      </c>
      <c r="E53" s="242" t="str">
        <f>_xll.ohRangeRetrieveError(D53)</f>
        <v/>
      </c>
      <c r="F53" s="225"/>
    </row>
    <row r="54" spans="1:6" x14ac:dyDescent="0.2">
      <c r="A54" s="130">
        <v>37</v>
      </c>
      <c r="B54" s="236" t="str">
        <f t="shared" si="1"/>
        <v>37x49F</v>
      </c>
      <c r="C54" s="137" t="str">
        <f t="shared" si="2"/>
        <v>EUR37x49F_SYNTH1Y_Quote</v>
      </c>
      <c r="D54" s="137" t="str">
        <f>_xll.qlSimpleQuote(C54,,RateTickValue,Permanent,Trigger,ObjectOverwrite)</f>
        <v>EUR37x49F_SYNTH1Y_Quote#0002</v>
      </c>
      <c r="E54" s="242" t="str">
        <f>_xll.ohRangeRetrieveError(D54)</f>
        <v/>
      </c>
      <c r="F54" s="225"/>
    </row>
    <row r="55" spans="1:6" x14ac:dyDescent="0.2">
      <c r="A55" s="130">
        <v>38</v>
      </c>
      <c r="B55" s="236" t="str">
        <f t="shared" si="1"/>
        <v>38x50F</v>
      </c>
      <c r="C55" s="137" t="str">
        <f t="shared" si="2"/>
        <v>EUR38x50F_SYNTH1Y_Quote</v>
      </c>
      <c r="D55" s="137" t="str">
        <f>_xll.qlSimpleQuote(C55,,RateTickValue,Permanent,Trigger,ObjectOverwrite)</f>
        <v>EUR38x50F_SYNTH1Y_Quote#0002</v>
      </c>
      <c r="E55" s="242" t="str">
        <f>_xll.ohRangeRetrieveError(D55)</f>
        <v/>
      </c>
      <c r="F55" s="225"/>
    </row>
    <row r="56" spans="1:6" x14ac:dyDescent="0.2">
      <c r="A56" s="130">
        <v>39</v>
      </c>
      <c r="B56" s="236" t="str">
        <f t="shared" si="1"/>
        <v>39x51F</v>
      </c>
      <c r="C56" s="137" t="str">
        <f t="shared" si="2"/>
        <v>EUR39x51F_SYNTH1Y_Quote</v>
      </c>
      <c r="D56" s="137" t="str">
        <f>_xll.qlSimpleQuote(C56,,RateTickValue,Permanent,Trigger,ObjectOverwrite)</f>
        <v>EUR39x51F_SYNTH1Y_Quote#0002</v>
      </c>
      <c r="E56" s="242" t="str">
        <f>_xll.ohRangeRetrieveError(D56)</f>
        <v/>
      </c>
      <c r="F56" s="225"/>
    </row>
    <row r="57" spans="1:6" x14ac:dyDescent="0.2">
      <c r="A57" s="130">
        <v>40</v>
      </c>
      <c r="B57" s="236" t="str">
        <f t="shared" si="1"/>
        <v>40x52F</v>
      </c>
      <c r="C57" s="137" t="str">
        <f t="shared" si="2"/>
        <v>EUR40x52F_SYNTH1Y_Quote</v>
      </c>
      <c r="D57" s="137" t="str">
        <f>_xll.qlSimpleQuote(C57,,RateTickValue,Permanent,Trigger,ObjectOverwrite)</f>
        <v>EUR40x52F_SYNTH1Y_Quote#0002</v>
      </c>
      <c r="E57" s="242" t="str">
        <f>_xll.ohRangeRetrieveError(D57)</f>
        <v/>
      </c>
      <c r="F57" s="225"/>
    </row>
    <row r="58" spans="1:6" x14ac:dyDescent="0.2">
      <c r="A58" s="130">
        <v>41</v>
      </c>
      <c r="B58" s="236" t="str">
        <f t="shared" si="1"/>
        <v>41x53F</v>
      </c>
      <c r="C58" s="137" t="str">
        <f t="shared" si="2"/>
        <v>EUR41x53F_SYNTH1Y_Quote</v>
      </c>
      <c r="D58" s="137" t="str">
        <f>_xll.qlSimpleQuote(C58,,RateTickValue,Permanent,Trigger,ObjectOverwrite)</f>
        <v>EUR41x53F_SYNTH1Y_Quote#0002</v>
      </c>
      <c r="E58" s="242" t="str">
        <f>_xll.ohRangeRetrieveError(D58)</f>
        <v/>
      </c>
      <c r="F58" s="225"/>
    </row>
    <row r="59" spans="1:6" x14ac:dyDescent="0.2">
      <c r="A59" s="130">
        <v>42</v>
      </c>
      <c r="B59" s="236" t="str">
        <f t="shared" si="1"/>
        <v>42x54F</v>
      </c>
      <c r="C59" s="137" t="str">
        <f t="shared" si="2"/>
        <v>EUR42x54F_SYNTH1Y_Quote</v>
      </c>
      <c r="D59" s="137" t="str">
        <f>_xll.qlSimpleQuote(C59,,RateTickValue,Permanent,Trigger,ObjectOverwrite)</f>
        <v>EUR42x54F_SYNTH1Y_Quote#0002</v>
      </c>
      <c r="E59" s="242" t="str">
        <f>_xll.ohRangeRetrieveError(D59)</f>
        <v/>
      </c>
      <c r="F59" s="225"/>
    </row>
    <row r="60" spans="1:6" x14ac:dyDescent="0.2">
      <c r="A60" s="130">
        <v>43</v>
      </c>
      <c r="B60" s="236" t="str">
        <f t="shared" si="1"/>
        <v>43x55F</v>
      </c>
      <c r="C60" s="137" t="str">
        <f t="shared" si="2"/>
        <v>EUR43x55F_SYNTH1Y_Quote</v>
      </c>
      <c r="D60" s="137" t="str">
        <f>_xll.qlSimpleQuote(C60,,RateTickValue,Permanent,Trigger,ObjectOverwrite)</f>
        <v>EUR43x55F_SYNTH1Y_Quote#0002</v>
      </c>
      <c r="E60" s="242" t="str">
        <f>_xll.ohRangeRetrieveError(D60)</f>
        <v/>
      </c>
      <c r="F60" s="225"/>
    </row>
    <row r="61" spans="1:6" x14ac:dyDescent="0.2">
      <c r="A61" s="130">
        <v>44</v>
      </c>
      <c r="B61" s="236" t="str">
        <f t="shared" si="1"/>
        <v>44x56F</v>
      </c>
      <c r="C61" s="137" t="str">
        <f t="shared" si="2"/>
        <v>EUR44x56F_SYNTH1Y_Quote</v>
      </c>
      <c r="D61" s="137" t="str">
        <f>_xll.qlSimpleQuote(C61,,RateTickValue,Permanent,Trigger,ObjectOverwrite)</f>
        <v>EUR44x56F_SYNTH1Y_Quote#0002</v>
      </c>
      <c r="E61" s="242" t="str">
        <f>_xll.ohRangeRetrieveError(D61)</f>
        <v/>
      </c>
      <c r="F61" s="225"/>
    </row>
    <row r="62" spans="1:6" x14ac:dyDescent="0.2">
      <c r="A62" s="130">
        <v>45</v>
      </c>
      <c r="B62" s="236" t="str">
        <f t="shared" si="1"/>
        <v>45x57F</v>
      </c>
      <c r="C62" s="137" t="str">
        <f t="shared" si="2"/>
        <v>EUR45x57F_SYNTH1Y_Quote</v>
      </c>
      <c r="D62" s="137" t="str">
        <f>_xll.qlSimpleQuote(C62,,RateTickValue,Permanent,Trigger,ObjectOverwrite)</f>
        <v>EUR45x57F_SYNTH1Y_Quote#0002</v>
      </c>
      <c r="E62" s="242" t="str">
        <f>_xll.ohRangeRetrieveError(D62)</f>
        <v/>
      </c>
      <c r="F62" s="225"/>
    </row>
    <row r="63" spans="1:6" x14ac:dyDescent="0.2">
      <c r="A63" s="130">
        <v>46</v>
      </c>
      <c r="B63" s="236" t="str">
        <f t="shared" si="1"/>
        <v>46x58F</v>
      </c>
      <c r="C63" s="137" t="str">
        <f t="shared" si="2"/>
        <v>EUR46x58F_SYNTH1Y_Quote</v>
      </c>
      <c r="D63" s="137" t="str">
        <f>_xll.qlSimpleQuote(C63,,RateTickValue,Permanent,Trigger,ObjectOverwrite)</f>
        <v>EUR46x58F_SYNTH1Y_Quote#0002</v>
      </c>
      <c r="E63" s="242" t="str">
        <f>_xll.ohRangeRetrieveError(D63)</f>
        <v/>
      </c>
      <c r="F63" s="225"/>
    </row>
    <row r="64" spans="1:6" x14ac:dyDescent="0.2">
      <c r="A64" s="130">
        <v>47</v>
      </c>
      <c r="B64" s="239" t="str">
        <f t="shared" si="1"/>
        <v>47x59F</v>
      </c>
      <c r="C64" s="126" t="str">
        <f t="shared" si="2"/>
        <v>EUR47x59F_SYNTH1Y_Quote</v>
      </c>
      <c r="D64" s="126" t="str">
        <f>_xll.qlSimpleQuote(C64,,RateTickValue,Permanent,Trigger,ObjectOverwrite)</f>
        <v>EUR47x59F_SYNTH1Y_Quote#0002</v>
      </c>
      <c r="E64" s="238" t="str">
        <f>_xll.ohRangeRetrieveError(D64)</f>
        <v/>
      </c>
      <c r="F64" s="225"/>
    </row>
    <row r="65" spans="1:6" ht="12" thickBot="1" x14ac:dyDescent="0.25">
      <c r="A65" s="53"/>
      <c r="B65" s="52"/>
      <c r="C65" s="52"/>
      <c r="D65" s="52"/>
      <c r="E65" s="52"/>
      <c r="F65" s="51"/>
    </row>
  </sheetData>
  <pageMargins left="0.75" right="0.75" top="1" bottom="1" header="0.5" footer="0.5"/>
  <pageSetup orientation="portrait" r:id="rId1"/>
  <headerFooter alignWithMargins="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E17"/>
  <sheetViews>
    <sheetView workbookViewId="0"/>
  </sheetViews>
  <sheetFormatPr defaultColWidth="8" defaultRowHeight="11.25" x14ac:dyDescent="0.2"/>
  <cols>
    <col min="1" max="1" width="6.140625" style="107" customWidth="1"/>
    <col min="2" max="2" width="4.28515625" style="107" customWidth="1"/>
    <col min="3" max="3" width="15.5703125" style="107" bestFit="1" customWidth="1"/>
    <col min="4" max="4" width="101.42578125" style="107" bestFit="1" customWidth="1"/>
    <col min="5" max="5" width="4.7109375" style="107" customWidth="1"/>
    <col min="6" max="6" width="35.28515625" style="107" customWidth="1"/>
    <col min="7" max="7" width="4.28515625" style="107" customWidth="1"/>
    <col min="8" max="16384" width="8" style="107"/>
  </cols>
  <sheetData>
    <row r="1" spans="1:5" ht="13.5" thickBot="1" x14ac:dyDescent="0.25">
      <c r="A1" s="107" t="s">
        <v>211</v>
      </c>
      <c r="B1" s="110" t="str">
        <f>_xll.qlxlVersion(TRUE,Trigger)</f>
        <v>QuantLibXL 1.3.0 - MS VC++ 9.0 - Multithreaded Static Runtime library - Release Configuration - Dec  5 2013 11:03:51</v>
      </c>
    </row>
    <row r="2" spans="1:5" s="1" customFormat="1" ht="15.75" x14ac:dyDescent="0.25">
      <c r="A2" s="23"/>
      <c r="B2" s="458" t="s">
        <v>32</v>
      </c>
      <c r="C2" s="459"/>
      <c r="D2" s="459"/>
      <c r="E2" s="460"/>
    </row>
    <row r="3" spans="1:5" s="1" customFormat="1" ht="12.75" x14ac:dyDescent="0.2">
      <c r="A3" s="23"/>
      <c r="B3" s="9"/>
      <c r="C3" s="13"/>
      <c r="D3" s="13"/>
      <c r="E3" s="5"/>
    </row>
    <row r="4" spans="1:5" s="1" customFormat="1" ht="12.75" x14ac:dyDescent="0.2">
      <c r="A4" s="23"/>
      <c r="B4" s="9"/>
      <c r="C4" s="16" t="s">
        <v>31</v>
      </c>
      <c r="D4" s="15"/>
      <c r="E4" s="14"/>
    </row>
    <row r="5" spans="1:5" s="1" customFormat="1" ht="12.75" x14ac:dyDescent="0.2">
      <c r="A5" s="23"/>
      <c r="B5" s="9"/>
      <c r="C5" s="16" t="s">
        <v>30</v>
      </c>
      <c r="D5" s="15" t="b">
        <v>1</v>
      </c>
      <c r="E5" s="14"/>
    </row>
    <row r="6" spans="1:5" s="1" customFormat="1" ht="12.75" x14ac:dyDescent="0.2">
      <c r="A6" s="23"/>
      <c r="B6" s="9"/>
      <c r="C6" s="16" t="s">
        <v>29</v>
      </c>
      <c r="D6" s="15" t="b">
        <v>0</v>
      </c>
      <c r="E6" s="14"/>
    </row>
    <row r="7" spans="1:5" s="1" customFormat="1" ht="12.75" x14ac:dyDescent="0.2">
      <c r="A7" s="23"/>
      <c r="B7" s="9"/>
      <c r="C7" s="16" t="s">
        <v>28</v>
      </c>
      <c r="D7" s="15" t="b">
        <v>1</v>
      </c>
      <c r="E7" s="14"/>
    </row>
    <row r="8" spans="1:5" s="1" customFormat="1" ht="12.75" x14ac:dyDescent="0.2">
      <c r="A8" s="23"/>
      <c r="B8" s="9"/>
      <c r="C8" s="16" t="s">
        <v>27</v>
      </c>
      <c r="D8" s="25" t="str">
        <f ca="1">SUBSTITUTE(LEFT(CELL("filename",A1),FIND("[",CELL("filename",A1),1)-1),"\XLS\","\XML\")</f>
        <v>C:\Users\erik\Documents\repos\quantlib_nando\QuantLibXL\Data2\XML\</v>
      </c>
      <c r="E8" s="14"/>
    </row>
    <row r="9" spans="1:5" s="1" customFormat="1" ht="12.75" x14ac:dyDescent="0.2">
      <c r="A9" s="23"/>
      <c r="B9" s="9"/>
      <c r="C9" s="16" t="s">
        <v>26</v>
      </c>
      <c r="D9" s="24" t="b">
        <v>1</v>
      </c>
      <c r="E9" s="14"/>
    </row>
    <row r="10" spans="1:5" s="1" customFormat="1" ht="13.5" thickBot="1" x14ac:dyDescent="0.25">
      <c r="A10" s="23"/>
      <c r="B10" s="4"/>
      <c r="C10" s="3"/>
      <c r="D10" s="3"/>
      <c r="E10" s="2"/>
    </row>
    <row r="11" spans="1:5" ht="12" thickBot="1" x14ac:dyDescent="0.25"/>
    <row r="12" spans="1:5" ht="15.75" x14ac:dyDescent="0.25">
      <c r="B12" s="458" t="s">
        <v>210</v>
      </c>
      <c r="C12" s="459"/>
      <c r="D12" s="459"/>
      <c r="E12" s="460"/>
    </row>
    <row r="13" spans="1:5" x14ac:dyDescent="0.2">
      <c r="B13" s="160"/>
      <c r="C13" s="246"/>
      <c r="D13" s="246"/>
      <c r="E13" s="149"/>
    </row>
    <row r="14" spans="1:5" x14ac:dyDescent="0.2">
      <c r="B14" s="160"/>
      <c r="C14" s="16" t="s">
        <v>25</v>
      </c>
      <c r="D14" s="15" t="s">
        <v>123</v>
      </c>
      <c r="E14" s="149"/>
    </row>
    <row r="15" spans="1:5" x14ac:dyDescent="0.2">
      <c r="B15" s="160"/>
      <c r="C15" s="16" t="s">
        <v>148</v>
      </c>
      <c r="D15" s="15" t="s">
        <v>147</v>
      </c>
      <c r="E15" s="149"/>
    </row>
    <row r="16" spans="1:5" x14ac:dyDescent="0.2">
      <c r="B16" s="160"/>
      <c r="C16" s="16" t="s">
        <v>146</v>
      </c>
      <c r="D16" s="245">
        <v>1E-4</v>
      </c>
      <c r="E16" s="149"/>
    </row>
    <row r="17" spans="2:5" ht="12" thickBot="1" x14ac:dyDescent="0.25">
      <c r="B17" s="244"/>
      <c r="C17" s="147"/>
      <c r="D17" s="147"/>
      <c r="E17" s="146"/>
    </row>
  </sheetData>
  <mergeCells count="2">
    <mergeCell ref="B2:E2"/>
    <mergeCell ref="B12:E12"/>
  </mergeCells>
  <dataValidations count="1">
    <dataValidation type="list" allowBlank="1" showInputMessage="1" showErrorMessage="1" sqref="D14">
      <formula1>"EUR,USD,GBP,JPY,CHF"</formula1>
    </dataValidation>
  </dataValidations>
  <pageMargins left="0.75" right="0.75" top="1" bottom="1" header="0.5" footer="0.5"/>
  <pageSetup paperSize="9" orientation="portrait" r:id="rId1"/>
  <headerFooter alignWithMargins="0"/>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T37"/>
  <sheetViews>
    <sheetView workbookViewId="0"/>
  </sheetViews>
  <sheetFormatPr defaultRowHeight="11.25" x14ac:dyDescent="0.2"/>
  <cols>
    <col min="1" max="1" width="3.7109375" style="74" customWidth="1"/>
    <col min="2" max="2" width="3.85546875" style="21" bestFit="1" customWidth="1"/>
    <col min="3" max="3" width="3.140625" style="74" bestFit="1" customWidth="1"/>
    <col min="4" max="4" width="2.7109375" style="74" bestFit="1" customWidth="1"/>
    <col min="5" max="5" width="4.7109375" style="74" bestFit="1" customWidth="1"/>
    <col min="6" max="7" width="1.85546875" style="74" bestFit="1" customWidth="1"/>
    <col min="8" max="8" width="7.140625" style="74" bestFit="1" customWidth="1"/>
    <col min="9" max="9" width="19.140625" style="74" bestFit="1" customWidth="1"/>
    <col min="10" max="10" width="23.85546875" style="74" bestFit="1" customWidth="1"/>
    <col min="11" max="11" width="26.7109375" style="75" bestFit="1" customWidth="1"/>
    <col min="12" max="12" width="22" style="74" customWidth="1"/>
    <col min="13" max="13" width="4.42578125" style="74" customWidth="1"/>
    <col min="14" max="14" width="3.85546875" style="74" customWidth="1"/>
    <col min="15" max="15" width="4" style="74" bestFit="1" customWidth="1"/>
    <col min="16" max="16" width="3.28515625" style="74" bestFit="1" customWidth="1"/>
    <col min="17" max="17" width="2.7109375" style="74" customWidth="1"/>
    <col min="18" max="18" width="3.28515625" style="74" bestFit="1" customWidth="1"/>
    <col min="19" max="20" width="2.7109375" style="74" bestFit="1" customWidth="1"/>
    <col min="21" max="16384" width="9.140625" style="74"/>
  </cols>
  <sheetData>
    <row r="1" spans="1:20" ht="12" thickBot="1" x14ac:dyDescent="0.25">
      <c r="A1" s="224" t="s">
        <v>216</v>
      </c>
      <c r="B1" s="207"/>
      <c r="C1" s="207"/>
      <c r="D1" s="207"/>
      <c r="E1" s="207"/>
      <c r="F1" s="207"/>
      <c r="G1" s="207"/>
      <c r="H1" s="207"/>
      <c r="I1" s="207"/>
      <c r="J1" s="207"/>
      <c r="K1" s="207"/>
      <c r="L1" s="162"/>
      <c r="M1" s="204"/>
    </row>
    <row r="2" spans="1:20" ht="22.5" x14ac:dyDescent="0.2">
      <c r="A2" s="130"/>
      <c r="B2" s="254"/>
      <c r="C2" s="255"/>
      <c r="D2" s="254"/>
      <c r="E2" s="254" t="s">
        <v>215</v>
      </c>
      <c r="F2" s="254"/>
      <c r="G2" s="254"/>
      <c r="H2" s="254" t="s">
        <v>214</v>
      </c>
      <c r="I2" s="254" t="s">
        <v>213</v>
      </c>
      <c r="J2" s="253" t="str">
        <f>Currency&amp;"_020_Sw"&amp;$C$3&amp;$D$3&amp;"_Fwd"&amp;$E$3&amp;IF(H3=0,,"_Spr"&amp;$F3&amp;$G3)&amp;".xml"</f>
        <v>EUR_020_SwAB6E_Fwd1w.xml</v>
      </c>
      <c r="K2" s="252">
        <f ca="1">IF(Serialize,_xll.ohObjectSave(K3:K36,SerializationPath&amp;J2,FileOverwrite,Serialize),"---")</f>
        <v>33</v>
      </c>
      <c r="L2" s="250" t="str">
        <f ca="1">_xll.ohRangeRetrieveError(K2)</f>
        <v/>
      </c>
      <c r="M2" s="54"/>
      <c r="O2" s="216"/>
      <c r="P2" s="215"/>
      <c r="Q2" s="215"/>
      <c r="R2" s="215"/>
      <c r="S2" s="215"/>
      <c r="T2" s="214"/>
    </row>
    <row r="3" spans="1:20" x14ac:dyDescent="0.2">
      <c r="A3" s="130"/>
      <c r="B3" s="222" t="s">
        <v>34</v>
      </c>
      <c r="C3" s="114" t="str">
        <f t="shared" ref="C3:C36" si="0">VLOOKUP(Currency,$O$3:$T$7,2)</f>
        <v>AB</v>
      </c>
      <c r="D3" s="114" t="str">
        <f t="shared" ref="D3:D36" si="1">VLOOKUP(Currency,$O$3:$T$7,3)</f>
        <v>6E</v>
      </c>
      <c r="E3" s="114" t="str">
        <f t="shared" ref="E3:E36" si="2">VLOOKUP(Currency,$O$3:$T$7,4)</f>
        <v>1w</v>
      </c>
      <c r="F3" s="114">
        <f t="shared" ref="F3:F36" si="3">VLOOKUP(Currency,$O$3:$T$7,5)</f>
        <v>0</v>
      </c>
      <c r="G3" s="114">
        <f t="shared" ref="G3:G36" si="4">VLOOKUP(Currency,$O$3:$T$7,6)</f>
        <v>0</v>
      </c>
      <c r="H3" s="249">
        <f t="shared" ref="H3:H36" si="5">IF(F3=0,0,Currency&amp;$F3&amp;$G3&amp;$B3&amp;QuoteSuffix)</f>
        <v>0</v>
      </c>
      <c r="I3" s="251" t="str">
        <f t="shared" ref="I3:I36" si="6">PROPER(Currency)&amp;FamilyName&amp;"Swap"&amp;FixingType&amp;$B3</f>
        <v>EuriborSwapIsdaFixA1Y</v>
      </c>
      <c r="J3" s="247" t="str">
        <f t="shared" ref="J3:J36" si="7">Currency&amp;$C3&amp;$D3&amp;$B3&amp;"_"&amp;"Fwd"&amp;E3&amp;IF(H3=0,,"_Spr"&amp;$F3&amp;$G3)&amp;QuoteSuffix</f>
        <v>EURAB6E1Y_Fwd1w_Quote</v>
      </c>
      <c r="K3" s="247"/>
      <c r="L3" s="250" t="str">
        <f>_xll.ohRangeRetrieveError(K3)</f>
        <v/>
      </c>
      <c r="M3" s="54"/>
      <c r="O3" s="92" t="s">
        <v>137</v>
      </c>
      <c r="P3" s="91" t="s">
        <v>202</v>
      </c>
      <c r="Q3" s="91" t="s">
        <v>132</v>
      </c>
      <c r="R3" s="91" t="s">
        <v>212</v>
      </c>
      <c r="S3" s="91"/>
      <c r="T3" s="90"/>
    </row>
    <row r="4" spans="1:20" x14ac:dyDescent="0.2">
      <c r="A4" s="130"/>
      <c r="B4" s="222" t="s">
        <v>115</v>
      </c>
      <c r="C4" s="114" t="str">
        <f t="shared" si="0"/>
        <v>AB</v>
      </c>
      <c r="D4" s="114" t="str">
        <f t="shared" si="1"/>
        <v>6E</v>
      </c>
      <c r="E4" s="114" t="str">
        <f t="shared" si="2"/>
        <v>1w</v>
      </c>
      <c r="F4" s="114">
        <f t="shared" si="3"/>
        <v>0</v>
      </c>
      <c r="G4" s="114">
        <f t="shared" si="4"/>
        <v>0</v>
      </c>
      <c r="H4" s="249">
        <f t="shared" si="5"/>
        <v>0</v>
      </c>
      <c r="I4" s="248" t="str">
        <f t="shared" si="6"/>
        <v>EuriborSwapIsdaFixA2Y</v>
      </c>
      <c r="J4" s="247" t="str">
        <f t="shared" si="7"/>
        <v>EURAB6E2Y_Fwd1w_Quote</v>
      </c>
      <c r="K4" s="247" t="str">
        <f>_xll.qlForwardSwapQuote(J4,I4,H4,E4,Permanent,Trigger,ObjectOverwrite)</f>
        <v>EURAB6E2Y_Fwd1w_Quote#0001</v>
      </c>
      <c r="L4" s="250" t="str">
        <f>_xll.ohRangeRetrieveError(K4)</f>
        <v/>
      </c>
      <c r="M4" s="54"/>
      <c r="O4" s="92" t="s">
        <v>123</v>
      </c>
      <c r="P4" s="91" t="s">
        <v>202</v>
      </c>
      <c r="Q4" s="91" t="s">
        <v>135</v>
      </c>
      <c r="R4" s="91" t="s">
        <v>212</v>
      </c>
      <c r="S4" s="91"/>
      <c r="T4" s="90"/>
    </row>
    <row r="5" spans="1:20" x14ac:dyDescent="0.2">
      <c r="A5" s="130"/>
      <c r="B5" s="222" t="s">
        <v>114</v>
      </c>
      <c r="C5" s="114" t="str">
        <f t="shared" si="0"/>
        <v>AB</v>
      </c>
      <c r="D5" s="114" t="str">
        <f t="shared" si="1"/>
        <v>6E</v>
      </c>
      <c r="E5" s="114" t="str">
        <f t="shared" si="2"/>
        <v>1w</v>
      </c>
      <c r="F5" s="114">
        <f t="shared" si="3"/>
        <v>0</v>
      </c>
      <c r="G5" s="114">
        <f t="shared" si="4"/>
        <v>0</v>
      </c>
      <c r="H5" s="249">
        <f t="shared" si="5"/>
        <v>0</v>
      </c>
      <c r="I5" s="248" t="str">
        <f t="shared" si="6"/>
        <v>EuriborSwapIsdaFixA3Y</v>
      </c>
      <c r="J5" s="247" t="str">
        <f t="shared" si="7"/>
        <v>EURAB6E3Y_Fwd1w_Quote</v>
      </c>
      <c r="K5" s="247" t="str">
        <f>_xll.qlForwardSwapQuote(J5,I5,H5,E5,Permanent,Trigger,ObjectOverwrite)</f>
        <v>EURAB6E3Y_Fwd1w_Quote#0001</v>
      </c>
      <c r="L5" s="250" t="str">
        <f>_xll.ohRangeRetrieveError(K5)</f>
        <v/>
      </c>
      <c r="M5" s="54"/>
      <c r="O5" s="92" t="s">
        <v>134</v>
      </c>
      <c r="P5" s="91" t="s">
        <v>201</v>
      </c>
      <c r="Q5" s="91" t="s">
        <v>132</v>
      </c>
      <c r="R5" s="91" t="s">
        <v>212</v>
      </c>
      <c r="S5" s="91"/>
      <c r="T5" s="90"/>
    </row>
    <row r="6" spans="1:20" x14ac:dyDescent="0.2">
      <c r="A6" s="130"/>
      <c r="B6" s="222" t="s">
        <v>113</v>
      </c>
      <c r="C6" s="114" t="str">
        <f t="shared" si="0"/>
        <v>AB</v>
      </c>
      <c r="D6" s="114" t="str">
        <f t="shared" si="1"/>
        <v>6E</v>
      </c>
      <c r="E6" s="114" t="str">
        <f t="shared" si="2"/>
        <v>1w</v>
      </c>
      <c r="F6" s="114">
        <f t="shared" si="3"/>
        <v>0</v>
      </c>
      <c r="G6" s="114">
        <f t="shared" si="4"/>
        <v>0</v>
      </c>
      <c r="H6" s="249">
        <f t="shared" si="5"/>
        <v>0</v>
      </c>
      <c r="I6" s="248" t="str">
        <f t="shared" si="6"/>
        <v>EuriborSwapIsdaFixA4Y</v>
      </c>
      <c r="J6" s="247" t="str">
        <f t="shared" si="7"/>
        <v>EURAB6E4Y_Fwd1w_Quote</v>
      </c>
      <c r="K6" s="247" t="str">
        <f>_xll.qlForwardSwapQuote(J6,I6,H6,E6,Permanent,Trigger,ObjectOverwrite)</f>
        <v>EURAB6E4Y_Fwd1w_Quote#0001</v>
      </c>
      <c r="L6" s="250" t="str">
        <f>_xll.ohRangeRetrieveError(K6)</f>
        <v/>
      </c>
      <c r="M6" s="54"/>
      <c r="O6" s="92" t="s">
        <v>133</v>
      </c>
      <c r="P6" s="91" t="s">
        <v>201</v>
      </c>
      <c r="Q6" s="91" t="s">
        <v>132</v>
      </c>
      <c r="R6" s="91" t="s">
        <v>212</v>
      </c>
      <c r="S6" s="91"/>
      <c r="T6" s="90"/>
    </row>
    <row r="7" spans="1:20" ht="12" thickBot="1" x14ac:dyDescent="0.25">
      <c r="A7" s="130"/>
      <c r="B7" s="222" t="s">
        <v>112</v>
      </c>
      <c r="C7" s="114" t="str">
        <f t="shared" si="0"/>
        <v>AB</v>
      </c>
      <c r="D7" s="114" t="str">
        <f t="shared" si="1"/>
        <v>6E</v>
      </c>
      <c r="E7" s="114" t="str">
        <f t="shared" si="2"/>
        <v>1w</v>
      </c>
      <c r="F7" s="114">
        <f t="shared" si="3"/>
        <v>0</v>
      </c>
      <c r="G7" s="114">
        <f t="shared" si="4"/>
        <v>0</v>
      </c>
      <c r="H7" s="249">
        <f t="shared" si="5"/>
        <v>0</v>
      </c>
      <c r="I7" s="248" t="str">
        <f t="shared" si="6"/>
        <v>EuriborSwapIsdaFixA5Y</v>
      </c>
      <c r="J7" s="247" t="str">
        <f t="shared" si="7"/>
        <v>EURAB6E5Y_Fwd1w_Quote</v>
      </c>
      <c r="K7" s="247" t="str">
        <f>_xll.qlForwardSwapQuote(J7,I7,H7,E7,Permanent,Trigger,ObjectOverwrite)</f>
        <v>EURAB6E5Y_Fwd1w_Quote#0001</v>
      </c>
      <c r="L7" s="250" t="str">
        <f>_xll.ohRangeRetrieveError(K7)</f>
        <v/>
      </c>
      <c r="M7" s="54"/>
      <c r="O7" s="89" t="s">
        <v>131</v>
      </c>
      <c r="P7" s="88" t="s">
        <v>200</v>
      </c>
      <c r="Q7" s="88" t="s">
        <v>130</v>
      </c>
      <c r="R7" s="88" t="s">
        <v>212</v>
      </c>
      <c r="S7" s="88"/>
      <c r="T7" s="87"/>
    </row>
    <row r="8" spans="1:20" x14ac:dyDescent="0.2">
      <c r="A8" s="130"/>
      <c r="B8" s="222" t="s">
        <v>111</v>
      </c>
      <c r="C8" s="114" t="str">
        <f t="shared" si="0"/>
        <v>AB</v>
      </c>
      <c r="D8" s="114" t="str">
        <f t="shared" si="1"/>
        <v>6E</v>
      </c>
      <c r="E8" s="114" t="str">
        <f t="shared" si="2"/>
        <v>1w</v>
      </c>
      <c r="F8" s="114">
        <f t="shared" si="3"/>
        <v>0</v>
      </c>
      <c r="G8" s="114">
        <f t="shared" si="4"/>
        <v>0</v>
      </c>
      <c r="H8" s="249">
        <f t="shared" si="5"/>
        <v>0</v>
      </c>
      <c r="I8" s="248" t="str">
        <f t="shared" si="6"/>
        <v>EuriborSwapIsdaFixA6Y</v>
      </c>
      <c r="J8" s="247" t="str">
        <f t="shared" si="7"/>
        <v>EURAB6E6Y_Fwd1w_Quote</v>
      </c>
      <c r="K8" s="247" t="str">
        <f>_xll.qlForwardSwapQuote(J8,I8,H8,E8,Permanent,Trigger,ObjectOverwrite)</f>
        <v>EURAB6E6Y_Fwd1w_Quote#0001</v>
      </c>
      <c r="L8" s="250" t="str">
        <f>_xll.ohRangeRetrieveError(K8)</f>
        <v/>
      </c>
      <c r="M8" s="54"/>
    </row>
    <row r="9" spans="1:20" x14ac:dyDescent="0.2">
      <c r="A9" s="130"/>
      <c r="B9" s="222" t="s">
        <v>110</v>
      </c>
      <c r="C9" s="114" t="str">
        <f t="shared" si="0"/>
        <v>AB</v>
      </c>
      <c r="D9" s="114" t="str">
        <f t="shared" si="1"/>
        <v>6E</v>
      </c>
      <c r="E9" s="114" t="str">
        <f t="shared" si="2"/>
        <v>1w</v>
      </c>
      <c r="F9" s="114">
        <f t="shared" si="3"/>
        <v>0</v>
      </c>
      <c r="G9" s="114">
        <f t="shared" si="4"/>
        <v>0</v>
      </c>
      <c r="H9" s="249">
        <f t="shared" si="5"/>
        <v>0</v>
      </c>
      <c r="I9" s="248" t="str">
        <f t="shared" si="6"/>
        <v>EuriborSwapIsdaFixA7Y</v>
      </c>
      <c r="J9" s="247" t="str">
        <f t="shared" si="7"/>
        <v>EURAB6E7Y_Fwd1w_Quote</v>
      </c>
      <c r="K9" s="247" t="str">
        <f>_xll.qlForwardSwapQuote(J9,I9,H9,E9,Permanent,Trigger,ObjectOverwrite)</f>
        <v>EURAB6E7Y_Fwd1w_Quote#0001</v>
      </c>
      <c r="L9" s="250" t="str">
        <f>_xll.ohRangeRetrieveError(K9)</f>
        <v/>
      </c>
      <c r="M9" s="54"/>
    </row>
    <row r="10" spans="1:20" x14ac:dyDescent="0.2">
      <c r="A10" s="130"/>
      <c r="B10" s="222" t="s">
        <v>109</v>
      </c>
      <c r="C10" s="114" t="str">
        <f t="shared" si="0"/>
        <v>AB</v>
      </c>
      <c r="D10" s="114" t="str">
        <f t="shared" si="1"/>
        <v>6E</v>
      </c>
      <c r="E10" s="114" t="str">
        <f t="shared" si="2"/>
        <v>1w</v>
      </c>
      <c r="F10" s="114">
        <f t="shared" si="3"/>
        <v>0</v>
      </c>
      <c r="G10" s="114">
        <f t="shared" si="4"/>
        <v>0</v>
      </c>
      <c r="H10" s="249">
        <f t="shared" si="5"/>
        <v>0</v>
      </c>
      <c r="I10" s="248" t="str">
        <f t="shared" si="6"/>
        <v>EuriborSwapIsdaFixA8Y</v>
      </c>
      <c r="J10" s="247" t="str">
        <f t="shared" si="7"/>
        <v>EURAB6E8Y_Fwd1w_Quote</v>
      </c>
      <c r="K10" s="247" t="str">
        <f>_xll.qlForwardSwapQuote(J10,I10,H10,E10,Permanent,Trigger,ObjectOverwrite)</f>
        <v>EURAB6E8Y_Fwd1w_Quote#0001</v>
      </c>
      <c r="L10" s="250" t="str">
        <f>_xll.ohRangeRetrieveError(K10)</f>
        <v/>
      </c>
      <c r="M10" s="54"/>
    </row>
    <row r="11" spans="1:20" x14ac:dyDescent="0.2">
      <c r="A11" s="130"/>
      <c r="B11" s="222" t="s">
        <v>108</v>
      </c>
      <c r="C11" s="114" t="str">
        <f t="shared" si="0"/>
        <v>AB</v>
      </c>
      <c r="D11" s="114" t="str">
        <f t="shared" si="1"/>
        <v>6E</v>
      </c>
      <c r="E11" s="114" t="str">
        <f t="shared" si="2"/>
        <v>1w</v>
      </c>
      <c r="F11" s="114">
        <f t="shared" si="3"/>
        <v>0</v>
      </c>
      <c r="G11" s="114">
        <f t="shared" si="4"/>
        <v>0</v>
      </c>
      <c r="H11" s="249">
        <f t="shared" si="5"/>
        <v>0</v>
      </c>
      <c r="I11" s="248" t="str">
        <f t="shared" si="6"/>
        <v>EuriborSwapIsdaFixA9Y</v>
      </c>
      <c r="J11" s="247" t="str">
        <f t="shared" si="7"/>
        <v>EURAB6E9Y_Fwd1w_Quote</v>
      </c>
      <c r="K11" s="247" t="str">
        <f>_xll.qlForwardSwapQuote(J11,I11,H11,E11,Permanent,Trigger,ObjectOverwrite)</f>
        <v>EURAB6E9Y_Fwd1w_Quote#0001</v>
      </c>
      <c r="L11" s="250" t="str">
        <f>_xll.ohRangeRetrieveError(K11)</f>
        <v/>
      </c>
      <c r="M11" s="54"/>
    </row>
    <row r="12" spans="1:20" x14ac:dyDescent="0.2">
      <c r="A12" s="130"/>
      <c r="B12" s="222" t="s">
        <v>107</v>
      </c>
      <c r="C12" s="114" t="str">
        <f t="shared" si="0"/>
        <v>AB</v>
      </c>
      <c r="D12" s="114" t="str">
        <f t="shared" si="1"/>
        <v>6E</v>
      </c>
      <c r="E12" s="114" t="str">
        <f t="shared" si="2"/>
        <v>1w</v>
      </c>
      <c r="F12" s="114">
        <f t="shared" si="3"/>
        <v>0</v>
      </c>
      <c r="G12" s="114">
        <f t="shared" si="4"/>
        <v>0</v>
      </c>
      <c r="H12" s="249">
        <f t="shared" si="5"/>
        <v>0</v>
      </c>
      <c r="I12" s="248" t="str">
        <f t="shared" si="6"/>
        <v>EuriborSwapIsdaFixA10Y</v>
      </c>
      <c r="J12" s="247" t="str">
        <f t="shared" si="7"/>
        <v>EURAB6E10Y_Fwd1w_Quote</v>
      </c>
      <c r="K12" s="247" t="str">
        <f>_xll.qlForwardSwapQuote(J12,I12,H12,E12,Permanent,Trigger,ObjectOverwrite)</f>
        <v>EURAB6E10Y_Fwd1w_Quote#0001</v>
      </c>
      <c r="L12" s="250" t="str">
        <f>_xll.ohRangeRetrieveError(K12)</f>
        <v/>
      </c>
      <c r="M12" s="54"/>
    </row>
    <row r="13" spans="1:20" x14ac:dyDescent="0.2">
      <c r="A13" s="130"/>
      <c r="B13" s="222" t="s">
        <v>106</v>
      </c>
      <c r="C13" s="114" t="str">
        <f t="shared" si="0"/>
        <v>AB</v>
      </c>
      <c r="D13" s="114" t="str">
        <f t="shared" si="1"/>
        <v>6E</v>
      </c>
      <c r="E13" s="114" t="str">
        <f t="shared" si="2"/>
        <v>1w</v>
      </c>
      <c r="F13" s="114">
        <f t="shared" si="3"/>
        <v>0</v>
      </c>
      <c r="G13" s="114">
        <f t="shared" si="4"/>
        <v>0</v>
      </c>
      <c r="H13" s="249">
        <f t="shared" si="5"/>
        <v>0</v>
      </c>
      <c r="I13" s="248" t="str">
        <f t="shared" si="6"/>
        <v>EuriborSwapIsdaFixA11Y</v>
      </c>
      <c r="J13" s="247" t="str">
        <f t="shared" si="7"/>
        <v>EURAB6E11Y_Fwd1w_Quote</v>
      </c>
      <c r="K13" s="247" t="str">
        <f>_xll.qlForwardSwapQuote(J13,I13,H13,E13,Permanent,Trigger,ObjectOverwrite)</f>
        <v>EURAB6E11Y_Fwd1w_Quote#0001</v>
      </c>
      <c r="L13" s="250" t="str">
        <f>_xll.ohRangeRetrieveError(K13)</f>
        <v/>
      </c>
      <c r="M13" s="54"/>
    </row>
    <row r="14" spans="1:20" x14ac:dyDescent="0.2">
      <c r="A14" s="130"/>
      <c r="B14" s="222" t="s">
        <v>105</v>
      </c>
      <c r="C14" s="114" t="str">
        <f t="shared" si="0"/>
        <v>AB</v>
      </c>
      <c r="D14" s="114" t="str">
        <f t="shared" si="1"/>
        <v>6E</v>
      </c>
      <c r="E14" s="114" t="str">
        <f t="shared" si="2"/>
        <v>1w</v>
      </c>
      <c r="F14" s="114">
        <f t="shared" si="3"/>
        <v>0</v>
      </c>
      <c r="G14" s="114">
        <f t="shared" si="4"/>
        <v>0</v>
      </c>
      <c r="H14" s="249">
        <f t="shared" si="5"/>
        <v>0</v>
      </c>
      <c r="I14" s="248" t="str">
        <f t="shared" si="6"/>
        <v>EuriborSwapIsdaFixA12Y</v>
      </c>
      <c r="J14" s="247" t="str">
        <f t="shared" si="7"/>
        <v>EURAB6E12Y_Fwd1w_Quote</v>
      </c>
      <c r="K14" s="247" t="str">
        <f>_xll.qlForwardSwapQuote(J14,I14,H14,E14,Permanent,Trigger,ObjectOverwrite)</f>
        <v>EURAB6E12Y_Fwd1w_Quote#0001</v>
      </c>
      <c r="L14" s="250" t="str">
        <f>_xll.ohRangeRetrieveError(K14)</f>
        <v/>
      </c>
      <c r="M14" s="54"/>
    </row>
    <row r="15" spans="1:20" x14ac:dyDescent="0.2">
      <c r="A15" s="130"/>
      <c r="B15" s="222" t="s">
        <v>104</v>
      </c>
      <c r="C15" s="114" t="str">
        <f t="shared" si="0"/>
        <v>AB</v>
      </c>
      <c r="D15" s="114" t="str">
        <f t="shared" si="1"/>
        <v>6E</v>
      </c>
      <c r="E15" s="114" t="str">
        <f t="shared" si="2"/>
        <v>1w</v>
      </c>
      <c r="F15" s="114">
        <f t="shared" si="3"/>
        <v>0</v>
      </c>
      <c r="G15" s="114">
        <f t="shared" si="4"/>
        <v>0</v>
      </c>
      <c r="H15" s="249">
        <f t="shared" si="5"/>
        <v>0</v>
      </c>
      <c r="I15" s="248" t="str">
        <f t="shared" si="6"/>
        <v>EuriborSwapIsdaFixA13Y</v>
      </c>
      <c r="J15" s="247" t="str">
        <f t="shared" si="7"/>
        <v>EURAB6E13Y_Fwd1w_Quote</v>
      </c>
      <c r="K15" s="247" t="str">
        <f>_xll.qlForwardSwapQuote(J15,I15,H15,E15,Permanent,Trigger,ObjectOverwrite)</f>
        <v>EURAB6E13Y_Fwd1w_Quote#0001</v>
      </c>
      <c r="L15" s="250" t="str">
        <f>_xll.ohRangeRetrieveError(K15)</f>
        <v/>
      </c>
      <c r="M15" s="54"/>
    </row>
    <row r="16" spans="1:20" x14ac:dyDescent="0.2">
      <c r="A16" s="130"/>
      <c r="B16" s="222" t="s">
        <v>103</v>
      </c>
      <c r="C16" s="114" t="str">
        <f t="shared" si="0"/>
        <v>AB</v>
      </c>
      <c r="D16" s="114" t="str">
        <f t="shared" si="1"/>
        <v>6E</v>
      </c>
      <c r="E16" s="114" t="str">
        <f t="shared" si="2"/>
        <v>1w</v>
      </c>
      <c r="F16" s="114">
        <f t="shared" si="3"/>
        <v>0</v>
      </c>
      <c r="G16" s="114">
        <f t="shared" si="4"/>
        <v>0</v>
      </c>
      <c r="H16" s="249">
        <f t="shared" si="5"/>
        <v>0</v>
      </c>
      <c r="I16" s="248" t="str">
        <f t="shared" si="6"/>
        <v>EuriborSwapIsdaFixA14Y</v>
      </c>
      <c r="J16" s="247" t="str">
        <f t="shared" si="7"/>
        <v>EURAB6E14Y_Fwd1w_Quote</v>
      </c>
      <c r="K16" s="247" t="str">
        <f>_xll.qlForwardSwapQuote(J16,I16,H16,E16,Permanent,Trigger,ObjectOverwrite)</f>
        <v>EURAB6E14Y_Fwd1w_Quote#0001</v>
      </c>
      <c r="L16" s="250" t="str">
        <f>_xll.ohRangeRetrieveError(K16)</f>
        <v/>
      </c>
      <c r="M16" s="54"/>
    </row>
    <row r="17" spans="1:13" x14ac:dyDescent="0.2">
      <c r="A17" s="130"/>
      <c r="B17" s="222" t="s">
        <v>102</v>
      </c>
      <c r="C17" s="114" t="str">
        <f t="shared" si="0"/>
        <v>AB</v>
      </c>
      <c r="D17" s="114" t="str">
        <f t="shared" si="1"/>
        <v>6E</v>
      </c>
      <c r="E17" s="114" t="str">
        <f t="shared" si="2"/>
        <v>1w</v>
      </c>
      <c r="F17" s="114">
        <f t="shared" si="3"/>
        <v>0</v>
      </c>
      <c r="G17" s="114">
        <f t="shared" si="4"/>
        <v>0</v>
      </c>
      <c r="H17" s="249">
        <f t="shared" si="5"/>
        <v>0</v>
      </c>
      <c r="I17" s="248" t="str">
        <f t="shared" si="6"/>
        <v>EuriborSwapIsdaFixA15Y</v>
      </c>
      <c r="J17" s="247" t="str">
        <f t="shared" si="7"/>
        <v>EURAB6E15Y_Fwd1w_Quote</v>
      </c>
      <c r="K17" s="247" t="str">
        <f>_xll.qlForwardSwapQuote(J17,I17,H17,E17,Permanent,Trigger,ObjectOverwrite)</f>
        <v>EURAB6E15Y_Fwd1w_Quote#0001</v>
      </c>
      <c r="L17" s="250" t="str">
        <f>_xll.ohRangeRetrieveError(K17)</f>
        <v/>
      </c>
      <c r="M17" s="54"/>
    </row>
    <row r="18" spans="1:13" x14ac:dyDescent="0.2">
      <c r="A18" s="130"/>
      <c r="B18" s="222" t="s">
        <v>101</v>
      </c>
      <c r="C18" s="114" t="str">
        <f t="shared" si="0"/>
        <v>AB</v>
      </c>
      <c r="D18" s="114" t="str">
        <f t="shared" si="1"/>
        <v>6E</v>
      </c>
      <c r="E18" s="114" t="str">
        <f t="shared" si="2"/>
        <v>1w</v>
      </c>
      <c r="F18" s="114">
        <f t="shared" si="3"/>
        <v>0</v>
      </c>
      <c r="G18" s="114">
        <f t="shared" si="4"/>
        <v>0</v>
      </c>
      <c r="H18" s="249">
        <f t="shared" si="5"/>
        <v>0</v>
      </c>
      <c r="I18" s="248" t="str">
        <f t="shared" si="6"/>
        <v>EuriborSwapIsdaFixA16Y</v>
      </c>
      <c r="J18" s="247" t="str">
        <f t="shared" si="7"/>
        <v>EURAB6E16Y_Fwd1w_Quote</v>
      </c>
      <c r="K18" s="247" t="str">
        <f>_xll.qlForwardSwapQuote(J18,I18,H18,E18,Permanent,Trigger,ObjectOverwrite)</f>
        <v>EURAB6E16Y_Fwd1w_Quote#0001</v>
      </c>
      <c r="L18" s="250" t="str">
        <f>_xll.ohRangeRetrieveError(K18)</f>
        <v/>
      </c>
      <c r="M18" s="54"/>
    </row>
    <row r="19" spans="1:13" x14ac:dyDescent="0.2">
      <c r="A19" s="130"/>
      <c r="B19" s="222" t="s">
        <v>100</v>
      </c>
      <c r="C19" s="114" t="str">
        <f t="shared" si="0"/>
        <v>AB</v>
      </c>
      <c r="D19" s="114" t="str">
        <f t="shared" si="1"/>
        <v>6E</v>
      </c>
      <c r="E19" s="114" t="str">
        <f t="shared" si="2"/>
        <v>1w</v>
      </c>
      <c r="F19" s="114">
        <f t="shared" si="3"/>
        <v>0</v>
      </c>
      <c r="G19" s="114">
        <f t="shared" si="4"/>
        <v>0</v>
      </c>
      <c r="H19" s="249">
        <f t="shared" si="5"/>
        <v>0</v>
      </c>
      <c r="I19" s="248" t="str">
        <f t="shared" si="6"/>
        <v>EuriborSwapIsdaFixA17Y</v>
      </c>
      <c r="J19" s="247" t="str">
        <f t="shared" si="7"/>
        <v>EURAB6E17Y_Fwd1w_Quote</v>
      </c>
      <c r="K19" s="247" t="str">
        <f>_xll.qlForwardSwapQuote(J19,I19,H19,E19,Permanent,Trigger,ObjectOverwrite)</f>
        <v>EURAB6E17Y_Fwd1w_Quote#0001</v>
      </c>
      <c r="L19" s="250" t="str">
        <f>_xll.ohRangeRetrieveError(K19)</f>
        <v/>
      </c>
      <c r="M19" s="54"/>
    </row>
    <row r="20" spans="1:13" x14ac:dyDescent="0.2">
      <c r="A20" s="130"/>
      <c r="B20" s="222" t="s">
        <v>99</v>
      </c>
      <c r="C20" s="114" t="str">
        <f t="shared" si="0"/>
        <v>AB</v>
      </c>
      <c r="D20" s="114" t="str">
        <f t="shared" si="1"/>
        <v>6E</v>
      </c>
      <c r="E20" s="114" t="str">
        <f t="shared" si="2"/>
        <v>1w</v>
      </c>
      <c r="F20" s="114">
        <f t="shared" si="3"/>
        <v>0</v>
      </c>
      <c r="G20" s="114">
        <f t="shared" si="4"/>
        <v>0</v>
      </c>
      <c r="H20" s="249">
        <f t="shared" si="5"/>
        <v>0</v>
      </c>
      <c r="I20" s="248" t="str">
        <f t="shared" si="6"/>
        <v>EuriborSwapIsdaFixA18Y</v>
      </c>
      <c r="J20" s="247" t="str">
        <f t="shared" si="7"/>
        <v>EURAB6E18Y_Fwd1w_Quote</v>
      </c>
      <c r="K20" s="247" t="str">
        <f>_xll.qlForwardSwapQuote(J20,I20,H20,E20,Permanent,Trigger,ObjectOverwrite)</f>
        <v>EURAB6E18Y_Fwd1w_Quote#0001</v>
      </c>
      <c r="L20" s="250" t="str">
        <f>_xll.ohRangeRetrieveError(K20)</f>
        <v/>
      </c>
      <c r="M20" s="54"/>
    </row>
    <row r="21" spans="1:13" x14ac:dyDescent="0.2">
      <c r="A21" s="130"/>
      <c r="B21" s="222" t="s">
        <v>98</v>
      </c>
      <c r="C21" s="114" t="str">
        <f t="shared" si="0"/>
        <v>AB</v>
      </c>
      <c r="D21" s="114" t="str">
        <f t="shared" si="1"/>
        <v>6E</v>
      </c>
      <c r="E21" s="114" t="str">
        <f t="shared" si="2"/>
        <v>1w</v>
      </c>
      <c r="F21" s="114">
        <f t="shared" si="3"/>
        <v>0</v>
      </c>
      <c r="G21" s="114">
        <f t="shared" si="4"/>
        <v>0</v>
      </c>
      <c r="H21" s="249">
        <f t="shared" si="5"/>
        <v>0</v>
      </c>
      <c r="I21" s="248" t="str">
        <f t="shared" si="6"/>
        <v>EuriborSwapIsdaFixA19Y</v>
      </c>
      <c r="J21" s="247" t="str">
        <f t="shared" si="7"/>
        <v>EURAB6E19Y_Fwd1w_Quote</v>
      </c>
      <c r="K21" s="247" t="str">
        <f>_xll.qlForwardSwapQuote(J21,I21,H21,E21,Permanent,Trigger,ObjectOverwrite)</f>
        <v>EURAB6E19Y_Fwd1w_Quote#0001</v>
      </c>
      <c r="L21" s="250" t="str">
        <f>_xll.ohRangeRetrieveError(K21)</f>
        <v/>
      </c>
      <c r="M21" s="54"/>
    </row>
    <row r="22" spans="1:13" x14ac:dyDescent="0.2">
      <c r="A22" s="130"/>
      <c r="B22" s="222" t="s">
        <v>97</v>
      </c>
      <c r="C22" s="114" t="str">
        <f t="shared" si="0"/>
        <v>AB</v>
      </c>
      <c r="D22" s="114" t="str">
        <f t="shared" si="1"/>
        <v>6E</v>
      </c>
      <c r="E22" s="114" t="str">
        <f t="shared" si="2"/>
        <v>1w</v>
      </c>
      <c r="F22" s="114">
        <f t="shared" si="3"/>
        <v>0</v>
      </c>
      <c r="G22" s="114">
        <f t="shared" si="4"/>
        <v>0</v>
      </c>
      <c r="H22" s="249">
        <f t="shared" si="5"/>
        <v>0</v>
      </c>
      <c r="I22" s="248" t="str">
        <f t="shared" si="6"/>
        <v>EuriborSwapIsdaFixA20Y</v>
      </c>
      <c r="J22" s="247" t="str">
        <f t="shared" si="7"/>
        <v>EURAB6E20Y_Fwd1w_Quote</v>
      </c>
      <c r="K22" s="247" t="str">
        <f>_xll.qlForwardSwapQuote(J22,I22,H22,E22,Permanent,Trigger,ObjectOverwrite)</f>
        <v>EURAB6E20Y_Fwd1w_Quote#0001</v>
      </c>
      <c r="L22" s="250" t="str">
        <f>_xll.ohRangeRetrieveError(K22)</f>
        <v/>
      </c>
      <c r="M22" s="54"/>
    </row>
    <row r="23" spans="1:13" x14ac:dyDescent="0.2">
      <c r="A23" s="130"/>
      <c r="B23" s="222" t="s">
        <v>96</v>
      </c>
      <c r="C23" s="114" t="str">
        <f t="shared" si="0"/>
        <v>AB</v>
      </c>
      <c r="D23" s="114" t="str">
        <f t="shared" si="1"/>
        <v>6E</v>
      </c>
      <c r="E23" s="114" t="str">
        <f t="shared" si="2"/>
        <v>1w</v>
      </c>
      <c r="F23" s="114">
        <f t="shared" si="3"/>
        <v>0</v>
      </c>
      <c r="G23" s="114">
        <f t="shared" si="4"/>
        <v>0</v>
      </c>
      <c r="H23" s="249">
        <f t="shared" si="5"/>
        <v>0</v>
      </c>
      <c r="I23" s="248" t="str">
        <f t="shared" si="6"/>
        <v>EuriborSwapIsdaFixA21Y</v>
      </c>
      <c r="J23" s="247" t="str">
        <f t="shared" si="7"/>
        <v>EURAB6E21Y_Fwd1w_Quote</v>
      </c>
      <c r="K23" s="247" t="str">
        <f>_xll.qlForwardSwapQuote(J23,I23,H23,E23,Permanent,Trigger,ObjectOverwrite)</f>
        <v>EURAB6E21Y_Fwd1w_Quote#0001</v>
      </c>
      <c r="L23" s="250" t="str">
        <f>_xll.ohRangeRetrieveError(K23)</f>
        <v/>
      </c>
      <c r="M23" s="54"/>
    </row>
    <row r="24" spans="1:13" x14ac:dyDescent="0.2">
      <c r="A24" s="130"/>
      <c r="B24" s="222" t="s">
        <v>95</v>
      </c>
      <c r="C24" s="114" t="str">
        <f t="shared" si="0"/>
        <v>AB</v>
      </c>
      <c r="D24" s="114" t="str">
        <f t="shared" si="1"/>
        <v>6E</v>
      </c>
      <c r="E24" s="114" t="str">
        <f t="shared" si="2"/>
        <v>1w</v>
      </c>
      <c r="F24" s="114">
        <f t="shared" si="3"/>
        <v>0</v>
      </c>
      <c r="G24" s="114">
        <f t="shared" si="4"/>
        <v>0</v>
      </c>
      <c r="H24" s="249">
        <f t="shared" si="5"/>
        <v>0</v>
      </c>
      <c r="I24" s="248" t="str">
        <f t="shared" si="6"/>
        <v>EuriborSwapIsdaFixA22Y</v>
      </c>
      <c r="J24" s="247" t="str">
        <f t="shared" si="7"/>
        <v>EURAB6E22Y_Fwd1w_Quote</v>
      </c>
      <c r="K24" s="247" t="str">
        <f>_xll.qlForwardSwapQuote(J24,I24,H24,E24,Permanent,Trigger,ObjectOverwrite)</f>
        <v>EURAB6E22Y_Fwd1w_Quote#0001</v>
      </c>
      <c r="L24" s="250" t="str">
        <f>_xll.ohRangeRetrieveError(K24)</f>
        <v/>
      </c>
      <c r="M24" s="54"/>
    </row>
    <row r="25" spans="1:13" x14ac:dyDescent="0.2">
      <c r="A25" s="130"/>
      <c r="B25" s="222" t="s">
        <v>94</v>
      </c>
      <c r="C25" s="114" t="str">
        <f t="shared" si="0"/>
        <v>AB</v>
      </c>
      <c r="D25" s="114" t="str">
        <f t="shared" si="1"/>
        <v>6E</v>
      </c>
      <c r="E25" s="114" t="str">
        <f t="shared" si="2"/>
        <v>1w</v>
      </c>
      <c r="F25" s="114">
        <f t="shared" si="3"/>
        <v>0</v>
      </c>
      <c r="G25" s="114">
        <f t="shared" si="4"/>
        <v>0</v>
      </c>
      <c r="H25" s="249">
        <f t="shared" si="5"/>
        <v>0</v>
      </c>
      <c r="I25" s="248" t="str">
        <f t="shared" si="6"/>
        <v>EuriborSwapIsdaFixA23Y</v>
      </c>
      <c r="J25" s="247" t="str">
        <f t="shared" si="7"/>
        <v>EURAB6E23Y_Fwd1w_Quote</v>
      </c>
      <c r="K25" s="247" t="str">
        <f>_xll.qlForwardSwapQuote(J25,I25,H25,E25,Permanent,Trigger,ObjectOverwrite)</f>
        <v>EURAB6E23Y_Fwd1w_Quote#0001</v>
      </c>
      <c r="L25" s="250" t="str">
        <f>_xll.ohRangeRetrieveError(K25)</f>
        <v/>
      </c>
      <c r="M25" s="54"/>
    </row>
    <row r="26" spans="1:13" x14ac:dyDescent="0.2">
      <c r="A26" s="130"/>
      <c r="B26" s="222" t="s">
        <v>93</v>
      </c>
      <c r="C26" s="114" t="str">
        <f t="shared" si="0"/>
        <v>AB</v>
      </c>
      <c r="D26" s="114" t="str">
        <f t="shared" si="1"/>
        <v>6E</v>
      </c>
      <c r="E26" s="114" t="str">
        <f t="shared" si="2"/>
        <v>1w</v>
      </c>
      <c r="F26" s="114">
        <f t="shared" si="3"/>
        <v>0</v>
      </c>
      <c r="G26" s="114">
        <f t="shared" si="4"/>
        <v>0</v>
      </c>
      <c r="H26" s="249">
        <f t="shared" si="5"/>
        <v>0</v>
      </c>
      <c r="I26" s="248" t="str">
        <f t="shared" si="6"/>
        <v>EuriborSwapIsdaFixA24Y</v>
      </c>
      <c r="J26" s="247" t="str">
        <f t="shared" si="7"/>
        <v>EURAB6E24Y_Fwd1w_Quote</v>
      </c>
      <c r="K26" s="247" t="str">
        <f>_xll.qlForwardSwapQuote(J26,I26,H26,E26,Permanent,Trigger,ObjectOverwrite)</f>
        <v>EURAB6E24Y_Fwd1w_Quote#0001</v>
      </c>
      <c r="L26" s="250" t="str">
        <f>_xll.ohRangeRetrieveError(K26)</f>
        <v/>
      </c>
      <c r="M26" s="54"/>
    </row>
    <row r="27" spans="1:13" x14ac:dyDescent="0.2">
      <c r="A27" s="130"/>
      <c r="B27" s="222" t="s">
        <v>92</v>
      </c>
      <c r="C27" s="114" t="str">
        <f t="shared" si="0"/>
        <v>AB</v>
      </c>
      <c r="D27" s="114" t="str">
        <f t="shared" si="1"/>
        <v>6E</v>
      </c>
      <c r="E27" s="114" t="str">
        <f t="shared" si="2"/>
        <v>1w</v>
      </c>
      <c r="F27" s="114">
        <f t="shared" si="3"/>
        <v>0</v>
      </c>
      <c r="G27" s="114">
        <f t="shared" si="4"/>
        <v>0</v>
      </c>
      <c r="H27" s="249">
        <f t="shared" si="5"/>
        <v>0</v>
      </c>
      <c r="I27" s="248" t="str">
        <f t="shared" si="6"/>
        <v>EuriborSwapIsdaFixA25Y</v>
      </c>
      <c r="J27" s="247" t="str">
        <f t="shared" si="7"/>
        <v>EURAB6E25Y_Fwd1w_Quote</v>
      </c>
      <c r="K27" s="247" t="str">
        <f>_xll.qlForwardSwapQuote(J27,I27,H27,E27,Permanent,Trigger,ObjectOverwrite)</f>
        <v>EURAB6E25Y_Fwd1w_Quote#0001</v>
      </c>
      <c r="L27" s="250" t="str">
        <f>_xll.ohRangeRetrieveError(K27)</f>
        <v/>
      </c>
      <c r="M27" s="54"/>
    </row>
    <row r="28" spans="1:13" x14ac:dyDescent="0.2">
      <c r="A28" s="130"/>
      <c r="B28" s="222" t="s">
        <v>91</v>
      </c>
      <c r="C28" s="114" t="str">
        <f t="shared" si="0"/>
        <v>AB</v>
      </c>
      <c r="D28" s="114" t="str">
        <f t="shared" si="1"/>
        <v>6E</v>
      </c>
      <c r="E28" s="114" t="str">
        <f t="shared" si="2"/>
        <v>1w</v>
      </c>
      <c r="F28" s="114">
        <f t="shared" si="3"/>
        <v>0</v>
      </c>
      <c r="G28" s="114">
        <f t="shared" si="4"/>
        <v>0</v>
      </c>
      <c r="H28" s="249">
        <f t="shared" si="5"/>
        <v>0</v>
      </c>
      <c r="I28" s="248" t="str">
        <f t="shared" si="6"/>
        <v>EuriborSwapIsdaFixA26Y</v>
      </c>
      <c r="J28" s="247" t="str">
        <f t="shared" si="7"/>
        <v>EURAB6E26Y_Fwd1w_Quote</v>
      </c>
      <c r="K28" s="247" t="str">
        <f>_xll.qlForwardSwapQuote(J28,I28,H28,E28,Permanent,Trigger,ObjectOverwrite)</f>
        <v>EURAB6E26Y_Fwd1w_Quote#0001</v>
      </c>
      <c r="L28" s="250" t="str">
        <f>_xll.ohRangeRetrieveError(K28)</f>
        <v/>
      </c>
      <c r="M28" s="54"/>
    </row>
    <row r="29" spans="1:13" x14ac:dyDescent="0.2">
      <c r="A29" s="130"/>
      <c r="B29" s="222" t="s">
        <v>90</v>
      </c>
      <c r="C29" s="114" t="str">
        <f t="shared" si="0"/>
        <v>AB</v>
      </c>
      <c r="D29" s="114" t="str">
        <f t="shared" si="1"/>
        <v>6E</v>
      </c>
      <c r="E29" s="114" t="str">
        <f t="shared" si="2"/>
        <v>1w</v>
      </c>
      <c r="F29" s="114">
        <f t="shared" si="3"/>
        <v>0</v>
      </c>
      <c r="G29" s="114">
        <f t="shared" si="4"/>
        <v>0</v>
      </c>
      <c r="H29" s="249">
        <f t="shared" si="5"/>
        <v>0</v>
      </c>
      <c r="I29" s="248" t="str">
        <f t="shared" si="6"/>
        <v>EuriborSwapIsdaFixA27Y</v>
      </c>
      <c r="J29" s="247" t="str">
        <f t="shared" si="7"/>
        <v>EURAB6E27Y_Fwd1w_Quote</v>
      </c>
      <c r="K29" s="247" t="str">
        <f>_xll.qlForwardSwapQuote(J29,I29,H29,E29,Permanent,Trigger,ObjectOverwrite)</f>
        <v>EURAB6E27Y_Fwd1w_Quote#0001</v>
      </c>
      <c r="L29" s="250" t="str">
        <f>_xll.ohRangeRetrieveError(K29)</f>
        <v/>
      </c>
      <c r="M29" s="54"/>
    </row>
    <row r="30" spans="1:13" x14ac:dyDescent="0.2">
      <c r="A30" s="130"/>
      <c r="B30" s="222" t="s">
        <v>89</v>
      </c>
      <c r="C30" s="114" t="str">
        <f t="shared" si="0"/>
        <v>AB</v>
      </c>
      <c r="D30" s="114" t="str">
        <f t="shared" si="1"/>
        <v>6E</v>
      </c>
      <c r="E30" s="114" t="str">
        <f t="shared" si="2"/>
        <v>1w</v>
      </c>
      <c r="F30" s="114">
        <f t="shared" si="3"/>
        <v>0</v>
      </c>
      <c r="G30" s="114">
        <f t="shared" si="4"/>
        <v>0</v>
      </c>
      <c r="H30" s="249">
        <f t="shared" si="5"/>
        <v>0</v>
      </c>
      <c r="I30" s="248" t="str">
        <f t="shared" si="6"/>
        <v>EuriborSwapIsdaFixA28Y</v>
      </c>
      <c r="J30" s="247" t="str">
        <f t="shared" si="7"/>
        <v>EURAB6E28Y_Fwd1w_Quote</v>
      </c>
      <c r="K30" s="247" t="str">
        <f>_xll.qlForwardSwapQuote(J30,I30,H30,E30,Permanent,Trigger,ObjectOverwrite)</f>
        <v>EURAB6E28Y_Fwd1w_Quote#0001</v>
      </c>
      <c r="L30" s="250" t="str">
        <f>_xll.ohRangeRetrieveError(K30)</f>
        <v/>
      </c>
      <c r="M30" s="54"/>
    </row>
    <row r="31" spans="1:13" x14ac:dyDescent="0.2">
      <c r="A31" s="130"/>
      <c r="B31" s="222" t="s">
        <v>88</v>
      </c>
      <c r="C31" s="114" t="str">
        <f t="shared" si="0"/>
        <v>AB</v>
      </c>
      <c r="D31" s="114" t="str">
        <f t="shared" si="1"/>
        <v>6E</v>
      </c>
      <c r="E31" s="114" t="str">
        <f t="shared" si="2"/>
        <v>1w</v>
      </c>
      <c r="F31" s="114">
        <f t="shared" si="3"/>
        <v>0</v>
      </c>
      <c r="G31" s="114">
        <f t="shared" si="4"/>
        <v>0</v>
      </c>
      <c r="H31" s="249">
        <f t="shared" si="5"/>
        <v>0</v>
      </c>
      <c r="I31" s="248" t="str">
        <f t="shared" si="6"/>
        <v>EuriborSwapIsdaFixA29Y</v>
      </c>
      <c r="J31" s="247" t="str">
        <f t="shared" si="7"/>
        <v>EURAB6E29Y_Fwd1w_Quote</v>
      </c>
      <c r="K31" s="247" t="str">
        <f>_xll.qlForwardSwapQuote(J31,I31,H31,E31,Permanent,Trigger,ObjectOverwrite)</f>
        <v>EURAB6E29Y_Fwd1w_Quote#0001</v>
      </c>
      <c r="L31" s="250" t="str">
        <f>_xll.ohRangeRetrieveError(K31)</f>
        <v/>
      </c>
      <c r="M31" s="54"/>
    </row>
    <row r="32" spans="1:13" x14ac:dyDescent="0.2">
      <c r="A32" s="130"/>
      <c r="B32" s="222" t="s">
        <v>87</v>
      </c>
      <c r="C32" s="114" t="str">
        <f t="shared" si="0"/>
        <v>AB</v>
      </c>
      <c r="D32" s="114" t="str">
        <f t="shared" si="1"/>
        <v>6E</v>
      </c>
      <c r="E32" s="114" t="str">
        <f t="shared" si="2"/>
        <v>1w</v>
      </c>
      <c r="F32" s="114">
        <f t="shared" si="3"/>
        <v>0</v>
      </c>
      <c r="G32" s="114">
        <f t="shared" si="4"/>
        <v>0</v>
      </c>
      <c r="H32" s="249">
        <f t="shared" si="5"/>
        <v>0</v>
      </c>
      <c r="I32" s="248" t="str">
        <f t="shared" si="6"/>
        <v>EuriborSwapIsdaFixA30Y</v>
      </c>
      <c r="J32" s="247" t="str">
        <f t="shared" si="7"/>
        <v>EURAB6E30Y_Fwd1w_Quote</v>
      </c>
      <c r="K32" s="247" t="str">
        <f>_xll.qlForwardSwapQuote(J32,I32,H32,E32,Permanent,Trigger,ObjectOverwrite)</f>
        <v>EURAB6E30Y_Fwd1w_Quote#0001</v>
      </c>
      <c r="L32" s="250" t="str">
        <f>_xll.ohRangeRetrieveError(K32)</f>
        <v/>
      </c>
      <c r="M32" s="54"/>
    </row>
    <row r="33" spans="1:13" x14ac:dyDescent="0.2">
      <c r="A33" s="130"/>
      <c r="B33" s="222" t="s">
        <v>82</v>
      </c>
      <c r="C33" s="114" t="str">
        <f t="shared" si="0"/>
        <v>AB</v>
      </c>
      <c r="D33" s="114" t="str">
        <f t="shared" si="1"/>
        <v>6E</v>
      </c>
      <c r="E33" s="114" t="str">
        <f t="shared" si="2"/>
        <v>1w</v>
      </c>
      <c r="F33" s="114">
        <f t="shared" si="3"/>
        <v>0</v>
      </c>
      <c r="G33" s="114">
        <f t="shared" si="4"/>
        <v>0</v>
      </c>
      <c r="H33" s="249">
        <f t="shared" si="5"/>
        <v>0</v>
      </c>
      <c r="I33" s="248" t="str">
        <f t="shared" si="6"/>
        <v>EuriborSwapIsdaFixA35Y</v>
      </c>
      <c r="J33" s="247" t="str">
        <f t="shared" si="7"/>
        <v>EURAB6E35Y_Fwd1w_Quote</v>
      </c>
      <c r="K33" s="247" t="str">
        <f>_xll.qlForwardSwapQuote(J33,I33,H33,E33,Permanent,Trigger,ObjectOverwrite)</f>
        <v>EURAB6E35Y_Fwd1w_Quote#0001</v>
      </c>
      <c r="L33" s="250" t="str">
        <f>_xll.ohRangeRetrieveError(K33)</f>
        <v/>
      </c>
      <c r="M33" s="54"/>
    </row>
    <row r="34" spans="1:13" x14ac:dyDescent="0.2">
      <c r="A34" s="130"/>
      <c r="B34" s="222" t="s">
        <v>77</v>
      </c>
      <c r="C34" s="114" t="str">
        <f t="shared" si="0"/>
        <v>AB</v>
      </c>
      <c r="D34" s="114" t="str">
        <f t="shared" si="1"/>
        <v>6E</v>
      </c>
      <c r="E34" s="114" t="str">
        <f t="shared" si="2"/>
        <v>1w</v>
      </c>
      <c r="F34" s="114">
        <f t="shared" si="3"/>
        <v>0</v>
      </c>
      <c r="G34" s="114">
        <f t="shared" si="4"/>
        <v>0</v>
      </c>
      <c r="H34" s="249">
        <f t="shared" si="5"/>
        <v>0</v>
      </c>
      <c r="I34" s="248" t="str">
        <f t="shared" si="6"/>
        <v>EuriborSwapIsdaFixA40Y</v>
      </c>
      <c r="J34" s="247" t="str">
        <f t="shared" si="7"/>
        <v>EURAB6E40Y_Fwd1w_Quote</v>
      </c>
      <c r="K34" s="247" t="str">
        <f>_xll.qlForwardSwapQuote(J34,I34,H34,E34,Permanent,Trigger,ObjectOverwrite)</f>
        <v>EURAB6E40Y_Fwd1w_Quote#0001</v>
      </c>
      <c r="L34" s="250" t="str">
        <f>_xll.ohRangeRetrieveError(K34)</f>
        <v/>
      </c>
      <c r="M34" s="54"/>
    </row>
    <row r="35" spans="1:13" x14ac:dyDescent="0.2">
      <c r="A35" s="130"/>
      <c r="B35" s="222" t="s">
        <v>67</v>
      </c>
      <c r="C35" s="114" t="str">
        <f t="shared" si="0"/>
        <v>AB</v>
      </c>
      <c r="D35" s="114" t="str">
        <f t="shared" si="1"/>
        <v>6E</v>
      </c>
      <c r="E35" s="114" t="str">
        <f t="shared" si="2"/>
        <v>1w</v>
      </c>
      <c r="F35" s="114">
        <f t="shared" si="3"/>
        <v>0</v>
      </c>
      <c r="G35" s="114">
        <f t="shared" si="4"/>
        <v>0</v>
      </c>
      <c r="H35" s="249">
        <f t="shared" si="5"/>
        <v>0</v>
      </c>
      <c r="I35" s="248" t="str">
        <f t="shared" si="6"/>
        <v>EuriborSwapIsdaFixA50Y</v>
      </c>
      <c r="J35" s="247" t="str">
        <f t="shared" si="7"/>
        <v>EURAB6E50Y_Fwd1w_Quote</v>
      </c>
      <c r="K35" s="247" t="str">
        <f>_xll.qlForwardSwapQuote(J35,I35,H35,E35,Permanent,Trigger,ObjectOverwrite)</f>
        <v>EURAB6E50Y_Fwd1w_Quote#0001</v>
      </c>
      <c r="L35" s="250" t="str">
        <f>_xll.ohRangeRetrieveError(K35)</f>
        <v/>
      </c>
      <c r="M35" s="54"/>
    </row>
    <row r="36" spans="1:13" x14ac:dyDescent="0.2">
      <c r="A36" s="130"/>
      <c r="B36" s="222" t="s">
        <v>57</v>
      </c>
      <c r="C36" s="114" t="str">
        <f t="shared" si="0"/>
        <v>AB</v>
      </c>
      <c r="D36" s="114" t="str">
        <f t="shared" si="1"/>
        <v>6E</v>
      </c>
      <c r="E36" s="114" t="str">
        <f t="shared" si="2"/>
        <v>1w</v>
      </c>
      <c r="F36" s="114">
        <f t="shared" si="3"/>
        <v>0</v>
      </c>
      <c r="G36" s="114">
        <f t="shared" si="4"/>
        <v>0</v>
      </c>
      <c r="H36" s="249">
        <f t="shared" si="5"/>
        <v>0</v>
      </c>
      <c r="I36" s="248" t="str">
        <f t="shared" si="6"/>
        <v>EuriborSwapIsdaFixA60Y</v>
      </c>
      <c r="J36" s="247" t="str">
        <f t="shared" si="7"/>
        <v>EURAB6E60Y_Fwd1w_Quote</v>
      </c>
      <c r="K36" s="247" t="str">
        <f>_xll.qlForwardSwapQuote(J36,I36,H36,E36,Permanent,Trigger,ObjectOverwrite)</f>
        <v>EURAB6E60Y_Fwd1w_Quote#0001</v>
      </c>
      <c r="L36" s="81" t="str">
        <f>_xll.ohRangeRetrieveError(K36)</f>
        <v/>
      </c>
      <c r="M36" s="54"/>
    </row>
    <row r="37" spans="1:13" ht="12" thickBot="1" x14ac:dyDescent="0.25">
      <c r="A37" s="53"/>
      <c r="B37" s="52"/>
      <c r="C37" s="52"/>
      <c r="D37" s="52"/>
      <c r="E37" s="52"/>
      <c r="F37" s="52"/>
      <c r="G37" s="52"/>
      <c r="H37" s="52"/>
      <c r="I37" s="52"/>
      <c r="J37" s="52"/>
      <c r="K37" s="124"/>
      <c r="L37" s="124"/>
      <c r="M37" s="51"/>
    </row>
  </sheetData>
  <pageMargins left="0.75" right="0.75" top="1" bottom="1" header="0.5" footer="0.5"/>
  <pageSetup paperSize="9" orientation="portrait" r:id="rId1"/>
  <headerFooter alignWithMargins="0"/>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T37"/>
  <sheetViews>
    <sheetView workbookViewId="0"/>
  </sheetViews>
  <sheetFormatPr defaultRowHeight="11.25" x14ac:dyDescent="0.2"/>
  <cols>
    <col min="1" max="1" width="3.28515625" style="74" customWidth="1"/>
    <col min="2" max="2" width="3.85546875" style="74" bestFit="1" customWidth="1"/>
    <col min="3" max="3" width="3.140625" style="74" bestFit="1" customWidth="1"/>
    <col min="4" max="4" width="2.7109375" style="74" bestFit="1" customWidth="1"/>
    <col min="5" max="5" width="4.7109375" style="74" bestFit="1" customWidth="1"/>
    <col min="6" max="7" width="1.85546875" style="74" bestFit="1" customWidth="1"/>
    <col min="8" max="8" width="7.140625" style="74" bestFit="1" customWidth="1"/>
    <col min="9" max="9" width="19.140625" style="74" bestFit="1" customWidth="1"/>
    <col min="10" max="10" width="23.85546875" style="74" bestFit="1" customWidth="1"/>
    <col min="11" max="11" width="32.42578125" style="74" bestFit="1" customWidth="1"/>
    <col min="12" max="12" width="30.5703125" style="74" customWidth="1"/>
    <col min="13" max="14" width="3.7109375" style="74" customWidth="1"/>
    <col min="15" max="15" width="4" style="74" bestFit="1" customWidth="1"/>
    <col min="16" max="16" width="3.140625" style="74" bestFit="1" customWidth="1"/>
    <col min="17" max="17" width="2.7109375" style="74" bestFit="1" customWidth="1"/>
    <col min="18" max="18" width="3.28515625" style="74" bestFit="1" customWidth="1"/>
    <col min="19" max="20" width="2.7109375" style="74" bestFit="1" customWidth="1"/>
    <col min="21" max="16384" width="9.140625" style="74"/>
  </cols>
  <sheetData>
    <row r="1" spans="1:20" ht="12" thickBot="1" x14ac:dyDescent="0.25">
      <c r="A1" s="224" t="s">
        <v>216</v>
      </c>
      <c r="B1" s="207"/>
      <c r="C1" s="207"/>
      <c r="D1" s="207"/>
      <c r="E1" s="207"/>
      <c r="F1" s="207"/>
      <c r="G1" s="207"/>
      <c r="H1" s="207"/>
      <c r="I1" s="207"/>
      <c r="J1" s="207"/>
      <c r="K1" s="207"/>
      <c r="L1" s="162"/>
      <c r="M1" s="204"/>
    </row>
    <row r="2" spans="1:20" ht="22.5" x14ac:dyDescent="0.2">
      <c r="A2" s="130"/>
      <c r="B2" s="99"/>
      <c r="C2" s="99"/>
      <c r="D2" s="99"/>
      <c r="E2" s="99" t="s">
        <v>215</v>
      </c>
      <c r="F2" s="99"/>
      <c r="G2" s="99"/>
      <c r="H2" s="99" t="s">
        <v>214</v>
      </c>
      <c r="I2" s="99" t="s">
        <v>213</v>
      </c>
      <c r="J2" s="253" t="str">
        <f>Currency&amp;"_020_Sw"&amp;$C$3&amp;$D$3&amp;"_"&amp;"Fwd"&amp;$E$3&amp;IF(H3=0,,"_Spr"&amp;$F3&amp;$G3)&amp;".xml"</f>
        <v>EUR_020_SwAB6E_Fwd1w.xml</v>
      </c>
      <c r="K2" s="117" t="e">
        <f ca="1">IF(Serialize,_xll.ohObjectSave(K3:K36,SerializationPath&amp;J2,FileOverwrite,Serialize),"---")</f>
        <v>#NUM!</v>
      </c>
      <c r="L2" s="81" t="e">
        <f ca="1">_xll.ohRangeRetrieveError(K2)</f>
        <v>#NUM!</v>
      </c>
      <c r="M2" s="54"/>
      <c r="O2" s="216"/>
      <c r="P2" s="215"/>
      <c r="Q2" s="215"/>
      <c r="R2" s="215"/>
      <c r="S2" s="215"/>
      <c r="T2" s="214"/>
    </row>
    <row r="3" spans="1:20" x14ac:dyDescent="0.2">
      <c r="A3" s="130"/>
      <c r="B3" s="85" t="s">
        <v>34</v>
      </c>
      <c r="C3" s="114" t="str">
        <f t="shared" ref="C3:C36" si="0">VLOOKUP(Currency,$O$3:$T$7,2)</f>
        <v>AB</v>
      </c>
      <c r="D3" s="114" t="str">
        <f t="shared" ref="D3:D36" si="1">VLOOKUP(Currency,$O$3:$T$7,3)</f>
        <v>6E</v>
      </c>
      <c r="E3" s="114" t="str">
        <f t="shared" ref="E3:E36" si="2">VLOOKUP(Currency,$O$3:$T$7,4)</f>
        <v>1w</v>
      </c>
      <c r="F3" s="114">
        <f t="shared" ref="F3:F36" si="3">VLOOKUP(Currency,$O$3:$T$7,5)</f>
        <v>0</v>
      </c>
      <c r="G3" s="114">
        <f t="shared" ref="G3:G36" si="4">VLOOKUP(Currency,$O$3:$T$7,6)</f>
        <v>0</v>
      </c>
      <c r="H3" s="249">
        <f t="shared" ref="H3:H36" si="5">IF(F3=0,0,Currency&amp;$F3&amp;$G3&amp;$B3&amp;QuoteSuffix)</f>
        <v>0</v>
      </c>
      <c r="I3" s="251" t="str">
        <f t="shared" ref="I3:I36" si="6">PROPER(Currency)&amp;FamilyName&amp;"Swap"&amp;FixingType&amp;$B3</f>
        <v>EuriborSwapIsdaFixA1Y</v>
      </c>
      <c r="J3" s="247" t="str">
        <f t="shared" ref="J3:J36" si="7">Currency&amp;$C3&amp;$D3&amp;$B3&amp;"_"&amp;"Fwd"&amp;E3&amp;IF(H3=0,,"_S"&amp;$F3&amp;$G3)&amp;QuoteSuffix</f>
        <v>EURAB6E1Y_Fwd1w_Quote</v>
      </c>
      <c r="K3" s="247"/>
      <c r="L3" s="256" t="str">
        <f>_xll.ohRangeRetrieveError(K3)</f>
        <v/>
      </c>
      <c r="M3" s="54"/>
      <c r="O3" s="92" t="s">
        <v>137</v>
      </c>
      <c r="P3" s="91" t="s">
        <v>202</v>
      </c>
      <c r="Q3" s="91" t="s">
        <v>132</v>
      </c>
      <c r="R3" s="91" t="s">
        <v>212</v>
      </c>
      <c r="S3" s="91"/>
      <c r="T3" s="90"/>
    </row>
    <row r="4" spans="1:20" x14ac:dyDescent="0.2">
      <c r="A4" s="130"/>
      <c r="B4" s="85" t="s">
        <v>115</v>
      </c>
      <c r="C4" s="114" t="str">
        <f t="shared" si="0"/>
        <v>AB</v>
      </c>
      <c r="D4" s="114" t="str">
        <f t="shared" si="1"/>
        <v>6E</v>
      </c>
      <c r="E4" s="114" t="str">
        <f t="shared" si="2"/>
        <v>1w</v>
      </c>
      <c r="F4" s="114">
        <f t="shared" si="3"/>
        <v>0</v>
      </c>
      <c r="G4" s="114">
        <f t="shared" si="4"/>
        <v>0</v>
      </c>
      <c r="H4" s="249">
        <f t="shared" si="5"/>
        <v>0</v>
      </c>
      <c r="I4" s="248" t="str">
        <f t="shared" si="6"/>
        <v>EuriborSwapIsdaFixA2Y</v>
      </c>
      <c r="J4" s="247" t="str">
        <f t="shared" si="7"/>
        <v>EURAB6E2Y_Fwd1w_Quote</v>
      </c>
      <c r="K4" s="247"/>
      <c r="L4" s="256" t="str">
        <f>_xll.ohRangeRetrieveError(K4)</f>
        <v/>
      </c>
      <c r="M4" s="54"/>
      <c r="O4" s="92" t="s">
        <v>123</v>
      </c>
      <c r="P4" s="91" t="s">
        <v>202</v>
      </c>
      <c r="Q4" s="91" t="s">
        <v>135</v>
      </c>
      <c r="R4" s="91" t="s">
        <v>212</v>
      </c>
      <c r="S4" s="91"/>
      <c r="T4" s="90"/>
    </row>
    <row r="5" spans="1:20" x14ac:dyDescent="0.2">
      <c r="A5" s="130"/>
      <c r="B5" s="85" t="s">
        <v>114</v>
      </c>
      <c r="C5" s="114" t="str">
        <f t="shared" si="0"/>
        <v>AB</v>
      </c>
      <c r="D5" s="114" t="str">
        <f t="shared" si="1"/>
        <v>6E</v>
      </c>
      <c r="E5" s="114" t="str">
        <f t="shared" si="2"/>
        <v>1w</v>
      </c>
      <c r="F5" s="114">
        <f t="shared" si="3"/>
        <v>0</v>
      </c>
      <c r="G5" s="114">
        <f t="shared" si="4"/>
        <v>0</v>
      </c>
      <c r="H5" s="249">
        <f t="shared" si="5"/>
        <v>0</v>
      </c>
      <c r="I5" s="248" t="str">
        <f t="shared" si="6"/>
        <v>EuriborSwapIsdaFixA3Y</v>
      </c>
      <c r="J5" s="247" t="str">
        <f t="shared" si="7"/>
        <v>EURAB6E3Y_Fwd1w_Quote</v>
      </c>
      <c r="K5" s="247"/>
      <c r="L5" s="256" t="str">
        <f>_xll.ohRangeRetrieveError(K5)</f>
        <v/>
      </c>
      <c r="M5" s="54"/>
      <c r="O5" s="92" t="s">
        <v>134</v>
      </c>
      <c r="P5" s="91" t="s">
        <v>201</v>
      </c>
      <c r="Q5" s="91" t="s">
        <v>132</v>
      </c>
      <c r="R5" s="91" t="s">
        <v>212</v>
      </c>
      <c r="S5" s="91"/>
      <c r="T5" s="90"/>
    </row>
    <row r="6" spans="1:20" x14ac:dyDescent="0.2">
      <c r="A6" s="130"/>
      <c r="B6" s="85" t="s">
        <v>113</v>
      </c>
      <c r="C6" s="114" t="str">
        <f t="shared" si="0"/>
        <v>AB</v>
      </c>
      <c r="D6" s="114" t="str">
        <f t="shared" si="1"/>
        <v>6E</v>
      </c>
      <c r="E6" s="114" t="str">
        <f t="shared" si="2"/>
        <v>1w</v>
      </c>
      <c r="F6" s="114">
        <f t="shared" si="3"/>
        <v>0</v>
      </c>
      <c r="G6" s="114">
        <f t="shared" si="4"/>
        <v>0</v>
      </c>
      <c r="H6" s="249">
        <f t="shared" si="5"/>
        <v>0</v>
      </c>
      <c r="I6" s="248" t="str">
        <f t="shared" si="6"/>
        <v>EuriborSwapIsdaFixA4Y</v>
      </c>
      <c r="J6" s="247" t="str">
        <f t="shared" si="7"/>
        <v>EURAB6E4Y_Fwd1w_Quote</v>
      </c>
      <c r="K6" s="247"/>
      <c r="L6" s="256" t="str">
        <f>_xll.ohRangeRetrieveError(K6)</f>
        <v/>
      </c>
      <c r="M6" s="54"/>
      <c r="O6" s="92" t="s">
        <v>133</v>
      </c>
      <c r="P6" s="91" t="s">
        <v>201</v>
      </c>
      <c r="Q6" s="91" t="s">
        <v>132</v>
      </c>
      <c r="R6" s="91" t="s">
        <v>212</v>
      </c>
      <c r="S6" s="91"/>
      <c r="T6" s="90"/>
    </row>
    <row r="7" spans="1:20" ht="12" thickBot="1" x14ac:dyDescent="0.25">
      <c r="A7" s="130"/>
      <c r="B7" s="85" t="s">
        <v>112</v>
      </c>
      <c r="C7" s="114" t="str">
        <f t="shared" si="0"/>
        <v>AB</v>
      </c>
      <c r="D7" s="114" t="str">
        <f t="shared" si="1"/>
        <v>6E</v>
      </c>
      <c r="E7" s="114" t="str">
        <f t="shared" si="2"/>
        <v>1w</v>
      </c>
      <c r="F7" s="114">
        <f t="shared" si="3"/>
        <v>0</v>
      </c>
      <c r="G7" s="114">
        <f t="shared" si="4"/>
        <v>0</v>
      </c>
      <c r="H7" s="249">
        <f t="shared" si="5"/>
        <v>0</v>
      </c>
      <c r="I7" s="248" t="str">
        <f t="shared" si="6"/>
        <v>EuriborSwapIsdaFixA5Y</v>
      </c>
      <c r="J7" s="247" t="str">
        <f t="shared" si="7"/>
        <v>EURAB6E5Y_Fwd1w_Quote</v>
      </c>
      <c r="K7" s="247"/>
      <c r="L7" s="256" t="str">
        <f>_xll.ohRangeRetrieveError(K7)</f>
        <v/>
      </c>
      <c r="M7" s="54"/>
      <c r="O7" s="89" t="s">
        <v>131</v>
      </c>
      <c r="P7" s="88" t="s">
        <v>200</v>
      </c>
      <c r="Q7" s="257" t="s">
        <v>132</v>
      </c>
      <c r="R7" s="88" t="s">
        <v>212</v>
      </c>
      <c r="S7" s="88"/>
      <c r="T7" s="87"/>
    </row>
    <row r="8" spans="1:20" x14ac:dyDescent="0.2">
      <c r="A8" s="130"/>
      <c r="B8" s="85" t="s">
        <v>111</v>
      </c>
      <c r="C8" s="114" t="str">
        <f t="shared" si="0"/>
        <v>AB</v>
      </c>
      <c r="D8" s="114" t="str">
        <f t="shared" si="1"/>
        <v>6E</v>
      </c>
      <c r="E8" s="114" t="str">
        <f t="shared" si="2"/>
        <v>1w</v>
      </c>
      <c r="F8" s="114">
        <f t="shared" si="3"/>
        <v>0</v>
      </c>
      <c r="G8" s="114">
        <f t="shared" si="4"/>
        <v>0</v>
      </c>
      <c r="H8" s="249">
        <f t="shared" si="5"/>
        <v>0</v>
      </c>
      <c r="I8" s="248" t="str">
        <f t="shared" si="6"/>
        <v>EuriborSwapIsdaFixA6Y</v>
      </c>
      <c r="J8" s="247" t="str">
        <f t="shared" si="7"/>
        <v>EURAB6E6Y_Fwd1w_Quote</v>
      </c>
      <c r="K8" s="247"/>
      <c r="L8" s="256" t="str">
        <f>_xll.ohRangeRetrieveError(K8)</f>
        <v/>
      </c>
      <c r="M8" s="54"/>
    </row>
    <row r="9" spans="1:20" x14ac:dyDescent="0.2">
      <c r="A9" s="130"/>
      <c r="B9" s="85" t="s">
        <v>110</v>
      </c>
      <c r="C9" s="114" t="str">
        <f t="shared" si="0"/>
        <v>AB</v>
      </c>
      <c r="D9" s="114" t="str">
        <f t="shared" si="1"/>
        <v>6E</v>
      </c>
      <c r="E9" s="114" t="str">
        <f t="shared" si="2"/>
        <v>1w</v>
      </c>
      <c r="F9" s="114">
        <f t="shared" si="3"/>
        <v>0</v>
      </c>
      <c r="G9" s="114">
        <f t="shared" si="4"/>
        <v>0</v>
      </c>
      <c r="H9" s="249">
        <f t="shared" si="5"/>
        <v>0</v>
      </c>
      <c r="I9" s="248" t="str">
        <f t="shared" si="6"/>
        <v>EuriborSwapIsdaFixA7Y</v>
      </c>
      <c r="J9" s="247" t="str">
        <f t="shared" si="7"/>
        <v>EURAB6E7Y_Fwd1w_Quote</v>
      </c>
      <c r="K9" s="247"/>
      <c r="L9" s="256" t="str">
        <f>_xll.ohRangeRetrieveError(K9)</f>
        <v/>
      </c>
      <c r="M9" s="54"/>
    </row>
    <row r="10" spans="1:20" x14ac:dyDescent="0.2">
      <c r="A10" s="130"/>
      <c r="B10" s="85" t="s">
        <v>109</v>
      </c>
      <c r="C10" s="114" t="str">
        <f t="shared" si="0"/>
        <v>AB</v>
      </c>
      <c r="D10" s="114" t="str">
        <f t="shared" si="1"/>
        <v>6E</v>
      </c>
      <c r="E10" s="114" t="str">
        <f t="shared" si="2"/>
        <v>1w</v>
      </c>
      <c r="F10" s="114">
        <f t="shared" si="3"/>
        <v>0</v>
      </c>
      <c r="G10" s="114">
        <f t="shared" si="4"/>
        <v>0</v>
      </c>
      <c r="H10" s="249">
        <f t="shared" si="5"/>
        <v>0</v>
      </c>
      <c r="I10" s="248" t="str">
        <f t="shared" si="6"/>
        <v>EuriborSwapIsdaFixA8Y</v>
      </c>
      <c r="J10" s="247" t="str">
        <f t="shared" si="7"/>
        <v>EURAB6E8Y_Fwd1w_Quote</v>
      </c>
      <c r="K10" s="247"/>
      <c r="L10" s="256" t="str">
        <f>_xll.ohRangeRetrieveError(K10)</f>
        <v/>
      </c>
      <c r="M10" s="54"/>
    </row>
    <row r="11" spans="1:20" x14ac:dyDescent="0.2">
      <c r="A11" s="130"/>
      <c r="B11" s="85" t="s">
        <v>108</v>
      </c>
      <c r="C11" s="114" t="str">
        <f t="shared" si="0"/>
        <v>AB</v>
      </c>
      <c r="D11" s="114" t="str">
        <f t="shared" si="1"/>
        <v>6E</v>
      </c>
      <c r="E11" s="114" t="str">
        <f t="shared" si="2"/>
        <v>1w</v>
      </c>
      <c r="F11" s="114">
        <f t="shared" si="3"/>
        <v>0</v>
      </c>
      <c r="G11" s="114">
        <f t="shared" si="4"/>
        <v>0</v>
      </c>
      <c r="H11" s="249">
        <f t="shared" si="5"/>
        <v>0</v>
      </c>
      <c r="I11" s="248" t="str">
        <f t="shared" si="6"/>
        <v>EuriborSwapIsdaFixA9Y</v>
      </c>
      <c r="J11" s="247" t="str">
        <f t="shared" si="7"/>
        <v>EURAB6E9Y_Fwd1w_Quote</v>
      </c>
      <c r="K11" s="247"/>
      <c r="L11" s="256" t="str">
        <f>_xll.ohRangeRetrieveError(K11)</f>
        <v/>
      </c>
      <c r="M11" s="54"/>
    </row>
    <row r="12" spans="1:20" x14ac:dyDescent="0.2">
      <c r="A12" s="130"/>
      <c r="B12" s="85" t="s">
        <v>107</v>
      </c>
      <c r="C12" s="114" t="str">
        <f t="shared" si="0"/>
        <v>AB</v>
      </c>
      <c r="D12" s="114" t="str">
        <f t="shared" si="1"/>
        <v>6E</v>
      </c>
      <c r="E12" s="114" t="str">
        <f t="shared" si="2"/>
        <v>1w</v>
      </c>
      <c r="F12" s="114">
        <f t="shared" si="3"/>
        <v>0</v>
      </c>
      <c r="G12" s="114">
        <f t="shared" si="4"/>
        <v>0</v>
      </c>
      <c r="H12" s="249">
        <f t="shared" si="5"/>
        <v>0</v>
      </c>
      <c r="I12" s="248" t="str">
        <f t="shared" si="6"/>
        <v>EuriborSwapIsdaFixA10Y</v>
      </c>
      <c r="J12" s="247" t="str">
        <f t="shared" si="7"/>
        <v>EURAB6E10Y_Fwd1w_Quote</v>
      </c>
      <c r="K12" s="247"/>
      <c r="L12" s="256" t="str">
        <f>_xll.ohRangeRetrieveError(K12)</f>
        <v/>
      </c>
      <c r="M12" s="54"/>
    </row>
    <row r="13" spans="1:20" x14ac:dyDescent="0.2">
      <c r="A13" s="130"/>
      <c r="B13" s="85" t="s">
        <v>106</v>
      </c>
      <c r="C13" s="114" t="str">
        <f t="shared" si="0"/>
        <v>AB</v>
      </c>
      <c r="D13" s="114" t="str">
        <f t="shared" si="1"/>
        <v>6E</v>
      </c>
      <c r="E13" s="114" t="str">
        <f t="shared" si="2"/>
        <v>1w</v>
      </c>
      <c r="F13" s="114">
        <f t="shared" si="3"/>
        <v>0</v>
      </c>
      <c r="G13" s="114">
        <f t="shared" si="4"/>
        <v>0</v>
      </c>
      <c r="H13" s="249">
        <f t="shared" si="5"/>
        <v>0</v>
      </c>
      <c r="I13" s="248" t="str">
        <f t="shared" si="6"/>
        <v>EuriborSwapIsdaFixA11Y</v>
      </c>
      <c r="J13" s="247" t="str">
        <f t="shared" si="7"/>
        <v>EURAB6E11Y_Fwd1w_Quote</v>
      </c>
      <c r="K13" s="247"/>
      <c r="L13" s="256" t="str">
        <f>_xll.ohRangeRetrieveError(K13)</f>
        <v/>
      </c>
      <c r="M13" s="54"/>
    </row>
    <row r="14" spans="1:20" x14ac:dyDescent="0.2">
      <c r="A14" s="130"/>
      <c r="B14" s="85" t="s">
        <v>105</v>
      </c>
      <c r="C14" s="114" t="str">
        <f t="shared" si="0"/>
        <v>AB</v>
      </c>
      <c r="D14" s="114" t="str">
        <f t="shared" si="1"/>
        <v>6E</v>
      </c>
      <c r="E14" s="114" t="str">
        <f t="shared" si="2"/>
        <v>1w</v>
      </c>
      <c r="F14" s="114">
        <f t="shared" si="3"/>
        <v>0</v>
      </c>
      <c r="G14" s="114">
        <f t="shared" si="4"/>
        <v>0</v>
      </c>
      <c r="H14" s="249">
        <f t="shared" si="5"/>
        <v>0</v>
      </c>
      <c r="I14" s="248" t="str">
        <f t="shared" si="6"/>
        <v>EuriborSwapIsdaFixA12Y</v>
      </c>
      <c r="J14" s="247" t="str">
        <f t="shared" si="7"/>
        <v>EURAB6E12Y_Fwd1w_Quote</v>
      </c>
      <c r="K14" s="247"/>
      <c r="L14" s="256" t="str">
        <f>_xll.ohRangeRetrieveError(K14)</f>
        <v/>
      </c>
      <c r="M14" s="54"/>
    </row>
    <row r="15" spans="1:20" x14ac:dyDescent="0.2">
      <c r="A15" s="130"/>
      <c r="B15" s="85" t="s">
        <v>104</v>
      </c>
      <c r="C15" s="114" t="str">
        <f t="shared" si="0"/>
        <v>AB</v>
      </c>
      <c r="D15" s="114" t="str">
        <f t="shared" si="1"/>
        <v>6E</v>
      </c>
      <c r="E15" s="114" t="str">
        <f t="shared" si="2"/>
        <v>1w</v>
      </c>
      <c r="F15" s="114">
        <f t="shared" si="3"/>
        <v>0</v>
      </c>
      <c r="G15" s="114">
        <f t="shared" si="4"/>
        <v>0</v>
      </c>
      <c r="H15" s="249">
        <f t="shared" si="5"/>
        <v>0</v>
      </c>
      <c r="I15" s="248" t="str">
        <f t="shared" si="6"/>
        <v>EuriborSwapIsdaFixA13Y</v>
      </c>
      <c r="J15" s="247" t="str">
        <f t="shared" si="7"/>
        <v>EURAB6E13Y_Fwd1w_Quote</v>
      </c>
      <c r="K15" s="247"/>
      <c r="L15" s="256" t="str">
        <f>_xll.ohRangeRetrieveError(K15)</f>
        <v/>
      </c>
      <c r="M15" s="54"/>
    </row>
    <row r="16" spans="1:20" x14ac:dyDescent="0.2">
      <c r="A16" s="130"/>
      <c r="B16" s="85" t="s">
        <v>103</v>
      </c>
      <c r="C16" s="114" t="str">
        <f t="shared" si="0"/>
        <v>AB</v>
      </c>
      <c r="D16" s="114" t="str">
        <f t="shared" si="1"/>
        <v>6E</v>
      </c>
      <c r="E16" s="114" t="str">
        <f t="shared" si="2"/>
        <v>1w</v>
      </c>
      <c r="F16" s="114">
        <f t="shared" si="3"/>
        <v>0</v>
      </c>
      <c r="G16" s="114">
        <f t="shared" si="4"/>
        <v>0</v>
      </c>
      <c r="H16" s="249">
        <f t="shared" si="5"/>
        <v>0</v>
      </c>
      <c r="I16" s="248" t="str">
        <f t="shared" si="6"/>
        <v>EuriborSwapIsdaFixA14Y</v>
      </c>
      <c r="J16" s="247" t="str">
        <f t="shared" si="7"/>
        <v>EURAB6E14Y_Fwd1w_Quote</v>
      </c>
      <c r="K16" s="247"/>
      <c r="L16" s="256" t="str">
        <f>_xll.ohRangeRetrieveError(K16)</f>
        <v/>
      </c>
      <c r="M16" s="54"/>
    </row>
    <row r="17" spans="1:13" x14ac:dyDescent="0.2">
      <c r="A17" s="130"/>
      <c r="B17" s="85" t="s">
        <v>102</v>
      </c>
      <c r="C17" s="114" t="str">
        <f t="shared" si="0"/>
        <v>AB</v>
      </c>
      <c r="D17" s="114" t="str">
        <f t="shared" si="1"/>
        <v>6E</v>
      </c>
      <c r="E17" s="114" t="str">
        <f t="shared" si="2"/>
        <v>1w</v>
      </c>
      <c r="F17" s="114">
        <f t="shared" si="3"/>
        <v>0</v>
      </c>
      <c r="G17" s="114">
        <f t="shared" si="4"/>
        <v>0</v>
      </c>
      <c r="H17" s="249">
        <f t="shared" si="5"/>
        <v>0</v>
      </c>
      <c r="I17" s="248" t="str">
        <f t="shared" si="6"/>
        <v>EuriborSwapIsdaFixA15Y</v>
      </c>
      <c r="J17" s="247" t="str">
        <f t="shared" si="7"/>
        <v>EURAB6E15Y_Fwd1w_Quote</v>
      </c>
      <c r="K17" s="247"/>
      <c r="L17" s="256" t="str">
        <f>_xll.ohRangeRetrieveError(K17)</f>
        <v/>
      </c>
      <c r="M17" s="54"/>
    </row>
    <row r="18" spans="1:13" x14ac:dyDescent="0.2">
      <c r="A18" s="130"/>
      <c r="B18" s="85" t="s">
        <v>101</v>
      </c>
      <c r="C18" s="114" t="str">
        <f t="shared" si="0"/>
        <v>AB</v>
      </c>
      <c r="D18" s="114" t="str">
        <f t="shared" si="1"/>
        <v>6E</v>
      </c>
      <c r="E18" s="114" t="str">
        <f t="shared" si="2"/>
        <v>1w</v>
      </c>
      <c r="F18" s="114">
        <f t="shared" si="3"/>
        <v>0</v>
      </c>
      <c r="G18" s="114">
        <f t="shared" si="4"/>
        <v>0</v>
      </c>
      <c r="H18" s="249">
        <f t="shared" si="5"/>
        <v>0</v>
      </c>
      <c r="I18" s="248" t="str">
        <f t="shared" si="6"/>
        <v>EuriborSwapIsdaFixA16Y</v>
      </c>
      <c r="J18" s="247" t="str">
        <f t="shared" si="7"/>
        <v>EURAB6E16Y_Fwd1w_Quote</v>
      </c>
      <c r="K18" s="247"/>
      <c r="L18" s="256" t="str">
        <f>_xll.ohRangeRetrieveError(K18)</f>
        <v/>
      </c>
      <c r="M18" s="54"/>
    </row>
    <row r="19" spans="1:13" x14ac:dyDescent="0.2">
      <c r="A19" s="130"/>
      <c r="B19" s="85" t="s">
        <v>100</v>
      </c>
      <c r="C19" s="114" t="str">
        <f t="shared" si="0"/>
        <v>AB</v>
      </c>
      <c r="D19" s="114" t="str">
        <f t="shared" si="1"/>
        <v>6E</v>
      </c>
      <c r="E19" s="114" t="str">
        <f t="shared" si="2"/>
        <v>1w</v>
      </c>
      <c r="F19" s="114">
        <f t="shared" si="3"/>
        <v>0</v>
      </c>
      <c r="G19" s="114">
        <f t="shared" si="4"/>
        <v>0</v>
      </c>
      <c r="H19" s="249">
        <f t="shared" si="5"/>
        <v>0</v>
      </c>
      <c r="I19" s="248" t="str">
        <f t="shared" si="6"/>
        <v>EuriborSwapIsdaFixA17Y</v>
      </c>
      <c r="J19" s="247" t="str">
        <f t="shared" si="7"/>
        <v>EURAB6E17Y_Fwd1w_Quote</v>
      </c>
      <c r="K19" s="247"/>
      <c r="L19" s="256" t="str">
        <f>_xll.ohRangeRetrieveError(K19)</f>
        <v/>
      </c>
      <c r="M19" s="54"/>
    </row>
    <row r="20" spans="1:13" x14ac:dyDescent="0.2">
      <c r="A20" s="130"/>
      <c r="B20" s="85" t="s">
        <v>99</v>
      </c>
      <c r="C20" s="114" t="str">
        <f t="shared" si="0"/>
        <v>AB</v>
      </c>
      <c r="D20" s="114" t="str">
        <f t="shared" si="1"/>
        <v>6E</v>
      </c>
      <c r="E20" s="114" t="str">
        <f t="shared" si="2"/>
        <v>1w</v>
      </c>
      <c r="F20" s="114">
        <f t="shared" si="3"/>
        <v>0</v>
      </c>
      <c r="G20" s="114">
        <f t="shared" si="4"/>
        <v>0</v>
      </c>
      <c r="H20" s="249">
        <f t="shared" si="5"/>
        <v>0</v>
      </c>
      <c r="I20" s="248" t="str">
        <f t="shared" si="6"/>
        <v>EuriborSwapIsdaFixA18Y</v>
      </c>
      <c r="J20" s="247" t="str">
        <f t="shared" si="7"/>
        <v>EURAB6E18Y_Fwd1w_Quote</v>
      </c>
      <c r="K20" s="247"/>
      <c r="L20" s="256" t="str">
        <f>_xll.ohRangeRetrieveError(K20)</f>
        <v/>
      </c>
      <c r="M20" s="54"/>
    </row>
    <row r="21" spans="1:13" x14ac:dyDescent="0.2">
      <c r="A21" s="130"/>
      <c r="B21" s="85" t="s">
        <v>98</v>
      </c>
      <c r="C21" s="114" t="str">
        <f t="shared" si="0"/>
        <v>AB</v>
      </c>
      <c r="D21" s="114" t="str">
        <f t="shared" si="1"/>
        <v>6E</v>
      </c>
      <c r="E21" s="114" t="str">
        <f t="shared" si="2"/>
        <v>1w</v>
      </c>
      <c r="F21" s="114">
        <f t="shared" si="3"/>
        <v>0</v>
      </c>
      <c r="G21" s="114">
        <f t="shared" si="4"/>
        <v>0</v>
      </c>
      <c r="H21" s="249">
        <f t="shared" si="5"/>
        <v>0</v>
      </c>
      <c r="I21" s="248" t="str">
        <f t="shared" si="6"/>
        <v>EuriborSwapIsdaFixA19Y</v>
      </c>
      <c r="J21" s="247" t="str">
        <f t="shared" si="7"/>
        <v>EURAB6E19Y_Fwd1w_Quote</v>
      </c>
      <c r="K21" s="247"/>
      <c r="L21" s="256" t="str">
        <f>_xll.ohRangeRetrieveError(K21)</f>
        <v/>
      </c>
      <c r="M21" s="54"/>
    </row>
    <row r="22" spans="1:13" x14ac:dyDescent="0.2">
      <c r="A22" s="130"/>
      <c r="B22" s="85" t="s">
        <v>97</v>
      </c>
      <c r="C22" s="114" t="str">
        <f t="shared" si="0"/>
        <v>AB</v>
      </c>
      <c r="D22" s="114" t="str">
        <f t="shared" si="1"/>
        <v>6E</v>
      </c>
      <c r="E22" s="114" t="str">
        <f t="shared" si="2"/>
        <v>1w</v>
      </c>
      <c r="F22" s="114">
        <f t="shared" si="3"/>
        <v>0</v>
      </c>
      <c r="G22" s="114">
        <f t="shared" si="4"/>
        <v>0</v>
      </c>
      <c r="H22" s="249">
        <f t="shared" si="5"/>
        <v>0</v>
      </c>
      <c r="I22" s="248" t="str">
        <f t="shared" si="6"/>
        <v>EuriborSwapIsdaFixA20Y</v>
      </c>
      <c r="J22" s="247" t="str">
        <f t="shared" si="7"/>
        <v>EURAB6E20Y_Fwd1w_Quote</v>
      </c>
      <c r="K22" s="247"/>
      <c r="L22" s="256" t="str">
        <f>_xll.ohRangeRetrieveError(K22)</f>
        <v/>
      </c>
      <c r="M22" s="54"/>
    </row>
    <row r="23" spans="1:13" x14ac:dyDescent="0.2">
      <c r="A23" s="130"/>
      <c r="B23" s="85" t="s">
        <v>96</v>
      </c>
      <c r="C23" s="114" t="str">
        <f t="shared" si="0"/>
        <v>AB</v>
      </c>
      <c r="D23" s="114" t="str">
        <f t="shared" si="1"/>
        <v>6E</v>
      </c>
      <c r="E23" s="114" t="str">
        <f t="shared" si="2"/>
        <v>1w</v>
      </c>
      <c r="F23" s="114">
        <f t="shared" si="3"/>
        <v>0</v>
      </c>
      <c r="G23" s="114">
        <f t="shared" si="4"/>
        <v>0</v>
      </c>
      <c r="H23" s="249">
        <f t="shared" si="5"/>
        <v>0</v>
      </c>
      <c r="I23" s="248" t="str">
        <f t="shared" si="6"/>
        <v>EuriborSwapIsdaFixA21Y</v>
      </c>
      <c r="J23" s="247" t="str">
        <f t="shared" si="7"/>
        <v>EURAB6E21Y_Fwd1w_Quote</v>
      </c>
      <c r="K23" s="247"/>
      <c r="L23" s="256" t="str">
        <f>_xll.ohRangeRetrieveError(K23)</f>
        <v/>
      </c>
      <c r="M23" s="54"/>
    </row>
    <row r="24" spans="1:13" x14ac:dyDescent="0.2">
      <c r="A24" s="130"/>
      <c r="B24" s="85" t="s">
        <v>95</v>
      </c>
      <c r="C24" s="114" t="str">
        <f t="shared" si="0"/>
        <v>AB</v>
      </c>
      <c r="D24" s="114" t="str">
        <f t="shared" si="1"/>
        <v>6E</v>
      </c>
      <c r="E24" s="114" t="str">
        <f t="shared" si="2"/>
        <v>1w</v>
      </c>
      <c r="F24" s="114">
        <f t="shared" si="3"/>
        <v>0</v>
      </c>
      <c r="G24" s="114">
        <f t="shared" si="4"/>
        <v>0</v>
      </c>
      <c r="H24" s="249">
        <f t="shared" si="5"/>
        <v>0</v>
      </c>
      <c r="I24" s="248" t="str">
        <f t="shared" si="6"/>
        <v>EuriborSwapIsdaFixA22Y</v>
      </c>
      <c r="J24" s="247" t="str">
        <f t="shared" si="7"/>
        <v>EURAB6E22Y_Fwd1w_Quote</v>
      </c>
      <c r="K24" s="247"/>
      <c r="L24" s="256" t="str">
        <f>_xll.ohRangeRetrieveError(K24)</f>
        <v/>
      </c>
      <c r="M24" s="54"/>
    </row>
    <row r="25" spans="1:13" x14ac:dyDescent="0.2">
      <c r="A25" s="130"/>
      <c r="B25" s="85" t="s">
        <v>94</v>
      </c>
      <c r="C25" s="114" t="str">
        <f t="shared" si="0"/>
        <v>AB</v>
      </c>
      <c r="D25" s="114" t="str">
        <f t="shared" si="1"/>
        <v>6E</v>
      </c>
      <c r="E25" s="114" t="str">
        <f t="shared" si="2"/>
        <v>1w</v>
      </c>
      <c r="F25" s="114">
        <f t="shared" si="3"/>
        <v>0</v>
      </c>
      <c r="G25" s="114">
        <f t="shared" si="4"/>
        <v>0</v>
      </c>
      <c r="H25" s="249">
        <f t="shared" si="5"/>
        <v>0</v>
      </c>
      <c r="I25" s="248" t="str">
        <f t="shared" si="6"/>
        <v>EuriborSwapIsdaFixA23Y</v>
      </c>
      <c r="J25" s="247" t="str">
        <f t="shared" si="7"/>
        <v>EURAB6E23Y_Fwd1w_Quote</v>
      </c>
      <c r="K25" s="247"/>
      <c r="L25" s="256" t="str">
        <f>_xll.ohRangeRetrieveError(K25)</f>
        <v/>
      </c>
      <c r="M25" s="54"/>
    </row>
    <row r="26" spans="1:13" x14ac:dyDescent="0.2">
      <c r="A26" s="130"/>
      <c r="B26" s="85" t="s">
        <v>93</v>
      </c>
      <c r="C26" s="114" t="str">
        <f t="shared" si="0"/>
        <v>AB</v>
      </c>
      <c r="D26" s="114" t="str">
        <f t="shared" si="1"/>
        <v>6E</v>
      </c>
      <c r="E26" s="114" t="str">
        <f t="shared" si="2"/>
        <v>1w</v>
      </c>
      <c r="F26" s="114">
        <f t="shared" si="3"/>
        <v>0</v>
      </c>
      <c r="G26" s="114">
        <f t="shared" si="4"/>
        <v>0</v>
      </c>
      <c r="H26" s="249">
        <f t="shared" si="5"/>
        <v>0</v>
      </c>
      <c r="I26" s="248" t="str">
        <f t="shared" si="6"/>
        <v>EuriborSwapIsdaFixA24Y</v>
      </c>
      <c r="J26" s="247" t="str">
        <f t="shared" si="7"/>
        <v>EURAB6E24Y_Fwd1w_Quote</v>
      </c>
      <c r="K26" s="247"/>
      <c r="L26" s="256" t="str">
        <f>_xll.ohRangeRetrieveError(K26)</f>
        <v/>
      </c>
      <c r="M26" s="54"/>
    </row>
    <row r="27" spans="1:13" x14ac:dyDescent="0.2">
      <c r="A27" s="130"/>
      <c r="B27" s="85" t="s">
        <v>92</v>
      </c>
      <c r="C27" s="114" t="str">
        <f t="shared" si="0"/>
        <v>AB</v>
      </c>
      <c r="D27" s="114" t="str">
        <f t="shared" si="1"/>
        <v>6E</v>
      </c>
      <c r="E27" s="114" t="str">
        <f t="shared" si="2"/>
        <v>1w</v>
      </c>
      <c r="F27" s="114">
        <f t="shared" si="3"/>
        <v>0</v>
      </c>
      <c r="G27" s="114">
        <f t="shared" si="4"/>
        <v>0</v>
      </c>
      <c r="H27" s="249">
        <f t="shared" si="5"/>
        <v>0</v>
      </c>
      <c r="I27" s="248" t="str">
        <f t="shared" si="6"/>
        <v>EuriborSwapIsdaFixA25Y</v>
      </c>
      <c r="J27" s="247" t="str">
        <f t="shared" si="7"/>
        <v>EURAB6E25Y_Fwd1w_Quote</v>
      </c>
      <c r="K27" s="247"/>
      <c r="L27" s="256" t="str">
        <f>_xll.ohRangeRetrieveError(K27)</f>
        <v/>
      </c>
      <c r="M27" s="54"/>
    </row>
    <row r="28" spans="1:13" x14ac:dyDescent="0.2">
      <c r="A28" s="130"/>
      <c r="B28" s="85" t="s">
        <v>91</v>
      </c>
      <c r="C28" s="114" t="str">
        <f t="shared" si="0"/>
        <v>AB</v>
      </c>
      <c r="D28" s="114" t="str">
        <f t="shared" si="1"/>
        <v>6E</v>
      </c>
      <c r="E28" s="114" t="str">
        <f t="shared" si="2"/>
        <v>1w</v>
      </c>
      <c r="F28" s="114">
        <f t="shared" si="3"/>
        <v>0</v>
      </c>
      <c r="G28" s="114">
        <f t="shared" si="4"/>
        <v>0</v>
      </c>
      <c r="H28" s="249">
        <f t="shared" si="5"/>
        <v>0</v>
      </c>
      <c r="I28" s="248" t="str">
        <f t="shared" si="6"/>
        <v>EuriborSwapIsdaFixA26Y</v>
      </c>
      <c r="J28" s="247" t="str">
        <f t="shared" si="7"/>
        <v>EURAB6E26Y_Fwd1w_Quote</v>
      </c>
      <c r="K28" s="247"/>
      <c r="L28" s="256" t="str">
        <f>_xll.ohRangeRetrieveError(K28)</f>
        <v/>
      </c>
      <c r="M28" s="54"/>
    </row>
    <row r="29" spans="1:13" x14ac:dyDescent="0.2">
      <c r="A29" s="130"/>
      <c r="B29" s="85" t="s">
        <v>90</v>
      </c>
      <c r="C29" s="114" t="str">
        <f t="shared" si="0"/>
        <v>AB</v>
      </c>
      <c r="D29" s="114" t="str">
        <f t="shared" si="1"/>
        <v>6E</v>
      </c>
      <c r="E29" s="114" t="str">
        <f t="shared" si="2"/>
        <v>1w</v>
      </c>
      <c r="F29" s="114">
        <f t="shared" si="3"/>
        <v>0</v>
      </c>
      <c r="G29" s="114">
        <f t="shared" si="4"/>
        <v>0</v>
      </c>
      <c r="H29" s="249">
        <f t="shared" si="5"/>
        <v>0</v>
      </c>
      <c r="I29" s="248" t="str">
        <f t="shared" si="6"/>
        <v>EuriborSwapIsdaFixA27Y</v>
      </c>
      <c r="J29" s="247" t="str">
        <f t="shared" si="7"/>
        <v>EURAB6E27Y_Fwd1w_Quote</v>
      </c>
      <c r="K29" s="247"/>
      <c r="L29" s="256" t="str">
        <f>_xll.ohRangeRetrieveError(K29)</f>
        <v/>
      </c>
      <c r="M29" s="54"/>
    </row>
    <row r="30" spans="1:13" x14ac:dyDescent="0.2">
      <c r="A30" s="130"/>
      <c r="B30" s="85" t="s">
        <v>89</v>
      </c>
      <c r="C30" s="114" t="str">
        <f t="shared" si="0"/>
        <v>AB</v>
      </c>
      <c r="D30" s="114" t="str">
        <f t="shared" si="1"/>
        <v>6E</v>
      </c>
      <c r="E30" s="114" t="str">
        <f t="shared" si="2"/>
        <v>1w</v>
      </c>
      <c r="F30" s="114">
        <f t="shared" si="3"/>
        <v>0</v>
      </c>
      <c r="G30" s="114">
        <f t="shared" si="4"/>
        <v>0</v>
      </c>
      <c r="H30" s="249">
        <f t="shared" si="5"/>
        <v>0</v>
      </c>
      <c r="I30" s="248" t="str">
        <f t="shared" si="6"/>
        <v>EuriborSwapIsdaFixA28Y</v>
      </c>
      <c r="J30" s="247" t="str">
        <f t="shared" si="7"/>
        <v>EURAB6E28Y_Fwd1w_Quote</v>
      </c>
      <c r="K30" s="247"/>
      <c r="L30" s="256" t="str">
        <f>_xll.ohRangeRetrieveError(K30)</f>
        <v/>
      </c>
      <c r="M30" s="54"/>
    </row>
    <row r="31" spans="1:13" x14ac:dyDescent="0.2">
      <c r="A31" s="130"/>
      <c r="B31" s="85" t="s">
        <v>88</v>
      </c>
      <c r="C31" s="114" t="str">
        <f t="shared" si="0"/>
        <v>AB</v>
      </c>
      <c r="D31" s="114" t="str">
        <f t="shared" si="1"/>
        <v>6E</v>
      </c>
      <c r="E31" s="114" t="str">
        <f t="shared" si="2"/>
        <v>1w</v>
      </c>
      <c r="F31" s="114">
        <f t="shared" si="3"/>
        <v>0</v>
      </c>
      <c r="G31" s="114">
        <f t="shared" si="4"/>
        <v>0</v>
      </c>
      <c r="H31" s="249">
        <f t="shared" si="5"/>
        <v>0</v>
      </c>
      <c r="I31" s="248" t="str">
        <f t="shared" si="6"/>
        <v>EuriborSwapIsdaFixA29Y</v>
      </c>
      <c r="J31" s="247" t="str">
        <f t="shared" si="7"/>
        <v>EURAB6E29Y_Fwd1w_Quote</v>
      </c>
      <c r="K31" s="247"/>
      <c r="L31" s="256" t="str">
        <f>_xll.ohRangeRetrieveError(K31)</f>
        <v/>
      </c>
      <c r="M31" s="54"/>
    </row>
    <row r="32" spans="1:13" x14ac:dyDescent="0.2">
      <c r="A32" s="130"/>
      <c r="B32" s="85" t="s">
        <v>87</v>
      </c>
      <c r="C32" s="114" t="str">
        <f t="shared" si="0"/>
        <v>AB</v>
      </c>
      <c r="D32" s="114" t="str">
        <f t="shared" si="1"/>
        <v>6E</v>
      </c>
      <c r="E32" s="114" t="str">
        <f t="shared" si="2"/>
        <v>1w</v>
      </c>
      <c r="F32" s="114">
        <f t="shared" si="3"/>
        <v>0</v>
      </c>
      <c r="G32" s="114">
        <f t="shared" si="4"/>
        <v>0</v>
      </c>
      <c r="H32" s="249">
        <f t="shared" si="5"/>
        <v>0</v>
      </c>
      <c r="I32" s="248" t="str">
        <f t="shared" si="6"/>
        <v>EuriborSwapIsdaFixA30Y</v>
      </c>
      <c r="J32" s="247" t="str">
        <f t="shared" si="7"/>
        <v>EURAB6E30Y_Fwd1w_Quote</v>
      </c>
      <c r="K32" s="247"/>
      <c r="L32" s="256" t="str">
        <f>_xll.ohRangeRetrieveError(K32)</f>
        <v/>
      </c>
      <c r="M32" s="54"/>
    </row>
    <row r="33" spans="1:13" x14ac:dyDescent="0.2">
      <c r="A33" s="130"/>
      <c r="B33" s="85" t="s">
        <v>82</v>
      </c>
      <c r="C33" s="114" t="str">
        <f t="shared" si="0"/>
        <v>AB</v>
      </c>
      <c r="D33" s="114" t="str">
        <f t="shared" si="1"/>
        <v>6E</v>
      </c>
      <c r="E33" s="114" t="str">
        <f t="shared" si="2"/>
        <v>1w</v>
      </c>
      <c r="F33" s="114">
        <f t="shared" si="3"/>
        <v>0</v>
      </c>
      <c r="G33" s="114">
        <f t="shared" si="4"/>
        <v>0</v>
      </c>
      <c r="H33" s="249">
        <f t="shared" si="5"/>
        <v>0</v>
      </c>
      <c r="I33" s="248" t="str">
        <f t="shared" si="6"/>
        <v>EuriborSwapIsdaFixA35Y</v>
      </c>
      <c r="J33" s="247" t="str">
        <f t="shared" si="7"/>
        <v>EURAB6E35Y_Fwd1w_Quote</v>
      </c>
      <c r="K33" s="247"/>
      <c r="L33" s="256" t="str">
        <f>_xll.ohRangeRetrieveError(K33)</f>
        <v/>
      </c>
      <c r="M33" s="54"/>
    </row>
    <row r="34" spans="1:13" x14ac:dyDescent="0.2">
      <c r="A34" s="130"/>
      <c r="B34" s="85" t="s">
        <v>77</v>
      </c>
      <c r="C34" s="114" t="str">
        <f t="shared" si="0"/>
        <v>AB</v>
      </c>
      <c r="D34" s="114" t="str">
        <f t="shared" si="1"/>
        <v>6E</v>
      </c>
      <c r="E34" s="114" t="str">
        <f t="shared" si="2"/>
        <v>1w</v>
      </c>
      <c r="F34" s="114">
        <f t="shared" si="3"/>
        <v>0</v>
      </c>
      <c r="G34" s="114">
        <f t="shared" si="4"/>
        <v>0</v>
      </c>
      <c r="H34" s="249">
        <f t="shared" si="5"/>
        <v>0</v>
      </c>
      <c r="I34" s="248" t="str">
        <f t="shared" si="6"/>
        <v>EuriborSwapIsdaFixA40Y</v>
      </c>
      <c r="J34" s="247" t="str">
        <f t="shared" si="7"/>
        <v>EURAB6E40Y_Fwd1w_Quote</v>
      </c>
      <c r="K34" s="247"/>
      <c r="L34" s="256" t="str">
        <f>_xll.ohRangeRetrieveError(K34)</f>
        <v/>
      </c>
      <c r="M34" s="54"/>
    </row>
    <row r="35" spans="1:13" x14ac:dyDescent="0.2">
      <c r="A35" s="130"/>
      <c r="B35" s="85" t="s">
        <v>67</v>
      </c>
      <c r="C35" s="114" t="str">
        <f t="shared" si="0"/>
        <v>AB</v>
      </c>
      <c r="D35" s="114" t="str">
        <f t="shared" si="1"/>
        <v>6E</v>
      </c>
      <c r="E35" s="114" t="str">
        <f t="shared" si="2"/>
        <v>1w</v>
      </c>
      <c r="F35" s="114">
        <f t="shared" si="3"/>
        <v>0</v>
      </c>
      <c r="G35" s="114">
        <f t="shared" si="4"/>
        <v>0</v>
      </c>
      <c r="H35" s="249">
        <f t="shared" si="5"/>
        <v>0</v>
      </c>
      <c r="I35" s="248" t="str">
        <f t="shared" si="6"/>
        <v>EuriborSwapIsdaFixA50Y</v>
      </c>
      <c r="J35" s="247" t="str">
        <f t="shared" si="7"/>
        <v>EURAB6E50Y_Fwd1w_Quote</v>
      </c>
      <c r="K35" s="247"/>
      <c r="L35" s="256" t="str">
        <f>_xll.ohRangeRetrieveError(K35)</f>
        <v/>
      </c>
      <c r="M35" s="54"/>
    </row>
    <row r="36" spans="1:13" x14ac:dyDescent="0.2">
      <c r="A36" s="130"/>
      <c r="B36" s="85" t="s">
        <v>57</v>
      </c>
      <c r="C36" s="114" t="str">
        <f t="shared" si="0"/>
        <v>AB</v>
      </c>
      <c r="D36" s="114" t="str">
        <f t="shared" si="1"/>
        <v>6E</v>
      </c>
      <c r="E36" s="114" t="str">
        <f t="shared" si="2"/>
        <v>1w</v>
      </c>
      <c r="F36" s="114">
        <f t="shared" si="3"/>
        <v>0</v>
      </c>
      <c r="G36" s="114">
        <f t="shared" si="4"/>
        <v>0</v>
      </c>
      <c r="H36" s="249">
        <f t="shared" si="5"/>
        <v>0</v>
      </c>
      <c r="I36" s="248" t="str">
        <f t="shared" si="6"/>
        <v>EuriborSwapIsdaFixA60Y</v>
      </c>
      <c r="J36" s="247" t="str">
        <f t="shared" si="7"/>
        <v>EURAB6E60Y_Fwd1w_Quote</v>
      </c>
      <c r="K36" s="247"/>
      <c r="L36" s="256" t="str">
        <f>_xll.ohRangeRetrieveError(K36)</f>
        <v/>
      </c>
      <c r="M36" s="54"/>
    </row>
    <row r="37" spans="1:13" ht="12" thickBot="1" x14ac:dyDescent="0.25">
      <c r="A37" s="53"/>
      <c r="B37" s="52"/>
      <c r="C37" s="52"/>
      <c r="D37" s="52"/>
      <c r="E37" s="52"/>
      <c r="F37" s="52"/>
      <c r="G37" s="52"/>
      <c r="H37" s="52"/>
      <c r="I37" s="52"/>
      <c r="J37" s="52"/>
      <c r="K37" s="124"/>
      <c r="L37" s="124"/>
      <c r="M37" s="51"/>
    </row>
  </sheetData>
  <pageMargins left="0.75" right="0.75" top="1" bottom="1" header="0.5" footer="0.5"/>
  <pageSetup paperSize="9" orientation="portrait" r:id="rId1"/>
  <headerFooter alignWithMargins="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T37"/>
  <sheetViews>
    <sheetView workbookViewId="0"/>
  </sheetViews>
  <sheetFormatPr defaultRowHeight="11.25" x14ac:dyDescent="0.2"/>
  <cols>
    <col min="1" max="1" width="3.28515625" style="74" customWidth="1"/>
    <col min="2" max="2" width="3.85546875" style="74" bestFit="1" customWidth="1"/>
    <col min="3" max="3" width="3.140625" style="74" bestFit="1" customWidth="1"/>
    <col min="4" max="4" width="2.7109375" style="74" bestFit="1" customWidth="1"/>
    <col min="5" max="5" width="4.7109375" style="74" bestFit="1" customWidth="1"/>
    <col min="6" max="7" width="2.7109375" style="74" bestFit="1" customWidth="1"/>
    <col min="8" max="8" width="15.28515625" style="74" bestFit="1" customWidth="1"/>
    <col min="9" max="9" width="19.140625" style="74" bestFit="1" customWidth="1"/>
    <col min="10" max="10" width="31" style="74" bestFit="1" customWidth="1"/>
    <col min="11" max="11" width="32.140625" style="74" bestFit="1" customWidth="1"/>
    <col min="12" max="12" width="30.5703125" style="74" customWidth="1"/>
    <col min="13" max="14" width="3.7109375" style="74" customWidth="1"/>
    <col min="15" max="15" width="4" style="74" bestFit="1" customWidth="1"/>
    <col min="16" max="16" width="3.140625" style="74" bestFit="1" customWidth="1"/>
    <col min="17" max="17" width="2.7109375" style="74" bestFit="1" customWidth="1"/>
    <col min="18" max="18" width="3.28515625" style="74" bestFit="1" customWidth="1"/>
    <col min="19" max="20" width="2.7109375" style="74" bestFit="1" customWidth="1"/>
    <col min="21" max="16384" width="9.140625" style="74"/>
  </cols>
  <sheetData>
    <row r="1" spans="1:20" ht="12" thickBot="1" x14ac:dyDescent="0.25">
      <c r="A1" s="224" t="s">
        <v>216</v>
      </c>
      <c r="B1" s="207"/>
      <c r="C1" s="207"/>
      <c r="D1" s="207"/>
      <c r="E1" s="207"/>
      <c r="F1" s="207"/>
      <c r="G1" s="207"/>
      <c r="H1" s="207"/>
      <c r="I1" s="207"/>
      <c r="J1" s="207"/>
      <c r="K1" s="207"/>
      <c r="L1" s="162"/>
      <c r="M1" s="204"/>
    </row>
    <row r="2" spans="1:20" ht="22.5" x14ac:dyDescent="0.2">
      <c r="A2" s="130"/>
      <c r="B2" s="99"/>
      <c r="C2" s="99"/>
      <c r="D2" s="99"/>
      <c r="E2" s="99" t="s">
        <v>215</v>
      </c>
      <c r="F2" s="99"/>
      <c r="G2" s="99"/>
      <c r="H2" s="99" t="s">
        <v>214</v>
      </c>
      <c r="I2" s="99" t="s">
        <v>213</v>
      </c>
      <c r="J2" s="253" t="str">
        <f>Currency&amp;"_020_Sw"&amp;$C$3&amp;$D$3&amp;"_"&amp;"Fwd"&amp;$E$3&amp;IF(H3=0,,"_Spr"&amp;$F3&amp;$G3)&amp;".xml"</f>
        <v>EUR_020_SwAB3E_Fwd1w_Spr3E6E.xml</v>
      </c>
      <c r="K2" s="117" t="e">
        <f ca="1">IF(Serialize,_xll.ohObjectSave(K3:K36,SerializationPath&amp;J2,FileOverwrite,Serialize),"---")</f>
        <v>#NUM!</v>
      </c>
      <c r="L2" s="81" t="e">
        <f ca="1">_xll.ohRangeRetrieveError(K2)</f>
        <v>#NUM!</v>
      </c>
      <c r="M2" s="54"/>
      <c r="O2" s="216"/>
      <c r="P2" s="215"/>
      <c r="Q2" s="215"/>
      <c r="R2" s="215"/>
      <c r="S2" s="215"/>
      <c r="T2" s="214"/>
    </row>
    <row r="3" spans="1:20" x14ac:dyDescent="0.2">
      <c r="A3" s="130"/>
      <c r="B3" s="85" t="s">
        <v>34</v>
      </c>
      <c r="C3" s="114" t="str">
        <f t="shared" ref="C3:C36" si="0">VLOOKUP(Currency,$O$3:$T$7,2)</f>
        <v>AB</v>
      </c>
      <c r="D3" s="114" t="str">
        <f t="shared" ref="D3:D36" si="1">VLOOKUP(Currency,$O$3:$T$7,3)</f>
        <v>3E</v>
      </c>
      <c r="E3" s="114" t="str">
        <f t="shared" ref="E3:E36" si="2">VLOOKUP(Currency,$O$3:$T$7,4)</f>
        <v>1w</v>
      </c>
      <c r="F3" s="114" t="str">
        <f t="shared" ref="F3:F36" si="3">VLOOKUP(Currency,$O$3:$T$7,5)</f>
        <v>3E</v>
      </c>
      <c r="G3" s="114" t="str">
        <f t="shared" ref="G3:G36" si="4">VLOOKUP(Currency,$O$3:$T$7,6)</f>
        <v>6E</v>
      </c>
      <c r="H3" s="249" t="str">
        <f t="shared" ref="H3:H36" si="5">IF(F3=0,0,Currency&amp;$F3&amp;$G3&amp;$B3&amp;QuoteSuffix)</f>
        <v>EUR3E6E1Y_Quote</v>
      </c>
      <c r="I3" s="251"/>
      <c r="J3" s="247" t="str">
        <f t="shared" ref="J3:J36" si="6">Currency&amp;$C3&amp;$D3&amp;$B3&amp;"_"&amp;"Fwd"&amp;E3&amp;IF(H3=0,,"_S"&amp;$F3&amp;$G3)&amp;QuoteSuffix</f>
        <v>EURAB3E1Y_Fwd1w_S3E6E_Quote</v>
      </c>
      <c r="K3" s="247"/>
      <c r="L3" s="256" t="str">
        <f>_xll.ohRangeRetrieveError(K3)</f>
        <v/>
      </c>
      <c r="M3" s="54"/>
      <c r="O3" s="92" t="s">
        <v>137</v>
      </c>
      <c r="P3" s="91" t="s">
        <v>202</v>
      </c>
      <c r="Q3" s="91" t="s">
        <v>130</v>
      </c>
      <c r="R3" s="91" t="s">
        <v>212</v>
      </c>
      <c r="S3" s="91"/>
      <c r="T3" s="90"/>
    </row>
    <row r="4" spans="1:20" x14ac:dyDescent="0.2">
      <c r="A4" s="130"/>
      <c r="B4" s="85" t="s">
        <v>115</v>
      </c>
      <c r="C4" s="114" t="str">
        <f t="shared" si="0"/>
        <v>AB</v>
      </c>
      <c r="D4" s="114" t="str">
        <f t="shared" si="1"/>
        <v>3E</v>
      </c>
      <c r="E4" s="114" t="str">
        <f t="shared" si="2"/>
        <v>1w</v>
      </c>
      <c r="F4" s="114" t="str">
        <f t="shared" si="3"/>
        <v>3E</v>
      </c>
      <c r="G4" s="114" t="str">
        <f t="shared" si="4"/>
        <v>6E</v>
      </c>
      <c r="H4" s="249" t="str">
        <f t="shared" si="5"/>
        <v>EUR3E6E2Y_Quote</v>
      </c>
      <c r="I4" s="248"/>
      <c r="J4" s="247" t="str">
        <f t="shared" si="6"/>
        <v>EURAB3E2Y_Fwd1w_S3E6E_Quote</v>
      </c>
      <c r="K4" s="247"/>
      <c r="L4" s="256" t="str">
        <f>_xll.ohRangeRetrieveError(K4)</f>
        <v/>
      </c>
      <c r="M4" s="54"/>
      <c r="O4" s="92" t="s">
        <v>123</v>
      </c>
      <c r="P4" s="91" t="s">
        <v>202</v>
      </c>
      <c r="Q4" s="258" t="s">
        <v>142</v>
      </c>
      <c r="R4" s="91" t="s">
        <v>212</v>
      </c>
      <c r="S4" s="91" t="s">
        <v>142</v>
      </c>
      <c r="T4" s="90" t="s">
        <v>135</v>
      </c>
    </row>
    <row r="5" spans="1:20" x14ac:dyDescent="0.2">
      <c r="A5" s="130"/>
      <c r="B5" s="85" t="s">
        <v>114</v>
      </c>
      <c r="C5" s="114" t="str">
        <f t="shared" si="0"/>
        <v>AB</v>
      </c>
      <c r="D5" s="114" t="str">
        <f t="shared" si="1"/>
        <v>3E</v>
      </c>
      <c r="E5" s="114" t="str">
        <f t="shared" si="2"/>
        <v>1w</v>
      </c>
      <c r="F5" s="114" t="str">
        <f t="shared" si="3"/>
        <v>3E</v>
      </c>
      <c r="G5" s="114" t="str">
        <f t="shared" si="4"/>
        <v>6E</v>
      </c>
      <c r="H5" s="249" t="str">
        <f t="shared" si="5"/>
        <v>EUR3E6E3Y_Quote</v>
      </c>
      <c r="I5" s="248"/>
      <c r="J5" s="247" t="str">
        <f t="shared" si="6"/>
        <v>EURAB3E3Y_Fwd1w_S3E6E_Quote</v>
      </c>
      <c r="K5" s="247"/>
      <c r="L5" s="256" t="str">
        <f>_xll.ohRangeRetrieveError(K5)</f>
        <v/>
      </c>
      <c r="M5" s="54"/>
      <c r="O5" s="92" t="s">
        <v>134</v>
      </c>
      <c r="P5" s="91" t="s">
        <v>201</v>
      </c>
      <c r="Q5" s="91" t="s">
        <v>130</v>
      </c>
      <c r="R5" s="91" t="s">
        <v>212</v>
      </c>
      <c r="S5" s="91"/>
      <c r="T5" s="90"/>
    </row>
    <row r="6" spans="1:20" x14ac:dyDescent="0.2">
      <c r="A6" s="130"/>
      <c r="B6" s="85" t="s">
        <v>113</v>
      </c>
      <c r="C6" s="114" t="str">
        <f t="shared" si="0"/>
        <v>AB</v>
      </c>
      <c r="D6" s="114" t="str">
        <f t="shared" si="1"/>
        <v>3E</v>
      </c>
      <c r="E6" s="114" t="str">
        <f t="shared" si="2"/>
        <v>1w</v>
      </c>
      <c r="F6" s="114" t="str">
        <f t="shared" si="3"/>
        <v>3E</v>
      </c>
      <c r="G6" s="114" t="str">
        <f t="shared" si="4"/>
        <v>6E</v>
      </c>
      <c r="H6" s="249" t="str">
        <f t="shared" si="5"/>
        <v>EUR3E6E4Y_Quote</v>
      </c>
      <c r="I6" s="248"/>
      <c r="J6" s="247" t="str">
        <f t="shared" si="6"/>
        <v>EURAB3E4Y_Fwd1w_S3E6E_Quote</v>
      </c>
      <c r="K6" s="247"/>
      <c r="L6" s="256" t="str">
        <f>_xll.ohRangeRetrieveError(K6)</f>
        <v/>
      </c>
      <c r="M6" s="54"/>
      <c r="O6" s="92" t="s">
        <v>133</v>
      </c>
      <c r="P6" s="91" t="s">
        <v>201</v>
      </c>
      <c r="Q6" s="91" t="s">
        <v>130</v>
      </c>
      <c r="R6" s="91" t="s">
        <v>212</v>
      </c>
      <c r="S6" s="91"/>
      <c r="T6" s="90"/>
    </row>
    <row r="7" spans="1:20" ht="12" thickBot="1" x14ac:dyDescent="0.25">
      <c r="A7" s="130"/>
      <c r="B7" s="85" t="s">
        <v>112</v>
      </c>
      <c r="C7" s="114" t="str">
        <f t="shared" si="0"/>
        <v>AB</v>
      </c>
      <c r="D7" s="114" t="str">
        <f t="shared" si="1"/>
        <v>3E</v>
      </c>
      <c r="E7" s="114" t="str">
        <f t="shared" si="2"/>
        <v>1w</v>
      </c>
      <c r="F7" s="114" t="str">
        <f t="shared" si="3"/>
        <v>3E</v>
      </c>
      <c r="G7" s="114" t="str">
        <f t="shared" si="4"/>
        <v>6E</v>
      </c>
      <c r="H7" s="249" t="str">
        <f t="shared" si="5"/>
        <v>EUR3E6E5Y_Quote</v>
      </c>
      <c r="I7" s="248"/>
      <c r="J7" s="247" t="str">
        <f t="shared" si="6"/>
        <v>EURAB3E5Y_Fwd1w_S3E6E_Quote</v>
      </c>
      <c r="K7" s="247"/>
      <c r="L7" s="256" t="str">
        <f>_xll.ohRangeRetrieveError(K7)</f>
        <v/>
      </c>
      <c r="M7" s="54"/>
      <c r="O7" s="89" t="s">
        <v>131</v>
      </c>
      <c r="P7" s="88" t="s">
        <v>200</v>
      </c>
      <c r="Q7" s="88" t="s">
        <v>130</v>
      </c>
      <c r="R7" s="88" t="s">
        <v>212</v>
      </c>
      <c r="S7" s="88" t="s">
        <v>132</v>
      </c>
      <c r="T7" s="87" t="s">
        <v>130</v>
      </c>
    </row>
    <row r="8" spans="1:20" x14ac:dyDescent="0.2">
      <c r="A8" s="130"/>
      <c r="B8" s="85" t="s">
        <v>111</v>
      </c>
      <c r="C8" s="114" t="str">
        <f t="shared" si="0"/>
        <v>AB</v>
      </c>
      <c r="D8" s="114" t="str">
        <f t="shared" si="1"/>
        <v>3E</v>
      </c>
      <c r="E8" s="114" t="str">
        <f t="shared" si="2"/>
        <v>1w</v>
      </c>
      <c r="F8" s="114" t="str">
        <f t="shared" si="3"/>
        <v>3E</v>
      </c>
      <c r="G8" s="114" t="str">
        <f t="shared" si="4"/>
        <v>6E</v>
      </c>
      <c r="H8" s="249" t="str">
        <f t="shared" si="5"/>
        <v>EUR3E6E6Y_Quote</v>
      </c>
      <c r="I8" s="248"/>
      <c r="J8" s="247" t="str">
        <f t="shared" si="6"/>
        <v>EURAB3E6Y_Fwd1w_S3E6E_Quote</v>
      </c>
      <c r="K8" s="247"/>
      <c r="L8" s="256" t="str">
        <f>_xll.ohRangeRetrieveError(K8)</f>
        <v/>
      </c>
      <c r="M8" s="54"/>
    </row>
    <row r="9" spans="1:20" x14ac:dyDescent="0.2">
      <c r="A9" s="130"/>
      <c r="B9" s="85" t="s">
        <v>110</v>
      </c>
      <c r="C9" s="114" t="str">
        <f t="shared" si="0"/>
        <v>AB</v>
      </c>
      <c r="D9" s="114" t="str">
        <f t="shared" si="1"/>
        <v>3E</v>
      </c>
      <c r="E9" s="114" t="str">
        <f t="shared" si="2"/>
        <v>1w</v>
      </c>
      <c r="F9" s="114" t="str">
        <f t="shared" si="3"/>
        <v>3E</v>
      </c>
      <c r="G9" s="114" t="str">
        <f t="shared" si="4"/>
        <v>6E</v>
      </c>
      <c r="H9" s="249" t="str">
        <f t="shared" si="5"/>
        <v>EUR3E6E7Y_Quote</v>
      </c>
      <c r="I9" s="248"/>
      <c r="J9" s="247" t="str">
        <f t="shared" si="6"/>
        <v>EURAB3E7Y_Fwd1w_S3E6E_Quote</v>
      </c>
      <c r="K9" s="247"/>
      <c r="L9" s="256" t="str">
        <f>_xll.ohRangeRetrieveError(K9)</f>
        <v/>
      </c>
      <c r="M9" s="54"/>
    </row>
    <row r="10" spans="1:20" x14ac:dyDescent="0.2">
      <c r="A10" s="130"/>
      <c r="B10" s="85" t="s">
        <v>109</v>
      </c>
      <c r="C10" s="114" t="str">
        <f t="shared" si="0"/>
        <v>AB</v>
      </c>
      <c r="D10" s="114" t="str">
        <f t="shared" si="1"/>
        <v>3E</v>
      </c>
      <c r="E10" s="114" t="str">
        <f t="shared" si="2"/>
        <v>1w</v>
      </c>
      <c r="F10" s="114" t="str">
        <f t="shared" si="3"/>
        <v>3E</v>
      </c>
      <c r="G10" s="114" t="str">
        <f t="shared" si="4"/>
        <v>6E</v>
      </c>
      <c r="H10" s="249" t="str">
        <f t="shared" si="5"/>
        <v>EUR3E6E8Y_Quote</v>
      </c>
      <c r="I10" s="248"/>
      <c r="J10" s="247" t="str">
        <f t="shared" si="6"/>
        <v>EURAB3E8Y_Fwd1w_S3E6E_Quote</v>
      </c>
      <c r="K10" s="247"/>
      <c r="L10" s="256" t="str">
        <f>_xll.ohRangeRetrieveError(K10)</f>
        <v/>
      </c>
      <c r="M10" s="54"/>
    </row>
    <row r="11" spans="1:20" x14ac:dyDescent="0.2">
      <c r="A11" s="130"/>
      <c r="B11" s="85" t="s">
        <v>108</v>
      </c>
      <c r="C11" s="114" t="str">
        <f t="shared" si="0"/>
        <v>AB</v>
      </c>
      <c r="D11" s="114" t="str">
        <f t="shared" si="1"/>
        <v>3E</v>
      </c>
      <c r="E11" s="114" t="str">
        <f t="shared" si="2"/>
        <v>1w</v>
      </c>
      <c r="F11" s="114" t="str">
        <f t="shared" si="3"/>
        <v>3E</v>
      </c>
      <c r="G11" s="114" t="str">
        <f t="shared" si="4"/>
        <v>6E</v>
      </c>
      <c r="H11" s="249" t="str">
        <f t="shared" si="5"/>
        <v>EUR3E6E9Y_Quote</v>
      </c>
      <c r="I11" s="248"/>
      <c r="J11" s="247" t="str">
        <f t="shared" si="6"/>
        <v>EURAB3E9Y_Fwd1w_S3E6E_Quote</v>
      </c>
      <c r="K11" s="247"/>
      <c r="L11" s="256" t="str">
        <f>_xll.ohRangeRetrieveError(K11)</f>
        <v/>
      </c>
      <c r="M11" s="54"/>
    </row>
    <row r="12" spans="1:20" x14ac:dyDescent="0.2">
      <c r="A12" s="130"/>
      <c r="B12" s="85" t="s">
        <v>107</v>
      </c>
      <c r="C12" s="114" t="str">
        <f t="shared" si="0"/>
        <v>AB</v>
      </c>
      <c r="D12" s="114" t="str">
        <f t="shared" si="1"/>
        <v>3E</v>
      </c>
      <c r="E12" s="114" t="str">
        <f t="shared" si="2"/>
        <v>1w</v>
      </c>
      <c r="F12" s="114" t="str">
        <f t="shared" si="3"/>
        <v>3E</v>
      </c>
      <c r="G12" s="114" t="str">
        <f t="shared" si="4"/>
        <v>6E</v>
      </c>
      <c r="H12" s="249" t="str">
        <f t="shared" si="5"/>
        <v>EUR3E6E10Y_Quote</v>
      </c>
      <c r="I12" s="248"/>
      <c r="J12" s="247" t="str">
        <f t="shared" si="6"/>
        <v>EURAB3E10Y_Fwd1w_S3E6E_Quote</v>
      </c>
      <c r="K12" s="247"/>
      <c r="L12" s="256" t="str">
        <f>_xll.ohRangeRetrieveError(K12)</f>
        <v/>
      </c>
      <c r="M12" s="54"/>
    </row>
    <row r="13" spans="1:20" x14ac:dyDescent="0.2">
      <c r="A13" s="130"/>
      <c r="B13" s="85" t="s">
        <v>106</v>
      </c>
      <c r="C13" s="114" t="str">
        <f t="shared" si="0"/>
        <v>AB</v>
      </c>
      <c r="D13" s="114" t="str">
        <f t="shared" si="1"/>
        <v>3E</v>
      </c>
      <c r="E13" s="114" t="str">
        <f t="shared" si="2"/>
        <v>1w</v>
      </c>
      <c r="F13" s="114" t="str">
        <f t="shared" si="3"/>
        <v>3E</v>
      </c>
      <c r="G13" s="114" t="str">
        <f t="shared" si="4"/>
        <v>6E</v>
      </c>
      <c r="H13" s="249" t="str">
        <f t="shared" si="5"/>
        <v>EUR3E6E11Y_Quote</v>
      </c>
      <c r="I13" s="248"/>
      <c r="J13" s="247" t="str">
        <f t="shared" si="6"/>
        <v>EURAB3E11Y_Fwd1w_S3E6E_Quote</v>
      </c>
      <c r="K13" s="247"/>
      <c r="L13" s="256" t="str">
        <f>_xll.ohRangeRetrieveError(K13)</f>
        <v/>
      </c>
      <c r="M13" s="54"/>
    </row>
    <row r="14" spans="1:20" x14ac:dyDescent="0.2">
      <c r="A14" s="130"/>
      <c r="B14" s="85" t="s">
        <v>105</v>
      </c>
      <c r="C14" s="114" t="str">
        <f t="shared" si="0"/>
        <v>AB</v>
      </c>
      <c r="D14" s="114" t="str">
        <f t="shared" si="1"/>
        <v>3E</v>
      </c>
      <c r="E14" s="114" t="str">
        <f t="shared" si="2"/>
        <v>1w</v>
      </c>
      <c r="F14" s="114" t="str">
        <f t="shared" si="3"/>
        <v>3E</v>
      </c>
      <c r="G14" s="114" t="str">
        <f t="shared" si="4"/>
        <v>6E</v>
      </c>
      <c r="H14" s="249" t="str">
        <f t="shared" si="5"/>
        <v>EUR3E6E12Y_Quote</v>
      </c>
      <c r="I14" s="248"/>
      <c r="J14" s="247" t="str">
        <f t="shared" si="6"/>
        <v>EURAB3E12Y_Fwd1w_S3E6E_Quote</v>
      </c>
      <c r="K14" s="247"/>
      <c r="L14" s="256" t="str">
        <f>_xll.ohRangeRetrieveError(K14)</f>
        <v/>
      </c>
      <c r="M14" s="54"/>
    </row>
    <row r="15" spans="1:20" x14ac:dyDescent="0.2">
      <c r="A15" s="130"/>
      <c r="B15" s="85" t="s">
        <v>104</v>
      </c>
      <c r="C15" s="114" t="str">
        <f t="shared" si="0"/>
        <v>AB</v>
      </c>
      <c r="D15" s="114" t="str">
        <f t="shared" si="1"/>
        <v>3E</v>
      </c>
      <c r="E15" s="114" t="str">
        <f t="shared" si="2"/>
        <v>1w</v>
      </c>
      <c r="F15" s="114" t="str">
        <f t="shared" si="3"/>
        <v>3E</v>
      </c>
      <c r="G15" s="114" t="str">
        <f t="shared" si="4"/>
        <v>6E</v>
      </c>
      <c r="H15" s="249" t="str">
        <f t="shared" si="5"/>
        <v>EUR3E6E13Y_Quote</v>
      </c>
      <c r="I15" s="248"/>
      <c r="J15" s="247" t="str">
        <f t="shared" si="6"/>
        <v>EURAB3E13Y_Fwd1w_S3E6E_Quote</v>
      </c>
      <c r="K15" s="247"/>
      <c r="L15" s="256" t="str">
        <f>_xll.ohRangeRetrieveError(K15)</f>
        <v/>
      </c>
      <c r="M15" s="54"/>
    </row>
    <row r="16" spans="1:20" x14ac:dyDescent="0.2">
      <c r="A16" s="130"/>
      <c r="B16" s="85" t="s">
        <v>103</v>
      </c>
      <c r="C16" s="114" t="str">
        <f t="shared" si="0"/>
        <v>AB</v>
      </c>
      <c r="D16" s="114" t="str">
        <f t="shared" si="1"/>
        <v>3E</v>
      </c>
      <c r="E16" s="114" t="str">
        <f t="shared" si="2"/>
        <v>1w</v>
      </c>
      <c r="F16" s="114" t="str">
        <f t="shared" si="3"/>
        <v>3E</v>
      </c>
      <c r="G16" s="114" t="str">
        <f t="shared" si="4"/>
        <v>6E</v>
      </c>
      <c r="H16" s="249" t="str">
        <f t="shared" si="5"/>
        <v>EUR3E6E14Y_Quote</v>
      </c>
      <c r="I16" s="248"/>
      <c r="J16" s="247" t="str">
        <f t="shared" si="6"/>
        <v>EURAB3E14Y_Fwd1w_S3E6E_Quote</v>
      </c>
      <c r="K16" s="247"/>
      <c r="L16" s="256" t="str">
        <f>_xll.ohRangeRetrieveError(K16)</f>
        <v/>
      </c>
      <c r="M16" s="54"/>
    </row>
    <row r="17" spans="1:13" x14ac:dyDescent="0.2">
      <c r="A17" s="130"/>
      <c r="B17" s="85" t="s">
        <v>102</v>
      </c>
      <c r="C17" s="114" t="str">
        <f t="shared" si="0"/>
        <v>AB</v>
      </c>
      <c r="D17" s="114" t="str">
        <f t="shared" si="1"/>
        <v>3E</v>
      </c>
      <c r="E17" s="114" t="str">
        <f t="shared" si="2"/>
        <v>1w</v>
      </c>
      <c r="F17" s="114" t="str">
        <f t="shared" si="3"/>
        <v>3E</v>
      </c>
      <c r="G17" s="114" t="str">
        <f t="shared" si="4"/>
        <v>6E</v>
      </c>
      <c r="H17" s="249" t="str">
        <f t="shared" si="5"/>
        <v>EUR3E6E15Y_Quote</v>
      </c>
      <c r="I17" s="248"/>
      <c r="J17" s="247" t="str">
        <f t="shared" si="6"/>
        <v>EURAB3E15Y_Fwd1w_S3E6E_Quote</v>
      </c>
      <c r="K17" s="247"/>
      <c r="L17" s="256" t="str">
        <f>_xll.ohRangeRetrieveError(K17)</f>
        <v/>
      </c>
      <c r="M17" s="54"/>
    </row>
    <row r="18" spans="1:13" x14ac:dyDescent="0.2">
      <c r="A18" s="130"/>
      <c r="B18" s="85" t="s">
        <v>101</v>
      </c>
      <c r="C18" s="114" t="str">
        <f t="shared" si="0"/>
        <v>AB</v>
      </c>
      <c r="D18" s="114" t="str">
        <f t="shared" si="1"/>
        <v>3E</v>
      </c>
      <c r="E18" s="114" t="str">
        <f t="shared" si="2"/>
        <v>1w</v>
      </c>
      <c r="F18" s="114" t="str">
        <f t="shared" si="3"/>
        <v>3E</v>
      </c>
      <c r="G18" s="114" t="str">
        <f t="shared" si="4"/>
        <v>6E</v>
      </c>
      <c r="H18" s="249" t="str">
        <f t="shared" si="5"/>
        <v>EUR3E6E16Y_Quote</v>
      </c>
      <c r="I18" s="248"/>
      <c r="J18" s="247" t="str">
        <f t="shared" si="6"/>
        <v>EURAB3E16Y_Fwd1w_S3E6E_Quote</v>
      </c>
      <c r="K18" s="247"/>
      <c r="L18" s="256" t="str">
        <f>_xll.ohRangeRetrieveError(K18)</f>
        <v/>
      </c>
      <c r="M18" s="54"/>
    </row>
    <row r="19" spans="1:13" x14ac:dyDescent="0.2">
      <c r="A19" s="130"/>
      <c r="B19" s="85" t="s">
        <v>100</v>
      </c>
      <c r="C19" s="114" t="str">
        <f t="shared" si="0"/>
        <v>AB</v>
      </c>
      <c r="D19" s="114" t="str">
        <f t="shared" si="1"/>
        <v>3E</v>
      </c>
      <c r="E19" s="114" t="str">
        <f t="shared" si="2"/>
        <v>1w</v>
      </c>
      <c r="F19" s="114" t="str">
        <f t="shared" si="3"/>
        <v>3E</v>
      </c>
      <c r="G19" s="114" t="str">
        <f t="shared" si="4"/>
        <v>6E</v>
      </c>
      <c r="H19" s="249" t="str">
        <f t="shared" si="5"/>
        <v>EUR3E6E17Y_Quote</v>
      </c>
      <c r="I19" s="248"/>
      <c r="J19" s="247" t="str">
        <f t="shared" si="6"/>
        <v>EURAB3E17Y_Fwd1w_S3E6E_Quote</v>
      </c>
      <c r="K19" s="247"/>
      <c r="L19" s="256" t="str">
        <f>_xll.ohRangeRetrieveError(K19)</f>
        <v/>
      </c>
      <c r="M19" s="54"/>
    </row>
    <row r="20" spans="1:13" x14ac:dyDescent="0.2">
      <c r="A20" s="130"/>
      <c r="B20" s="85" t="s">
        <v>99</v>
      </c>
      <c r="C20" s="114" t="str">
        <f t="shared" si="0"/>
        <v>AB</v>
      </c>
      <c r="D20" s="114" t="str">
        <f t="shared" si="1"/>
        <v>3E</v>
      </c>
      <c r="E20" s="114" t="str">
        <f t="shared" si="2"/>
        <v>1w</v>
      </c>
      <c r="F20" s="114" t="str">
        <f t="shared" si="3"/>
        <v>3E</v>
      </c>
      <c r="G20" s="114" t="str">
        <f t="shared" si="4"/>
        <v>6E</v>
      </c>
      <c r="H20" s="249" t="str">
        <f t="shared" si="5"/>
        <v>EUR3E6E18Y_Quote</v>
      </c>
      <c r="I20" s="248"/>
      <c r="J20" s="247" t="str">
        <f t="shared" si="6"/>
        <v>EURAB3E18Y_Fwd1w_S3E6E_Quote</v>
      </c>
      <c r="K20" s="247"/>
      <c r="L20" s="256" t="str">
        <f>_xll.ohRangeRetrieveError(K20)</f>
        <v/>
      </c>
      <c r="M20" s="54"/>
    </row>
    <row r="21" spans="1:13" x14ac:dyDescent="0.2">
      <c r="A21" s="130"/>
      <c r="B21" s="85" t="s">
        <v>98</v>
      </c>
      <c r="C21" s="114" t="str">
        <f t="shared" si="0"/>
        <v>AB</v>
      </c>
      <c r="D21" s="114" t="str">
        <f t="shared" si="1"/>
        <v>3E</v>
      </c>
      <c r="E21" s="114" t="str">
        <f t="shared" si="2"/>
        <v>1w</v>
      </c>
      <c r="F21" s="114" t="str">
        <f t="shared" si="3"/>
        <v>3E</v>
      </c>
      <c r="G21" s="114" t="str">
        <f t="shared" si="4"/>
        <v>6E</v>
      </c>
      <c r="H21" s="249" t="str">
        <f t="shared" si="5"/>
        <v>EUR3E6E19Y_Quote</v>
      </c>
      <c r="I21" s="248"/>
      <c r="J21" s="247" t="str">
        <f t="shared" si="6"/>
        <v>EURAB3E19Y_Fwd1w_S3E6E_Quote</v>
      </c>
      <c r="K21" s="247"/>
      <c r="L21" s="256" t="str">
        <f>_xll.ohRangeRetrieveError(K21)</f>
        <v/>
      </c>
      <c r="M21" s="54"/>
    </row>
    <row r="22" spans="1:13" x14ac:dyDescent="0.2">
      <c r="A22" s="130"/>
      <c r="B22" s="85" t="s">
        <v>97</v>
      </c>
      <c r="C22" s="114" t="str">
        <f t="shared" si="0"/>
        <v>AB</v>
      </c>
      <c r="D22" s="114" t="str">
        <f t="shared" si="1"/>
        <v>3E</v>
      </c>
      <c r="E22" s="114" t="str">
        <f t="shared" si="2"/>
        <v>1w</v>
      </c>
      <c r="F22" s="114" t="str">
        <f t="shared" si="3"/>
        <v>3E</v>
      </c>
      <c r="G22" s="114" t="str">
        <f t="shared" si="4"/>
        <v>6E</v>
      </c>
      <c r="H22" s="249" t="str">
        <f t="shared" si="5"/>
        <v>EUR3E6E20Y_Quote</v>
      </c>
      <c r="I22" s="248"/>
      <c r="J22" s="247" t="str">
        <f t="shared" si="6"/>
        <v>EURAB3E20Y_Fwd1w_S3E6E_Quote</v>
      </c>
      <c r="K22" s="247"/>
      <c r="L22" s="256" t="str">
        <f>_xll.ohRangeRetrieveError(K22)</f>
        <v/>
      </c>
      <c r="M22" s="54"/>
    </row>
    <row r="23" spans="1:13" x14ac:dyDescent="0.2">
      <c r="A23" s="130"/>
      <c r="B23" s="85" t="s">
        <v>96</v>
      </c>
      <c r="C23" s="114" t="str">
        <f t="shared" si="0"/>
        <v>AB</v>
      </c>
      <c r="D23" s="114" t="str">
        <f t="shared" si="1"/>
        <v>3E</v>
      </c>
      <c r="E23" s="114" t="str">
        <f t="shared" si="2"/>
        <v>1w</v>
      </c>
      <c r="F23" s="114" t="str">
        <f t="shared" si="3"/>
        <v>3E</v>
      </c>
      <c r="G23" s="114" t="str">
        <f t="shared" si="4"/>
        <v>6E</v>
      </c>
      <c r="H23" s="249" t="str">
        <f t="shared" si="5"/>
        <v>EUR3E6E21Y_Quote</v>
      </c>
      <c r="I23" s="248"/>
      <c r="J23" s="247" t="str">
        <f t="shared" si="6"/>
        <v>EURAB3E21Y_Fwd1w_S3E6E_Quote</v>
      </c>
      <c r="K23" s="247"/>
      <c r="L23" s="256" t="str">
        <f>_xll.ohRangeRetrieveError(K23)</f>
        <v/>
      </c>
      <c r="M23" s="54"/>
    </row>
    <row r="24" spans="1:13" x14ac:dyDescent="0.2">
      <c r="A24" s="130"/>
      <c r="B24" s="85" t="s">
        <v>95</v>
      </c>
      <c r="C24" s="114" t="str">
        <f t="shared" si="0"/>
        <v>AB</v>
      </c>
      <c r="D24" s="114" t="str">
        <f t="shared" si="1"/>
        <v>3E</v>
      </c>
      <c r="E24" s="114" t="str">
        <f t="shared" si="2"/>
        <v>1w</v>
      </c>
      <c r="F24" s="114" t="str">
        <f t="shared" si="3"/>
        <v>3E</v>
      </c>
      <c r="G24" s="114" t="str">
        <f t="shared" si="4"/>
        <v>6E</v>
      </c>
      <c r="H24" s="249" t="str">
        <f t="shared" si="5"/>
        <v>EUR3E6E22Y_Quote</v>
      </c>
      <c r="I24" s="248"/>
      <c r="J24" s="247" t="str">
        <f t="shared" si="6"/>
        <v>EURAB3E22Y_Fwd1w_S3E6E_Quote</v>
      </c>
      <c r="K24" s="247"/>
      <c r="L24" s="256" t="str">
        <f>_xll.ohRangeRetrieveError(K24)</f>
        <v/>
      </c>
      <c r="M24" s="54"/>
    </row>
    <row r="25" spans="1:13" x14ac:dyDescent="0.2">
      <c r="A25" s="130"/>
      <c r="B25" s="85" t="s">
        <v>94</v>
      </c>
      <c r="C25" s="114" t="str">
        <f t="shared" si="0"/>
        <v>AB</v>
      </c>
      <c r="D25" s="114" t="str">
        <f t="shared" si="1"/>
        <v>3E</v>
      </c>
      <c r="E25" s="114" t="str">
        <f t="shared" si="2"/>
        <v>1w</v>
      </c>
      <c r="F25" s="114" t="str">
        <f t="shared" si="3"/>
        <v>3E</v>
      </c>
      <c r="G25" s="114" t="str">
        <f t="shared" si="4"/>
        <v>6E</v>
      </c>
      <c r="H25" s="249" t="str">
        <f t="shared" si="5"/>
        <v>EUR3E6E23Y_Quote</v>
      </c>
      <c r="I25" s="248"/>
      <c r="J25" s="247" t="str">
        <f t="shared" si="6"/>
        <v>EURAB3E23Y_Fwd1w_S3E6E_Quote</v>
      </c>
      <c r="K25" s="247"/>
      <c r="L25" s="256" t="str">
        <f>_xll.ohRangeRetrieveError(K25)</f>
        <v/>
      </c>
      <c r="M25" s="54"/>
    </row>
    <row r="26" spans="1:13" x14ac:dyDescent="0.2">
      <c r="A26" s="130"/>
      <c r="B26" s="85" t="s">
        <v>93</v>
      </c>
      <c r="C26" s="114" t="str">
        <f t="shared" si="0"/>
        <v>AB</v>
      </c>
      <c r="D26" s="114" t="str">
        <f t="shared" si="1"/>
        <v>3E</v>
      </c>
      <c r="E26" s="114" t="str">
        <f t="shared" si="2"/>
        <v>1w</v>
      </c>
      <c r="F26" s="114" t="str">
        <f t="shared" si="3"/>
        <v>3E</v>
      </c>
      <c r="G26" s="114" t="str">
        <f t="shared" si="4"/>
        <v>6E</v>
      </c>
      <c r="H26" s="249" t="str">
        <f t="shared" si="5"/>
        <v>EUR3E6E24Y_Quote</v>
      </c>
      <c r="I26" s="248"/>
      <c r="J26" s="247" t="str">
        <f t="shared" si="6"/>
        <v>EURAB3E24Y_Fwd1w_S3E6E_Quote</v>
      </c>
      <c r="K26" s="247"/>
      <c r="L26" s="256" t="str">
        <f>_xll.ohRangeRetrieveError(K26)</f>
        <v/>
      </c>
      <c r="M26" s="54"/>
    </row>
    <row r="27" spans="1:13" x14ac:dyDescent="0.2">
      <c r="A27" s="130"/>
      <c r="B27" s="85" t="s">
        <v>92</v>
      </c>
      <c r="C27" s="114" t="str">
        <f t="shared" si="0"/>
        <v>AB</v>
      </c>
      <c r="D27" s="114" t="str">
        <f t="shared" si="1"/>
        <v>3E</v>
      </c>
      <c r="E27" s="114" t="str">
        <f t="shared" si="2"/>
        <v>1w</v>
      </c>
      <c r="F27" s="114" t="str">
        <f t="shared" si="3"/>
        <v>3E</v>
      </c>
      <c r="G27" s="114" t="str">
        <f t="shared" si="4"/>
        <v>6E</v>
      </c>
      <c r="H27" s="249" t="str">
        <f t="shared" si="5"/>
        <v>EUR3E6E25Y_Quote</v>
      </c>
      <c r="I27" s="248"/>
      <c r="J27" s="247" t="str">
        <f t="shared" si="6"/>
        <v>EURAB3E25Y_Fwd1w_S3E6E_Quote</v>
      </c>
      <c r="K27" s="247"/>
      <c r="L27" s="256" t="str">
        <f>_xll.ohRangeRetrieveError(K27)</f>
        <v/>
      </c>
      <c r="M27" s="54"/>
    </row>
    <row r="28" spans="1:13" x14ac:dyDescent="0.2">
      <c r="A28" s="130"/>
      <c r="B28" s="85" t="s">
        <v>91</v>
      </c>
      <c r="C28" s="114" t="str">
        <f t="shared" si="0"/>
        <v>AB</v>
      </c>
      <c r="D28" s="114" t="str">
        <f t="shared" si="1"/>
        <v>3E</v>
      </c>
      <c r="E28" s="114" t="str">
        <f t="shared" si="2"/>
        <v>1w</v>
      </c>
      <c r="F28" s="114" t="str">
        <f t="shared" si="3"/>
        <v>3E</v>
      </c>
      <c r="G28" s="114" t="str">
        <f t="shared" si="4"/>
        <v>6E</v>
      </c>
      <c r="H28" s="249" t="str">
        <f t="shared" si="5"/>
        <v>EUR3E6E26Y_Quote</v>
      </c>
      <c r="I28" s="248"/>
      <c r="J28" s="247" t="str">
        <f t="shared" si="6"/>
        <v>EURAB3E26Y_Fwd1w_S3E6E_Quote</v>
      </c>
      <c r="K28" s="247"/>
      <c r="L28" s="256" t="str">
        <f>_xll.ohRangeRetrieveError(K28)</f>
        <v/>
      </c>
      <c r="M28" s="54"/>
    </row>
    <row r="29" spans="1:13" x14ac:dyDescent="0.2">
      <c r="A29" s="130"/>
      <c r="B29" s="85" t="s">
        <v>90</v>
      </c>
      <c r="C29" s="114" t="str">
        <f t="shared" si="0"/>
        <v>AB</v>
      </c>
      <c r="D29" s="114" t="str">
        <f t="shared" si="1"/>
        <v>3E</v>
      </c>
      <c r="E29" s="114" t="str">
        <f t="shared" si="2"/>
        <v>1w</v>
      </c>
      <c r="F29" s="114" t="str">
        <f t="shared" si="3"/>
        <v>3E</v>
      </c>
      <c r="G29" s="114" t="str">
        <f t="shared" si="4"/>
        <v>6E</v>
      </c>
      <c r="H29" s="249" t="str">
        <f t="shared" si="5"/>
        <v>EUR3E6E27Y_Quote</v>
      </c>
      <c r="I29" s="248"/>
      <c r="J29" s="247" t="str">
        <f t="shared" si="6"/>
        <v>EURAB3E27Y_Fwd1w_S3E6E_Quote</v>
      </c>
      <c r="K29" s="247"/>
      <c r="L29" s="256" t="str">
        <f>_xll.ohRangeRetrieveError(K29)</f>
        <v/>
      </c>
      <c r="M29" s="54"/>
    </row>
    <row r="30" spans="1:13" x14ac:dyDescent="0.2">
      <c r="A30" s="130"/>
      <c r="B30" s="85" t="s">
        <v>89</v>
      </c>
      <c r="C30" s="114" t="str">
        <f t="shared" si="0"/>
        <v>AB</v>
      </c>
      <c r="D30" s="114" t="str">
        <f t="shared" si="1"/>
        <v>3E</v>
      </c>
      <c r="E30" s="114" t="str">
        <f t="shared" si="2"/>
        <v>1w</v>
      </c>
      <c r="F30" s="114" t="str">
        <f t="shared" si="3"/>
        <v>3E</v>
      </c>
      <c r="G30" s="114" t="str">
        <f t="shared" si="4"/>
        <v>6E</v>
      </c>
      <c r="H30" s="249" t="str">
        <f t="shared" si="5"/>
        <v>EUR3E6E28Y_Quote</v>
      </c>
      <c r="I30" s="248"/>
      <c r="J30" s="247" t="str">
        <f t="shared" si="6"/>
        <v>EURAB3E28Y_Fwd1w_S3E6E_Quote</v>
      </c>
      <c r="K30" s="247"/>
      <c r="L30" s="256" t="str">
        <f>_xll.ohRangeRetrieveError(K30)</f>
        <v/>
      </c>
      <c r="M30" s="54"/>
    </row>
    <row r="31" spans="1:13" x14ac:dyDescent="0.2">
      <c r="A31" s="130"/>
      <c r="B31" s="85" t="s">
        <v>88</v>
      </c>
      <c r="C31" s="114" t="str">
        <f t="shared" si="0"/>
        <v>AB</v>
      </c>
      <c r="D31" s="114" t="str">
        <f t="shared" si="1"/>
        <v>3E</v>
      </c>
      <c r="E31" s="114" t="str">
        <f t="shared" si="2"/>
        <v>1w</v>
      </c>
      <c r="F31" s="114" t="str">
        <f t="shared" si="3"/>
        <v>3E</v>
      </c>
      <c r="G31" s="114" t="str">
        <f t="shared" si="4"/>
        <v>6E</v>
      </c>
      <c r="H31" s="249" t="str">
        <f t="shared" si="5"/>
        <v>EUR3E6E29Y_Quote</v>
      </c>
      <c r="I31" s="248"/>
      <c r="J31" s="247" t="str">
        <f t="shared" si="6"/>
        <v>EURAB3E29Y_Fwd1w_S3E6E_Quote</v>
      </c>
      <c r="K31" s="247"/>
      <c r="L31" s="256" t="str">
        <f>_xll.ohRangeRetrieveError(K31)</f>
        <v/>
      </c>
      <c r="M31" s="54"/>
    </row>
    <row r="32" spans="1:13" x14ac:dyDescent="0.2">
      <c r="A32" s="130"/>
      <c r="B32" s="85" t="s">
        <v>87</v>
      </c>
      <c r="C32" s="114" t="str">
        <f t="shared" si="0"/>
        <v>AB</v>
      </c>
      <c r="D32" s="114" t="str">
        <f t="shared" si="1"/>
        <v>3E</v>
      </c>
      <c r="E32" s="114" t="str">
        <f t="shared" si="2"/>
        <v>1w</v>
      </c>
      <c r="F32" s="114" t="str">
        <f t="shared" si="3"/>
        <v>3E</v>
      </c>
      <c r="G32" s="114" t="str">
        <f t="shared" si="4"/>
        <v>6E</v>
      </c>
      <c r="H32" s="249" t="str">
        <f t="shared" si="5"/>
        <v>EUR3E6E30Y_Quote</v>
      </c>
      <c r="I32" s="248"/>
      <c r="J32" s="247" t="str">
        <f t="shared" si="6"/>
        <v>EURAB3E30Y_Fwd1w_S3E6E_Quote</v>
      </c>
      <c r="K32" s="247"/>
      <c r="L32" s="256" t="str">
        <f>_xll.ohRangeRetrieveError(K32)</f>
        <v/>
      </c>
      <c r="M32" s="54"/>
    </row>
    <row r="33" spans="1:13" x14ac:dyDescent="0.2">
      <c r="A33" s="130"/>
      <c r="B33" s="85" t="s">
        <v>82</v>
      </c>
      <c r="C33" s="114" t="str">
        <f t="shared" si="0"/>
        <v>AB</v>
      </c>
      <c r="D33" s="114" t="str">
        <f t="shared" si="1"/>
        <v>3E</v>
      </c>
      <c r="E33" s="114" t="str">
        <f t="shared" si="2"/>
        <v>1w</v>
      </c>
      <c r="F33" s="114" t="str">
        <f t="shared" si="3"/>
        <v>3E</v>
      </c>
      <c r="G33" s="114" t="str">
        <f t="shared" si="4"/>
        <v>6E</v>
      </c>
      <c r="H33" s="249" t="str">
        <f t="shared" si="5"/>
        <v>EUR3E6E35Y_Quote</v>
      </c>
      <c r="I33" s="248"/>
      <c r="J33" s="247" t="str">
        <f t="shared" si="6"/>
        <v>EURAB3E35Y_Fwd1w_S3E6E_Quote</v>
      </c>
      <c r="K33" s="247"/>
      <c r="L33" s="256" t="str">
        <f>_xll.ohRangeRetrieveError(K33)</f>
        <v/>
      </c>
      <c r="M33" s="54"/>
    </row>
    <row r="34" spans="1:13" x14ac:dyDescent="0.2">
      <c r="A34" s="130"/>
      <c r="B34" s="85" t="s">
        <v>77</v>
      </c>
      <c r="C34" s="114" t="str">
        <f t="shared" si="0"/>
        <v>AB</v>
      </c>
      <c r="D34" s="114" t="str">
        <f t="shared" si="1"/>
        <v>3E</v>
      </c>
      <c r="E34" s="114" t="str">
        <f t="shared" si="2"/>
        <v>1w</v>
      </c>
      <c r="F34" s="114" t="str">
        <f t="shared" si="3"/>
        <v>3E</v>
      </c>
      <c r="G34" s="114" t="str">
        <f t="shared" si="4"/>
        <v>6E</v>
      </c>
      <c r="H34" s="249" t="str">
        <f t="shared" si="5"/>
        <v>EUR3E6E40Y_Quote</v>
      </c>
      <c r="I34" s="248"/>
      <c r="J34" s="247" t="str">
        <f t="shared" si="6"/>
        <v>EURAB3E40Y_Fwd1w_S3E6E_Quote</v>
      </c>
      <c r="K34" s="247"/>
      <c r="L34" s="256" t="str">
        <f>_xll.ohRangeRetrieveError(K34)</f>
        <v/>
      </c>
      <c r="M34" s="54"/>
    </row>
    <row r="35" spans="1:13" x14ac:dyDescent="0.2">
      <c r="A35" s="130"/>
      <c r="B35" s="85" t="s">
        <v>67</v>
      </c>
      <c r="C35" s="114" t="str">
        <f t="shared" si="0"/>
        <v>AB</v>
      </c>
      <c r="D35" s="114" t="str">
        <f t="shared" si="1"/>
        <v>3E</v>
      </c>
      <c r="E35" s="114" t="str">
        <f t="shared" si="2"/>
        <v>1w</v>
      </c>
      <c r="F35" s="114" t="str">
        <f t="shared" si="3"/>
        <v>3E</v>
      </c>
      <c r="G35" s="114" t="str">
        <f t="shared" si="4"/>
        <v>6E</v>
      </c>
      <c r="H35" s="249" t="str">
        <f t="shared" si="5"/>
        <v>EUR3E6E50Y_Quote</v>
      </c>
      <c r="I35" s="248"/>
      <c r="J35" s="247" t="str">
        <f t="shared" si="6"/>
        <v>EURAB3E50Y_Fwd1w_S3E6E_Quote</v>
      </c>
      <c r="K35" s="247"/>
      <c r="L35" s="256" t="str">
        <f>_xll.ohRangeRetrieveError(K35)</f>
        <v/>
      </c>
      <c r="M35" s="54"/>
    </row>
    <row r="36" spans="1:13" x14ac:dyDescent="0.2">
      <c r="A36" s="130"/>
      <c r="B36" s="85" t="s">
        <v>57</v>
      </c>
      <c r="C36" s="114" t="str">
        <f t="shared" si="0"/>
        <v>AB</v>
      </c>
      <c r="D36" s="114" t="str">
        <f t="shared" si="1"/>
        <v>3E</v>
      </c>
      <c r="E36" s="114" t="str">
        <f t="shared" si="2"/>
        <v>1w</v>
      </c>
      <c r="F36" s="114" t="str">
        <f t="shared" si="3"/>
        <v>3E</v>
      </c>
      <c r="G36" s="114" t="str">
        <f t="shared" si="4"/>
        <v>6E</v>
      </c>
      <c r="H36" s="249" t="str">
        <f t="shared" si="5"/>
        <v>EUR3E6E60Y_Quote</v>
      </c>
      <c r="I36" s="248"/>
      <c r="J36" s="247" t="str">
        <f t="shared" si="6"/>
        <v>EURAB3E60Y_Fwd1w_S3E6E_Quote</v>
      </c>
      <c r="K36" s="247"/>
      <c r="L36" s="256" t="str">
        <f>_xll.ohRangeRetrieveError(K36)</f>
        <v/>
      </c>
      <c r="M36" s="54"/>
    </row>
    <row r="37" spans="1:13" ht="12" thickBot="1" x14ac:dyDescent="0.25">
      <c r="A37" s="53"/>
      <c r="B37" s="52"/>
      <c r="C37" s="52"/>
      <c r="D37" s="52"/>
      <c r="E37" s="52"/>
      <c r="F37" s="52"/>
      <c r="G37" s="52"/>
      <c r="H37" s="52"/>
      <c r="I37" s="52"/>
      <c r="J37" s="52"/>
      <c r="K37" s="124"/>
      <c r="L37" s="124"/>
      <c r="M37" s="51"/>
    </row>
  </sheetData>
  <pageMargins left="0.75" right="0.75" top="1" bottom="1" header="0.5" footer="0.5"/>
  <pageSetup paperSize="9" orientation="portrait" r:id="rId1"/>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T37"/>
  <sheetViews>
    <sheetView workbookViewId="0"/>
  </sheetViews>
  <sheetFormatPr defaultRowHeight="11.25" x14ac:dyDescent="0.2"/>
  <cols>
    <col min="1" max="1" width="2.85546875" style="74" customWidth="1"/>
    <col min="2" max="2" width="3.85546875" style="74" bestFit="1" customWidth="1"/>
    <col min="3" max="3" width="3.140625" style="74" bestFit="1" customWidth="1"/>
    <col min="4" max="4" width="2.7109375" style="74" bestFit="1" customWidth="1"/>
    <col min="5" max="5" width="4.7109375" style="74" bestFit="1" customWidth="1"/>
    <col min="6" max="6" width="2.7109375" style="74" bestFit="1" customWidth="1"/>
    <col min="7" max="7" width="3.5703125" style="74" bestFit="1" customWidth="1"/>
    <col min="8" max="8" width="16.140625" style="74" bestFit="1" customWidth="1"/>
    <col min="9" max="9" width="19.140625" style="74" bestFit="1" customWidth="1"/>
    <col min="10" max="10" width="31.85546875" style="74" bestFit="1" customWidth="1"/>
    <col min="11" max="11" width="33" style="74" bestFit="1" customWidth="1"/>
    <col min="12" max="12" width="21.140625" style="74" customWidth="1"/>
    <col min="13" max="14" width="2.85546875" style="74" customWidth="1"/>
    <col min="15" max="15" width="4" style="74" bestFit="1" customWidth="1"/>
    <col min="16" max="16" width="3.140625" style="74" bestFit="1" customWidth="1"/>
    <col min="17" max="17" width="2.7109375" style="74" bestFit="1" customWidth="1"/>
    <col min="18" max="18" width="3.28515625" style="74" bestFit="1" customWidth="1"/>
    <col min="19" max="20" width="3.5703125" style="74" bestFit="1" customWidth="1"/>
    <col min="21" max="16384" width="9.140625" style="74"/>
  </cols>
  <sheetData>
    <row r="1" spans="1:20" ht="12" thickBot="1" x14ac:dyDescent="0.25">
      <c r="A1" s="224" t="s">
        <v>216</v>
      </c>
      <c r="B1" s="207"/>
      <c r="C1" s="207"/>
      <c r="D1" s="207"/>
      <c r="E1" s="207"/>
      <c r="F1" s="207"/>
      <c r="G1" s="207"/>
      <c r="H1" s="207"/>
      <c r="I1" s="207"/>
      <c r="J1" s="207"/>
      <c r="K1" s="207"/>
      <c r="L1" s="162"/>
      <c r="M1" s="204"/>
    </row>
    <row r="2" spans="1:20" ht="22.5" x14ac:dyDescent="0.2">
      <c r="A2" s="130"/>
      <c r="B2" s="99"/>
      <c r="C2" s="99"/>
      <c r="D2" s="99"/>
      <c r="E2" s="99" t="s">
        <v>215</v>
      </c>
      <c r="F2" s="99"/>
      <c r="G2" s="99"/>
      <c r="H2" s="99" t="s">
        <v>214</v>
      </c>
      <c r="I2" s="99" t="s">
        <v>213</v>
      </c>
      <c r="J2" s="253" t="str">
        <f>Currency&amp;"_020_Sw"&amp;$C$3&amp;$D$3&amp;"_"&amp;"Fwd"&amp;$E$3&amp;IF(H3=0,,"_Spr"&amp;$F3&amp;$G3)&amp;".xml"</f>
        <v>EUR_020_SwAB6E_Fwd1w_Spr6E12E.xml</v>
      </c>
      <c r="K2" s="117">
        <f ca="1">IF(Serialize,_xll.ohObjectSave(K3:K36,SerializationPath&amp;J2,FileOverwrite,Serialize),"---")</f>
        <v>33</v>
      </c>
      <c r="L2" s="81" t="str">
        <f ca="1">_xll.ohRangeRetrieveError(K2)</f>
        <v/>
      </c>
      <c r="M2" s="54"/>
      <c r="O2" s="216"/>
      <c r="P2" s="215"/>
      <c r="Q2" s="215"/>
      <c r="R2" s="215"/>
      <c r="S2" s="215"/>
      <c r="T2" s="214"/>
    </row>
    <row r="3" spans="1:20" x14ac:dyDescent="0.2">
      <c r="A3" s="130"/>
      <c r="B3" s="85" t="s">
        <v>34</v>
      </c>
      <c r="C3" s="114" t="str">
        <f t="shared" ref="C3:C36" si="0">VLOOKUP(Currency,$O$3:$T$7,2)</f>
        <v>AB</v>
      </c>
      <c r="D3" s="114" t="str">
        <f t="shared" ref="D3:D36" si="1">VLOOKUP(Currency,$O$3:$T$7,3)</f>
        <v>6E</v>
      </c>
      <c r="E3" s="114" t="str">
        <f t="shared" ref="E3:E36" si="2">VLOOKUP(Currency,$O$3:$T$7,4)</f>
        <v>1w</v>
      </c>
      <c r="F3" s="114" t="str">
        <f t="shared" ref="F3:F36" si="3">VLOOKUP(Currency,$O$3:$T$7,5)</f>
        <v>6E</v>
      </c>
      <c r="G3" s="114" t="str">
        <f t="shared" ref="G3:G36" si="4">VLOOKUP(Currency,$O$3:$T$7,6)</f>
        <v>12E</v>
      </c>
      <c r="H3" s="249" t="str">
        <f t="shared" ref="H3:H36" si="5">IF(F3=0,0,Currency&amp;$F3&amp;$G3&amp;$B3&amp;QuoteSuffix)</f>
        <v>EUR6E12E1Y_Quote</v>
      </c>
      <c r="I3" s="251" t="str">
        <f t="shared" ref="I3:I36" si="6">PROPER(Currency)&amp;FamilyName&amp;"Swap"&amp;FixingType&amp;$B3</f>
        <v>EuriborSwapIsdaFixA1Y</v>
      </c>
      <c r="J3" s="247" t="str">
        <f t="shared" ref="J3:J36" si="7">Currency&amp;$C3&amp;$D3&amp;$B3&amp;"_"&amp;"Fwd"&amp;E3&amp;IF(H3=0,,"_S"&amp;$F3&amp;$G3)&amp;QuoteSuffix</f>
        <v>EURAB6E1Y_Fwd1w_S6E12E_Quote</v>
      </c>
      <c r="K3" s="247"/>
      <c r="L3" s="256" t="str">
        <f>_xll.ohRangeRetrieveError(K3)</f>
        <v/>
      </c>
      <c r="M3" s="54"/>
      <c r="O3" s="92" t="s">
        <v>137</v>
      </c>
      <c r="P3" s="91" t="s">
        <v>202</v>
      </c>
      <c r="Q3" s="91" t="s">
        <v>132</v>
      </c>
      <c r="R3" s="91" t="s">
        <v>212</v>
      </c>
      <c r="S3" s="91" t="s">
        <v>132</v>
      </c>
      <c r="T3" s="90" t="s">
        <v>143</v>
      </c>
    </row>
    <row r="4" spans="1:20" x14ac:dyDescent="0.2">
      <c r="A4" s="130"/>
      <c r="B4" s="85" t="s">
        <v>115</v>
      </c>
      <c r="C4" s="114" t="str">
        <f t="shared" si="0"/>
        <v>AB</v>
      </c>
      <c r="D4" s="114" t="str">
        <f t="shared" si="1"/>
        <v>6E</v>
      </c>
      <c r="E4" s="114" t="str">
        <f t="shared" si="2"/>
        <v>1w</v>
      </c>
      <c r="F4" s="114" t="str">
        <f t="shared" si="3"/>
        <v>6E</v>
      </c>
      <c r="G4" s="114" t="str">
        <f t="shared" si="4"/>
        <v>12E</v>
      </c>
      <c r="H4" s="249" t="str">
        <f t="shared" si="5"/>
        <v>EUR6E12E2Y_Quote</v>
      </c>
      <c r="I4" s="248" t="str">
        <f t="shared" si="6"/>
        <v>EuriborSwapIsdaFixA2Y</v>
      </c>
      <c r="J4" s="247" t="str">
        <f t="shared" si="7"/>
        <v>EURAB6E2Y_Fwd1w_S6E12E_Quote</v>
      </c>
      <c r="K4" s="247" t="str">
        <f>_xll.qlForwardSwapQuote(J4,I4,H4,E4,Permanent,Trigger,ObjectOverwrite)</f>
        <v>EURAB6E2Y_Fwd1w_S6E12E_Quote#0001</v>
      </c>
      <c r="L4" s="256" t="str">
        <f>_xll.ohRangeRetrieveError(K4)</f>
        <v/>
      </c>
      <c r="M4" s="54"/>
      <c r="O4" s="92" t="s">
        <v>123</v>
      </c>
      <c r="P4" s="91" t="s">
        <v>202</v>
      </c>
      <c r="Q4" s="91" t="s">
        <v>135</v>
      </c>
      <c r="R4" s="91" t="s">
        <v>212</v>
      </c>
      <c r="S4" s="91" t="s">
        <v>135</v>
      </c>
      <c r="T4" s="90" t="s">
        <v>144</v>
      </c>
    </row>
    <row r="5" spans="1:20" x14ac:dyDescent="0.2">
      <c r="A5" s="130"/>
      <c r="B5" s="85" t="s">
        <v>114</v>
      </c>
      <c r="C5" s="114" t="str">
        <f t="shared" si="0"/>
        <v>AB</v>
      </c>
      <c r="D5" s="114" t="str">
        <f t="shared" si="1"/>
        <v>6E</v>
      </c>
      <c r="E5" s="114" t="str">
        <f t="shared" si="2"/>
        <v>1w</v>
      </c>
      <c r="F5" s="114" t="str">
        <f t="shared" si="3"/>
        <v>6E</v>
      </c>
      <c r="G5" s="114" t="str">
        <f t="shared" si="4"/>
        <v>12E</v>
      </c>
      <c r="H5" s="249" t="str">
        <f t="shared" si="5"/>
        <v>EUR6E12E3Y_Quote</v>
      </c>
      <c r="I5" s="248" t="str">
        <f t="shared" si="6"/>
        <v>EuriborSwapIsdaFixA3Y</v>
      </c>
      <c r="J5" s="247" t="str">
        <f t="shared" si="7"/>
        <v>EURAB6E3Y_Fwd1w_S6E12E_Quote</v>
      </c>
      <c r="K5" s="247" t="str">
        <f>_xll.qlForwardSwapQuote(J5,I5,H5,E5,Permanent,Trigger,ObjectOverwrite)</f>
        <v>EURAB6E3Y_Fwd1w_S6E12E_Quote#0001</v>
      </c>
      <c r="L5" s="256" t="str">
        <f>_xll.ohRangeRetrieveError(K5)</f>
        <v/>
      </c>
      <c r="M5" s="54"/>
      <c r="O5" s="92" t="s">
        <v>134</v>
      </c>
      <c r="P5" s="91" t="s">
        <v>201</v>
      </c>
      <c r="Q5" s="91" t="s">
        <v>132</v>
      </c>
      <c r="R5" s="91" t="s">
        <v>212</v>
      </c>
      <c r="S5" s="91" t="s">
        <v>132</v>
      </c>
      <c r="T5" s="90" t="s">
        <v>143</v>
      </c>
    </row>
    <row r="6" spans="1:20" x14ac:dyDescent="0.2">
      <c r="A6" s="130"/>
      <c r="B6" s="85" t="s">
        <v>113</v>
      </c>
      <c r="C6" s="114" t="str">
        <f t="shared" si="0"/>
        <v>AB</v>
      </c>
      <c r="D6" s="114" t="str">
        <f t="shared" si="1"/>
        <v>6E</v>
      </c>
      <c r="E6" s="114" t="str">
        <f t="shared" si="2"/>
        <v>1w</v>
      </c>
      <c r="F6" s="114" t="str">
        <f t="shared" si="3"/>
        <v>6E</v>
      </c>
      <c r="G6" s="114" t="str">
        <f t="shared" si="4"/>
        <v>12E</v>
      </c>
      <c r="H6" s="249" t="str">
        <f t="shared" si="5"/>
        <v>EUR6E12E4Y_Quote</v>
      </c>
      <c r="I6" s="248" t="str">
        <f t="shared" si="6"/>
        <v>EuriborSwapIsdaFixA4Y</v>
      </c>
      <c r="J6" s="247" t="str">
        <f t="shared" si="7"/>
        <v>EURAB6E4Y_Fwd1w_S6E12E_Quote</v>
      </c>
      <c r="K6" s="247" t="str">
        <f>_xll.qlForwardSwapQuote(J6,I6,H6,E6,Permanent,Trigger,ObjectOverwrite)</f>
        <v>EURAB6E4Y_Fwd1w_S6E12E_Quote#0001</v>
      </c>
      <c r="L6" s="256" t="str">
        <f>_xll.ohRangeRetrieveError(K6)</f>
        <v/>
      </c>
      <c r="M6" s="54"/>
      <c r="O6" s="92" t="s">
        <v>133</v>
      </c>
      <c r="P6" s="91" t="s">
        <v>201</v>
      </c>
      <c r="Q6" s="91" t="s">
        <v>132</v>
      </c>
      <c r="R6" s="91" t="s">
        <v>212</v>
      </c>
      <c r="S6" s="91" t="s">
        <v>132</v>
      </c>
      <c r="T6" s="90" t="s">
        <v>143</v>
      </c>
    </row>
    <row r="7" spans="1:20" ht="12" thickBot="1" x14ac:dyDescent="0.25">
      <c r="A7" s="130"/>
      <c r="B7" s="85" t="s">
        <v>112</v>
      </c>
      <c r="C7" s="114" t="str">
        <f t="shared" si="0"/>
        <v>AB</v>
      </c>
      <c r="D7" s="114" t="str">
        <f t="shared" si="1"/>
        <v>6E</v>
      </c>
      <c r="E7" s="114" t="str">
        <f t="shared" si="2"/>
        <v>1w</v>
      </c>
      <c r="F7" s="114" t="str">
        <f t="shared" si="3"/>
        <v>6E</v>
      </c>
      <c r="G7" s="114" t="str">
        <f t="shared" si="4"/>
        <v>12E</v>
      </c>
      <c r="H7" s="249" t="str">
        <f t="shared" si="5"/>
        <v>EUR6E12E5Y_Quote</v>
      </c>
      <c r="I7" s="248" t="str">
        <f t="shared" si="6"/>
        <v>EuriborSwapIsdaFixA5Y</v>
      </c>
      <c r="J7" s="247" t="str">
        <f t="shared" si="7"/>
        <v>EURAB6E5Y_Fwd1w_S6E12E_Quote</v>
      </c>
      <c r="K7" s="247" t="str">
        <f>_xll.qlForwardSwapQuote(J7,I7,H7,E7,Permanent,Trigger,ObjectOverwrite)</f>
        <v>EURAB6E5Y_Fwd1w_S6E12E_Quote#0001</v>
      </c>
      <c r="L7" s="256" t="str">
        <f>_xll.ohRangeRetrieveError(K7)</f>
        <v/>
      </c>
      <c r="M7" s="54"/>
      <c r="O7" s="89" t="s">
        <v>131</v>
      </c>
      <c r="P7" s="88" t="s">
        <v>200</v>
      </c>
      <c r="Q7" s="88" t="s">
        <v>130</v>
      </c>
      <c r="R7" s="88" t="s">
        <v>212</v>
      </c>
      <c r="S7" s="88" t="s">
        <v>143</v>
      </c>
      <c r="T7" s="87" t="s">
        <v>130</v>
      </c>
    </row>
    <row r="8" spans="1:20" x14ac:dyDescent="0.2">
      <c r="A8" s="130"/>
      <c r="B8" s="85" t="s">
        <v>111</v>
      </c>
      <c r="C8" s="114" t="str">
        <f t="shared" si="0"/>
        <v>AB</v>
      </c>
      <c r="D8" s="114" t="str">
        <f t="shared" si="1"/>
        <v>6E</v>
      </c>
      <c r="E8" s="114" t="str">
        <f t="shared" si="2"/>
        <v>1w</v>
      </c>
      <c r="F8" s="114" t="str">
        <f t="shared" si="3"/>
        <v>6E</v>
      </c>
      <c r="G8" s="114" t="str">
        <f t="shared" si="4"/>
        <v>12E</v>
      </c>
      <c r="H8" s="249" t="str">
        <f t="shared" si="5"/>
        <v>EUR6E12E6Y_Quote</v>
      </c>
      <c r="I8" s="248" t="str">
        <f t="shared" si="6"/>
        <v>EuriborSwapIsdaFixA6Y</v>
      </c>
      <c r="J8" s="247" t="str">
        <f t="shared" si="7"/>
        <v>EURAB6E6Y_Fwd1w_S6E12E_Quote</v>
      </c>
      <c r="K8" s="247" t="str">
        <f>_xll.qlForwardSwapQuote(J8,I8,H8,E8,Permanent,Trigger,ObjectOverwrite)</f>
        <v>EURAB6E6Y_Fwd1w_S6E12E_Quote#0001</v>
      </c>
      <c r="L8" s="256" t="str">
        <f>_xll.ohRangeRetrieveError(K8)</f>
        <v/>
      </c>
      <c r="M8" s="54"/>
    </row>
    <row r="9" spans="1:20" x14ac:dyDescent="0.2">
      <c r="A9" s="130"/>
      <c r="B9" s="85" t="s">
        <v>110</v>
      </c>
      <c r="C9" s="114" t="str">
        <f t="shared" si="0"/>
        <v>AB</v>
      </c>
      <c r="D9" s="114" t="str">
        <f t="shared" si="1"/>
        <v>6E</v>
      </c>
      <c r="E9" s="114" t="str">
        <f t="shared" si="2"/>
        <v>1w</v>
      </c>
      <c r="F9" s="114" t="str">
        <f t="shared" si="3"/>
        <v>6E</v>
      </c>
      <c r="G9" s="114" t="str">
        <f t="shared" si="4"/>
        <v>12E</v>
      </c>
      <c r="H9" s="249" t="str">
        <f t="shared" si="5"/>
        <v>EUR6E12E7Y_Quote</v>
      </c>
      <c r="I9" s="248" t="str">
        <f t="shared" si="6"/>
        <v>EuriborSwapIsdaFixA7Y</v>
      </c>
      <c r="J9" s="247" t="str">
        <f t="shared" si="7"/>
        <v>EURAB6E7Y_Fwd1w_S6E12E_Quote</v>
      </c>
      <c r="K9" s="247" t="str">
        <f>_xll.qlForwardSwapQuote(J9,I9,H9,E9,Permanent,Trigger,ObjectOverwrite)</f>
        <v>EURAB6E7Y_Fwd1w_S6E12E_Quote#0001</v>
      </c>
      <c r="L9" s="256" t="str">
        <f>_xll.ohRangeRetrieveError(K9)</f>
        <v/>
      </c>
      <c r="M9" s="54"/>
    </row>
    <row r="10" spans="1:20" x14ac:dyDescent="0.2">
      <c r="A10" s="130"/>
      <c r="B10" s="85" t="s">
        <v>109</v>
      </c>
      <c r="C10" s="114" t="str">
        <f t="shared" si="0"/>
        <v>AB</v>
      </c>
      <c r="D10" s="114" t="str">
        <f t="shared" si="1"/>
        <v>6E</v>
      </c>
      <c r="E10" s="114" t="str">
        <f t="shared" si="2"/>
        <v>1w</v>
      </c>
      <c r="F10" s="114" t="str">
        <f t="shared" si="3"/>
        <v>6E</v>
      </c>
      <c r="G10" s="114" t="str">
        <f t="shared" si="4"/>
        <v>12E</v>
      </c>
      <c r="H10" s="249" t="str">
        <f t="shared" si="5"/>
        <v>EUR6E12E8Y_Quote</v>
      </c>
      <c r="I10" s="248" t="str">
        <f t="shared" si="6"/>
        <v>EuriborSwapIsdaFixA8Y</v>
      </c>
      <c r="J10" s="247" t="str">
        <f t="shared" si="7"/>
        <v>EURAB6E8Y_Fwd1w_S6E12E_Quote</v>
      </c>
      <c r="K10" s="247" t="str">
        <f>_xll.qlForwardSwapQuote(J10,I10,H10,E10,Permanent,Trigger,ObjectOverwrite)</f>
        <v>EURAB6E8Y_Fwd1w_S6E12E_Quote#0001</v>
      </c>
      <c r="L10" s="256" t="str">
        <f>_xll.ohRangeRetrieveError(K10)</f>
        <v/>
      </c>
      <c r="M10" s="54"/>
    </row>
    <row r="11" spans="1:20" x14ac:dyDescent="0.2">
      <c r="A11" s="130"/>
      <c r="B11" s="85" t="s">
        <v>108</v>
      </c>
      <c r="C11" s="114" t="str">
        <f t="shared" si="0"/>
        <v>AB</v>
      </c>
      <c r="D11" s="114" t="str">
        <f t="shared" si="1"/>
        <v>6E</v>
      </c>
      <c r="E11" s="114" t="str">
        <f t="shared" si="2"/>
        <v>1w</v>
      </c>
      <c r="F11" s="114" t="str">
        <f t="shared" si="3"/>
        <v>6E</v>
      </c>
      <c r="G11" s="114" t="str">
        <f t="shared" si="4"/>
        <v>12E</v>
      </c>
      <c r="H11" s="249" t="str">
        <f t="shared" si="5"/>
        <v>EUR6E12E9Y_Quote</v>
      </c>
      <c r="I11" s="248" t="str">
        <f t="shared" si="6"/>
        <v>EuriborSwapIsdaFixA9Y</v>
      </c>
      <c r="J11" s="247" t="str">
        <f t="shared" si="7"/>
        <v>EURAB6E9Y_Fwd1w_S6E12E_Quote</v>
      </c>
      <c r="K11" s="247" t="str">
        <f>_xll.qlForwardSwapQuote(J11,I11,H11,E11,Permanent,Trigger,ObjectOverwrite)</f>
        <v>EURAB6E9Y_Fwd1w_S6E12E_Quote#0001</v>
      </c>
      <c r="L11" s="256" t="str">
        <f>_xll.ohRangeRetrieveError(K11)</f>
        <v/>
      </c>
      <c r="M11" s="54"/>
    </row>
    <row r="12" spans="1:20" x14ac:dyDescent="0.2">
      <c r="A12" s="130"/>
      <c r="B12" s="85" t="s">
        <v>107</v>
      </c>
      <c r="C12" s="114" t="str">
        <f t="shared" si="0"/>
        <v>AB</v>
      </c>
      <c r="D12" s="114" t="str">
        <f t="shared" si="1"/>
        <v>6E</v>
      </c>
      <c r="E12" s="114" t="str">
        <f t="shared" si="2"/>
        <v>1w</v>
      </c>
      <c r="F12" s="114" t="str">
        <f t="shared" si="3"/>
        <v>6E</v>
      </c>
      <c r="G12" s="114" t="str">
        <f t="shared" si="4"/>
        <v>12E</v>
      </c>
      <c r="H12" s="249" t="str">
        <f t="shared" si="5"/>
        <v>EUR6E12E10Y_Quote</v>
      </c>
      <c r="I12" s="248" t="str">
        <f t="shared" si="6"/>
        <v>EuriborSwapIsdaFixA10Y</v>
      </c>
      <c r="J12" s="247" t="str">
        <f t="shared" si="7"/>
        <v>EURAB6E10Y_Fwd1w_S6E12E_Quote</v>
      </c>
      <c r="K12" s="247" t="str">
        <f>_xll.qlForwardSwapQuote(J12,I12,H12,E12,Permanent,Trigger,ObjectOverwrite)</f>
        <v>EURAB6E10Y_Fwd1w_S6E12E_Quote#0001</v>
      </c>
      <c r="L12" s="256" t="str">
        <f>_xll.ohRangeRetrieveError(K12)</f>
        <v/>
      </c>
      <c r="M12" s="54"/>
    </row>
    <row r="13" spans="1:20" x14ac:dyDescent="0.2">
      <c r="A13" s="130"/>
      <c r="B13" s="85" t="s">
        <v>106</v>
      </c>
      <c r="C13" s="114" t="str">
        <f t="shared" si="0"/>
        <v>AB</v>
      </c>
      <c r="D13" s="114" t="str">
        <f t="shared" si="1"/>
        <v>6E</v>
      </c>
      <c r="E13" s="114" t="str">
        <f t="shared" si="2"/>
        <v>1w</v>
      </c>
      <c r="F13" s="114" t="str">
        <f t="shared" si="3"/>
        <v>6E</v>
      </c>
      <c r="G13" s="114" t="str">
        <f t="shared" si="4"/>
        <v>12E</v>
      </c>
      <c r="H13" s="249" t="str">
        <f t="shared" si="5"/>
        <v>EUR6E12E11Y_Quote</v>
      </c>
      <c r="I13" s="248" t="str">
        <f t="shared" si="6"/>
        <v>EuriborSwapIsdaFixA11Y</v>
      </c>
      <c r="J13" s="247" t="str">
        <f t="shared" si="7"/>
        <v>EURAB6E11Y_Fwd1w_S6E12E_Quote</v>
      </c>
      <c r="K13" s="247" t="str">
        <f>_xll.qlForwardSwapQuote(J13,I13,H13,E13,Permanent,Trigger,ObjectOverwrite)</f>
        <v>EURAB6E11Y_Fwd1w_S6E12E_Quote#0001</v>
      </c>
      <c r="L13" s="256" t="str">
        <f>_xll.ohRangeRetrieveError(K13)</f>
        <v/>
      </c>
      <c r="M13" s="54"/>
    </row>
    <row r="14" spans="1:20" x14ac:dyDescent="0.2">
      <c r="A14" s="130"/>
      <c r="B14" s="85" t="s">
        <v>105</v>
      </c>
      <c r="C14" s="114" t="str">
        <f t="shared" si="0"/>
        <v>AB</v>
      </c>
      <c r="D14" s="114" t="str">
        <f t="shared" si="1"/>
        <v>6E</v>
      </c>
      <c r="E14" s="114" t="str">
        <f t="shared" si="2"/>
        <v>1w</v>
      </c>
      <c r="F14" s="114" t="str">
        <f t="shared" si="3"/>
        <v>6E</v>
      </c>
      <c r="G14" s="114" t="str">
        <f t="shared" si="4"/>
        <v>12E</v>
      </c>
      <c r="H14" s="249" t="str">
        <f t="shared" si="5"/>
        <v>EUR6E12E12Y_Quote</v>
      </c>
      <c r="I14" s="248" t="str">
        <f t="shared" si="6"/>
        <v>EuriborSwapIsdaFixA12Y</v>
      </c>
      <c r="J14" s="247" t="str">
        <f t="shared" si="7"/>
        <v>EURAB6E12Y_Fwd1w_S6E12E_Quote</v>
      </c>
      <c r="K14" s="247" t="str">
        <f>_xll.qlForwardSwapQuote(J14,I14,H14,E14,Permanent,Trigger,ObjectOverwrite)</f>
        <v>EURAB6E12Y_Fwd1w_S6E12E_Quote#0001</v>
      </c>
      <c r="L14" s="256" t="str">
        <f>_xll.ohRangeRetrieveError(K14)</f>
        <v/>
      </c>
      <c r="M14" s="54"/>
    </row>
    <row r="15" spans="1:20" x14ac:dyDescent="0.2">
      <c r="A15" s="130"/>
      <c r="B15" s="85" t="s">
        <v>104</v>
      </c>
      <c r="C15" s="114" t="str">
        <f t="shared" si="0"/>
        <v>AB</v>
      </c>
      <c r="D15" s="114" t="str">
        <f t="shared" si="1"/>
        <v>6E</v>
      </c>
      <c r="E15" s="114" t="str">
        <f t="shared" si="2"/>
        <v>1w</v>
      </c>
      <c r="F15" s="114" t="str">
        <f t="shared" si="3"/>
        <v>6E</v>
      </c>
      <c r="G15" s="114" t="str">
        <f t="shared" si="4"/>
        <v>12E</v>
      </c>
      <c r="H15" s="249" t="str">
        <f t="shared" si="5"/>
        <v>EUR6E12E13Y_Quote</v>
      </c>
      <c r="I15" s="248" t="str">
        <f t="shared" si="6"/>
        <v>EuriborSwapIsdaFixA13Y</v>
      </c>
      <c r="J15" s="247" t="str">
        <f t="shared" si="7"/>
        <v>EURAB6E13Y_Fwd1w_S6E12E_Quote</v>
      </c>
      <c r="K15" s="247" t="str">
        <f>_xll.qlForwardSwapQuote(J15,I15,H15,E15,Permanent,Trigger,ObjectOverwrite)</f>
        <v>EURAB6E13Y_Fwd1w_S6E12E_Quote#0001</v>
      </c>
      <c r="L15" s="256" t="str">
        <f>_xll.ohRangeRetrieveError(K15)</f>
        <v/>
      </c>
      <c r="M15" s="54"/>
    </row>
    <row r="16" spans="1:20" x14ac:dyDescent="0.2">
      <c r="A16" s="130"/>
      <c r="B16" s="85" t="s">
        <v>103</v>
      </c>
      <c r="C16" s="114" t="str">
        <f t="shared" si="0"/>
        <v>AB</v>
      </c>
      <c r="D16" s="114" t="str">
        <f t="shared" si="1"/>
        <v>6E</v>
      </c>
      <c r="E16" s="114" t="str">
        <f t="shared" si="2"/>
        <v>1w</v>
      </c>
      <c r="F16" s="114" t="str">
        <f t="shared" si="3"/>
        <v>6E</v>
      </c>
      <c r="G16" s="114" t="str">
        <f t="shared" si="4"/>
        <v>12E</v>
      </c>
      <c r="H16" s="249" t="str">
        <f t="shared" si="5"/>
        <v>EUR6E12E14Y_Quote</v>
      </c>
      <c r="I16" s="248" t="str">
        <f t="shared" si="6"/>
        <v>EuriborSwapIsdaFixA14Y</v>
      </c>
      <c r="J16" s="247" t="str">
        <f t="shared" si="7"/>
        <v>EURAB6E14Y_Fwd1w_S6E12E_Quote</v>
      </c>
      <c r="K16" s="247" t="str">
        <f>_xll.qlForwardSwapQuote(J16,I16,H16,E16,Permanent,Trigger,ObjectOverwrite)</f>
        <v>EURAB6E14Y_Fwd1w_S6E12E_Quote#0001</v>
      </c>
      <c r="L16" s="256" t="str">
        <f>_xll.ohRangeRetrieveError(K16)</f>
        <v/>
      </c>
      <c r="M16" s="54"/>
    </row>
    <row r="17" spans="1:13" x14ac:dyDescent="0.2">
      <c r="A17" s="130"/>
      <c r="B17" s="85" t="s">
        <v>102</v>
      </c>
      <c r="C17" s="114" t="str">
        <f t="shared" si="0"/>
        <v>AB</v>
      </c>
      <c r="D17" s="114" t="str">
        <f t="shared" si="1"/>
        <v>6E</v>
      </c>
      <c r="E17" s="114" t="str">
        <f t="shared" si="2"/>
        <v>1w</v>
      </c>
      <c r="F17" s="114" t="str">
        <f t="shared" si="3"/>
        <v>6E</v>
      </c>
      <c r="G17" s="114" t="str">
        <f t="shared" si="4"/>
        <v>12E</v>
      </c>
      <c r="H17" s="249" t="str">
        <f t="shared" si="5"/>
        <v>EUR6E12E15Y_Quote</v>
      </c>
      <c r="I17" s="248" t="str">
        <f t="shared" si="6"/>
        <v>EuriborSwapIsdaFixA15Y</v>
      </c>
      <c r="J17" s="247" t="str">
        <f t="shared" si="7"/>
        <v>EURAB6E15Y_Fwd1w_S6E12E_Quote</v>
      </c>
      <c r="K17" s="247" t="str">
        <f>_xll.qlForwardSwapQuote(J17,I17,H17,E17,Permanent,Trigger,ObjectOverwrite)</f>
        <v>EURAB6E15Y_Fwd1w_S6E12E_Quote#0001</v>
      </c>
      <c r="L17" s="256" t="str">
        <f>_xll.ohRangeRetrieveError(K17)</f>
        <v/>
      </c>
      <c r="M17" s="54"/>
    </row>
    <row r="18" spans="1:13" x14ac:dyDescent="0.2">
      <c r="A18" s="130"/>
      <c r="B18" s="85" t="s">
        <v>101</v>
      </c>
      <c r="C18" s="114" t="str">
        <f t="shared" si="0"/>
        <v>AB</v>
      </c>
      <c r="D18" s="114" t="str">
        <f t="shared" si="1"/>
        <v>6E</v>
      </c>
      <c r="E18" s="114" t="str">
        <f t="shared" si="2"/>
        <v>1w</v>
      </c>
      <c r="F18" s="114" t="str">
        <f t="shared" si="3"/>
        <v>6E</v>
      </c>
      <c r="G18" s="114" t="str">
        <f t="shared" si="4"/>
        <v>12E</v>
      </c>
      <c r="H18" s="249" t="str">
        <f t="shared" si="5"/>
        <v>EUR6E12E16Y_Quote</v>
      </c>
      <c r="I18" s="248" t="str">
        <f t="shared" si="6"/>
        <v>EuriborSwapIsdaFixA16Y</v>
      </c>
      <c r="J18" s="247" t="str">
        <f t="shared" si="7"/>
        <v>EURAB6E16Y_Fwd1w_S6E12E_Quote</v>
      </c>
      <c r="K18" s="247" t="str">
        <f>_xll.qlForwardSwapQuote(J18,I18,H18,E18,Permanent,Trigger,ObjectOverwrite)</f>
        <v>EURAB6E16Y_Fwd1w_S6E12E_Quote#0001</v>
      </c>
      <c r="L18" s="256" t="str">
        <f>_xll.ohRangeRetrieveError(K18)</f>
        <v/>
      </c>
      <c r="M18" s="54"/>
    </row>
    <row r="19" spans="1:13" x14ac:dyDescent="0.2">
      <c r="A19" s="130"/>
      <c r="B19" s="85" t="s">
        <v>100</v>
      </c>
      <c r="C19" s="114" t="str">
        <f t="shared" si="0"/>
        <v>AB</v>
      </c>
      <c r="D19" s="114" t="str">
        <f t="shared" si="1"/>
        <v>6E</v>
      </c>
      <c r="E19" s="114" t="str">
        <f t="shared" si="2"/>
        <v>1w</v>
      </c>
      <c r="F19" s="114" t="str">
        <f t="shared" si="3"/>
        <v>6E</v>
      </c>
      <c r="G19" s="114" t="str">
        <f t="shared" si="4"/>
        <v>12E</v>
      </c>
      <c r="H19" s="249" t="str">
        <f t="shared" si="5"/>
        <v>EUR6E12E17Y_Quote</v>
      </c>
      <c r="I19" s="248" t="str">
        <f t="shared" si="6"/>
        <v>EuriborSwapIsdaFixA17Y</v>
      </c>
      <c r="J19" s="247" t="str">
        <f t="shared" si="7"/>
        <v>EURAB6E17Y_Fwd1w_S6E12E_Quote</v>
      </c>
      <c r="K19" s="247" t="str">
        <f>_xll.qlForwardSwapQuote(J19,I19,H19,E19,Permanent,Trigger,ObjectOverwrite)</f>
        <v>EURAB6E17Y_Fwd1w_S6E12E_Quote#0001</v>
      </c>
      <c r="L19" s="256" t="str">
        <f>_xll.ohRangeRetrieveError(K19)</f>
        <v/>
      </c>
      <c r="M19" s="54"/>
    </row>
    <row r="20" spans="1:13" x14ac:dyDescent="0.2">
      <c r="A20" s="130"/>
      <c r="B20" s="85" t="s">
        <v>99</v>
      </c>
      <c r="C20" s="114" t="str">
        <f t="shared" si="0"/>
        <v>AB</v>
      </c>
      <c r="D20" s="114" t="str">
        <f t="shared" si="1"/>
        <v>6E</v>
      </c>
      <c r="E20" s="114" t="str">
        <f t="shared" si="2"/>
        <v>1w</v>
      </c>
      <c r="F20" s="114" t="str">
        <f t="shared" si="3"/>
        <v>6E</v>
      </c>
      <c r="G20" s="114" t="str">
        <f t="shared" si="4"/>
        <v>12E</v>
      </c>
      <c r="H20" s="249" t="str">
        <f t="shared" si="5"/>
        <v>EUR6E12E18Y_Quote</v>
      </c>
      <c r="I20" s="248" t="str">
        <f t="shared" si="6"/>
        <v>EuriborSwapIsdaFixA18Y</v>
      </c>
      <c r="J20" s="247" t="str">
        <f t="shared" si="7"/>
        <v>EURAB6E18Y_Fwd1w_S6E12E_Quote</v>
      </c>
      <c r="K20" s="247" t="str">
        <f>_xll.qlForwardSwapQuote(J20,I20,H20,E20,Permanent,Trigger,ObjectOverwrite)</f>
        <v>EURAB6E18Y_Fwd1w_S6E12E_Quote#0001</v>
      </c>
      <c r="L20" s="256" t="str">
        <f>_xll.ohRangeRetrieveError(K20)</f>
        <v/>
      </c>
      <c r="M20" s="54"/>
    </row>
    <row r="21" spans="1:13" x14ac:dyDescent="0.2">
      <c r="A21" s="130"/>
      <c r="B21" s="85" t="s">
        <v>98</v>
      </c>
      <c r="C21" s="114" t="str">
        <f t="shared" si="0"/>
        <v>AB</v>
      </c>
      <c r="D21" s="114" t="str">
        <f t="shared" si="1"/>
        <v>6E</v>
      </c>
      <c r="E21" s="114" t="str">
        <f t="shared" si="2"/>
        <v>1w</v>
      </c>
      <c r="F21" s="114" t="str">
        <f t="shared" si="3"/>
        <v>6E</v>
      </c>
      <c r="G21" s="114" t="str">
        <f t="shared" si="4"/>
        <v>12E</v>
      </c>
      <c r="H21" s="249" t="str">
        <f t="shared" si="5"/>
        <v>EUR6E12E19Y_Quote</v>
      </c>
      <c r="I21" s="248" t="str">
        <f t="shared" si="6"/>
        <v>EuriborSwapIsdaFixA19Y</v>
      </c>
      <c r="J21" s="247" t="str">
        <f t="shared" si="7"/>
        <v>EURAB6E19Y_Fwd1w_S6E12E_Quote</v>
      </c>
      <c r="K21" s="247" t="str">
        <f>_xll.qlForwardSwapQuote(J21,I21,H21,E21,Permanent,Trigger,ObjectOverwrite)</f>
        <v>EURAB6E19Y_Fwd1w_S6E12E_Quote#0001</v>
      </c>
      <c r="L21" s="256" t="str">
        <f>_xll.ohRangeRetrieveError(K21)</f>
        <v/>
      </c>
      <c r="M21" s="54"/>
    </row>
    <row r="22" spans="1:13" x14ac:dyDescent="0.2">
      <c r="A22" s="130"/>
      <c r="B22" s="85" t="s">
        <v>97</v>
      </c>
      <c r="C22" s="114" t="str">
        <f t="shared" si="0"/>
        <v>AB</v>
      </c>
      <c r="D22" s="114" t="str">
        <f t="shared" si="1"/>
        <v>6E</v>
      </c>
      <c r="E22" s="114" t="str">
        <f t="shared" si="2"/>
        <v>1w</v>
      </c>
      <c r="F22" s="114" t="str">
        <f t="shared" si="3"/>
        <v>6E</v>
      </c>
      <c r="G22" s="114" t="str">
        <f t="shared" si="4"/>
        <v>12E</v>
      </c>
      <c r="H22" s="249" t="str">
        <f t="shared" si="5"/>
        <v>EUR6E12E20Y_Quote</v>
      </c>
      <c r="I22" s="248" t="str">
        <f t="shared" si="6"/>
        <v>EuriborSwapIsdaFixA20Y</v>
      </c>
      <c r="J22" s="247" t="str">
        <f t="shared" si="7"/>
        <v>EURAB6E20Y_Fwd1w_S6E12E_Quote</v>
      </c>
      <c r="K22" s="247" t="str">
        <f>_xll.qlForwardSwapQuote(J22,I22,H22,E22,Permanent,Trigger,ObjectOverwrite)</f>
        <v>EURAB6E20Y_Fwd1w_S6E12E_Quote#0001</v>
      </c>
      <c r="L22" s="256" t="str">
        <f>_xll.ohRangeRetrieveError(K22)</f>
        <v/>
      </c>
      <c r="M22" s="54"/>
    </row>
    <row r="23" spans="1:13" x14ac:dyDescent="0.2">
      <c r="A23" s="130"/>
      <c r="B23" s="85" t="s">
        <v>96</v>
      </c>
      <c r="C23" s="114" t="str">
        <f t="shared" si="0"/>
        <v>AB</v>
      </c>
      <c r="D23" s="114" t="str">
        <f t="shared" si="1"/>
        <v>6E</v>
      </c>
      <c r="E23" s="114" t="str">
        <f t="shared" si="2"/>
        <v>1w</v>
      </c>
      <c r="F23" s="114" t="str">
        <f t="shared" si="3"/>
        <v>6E</v>
      </c>
      <c r="G23" s="114" t="str">
        <f t="shared" si="4"/>
        <v>12E</v>
      </c>
      <c r="H23" s="249" t="str">
        <f t="shared" si="5"/>
        <v>EUR6E12E21Y_Quote</v>
      </c>
      <c r="I23" s="248" t="str">
        <f t="shared" si="6"/>
        <v>EuriborSwapIsdaFixA21Y</v>
      </c>
      <c r="J23" s="247" t="str">
        <f t="shared" si="7"/>
        <v>EURAB6E21Y_Fwd1w_S6E12E_Quote</v>
      </c>
      <c r="K23" s="247" t="str">
        <f>_xll.qlForwardSwapQuote(J23,I23,H23,E23,Permanent,Trigger,ObjectOverwrite)</f>
        <v>EURAB6E21Y_Fwd1w_S6E12E_Quote#0001</v>
      </c>
      <c r="L23" s="256" t="str">
        <f>_xll.ohRangeRetrieveError(K23)</f>
        <v/>
      </c>
      <c r="M23" s="54"/>
    </row>
    <row r="24" spans="1:13" x14ac:dyDescent="0.2">
      <c r="A24" s="130"/>
      <c r="B24" s="85" t="s">
        <v>95</v>
      </c>
      <c r="C24" s="114" t="str">
        <f t="shared" si="0"/>
        <v>AB</v>
      </c>
      <c r="D24" s="114" t="str">
        <f t="shared" si="1"/>
        <v>6E</v>
      </c>
      <c r="E24" s="114" t="str">
        <f t="shared" si="2"/>
        <v>1w</v>
      </c>
      <c r="F24" s="114" t="str">
        <f t="shared" si="3"/>
        <v>6E</v>
      </c>
      <c r="G24" s="114" t="str">
        <f t="shared" si="4"/>
        <v>12E</v>
      </c>
      <c r="H24" s="249" t="str">
        <f t="shared" si="5"/>
        <v>EUR6E12E22Y_Quote</v>
      </c>
      <c r="I24" s="248" t="str">
        <f t="shared" si="6"/>
        <v>EuriborSwapIsdaFixA22Y</v>
      </c>
      <c r="J24" s="247" t="str">
        <f t="shared" si="7"/>
        <v>EURAB6E22Y_Fwd1w_S6E12E_Quote</v>
      </c>
      <c r="K24" s="247" t="str">
        <f>_xll.qlForwardSwapQuote(J24,I24,H24,E24,Permanent,Trigger,ObjectOverwrite)</f>
        <v>EURAB6E22Y_Fwd1w_S6E12E_Quote#0001</v>
      </c>
      <c r="L24" s="256" t="str">
        <f>_xll.ohRangeRetrieveError(K24)</f>
        <v/>
      </c>
      <c r="M24" s="54"/>
    </row>
    <row r="25" spans="1:13" x14ac:dyDescent="0.2">
      <c r="A25" s="130"/>
      <c r="B25" s="85" t="s">
        <v>94</v>
      </c>
      <c r="C25" s="114" t="str">
        <f t="shared" si="0"/>
        <v>AB</v>
      </c>
      <c r="D25" s="114" t="str">
        <f t="shared" si="1"/>
        <v>6E</v>
      </c>
      <c r="E25" s="114" t="str">
        <f t="shared" si="2"/>
        <v>1w</v>
      </c>
      <c r="F25" s="114" t="str">
        <f t="shared" si="3"/>
        <v>6E</v>
      </c>
      <c r="G25" s="114" t="str">
        <f t="shared" si="4"/>
        <v>12E</v>
      </c>
      <c r="H25" s="249" t="str">
        <f t="shared" si="5"/>
        <v>EUR6E12E23Y_Quote</v>
      </c>
      <c r="I25" s="248" t="str">
        <f t="shared" si="6"/>
        <v>EuriborSwapIsdaFixA23Y</v>
      </c>
      <c r="J25" s="247" t="str">
        <f t="shared" si="7"/>
        <v>EURAB6E23Y_Fwd1w_S6E12E_Quote</v>
      </c>
      <c r="K25" s="247" t="str">
        <f>_xll.qlForwardSwapQuote(J25,I25,H25,E25,Permanent,Trigger,ObjectOverwrite)</f>
        <v>EURAB6E23Y_Fwd1w_S6E12E_Quote#0001</v>
      </c>
      <c r="L25" s="256" t="str">
        <f>_xll.ohRangeRetrieveError(K25)</f>
        <v/>
      </c>
      <c r="M25" s="54"/>
    </row>
    <row r="26" spans="1:13" x14ac:dyDescent="0.2">
      <c r="A26" s="130"/>
      <c r="B26" s="85" t="s">
        <v>93</v>
      </c>
      <c r="C26" s="114" t="str">
        <f t="shared" si="0"/>
        <v>AB</v>
      </c>
      <c r="D26" s="114" t="str">
        <f t="shared" si="1"/>
        <v>6E</v>
      </c>
      <c r="E26" s="114" t="str">
        <f t="shared" si="2"/>
        <v>1w</v>
      </c>
      <c r="F26" s="114" t="str">
        <f t="shared" si="3"/>
        <v>6E</v>
      </c>
      <c r="G26" s="114" t="str">
        <f t="shared" si="4"/>
        <v>12E</v>
      </c>
      <c r="H26" s="249" t="str">
        <f t="shared" si="5"/>
        <v>EUR6E12E24Y_Quote</v>
      </c>
      <c r="I26" s="248" t="str">
        <f t="shared" si="6"/>
        <v>EuriborSwapIsdaFixA24Y</v>
      </c>
      <c r="J26" s="247" t="str">
        <f t="shared" si="7"/>
        <v>EURAB6E24Y_Fwd1w_S6E12E_Quote</v>
      </c>
      <c r="K26" s="247" t="str">
        <f>_xll.qlForwardSwapQuote(J26,I26,H26,E26,Permanent,Trigger,ObjectOverwrite)</f>
        <v>EURAB6E24Y_Fwd1w_S6E12E_Quote#0001</v>
      </c>
      <c r="L26" s="256" t="str">
        <f>_xll.ohRangeRetrieveError(K26)</f>
        <v/>
      </c>
      <c r="M26" s="54"/>
    </row>
    <row r="27" spans="1:13" x14ac:dyDescent="0.2">
      <c r="A27" s="130"/>
      <c r="B27" s="85" t="s">
        <v>92</v>
      </c>
      <c r="C27" s="114" t="str">
        <f t="shared" si="0"/>
        <v>AB</v>
      </c>
      <c r="D27" s="114" t="str">
        <f t="shared" si="1"/>
        <v>6E</v>
      </c>
      <c r="E27" s="114" t="str">
        <f t="shared" si="2"/>
        <v>1w</v>
      </c>
      <c r="F27" s="114" t="str">
        <f t="shared" si="3"/>
        <v>6E</v>
      </c>
      <c r="G27" s="114" t="str">
        <f t="shared" si="4"/>
        <v>12E</v>
      </c>
      <c r="H27" s="249" t="str">
        <f t="shared" si="5"/>
        <v>EUR6E12E25Y_Quote</v>
      </c>
      <c r="I27" s="248" t="str">
        <f t="shared" si="6"/>
        <v>EuriborSwapIsdaFixA25Y</v>
      </c>
      <c r="J27" s="247" t="str">
        <f t="shared" si="7"/>
        <v>EURAB6E25Y_Fwd1w_S6E12E_Quote</v>
      </c>
      <c r="K27" s="247" t="str">
        <f>_xll.qlForwardSwapQuote(J27,I27,H27,E27,Permanent,Trigger,ObjectOverwrite)</f>
        <v>EURAB6E25Y_Fwd1w_S6E12E_Quote#0001</v>
      </c>
      <c r="L27" s="256" t="str">
        <f>_xll.ohRangeRetrieveError(K27)</f>
        <v/>
      </c>
      <c r="M27" s="54"/>
    </row>
    <row r="28" spans="1:13" x14ac:dyDescent="0.2">
      <c r="A28" s="130"/>
      <c r="B28" s="85" t="s">
        <v>91</v>
      </c>
      <c r="C28" s="114" t="str">
        <f t="shared" si="0"/>
        <v>AB</v>
      </c>
      <c r="D28" s="114" t="str">
        <f t="shared" si="1"/>
        <v>6E</v>
      </c>
      <c r="E28" s="114" t="str">
        <f t="shared" si="2"/>
        <v>1w</v>
      </c>
      <c r="F28" s="114" t="str">
        <f t="shared" si="3"/>
        <v>6E</v>
      </c>
      <c r="G28" s="114" t="str">
        <f t="shared" si="4"/>
        <v>12E</v>
      </c>
      <c r="H28" s="249" t="str">
        <f t="shared" si="5"/>
        <v>EUR6E12E26Y_Quote</v>
      </c>
      <c r="I28" s="248" t="str">
        <f t="shared" si="6"/>
        <v>EuriborSwapIsdaFixA26Y</v>
      </c>
      <c r="J28" s="247" t="str">
        <f t="shared" si="7"/>
        <v>EURAB6E26Y_Fwd1w_S6E12E_Quote</v>
      </c>
      <c r="K28" s="247" t="str">
        <f>_xll.qlForwardSwapQuote(J28,I28,H28,E28,Permanent,Trigger,ObjectOverwrite)</f>
        <v>EURAB6E26Y_Fwd1w_S6E12E_Quote#0001</v>
      </c>
      <c r="L28" s="256" t="str">
        <f>_xll.ohRangeRetrieveError(K28)</f>
        <v/>
      </c>
      <c r="M28" s="54"/>
    </row>
    <row r="29" spans="1:13" x14ac:dyDescent="0.2">
      <c r="A29" s="130"/>
      <c r="B29" s="85" t="s">
        <v>90</v>
      </c>
      <c r="C29" s="114" t="str">
        <f t="shared" si="0"/>
        <v>AB</v>
      </c>
      <c r="D29" s="114" t="str">
        <f t="shared" si="1"/>
        <v>6E</v>
      </c>
      <c r="E29" s="114" t="str">
        <f t="shared" si="2"/>
        <v>1w</v>
      </c>
      <c r="F29" s="114" t="str">
        <f t="shared" si="3"/>
        <v>6E</v>
      </c>
      <c r="G29" s="114" t="str">
        <f t="shared" si="4"/>
        <v>12E</v>
      </c>
      <c r="H29" s="249" t="str">
        <f t="shared" si="5"/>
        <v>EUR6E12E27Y_Quote</v>
      </c>
      <c r="I29" s="248" t="str">
        <f t="shared" si="6"/>
        <v>EuriborSwapIsdaFixA27Y</v>
      </c>
      <c r="J29" s="247" t="str">
        <f t="shared" si="7"/>
        <v>EURAB6E27Y_Fwd1w_S6E12E_Quote</v>
      </c>
      <c r="K29" s="247" t="str">
        <f>_xll.qlForwardSwapQuote(J29,I29,H29,E29,Permanent,Trigger,ObjectOverwrite)</f>
        <v>EURAB6E27Y_Fwd1w_S6E12E_Quote#0001</v>
      </c>
      <c r="L29" s="256" t="str">
        <f>_xll.ohRangeRetrieveError(K29)</f>
        <v/>
      </c>
      <c r="M29" s="54"/>
    </row>
    <row r="30" spans="1:13" x14ac:dyDescent="0.2">
      <c r="A30" s="130"/>
      <c r="B30" s="85" t="s">
        <v>89</v>
      </c>
      <c r="C30" s="114" t="str">
        <f t="shared" si="0"/>
        <v>AB</v>
      </c>
      <c r="D30" s="114" t="str">
        <f t="shared" si="1"/>
        <v>6E</v>
      </c>
      <c r="E30" s="114" t="str">
        <f t="shared" si="2"/>
        <v>1w</v>
      </c>
      <c r="F30" s="114" t="str">
        <f t="shared" si="3"/>
        <v>6E</v>
      </c>
      <c r="G30" s="114" t="str">
        <f t="shared" si="4"/>
        <v>12E</v>
      </c>
      <c r="H30" s="249" t="str">
        <f t="shared" si="5"/>
        <v>EUR6E12E28Y_Quote</v>
      </c>
      <c r="I30" s="248" t="str">
        <f t="shared" si="6"/>
        <v>EuriborSwapIsdaFixA28Y</v>
      </c>
      <c r="J30" s="247" t="str">
        <f t="shared" si="7"/>
        <v>EURAB6E28Y_Fwd1w_S6E12E_Quote</v>
      </c>
      <c r="K30" s="247" t="str">
        <f>_xll.qlForwardSwapQuote(J30,I30,H30,E30,Permanent,Trigger,ObjectOverwrite)</f>
        <v>EURAB6E28Y_Fwd1w_S6E12E_Quote#0001</v>
      </c>
      <c r="L30" s="256" t="str">
        <f>_xll.ohRangeRetrieveError(K30)</f>
        <v/>
      </c>
      <c r="M30" s="54"/>
    </row>
    <row r="31" spans="1:13" x14ac:dyDescent="0.2">
      <c r="A31" s="130"/>
      <c r="B31" s="85" t="s">
        <v>88</v>
      </c>
      <c r="C31" s="114" t="str">
        <f t="shared" si="0"/>
        <v>AB</v>
      </c>
      <c r="D31" s="114" t="str">
        <f t="shared" si="1"/>
        <v>6E</v>
      </c>
      <c r="E31" s="114" t="str">
        <f t="shared" si="2"/>
        <v>1w</v>
      </c>
      <c r="F31" s="114" t="str">
        <f t="shared" si="3"/>
        <v>6E</v>
      </c>
      <c r="G31" s="114" t="str">
        <f t="shared" si="4"/>
        <v>12E</v>
      </c>
      <c r="H31" s="249" t="str">
        <f t="shared" si="5"/>
        <v>EUR6E12E29Y_Quote</v>
      </c>
      <c r="I31" s="248" t="str">
        <f t="shared" si="6"/>
        <v>EuriborSwapIsdaFixA29Y</v>
      </c>
      <c r="J31" s="247" t="str">
        <f t="shared" si="7"/>
        <v>EURAB6E29Y_Fwd1w_S6E12E_Quote</v>
      </c>
      <c r="K31" s="247" t="str">
        <f>_xll.qlForwardSwapQuote(J31,I31,H31,E31,Permanent,Trigger,ObjectOverwrite)</f>
        <v>EURAB6E29Y_Fwd1w_S6E12E_Quote#0001</v>
      </c>
      <c r="L31" s="256" t="str">
        <f>_xll.ohRangeRetrieveError(K31)</f>
        <v/>
      </c>
      <c r="M31" s="54"/>
    </row>
    <row r="32" spans="1:13" x14ac:dyDescent="0.2">
      <c r="A32" s="130"/>
      <c r="B32" s="85" t="s">
        <v>87</v>
      </c>
      <c r="C32" s="114" t="str">
        <f t="shared" si="0"/>
        <v>AB</v>
      </c>
      <c r="D32" s="114" t="str">
        <f t="shared" si="1"/>
        <v>6E</v>
      </c>
      <c r="E32" s="114" t="str">
        <f t="shared" si="2"/>
        <v>1w</v>
      </c>
      <c r="F32" s="114" t="str">
        <f t="shared" si="3"/>
        <v>6E</v>
      </c>
      <c r="G32" s="114" t="str">
        <f t="shared" si="4"/>
        <v>12E</v>
      </c>
      <c r="H32" s="249" t="str">
        <f t="shared" si="5"/>
        <v>EUR6E12E30Y_Quote</v>
      </c>
      <c r="I32" s="248" t="str">
        <f t="shared" si="6"/>
        <v>EuriborSwapIsdaFixA30Y</v>
      </c>
      <c r="J32" s="247" t="str">
        <f t="shared" si="7"/>
        <v>EURAB6E30Y_Fwd1w_S6E12E_Quote</v>
      </c>
      <c r="K32" s="247" t="str">
        <f>_xll.qlForwardSwapQuote(J32,I32,H32,E32,Permanent,Trigger,ObjectOverwrite)</f>
        <v>EURAB6E30Y_Fwd1w_S6E12E_Quote#0001</v>
      </c>
      <c r="L32" s="256" t="str">
        <f>_xll.ohRangeRetrieveError(K32)</f>
        <v/>
      </c>
      <c r="M32" s="54"/>
    </row>
    <row r="33" spans="1:13" x14ac:dyDescent="0.2">
      <c r="A33" s="130"/>
      <c r="B33" s="85" t="s">
        <v>82</v>
      </c>
      <c r="C33" s="114" t="str">
        <f t="shared" si="0"/>
        <v>AB</v>
      </c>
      <c r="D33" s="114" t="str">
        <f t="shared" si="1"/>
        <v>6E</v>
      </c>
      <c r="E33" s="114" t="str">
        <f t="shared" si="2"/>
        <v>1w</v>
      </c>
      <c r="F33" s="114" t="str">
        <f t="shared" si="3"/>
        <v>6E</v>
      </c>
      <c r="G33" s="114" t="str">
        <f t="shared" si="4"/>
        <v>12E</v>
      </c>
      <c r="H33" s="249" t="str">
        <f t="shared" si="5"/>
        <v>EUR6E12E35Y_Quote</v>
      </c>
      <c r="I33" s="248" t="str">
        <f t="shared" si="6"/>
        <v>EuriborSwapIsdaFixA35Y</v>
      </c>
      <c r="J33" s="247" t="str">
        <f t="shared" si="7"/>
        <v>EURAB6E35Y_Fwd1w_S6E12E_Quote</v>
      </c>
      <c r="K33" s="247" t="str">
        <f>_xll.qlForwardSwapQuote(J33,I33,H33,E33,Permanent,Trigger,ObjectOverwrite)</f>
        <v>EURAB6E35Y_Fwd1w_S6E12E_Quote#0001</v>
      </c>
      <c r="L33" s="256" t="str">
        <f>_xll.ohRangeRetrieveError(K33)</f>
        <v/>
      </c>
      <c r="M33" s="54"/>
    </row>
    <row r="34" spans="1:13" x14ac:dyDescent="0.2">
      <c r="A34" s="130"/>
      <c r="B34" s="85" t="s">
        <v>77</v>
      </c>
      <c r="C34" s="114" t="str">
        <f t="shared" si="0"/>
        <v>AB</v>
      </c>
      <c r="D34" s="114" t="str">
        <f t="shared" si="1"/>
        <v>6E</v>
      </c>
      <c r="E34" s="114" t="str">
        <f t="shared" si="2"/>
        <v>1w</v>
      </c>
      <c r="F34" s="114" t="str">
        <f t="shared" si="3"/>
        <v>6E</v>
      </c>
      <c r="G34" s="114" t="str">
        <f t="shared" si="4"/>
        <v>12E</v>
      </c>
      <c r="H34" s="249" t="str">
        <f t="shared" si="5"/>
        <v>EUR6E12E40Y_Quote</v>
      </c>
      <c r="I34" s="248" t="str">
        <f t="shared" si="6"/>
        <v>EuriborSwapIsdaFixA40Y</v>
      </c>
      <c r="J34" s="247" t="str">
        <f t="shared" si="7"/>
        <v>EURAB6E40Y_Fwd1w_S6E12E_Quote</v>
      </c>
      <c r="K34" s="247" t="str">
        <f>_xll.qlForwardSwapQuote(J34,I34,H34,E34,Permanent,Trigger,ObjectOverwrite)</f>
        <v>EURAB6E40Y_Fwd1w_S6E12E_Quote#0001</v>
      </c>
      <c r="L34" s="256" t="str">
        <f>_xll.ohRangeRetrieveError(K34)</f>
        <v/>
      </c>
      <c r="M34" s="54"/>
    </row>
    <row r="35" spans="1:13" x14ac:dyDescent="0.2">
      <c r="A35" s="130"/>
      <c r="B35" s="85" t="s">
        <v>67</v>
      </c>
      <c r="C35" s="114" t="str">
        <f t="shared" si="0"/>
        <v>AB</v>
      </c>
      <c r="D35" s="114" t="str">
        <f t="shared" si="1"/>
        <v>6E</v>
      </c>
      <c r="E35" s="114" t="str">
        <f t="shared" si="2"/>
        <v>1w</v>
      </c>
      <c r="F35" s="114" t="str">
        <f t="shared" si="3"/>
        <v>6E</v>
      </c>
      <c r="G35" s="114" t="str">
        <f t="shared" si="4"/>
        <v>12E</v>
      </c>
      <c r="H35" s="249" t="str">
        <f t="shared" si="5"/>
        <v>EUR6E12E50Y_Quote</v>
      </c>
      <c r="I35" s="248" t="str">
        <f t="shared" si="6"/>
        <v>EuriborSwapIsdaFixA50Y</v>
      </c>
      <c r="J35" s="247" t="str">
        <f t="shared" si="7"/>
        <v>EURAB6E50Y_Fwd1w_S6E12E_Quote</v>
      </c>
      <c r="K35" s="247" t="str">
        <f>_xll.qlForwardSwapQuote(J35,I35,H35,E35,Permanent,Trigger,ObjectOverwrite)</f>
        <v>EURAB6E50Y_Fwd1w_S6E12E_Quote#0001</v>
      </c>
      <c r="L35" s="256" t="str">
        <f>_xll.ohRangeRetrieveError(K35)</f>
        <v/>
      </c>
      <c r="M35" s="54"/>
    </row>
    <row r="36" spans="1:13" x14ac:dyDescent="0.2">
      <c r="A36" s="130"/>
      <c r="B36" s="85" t="s">
        <v>57</v>
      </c>
      <c r="C36" s="114" t="str">
        <f t="shared" si="0"/>
        <v>AB</v>
      </c>
      <c r="D36" s="114" t="str">
        <f t="shared" si="1"/>
        <v>6E</v>
      </c>
      <c r="E36" s="114" t="str">
        <f t="shared" si="2"/>
        <v>1w</v>
      </c>
      <c r="F36" s="114" t="str">
        <f t="shared" si="3"/>
        <v>6E</v>
      </c>
      <c r="G36" s="114" t="str">
        <f t="shared" si="4"/>
        <v>12E</v>
      </c>
      <c r="H36" s="249" t="str">
        <f t="shared" si="5"/>
        <v>EUR6E12E60Y_Quote</v>
      </c>
      <c r="I36" s="248" t="str">
        <f t="shared" si="6"/>
        <v>EuriborSwapIsdaFixA60Y</v>
      </c>
      <c r="J36" s="247" t="str">
        <f t="shared" si="7"/>
        <v>EURAB6E60Y_Fwd1w_S6E12E_Quote</v>
      </c>
      <c r="K36" s="247" t="str">
        <f>_xll.qlForwardSwapQuote(J36,I36,H36,E36,Permanent,Trigger,ObjectOverwrite)</f>
        <v>EURAB6E60Y_Fwd1w_S6E12E_Quote#0001</v>
      </c>
      <c r="L36" s="256" t="str">
        <f>_xll.ohRangeRetrieveError(K36)</f>
        <v/>
      </c>
      <c r="M36" s="54"/>
    </row>
    <row r="37" spans="1:13" ht="12" thickBot="1" x14ac:dyDescent="0.25">
      <c r="A37" s="53"/>
      <c r="B37" s="52"/>
      <c r="C37" s="52"/>
      <c r="D37" s="52"/>
      <c r="E37" s="52"/>
      <c r="F37" s="52"/>
      <c r="G37" s="52"/>
      <c r="H37" s="52"/>
      <c r="I37" s="52"/>
      <c r="J37" s="52"/>
      <c r="K37" s="124"/>
      <c r="L37" s="124"/>
      <c r="M37" s="51"/>
    </row>
  </sheetData>
  <pageMargins left="0.75" right="0.75" top="1" bottom="1" header="0.5" footer="0.5"/>
  <pageSetup paperSize="9" orientation="portrait" r:id="rId1"/>
  <headerFooter alignWithMargins="0"/>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E20"/>
  <sheetViews>
    <sheetView workbookViewId="0"/>
  </sheetViews>
  <sheetFormatPr defaultColWidth="8" defaultRowHeight="11.25" x14ac:dyDescent="0.2"/>
  <cols>
    <col min="1" max="1" width="3.28515625" style="107" customWidth="1"/>
    <col min="2" max="2" width="4.28515625" style="107" customWidth="1"/>
    <col min="3" max="3" width="15.5703125" style="107" bestFit="1" customWidth="1"/>
    <col min="4" max="4" width="90.7109375" style="107" bestFit="1" customWidth="1"/>
    <col min="5" max="5" width="3.7109375" style="107" customWidth="1"/>
    <col min="6" max="6" width="35.28515625" style="107" customWidth="1"/>
    <col min="7" max="7" width="4.28515625" style="107" customWidth="1"/>
    <col min="8" max="16384" width="8" style="107"/>
  </cols>
  <sheetData>
    <row r="1" spans="1:5" ht="13.5" thickBot="1" x14ac:dyDescent="0.25">
      <c r="A1" s="107" t="s">
        <v>216</v>
      </c>
      <c r="B1" s="110" t="str">
        <f>_xll.qlxlVersion(TRUE,Trigger)</f>
        <v>QuantLibXL 1.3.0 - MS VC++ 9.0 - Multithreaded Static Runtime library - Release Configuration - Dec  5 2013 11:03:51</v>
      </c>
    </row>
    <row r="2" spans="1:5" s="1" customFormat="1" ht="15.75" x14ac:dyDescent="0.25">
      <c r="A2" s="23"/>
      <c r="B2" s="455" t="s">
        <v>150</v>
      </c>
      <c r="C2" s="456"/>
      <c r="D2" s="456"/>
      <c r="E2" s="457"/>
    </row>
    <row r="3" spans="1:5" s="1" customFormat="1" ht="12.75" x14ac:dyDescent="0.2">
      <c r="A3" s="23"/>
      <c r="B3" s="9"/>
      <c r="C3" s="13"/>
      <c r="D3" s="13"/>
      <c r="E3" s="5"/>
    </row>
    <row r="4" spans="1:5" s="1" customFormat="1" ht="12.75" x14ac:dyDescent="0.2">
      <c r="A4" s="23"/>
      <c r="B4" s="9"/>
      <c r="C4" s="16" t="s">
        <v>31</v>
      </c>
      <c r="D4" s="15"/>
      <c r="E4" s="14"/>
    </row>
    <row r="5" spans="1:5" s="1" customFormat="1" ht="12.75" x14ac:dyDescent="0.2">
      <c r="A5" s="23"/>
      <c r="B5" s="9"/>
      <c r="C5" s="16" t="s">
        <v>30</v>
      </c>
      <c r="D5" s="15" t="b">
        <v>1</v>
      </c>
      <c r="E5" s="14"/>
    </row>
    <row r="6" spans="1:5" s="1" customFormat="1" ht="12.75" x14ac:dyDescent="0.2">
      <c r="A6" s="23"/>
      <c r="B6" s="9"/>
      <c r="C6" s="16" t="s">
        <v>29</v>
      </c>
      <c r="D6" s="15" t="b">
        <v>0</v>
      </c>
      <c r="E6" s="14"/>
    </row>
    <row r="7" spans="1:5" s="1" customFormat="1" ht="12.75" x14ac:dyDescent="0.2">
      <c r="A7" s="23"/>
      <c r="B7" s="9"/>
      <c r="C7" s="16" t="s">
        <v>28</v>
      </c>
      <c r="D7" s="15" t="b">
        <v>1</v>
      </c>
      <c r="E7" s="14"/>
    </row>
    <row r="8" spans="1:5" s="1" customFormat="1" ht="12.75" x14ac:dyDescent="0.2">
      <c r="A8" s="23"/>
      <c r="B8" s="9"/>
      <c r="C8" s="16" t="s">
        <v>27</v>
      </c>
      <c r="D8" s="25" t="str">
        <f ca="1">SUBSTITUTE(LEFT(CELL("filename",A1),FIND("[",CELL("filename",A1),1)-1),"\XLS\","\XML\")</f>
        <v>C:\Users\erik\Documents\repos\quantlib_nando\QuantLibXL\Data2\XML\</v>
      </c>
      <c r="E8" s="14"/>
    </row>
    <row r="9" spans="1:5" s="1" customFormat="1" ht="12.75" x14ac:dyDescent="0.2">
      <c r="A9" s="23"/>
      <c r="B9" s="9"/>
      <c r="C9" s="16" t="s">
        <v>26</v>
      </c>
      <c r="D9" s="24" t="b">
        <v>1</v>
      </c>
      <c r="E9" s="14"/>
    </row>
    <row r="10" spans="1:5" s="1" customFormat="1" ht="13.5" thickBot="1" x14ac:dyDescent="0.25">
      <c r="A10" s="23"/>
      <c r="B10" s="4"/>
      <c r="C10" s="3"/>
      <c r="D10" s="3"/>
      <c r="E10" s="2"/>
    </row>
    <row r="11" spans="1:5" ht="12" thickBot="1" x14ac:dyDescent="0.25"/>
    <row r="12" spans="1:5" ht="15.75" x14ac:dyDescent="0.25">
      <c r="B12" s="455" t="s">
        <v>149</v>
      </c>
      <c r="C12" s="456"/>
      <c r="D12" s="456"/>
      <c r="E12" s="457"/>
    </row>
    <row r="13" spans="1:5" x14ac:dyDescent="0.2">
      <c r="B13" s="9"/>
      <c r="C13" s="13"/>
      <c r="D13" s="13"/>
      <c r="E13" s="5"/>
    </row>
    <row r="14" spans="1:5" x14ac:dyDescent="0.2">
      <c r="B14" s="9"/>
      <c r="C14" s="16" t="s">
        <v>25</v>
      </c>
      <c r="D14" s="15" t="s">
        <v>123</v>
      </c>
      <c r="E14" s="14"/>
    </row>
    <row r="15" spans="1:5" x14ac:dyDescent="0.2">
      <c r="B15" s="9"/>
      <c r="C15" s="16" t="s">
        <v>54</v>
      </c>
      <c r="D15" s="15" t="s">
        <v>53</v>
      </c>
      <c r="E15" s="14"/>
    </row>
    <row r="16" spans="1:5" x14ac:dyDescent="0.2">
      <c r="B16" s="9"/>
      <c r="C16" s="16" t="s">
        <v>119</v>
      </c>
      <c r="D16" s="15" t="s">
        <v>118</v>
      </c>
      <c r="E16" s="14"/>
    </row>
    <row r="17" spans="2:5" x14ac:dyDescent="0.2">
      <c r="B17" s="9"/>
      <c r="C17" s="16" t="s">
        <v>148</v>
      </c>
      <c r="D17" s="24" t="s">
        <v>147</v>
      </c>
      <c r="E17" s="14"/>
    </row>
    <row r="18" spans="2:5" x14ac:dyDescent="0.2">
      <c r="B18" s="9"/>
      <c r="C18" s="16" t="s">
        <v>146</v>
      </c>
      <c r="D18" s="109">
        <v>1E-4</v>
      </c>
      <c r="E18" s="14"/>
    </row>
    <row r="19" spans="2:5" x14ac:dyDescent="0.2">
      <c r="B19" s="9"/>
      <c r="C19" s="16" t="s">
        <v>145</v>
      </c>
      <c r="D19" s="108">
        <v>-0.01</v>
      </c>
      <c r="E19" s="14"/>
    </row>
    <row r="20" spans="2:5" ht="12" thickBot="1" x14ac:dyDescent="0.25">
      <c r="B20" s="4"/>
      <c r="C20" s="3"/>
      <c r="D20" s="3"/>
      <c r="E20" s="2"/>
    </row>
  </sheetData>
  <mergeCells count="2">
    <mergeCell ref="B2:E2"/>
    <mergeCell ref="B12:E12"/>
  </mergeCells>
  <dataValidations count="2">
    <dataValidation type="list" allowBlank="1" showInputMessage="1" showErrorMessage="1" sqref="D15">
      <formula1>"ibor,Libor"</formula1>
    </dataValidation>
    <dataValidation type="list" allowBlank="1" showInputMessage="1" showErrorMessage="1" sqref="D14">
      <formula1>"EUR,USD,GBP,JPY,CHF"</formula1>
    </dataValidation>
  </dataValidations>
  <pageMargins left="0.75" right="0.75" top="1" bottom="1" header="0.5" footer="0.5"/>
  <pageSetup paperSize="9" orientation="portrait" r:id="rId1"/>
  <headerFooter alignWithMargins="0"/>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H126"/>
  <sheetViews>
    <sheetView workbookViewId="0"/>
  </sheetViews>
  <sheetFormatPr defaultRowHeight="11.25" x14ac:dyDescent="0.2"/>
  <cols>
    <col min="1" max="1" width="3.28515625" style="74" customWidth="1"/>
    <col min="2" max="2" width="3.5703125" style="74" bestFit="1" customWidth="1"/>
    <col min="3" max="3" width="5.7109375" style="74" bestFit="1" customWidth="1"/>
    <col min="4" max="4" width="5.42578125" style="74" bestFit="1" customWidth="1"/>
    <col min="5" max="5" width="15.7109375" style="74" bestFit="1" customWidth="1"/>
    <col min="6" max="6" width="25" style="74" bestFit="1" customWidth="1"/>
    <col min="7" max="7" width="26.28515625" style="74" bestFit="1" customWidth="1"/>
    <col min="8" max="8" width="53.140625" style="74" customWidth="1"/>
    <col min="9" max="16384" width="9.140625" style="74"/>
  </cols>
  <sheetData>
    <row r="1" spans="1:8" x14ac:dyDescent="0.2">
      <c r="A1" s="74" t="s">
        <v>221</v>
      </c>
    </row>
    <row r="2" spans="1:8" x14ac:dyDescent="0.2">
      <c r="E2" s="263" t="s">
        <v>220</v>
      </c>
      <c r="F2" s="262" t="str">
        <f>PROPER(Currency)&amp;"HW_Volatility_Quote"</f>
        <v>EurHW_Volatility_Quote</v>
      </c>
    </row>
    <row r="3" spans="1:8" x14ac:dyDescent="0.2">
      <c r="E3" s="263" t="s">
        <v>219</v>
      </c>
      <c r="F3" s="262" t="str">
        <f>PROPER(Currency)&amp;"HW_MeanReversion_Quote"</f>
        <v>EurHW_MeanReversion_Quote</v>
      </c>
    </row>
    <row r="4" spans="1:8" x14ac:dyDescent="0.2">
      <c r="E4" s="263" t="s">
        <v>218</v>
      </c>
      <c r="F4" s="262" t="str">
        <f>PROPER(Currency)&amp;FamilyName&amp;$G$4</f>
        <v>Euribor3M</v>
      </c>
      <c r="G4" s="261" t="s">
        <v>43</v>
      </c>
    </row>
    <row r="6" spans="1:8" ht="22.5" x14ac:dyDescent="0.2">
      <c r="A6" s="160"/>
      <c r="B6" s="99" t="s">
        <v>188</v>
      </c>
      <c r="C6" s="203" t="s">
        <v>187</v>
      </c>
      <c r="D6" s="203" t="s">
        <v>186</v>
      </c>
      <c r="E6" s="203" t="s">
        <v>217</v>
      </c>
      <c r="F6" s="98" t="str">
        <f>Currency&amp;"_020_Futures"&amp;G4&amp;"ConvAdj.xml"</f>
        <v>EUR_020_Futures3MConvAdj.xml</v>
      </c>
      <c r="G6" s="117">
        <f ca="1">IF(Serialize,_xll.ohObjectSave(G7:G126,SerializationPath&amp;F6,FileOverwrite,Serialize),"---")</f>
        <v>120</v>
      </c>
      <c r="H6" s="81" t="str">
        <f ca="1">_xll.ohRangeRetrieveError(G6)</f>
        <v/>
      </c>
    </row>
    <row r="7" spans="1:8" x14ac:dyDescent="0.2">
      <c r="A7" s="154"/>
      <c r="B7" s="159">
        <v>1</v>
      </c>
      <c r="C7" s="157" t="b">
        <v>0</v>
      </c>
      <c r="D7" s="157" t="str">
        <f t="array" ref="D7:D126">_xll.qlIMMNextCodes(_xll.qlSettingsEvaluationDate(Trigger)-1,$C7:$C126)</f>
        <v>Z3</v>
      </c>
      <c r="E7" s="259" t="str">
        <f t="shared" ref="E7:E38" si="0">Currency&amp;"FUT"&amp;$G$4&amp;$D7&amp;QuoteSuffix</f>
        <v>EURFUT3MZ3_Quote</v>
      </c>
      <c r="F7" s="260" t="str">
        <f t="shared" ref="F7:F38" si="1">Currency&amp;"FUT"&amp;$G$4&amp;$D7&amp;"ConvAdj"&amp;QuoteSuffix</f>
        <v>EURFUT3MZ3ConvAdj_Quote</v>
      </c>
      <c r="G7" s="259" t="str">
        <f>_xll.qlFuturesConvAdjustmentQuote($F7,IborIndex,$D7,$E7,Volatility,MeanReversion,Permanent,Trigger,ObjectOverwrite)</f>
        <v>EURFUT3MZ3ConvAdj_Quote#0001</v>
      </c>
      <c r="H7" s="81" t="str">
        <f>_xll.ohRangeRetrieveError(G7)</f>
        <v/>
      </c>
    </row>
    <row r="8" spans="1:8" x14ac:dyDescent="0.2">
      <c r="A8" s="154"/>
      <c r="B8" s="115">
        <v>2</v>
      </c>
      <c r="C8" s="152" t="b">
        <v>0</v>
      </c>
      <c r="D8" s="152" t="str">
        <v>F4</v>
      </c>
      <c r="E8" s="259" t="str">
        <f t="shared" si="0"/>
        <v>EURFUT3MF4_Quote</v>
      </c>
      <c r="F8" s="260" t="str">
        <f t="shared" si="1"/>
        <v>EURFUT3MF4ConvAdj_Quote</v>
      </c>
      <c r="G8" s="259" t="str">
        <f>_xll.qlFuturesConvAdjustmentQuote($F8,IborIndex,$D8,$E8,Volatility,MeanReversion,Permanent,Trigger,ObjectOverwrite)</f>
        <v>EURFUT3MF4ConvAdj_Quote#0001</v>
      </c>
      <c r="H8" s="81" t="str">
        <f>_xll.ohRangeRetrieveError(G8)</f>
        <v/>
      </c>
    </row>
    <row r="9" spans="1:8" x14ac:dyDescent="0.2">
      <c r="A9" s="154"/>
      <c r="B9" s="115">
        <v>3</v>
      </c>
      <c r="C9" s="152" t="b">
        <v>0</v>
      </c>
      <c r="D9" s="152" t="str">
        <v>G4</v>
      </c>
      <c r="E9" s="259" t="str">
        <f t="shared" si="0"/>
        <v>EURFUT3MG4_Quote</v>
      </c>
      <c r="F9" s="260" t="str">
        <f t="shared" si="1"/>
        <v>EURFUT3MG4ConvAdj_Quote</v>
      </c>
      <c r="G9" s="259" t="str">
        <f>_xll.qlFuturesConvAdjustmentQuote($F9,IborIndex,$D9,$E9,Volatility,MeanReversion,Permanent,Trigger,ObjectOverwrite)</f>
        <v>EURFUT3MG4ConvAdj_Quote#0001</v>
      </c>
      <c r="H9" s="81" t="str">
        <f>_xll.ohRangeRetrieveError(G9)</f>
        <v/>
      </c>
    </row>
    <row r="10" spans="1:8" x14ac:dyDescent="0.2">
      <c r="A10" s="154"/>
      <c r="B10" s="115">
        <v>4</v>
      </c>
      <c r="C10" s="152" t="b">
        <v>0</v>
      </c>
      <c r="D10" s="152" t="str">
        <v>H4</v>
      </c>
      <c r="E10" s="259" t="str">
        <f t="shared" si="0"/>
        <v>EURFUT3MH4_Quote</v>
      </c>
      <c r="F10" s="260" t="str">
        <f t="shared" si="1"/>
        <v>EURFUT3MH4ConvAdj_Quote</v>
      </c>
      <c r="G10" s="259" t="str">
        <f>_xll.qlFuturesConvAdjustmentQuote($F10,IborIndex,$D10,$E10,Volatility,MeanReversion,Permanent,Trigger,ObjectOverwrite)</f>
        <v>EURFUT3MH4ConvAdj_Quote#0001</v>
      </c>
      <c r="H10" s="81" t="str">
        <f>_xll.ohRangeRetrieveError(G10)</f>
        <v/>
      </c>
    </row>
    <row r="11" spans="1:8" x14ac:dyDescent="0.2">
      <c r="A11" s="154"/>
      <c r="B11" s="115">
        <v>5</v>
      </c>
      <c r="C11" s="152" t="b">
        <v>0</v>
      </c>
      <c r="D11" s="152" t="str">
        <v>J4</v>
      </c>
      <c r="E11" s="259" t="str">
        <f t="shared" si="0"/>
        <v>EURFUT3MJ4_Quote</v>
      </c>
      <c r="F11" s="260" t="str">
        <f t="shared" si="1"/>
        <v>EURFUT3MJ4ConvAdj_Quote</v>
      </c>
      <c r="G11" s="259" t="str">
        <f>_xll.qlFuturesConvAdjustmentQuote($F11,IborIndex,$D11,$E11,Volatility,MeanReversion,Permanent,Trigger,ObjectOverwrite)</f>
        <v>EURFUT3MJ4ConvAdj_Quote#0001</v>
      </c>
      <c r="H11" s="81" t="str">
        <f>_xll.ohRangeRetrieveError(G11)</f>
        <v/>
      </c>
    </row>
    <row r="12" spans="1:8" x14ac:dyDescent="0.2">
      <c r="A12" s="154"/>
      <c r="B12" s="115">
        <v>6</v>
      </c>
      <c r="C12" s="152" t="b">
        <v>0</v>
      </c>
      <c r="D12" s="152" t="str">
        <v>K4</v>
      </c>
      <c r="E12" s="259" t="str">
        <f t="shared" si="0"/>
        <v>EURFUT3MK4_Quote</v>
      </c>
      <c r="F12" s="260" t="str">
        <f t="shared" si="1"/>
        <v>EURFUT3MK4ConvAdj_Quote</v>
      </c>
      <c r="G12" s="259" t="str">
        <f>_xll.qlFuturesConvAdjustmentQuote($F12,IborIndex,$D12,$E12,Volatility,MeanReversion,Permanent,Trigger,ObjectOverwrite)</f>
        <v>EURFUT3MK4ConvAdj_Quote#0001</v>
      </c>
      <c r="H12" s="81" t="str">
        <f>_xll.ohRangeRetrieveError(G12)</f>
        <v/>
      </c>
    </row>
    <row r="13" spans="1:8" x14ac:dyDescent="0.2">
      <c r="A13" s="154"/>
      <c r="B13" s="115">
        <v>7</v>
      </c>
      <c r="C13" s="152" t="b">
        <v>0</v>
      </c>
      <c r="D13" s="152" t="str">
        <v>M4</v>
      </c>
      <c r="E13" s="259" t="str">
        <f t="shared" si="0"/>
        <v>EURFUT3MM4_Quote</v>
      </c>
      <c r="F13" s="260" t="str">
        <f t="shared" si="1"/>
        <v>EURFUT3MM4ConvAdj_Quote</v>
      </c>
      <c r="G13" s="259" t="str">
        <f>_xll.qlFuturesConvAdjustmentQuote($F13,IborIndex,$D13,$E13,Volatility,MeanReversion,Permanent,Trigger,ObjectOverwrite)</f>
        <v>EURFUT3MM4ConvAdj_Quote#0001</v>
      </c>
      <c r="H13" s="81" t="str">
        <f>_xll.ohRangeRetrieveError(G13)</f>
        <v/>
      </c>
    </row>
    <row r="14" spans="1:8" x14ac:dyDescent="0.2">
      <c r="A14" s="154"/>
      <c r="B14" s="115">
        <v>8</v>
      </c>
      <c r="C14" s="152" t="b">
        <v>0</v>
      </c>
      <c r="D14" s="152" t="str">
        <v>N4</v>
      </c>
      <c r="E14" s="259" t="str">
        <f t="shared" si="0"/>
        <v>EURFUT3MN4_Quote</v>
      </c>
      <c r="F14" s="260" t="str">
        <f t="shared" si="1"/>
        <v>EURFUT3MN4ConvAdj_Quote</v>
      </c>
      <c r="G14" s="259" t="str">
        <f>_xll.qlFuturesConvAdjustmentQuote($F14,IborIndex,$D14,$E14,Volatility,MeanReversion,Permanent,Trigger,ObjectOverwrite)</f>
        <v>EURFUT3MN4ConvAdj_Quote#0001</v>
      </c>
      <c r="H14" s="81" t="str">
        <f>_xll.ohRangeRetrieveError(G14)</f>
        <v/>
      </c>
    </row>
    <row r="15" spans="1:8" x14ac:dyDescent="0.2">
      <c r="A15" s="154"/>
      <c r="B15" s="115">
        <v>9</v>
      </c>
      <c r="C15" s="152" t="b">
        <v>0</v>
      </c>
      <c r="D15" s="152" t="str">
        <v>Q4</v>
      </c>
      <c r="E15" s="259" t="str">
        <f t="shared" si="0"/>
        <v>EURFUT3MQ4_Quote</v>
      </c>
      <c r="F15" s="260" t="str">
        <f t="shared" si="1"/>
        <v>EURFUT3MQ4ConvAdj_Quote</v>
      </c>
      <c r="G15" s="259" t="str">
        <f>_xll.qlFuturesConvAdjustmentQuote($F15,IborIndex,$D15,$E15,Volatility,MeanReversion,Permanent,Trigger,ObjectOverwrite)</f>
        <v>EURFUT3MQ4ConvAdj_Quote#0001</v>
      </c>
      <c r="H15" s="81" t="str">
        <f>_xll.ohRangeRetrieveError(G15)</f>
        <v/>
      </c>
    </row>
    <row r="16" spans="1:8" x14ac:dyDescent="0.2">
      <c r="A16" s="154"/>
      <c r="B16" s="115">
        <v>10</v>
      </c>
      <c r="C16" s="152" t="b">
        <v>0</v>
      </c>
      <c r="D16" s="152" t="str">
        <v>U4</v>
      </c>
      <c r="E16" s="259" t="str">
        <f t="shared" si="0"/>
        <v>EURFUT3MU4_Quote</v>
      </c>
      <c r="F16" s="260" t="str">
        <f t="shared" si="1"/>
        <v>EURFUT3MU4ConvAdj_Quote</v>
      </c>
      <c r="G16" s="259" t="str">
        <f>_xll.qlFuturesConvAdjustmentQuote($F16,IborIndex,$D16,$E16,Volatility,MeanReversion,Permanent,Trigger,ObjectOverwrite)</f>
        <v>EURFUT3MU4ConvAdj_Quote#0001</v>
      </c>
      <c r="H16" s="81" t="str">
        <f>_xll.ohRangeRetrieveError(G16)</f>
        <v/>
      </c>
    </row>
    <row r="17" spans="1:8" x14ac:dyDescent="0.2">
      <c r="A17" s="154"/>
      <c r="B17" s="115">
        <v>11</v>
      </c>
      <c r="C17" s="152" t="b">
        <v>0</v>
      </c>
      <c r="D17" s="152" t="str">
        <v>V4</v>
      </c>
      <c r="E17" s="259" t="str">
        <f t="shared" si="0"/>
        <v>EURFUT3MV4_Quote</v>
      </c>
      <c r="F17" s="260" t="str">
        <f t="shared" si="1"/>
        <v>EURFUT3MV4ConvAdj_Quote</v>
      </c>
      <c r="G17" s="259" t="str">
        <f>_xll.qlFuturesConvAdjustmentQuote($F17,IborIndex,$D17,$E17,Volatility,MeanReversion,Permanent,Trigger,ObjectOverwrite)</f>
        <v>EURFUT3MV4ConvAdj_Quote#0001</v>
      </c>
      <c r="H17" s="81" t="str">
        <f>_xll.ohRangeRetrieveError(G17)</f>
        <v/>
      </c>
    </row>
    <row r="18" spans="1:8" x14ac:dyDescent="0.2">
      <c r="A18" s="154"/>
      <c r="B18" s="115">
        <v>12</v>
      </c>
      <c r="C18" s="152" t="b">
        <v>0</v>
      </c>
      <c r="D18" s="152" t="str">
        <v>X4</v>
      </c>
      <c r="E18" s="259" t="str">
        <f t="shared" si="0"/>
        <v>EURFUT3MX4_Quote</v>
      </c>
      <c r="F18" s="260" t="str">
        <f t="shared" si="1"/>
        <v>EURFUT3MX4ConvAdj_Quote</v>
      </c>
      <c r="G18" s="259" t="str">
        <f>_xll.qlFuturesConvAdjustmentQuote($F18,IborIndex,$D18,$E18,Volatility,MeanReversion,Permanent,Trigger,ObjectOverwrite)</f>
        <v>EURFUT3MX4ConvAdj_Quote#0001</v>
      </c>
      <c r="H18" s="81" t="str">
        <f>_xll.ohRangeRetrieveError(G18)</f>
        <v/>
      </c>
    </row>
    <row r="19" spans="1:8" x14ac:dyDescent="0.2">
      <c r="A19" s="154"/>
      <c r="B19" s="115">
        <v>13</v>
      </c>
      <c r="C19" s="152" t="b">
        <v>0</v>
      </c>
      <c r="D19" s="152" t="str">
        <v>Z4</v>
      </c>
      <c r="E19" s="259" t="str">
        <f t="shared" si="0"/>
        <v>EURFUT3MZ4_Quote</v>
      </c>
      <c r="F19" s="260" t="str">
        <f t="shared" si="1"/>
        <v>EURFUT3MZ4ConvAdj_Quote</v>
      </c>
      <c r="G19" s="259" t="str">
        <f>_xll.qlFuturesConvAdjustmentQuote($F19,IborIndex,$D19,$E19,Volatility,MeanReversion,Permanent,Trigger,ObjectOverwrite)</f>
        <v>EURFUT3MZ4ConvAdj_Quote#0001</v>
      </c>
      <c r="H19" s="81" t="str">
        <f>_xll.ohRangeRetrieveError(G19)</f>
        <v/>
      </c>
    </row>
    <row r="20" spans="1:8" x14ac:dyDescent="0.2">
      <c r="A20" s="154"/>
      <c r="B20" s="115">
        <v>14</v>
      </c>
      <c r="C20" s="152" t="b">
        <v>0</v>
      </c>
      <c r="D20" s="152" t="str">
        <v>F5</v>
      </c>
      <c r="E20" s="259" t="str">
        <f t="shared" si="0"/>
        <v>EURFUT3MF5_Quote</v>
      </c>
      <c r="F20" s="260" t="str">
        <f t="shared" si="1"/>
        <v>EURFUT3MF5ConvAdj_Quote</v>
      </c>
      <c r="G20" s="259" t="str">
        <f>_xll.qlFuturesConvAdjustmentQuote($F20,IborIndex,$D20,$E20,Volatility,MeanReversion,Permanent,Trigger,ObjectOverwrite)</f>
        <v>EURFUT3MF5ConvAdj_Quote#0001</v>
      </c>
      <c r="H20" s="81" t="str">
        <f>_xll.ohRangeRetrieveError(G20)</f>
        <v/>
      </c>
    </row>
    <row r="21" spans="1:8" x14ac:dyDescent="0.2">
      <c r="A21" s="154"/>
      <c r="B21" s="115">
        <v>15</v>
      </c>
      <c r="C21" s="152" t="b">
        <v>0</v>
      </c>
      <c r="D21" s="152" t="str">
        <v>G5</v>
      </c>
      <c r="E21" s="259" t="str">
        <f t="shared" si="0"/>
        <v>EURFUT3MG5_Quote</v>
      </c>
      <c r="F21" s="260" t="str">
        <f t="shared" si="1"/>
        <v>EURFUT3MG5ConvAdj_Quote</v>
      </c>
      <c r="G21" s="259" t="str">
        <f>_xll.qlFuturesConvAdjustmentQuote($F21,IborIndex,$D21,$E21,Volatility,MeanReversion,Permanent,Trigger,ObjectOverwrite)</f>
        <v>EURFUT3MG5ConvAdj_Quote#0001</v>
      </c>
      <c r="H21" s="81" t="str">
        <f>_xll.ohRangeRetrieveError(G21)</f>
        <v/>
      </c>
    </row>
    <row r="22" spans="1:8" x14ac:dyDescent="0.2">
      <c r="A22" s="154"/>
      <c r="B22" s="115">
        <v>16</v>
      </c>
      <c r="C22" s="152" t="b">
        <v>0</v>
      </c>
      <c r="D22" s="152" t="str">
        <v>H5</v>
      </c>
      <c r="E22" s="259" t="str">
        <f t="shared" si="0"/>
        <v>EURFUT3MH5_Quote</v>
      </c>
      <c r="F22" s="260" t="str">
        <f t="shared" si="1"/>
        <v>EURFUT3MH5ConvAdj_Quote</v>
      </c>
      <c r="G22" s="259" t="str">
        <f>_xll.qlFuturesConvAdjustmentQuote($F22,IborIndex,$D22,$E22,Volatility,MeanReversion,Permanent,Trigger,ObjectOverwrite)</f>
        <v>EURFUT3MH5ConvAdj_Quote#0001</v>
      </c>
      <c r="H22" s="81" t="str">
        <f>_xll.ohRangeRetrieveError(G22)</f>
        <v/>
      </c>
    </row>
    <row r="23" spans="1:8" x14ac:dyDescent="0.2">
      <c r="A23" s="154"/>
      <c r="B23" s="115">
        <v>17</v>
      </c>
      <c r="C23" s="152" t="b">
        <v>0</v>
      </c>
      <c r="D23" s="152" t="str">
        <v>J5</v>
      </c>
      <c r="E23" s="259" t="str">
        <f t="shared" si="0"/>
        <v>EURFUT3MJ5_Quote</v>
      </c>
      <c r="F23" s="260" t="str">
        <f t="shared" si="1"/>
        <v>EURFUT3MJ5ConvAdj_Quote</v>
      </c>
      <c r="G23" s="259" t="str">
        <f>_xll.qlFuturesConvAdjustmentQuote($F23,IborIndex,$D23,$E23,Volatility,MeanReversion,Permanent,Trigger,ObjectOverwrite)</f>
        <v>EURFUT3MJ5ConvAdj_Quote#0001</v>
      </c>
      <c r="H23" s="81" t="str">
        <f>_xll.ohRangeRetrieveError(G23)</f>
        <v/>
      </c>
    </row>
    <row r="24" spans="1:8" x14ac:dyDescent="0.2">
      <c r="A24" s="154"/>
      <c r="B24" s="115">
        <v>18</v>
      </c>
      <c r="C24" s="152" t="b">
        <v>0</v>
      </c>
      <c r="D24" s="152" t="str">
        <v>K5</v>
      </c>
      <c r="E24" s="259" t="str">
        <f t="shared" si="0"/>
        <v>EURFUT3MK5_Quote</v>
      </c>
      <c r="F24" s="260" t="str">
        <f t="shared" si="1"/>
        <v>EURFUT3MK5ConvAdj_Quote</v>
      </c>
      <c r="G24" s="259" t="str">
        <f>_xll.qlFuturesConvAdjustmentQuote($F24,IborIndex,$D24,$E24,Volatility,MeanReversion,Permanent,Trigger,ObjectOverwrite)</f>
        <v>EURFUT3MK5ConvAdj_Quote#0001</v>
      </c>
      <c r="H24" s="81" t="str">
        <f>_xll.ohRangeRetrieveError(G24)</f>
        <v/>
      </c>
    </row>
    <row r="25" spans="1:8" x14ac:dyDescent="0.2">
      <c r="A25" s="154"/>
      <c r="B25" s="115">
        <v>19</v>
      </c>
      <c r="C25" s="152" t="b">
        <v>0</v>
      </c>
      <c r="D25" s="152" t="str">
        <v>M5</v>
      </c>
      <c r="E25" s="259" t="str">
        <f t="shared" si="0"/>
        <v>EURFUT3MM5_Quote</v>
      </c>
      <c r="F25" s="260" t="str">
        <f t="shared" si="1"/>
        <v>EURFUT3MM5ConvAdj_Quote</v>
      </c>
      <c r="G25" s="259" t="str">
        <f>_xll.qlFuturesConvAdjustmentQuote($F25,IborIndex,$D25,$E25,Volatility,MeanReversion,Permanent,Trigger,ObjectOverwrite)</f>
        <v>EURFUT3MM5ConvAdj_Quote#0001</v>
      </c>
      <c r="H25" s="81" t="str">
        <f>_xll.ohRangeRetrieveError(G25)</f>
        <v/>
      </c>
    </row>
    <row r="26" spans="1:8" x14ac:dyDescent="0.2">
      <c r="A26" s="154"/>
      <c r="B26" s="115">
        <v>20</v>
      </c>
      <c r="C26" s="152" t="b">
        <v>0</v>
      </c>
      <c r="D26" s="152" t="str">
        <v>N5</v>
      </c>
      <c r="E26" s="259" t="str">
        <f t="shared" si="0"/>
        <v>EURFUT3MN5_Quote</v>
      </c>
      <c r="F26" s="260" t="str">
        <f t="shared" si="1"/>
        <v>EURFUT3MN5ConvAdj_Quote</v>
      </c>
      <c r="G26" s="259" t="str">
        <f>_xll.qlFuturesConvAdjustmentQuote($F26,IborIndex,$D26,$E26,Volatility,MeanReversion,Permanent,Trigger,ObjectOverwrite)</f>
        <v>EURFUT3MN5ConvAdj_Quote#0001</v>
      </c>
      <c r="H26" s="81" t="str">
        <f>_xll.ohRangeRetrieveError(G26)</f>
        <v/>
      </c>
    </row>
    <row r="27" spans="1:8" x14ac:dyDescent="0.2">
      <c r="A27" s="154"/>
      <c r="B27" s="115">
        <v>21</v>
      </c>
      <c r="C27" s="152" t="b">
        <v>0</v>
      </c>
      <c r="D27" s="152" t="str">
        <v>Q5</v>
      </c>
      <c r="E27" s="259" t="str">
        <f t="shared" si="0"/>
        <v>EURFUT3MQ5_Quote</v>
      </c>
      <c r="F27" s="260" t="str">
        <f t="shared" si="1"/>
        <v>EURFUT3MQ5ConvAdj_Quote</v>
      </c>
      <c r="G27" s="259" t="str">
        <f>_xll.qlFuturesConvAdjustmentQuote($F27,IborIndex,$D27,$E27,Volatility,MeanReversion,Permanent,Trigger,ObjectOverwrite)</f>
        <v>EURFUT3MQ5ConvAdj_Quote#0001</v>
      </c>
      <c r="H27" s="81" t="str">
        <f>_xll.ohRangeRetrieveError(G27)</f>
        <v/>
      </c>
    </row>
    <row r="28" spans="1:8" x14ac:dyDescent="0.2">
      <c r="A28" s="154"/>
      <c r="B28" s="115">
        <v>22</v>
      </c>
      <c r="C28" s="152" t="b">
        <v>0</v>
      </c>
      <c r="D28" s="152" t="str">
        <v>U5</v>
      </c>
      <c r="E28" s="259" t="str">
        <f t="shared" si="0"/>
        <v>EURFUT3MU5_Quote</v>
      </c>
      <c r="F28" s="260" t="str">
        <f t="shared" si="1"/>
        <v>EURFUT3MU5ConvAdj_Quote</v>
      </c>
      <c r="G28" s="259" t="str">
        <f>_xll.qlFuturesConvAdjustmentQuote($F28,IborIndex,$D28,$E28,Volatility,MeanReversion,Permanent,Trigger,ObjectOverwrite)</f>
        <v>EURFUT3MU5ConvAdj_Quote#0001</v>
      </c>
      <c r="H28" s="81" t="str">
        <f>_xll.ohRangeRetrieveError(G28)</f>
        <v/>
      </c>
    </row>
    <row r="29" spans="1:8" x14ac:dyDescent="0.2">
      <c r="A29" s="154"/>
      <c r="B29" s="115">
        <v>23</v>
      </c>
      <c r="C29" s="152" t="b">
        <v>0</v>
      </c>
      <c r="D29" s="152" t="str">
        <v>V5</v>
      </c>
      <c r="E29" s="259" t="str">
        <f t="shared" si="0"/>
        <v>EURFUT3MV5_Quote</v>
      </c>
      <c r="F29" s="260" t="str">
        <f t="shared" si="1"/>
        <v>EURFUT3MV5ConvAdj_Quote</v>
      </c>
      <c r="G29" s="259" t="str">
        <f>_xll.qlFuturesConvAdjustmentQuote($F29,IborIndex,$D29,$E29,Volatility,MeanReversion,Permanent,Trigger,ObjectOverwrite)</f>
        <v>EURFUT3MV5ConvAdj_Quote#0001</v>
      </c>
      <c r="H29" s="81" t="str">
        <f>_xll.ohRangeRetrieveError(G29)</f>
        <v/>
      </c>
    </row>
    <row r="30" spans="1:8" x14ac:dyDescent="0.2">
      <c r="A30" s="154"/>
      <c r="B30" s="115">
        <v>24</v>
      </c>
      <c r="C30" s="152" t="b">
        <v>0</v>
      </c>
      <c r="D30" s="152" t="str">
        <v>X5</v>
      </c>
      <c r="E30" s="259" t="str">
        <f t="shared" si="0"/>
        <v>EURFUT3MX5_Quote</v>
      </c>
      <c r="F30" s="260" t="str">
        <f t="shared" si="1"/>
        <v>EURFUT3MX5ConvAdj_Quote</v>
      </c>
      <c r="G30" s="259" t="str">
        <f>_xll.qlFuturesConvAdjustmentQuote($F30,IborIndex,$D30,$E30,Volatility,MeanReversion,Permanent,Trigger,ObjectOverwrite)</f>
        <v>EURFUT3MX5ConvAdj_Quote#0001</v>
      </c>
      <c r="H30" s="81" t="str">
        <f>_xll.ohRangeRetrieveError(G30)</f>
        <v/>
      </c>
    </row>
    <row r="31" spans="1:8" x14ac:dyDescent="0.2">
      <c r="A31" s="154"/>
      <c r="B31" s="115">
        <v>25</v>
      </c>
      <c r="C31" s="152" t="b">
        <v>0</v>
      </c>
      <c r="D31" s="152" t="str">
        <v>Z5</v>
      </c>
      <c r="E31" s="259" t="str">
        <f t="shared" si="0"/>
        <v>EURFUT3MZ5_Quote</v>
      </c>
      <c r="F31" s="260" t="str">
        <f t="shared" si="1"/>
        <v>EURFUT3MZ5ConvAdj_Quote</v>
      </c>
      <c r="G31" s="259" t="str">
        <f>_xll.qlFuturesConvAdjustmentQuote($F31,IborIndex,$D31,$E31,Volatility,MeanReversion,Permanent,Trigger,ObjectOverwrite)</f>
        <v>EURFUT3MZ5ConvAdj_Quote#0001</v>
      </c>
      <c r="H31" s="81" t="str">
        <f>_xll.ohRangeRetrieveError(G31)</f>
        <v/>
      </c>
    </row>
    <row r="32" spans="1:8" x14ac:dyDescent="0.2">
      <c r="A32" s="154"/>
      <c r="B32" s="115">
        <v>26</v>
      </c>
      <c r="C32" s="152" t="b">
        <v>0</v>
      </c>
      <c r="D32" s="152" t="str">
        <v>F6</v>
      </c>
      <c r="E32" s="259" t="str">
        <f t="shared" si="0"/>
        <v>EURFUT3MF6_Quote</v>
      </c>
      <c r="F32" s="260" t="str">
        <f t="shared" si="1"/>
        <v>EURFUT3MF6ConvAdj_Quote</v>
      </c>
      <c r="G32" s="259" t="str">
        <f>_xll.qlFuturesConvAdjustmentQuote($F32,IborIndex,$D32,$E32,Volatility,MeanReversion,Permanent,Trigger,ObjectOverwrite)</f>
        <v>EURFUT3MF6ConvAdj_Quote#0001</v>
      </c>
      <c r="H32" s="81" t="str">
        <f>_xll.ohRangeRetrieveError(G32)</f>
        <v/>
      </c>
    </row>
    <row r="33" spans="1:8" x14ac:dyDescent="0.2">
      <c r="A33" s="154"/>
      <c r="B33" s="115">
        <v>27</v>
      </c>
      <c r="C33" s="152" t="b">
        <v>0</v>
      </c>
      <c r="D33" s="152" t="str">
        <v>G6</v>
      </c>
      <c r="E33" s="259" t="str">
        <f t="shared" si="0"/>
        <v>EURFUT3MG6_Quote</v>
      </c>
      <c r="F33" s="260" t="str">
        <f t="shared" si="1"/>
        <v>EURFUT3MG6ConvAdj_Quote</v>
      </c>
      <c r="G33" s="259" t="str">
        <f>_xll.qlFuturesConvAdjustmentQuote($F33,IborIndex,$D33,$E33,Volatility,MeanReversion,Permanent,Trigger,ObjectOverwrite)</f>
        <v>EURFUT3MG6ConvAdj_Quote#0001</v>
      </c>
      <c r="H33" s="81" t="str">
        <f>_xll.ohRangeRetrieveError(G33)</f>
        <v/>
      </c>
    </row>
    <row r="34" spans="1:8" x14ac:dyDescent="0.2">
      <c r="A34" s="154"/>
      <c r="B34" s="115">
        <v>28</v>
      </c>
      <c r="C34" s="152" t="b">
        <v>0</v>
      </c>
      <c r="D34" s="152" t="str">
        <v>H6</v>
      </c>
      <c r="E34" s="259" t="str">
        <f t="shared" si="0"/>
        <v>EURFUT3MH6_Quote</v>
      </c>
      <c r="F34" s="260" t="str">
        <f t="shared" si="1"/>
        <v>EURFUT3MH6ConvAdj_Quote</v>
      </c>
      <c r="G34" s="259" t="str">
        <f>_xll.qlFuturesConvAdjustmentQuote($F34,IborIndex,$D34,$E34,Volatility,MeanReversion,Permanent,Trigger,ObjectOverwrite)</f>
        <v>EURFUT3MH6ConvAdj_Quote#0001</v>
      </c>
      <c r="H34" s="81" t="str">
        <f>_xll.ohRangeRetrieveError(G34)</f>
        <v/>
      </c>
    </row>
    <row r="35" spans="1:8" x14ac:dyDescent="0.2">
      <c r="A35" s="154"/>
      <c r="B35" s="115">
        <v>29</v>
      </c>
      <c r="C35" s="152" t="b">
        <v>0</v>
      </c>
      <c r="D35" s="152" t="str">
        <v>J6</v>
      </c>
      <c r="E35" s="259" t="str">
        <f t="shared" si="0"/>
        <v>EURFUT3MJ6_Quote</v>
      </c>
      <c r="F35" s="260" t="str">
        <f t="shared" si="1"/>
        <v>EURFUT3MJ6ConvAdj_Quote</v>
      </c>
      <c r="G35" s="259" t="str">
        <f>_xll.qlFuturesConvAdjustmentQuote($F35,IborIndex,$D35,$E35,Volatility,MeanReversion,Permanent,Trigger,ObjectOverwrite)</f>
        <v>EURFUT3MJ6ConvAdj_Quote#0001</v>
      </c>
      <c r="H35" s="81" t="str">
        <f>_xll.ohRangeRetrieveError(G35)</f>
        <v/>
      </c>
    </row>
    <row r="36" spans="1:8" x14ac:dyDescent="0.2">
      <c r="A36" s="154"/>
      <c r="B36" s="115">
        <v>30</v>
      </c>
      <c r="C36" s="152" t="b">
        <v>0</v>
      </c>
      <c r="D36" s="152" t="str">
        <v>K6</v>
      </c>
      <c r="E36" s="259" t="str">
        <f t="shared" si="0"/>
        <v>EURFUT3MK6_Quote</v>
      </c>
      <c r="F36" s="260" t="str">
        <f t="shared" si="1"/>
        <v>EURFUT3MK6ConvAdj_Quote</v>
      </c>
      <c r="G36" s="259" t="str">
        <f>_xll.qlFuturesConvAdjustmentQuote($F36,IborIndex,$D36,$E36,Volatility,MeanReversion,Permanent,Trigger,ObjectOverwrite)</f>
        <v>EURFUT3MK6ConvAdj_Quote#0001</v>
      </c>
      <c r="H36" s="81" t="str">
        <f>_xll.ohRangeRetrieveError(G36)</f>
        <v/>
      </c>
    </row>
    <row r="37" spans="1:8" x14ac:dyDescent="0.2">
      <c r="A37" s="154"/>
      <c r="B37" s="115">
        <v>31</v>
      </c>
      <c r="C37" s="152" t="b">
        <v>0</v>
      </c>
      <c r="D37" s="152" t="str">
        <v>M6</v>
      </c>
      <c r="E37" s="259" t="str">
        <f t="shared" si="0"/>
        <v>EURFUT3MM6_Quote</v>
      </c>
      <c r="F37" s="260" t="str">
        <f t="shared" si="1"/>
        <v>EURFUT3MM6ConvAdj_Quote</v>
      </c>
      <c r="G37" s="259" t="str">
        <f>_xll.qlFuturesConvAdjustmentQuote($F37,IborIndex,$D37,$E37,Volatility,MeanReversion,Permanent,Trigger,ObjectOverwrite)</f>
        <v>EURFUT3MM6ConvAdj_Quote#0001</v>
      </c>
      <c r="H37" s="81" t="str">
        <f>_xll.ohRangeRetrieveError(G37)</f>
        <v/>
      </c>
    </row>
    <row r="38" spans="1:8" x14ac:dyDescent="0.2">
      <c r="A38" s="154"/>
      <c r="B38" s="115">
        <v>32</v>
      </c>
      <c r="C38" s="152" t="b">
        <v>0</v>
      </c>
      <c r="D38" s="152" t="str">
        <v>N6</v>
      </c>
      <c r="E38" s="259" t="str">
        <f t="shared" si="0"/>
        <v>EURFUT3MN6_Quote</v>
      </c>
      <c r="F38" s="260" t="str">
        <f t="shared" si="1"/>
        <v>EURFUT3MN6ConvAdj_Quote</v>
      </c>
      <c r="G38" s="259" t="str">
        <f>_xll.qlFuturesConvAdjustmentQuote($F38,IborIndex,$D38,$E38,Volatility,MeanReversion,Permanent,Trigger,ObjectOverwrite)</f>
        <v>EURFUT3MN6ConvAdj_Quote#0001</v>
      </c>
      <c r="H38" s="81" t="str">
        <f>_xll.ohRangeRetrieveError(G38)</f>
        <v/>
      </c>
    </row>
    <row r="39" spans="1:8" x14ac:dyDescent="0.2">
      <c r="A39" s="154"/>
      <c r="B39" s="115">
        <v>33</v>
      </c>
      <c r="C39" s="152" t="b">
        <v>0</v>
      </c>
      <c r="D39" s="152" t="str">
        <v>Q6</v>
      </c>
      <c r="E39" s="259" t="str">
        <f t="shared" ref="E39:E70" si="2">Currency&amp;"FUT"&amp;$G$4&amp;$D39&amp;QuoteSuffix</f>
        <v>EURFUT3MQ6_Quote</v>
      </c>
      <c r="F39" s="260" t="str">
        <f t="shared" ref="F39:F70" si="3">Currency&amp;"FUT"&amp;$G$4&amp;$D39&amp;"ConvAdj"&amp;QuoteSuffix</f>
        <v>EURFUT3MQ6ConvAdj_Quote</v>
      </c>
      <c r="G39" s="259" t="str">
        <f>_xll.qlFuturesConvAdjustmentQuote($F39,IborIndex,$D39,$E39,Volatility,MeanReversion,Permanent,Trigger,ObjectOverwrite)</f>
        <v>EURFUT3MQ6ConvAdj_Quote#0001</v>
      </c>
      <c r="H39" s="81" t="str">
        <f>_xll.ohRangeRetrieveError(G39)</f>
        <v/>
      </c>
    </row>
    <row r="40" spans="1:8" x14ac:dyDescent="0.2">
      <c r="A40" s="154"/>
      <c r="B40" s="115">
        <v>34</v>
      </c>
      <c r="C40" s="152" t="b">
        <v>0</v>
      </c>
      <c r="D40" s="152" t="str">
        <v>U6</v>
      </c>
      <c r="E40" s="259" t="str">
        <f t="shared" si="2"/>
        <v>EURFUT3MU6_Quote</v>
      </c>
      <c r="F40" s="260" t="str">
        <f t="shared" si="3"/>
        <v>EURFUT3MU6ConvAdj_Quote</v>
      </c>
      <c r="G40" s="259" t="str">
        <f>_xll.qlFuturesConvAdjustmentQuote($F40,IborIndex,$D40,$E40,Volatility,MeanReversion,Permanent,Trigger,ObjectOverwrite)</f>
        <v>EURFUT3MU6ConvAdj_Quote#0001</v>
      </c>
      <c r="H40" s="81" t="str">
        <f>_xll.ohRangeRetrieveError(G40)</f>
        <v/>
      </c>
    </row>
    <row r="41" spans="1:8" x14ac:dyDescent="0.2">
      <c r="A41" s="154"/>
      <c r="B41" s="115">
        <v>35</v>
      </c>
      <c r="C41" s="152" t="b">
        <v>0</v>
      </c>
      <c r="D41" s="152" t="str">
        <v>V6</v>
      </c>
      <c r="E41" s="259" t="str">
        <f t="shared" si="2"/>
        <v>EURFUT3MV6_Quote</v>
      </c>
      <c r="F41" s="260" t="str">
        <f t="shared" si="3"/>
        <v>EURFUT3MV6ConvAdj_Quote</v>
      </c>
      <c r="G41" s="259" t="str">
        <f>_xll.qlFuturesConvAdjustmentQuote($F41,IborIndex,$D41,$E41,Volatility,MeanReversion,Permanent,Trigger,ObjectOverwrite)</f>
        <v>EURFUT3MV6ConvAdj_Quote#0001</v>
      </c>
      <c r="H41" s="81" t="str">
        <f>_xll.ohRangeRetrieveError(G41)</f>
        <v/>
      </c>
    </row>
    <row r="42" spans="1:8" x14ac:dyDescent="0.2">
      <c r="A42" s="154"/>
      <c r="B42" s="115">
        <v>36</v>
      </c>
      <c r="C42" s="152" t="b">
        <v>0</v>
      </c>
      <c r="D42" s="152" t="str">
        <v>X6</v>
      </c>
      <c r="E42" s="259" t="str">
        <f t="shared" si="2"/>
        <v>EURFUT3MX6_Quote</v>
      </c>
      <c r="F42" s="260" t="str">
        <f t="shared" si="3"/>
        <v>EURFUT3MX6ConvAdj_Quote</v>
      </c>
      <c r="G42" s="259" t="str">
        <f>_xll.qlFuturesConvAdjustmentQuote($F42,IborIndex,$D42,$E42,Volatility,MeanReversion,Permanent,Trigger,ObjectOverwrite)</f>
        <v>EURFUT3MX6ConvAdj_Quote#0001</v>
      </c>
      <c r="H42" s="81" t="str">
        <f>_xll.ohRangeRetrieveError(G42)</f>
        <v/>
      </c>
    </row>
    <row r="43" spans="1:8" x14ac:dyDescent="0.2">
      <c r="A43" s="154"/>
      <c r="B43" s="115">
        <v>37</v>
      </c>
      <c r="C43" s="152" t="b">
        <v>0</v>
      </c>
      <c r="D43" s="152" t="str">
        <v>Z6</v>
      </c>
      <c r="E43" s="259" t="str">
        <f t="shared" si="2"/>
        <v>EURFUT3MZ6_Quote</v>
      </c>
      <c r="F43" s="260" t="str">
        <f t="shared" si="3"/>
        <v>EURFUT3MZ6ConvAdj_Quote</v>
      </c>
      <c r="G43" s="259" t="str">
        <f>_xll.qlFuturesConvAdjustmentQuote($F43,IborIndex,$D43,$E43,Volatility,MeanReversion,Permanent,Trigger,ObjectOverwrite)</f>
        <v>EURFUT3MZ6ConvAdj_Quote#0001</v>
      </c>
      <c r="H43" s="81" t="str">
        <f>_xll.ohRangeRetrieveError(G43)</f>
        <v/>
      </c>
    </row>
    <row r="44" spans="1:8" x14ac:dyDescent="0.2">
      <c r="A44" s="154"/>
      <c r="B44" s="115">
        <v>38</v>
      </c>
      <c r="C44" s="152" t="b">
        <v>0</v>
      </c>
      <c r="D44" s="152" t="str">
        <v>F7</v>
      </c>
      <c r="E44" s="259" t="str">
        <f t="shared" si="2"/>
        <v>EURFUT3MF7_Quote</v>
      </c>
      <c r="F44" s="260" t="str">
        <f t="shared" si="3"/>
        <v>EURFUT3MF7ConvAdj_Quote</v>
      </c>
      <c r="G44" s="259" t="str">
        <f>_xll.qlFuturesConvAdjustmentQuote($F44,IborIndex,$D44,$E44,Volatility,MeanReversion,Permanent,Trigger,ObjectOverwrite)</f>
        <v>EURFUT3MF7ConvAdj_Quote#0001</v>
      </c>
      <c r="H44" s="81" t="str">
        <f>_xll.ohRangeRetrieveError(G44)</f>
        <v/>
      </c>
    </row>
    <row r="45" spans="1:8" x14ac:dyDescent="0.2">
      <c r="A45" s="154"/>
      <c r="B45" s="115">
        <v>39</v>
      </c>
      <c r="C45" s="152" t="b">
        <v>0</v>
      </c>
      <c r="D45" s="152" t="str">
        <v>G7</v>
      </c>
      <c r="E45" s="259" t="str">
        <f t="shared" si="2"/>
        <v>EURFUT3MG7_Quote</v>
      </c>
      <c r="F45" s="260" t="str">
        <f t="shared" si="3"/>
        <v>EURFUT3MG7ConvAdj_Quote</v>
      </c>
      <c r="G45" s="259" t="str">
        <f>_xll.qlFuturesConvAdjustmentQuote($F45,IborIndex,$D45,$E45,Volatility,MeanReversion,Permanent,Trigger,ObjectOverwrite)</f>
        <v>EURFUT3MG7ConvAdj_Quote#0001</v>
      </c>
      <c r="H45" s="81" t="str">
        <f>_xll.ohRangeRetrieveError(G45)</f>
        <v/>
      </c>
    </row>
    <row r="46" spans="1:8" x14ac:dyDescent="0.2">
      <c r="A46" s="154"/>
      <c r="B46" s="115">
        <v>40</v>
      </c>
      <c r="C46" s="152" t="b">
        <v>0</v>
      </c>
      <c r="D46" s="152" t="str">
        <v>H7</v>
      </c>
      <c r="E46" s="259" t="str">
        <f t="shared" si="2"/>
        <v>EURFUT3MH7_Quote</v>
      </c>
      <c r="F46" s="260" t="str">
        <f t="shared" si="3"/>
        <v>EURFUT3MH7ConvAdj_Quote</v>
      </c>
      <c r="G46" s="259" t="str">
        <f>_xll.qlFuturesConvAdjustmentQuote($F46,IborIndex,$D46,$E46,Volatility,MeanReversion,Permanent,Trigger,ObjectOverwrite)</f>
        <v>EURFUT3MH7ConvAdj_Quote#0001</v>
      </c>
      <c r="H46" s="81" t="str">
        <f>_xll.ohRangeRetrieveError(G46)</f>
        <v/>
      </c>
    </row>
    <row r="47" spans="1:8" x14ac:dyDescent="0.2">
      <c r="A47" s="154"/>
      <c r="B47" s="115">
        <v>41</v>
      </c>
      <c r="C47" s="152" t="b">
        <v>0</v>
      </c>
      <c r="D47" s="152" t="str">
        <v>J7</v>
      </c>
      <c r="E47" s="259" t="str">
        <f t="shared" si="2"/>
        <v>EURFUT3MJ7_Quote</v>
      </c>
      <c r="F47" s="260" t="str">
        <f t="shared" si="3"/>
        <v>EURFUT3MJ7ConvAdj_Quote</v>
      </c>
      <c r="G47" s="259" t="str">
        <f>_xll.qlFuturesConvAdjustmentQuote($F47,IborIndex,$D47,$E47,Volatility,MeanReversion,Permanent,Trigger,ObjectOverwrite)</f>
        <v>EURFUT3MJ7ConvAdj_Quote#0001</v>
      </c>
      <c r="H47" s="81" t="str">
        <f>_xll.ohRangeRetrieveError(G47)</f>
        <v/>
      </c>
    </row>
    <row r="48" spans="1:8" x14ac:dyDescent="0.2">
      <c r="A48" s="154"/>
      <c r="B48" s="115">
        <v>42</v>
      </c>
      <c r="C48" s="152" t="b">
        <v>0</v>
      </c>
      <c r="D48" s="152" t="str">
        <v>K7</v>
      </c>
      <c r="E48" s="259" t="str">
        <f t="shared" si="2"/>
        <v>EURFUT3MK7_Quote</v>
      </c>
      <c r="F48" s="260" t="str">
        <f t="shared" si="3"/>
        <v>EURFUT3MK7ConvAdj_Quote</v>
      </c>
      <c r="G48" s="259" t="str">
        <f>_xll.qlFuturesConvAdjustmentQuote($F48,IborIndex,$D48,$E48,Volatility,MeanReversion,Permanent,Trigger,ObjectOverwrite)</f>
        <v>EURFUT3MK7ConvAdj_Quote#0001</v>
      </c>
      <c r="H48" s="81" t="str">
        <f>_xll.ohRangeRetrieveError(G48)</f>
        <v/>
      </c>
    </row>
    <row r="49" spans="1:8" x14ac:dyDescent="0.2">
      <c r="A49" s="154"/>
      <c r="B49" s="115">
        <v>43</v>
      </c>
      <c r="C49" s="152" t="b">
        <v>0</v>
      </c>
      <c r="D49" s="152" t="str">
        <v>M7</v>
      </c>
      <c r="E49" s="259" t="str">
        <f t="shared" si="2"/>
        <v>EURFUT3MM7_Quote</v>
      </c>
      <c r="F49" s="260" t="str">
        <f t="shared" si="3"/>
        <v>EURFUT3MM7ConvAdj_Quote</v>
      </c>
      <c r="G49" s="259" t="str">
        <f>_xll.qlFuturesConvAdjustmentQuote($F49,IborIndex,$D49,$E49,Volatility,MeanReversion,Permanent,Trigger,ObjectOverwrite)</f>
        <v>EURFUT3MM7ConvAdj_Quote#0001</v>
      </c>
      <c r="H49" s="81" t="str">
        <f>_xll.ohRangeRetrieveError(G49)</f>
        <v/>
      </c>
    </row>
    <row r="50" spans="1:8" x14ac:dyDescent="0.2">
      <c r="A50" s="154"/>
      <c r="B50" s="115">
        <v>44</v>
      </c>
      <c r="C50" s="152" t="b">
        <v>0</v>
      </c>
      <c r="D50" s="152" t="str">
        <v>N7</v>
      </c>
      <c r="E50" s="259" t="str">
        <f t="shared" si="2"/>
        <v>EURFUT3MN7_Quote</v>
      </c>
      <c r="F50" s="260" t="str">
        <f t="shared" si="3"/>
        <v>EURFUT3MN7ConvAdj_Quote</v>
      </c>
      <c r="G50" s="259" t="str">
        <f>_xll.qlFuturesConvAdjustmentQuote($F50,IborIndex,$D50,$E50,Volatility,MeanReversion,Permanent,Trigger,ObjectOverwrite)</f>
        <v>EURFUT3MN7ConvAdj_Quote#0001</v>
      </c>
      <c r="H50" s="81" t="str">
        <f>_xll.ohRangeRetrieveError(G50)</f>
        <v/>
      </c>
    </row>
    <row r="51" spans="1:8" x14ac:dyDescent="0.2">
      <c r="A51" s="154"/>
      <c r="B51" s="115">
        <v>45</v>
      </c>
      <c r="C51" s="152" t="b">
        <v>0</v>
      </c>
      <c r="D51" s="152" t="str">
        <v>Q7</v>
      </c>
      <c r="E51" s="259" t="str">
        <f t="shared" si="2"/>
        <v>EURFUT3MQ7_Quote</v>
      </c>
      <c r="F51" s="260" t="str">
        <f t="shared" si="3"/>
        <v>EURFUT3MQ7ConvAdj_Quote</v>
      </c>
      <c r="G51" s="259" t="str">
        <f>_xll.qlFuturesConvAdjustmentQuote($F51,IborIndex,$D51,$E51,Volatility,MeanReversion,Permanent,Trigger,ObjectOverwrite)</f>
        <v>EURFUT3MQ7ConvAdj_Quote#0001</v>
      </c>
      <c r="H51" s="81" t="str">
        <f>_xll.ohRangeRetrieveError(G51)</f>
        <v/>
      </c>
    </row>
    <row r="52" spans="1:8" x14ac:dyDescent="0.2">
      <c r="A52" s="154"/>
      <c r="B52" s="115">
        <v>46</v>
      </c>
      <c r="C52" s="152" t="b">
        <v>0</v>
      </c>
      <c r="D52" s="152" t="str">
        <v>U7</v>
      </c>
      <c r="E52" s="259" t="str">
        <f t="shared" si="2"/>
        <v>EURFUT3MU7_Quote</v>
      </c>
      <c r="F52" s="260" t="str">
        <f t="shared" si="3"/>
        <v>EURFUT3MU7ConvAdj_Quote</v>
      </c>
      <c r="G52" s="259" t="str">
        <f>_xll.qlFuturesConvAdjustmentQuote($F52,IborIndex,$D52,$E52,Volatility,MeanReversion,Permanent,Trigger,ObjectOverwrite)</f>
        <v>EURFUT3MU7ConvAdj_Quote#0001</v>
      </c>
      <c r="H52" s="81" t="str">
        <f>_xll.ohRangeRetrieveError(G52)</f>
        <v/>
      </c>
    </row>
    <row r="53" spans="1:8" x14ac:dyDescent="0.2">
      <c r="A53" s="154"/>
      <c r="B53" s="115">
        <v>47</v>
      </c>
      <c r="C53" s="152" t="b">
        <v>0</v>
      </c>
      <c r="D53" s="152" t="str">
        <v>V7</v>
      </c>
      <c r="E53" s="259" t="str">
        <f t="shared" si="2"/>
        <v>EURFUT3MV7_Quote</v>
      </c>
      <c r="F53" s="260" t="str">
        <f t="shared" si="3"/>
        <v>EURFUT3MV7ConvAdj_Quote</v>
      </c>
      <c r="G53" s="259" t="str">
        <f>_xll.qlFuturesConvAdjustmentQuote($F53,IborIndex,$D53,$E53,Volatility,MeanReversion,Permanent,Trigger,ObjectOverwrite)</f>
        <v>EURFUT3MV7ConvAdj_Quote#0001</v>
      </c>
      <c r="H53" s="81" t="str">
        <f>_xll.ohRangeRetrieveError(G53)</f>
        <v/>
      </c>
    </row>
    <row r="54" spans="1:8" x14ac:dyDescent="0.2">
      <c r="A54" s="154"/>
      <c r="B54" s="115">
        <v>48</v>
      </c>
      <c r="C54" s="152" t="b">
        <v>0</v>
      </c>
      <c r="D54" s="152" t="str">
        <v>X7</v>
      </c>
      <c r="E54" s="259" t="str">
        <f t="shared" si="2"/>
        <v>EURFUT3MX7_Quote</v>
      </c>
      <c r="F54" s="260" t="str">
        <f t="shared" si="3"/>
        <v>EURFUT3MX7ConvAdj_Quote</v>
      </c>
      <c r="G54" s="259" t="str">
        <f>_xll.qlFuturesConvAdjustmentQuote($F54,IborIndex,$D54,$E54,Volatility,MeanReversion,Permanent,Trigger,ObjectOverwrite)</f>
        <v>EURFUT3MX7ConvAdj_Quote#0001</v>
      </c>
      <c r="H54" s="81" t="str">
        <f>_xll.ohRangeRetrieveError(G54)</f>
        <v/>
      </c>
    </row>
    <row r="55" spans="1:8" x14ac:dyDescent="0.2">
      <c r="A55" s="154"/>
      <c r="B55" s="115">
        <v>49</v>
      </c>
      <c r="C55" s="152" t="b">
        <v>0</v>
      </c>
      <c r="D55" s="152" t="str">
        <v>Z7</v>
      </c>
      <c r="E55" s="259" t="str">
        <f t="shared" si="2"/>
        <v>EURFUT3MZ7_Quote</v>
      </c>
      <c r="F55" s="260" t="str">
        <f t="shared" si="3"/>
        <v>EURFUT3MZ7ConvAdj_Quote</v>
      </c>
      <c r="G55" s="259" t="str">
        <f>_xll.qlFuturesConvAdjustmentQuote($F55,IborIndex,$D55,$E55,Volatility,MeanReversion,Permanent,Trigger,ObjectOverwrite)</f>
        <v>EURFUT3MZ7ConvAdj_Quote#0001</v>
      </c>
      <c r="H55" s="81" t="str">
        <f>_xll.ohRangeRetrieveError(G55)</f>
        <v/>
      </c>
    </row>
    <row r="56" spans="1:8" x14ac:dyDescent="0.2">
      <c r="A56" s="154"/>
      <c r="B56" s="115">
        <v>50</v>
      </c>
      <c r="C56" s="152" t="b">
        <v>0</v>
      </c>
      <c r="D56" s="152" t="str">
        <v>F8</v>
      </c>
      <c r="E56" s="259" t="str">
        <f t="shared" si="2"/>
        <v>EURFUT3MF8_Quote</v>
      </c>
      <c r="F56" s="260" t="str">
        <f t="shared" si="3"/>
        <v>EURFUT3MF8ConvAdj_Quote</v>
      </c>
      <c r="G56" s="259" t="str">
        <f>_xll.qlFuturesConvAdjustmentQuote($F56,IborIndex,$D56,$E56,Volatility,MeanReversion,Permanent,Trigger,ObjectOverwrite)</f>
        <v>EURFUT3MF8ConvAdj_Quote#0001</v>
      </c>
      <c r="H56" s="81" t="str">
        <f>_xll.ohRangeRetrieveError(G56)</f>
        <v/>
      </c>
    </row>
    <row r="57" spans="1:8" x14ac:dyDescent="0.2">
      <c r="A57" s="154"/>
      <c r="B57" s="115">
        <v>51</v>
      </c>
      <c r="C57" s="152" t="b">
        <v>0</v>
      </c>
      <c r="D57" s="152" t="str">
        <v>G8</v>
      </c>
      <c r="E57" s="259" t="str">
        <f t="shared" si="2"/>
        <v>EURFUT3MG8_Quote</v>
      </c>
      <c r="F57" s="260" t="str">
        <f t="shared" si="3"/>
        <v>EURFUT3MG8ConvAdj_Quote</v>
      </c>
      <c r="G57" s="259" t="str">
        <f>_xll.qlFuturesConvAdjustmentQuote($F57,IborIndex,$D57,$E57,Volatility,MeanReversion,Permanent,Trigger,ObjectOverwrite)</f>
        <v>EURFUT3MG8ConvAdj_Quote#0001</v>
      </c>
      <c r="H57" s="81" t="str">
        <f>_xll.ohRangeRetrieveError(G57)</f>
        <v/>
      </c>
    </row>
    <row r="58" spans="1:8" x14ac:dyDescent="0.2">
      <c r="A58" s="154"/>
      <c r="B58" s="115">
        <v>52</v>
      </c>
      <c r="C58" s="152" t="b">
        <v>0</v>
      </c>
      <c r="D58" s="152" t="str">
        <v>H8</v>
      </c>
      <c r="E58" s="259" t="str">
        <f t="shared" si="2"/>
        <v>EURFUT3MH8_Quote</v>
      </c>
      <c r="F58" s="260" t="str">
        <f t="shared" si="3"/>
        <v>EURFUT3MH8ConvAdj_Quote</v>
      </c>
      <c r="G58" s="259" t="str">
        <f>_xll.qlFuturesConvAdjustmentQuote($F58,IborIndex,$D58,$E58,Volatility,MeanReversion,Permanent,Trigger,ObjectOverwrite)</f>
        <v>EURFUT3MH8ConvAdj_Quote#0001</v>
      </c>
      <c r="H58" s="81" t="str">
        <f>_xll.ohRangeRetrieveError(G58)</f>
        <v/>
      </c>
    </row>
    <row r="59" spans="1:8" x14ac:dyDescent="0.2">
      <c r="A59" s="154"/>
      <c r="B59" s="115">
        <v>53</v>
      </c>
      <c r="C59" s="152" t="b">
        <v>0</v>
      </c>
      <c r="D59" s="152" t="str">
        <v>J8</v>
      </c>
      <c r="E59" s="259" t="str">
        <f t="shared" si="2"/>
        <v>EURFUT3MJ8_Quote</v>
      </c>
      <c r="F59" s="260" t="str">
        <f t="shared" si="3"/>
        <v>EURFUT3MJ8ConvAdj_Quote</v>
      </c>
      <c r="G59" s="259" t="str">
        <f>_xll.qlFuturesConvAdjustmentQuote($F59,IborIndex,$D59,$E59,Volatility,MeanReversion,Permanent,Trigger,ObjectOverwrite)</f>
        <v>EURFUT3MJ8ConvAdj_Quote#0001</v>
      </c>
      <c r="H59" s="81" t="str">
        <f>_xll.ohRangeRetrieveError(G59)</f>
        <v/>
      </c>
    </row>
    <row r="60" spans="1:8" x14ac:dyDescent="0.2">
      <c r="A60" s="154"/>
      <c r="B60" s="115">
        <v>54</v>
      </c>
      <c r="C60" s="152" t="b">
        <v>0</v>
      </c>
      <c r="D60" s="152" t="str">
        <v>K8</v>
      </c>
      <c r="E60" s="259" t="str">
        <f t="shared" si="2"/>
        <v>EURFUT3MK8_Quote</v>
      </c>
      <c r="F60" s="260" t="str">
        <f t="shared" si="3"/>
        <v>EURFUT3MK8ConvAdj_Quote</v>
      </c>
      <c r="G60" s="259" t="str">
        <f>_xll.qlFuturesConvAdjustmentQuote($F60,IborIndex,$D60,$E60,Volatility,MeanReversion,Permanent,Trigger,ObjectOverwrite)</f>
        <v>EURFUT3MK8ConvAdj_Quote#0001</v>
      </c>
      <c r="H60" s="81" t="str">
        <f>_xll.ohRangeRetrieveError(G60)</f>
        <v/>
      </c>
    </row>
    <row r="61" spans="1:8" x14ac:dyDescent="0.2">
      <c r="A61" s="154"/>
      <c r="B61" s="115">
        <v>55</v>
      </c>
      <c r="C61" s="152" t="b">
        <v>0</v>
      </c>
      <c r="D61" s="152" t="str">
        <v>M8</v>
      </c>
      <c r="E61" s="259" t="str">
        <f t="shared" si="2"/>
        <v>EURFUT3MM8_Quote</v>
      </c>
      <c r="F61" s="260" t="str">
        <f t="shared" si="3"/>
        <v>EURFUT3MM8ConvAdj_Quote</v>
      </c>
      <c r="G61" s="259" t="str">
        <f>_xll.qlFuturesConvAdjustmentQuote($F61,IborIndex,$D61,$E61,Volatility,MeanReversion,Permanent,Trigger,ObjectOverwrite)</f>
        <v>EURFUT3MM8ConvAdj_Quote#0001</v>
      </c>
      <c r="H61" s="81" t="str">
        <f>_xll.ohRangeRetrieveError(G61)</f>
        <v/>
      </c>
    </row>
    <row r="62" spans="1:8" x14ac:dyDescent="0.2">
      <c r="A62" s="154"/>
      <c r="B62" s="115">
        <v>56</v>
      </c>
      <c r="C62" s="152" t="b">
        <v>0</v>
      </c>
      <c r="D62" s="152" t="str">
        <v>N8</v>
      </c>
      <c r="E62" s="259" t="str">
        <f t="shared" si="2"/>
        <v>EURFUT3MN8_Quote</v>
      </c>
      <c r="F62" s="260" t="str">
        <f t="shared" si="3"/>
        <v>EURFUT3MN8ConvAdj_Quote</v>
      </c>
      <c r="G62" s="259" t="str">
        <f>_xll.qlFuturesConvAdjustmentQuote($F62,IborIndex,$D62,$E62,Volatility,MeanReversion,Permanent,Trigger,ObjectOverwrite)</f>
        <v>EURFUT3MN8ConvAdj_Quote#0001</v>
      </c>
      <c r="H62" s="81" t="str">
        <f>_xll.ohRangeRetrieveError(G62)</f>
        <v/>
      </c>
    </row>
    <row r="63" spans="1:8" x14ac:dyDescent="0.2">
      <c r="A63" s="154"/>
      <c r="B63" s="115">
        <v>57</v>
      </c>
      <c r="C63" s="152" t="b">
        <v>0</v>
      </c>
      <c r="D63" s="152" t="str">
        <v>Q8</v>
      </c>
      <c r="E63" s="259" t="str">
        <f t="shared" si="2"/>
        <v>EURFUT3MQ8_Quote</v>
      </c>
      <c r="F63" s="260" t="str">
        <f t="shared" si="3"/>
        <v>EURFUT3MQ8ConvAdj_Quote</v>
      </c>
      <c r="G63" s="259" t="str">
        <f>_xll.qlFuturesConvAdjustmentQuote($F63,IborIndex,$D63,$E63,Volatility,MeanReversion,Permanent,Trigger,ObjectOverwrite)</f>
        <v>EURFUT3MQ8ConvAdj_Quote#0001</v>
      </c>
      <c r="H63" s="81" t="str">
        <f>_xll.ohRangeRetrieveError(G63)</f>
        <v/>
      </c>
    </row>
    <row r="64" spans="1:8" x14ac:dyDescent="0.2">
      <c r="A64" s="154"/>
      <c r="B64" s="115">
        <v>58</v>
      </c>
      <c r="C64" s="152" t="b">
        <v>0</v>
      </c>
      <c r="D64" s="152" t="str">
        <v>U8</v>
      </c>
      <c r="E64" s="259" t="str">
        <f t="shared" si="2"/>
        <v>EURFUT3MU8_Quote</v>
      </c>
      <c r="F64" s="260" t="str">
        <f t="shared" si="3"/>
        <v>EURFUT3MU8ConvAdj_Quote</v>
      </c>
      <c r="G64" s="259" t="str">
        <f>_xll.qlFuturesConvAdjustmentQuote($F64,IborIndex,$D64,$E64,Volatility,MeanReversion,Permanent,Trigger,ObjectOverwrite)</f>
        <v>EURFUT3MU8ConvAdj_Quote#0001</v>
      </c>
      <c r="H64" s="81" t="str">
        <f>_xll.ohRangeRetrieveError(G64)</f>
        <v/>
      </c>
    </row>
    <row r="65" spans="1:8" x14ac:dyDescent="0.2">
      <c r="A65" s="154"/>
      <c r="B65" s="115">
        <v>59</v>
      </c>
      <c r="C65" s="152" t="b">
        <v>0</v>
      </c>
      <c r="D65" s="152" t="str">
        <v>V8</v>
      </c>
      <c r="E65" s="259" t="str">
        <f t="shared" si="2"/>
        <v>EURFUT3MV8_Quote</v>
      </c>
      <c r="F65" s="260" t="str">
        <f t="shared" si="3"/>
        <v>EURFUT3MV8ConvAdj_Quote</v>
      </c>
      <c r="G65" s="259" t="str">
        <f>_xll.qlFuturesConvAdjustmentQuote($F65,IborIndex,$D65,$E65,Volatility,MeanReversion,Permanent,Trigger,ObjectOverwrite)</f>
        <v>EURFUT3MV8ConvAdj_Quote#0001</v>
      </c>
      <c r="H65" s="81" t="str">
        <f>_xll.ohRangeRetrieveError(G65)</f>
        <v/>
      </c>
    </row>
    <row r="66" spans="1:8" x14ac:dyDescent="0.2">
      <c r="A66" s="154"/>
      <c r="B66" s="115">
        <v>60</v>
      </c>
      <c r="C66" s="152" t="b">
        <v>0</v>
      </c>
      <c r="D66" s="152" t="str">
        <v>X8</v>
      </c>
      <c r="E66" s="259" t="str">
        <f t="shared" si="2"/>
        <v>EURFUT3MX8_Quote</v>
      </c>
      <c r="F66" s="260" t="str">
        <f t="shared" si="3"/>
        <v>EURFUT3MX8ConvAdj_Quote</v>
      </c>
      <c r="G66" s="259" t="str">
        <f>_xll.qlFuturesConvAdjustmentQuote($F66,IborIndex,$D66,$E66,Volatility,MeanReversion,Permanent,Trigger,ObjectOverwrite)</f>
        <v>EURFUT3MX8ConvAdj_Quote#0001</v>
      </c>
      <c r="H66" s="81" t="str">
        <f>_xll.ohRangeRetrieveError(G66)</f>
        <v/>
      </c>
    </row>
    <row r="67" spans="1:8" x14ac:dyDescent="0.2">
      <c r="A67" s="154"/>
      <c r="B67" s="115">
        <v>61</v>
      </c>
      <c r="C67" s="152" t="b">
        <v>0</v>
      </c>
      <c r="D67" s="152" t="str">
        <v>Z8</v>
      </c>
      <c r="E67" s="259" t="str">
        <f t="shared" si="2"/>
        <v>EURFUT3MZ8_Quote</v>
      </c>
      <c r="F67" s="260" t="str">
        <f t="shared" si="3"/>
        <v>EURFUT3MZ8ConvAdj_Quote</v>
      </c>
      <c r="G67" s="259" t="str">
        <f>_xll.qlFuturesConvAdjustmentQuote($F67,IborIndex,$D67,$E67,Volatility,MeanReversion,Permanent,Trigger,ObjectOverwrite)</f>
        <v>EURFUT3MZ8ConvAdj_Quote#0001</v>
      </c>
      <c r="H67" s="81" t="str">
        <f>_xll.ohRangeRetrieveError(G67)</f>
        <v/>
      </c>
    </row>
    <row r="68" spans="1:8" x14ac:dyDescent="0.2">
      <c r="A68" s="154"/>
      <c r="B68" s="115">
        <v>62</v>
      </c>
      <c r="C68" s="152" t="b">
        <v>0</v>
      </c>
      <c r="D68" s="152" t="str">
        <v>F9</v>
      </c>
      <c r="E68" s="259" t="str">
        <f t="shared" si="2"/>
        <v>EURFUT3MF9_Quote</v>
      </c>
      <c r="F68" s="260" t="str">
        <f t="shared" si="3"/>
        <v>EURFUT3MF9ConvAdj_Quote</v>
      </c>
      <c r="G68" s="259" t="str">
        <f>_xll.qlFuturesConvAdjustmentQuote($F68,IborIndex,$D68,$E68,Volatility,MeanReversion,Permanent,Trigger,ObjectOverwrite)</f>
        <v>EURFUT3MF9ConvAdj_Quote#0001</v>
      </c>
      <c r="H68" s="81" t="str">
        <f>_xll.ohRangeRetrieveError(G68)</f>
        <v/>
      </c>
    </row>
    <row r="69" spans="1:8" x14ac:dyDescent="0.2">
      <c r="A69" s="154"/>
      <c r="B69" s="115">
        <v>63</v>
      </c>
      <c r="C69" s="152" t="b">
        <v>0</v>
      </c>
      <c r="D69" s="152" t="str">
        <v>G9</v>
      </c>
      <c r="E69" s="259" t="str">
        <f t="shared" si="2"/>
        <v>EURFUT3MG9_Quote</v>
      </c>
      <c r="F69" s="260" t="str">
        <f t="shared" si="3"/>
        <v>EURFUT3MG9ConvAdj_Quote</v>
      </c>
      <c r="G69" s="259" t="str">
        <f>_xll.qlFuturesConvAdjustmentQuote($F69,IborIndex,$D69,$E69,Volatility,MeanReversion,Permanent,Trigger,ObjectOverwrite)</f>
        <v>EURFUT3MG9ConvAdj_Quote#0001</v>
      </c>
      <c r="H69" s="81" t="str">
        <f>_xll.ohRangeRetrieveError(G69)</f>
        <v/>
      </c>
    </row>
    <row r="70" spans="1:8" x14ac:dyDescent="0.2">
      <c r="A70" s="154"/>
      <c r="B70" s="115">
        <v>64</v>
      </c>
      <c r="C70" s="152" t="b">
        <v>0</v>
      </c>
      <c r="D70" s="152" t="str">
        <v>H9</v>
      </c>
      <c r="E70" s="259" t="str">
        <f t="shared" si="2"/>
        <v>EURFUT3MH9_Quote</v>
      </c>
      <c r="F70" s="260" t="str">
        <f t="shared" si="3"/>
        <v>EURFUT3MH9ConvAdj_Quote</v>
      </c>
      <c r="G70" s="259" t="str">
        <f>_xll.qlFuturesConvAdjustmentQuote($F70,IborIndex,$D70,$E70,Volatility,MeanReversion,Permanent,Trigger,ObjectOverwrite)</f>
        <v>EURFUT3MH9ConvAdj_Quote#0001</v>
      </c>
      <c r="H70" s="81" t="str">
        <f>_xll.ohRangeRetrieveError(G70)</f>
        <v/>
      </c>
    </row>
    <row r="71" spans="1:8" x14ac:dyDescent="0.2">
      <c r="A71" s="154"/>
      <c r="B71" s="115">
        <v>65</v>
      </c>
      <c r="C71" s="152" t="b">
        <v>0</v>
      </c>
      <c r="D71" s="152" t="str">
        <v>J9</v>
      </c>
      <c r="E71" s="259" t="str">
        <f t="shared" ref="E71:E102" si="4">Currency&amp;"FUT"&amp;$G$4&amp;$D71&amp;QuoteSuffix</f>
        <v>EURFUT3MJ9_Quote</v>
      </c>
      <c r="F71" s="260" t="str">
        <f t="shared" ref="F71:F102" si="5">Currency&amp;"FUT"&amp;$G$4&amp;$D71&amp;"ConvAdj"&amp;QuoteSuffix</f>
        <v>EURFUT3MJ9ConvAdj_Quote</v>
      </c>
      <c r="G71" s="259" t="str">
        <f>_xll.qlFuturesConvAdjustmentQuote($F71,IborIndex,$D71,$E71,Volatility,MeanReversion,Permanent,Trigger,ObjectOverwrite)</f>
        <v>EURFUT3MJ9ConvAdj_Quote#0001</v>
      </c>
      <c r="H71" s="81" t="str">
        <f>_xll.ohRangeRetrieveError(G71)</f>
        <v/>
      </c>
    </row>
    <row r="72" spans="1:8" x14ac:dyDescent="0.2">
      <c r="A72" s="154"/>
      <c r="B72" s="115">
        <v>66</v>
      </c>
      <c r="C72" s="152" t="b">
        <v>0</v>
      </c>
      <c r="D72" s="152" t="str">
        <v>K9</v>
      </c>
      <c r="E72" s="259" t="str">
        <f t="shared" si="4"/>
        <v>EURFUT3MK9_Quote</v>
      </c>
      <c r="F72" s="260" t="str">
        <f t="shared" si="5"/>
        <v>EURFUT3MK9ConvAdj_Quote</v>
      </c>
      <c r="G72" s="259" t="str">
        <f>_xll.qlFuturesConvAdjustmentQuote($F72,IborIndex,$D72,$E72,Volatility,MeanReversion,Permanent,Trigger,ObjectOverwrite)</f>
        <v>EURFUT3MK9ConvAdj_Quote#0001</v>
      </c>
      <c r="H72" s="81" t="str">
        <f>_xll.ohRangeRetrieveError(G72)</f>
        <v/>
      </c>
    </row>
    <row r="73" spans="1:8" x14ac:dyDescent="0.2">
      <c r="A73" s="154"/>
      <c r="B73" s="115">
        <v>67</v>
      </c>
      <c r="C73" s="152" t="b">
        <v>0</v>
      </c>
      <c r="D73" s="152" t="str">
        <v>M9</v>
      </c>
      <c r="E73" s="259" t="str">
        <f t="shared" si="4"/>
        <v>EURFUT3MM9_Quote</v>
      </c>
      <c r="F73" s="260" t="str">
        <f t="shared" si="5"/>
        <v>EURFUT3MM9ConvAdj_Quote</v>
      </c>
      <c r="G73" s="259" t="str">
        <f>_xll.qlFuturesConvAdjustmentQuote($F73,IborIndex,$D73,$E73,Volatility,MeanReversion,Permanent,Trigger,ObjectOverwrite)</f>
        <v>EURFUT3MM9ConvAdj_Quote#0001</v>
      </c>
      <c r="H73" s="81" t="str">
        <f>_xll.ohRangeRetrieveError(G73)</f>
        <v/>
      </c>
    </row>
    <row r="74" spans="1:8" x14ac:dyDescent="0.2">
      <c r="A74" s="154"/>
      <c r="B74" s="115">
        <v>68</v>
      </c>
      <c r="C74" s="152" t="b">
        <v>0</v>
      </c>
      <c r="D74" s="152" t="str">
        <v>N9</v>
      </c>
      <c r="E74" s="259" t="str">
        <f t="shared" si="4"/>
        <v>EURFUT3MN9_Quote</v>
      </c>
      <c r="F74" s="260" t="str">
        <f t="shared" si="5"/>
        <v>EURFUT3MN9ConvAdj_Quote</v>
      </c>
      <c r="G74" s="259" t="str">
        <f>_xll.qlFuturesConvAdjustmentQuote($F74,IborIndex,$D74,$E74,Volatility,MeanReversion,Permanent,Trigger,ObjectOverwrite)</f>
        <v>EURFUT3MN9ConvAdj_Quote#0001</v>
      </c>
      <c r="H74" s="81" t="str">
        <f>_xll.ohRangeRetrieveError(G74)</f>
        <v/>
      </c>
    </row>
    <row r="75" spans="1:8" x14ac:dyDescent="0.2">
      <c r="A75" s="154"/>
      <c r="B75" s="115">
        <v>69</v>
      </c>
      <c r="C75" s="152" t="b">
        <v>0</v>
      </c>
      <c r="D75" s="152" t="str">
        <v>Q9</v>
      </c>
      <c r="E75" s="259" t="str">
        <f t="shared" si="4"/>
        <v>EURFUT3MQ9_Quote</v>
      </c>
      <c r="F75" s="260" t="str">
        <f t="shared" si="5"/>
        <v>EURFUT3MQ9ConvAdj_Quote</v>
      </c>
      <c r="G75" s="259" t="str">
        <f>_xll.qlFuturesConvAdjustmentQuote($F75,IborIndex,$D75,$E75,Volatility,MeanReversion,Permanent,Trigger,ObjectOverwrite)</f>
        <v>EURFUT3MQ9ConvAdj_Quote#0001</v>
      </c>
      <c r="H75" s="81" t="str">
        <f>_xll.ohRangeRetrieveError(G75)</f>
        <v/>
      </c>
    </row>
    <row r="76" spans="1:8" x14ac:dyDescent="0.2">
      <c r="A76" s="154"/>
      <c r="B76" s="115">
        <v>70</v>
      </c>
      <c r="C76" s="152" t="b">
        <v>0</v>
      </c>
      <c r="D76" s="152" t="str">
        <v>U9</v>
      </c>
      <c r="E76" s="259" t="str">
        <f t="shared" si="4"/>
        <v>EURFUT3MU9_Quote</v>
      </c>
      <c r="F76" s="260" t="str">
        <f t="shared" si="5"/>
        <v>EURFUT3MU9ConvAdj_Quote</v>
      </c>
      <c r="G76" s="259" t="str">
        <f>_xll.qlFuturesConvAdjustmentQuote($F76,IborIndex,$D76,$E76,Volatility,MeanReversion,Permanent,Trigger,ObjectOverwrite)</f>
        <v>EURFUT3MU9ConvAdj_Quote#0001</v>
      </c>
      <c r="H76" s="81" t="str">
        <f>_xll.ohRangeRetrieveError(G76)</f>
        <v/>
      </c>
    </row>
    <row r="77" spans="1:8" x14ac:dyDescent="0.2">
      <c r="A77" s="154"/>
      <c r="B77" s="115">
        <v>71</v>
      </c>
      <c r="C77" s="152" t="b">
        <v>0</v>
      </c>
      <c r="D77" s="152" t="str">
        <v>V9</v>
      </c>
      <c r="E77" s="259" t="str">
        <f t="shared" si="4"/>
        <v>EURFUT3MV9_Quote</v>
      </c>
      <c r="F77" s="260" t="str">
        <f t="shared" si="5"/>
        <v>EURFUT3MV9ConvAdj_Quote</v>
      </c>
      <c r="G77" s="259" t="str">
        <f>_xll.qlFuturesConvAdjustmentQuote($F77,IborIndex,$D77,$E77,Volatility,MeanReversion,Permanent,Trigger,ObjectOverwrite)</f>
        <v>EURFUT3MV9ConvAdj_Quote#0001</v>
      </c>
      <c r="H77" s="81" t="str">
        <f>_xll.ohRangeRetrieveError(G77)</f>
        <v/>
      </c>
    </row>
    <row r="78" spans="1:8" x14ac:dyDescent="0.2">
      <c r="A78" s="154"/>
      <c r="B78" s="115">
        <v>72</v>
      </c>
      <c r="C78" s="152" t="b">
        <v>0</v>
      </c>
      <c r="D78" s="152" t="str">
        <v>X9</v>
      </c>
      <c r="E78" s="259" t="str">
        <f t="shared" si="4"/>
        <v>EURFUT3MX9_Quote</v>
      </c>
      <c r="F78" s="260" t="str">
        <f t="shared" si="5"/>
        <v>EURFUT3MX9ConvAdj_Quote</v>
      </c>
      <c r="G78" s="259" t="str">
        <f>_xll.qlFuturesConvAdjustmentQuote($F78,IborIndex,$D78,$E78,Volatility,MeanReversion,Permanent,Trigger,ObjectOverwrite)</f>
        <v>EURFUT3MX9ConvAdj_Quote#0001</v>
      </c>
      <c r="H78" s="81" t="str">
        <f>_xll.ohRangeRetrieveError(G78)</f>
        <v/>
      </c>
    </row>
    <row r="79" spans="1:8" x14ac:dyDescent="0.2">
      <c r="A79" s="154"/>
      <c r="B79" s="115">
        <v>73</v>
      </c>
      <c r="C79" s="152" t="b">
        <v>0</v>
      </c>
      <c r="D79" s="152" t="str">
        <v>Z9</v>
      </c>
      <c r="E79" s="259" t="str">
        <f t="shared" si="4"/>
        <v>EURFUT3MZ9_Quote</v>
      </c>
      <c r="F79" s="260" t="str">
        <f t="shared" si="5"/>
        <v>EURFUT3MZ9ConvAdj_Quote</v>
      </c>
      <c r="G79" s="259" t="str">
        <f>_xll.qlFuturesConvAdjustmentQuote($F79,IborIndex,$D79,$E79,Volatility,MeanReversion,Permanent,Trigger,ObjectOverwrite)</f>
        <v>EURFUT3MZ9ConvAdj_Quote#0001</v>
      </c>
      <c r="H79" s="81" t="str">
        <f>_xll.ohRangeRetrieveError(G79)</f>
        <v/>
      </c>
    </row>
    <row r="80" spans="1:8" x14ac:dyDescent="0.2">
      <c r="A80" s="154"/>
      <c r="B80" s="115">
        <v>74</v>
      </c>
      <c r="C80" s="152" t="b">
        <v>0</v>
      </c>
      <c r="D80" s="152" t="str">
        <v>F0</v>
      </c>
      <c r="E80" s="259" t="str">
        <f t="shared" si="4"/>
        <v>EURFUT3MF0_Quote</v>
      </c>
      <c r="F80" s="260" t="str">
        <f t="shared" si="5"/>
        <v>EURFUT3MF0ConvAdj_Quote</v>
      </c>
      <c r="G80" s="259" t="str">
        <f>_xll.qlFuturesConvAdjustmentQuote($F80,IborIndex,$D80,$E80,Volatility,MeanReversion,Permanent,Trigger,ObjectOverwrite)</f>
        <v>EURFUT3MF0ConvAdj_Quote#0001</v>
      </c>
      <c r="H80" s="81" t="str">
        <f>_xll.ohRangeRetrieveError(G80)</f>
        <v/>
      </c>
    </row>
    <row r="81" spans="1:8" x14ac:dyDescent="0.2">
      <c r="A81" s="154"/>
      <c r="B81" s="115">
        <v>75</v>
      </c>
      <c r="C81" s="152" t="b">
        <v>0</v>
      </c>
      <c r="D81" s="152" t="str">
        <v>G0</v>
      </c>
      <c r="E81" s="259" t="str">
        <f t="shared" si="4"/>
        <v>EURFUT3MG0_Quote</v>
      </c>
      <c r="F81" s="260" t="str">
        <f t="shared" si="5"/>
        <v>EURFUT3MG0ConvAdj_Quote</v>
      </c>
      <c r="G81" s="259" t="str">
        <f>_xll.qlFuturesConvAdjustmentQuote($F81,IborIndex,$D81,$E81,Volatility,MeanReversion,Permanent,Trigger,ObjectOverwrite)</f>
        <v>EURFUT3MG0ConvAdj_Quote#0001</v>
      </c>
      <c r="H81" s="81" t="str">
        <f>_xll.ohRangeRetrieveError(G81)</f>
        <v/>
      </c>
    </row>
    <row r="82" spans="1:8" x14ac:dyDescent="0.2">
      <c r="A82" s="154"/>
      <c r="B82" s="115">
        <v>76</v>
      </c>
      <c r="C82" s="152" t="b">
        <v>0</v>
      </c>
      <c r="D82" s="152" t="str">
        <v>H0</v>
      </c>
      <c r="E82" s="259" t="str">
        <f t="shared" si="4"/>
        <v>EURFUT3MH0_Quote</v>
      </c>
      <c r="F82" s="260" t="str">
        <f t="shared" si="5"/>
        <v>EURFUT3MH0ConvAdj_Quote</v>
      </c>
      <c r="G82" s="259" t="str">
        <f>_xll.qlFuturesConvAdjustmentQuote($F82,IborIndex,$D82,$E82,Volatility,MeanReversion,Permanent,Trigger,ObjectOverwrite)</f>
        <v>EURFUT3MH0ConvAdj_Quote#0001</v>
      </c>
      <c r="H82" s="81" t="str">
        <f>_xll.ohRangeRetrieveError(G82)</f>
        <v/>
      </c>
    </row>
    <row r="83" spans="1:8" x14ac:dyDescent="0.2">
      <c r="A83" s="154"/>
      <c r="B83" s="115">
        <v>77</v>
      </c>
      <c r="C83" s="152" t="b">
        <v>0</v>
      </c>
      <c r="D83" s="152" t="str">
        <v>J0</v>
      </c>
      <c r="E83" s="259" t="str">
        <f t="shared" si="4"/>
        <v>EURFUT3MJ0_Quote</v>
      </c>
      <c r="F83" s="260" t="str">
        <f t="shared" si="5"/>
        <v>EURFUT3MJ0ConvAdj_Quote</v>
      </c>
      <c r="G83" s="259" t="str">
        <f>_xll.qlFuturesConvAdjustmentQuote($F83,IborIndex,$D83,$E83,Volatility,MeanReversion,Permanent,Trigger,ObjectOverwrite)</f>
        <v>EURFUT3MJ0ConvAdj_Quote#0001</v>
      </c>
      <c r="H83" s="81" t="str">
        <f>_xll.ohRangeRetrieveError(G83)</f>
        <v/>
      </c>
    </row>
    <row r="84" spans="1:8" x14ac:dyDescent="0.2">
      <c r="A84" s="154"/>
      <c r="B84" s="115">
        <v>78</v>
      </c>
      <c r="C84" s="152" t="b">
        <v>0</v>
      </c>
      <c r="D84" s="152" t="str">
        <v>K0</v>
      </c>
      <c r="E84" s="259" t="str">
        <f t="shared" si="4"/>
        <v>EURFUT3MK0_Quote</v>
      </c>
      <c r="F84" s="260" t="str">
        <f t="shared" si="5"/>
        <v>EURFUT3MK0ConvAdj_Quote</v>
      </c>
      <c r="G84" s="259" t="str">
        <f>_xll.qlFuturesConvAdjustmentQuote($F84,IborIndex,$D84,$E84,Volatility,MeanReversion,Permanent,Trigger,ObjectOverwrite)</f>
        <v>EURFUT3MK0ConvAdj_Quote#0001</v>
      </c>
      <c r="H84" s="81" t="str">
        <f>_xll.ohRangeRetrieveError(G84)</f>
        <v/>
      </c>
    </row>
    <row r="85" spans="1:8" x14ac:dyDescent="0.2">
      <c r="A85" s="154"/>
      <c r="B85" s="115">
        <v>79</v>
      </c>
      <c r="C85" s="152" t="b">
        <v>0</v>
      </c>
      <c r="D85" s="152" t="str">
        <v>M0</v>
      </c>
      <c r="E85" s="259" t="str">
        <f t="shared" si="4"/>
        <v>EURFUT3MM0_Quote</v>
      </c>
      <c r="F85" s="260" t="str">
        <f t="shared" si="5"/>
        <v>EURFUT3MM0ConvAdj_Quote</v>
      </c>
      <c r="G85" s="259" t="str">
        <f>_xll.qlFuturesConvAdjustmentQuote($F85,IborIndex,$D85,$E85,Volatility,MeanReversion,Permanent,Trigger,ObjectOverwrite)</f>
        <v>EURFUT3MM0ConvAdj_Quote#0001</v>
      </c>
      <c r="H85" s="81" t="str">
        <f>_xll.ohRangeRetrieveError(G85)</f>
        <v/>
      </c>
    </row>
    <row r="86" spans="1:8" x14ac:dyDescent="0.2">
      <c r="A86" s="154"/>
      <c r="B86" s="115">
        <v>80</v>
      </c>
      <c r="C86" s="152" t="b">
        <v>0</v>
      </c>
      <c r="D86" s="152" t="str">
        <v>N0</v>
      </c>
      <c r="E86" s="259" t="str">
        <f t="shared" si="4"/>
        <v>EURFUT3MN0_Quote</v>
      </c>
      <c r="F86" s="260" t="str">
        <f t="shared" si="5"/>
        <v>EURFUT3MN0ConvAdj_Quote</v>
      </c>
      <c r="G86" s="259" t="str">
        <f>_xll.qlFuturesConvAdjustmentQuote($F86,IborIndex,$D86,$E86,Volatility,MeanReversion,Permanent,Trigger,ObjectOverwrite)</f>
        <v>EURFUT3MN0ConvAdj_Quote#0001</v>
      </c>
      <c r="H86" s="81" t="str">
        <f>_xll.ohRangeRetrieveError(G86)</f>
        <v/>
      </c>
    </row>
    <row r="87" spans="1:8" x14ac:dyDescent="0.2">
      <c r="A87" s="154"/>
      <c r="B87" s="115">
        <v>81</v>
      </c>
      <c r="C87" s="152" t="b">
        <v>0</v>
      </c>
      <c r="D87" s="152" t="str">
        <v>Q0</v>
      </c>
      <c r="E87" s="259" t="str">
        <f t="shared" si="4"/>
        <v>EURFUT3MQ0_Quote</v>
      </c>
      <c r="F87" s="260" t="str">
        <f t="shared" si="5"/>
        <v>EURFUT3MQ0ConvAdj_Quote</v>
      </c>
      <c r="G87" s="259" t="str">
        <f>_xll.qlFuturesConvAdjustmentQuote($F87,IborIndex,$D87,$E87,Volatility,MeanReversion,Permanent,Trigger,ObjectOverwrite)</f>
        <v>EURFUT3MQ0ConvAdj_Quote#0001</v>
      </c>
      <c r="H87" s="81" t="str">
        <f>_xll.ohRangeRetrieveError(G87)</f>
        <v/>
      </c>
    </row>
    <row r="88" spans="1:8" x14ac:dyDescent="0.2">
      <c r="A88" s="154"/>
      <c r="B88" s="115">
        <v>82</v>
      </c>
      <c r="C88" s="152" t="b">
        <v>0</v>
      </c>
      <c r="D88" s="152" t="str">
        <v>U0</v>
      </c>
      <c r="E88" s="259" t="str">
        <f t="shared" si="4"/>
        <v>EURFUT3MU0_Quote</v>
      </c>
      <c r="F88" s="260" t="str">
        <f t="shared" si="5"/>
        <v>EURFUT3MU0ConvAdj_Quote</v>
      </c>
      <c r="G88" s="259" t="str">
        <f>_xll.qlFuturesConvAdjustmentQuote($F88,IborIndex,$D88,$E88,Volatility,MeanReversion,Permanent,Trigger,ObjectOverwrite)</f>
        <v>EURFUT3MU0ConvAdj_Quote#0001</v>
      </c>
      <c r="H88" s="81" t="str">
        <f>_xll.ohRangeRetrieveError(G88)</f>
        <v/>
      </c>
    </row>
    <row r="89" spans="1:8" x14ac:dyDescent="0.2">
      <c r="A89" s="154"/>
      <c r="B89" s="115">
        <v>83</v>
      </c>
      <c r="C89" s="152" t="b">
        <v>0</v>
      </c>
      <c r="D89" s="152" t="str">
        <v>V0</v>
      </c>
      <c r="E89" s="259" t="str">
        <f t="shared" si="4"/>
        <v>EURFUT3MV0_Quote</v>
      </c>
      <c r="F89" s="260" t="str">
        <f t="shared" si="5"/>
        <v>EURFUT3MV0ConvAdj_Quote</v>
      </c>
      <c r="G89" s="259" t="str">
        <f>_xll.qlFuturesConvAdjustmentQuote($F89,IborIndex,$D89,$E89,Volatility,MeanReversion,Permanent,Trigger,ObjectOverwrite)</f>
        <v>EURFUT3MV0ConvAdj_Quote#0001</v>
      </c>
      <c r="H89" s="81" t="str">
        <f>_xll.ohRangeRetrieveError(G89)</f>
        <v/>
      </c>
    </row>
    <row r="90" spans="1:8" x14ac:dyDescent="0.2">
      <c r="A90" s="154"/>
      <c r="B90" s="115">
        <v>84</v>
      </c>
      <c r="C90" s="152" t="b">
        <v>0</v>
      </c>
      <c r="D90" s="152" t="str">
        <v>X0</v>
      </c>
      <c r="E90" s="259" t="str">
        <f t="shared" si="4"/>
        <v>EURFUT3MX0_Quote</v>
      </c>
      <c r="F90" s="260" t="str">
        <f t="shared" si="5"/>
        <v>EURFUT3MX0ConvAdj_Quote</v>
      </c>
      <c r="G90" s="259" t="str">
        <f>_xll.qlFuturesConvAdjustmentQuote($F90,IborIndex,$D90,$E90,Volatility,MeanReversion,Permanent,Trigger,ObjectOverwrite)</f>
        <v>EURFUT3MX0ConvAdj_Quote#0001</v>
      </c>
      <c r="H90" s="81" t="str">
        <f>_xll.ohRangeRetrieveError(G90)</f>
        <v/>
      </c>
    </row>
    <row r="91" spans="1:8" x14ac:dyDescent="0.2">
      <c r="A91" s="154"/>
      <c r="B91" s="115">
        <v>85</v>
      </c>
      <c r="C91" s="152" t="b">
        <v>0</v>
      </c>
      <c r="D91" s="152" t="str">
        <v>Z0</v>
      </c>
      <c r="E91" s="259" t="str">
        <f t="shared" si="4"/>
        <v>EURFUT3MZ0_Quote</v>
      </c>
      <c r="F91" s="260" t="str">
        <f t="shared" si="5"/>
        <v>EURFUT3MZ0ConvAdj_Quote</v>
      </c>
      <c r="G91" s="259" t="str">
        <f>_xll.qlFuturesConvAdjustmentQuote($F91,IborIndex,$D91,$E91,Volatility,MeanReversion,Permanent,Trigger,ObjectOverwrite)</f>
        <v>EURFUT3MZ0ConvAdj_Quote#0001</v>
      </c>
      <c r="H91" s="81" t="str">
        <f>_xll.ohRangeRetrieveError(G91)</f>
        <v/>
      </c>
    </row>
    <row r="92" spans="1:8" x14ac:dyDescent="0.2">
      <c r="A92" s="154"/>
      <c r="B92" s="115">
        <v>86</v>
      </c>
      <c r="C92" s="152" t="b">
        <v>0</v>
      </c>
      <c r="D92" s="152" t="str">
        <v>F1</v>
      </c>
      <c r="E92" s="259" t="str">
        <f t="shared" si="4"/>
        <v>EURFUT3MF1_Quote</v>
      </c>
      <c r="F92" s="260" t="str">
        <f t="shared" si="5"/>
        <v>EURFUT3MF1ConvAdj_Quote</v>
      </c>
      <c r="G92" s="259" t="str">
        <f>_xll.qlFuturesConvAdjustmentQuote($F92,IborIndex,$D92,$E92,Volatility,MeanReversion,Permanent,Trigger,ObjectOverwrite)</f>
        <v>EURFUT3MF1ConvAdj_Quote#0001</v>
      </c>
      <c r="H92" s="81" t="str">
        <f>_xll.ohRangeRetrieveError(G92)</f>
        <v/>
      </c>
    </row>
    <row r="93" spans="1:8" x14ac:dyDescent="0.2">
      <c r="A93" s="154"/>
      <c r="B93" s="115">
        <v>87</v>
      </c>
      <c r="C93" s="152" t="b">
        <v>0</v>
      </c>
      <c r="D93" s="152" t="str">
        <v>G1</v>
      </c>
      <c r="E93" s="259" t="str">
        <f t="shared" si="4"/>
        <v>EURFUT3MG1_Quote</v>
      </c>
      <c r="F93" s="260" t="str">
        <f t="shared" si="5"/>
        <v>EURFUT3MG1ConvAdj_Quote</v>
      </c>
      <c r="G93" s="259" t="str">
        <f>_xll.qlFuturesConvAdjustmentQuote($F93,IborIndex,$D93,$E93,Volatility,MeanReversion,Permanent,Trigger,ObjectOverwrite)</f>
        <v>EURFUT3MG1ConvAdj_Quote#0001</v>
      </c>
      <c r="H93" s="81" t="str">
        <f>_xll.ohRangeRetrieveError(G93)</f>
        <v/>
      </c>
    </row>
    <row r="94" spans="1:8" x14ac:dyDescent="0.2">
      <c r="A94" s="154"/>
      <c r="B94" s="115">
        <v>88</v>
      </c>
      <c r="C94" s="152" t="b">
        <v>0</v>
      </c>
      <c r="D94" s="152" t="str">
        <v>H1</v>
      </c>
      <c r="E94" s="259" t="str">
        <f t="shared" si="4"/>
        <v>EURFUT3MH1_Quote</v>
      </c>
      <c r="F94" s="260" t="str">
        <f t="shared" si="5"/>
        <v>EURFUT3MH1ConvAdj_Quote</v>
      </c>
      <c r="G94" s="259" t="str">
        <f>_xll.qlFuturesConvAdjustmentQuote($F94,IborIndex,$D94,$E94,Volatility,MeanReversion,Permanent,Trigger,ObjectOverwrite)</f>
        <v>EURFUT3MH1ConvAdj_Quote#0001</v>
      </c>
      <c r="H94" s="81" t="str">
        <f>_xll.ohRangeRetrieveError(G94)</f>
        <v/>
      </c>
    </row>
    <row r="95" spans="1:8" x14ac:dyDescent="0.2">
      <c r="A95" s="154"/>
      <c r="B95" s="115">
        <v>89</v>
      </c>
      <c r="C95" s="152" t="b">
        <v>0</v>
      </c>
      <c r="D95" s="152" t="str">
        <v>J1</v>
      </c>
      <c r="E95" s="259" t="str">
        <f t="shared" si="4"/>
        <v>EURFUT3MJ1_Quote</v>
      </c>
      <c r="F95" s="260" t="str">
        <f t="shared" si="5"/>
        <v>EURFUT3MJ1ConvAdj_Quote</v>
      </c>
      <c r="G95" s="259" t="str">
        <f>_xll.qlFuturesConvAdjustmentQuote($F95,IborIndex,$D95,$E95,Volatility,MeanReversion,Permanent,Trigger,ObjectOverwrite)</f>
        <v>EURFUT3MJ1ConvAdj_Quote#0001</v>
      </c>
      <c r="H95" s="81" t="str">
        <f>_xll.ohRangeRetrieveError(G95)</f>
        <v/>
      </c>
    </row>
    <row r="96" spans="1:8" x14ac:dyDescent="0.2">
      <c r="A96" s="154"/>
      <c r="B96" s="115">
        <v>90</v>
      </c>
      <c r="C96" s="152" t="b">
        <v>0</v>
      </c>
      <c r="D96" s="152" t="str">
        <v>K1</v>
      </c>
      <c r="E96" s="259" t="str">
        <f t="shared" si="4"/>
        <v>EURFUT3MK1_Quote</v>
      </c>
      <c r="F96" s="260" t="str">
        <f t="shared" si="5"/>
        <v>EURFUT3MK1ConvAdj_Quote</v>
      </c>
      <c r="G96" s="259" t="str">
        <f>_xll.qlFuturesConvAdjustmentQuote($F96,IborIndex,$D96,$E96,Volatility,MeanReversion,Permanent,Trigger,ObjectOverwrite)</f>
        <v>EURFUT3MK1ConvAdj_Quote#0001</v>
      </c>
      <c r="H96" s="81" t="str">
        <f>_xll.ohRangeRetrieveError(G96)</f>
        <v/>
      </c>
    </row>
    <row r="97" spans="1:8" x14ac:dyDescent="0.2">
      <c r="A97" s="154"/>
      <c r="B97" s="115">
        <v>91</v>
      </c>
      <c r="C97" s="152" t="b">
        <v>0</v>
      </c>
      <c r="D97" s="152" t="str">
        <v>M1</v>
      </c>
      <c r="E97" s="259" t="str">
        <f t="shared" si="4"/>
        <v>EURFUT3MM1_Quote</v>
      </c>
      <c r="F97" s="260" t="str">
        <f t="shared" si="5"/>
        <v>EURFUT3MM1ConvAdj_Quote</v>
      </c>
      <c r="G97" s="259" t="str">
        <f>_xll.qlFuturesConvAdjustmentQuote($F97,IborIndex,$D97,$E97,Volatility,MeanReversion,Permanent,Trigger,ObjectOverwrite)</f>
        <v>EURFUT3MM1ConvAdj_Quote#0001</v>
      </c>
      <c r="H97" s="81" t="str">
        <f>_xll.ohRangeRetrieveError(G97)</f>
        <v/>
      </c>
    </row>
    <row r="98" spans="1:8" x14ac:dyDescent="0.2">
      <c r="A98" s="154"/>
      <c r="B98" s="115">
        <v>92</v>
      </c>
      <c r="C98" s="152" t="b">
        <v>0</v>
      </c>
      <c r="D98" s="152" t="str">
        <v>N1</v>
      </c>
      <c r="E98" s="259" t="str">
        <f t="shared" si="4"/>
        <v>EURFUT3MN1_Quote</v>
      </c>
      <c r="F98" s="260" t="str">
        <f t="shared" si="5"/>
        <v>EURFUT3MN1ConvAdj_Quote</v>
      </c>
      <c r="G98" s="259" t="str">
        <f>_xll.qlFuturesConvAdjustmentQuote($F98,IborIndex,$D98,$E98,Volatility,MeanReversion,Permanent,Trigger,ObjectOverwrite)</f>
        <v>EURFUT3MN1ConvAdj_Quote#0001</v>
      </c>
      <c r="H98" s="81" t="str">
        <f>_xll.ohRangeRetrieveError(G98)</f>
        <v/>
      </c>
    </row>
    <row r="99" spans="1:8" x14ac:dyDescent="0.2">
      <c r="A99" s="154"/>
      <c r="B99" s="115">
        <v>93</v>
      </c>
      <c r="C99" s="152" t="b">
        <v>0</v>
      </c>
      <c r="D99" s="152" t="str">
        <v>Q1</v>
      </c>
      <c r="E99" s="259" t="str">
        <f t="shared" si="4"/>
        <v>EURFUT3MQ1_Quote</v>
      </c>
      <c r="F99" s="260" t="str">
        <f t="shared" si="5"/>
        <v>EURFUT3MQ1ConvAdj_Quote</v>
      </c>
      <c r="G99" s="259" t="str">
        <f>_xll.qlFuturesConvAdjustmentQuote($F99,IborIndex,$D99,$E99,Volatility,MeanReversion,Permanent,Trigger,ObjectOverwrite)</f>
        <v>EURFUT3MQ1ConvAdj_Quote#0001</v>
      </c>
      <c r="H99" s="81" t="str">
        <f>_xll.ohRangeRetrieveError(G99)</f>
        <v/>
      </c>
    </row>
    <row r="100" spans="1:8" x14ac:dyDescent="0.2">
      <c r="A100" s="154"/>
      <c r="B100" s="115">
        <v>94</v>
      </c>
      <c r="C100" s="152" t="b">
        <v>0</v>
      </c>
      <c r="D100" s="152" t="str">
        <v>U1</v>
      </c>
      <c r="E100" s="259" t="str">
        <f t="shared" si="4"/>
        <v>EURFUT3MU1_Quote</v>
      </c>
      <c r="F100" s="260" t="str">
        <f t="shared" si="5"/>
        <v>EURFUT3MU1ConvAdj_Quote</v>
      </c>
      <c r="G100" s="259" t="str">
        <f>_xll.qlFuturesConvAdjustmentQuote($F100,IborIndex,$D100,$E100,Volatility,MeanReversion,Permanent,Trigger,ObjectOverwrite)</f>
        <v>EURFUT3MU1ConvAdj_Quote#0001</v>
      </c>
      <c r="H100" s="81" t="str">
        <f>_xll.ohRangeRetrieveError(G100)</f>
        <v/>
      </c>
    </row>
    <row r="101" spans="1:8" x14ac:dyDescent="0.2">
      <c r="A101" s="154"/>
      <c r="B101" s="115">
        <v>95</v>
      </c>
      <c r="C101" s="152" t="b">
        <v>0</v>
      </c>
      <c r="D101" s="152" t="str">
        <v>V1</v>
      </c>
      <c r="E101" s="259" t="str">
        <f t="shared" si="4"/>
        <v>EURFUT3MV1_Quote</v>
      </c>
      <c r="F101" s="260" t="str">
        <f t="shared" si="5"/>
        <v>EURFUT3MV1ConvAdj_Quote</v>
      </c>
      <c r="G101" s="259" t="str">
        <f>_xll.qlFuturesConvAdjustmentQuote($F101,IborIndex,$D101,$E101,Volatility,MeanReversion,Permanent,Trigger,ObjectOverwrite)</f>
        <v>EURFUT3MV1ConvAdj_Quote#0001</v>
      </c>
      <c r="H101" s="81" t="str">
        <f>_xll.ohRangeRetrieveError(G101)</f>
        <v/>
      </c>
    </row>
    <row r="102" spans="1:8" x14ac:dyDescent="0.2">
      <c r="A102" s="154"/>
      <c r="B102" s="115">
        <v>96</v>
      </c>
      <c r="C102" s="152" t="b">
        <v>0</v>
      </c>
      <c r="D102" s="152" t="str">
        <v>X1</v>
      </c>
      <c r="E102" s="259" t="str">
        <f t="shared" si="4"/>
        <v>EURFUT3MX1_Quote</v>
      </c>
      <c r="F102" s="260" t="str">
        <f t="shared" si="5"/>
        <v>EURFUT3MX1ConvAdj_Quote</v>
      </c>
      <c r="G102" s="259" t="str">
        <f>_xll.qlFuturesConvAdjustmentQuote($F102,IborIndex,$D102,$E102,Volatility,MeanReversion,Permanent,Trigger,ObjectOverwrite)</f>
        <v>EURFUT3MX1ConvAdj_Quote#0001</v>
      </c>
      <c r="H102" s="81" t="str">
        <f>_xll.ohRangeRetrieveError(G102)</f>
        <v/>
      </c>
    </row>
    <row r="103" spans="1:8" x14ac:dyDescent="0.2">
      <c r="A103" s="154"/>
      <c r="B103" s="115">
        <v>97</v>
      </c>
      <c r="C103" s="152" t="b">
        <v>0</v>
      </c>
      <c r="D103" s="152" t="str">
        <v>Z1</v>
      </c>
      <c r="E103" s="259" t="str">
        <f t="shared" ref="E103:E126" si="6">Currency&amp;"FUT"&amp;$G$4&amp;$D103&amp;QuoteSuffix</f>
        <v>EURFUT3MZ1_Quote</v>
      </c>
      <c r="F103" s="260" t="str">
        <f t="shared" ref="F103:F126" si="7">Currency&amp;"FUT"&amp;$G$4&amp;$D103&amp;"ConvAdj"&amp;QuoteSuffix</f>
        <v>EURFUT3MZ1ConvAdj_Quote</v>
      </c>
      <c r="G103" s="259" t="str">
        <f>_xll.qlFuturesConvAdjustmentQuote($F103,IborIndex,$D103,$E103,Volatility,MeanReversion,Permanent,Trigger,ObjectOverwrite)</f>
        <v>EURFUT3MZ1ConvAdj_Quote#0001</v>
      </c>
      <c r="H103" s="81" t="str">
        <f>_xll.ohRangeRetrieveError(G103)</f>
        <v/>
      </c>
    </row>
    <row r="104" spans="1:8" x14ac:dyDescent="0.2">
      <c r="A104" s="154"/>
      <c r="B104" s="115">
        <v>98</v>
      </c>
      <c r="C104" s="152" t="b">
        <v>0</v>
      </c>
      <c r="D104" s="152" t="str">
        <v>F2</v>
      </c>
      <c r="E104" s="259" t="str">
        <f t="shared" si="6"/>
        <v>EURFUT3MF2_Quote</v>
      </c>
      <c r="F104" s="260" t="str">
        <f t="shared" si="7"/>
        <v>EURFUT3MF2ConvAdj_Quote</v>
      </c>
      <c r="G104" s="259" t="str">
        <f>_xll.qlFuturesConvAdjustmentQuote($F104,IborIndex,$D104,$E104,Volatility,MeanReversion,Permanent,Trigger,ObjectOverwrite)</f>
        <v>EURFUT3MF2ConvAdj_Quote#0001</v>
      </c>
      <c r="H104" s="81" t="str">
        <f>_xll.ohRangeRetrieveError(G104)</f>
        <v/>
      </c>
    </row>
    <row r="105" spans="1:8" x14ac:dyDescent="0.2">
      <c r="A105" s="154"/>
      <c r="B105" s="115">
        <v>99</v>
      </c>
      <c r="C105" s="152" t="b">
        <v>0</v>
      </c>
      <c r="D105" s="152" t="str">
        <v>G2</v>
      </c>
      <c r="E105" s="259" t="str">
        <f t="shared" si="6"/>
        <v>EURFUT3MG2_Quote</v>
      </c>
      <c r="F105" s="260" t="str">
        <f t="shared" si="7"/>
        <v>EURFUT3MG2ConvAdj_Quote</v>
      </c>
      <c r="G105" s="259" t="str">
        <f>_xll.qlFuturesConvAdjustmentQuote($F105,IborIndex,$D105,$E105,Volatility,MeanReversion,Permanent,Trigger,ObjectOverwrite)</f>
        <v>EURFUT3MG2ConvAdj_Quote#0001</v>
      </c>
      <c r="H105" s="81" t="str">
        <f>_xll.ohRangeRetrieveError(G105)</f>
        <v/>
      </c>
    </row>
    <row r="106" spans="1:8" x14ac:dyDescent="0.2">
      <c r="A106" s="154"/>
      <c r="B106" s="115">
        <v>100</v>
      </c>
      <c r="C106" s="152" t="b">
        <v>0</v>
      </c>
      <c r="D106" s="152" t="str">
        <v>H2</v>
      </c>
      <c r="E106" s="259" t="str">
        <f t="shared" si="6"/>
        <v>EURFUT3MH2_Quote</v>
      </c>
      <c r="F106" s="260" t="str">
        <f t="shared" si="7"/>
        <v>EURFUT3MH2ConvAdj_Quote</v>
      </c>
      <c r="G106" s="259" t="str">
        <f>_xll.qlFuturesConvAdjustmentQuote($F106,IborIndex,$D106,$E106,Volatility,MeanReversion,Permanent,Trigger,ObjectOverwrite)</f>
        <v>EURFUT3MH2ConvAdj_Quote#0001</v>
      </c>
      <c r="H106" s="81" t="str">
        <f>_xll.ohRangeRetrieveError(G106)</f>
        <v/>
      </c>
    </row>
    <row r="107" spans="1:8" x14ac:dyDescent="0.2">
      <c r="A107" s="154"/>
      <c r="B107" s="115">
        <v>101</v>
      </c>
      <c r="C107" s="152" t="b">
        <v>0</v>
      </c>
      <c r="D107" s="152" t="str">
        <v>J2</v>
      </c>
      <c r="E107" s="259" t="str">
        <f t="shared" si="6"/>
        <v>EURFUT3MJ2_Quote</v>
      </c>
      <c r="F107" s="260" t="str">
        <f t="shared" si="7"/>
        <v>EURFUT3MJ2ConvAdj_Quote</v>
      </c>
      <c r="G107" s="259" t="str">
        <f>_xll.qlFuturesConvAdjustmentQuote($F107,IborIndex,$D107,$E107,Volatility,MeanReversion,Permanent,Trigger,ObjectOverwrite)</f>
        <v>EURFUT3MJ2ConvAdj_Quote#0001</v>
      </c>
      <c r="H107" s="81" t="str">
        <f>_xll.ohRangeRetrieveError(G107)</f>
        <v/>
      </c>
    </row>
    <row r="108" spans="1:8" x14ac:dyDescent="0.2">
      <c r="A108" s="154"/>
      <c r="B108" s="115">
        <v>102</v>
      </c>
      <c r="C108" s="152" t="b">
        <v>0</v>
      </c>
      <c r="D108" s="152" t="str">
        <v>K2</v>
      </c>
      <c r="E108" s="259" t="str">
        <f t="shared" si="6"/>
        <v>EURFUT3MK2_Quote</v>
      </c>
      <c r="F108" s="260" t="str">
        <f t="shared" si="7"/>
        <v>EURFUT3MK2ConvAdj_Quote</v>
      </c>
      <c r="G108" s="259" t="str">
        <f>_xll.qlFuturesConvAdjustmentQuote($F108,IborIndex,$D108,$E108,Volatility,MeanReversion,Permanent,Trigger,ObjectOverwrite)</f>
        <v>EURFUT3MK2ConvAdj_Quote#0001</v>
      </c>
      <c r="H108" s="81" t="str">
        <f>_xll.ohRangeRetrieveError(G108)</f>
        <v/>
      </c>
    </row>
    <row r="109" spans="1:8" x14ac:dyDescent="0.2">
      <c r="A109" s="154"/>
      <c r="B109" s="115">
        <v>103</v>
      </c>
      <c r="C109" s="152" t="b">
        <v>0</v>
      </c>
      <c r="D109" s="152" t="str">
        <v>M2</v>
      </c>
      <c r="E109" s="259" t="str">
        <f t="shared" si="6"/>
        <v>EURFUT3MM2_Quote</v>
      </c>
      <c r="F109" s="260" t="str">
        <f t="shared" si="7"/>
        <v>EURFUT3MM2ConvAdj_Quote</v>
      </c>
      <c r="G109" s="259" t="str">
        <f>_xll.qlFuturesConvAdjustmentQuote($F109,IborIndex,$D109,$E109,Volatility,MeanReversion,Permanent,Trigger,ObjectOverwrite)</f>
        <v>EURFUT3MM2ConvAdj_Quote#0001</v>
      </c>
      <c r="H109" s="81" t="str">
        <f>_xll.ohRangeRetrieveError(G109)</f>
        <v/>
      </c>
    </row>
    <row r="110" spans="1:8" x14ac:dyDescent="0.2">
      <c r="A110" s="154"/>
      <c r="B110" s="115">
        <v>104</v>
      </c>
      <c r="C110" s="152" t="b">
        <v>0</v>
      </c>
      <c r="D110" s="152" t="str">
        <v>N2</v>
      </c>
      <c r="E110" s="259" t="str">
        <f t="shared" si="6"/>
        <v>EURFUT3MN2_Quote</v>
      </c>
      <c r="F110" s="260" t="str">
        <f t="shared" si="7"/>
        <v>EURFUT3MN2ConvAdj_Quote</v>
      </c>
      <c r="G110" s="259" t="str">
        <f>_xll.qlFuturesConvAdjustmentQuote($F110,IborIndex,$D110,$E110,Volatility,MeanReversion,Permanent,Trigger,ObjectOverwrite)</f>
        <v>EURFUT3MN2ConvAdj_Quote#0001</v>
      </c>
      <c r="H110" s="81" t="str">
        <f>_xll.ohRangeRetrieveError(G110)</f>
        <v/>
      </c>
    </row>
    <row r="111" spans="1:8" x14ac:dyDescent="0.2">
      <c r="A111" s="154"/>
      <c r="B111" s="115">
        <v>105</v>
      </c>
      <c r="C111" s="152" t="b">
        <v>0</v>
      </c>
      <c r="D111" s="152" t="str">
        <v>Q2</v>
      </c>
      <c r="E111" s="259" t="str">
        <f t="shared" si="6"/>
        <v>EURFUT3MQ2_Quote</v>
      </c>
      <c r="F111" s="260" t="str">
        <f t="shared" si="7"/>
        <v>EURFUT3MQ2ConvAdj_Quote</v>
      </c>
      <c r="G111" s="259" t="str">
        <f>_xll.qlFuturesConvAdjustmentQuote($F111,IborIndex,$D111,$E111,Volatility,MeanReversion,Permanent,Trigger,ObjectOverwrite)</f>
        <v>EURFUT3MQ2ConvAdj_Quote#0001</v>
      </c>
      <c r="H111" s="81" t="str">
        <f>_xll.ohRangeRetrieveError(G111)</f>
        <v/>
      </c>
    </row>
    <row r="112" spans="1:8" x14ac:dyDescent="0.2">
      <c r="A112" s="154"/>
      <c r="B112" s="115">
        <v>106</v>
      </c>
      <c r="C112" s="152" t="b">
        <v>0</v>
      </c>
      <c r="D112" s="152" t="str">
        <v>U2</v>
      </c>
      <c r="E112" s="259" t="str">
        <f t="shared" si="6"/>
        <v>EURFUT3MU2_Quote</v>
      </c>
      <c r="F112" s="260" t="str">
        <f t="shared" si="7"/>
        <v>EURFUT3MU2ConvAdj_Quote</v>
      </c>
      <c r="G112" s="259" t="str">
        <f>_xll.qlFuturesConvAdjustmentQuote($F112,IborIndex,$D112,$E112,Volatility,MeanReversion,Permanent,Trigger,ObjectOverwrite)</f>
        <v>EURFUT3MU2ConvAdj_Quote#0001</v>
      </c>
      <c r="H112" s="81" t="str">
        <f>_xll.ohRangeRetrieveError(G112)</f>
        <v/>
      </c>
    </row>
    <row r="113" spans="1:8" x14ac:dyDescent="0.2">
      <c r="A113" s="154"/>
      <c r="B113" s="115">
        <v>107</v>
      </c>
      <c r="C113" s="152" t="b">
        <v>0</v>
      </c>
      <c r="D113" s="152" t="str">
        <v>V2</v>
      </c>
      <c r="E113" s="259" t="str">
        <f t="shared" si="6"/>
        <v>EURFUT3MV2_Quote</v>
      </c>
      <c r="F113" s="260" t="str">
        <f t="shared" si="7"/>
        <v>EURFUT3MV2ConvAdj_Quote</v>
      </c>
      <c r="G113" s="259" t="str">
        <f>_xll.qlFuturesConvAdjustmentQuote($F113,IborIndex,$D113,$E113,Volatility,MeanReversion,Permanent,Trigger,ObjectOverwrite)</f>
        <v>EURFUT3MV2ConvAdj_Quote#0001</v>
      </c>
      <c r="H113" s="81" t="str">
        <f>_xll.ohRangeRetrieveError(G113)</f>
        <v/>
      </c>
    </row>
    <row r="114" spans="1:8" x14ac:dyDescent="0.2">
      <c r="A114" s="154"/>
      <c r="B114" s="115">
        <v>108</v>
      </c>
      <c r="C114" s="152" t="b">
        <v>0</v>
      </c>
      <c r="D114" s="152" t="str">
        <v>X2</v>
      </c>
      <c r="E114" s="259" t="str">
        <f t="shared" si="6"/>
        <v>EURFUT3MX2_Quote</v>
      </c>
      <c r="F114" s="260" t="str">
        <f t="shared" si="7"/>
        <v>EURFUT3MX2ConvAdj_Quote</v>
      </c>
      <c r="G114" s="259" t="str">
        <f>_xll.qlFuturesConvAdjustmentQuote($F114,IborIndex,$D114,$E114,Volatility,MeanReversion,Permanent,Trigger,ObjectOverwrite)</f>
        <v>EURFUT3MX2ConvAdj_Quote#0001</v>
      </c>
      <c r="H114" s="81" t="str">
        <f>_xll.ohRangeRetrieveError(G114)</f>
        <v/>
      </c>
    </row>
    <row r="115" spans="1:8" x14ac:dyDescent="0.2">
      <c r="A115" s="154"/>
      <c r="B115" s="115">
        <v>109</v>
      </c>
      <c r="C115" s="152" t="b">
        <v>0</v>
      </c>
      <c r="D115" s="152" t="str">
        <v>Z2</v>
      </c>
      <c r="E115" s="259" t="str">
        <f t="shared" si="6"/>
        <v>EURFUT3MZ2_Quote</v>
      </c>
      <c r="F115" s="260" t="str">
        <f t="shared" si="7"/>
        <v>EURFUT3MZ2ConvAdj_Quote</v>
      </c>
      <c r="G115" s="259" t="str">
        <f>_xll.qlFuturesConvAdjustmentQuote($F115,IborIndex,$D115,$E115,Volatility,MeanReversion,Permanent,Trigger,ObjectOverwrite)</f>
        <v>EURFUT3MZ2ConvAdj_Quote#0001</v>
      </c>
      <c r="H115" s="81" t="str">
        <f>_xll.ohRangeRetrieveError(G115)</f>
        <v/>
      </c>
    </row>
    <row r="116" spans="1:8" x14ac:dyDescent="0.2">
      <c r="A116" s="154"/>
      <c r="B116" s="115">
        <v>110</v>
      </c>
      <c r="C116" s="152" t="b">
        <v>0</v>
      </c>
      <c r="D116" s="152" t="str">
        <v>F3</v>
      </c>
      <c r="E116" s="259" t="str">
        <f t="shared" si="6"/>
        <v>EURFUT3MF3_Quote</v>
      </c>
      <c r="F116" s="260" t="str">
        <f t="shared" si="7"/>
        <v>EURFUT3MF3ConvAdj_Quote</v>
      </c>
      <c r="G116" s="259" t="str">
        <f>_xll.qlFuturesConvAdjustmentQuote($F116,IborIndex,$D116,$E116,Volatility,MeanReversion,Permanent,Trigger,ObjectOverwrite)</f>
        <v>EURFUT3MF3ConvAdj_Quote#0001</v>
      </c>
      <c r="H116" s="81" t="str">
        <f>_xll.ohRangeRetrieveError(G116)</f>
        <v/>
      </c>
    </row>
    <row r="117" spans="1:8" x14ac:dyDescent="0.2">
      <c r="A117" s="154"/>
      <c r="B117" s="115">
        <v>111</v>
      </c>
      <c r="C117" s="152" t="b">
        <v>0</v>
      </c>
      <c r="D117" s="152" t="str">
        <v>G3</v>
      </c>
      <c r="E117" s="259" t="str">
        <f t="shared" si="6"/>
        <v>EURFUT3MG3_Quote</v>
      </c>
      <c r="F117" s="260" t="str">
        <f t="shared" si="7"/>
        <v>EURFUT3MG3ConvAdj_Quote</v>
      </c>
      <c r="G117" s="259" t="str">
        <f>_xll.qlFuturesConvAdjustmentQuote($F117,IborIndex,$D117,$E117,Volatility,MeanReversion,Permanent,Trigger,ObjectOverwrite)</f>
        <v>EURFUT3MG3ConvAdj_Quote#0001</v>
      </c>
      <c r="H117" s="81" t="str">
        <f>_xll.ohRangeRetrieveError(G117)</f>
        <v/>
      </c>
    </row>
    <row r="118" spans="1:8" x14ac:dyDescent="0.2">
      <c r="A118" s="154"/>
      <c r="B118" s="115">
        <v>112</v>
      </c>
      <c r="C118" s="152" t="b">
        <v>0</v>
      </c>
      <c r="D118" s="152" t="str">
        <v>H3</v>
      </c>
      <c r="E118" s="259" t="str">
        <f t="shared" si="6"/>
        <v>EURFUT3MH3_Quote</v>
      </c>
      <c r="F118" s="260" t="str">
        <f t="shared" si="7"/>
        <v>EURFUT3MH3ConvAdj_Quote</v>
      </c>
      <c r="G118" s="259" t="str">
        <f>_xll.qlFuturesConvAdjustmentQuote($F118,IborIndex,$D118,$E118,Volatility,MeanReversion,Permanent,Trigger,ObjectOverwrite)</f>
        <v>EURFUT3MH3ConvAdj_Quote#0001</v>
      </c>
      <c r="H118" s="81" t="str">
        <f>_xll.ohRangeRetrieveError(G118)</f>
        <v/>
      </c>
    </row>
    <row r="119" spans="1:8" x14ac:dyDescent="0.2">
      <c r="A119" s="154"/>
      <c r="B119" s="115">
        <v>113</v>
      </c>
      <c r="C119" s="152" t="b">
        <v>0</v>
      </c>
      <c r="D119" s="152" t="str">
        <v>J3</v>
      </c>
      <c r="E119" s="259" t="str">
        <f t="shared" si="6"/>
        <v>EURFUT3MJ3_Quote</v>
      </c>
      <c r="F119" s="260" t="str">
        <f t="shared" si="7"/>
        <v>EURFUT3MJ3ConvAdj_Quote</v>
      </c>
      <c r="G119" s="259" t="str">
        <f>_xll.qlFuturesConvAdjustmentQuote($F119,IborIndex,$D119,$E119,Volatility,MeanReversion,Permanent,Trigger,ObjectOverwrite)</f>
        <v>EURFUT3MJ3ConvAdj_Quote#0001</v>
      </c>
      <c r="H119" s="81" t="str">
        <f>_xll.ohRangeRetrieveError(G119)</f>
        <v/>
      </c>
    </row>
    <row r="120" spans="1:8" x14ac:dyDescent="0.2">
      <c r="A120" s="154"/>
      <c r="B120" s="115">
        <v>114</v>
      </c>
      <c r="C120" s="152" t="b">
        <v>0</v>
      </c>
      <c r="D120" s="152" t="str">
        <v>K3</v>
      </c>
      <c r="E120" s="259" t="str">
        <f t="shared" si="6"/>
        <v>EURFUT3MK3_Quote</v>
      </c>
      <c r="F120" s="260" t="str">
        <f t="shared" si="7"/>
        <v>EURFUT3MK3ConvAdj_Quote</v>
      </c>
      <c r="G120" s="259" t="str">
        <f>_xll.qlFuturesConvAdjustmentQuote($F120,IborIndex,$D120,$E120,Volatility,MeanReversion,Permanent,Trigger,ObjectOverwrite)</f>
        <v>EURFUT3MK3ConvAdj_Quote#0001</v>
      </c>
      <c r="H120" s="81" t="str">
        <f>_xll.ohRangeRetrieveError(G120)</f>
        <v/>
      </c>
    </row>
    <row r="121" spans="1:8" x14ac:dyDescent="0.2">
      <c r="A121" s="154"/>
      <c r="B121" s="115">
        <v>115</v>
      </c>
      <c r="C121" s="152" t="b">
        <v>0</v>
      </c>
      <c r="D121" s="152" t="str">
        <v>M3</v>
      </c>
      <c r="E121" s="259" t="str">
        <f t="shared" si="6"/>
        <v>EURFUT3MM3_Quote</v>
      </c>
      <c r="F121" s="260" t="str">
        <f t="shared" si="7"/>
        <v>EURFUT3MM3ConvAdj_Quote</v>
      </c>
      <c r="G121" s="259" t="str">
        <f>_xll.qlFuturesConvAdjustmentQuote($F121,IborIndex,$D121,$E121,Volatility,MeanReversion,Permanent,Trigger,ObjectOverwrite)</f>
        <v>EURFUT3MM3ConvAdj_Quote#0001</v>
      </c>
      <c r="H121" s="81" t="str">
        <f>_xll.ohRangeRetrieveError(G121)</f>
        <v/>
      </c>
    </row>
    <row r="122" spans="1:8" x14ac:dyDescent="0.2">
      <c r="A122" s="154"/>
      <c r="B122" s="115">
        <v>116</v>
      </c>
      <c r="C122" s="152" t="b">
        <v>0</v>
      </c>
      <c r="D122" s="152" t="str">
        <v>N3</v>
      </c>
      <c r="E122" s="259" t="str">
        <f t="shared" si="6"/>
        <v>EURFUT3MN3_Quote</v>
      </c>
      <c r="F122" s="260" t="str">
        <f t="shared" si="7"/>
        <v>EURFUT3MN3ConvAdj_Quote</v>
      </c>
      <c r="G122" s="259" t="str">
        <f>_xll.qlFuturesConvAdjustmentQuote($F122,IborIndex,$D122,$E122,Volatility,MeanReversion,Permanent,Trigger,ObjectOverwrite)</f>
        <v>EURFUT3MN3ConvAdj_Quote#0001</v>
      </c>
      <c r="H122" s="81" t="str">
        <f>_xll.ohRangeRetrieveError(G122)</f>
        <v/>
      </c>
    </row>
    <row r="123" spans="1:8" x14ac:dyDescent="0.2">
      <c r="A123" s="154"/>
      <c r="B123" s="115">
        <v>117</v>
      </c>
      <c r="C123" s="152" t="b">
        <v>0</v>
      </c>
      <c r="D123" s="152" t="str">
        <v>Q3</v>
      </c>
      <c r="E123" s="259" t="str">
        <f t="shared" si="6"/>
        <v>EURFUT3MQ3_Quote</v>
      </c>
      <c r="F123" s="260" t="str">
        <f t="shared" si="7"/>
        <v>EURFUT3MQ3ConvAdj_Quote</v>
      </c>
      <c r="G123" s="259" t="str">
        <f>_xll.qlFuturesConvAdjustmentQuote($F123,IborIndex,$D123,$E123,Volatility,MeanReversion,Permanent,Trigger,ObjectOverwrite)</f>
        <v>EURFUT3MQ3ConvAdj_Quote#0001</v>
      </c>
      <c r="H123" s="81" t="str">
        <f>_xll.ohRangeRetrieveError(G123)</f>
        <v/>
      </c>
    </row>
    <row r="124" spans="1:8" x14ac:dyDescent="0.2">
      <c r="A124" s="154"/>
      <c r="B124" s="115">
        <v>118</v>
      </c>
      <c r="C124" s="152" t="b">
        <v>0</v>
      </c>
      <c r="D124" s="152" t="str">
        <v>U3</v>
      </c>
      <c r="E124" s="259" t="str">
        <f t="shared" si="6"/>
        <v>EURFUT3MU3_Quote</v>
      </c>
      <c r="F124" s="260" t="str">
        <f t="shared" si="7"/>
        <v>EURFUT3MU3ConvAdj_Quote</v>
      </c>
      <c r="G124" s="259" t="str">
        <f>_xll.qlFuturesConvAdjustmentQuote($F124,IborIndex,$D124,$E124,Volatility,MeanReversion,Permanent,Trigger,ObjectOverwrite)</f>
        <v>EURFUT3MU3ConvAdj_Quote#0001</v>
      </c>
      <c r="H124" s="81" t="str">
        <f>_xll.ohRangeRetrieveError(G124)</f>
        <v/>
      </c>
    </row>
    <row r="125" spans="1:8" x14ac:dyDescent="0.2">
      <c r="A125" s="154"/>
      <c r="B125" s="115">
        <v>119</v>
      </c>
      <c r="C125" s="152" t="b">
        <v>0</v>
      </c>
      <c r="D125" s="152" t="str">
        <v>V3</v>
      </c>
      <c r="E125" s="259" t="str">
        <f t="shared" si="6"/>
        <v>EURFUT3MV3_Quote</v>
      </c>
      <c r="F125" s="260" t="str">
        <f t="shared" si="7"/>
        <v>EURFUT3MV3ConvAdj_Quote</v>
      </c>
      <c r="G125" s="259" t="str">
        <f>_xll.qlFuturesConvAdjustmentQuote($F125,IborIndex,$D125,$E125,Volatility,MeanReversion,Permanent,Trigger,ObjectOverwrite)</f>
        <v>EURFUT3MV3ConvAdj_Quote#0001</v>
      </c>
      <c r="H125" s="81" t="str">
        <f>_xll.ohRangeRetrieveError(G125)</f>
        <v/>
      </c>
    </row>
    <row r="126" spans="1:8" ht="12" thickBot="1" x14ac:dyDescent="0.25">
      <c r="A126" s="148"/>
      <c r="B126" s="115">
        <v>120</v>
      </c>
      <c r="C126" s="152" t="b">
        <v>0</v>
      </c>
      <c r="D126" s="152" t="str">
        <v>X3</v>
      </c>
      <c r="E126" s="259" t="str">
        <f t="shared" si="6"/>
        <v>EURFUT3MX3_Quote</v>
      </c>
      <c r="F126" s="260" t="str">
        <f t="shared" si="7"/>
        <v>EURFUT3MX3ConvAdj_Quote</v>
      </c>
      <c r="G126" s="259" t="str">
        <f>_xll.qlFuturesConvAdjustmentQuote($F126,IborIndex,$D126,$E126,Volatility,MeanReversion,Permanent,Trigger,ObjectOverwrite)</f>
        <v>EURFUT3MX3ConvAdj_Quote#0001</v>
      </c>
      <c r="H126" s="81" t="str">
        <f>_xll.ohRangeRetrieveError(G126)</f>
        <v/>
      </c>
    </row>
  </sheetData>
  <pageMargins left="0.75" right="0.75" top="1" bottom="1" header="0.5" footer="0.5"/>
  <pageSetup paperSize="9"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E19"/>
  <sheetViews>
    <sheetView workbookViewId="0"/>
  </sheetViews>
  <sheetFormatPr defaultColWidth="8" defaultRowHeight="11.25" x14ac:dyDescent="0.2"/>
  <cols>
    <col min="1" max="1" width="6.140625" style="107" customWidth="1"/>
    <col min="2" max="2" width="4.28515625" style="107" customWidth="1"/>
    <col min="3" max="3" width="15.5703125" style="107" bestFit="1" customWidth="1"/>
    <col min="4" max="4" width="79.42578125" style="107" bestFit="1" customWidth="1"/>
    <col min="5" max="5" width="4.7109375" style="107" customWidth="1"/>
    <col min="6" max="6" width="35.28515625" style="107" customWidth="1"/>
    <col min="7" max="7" width="4.28515625" style="107" customWidth="1"/>
    <col min="8" max="16384" width="8" style="107"/>
  </cols>
  <sheetData>
    <row r="1" spans="1:5" ht="13.5" thickBot="1" x14ac:dyDescent="0.25">
      <c r="A1" s="107" t="s">
        <v>221</v>
      </c>
      <c r="B1" s="110" t="str">
        <f>_xll.qlxlVersion(TRUE,Trigger)</f>
        <v>QuantLibXL 1.3.0 - MS VC++ 9.0 - Multithreaded Static Runtime library - Release Configuration - Dec  5 2013 11:03:51</v>
      </c>
    </row>
    <row r="2" spans="1:5" s="1" customFormat="1" ht="15.75" x14ac:dyDescent="0.25">
      <c r="A2" s="23"/>
      <c r="B2" s="458" t="s">
        <v>32</v>
      </c>
      <c r="C2" s="459"/>
      <c r="D2" s="459"/>
      <c r="E2" s="460"/>
    </row>
    <row r="3" spans="1:5" s="1" customFormat="1" ht="12.75" x14ac:dyDescent="0.2">
      <c r="A3" s="23"/>
      <c r="B3" s="9"/>
      <c r="C3" s="13"/>
      <c r="D3" s="13"/>
      <c r="E3" s="5"/>
    </row>
    <row r="4" spans="1:5" s="1" customFormat="1" ht="12.75" x14ac:dyDescent="0.2">
      <c r="A4" s="23"/>
      <c r="B4" s="9"/>
      <c r="C4" s="16" t="s">
        <v>31</v>
      </c>
      <c r="D4" s="15"/>
      <c r="E4" s="14"/>
    </row>
    <row r="5" spans="1:5" s="1" customFormat="1" ht="12.75" x14ac:dyDescent="0.2">
      <c r="A5" s="23"/>
      <c r="B5" s="9"/>
      <c r="C5" s="16" t="s">
        <v>30</v>
      </c>
      <c r="D5" s="15" t="b">
        <v>1</v>
      </c>
      <c r="E5" s="14"/>
    </row>
    <row r="6" spans="1:5" s="1" customFormat="1" ht="12.75" x14ac:dyDescent="0.2">
      <c r="A6" s="23"/>
      <c r="B6" s="9"/>
      <c r="C6" s="16" t="s">
        <v>29</v>
      </c>
      <c r="D6" s="15" t="b">
        <v>0</v>
      </c>
      <c r="E6" s="14"/>
    </row>
    <row r="7" spans="1:5" s="1" customFormat="1" ht="12.75" x14ac:dyDescent="0.2">
      <c r="A7" s="23"/>
      <c r="B7" s="9"/>
      <c r="C7" s="16" t="s">
        <v>28</v>
      </c>
      <c r="D7" s="15" t="b">
        <v>1</v>
      </c>
      <c r="E7" s="14"/>
    </row>
    <row r="8" spans="1:5" s="1" customFormat="1" ht="12.75" x14ac:dyDescent="0.2">
      <c r="A8" s="23"/>
      <c r="B8" s="9"/>
      <c r="C8" s="16" t="s">
        <v>27</v>
      </c>
      <c r="D8" s="25" t="str">
        <f ca="1">SUBSTITUTE(LEFT(CELL("filename",A1),FIND("[",CELL("filename",A1),1)-1),"\XLS\","\XML\")</f>
        <v>C:\Users\erik\Documents\repos\quantlib_nando\QuantLibXL\Data2\XML\</v>
      </c>
      <c r="E8" s="14"/>
    </row>
    <row r="9" spans="1:5" s="1" customFormat="1" ht="12.75" x14ac:dyDescent="0.2">
      <c r="A9" s="23"/>
      <c r="B9" s="9"/>
      <c r="C9" s="16" t="s">
        <v>26</v>
      </c>
      <c r="D9" s="24" t="b">
        <v>1</v>
      </c>
      <c r="E9" s="14"/>
    </row>
    <row r="10" spans="1:5" s="1" customFormat="1" ht="13.5" thickBot="1" x14ac:dyDescent="0.25">
      <c r="A10" s="23"/>
      <c r="B10" s="4"/>
      <c r="C10" s="3"/>
      <c r="D10" s="3"/>
      <c r="E10" s="2"/>
    </row>
    <row r="11" spans="1:5" ht="12" thickBot="1" x14ac:dyDescent="0.25"/>
    <row r="12" spans="1:5" ht="15.75" x14ac:dyDescent="0.25">
      <c r="B12" s="455" t="s">
        <v>149</v>
      </c>
      <c r="C12" s="456"/>
      <c r="D12" s="456"/>
      <c r="E12" s="457"/>
    </row>
    <row r="13" spans="1:5" x14ac:dyDescent="0.2">
      <c r="B13" s="9"/>
      <c r="C13" s="13"/>
      <c r="D13" s="13"/>
      <c r="E13" s="5"/>
    </row>
    <row r="14" spans="1:5" x14ac:dyDescent="0.2">
      <c r="B14" s="9"/>
      <c r="C14" s="16" t="s">
        <v>25</v>
      </c>
      <c r="D14" s="15" t="s">
        <v>123</v>
      </c>
      <c r="E14" s="14"/>
    </row>
    <row r="15" spans="1:5" x14ac:dyDescent="0.2">
      <c r="B15" s="9"/>
      <c r="C15" s="16" t="s">
        <v>54</v>
      </c>
      <c r="D15" s="15" t="s">
        <v>53</v>
      </c>
      <c r="E15" s="14"/>
    </row>
    <row r="16" spans="1:5" x14ac:dyDescent="0.2">
      <c r="B16" s="9"/>
      <c r="C16" s="16" t="s">
        <v>148</v>
      </c>
      <c r="D16" s="24" t="s">
        <v>147</v>
      </c>
      <c r="E16" s="14"/>
    </row>
    <row r="17" spans="2:5" x14ac:dyDescent="0.2">
      <c r="B17" s="9"/>
      <c r="C17" s="16" t="s">
        <v>146</v>
      </c>
      <c r="D17" s="109">
        <v>1E-4</v>
      </c>
      <c r="E17" s="14"/>
    </row>
    <row r="18" spans="2:5" x14ac:dyDescent="0.2">
      <c r="B18" s="9"/>
      <c r="C18" s="16" t="s">
        <v>145</v>
      </c>
      <c r="D18" s="108">
        <v>-0.01</v>
      </c>
      <c r="E18" s="14"/>
    </row>
    <row r="19" spans="2:5" ht="12" thickBot="1" x14ac:dyDescent="0.25">
      <c r="B19" s="4"/>
      <c r="C19" s="3"/>
      <c r="D19" s="3"/>
      <c r="E19" s="2"/>
    </row>
  </sheetData>
  <mergeCells count="2">
    <mergeCell ref="B2:E2"/>
    <mergeCell ref="B12:E12"/>
  </mergeCells>
  <dataValidations count="2">
    <dataValidation type="list" allowBlank="1" showInputMessage="1" showErrorMessage="1" sqref="D15">
      <formula1>"ibor,Libor"</formula1>
    </dataValidation>
    <dataValidation type="list" allowBlank="1" showInputMessage="1" showErrorMessage="1" sqref="D14">
      <formula1>"EUR,USD,GBP,JPY,CHF"</formula1>
    </dataValidation>
  </dataValidations>
  <pageMargins left="0.75" right="0.75" top="1" bottom="1" header="0.5" footer="0.5"/>
  <pageSetup paperSize="9" orientation="portrait" r:id="rId1"/>
  <headerFooter alignWithMargins="0"/>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L40"/>
  <sheetViews>
    <sheetView workbookViewId="0"/>
  </sheetViews>
  <sheetFormatPr defaultRowHeight="11.25" x14ac:dyDescent="0.2"/>
  <cols>
    <col min="1" max="1" width="3.7109375" style="74" customWidth="1"/>
    <col min="2" max="2" width="6.5703125" style="21" bestFit="1" customWidth="1"/>
    <col min="3" max="3" width="3.140625" style="74" bestFit="1" customWidth="1"/>
    <col min="4" max="5" width="2.7109375" style="74" bestFit="1" customWidth="1"/>
    <col min="6" max="6" width="15.7109375" style="74" bestFit="1" customWidth="1"/>
    <col min="7" max="7" width="8" style="74" bestFit="1" customWidth="1"/>
    <col min="8" max="8" width="15.28515625" style="74" bestFit="1" customWidth="1"/>
    <col min="9" max="9" width="22.5703125" style="74" bestFit="1" customWidth="1"/>
    <col min="10" max="10" width="24.7109375" style="75" bestFit="1" customWidth="1"/>
    <col min="11" max="11" width="37.85546875" style="74" customWidth="1"/>
    <col min="12" max="12" width="4.42578125" style="74" customWidth="1"/>
    <col min="13" max="13" width="5.85546875" style="74" customWidth="1"/>
    <col min="14" max="16384" width="9.140625" style="74"/>
  </cols>
  <sheetData>
    <row r="1" spans="1:12" x14ac:dyDescent="0.2">
      <c r="A1" s="224" t="s">
        <v>226</v>
      </c>
      <c r="B1" s="207"/>
      <c r="C1" s="207"/>
      <c r="D1" s="207"/>
      <c r="E1" s="207"/>
      <c r="F1" s="207"/>
      <c r="G1" s="207"/>
      <c r="H1" s="207"/>
      <c r="I1" s="162"/>
      <c r="J1" s="223"/>
      <c r="K1" s="162"/>
      <c r="L1" s="204"/>
    </row>
    <row r="2" spans="1:12" x14ac:dyDescent="0.2">
      <c r="A2" s="130"/>
      <c r="B2" s="254" t="s">
        <v>141</v>
      </c>
      <c r="C2" s="255"/>
      <c r="D2" s="254"/>
      <c r="E2" s="254"/>
      <c r="F2" s="254" t="s">
        <v>224</v>
      </c>
      <c r="G2" s="254" t="s">
        <v>223</v>
      </c>
      <c r="H2" s="254" t="s">
        <v>214</v>
      </c>
      <c r="I2" s="253" t="str">
        <f>Currency&amp;"_020_Sw"&amp;$C$3&amp;$D$3&amp;"_Basis.xml"</f>
        <v>EUR_020_SwAB1E_Basis.xml</v>
      </c>
      <c r="J2" s="252">
        <f ca="1">IF(Serialize,_xll.ohObjectSave(J3:J39,SerializationPath&amp;I2,FileOverwrite,Serialize),"---")</f>
        <v>37</v>
      </c>
      <c r="K2" s="250" t="str">
        <f ca="1">_xll.ohRangeRetrieveError(J2)</f>
        <v/>
      </c>
      <c r="L2" s="54"/>
    </row>
    <row r="3" spans="1:12" x14ac:dyDescent="0.2">
      <c r="A3" s="130"/>
      <c r="B3" s="222" t="s">
        <v>34</v>
      </c>
      <c r="C3" s="114" t="s">
        <v>202</v>
      </c>
      <c r="D3" s="114" t="s">
        <v>136</v>
      </c>
      <c r="E3" s="114" t="s">
        <v>135</v>
      </c>
      <c r="F3" s="247" t="str">
        <f t="shared" ref="F3:F39" si="0">Currency&amp;$C3&amp;E3&amp;$B3&amp;QuoteSuffix</f>
        <v>EURAB6E1Y_Quote</v>
      </c>
      <c r="G3" s="114" t="s">
        <v>222</v>
      </c>
      <c r="H3" s="248" t="str">
        <f t="shared" ref="H3:H39" si="1">Currency&amp;IF($G3="-",$D3&amp;E3,E3&amp;$D3)&amp;$B3&amp;QuoteSuffix</f>
        <v>EUR1E6E1Y_Quote</v>
      </c>
      <c r="I3" s="247" t="str">
        <f t="shared" ref="I3:I39" si="2">Currency&amp;$C3&amp;$D3&amp;"BASIS"&amp;$B3&amp;QuoteSuffix</f>
        <v>EURAB1EBASIS1Y_Quote</v>
      </c>
      <c r="J3" s="247" t="str">
        <f>_xll.qlCompositeQuote(I3,F3,H3,G3,Permanent,Trigger,ObjectOverwrite)</f>
        <v>EURAB1EBASIS1Y_Quote#0001</v>
      </c>
      <c r="K3" s="256" t="str">
        <f>_xll.ohRangeRetrieveError(J3)</f>
        <v/>
      </c>
      <c r="L3" s="54"/>
    </row>
    <row r="4" spans="1:12" x14ac:dyDescent="0.2">
      <c r="A4" s="130"/>
      <c r="B4" s="222" t="s">
        <v>140</v>
      </c>
      <c r="C4" s="114" t="s">
        <v>202</v>
      </c>
      <c r="D4" s="114" t="s">
        <v>136</v>
      </c>
      <c r="E4" s="114" t="s">
        <v>135</v>
      </c>
      <c r="F4" s="247" t="str">
        <f t="shared" si="0"/>
        <v>EURAB6E15M_Quote</v>
      </c>
      <c r="G4" s="114" t="s">
        <v>222</v>
      </c>
      <c r="H4" s="248" t="str">
        <f t="shared" si="1"/>
        <v>EUR1E6E15M_Quote</v>
      </c>
      <c r="I4" s="247" t="str">
        <f t="shared" si="2"/>
        <v>EURAB1EBASIS15M_Quote</v>
      </c>
      <c r="J4" s="247" t="str">
        <f>_xll.qlCompositeQuote(I4,F4,H4,G4,Permanent,Trigger,ObjectOverwrite)</f>
        <v>EURAB1EBASIS15M_Quote#0001</v>
      </c>
      <c r="K4" s="256" t="str">
        <f>_xll.ohRangeRetrieveError(J4)</f>
        <v/>
      </c>
      <c r="L4" s="54"/>
    </row>
    <row r="5" spans="1:12" x14ac:dyDescent="0.2">
      <c r="A5" s="130"/>
      <c r="B5" s="222" t="s">
        <v>139</v>
      </c>
      <c r="C5" s="114" t="s">
        <v>202</v>
      </c>
      <c r="D5" s="114" t="s">
        <v>136</v>
      </c>
      <c r="E5" s="114" t="s">
        <v>135</v>
      </c>
      <c r="F5" s="247" t="str">
        <f t="shared" si="0"/>
        <v>EURAB6E18M_Quote</v>
      </c>
      <c r="G5" s="114" t="s">
        <v>222</v>
      </c>
      <c r="H5" s="248" t="str">
        <f t="shared" si="1"/>
        <v>EUR1E6E18M_Quote</v>
      </c>
      <c r="I5" s="247" t="str">
        <f t="shared" si="2"/>
        <v>EURAB1EBASIS18M_Quote</v>
      </c>
      <c r="J5" s="247" t="str">
        <f>_xll.qlCompositeQuote(I5,F5,H5,G5,Permanent,Trigger,ObjectOverwrite)</f>
        <v>EURAB1EBASIS18M_Quote#0001</v>
      </c>
      <c r="K5" s="256" t="str">
        <f>_xll.ohRangeRetrieveError(J5)</f>
        <v/>
      </c>
      <c r="L5" s="54"/>
    </row>
    <row r="6" spans="1:12" x14ac:dyDescent="0.2">
      <c r="A6" s="130"/>
      <c r="B6" s="222" t="s">
        <v>138</v>
      </c>
      <c r="C6" s="114" t="s">
        <v>202</v>
      </c>
      <c r="D6" s="114" t="s">
        <v>136</v>
      </c>
      <c r="E6" s="114" t="s">
        <v>135</v>
      </c>
      <c r="F6" s="247" t="str">
        <f t="shared" si="0"/>
        <v>EURAB6E21M_Quote</v>
      </c>
      <c r="G6" s="114" t="s">
        <v>222</v>
      </c>
      <c r="H6" s="248" t="str">
        <f t="shared" si="1"/>
        <v>EUR1E6E21M_Quote</v>
      </c>
      <c r="I6" s="247" t="str">
        <f t="shared" si="2"/>
        <v>EURAB1EBASIS21M_Quote</v>
      </c>
      <c r="J6" s="247" t="str">
        <f>_xll.qlCompositeQuote(I6,F6,H6,G6,Permanent,Trigger,ObjectOverwrite)</f>
        <v>EURAB1EBASIS21M_Quote#0001</v>
      </c>
      <c r="K6" s="256" t="str">
        <f>_xll.ohRangeRetrieveError(J6)</f>
        <v/>
      </c>
      <c r="L6" s="54"/>
    </row>
    <row r="7" spans="1:12" x14ac:dyDescent="0.2">
      <c r="A7" s="130"/>
      <c r="B7" s="222" t="s">
        <v>115</v>
      </c>
      <c r="C7" s="114" t="s">
        <v>202</v>
      </c>
      <c r="D7" s="114" t="s">
        <v>136</v>
      </c>
      <c r="E7" s="114" t="s">
        <v>135</v>
      </c>
      <c r="F7" s="247" t="str">
        <f t="shared" si="0"/>
        <v>EURAB6E2Y_Quote</v>
      </c>
      <c r="G7" s="114" t="s">
        <v>222</v>
      </c>
      <c r="H7" s="248" t="str">
        <f t="shared" si="1"/>
        <v>EUR1E6E2Y_Quote</v>
      </c>
      <c r="I7" s="247" t="str">
        <f t="shared" si="2"/>
        <v>EURAB1EBASIS2Y_Quote</v>
      </c>
      <c r="J7" s="247" t="str">
        <f>_xll.qlCompositeQuote(I7,F7,H7,G7,Permanent,Trigger,ObjectOverwrite)</f>
        <v>EURAB1EBASIS2Y_Quote#0001</v>
      </c>
      <c r="K7" s="256" t="str">
        <f>_xll.ohRangeRetrieveError(J7)</f>
        <v/>
      </c>
      <c r="L7" s="54"/>
    </row>
    <row r="8" spans="1:12" x14ac:dyDescent="0.2">
      <c r="A8" s="130"/>
      <c r="B8" s="222" t="s">
        <v>114</v>
      </c>
      <c r="C8" s="114" t="s">
        <v>202</v>
      </c>
      <c r="D8" s="114" t="s">
        <v>136</v>
      </c>
      <c r="E8" s="114" t="s">
        <v>135</v>
      </c>
      <c r="F8" s="247" t="str">
        <f t="shared" si="0"/>
        <v>EURAB6E3Y_Quote</v>
      </c>
      <c r="G8" s="114" t="s">
        <v>222</v>
      </c>
      <c r="H8" s="248" t="str">
        <f t="shared" si="1"/>
        <v>EUR1E6E3Y_Quote</v>
      </c>
      <c r="I8" s="247" t="str">
        <f t="shared" si="2"/>
        <v>EURAB1EBASIS3Y_Quote</v>
      </c>
      <c r="J8" s="247" t="str">
        <f>_xll.qlCompositeQuote(I8,F8,H8,G8,Permanent,Trigger,ObjectOverwrite)</f>
        <v>EURAB1EBASIS3Y_Quote#0001</v>
      </c>
      <c r="K8" s="256" t="str">
        <f>_xll.ohRangeRetrieveError(J8)</f>
        <v/>
      </c>
      <c r="L8" s="54"/>
    </row>
    <row r="9" spans="1:12" x14ac:dyDescent="0.2">
      <c r="A9" s="130"/>
      <c r="B9" s="222" t="s">
        <v>113</v>
      </c>
      <c r="C9" s="114" t="s">
        <v>202</v>
      </c>
      <c r="D9" s="114" t="s">
        <v>136</v>
      </c>
      <c r="E9" s="114" t="s">
        <v>135</v>
      </c>
      <c r="F9" s="247" t="str">
        <f t="shared" si="0"/>
        <v>EURAB6E4Y_Quote</v>
      </c>
      <c r="G9" s="114" t="s">
        <v>222</v>
      </c>
      <c r="H9" s="248" t="str">
        <f t="shared" si="1"/>
        <v>EUR1E6E4Y_Quote</v>
      </c>
      <c r="I9" s="247" t="str">
        <f t="shared" si="2"/>
        <v>EURAB1EBASIS4Y_Quote</v>
      </c>
      <c r="J9" s="247" t="str">
        <f>_xll.qlCompositeQuote(I9,F9,H9,G9,Permanent,Trigger,ObjectOverwrite)</f>
        <v>EURAB1EBASIS4Y_Quote#0001</v>
      </c>
      <c r="K9" s="256" t="str">
        <f>_xll.ohRangeRetrieveError(J9)</f>
        <v/>
      </c>
      <c r="L9" s="54"/>
    </row>
    <row r="10" spans="1:12" x14ac:dyDescent="0.2">
      <c r="A10" s="130"/>
      <c r="B10" s="222" t="s">
        <v>112</v>
      </c>
      <c r="C10" s="114" t="s">
        <v>202</v>
      </c>
      <c r="D10" s="114" t="s">
        <v>136</v>
      </c>
      <c r="E10" s="114" t="s">
        <v>135</v>
      </c>
      <c r="F10" s="247" t="str">
        <f t="shared" si="0"/>
        <v>EURAB6E5Y_Quote</v>
      </c>
      <c r="G10" s="114" t="s">
        <v>222</v>
      </c>
      <c r="H10" s="248" t="str">
        <f t="shared" si="1"/>
        <v>EUR1E6E5Y_Quote</v>
      </c>
      <c r="I10" s="247" t="str">
        <f t="shared" si="2"/>
        <v>EURAB1EBASIS5Y_Quote</v>
      </c>
      <c r="J10" s="247" t="str">
        <f>_xll.qlCompositeQuote(I10,F10,H10,G10,Permanent,Trigger,ObjectOverwrite)</f>
        <v>EURAB1EBASIS5Y_Quote#0001</v>
      </c>
      <c r="K10" s="256" t="str">
        <f>_xll.ohRangeRetrieveError(J10)</f>
        <v/>
      </c>
      <c r="L10" s="54"/>
    </row>
    <row r="11" spans="1:12" x14ac:dyDescent="0.2">
      <c r="A11" s="130"/>
      <c r="B11" s="222" t="s">
        <v>111</v>
      </c>
      <c r="C11" s="114" t="s">
        <v>202</v>
      </c>
      <c r="D11" s="114" t="s">
        <v>136</v>
      </c>
      <c r="E11" s="114" t="s">
        <v>135</v>
      </c>
      <c r="F11" s="247" t="str">
        <f t="shared" si="0"/>
        <v>EURAB6E6Y_Quote</v>
      </c>
      <c r="G11" s="114" t="s">
        <v>222</v>
      </c>
      <c r="H11" s="248" t="str">
        <f t="shared" si="1"/>
        <v>EUR1E6E6Y_Quote</v>
      </c>
      <c r="I11" s="247" t="str">
        <f t="shared" si="2"/>
        <v>EURAB1EBASIS6Y_Quote</v>
      </c>
      <c r="J11" s="247" t="str">
        <f>_xll.qlCompositeQuote(I11,F11,H11,G11,Permanent,Trigger,ObjectOverwrite)</f>
        <v>EURAB1EBASIS6Y_Quote#0001</v>
      </c>
      <c r="K11" s="256" t="str">
        <f>_xll.ohRangeRetrieveError(J11)</f>
        <v/>
      </c>
      <c r="L11" s="54"/>
    </row>
    <row r="12" spans="1:12" x14ac:dyDescent="0.2">
      <c r="A12" s="130"/>
      <c r="B12" s="222" t="s">
        <v>110</v>
      </c>
      <c r="C12" s="114" t="s">
        <v>202</v>
      </c>
      <c r="D12" s="114" t="s">
        <v>136</v>
      </c>
      <c r="E12" s="114" t="s">
        <v>135</v>
      </c>
      <c r="F12" s="247" t="str">
        <f t="shared" si="0"/>
        <v>EURAB6E7Y_Quote</v>
      </c>
      <c r="G12" s="114" t="s">
        <v>222</v>
      </c>
      <c r="H12" s="248" t="str">
        <f t="shared" si="1"/>
        <v>EUR1E6E7Y_Quote</v>
      </c>
      <c r="I12" s="247" t="str">
        <f t="shared" si="2"/>
        <v>EURAB1EBASIS7Y_Quote</v>
      </c>
      <c r="J12" s="247" t="str">
        <f>_xll.qlCompositeQuote(I12,F12,H12,G12,Permanent,Trigger,ObjectOverwrite)</f>
        <v>EURAB1EBASIS7Y_Quote#0001</v>
      </c>
      <c r="K12" s="256" t="str">
        <f>_xll.ohRangeRetrieveError(J12)</f>
        <v/>
      </c>
      <c r="L12" s="54"/>
    </row>
    <row r="13" spans="1:12" x14ac:dyDescent="0.2">
      <c r="A13" s="130"/>
      <c r="B13" s="222" t="s">
        <v>109</v>
      </c>
      <c r="C13" s="114" t="s">
        <v>202</v>
      </c>
      <c r="D13" s="114" t="s">
        <v>136</v>
      </c>
      <c r="E13" s="114" t="s">
        <v>135</v>
      </c>
      <c r="F13" s="247" t="str">
        <f t="shared" si="0"/>
        <v>EURAB6E8Y_Quote</v>
      </c>
      <c r="G13" s="114" t="s">
        <v>222</v>
      </c>
      <c r="H13" s="248" t="str">
        <f t="shared" si="1"/>
        <v>EUR1E6E8Y_Quote</v>
      </c>
      <c r="I13" s="247" t="str">
        <f t="shared" si="2"/>
        <v>EURAB1EBASIS8Y_Quote</v>
      </c>
      <c r="J13" s="247" t="str">
        <f>_xll.qlCompositeQuote(I13,F13,H13,G13,Permanent,Trigger,ObjectOverwrite)</f>
        <v>EURAB1EBASIS8Y_Quote#0001</v>
      </c>
      <c r="K13" s="256" t="str">
        <f>_xll.ohRangeRetrieveError(J13)</f>
        <v/>
      </c>
      <c r="L13" s="54"/>
    </row>
    <row r="14" spans="1:12" x14ac:dyDescent="0.2">
      <c r="A14" s="130"/>
      <c r="B14" s="222" t="s">
        <v>108</v>
      </c>
      <c r="C14" s="114" t="s">
        <v>202</v>
      </c>
      <c r="D14" s="114" t="s">
        <v>136</v>
      </c>
      <c r="E14" s="114" t="s">
        <v>135</v>
      </c>
      <c r="F14" s="247" t="str">
        <f t="shared" si="0"/>
        <v>EURAB6E9Y_Quote</v>
      </c>
      <c r="G14" s="114" t="s">
        <v>222</v>
      </c>
      <c r="H14" s="248" t="str">
        <f t="shared" si="1"/>
        <v>EUR1E6E9Y_Quote</v>
      </c>
      <c r="I14" s="247" t="str">
        <f t="shared" si="2"/>
        <v>EURAB1EBASIS9Y_Quote</v>
      </c>
      <c r="J14" s="247" t="str">
        <f>_xll.qlCompositeQuote(I14,F14,H14,G14,Permanent,Trigger,ObjectOverwrite)</f>
        <v>EURAB1EBASIS9Y_Quote#0001</v>
      </c>
      <c r="K14" s="256" t="str">
        <f>_xll.ohRangeRetrieveError(J14)</f>
        <v/>
      </c>
      <c r="L14" s="54"/>
    </row>
    <row r="15" spans="1:12" x14ac:dyDescent="0.2">
      <c r="A15" s="130"/>
      <c r="B15" s="222" t="s">
        <v>107</v>
      </c>
      <c r="C15" s="114" t="s">
        <v>202</v>
      </c>
      <c r="D15" s="114" t="s">
        <v>136</v>
      </c>
      <c r="E15" s="114" t="s">
        <v>135</v>
      </c>
      <c r="F15" s="247" t="str">
        <f t="shared" si="0"/>
        <v>EURAB6E10Y_Quote</v>
      </c>
      <c r="G15" s="114" t="s">
        <v>222</v>
      </c>
      <c r="H15" s="248" t="str">
        <f t="shared" si="1"/>
        <v>EUR1E6E10Y_Quote</v>
      </c>
      <c r="I15" s="247" t="str">
        <f t="shared" si="2"/>
        <v>EURAB1EBASIS10Y_Quote</v>
      </c>
      <c r="J15" s="247" t="str">
        <f>_xll.qlCompositeQuote(I15,F15,H15,G15,Permanent,Trigger,ObjectOverwrite)</f>
        <v>EURAB1EBASIS10Y_Quote#0001</v>
      </c>
      <c r="K15" s="256" t="str">
        <f>_xll.ohRangeRetrieveError(J15)</f>
        <v/>
      </c>
      <c r="L15" s="54"/>
    </row>
    <row r="16" spans="1:12" x14ac:dyDescent="0.2">
      <c r="A16" s="130"/>
      <c r="B16" s="222" t="s">
        <v>106</v>
      </c>
      <c r="C16" s="114" t="s">
        <v>202</v>
      </c>
      <c r="D16" s="114" t="s">
        <v>136</v>
      </c>
      <c r="E16" s="114" t="s">
        <v>135</v>
      </c>
      <c r="F16" s="247" t="str">
        <f t="shared" si="0"/>
        <v>EURAB6E11Y_Quote</v>
      </c>
      <c r="G16" s="114" t="s">
        <v>222</v>
      </c>
      <c r="H16" s="248" t="str">
        <f t="shared" si="1"/>
        <v>EUR1E6E11Y_Quote</v>
      </c>
      <c r="I16" s="247" t="str">
        <f t="shared" si="2"/>
        <v>EURAB1EBASIS11Y_Quote</v>
      </c>
      <c r="J16" s="247" t="str">
        <f>_xll.qlCompositeQuote(I16,F16,H16,G16,Permanent,Trigger,ObjectOverwrite)</f>
        <v>EURAB1EBASIS11Y_Quote#0001</v>
      </c>
      <c r="K16" s="256" t="str">
        <f>_xll.ohRangeRetrieveError(J16)</f>
        <v/>
      </c>
      <c r="L16" s="54"/>
    </row>
    <row r="17" spans="1:12" x14ac:dyDescent="0.2">
      <c r="A17" s="130"/>
      <c r="B17" s="222" t="s">
        <v>105</v>
      </c>
      <c r="C17" s="114" t="s">
        <v>202</v>
      </c>
      <c r="D17" s="114" t="s">
        <v>136</v>
      </c>
      <c r="E17" s="114" t="s">
        <v>135</v>
      </c>
      <c r="F17" s="247" t="str">
        <f t="shared" si="0"/>
        <v>EURAB6E12Y_Quote</v>
      </c>
      <c r="G17" s="114" t="s">
        <v>222</v>
      </c>
      <c r="H17" s="248" t="str">
        <f t="shared" si="1"/>
        <v>EUR1E6E12Y_Quote</v>
      </c>
      <c r="I17" s="247" t="str">
        <f t="shared" si="2"/>
        <v>EURAB1EBASIS12Y_Quote</v>
      </c>
      <c r="J17" s="247" t="str">
        <f>_xll.qlCompositeQuote(I17,F17,H17,G17,Permanent,Trigger,ObjectOverwrite)</f>
        <v>EURAB1EBASIS12Y_Quote#0001</v>
      </c>
      <c r="K17" s="256" t="str">
        <f>_xll.ohRangeRetrieveError(J17)</f>
        <v/>
      </c>
      <c r="L17" s="54"/>
    </row>
    <row r="18" spans="1:12" x14ac:dyDescent="0.2">
      <c r="A18" s="130"/>
      <c r="B18" s="222" t="s">
        <v>104</v>
      </c>
      <c r="C18" s="114" t="s">
        <v>202</v>
      </c>
      <c r="D18" s="114" t="s">
        <v>136</v>
      </c>
      <c r="E18" s="114" t="s">
        <v>135</v>
      </c>
      <c r="F18" s="247" t="str">
        <f t="shared" si="0"/>
        <v>EURAB6E13Y_Quote</v>
      </c>
      <c r="G18" s="114" t="s">
        <v>222</v>
      </c>
      <c r="H18" s="248" t="str">
        <f t="shared" si="1"/>
        <v>EUR1E6E13Y_Quote</v>
      </c>
      <c r="I18" s="247" t="str">
        <f t="shared" si="2"/>
        <v>EURAB1EBASIS13Y_Quote</v>
      </c>
      <c r="J18" s="247" t="str">
        <f>_xll.qlCompositeQuote(I18,F18,H18,G18,Permanent,Trigger,ObjectOverwrite)</f>
        <v>EURAB1EBASIS13Y_Quote#0001</v>
      </c>
      <c r="K18" s="256" t="str">
        <f>_xll.ohRangeRetrieveError(J18)</f>
        <v/>
      </c>
      <c r="L18" s="54"/>
    </row>
    <row r="19" spans="1:12" x14ac:dyDescent="0.2">
      <c r="A19" s="130"/>
      <c r="B19" s="222" t="s">
        <v>103</v>
      </c>
      <c r="C19" s="114" t="s">
        <v>202</v>
      </c>
      <c r="D19" s="114" t="s">
        <v>136</v>
      </c>
      <c r="E19" s="114" t="s">
        <v>135</v>
      </c>
      <c r="F19" s="247" t="str">
        <f t="shared" si="0"/>
        <v>EURAB6E14Y_Quote</v>
      </c>
      <c r="G19" s="114" t="s">
        <v>222</v>
      </c>
      <c r="H19" s="248" t="str">
        <f t="shared" si="1"/>
        <v>EUR1E6E14Y_Quote</v>
      </c>
      <c r="I19" s="247" t="str">
        <f t="shared" si="2"/>
        <v>EURAB1EBASIS14Y_Quote</v>
      </c>
      <c r="J19" s="247" t="str">
        <f>_xll.qlCompositeQuote(I19,F19,H19,G19,Permanent,Trigger,ObjectOverwrite)</f>
        <v>EURAB1EBASIS14Y_Quote#0001</v>
      </c>
      <c r="K19" s="256" t="str">
        <f>_xll.ohRangeRetrieveError(J19)</f>
        <v/>
      </c>
      <c r="L19" s="54"/>
    </row>
    <row r="20" spans="1:12" x14ac:dyDescent="0.2">
      <c r="A20" s="130"/>
      <c r="B20" s="222" t="s">
        <v>102</v>
      </c>
      <c r="C20" s="114" t="s">
        <v>202</v>
      </c>
      <c r="D20" s="114" t="s">
        <v>136</v>
      </c>
      <c r="E20" s="114" t="s">
        <v>135</v>
      </c>
      <c r="F20" s="247" t="str">
        <f t="shared" si="0"/>
        <v>EURAB6E15Y_Quote</v>
      </c>
      <c r="G20" s="114" t="s">
        <v>222</v>
      </c>
      <c r="H20" s="248" t="str">
        <f t="shared" si="1"/>
        <v>EUR1E6E15Y_Quote</v>
      </c>
      <c r="I20" s="247" t="str">
        <f t="shared" si="2"/>
        <v>EURAB1EBASIS15Y_Quote</v>
      </c>
      <c r="J20" s="247" t="str">
        <f>_xll.qlCompositeQuote(I20,F20,H20,G20,Permanent,Trigger,ObjectOverwrite)</f>
        <v>EURAB1EBASIS15Y_Quote#0001</v>
      </c>
      <c r="K20" s="256" t="str">
        <f>_xll.ohRangeRetrieveError(J20)</f>
        <v/>
      </c>
      <c r="L20" s="54"/>
    </row>
    <row r="21" spans="1:12" x14ac:dyDescent="0.2">
      <c r="A21" s="130"/>
      <c r="B21" s="222" t="s">
        <v>101</v>
      </c>
      <c r="C21" s="114" t="s">
        <v>202</v>
      </c>
      <c r="D21" s="114" t="s">
        <v>136</v>
      </c>
      <c r="E21" s="114" t="s">
        <v>135</v>
      </c>
      <c r="F21" s="247" t="str">
        <f t="shared" si="0"/>
        <v>EURAB6E16Y_Quote</v>
      </c>
      <c r="G21" s="114" t="s">
        <v>222</v>
      </c>
      <c r="H21" s="248" t="str">
        <f t="shared" si="1"/>
        <v>EUR1E6E16Y_Quote</v>
      </c>
      <c r="I21" s="247" t="str">
        <f t="shared" si="2"/>
        <v>EURAB1EBASIS16Y_Quote</v>
      </c>
      <c r="J21" s="247" t="str">
        <f>_xll.qlCompositeQuote(I21,F21,H21,G21,Permanent,Trigger,ObjectOverwrite)</f>
        <v>EURAB1EBASIS16Y_Quote#0001</v>
      </c>
      <c r="K21" s="256" t="str">
        <f>_xll.ohRangeRetrieveError(J21)</f>
        <v/>
      </c>
      <c r="L21" s="54"/>
    </row>
    <row r="22" spans="1:12" x14ac:dyDescent="0.2">
      <c r="A22" s="130"/>
      <c r="B22" s="222" t="s">
        <v>100</v>
      </c>
      <c r="C22" s="114" t="s">
        <v>202</v>
      </c>
      <c r="D22" s="114" t="s">
        <v>136</v>
      </c>
      <c r="E22" s="114" t="s">
        <v>135</v>
      </c>
      <c r="F22" s="247" t="str">
        <f t="shared" si="0"/>
        <v>EURAB6E17Y_Quote</v>
      </c>
      <c r="G22" s="114" t="s">
        <v>222</v>
      </c>
      <c r="H22" s="248" t="str">
        <f t="shared" si="1"/>
        <v>EUR1E6E17Y_Quote</v>
      </c>
      <c r="I22" s="247" t="str">
        <f t="shared" si="2"/>
        <v>EURAB1EBASIS17Y_Quote</v>
      </c>
      <c r="J22" s="247" t="str">
        <f>_xll.qlCompositeQuote(I22,F22,H22,G22,Permanent,Trigger,ObjectOverwrite)</f>
        <v>EURAB1EBASIS17Y_Quote#0001</v>
      </c>
      <c r="K22" s="256" t="str">
        <f>_xll.ohRangeRetrieveError(J22)</f>
        <v/>
      </c>
      <c r="L22" s="54"/>
    </row>
    <row r="23" spans="1:12" x14ac:dyDescent="0.2">
      <c r="A23" s="130"/>
      <c r="B23" s="222" t="s">
        <v>99</v>
      </c>
      <c r="C23" s="114" t="s">
        <v>202</v>
      </c>
      <c r="D23" s="114" t="s">
        <v>136</v>
      </c>
      <c r="E23" s="114" t="s">
        <v>135</v>
      </c>
      <c r="F23" s="247" t="str">
        <f t="shared" si="0"/>
        <v>EURAB6E18Y_Quote</v>
      </c>
      <c r="G23" s="114" t="s">
        <v>222</v>
      </c>
      <c r="H23" s="248" t="str">
        <f t="shared" si="1"/>
        <v>EUR1E6E18Y_Quote</v>
      </c>
      <c r="I23" s="247" t="str">
        <f t="shared" si="2"/>
        <v>EURAB1EBASIS18Y_Quote</v>
      </c>
      <c r="J23" s="247" t="str">
        <f>_xll.qlCompositeQuote(I23,F23,H23,G23,Permanent,Trigger,ObjectOverwrite)</f>
        <v>EURAB1EBASIS18Y_Quote#0001</v>
      </c>
      <c r="K23" s="256" t="str">
        <f>_xll.ohRangeRetrieveError(J23)</f>
        <v/>
      </c>
      <c r="L23" s="54"/>
    </row>
    <row r="24" spans="1:12" x14ac:dyDescent="0.2">
      <c r="A24" s="130"/>
      <c r="B24" s="222" t="s">
        <v>98</v>
      </c>
      <c r="C24" s="114" t="s">
        <v>202</v>
      </c>
      <c r="D24" s="114" t="s">
        <v>136</v>
      </c>
      <c r="E24" s="114" t="s">
        <v>135</v>
      </c>
      <c r="F24" s="247" t="str">
        <f t="shared" si="0"/>
        <v>EURAB6E19Y_Quote</v>
      </c>
      <c r="G24" s="114" t="s">
        <v>222</v>
      </c>
      <c r="H24" s="248" t="str">
        <f t="shared" si="1"/>
        <v>EUR1E6E19Y_Quote</v>
      </c>
      <c r="I24" s="247" t="str">
        <f t="shared" si="2"/>
        <v>EURAB1EBASIS19Y_Quote</v>
      </c>
      <c r="J24" s="247" t="str">
        <f>_xll.qlCompositeQuote(I24,F24,H24,G24,Permanent,Trigger,ObjectOverwrite)</f>
        <v>EURAB1EBASIS19Y_Quote#0001</v>
      </c>
      <c r="K24" s="256" t="str">
        <f>_xll.ohRangeRetrieveError(J24)</f>
        <v/>
      </c>
      <c r="L24" s="54"/>
    </row>
    <row r="25" spans="1:12" x14ac:dyDescent="0.2">
      <c r="A25" s="130"/>
      <c r="B25" s="222" t="s">
        <v>97</v>
      </c>
      <c r="C25" s="114" t="s">
        <v>202</v>
      </c>
      <c r="D25" s="114" t="s">
        <v>136</v>
      </c>
      <c r="E25" s="114" t="s">
        <v>135</v>
      </c>
      <c r="F25" s="247" t="str">
        <f t="shared" si="0"/>
        <v>EURAB6E20Y_Quote</v>
      </c>
      <c r="G25" s="114" t="s">
        <v>222</v>
      </c>
      <c r="H25" s="248" t="str">
        <f t="shared" si="1"/>
        <v>EUR1E6E20Y_Quote</v>
      </c>
      <c r="I25" s="247" t="str">
        <f t="shared" si="2"/>
        <v>EURAB1EBASIS20Y_Quote</v>
      </c>
      <c r="J25" s="247" t="str">
        <f>_xll.qlCompositeQuote(I25,F25,H25,G25,Permanent,Trigger,ObjectOverwrite)</f>
        <v>EURAB1EBASIS20Y_Quote#0001</v>
      </c>
      <c r="K25" s="256" t="str">
        <f>_xll.ohRangeRetrieveError(J25)</f>
        <v/>
      </c>
      <c r="L25" s="54"/>
    </row>
    <row r="26" spans="1:12" x14ac:dyDescent="0.2">
      <c r="A26" s="130"/>
      <c r="B26" s="222" t="s">
        <v>96</v>
      </c>
      <c r="C26" s="114" t="s">
        <v>202</v>
      </c>
      <c r="D26" s="114" t="s">
        <v>136</v>
      </c>
      <c r="E26" s="114" t="s">
        <v>135</v>
      </c>
      <c r="F26" s="247" t="str">
        <f t="shared" si="0"/>
        <v>EURAB6E21Y_Quote</v>
      </c>
      <c r="G26" s="114" t="s">
        <v>222</v>
      </c>
      <c r="H26" s="248" t="str">
        <f t="shared" si="1"/>
        <v>EUR1E6E21Y_Quote</v>
      </c>
      <c r="I26" s="247" t="str">
        <f t="shared" si="2"/>
        <v>EURAB1EBASIS21Y_Quote</v>
      </c>
      <c r="J26" s="247" t="str">
        <f>_xll.qlCompositeQuote(I26,F26,H26,G26,Permanent,Trigger,ObjectOverwrite)</f>
        <v>EURAB1EBASIS21Y_Quote#0001</v>
      </c>
      <c r="K26" s="256" t="str">
        <f>_xll.ohRangeRetrieveError(J26)</f>
        <v/>
      </c>
      <c r="L26" s="54"/>
    </row>
    <row r="27" spans="1:12" x14ac:dyDescent="0.2">
      <c r="A27" s="130"/>
      <c r="B27" s="222" t="s">
        <v>95</v>
      </c>
      <c r="C27" s="114" t="s">
        <v>202</v>
      </c>
      <c r="D27" s="114" t="s">
        <v>136</v>
      </c>
      <c r="E27" s="114" t="s">
        <v>135</v>
      </c>
      <c r="F27" s="247" t="str">
        <f t="shared" si="0"/>
        <v>EURAB6E22Y_Quote</v>
      </c>
      <c r="G27" s="114" t="s">
        <v>222</v>
      </c>
      <c r="H27" s="248" t="str">
        <f t="shared" si="1"/>
        <v>EUR1E6E22Y_Quote</v>
      </c>
      <c r="I27" s="247" t="str">
        <f t="shared" si="2"/>
        <v>EURAB1EBASIS22Y_Quote</v>
      </c>
      <c r="J27" s="247" t="str">
        <f>_xll.qlCompositeQuote(I27,F27,H27,G27,Permanent,Trigger,ObjectOverwrite)</f>
        <v>EURAB1EBASIS22Y_Quote#0001</v>
      </c>
      <c r="K27" s="256" t="str">
        <f>_xll.ohRangeRetrieveError(J27)</f>
        <v/>
      </c>
      <c r="L27" s="54"/>
    </row>
    <row r="28" spans="1:12" x14ac:dyDescent="0.2">
      <c r="A28" s="130"/>
      <c r="B28" s="222" t="s">
        <v>94</v>
      </c>
      <c r="C28" s="114" t="s">
        <v>202</v>
      </c>
      <c r="D28" s="114" t="s">
        <v>136</v>
      </c>
      <c r="E28" s="114" t="s">
        <v>135</v>
      </c>
      <c r="F28" s="247" t="str">
        <f t="shared" si="0"/>
        <v>EURAB6E23Y_Quote</v>
      </c>
      <c r="G28" s="114" t="s">
        <v>222</v>
      </c>
      <c r="H28" s="248" t="str">
        <f t="shared" si="1"/>
        <v>EUR1E6E23Y_Quote</v>
      </c>
      <c r="I28" s="247" t="str">
        <f t="shared" si="2"/>
        <v>EURAB1EBASIS23Y_Quote</v>
      </c>
      <c r="J28" s="247" t="str">
        <f>_xll.qlCompositeQuote(I28,F28,H28,G28,Permanent,Trigger,ObjectOverwrite)</f>
        <v>EURAB1EBASIS23Y_Quote#0001</v>
      </c>
      <c r="K28" s="256" t="str">
        <f>_xll.ohRangeRetrieveError(J28)</f>
        <v/>
      </c>
      <c r="L28" s="54"/>
    </row>
    <row r="29" spans="1:12" x14ac:dyDescent="0.2">
      <c r="A29" s="130"/>
      <c r="B29" s="222" t="s">
        <v>93</v>
      </c>
      <c r="C29" s="114" t="s">
        <v>202</v>
      </c>
      <c r="D29" s="114" t="s">
        <v>136</v>
      </c>
      <c r="E29" s="114" t="s">
        <v>135</v>
      </c>
      <c r="F29" s="247" t="str">
        <f t="shared" si="0"/>
        <v>EURAB6E24Y_Quote</v>
      </c>
      <c r="G29" s="114" t="s">
        <v>222</v>
      </c>
      <c r="H29" s="248" t="str">
        <f t="shared" si="1"/>
        <v>EUR1E6E24Y_Quote</v>
      </c>
      <c r="I29" s="247" t="str">
        <f t="shared" si="2"/>
        <v>EURAB1EBASIS24Y_Quote</v>
      </c>
      <c r="J29" s="247" t="str">
        <f>_xll.qlCompositeQuote(I29,F29,H29,G29,Permanent,Trigger,ObjectOverwrite)</f>
        <v>EURAB1EBASIS24Y_Quote#0001</v>
      </c>
      <c r="K29" s="256" t="str">
        <f>_xll.ohRangeRetrieveError(J29)</f>
        <v/>
      </c>
      <c r="L29" s="54"/>
    </row>
    <row r="30" spans="1:12" x14ac:dyDescent="0.2">
      <c r="A30" s="130"/>
      <c r="B30" s="222" t="s">
        <v>92</v>
      </c>
      <c r="C30" s="114" t="s">
        <v>202</v>
      </c>
      <c r="D30" s="114" t="s">
        <v>136</v>
      </c>
      <c r="E30" s="114" t="s">
        <v>135</v>
      </c>
      <c r="F30" s="247" t="str">
        <f t="shared" si="0"/>
        <v>EURAB6E25Y_Quote</v>
      </c>
      <c r="G30" s="114" t="s">
        <v>222</v>
      </c>
      <c r="H30" s="248" t="str">
        <f t="shared" si="1"/>
        <v>EUR1E6E25Y_Quote</v>
      </c>
      <c r="I30" s="247" t="str">
        <f t="shared" si="2"/>
        <v>EURAB1EBASIS25Y_Quote</v>
      </c>
      <c r="J30" s="247" t="str">
        <f>_xll.qlCompositeQuote(I30,F30,H30,G30,Permanent,Trigger,ObjectOverwrite)</f>
        <v>EURAB1EBASIS25Y_Quote#0001</v>
      </c>
      <c r="K30" s="256" t="str">
        <f>_xll.ohRangeRetrieveError(J30)</f>
        <v/>
      </c>
      <c r="L30" s="54"/>
    </row>
    <row r="31" spans="1:12" x14ac:dyDescent="0.2">
      <c r="A31" s="130"/>
      <c r="B31" s="222" t="s">
        <v>91</v>
      </c>
      <c r="C31" s="114" t="s">
        <v>202</v>
      </c>
      <c r="D31" s="114" t="s">
        <v>136</v>
      </c>
      <c r="E31" s="114" t="s">
        <v>135</v>
      </c>
      <c r="F31" s="247" t="str">
        <f t="shared" si="0"/>
        <v>EURAB6E26Y_Quote</v>
      </c>
      <c r="G31" s="114" t="s">
        <v>222</v>
      </c>
      <c r="H31" s="248" t="str">
        <f t="shared" si="1"/>
        <v>EUR1E6E26Y_Quote</v>
      </c>
      <c r="I31" s="247" t="str">
        <f t="shared" si="2"/>
        <v>EURAB1EBASIS26Y_Quote</v>
      </c>
      <c r="J31" s="247" t="str">
        <f>_xll.qlCompositeQuote(I31,F31,H31,G31,Permanent,Trigger,ObjectOverwrite)</f>
        <v>EURAB1EBASIS26Y_Quote#0001</v>
      </c>
      <c r="K31" s="256" t="str">
        <f>_xll.ohRangeRetrieveError(J31)</f>
        <v/>
      </c>
      <c r="L31" s="54"/>
    </row>
    <row r="32" spans="1:12" x14ac:dyDescent="0.2">
      <c r="A32" s="130"/>
      <c r="B32" s="222" t="s">
        <v>90</v>
      </c>
      <c r="C32" s="114" t="s">
        <v>202</v>
      </c>
      <c r="D32" s="114" t="s">
        <v>136</v>
      </c>
      <c r="E32" s="114" t="s">
        <v>135</v>
      </c>
      <c r="F32" s="247" t="str">
        <f t="shared" si="0"/>
        <v>EURAB6E27Y_Quote</v>
      </c>
      <c r="G32" s="114" t="s">
        <v>222</v>
      </c>
      <c r="H32" s="248" t="str">
        <f t="shared" si="1"/>
        <v>EUR1E6E27Y_Quote</v>
      </c>
      <c r="I32" s="247" t="str">
        <f t="shared" si="2"/>
        <v>EURAB1EBASIS27Y_Quote</v>
      </c>
      <c r="J32" s="247" t="str">
        <f>_xll.qlCompositeQuote(I32,F32,H32,G32,Permanent,Trigger,ObjectOverwrite)</f>
        <v>EURAB1EBASIS27Y_Quote#0001</v>
      </c>
      <c r="K32" s="256" t="str">
        <f>_xll.ohRangeRetrieveError(J32)</f>
        <v/>
      </c>
      <c r="L32" s="54"/>
    </row>
    <row r="33" spans="1:12" x14ac:dyDescent="0.2">
      <c r="A33" s="130"/>
      <c r="B33" s="222" t="s">
        <v>89</v>
      </c>
      <c r="C33" s="114" t="s">
        <v>202</v>
      </c>
      <c r="D33" s="114" t="s">
        <v>136</v>
      </c>
      <c r="E33" s="114" t="s">
        <v>135</v>
      </c>
      <c r="F33" s="247" t="str">
        <f t="shared" si="0"/>
        <v>EURAB6E28Y_Quote</v>
      </c>
      <c r="G33" s="114" t="s">
        <v>222</v>
      </c>
      <c r="H33" s="248" t="str">
        <f t="shared" si="1"/>
        <v>EUR1E6E28Y_Quote</v>
      </c>
      <c r="I33" s="247" t="str">
        <f t="shared" si="2"/>
        <v>EURAB1EBASIS28Y_Quote</v>
      </c>
      <c r="J33" s="247" t="str">
        <f>_xll.qlCompositeQuote(I33,F33,H33,G33,Permanent,Trigger,ObjectOverwrite)</f>
        <v>EURAB1EBASIS28Y_Quote#0001</v>
      </c>
      <c r="K33" s="256" t="str">
        <f>_xll.ohRangeRetrieveError(J33)</f>
        <v/>
      </c>
      <c r="L33" s="54"/>
    </row>
    <row r="34" spans="1:12" x14ac:dyDescent="0.2">
      <c r="A34" s="130"/>
      <c r="B34" s="222" t="s">
        <v>88</v>
      </c>
      <c r="C34" s="114" t="s">
        <v>202</v>
      </c>
      <c r="D34" s="114" t="s">
        <v>136</v>
      </c>
      <c r="E34" s="114" t="s">
        <v>135</v>
      </c>
      <c r="F34" s="247" t="str">
        <f t="shared" si="0"/>
        <v>EURAB6E29Y_Quote</v>
      </c>
      <c r="G34" s="114" t="s">
        <v>222</v>
      </c>
      <c r="H34" s="248" t="str">
        <f t="shared" si="1"/>
        <v>EUR1E6E29Y_Quote</v>
      </c>
      <c r="I34" s="247" t="str">
        <f t="shared" si="2"/>
        <v>EURAB1EBASIS29Y_Quote</v>
      </c>
      <c r="J34" s="247" t="str">
        <f>_xll.qlCompositeQuote(I34,F34,H34,G34,Permanent,Trigger,ObjectOverwrite)</f>
        <v>EURAB1EBASIS29Y_Quote#0001</v>
      </c>
      <c r="K34" s="256" t="str">
        <f>_xll.ohRangeRetrieveError(J34)</f>
        <v/>
      </c>
      <c r="L34" s="54"/>
    </row>
    <row r="35" spans="1:12" x14ac:dyDescent="0.2">
      <c r="A35" s="130"/>
      <c r="B35" s="222" t="s">
        <v>87</v>
      </c>
      <c r="C35" s="114" t="s">
        <v>202</v>
      </c>
      <c r="D35" s="114" t="s">
        <v>136</v>
      </c>
      <c r="E35" s="114" t="s">
        <v>135</v>
      </c>
      <c r="F35" s="247" t="str">
        <f t="shared" si="0"/>
        <v>EURAB6E30Y_Quote</v>
      </c>
      <c r="G35" s="114" t="s">
        <v>222</v>
      </c>
      <c r="H35" s="248" t="str">
        <f t="shared" si="1"/>
        <v>EUR1E6E30Y_Quote</v>
      </c>
      <c r="I35" s="247" t="str">
        <f t="shared" si="2"/>
        <v>EURAB1EBASIS30Y_Quote</v>
      </c>
      <c r="J35" s="247" t="str">
        <f>_xll.qlCompositeQuote(I35,F35,H35,G35,Permanent,Trigger,ObjectOverwrite)</f>
        <v>EURAB1EBASIS30Y_Quote#0001</v>
      </c>
      <c r="K35" s="256" t="str">
        <f>_xll.ohRangeRetrieveError(J35)</f>
        <v/>
      </c>
      <c r="L35" s="54"/>
    </row>
    <row r="36" spans="1:12" x14ac:dyDescent="0.2">
      <c r="A36" s="130"/>
      <c r="B36" s="222" t="s">
        <v>82</v>
      </c>
      <c r="C36" s="114" t="s">
        <v>202</v>
      </c>
      <c r="D36" s="114" t="s">
        <v>136</v>
      </c>
      <c r="E36" s="114" t="s">
        <v>135</v>
      </c>
      <c r="F36" s="247" t="str">
        <f t="shared" si="0"/>
        <v>EURAB6E35Y_Quote</v>
      </c>
      <c r="G36" s="114" t="s">
        <v>222</v>
      </c>
      <c r="H36" s="248" t="str">
        <f t="shared" si="1"/>
        <v>EUR1E6E35Y_Quote</v>
      </c>
      <c r="I36" s="247" t="str">
        <f t="shared" si="2"/>
        <v>EURAB1EBASIS35Y_Quote</v>
      </c>
      <c r="J36" s="247" t="str">
        <f>_xll.qlCompositeQuote(I36,F36,H36,G36,Permanent,Trigger,ObjectOverwrite)</f>
        <v>EURAB1EBASIS35Y_Quote#0001</v>
      </c>
      <c r="K36" s="256" t="str">
        <f>_xll.ohRangeRetrieveError(J36)</f>
        <v/>
      </c>
      <c r="L36" s="54"/>
    </row>
    <row r="37" spans="1:12" x14ac:dyDescent="0.2">
      <c r="A37" s="130"/>
      <c r="B37" s="222" t="s">
        <v>77</v>
      </c>
      <c r="C37" s="114" t="s">
        <v>202</v>
      </c>
      <c r="D37" s="114" t="s">
        <v>136</v>
      </c>
      <c r="E37" s="114" t="s">
        <v>135</v>
      </c>
      <c r="F37" s="247" t="str">
        <f t="shared" si="0"/>
        <v>EURAB6E40Y_Quote</v>
      </c>
      <c r="G37" s="114" t="s">
        <v>222</v>
      </c>
      <c r="H37" s="248" t="str">
        <f t="shared" si="1"/>
        <v>EUR1E6E40Y_Quote</v>
      </c>
      <c r="I37" s="247" t="str">
        <f t="shared" si="2"/>
        <v>EURAB1EBASIS40Y_Quote</v>
      </c>
      <c r="J37" s="247" t="str">
        <f>_xll.qlCompositeQuote(I37,F37,H37,G37,Permanent,Trigger,ObjectOverwrite)</f>
        <v>EURAB1EBASIS40Y_Quote#0001</v>
      </c>
      <c r="K37" s="256" t="str">
        <f>_xll.ohRangeRetrieveError(J37)</f>
        <v/>
      </c>
      <c r="L37" s="54"/>
    </row>
    <row r="38" spans="1:12" x14ac:dyDescent="0.2">
      <c r="A38" s="130"/>
      <c r="B38" s="222" t="s">
        <v>67</v>
      </c>
      <c r="C38" s="114" t="s">
        <v>202</v>
      </c>
      <c r="D38" s="114" t="s">
        <v>136</v>
      </c>
      <c r="E38" s="114" t="s">
        <v>135</v>
      </c>
      <c r="F38" s="247" t="str">
        <f t="shared" si="0"/>
        <v>EURAB6E50Y_Quote</v>
      </c>
      <c r="G38" s="114" t="s">
        <v>222</v>
      </c>
      <c r="H38" s="248" t="str">
        <f t="shared" si="1"/>
        <v>EUR1E6E50Y_Quote</v>
      </c>
      <c r="I38" s="247" t="str">
        <f t="shared" si="2"/>
        <v>EURAB1EBASIS50Y_Quote</v>
      </c>
      <c r="J38" s="247" t="str">
        <f>_xll.qlCompositeQuote(I38,F38,H38,G38,Permanent,Trigger,ObjectOverwrite)</f>
        <v>EURAB1EBASIS50Y_Quote#0001</v>
      </c>
      <c r="K38" s="256" t="str">
        <f>_xll.ohRangeRetrieveError(J38)</f>
        <v/>
      </c>
      <c r="L38" s="54"/>
    </row>
    <row r="39" spans="1:12" x14ac:dyDescent="0.2">
      <c r="A39" s="130"/>
      <c r="B39" s="222" t="s">
        <v>57</v>
      </c>
      <c r="C39" s="114" t="s">
        <v>202</v>
      </c>
      <c r="D39" s="114" t="s">
        <v>136</v>
      </c>
      <c r="E39" s="114" t="s">
        <v>135</v>
      </c>
      <c r="F39" s="247" t="str">
        <f t="shared" si="0"/>
        <v>EURAB6E60Y_Quote</v>
      </c>
      <c r="G39" s="114" t="s">
        <v>222</v>
      </c>
      <c r="H39" s="248" t="str">
        <f t="shared" si="1"/>
        <v>EUR1E6E60Y_Quote</v>
      </c>
      <c r="I39" s="247" t="str">
        <f t="shared" si="2"/>
        <v>EURAB1EBASIS60Y_Quote</v>
      </c>
      <c r="J39" s="247" t="str">
        <f>_xll.qlCompositeQuote(I39,F39,H39,G39,Permanent,Trigger,ObjectOverwrite)</f>
        <v>EURAB1EBASIS60Y_Quote#0001</v>
      </c>
      <c r="K39" s="256" t="str">
        <f>_xll.ohRangeRetrieveError(J39)</f>
        <v/>
      </c>
      <c r="L39" s="54"/>
    </row>
    <row r="40" spans="1:12" ht="12" thickBot="1" x14ac:dyDescent="0.25">
      <c r="A40" s="53"/>
      <c r="B40" s="52"/>
      <c r="C40" s="52"/>
      <c r="D40" s="52"/>
      <c r="E40" s="52"/>
      <c r="F40" s="52"/>
      <c r="G40" s="52"/>
      <c r="H40" s="52"/>
      <c r="I40" s="52"/>
      <c r="J40" s="124"/>
      <c r="K40" s="124"/>
      <c r="L40" s="51"/>
    </row>
  </sheetData>
  <pageMargins left="0.75" right="0.75" top="1" bottom="1" header="0.5" footer="0.5"/>
  <pageSetup paperSize="9" orientation="portrait" r:id="rId1"/>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L40"/>
  <sheetViews>
    <sheetView workbookViewId="0"/>
  </sheetViews>
  <sheetFormatPr defaultRowHeight="11.25" x14ac:dyDescent="0.2"/>
  <cols>
    <col min="1" max="1" width="3.7109375" style="74" customWidth="1"/>
    <col min="2" max="2" width="6.5703125" style="21" bestFit="1" customWidth="1"/>
    <col min="3" max="3" width="3.140625" style="74" bestFit="1" customWidth="1"/>
    <col min="4" max="5" width="2.7109375" style="74" bestFit="1" customWidth="1"/>
    <col min="6" max="6" width="15.7109375" style="74" bestFit="1" customWidth="1"/>
    <col min="7" max="7" width="8" style="74" bestFit="1" customWidth="1"/>
    <col min="8" max="8" width="15.28515625" style="74" bestFit="1" customWidth="1"/>
    <col min="9" max="9" width="22.5703125" style="74" bestFit="1" customWidth="1"/>
    <col min="10" max="10" width="24.7109375" style="75" bestFit="1" customWidth="1"/>
    <col min="11" max="11" width="37.85546875" style="74" customWidth="1"/>
    <col min="12" max="12" width="4.42578125" style="74" customWidth="1"/>
    <col min="13" max="13" width="5.85546875" style="74" customWidth="1"/>
    <col min="14" max="16384" width="9.140625" style="74"/>
  </cols>
  <sheetData>
    <row r="1" spans="1:12" x14ac:dyDescent="0.2">
      <c r="A1" s="224" t="s">
        <v>226</v>
      </c>
      <c r="B1" s="207"/>
      <c r="C1" s="207"/>
      <c r="D1" s="207"/>
      <c r="E1" s="207"/>
      <c r="F1" s="207"/>
      <c r="G1" s="207"/>
      <c r="H1" s="207"/>
      <c r="I1" s="162"/>
      <c r="J1" s="223"/>
      <c r="K1" s="162"/>
      <c r="L1" s="204"/>
    </row>
    <row r="2" spans="1:12" x14ac:dyDescent="0.2">
      <c r="A2" s="130"/>
      <c r="B2" s="254" t="s">
        <v>141</v>
      </c>
      <c r="C2" s="255"/>
      <c r="D2" s="254"/>
      <c r="E2" s="254"/>
      <c r="F2" s="254" t="s">
        <v>224</v>
      </c>
      <c r="G2" s="254" t="s">
        <v>223</v>
      </c>
      <c r="H2" s="254" t="s">
        <v>214</v>
      </c>
      <c r="I2" s="253" t="str">
        <f>Currency&amp;"_020_Sw"&amp;$C$3&amp;$D$3&amp;"_Basis.xml"</f>
        <v>EUR_020_SwAB3E_Basis.xml</v>
      </c>
      <c r="J2" s="252">
        <f ca="1">IF(Serialize,_xll.ohObjectSave(J3:J39,SerializationPath&amp;I2,FileOverwrite,Serialize),"---")</f>
        <v>37</v>
      </c>
      <c r="K2" s="250" t="str">
        <f ca="1">_xll.ohRangeRetrieveError(J2)</f>
        <v/>
      </c>
      <c r="L2" s="54"/>
    </row>
    <row r="3" spans="1:12" x14ac:dyDescent="0.2">
      <c r="A3" s="130"/>
      <c r="B3" s="222" t="s">
        <v>34</v>
      </c>
      <c r="C3" s="114" t="s">
        <v>202</v>
      </c>
      <c r="D3" s="114" t="s">
        <v>142</v>
      </c>
      <c r="E3" s="114" t="s">
        <v>135</v>
      </c>
      <c r="F3" s="247" t="str">
        <f t="shared" ref="F3:F39" si="0">Currency&amp;$C3&amp;E3&amp;$B3&amp;QuoteSuffix</f>
        <v>EURAB6E1Y_Quote</v>
      </c>
      <c r="G3" s="114" t="s">
        <v>222</v>
      </c>
      <c r="H3" s="248" t="str">
        <f t="shared" ref="H3:H39" si="1">Currency&amp;IF($G3="-",$D3&amp;E3,E3&amp;$D3)&amp;$B3&amp;QuoteSuffix</f>
        <v>EUR3E6E1Y_Quote</v>
      </c>
      <c r="I3" s="247" t="str">
        <f t="shared" ref="I3:I39" si="2">Currency&amp;$C3&amp;$D3&amp;"BASIS"&amp;$B3&amp;QuoteSuffix</f>
        <v>EURAB3EBASIS1Y_Quote</v>
      </c>
      <c r="J3" s="247" t="str">
        <f>_xll.qlCompositeQuote(I3,F3,H3,G3,Permanent,Trigger,ObjectOverwrite)</f>
        <v>EURAB3EBASIS1Y_Quote#0001</v>
      </c>
      <c r="K3" s="256" t="str">
        <f>_xll.ohRangeRetrieveError(J3)</f>
        <v/>
      </c>
      <c r="L3" s="54"/>
    </row>
    <row r="4" spans="1:12" x14ac:dyDescent="0.2">
      <c r="A4" s="130"/>
      <c r="B4" s="222" t="s">
        <v>140</v>
      </c>
      <c r="C4" s="114" t="s">
        <v>202</v>
      </c>
      <c r="D4" s="114" t="s">
        <v>142</v>
      </c>
      <c r="E4" s="114" t="s">
        <v>135</v>
      </c>
      <c r="F4" s="247" t="str">
        <f t="shared" si="0"/>
        <v>EURAB6E15M_Quote</v>
      </c>
      <c r="G4" s="114" t="s">
        <v>222</v>
      </c>
      <c r="H4" s="248" t="str">
        <f t="shared" si="1"/>
        <v>EUR3E6E15M_Quote</v>
      </c>
      <c r="I4" s="247" t="str">
        <f t="shared" si="2"/>
        <v>EURAB3EBASIS15M_Quote</v>
      </c>
      <c r="J4" s="247" t="str">
        <f>_xll.qlCompositeQuote(I4,F4,H4,G4,Permanent,Trigger,ObjectOverwrite)</f>
        <v>EURAB3EBASIS15M_Quote#0001</v>
      </c>
      <c r="K4" s="256" t="str">
        <f>_xll.ohRangeRetrieveError(J4)</f>
        <v/>
      </c>
      <c r="L4" s="54"/>
    </row>
    <row r="5" spans="1:12" x14ac:dyDescent="0.2">
      <c r="A5" s="130"/>
      <c r="B5" s="222" t="s">
        <v>139</v>
      </c>
      <c r="C5" s="114" t="s">
        <v>202</v>
      </c>
      <c r="D5" s="114" t="s">
        <v>142</v>
      </c>
      <c r="E5" s="114" t="s">
        <v>135</v>
      </c>
      <c r="F5" s="247" t="str">
        <f t="shared" si="0"/>
        <v>EURAB6E18M_Quote</v>
      </c>
      <c r="G5" s="114" t="s">
        <v>222</v>
      </c>
      <c r="H5" s="248" t="str">
        <f t="shared" si="1"/>
        <v>EUR3E6E18M_Quote</v>
      </c>
      <c r="I5" s="247" t="str">
        <f t="shared" si="2"/>
        <v>EURAB3EBASIS18M_Quote</v>
      </c>
      <c r="J5" s="247" t="str">
        <f>_xll.qlCompositeQuote(I5,F5,H5,G5,Permanent,Trigger,ObjectOverwrite)</f>
        <v>EURAB3EBASIS18M_Quote#0001</v>
      </c>
      <c r="K5" s="256" t="str">
        <f>_xll.ohRangeRetrieveError(J5)</f>
        <v/>
      </c>
      <c r="L5" s="54"/>
    </row>
    <row r="6" spans="1:12" x14ac:dyDescent="0.2">
      <c r="A6" s="130"/>
      <c r="B6" s="222" t="s">
        <v>138</v>
      </c>
      <c r="C6" s="114" t="s">
        <v>202</v>
      </c>
      <c r="D6" s="114" t="s">
        <v>142</v>
      </c>
      <c r="E6" s="114" t="s">
        <v>135</v>
      </c>
      <c r="F6" s="247" t="str">
        <f t="shared" si="0"/>
        <v>EURAB6E21M_Quote</v>
      </c>
      <c r="G6" s="114" t="s">
        <v>222</v>
      </c>
      <c r="H6" s="248" t="str">
        <f t="shared" si="1"/>
        <v>EUR3E6E21M_Quote</v>
      </c>
      <c r="I6" s="247" t="str">
        <f t="shared" si="2"/>
        <v>EURAB3EBASIS21M_Quote</v>
      </c>
      <c r="J6" s="247" t="str">
        <f>_xll.qlCompositeQuote(I6,F6,H6,G6,Permanent,Trigger,ObjectOverwrite)</f>
        <v>EURAB3EBASIS21M_Quote#0001</v>
      </c>
      <c r="K6" s="256" t="str">
        <f>_xll.ohRangeRetrieveError(J6)</f>
        <v/>
      </c>
      <c r="L6" s="54"/>
    </row>
    <row r="7" spans="1:12" x14ac:dyDescent="0.2">
      <c r="A7" s="130"/>
      <c r="B7" s="222" t="s">
        <v>115</v>
      </c>
      <c r="C7" s="114" t="s">
        <v>202</v>
      </c>
      <c r="D7" s="114" t="s">
        <v>142</v>
      </c>
      <c r="E7" s="114" t="s">
        <v>135</v>
      </c>
      <c r="F7" s="247" t="str">
        <f t="shared" si="0"/>
        <v>EURAB6E2Y_Quote</v>
      </c>
      <c r="G7" s="114" t="s">
        <v>222</v>
      </c>
      <c r="H7" s="248" t="str">
        <f t="shared" si="1"/>
        <v>EUR3E6E2Y_Quote</v>
      </c>
      <c r="I7" s="247" t="str">
        <f t="shared" si="2"/>
        <v>EURAB3EBASIS2Y_Quote</v>
      </c>
      <c r="J7" s="247" t="str">
        <f>_xll.qlCompositeQuote(I7,F7,H7,G7,Permanent,Trigger,ObjectOverwrite)</f>
        <v>EURAB3EBASIS2Y_Quote#0001</v>
      </c>
      <c r="K7" s="256" t="str">
        <f>_xll.ohRangeRetrieveError(J7)</f>
        <v/>
      </c>
      <c r="L7" s="54"/>
    </row>
    <row r="8" spans="1:12" x14ac:dyDescent="0.2">
      <c r="A8" s="130"/>
      <c r="B8" s="222" t="s">
        <v>114</v>
      </c>
      <c r="C8" s="114" t="s">
        <v>202</v>
      </c>
      <c r="D8" s="114" t="s">
        <v>142</v>
      </c>
      <c r="E8" s="114" t="s">
        <v>135</v>
      </c>
      <c r="F8" s="247" t="str">
        <f t="shared" si="0"/>
        <v>EURAB6E3Y_Quote</v>
      </c>
      <c r="G8" s="114" t="s">
        <v>222</v>
      </c>
      <c r="H8" s="248" t="str">
        <f t="shared" si="1"/>
        <v>EUR3E6E3Y_Quote</v>
      </c>
      <c r="I8" s="247" t="str">
        <f t="shared" si="2"/>
        <v>EURAB3EBASIS3Y_Quote</v>
      </c>
      <c r="J8" s="247" t="str">
        <f>_xll.qlCompositeQuote(I8,F8,H8,G8,Permanent,Trigger,ObjectOverwrite)</f>
        <v>EURAB3EBASIS3Y_Quote#0001</v>
      </c>
      <c r="K8" s="256" t="str">
        <f>_xll.ohRangeRetrieveError(J8)</f>
        <v/>
      </c>
      <c r="L8" s="54"/>
    </row>
    <row r="9" spans="1:12" x14ac:dyDescent="0.2">
      <c r="A9" s="130"/>
      <c r="B9" s="222" t="s">
        <v>113</v>
      </c>
      <c r="C9" s="114" t="s">
        <v>202</v>
      </c>
      <c r="D9" s="114" t="s">
        <v>142</v>
      </c>
      <c r="E9" s="114" t="s">
        <v>135</v>
      </c>
      <c r="F9" s="247" t="str">
        <f t="shared" si="0"/>
        <v>EURAB6E4Y_Quote</v>
      </c>
      <c r="G9" s="114" t="s">
        <v>222</v>
      </c>
      <c r="H9" s="248" t="str">
        <f t="shared" si="1"/>
        <v>EUR3E6E4Y_Quote</v>
      </c>
      <c r="I9" s="247" t="str">
        <f t="shared" si="2"/>
        <v>EURAB3EBASIS4Y_Quote</v>
      </c>
      <c r="J9" s="247" t="str">
        <f>_xll.qlCompositeQuote(I9,F9,H9,G9,Permanent,Trigger,ObjectOverwrite)</f>
        <v>EURAB3EBASIS4Y_Quote#0001</v>
      </c>
      <c r="K9" s="256" t="str">
        <f>_xll.ohRangeRetrieveError(J9)</f>
        <v/>
      </c>
      <c r="L9" s="54"/>
    </row>
    <row r="10" spans="1:12" x14ac:dyDescent="0.2">
      <c r="A10" s="130"/>
      <c r="B10" s="222" t="s">
        <v>112</v>
      </c>
      <c r="C10" s="114" t="s">
        <v>202</v>
      </c>
      <c r="D10" s="114" t="s">
        <v>142</v>
      </c>
      <c r="E10" s="114" t="s">
        <v>135</v>
      </c>
      <c r="F10" s="247" t="str">
        <f t="shared" si="0"/>
        <v>EURAB6E5Y_Quote</v>
      </c>
      <c r="G10" s="114" t="s">
        <v>222</v>
      </c>
      <c r="H10" s="248" t="str">
        <f t="shared" si="1"/>
        <v>EUR3E6E5Y_Quote</v>
      </c>
      <c r="I10" s="247" t="str">
        <f t="shared" si="2"/>
        <v>EURAB3EBASIS5Y_Quote</v>
      </c>
      <c r="J10" s="247" t="str">
        <f>_xll.qlCompositeQuote(I10,F10,H10,G10,Permanent,Trigger,ObjectOverwrite)</f>
        <v>EURAB3EBASIS5Y_Quote#0001</v>
      </c>
      <c r="K10" s="256" t="str">
        <f>_xll.ohRangeRetrieveError(J10)</f>
        <v/>
      </c>
      <c r="L10" s="54"/>
    </row>
    <row r="11" spans="1:12" x14ac:dyDescent="0.2">
      <c r="A11" s="130"/>
      <c r="B11" s="222" t="s">
        <v>111</v>
      </c>
      <c r="C11" s="114" t="s">
        <v>202</v>
      </c>
      <c r="D11" s="114" t="s">
        <v>142</v>
      </c>
      <c r="E11" s="114" t="s">
        <v>135</v>
      </c>
      <c r="F11" s="247" t="str">
        <f t="shared" si="0"/>
        <v>EURAB6E6Y_Quote</v>
      </c>
      <c r="G11" s="114" t="s">
        <v>222</v>
      </c>
      <c r="H11" s="248" t="str">
        <f t="shared" si="1"/>
        <v>EUR3E6E6Y_Quote</v>
      </c>
      <c r="I11" s="247" t="str">
        <f t="shared" si="2"/>
        <v>EURAB3EBASIS6Y_Quote</v>
      </c>
      <c r="J11" s="247" t="str">
        <f>_xll.qlCompositeQuote(I11,F11,H11,G11,Permanent,Trigger,ObjectOverwrite)</f>
        <v>EURAB3EBASIS6Y_Quote#0001</v>
      </c>
      <c r="K11" s="256" t="str">
        <f>_xll.ohRangeRetrieveError(J11)</f>
        <v/>
      </c>
      <c r="L11" s="54"/>
    </row>
    <row r="12" spans="1:12" x14ac:dyDescent="0.2">
      <c r="A12" s="130"/>
      <c r="B12" s="222" t="s">
        <v>110</v>
      </c>
      <c r="C12" s="114" t="s">
        <v>202</v>
      </c>
      <c r="D12" s="114" t="s">
        <v>142</v>
      </c>
      <c r="E12" s="114" t="s">
        <v>135</v>
      </c>
      <c r="F12" s="247" t="str">
        <f t="shared" si="0"/>
        <v>EURAB6E7Y_Quote</v>
      </c>
      <c r="G12" s="114" t="s">
        <v>222</v>
      </c>
      <c r="H12" s="248" t="str">
        <f t="shared" si="1"/>
        <v>EUR3E6E7Y_Quote</v>
      </c>
      <c r="I12" s="247" t="str">
        <f t="shared" si="2"/>
        <v>EURAB3EBASIS7Y_Quote</v>
      </c>
      <c r="J12" s="247" t="str">
        <f>_xll.qlCompositeQuote(I12,F12,H12,G12,Permanent,Trigger,ObjectOverwrite)</f>
        <v>EURAB3EBASIS7Y_Quote#0001</v>
      </c>
      <c r="K12" s="256" t="str">
        <f>_xll.ohRangeRetrieveError(J12)</f>
        <v/>
      </c>
      <c r="L12" s="54"/>
    </row>
    <row r="13" spans="1:12" x14ac:dyDescent="0.2">
      <c r="A13" s="130"/>
      <c r="B13" s="222" t="s">
        <v>109</v>
      </c>
      <c r="C13" s="114" t="s">
        <v>202</v>
      </c>
      <c r="D13" s="114" t="s">
        <v>142</v>
      </c>
      <c r="E13" s="114" t="s">
        <v>135</v>
      </c>
      <c r="F13" s="247" t="str">
        <f t="shared" si="0"/>
        <v>EURAB6E8Y_Quote</v>
      </c>
      <c r="G13" s="114" t="s">
        <v>222</v>
      </c>
      <c r="H13" s="248" t="str">
        <f t="shared" si="1"/>
        <v>EUR3E6E8Y_Quote</v>
      </c>
      <c r="I13" s="247" t="str">
        <f t="shared" si="2"/>
        <v>EURAB3EBASIS8Y_Quote</v>
      </c>
      <c r="J13" s="247" t="str">
        <f>_xll.qlCompositeQuote(I13,F13,H13,G13,Permanent,Trigger,ObjectOverwrite)</f>
        <v>EURAB3EBASIS8Y_Quote#0001</v>
      </c>
      <c r="K13" s="256" t="str">
        <f>_xll.ohRangeRetrieveError(J13)</f>
        <v/>
      </c>
      <c r="L13" s="54"/>
    </row>
    <row r="14" spans="1:12" x14ac:dyDescent="0.2">
      <c r="A14" s="130"/>
      <c r="B14" s="222" t="s">
        <v>108</v>
      </c>
      <c r="C14" s="114" t="s">
        <v>202</v>
      </c>
      <c r="D14" s="114" t="s">
        <v>142</v>
      </c>
      <c r="E14" s="114" t="s">
        <v>135</v>
      </c>
      <c r="F14" s="247" t="str">
        <f t="shared" si="0"/>
        <v>EURAB6E9Y_Quote</v>
      </c>
      <c r="G14" s="114" t="s">
        <v>222</v>
      </c>
      <c r="H14" s="248" t="str">
        <f t="shared" si="1"/>
        <v>EUR3E6E9Y_Quote</v>
      </c>
      <c r="I14" s="247" t="str">
        <f t="shared" si="2"/>
        <v>EURAB3EBASIS9Y_Quote</v>
      </c>
      <c r="J14" s="247" t="str">
        <f>_xll.qlCompositeQuote(I14,F14,H14,G14,Permanent,Trigger,ObjectOverwrite)</f>
        <v>EURAB3EBASIS9Y_Quote#0001</v>
      </c>
      <c r="K14" s="256" t="str">
        <f>_xll.ohRangeRetrieveError(J14)</f>
        <v/>
      </c>
      <c r="L14" s="54"/>
    </row>
    <row r="15" spans="1:12" x14ac:dyDescent="0.2">
      <c r="A15" s="130"/>
      <c r="B15" s="222" t="s">
        <v>107</v>
      </c>
      <c r="C15" s="114" t="s">
        <v>202</v>
      </c>
      <c r="D15" s="114" t="s">
        <v>142</v>
      </c>
      <c r="E15" s="114" t="s">
        <v>135</v>
      </c>
      <c r="F15" s="247" t="str">
        <f t="shared" si="0"/>
        <v>EURAB6E10Y_Quote</v>
      </c>
      <c r="G15" s="114" t="s">
        <v>222</v>
      </c>
      <c r="H15" s="248" t="str">
        <f t="shared" si="1"/>
        <v>EUR3E6E10Y_Quote</v>
      </c>
      <c r="I15" s="247" t="str">
        <f t="shared" si="2"/>
        <v>EURAB3EBASIS10Y_Quote</v>
      </c>
      <c r="J15" s="247" t="str">
        <f>_xll.qlCompositeQuote(I15,F15,H15,G15,Permanent,Trigger,ObjectOverwrite)</f>
        <v>EURAB3EBASIS10Y_Quote#0001</v>
      </c>
      <c r="K15" s="256" t="str">
        <f>_xll.ohRangeRetrieveError(J15)</f>
        <v/>
      </c>
      <c r="L15" s="54"/>
    </row>
    <row r="16" spans="1:12" x14ac:dyDescent="0.2">
      <c r="A16" s="130"/>
      <c r="B16" s="222" t="s">
        <v>106</v>
      </c>
      <c r="C16" s="114" t="s">
        <v>202</v>
      </c>
      <c r="D16" s="114" t="s">
        <v>142</v>
      </c>
      <c r="E16" s="114" t="s">
        <v>135</v>
      </c>
      <c r="F16" s="247" t="str">
        <f t="shared" si="0"/>
        <v>EURAB6E11Y_Quote</v>
      </c>
      <c r="G16" s="114" t="s">
        <v>222</v>
      </c>
      <c r="H16" s="248" t="str">
        <f t="shared" si="1"/>
        <v>EUR3E6E11Y_Quote</v>
      </c>
      <c r="I16" s="247" t="str">
        <f t="shared" si="2"/>
        <v>EURAB3EBASIS11Y_Quote</v>
      </c>
      <c r="J16" s="247" t="str">
        <f>_xll.qlCompositeQuote(I16,F16,H16,G16,Permanent,Trigger,ObjectOverwrite)</f>
        <v>EURAB3EBASIS11Y_Quote#0001</v>
      </c>
      <c r="K16" s="256" t="str">
        <f>_xll.ohRangeRetrieveError(J16)</f>
        <v/>
      </c>
      <c r="L16" s="54"/>
    </row>
    <row r="17" spans="1:12" x14ac:dyDescent="0.2">
      <c r="A17" s="130"/>
      <c r="B17" s="222" t="s">
        <v>105</v>
      </c>
      <c r="C17" s="114" t="s">
        <v>202</v>
      </c>
      <c r="D17" s="114" t="s">
        <v>142</v>
      </c>
      <c r="E17" s="114" t="s">
        <v>135</v>
      </c>
      <c r="F17" s="247" t="str">
        <f t="shared" si="0"/>
        <v>EURAB6E12Y_Quote</v>
      </c>
      <c r="G17" s="114" t="s">
        <v>222</v>
      </c>
      <c r="H17" s="248" t="str">
        <f t="shared" si="1"/>
        <v>EUR3E6E12Y_Quote</v>
      </c>
      <c r="I17" s="247" t="str">
        <f t="shared" si="2"/>
        <v>EURAB3EBASIS12Y_Quote</v>
      </c>
      <c r="J17" s="247" t="str">
        <f>_xll.qlCompositeQuote(I17,F17,H17,G17,Permanent,Trigger,ObjectOverwrite)</f>
        <v>EURAB3EBASIS12Y_Quote#0001</v>
      </c>
      <c r="K17" s="256" t="str">
        <f>_xll.ohRangeRetrieveError(J17)</f>
        <v/>
      </c>
      <c r="L17" s="54"/>
    </row>
    <row r="18" spans="1:12" x14ac:dyDescent="0.2">
      <c r="A18" s="130"/>
      <c r="B18" s="222" t="s">
        <v>104</v>
      </c>
      <c r="C18" s="114" t="s">
        <v>202</v>
      </c>
      <c r="D18" s="114" t="s">
        <v>142</v>
      </c>
      <c r="E18" s="114" t="s">
        <v>135</v>
      </c>
      <c r="F18" s="247" t="str">
        <f t="shared" si="0"/>
        <v>EURAB6E13Y_Quote</v>
      </c>
      <c r="G18" s="114" t="s">
        <v>222</v>
      </c>
      <c r="H18" s="248" t="str">
        <f t="shared" si="1"/>
        <v>EUR3E6E13Y_Quote</v>
      </c>
      <c r="I18" s="247" t="str">
        <f t="shared" si="2"/>
        <v>EURAB3EBASIS13Y_Quote</v>
      </c>
      <c r="J18" s="247" t="str">
        <f>_xll.qlCompositeQuote(I18,F18,H18,G18,Permanent,Trigger,ObjectOverwrite)</f>
        <v>EURAB3EBASIS13Y_Quote#0001</v>
      </c>
      <c r="K18" s="256" t="str">
        <f>_xll.ohRangeRetrieveError(J18)</f>
        <v/>
      </c>
      <c r="L18" s="54"/>
    </row>
    <row r="19" spans="1:12" x14ac:dyDescent="0.2">
      <c r="A19" s="130"/>
      <c r="B19" s="222" t="s">
        <v>103</v>
      </c>
      <c r="C19" s="114" t="s">
        <v>202</v>
      </c>
      <c r="D19" s="114" t="s">
        <v>142</v>
      </c>
      <c r="E19" s="114" t="s">
        <v>135</v>
      </c>
      <c r="F19" s="247" t="str">
        <f t="shared" si="0"/>
        <v>EURAB6E14Y_Quote</v>
      </c>
      <c r="G19" s="114" t="s">
        <v>222</v>
      </c>
      <c r="H19" s="248" t="str">
        <f t="shared" si="1"/>
        <v>EUR3E6E14Y_Quote</v>
      </c>
      <c r="I19" s="247" t="str">
        <f t="shared" si="2"/>
        <v>EURAB3EBASIS14Y_Quote</v>
      </c>
      <c r="J19" s="247" t="str">
        <f>_xll.qlCompositeQuote(I19,F19,H19,G19,Permanent,Trigger,ObjectOverwrite)</f>
        <v>EURAB3EBASIS14Y_Quote#0001</v>
      </c>
      <c r="K19" s="256" t="str">
        <f>_xll.ohRangeRetrieveError(J19)</f>
        <v/>
      </c>
      <c r="L19" s="54"/>
    </row>
    <row r="20" spans="1:12" x14ac:dyDescent="0.2">
      <c r="A20" s="130"/>
      <c r="B20" s="222" t="s">
        <v>102</v>
      </c>
      <c r="C20" s="114" t="s">
        <v>202</v>
      </c>
      <c r="D20" s="114" t="s">
        <v>142</v>
      </c>
      <c r="E20" s="114" t="s">
        <v>135</v>
      </c>
      <c r="F20" s="247" t="str">
        <f t="shared" si="0"/>
        <v>EURAB6E15Y_Quote</v>
      </c>
      <c r="G20" s="114" t="s">
        <v>222</v>
      </c>
      <c r="H20" s="248" t="str">
        <f t="shared" si="1"/>
        <v>EUR3E6E15Y_Quote</v>
      </c>
      <c r="I20" s="247" t="str">
        <f t="shared" si="2"/>
        <v>EURAB3EBASIS15Y_Quote</v>
      </c>
      <c r="J20" s="247" t="str">
        <f>_xll.qlCompositeQuote(I20,F20,H20,G20,Permanent,Trigger,ObjectOverwrite)</f>
        <v>EURAB3EBASIS15Y_Quote#0001</v>
      </c>
      <c r="K20" s="256" t="str">
        <f>_xll.ohRangeRetrieveError(J20)</f>
        <v/>
      </c>
      <c r="L20" s="54"/>
    </row>
    <row r="21" spans="1:12" x14ac:dyDescent="0.2">
      <c r="A21" s="130"/>
      <c r="B21" s="222" t="s">
        <v>101</v>
      </c>
      <c r="C21" s="114" t="s">
        <v>202</v>
      </c>
      <c r="D21" s="114" t="s">
        <v>142</v>
      </c>
      <c r="E21" s="114" t="s">
        <v>135</v>
      </c>
      <c r="F21" s="247" t="str">
        <f t="shared" si="0"/>
        <v>EURAB6E16Y_Quote</v>
      </c>
      <c r="G21" s="114" t="s">
        <v>222</v>
      </c>
      <c r="H21" s="248" t="str">
        <f t="shared" si="1"/>
        <v>EUR3E6E16Y_Quote</v>
      </c>
      <c r="I21" s="247" t="str">
        <f t="shared" si="2"/>
        <v>EURAB3EBASIS16Y_Quote</v>
      </c>
      <c r="J21" s="247" t="str">
        <f>_xll.qlCompositeQuote(I21,F21,H21,G21,Permanent,Trigger,ObjectOverwrite)</f>
        <v>EURAB3EBASIS16Y_Quote#0001</v>
      </c>
      <c r="K21" s="256" t="str">
        <f>_xll.ohRangeRetrieveError(J21)</f>
        <v/>
      </c>
      <c r="L21" s="54"/>
    </row>
    <row r="22" spans="1:12" x14ac:dyDescent="0.2">
      <c r="A22" s="130"/>
      <c r="B22" s="222" t="s">
        <v>100</v>
      </c>
      <c r="C22" s="114" t="s">
        <v>202</v>
      </c>
      <c r="D22" s="114" t="s">
        <v>142</v>
      </c>
      <c r="E22" s="114" t="s">
        <v>135</v>
      </c>
      <c r="F22" s="247" t="str">
        <f t="shared" si="0"/>
        <v>EURAB6E17Y_Quote</v>
      </c>
      <c r="G22" s="114" t="s">
        <v>222</v>
      </c>
      <c r="H22" s="248" t="str">
        <f t="shared" si="1"/>
        <v>EUR3E6E17Y_Quote</v>
      </c>
      <c r="I22" s="247" t="str">
        <f t="shared" si="2"/>
        <v>EURAB3EBASIS17Y_Quote</v>
      </c>
      <c r="J22" s="247" t="str">
        <f>_xll.qlCompositeQuote(I22,F22,H22,G22,Permanent,Trigger,ObjectOverwrite)</f>
        <v>EURAB3EBASIS17Y_Quote#0001</v>
      </c>
      <c r="K22" s="256" t="str">
        <f>_xll.ohRangeRetrieveError(J22)</f>
        <v/>
      </c>
      <c r="L22" s="54"/>
    </row>
    <row r="23" spans="1:12" x14ac:dyDescent="0.2">
      <c r="A23" s="130"/>
      <c r="B23" s="222" t="s">
        <v>99</v>
      </c>
      <c r="C23" s="114" t="s">
        <v>202</v>
      </c>
      <c r="D23" s="114" t="s">
        <v>142</v>
      </c>
      <c r="E23" s="114" t="s">
        <v>135</v>
      </c>
      <c r="F23" s="247" t="str">
        <f t="shared" si="0"/>
        <v>EURAB6E18Y_Quote</v>
      </c>
      <c r="G23" s="114" t="s">
        <v>222</v>
      </c>
      <c r="H23" s="248" t="str">
        <f t="shared" si="1"/>
        <v>EUR3E6E18Y_Quote</v>
      </c>
      <c r="I23" s="247" t="str">
        <f t="shared" si="2"/>
        <v>EURAB3EBASIS18Y_Quote</v>
      </c>
      <c r="J23" s="247" t="str">
        <f>_xll.qlCompositeQuote(I23,F23,H23,G23,Permanent,Trigger,ObjectOverwrite)</f>
        <v>EURAB3EBASIS18Y_Quote#0001</v>
      </c>
      <c r="K23" s="256" t="str">
        <f>_xll.ohRangeRetrieveError(J23)</f>
        <v/>
      </c>
      <c r="L23" s="54"/>
    </row>
    <row r="24" spans="1:12" x14ac:dyDescent="0.2">
      <c r="A24" s="130"/>
      <c r="B24" s="222" t="s">
        <v>98</v>
      </c>
      <c r="C24" s="114" t="s">
        <v>202</v>
      </c>
      <c r="D24" s="114" t="s">
        <v>142</v>
      </c>
      <c r="E24" s="114" t="s">
        <v>135</v>
      </c>
      <c r="F24" s="247" t="str">
        <f t="shared" si="0"/>
        <v>EURAB6E19Y_Quote</v>
      </c>
      <c r="G24" s="114" t="s">
        <v>222</v>
      </c>
      <c r="H24" s="248" t="str">
        <f t="shared" si="1"/>
        <v>EUR3E6E19Y_Quote</v>
      </c>
      <c r="I24" s="247" t="str">
        <f t="shared" si="2"/>
        <v>EURAB3EBASIS19Y_Quote</v>
      </c>
      <c r="J24" s="247" t="str">
        <f>_xll.qlCompositeQuote(I24,F24,H24,G24,Permanent,Trigger,ObjectOverwrite)</f>
        <v>EURAB3EBASIS19Y_Quote#0001</v>
      </c>
      <c r="K24" s="256" t="str">
        <f>_xll.ohRangeRetrieveError(J24)</f>
        <v/>
      </c>
      <c r="L24" s="54"/>
    </row>
    <row r="25" spans="1:12" x14ac:dyDescent="0.2">
      <c r="A25" s="130"/>
      <c r="B25" s="222" t="s">
        <v>97</v>
      </c>
      <c r="C25" s="114" t="s">
        <v>202</v>
      </c>
      <c r="D25" s="114" t="s">
        <v>142</v>
      </c>
      <c r="E25" s="114" t="s">
        <v>135</v>
      </c>
      <c r="F25" s="247" t="str">
        <f t="shared" si="0"/>
        <v>EURAB6E20Y_Quote</v>
      </c>
      <c r="G25" s="114" t="s">
        <v>222</v>
      </c>
      <c r="H25" s="248" t="str">
        <f t="shared" si="1"/>
        <v>EUR3E6E20Y_Quote</v>
      </c>
      <c r="I25" s="247" t="str">
        <f t="shared" si="2"/>
        <v>EURAB3EBASIS20Y_Quote</v>
      </c>
      <c r="J25" s="247" t="str">
        <f>_xll.qlCompositeQuote(I25,F25,H25,G25,Permanent,Trigger,ObjectOverwrite)</f>
        <v>EURAB3EBASIS20Y_Quote#0001</v>
      </c>
      <c r="K25" s="256" t="str">
        <f>_xll.ohRangeRetrieveError(J25)</f>
        <v/>
      </c>
      <c r="L25" s="54"/>
    </row>
    <row r="26" spans="1:12" x14ac:dyDescent="0.2">
      <c r="A26" s="130"/>
      <c r="B26" s="222" t="s">
        <v>96</v>
      </c>
      <c r="C26" s="114" t="s">
        <v>202</v>
      </c>
      <c r="D26" s="114" t="s">
        <v>142</v>
      </c>
      <c r="E26" s="114" t="s">
        <v>135</v>
      </c>
      <c r="F26" s="247" t="str">
        <f t="shared" si="0"/>
        <v>EURAB6E21Y_Quote</v>
      </c>
      <c r="G26" s="114" t="s">
        <v>222</v>
      </c>
      <c r="H26" s="248" t="str">
        <f t="shared" si="1"/>
        <v>EUR3E6E21Y_Quote</v>
      </c>
      <c r="I26" s="247" t="str">
        <f t="shared" si="2"/>
        <v>EURAB3EBASIS21Y_Quote</v>
      </c>
      <c r="J26" s="247" t="str">
        <f>_xll.qlCompositeQuote(I26,F26,H26,G26,Permanent,Trigger,ObjectOverwrite)</f>
        <v>EURAB3EBASIS21Y_Quote#0001</v>
      </c>
      <c r="K26" s="256" t="str">
        <f>_xll.ohRangeRetrieveError(J26)</f>
        <v/>
      </c>
      <c r="L26" s="54"/>
    </row>
    <row r="27" spans="1:12" x14ac:dyDescent="0.2">
      <c r="A27" s="130"/>
      <c r="B27" s="222" t="s">
        <v>95</v>
      </c>
      <c r="C27" s="114" t="s">
        <v>202</v>
      </c>
      <c r="D27" s="114" t="s">
        <v>142</v>
      </c>
      <c r="E27" s="114" t="s">
        <v>135</v>
      </c>
      <c r="F27" s="247" t="str">
        <f t="shared" si="0"/>
        <v>EURAB6E22Y_Quote</v>
      </c>
      <c r="G27" s="114" t="s">
        <v>222</v>
      </c>
      <c r="H27" s="248" t="str">
        <f t="shared" si="1"/>
        <v>EUR3E6E22Y_Quote</v>
      </c>
      <c r="I27" s="247" t="str">
        <f t="shared" si="2"/>
        <v>EURAB3EBASIS22Y_Quote</v>
      </c>
      <c r="J27" s="247" t="str">
        <f>_xll.qlCompositeQuote(I27,F27,H27,G27,Permanent,Trigger,ObjectOverwrite)</f>
        <v>EURAB3EBASIS22Y_Quote#0001</v>
      </c>
      <c r="K27" s="256" t="str">
        <f>_xll.ohRangeRetrieveError(J27)</f>
        <v/>
      </c>
      <c r="L27" s="54"/>
    </row>
    <row r="28" spans="1:12" x14ac:dyDescent="0.2">
      <c r="A28" s="130"/>
      <c r="B28" s="222" t="s">
        <v>94</v>
      </c>
      <c r="C28" s="114" t="s">
        <v>202</v>
      </c>
      <c r="D28" s="114" t="s">
        <v>142</v>
      </c>
      <c r="E28" s="114" t="s">
        <v>135</v>
      </c>
      <c r="F28" s="247" t="str">
        <f t="shared" si="0"/>
        <v>EURAB6E23Y_Quote</v>
      </c>
      <c r="G28" s="114" t="s">
        <v>222</v>
      </c>
      <c r="H28" s="248" t="str">
        <f t="shared" si="1"/>
        <v>EUR3E6E23Y_Quote</v>
      </c>
      <c r="I28" s="247" t="str">
        <f t="shared" si="2"/>
        <v>EURAB3EBASIS23Y_Quote</v>
      </c>
      <c r="J28" s="247" t="str">
        <f>_xll.qlCompositeQuote(I28,F28,H28,G28,Permanent,Trigger,ObjectOverwrite)</f>
        <v>EURAB3EBASIS23Y_Quote#0001</v>
      </c>
      <c r="K28" s="256" t="str">
        <f>_xll.ohRangeRetrieveError(J28)</f>
        <v/>
      </c>
      <c r="L28" s="54"/>
    </row>
    <row r="29" spans="1:12" x14ac:dyDescent="0.2">
      <c r="A29" s="130"/>
      <c r="B29" s="222" t="s">
        <v>93</v>
      </c>
      <c r="C29" s="114" t="s">
        <v>202</v>
      </c>
      <c r="D29" s="114" t="s">
        <v>142</v>
      </c>
      <c r="E29" s="114" t="s">
        <v>135</v>
      </c>
      <c r="F29" s="247" t="str">
        <f t="shared" si="0"/>
        <v>EURAB6E24Y_Quote</v>
      </c>
      <c r="G29" s="114" t="s">
        <v>222</v>
      </c>
      <c r="H29" s="248" t="str">
        <f t="shared" si="1"/>
        <v>EUR3E6E24Y_Quote</v>
      </c>
      <c r="I29" s="247" t="str">
        <f t="shared" si="2"/>
        <v>EURAB3EBASIS24Y_Quote</v>
      </c>
      <c r="J29" s="247" t="str">
        <f>_xll.qlCompositeQuote(I29,F29,H29,G29,Permanent,Trigger,ObjectOverwrite)</f>
        <v>EURAB3EBASIS24Y_Quote#0001</v>
      </c>
      <c r="K29" s="256" t="str">
        <f>_xll.ohRangeRetrieveError(J29)</f>
        <v/>
      </c>
      <c r="L29" s="54"/>
    </row>
    <row r="30" spans="1:12" x14ac:dyDescent="0.2">
      <c r="A30" s="130"/>
      <c r="B30" s="222" t="s">
        <v>92</v>
      </c>
      <c r="C30" s="114" t="s">
        <v>202</v>
      </c>
      <c r="D30" s="114" t="s">
        <v>142</v>
      </c>
      <c r="E30" s="114" t="s">
        <v>135</v>
      </c>
      <c r="F30" s="247" t="str">
        <f t="shared" si="0"/>
        <v>EURAB6E25Y_Quote</v>
      </c>
      <c r="G30" s="114" t="s">
        <v>222</v>
      </c>
      <c r="H30" s="248" t="str">
        <f t="shared" si="1"/>
        <v>EUR3E6E25Y_Quote</v>
      </c>
      <c r="I30" s="247" t="str">
        <f t="shared" si="2"/>
        <v>EURAB3EBASIS25Y_Quote</v>
      </c>
      <c r="J30" s="247" t="str">
        <f>_xll.qlCompositeQuote(I30,F30,H30,G30,Permanent,Trigger,ObjectOverwrite)</f>
        <v>EURAB3EBASIS25Y_Quote#0001</v>
      </c>
      <c r="K30" s="256" t="str">
        <f>_xll.ohRangeRetrieveError(J30)</f>
        <v/>
      </c>
      <c r="L30" s="54"/>
    </row>
    <row r="31" spans="1:12" x14ac:dyDescent="0.2">
      <c r="A31" s="130"/>
      <c r="B31" s="222" t="s">
        <v>91</v>
      </c>
      <c r="C31" s="114" t="s">
        <v>202</v>
      </c>
      <c r="D31" s="114" t="s">
        <v>142</v>
      </c>
      <c r="E31" s="114" t="s">
        <v>135</v>
      </c>
      <c r="F31" s="247" t="str">
        <f t="shared" si="0"/>
        <v>EURAB6E26Y_Quote</v>
      </c>
      <c r="G31" s="114" t="s">
        <v>222</v>
      </c>
      <c r="H31" s="248" t="str">
        <f t="shared" si="1"/>
        <v>EUR3E6E26Y_Quote</v>
      </c>
      <c r="I31" s="247" t="str">
        <f t="shared" si="2"/>
        <v>EURAB3EBASIS26Y_Quote</v>
      </c>
      <c r="J31" s="247" t="str">
        <f>_xll.qlCompositeQuote(I31,F31,H31,G31,Permanent,Trigger,ObjectOverwrite)</f>
        <v>EURAB3EBASIS26Y_Quote#0001</v>
      </c>
      <c r="K31" s="256" t="str">
        <f>_xll.ohRangeRetrieveError(J31)</f>
        <v/>
      </c>
      <c r="L31" s="54"/>
    </row>
    <row r="32" spans="1:12" x14ac:dyDescent="0.2">
      <c r="A32" s="130"/>
      <c r="B32" s="222" t="s">
        <v>90</v>
      </c>
      <c r="C32" s="114" t="s">
        <v>202</v>
      </c>
      <c r="D32" s="114" t="s">
        <v>142</v>
      </c>
      <c r="E32" s="114" t="s">
        <v>135</v>
      </c>
      <c r="F32" s="247" t="str">
        <f t="shared" si="0"/>
        <v>EURAB6E27Y_Quote</v>
      </c>
      <c r="G32" s="114" t="s">
        <v>222</v>
      </c>
      <c r="H32" s="248" t="str">
        <f t="shared" si="1"/>
        <v>EUR3E6E27Y_Quote</v>
      </c>
      <c r="I32" s="247" t="str">
        <f t="shared" si="2"/>
        <v>EURAB3EBASIS27Y_Quote</v>
      </c>
      <c r="J32" s="247" t="str">
        <f>_xll.qlCompositeQuote(I32,F32,H32,G32,Permanent,Trigger,ObjectOverwrite)</f>
        <v>EURAB3EBASIS27Y_Quote#0001</v>
      </c>
      <c r="K32" s="256" t="str">
        <f>_xll.ohRangeRetrieveError(J32)</f>
        <v/>
      </c>
      <c r="L32" s="54"/>
    </row>
    <row r="33" spans="1:12" x14ac:dyDescent="0.2">
      <c r="A33" s="130"/>
      <c r="B33" s="222" t="s">
        <v>89</v>
      </c>
      <c r="C33" s="114" t="s">
        <v>202</v>
      </c>
      <c r="D33" s="114" t="s">
        <v>142</v>
      </c>
      <c r="E33" s="114" t="s">
        <v>135</v>
      </c>
      <c r="F33" s="247" t="str">
        <f t="shared" si="0"/>
        <v>EURAB6E28Y_Quote</v>
      </c>
      <c r="G33" s="114" t="s">
        <v>222</v>
      </c>
      <c r="H33" s="248" t="str">
        <f t="shared" si="1"/>
        <v>EUR3E6E28Y_Quote</v>
      </c>
      <c r="I33" s="247" t="str">
        <f t="shared" si="2"/>
        <v>EURAB3EBASIS28Y_Quote</v>
      </c>
      <c r="J33" s="247" t="str">
        <f>_xll.qlCompositeQuote(I33,F33,H33,G33,Permanent,Trigger,ObjectOverwrite)</f>
        <v>EURAB3EBASIS28Y_Quote#0001</v>
      </c>
      <c r="K33" s="256" t="str">
        <f>_xll.ohRangeRetrieveError(J33)</f>
        <v/>
      </c>
      <c r="L33" s="54"/>
    </row>
    <row r="34" spans="1:12" x14ac:dyDescent="0.2">
      <c r="A34" s="130"/>
      <c r="B34" s="222" t="s">
        <v>88</v>
      </c>
      <c r="C34" s="114" t="s">
        <v>202</v>
      </c>
      <c r="D34" s="114" t="s">
        <v>142</v>
      </c>
      <c r="E34" s="114" t="s">
        <v>135</v>
      </c>
      <c r="F34" s="247" t="str">
        <f t="shared" si="0"/>
        <v>EURAB6E29Y_Quote</v>
      </c>
      <c r="G34" s="114" t="s">
        <v>222</v>
      </c>
      <c r="H34" s="248" t="str">
        <f t="shared" si="1"/>
        <v>EUR3E6E29Y_Quote</v>
      </c>
      <c r="I34" s="247" t="str">
        <f t="shared" si="2"/>
        <v>EURAB3EBASIS29Y_Quote</v>
      </c>
      <c r="J34" s="247" t="str">
        <f>_xll.qlCompositeQuote(I34,F34,H34,G34,Permanent,Trigger,ObjectOverwrite)</f>
        <v>EURAB3EBASIS29Y_Quote#0001</v>
      </c>
      <c r="K34" s="256" t="str">
        <f>_xll.ohRangeRetrieveError(J34)</f>
        <v/>
      </c>
      <c r="L34" s="54"/>
    </row>
    <row r="35" spans="1:12" x14ac:dyDescent="0.2">
      <c r="A35" s="130"/>
      <c r="B35" s="222" t="s">
        <v>87</v>
      </c>
      <c r="C35" s="114" t="s">
        <v>202</v>
      </c>
      <c r="D35" s="114" t="s">
        <v>142</v>
      </c>
      <c r="E35" s="114" t="s">
        <v>135</v>
      </c>
      <c r="F35" s="247" t="str">
        <f t="shared" si="0"/>
        <v>EURAB6E30Y_Quote</v>
      </c>
      <c r="G35" s="114" t="s">
        <v>222</v>
      </c>
      <c r="H35" s="248" t="str">
        <f t="shared" si="1"/>
        <v>EUR3E6E30Y_Quote</v>
      </c>
      <c r="I35" s="247" t="str">
        <f t="shared" si="2"/>
        <v>EURAB3EBASIS30Y_Quote</v>
      </c>
      <c r="J35" s="247" t="str">
        <f>_xll.qlCompositeQuote(I35,F35,H35,G35,Permanent,Trigger,ObjectOverwrite)</f>
        <v>EURAB3EBASIS30Y_Quote#0001</v>
      </c>
      <c r="K35" s="256" t="str">
        <f>_xll.ohRangeRetrieveError(J35)</f>
        <v/>
      </c>
      <c r="L35" s="54"/>
    </row>
    <row r="36" spans="1:12" x14ac:dyDescent="0.2">
      <c r="A36" s="130"/>
      <c r="B36" s="222" t="s">
        <v>82</v>
      </c>
      <c r="C36" s="114" t="s">
        <v>202</v>
      </c>
      <c r="D36" s="114" t="s">
        <v>142</v>
      </c>
      <c r="E36" s="114" t="s">
        <v>135</v>
      </c>
      <c r="F36" s="247" t="str">
        <f t="shared" si="0"/>
        <v>EURAB6E35Y_Quote</v>
      </c>
      <c r="G36" s="114" t="s">
        <v>222</v>
      </c>
      <c r="H36" s="248" t="str">
        <f t="shared" si="1"/>
        <v>EUR3E6E35Y_Quote</v>
      </c>
      <c r="I36" s="247" t="str">
        <f t="shared" si="2"/>
        <v>EURAB3EBASIS35Y_Quote</v>
      </c>
      <c r="J36" s="247" t="str">
        <f>_xll.qlCompositeQuote(I36,F36,H36,G36,Permanent,Trigger,ObjectOverwrite)</f>
        <v>EURAB3EBASIS35Y_Quote#0001</v>
      </c>
      <c r="K36" s="256" t="str">
        <f>_xll.ohRangeRetrieveError(J36)</f>
        <v/>
      </c>
      <c r="L36" s="54"/>
    </row>
    <row r="37" spans="1:12" x14ac:dyDescent="0.2">
      <c r="A37" s="130"/>
      <c r="B37" s="222" t="s">
        <v>77</v>
      </c>
      <c r="C37" s="114" t="s">
        <v>202</v>
      </c>
      <c r="D37" s="114" t="s">
        <v>142</v>
      </c>
      <c r="E37" s="114" t="s">
        <v>135</v>
      </c>
      <c r="F37" s="247" t="str">
        <f t="shared" si="0"/>
        <v>EURAB6E40Y_Quote</v>
      </c>
      <c r="G37" s="114" t="s">
        <v>222</v>
      </c>
      <c r="H37" s="248" t="str">
        <f t="shared" si="1"/>
        <v>EUR3E6E40Y_Quote</v>
      </c>
      <c r="I37" s="247" t="str">
        <f t="shared" si="2"/>
        <v>EURAB3EBASIS40Y_Quote</v>
      </c>
      <c r="J37" s="247" t="str">
        <f>_xll.qlCompositeQuote(I37,F37,H37,G37,Permanent,Trigger,ObjectOverwrite)</f>
        <v>EURAB3EBASIS40Y_Quote#0001</v>
      </c>
      <c r="K37" s="256" t="str">
        <f>_xll.ohRangeRetrieveError(J37)</f>
        <v/>
      </c>
      <c r="L37" s="54"/>
    </row>
    <row r="38" spans="1:12" x14ac:dyDescent="0.2">
      <c r="A38" s="130"/>
      <c r="B38" s="222" t="s">
        <v>67</v>
      </c>
      <c r="C38" s="114" t="s">
        <v>202</v>
      </c>
      <c r="D38" s="114" t="s">
        <v>142</v>
      </c>
      <c r="E38" s="114" t="s">
        <v>135</v>
      </c>
      <c r="F38" s="247" t="str">
        <f t="shared" si="0"/>
        <v>EURAB6E50Y_Quote</v>
      </c>
      <c r="G38" s="114" t="s">
        <v>222</v>
      </c>
      <c r="H38" s="248" t="str">
        <f t="shared" si="1"/>
        <v>EUR3E6E50Y_Quote</v>
      </c>
      <c r="I38" s="247" t="str">
        <f t="shared" si="2"/>
        <v>EURAB3EBASIS50Y_Quote</v>
      </c>
      <c r="J38" s="247" t="str">
        <f>_xll.qlCompositeQuote(I38,F38,H38,G38,Permanent,Trigger,ObjectOverwrite)</f>
        <v>EURAB3EBASIS50Y_Quote#0001</v>
      </c>
      <c r="K38" s="256" t="str">
        <f>_xll.ohRangeRetrieveError(J38)</f>
        <v/>
      </c>
      <c r="L38" s="54"/>
    </row>
    <row r="39" spans="1:12" x14ac:dyDescent="0.2">
      <c r="A39" s="130"/>
      <c r="B39" s="222" t="s">
        <v>57</v>
      </c>
      <c r="C39" s="114" t="s">
        <v>202</v>
      </c>
      <c r="D39" s="114" t="s">
        <v>142</v>
      </c>
      <c r="E39" s="114" t="s">
        <v>135</v>
      </c>
      <c r="F39" s="247" t="str">
        <f t="shared" si="0"/>
        <v>EURAB6E60Y_Quote</v>
      </c>
      <c r="G39" s="114" t="s">
        <v>222</v>
      </c>
      <c r="H39" s="248" t="str">
        <f t="shared" si="1"/>
        <v>EUR3E6E60Y_Quote</v>
      </c>
      <c r="I39" s="247" t="str">
        <f t="shared" si="2"/>
        <v>EURAB3EBASIS60Y_Quote</v>
      </c>
      <c r="J39" s="247" t="str">
        <f>_xll.qlCompositeQuote(I39,F39,H39,G39,Permanent,Trigger,ObjectOverwrite)</f>
        <v>EURAB3EBASIS60Y_Quote#0001</v>
      </c>
      <c r="K39" s="256" t="str">
        <f>_xll.ohRangeRetrieveError(J39)</f>
        <v/>
      </c>
      <c r="L39" s="54"/>
    </row>
    <row r="40" spans="1:12" ht="12" thickBot="1" x14ac:dyDescent="0.25">
      <c r="A40" s="53"/>
      <c r="B40" s="52"/>
      <c r="C40" s="52"/>
      <c r="D40" s="52"/>
      <c r="E40" s="52"/>
      <c r="F40" s="52"/>
      <c r="G40" s="52"/>
      <c r="H40" s="52"/>
      <c r="I40" s="52"/>
      <c r="J40" s="124"/>
      <c r="K40" s="124"/>
      <c r="L40" s="51"/>
    </row>
  </sheetData>
  <pageMargins left="0.75" right="0.75" top="1" bottom="1" header="0.5" footer="0.5"/>
  <pageSetup paperSize="9" orientation="portrait" r:id="rId1"/>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L40"/>
  <sheetViews>
    <sheetView workbookViewId="0"/>
  </sheetViews>
  <sheetFormatPr defaultRowHeight="11.25" x14ac:dyDescent="0.2"/>
  <cols>
    <col min="1" max="1" width="3.7109375" style="74" customWidth="1"/>
    <col min="2" max="2" width="6.5703125" style="21" bestFit="1" customWidth="1"/>
    <col min="3" max="3" width="3.140625" style="74" bestFit="1" customWidth="1"/>
    <col min="4" max="4" width="3.5703125" style="74" bestFit="1" customWidth="1"/>
    <col min="5" max="5" width="2.7109375" style="74" bestFit="1" customWidth="1"/>
    <col min="6" max="6" width="15.7109375" style="74" bestFit="1" customWidth="1"/>
    <col min="7" max="7" width="8" style="74" bestFit="1" customWidth="1"/>
    <col min="8" max="8" width="16.140625" style="74" bestFit="1" customWidth="1"/>
    <col min="9" max="9" width="23.42578125" style="74" bestFit="1" customWidth="1"/>
    <col min="10" max="10" width="25.7109375" style="75" bestFit="1" customWidth="1"/>
    <col min="11" max="11" width="37.85546875" style="74" customWidth="1"/>
    <col min="12" max="12" width="4.42578125" style="74" customWidth="1"/>
    <col min="13" max="13" width="5.85546875" style="74" customWidth="1"/>
    <col min="14" max="16384" width="9.140625" style="74"/>
  </cols>
  <sheetData>
    <row r="1" spans="1:12" x14ac:dyDescent="0.2">
      <c r="A1" s="224" t="s">
        <v>226</v>
      </c>
      <c r="B1" s="207"/>
      <c r="C1" s="207"/>
      <c r="D1" s="207"/>
      <c r="E1" s="207"/>
      <c r="F1" s="207"/>
      <c r="G1" s="207"/>
      <c r="H1" s="207"/>
      <c r="I1" s="162"/>
      <c r="J1" s="223"/>
      <c r="K1" s="162"/>
      <c r="L1" s="204"/>
    </row>
    <row r="2" spans="1:12" x14ac:dyDescent="0.2">
      <c r="A2" s="130"/>
      <c r="B2" s="254" t="s">
        <v>141</v>
      </c>
      <c r="C2" s="255"/>
      <c r="D2" s="254"/>
      <c r="E2" s="254"/>
      <c r="F2" s="254" t="s">
        <v>224</v>
      </c>
      <c r="G2" s="254" t="s">
        <v>223</v>
      </c>
      <c r="H2" s="254" t="s">
        <v>214</v>
      </c>
      <c r="I2" s="253" t="str">
        <f>Currency&amp;"_020_Sw"&amp;$C$3&amp;$D$3&amp;"_Basis.xml"</f>
        <v>EUR_020_SwAB6E_Basis.xml</v>
      </c>
      <c r="J2" s="252">
        <f ca="1">IF(Serialize,_xll.ohObjectSave(J3:J39,SerializationPath&amp;I2,FileOverwrite,Serialize),"---")</f>
        <v>37</v>
      </c>
      <c r="K2" s="250" t="str">
        <f ca="1">_xll.ohRangeRetrieveError(J2)</f>
        <v/>
      </c>
      <c r="L2" s="54"/>
    </row>
    <row r="3" spans="1:12" x14ac:dyDescent="0.2">
      <c r="A3" s="130"/>
      <c r="B3" s="222" t="s">
        <v>34</v>
      </c>
      <c r="C3" s="114" t="s">
        <v>202</v>
      </c>
      <c r="D3" s="114" t="s">
        <v>135</v>
      </c>
      <c r="E3" s="114" t="s">
        <v>142</v>
      </c>
      <c r="F3" s="247" t="str">
        <f t="shared" ref="F3:F39" si="0">Currency&amp;$C3&amp;E3&amp;$B3&amp;QuoteSuffix</f>
        <v>EURAB3E1Y_Quote</v>
      </c>
      <c r="G3" s="114" t="s">
        <v>225</v>
      </c>
      <c r="H3" s="248" t="str">
        <f t="shared" ref="H3:H39" si="1">Currency&amp;IF($G3="-",$D3&amp;E3,E3&amp;$D3)&amp;$B3&amp;QuoteSuffix</f>
        <v>EUR3E6E1Y_Quote</v>
      </c>
      <c r="I3" s="247" t="str">
        <f t="shared" ref="I3:I39" si="2">Currency&amp;$C3&amp;$D3&amp;"BASIS"&amp;$B3&amp;QuoteSuffix</f>
        <v>EURAB6EBASIS1Y_Quote</v>
      </c>
      <c r="J3" s="247" t="str">
        <f>_xll.qlCompositeQuote(I3,F3,H3,G3,Permanent,Trigger,ObjectOverwrite)</f>
        <v>EURAB6EBASIS1Y_Quote#0001</v>
      </c>
      <c r="K3" s="256" t="str">
        <f>_xll.ohRangeRetrieveError(J3)</f>
        <v/>
      </c>
      <c r="L3" s="54"/>
    </row>
    <row r="4" spans="1:12" x14ac:dyDescent="0.2">
      <c r="A4" s="130"/>
      <c r="B4" s="222" t="s">
        <v>140</v>
      </c>
      <c r="C4" s="114" t="s">
        <v>202</v>
      </c>
      <c r="D4" s="114" t="s">
        <v>135</v>
      </c>
      <c r="E4" s="114" t="s">
        <v>142</v>
      </c>
      <c r="F4" s="247" t="str">
        <f t="shared" si="0"/>
        <v>EURAB3E15M_Quote</v>
      </c>
      <c r="G4" s="114" t="s">
        <v>225</v>
      </c>
      <c r="H4" s="248" t="str">
        <f t="shared" si="1"/>
        <v>EUR3E6E15M_Quote</v>
      </c>
      <c r="I4" s="247" t="str">
        <f t="shared" si="2"/>
        <v>EURAB6EBASIS15M_Quote</v>
      </c>
      <c r="J4" s="247" t="str">
        <f>_xll.qlCompositeQuote(I4,F4,H4,G4,Permanent,Trigger,ObjectOverwrite)</f>
        <v>EURAB6EBASIS15M_Quote#0001</v>
      </c>
      <c r="K4" s="256" t="str">
        <f>_xll.ohRangeRetrieveError(J4)</f>
        <v/>
      </c>
      <c r="L4" s="54"/>
    </row>
    <row r="5" spans="1:12" x14ac:dyDescent="0.2">
      <c r="A5" s="130"/>
      <c r="B5" s="222" t="s">
        <v>139</v>
      </c>
      <c r="C5" s="114" t="s">
        <v>202</v>
      </c>
      <c r="D5" s="114" t="s">
        <v>135</v>
      </c>
      <c r="E5" s="114" t="s">
        <v>142</v>
      </c>
      <c r="F5" s="247" t="str">
        <f t="shared" si="0"/>
        <v>EURAB3E18M_Quote</v>
      </c>
      <c r="G5" s="114" t="s">
        <v>225</v>
      </c>
      <c r="H5" s="248" t="str">
        <f t="shared" si="1"/>
        <v>EUR3E6E18M_Quote</v>
      </c>
      <c r="I5" s="247" t="str">
        <f t="shared" si="2"/>
        <v>EURAB6EBASIS18M_Quote</v>
      </c>
      <c r="J5" s="247" t="str">
        <f>_xll.qlCompositeQuote(I5,F5,H5,G5,Permanent,Trigger,ObjectOverwrite)</f>
        <v>EURAB6EBASIS18M_Quote#0001</v>
      </c>
      <c r="K5" s="256" t="str">
        <f>_xll.ohRangeRetrieveError(J5)</f>
        <v/>
      </c>
      <c r="L5" s="54"/>
    </row>
    <row r="6" spans="1:12" x14ac:dyDescent="0.2">
      <c r="A6" s="130"/>
      <c r="B6" s="222" t="s">
        <v>138</v>
      </c>
      <c r="C6" s="114" t="s">
        <v>202</v>
      </c>
      <c r="D6" s="114" t="s">
        <v>135</v>
      </c>
      <c r="E6" s="114" t="s">
        <v>142</v>
      </c>
      <c r="F6" s="247" t="str">
        <f t="shared" si="0"/>
        <v>EURAB3E21M_Quote</v>
      </c>
      <c r="G6" s="114" t="s">
        <v>225</v>
      </c>
      <c r="H6" s="248" t="str">
        <f t="shared" si="1"/>
        <v>EUR3E6E21M_Quote</v>
      </c>
      <c r="I6" s="247" t="str">
        <f t="shared" si="2"/>
        <v>EURAB6EBASIS21M_Quote</v>
      </c>
      <c r="J6" s="247" t="str">
        <f>_xll.qlCompositeQuote(I6,F6,H6,G6,Permanent,Trigger,ObjectOverwrite)</f>
        <v>EURAB6EBASIS21M_Quote#0001</v>
      </c>
      <c r="K6" s="256" t="str">
        <f>_xll.ohRangeRetrieveError(J6)</f>
        <v/>
      </c>
      <c r="L6" s="54"/>
    </row>
    <row r="7" spans="1:12" x14ac:dyDescent="0.2">
      <c r="A7" s="130"/>
      <c r="B7" s="222" t="s">
        <v>115</v>
      </c>
      <c r="C7" s="114" t="s">
        <v>202</v>
      </c>
      <c r="D7" s="114" t="s">
        <v>135</v>
      </c>
      <c r="E7" s="114" t="s">
        <v>142</v>
      </c>
      <c r="F7" s="247" t="str">
        <f t="shared" si="0"/>
        <v>EURAB3E2Y_Quote</v>
      </c>
      <c r="G7" s="114" t="s">
        <v>225</v>
      </c>
      <c r="H7" s="248" t="str">
        <f t="shared" si="1"/>
        <v>EUR3E6E2Y_Quote</v>
      </c>
      <c r="I7" s="247" t="str">
        <f t="shared" si="2"/>
        <v>EURAB6EBASIS2Y_Quote</v>
      </c>
      <c r="J7" s="247" t="str">
        <f>_xll.qlCompositeQuote(I7,F7,H7,G7,Permanent,Trigger,ObjectOverwrite)</f>
        <v>EURAB6EBASIS2Y_Quote#0001</v>
      </c>
      <c r="K7" s="256" t="str">
        <f>_xll.ohRangeRetrieveError(J7)</f>
        <v/>
      </c>
      <c r="L7" s="54"/>
    </row>
    <row r="8" spans="1:12" x14ac:dyDescent="0.2">
      <c r="A8" s="130"/>
      <c r="B8" s="222" t="s">
        <v>114</v>
      </c>
      <c r="C8" s="114" t="s">
        <v>202</v>
      </c>
      <c r="D8" s="114" t="s">
        <v>135</v>
      </c>
      <c r="E8" s="114" t="s">
        <v>142</v>
      </c>
      <c r="F8" s="247" t="str">
        <f t="shared" si="0"/>
        <v>EURAB3E3Y_Quote</v>
      </c>
      <c r="G8" s="114" t="s">
        <v>225</v>
      </c>
      <c r="H8" s="248" t="str">
        <f t="shared" si="1"/>
        <v>EUR3E6E3Y_Quote</v>
      </c>
      <c r="I8" s="247" t="str">
        <f t="shared" si="2"/>
        <v>EURAB6EBASIS3Y_Quote</v>
      </c>
      <c r="J8" s="247" t="str">
        <f>_xll.qlCompositeQuote(I8,F8,H8,G8,Permanent,Trigger,ObjectOverwrite)</f>
        <v>EURAB6EBASIS3Y_Quote#0001</v>
      </c>
      <c r="K8" s="256" t="str">
        <f>_xll.ohRangeRetrieveError(J8)</f>
        <v/>
      </c>
      <c r="L8" s="54"/>
    </row>
    <row r="9" spans="1:12" x14ac:dyDescent="0.2">
      <c r="A9" s="130"/>
      <c r="B9" s="222" t="s">
        <v>113</v>
      </c>
      <c r="C9" s="114" t="s">
        <v>202</v>
      </c>
      <c r="D9" s="114" t="s">
        <v>135</v>
      </c>
      <c r="E9" s="114" t="s">
        <v>142</v>
      </c>
      <c r="F9" s="247" t="str">
        <f t="shared" si="0"/>
        <v>EURAB3E4Y_Quote</v>
      </c>
      <c r="G9" s="114" t="s">
        <v>225</v>
      </c>
      <c r="H9" s="248" t="str">
        <f t="shared" si="1"/>
        <v>EUR3E6E4Y_Quote</v>
      </c>
      <c r="I9" s="247" t="str">
        <f t="shared" si="2"/>
        <v>EURAB6EBASIS4Y_Quote</v>
      </c>
      <c r="J9" s="247" t="str">
        <f>_xll.qlCompositeQuote(I9,F9,H9,G9,Permanent,Trigger,ObjectOverwrite)</f>
        <v>EURAB6EBASIS4Y_Quote#0001</v>
      </c>
      <c r="K9" s="256" t="str">
        <f>_xll.ohRangeRetrieveError(J9)</f>
        <v/>
      </c>
      <c r="L9" s="54"/>
    </row>
    <row r="10" spans="1:12" x14ac:dyDescent="0.2">
      <c r="A10" s="130"/>
      <c r="B10" s="222" t="s">
        <v>112</v>
      </c>
      <c r="C10" s="114" t="s">
        <v>202</v>
      </c>
      <c r="D10" s="114" t="s">
        <v>135</v>
      </c>
      <c r="E10" s="114" t="s">
        <v>142</v>
      </c>
      <c r="F10" s="247" t="str">
        <f t="shared" si="0"/>
        <v>EURAB3E5Y_Quote</v>
      </c>
      <c r="G10" s="114" t="s">
        <v>225</v>
      </c>
      <c r="H10" s="248" t="str">
        <f t="shared" si="1"/>
        <v>EUR3E6E5Y_Quote</v>
      </c>
      <c r="I10" s="247" t="str">
        <f t="shared" si="2"/>
        <v>EURAB6EBASIS5Y_Quote</v>
      </c>
      <c r="J10" s="247" t="str">
        <f>_xll.qlCompositeQuote(I10,F10,H10,G10,Permanent,Trigger,ObjectOverwrite)</f>
        <v>EURAB6EBASIS5Y_Quote#0001</v>
      </c>
      <c r="K10" s="256" t="str">
        <f>_xll.ohRangeRetrieveError(J10)</f>
        <v/>
      </c>
      <c r="L10" s="54"/>
    </row>
    <row r="11" spans="1:12" x14ac:dyDescent="0.2">
      <c r="A11" s="130"/>
      <c r="B11" s="222" t="s">
        <v>111</v>
      </c>
      <c r="C11" s="114" t="s">
        <v>202</v>
      </c>
      <c r="D11" s="114" t="s">
        <v>135</v>
      </c>
      <c r="E11" s="114" t="s">
        <v>142</v>
      </c>
      <c r="F11" s="247" t="str">
        <f t="shared" si="0"/>
        <v>EURAB3E6Y_Quote</v>
      </c>
      <c r="G11" s="114" t="s">
        <v>225</v>
      </c>
      <c r="H11" s="248" t="str">
        <f t="shared" si="1"/>
        <v>EUR3E6E6Y_Quote</v>
      </c>
      <c r="I11" s="247" t="str">
        <f t="shared" si="2"/>
        <v>EURAB6EBASIS6Y_Quote</v>
      </c>
      <c r="J11" s="247" t="str">
        <f>_xll.qlCompositeQuote(I11,F11,H11,G11,Permanent,Trigger,ObjectOverwrite)</f>
        <v>EURAB6EBASIS6Y_Quote#0001</v>
      </c>
      <c r="K11" s="256" t="str">
        <f>_xll.ohRangeRetrieveError(J11)</f>
        <v/>
      </c>
      <c r="L11" s="54"/>
    </row>
    <row r="12" spans="1:12" x14ac:dyDescent="0.2">
      <c r="A12" s="130"/>
      <c r="B12" s="222" t="s">
        <v>110</v>
      </c>
      <c r="C12" s="114" t="s">
        <v>202</v>
      </c>
      <c r="D12" s="114" t="s">
        <v>135</v>
      </c>
      <c r="E12" s="114" t="s">
        <v>142</v>
      </c>
      <c r="F12" s="247" t="str">
        <f t="shared" si="0"/>
        <v>EURAB3E7Y_Quote</v>
      </c>
      <c r="G12" s="114" t="s">
        <v>225</v>
      </c>
      <c r="H12" s="248" t="str">
        <f t="shared" si="1"/>
        <v>EUR3E6E7Y_Quote</v>
      </c>
      <c r="I12" s="247" t="str">
        <f t="shared" si="2"/>
        <v>EURAB6EBASIS7Y_Quote</v>
      </c>
      <c r="J12" s="247" t="str">
        <f>_xll.qlCompositeQuote(I12,F12,H12,G12,Permanent,Trigger,ObjectOverwrite)</f>
        <v>EURAB6EBASIS7Y_Quote#0001</v>
      </c>
      <c r="K12" s="256" t="str">
        <f>_xll.ohRangeRetrieveError(J12)</f>
        <v/>
      </c>
      <c r="L12" s="54"/>
    </row>
    <row r="13" spans="1:12" x14ac:dyDescent="0.2">
      <c r="A13" s="130"/>
      <c r="B13" s="222" t="s">
        <v>109</v>
      </c>
      <c r="C13" s="114" t="s">
        <v>202</v>
      </c>
      <c r="D13" s="114" t="s">
        <v>135</v>
      </c>
      <c r="E13" s="114" t="s">
        <v>142</v>
      </c>
      <c r="F13" s="247" t="str">
        <f t="shared" si="0"/>
        <v>EURAB3E8Y_Quote</v>
      </c>
      <c r="G13" s="114" t="s">
        <v>225</v>
      </c>
      <c r="H13" s="248" t="str">
        <f t="shared" si="1"/>
        <v>EUR3E6E8Y_Quote</v>
      </c>
      <c r="I13" s="247" t="str">
        <f t="shared" si="2"/>
        <v>EURAB6EBASIS8Y_Quote</v>
      </c>
      <c r="J13" s="247" t="str">
        <f>_xll.qlCompositeQuote(I13,F13,H13,G13,Permanent,Trigger,ObjectOverwrite)</f>
        <v>EURAB6EBASIS8Y_Quote#0001</v>
      </c>
      <c r="K13" s="256" t="str">
        <f>_xll.ohRangeRetrieveError(J13)</f>
        <v/>
      </c>
      <c r="L13" s="54"/>
    </row>
    <row r="14" spans="1:12" x14ac:dyDescent="0.2">
      <c r="A14" s="130"/>
      <c r="B14" s="222" t="s">
        <v>108</v>
      </c>
      <c r="C14" s="114" t="s">
        <v>202</v>
      </c>
      <c r="D14" s="114" t="s">
        <v>135</v>
      </c>
      <c r="E14" s="114" t="s">
        <v>142</v>
      </c>
      <c r="F14" s="247" t="str">
        <f t="shared" si="0"/>
        <v>EURAB3E9Y_Quote</v>
      </c>
      <c r="G14" s="114" t="s">
        <v>225</v>
      </c>
      <c r="H14" s="248" t="str">
        <f t="shared" si="1"/>
        <v>EUR3E6E9Y_Quote</v>
      </c>
      <c r="I14" s="247" t="str">
        <f t="shared" si="2"/>
        <v>EURAB6EBASIS9Y_Quote</v>
      </c>
      <c r="J14" s="247" t="str">
        <f>_xll.qlCompositeQuote(I14,F14,H14,G14,Permanent,Trigger,ObjectOverwrite)</f>
        <v>EURAB6EBASIS9Y_Quote#0001</v>
      </c>
      <c r="K14" s="256" t="str">
        <f>_xll.ohRangeRetrieveError(J14)</f>
        <v/>
      </c>
      <c r="L14" s="54"/>
    </row>
    <row r="15" spans="1:12" x14ac:dyDescent="0.2">
      <c r="A15" s="130"/>
      <c r="B15" s="222" t="s">
        <v>107</v>
      </c>
      <c r="C15" s="114" t="s">
        <v>202</v>
      </c>
      <c r="D15" s="114" t="s">
        <v>135</v>
      </c>
      <c r="E15" s="114" t="s">
        <v>142</v>
      </c>
      <c r="F15" s="247" t="str">
        <f t="shared" si="0"/>
        <v>EURAB3E10Y_Quote</v>
      </c>
      <c r="G15" s="114" t="s">
        <v>225</v>
      </c>
      <c r="H15" s="248" t="str">
        <f t="shared" si="1"/>
        <v>EUR3E6E10Y_Quote</v>
      </c>
      <c r="I15" s="247" t="str">
        <f t="shared" si="2"/>
        <v>EURAB6EBASIS10Y_Quote</v>
      </c>
      <c r="J15" s="247" t="str">
        <f>_xll.qlCompositeQuote(I15,F15,H15,G15,Permanent,Trigger,ObjectOverwrite)</f>
        <v>EURAB6EBASIS10Y_Quote#0001</v>
      </c>
      <c r="K15" s="256" t="str">
        <f>_xll.ohRangeRetrieveError(J15)</f>
        <v/>
      </c>
      <c r="L15" s="54"/>
    </row>
    <row r="16" spans="1:12" x14ac:dyDescent="0.2">
      <c r="A16" s="130"/>
      <c r="B16" s="222" t="s">
        <v>106</v>
      </c>
      <c r="C16" s="114" t="s">
        <v>202</v>
      </c>
      <c r="D16" s="114" t="s">
        <v>135</v>
      </c>
      <c r="E16" s="114" t="s">
        <v>142</v>
      </c>
      <c r="F16" s="247" t="str">
        <f t="shared" si="0"/>
        <v>EURAB3E11Y_Quote</v>
      </c>
      <c r="G16" s="114" t="s">
        <v>225</v>
      </c>
      <c r="H16" s="248" t="str">
        <f t="shared" si="1"/>
        <v>EUR3E6E11Y_Quote</v>
      </c>
      <c r="I16" s="247" t="str">
        <f t="shared" si="2"/>
        <v>EURAB6EBASIS11Y_Quote</v>
      </c>
      <c r="J16" s="247" t="str">
        <f>_xll.qlCompositeQuote(I16,F16,H16,G16,Permanent,Trigger,ObjectOverwrite)</f>
        <v>EURAB6EBASIS11Y_Quote#0001</v>
      </c>
      <c r="K16" s="256" t="str">
        <f>_xll.ohRangeRetrieveError(J16)</f>
        <v/>
      </c>
      <c r="L16" s="54"/>
    </row>
    <row r="17" spans="1:12" x14ac:dyDescent="0.2">
      <c r="A17" s="130"/>
      <c r="B17" s="222" t="s">
        <v>105</v>
      </c>
      <c r="C17" s="114" t="s">
        <v>202</v>
      </c>
      <c r="D17" s="114" t="s">
        <v>135</v>
      </c>
      <c r="E17" s="114" t="s">
        <v>142</v>
      </c>
      <c r="F17" s="247" t="str">
        <f t="shared" si="0"/>
        <v>EURAB3E12Y_Quote</v>
      </c>
      <c r="G17" s="114" t="s">
        <v>225</v>
      </c>
      <c r="H17" s="248" t="str">
        <f t="shared" si="1"/>
        <v>EUR3E6E12Y_Quote</v>
      </c>
      <c r="I17" s="247" t="str">
        <f t="shared" si="2"/>
        <v>EURAB6EBASIS12Y_Quote</v>
      </c>
      <c r="J17" s="247" t="str">
        <f>_xll.qlCompositeQuote(I17,F17,H17,G17,Permanent,Trigger,ObjectOverwrite)</f>
        <v>EURAB6EBASIS12Y_Quote#0001</v>
      </c>
      <c r="K17" s="256" t="str">
        <f>_xll.ohRangeRetrieveError(J17)</f>
        <v/>
      </c>
      <c r="L17" s="54"/>
    </row>
    <row r="18" spans="1:12" x14ac:dyDescent="0.2">
      <c r="A18" s="130"/>
      <c r="B18" s="222" t="s">
        <v>104</v>
      </c>
      <c r="C18" s="114" t="s">
        <v>202</v>
      </c>
      <c r="D18" s="114" t="s">
        <v>135</v>
      </c>
      <c r="E18" s="114" t="s">
        <v>142</v>
      </c>
      <c r="F18" s="247" t="str">
        <f t="shared" si="0"/>
        <v>EURAB3E13Y_Quote</v>
      </c>
      <c r="G18" s="114" t="s">
        <v>225</v>
      </c>
      <c r="H18" s="248" t="str">
        <f t="shared" si="1"/>
        <v>EUR3E6E13Y_Quote</v>
      </c>
      <c r="I18" s="247" t="str">
        <f t="shared" si="2"/>
        <v>EURAB6EBASIS13Y_Quote</v>
      </c>
      <c r="J18" s="247" t="str">
        <f>_xll.qlCompositeQuote(I18,F18,H18,G18,Permanent,Trigger,ObjectOverwrite)</f>
        <v>EURAB6EBASIS13Y_Quote#0001</v>
      </c>
      <c r="K18" s="256" t="str">
        <f>_xll.ohRangeRetrieveError(J18)</f>
        <v/>
      </c>
      <c r="L18" s="54"/>
    </row>
    <row r="19" spans="1:12" x14ac:dyDescent="0.2">
      <c r="A19" s="130"/>
      <c r="B19" s="222" t="s">
        <v>103</v>
      </c>
      <c r="C19" s="114" t="s">
        <v>202</v>
      </c>
      <c r="D19" s="114" t="s">
        <v>135</v>
      </c>
      <c r="E19" s="114" t="s">
        <v>142</v>
      </c>
      <c r="F19" s="247" t="str">
        <f t="shared" si="0"/>
        <v>EURAB3E14Y_Quote</v>
      </c>
      <c r="G19" s="114" t="s">
        <v>225</v>
      </c>
      <c r="H19" s="248" t="str">
        <f t="shared" si="1"/>
        <v>EUR3E6E14Y_Quote</v>
      </c>
      <c r="I19" s="247" t="str">
        <f t="shared" si="2"/>
        <v>EURAB6EBASIS14Y_Quote</v>
      </c>
      <c r="J19" s="247" t="str">
        <f>_xll.qlCompositeQuote(I19,F19,H19,G19,Permanent,Trigger,ObjectOverwrite)</f>
        <v>EURAB6EBASIS14Y_Quote#0001</v>
      </c>
      <c r="K19" s="256" t="str">
        <f>_xll.ohRangeRetrieveError(J19)</f>
        <v/>
      </c>
      <c r="L19" s="54"/>
    </row>
    <row r="20" spans="1:12" x14ac:dyDescent="0.2">
      <c r="A20" s="130"/>
      <c r="B20" s="222" t="s">
        <v>102</v>
      </c>
      <c r="C20" s="114" t="s">
        <v>202</v>
      </c>
      <c r="D20" s="114" t="s">
        <v>135</v>
      </c>
      <c r="E20" s="114" t="s">
        <v>142</v>
      </c>
      <c r="F20" s="247" t="str">
        <f t="shared" si="0"/>
        <v>EURAB3E15Y_Quote</v>
      </c>
      <c r="G20" s="114" t="s">
        <v>225</v>
      </c>
      <c r="H20" s="248" t="str">
        <f t="shared" si="1"/>
        <v>EUR3E6E15Y_Quote</v>
      </c>
      <c r="I20" s="247" t="str">
        <f t="shared" si="2"/>
        <v>EURAB6EBASIS15Y_Quote</v>
      </c>
      <c r="J20" s="247" t="str">
        <f>_xll.qlCompositeQuote(I20,F20,H20,G20,Permanent,Trigger,ObjectOverwrite)</f>
        <v>EURAB6EBASIS15Y_Quote#0001</v>
      </c>
      <c r="K20" s="256" t="str">
        <f>_xll.ohRangeRetrieveError(J20)</f>
        <v/>
      </c>
      <c r="L20" s="54"/>
    </row>
    <row r="21" spans="1:12" x14ac:dyDescent="0.2">
      <c r="A21" s="130"/>
      <c r="B21" s="222" t="s">
        <v>101</v>
      </c>
      <c r="C21" s="114" t="s">
        <v>202</v>
      </c>
      <c r="D21" s="114" t="s">
        <v>135</v>
      </c>
      <c r="E21" s="114" t="s">
        <v>142</v>
      </c>
      <c r="F21" s="247" t="str">
        <f t="shared" si="0"/>
        <v>EURAB3E16Y_Quote</v>
      </c>
      <c r="G21" s="114" t="s">
        <v>225</v>
      </c>
      <c r="H21" s="248" t="str">
        <f t="shared" si="1"/>
        <v>EUR3E6E16Y_Quote</v>
      </c>
      <c r="I21" s="247" t="str">
        <f t="shared" si="2"/>
        <v>EURAB6EBASIS16Y_Quote</v>
      </c>
      <c r="J21" s="247" t="str">
        <f>_xll.qlCompositeQuote(I21,F21,H21,G21,Permanent,Trigger,ObjectOverwrite)</f>
        <v>EURAB6EBASIS16Y_Quote#0001</v>
      </c>
      <c r="K21" s="256" t="str">
        <f>_xll.ohRangeRetrieveError(J21)</f>
        <v/>
      </c>
      <c r="L21" s="54"/>
    </row>
    <row r="22" spans="1:12" x14ac:dyDescent="0.2">
      <c r="A22" s="130"/>
      <c r="B22" s="222" t="s">
        <v>100</v>
      </c>
      <c r="C22" s="114" t="s">
        <v>202</v>
      </c>
      <c r="D22" s="114" t="s">
        <v>135</v>
      </c>
      <c r="E22" s="114" t="s">
        <v>142</v>
      </c>
      <c r="F22" s="247" t="str">
        <f t="shared" si="0"/>
        <v>EURAB3E17Y_Quote</v>
      </c>
      <c r="G22" s="114" t="s">
        <v>225</v>
      </c>
      <c r="H22" s="248" t="str">
        <f t="shared" si="1"/>
        <v>EUR3E6E17Y_Quote</v>
      </c>
      <c r="I22" s="247" t="str">
        <f t="shared" si="2"/>
        <v>EURAB6EBASIS17Y_Quote</v>
      </c>
      <c r="J22" s="247" t="str">
        <f>_xll.qlCompositeQuote(I22,F22,H22,G22,Permanent,Trigger,ObjectOverwrite)</f>
        <v>EURAB6EBASIS17Y_Quote#0001</v>
      </c>
      <c r="K22" s="256" t="str">
        <f>_xll.ohRangeRetrieveError(J22)</f>
        <v/>
      </c>
      <c r="L22" s="54"/>
    </row>
    <row r="23" spans="1:12" x14ac:dyDescent="0.2">
      <c r="A23" s="130"/>
      <c r="B23" s="222" t="s">
        <v>99</v>
      </c>
      <c r="C23" s="114" t="s">
        <v>202</v>
      </c>
      <c r="D23" s="114" t="s">
        <v>135</v>
      </c>
      <c r="E23" s="114" t="s">
        <v>142</v>
      </c>
      <c r="F23" s="247" t="str">
        <f t="shared" si="0"/>
        <v>EURAB3E18Y_Quote</v>
      </c>
      <c r="G23" s="114" t="s">
        <v>225</v>
      </c>
      <c r="H23" s="248" t="str">
        <f t="shared" si="1"/>
        <v>EUR3E6E18Y_Quote</v>
      </c>
      <c r="I23" s="247" t="str">
        <f t="shared" si="2"/>
        <v>EURAB6EBASIS18Y_Quote</v>
      </c>
      <c r="J23" s="247" t="str">
        <f>_xll.qlCompositeQuote(I23,F23,H23,G23,Permanent,Trigger,ObjectOverwrite)</f>
        <v>EURAB6EBASIS18Y_Quote#0001</v>
      </c>
      <c r="K23" s="256" t="str">
        <f>_xll.ohRangeRetrieveError(J23)</f>
        <v/>
      </c>
      <c r="L23" s="54"/>
    </row>
    <row r="24" spans="1:12" x14ac:dyDescent="0.2">
      <c r="A24" s="130"/>
      <c r="B24" s="222" t="s">
        <v>98</v>
      </c>
      <c r="C24" s="114" t="s">
        <v>202</v>
      </c>
      <c r="D24" s="114" t="s">
        <v>135</v>
      </c>
      <c r="E24" s="114" t="s">
        <v>142</v>
      </c>
      <c r="F24" s="247" t="str">
        <f t="shared" si="0"/>
        <v>EURAB3E19Y_Quote</v>
      </c>
      <c r="G24" s="114" t="s">
        <v>225</v>
      </c>
      <c r="H24" s="248" t="str">
        <f t="shared" si="1"/>
        <v>EUR3E6E19Y_Quote</v>
      </c>
      <c r="I24" s="247" t="str">
        <f t="shared" si="2"/>
        <v>EURAB6EBASIS19Y_Quote</v>
      </c>
      <c r="J24" s="247" t="str">
        <f>_xll.qlCompositeQuote(I24,F24,H24,G24,Permanent,Trigger,ObjectOverwrite)</f>
        <v>EURAB6EBASIS19Y_Quote#0001</v>
      </c>
      <c r="K24" s="256" t="str">
        <f>_xll.ohRangeRetrieveError(J24)</f>
        <v/>
      </c>
      <c r="L24" s="54"/>
    </row>
    <row r="25" spans="1:12" x14ac:dyDescent="0.2">
      <c r="A25" s="130"/>
      <c r="B25" s="222" t="s">
        <v>97</v>
      </c>
      <c r="C25" s="114" t="s">
        <v>202</v>
      </c>
      <c r="D25" s="114" t="s">
        <v>135</v>
      </c>
      <c r="E25" s="114" t="s">
        <v>142</v>
      </c>
      <c r="F25" s="247" t="str">
        <f t="shared" si="0"/>
        <v>EURAB3E20Y_Quote</v>
      </c>
      <c r="G25" s="114" t="s">
        <v>225</v>
      </c>
      <c r="H25" s="248" t="str">
        <f t="shared" si="1"/>
        <v>EUR3E6E20Y_Quote</v>
      </c>
      <c r="I25" s="247" t="str">
        <f t="shared" si="2"/>
        <v>EURAB6EBASIS20Y_Quote</v>
      </c>
      <c r="J25" s="247" t="str">
        <f>_xll.qlCompositeQuote(I25,F25,H25,G25,Permanent,Trigger,ObjectOverwrite)</f>
        <v>EURAB6EBASIS20Y_Quote#0001</v>
      </c>
      <c r="K25" s="256" t="str">
        <f>_xll.ohRangeRetrieveError(J25)</f>
        <v/>
      </c>
      <c r="L25" s="54"/>
    </row>
    <row r="26" spans="1:12" x14ac:dyDescent="0.2">
      <c r="A26" s="130"/>
      <c r="B26" s="222" t="s">
        <v>96</v>
      </c>
      <c r="C26" s="114" t="s">
        <v>202</v>
      </c>
      <c r="D26" s="114" t="s">
        <v>135</v>
      </c>
      <c r="E26" s="114" t="s">
        <v>142</v>
      </c>
      <c r="F26" s="247" t="str">
        <f t="shared" si="0"/>
        <v>EURAB3E21Y_Quote</v>
      </c>
      <c r="G26" s="114" t="s">
        <v>225</v>
      </c>
      <c r="H26" s="248" t="str">
        <f t="shared" si="1"/>
        <v>EUR3E6E21Y_Quote</v>
      </c>
      <c r="I26" s="247" t="str">
        <f t="shared" si="2"/>
        <v>EURAB6EBASIS21Y_Quote</v>
      </c>
      <c r="J26" s="247" t="str">
        <f>_xll.qlCompositeQuote(I26,F26,H26,G26,Permanent,Trigger,ObjectOverwrite)</f>
        <v>EURAB6EBASIS21Y_Quote#0001</v>
      </c>
      <c r="K26" s="256" t="str">
        <f>_xll.ohRangeRetrieveError(J26)</f>
        <v/>
      </c>
      <c r="L26" s="54"/>
    </row>
    <row r="27" spans="1:12" x14ac:dyDescent="0.2">
      <c r="A27" s="130"/>
      <c r="B27" s="222" t="s">
        <v>95</v>
      </c>
      <c r="C27" s="114" t="s">
        <v>202</v>
      </c>
      <c r="D27" s="114" t="s">
        <v>135</v>
      </c>
      <c r="E27" s="114" t="s">
        <v>142</v>
      </c>
      <c r="F27" s="247" t="str">
        <f t="shared" si="0"/>
        <v>EURAB3E22Y_Quote</v>
      </c>
      <c r="G27" s="114" t="s">
        <v>225</v>
      </c>
      <c r="H27" s="248" t="str">
        <f t="shared" si="1"/>
        <v>EUR3E6E22Y_Quote</v>
      </c>
      <c r="I27" s="247" t="str">
        <f t="shared" si="2"/>
        <v>EURAB6EBASIS22Y_Quote</v>
      </c>
      <c r="J27" s="247" t="str">
        <f>_xll.qlCompositeQuote(I27,F27,H27,G27,Permanent,Trigger,ObjectOverwrite)</f>
        <v>EURAB6EBASIS22Y_Quote#0001</v>
      </c>
      <c r="K27" s="256" t="str">
        <f>_xll.ohRangeRetrieveError(J27)</f>
        <v/>
      </c>
      <c r="L27" s="54"/>
    </row>
    <row r="28" spans="1:12" x14ac:dyDescent="0.2">
      <c r="A28" s="130"/>
      <c r="B28" s="222" t="s">
        <v>94</v>
      </c>
      <c r="C28" s="114" t="s">
        <v>202</v>
      </c>
      <c r="D28" s="114" t="s">
        <v>135</v>
      </c>
      <c r="E28" s="114" t="s">
        <v>142</v>
      </c>
      <c r="F28" s="247" t="str">
        <f t="shared" si="0"/>
        <v>EURAB3E23Y_Quote</v>
      </c>
      <c r="G28" s="114" t="s">
        <v>225</v>
      </c>
      <c r="H28" s="248" t="str">
        <f t="shared" si="1"/>
        <v>EUR3E6E23Y_Quote</v>
      </c>
      <c r="I28" s="247" t="str">
        <f t="shared" si="2"/>
        <v>EURAB6EBASIS23Y_Quote</v>
      </c>
      <c r="J28" s="247" t="str">
        <f>_xll.qlCompositeQuote(I28,F28,H28,G28,Permanent,Trigger,ObjectOverwrite)</f>
        <v>EURAB6EBASIS23Y_Quote#0001</v>
      </c>
      <c r="K28" s="256" t="str">
        <f>_xll.ohRangeRetrieveError(J28)</f>
        <v/>
      </c>
      <c r="L28" s="54"/>
    </row>
    <row r="29" spans="1:12" x14ac:dyDescent="0.2">
      <c r="A29" s="130"/>
      <c r="B29" s="222" t="s">
        <v>93</v>
      </c>
      <c r="C29" s="114" t="s">
        <v>202</v>
      </c>
      <c r="D29" s="114" t="s">
        <v>135</v>
      </c>
      <c r="E29" s="114" t="s">
        <v>142</v>
      </c>
      <c r="F29" s="247" t="str">
        <f t="shared" si="0"/>
        <v>EURAB3E24Y_Quote</v>
      </c>
      <c r="G29" s="114" t="s">
        <v>225</v>
      </c>
      <c r="H29" s="248" t="str">
        <f t="shared" si="1"/>
        <v>EUR3E6E24Y_Quote</v>
      </c>
      <c r="I29" s="247" t="str">
        <f t="shared" si="2"/>
        <v>EURAB6EBASIS24Y_Quote</v>
      </c>
      <c r="J29" s="247" t="str">
        <f>_xll.qlCompositeQuote(I29,F29,H29,G29,Permanent,Trigger,ObjectOverwrite)</f>
        <v>EURAB6EBASIS24Y_Quote#0001</v>
      </c>
      <c r="K29" s="256" t="str">
        <f>_xll.ohRangeRetrieveError(J29)</f>
        <v/>
      </c>
      <c r="L29" s="54"/>
    </row>
    <row r="30" spans="1:12" x14ac:dyDescent="0.2">
      <c r="A30" s="130"/>
      <c r="B30" s="222" t="s">
        <v>92</v>
      </c>
      <c r="C30" s="114" t="s">
        <v>202</v>
      </c>
      <c r="D30" s="114" t="s">
        <v>135</v>
      </c>
      <c r="E30" s="114" t="s">
        <v>142</v>
      </c>
      <c r="F30" s="247" t="str">
        <f t="shared" si="0"/>
        <v>EURAB3E25Y_Quote</v>
      </c>
      <c r="G30" s="114" t="s">
        <v>225</v>
      </c>
      <c r="H30" s="248" t="str">
        <f t="shared" si="1"/>
        <v>EUR3E6E25Y_Quote</v>
      </c>
      <c r="I30" s="247" t="str">
        <f t="shared" si="2"/>
        <v>EURAB6EBASIS25Y_Quote</v>
      </c>
      <c r="J30" s="247" t="str">
        <f>_xll.qlCompositeQuote(I30,F30,H30,G30,Permanent,Trigger,ObjectOverwrite)</f>
        <v>EURAB6EBASIS25Y_Quote#0001</v>
      </c>
      <c r="K30" s="256" t="str">
        <f>_xll.ohRangeRetrieveError(J30)</f>
        <v/>
      </c>
      <c r="L30" s="54"/>
    </row>
    <row r="31" spans="1:12" x14ac:dyDescent="0.2">
      <c r="A31" s="130"/>
      <c r="B31" s="222" t="s">
        <v>91</v>
      </c>
      <c r="C31" s="114" t="s">
        <v>202</v>
      </c>
      <c r="D31" s="114" t="s">
        <v>135</v>
      </c>
      <c r="E31" s="114" t="s">
        <v>142</v>
      </c>
      <c r="F31" s="247" t="str">
        <f t="shared" si="0"/>
        <v>EURAB3E26Y_Quote</v>
      </c>
      <c r="G31" s="114" t="s">
        <v>225</v>
      </c>
      <c r="H31" s="248" t="str">
        <f t="shared" si="1"/>
        <v>EUR3E6E26Y_Quote</v>
      </c>
      <c r="I31" s="247" t="str">
        <f t="shared" si="2"/>
        <v>EURAB6EBASIS26Y_Quote</v>
      </c>
      <c r="J31" s="247" t="str">
        <f>_xll.qlCompositeQuote(I31,F31,H31,G31,Permanent,Trigger,ObjectOverwrite)</f>
        <v>EURAB6EBASIS26Y_Quote#0001</v>
      </c>
      <c r="K31" s="256" t="str">
        <f>_xll.ohRangeRetrieveError(J31)</f>
        <v/>
      </c>
      <c r="L31" s="54"/>
    </row>
    <row r="32" spans="1:12" x14ac:dyDescent="0.2">
      <c r="A32" s="130"/>
      <c r="B32" s="222" t="s">
        <v>90</v>
      </c>
      <c r="C32" s="114" t="s">
        <v>202</v>
      </c>
      <c r="D32" s="114" t="s">
        <v>135</v>
      </c>
      <c r="E32" s="114" t="s">
        <v>142</v>
      </c>
      <c r="F32" s="247" t="str">
        <f t="shared" si="0"/>
        <v>EURAB3E27Y_Quote</v>
      </c>
      <c r="G32" s="114" t="s">
        <v>225</v>
      </c>
      <c r="H32" s="248" t="str">
        <f t="shared" si="1"/>
        <v>EUR3E6E27Y_Quote</v>
      </c>
      <c r="I32" s="247" t="str">
        <f t="shared" si="2"/>
        <v>EURAB6EBASIS27Y_Quote</v>
      </c>
      <c r="J32" s="247" t="str">
        <f>_xll.qlCompositeQuote(I32,F32,H32,G32,Permanent,Trigger,ObjectOverwrite)</f>
        <v>EURAB6EBASIS27Y_Quote#0001</v>
      </c>
      <c r="K32" s="256" t="str">
        <f>_xll.ohRangeRetrieveError(J32)</f>
        <v/>
      </c>
      <c r="L32" s="54"/>
    </row>
    <row r="33" spans="1:12" x14ac:dyDescent="0.2">
      <c r="A33" s="130"/>
      <c r="B33" s="222" t="s">
        <v>89</v>
      </c>
      <c r="C33" s="114" t="s">
        <v>202</v>
      </c>
      <c r="D33" s="114" t="s">
        <v>135</v>
      </c>
      <c r="E33" s="114" t="s">
        <v>142</v>
      </c>
      <c r="F33" s="247" t="str">
        <f t="shared" si="0"/>
        <v>EURAB3E28Y_Quote</v>
      </c>
      <c r="G33" s="114" t="s">
        <v>225</v>
      </c>
      <c r="H33" s="248" t="str">
        <f t="shared" si="1"/>
        <v>EUR3E6E28Y_Quote</v>
      </c>
      <c r="I33" s="247" t="str">
        <f t="shared" si="2"/>
        <v>EURAB6EBASIS28Y_Quote</v>
      </c>
      <c r="J33" s="247" t="str">
        <f>_xll.qlCompositeQuote(I33,F33,H33,G33,Permanent,Trigger,ObjectOverwrite)</f>
        <v>EURAB6EBASIS28Y_Quote#0001</v>
      </c>
      <c r="K33" s="256" t="str">
        <f>_xll.ohRangeRetrieveError(J33)</f>
        <v/>
      </c>
      <c r="L33" s="54"/>
    </row>
    <row r="34" spans="1:12" x14ac:dyDescent="0.2">
      <c r="A34" s="130"/>
      <c r="B34" s="222" t="s">
        <v>88</v>
      </c>
      <c r="C34" s="114" t="s">
        <v>202</v>
      </c>
      <c r="D34" s="114" t="s">
        <v>135</v>
      </c>
      <c r="E34" s="114" t="s">
        <v>142</v>
      </c>
      <c r="F34" s="247" t="str">
        <f t="shared" si="0"/>
        <v>EURAB3E29Y_Quote</v>
      </c>
      <c r="G34" s="114" t="s">
        <v>225</v>
      </c>
      <c r="H34" s="248" t="str">
        <f t="shared" si="1"/>
        <v>EUR3E6E29Y_Quote</v>
      </c>
      <c r="I34" s="247" t="str">
        <f t="shared" si="2"/>
        <v>EURAB6EBASIS29Y_Quote</v>
      </c>
      <c r="J34" s="247" t="str">
        <f>_xll.qlCompositeQuote(I34,F34,H34,G34,Permanent,Trigger,ObjectOverwrite)</f>
        <v>EURAB6EBASIS29Y_Quote#0001</v>
      </c>
      <c r="K34" s="256" t="str">
        <f>_xll.ohRangeRetrieveError(J34)</f>
        <v/>
      </c>
      <c r="L34" s="54"/>
    </row>
    <row r="35" spans="1:12" x14ac:dyDescent="0.2">
      <c r="A35" s="130"/>
      <c r="B35" s="222" t="s">
        <v>87</v>
      </c>
      <c r="C35" s="114" t="s">
        <v>202</v>
      </c>
      <c r="D35" s="114" t="s">
        <v>135</v>
      </c>
      <c r="E35" s="114" t="s">
        <v>142</v>
      </c>
      <c r="F35" s="247" t="str">
        <f t="shared" si="0"/>
        <v>EURAB3E30Y_Quote</v>
      </c>
      <c r="G35" s="114" t="s">
        <v>225</v>
      </c>
      <c r="H35" s="248" t="str">
        <f t="shared" si="1"/>
        <v>EUR3E6E30Y_Quote</v>
      </c>
      <c r="I35" s="247" t="str">
        <f t="shared" si="2"/>
        <v>EURAB6EBASIS30Y_Quote</v>
      </c>
      <c r="J35" s="247" t="str">
        <f>_xll.qlCompositeQuote(I35,F35,H35,G35,Permanent,Trigger,ObjectOverwrite)</f>
        <v>EURAB6EBASIS30Y_Quote#0001</v>
      </c>
      <c r="K35" s="256" t="str">
        <f>_xll.ohRangeRetrieveError(J35)</f>
        <v/>
      </c>
      <c r="L35" s="54"/>
    </row>
    <row r="36" spans="1:12" x14ac:dyDescent="0.2">
      <c r="A36" s="130"/>
      <c r="B36" s="222" t="s">
        <v>82</v>
      </c>
      <c r="C36" s="114" t="s">
        <v>202</v>
      </c>
      <c r="D36" s="114" t="s">
        <v>135</v>
      </c>
      <c r="E36" s="114" t="s">
        <v>142</v>
      </c>
      <c r="F36" s="247" t="str">
        <f t="shared" si="0"/>
        <v>EURAB3E35Y_Quote</v>
      </c>
      <c r="G36" s="114" t="s">
        <v>225</v>
      </c>
      <c r="H36" s="248" t="str">
        <f t="shared" si="1"/>
        <v>EUR3E6E35Y_Quote</v>
      </c>
      <c r="I36" s="247" t="str">
        <f t="shared" si="2"/>
        <v>EURAB6EBASIS35Y_Quote</v>
      </c>
      <c r="J36" s="247" t="str">
        <f>_xll.qlCompositeQuote(I36,F36,H36,G36,Permanent,Trigger,ObjectOverwrite)</f>
        <v>EURAB6EBASIS35Y_Quote#0001</v>
      </c>
      <c r="K36" s="256" t="str">
        <f>_xll.ohRangeRetrieveError(J36)</f>
        <v/>
      </c>
      <c r="L36" s="54"/>
    </row>
    <row r="37" spans="1:12" x14ac:dyDescent="0.2">
      <c r="A37" s="130"/>
      <c r="B37" s="222" t="s">
        <v>77</v>
      </c>
      <c r="C37" s="114" t="s">
        <v>202</v>
      </c>
      <c r="D37" s="114" t="s">
        <v>135</v>
      </c>
      <c r="E37" s="114" t="s">
        <v>142</v>
      </c>
      <c r="F37" s="247" t="str">
        <f t="shared" si="0"/>
        <v>EURAB3E40Y_Quote</v>
      </c>
      <c r="G37" s="114" t="s">
        <v>225</v>
      </c>
      <c r="H37" s="248" t="str">
        <f t="shared" si="1"/>
        <v>EUR3E6E40Y_Quote</v>
      </c>
      <c r="I37" s="247" t="str">
        <f t="shared" si="2"/>
        <v>EURAB6EBASIS40Y_Quote</v>
      </c>
      <c r="J37" s="247" t="str">
        <f>_xll.qlCompositeQuote(I37,F37,H37,G37,Permanent,Trigger,ObjectOverwrite)</f>
        <v>EURAB6EBASIS40Y_Quote#0001</v>
      </c>
      <c r="K37" s="256" t="str">
        <f>_xll.ohRangeRetrieveError(J37)</f>
        <v/>
      </c>
      <c r="L37" s="54"/>
    </row>
    <row r="38" spans="1:12" x14ac:dyDescent="0.2">
      <c r="A38" s="130"/>
      <c r="B38" s="222" t="s">
        <v>67</v>
      </c>
      <c r="C38" s="114" t="s">
        <v>202</v>
      </c>
      <c r="D38" s="114" t="s">
        <v>135</v>
      </c>
      <c r="E38" s="114" t="s">
        <v>142</v>
      </c>
      <c r="F38" s="247" t="str">
        <f t="shared" si="0"/>
        <v>EURAB3E50Y_Quote</v>
      </c>
      <c r="G38" s="114" t="s">
        <v>225</v>
      </c>
      <c r="H38" s="248" t="str">
        <f t="shared" si="1"/>
        <v>EUR3E6E50Y_Quote</v>
      </c>
      <c r="I38" s="247" t="str">
        <f t="shared" si="2"/>
        <v>EURAB6EBASIS50Y_Quote</v>
      </c>
      <c r="J38" s="247" t="str">
        <f>_xll.qlCompositeQuote(I38,F38,H38,G38,Permanent,Trigger,ObjectOverwrite)</f>
        <v>EURAB6EBASIS50Y_Quote#0001</v>
      </c>
      <c r="K38" s="256" t="str">
        <f>_xll.ohRangeRetrieveError(J38)</f>
        <v/>
      </c>
      <c r="L38" s="54"/>
    </row>
    <row r="39" spans="1:12" x14ac:dyDescent="0.2">
      <c r="A39" s="130"/>
      <c r="B39" s="222" t="s">
        <v>57</v>
      </c>
      <c r="C39" s="114" t="s">
        <v>202</v>
      </c>
      <c r="D39" s="114" t="s">
        <v>135</v>
      </c>
      <c r="E39" s="114" t="s">
        <v>142</v>
      </c>
      <c r="F39" s="247" t="str">
        <f t="shared" si="0"/>
        <v>EURAB3E60Y_Quote</v>
      </c>
      <c r="G39" s="114" t="s">
        <v>225</v>
      </c>
      <c r="H39" s="248" t="str">
        <f t="shared" si="1"/>
        <v>EUR3E6E60Y_Quote</v>
      </c>
      <c r="I39" s="247" t="str">
        <f t="shared" si="2"/>
        <v>EURAB6EBASIS60Y_Quote</v>
      </c>
      <c r="J39" s="247" t="str">
        <f>_xll.qlCompositeQuote(I39,F39,H39,G39,Permanent,Trigger,ObjectOverwrite)</f>
        <v>EURAB6EBASIS60Y_Quote#0001</v>
      </c>
      <c r="K39" s="256" t="str">
        <f>_xll.ohRangeRetrieveError(J39)</f>
        <v/>
      </c>
      <c r="L39" s="54"/>
    </row>
    <row r="40" spans="1:12" ht="12" thickBot="1" x14ac:dyDescent="0.25">
      <c r="A40" s="53"/>
      <c r="B40" s="52"/>
      <c r="C40" s="52"/>
      <c r="D40" s="52"/>
      <c r="E40" s="52"/>
      <c r="F40" s="52"/>
      <c r="G40" s="52"/>
      <c r="H40" s="52"/>
      <c r="I40" s="52"/>
      <c r="J40" s="124"/>
      <c r="K40" s="124"/>
      <c r="L40" s="51"/>
    </row>
  </sheetData>
  <pageMargins left="0.75" right="0.75" top="1" bottom="1" header="0.5" footer="0.5"/>
  <pageSetup paperSize="9" orientation="portrait" r:id="rId1"/>
  <headerFooter alignWithMargins="0"/>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L40"/>
  <sheetViews>
    <sheetView workbookViewId="0"/>
  </sheetViews>
  <sheetFormatPr defaultRowHeight="11.25" x14ac:dyDescent="0.2"/>
  <cols>
    <col min="1" max="1" width="3.7109375" style="74" customWidth="1"/>
    <col min="2" max="2" width="6.5703125" style="21" bestFit="1" customWidth="1"/>
    <col min="3" max="3" width="3.140625" style="74" bestFit="1" customWidth="1"/>
    <col min="4" max="4" width="3.5703125" style="74" bestFit="1" customWidth="1"/>
    <col min="5" max="5" width="2.7109375" style="74" bestFit="1" customWidth="1"/>
    <col min="6" max="6" width="15.7109375" style="74" bestFit="1" customWidth="1"/>
    <col min="7" max="7" width="8" style="74" bestFit="1" customWidth="1"/>
    <col min="8" max="8" width="16.140625" style="74" bestFit="1" customWidth="1"/>
    <col min="9" max="9" width="23.42578125" style="74" bestFit="1" customWidth="1"/>
    <col min="10" max="10" width="25.7109375" style="75" bestFit="1" customWidth="1"/>
    <col min="11" max="11" width="37.85546875" style="74" customWidth="1"/>
    <col min="12" max="12" width="4.42578125" style="74" customWidth="1"/>
    <col min="13" max="13" width="5.85546875" style="74" customWidth="1"/>
    <col min="14" max="16384" width="9.140625" style="74"/>
  </cols>
  <sheetData>
    <row r="1" spans="1:12" x14ac:dyDescent="0.2">
      <c r="A1" s="224" t="s">
        <v>226</v>
      </c>
      <c r="B1" s="207"/>
      <c r="C1" s="207"/>
      <c r="D1" s="207"/>
      <c r="E1" s="207"/>
      <c r="F1" s="207"/>
      <c r="G1" s="207"/>
      <c r="H1" s="207"/>
      <c r="I1" s="162"/>
      <c r="J1" s="223"/>
      <c r="K1" s="162"/>
      <c r="L1" s="204"/>
    </row>
    <row r="2" spans="1:12" x14ac:dyDescent="0.2">
      <c r="A2" s="130"/>
      <c r="B2" s="254" t="s">
        <v>141</v>
      </c>
      <c r="C2" s="255"/>
      <c r="D2" s="254"/>
      <c r="E2" s="254"/>
      <c r="F2" s="254" t="s">
        <v>224</v>
      </c>
      <c r="G2" s="254" t="s">
        <v>223</v>
      </c>
      <c r="H2" s="254" t="s">
        <v>214</v>
      </c>
      <c r="I2" s="253" t="str">
        <f>Currency&amp;"_020_Sw"&amp;$C$3&amp;$D$3&amp;"_Basis.xml"</f>
        <v>EUR_020_SwAB12E_Basis.xml</v>
      </c>
      <c r="J2" s="252">
        <f ca="1">IF(Serialize,_xll.ohObjectSave(J3:J39,SerializationPath&amp;I2,FileOverwrite,Serialize),"---")</f>
        <v>37</v>
      </c>
      <c r="K2" s="250" t="str">
        <f ca="1">_xll.ohRangeRetrieveError(J2)</f>
        <v/>
      </c>
      <c r="L2" s="54"/>
    </row>
    <row r="3" spans="1:12" x14ac:dyDescent="0.2">
      <c r="A3" s="130"/>
      <c r="B3" s="222" t="s">
        <v>34</v>
      </c>
      <c r="C3" s="114" t="s">
        <v>202</v>
      </c>
      <c r="D3" s="114" t="s">
        <v>144</v>
      </c>
      <c r="E3" s="114" t="s">
        <v>135</v>
      </c>
      <c r="F3" s="247" t="str">
        <f t="shared" ref="F3:F39" si="0">Currency&amp;$C3&amp;E3&amp;$B3&amp;QuoteSuffix</f>
        <v>EURAB6E1Y_Quote</v>
      </c>
      <c r="G3" s="114" t="s">
        <v>225</v>
      </c>
      <c r="H3" s="248" t="str">
        <f t="shared" ref="H3:H39" si="1">Currency&amp;IF($G3="-",$D3&amp;E3,E3&amp;$D3)&amp;$B3&amp;QuoteSuffix</f>
        <v>EUR6E12E1Y_Quote</v>
      </c>
      <c r="I3" s="247" t="str">
        <f t="shared" ref="I3:I39" si="2">Currency&amp;$C3&amp;$D3&amp;"BASIS"&amp;$B3&amp;QuoteSuffix</f>
        <v>EURAB12EBASIS1Y_Quote</v>
      </c>
      <c r="J3" s="247" t="str">
        <f>_xll.qlCompositeQuote(I3,F3,H3,G3,Permanent,Trigger,ObjectOverwrite)</f>
        <v>EURAB12EBASIS1Y_Quote#0001</v>
      </c>
      <c r="K3" s="256" t="str">
        <f>_xll.ohRangeRetrieveError(J3)</f>
        <v/>
      </c>
      <c r="L3" s="54"/>
    </row>
    <row r="4" spans="1:12" x14ac:dyDescent="0.2">
      <c r="A4" s="130"/>
      <c r="B4" s="222" t="s">
        <v>140</v>
      </c>
      <c r="C4" s="114" t="s">
        <v>202</v>
      </c>
      <c r="D4" s="114" t="s">
        <v>144</v>
      </c>
      <c r="E4" s="114" t="s">
        <v>135</v>
      </c>
      <c r="F4" s="247" t="str">
        <f t="shared" si="0"/>
        <v>EURAB6E15M_Quote</v>
      </c>
      <c r="G4" s="114" t="s">
        <v>225</v>
      </c>
      <c r="H4" s="248" t="str">
        <f t="shared" si="1"/>
        <v>EUR6E12E15M_Quote</v>
      </c>
      <c r="I4" s="247" t="str">
        <f t="shared" si="2"/>
        <v>EURAB12EBASIS15M_Quote</v>
      </c>
      <c r="J4" s="247" t="str">
        <f>_xll.qlCompositeQuote(I4,F4,H4,G4,Permanent,Trigger,ObjectOverwrite)</f>
        <v>EURAB12EBASIS15M_Quote#0001</v>
      </c>
      <c r="K4" s="256" t="str">
        <f>_xll.ohRangeRetrieveError(J4)</f>
        <v/>
      </c>
      <c r="L4" s="54"/>
    </row>
    <row r="5" spans="1:12" x14ac:dyDescent="0.2">
      <c r="A5" s="130"/>
      <c r="B5" s="222" t="s">
        <v>139</v>
      </c>
      <c r="C5" s="114" t="s">
        <v>202</v>
      </c>
      <c r="D5" s="114" t="s">
        <v>144</v>
      </c>
      <c r="E5" s="114" t="s">
        <v>135</v>
      </c>
      <c r="F5" s="247" t="str">
        <f t="shared" si="0"/>
        <v>EURAB6E18M_Quote</v>
      </c>
      <c r="G5" s="114" t="s">
        <v>225</v>
      </c>
      <c r="H5" s="248" t="str">
        <f t="shared" si="1"/>
        <v>EUR6E12E18M_Quote</v>
      </c>
      <c r="I5" s="247" t="str">
        <f t="shared" si="2"/>
        <v>EURAB12EBASIS18M_Quote</v>
      </c>
      <c r="J5" s="247" t="str">
        <f>_xll.qlCompositeQuote(I5,F5,H5,G5,Permanent,Trigger,ObjectOverwrite)</f>
        <v>EURAB12EBASIS18M_Quote#0001</v>
      </c>
      <c r="K5" s="256" t="str">
        <f>_xll.ohRangeRetrieveError(J5)</f>
        <v/>
      </c>
      <c r="L5" s="54"/>
    </row>
    <row r="6" spans="1:12" x14ac:dyDescent="0.2">
      <c r="A6" s="130"/>
      <c r="B6" s="222" t="s">
        <v>138</v>
      </c>
      <c r="C6" s="114" t="s">
        <v>202</v>
      </c>
      <c r="D6" s="114" t="s">
        <v>144</v>
      </c>
      <c r="E6" s="114" t="s">
        <v>135</v>
      </c>
      <c r="F6" s="247" t="str">
        <f t="shared" si="0"/>
        <v>EURAB6E21M_Quote</v>
      </c>
      <c r="G6" s="114" t="s">
        <v>225</v>
      </c>
      <c r="H6" s="248" t="str">
        <f t="shared" si="1"/>
        <v>EUR6E12E21M_Quote</v>
      </c>
      <c r="I6" s="247" t="str">
        <f t="shared" si="2"/>
        <v>EURAB12EBASIS21M_Quote</v>
      </c>
      <c r="J6" s="247" t="str">
        <f>_xll.qlCompositeQuote(I6,F6,H6,G6,Permanent,Trigger,ObjectOverwrite)</f>
        <v>EURAB12EBASIS21M_Quote#0001</v>
      </c>
      <c r="K6" s="256" t="str">
        <f>_xll.ohRangeRetrieveError(J6)</f>
        <v/>
      </c>
      <c r="L6" s="54"/>
    </row>
    <row r="7" spans="1:12" x14ac:dyDescent="0.2">
      <c r="A7" s="130"/>
      <c r="B7" s="222" t="s">
        <v>115</v>
      </c>
      <c r="C7" s="114" t="s">
        <v>202</v>
      </c>
      <c r="D7" s="114" t="s">
        <v>144</v>
      </c>
      <c r="E7" s="114" t="s">
        <v>135</v>
      </c>
      <c r="F7" s="247" t="str">
        <f t="shared" si="0"/>
        <v>EURAB6E2Y_Quote</v>
      </c>
      <c r="G7" s="114" t="s">
        <v>225</v>
      </c>
      <c r="H7" s="248" t="str">
        <f t="shared" si="1"/>
        <v>EUR6E12E2Y_Quote</v>
      </c>
      <c r="I7" s="247" t="str">
        <f t="shared" si="2"/>
        <v>EURAB12EBASIS2Y_Quote</v>
      </c>
      <c r="J7" s="247" t="str">
        <f>_xll.qlCompositeQuote(I7,F7,H7,G7,Permanent,Trigger,ObjectOverwrite)</f>
        <v>EURAB12EBASIS2Y_Quote#0001</v>
      </c>
      <c r="K7" s="256" t="str">
        <f>_xll.ohRangeRetrieveError(J7)</f>
        <v/>
      </c>
      <c r="L7" s="54"/>
    </row>
    <row r="8" spans="1:12" x14ac:dyDescent="0.2">
      <c r="A8" s="130"/>
      <c r="B8" s="222" t="s">
        <v>114</v>
      </c>
      <c r="C8" s="114" t="s">
        <v>202</v>
      </c>
      <c r="D8" s="114" t="s">
        <v>144</v>
      </c>
      <c r="E8" s="114" t="s">
        <v>135</v>
      </c>
      <c r="F8" s="247" t="str">
        <f t="shared" si="0"/>
        <v>EURAB6E3Y_Quote</v>
      </c>
      <c r="G8" s="114" t="s">
        <v>225</v>
      </c>
      <c r="H8" s="248" t="str">
        <f t="shared" si="1"/>
        <v>EUR6E12E3Y_Quote</v>
      </c>
      <c r="I8" s="247" t="str">
        <f t="shared" si="2"/>
        <v>EURAB12EBASIS3Y_Quote</v>
      </c>
      <c r="J8" s="247" t="str">
        <f>_xll.qlCompositeQuote(I8,F8,H8,G8,Permanent,Trigger,ObjectOverwrite)</f>
        <v>EURAB12EBASIS3Y_Quote#0001</v>
      </c>
      <c r="K8" s="256" t="str">
        <f>_xll.ohRangeRetrieveError(J8)</f>
        <v/>
      </c>
      <c r="L8" s="54"/>
    </row>
    <row r="9" spans="1:12" x14ac:dyDescent="0.2">
      <c r="A9" s="130"/>
      <c r="B9" s="222" t="s">
        <v>113</v>
      </c>
      <c r="C9" s="114" t="s">
        <v>202</v>
      </c>
      <c r="D9" s="114" t="s">
        <v>144</v>
      </c>
      <c r="E9" s="114" t="s">
        <v>135</v>
      </c>
      <c r="F9" s="247" t="str">
        <f t="shared" si="0"/>
        <v>EURAB6E4Y_Quote</v>
      </c>
      <c r="G9" s="114" t="s">
        <v>225</v>
      </c>
      <c r="H9" s="248" t="str">
        <f t="shared" si="1"/>
        <v>EUR6E12E4Y_Quote</v>
      </c>
      <c r="I9" s="247" t="str">
        <f t="shared" si="2"/>
        <v>EURAB12EBASIS4Y_Quote</v>
      </c>
      <c r="J9" s="247" t="str">
        <f>_xll.qlCompositeQuote(I9,F9,H9,G9,Permanent,Trigger,ObjectOverwrite)</f>
        <v>EURAB12EBASIS4Y_Quote#0001</v>
      </c>
      <c r="K9" s="256" t="str">
        <f>_xll.ohRangeRetrieveError(J9)</f>
        <v/>
      </c>
      <c r="L9" s="54"/>
    </row>
    <row r="10" spans="1:12" x14ac:dyDescent="0.2">
      <c r="A10" s="130"/>
      <c r="B10" s="222" t="s">
        <v>112</v>
      </c>
      <c r="C10" s="114" t="s">
        <v>202</v>
      </c>
      <c r="D10" s="114" t="s">
        <v>144</v>
      </c>
      <c r="E10" s="114" t="s">
        <v>135</v>
      </c>
      <c r="F10" s="247" t="str">
        <f t="shared" si="0"/>
        <v>EURAB6E5Y_Quote</v>
      </c>
      <c r="G10" s="114" t="s">
        <v>225</v>
      </c>
      <c r="H10" s="248" t="str">
        <f t="shared" si="1"/>
        <v>EUR6E12E5Y_Quote</v>
      </c>
      <c r="I10" s="247" t="str">
        <f t="shared" si="2"/>
        <v>EURAB12EBASIS5Y_Quote</v>
      </c>
      <c r="J10" s="247" t="str">
        <f>_xll.qlCompositeQuote(I10,F10,H10,G10,Permanent,Trigger,ObjectOverwrite)</f>
        <v>EURAB12EBASIS5Y_Quote#0001</v>
      </c>
      <c r="K10" s="256" t="str">
        <f>_xll.ohRangeRetrieveError(J10)</f>
        <v/>
      </c>
      <c r="L10" s="54"/>
    </row>
    <row r="11" spans="1:12" x14ac:dyDescent="0.2">
      <c r="A11" s="130"/>
      <c r="B11" s="222" t="s">
        <v>111</v>
      </c>
      <c r="C11" s="114" t="s">
        <v>202</v>
      </c>
      <c r="D11" s="114" t="s">
        <v>144</v>
      </c>
      <c r="E11" s="114" t="s">
        <v>135</v>
      </c>
      <c r="F11" s="247" t="str">
        <f t="shared" si="0"/>
        <v>EURAB6E6Y_Quote</v>
      </c>
      <c r="G11" s="114" t="s">
        <v>225</v>
      </c>
      <c r="H11" s="248" t="str">
        <f t="shared" si="1"/>
        <v>EUR6E12E6Y_Quote</v>
      </c>
      <c r="I11" s="247" t="str">
        <f t="shared" si="2"/>
        <v>EURAB12EBASIS6Y_Quote</v>
      </c>
      <c r="J11" s="247" t="str">
        <f>_xll.qlCompositeQuote(I11,F11,H11,G11,Permanent,Trigger,ObjectOverwrite)</f>
        <v>EURAB12EBASIS6Y_Quote#0001</v>
      </c>
      <c r="K11" s="256" t="str">
        <f>_xll.ohRangeRetrieveError(J11)</f>
        <v/>
      </c>
      <c r="L11" s="54"/>
    </row>
    <row r="12" spans="1:12" x14ac:dyDescent="0.2">
      <c r="A12" s="130"/>
      <c r="B12" s="222" t="s">
        <v>110</v>
      </c>
      <c r="C12" s="114" t="s">
        <v>202</v>
      </c>
      <c r="D12" s="114" t="s">
        <v>144</v>
      </c>
      <c r="E12" s="114" t="s">
        <v>135</v>
      </c>
      <c r="F12" s="247" t="str">
        <f t="shared" si="0"/>
        <v>EURAB6E7Y_Quote</v>
      </c>
      <c r="G12" s="114" t="s">
        <v>225</v>
      </c>
      <c r="H12" s="248" t="str">
        <f t="shared" si="1"/>
        <v>EUR6E12E7Y_Quote</v>
      </c>
      <c r="I12" s="247" t="str">
        <f t="shared" si="2"/>
        <v>EURAB12EBASIS7Y_Quote</v>
      </c>
      <c r="J12" s="247" t="str">
        <f>_xll.qlCompositeQuote(I12,F12,H12,G12,Permanent,Trigger,ObjectOverwrite)</f>
        <v>EURAB12EBASIS7Y_Quote#0001</v>
      </c>
      <c r="K12" s="256" t="str">
        <f>_xll.ohRangeRetrieveError(J12)</f>
        <v/>
      </c>
      <c r="L12" s="54"/>
    </row>
    <row r="13" spans="1:12" x14ac:dyDescent="0.2">
      <c r="A13" s="130"/>
      <c r="B13" s="222" t="s">
        <v>109</v>
      </c>
      <c r="C13" s="114" t="s">
        <v>202</v>
      </c>
      <c r="D13" s="114" t="s">
        <v>144</v>
      </c>
      <c r="E13" s="114" t="s">
        <v>135</v>
      </c>
      <c r="F13" s="247" t="str">
        <f t="shared" si="0"/>
        <v>EURAB6E8Y_Quote</v>
      </c>
      <c r="G13" s="114" t="s">
        <v>225</v>
      </c>
      <c r="H13" s="248" t="str">
        <f t="shared" si="1"/>
        <v>EUR6E12E8Y_Quote</v>
      </c>
      <c r="I13" s="247" t="str">
        <f t="shared" si="2"/>
        <v>EURAB12EBASIS8Y_Quote</v>
      </c>
      <c r="J13" s="247" t="str">
        <f>_xll.qlCompositeQuote(I13,F13,H13,G13,Permanent,Trigger,ObjectOverwrite)</f>
        <v>EURAB12EBASIS8Y_Quote#0001</v>
      </c>
      <c r="K13" s="256" t="str">
        <f>_xll.ohRangeRetrieveError(J13)</f>
        <v/>
      </c>
      <c r="L13" s="54"/>
    </row>
    <row r="14" spans="1:12" x14ac:dyDescent="0.2">
      <c r="A14" s="130"/>
      <c r="B14" s="222" t="s">
        <v>108</v>
      </c>
      <c r="C14" s="114" t="s">
        <v>202</v>
      </c>
      <c r="D14" s="114" t="s">
        <v>144</v>
      </c>
      <c r="E14" s="114" t="s">
        <v>135</v>
      </c>
      <c r="F14" s="247" t="str">
        <f t="shared" si="0"/>
        <v>EURAB6E9Y_Quote</v>
      </c>
      <c r="G14" s="114" t="s">
        <v>225</v>
      </c>
      <c r="H14" s="248" t="str">
        <f t="shared" si="1"/>
        <v>EUR6E12E9Y_Quote</v>
      </c>
      <c r="I14" s="247" t="str">
        <f t="shared" si="2"/>
        <v>EURAB12EBASIS9Y_Quote</v>
      </c>
      <c r="J14" s="247" t="str">
        <f>_xll.qlCompositeQuote(I14,F14,H14,G14,Permanent,Trigger,ObjectOverwrite)</f>
        <v>EURAB12EBASIS9Y_Quote#0001</v>
      </c>
      <c r="K14" s="256" t="str">
        <f>_xll.ohRangeRetrieveError(J14)</f>
        <v/>
      </c>
      <c r="L14" s="54"/>
    </row>
    <row r="15" spans="1:12" x14ac:dyDescent="0.2">
      <c r="A15" s="130"/>
      <c r="B15" s="222" t="s">
        <v>107</v>
      </c>
      <c r="C15" s="114" t="s">
        <v>202</v>
      </c>
      <c r="D15" s="114" t="s">
        <v>144</v>
      </c>
      <c r="E15" s="114" t="s">
        <v>135</v>
      </c>
      <c r="F15" s="247" t="str">
        <f t="shared" si="0"/>
        <v>EURAB6E10Y_Quote</v>
      </c>
      <c r="G15" s="114" t="s">
        <v>225</v>
      </c>
      <c r="H15" s="248" t="str">
        <f t="shared" si="1"/>
        <v>EUR6E12E10Y_Quote</v>
      </c>
      <c r="I15" s="247" t="str">
        <f t="shared" si="2"/>
        <v>EURAB12EBASIS10Y_Quote</v>
      </c>
      <c r="J15" s="247" t="str">
        <f>_xll.qlCompositeQuote(I15,F15,H15,G15,Permanent,Trigger,ObjectOverwrite)</f>
        <v>EURAB12EBASIS10Y_Quote#0001</v>
      </c>
      <c r="K15" s="256" t="str">
        <f>_xll.ohRangeRetrieveError(J15)</f>
        <v/>
      </c>
      <c r="L15" s="54"/>
    </row>
    <row r="16" spans="1:12" x14ac:dyDescent="0.2">
      <c r="A16" s="130"/>
      <c r="B16" s="222" t="s">
        <v>106</v>
      </c>
      <c r="C16" s="114" t="s">
        <v>202</v>
      </c>
      <c r="D16" s="114" t="s">
        <v>144</v>
      </c>
      <c r="E16" s="114" t="s">
        <v>135</v>
      </c>
      <c r="F16" s="247" t="str">
        <f t="shared" si="0"/>
        <v>EURAB6E11Y_Quote</v>
      </c>
      <c r="G16" s="114" t="s">
        <v>225</v>
      </c>
      <c r="H16" s="248" t="str">
        <f t="shared" si="1"/>
        <v>EUR6E12E11Y_Quote</v>
      </c>
      <c r="I16" s="247" t="str">
        <f t="shared" si="2"/>
        <v>EURAB12EBASIS11Y_Quote</v>
      </c>
      <c r="J16" s="247" t="str">
        <f>_xll.qlCompositeQuote(I16,F16,H16,G16,Permanent,Trigger,ObjectOverwrite)</f>
        <v>EURAB12EBASIS11Y_Quote#0001</v>
      </c>
      <c r="K16" s="256" t="str">
        <f>_xll.ohRangeRetrieveError(J16)</f>
        <v/>
      </c>
      <c r="L16" s="54"/>
    </row>
    <row r="17" spans="1:12" x14ac:dyDescent="0.2">
      <c r="A17" s="130"/>
      <c r="B17" s="222" t="s">
        <v>105</v>
      </c>
      <c r="C17" s="114" t="s">
        <v>202</v>
      </c>
      <c r="D17" s="114" t="s">
        <v>144</v>
      </c>
      <c r="E17" s="114" t="s">
        <v>135</v>
      </c>
      <c r="F17" s="247" t="str">
        <f t="shared" si="0"/>
        <v>EURAB6E12Y_Quote</v>
      </c>
      <c r="G17" s="114" t="s">
        <v>225</v>
      </c>
      <c r="H17" s="248" t="str">
        <f t="shared" si="1"/>
        <v>EUR6E12E12Y_Quote</v>
      </c>
      <c r="I17" s="247" t="str">
        <f t="shared" si="2"/>
        <v>EURAB12EBASIS12Y_Quote</v>
      </c>
      <c r="J17" s="247" t="str">
        <f>_xll.qlCompositeQuote(I17,F17,H17,G17,Permanent,Trigger,ObjectOverwrite)</f>
        <v>EURAB12EBASIS12Y_Quote#0001</v>
      </c>
      <c r="K17" s="256" t="str">
        <f>_xll.ohRangeRetrieveError(J17)</f>
        <v/>
      </c>
      <c r="L17" s="54"/>
    </row>
    <row r="18" spans="1:12" x14ac:dyDescent="0.2">
      <c r="A18" s="130"/>
      <c r="B18" s="222" t="s">
        <v>104</v>
      </c>
      <c r="C18" s="114" t="s">
        <v>202</v>
      </c>
      <c r="D18" s="114" t="s">
        <v>144</v>
      </c>
      <c r="E18" s="114" t="s">
        <v>135</v>
      </c>
      <c r="F18" s="247" t="str">
        <f t="shared" si="0"/>
        <v>EURAB6E13Y_Quote</v>
      </c>
      <c r="G18" s="114" t="s">
        <v>225</v>
      </c>
      <c r="H18" s="248" t="str">
        <f t="shared" si="1"/>
        <v>EUR6E12E13Y_Quote</v>
      </c>
      <c r="I18" s="247" t="str">
        <f t="shared" si="2"/>
        <v>EURAB12EBASIS13Y_Quote</v>
      </c>
      <c r="J18" s="247" t="str">
        <f>_xll.qlCompositeQuote(I18,F18,H18,G18,Permanent,Trigger,ObjectOverwrite)</f>
        <v>EURAB12EBASIS13Y_Quote#0001</v>
      </c>
      <c r="K18" s="256" t="str">
        <f>_xll.ohRangeRetrieveError(J18)</f>
        <v/>
      </c>
      <c r="L18" s="54"/>
    </row>
    <row r="19" spans="1:12" x14ac:dyDescent="0.2">
      <c r="A19" s="130"/>
      <c r="B19" s="222" t="s">
        <v>103</v>
      </c>
      <c r="C19" s="114" t="s">
        <v>202</v>
      </c>
      <c r="D19" s="114" t="s">
        <v>144</v>
      </c>
      <c r="E19" s="114" t="s">
        <v>135</v>
      </c>
      <c r="F19" s="247" t="str">
        <f t="shared" si="0"/>
        <v>EURAB6E14Y_Quote</v>
      </c>
      <c r="G19" s="114" t="s">
        <v>225</v>
      </c>
      <c r="H19" s="248" t="str">
        <f t="shared" si="1"/>
        <v>EUR6E12E14Y_Quote</v>
      </c>
      <c r="I19" s="247" t="str">
        <f t="shared" si="2"/>
        <v>EURAB12EBASIS14Y_Quote</v>
      </c>
      <c r="J19" s="247" t="str">
        <f>_xll.qlCompositeQuote(I19,F19,H19,G19,Permanent,Trigger,ObjectOverwrite)</f>
        <v>EURAB12EBASIS14Y_Quote#0001</v>
      </c>
      <c r="K19" s="256" t="str">
        <f>_xll.ohRangeRetrieveError(J19)</f>
        <v/>
      </c>
      <c r="L19" s="54"/>
    </row>
    <row r="20" spans="1:12" x14ac:dyDescent="0.2">
      <c r="A20" s="130"/>
      <c r="B20" s="222" t="s">
        <v>102</v>
      </c>
      <c r="C20" s="114" t="s">
        <v>202</v>
      </c>
      <c r="D20" s="114" t="s">
        <v>144</v>
      </c>
      <c r="E20" s="114" t="s">
        <v>135</v>
      </c>
      <c r="F20" s="247" t="str">
        <f t="shared" si="0"/>
        <v>EURAB6E15Y_Quote</v>
      </c>
      <c r="G20" s="114" t="s">
        <v>225</v>
      </c>
      <c r="H20" s="248" t="str">
        <f t="shared" si="1"/>
        <v>EUR6E12E15Y_Quote</v>
      </c>
      <c r="I20" s="247" t="str">
        <f t="shared" si="2"/>
        <v>EURAB12EBASIS15Y_Quote</v>
      </c>
      <c r="J20" s="247" t="str">
        <f>_xll.qlCompositeQuote(I20,F20,H20,G20,Permanent,Trigger,ObjectOverwrite)</f>
        <v>EURAB12EBASIS15Y_Quote#0001</v>
      </c>
      <c r="K20" s="256" t="str">
        <f>_xll.ohRangeRetrieveError(J20)</f>
        <v/>
      </c>
      <c r="L20" s="54"/>
    </row>
    <row r="21" spans="1:12" x14ac:dyDescent="0.2">
      <c r="A21" s="130"/>
      <c r="B21" s="222" t="s">
        <v>101</v>
      </c>
      <c r="C21" s="114" t="s">
        <v>202</v>
      </c>
      <c r="D21" s="114" t="s">
        <v>144</v>
      </c>
      <c r="E21" s="114" t="s">
        <v>135</v>
      </c>
      <c r="F21" s="247" t="str">
        <f t="shared" si="0"/>
        <v>EURAB6E16Y_Quote</v>
      </c>
      <c r="G21" s="114" t="s">
        <v>225</v>
      </c>
      <c r="H21" s="248" t="str">
        <f t="shared" si="1"/>
        <v>EUR6E12E16Y_Quote</v>
      </c>
      <c r="I21" s="247" t="str">
        <f t="shared" si="2"/>
        <v>EURAB12EBASIS16Y_Quote</v>
      </c>
      <c r="J21" s="247" t="str">
        <f>_xll.qlCompositeQuote(I21,F21,H21,G21,Permanent,Trigger,ObjectOverwrite)</f>
        <v>EURAB12EBASIS16Y_Quote#0001</v>
      </c>
      <c r="K21" s="256" t="str">
        <f>_xll.ohRangeRetrieveError(J21)</f>
        <v/>
      </c>
      <c r="L21" s="54"/>
    </row>
    <row r="22" spans="1:12" x14ac:dyDescent="0.2">
      <c r="A22" s="130"/>
      <c r="B22" s="222" t="s">
        <v>100</v>
      </c>
      <c r="C22" s="114" t="s">
        <v>202</v>
      </c>
      <c r="D22" s="114" t="s">
        <v>144</v>
      </c>
      <c r="E22" s="114" t="s">
        <v>135</v>
      </c>
      <c r="F22" s="247" t="str">
        <f t="shared" si="0"/>
        <v>EURAB6E17Y_Quote</v>
      </c>
      <c r="G22" s="114" t="s">
        <v>225</v>
      </c>
      <c r="H22" s="248" t="str">
        <f t="shared" si="1"/>
        <v>EUR6E12E17Y_Quote</v>
      </c>
      <c r="I22" s="247" t="str">
        <f t="shared" si="2"/>
        <v>EURAB12EBASIS17Y_Quote</v>
      </c>
      <c r="J22" s="247" t="str">
        <f>_xll.qlCompositeQuote(I22,F22,H22,G22,Permanent,Trigger,ObjectOverwrite)</f>
        <v>EURAB12EBASIS17Y_Quote#0001</v>
      </c>
      <c r="K22" s="256" t="str">
        <f>_xll.ohRangeRetrieveError(J22)</f>
        <v/>
      </c>
      <c r="L22" s="54"/>
    </row>
    <row r="23" spans="1:12" x14ac:dyDescent="0.2">
      <c r="A23" s="130"/>
      <c r="B23" s="222" t="s">
        <v>99</v>
      </c>
      <c r="C23" s="114" t="s">
        <v>202</v>
      </c>
      <c r="D23" s="114" t="s">
        <v>144</v>
      </c>
      <c r="E23" s="114" t="s">
        <v>135</v>
      </c>
      <c r="F23" s="247" t="str">
        <f t="shared" si="0"/>
        <v>EURAB6E18Y_Quote</v>
      </c>
      <c r="G23" s="114" t="s">
        <v>225</v>
      </c>
      <c r="H23" s="248" t="str">
        <f t="shared" si="1"/>
        <v>EUR6E12E18Y_Quote</v>
      </c>
      <c r="I23" s="247" t="str">
        <f t="shared" si="2"/>
        <v>EURAB12EBASIS18Y_Quote</v>
      </c>
      <c r="J23" s="247" t="str">
        <f>_xll.qlCompositeQuote(I23,F23,H23,G23,Permanent,Trigger,ObjectOverwrite)</f>
        <v>EURAB12EBASIS18Y_Quote#0001</v>
      </c>
      <c r="K23" s="256" t="str">
        <f>_xll.ohRangeRetrieveError(J23)</f>
        <v/>
      </c>
      <c r="L23" s="54"/>
    </row>
    <row r="24" spans="1:12" x14ac:dyDescent="0.2">
      <c r="A24" s="130"/>
      <c r="B24" s="222" t="s">
        <v>98</v>
      </c>
      <c r="C24" s="114" t="s">
        <v>202</v>
      </c>
      <c r="D24" s="114" t="s">
        <v>144</v>
      </c>
      <c r="E24" s="114" t="s">
        <v>135</v>
      </c>
      <c r="F24" s="247" t="str">
        <f t="shared" si="0"/>
        <v>EURAB6E19Y_Quote</v>
      </c>
      <c r="G24" s="114" t="s">
        <v>225</v>
      </c>
      <c r="H24" s="248" t="str">
        <f t="shared" si="1"/>
        <v>EUR6E12E19Y_Quote</v>
      </c>
      <c r="I24" s="247" t="str">
        <f t="shared" si="2"/>
        <v>EURAB12EBASIS19Y_Quote</v>
      </c>
      <c r="J24" s="247" t="str">
        <f>_xll.qlCompositeQuote(I24,F24,H24,G24,Permanent,Trigger,ObjectOverwrite)</f>
        <v>EURAB12EBASIS19Y_Quote#0001</v>
      </c>
      <c r="K24" s="256" t="str">
        <f>_xll.ohRangeRetrieveError(J24)</f>
        <v/>
      </c>
      <c r="L24" s="54"/>
    </row>
    <row r="25" spans="1:12" x14ac:dyDescent="0.2">
      <c r="A25" s="130"/>
      <c r="B25" s="222" t="s">
        <v>97</v>
      </c>
      <c r="C25" s="114" t="s">
        <v>202</v>
      </c>
      <c r="D25" s="114" t="s">
        <v>144</v>
      </c>
      <c r="E25" s="114" t="s">
        <v>135</v>
      </c>
      <c r="F25" s="247" t="str">
        <f t="shared" si="0"/>
        <v>EURAB6E20Y_Quote</v>
      </c>
      <c r="G25" s="114" t="s">
        <v>225</v>
      </c>
      <c r="H25" s="248" t="str">
        <f t="shared" si="1"/>
        <v>EUR6E12E20Y_Quote</v>
      </c>
      <c r="I25" s="247" t="str">
        <f t="shared" si="2"/>
        <v>EURAB12EBASIS20Y_Quote</v>
      </c>
      <c r="J25" s="247" t="str">
        <f>_xll.qlCompositeQuote(I25,F25,H25,G25,Permanent,Trigger,ObjectOverwrite)</f>
        <v>EURAB12EBASIS20Y_Quote#0001</v>
      </c>
      <c r="K25" s="256" t="str">
        <f>_xll.ohRangeRetrieveError(J25)</f>
        <v/>
      </c>
      <c r="L25" s="54"/>
    </row>
    <row r="26" spans="1:12" x14ac:dyDescent="0.2">
      <c r="A26" s="130"/>
      <c r="B26" s="222" t="s">
        <v>96</v>
      </c>
      <c r="C26" s="114" t="s">
        <v>202</v>
      </c>
      <c r="D26" s="114" t="s">
        <v>144</v>
      </c>
      <c r="E26" s="114" t="s">
        <v>135</v>
      </c>
      <c r="F26" s="247" t="str">
        <f t="shared" si="0"/>
        <v>EURAB6E21Y_Quote</v>
      </c>
      <c r="G26" s="114" t="s">
        <v>225</v>
      </c>
      <c r="H26" s="248" t="str">
        <f t="shared" si="1"/>
        <v>EUR6E12E21Y_Quote</v>
      </c>
      <c r="I26" s="247" t="str">
        <f t="shared" si="2"/>
        <v>EURAB12EBASIS21Y_Quote</v>
      </c>
      <c r="J26" s="247" t="str">
        <f>_xll.qlCompositeQuote(I26,F26,H26,G26,Permanent,Trigger,ObjectOverwrite)</f>
        <v>EURAB12EBASIS21Y_Quote#0001</v>
      </c>
      <c r="K26" s="256" t="str">
        <f>_xll.ohRangeRetrieveError(J26)</f>
        <v/>
      </c>
      <c r="L26" s="54"/>
    </row>
    <row r="27" spans="1:12" x14ac:dyDescent="0.2">
      <c r="A27" s="130"/>
      <c r="B27" s="222" t="s">
        <v>95</v>
      </c>
      <c r="C27" s="114" t="s">
        <v>202</v>
      </c>
      <c r="D27" s="114" t="s">
        <v>144</v>
      </c>
      <c r="E27" s="114" t="s">
        <v>135</v>
      </c>
      <c r="F27" s="247" t="str">
        <f t="shared" si="0"/>
        <v>EURAB6E22Y_Quote</v>
      </c>
      <c r="G27" s="114" t="s">
        <v>225</v>
      </c>
      <c r="H27" s="248" t="str">
        <f t="shared" si="1"/>
        <v>EUR6E12E22Y_Quote</v>
      </c>
      <c r="I27" s="247" t="str">
        <f t="shared" si="2"/>
        <v>EURAB12EBASIS22Y_Quote</v>
      </c>
      <c r="J27" s="247" t="str">
        <f>_xll.qlCompositeQuote(I27,F27,H27,G27,Permanent,Trigger,ObjectOverwrite)</f>
        <v>EURAB12EBASIS22Y_Quote#0001</v>
      </c>
      <c r="K27" s="256" t="str">
        <f>_xll.ohRangeRetrieveError(J27)</f>
        <v/>
      </c>
      <c r="L27" s="54"/>
    </row>
    <row r="28" spans="1:12" x14ac:dyDescent="0.2">
      <c r="A28" s="130"/>
      <c r="B28" s="222" t="s">
        <v>94</v>
      </c>
      <c r="C28" s="114" t="s">
        <v>202</v>
      </c>
      <c r="D28" s="114" t="s">
        <v>144</v>
      </c>
      <c r="E28" s="114" t="s">
        <v>135</v>
      </c>
      <c r="F28" s="247" t="str">
        <f t="shared" si="0"/>
        <v>EURAB6E23Y_Quote</v>
      </c>
      <c r="G28" s="114" t="s">
        <v>225</v>
      </c>
      <c r="H28" s="248" t="str">
        <f t="shared" si="1"/>
        <v>EUR6E12E23Y_Quote</v>
      </c>
      <c r="I28" s="247" t="str">
        <f t="shared" si="2"/>
        <v>EURAB12EBASIS23Y_Quote</v>
      </c>
      <c r="J28" s="247" t="str">
        <f>_xll.qlCompositeQuote(I28,F28,H28,G28,Permanent,Trigger,ObjectOverwrite)</f>
        <v>EURAB12EBASIS23Y_Quote#0001</v>
      </c>
      <c r="K28" s="256" t="str">
        <f>_xll.ohRangeRetrieveError(J28)</f>
        <v/>
      </c>
      <c r="L28" s="54"/>
    </row>
    <row r="29" spans="1:12" x14ac:dyDescent="0.2">
      <c r="A29" s="130"/>
      <c r="B29" s="222" t="s">
        <v>93</v>
      </c>
      <c r="C29" s="114" t="s">
        <v>202</v>
      </c>
      <c r="D29" s="114" t="s">
        <v>144</v>
      </c>
      <c r="E29" s="114" t="s">
        <v>135</v>
      </c>
      <c r="F29" s="247" t="str">
        <f t="shared" si="0"/>
        <v>EURAB6E24Y_Quote</v>
      </c>
      <c r="G29" s="114" t="s">
        <v>225</v>
      </c>
      <c r="H29" s="248" t="str">
        <f t="shared" si="1"/>
        <v>EUR6E12E24Y_Quote</v>
      </c>
      <c r="I29" s="247" t="str">
        <f t="shared" si="2"/>
        <v>EURAB12EBASIS24Y_Quote</v>
      </c>
      <c r="J29" s="247" t="str">
        <f>_xll.qlCompositeQuote(I29,F29,H29,G29,Permanent,Trigger,ObjectOverwrite)</f>
        <v>EURAB12EBASIS24Y_Quote#0001</v>
      </c>
      <c r="K29" s="256" t="str">
        <f>_xll.ohRangeRetrieveError(J29)</f>
        <v/>
      </c>
      <c r="L29" s="54"/>
    </row>
    <row r="30" spans="1:12" x14ac:dyDescent="0.2">
      <c r="A30" s="130"/>
      <c r="B30" s="222" t="s">
        <v>92</v>
      </c>
      <c r="C30" s="114" t="s">
        <v>202</v>
      </c>
      <c r="D30" s="114" t="s">
        <v>144</v>
      </c>
      <c r="E30" s="114" t="s">
        <v>135</v>
      </c>
      <c r="F30" s="247" t="str">
        <f t="shared" si="0"/>
        <v>EURAB6E25Y_Quote</v>
      </c>
      <c r="G30" s="114" t="s">
        <v>225</v>
      </c>
      <c r="H30" s="248" t="str">
        <f t="shared" si="1"/>
        <v>EUR6E12E25Y_Quote</v>
      </c>
      <c r="I30" s="247" t="str">
        <f t="shared" si="2"/>
        <v>EURAB12EBASIS25Y_Quote</v>
      </c>
      <c r="J30" s="247" t="str">
        <f>_xll.qlCompositeQuote(I30,F30,H30,G30,Permanent,Trigger,ObjectOverwrite)</f>
        <v>EURAB12EBASIS25Y_Quote#0001</v>
      </c>
      <c r="K30" s="256" t="str">
        <f>_xll.ohRangeRetrieveError(J30)</f>
        <v/>
      </c>
      <c r="L30" s="54"/>
    </row>
    <row r="31" spans="1:12" x14ac:dyDescent="0.2">
      <c r="A31" s="130"/>
      <c r="B31" s="222" t="s">
        <v>91</v>
      </c>
      <c r="C31" s="114" t="s">
        <v>202</v>
      </c>
      <c r="D31" s="114" t="s">
        <v>144</v>
      </c>
      <c r="E31" s="114" t="s">
        <v>135</v>
      </c>
      <c r="F31" s="247" t="str">
        <f t="shared" si="0"/>
        <v>EURAB6E26Y_Quote</v>
      </c>
      <c r="G31" s="114" t="s">
        <v>225</v>
      </c>
      <c r="H31" s="248" t="str">
        <f t="shared" si="1"/>
        <v>EUR6E12E26Y_Quote</v>
      </c>
      <c r="I31" s="247" t="str">
        <f t="shared" si="2"/>
        <v>EURAB12EBASIS26Y_Quote</v>
      </c>
      <c r="J31" s="247" t="str">
        <f>_xll.qlCompositeQuote(I31,F31,H31,G31,Permanent,Trigger,ObjectOverwrite)</f>
        <v>EURAB12EBASIS26Y_Quote#0001</v>
      </c>
      <c r="K31" s="256" t="str">
        <f>_xll.ohRangeRetrieveError(J31)</f>
        <v/>
      </c>
      <c r="L31" s="54"/>
    </row>
    <row r="32" spans="1:12" x14ac:dyDescent="0.2">
      <c r="A32" s="130"/>
      <c r="B32" s="222" t="s">
        <v>90</v>
      </c>
      <c r="C32" s="114" t="s">
        <v>202</v>
      </c>
      <c r="D32" s="114" t="s">
        <v>144</v>
      </c>
      <c r="E32" s="114" t="s">
        <v>135</v>
      </c>
      <c r="F32" s="247" t="str">
        <f t="shared" si="0"/>
        <v>EURAB6E27Y_Quote</v>
      </c>
      <c r="G32" s="114" t="s">
        <v>225</v>
      </c>
      <c r="H32" s="248" t="str">
        <f t="shared" si="1"/>
        <v>EUR6E12E27Y_Quote</v>
      </c>
      <c r="I32" s="247" t="str">
        <f t="shared" si="2"/>
        <v>EURAB12EBASIS27Y_Quote</v>
      </c>
      <c r="J32" s="247" t="str">
        <f>_xll.qlCompositeQuote(I32,F32,H32,G32,Permanent,Trigger,ObjectOverwrite)</f>
        <v>EURAB12EBASIS27Y_Quote#0001</v>
      </c>
      <c r="K32" s="256" t="str">
        <f>_xll.ohRangeRetrieveError(J32)</f>
        <v/>
      </c>
      <c r="L32" s="54"/>
    </row>
    <row r="33" spans="1:12" x14ac:dyDescent="0.2">
      <c r="A33" s="130"/>
      <c r="B33" s="222" t="s">
        <v>89</v>
      </c>
      <c r="C33" s="114" t="s">
        <v>202</v>
      </c>
      <c r="D33" s="114" t="s">
        <v>144</v>
      </c>
      <c r="E33" s="114" t="s">
        <v>135</v>
      </c>
      <c r="F33" s="247" t="str">
        <f t="shared" si="0"/>
        <v>EURAB6E28Y_Quote</v>
      </c>
      <c r="G33" s="114" t="s">
        <v>225</v>
      </c>
      <c r="H33" s="248" t="str">
        <f t="shared" si="1"/>
        <v>EUR6E12E28Y_Quote</v>
      </c>
      <c r="I33" s="247" t="str">
        <f t="shared" si="2"/>
        <v>EURAB12EBASIS28Y_Quote</v>
      </c>
      <c r="J33" s="247" t="str">
        <f>_xll.qlCompositeQuote(I33,F33,H33,G33,Permanent,Trigger,ObjectOverwrite)</f>
        <v>EURAB12EBASIS28Y_Quote#0001</v>
      </c>
      <c r="K33" s="256" t="str">
        <f>_xll.ohRangeRetrieveError(J33)</f>
        <v/>
      </c>
      <c r="L33" s="54"/>
    </row>
    <row r="34" spans="1:12" x14ac:dyDescent="0.2">
      <c r="A34" s="130"/>
      <c r="B34" s="222" t="s">
        <v>88</v>
      </c>
      <c r="C34" s="114" t="s">
        <v>202</v>
      </c>
      <c r="D34" s="114" t="s">
        <v>144</v>
      </c>
      <c r="E34" s="114" t="s">
        <v>135</v>
      </c>
      <c r="F34" s="247" t="str">
        <f t="shared" si="0"/>
        <v>EURAB6E29Y_Quote</v>
      </c>
      <c r="G34" s="114" t="s">
        <v>225</v>
      </c>
      <c r="H34" s="248" t="str">
        <f t="shared" si="1"/>
        <v>EUR6E12E29Y_Quote</v>
      </c>
      <c r="I34" s="247" t="str">
        <f t="shared" si="2"/>
        <v>EURAB12EBASIS29Y_Quote</v>
      </c>
      <c r="J34" s="247" t="str">
        <f>_xll.qlCompositeQuote(I34,F34,H34,G34,Permanent,Trigger,ObjectOverwrite)</f>
        <v>EURAB12EBASIS29Y_Quote#0001</v>
      </c>
      <c r="K34" s="256" t="str">
        <f>_xll.ohRangeRetrieveError(J34)</f>
        <v/>
      </c>
      <c r="L34" s="54"/>
    </row>
    <row r="35" spans="1:12" x14ac:dyDescent="0.2">
      <c r="A35" s="130"/>
      <c r="B35" s="222" t="s">
        <v>87</v>
      </c>
      <c r="C35" s="114" t="s">
        <v>202</v>
      </c>
      <c r="D35" s="114" t="s">
        <v>144</v>
      </c>
      <c r="E35" s="114" t="s">
        <v>135</v>
      </c>
      <c r="F35" s="247" t="str">
        <f t="shared" si="0"/>
        <v>EURAB6E30Y_Quote</v>
      </c>
      <c r="G35" s="114" t="s">
        <v>225</v>
      </c>
      <c r="H35" s="248" t="str">
        <f t="shared" si="1"/>
        <v>EUR6E12E30Y_Quote</v>
      </c>
      <c r="I35" s="247" t="str">
        <f t="shared" si="2"/>
        <v>EURAB12EBASIS30Y_Quote</v>
      </c>
      <c r="J35" s="247" t="str">
        <f>_xll.qlCompositeQuote(I35,F35,H35,G35,Permanent,Trigger,ObjectOverwrite)</f>
        <v>EURAB12EBASIS30Y_Quote#0001</v>
      </c>
      <c r="K35" s="256" t="str">
        <f>_xll.ohRangeRetrieveError(J35)</f>
        <v/>
      </c>
      <c r="L35" s="54"/>
    </row>
    <row r="36" spans="1:12" x14ac:dyDescent="0.2">
      <c r="A36" s="130"/>
      <c r="B36" s="222" t="s">
        <v>82</v>
      </c>
      <c r="C36" s="114" t="s">
        <v>202</v>
      </c>
      <c r="D36" s="114" t="s">
        <v>144</v>
      </c>
      <c r="E36" s="114" t="s">
        <v>135</v>
      </c>
      <c r="F36" s="247" t="str">
        <f t="shared" si="0"/>
        <v>EURAB6E35Y_Quote</v>
      </c>
      <c r="G36" s="114" t="s">
        <v>225</v>
      </c>
      <c r="H36" s="248" t="str">
        <f t="shared" si="1"/>
        <v>EUR6E12E35Y_Quote</v>
      </c>
      <c r="I36" s="247" t="str">
        <f t="shared" si="2"/>
        <v>EURAB12EBASIS35Y_Quote</v>
      </c>
      <c r="J36" s="247" t="str">
        <f>_xll.qlCompositeQuote(I36,F36,H36,G36,Permanent,Trigger,ObjectOverwrite)</f>
        <v>EURAB12EBASIS35Y_Quote#0001</v>
      </c>
      <c r="K36" s="256" t="str">
        <f>_xll.ohRangeRetrieveError(J36)</f>
        <v/>
      </c>
      <c r="L36" s="54"/>
    </row>
    <row r="37" spans="1:12" x14ac:dyDescent="0.2">
      <c r="A37" s="130"/>
      <c r="B37" s="222" t="s">
        <v>77</v>
      </c>
      <c r="C37" s="114" t="s">
        <v>202</v>
      </c>
      <c r="D37" s="114" t="s">
        <v>144</v>
      </c>
      <c r="E37" s="114" t="s">
        <v>135</v>
      </c>
      <c r="F37" s="247" t="str">
        <f t="shared" si="0"/>
        <v>EURAB6E40Y_Quote</v>
      </c>
      <c r="G37" s="114" t="s">
        <v>225</v>
      </c>
      <c r="H37" s="248" t="str">
        <f t="shared" si="1"/>
        <v>EUR6E12E40Y_Quote</v>
      </c>
      <c r="I37" s="247" t="str">
        <f t="shared" si="2"/>
        <v>EURAB12EBASIS40Y_Quote</v>
      </c>
      <c r="J37" s="247" t="str">
        <f>_xll.qlCompositeQuote(I37,F37,H37,G37,Permanent,Trigger,ObjectOverwrite)</f>
        <v>EURAB12EBASIS40Y_Quote#0001</v>
      </c>
      <c r="K37" s="256" t="str">
        <f>_xll.ohRangeRetrieveError(J37)</f>
        <v/>
      </c>
      <c r="L37" s="54"/>
    </row>
    <row r="38" spans="1:12" x14ac:dyDescent="0.2">
      <c r="A38" s="130"/>
      <c r="B38" s="222" t="s">
        <v>67</v>
      </c>
      <c r="C38" s="114" t="s">
        <v>202</v>
      </c>
      <c r="D38" s="114" t="s">
        <v>144</v>
      </c>
      <c r="E38" s="114" t="s">
        <v>135</v>
      </c>
      <c r="F38" s="247" t="str">
        <f t="shared" si="0"/>
        <v>EURAB6E50Y_Quote</v>
      </c>
      <c r="G38" s="114" t="s">
        <v>225</v>
      </c>
      <c r="H38" s="248" t="str">
        <f t="shared" si="1"/>
        <v>EUR6E12E50Y_Quote</v>
      </c>
      <c r="I38" s="247" t="str">
        <f t="shared" si="2"/>
        <v>EURAB12EBASIS50Y_Quote</v>
      </c>
      <c r="J38" s="247" t="str">
        <f>_xll.qlCompositeQuote(I38,F38,H38,G38,Permanent,Trigger,ObjectOverwrite)</f>
        <v>EURAB12EBASIS50Y_Quote#0001</v>
      </c>
      <c r="K38" s="256" t="str">
        <f>_xll.ohRangeRetrieveError(J38)</f>
        <v/>
      </c>
      <c r="L38" s="54"/>
    </row>
    <row r="39" spans="1:12" x14ac:dyDescent="0.2">
      <c r="A39" s="130"/>
      <c r="B39" s="222" t="s">
        <v>57</v>
      </c>
      <c r="C39" s="114" t="s">
        <v>202</v>
      </c>
      <c r="D39" s="114" t="s">
        <v>144</v>
      </c>
      <c r="E39" s="114" t="s">
        <v>135</v>
      </c>
      <c r="F39" s="247" t="str">
        <f t="shared" si="0"/>
        <v>EURAB6E60Y_Quote</v>
      </c>
      <c r="G39" s="114" t="s">
        <v>225</v>
      </c>
      <c r="H39" s="248" t="str">
        <f t="shared" si="1"/>
        <v>EUR6E12E60Y_Quote</v>
      </c>
      <c r="I39" s="247" t="str">
        <f t="shared" si="2"/>
        <v>EURAB12EBASIS60Y_Quote</v>
      </c>
      <c r="J39" s="247" t="str">
        <f>_xll.qlCompositeQuote(I39,F39,H39,G39,Permanent,Trigger,ObjectOverwrite)</f>
        <v>EURAB12EBASIS60Y_Quote#0001</v>
      </c>
      <c r="K39" s="256" t="str">
        <f>_xll.ohRangeRetrieveError(J39)</f>
        <v/>
      </c>
      <c r="L39" s="54"/>
    </row>
    <row r="40" spans="1:12" ht="12" thickBot="1" x14ac:dyDescent="0.25">
      <c r="A40" s="53"/>
      <c r="B40" s="52"/>
      <c r="C40" s="52"/>
      <c r="D40" s="52"/>
      <c r="E40" s="52"/>
      <c r="F40" s="52"/>
      <c r="G40" s="52"/>
      <c r="H40" s="52"/>
      <c r="I40" s="52"/>
      <c r="J40" s="124"/>
      <c r="K40" s="124"/>
      <c r="L40" s="51"/>
    </row>
  </sheetData>
  <pageMargins left="0.75" right="0.75" top="1" bottom="1" header="0.5" footer="0.5"/>
  <pageSetup paperSize="9" orientation="portrait" r:id="rId1"/>
  <headerFooter alignWithMargins="0"/>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E18"/>
  <sheetViews>
    <sheetView workbookViewId="0"/>
  </sheetViews>
  <sheetFormatPr defaultColWidth="8" defaultRowHeight="11.25" x14ac:dyDescent="0.2"/>
  <cols>
    <col min="1" max="1" width="3.28515625" style="107" customWidth="1"/>
    <col min="2" max="2" width="4.28515625" style="107" customWidth="1"/>
    <col min="3" max="3" width="15.5703125" style="107" bestFit="1" customWidth="1"/>
    <col min="4" max="4" width="90.7109375" style="107" bestFit="1" customWidth="1"/>
    <col min="5" max="5" width="3.7109375" style="107" customWidth="1"/>
    <col min="6" max="6" width="35.28515625" style="107" customWidth="1"/>
    <col min="7" max="7" width="4.28515625" style="107" customWidth="1"/>
    <col min="8" max="16384" width="8" style="107"/>
  </cols>
  <sheetData>
    <row r="1" spans="1:5" ht="13.5" thickBot="1" x14ac:dyDescent="0.25">
      <c r="A1" s="107" t="s">
        <v>226</v>
      </c>
      <c r="B1" s="110" t="str">
        <f>_xll.qlxlVersion(TRUE,Trigger)</f>
        <v>QuantLibXL 1.3.0 - MS VC++ 9.0 - Multithreaded Static Runtime library - Release Configuration - Dec  5 2013 11:03:51</v>
      </c>
    </row>
    <row r="2" spans="1:5" s="1" customFormat="1" ht="15.75" x14ac:dyDescent="0.25">
      <c r="A2" s="23"/>
      <c r="B2" s="455" t="s">
        <v>150</v>
      </c>
      <c r="C2" s="456"/>
      <c r="D2" s="456"/>
      <c r="E2" s="457"/>
    </row>
    <row r="3" spans="1:5" s="1" customFormat="1" ht="12.75" x14ac:dyDescent="0.2">
      <c r="A3" s="23"/>
      <c r="B3" s="9"/>
      <c r="C3" s="13"/>
      <c r="D3" s="13"/>
      <c r="E3" s="5"/>
    </row>
    <row r="4" spans="1:5" s="1" customFormat="1" ht="12.75" x14ac:dyDescent="0.2">
      <c r="A4" s="23"/>
      <c r="B4" s="9"/>
      <c r="C4" s="16" t="s">
        <v>31</v>
      </c>
      <c r="D4" s="15"/>
      <c r="E4" s="14"/>
    </row>
    <row r="5" spans="1:5" s="1" customFormat="1" ht="12.75" x14ac:dyDescent="0.2">
      <c r="A5" s="23"/>
      <c r="B5" s="9"/>
      <c r="C5" s="16" t="s">
        <v>30</v>
      </c>
      <c r="D5" s="15" t="b">
        <v>1</v>
      </c>
      <c r="E5" s="14"/>
    </row>
    <row r="6" spans="1:5" s="1" customFormat="1" ht="12.75" x14ac:dyDescent="0.2">
      <c r="A6" s="23"/>
      <c r="B6" s="9"/>
      <c r="C6" s="16" t="s">
        <v>29</v>
      </c>
      <c r="D6" s="15" t="b">
        <v>0</v>
      </c>
      <c r="E6" s="14"/>
    </row>
    <row r="7" spans="1:5" s="1" customFormat="1" ht="12.75" x14ac:dyDescent="0.2">
      <c r="A7" s="23"/>
      <c r="B7" s="9"/>
      <c r="C7" s="16" t="s">
        <v>28</v>
      </c>
      <c r="D7" s="15" t="b">
        <v>1</v>
      </c>
      <c r="E7" s="14"/>
    </row>
    <row r="8" spans="1:5" s="1" customFormat="1" ht="12.75" x14ac:dyDescent="0.2">
      <c r="A8" s="23"/>
      <c r="B8" s="9"/>
      <c r="C8" s="16" t="s">
        <v>27</v>
      </c>
      <c r="D8" s="25" t="str">
        <f ca="1">SUBSTITUTE(LEFT(CELL("filename",A1),FIND("[",CELL("filename",A1),1)-1),"\XLS\","\XML\")</f>
        <v>C:\Users\erik\Documents\repos\quantlib_nando\QuantLibXL\Data2\XML\</v>
      </c>
      <c r="E8" s="14"/>
    </row>
    <row r="9" spans="1:5" s="1" customFormat="1" ht="12.75" x14ac:dyDescent="0.2">
      <c r="A9" s="23"/>
      <c r="B9" s="9"/>
      <c r="C9" s="16" t="s">
        <v>26</v>
      </c>
      <c r="D9" s="24" t="b">
        <v>1</v>
      </c>
      <c r="E9" s="14"/>
    </row>
    <row r="10" spans="1:5" s="1" customFormat="1" ht="13.5" thickBot="1" x14ac:dyDescent="0.25">
      <c r="A10" s="23"/>
      <c r="B10" s="4"/>
      <c r="C10" s="3"/>
      <c r="D10" s="3"/>
      <c r="E10" s="2"/>
    </row>
    <row r="11" spans="1:5" ht="12" thickBot="1" x14ac:dyDescent="0.25"/>
    <row r="12" spans="1:5" ht="15.75" x14ac:dyDescent="0.25">
      <c r="B12" s="455" t="s">
        <v>149</v>
      </c>
      <c r="C12" s="456"/>
      <c r="D12" s="456"/>
      <c r="E12" s="457"/>
    </row>
    <row r="13" spans="1:5" x14ac:dyDescent="0.2">
      <c r="B13" s="9"/>
      <c r="C13" s="13"/>
      <c r="D13" s="13"/>
      <c r="E13" s="5"/>
    </row>
    <row r="14" spans="1:5" x14ac:dyDescent="0.2">
      <c r="B14" s="9"/>
      <c r="C14" s="16" t="s">
        <v>25</v>
      </c>
      <c r="D14" s="24" t="s">
        <v>123</v>
      </c>
      <c r="E14" s="14"/>
    </row>
    <row r="15" spans="1:5" x14ac:dyDescent="0.2">
      <c r="B15" s="9"/>
      <c r="C15" s="16" t="s">
        <v>148</v>
      </c>
      <c r="D15" s="24" t="s">
        <v>147</v>
      </c>
      <c r="E15" s="14"/>
    </row>
    <row r="16" spans="1:5" x14ac:dyDescent="0.2">
      <c r="B16" s="9"/>
      <c r="C16" s="16" t="s">
        <v>146</v>
      </c>
      <c r="D16" s="109">
        <v>1E-4</v>
      </c>
      <c r="E16" s="14"/>
    </row>
    <row r="17" spans="2:5" x14ac:dyDescent="0.2">
      <c r="B17" s="9"/>
      <c r="C17" s="16" t="s">
        <v>145</v>
      </c>
      <c r="D17" s="108">
        <v>-0.01</v>
      </c>
      <c r="E17" s="14"/>
    </row>
    <row r="18" spans="2:5" ht="12" thickBot="1" x14ac:dyDescent="0.25">
      <c r="B18" s="4"/>
      <c r="C18" s="3"/>
      <c r="D18" s="3"/>
      <c r="E18" s="2"/>
    </row>
  </sheetData>
  <mergeCells count="2">
    <mergeCell ref="B2:E2"/>
    <mergeCell ref="B12:E12"/>
  </mergeCells>
  <dataValidations count="1">
    <dataValidation type="list" allowBlank="1" showInputMessage="1" showErrorMessage="1" sqref="D14">
      <formula1>"EUR,USD,GBP,JPY,CHF"</formula1>
    </dataValidation>
  </dataValidations>
  <pageMargins left="0.75" right="0.75" top="1" bottom="1" header="0.5" footer="0.5"/>
  <pageSetup paperSize="9" orientation="portrait" r:id="rId1"/>
  <headerFooter alignWithMargins="0"/>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dimension ref="A1:AB25"/>
  <sheetViews>
    <sheetView workbookViewId="0">
      <selection activeCell="J5" sqref="J5:J22"/>
    </sheetView>
  </sheetViews>
  <sheetFormatPr defaultRowHeight="11.25" x14ac:dyDescent="0.2"/>
  <cols>
    <col min="1" max="1" width="4.28515625" style="21" customWidth="1"/>
    <col min="2" max="2" width="3.85546875" style="21" bestFit="1" customWidth="1"/>
    <col min="3" max="3" width="12.5703125" style="21" bestFit="1" customWidth="1"/>
    <col min="4" max="4" width="5.7109375" style="21" bestFit="1" customWidth="1"/>
    <col min="5" max="5" width="4.28515625" style="21" customWidth="1"/>
    <col min="6" max="6" width="5.7109375" style="21" bestFit="1" customWidth="1"/>
    <col min="7" max="7" width="4.28515625" style="21" customWidth="1"/>
    <col min="8" max="8" width="12.42578125" style="21" bestFit="1" customWidth="1"/>
    <col min="9" max="10" width="7.7109375" style="21" bestFit="1" customWidth="1"/>
    <col min="11" max="11" width="4.28515625" style="21" customWidth="1"/>
    <col min="12" max="12" width="2.140625" style="21" customWidth="1"/>
    <col min="13" max="13" width="9.42578125" style="21" bestFit="1" customWidth="1"/>
    <col min="14" max="15" width="7.140625" style="21" bestFit="1" customWidth="1"/>
    <col min="16" max="16" width="5.140625" style="21" bestFit="1" customWidth="1"/>
    <col min="17" max="17" width="4.85546875" style="21" bestFit="1" customWidth="1"/>
    <col min="18" max="16384" width="9.140625" style="21"/>
  </cols>
  <sheetData>
    <row r="1" spans="1:28" x14ac:dyDescent="0.2">
      <c r="A1" s="305" t="s">
        <v>313</v>
      </c>
      <c r="B1" s="207"/>
      <c r="C1" s="207"/>
      <c r="D1" s="207"/>
      <c r="E1" s="207"/>
      <c r="F1" s="207"/>
      <c r="G1" s="207"/>
      <c r="H1" s="207"/>
      <c r="I1" s="207"/>
      <c r="J1" s="207"/>
      <c r="K1" s="204"/>
    </row>
    <row r="2" spans="1:28" x14ac:dyDescent="0.2">
      <c r="A2" s="304"/>
      <c r="B2" s="303"/>
      <c r="C2" s="152" t="s">
        <v>240</v>
      </c>
      <c r="D2" s="267"/>
      <c r="E2" s="267"/>
      <c r="F2" s="267"/>
      <c r="G2" s="267"/>
      <c r="H2" s="302" t="s">
        <v>257</v>
      </c>
      <c r="I2" s="301" t="s">
        <v>256</v>
      </c>
      <c r="J2" s="300"/>
      <c r="K2" s="54"/>
      <c r="Y2" s="21">
        <v>0</v>
      </c>
      <c r="AB2" s="21">
        <v>1</v>
      </c>
    </row>
    <row r="3" spans="1:28" x14ac:dyDescent="0.2">
      <c r="A3" s="130"/>
      <c r="B3" s="300"/>
      <c r="C3" s="300"/>
      <c r="D3" s="300"/>
      <c r="E3" s="267"/>
      <c r="F3" s="267"/>
      <c r="G3" s="267"/>
      <c r="H3" s="300"/>
      <c r="I3" s="300"/>
      <c r="J3" s="299">
        <f>_xll.ohTrigger(J5:J22)</f>
        <v>5</v>
      </c>
      <c r="K3" s="225"/>
    </row>
    <row r="4" spans="1:28" ht="22.5" x14ac:dyDescent="0.2">
      <c r="A4" s="130"/>
      <c r="B4" s="295"/>
      <c r="C4" s="298" t="e">
        <f ca="1">_xll.RData(C5:C22,D4:D4,,ReutersRtMode,,D5)</f>
        <v>#NAME?</v>
      </c>
      <c r="D4" s="297" t="str">
        <f>VLOOKUP(Contributor,ContributorTable,5,FALSE)</f>
        <v>ASK</v>
      </c>
      <c r="E4" s="267"/>
      <c r="F4" s="296" t="s">
        <v>255</v>
      </c>
      <c r="G4" s="267"/>
      <c r="H4" s="295" t="s">
        <v>254</v>
      </c>
      <c r="I4" s="294" t="s">
        <v>253</v>
      </c>
      <c r="J4" s="293" t="s">
        <v>252</v>
      </c>
      <c r="K4" s="225"/>
      <c r="M4" s="292" t="s">
        <v>251</v>
      </c>
      <c r="N4" s="291" t="s">
        <v>250</v>
      </c>
      <c r="O4" s="291" t="s">
        <v>249</v>
      </c>
      <c r="P4" s="291" t="s">
        <v>248</v>
      </c>
      <c r="Q4" s="290" t="s">
        <v>247</v>
      </c>
    </row>
    <row r="5" spans="1:28" x14ac:dyDescent="0.2">
      <c r="A5" s="130"/>
      <c r="B5" s="289" t="s">
        <v>125</v>
      </c>
      <c r="C5" s="277" t="str">
        <f t="shared" ref="C5:C22" si="0">Currency&amp;VLOOKUP(Contributor,ContributorTable,2,FALSE)&amp;B5&amp;VLOOKUP(Contributor,ContributorTable,3,FALSE)&amp;"="&amp;VLOOKUP(Contributor,ContributorTable,4,FALSE)</f>
        <v>EUROND=CKCC</v>
      </c>
      <c r="D5" s="288">
        <v>0.1</v>
      </c>
      <c r="E5" s="267"/>
      <c r="F5" s="287">
        <v>0.1</v>
      </c>
      <c r="G5" s="267"/>
      <c r="H5" s="286" t="str">
        <f t="shared" ref="H5:H22" si="1">Currency&amp;B5&amp;$I$2</f>
        <v>EUROND_Quote</v>
      </c>
      <c r="I5" s="285">
        <f t="array" ref="I5:I22">QuoteLive</f>
        <v>0.1</v>
      </c>
      <c r="J5" s="284">
        <f>_xll.qlSimpleQuoteSetValue($H5,$I5/100,Trigger)</f>
        <v>0</v>
      </c>
      <c r="K5" s="225"/>
      <c r="M5" s="283" t="s">
        <v>53</v>
      </c>
      <c r="N5" s="91" t="s">
        <v>246</v>
      </c>
      <c r="O5" s="91" t="s">
        <v>230</v>
      </c>
      <c r="P5" s="91" t="str">
        <f>""</f>
        <v/>
      </c>
      <c r="Q5" s="282" t="s">
        <v>243</v>
      </c>
    </row>
    <row r="6" spans="1:28" x14ac:dyDescent="0.2">
      <c r="A6" s="130"/>
      <c r="B6" s="278" t="s">
        <v>245</v>
      </c>
      <c r="C6" s="277" t="str">
        <f t="shared" si="0"/>
        <v>EURTND=CKCC</v>
      </c>
      <c r="D6" s="276">
        <v>0.1</v>
      </c>
      <c r="E6" s="267"/>
      <c r="F6" s="275">
        <v>0.1</v>
      </c>
      <c r="G6" s="267"/>
      <c r="H6" s="274" t="str">
        <f t="shared" si="1"/>
        <v>EURTND_Quote</v>
      </c>
      <c r="I6" s="273">
        <v>0.1</v>
      </c>
      <c r="J6" s="272">
        <f>_xll.qlSimpleQuoteSetValue($H6,$I6/100,Trigger)</f>
        <v>0</v>
      </c>
      <c r="K6" s="225"/>
      <c r="M6" s="283" t="s">
        <v>126</v>
      </c>
      <c r="N6" s="91"/>
      <c r="O6" s="91" t="s">
        <v>244</v>
      </c>
      <c r="P6" s="91"/>
      <c r="Q6" s="282" t="s">
        <v>243</v>
      </c>
    </row>
    <row r="7" spans="1:28" x14ac:dyDescent="0.2">
      <c r="A7" s="130"/>
      <c r="B7" s="278" t="s">
        <v>242</v>
      </c>
      <c r="C7" s="277" t="str">
        <f t="shared" si="0"/>
        <v>EURSND=CKCC</v>
      </c>
      <c r="D7" s="276">
        <v>0.1</v>
      </c>
      <c r="E7" s="267"/>
      <c r="F7" s="275">
        <v>0.1</v>
      </c>
      <c r="G7" s="267"/>
      <c r="H7" s="274" t="str">
        <f t="shared" si="1"/>
        <v>EURSND_Quote</v>
      </c>
      <c r="I7" s="273">
        <v>0.1</v>
      </c>
      <c r="J7" s="272">
        <f>_xll.qlSimpleQuoteSetValue($H7,$I7/100,Trigger)</f>
        <v>0</v>
      </c>
      <c r="K7" s="225"/>
      <c r="M7" s="283" t="s">
        <v>241</v>
      </c>
      <c r="N7" s="91"/>
      <c r="O7" s="91" t="s">
        <v>230</v>
      </c>
      <c r="P7" s="91"/>
      <c r="Q7" s="282" t="s">
        <v>228</v>
      </c>
    </row>
    <row r="8" spans="1:28" x14ac:dyDescent="0.2">
      <c r="A8" s="130"/>
      <c r="B8" s="278" t="s">
        <v>48</v>
      </c>
      <c r="C8" s="277" t="str">
        <f t="shared" si="0"/>
        <v>EURSWD=CKCC</v>
      </c>
      <c r="D8" s="276">
        <v>0.11</v>
      </c>
      <c r="E8" s="267"/>
      <c r="F8" s="275">
        <v>0.11</v>
      </c>
      <c r="G8" s="267"/>
      <c r="H8" s="274" t="str">
        <f t="shared" si="1"/>
        <v>EURSWD_Quote</v>
      </c>
      <c r="I8" s="273">
        <v>0.11</v>
      </c>
      <c r="J8" s="272">
        <f>_xll.qlSimpleQuoteSetValue($H8,$I8/100,Trigger)</f>
        <v>0</v>
      </c>
      <c r="K8" s="225"/>
      <c r="M8" s="283" t="s">
        <v>240</v>
      </c>
      <c r="N8" s="91"/>
      <c r="O8" s="91" t="s">
        <v>230</v>
      </c>
      <c r="P8" s="91" t="s">
        <v>239</v>
      </c>
      <c r="Q8" s="282" t="s">
        <v>228</v>
      </c>
    </row>
    <row r="9" spans="1:28" x14ac:dyDescent="0.2">
      <c r="A9" s="130"/>
      <c r="B9" s="278" t="s">
        <v>47</v>
      </c>
      <c r="C9" s="277" t="str">
        <f t="shared" si="0"/>
        <v>EUR2WD=CKCC</v>
      </c>
      <c r="D9" s="276">
        <v>0.12</v>
      </c>
      <c r="E9" s="267"/>
      <c r="F9" s="275">
        <v>0.12</v>
      </c>
      <c r="G9" s="267"/>
      <c r="H9" s="274" t="str">
        <f t="shared" si="1"/>
        <v>EUR2WD_Quote</v>
      </c>
      <c r="I9" s="273">
        <v>0.12</v>
      </c>
      <c r="J9" s="272">
        <f>_xll.qlSimpleQuoteSetValue($H9,$I9/100,Trigger)</f>
        <v>0</v>
      </c>
      <c r="K9" s="225"/>
      <c r="M9" s="283" t="s">
        <v>238</v>
      </c>
      <c r="N9" s="91"/>
      <c r="O9" s="91" t="s">
        <v>230</v>
      </c>
      <c r="P9" s="91" t="s">
        <v>238</v>
      </c>
      <c r="Q9" s="282" t="s">
        <v>228</v>
      </c>
    </row>
    <row r="10" spans="1:28" x14ac:dyDescent="0.2">
      <c r="A10" s="130"/>
      <c r="B10" s="278" t="s">
        <v>46</v>
      </c>
      <c r="C10" s="277" t="str">
        <f t="shared" si="0"/>
        <v>EUR3WD=CKCC</v>
      </c>
      <c r="D10" s="276">
        <v>0.13</v>
      </c>
      <c r="E10" s="267"/>
      <c r="F10" s="275">
        <v>0.13</v>
      </c>
      <c r="G10" s="267"/>
      <c r="H10" s="274" t="str">
        <f t="shared" si="1"/>
        <v>EUR3WD_Quote</v>
      </c>
      <c r="I10" s="273">
        <v>0.13</v>
      </c>
      <c r="J10" s="272">
        <f>_xll.qlSimpleQuoteSetValue($H10,$I10/100,Trigger)</f>
        <v>0</v>
      </c>
      <c r="K10" s="225"/>
      <c r="M10" s="283" t="s">
        <v>237</v>
      </c>
      <c r="N10" s="91"/>
      <c r="O10" s="91" t="s">
        <v>230</v>
      </c>
      <c r="P10" s="91" t="s">
        <v>236</v>
      </c>
      <c r="Q10" s="282" t="s">
        <v>228</v>
      </c>
    </row>
    <row r="11" spans="1:28" x14ac:dyDescent="0.2">
      <c r="A11" s="130"/>
      <c r="B11" s="278" t="s">
        <v>45</v>
      </c>
      <c r="C11" s="277" t="str">
        <f t="shared" si="0"/>
        <v>EUR1MD=CKCC</v>
      </c>
      <c r="D11" s="276">
        <v>0.14000000000000001</v>
      </c>
      <c r="E11" s="267"/>
      <c r="F11" s="275">
        <v>0.14000000000000001</v>
      </c>
      <c r="G11" s="267"/>
      <c r="H11" s="274" t="str">
        <f t="shared" si="1"/>
        <v>EUR1MD_Quote</v>
      </c>
      <c r="I11" s="273">
        <v>0.14000000000000001</v>
      </c>
      <c r="J11" s="272">
        <f>_xll.qlSimpleQuoteSetValue($H11,$I11/100,Trigger)</f>
        <v>0</v>
      </c>
      <c r="K11" s="225"/>
      <c r="M11" s="283" t="s">
        <v>235</v>
      </c>
      <c r="N11" s="91"/>
      <c r="O11" s="91" t="s">
        <v>230</v>
      </c>
      <c r="P11" s="91" t="s">
        <v>234</v>
      </c>
      <c r="Q11" s="282" t="s">
        <v>228</v>
      </c>
    </row>
    <row r="12" spans="1:28" x14ac:dyDescent="0.2">
      <c r="A12" s="130"/>
      <c r="B12" s="278" t="s">
        <v>44</v>
      </c>
      <c r="C12" s="277" t="str">
        <f t="shared" si="0"/>
        <v>EUR2MD=CKCC</v>
      </c>
      <c r="D12" s="276">
        <v>0.18</v>
      </c>
      <c r="E12" s="267"/>
      <c r="F12" s="275">
        <v>0.18</v>
      </c>
      <c r="G12" s="267"/>
      <c r="H12" s="274" t="str">
        <f t="shared" si="1"/>
        <v>EUR2MD_Quote</v>
      </c>
      <c r="I12" s="273">
        <v>0.18</v>
      </c>
      <c r="J12" s="272">
        <f>_xll.qlSimpleQuoteSetValue($H12,$I12/100,Trigger)</f>
        <v>0</v>
      </c>
      <c r="K12" s="225"/>
      <c r="M12" s="283" t="s">
        <v>233</v>
      </c>
      <c r="N12" s="91"/>
      <c r="O12" s="91" t="s">
        <v>230</v>
      </c>
      <c r="P12" s="91" t="s">
        <v>232</v>
      </c>
      <c r="Q12" s="282" t="s">
        <v>228</v>
      </c>
    </row>
    <row r="13" spans="1:28" x14ac:dyDescent="0.2">
      <c r="A13" s="130"/>
      <c r="B13" s="278" t="s">
        <v>43</v>
      </c>
      <c r="C13" s="277" t="str">
        <f t="shared" si="0"/>
        <v>EUR3MD=CKCC</v>
      </c>
      <c r="D13" s="276">
        <v>0.22</v>
      </c>
      <c r="E13" s="267"/>
      <c r="F13" s="275">
        <v>0.22</v>
      </c>
      <c r="G13" s="267"/>
      <c r="H13" s="274" t="str">
        <f t="shared" si="1"/>
        <v>EUR3MD_Quote</v>
      </c>
      <c r="I13" s="273">
        <v>0.22</v>
      </c>
      <c r="J13" s="272">
        <f>_xll.qlSimpleQuoteSetValue($H13,$I13/100,Trigger)</f>
        <v>0</v>
      </c>
      <c r="K13" s="225"/>
      <c r="M13" s="281" t="s">
        <v>231</v>
      </c>
      <c r="N13" s="280"/>
      <c r="O13" s="280" t="s">
        <v>230</v>
      </c>
      <c r="P13" s="280" t="s">
        <v>229</v>
      </c>
      <c r="Q13" s="279" t="s">
        <v>228</v>
      </c>
    </row>
    <row r="14" spans="1:28" x14ac:dyDescent="0.2">
      <c r="A14" s="130"/>
      <c r="B14" s="278" t="s">
        <v>42</v>
      </c>
      <c r="C14" s="277" t="str">
        <f t="shared" si="0"/>
        <v>EUR4MD=CKCC</v>
      </c>
      <c r="D14" s="276">
        <v>0.26</v>
      </c>
      <c r="E14" s="267"/>
      <c r="F14" s="275">
        <v>0.26</v>
      </c>
      <c r="G14" s="267"/>
      <c r="H14" s="274" t="str">
        <f t="shared" si="1"/>
        <v>EUR4MD_Quote</v>
      </c>
      <c r="I14" s="273">
        <v>0.26</v>
      </c>
      <c r="J14" s="272">
        <f>_xll.qlSimpleQuoteSetValue($H14,$I14/100,Trigger)</f>
        <v>0</v>
      </c>
      <c r="K14" s="225"/>
    </row>
    <row r="15" spans="1:28" x14ac:dyDescent="0.2">
      <c r="A15" s="130"/>
      <c r="B15" s="278" t="s">
        <v>41</v>
      </c>
      <c r="C15" s="277" t="str">
        <f t="shared" si="0"/>
        <v>EUR5MD=CKCC</v>
      </c>
      <c r="D15" s="276">
        <v>0.3</v>
      </c>
      <c r="E15" s="267"/>
      <c r="F15" s="275">
        <v>0.3</v>
      </c>
      <c r="G15" s="267"/>
      <c r="H15" s="274" t="str">
        <f t="shared" si="1"/>
        <v>EUR5MD_Quote</v>
      </c>
      <c r="I15" s="273">
        <v>0.3</v>
      </c>
      <c r="J15" s="272">
        <f>_xll.qlSimpleQuoteSetValue($H15,$I15/100,Trigger)</f>
        <v>0</v>
      </c>
      <c r="K15" s="225"/>
    </row>
    <row r="16" spans="1:28" x14ac:dyDescent="0.2">
      <c r="A16" s="130"/>
      <c r="B16" s="278" t="s">
        <v>40</v>
      </c>
      <c r="C16" s="277" t="str">
        <f t="shared" si="0"/>
        <v>EUR6MD=CKCC</v>
      </c>
      <c r="D16" s="276">
        <v>0.34</v>
      </c>
      <c r="E16" s="267"/>
      <c r="F16" s="275">
        <v>0.34</v>
      </c>
      <c r="G16" s="267"/>
      <c r="H16" s="274" t="str">
        <f t="shared" si="1"/>
        <v>EUR6MD_Quote</v>
      </c>
      <c r="I16" s="273">
        <v>0.34</v>
      </c>
      <c r="J16" s="272">
        <f>_xll.qlSimpleQuoteSetValue($H16,$I16/100,Trigger)</f>
        <v>0</v>
      </c>
      <c r="K16" s="225"/>
    </row>
    <row r="17" spans="1:11" x14ac:dyDescent="0.2">
      <c r="A17" s="130"/>
      <c r="B17" s="278" t="s">
        <v>39</v>
      </c>
      <c r="C17" s="277" t="str">
        <f t="shared" si="0"/>
        <v>EUR7MD=CKCC</v>
      </c>
      <c r="D17" s="276">
        <v>0.37</v>
      </c>
      <c r="E17" s="267"/>
      <c r="F17" s="275">
        <v>0.37</v>
      </c>
      <c r="G17" s="267"/>
      <c r="H17" s="274" t="str">
        <f t="shared" si="1"/>
        <v>EUR7MD_Quote</v>
      </c>
      <c r="I17" s="273">
        <v>0.37</v>
      </c>
      <c r="J17" s="272">
        <f>_xll.qlSimpleQuoteSetValue($H17,$I17/100,Trigger)</f>
        <v>0</v>
      </c>
      <c r="K17" s="225"/>
    </row>
    <row r="18" spans="1:11" x14ac:dyDescent="0.2">
      <c r="A18" s="130"/>
      <c r="B18" s="278" t="s">
        <v>38</v>
      </c>
      <c r="C18" s="277" t="str">
        <f t="shared" si="0"/>
        <v>EUR8MD=CKCC</v>
      </c>
      <c r="D18" s="276">
        <v>0.41</v>
      </c>
      <c r="E18" s="267"/>
      <c r="F18" s="275">
        <v>0.41</v>
      </c>
      <c r="G18" s="267"/>
      <c r="H18" s="274" t="str">
        <f t="shared" si="1"/>
        <v>EUR8MD_Quote</v>
      </c>
      <c r="I18" s="273">
        <v>0.41</v>
      </c>
      <c r="J18" s="272">
        <f>_xll.qlSimpleQuoteSetValue($H18,$I18/100,Trigger)</f>
        <v>0</v>
      </c>
      <c r="K18" s="225"/>
    </row>
    <row r="19" spans="1:11" x14ac:dyDescent="0.2">
      <c r="A19" s="130"/>
      <c r="B19" s="278" t="s">
        <v>37</v>
      </c>
      <c r="C19" s="277" t="str">
        <f t="shared" si="0"/>
        <v>EUR9MD=CKCC</v>
      </c>
      <c r="D19" s="276">
        <v>0.44</v>
      </c>
      <c r="E19" s="267"/>
      <c r="F19" s="275">
        <v>0.44</v>
      </c>
      <c r="G19" s="267"/>
      <c r="H19" s="274" t="str">
        <f t="shared" si="1"/>
        <v>EUR9MD_Quote</v>
      </c>
      <c r="I19" s="273">
        <v>0.44</v>
      </c>
      <c r="J19" s="272">
        <f>_xll.qlSimpleQuoteSetValue($H19,$I19/100,Trigger)</f>
        <v>0</v>
      </c>
      <c r="K19" s="225"/>
    </row>
    <row r="20" spans="1:11" x14ac:dyDescent="0.2">
      <c r="A20" s="130"/>
      <c r="B20" s="278" t="s">
        <v>36</v>
      </c>
      <c r="C20" s="277" t="str">
        <f t="shared" si="0"/>
        <v>EUR10MD=CKCC</v>
      </c>
      <c r="D20" s="276">
        <v>0.47</v>
      </c>
      <c r="E20" s="267"/>
      <c r="F20" s="275">
        <v>0.47</v>
      </c>
      <c r="G20" s="267"/>
      <c r="H20" s="274" t="str">
        <f t="shared" si="1"/>
        <v>EUR10MD_Quote</v>
      </c>
      <c r="I20" s="273">
        <v>0.47</v>
      </c>
      <c r="J20" s="272">
        <f>_xll.qlSimpleQuoteSetValue($H20,$I20/100,Trigger)</f>
        <v>0</v>
      </c>
      <c r="K20" s="225"/>
    </row>
    <row r="21" spans="1:11" x14ac:dyDescent="0.2">
      <c r="A21" s="130"/>
      <c r="B21" s="278" t="s">
        <v>35</v>
      </c>
      <c r="C21" s="277" t="str">
        <f t="shared" si="0"/>
        <v>EUR11MD=CKCC</v>
      </c>
      <c r="D21" s="276">
        <v>0.5</v>
      </c>
      <c r="E21" s="267"/>
      <c r="F21" s="275">
        <v>0.5</v>
      </c>
      <c r="G21" s="267"/>
      <c r="H21" s="274" t="str">
        <f t="shared" si="1"/>
        <v>EUR11MD_Quote</v>
      </c>
      <c r="I21" s="273">
        <v>0.5</v>
      </c>
      <c r="J21" s="272">
        <f>_xll.qlSimpleQuoteSetValue($H21,$I21/100,Trigger)</f>
        <v>0</v>
      </c>
      <c r="K21" s="225"/>
    </row>
    <row r="22" spans="1:11" x14ac:dyDescent="0.2">
      <c r="A22" s="130"/>
      <c r="B22" s="271" t="s">
        <v>34</v>
      </c>
      <c r="C22" s="270" t="str">
        <f t="shared" si="0"/>
        <v>EUR1YD=CKCC</v>
      </c>
      <c r="D22" s="269">
        <v>0.53</v>
      </c>
      <c r="E22" s="267"/>
      <c r="F22" s="268">
        <v>0.53</v>
      </c>
      <c r="G22" s="267"/>
      <c r="H22" s="266" t="str">
        <f t="shared" si="1"/>
        <v>EUR1YD_Quote</v>
      </c>
      <c r="I22" s="265">
        <v>0.53</v>
      </c>
      <c r="J22" s="264">
        <f>_xll.qlSimpleQuoteSetValue($H22,$I22/100,Trigger)</f>
        <v>0</v>
      </c>
      <c r="K22" s="225"/>
    </row>
    <row r="23" spans="1:11" ht="12" thickBot="1" x14ac:dyDescent="0.25">
      <c r="A23" s="53"/>
      <c r="B23" s="52"/>
      <c r="C23" s="52"/>
      <c r="D23" s="52"/>
      <c r="E23" s="52"/>
      <c r="F23" s="52"/>
      <c r="G23" s="52"/>
      <c r="H23" s="52"/>
      <c r="I23" s="52"/>
      <c r="J23" s="52"/>
      <c r="K23" s="51"/>
    </row>
    <row r="25" spans="1:11" hidden="1" x14ac:dyDescent="0.2">
      <c r="A25" s="21" t="s">
        <v>227</v>
      </c>
    </row>
  </sheetData>
  <dataValidations count="1">
    <dataValidation type="list" showInputMessage="1" showErrorMessage="1" sqref="C2 IY2 SU2 ACQ2 AMM2 AWI2 BGE2 BQA2 BZW2 CJS2 CTO2 DDK2 DNG2 DXC2 EGY2 EQU2 FAQ2 FKM2 FUI2 GEE2 GOA2 GXW2 HHS2 HRO2 IBK2 ILG2 IVC2 JEY2 JOU2 JYQ2 KIM2 KSI2 LCE2 LMA2 LVW2 MFS2 MPO2 MZK2 NJG2 NTC2 OCY2 OMU2 OWQ2 PGM2 PQI2 QAE2 QKA2 QTW2 RDS2 RNO2 RXK2 SHG2 SRC2 TAY2 TKU2 TUQ2 UEM2 UOI2 UYE2 VIA2 VRW2 WBS2 WLO2 WVK2 C65538 IY65538 SU65538 ACQ65538 AMM65538 AWI65538 BGE65538 BQA65538 BZW65538 CJS65538 CTO65538 DDK65538 DNG65538 DXC65538 EGY65538 EQU65538 FAQ65538 FKM65538 FUI65538 GEE65538 GOA65538 GXW65538 HHS65538 HRO65538 IBK65538 ILG65538 IVC65538 JEY65538 JOU65538 JYQ65538 KIM65538 KSI65538 LCE65538 LMA65538 LVW65538 MFS65538 MPO65538 MZK65538 NJG65538 NTC65538 OCY65538 OMU65538 OWQ65538 PGM65538 PQI65538 QAE65538 QKA65538 QTW65538 RDS65538 RNO65538 RXK65538 SHG65538 SRC65538 TAY65538 TKU65538 TUQ65538 UEM65538 UOI65538 UYE65538 VIA65538 VRW65538 WBS65538 WLO65538 WVK65538 C131074 IY131074 SU131074 ACQ131074 AMM131074 AWI131074 BGE131074 BQA131074 BZW131074 CJS131074 CTO131074 DDK131074 DNG131074 DXC131074 EGY131074 EQU131074 FAQ131074 FKM131074 FUI131074 GEE131074 GOA131074 GXW131074 HHS131074 HRO131074 IBK131074 ILG131074 IVC131074 JEY131074 JOU131074 JYQ131074 KIM131074 KSI131074 LCE131074 LMA131074 LVW131074 MFS131074 MPO131074 MZK131074 NJG131074 NTC131074 OCY131074 OMU131074 OWQ131074 PGM131074 PQI131074 QAE131074 QKA131074 QTW131074 RDS131074 RNO131074 RXK131074 SHG131074 SRC131074 TAY131074 TKU131074 TUQ131074 UEM131074 UOI131074 UYE131074 VIA131074 VRW131074 WBS131074 WLO131074 WVK131074 C196610 IY196610 SU196610 ACQ196610 AMM196610 AWI196610 BGE196610 BQA196610 BZW196610 CJS196610 CTO196610 DDK196610 DNG196610 DXC196610 EGY196610 EQU196610 FAQ196610 FKM196610 FUI196610 GEE196610 GOA196610 GXW196610 HHS196610 HRO196610 IBK196610 ILG196610 IVC196610 JEY196610 JOU196610 JYQ196610 KIM196610 KSI196610 LCE196610 LMA196610 LVW196610 MFS196610 MPO196610 MZK196610 NJG196610 NTC196610 OCY196610 OMU196610 OWQ196610 PGM196610 PQI196610 QAE196610 QKA196610 QTW196610 RDS196610 RNO196610 RXK196610 SHG196610 SRC196610 TAY196610 TKU196610 TUQ196610 UEM196610 UOI196610 UYE196610 VIA196610 VRW196610 WBS196610 WLO196610 WVK196610 C262146 IY262146 SU262146 ACQ262146 AMM262146 AWI262146 BGE262146 BQA262146 BZW262146 CJS262146 CTO262146 DDK262146 DNG262146 DXC262146 EGY262146 EQU262146 FAQ262146 FKM262146 FUI262146 GEE262146 GOA262146 GXW262146 HHS262146 HRO262146 IBK262146 ILG262146 IVC262146 JEY262146 JOU262146 JYQ262146 KIM262146 KSI262146 LCE262146 LMA262146 LVW262146 MFS262146 MPO262146 MZK262146 NJG262146 NTC262146 OCY262146 OMU262146 OWQ262146 PGM262146 PQI262146 QAE262146 QKA262146 QTW262146 RDS262146 RNO262146 RXK262146 SHG262146 SRC262146 TAY262146 TKU262146 TUQ262146 UEM262146 UOI262146 UYE262146 VIA262146 VRW262146 WBS262146 WLO262146 WVK262146 C327682 IY327682 SU327682 ACQ327682 AMM327682 AWI327682 BGE327682 BQA327682 BZW327682 CJS327682 CTO327682 DDK327682 DNG327682 DXC327682 EGY327682 EQU327682 FAQ327682 FKM327682 FUI327682 GEE327682 GOA327682 GXW327682 HHS327682 HRO327682 IBK327682 ILG327682 IVC327682 JEY327682 JOU327682 JYQ327682 KIM327682 KSI327682 LCE327682 LMA327682 LVW327682 MFS327682 MPO327682 MZK327682 NJG327682 NTC327682 OCY327682 OMU327682 OWQ327682 PGM327682 PQI327682 QAE327682 QKA327682 QTW327682 RDS327682 RNO327682 RXK327682 SHG327682 SRC327682 TAY327682 TKU327682 TUQ327682 UEM327682 UOI327682 UYE327682 VIA327682 VRW327682 WBS327682 WLO327682 WVK327682 C393218 IY393218 SU393218 ACQ393218 AMM393218 AWI393218 BGE393218 BQA393218 BZW393218 CJS393218 CTO393218 DDK393218 DNG393218 DXC393218 EGY393218 EQU393218 FAQ393218 FKM393218 FUI393218 GEE393218 GOA393218 GXW393218 HHS393218 HRO393218 IBK393218 ILG393218 IVC393218 JEY393218 JOU393218 JYQ393218 KIM393218 KSI393218 LCE393218 LMA393218 LVW393218 MFS393218 MPO393218 MZK393218 NJG393218 NTC393218 OCY393218 OMU393218 OWQ393218 PGM393218 PQI393218 QAE393218 QKA393218 QTW393218 RDS393218 RNO393218 RXK393218 SHG393218 SRC393218 TAY393218 TKU393218 TUQ393218 UEM393218 UOI393218 UYE393218 VIA393218 VRW393218 WBS393218 WLO393218 WVK393218 C458754 IY458754 SU458754 ACQ458754 AMM458754 AWI458754 BGE458754 BQA458754 BZW458754 CJS458754 CTO458754 DDK458754 DNG458754 DXC458754 EGY458754 EQU458754 FAQ458754 FKM458754 FUI458754 GEE458754 GOA458754 GXW458754 HHS458754 HRO458754 IBK458754 ILG458754 IVC458754 JEY458754 JOU458754 JYQ458754 KIM458754 KSI458754 LCE458754 LMA458754 LVW458754 MFS458754 MPO458754 MZK458754 NJG458754 NTC458754 OCY458754 OMU458754 OWQ458754 PGM458754 PQI458754 QAE458754 QKA458754 QTW458754 RDS458754 RNO458754 RXK458754 SHG458754 SRC458754 TAY458754 TKU458754 TUQ458754 UEM458754 UOI458754 UYE458754 VIA458754 VRW458754 WBS458754 WLO458754 WVK458754 C524290 IY524290 SU524290 ACQ524290 AMM524290 AWI524290 BGE524290 BQA524290 BZW524290 CJS524290 CTO524290 DDK524290 DNG524290 DXC524290 EGY524290 EQU524290 FAQ524290 FKM524290 FUI524290 GEE524290 GOA524290 GXW524290 HHS524290 HRO524290 IBK524290 ILG524290 IVC524290 JEY524290 JOU524290 JYQ524290 KIM524290 KSI524290 LCE524290 LMA524290 LVW524290 MFS524290 MPO524290 MZK524290 NJG524290 NTC524290 OCY524290 OMU524290 OWQ524290 PGM524290 PQI524290 QAE524290 QKA524290 QTW524290 RDS524290 RNO524290 RXK524290 SHG524290 SRC524290 TAY524290 TKU524290 TUQ524290 UEM524290 UOI524290 UYE524290 VIA524290 VRW524290 WBS524290 WLO524290 WVK524290 C589826 IY589826 SU589826 ACQ589826 AMM589826 AWI589826 BGE589826 BQA589826 BZW589826 CJS589826 CTO589826 DDK589826 DNG589826 DXC589826 EGY589826 EQU589826 FAQ589826 FKM589826 FUI589826 GEE589826 GOA589826 GXW589826 HHS589826 HRO589826 IBK589826 ILG589826 IVC589826 JEY589826 JOU589826 JYQ589826 KIM589826 KSI589826 LCE589826 LMA589826 LVW589826 MFS589826 MPO589826 MZK589826 NJG589826 NTC589826 OCY589826 OMU589826 OWQ589826 PGM589826 PQI589826 QAE589826 QKA589826 QTW589826 RDS589826 RNO589826 RXK589826 SHG589826 SRC589826 TAY589826 TKU589826 TUQ589826 UEM589826 UOI589826 UYE589826 VIA589826 VRW589826 WBS589826 WLO589826 WVK589826 C655362 IY655362 SU655362 ACQ655362 AMM655362 AWI655362 BGE655362 BQA655362 BZW655362 CJS655362 CTO655362 DDK655362 DNG655362 DXC655362 EGY655362 EQU655362 FAQ655362 FKM655362 FUI655362 GEE655362 GOA655362 GXW655362 HHS655362 HRO655362 IBK655362 ILG655362 IVC655362 JEY655362 JOU655362 JYQ655362 KIM655362 KSI655362 LCE655362 LMA655362 LVW655362 MFS655362 MPO655362 MZK655362 NJG655362 NTC655362 OCY655362 OMU655362 OWQ655362 PGM655362 PQI655362 QAE655362 QKA655362 QTW655362 RDS655362 RNO655362 RXK655362 SHG655362 SRC655362 TAY655362 TKU655362 TUQ655362 UEM655362 UOI655362 UYE655362 VIA655362 VRW655362 WBS655362 WLO655362 WVK655362 C720898 IY720898 SU720898 ACQ720898 AMM720898 AWI720898 BGE720898 BQA720898 BZW720898 CJS720898 CTO720898 DDK720898 DNG720898 DXC720898 EGY720898 EQU720898 FAQ720898 FKM720898 FUI720898 GEE720898 GOA720898 GXW720898 HHS720898 HRO720898 IBK720898 ILG720898 IVC720898 JEY720898 JOU720898 JYQ720898 KIM720898 KSI720898 LCE720898 LMA720898 LVW720898 MFS720898 MPO720898 MZK720898 NJG720898 NTC720898 OCY720898 OMU720898 OWQ720898 PGM720898 PQI720898 QAE720898 QKA720898 QTW720898 RDS720898 RNO720898 RXK720898 SHG720898 SRC720898 TAY720898 TKU720898 TUQ720898 UEM720898 UOI720898 UYE720898 VIA720898 VRW720898 WBS720898 WLO720898 WVK720898 C786434 IY786434 SU786434 ACQ786434 AMM786434 AWI786434 BGE786434 BQA786434 BZW786434 CJS786434 CTO786434 DDK786434 DNG786434 DXC786434 EGY786434 EQU786434 FAQ786434 FKM786434 FUI786434 GEE786434 GOA786434 GXW786434 HHS786434 HRO786434 IBK786434 ILG786434 IVC786434 JEY786434 JOU786434 JYQ786434 KIM786434 KSI786434 LCE786434 LMA786434 LVW786434 MFS786434 MPO786434 MZK786434 NJG786434 NTC786434 OCY786434 OMU786434 OWQ786434 PGM786434 PQI786434 QAE786434 QKA786434 QTW786434 RDS786434 RNO786434 RXK786434 SHG786434 SRC786434 TAY786434 TKU786434 TUQ786434 UEM786434 UOI786434 UYE786434 VIA786434 VRW786434 WBS786434 WLO786434 WVK786434 C851970 IY851970 SU851970 ACQ851970 AMM851970 AWI851970 BGE851970 BQA851970 BZW851970 CJS851970 CTO851970 DDK851970 DNG851970 DXC851970 EGY851970 EQU851970 FAQ851970 FKM851970 FUI851970 GEE851970 GOA851970 GXW851970 HHS851970 HRO851970 IBK851970 ILG851970 IVC851970 JEY851970 JOU851970 JYQ851970 KIM851970 KSI851970 LCE851970 LMA851970 LVW851970 MFS851970 MPO851970 MZK851970 NJG851970 NTC851970 OCY851970 OMU851970 OWQ851970 PGM851970 PQI851970 QAE851970 QKA851970 QTW851970 RDS851970 RNO851970 RXK851970 SHG851970 SRC851970 TAY851970 TKU851970 TUQ851970 UEM851970 UOI851970 UYE851970 VIA851970 VRW851970 WBS851970 WLO851970 WVK851970 C917506 IY917506 SU917506 ACQ917506 AMM917506 AWI917506 BGE917506 BQA917506 BZW917506 CJS917506 CTO917506 DDK917506 DNG917506 DXC917506 EGY917506 EQU917506 FAQ917506 FKM917506 FUI917506 GEE917506 GOA917506 GXW917506 HHS917506 HRO917506 IBK917506 ILG917506 IVC917506 JEY917506 JOU917506 JYQ917506 KIM917506 KSI917506 LCE917506 LMA917506 LVW917506 MFS917506 MPO917506 MZK917506 NJG917506 NTC917506 OCY917506 OMU917506 OWQ917506 PGM917506 PQI917506 QAE917506 QKA917506 QTW917506 RDS917506 RNO917506 RXK917506 SHG917506 SRC917506 TAY917506 TKU917506 TUQ917506 UEM917506 UOI917506 UYE917506 VIA917506 VRW917506 WBS917506 WLO917506 WVK917506 C983042 IY983042 SU983042 ACQ983042 AMM983042 AWI983042 BGE983042 BQA983042 BZW983042 CJS983042 CTO983042 DDK983042 DNG983042 DXC983042 EGY983042 EQU983042 FAQ983042 FKM983042 FUI983042 GEE983042 GOA983042 GXW983042 HHS983042 HRO983042 IBK983042 ILG983042 IVC983042 JEY983042 JOU983042 JYQ983042 KIM983042 KSI983042 LCE983042 LMA983042 LVW983042 MFS983042 MPO983042 MZK983042 NJG983042 NTC983042 OCY983042 OMU983042 OWQ983042 PGM983042 PQI983042 QAE983042 QKA983042 QTW983042 RDS983042 RNO983042 RXK983042 SHG983042 SRC983042 TAY983042 TKU983042 TUQ983042 UEM983042 UOI983042 UYE983042 VIA983042 VRW983042 WBS983042 WLO983042 WVK983042">
      <formula1>Contributors</formula1>
    </dataValidation>
  </dataValidations>
  <pageMargins left="0.75" right="0.75" top="1" bottom="1" header="0.5" footer="0.5"/>
  <pageSetup orientation="portrait" r:id="rId1"/>
  <headerFooter alignWithMargins="0"/>
  <legacyDrawing r:id="rId2"/>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W34"/>
  <sheetViews>
    <sheetView workbookViewId="0"/>
  </sheetViews>
  <sheetFormatPr defaultRowHeight="11.25" x14ac:dyDescent="0.2"/>
  <cols>
    <col min="1" max="1" width="5" style="21" customWidth="1"/>
    <col min="2" max="2" width="5" style="21" bestFit="1" customWidth="1"/>
    <col min="3" max="3" width="4.5703125" style="21" bestFit="1" customWidth="1"/>
    <col min="4" max="4" width="9.5703125" style="21" bestFit="1" customWidth="1"/>
    <col min="5" max="5" width="13.42578125" style="21" bestFit="1" customWidth="1"/>
    <col min="6" max="7" width="5.7109375" style="21" bestFit="1" customWidth="1"/>
    <col min="8" max="8" width="5.140625" style="21" bestFit="1" customWidth="1"/>
    <col min="9" max="9" width="10.28515625" style="21" customWidth="1"/>
    <col min="10" max="10" width="5.7109375" style="21" bestFit="1" customWidth="1"/>
    <col min="11" max="11" width="7.5703125" style="21" customWidth="1"/>
    <col min="12" max="12" width="5.7109375" style="21" bestFit="1" customWidth="1"/>
    <col min="13" max="13" width="7.5703125" style="21" customWidth="1"/>
    <col min="14" max="14" width="14.28515625" style="21" bestFit="1" customWidth="1"/>
    <col min="15" max="16" width="7.7109375" style="21" bestFit="1" customWidth="1"/>
    <col min="17" max="17" width="5" style="21" customWidth="1"/>
    <col min="18" max="22" width="4.28515625" style="21" customWidth="1"/>
    <col min="23" max="23" width="7" style="21" bestFit="1" customWidth="1"/>
    <col min="24" max="16384" width="9.140625" style="21"/>
  </cols>
  <sheetData>
    <row r="1" spans="1:23" x14ac:dyDescent="0.2">
      <c r="A1" s="339" t="s">
        <v>313</v>
      </c>
      <c r="B1" s="207"/>
      <c r="C1" s="207"/>
      <c r="D1" s="207"/>
      <c r="E1" s="207"/>
      <c r="F1" s="207"/>
      <c r="G1" s="207"/>
      <c r="H1" s="207"/>
      <c r="I1" s="207"/>
      <c r="J1" s="207"/>
      <c r="K1" s="207"/>
      <c r="L1" s="207"/>
      <c r="M1" s="207"/>
      <c r="N1" s="207"/>
      <c r="O1" s="207"/>
      <c r="P1" s="207"/>
      <c r="Q1" s="204"/>
    </row>
    <row r="2" spans="1:23" x14ac:dyDescent="0.2">
      <c r="A2" s="304"/>
      <c r="B2" s="338"/>
      <c r="C2" s="145"/>
      <c r="D2" s="145"/>
      <c r="E2" s="152" t="s">
        <v>238</v>
      </c>
      <c r="F2" s="145"/>
      <c r="G2" s="145"/>
      <c r="H2" s="145"/>
      <c r="I2" s="145"/>
      <c r="J2" s="267"/>
      <c r="K2" s="267"/>
      <c r="L2" s="267"/>
      <c r="M2" s="267"/>
      <c r="N2" s="337" t="s">
        <v>257</v>
      </c>
      <c r="O2" s="152" t="s">
        <v>147</v>
      </c>
      <c r="P2" s="145"/>
      <c r="Q2" s="54"/>
    </row>
    <row r="3" spans="1:23" x14ac:dyDescent="0.2">
      <c r="A3" s="130"/>
      <c r="B3" s="145"/>
      <c r="C3" s="267"/>
      <c r="D3" s="145"/>
      <c r="E3" s="145"/>
      <c r="F3" s="145"/>
      <c r="G3" s="145"/>
      <c r="H3" s="145"/>
      <c r="I3" s="145"/>
      <c r="J3" s="145"/>
      <c r="K3" s="267"/>
      <c r="L3" s="267"/>
      <c r="M3" s="267"/>
      <c r="N3" s="145"/>
      <c r="O3" s="145"/>
      <c r="P3" s="299">
        <f>_xll.ohTrigger(P5:P23)</f>
        <v>3</v>
      </c>
      <c r="Q3" s="225"/>
    </row>
    <row r="4" spans="1:23" ht="22.5" x14ac:dyDescent="0.2">
      <c r="A4" s="130"/>
      <c r="B4" s="210"/>
      <c r="C4" s="153"/>
      <c r="D4" s="202"/>
      <c r="E4" s="298" t="e">
        <f ca="1">_xll.RData(E5:E33,F4:I4,,ReutersRtMode,,F5)</f>
        <v>#NAME?</v>
      </c>
      <c r="F4" s="336" t="s">
        <v>261</v>
      </c>
      <c r="G4" s="336" t="s">
        <v>228</v>
      </c>
      <c r="H4" s="336" t="s">
        <v>243</v>
      </c>
      <c r="I4" s="336" t="s">
        <v>260</v>
      </c>
      <c r="J4" s="293" t="s">
        <v>259</v>
      </c>
      <c r="K4" s="267"/>
      <c r="L4" s="296" t="s">
        <v>255</v>
      </c>
      <c r="M4" s="267"/>
      <c r="N4" s="335" t="s">
        <v>254</v>
      </c>
      <c r="O4" s="334" t="s">
        <v>253</v>
      </c>
      <c r="P4" s="255" t="s">
        <v>252</v>
      </c>
      <c r="Q4" s="225"/>
      <c r="W4" s="333" t="s">
        <v>258</v>
      </c>
    </row>
    <row r="5" spans="1:23" x14ac:dyDescent="0.2">
      <c r="A5" s="130"/>
      <c r="B5" s="332" t="s">
        <v>183</v>
      </c>
      <c r="C5" s="331" t="s">
        <v>171</v>
      </c>
      <c r="D5" s="329" t="str">
        <f t="shared" ref="D5:D33" si="0">Currency&amp;$B5&amp;$C5</f>
        <v>EURT3F1</v>
      </c>
      <c r="E5" s="329" t="str">
        <f t="array" ref="E5:E33">UPPER(Instruments)&amp;"="&amp;VLOOKUP(Contributor,ContributorTable,2,FALSE)</f>
        <v>EURT3F1=ICAP</v>
      </c>
      <c r="F5" s="330">
        <v>0.2</v>
      </c>
      <c r="G5" s="330">
        <v>0.25</v>
      </c>
      <c r="H5" s="329">
        <v>0</v>
      </c>
      <c r="I5" s="329">
        <v>0</v>
      </c>
      <c r="J5" s="288">
        <f>_xll.qlMidSafe($F5,$G5)</f>
        <v>0.22500000000000001</v>
      </c>
      <c r="K5" s="267"/>
      <c r="L5" s="328">
        <v>0.22500000000000001</v>
      </c>
      <c r="M5" s="267"/>
      <c r="N5" s="286" t="str">
        <f t="shared" ref="N5:N33" si="1">$D5&amp;$O$2</f>
        <v>EURT3F1_Quote</v>
      </c>
      <c r="O5" s="285">
        <f t="array" ref="O5:O33">QuoteLive</f>
        <v>0.22500000000000001</v>
      </c>
      <c r="P5" s="284" t="e">
        <f>_xll.qlSimpleQuoteSetValue($N5,$O5/100,Trigger)</f>
        <v>#N/A</v>
      </c>
      <c r="Q5" s="225"/>
      <c r="S5" s="322"/>
      <c r="W5" s="307">
        <f t="shared" ref="W5:W33" si="2">(G5-J5)/50</f>
        <v>4.999999999999999E-4</v>
      </c>
    </row>
    <row r="6" spans="1:23" x14ac:dyDescent="0.2">
      <c r="A6" s="130"/>
      <c r="B6" s="327" t="s">
        <v>182</v>
      </c>
      <c r="C6" s="326" t="s">
        <v>171</v>
      </c>
      <c r="D6" s="324" t="str">
        <f t="shared" si="0"/>
        <v>EURTOM3F1</v>
      </c>
      <c r="E6" s="324" t="str">
        <v>EURTOM3F1=ICAP</v>
      </c>
      <c r="F6" s="325">
        <v>0.2</v>
      </c>
      <c r="G6" s="325">
        <v>0.25</v>
      </c>
      <c r="H6" s="324">
        <v>0</v>
      </c>
      <c r="I6" s="324">
        <v>0</v>
      </c>
      <c r="J6" s="269">
        <f>_xll.qlMidSafe($F6,$G6)</f>
        <v>0.22500000000000001</v>
      </c>
      <c r="K6" s="267"/>
      <c r="L6" s="323">
        <v>0.22500000000000001</v>
      </c>
      <c r="M6" s="267"/>
      <c r="N6" s="266" t="str">
        <f t="shared" si="1"/>
        <v>EURTOM3F1_Quote</v>
      </c>
      <c r="O6" s="265">
        <v>0.22500000000000001</v>
      </c>
      <c r="P6" s="264" t="e">
        <f>_xll.qlSimpleQuoteSetValue($N6,$O6/100,Trigger)</f>
        <v>#N/A</v>
      </c>
      <c r="Q6" s="225"/>
      <c r="S6" s="322"/>
      <c r="W6" s="307">
        <f t="shared" si="2"/>
        <v>4.999999999999999E-4</v>
      </c>
    </row>
    <row r="7" spans="1:23" x14ac:dyDescent="0.2">
      <c r="A7" s="130"/>
      <c r="B7" s="332">
        <v>1</v>
      </c>
      <c r="C7" s="331" t="s">
        <v>181</v>
      </c>
      <c r="D7" s="329" t="str">
        <f t="shared" si="0"/>
        <v>EUR1x4F</v>
      </c>
      <c r="E7" s="329" t="str">
        <v>EUR1X4F=ICAP</v>
      </c>
      <c r="F7" s="330">
        <v>0.22</v>
      </c>
      <c r="G7" s="330">
        <v>0.27</v>
      </c>
      <c r="H7" s="329">
        <v>0</v>
      </c>
      <c r="I7" s="329">
        <v>0</v>
      </c>
      <c r="J7" s="288">
        <f>_xll.qlMidSafe($F7,$G7)</f>
        <v>0.245</v>
      </c>
      <c r="K7" s="267"/>
      <c r="L7" s="317">
        <v>0.245</v>
      </c>
      <c r="M7" s="267"/>
      <c r="N7" s="274" t="str">
        <f t="shared" si="1"/>
        <v>EUR1x4F_Quote</v>
      </c>
      <c r="O7" s="273">
        <v>0.245</v>
      </c>
      <c r="P7" s="272" t="e">
        <f>_xll.qlSimpleQuoteSetValue($N7,$O7/100,Trigger)</f>
        <v>#N/A</v>
      </c>
      <c r="Q7" s="225"/>
      <c r="S7" s="322"/>
      <c r="W7" s="307">
        <f t="shared" si="2"/>
        <v>5.0000000000000044E-4</v>
      </c>
    </row>
    <row r="8" spans="1:23" x14ac:dyDescent="0.2">
      <c r="A8" s="130"/>
      <c r="B8" s="321">
        <v>2</v>
      </c>
      <c r="C8" s="320" t="s">
        <v>180</v>
      </c>
      <c r="D8" s="318" t="str">
        <f t="shared" si="0"/>
        <v>EUR2x5F</v>
      </c>
      <c r="E8" s="318" t="str">
        <v>EUR2X5F=ICAP</v>
      </c>
      <c r="F8" s="319">
        <v>0.24299999999999999</v>
      </c>
      <c r="G8" s="319">
        <v>0.29299999999999998</v>
      </c>
      <c r="H8" s="318">
        <v>0</v>
      </c>
      <c r="I8" s="318">
        <v>0</v>
      </c>
      <c r="J8" s="276">
        <f>_xll.qlMidSafe($F8,$G8)</f>
        <v>0.26800000000000002</v>
      </c>
      <c r="K8" s="267"/>
      <c r="L8" s="317">
        <v>0.26800000000000002</v>
      </c>
      <c r="M8" s="267"/>
      <c r="N8" s="274" t="str">
        <f t="shared" si="1"/>
        <v>EUR2x5F_Quote</v>
      </c>
      <c r="O8" s="273">
        <v>0.26800000000000002</v>
      </c>
      <c r="P8" s="272" t="e">
        <f>_xll.qlSimpleQuoteSetValue($N8,$O8/100,Trigger)</f>
        <v>#N/A</v>
      </c>
      <c r="Q8" s="225"/>
      <c r="S8" s="322"/>
      <c r="W8" s="307">
        <f t="shared" si="2"/>
        <v>4.9999999999999936E-4</v>
      </c>
    </row>
    <row r="9" spans="1:23" x14ac:dyDescent="0.2">
      <c r="A9" s="130"/>
      <c r="B9" s="321">
        <v>3</v>
      </c>
      <c r="C9" s="320" t="s">
        <v>179</v>
      </c>
      <c r="D9" s="318" t="str">
        <f t="shared" si="0"/>
        <v>EUR3x6F</v>
      </c>
      <c r="E9" s="318" t="str">
        <v>EUR3X6F=ICAP</v>
      </c>
      <c r="F9" s="319">
        <v>0.26900000000000002</v>
      </c>
      <c r="G9" s="319">
        <v>0.31900000000000001</v>
      </c>
      <c r="H9" s="318">
        <v>0</v>
      </c>
      <c r="I9" s="318">
        <v>0</v>
      </c>
      <c r="J9" s="276">
        <f>_xll.qlMidSafe($F9,$G9)</f>
        <v>0.29400000000000004</v>
      </c>
      <c r="K9" s="267"/>
      <c r="L9" s="317">
        <v>0.29400000000000004</v>
      </c>
      <c r="M9" s="267"/>
      <c r="N9" s="274" t="str">
        <f t="shared" si="1"/>
        <v>EUR3x6F_Quote</v>
      </c>
      <c r="O9" s="273">
        <v>0.29400000000000004</v>
      </c>
      <c r="P9" s="272" t="e">
        <f>_xll.qlSimpleQuoteSetValue($N9,$O9/100,Trigger)</f>
        <v>#N/A</v>
      </c>
      <c r="Q9" s="225"/>
      <c r="S9" s="322"/>
      <c r="W9" s="307">
        <f t="shared" si="2"/>
        <v>4.9999999999999936E-4</v>
      </c>
    </row>
    <row r="10" spans="1:23" x14ac:dyDescent="0.2">
      <c r="A10" s="130"/>
      <c r="B10" s="321">
        <v>4</v>
      </c>
      <c r="C10" s="320" t="s">
        <v>178</v>
      </c>
      <c r="D10" s="318" t="str">
        <f t="shared" si="0"/>
        <v>EUR4x7F</v>
      </c>
      <c r="E10" s="318" t="str">
        <v>EUR4X7F=ICAP</v>
      </c>
      <c r="F10" s="319">
        <v>0.28599999999999998</v>
      </c>
      <c r="G10" s="319">
        <v>0.33600000000000002</v>
      </c>
      <c r="H10" s="318">
        <v>0</v>
      </c>
      <c r="I10" s="318">
        <v>0</v>
      </c>
      <c r="J10" s="276">
        <f>_xll.qlMidSafe($F10,$G10)</f>
        <v>0.311</v>
      </c>
      <c r="K10" s="267"/>
      <c r="L10" s="317">
        <v>0.311</v>
      </c>
      <c r="M10" s="267"/>
      <c r="N10" s="274" t="str">
        <f t="shared" si="1"/>
        <v>EUR4x7F_Quote</v>
      </c>
      <c r="O10" s="273">
        <v>0.311</v>
      </c>
      <c r="P10" s="272" t="e">
        <f>_xll.qlSimpleQuoteSetValue($N10,$O10/100,Trigger)</f>
        <v>#N/A</v>
      </c>
      <c r="Q10" s="225"/>
      <c r="S10" s="322"/>
      <c r="W10" s="307">
        <f t="shared" si="2"/>
        <v>5.0000000000000044E-4</v>
      </c>
    </row>
    <row r="11" spans="1:23" x14ac:dyDescent="0.2">
      <c r="A11" s="130"/>
      <c r="B11" s="321">
        <v>5</v>
      </c>
      <c r="C11" s="320" t="s">
        <v>177</v>
      </c>
      <c r="D11" s="318" t="str">
        <f t="shared" si="0"/>
        <v>EUR5x8F</v>
      </c>
      <c r="E11" s="318" t="str">
        <v>EUR5X8F=ICAP</v>
      </c>
      <c r="F11" s="319">
        <v>0.307</v>
      </c>
      <c r="G11" s="319">
        <v>0.35699999999999998</v>
      </c>
      <c r="H11" s="318">
        <v>0</v>
      </c>
      <c r="I11" s="318">
        <v>0</v>
      </c>
      <c r="J11" s="276">
        <f>_xll.qlMidSafe($F11,$G11)</f>
        <v>0.33199999999999996</v>
      </c>
      <c r="K11" s="267"/>
      <c r="L11" s="317">
        <v>0.33199999999999996</v>
      </c>
      <c r="M11" s="267"/>
      <c r="N11" s="274" t="str">
        <f t="shared" si="1"/>
        <v>EUR5x8F_Quote</v>
      </c>
      <c r="O11" s="273">
        <v>0.33199999999999996</v>
      </c>
      <c r="P11" s="272" t="e">
        <f>_xll.qlSimpleQuoteSetValue($N11,$O11/100,Trigger)</f>
        <v>#N/A</v>
      </c>
      <c r="Q11" s="225"/>
      <c r="S11" s="322"/>
      <c r="W11" s="307">
        <f t="shared" si="2"/>
        <v>5.0000000000000044E-4</v>
      </c>
    </row>
    <row r="12" spans="1:23" x14ac:dyDescent="0.2">
      <c r="A12" s="130"/>
      <c r="B12" s="327">
        <v>6</v>
      </c>
      <c r="C12" s="326" t="s">
        <v>176</v>
      </c>
      <c r="D12" s="324" t="str">
        <f t="shared" si="0"/>
        <v>EUR6x9F</v>
      </c>
      <c r="E12" s="324" t="str">
        <v>EUR6X9F=ICAP</v>
      </c>
      <c r="F12" s="325">
        <v>0.32700000000000001</v>
      </c>
      <c r="G12" s="325">
        <v>0.377</v>
      </c>
      <c r="H12" s="324">
        <v>0</v>
      </c>
      <c r="I12" s="324">
        <v>0</v>
      </c>
      <c r="J12" s="269">
        <f>_xll.qlMidSafe($F12,$G12)</f>
        <v>0.35199999999999998</v>
      </c>
      <c r="K12" s="267"/>
      <c r="L12" s="323">
        <v>0.35199999999999998</v>
      </c>
      <c r="M12" s="267"/>
      <c r="N12" s="274" t="str">
        <f t="shared" si="1"/>
        <v>EUR6x9F_Quote</v>
      </c>
      <c r="O12" s="273">
        <v>0.35199999999999998</v>
      </c>
      <c r="P12" s="272" t="e">
        <f>_xll.qlSimpleQuoteSetValue($N12,$O12/100,Trigger)</f>
        <v>#N/A</v>
      </c>
      <c r="Q12" s="225"/>
      <c r="S12" s="322"/>
      <c r="W12" s="307">
        <f t="shared" si="2"/>
        <v>5.0000000000000044E-4</v>
      </c>
    </row>
    <row r="13" spans="1:23" x14ac:dyDescent="0.2">
      <c r="A13" s="130"/>
      <c r="B13" s="332" t="s">
        <v>175</v>
      </c>
      <c r="C13" s="331" t="s">
        <v>171</v>
      </c>
      <c r="D13" s="329" t="str">
        <f t="shared" si="0"/>
        <v>EURT6F1</v>
      </c>
      <c r="E13" s="329" t="str">
        <v>EURT6F1=ICAP</v>
      </c>
      <c r="F13" s="330">
        <v>0.318</v>
      </c>
      <c r="G13" s="330">
        <v>0.36799999999999999</v>
      </c>
      <c r="H13" s="329">
        <v>0</v>
      </c>
      <c r="I13" s="329">
        <v>0</v>
      </c>
      <c r="J13" s="288">
        <f>_xll.qlMidSafe($F13,$G13)</f>
        <v>0.34299999999999997</v>
      </c>
      <c r="K13" s="267"/>
      <c r="L13" s="328">
        <v>0.34299999999999997</v>
      </c>
      <c r="M13" s="267"/>
      <c r="N13" s="286" t="str">
        <f t="shared" si="1"/>
        <v>EURT6F1_Quote</v>
      </c>
      <c r="O13" s="285">
        <v>0.34299999999999997</v>
      </c>
      <c r="P13" s="284" t="e">
        <f>_xll.qlSimpleQuoteSetValue($N13,$O13/100,Trigger)</f>
        <v>#N/A</v>
      </c>
      <c r="Q13" s="225"/>
      <c r="S13" s="322"/>
      <c r="W13" s="307">
        <f t="shared" si="2"/>
        <v>5.0000000000000044E-4</v>
      </c>
    </row>
    <row r="14" spans="1:23" x14ac:dyDescent="0.2">
      <c r="A14" s="130"/>
      <c r="B14" s="327" t="s">
        <v>174</v>
      </c>
      <c r="C14" s="326" t="s">
        <v>171</v>
      </c>
      <c r="D14" s="324" t="str">
        <f t="shared" si="0"/>
        <v>EURTOM6F1</v>
      </c>
      <c r="E14" s="324" t="str">
        <v>EURTOM6F1=ICAP</v>
      </c>
      <c r="F14" s="325">
        <v>0.31900000000000001</v>
      </c>
      <c r="G14" s="325">
        <v>0.36899999999999999</v>
      </c>
      <c r="H14" s="324">
        <v>0</v>
      </c>
      <c r="I14" s="324">
        <v>0</v>
      </c>
      <c r="J14" s="269">
        <f>_xll.qlMidSafe($F14,$G14)</f>
        <v>0.34399999999999997</v>
      </c>
      <c r="K14" s="267"/>
      <c r="L14" s="323">
        <v>0.34399999999999997</v>
      </c>
      <c r="M14" s="267"/>
      <c r="N14" s="266" t="str">
        <f t="shared" si="1"/>
        <v>EURTOM6F1_Quote</v>
      </c>
      <c r="O14" s="265">
        <v>0.34399999999999997</v>
      </c>
      <c r="P14" s="264" t="e">
        <f>_xll.qlSimpleQuoteSetValue($N14,$O14/100,Trigger)</f>
        <v>#N/A</v>
      </c>
      <c r="Q14" s="225"/>
      <c r="S14" s="322"/>
      <c r="W14" s="307">
        <f t="shared" si="2"/>
        <v>5.0000000000000044E-4</v>
      </c>
    </row>
    <row r="15" spans="1:23" x14ac:dyDescent="0.2">
      <c r="A15" s="130"/>
      <c r="B15" s="321">
        <v>1</v>
      </c>
      <c r="C15" s="320" t="str">
        <f t="shared" ref="C15:C32" si="3">"x"&amp;B15+6&amp;"F"</f>
        <v>x7F</v>
      </c>
      <c r="D15" s="318" t="str">
        <f t="shared" si="0"/>
        <v>EUR1x7F</v>
      </c>
      <c r="E15" s="318" t="str">
        <v>EUR1X7F=ICAP</v>
      </c>
      <c r="F15" s="319">
        <v>0.34699999999999998</v>
      </c>
      <c r="G15" s="319">
        <v>0.39700000000000002</v>
      </c>
      <c r="H15" s="318">
        <v>0</v>
      </c>
      <c r="I15" s="318">
        <v>0</v>
      </c>
      <c r="J15" s="276">
        <f>_xll.qlMidSafe($F15,$G15)</f>
        <v>0.372</v>
      </c>
      <c r="K15" s="267"/>
      <c r="L15" s="317">
        <v>0.372</v>
      </c>
      <c r="M15" s="267"/>
      <c r="N15" s="274" t="str">
        <f t="shared" si="1"/>
        <v>EUR1x7F_Quote</v>
      </c>
      <c r="O15" s="273">
        <v>0.372</v>
      </c>
      <c r="P15" s="272" t="e">
        <f>_xll.qlSimpleQuoteSetValue($N15,$O15/100,Trigger)</f>
        <v>#N/A</v>
      </c>
      <c r="Q15" s="225"/>
      <c r="S15" s="322"/>
      <c r="W15" s="307">
        <f t="shared" si="2"/>
        <v>5.0000000000000044E-4</v>
      </c>
    </row>
    <row r="16" spans="1:23" x14ac:dyDescent="0.2">
      <c r="A16" s="130"/>
      <c r="B16" s="321">
        <v>2</v>
      </c>
      <c r="C16" s="320" t="str">
        <f t="shared" si="3"/>
        <v>x8F</v>
      </c>
      <c r="D16" s="318" t="str">
        <f t="shared" si="0"/>
        <v>EUR2x8F</v>
      </c>
      <c r="E16" s="318" t="str">
        <v>EUR2X8F=ICAP</v>
      </c>
      <c r="F16" s="319">
        <v>0.371</v>
      </c>
      <c r="G16" s="319">
        <v>0.42099999999999999</v>
      </c>
      <c r="H16" s="318">
        <v>0</v>
      </c>
      <c r="I16" s="318">
        <v>0</v>
      </c>
      <c r="J16" s="276">
        <f>_xll.qlMidSafe($F16,$G16)</f>
        <v>0.39600000000000002</v>
      </c>
      <c r="K16" s="267"/>
      <c r="L16" s="317">
        <v>0.39600000000000002</v>
      </c>
      <c r="M16" s="267"/>
      <c r="N16" s="274" t="str">
        <f t="shared" si="1"/>
        <v>EUR2x8F_Quote</v>
      </c>
      <c r="O16" s="273">
        <v>0.39600000000000002</v>
      </c>
      <c r="P16" s="272" t="e">
        <f>_xll.qlSimpleQuoteSetValue($N16,$O16/100,Trigger)</f>
        <v>#N/A</v>
      </c>
      <c r="Q16" s="225"/>
      <c r="S16" s="322"/>
      <c r="W16" s="307">
        <f t="shared" si="2"/>
        <v>4.9999999999999936E-4</v>
      </c>
    </row>
    <row r="17" spans="1:23" x14ac:dyDescent="0.2">
      <c r="A17" s="130"/>
      <c r="B17" s="321">
        <v>3</v>
      </c>
      <c r="C17" s="320" t="str">
        <f t="shared" si="3"/>
        <v>x9F</v>
      </c>
      <c r="D17" s="318" t="str">
        <f t="shared" si="0"/>
        <v>EUR3x9F</v>
      </c>
      <c r="E17" s="318" t="str">
        <v>EUR3X9F=ICAP</v>
      </c>
      <c r="F17" s="319">
        <v>0.40300000000000002</v>
      </c>
      <c r="G17" s="319">
        <v>0.45300000000000001</v>
      </c>
      <c r="H17" s="318">
        <v>0</v>
      </c>
      <c r="I17" s="318">
        <v>0</v>
      </c>
      <c r="J17" s="276">
        <f>_xll.qlMidSafe($F17,$G17)</f>
        <v>0.42800000000000005</v>
      </c>
      <c r="K17" s="267"/>
      <c r="L17" s="317">
        <v>0.42800000000000005</v>
      </c>
      <c r="M17" s="267"/>
      <c r="N17" s="274" t="str">
        <f t="shared" si="1"/>
        <v>EUR3x9F_Quote</v>
      </c>
      <c r="O17" s="273">
        <v>0.42800000000000005</v>
      </c>
      <c r="P17" s="272" t="e">
        <f>_xll.qlSimpleQuoteSetValue($N17,$O17/100,Trigger)</f>
        <v>#N/A</v>
      </c>
      <c r="Q17" s="225"/>
      <c r="S17" s="322"/>
      <c r="W17" s="307">
        <f t="shared" si="2"/>
        <v>4.9999999999999936E-4</v>
      </c>
    </row>
    <row r="18" spans="1:23" x14ac:dyDescent="0.2">
      <c r="A18" s="130"/>
      <c r="B18" s="321">
        <v>4</v>
      </c>
      <c r="C18" s="320" t="str">
        <f t="shared" si="3"/>
        <v>x10F</v>
      </c>
      <c r="D18" s="318" t="str">
        <f t="shared" si="0"/>
        <v>EUR4x10F</v>
      </c>
      <c r="E18" s="318" t="str">
        <v>EUR4X10F=ICAP</v>
      </c>
      <c r="F18" s="319">
        <v>0.42599999999999999</v>
      </c>
      <c r="G18" s="319">
        <v>0.47599999999999998</v>
      </c>
      <c r="H18" s="318">
        <v>0</v>
      </c>
      <c r="I18" s="318">
        <v>0</v>
      </c>
      <c r="J18" s="276">
        <f>_xll.qlMidSafe($F18,$G18)</f>
        <v>0.45099999999999996</v>
      </c>
      <c r="K18" s="267"/>
      <c r="L18" s="317">
        <v>0.45099999999999996</v>
      </c>
      <c r="M18" s="267"/>
      <c r="N18" s="274" t="str">
        <f t="shared" si="1"/>
        <v>EUR4x10F_Quote</v>
      </c>
      <c r="O18" s="273">
        <v>0.45099999999999996</v>
      </c>
      <c r="P18" s="272" t="e">
        <f>_xll.qlSimpleQuoteSetValue($N18,$O18/100,Trigger)</f>
        <v>#N/A</v>
      </c>
      <c r="Q18" s="225"/>
      <c r="S18" s="322"/>
      <c r="W18" s="307">
        <f t="shared" si="2"/>
        <v>5.0000000000000044E-4</v>
      </c>
    </row>
    <row r="19" spans="1:23" x14ac:dyDescent="0.2">
      <c r="A19" s="130"/>
      <c r="B19" s="321">
        <v>5</v>
      </c>
      <c r="C19" s="320" t="str">
        <f t="shared" si="3"/>
        <v>x11F</v>
      </c>
      <c r="D19" s="318" t="str">
        <f t="shared" si="0"/>
        <v>EUR5x11F</v>
      </c>
      <c r="E19" s="318" t="str">
        <v>EUR5X11F=ICAP</v>
      </c>
      <c r="F19" s="319">
        <v>0.45200000000000001</v>
      </c>
      <c r="G19" s="319">
        <v>0.502</v>
      </c>
      <c r="H19" s="318">
        <v>0</v>
      </c>
      <c r="I19" s="318">
        <v>0</v>
      </c>
      <c r="J19" s="276">
        <f>_xll.qlMidSafe($F19,$G19)</f>
        <v>0.47699999999999998</v>
      </c>
      <c r="K19" s="267"/>
      <c r="L19" s="317">
        <v>0.47599999999999998</v>
      </c>
      <c r="M19" s="267"/>
      <c r="N19" s="274" t="str">
        <f t="shared" si="1"/>
        <v>EUR5x11F_Quote</v>
      </c>
      <c r="O19" s="273">
        <v>0.47699999999999998</v>
      </c>
      <c r="P19" s="272" t="e">
        <f>_xll.qlSimpleQuoteSetValue($N19,$O19/100,Trigger)</f>
        <v>#N/A</v>
      </c>
      <c r="Q19" s="225"/>
      <c r="S19" s="322"/>
      <c r="W19" s="307">
        <f t="shared" si="2"/>
        <v>5.0000000000000044E-4</v>
      </c>
    </row>
    <row r="20" spans="1:23" x14ac:dyDescent="0.2">
      <c r="A20" s="130"/>
      <c r="B20" s="321">
        <v>6</v>
      </c>
      <c r="C20" s="320" t="str">
        <f t="shared" si="3"/>
        <v>x12F</v>
      </c>
      <c r="D20" s="318" t="str">
        <f t="shared" si="0"/>
        <v>EUR6x12F</v>
      </c>
      <c r="E20" s="318" t="str">
        <v>EUR6X12F=ICAP</v>
      </c>
      <c r="F20" s="319">
        <v>0.47499999999999998</v>
      </c>
      <c r="G20" s="319">
        <v>0.52500000000000002</v>
      </c>
      <c r="H20" s="318">
        <v>0</v>
      </c>
      <c r="I20" s="318">
        <v>0</v>
      </c>
      <c r="J20" s="276">
        <f>_xll.qlMidSafe($F20,$G20)</f>
        <v>0.5</v>
      </c>
      <c r="K20" s="267"/>
      <c r="L20" s="317">
        <v>0.499</v>
      </c>
      <c r="M20" s="267"/>
      <c r="N20" s="274" t="str">
        <f t="shared" si="1"/>
        <v>EUR6x12F_Quote</v>
      </c>
      <c r="O20" s="273">
        <v>0.5</v>
      </c>
      <c r="P20" s="272" t="e">
        <f>_xll.qlSimpleQuoteSetValue($N20,$O20/100,Trigger)</f>
        <v>#N/A</v>
      </c>
      <c r="Q20" s="225"/>
      <c r="S20" s="322"/>
      <c r="W20" s="307">
        <f t="shared" si="2"/>
        <v>5.0000000000000044E-4</v>
      </c>
    </row>
    <row r="21" spans="1:23" x14ac:dyDescent="0.2">
      <c r="A21" s="130"/>
      <c r="B21" s="321">
        <v>7</v>
      </c>
      <c r="C21" s="320" t="str">
        <f t="shared" si="3"/>
        <v>x13F</v>
      </c>
      <c r="D21" s="318" t="str">
        <f t="shared" si="0"/>
        <v>EUR7x13F</v>
      </c>
      <c r="E21" s="318" t="str">
        <v>EUR7X13F=ICAP</v>
      </c>
      <c r="F21" s="319">
        <v>0.501</v>
      </c>
      <c r="G21" s="319">
        <v>0.55100000000000005</v>
      </c>
      <c r="H21" s="318">
        <v>0</v>
      </c>
      <c r="I21" s="318">
        <v>0</v>
      </c>
      <c r="J21" s="276">
        <f>_xll.qlMidSafe($F21,$G21)</f>
        <v>0.52600000000000002</v>
      </c>
      <c r="K21" s="267"/>
      <c r="L21" s="317">
        <v>0.52400000000000002</v>
      </c>
      <c r="M21" s="267"/>
      <c r="N21" s="274" t="str">
        <f t="shared" si="1"/>
        <v>EUR7x13F_Quote</v>
      </c>
      <c r="O21" s="273">
        <v>0.52600000000000002</v>
      </c>
      <c r="P21" s="272" t="e">
        <f>_xll.qlSimpleQuoteSetValue($N21,$O21/100,Trigger)</f>
        <v>#N/A</v>
      </c>
      <c r="Q21" s="225"/>
      <c r="S21" s="322"/>
      <c r="W21" s="307">
        <f t="shared" si="2"/>
        <v>5.0000000000000044E-4</v>
      </c>
    </row>
    <row r="22" spans="1:23" x14ac:dyDescent="0.2">
      <c r="A22" s="130"/>
      <c r="B22" s="321">
        <v>8</v>
      </c>
      <c r="C22" s="320" t="str">
        <f t="shared" si="3"/>
        <v>x14F</v>
      </c>
      <c r="D22" s="318" t="str">
        <f t="shared" si="0"/>
        <v>EUR8x14F</v>
      </c>
      <c r="E22" s="318" t="str">
        <v>EUR8X14F=ICAP</v>
      </c>
      <c r="F22" s="319">
        <v>0.52500000000000002</v>
      </c>
      <c r="G22" s="319">
        <v>0.57499999999999996</v>
      </c>
      <c r="H22" s="318">
        <v>0</v>
      </c>
      <c r="I22" s="318">
        <v>0</v>
      </c>
      <c r="J22" s="276">
        <f>_xll.qlMidSafe($F22,$G22)</f>
        <v>0.55000000000000004</v>
      </c>
      <c r="K22" s="267"/>
      <c r="L22" s="317">
        <v>0.54800000000000004</v>
      </c>
      <c r="M22" s="267"/>
      <c r="N22" s="274" t="str">
        <f t="shared" si="1"/>
        <v>EUR8x14F_Quote</v>
      </c>
      <c r="O22" s="273">
        <v>0.55000000000000004</v>
      </c>
      <c r="P22" s="272" t="e">
        <f>_xll.qlSimpleQuoteSetValue($N22,$O22/100,Trigger)</f>
        <v>#N/A</v>
      </c>
      <c r="Q22" s="225"/>
      <c r="S22" s="322"/>
      <c r="W22" s="307">
        <f t="shared" si="2"/>
        <v>4.9999999999999828E-4</v>
      </c>
    </row>
    <row r="23" spans="1:23" x14ac:dyDescent="0.2">
      <c r="A23" s="130"/>
      <c r="B23" s="321">
        <v>9</v>
      </c>
      <c r="C23" s="320" t="str">
        <f t="shared" si="3"/>
        <v>x15F</v>
      </c>
      <c r="D23" s="318" t="str">
        <f t="shared" si="0"/>
        <v>EUR9x15F</v>
      </c>
      <c r="E23" s="318" t="str">
        <v>EUR9X15F=ICAP</v>
      </c>
      <c r="F23" s="319">
        <v>0.55000000000000004</v>
      </c>
      <c r="G23" s="319">
        <v>0.6</v>
      </c>
      <c r="H23" s="318">
        <v>0</v>
      </c>
      <c r="I23" s="318">
        <v>0</v>
      </c>
      <c r="J23" s="276">
        <f>_xll.qlMidSafe($F23,$G23)</f>
        <v>0.57499999999999996</v>
      </c>
      <c r="K23" s="267"/>
      <c r="L23" s="317">
        <v>0.57299999999999995</v>
      </c>
      <c r="M23" s="267"/>
      <c r="N23" s="274" t="str">
        <f t="shared" si="1"/>
        <v>EUR9x15F_Quote</v>
      </c>
      <c r="O23" s="273">
        <v>0.57499999999999996</v>
      </c>
      <c r="P23" s="272" t="e">
        <f>_xll.qlSimpleQuoteSetValue($N23,$O23/100,Trigger)</f>
        <v>#N/A</v>
      </c>
      <c r="Q23" s="225"/>
      <c r="S23" s="322"/>
      <c r="W23" s="307">
        <f t="shared" si="2"/>
        <v>5.0000000000000044E-4</v>
      </c>
    </row>
    <row r="24" spans="1:23" x14ac:dyDescent="0.2">
      <c r="A24" s="130"/>
      <c r="B24" s="321">
        <v>10</v>
      </c>
      <c r="C24" s="320" t="str">
        <f t="shared" si="3"/>
        <v>x16F</v>
      </c>
      <c r="D24" s="318" t="str">
        <f t="shared" si="0"/>
        <v>EUR10x16F</v>
      </c>
      <c r="E24" s="318" t="str">
        <v>EUR10X16F=ICAP</v>
      </c>
      <c r="F24" s="319">
        <v>0.57199999999999995</v>
      </c>
      <c r="G24" s="319">
        <v>0.622</v>
      </c>
      <c r="H24" s="318">
        <v>0</v>
      </c>
      <c r="I24" s="318">
        <v>0</v>
      </c>
      <c r="J24" s="276">
        <f>_xll.qlMidSafe($F24,$G24)</f>
        <v>0.59699999999999998</v>
      </c>
      <c r="K24" s="267"/>
      <c r="L24" s="317">
        <v>0.59499999999999997</v>
      </c>
      <c r="M24" s="267"/>
      <c r="N24" s="274" t="str">
        <f t="shared" si="1"/>
        <v>EUR10x16F_Quote</v>
      </c>
      <c r="O24" s="273">
        <v>0.59699999999999998</v>
      </c>
      <c r="P24" s="272" t="e">
        <f>_xll.qlSimpleQuoteSetValue($N24,$O24/100,Trigger)</f>
        <v>#N/A</v>
      </c>
      <c r="Q24" s="225"/>
      <c r="S24" s="322"/>
      <c r="W24" s="307">
        <f t="shared" si="2"/>
        <v>5.0000000000000044E-4</v>
      </c>
    </row>
    <row r="25" spans="1:23" x14ac:dyDescent="0.2">
      <c r="A25" s="130"/>
      <c r="B25" s="321">
        <v>11</v>
      </c>
      <c r="C25" s="320" t="str">
        <f t="shared" si="3"/>
        <v>x17F</v>
      </c>
      <c r="D25" s="318" t="str">
        <f t="shared" si="0"/>
        <v>EUR11x17F</v>
      </c>
      <c r="E25" s="318" t="str">
        <v>EUR11X17F=ICAP</v>
      </c>
      <c r="F25" s="319">
        <v>0.59799999999999998</v>
      </c>
      <c r="G25" s="319">
        <v>0.64800000000000002</v>
      </c>
      <c r="H25" s="318">
        <v>0</v>
      </c>
      <c r="I25" s="318">
        <v>0</v>
      </c>
      <c r="J25" s="276">
        <f>_xll.qlMidSafe($F25,$G25)</f>
        <v>0.623</v>
      </c>
      <c r="K25" s="267"/>
      <c r="L25" s="317">
        <v>0.62</v>
      </c>
      <c r="M25" s="267"/>
      <c r="N25" s="274" t="str">
        <f t="shared" si="1"/>
        <v>EUR11x17F_Quote</v>
      </c>
      <c r="O25" s="273">
        <v>0.623</v>
      </c>
      <c r="P25" s="272" t="e">
        <f>_xll.qlSimpleQuoteSetValue($N25,$O25/100,Trigger)</f>
        <v>#N/A</v>
      </c>
      <c r="Q25" s="225"/>
      <c r="W25" s="307">
        <f t="shared" si="2"/>
        <v>5.0000000000000044E-4</v>
      </c>
    </row>
    <row r="26" spans="1:23" x14ac:dyDescent="0.2">
      <c r="A26" s="130"/>
      <c r="B26" s="321">
        <v>12</v>
      </c>
      <c r="C26" s="320" t="str">
        <f t="shared" si="3"/>
        <v>x18F</v>
      </c>
      <c r="D26" s="318" t="str">
        <f t="shared" si="0"/>
        <v>EUR12x18F</v>
      </c>
      <c r="E26" s="318" t="str">
        <v>EUR12X18F=ICAP</v>
      </c>
      <c r="F26" s="319">
        <v>0.622</v>
      </c>
      <c r="G26" s="319">
        <v>0.67200000000000004</v>
      </c>
      <c r="H26" s="318">
        <v>0</v>
      </c>
      <c r="I26" s="318">
        <v>0</v>
      </c>
      <c r="J26" s="276">
        <f>_xll.qlMidSafe($F26,$G26)</f>
        <v>0.64700000000000002</v>
      </c>
      <c r="K26" s="267"/>
      <c r="L26" s="317">
        <v>0.64400000000000002</v>
      </c>
      <c r="M26" s="267"/>
      <c r="N26" s="274" t="str">
        <f t="shared" si="1"/>
        <v>EUR12x18F_Quote</v>
      </c>
      <c r="O26" s="273">
        <v>0.64700000000000002</v>
      </c>
      <c r="P26" s="272" t="e">
        <f>_xll.qlSimpleQuoteSetValue($N26,$O26/100,Trigger)</f>
        <v>#N/A</v>
      </c>
      <c r="Q26" s="225"/>
      <c r="W26" s="307">
        <f t="shared" si="2"/>
        <v>5.0000000000000044E-4</v>
      </c>
    </row>
    <row r="27" spans="1:23" x14ac:dyDescent="0.2">
      <c r="A27" s="130"/>
      <c r="B27" s="321">
        <v>13</v>
      </c>
      <c r="C27" s="320" t="str">
        <f t="shared" si="3"/>
        <v>x19F</v>
      </c>
      <c r="D27" s="318" t="str">
        <f t="shared" si="0"/>
        <v>EUR13x19F</v>
      </c>
      <c r="E27" s="318" t="str">
        <v>EUR13X19F=ICAP</v>
      </c>
      <c r="F27" s="319">
        <v>0.64200000000000002</v>
      </c>
      <c r="G27" s="319">
        <v>0.69199999999999995</v>
      </c>
      <c r="H27" s="318">
        <v>0</v>
      </c>
      <c r="I27" s="318">
        <v>0</v>
      </c>
      <c r="J27" s="276">
        <f>_xll.qlMidSafe($F27,$G27)</f>
        <v>0.66700000000000004</v>
      </c>
      <c r="K27" s="267"/>
      <c r="L27" s="317">
        <v>0.66399999999999992</v>
      </c>
      <c r="M27" s="267"/>
      <c r="N27" s="274" t="str">
        <f t="shared" si="1"/>
        <v>EUR13x19F_Quote</v>
      </c>
      <c r="O27" s="273">
        <v>0.66700000000000004</v>
      </c>
      <c r="P27" s="272" t="e">
        <f>_xll.qlSimpleQuoteSetValue($N27,$O27/100,Trigger)</f>
        <v>#N/A</v>
      </c>
      <c r="Q27" s="225"/>
      <c r="W27" s="307">
        <f t="shared" si="2"/>
        <v>4.9999999999999828E-4</v>
      </c>
    </row>
    <row r="28" spans="1:23" x14ac:dyDescent="0.2">
      <c r="A28" s="130"/>
      <c r="B28" s="321">
        <v>14</v>
      </c>
      <c r="C28" s="320" t="str">
        <f t="shared" si="3"/>
        <v>x20F</v>
      </c>
      <c r="D28" s="318" t="str">
        <f t="shared" si="0"/>
        <v>EUR14x20F</v>
      </c>
      <c r="E28" s="318" t="str">
        <v>EUR14X20F=ICAP</v>
      </c>
      <c r="F28" s="319">
        <v>0.66500000000000004</v>
      </c>
      <c r="G28" s="319">
        <v>0.71499999999999997</v>
      </c>
      <c r="H28" s="318">
        <v>0</v>
      </c>
      <c r="I28" s="318">
        <v>0</v>
      </c>
      <c r="J28" s="276">
        <f>_xll.qlMidSafe($F28,$G28)</f>
        <v>0.69</v>
      </c>
      <c r="K28" s="267"/>
      <c r="L28" s="317">
        <v>0.68700000000000006</v>
      </c>
      <c r="M28" s="267"/>
      <c r="N28" s="274" t="str">
        <f t="shared" si="1"/>
        <v>EUR14x20F_Quote</v>
      </c>
      <c r="O28" s="273">
        <v>0.69</v>
      </c>
      <c r="P28" s="272" t="e">
        <f>_xll.qlSimpleQuoteSetValue($N28,$O28/100,Trigger)</f>
        <v>#N/A</v>
      </c>
      <c r="Q28" s="225"/>
      <c r="W28" s="307">
        <f t="shared" si="2"/>
        <v>5.0000000000000044E-4</v>
      </c>
    </row>
    <row r="29" spans="1:23" x14ac:dyDescent="0.2">
      <c r="A29" s="130"/>
      <c r="B29" s="321">
        <v>15</v>
      </c>
      <c r="C29" s="320" t="str">
        <f t="shared" si="3"/>
        <v>x21F</v>
      </c>
      <c r="D29" s="318" t="str">
        <f t="shared" si="0"/>
        <v>EUR15x21F</v>
      </c>
      <c r="E29" s="318" t="str">
        <v>EUR15X21F=ICAP</v>
      </c>
      <c r="F29" s="319">
        <v>0.68799999999999994</v>
      </c>
      <c r="G29" s="319">
        <v>0.73799999999999999</v>
      </c>
      <c r="H29" s="318">
        <v>0</v>
      </c>
      <c r="I29" s="318">
        <v>0</v>
      </c>
      <c r="J29" s="276">
        <f>_xll.qlMidSafe($F29,$G29)</f>
        <v>0.71299999999999997</v>
      </c>
      <c r="K29" s="267"/>
      <c r="L29" s="317">
        <v>0.71100000000000008</v>
      </c>
      <c r="M29" s="267"/>
      <c r="N29" s="274" t="str">
        <f t="shared" si="1"/>
        <v>EUR15x21F_Quote</v>
      </c>
      <c r="O29" s="273">
        <v>0.71299999999999997</v>
      </c>
      <c r="P29" s="272" t="e">
        <f>_xll.qlSimpleQuoteSetValue($N29,$O29/100,Trigger)</f>
        <v>#N/A</v>
      </c>
      <c r="Q29" s="225"/>
      <c r="W29" s="307">
        <f t="shared" si="2"/>
        <v>5.0000000000000044E-4</v>
      </c>
    </row>
    <row r="30" spans="1:23" x14ac:dyDescent="0.2">
      <c r="A30" s="130"/>
      <c r="B30" s="321">
        <v>16</v>
      </c>
      <c r="C30" s="320" t="str">
        <f t="shared" si="3"/>
        <v>x22F</v>
      </c>
      <c r="D30" s="318" t="str">
        <f t="shared" si="0"/>
        <v>EUR16x22F</v>
      </c>
      <c r="E30" s="318" t="str">
        <v>EUR16X22F=ICAP</v>
      </c>
      <c r="F30" s="319">
        <v>0.71</v>
      </c>
      <c r="G30" s="319">
        <v>0.76</v>
      </c>
      <c r="H30" s="318">
        <v>0</v>
      </c>
      <c r="I30" s="318">
        <v>0</v>
      </c>
      <c r="J30" s="276">
        <f>_xll.qlMidSafe($F30,$G30)</f>
        <v>0.73499999999999999</v>
      </c>
      <c r="K30" s="267"/>
      <c r="L30" s="317">
        <v>0.73299999999999998</v>
      </c>
      <c r="M30" s="267"/>
      <c r="N30" s="274" t="str">
        <f t="shared" si="1"/>
        <v>EUR16x22F_Quote</v>
      </c>
      <c r="O30" s="273">
        <v>0.73499999999999999</v>
      </c>
      <c r="P30" s="272" t="e">
        <f>_xll.qlSimpleQuoteSetValue($N30,$O30/100,Trigger)</f>
        <v>#N/A</v>
      </c>
      <c r="Q30" s="225"/>
      <c r="W30" s="307">
        <f t="shared" si="2"/>
        <v>5.0000000000000044E-4</v>
      </c>
    </row>
    <row r="31" spans="1:23" x14ac:dyDescent="0.2">
      <c r="A31" s="130"/>
      <c r="B31" s="321">
        <v>17</v>
      </c>
      <c r="C31" s="320" t="str">
        <f t="shared" si="3"/>
        <v>x23F</v>
      </c>
      <c r="D31" s="318" t="str">
        <f t="shared" si="0"/>
        <v>EUR17x23F</v>
      </c>
      <c r="E31" s="318" t="str">
        <v>EUR17X23F=ICAP</v>
      </c>
      <c r="F31" s="319">
        <v>0.73599999999999999</v>
      </c>
      <c r="G31" s="319">
        <v>0.78600000000000003</v>
      </c>
      <c r="H31" s="318">
        <v>0</v>
      </c>
      <c r="I31" s="318">
        <v>0</v>
      </c>
      <c r="J31" s="276">
        <f>_xll.qlMidSafe($F31,$G31)</f>
        <v>0.76100000000000001</v>
      </c>
      <c r="K31" s="267"/>
      <c r="L31" s="317">
        <v>0.76</v>
      </c>
      <c r="M31" s="267"/>
      <c r="N31" s="274" t="str">
        <f t="shared" si="1"/>
        <v>EUR17x23F_Quote</v>
      </c>
      <c r="O31" s="273">
        <v>0.76100000000000001</v>
      </c>
      <c r="P31" s="272" t="e">
        <f>_xll.qlSimpleQuoteSetValue($N31,$O31/100,Trigger)</f>
        <v>#N/A</v>
      </c>
      <c r="Q31" s="225"/>
      <c r="W31" s="307">
        <f t="shared" si="2"/>
        <v>5.0000000000000044E-4</v>
      </c>
    </row>
    <row r="32" spans="1:23" x14ac:dyDescent="0.2">
      <c r="A32" s="130"/>
      <c r="B32" s="321">
        <v>18</v>
      </c>
      <c r="C32" s="320" t="str">
        <f t="shared" si="3"/>
        <v>x24F</v>
      </c>
      <c r="D32" s="318" t="str">
        <f t="shared" si="0"/>
        <v>EUR18x24F</v>
      </c>
      <c r="E32" s="318" t="str">
        <v>EUR18X24F=ICAP</v>
      </c>
      <c r="F32" s="319">
        <v>0.75900000000000001</v>
      </c>
      <c r="G32" s="319">
        <v>0.80900000000000005</v>
      </c>
      <c r="H32" s="318">
        <v>0</v>
      </c>
      <c r="I32" s="318">
        <v>0</v>
      </c>
      <c r="J32" s="276">
        <f>_xll.qlMidSafe($F32,$G32)</f>
        <v>0.78400000000000003</v>
      </c>
      <c r="K32" s="267"/>
      <c r="L32" s="317">
        <v>0.78300000000000003</v>
      </c>
      <c r="M32" s="267"/>
      <c r="N32" s="274" t="str">
        <f t="shared" si="1"/>
        <v>EUR18x24F_Quote</v>
      </c>
      <c r="O32" s="273">
        <v>0.78400000000000003</v>
      </c>
      <c r="P32" s="272" t="e">
        <f>_xll.qlSimpleQuoteSetValue($N32,$O32/100,Trigger)</f>
        <v>#N/A</v>
      </c>
      <c r="Q32" s="225"/>
      <c r="W32" s="307">
        <f t="shared" si="2"/>
        <v>5.0000000000000044E-4</v>
      </c>
    </row>
    <row r="33" spans="1:23" x14ac:dyDescent="0.2">
      <c r="A33" s="130"/>
      <c r="B33" s="316">
        <v>12</v>
      </c>
      <c r="C33" s="315" t="str">
        <f>"x"&amp;B33+12&amp;"F"</f>
        <v>x24F</v>
      </c>
      <c r="D33" s="313" t="str">
        <f t="shared" si="0"/>
        <v>EUR12x24F</v>
      </c>
      <c r="E33" s="313" t="str">
        <v>EUR12X24F=ICAP</v>
      </c>
      <c r="F33" s="314">
        <v>0.83899999999999997</v>
      </c>
      <c r="G33" s="314">
        <v>0.88900000000000001</v>
      </c>
      <c r="H33" s="313">
        <v>0</v>
      </c>
      <c r="I33" s="313">
        <v>0</v>
      </c>
      <c r="J33" s="312">
        <f>_xll.qlMidSafe($F33,$G33)</f>
        <v>0.86399999999999999</v>
      </c>
      <c r="K33" s="267"/>
      <c r="L33" s="311">
        <v>0.86199999999999999</v>
      </c>
      <c r="M33" s="267"/>
      <c r="N33" s="310" t="str">
        <f t="shared" si="1"/>
        <v>EUR12x24F_Quote</v>
      </c>
      <c r="O33" s="309">
        <v>0.86399999999999999</v>
      </c>
      <c r="P33" s="308" t="e">
        <f>_xll.qlSimpleQuoteSetValue($N33,$O33/100,Trigger)</f>
        <v>#N/A</v>
      </c>
      <c r="Q33" s="225"/>
      <c r="W33" s="307">
        <f t="shared" si="2"/>
        <v>5.0000000000000044E-4</v>
      </c>
    </row>
    <row r="34" spans="1:23" ht="12" thickBot="1" x14ac:dyDescent="0.25">
      <c r="A34" s="53"/>
      <c r="B34" s="306"/>
      <c r="C34" s="306"/>
      <c r="D34" s="306"/>
      <c r="E34" s="306"/>
      <c r="F34" s="306"/>
      <c r="G34" s="306"/>
      <c r="H34" s="306"/>
      <c r="I34" s="306"/>
      <c r="J34" s="306"/>
      <c r="K34" s="52"/>
      <c r="L34" s="306"/>
      <c r="M34" s="52"/>
      <c r="N34" s="306"/>
      <c r="O34" s="306"/>
      <c r="P34" s="306"/>
      <c r="Q34" s="51"/>
    </row>
  </sheetData>
  <dataValidations count="1">
    <dataValidation type="list" showInputMessage="1" showErrorMessage="1" sqref="E2 JA2 SW2 ACS2 AMO2 AWK2 BGG2 BQC2 BZY2 CJU2 CTQ2 DDM2 DNI2 DXE2 EHA2 EQW2 FAS2 FKO2 FUK2 GEG2 GOC2 GXY2 HHU2 HRQ2 IBM2 ILI2 IVE2 JFA2 JOW2 JYS2 KIO2 KSK2 LCG2 LMC2 LVY2 MFU2 MPQ2 MZM2 NJI2 NTE2 ODA2 OMW2 OWS2 PGO2 PQK2 QAG2 QKC2 QTY2 RDU2 RNQ2 RXM2 SHI2 SRE2 TBA2 TKW2 TUS2 UEO2 UOK2 UYG2 VIC2 VRY2 WBU2 WLQ2 WVM2 E65538 JA65538 SW65538 ACS65538 AMO65538 AWK65538 BGG65538 BQC65538 BZY65538 CJU65538 CTQ65538 DDM65538 DNI65538 DXE65538 EHA65538 EQW65538 FAS65538 FKO65538 FUK65538 GEG65538 GOC65538 GXY65538 HHU65538 HRQ65538 IBM65538 ILI65538 IVE65538 JFA65538 JOW65538 JYS65538 KIO65538 KSK65538 LCG65538 LMC65538 LVY65538 MFU65538 MPQ65538 MZM65538 NJI65538 NTE65538 ODA65538 OMW65538 OWS65538 PGO65538 PQK65538 QAG65538 QKC65538 QTY65538 RDU65538 RNQ65538 RXM65538 SHI65538 SRE65538 TBA65538 TKW65538 TUS65538 UEO65538 UOK65538 UYG65538 VIC65538 VRY65538 WBU65538 WLQ65538 WVM65538 E131074 JA131074 SW131074 ACS131074 AMO131074 AWK131074 BGG131074 BQC131074 BZY131074 CJU131074 CTQ131074 DDM131074 DNI131074 DXE131074 EHA131074 EQW131074 FAS131074 FKO131074 FUK131074 GEG131074 GOC131074 GXY131074 HHU131074 HRQ131074 IBM131074 ILI131074 IVE131074 JFA131074 JOW131074 JYS131074 KIO131074 KSK131074 LCG131074 LMC131074 LVY131074 MFU131074 MPQ131074 MZM131074 NJI131074 NTE131074 ODA131074 OMW131074 OWS131074 PGO131074 PQK131074 QAG131074 QKC131074 QTY131074 RDU131074 RNQ131074 RXM131074 SHI131074 SRE131074 TBA131074 TKW131074 TUS131074 UEO131074 UOK131074 UYG131074 VIC131074 VRY131074 WBU131074 WLQ131074 WVM131074 E196610 JA196610 SW196610 ACS196610 AMO196610 AWK196610 BGG196610 BQC196610 BZY196610 CJU196610 CTQ196610 DDM196610 DNI196610 DXE196610 EHA196610 EQW196610 FAS196610 FKO196610 FUK196610 GEG196610 GOC196610 GXY196610 HHU196610 HRQ196610 IBM196610 ILI196610 IVE196610 JFA196610 JOW196610 JYS196610 KIO196610 KSK196610 LCG196610 LMC196610 LVY196610 MFU196610 MPQ196610 MZM196610 NJI196610 NTE196610 ODA196610 OMW196610 OWS196610 PGO196610 PQK196610 QAG196610 QKC196610 QTY196610 RDU196610 RNQ196610 RXM196610 SHI196610 SRE196610 TBA196610 TKW196610 TUS196610 UEO196610 UOK196610 UYG196610 VIC196610 VRY196610 WBU196610 WLQ196610 WVM196610 E262146 JA262146 SW262146 ACS262146 AMO262146 AWK262146 BGG262146 BQC262146 BZY262146 CJU262146 CTQ262146 DDM262146 DNI262146 DXE262146 EHA262146 EQW262146 FAS262146 FKO262146 FUK262146 GEG262146 GOC262146 GXY262146 HHU262146 HRQ262146 IBM262146 ILI262146 IVE262146 JFA262146 JOW262146 JYS262146 KIO262146 KSK262146 LCG262146 LMC262146 LVY262146 MFU262146 MPQ262146 MZM262146 NJI262146 NTE262146 ODA262146 OMW262146 OWS262146 PGO262146 PQK262146 QAG262146 QKC262146 QTY262146 RDU262146 RNQ262146 RXM262146 SHI262146 SRE262146 TBA262146 TKW262146 TUS262146 UEO262146 UOK262146 UYG262146 VIC262146 VRY262146 WBU262146 WLQ262146 WVM262146 E327682 JA327682 SW327682 ACS327682 AMO327682 AWK327682 BGG327682 BQC327682 BZY327682 CJU327682 CTQ327682 DDM327682 DNI327682 DXE327682 EHA327682 EQW327682 FAS327682 FKO327682 FUK327682 GEG327682 GOC327682 GXY327682 HHU327682 HRQ327682 IBM327682 ILI327682 IVE327682 JFA327682 JOW327682 JYS327682 KIO327682 KSK327682 LCG327682 LMC327682 LVY327682 MFU327682 MPQ327682 MZM327682 NJI327682 NTE327682 ODA327682 OMW327682 OWS327682 PGO327682 PQK327682 QAG327682 QKC327682 QTY327682 RDU327682 RNQ327682 RXM327682 SHI327682 SRE327682 TBA327682 TKW327682 TUS327682 UEO327682 UOK327682 UYG327682 VIC327682 VRY327682 WBU327682 WLQ327682 WVM327682 E393218 JA393218 SW393218 ACS393218 AMO393218 AWK393218 BGG393218 BQC393218 BZY393218 CJU393218 CTQ393218 DDM393218 DNI393218 DXE393218 EHA393218 EQW393218 FAS393218 FKO393218 FUK393218 GEG393218 GOC393218 GXY393218 HHU393218 HRQ393218 IBM393218 ILI393218 IVE393218 JFA393218 JOW393218 JYS393218 KIO393218 KSK393218 LCG393218 LMC393218 LVY393218 MFU393218 MPQ393218 MZM393218 NJI393218 NTE393218 ODA393218 OMW393218 OWS393218 PGO393218 PQK393218 QAG393218 QKC393218 QTY393218 RDU393218 RNQ393218 RXM393218 SHI393218 SRE393218 TBA393218 TKW393218 TUS393218 UEO393218 UOK393218 UYG393218 VIC393218 VRY393218 WBU393218 WLQ393218 WVM393218 E458754 JA458754 SW458754 ACS458754 AMO458754 AWK458754 BGG458754 BQC458754 BZY458754 CJU458754 CTQ458754 DDM458754 DNI458754 DXE458754 EHA458754 EQW458754 FAS458754 FKO458754 FUK458754 GEG458754 GOC458754 GXY458754 HHU458754 HRQ458754 IBM458754 ILI458754 IVE458754 JFA458754 JOW458754 JYS458754 KIO458754 KSK458754 LCG458754 LMC458754 LVY458754 MFU458754 MPQ458754 MZM458754 NJI458754 NTE458754 ODA458754 OMW458754 OWS458754 PGO458754 PQK458754 QAG458754 QKC458754 QTY458754 RDU458754 RNQ458754 RXM458754 SHI458754 SRE458754 TBA458754 TKW458754 TUS458754 UEO458754 UOK458754 UYG458754 VIC458754 VRY458754 WBU458754 WLQ458754 WVM458754 E524290 JA524290 SW524290 ACS524290 AMO524290 AWK524290 BGG524290 BQC524290 BZY524290 CJU524290 CTQ524290 DDM524290 DNI524290 DXE524290 EHA524290 EQW524290 FAS524290 FKO524290 FUK524290 GEG524290 GOC524290 GXY524290 HHU524290 HRQ524290 IBM524290 ILI524290 IVE524290 JFA524290 JOW524290 JYS524290 KIO524290 KSK524290 LCG524290 LMC524290 LVY524290 MFU524290 MPQ524290 MZM524290 NJI524290 NTE524290 ODA524290 OMW524290 OWS524290 PGO524290 PQK524290 QAG524290 QKC524290 QTY524290 RDU524290 RNQ524290 RXM524290 SHI524290 SRE524290 TBA524290 TKW524290 TUS524290 UEO524290 UOK524290 UYG524290 VIC524290 VRY524290 WBU524290 WLQ524290 WVM524290 E589826 JA589826 SW589826 ACS589826 AMO589826 AWK589826 BGG589826 BQC589826 BZY589826 CJU589826 CTQ589826 DDM589826 DNI589826 DXE589826 EHA589826 EQW589826 FAS589826 FKO589826 FUK589826 GEG589826 GOC589826 GXY589826 HHU589826 HRQ589826 IBM589826 ILI589826 IVE589826 JFA589826 JOW589826 JYS589826 KIO589826 KSK589826 LCG589826 LMC589826 LVY589826 MFU589826 MPQ589826 MZM589826 NJI589826 NTE589826 ODA589826 OMW589826 OWS589826 PGO589826 PQK589826 QAG589826 QKC589826 QTY589826 RDU589826 RNQ589826 RXM589826 SHI589826 SRE589826 TBA589826 TKW589826 TUS589826 UEO589826 UOK589826 UYG589826 VIC589826 VRY589826 WBU589826 WLQ589826 WVM589826 E655362 JA655362 SW655362 ACS655362 AMO655362 AWK655362 BGG655362 BQC655362 BZY655362 CJU655362 CTQ655362 DDM655362 DNI655362 DXE655362 EHA655362 EQW655362 FAS655362 FKO655362 FUK655362 GEG655362 GOC655362 GXY655362 HHU655362 HRQ655362 IBM655362 ILI655362 IVE655362 JFA655362 JOW655362 JYS655362 KIO655362 KSK655362 LCG655362 LMC655362 LVY655362 MFU655362 MPQ655362 MZM655362 NJI655362 NTE655362 ODA655362 OMW655362 OWS655362 PGO655362 PQK655362 QAG655362 QKC655362 QTY655362 RDU655362 RNQ655362 RXM655362 SHI655362 SRE655362 TBA655362 TKW655362 TUS655362 UEO655362 UOK655362 UYG655362 VIC655362 VRY655362 WBU655362 WLQ655362 WVM655362 E720898 JA720898 SW720898 ACS720898 AMO720898 AWK720898 BGG720898 BQC720898 BZY720898 CJU720898 CTQ720898 DDM720898 DNI720898 DXE720898 EHA720898 EQW720898 FAS720898 FKO720898 FUK720898 GEG720898 GOC720898 GXY720898 HHU720898 HRQ720898 IBM720898 ILI720898 IVE720898 JFA720898 JOW720898 JYS720898 KIO720898 KSK720898 LCG720898 LMC720898 LVY720898 MFU720898 MPQ720898 MZM720898 NJI720898 NTE720898 ODA720898 OMW720898 OWS720898 PGO720898 PQK720898 QAG720898 QKC720898 QTY720898 RDU720898 RNQ720898 RXM720898 SHI720898 SRE720898 TBA720898 TKW720898 TUS720898 UEO720898 UOK720898 UYG720898 VIC720898 VRY720898 WBU720898 WLQ720898 WVM720898 E786434 JA786434 SW786434 ACS786434 AMO786434 AWK786434 BGG786434 BQC786434 BZY786434 CJU786434 CTQ786434 DDM786434 DNI786434 DXE786434 EHA786434 EQW786434 FAS786434 FKO786434 FUK786434 GEG786434 GOC786434 GXY786434 HHU786434 HRQ786434 IBM786434 ILI786434 IVE786434 JFA786434 JOW786434 JYS786434 KIO786434 KSK786434 LCG786434 LMC786434 LVY786434 MFU786434 MPQ786434 MZM786434 NJI786434 NTE786434 ODA786434 OMW786434 OWS786434 PGO786434 PQK786434 QAG786434 QKC786434 QTY786434 RDU786434 RNQ786434 RXM786434 SHI786434 SRE786434 TBA786434 TKW786434 TUS786434 UEO786434 UOK786434 UYG786434 VIC786434 VRY786434 WBU786434 WLQ786434 WVM786434 E851970 JA851970 SW851970 ACS851970 AMO851970 AWK851970 BGG851970 BQC851970 BZY851970 CJU851970 CTQ851970 DDM851970 DNI851970 DXE851970 EHA851970 EQW851970 FAS851970 FKO851970 FUK851970 GEG851970 GOC851970 GXY851970 HHU851970 HRQ851970 IBM851970 ILI851970 IVE851970 JFA851970 JOW851970 JYS851970 KIO851970 KSK851970 LCG851970 LMC851970 LVY851970 MFU851970 MPQ851970 MZM851970 NJI851970 NTE851970 ODA851970 OMW851970 OWS851970 PGO851970 PQK851970 QAG851970 QKC851970 QTY851970 RDU851970 RNQ851970 RXM851970 SHI851970 SRE851970 TBA851970 TKW851970 TUS851970 UEO851970 UOK851970 UYG851970 VIC851970 VRY851970 WBU851970 WLQ851970 WVM851970 E917506 JA917506 SW917506 ACS917506 AMO917506 AWK917506 BGG917506 BQC917506 BZY917506 CJU917506 CTQ917506 DDM917506 DNI917506 DXE917506 EHA917506 EQW917506 FAS917506 FKO917506 FUK917506 GEG917506 GOC917506 GXY917506 HHU917506 HRQ917506 IBM917506 ILI917506 IVE917506 JFA917506 JOW917506 JYS917506 KIO917506 KSK917506 LCG917506 LMC917506 LVY917506 MFU917506 MPQ917506 MZM917506 NJI917506 NTE917506 ODA917506 OMW917506 OWS917506 PGO917506 PQK917506 QAG917506 QKC917506 QTY917506 RDU917506 RNQ917506 RXM917506 SHI917506 SRE917506 TBA917506 TKW917506 TUS917506 UEO917506 UOK917506 UYG917506 VIC917506 VRY917506 WBU917506 WLQ917506 WVM917506 E983042 JA983042 SW983042 ACS983042 AMO983042 AWK983042 BGG983042 BQC983042 BZY983042 CJU983042 CTQ983042 DDM983042 DNI983042 DXE983042 EHA983042 EQW983042 FAS983042 FKO983042 FUK983042 GEG983042 GOC983042 GXY983042 HHU983042 HRQ983042 IBM983042 ILI983042 IVE983042 JFA983042 JOW983042 JYS983042 KIO983042 KSK983042 LCG983042 LMC983042 LVY983042 MFU983042 MPQ983042 MZM983042 NJI983042 NTE983042 ODA983042 OMW983042 OWS983042 PGO983042 PQK983042 QAG983042 QKC983042 QTY983042 RDU983042 RNQ983042 RXM983042 SHI983042 SRE983042 TBA983042 TKW983042 TUS983042 UEO983042 UOK983042 UYG983042 VIC983042 VRY983042 WBU983042 WLQ983042 WVM983042">
      <formula1>Contributors</formula1>
    </dataValidation>
  </dataValidations>
  <pageMargins left="0.75" right="0.75" top="1" bottom="1" header="0.5" footer="0.5"/>
  <pageSetup paperSize="9" orientation="portrait" r:id="rId1"/>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X18"/>
  <sheetViews>
    <sheetView workbookViewId="0"/>
  </sheetViews>
  <sheetFormatPr defaultRowHeight="11.25" x14ac:dyDescent="0.2"/>
  <cols>
    <col min="1" max="1" width="2.85546875" style="21" customWidth="1"/>
    <col min="2" max="2" width="2.7109375" style="21" bestFit="1" customWidth="1"/>
    <col min="3" max="3" width="5.7109375" style="21" customWidth="1"/>
    <col min="4" max="4" width="6.140625" style="21" bestFit="1" customWidth="1"/>
    <col min="5" max="5" width="14.28515625" style="21" bestFit="1" customWidth="1"/>
    <col min="6" max="6" width="8.85546875" style="21" bestFit="1" customWidth="1"/>
    <col min="7" max="7" width="10.5703125" style="21" bestFit="1" customWidth="1"/>
    <col min="8" max="10" width="6.5703125" style="21" bestFit="1" customWidth="1"/>
    <col min="11" max="11" width="9.7109375" style="21" customWidth="1"/>
    <col min="12" max="12" width="6.5703125" style="21" bestFit="1" customWidth="1"/>
    <col min="13" max="13" width="2.85546875" style="21" customWidth="1"/>
    <col min="14" max="14" width="6.5703125" style="21" customWidth="1"/>
    <col min="15" max="15" width="2.85546875" style="21" customWidth="1"/>
    <col min="16" max="16" width="15.85546875" style="21" bestFit="1" customWidth="1"/>
    <col min="17" max="17" width="7.7109375" style="21" bestFit="1" customWidth="1"/>
    <col min="18" max="18" width="7" style="21" bestFit="1" customWidth="1"/>
    <col min="19" max="20" width="2.85546875" style="21" customWidth="1"/>
    <col min="21" max="21" width="4.7109375" style="21" bestFit="1" customWidth="1"/>
    <col min="22" max="22" width="6" style="21" bestFit="1" customWidth="1"/>
    <col min="23" max="16384" width="9.140625" style="21"/>
  </cols>
  <sheetData>
    <row r="1" spans="1:24" ht="12.75" customHeight="1" x14ac:dyDescent="0.2">
      <c r="A1" s="305" t="s">
        <v>313</v>
      </c>
      <c r="B1" s="207"/>
      <c r="C1" s="207"/>
      <c r="D1" s="207"/>
      <c r="E1" s="207"/>
      <c r="F1" s="207"/>
      <c r="G1" s="207"/>
      <c r="H1" s="207"/>
      <c r="I1" s="207"/>
      <c r="J1" s="207"/>
      <c r="K1" s="207"/>
      <c r="L1" s="207"/>
      <c r="M1" s="365"/>
      <c r="N1" s="365"/>
      <c r="O1" s="207"/>
      <c r="P1" s="207"/>
      <c r="Q1" s="207"/>
      <c r="R1" s="207"/>
      <c r="S1" s="364"/>
    </row>
    <row r="2" spans="1:24" ht="12.75" customHeight="1" x14ac:dyDescent="0.2">
      <c r="A2" s="304"/>
      <c r="B2" s="145"/>
      <c r="C2" s="303"/>
      <c r="D2" s="303"/>
      <c r="E2" s="145"/>
      <c r="F2" s="145"/>
      <c r="G2" s="145"/>
      <c r="H2" s="145"/>
      <c r="I2" s="145"/>
      <c r="J2" s="145"/>
      <c r="K2" s="145"/>
      <c r="L2" s="145"/>
      <c r="M2" s="267"/>
      <c r="N2" s="267"/>
      <c r="O2" s="145"/>
      <c r="P2" s="99" t="s">
        <v>257</v>
      </c>
      <c r="Q2" s="363" t="s">
        <v>147</v>
      </c>
      <c r="R2" s="145"/>
      <c r="S2" s="362"/>
    </row>
    <row r="3" spans="1:24" ht="12.75" customHeight="1" x14ac:dyDescent="0.2">
      <c r="A3" s="304"/>
      <c r="B3" s="145"/>
      <c r="C3" s="145"/>
      <c r="D3" s="145"/>
      <c r="E3" s="145"/>
      <c r="F3" s="145"/>
      <c r="G3" s="145"/>
      <c r="H3" s="145"/>
      <c r="I3" s="145"/>
      <c r="J3" s="145"/>
      <c r="K3" s="145"/>
      <c r="L3" s="145"/>
      <c r="M3" s="267"/>
      <c r="N3" s="267"/>
      <c r="O3" s="145"/>
      <c r="Q3" s="145"/>
      <c r="R3" s="145"/>
      <c r="S3" s="362"/>
    </row>
    <row r="4" spans="1:24" ht="12.75" customHeight="1" thickBot="1" x14ac:dyDescent="0.25">
      <c r="A4" s="304"/>
      <c r="B4" s="145"/>
      <c r="C4" s="145"/>
      <c r="D4" s="145"/>
      <c r="E4" s="145"/>
      <c r="F4" s="145"/>
      <c r="G4" s="145"/>
      <c r="H4" s="145"/>
      <c r="I4" s="145"/>
      <c r="J4" s="145"/>
      <c r="K4" s="145"/>
      <c r="L4" s="145"/>
      <c r="M4" s="267"/>
      <c r="N4" s="267"/>
      <c r="O4" s="145"/>
      <c r="P4" s="267" t="s">
        <v>268</v>
      </c>
      <c r="Q4" s="145"/>
      <c r="R4" s="299">
        <f>_xll.ohTrigger(R6:R17)</f>
        <v>3</v>
      </c>
      <c r="S4" s="362"/>
    </row>
    <row r="5" spans="1:24" ht="22.5" x14ac:dyDescent="0.2">
      <c r="A5" s="304"/>
      <c r="B5" s="361" t="s">
        <v>188</v>
      </c>
      <c r="C5" s="336" t="s">
        <v>187</v>
      </c>
      <c r="D5" s="336" t="s">
        <v>186</v>
      </c>
      <c r="E5" s="336" t="s">
        <v>267</v>
      </c>
      <c r="F5" s="298" t="e">
        <f ca="1">_xll.RData(F6:F17,G5:K5,,ReutersRtMode,,G6)</f>
        <v>#NAME?</v>
      </c>
      <c r="G5" s="336" t="s">
        <v>266</v>
      </c>
      <c r="H5" s="336" t="s">
        <v>261</v>
      </c>
      <c r="I5" s="336" t="s">
        <v>228</v>
      </c>
      <c r="J5" s="336" t="s">
        <v>243</v>
      </c>
      <c r="K5" s="336" t="s">
        <v>260</v>
      </c>
      <c r="L5" s="293" t="s">
        <v>259</v>
      </c>
      <c r="M5" s="267"/>
      <c r="N5" s="296" t="s">
        <v>255</v>
      </c>
      <c r="O5" s="267"/>
      <c r="P5" s="295" t="s">
        <v>254</v>
      </c>
      <c r="Q5" s="336" t="s">
        <v>253</v>
      </c>
      <c r="R5" s="297" t="s">
        <v>252</v>
      </c>
      <c r="S5" s="54"/>
      <c r="U5" s="216" t="s">
        <v>265</v>
      </c>
      <c r="V5" s="214" t="s">
        <v>264</v>
      </c>
      <c r="X5" s="333" t="s">
        <v>258</v>
      </c>
    </row>
    <row r="6" spans="1:24" ht="12.75" customHeight="1" x14ac:dyDescent="0.2">
      <c r="A6" s="347"/>
      <c r="B6" s="360">
        <v>1</v>
      </c>
      <c r="C6" s="359" t="b">
        <v>0</v>
      </c>
      <c r="D6" s="285" t="str">
        <f t="array" ref="D6:D17">_xll.qlIMMcode(FuturesDates)</f>
        <v>Z3</v>
      </c>
      <c r="E6" s="358">
        <f t="array" ref="E6:E17">_xll.qlIMMNextDates(_xll.qlSettingsEvaluationDate(Trigger)-1,$C6:$C17)</f>
        <v>41626</v>
      </c>
      <c r="F6" s="285" t="str">
        <f t="array" ref="F6:F17">VLOOKUP(Currency,LiffeCodes,2)&amp;FuturesCodes</f>
        <v>Z3</v>
      </c>
      <c r="G6" s="357" t="s">
        <v>262</v>
      </c>
      <c r="H6" s="285" t="s">
        <v>262</v>
      </c>
      <c r="I6" s="285" t="s">
        <v>262</v>
      </c>
      <c r="J6" s="285" t="s">
        <v>262</v>
      </c>
      <c r="K6" s="285" t="s">
        <v>262</v>
      </c>
      <c r="L6" s="288" t="e">
        <f>_xll.qlMidSafe($H6,$I6)</f>
        <v>#NUM!</v>
      </c>
      <c r="M6" s="267"/>
      <c r="N6" s="356" t="e">
        <v>#NUM!</v>
      </c>
      <c r="O6" s="267"/>
      <c r="P6" s="355" t="str">
        <f t="array" ref="P6:P17">Currency&amp;$P$4&amp;FuturesCodes&amp;$Q$2</f>
        <v>EURFUT1MZ3_Quote</v>
      </c>
      <c r="Q6" s="285" t="e">
        <f t="array" ref="Q6:Q17">QuoteLive</f>
        <v>#NUM!</v>
      </c>
      <c r="R6" s="288" t="e">
        <f>_xll.qlSimpleQuoteSetValue($P6,$Q6,Trigger)</f>
        <v>#NUM!</v>
      </c>
      <c r="S6" s="54"/>
      <c r="U6" s="92" t="s">
        <v>137</v>
      </c>
      <c r="V6" s="90"/>
      <c r="X6" s="307" t="e">
        <f t="shared" ref="X6:X17" si="0">(I6-L6)/50</f>
        <v>#VALUE!</v>
      </c>
    </row>
    <row r="7" spans="1:24" x14ac:dyDescent="0.2">
      <c r="A7" s="347"/>
      <c r="B7" s="353">
        <v>2</v>
      </c>
      <c r="C7" s="352" t="b">
        <v>0</v>
      </c>
      <c r="D7" s="273" t="str">
        <v>F4</v>
      </c>
      <c r="E7" s="351">
        <v>41654</v>
      </c>
      <c r="F7" s="273" t="str">
        <v>F4</v>
      </c>
      <c r="G7" s="350" t="s">
        <v>262</v>
      </c>
      <c r="H7" s="273" t="s">
        <v>262</v>
      </c>
      <c r="I7" s="273" t="s">
        <v>262</v>
      </c>
      <c r="J7" s="273" t="s">
        <v>262</v>
      </c>
      <c r="K7" s="273" t="s">
        <v>262</v>
      </c>
      <c r="L7" s="276" t="e">
        <f>_xll.qlMidSafe($H7,$I7)</f>
        <v>#NUM!</v>
      </c>
      <c r="M7" s="267"/>
      <c r="N7" s="354" t="e">
        <v>#NUM!</v>
      </c>
      <c r="O7" s="267"/>
      <c r="P7" s="348" t="str">
        <v>EURFUT1MF4_Quote</v>
      </c>
      <c r="Q7" s="273" t="e">
        <v>#NUM!</v>
      </c>
      <c r="R7" s="276" t="e">
        <f>_xll.qlSimpleQuoteSetValue($P7,$Q7,Trigger)</f>
        <v>#NUM!</v>
      </c>
      <c r="S7" s="54"/>
      <c r="U7" s="92" t="s">
        <v>123</v>
      </c>
      <c r="V7" s="90"/>
      <c r="X7" s="307" t="e">
        <f t="shared" si="0"/>
        <v>#VALUE!</v>
      </c>
    </row>
    <row r="8" spans="1:24" x14ac:dyDescent="0.2">
      <c r="A8" s="347"/>
      <c r="B8" s="353">
        <v>3</v>
      </c>
      <c r="C8" s="352" t="b">
        <v>0</v>
      </c>
      <c r="D8" s="273" t="str">
        <v>G4</v>
      </c>
      <c r="E8" s="351">
        <v>41689</v>
      </c>
      <c r="F8" s="273" t="str">
        <v>G4</v>
      </c>
      <c r="G8" s="350" t="s">
        <v>262</v>
      </c>
      <c r="H8" s="273" t="s">
        <v>262</v>
      </c>
      <c r="I8" s="273" t="s">
        <v>262</v>
      </c>
      <c r="J8" s="273" t="s">
        <v>262</v>
      </c>
      <c r="K8" s="273" t="s">
        <v>262</v>
      </c>
      <c r="L8" s="276" t="e">
        <f>_xll.qlMidSafe($H8,$I8)</f>
        <v>#NUM!</v>
      </c>
      <c r="M8" s="267"/>
      <c r="N8" s="354" t="e">
        <v>#NUM!</v>
      </c>
      <c r="O8" s="267"/>
      <c r="P8" s="348" t="str">
        <v>EURFUT1MG4_Quote</v>
      </c>
      <c r="Q8" s="273" t="e">
        <v>#NUM!</v>
      </c>
      <c r="R8" s="276" t="e">
        <f>_xll.qlSimpleQuoteSetValue($P8,$Q8,Trigger)</f>
        <v>#NUM!</v>
      </c>
      <c r="S8" s="54"/>
      <c r="U8" s="92" t="s">
        <v>134</v>
      </c>
      <c r="V8" s="90"/>
      <c r="X8" s="307" t="e">
        <f t="shared" si="0"/>
        <v>#VALUE!</v>
      </c>
    </row>
    <row r="9" spans="1:24" x14ac:dyDescent="0.2">
      <c r="A9" s="347"/>
      <c r="B9" s="353">
        <v>4</v>
      </c>
      <c r="C9" s="352" t="b">
        <v>0</v>
      </c>
      <c r="D9" s="273" t="str">
        <v>H4</v>
      </c>
      <c r="E9" s="351">
        <v>41717</v>
      </c>
      <c r="F9" s="273" t="str">
        <v>H4</v>
      </c>
      <c r="G9" s="350" t="s">
        <v>262</v>
      </c>
      <c r="H9" s="273" t="s">
        <v>262</v>
      </c>
      <c r="I9" s="273" t="s">
        <v>262</v>
      </c>
      <c r="J9" s="273" t="s">
        <v>262</v>
      </c>
      <c r="K9" s="273" t="s">
        <v>262</v>
      </c>
      <c r="L9" s="276" t="e">
        <f>_xll.qlMidSafe($H9,$I9)</f>
        <v>#NUM!</v>
      </c>
      <c r="M9" s="267"/>
      <c r="N9" s="354" t="e">
        <v>#NUM!</v>
      </c>
      <c r="O9" s="267"/>
      <c r="P9" s="348" t="str">
        <v>EURFUT1MH4_Quote</v>
      </c>
      <c r="Q9" s="273" t="e">
        <v>#NUM!</v>
      </c>
      <c r="R9" s="276" t="e">
        <f>_xll.qlSimpleQuoteSetValue($P9,$Q9,Trigger)</f>
        <v>#NUM!</v>
      </c>
      <c r="S9" s="54"/>
      <c r="U9" s="92" t="s">
        <v>133</v>
      </c>
      <c r="V9" s="90"/>
      <c r="X9" s="307" t="e">
        <f t="shared" si="0"/>
        <v>#VALUE!</v>
      </c>
    </row>
    <row r="10" spans="1:24" ht="12" thickBot="1" x14ac:dyDescent="0.25">
      <c r="A10" s="347"/>
      <c r="B10" s="353">
        <v>5</v>
      </c>
      <c r="C10" s="352" t="b">
        <v>0</v>
      </c>
      <c r="D10" s="273" t="str">
        <v>J4</v>
      </c>
      <c r="E10" s="351">
        <v>41745</v>
      </c>
      <c r="F10" s="273" t="str">
        <v>J4</v>
      </c>
      <c r="G10" s="350" t="s">
        <v>262</v>
      </c>
      <c r="H10" s="273" t="s">
        <v>262</v>
      </c>
      <c r="I10" s="273" t="s">
        <v>262</v>
      </c>
      <c r="J10" s="273" t="s">
        <v>262</v>
      </c>
      <c r="K10" s="273" t="s">
        <v>262</v>
      </c>
      <c r="L10" s="276" t="e">
        <f>_xll.qlMidSafe($H10,$I10)</f>
        <v>#NUM!</v>
      </c>
      <c r="M10" s="267"/>
      <c r="N10" s="349" t="e">
        <v>#NUM!</v>
      </c>
      <c r="O10" s="267"/>
      <c r="P10" s="348" t="str">
        <v>EURFUT1MJ4_Quote</v>
      </c>
      <c r="Q10" s="273" t="e">
        <v>#NUM!</v>
      </c>
      <c r="R10" s="276" t="e">
        <f>_xll.qlSimpleQuoteSetValue($P10,$Q10,Trigger)</f>
        <v>#NUM!</v>
      </c>
      <c r="S10" s="54"/>
      <c r="U10" s="89" t="s">
        <v>131</v>
      </c>
      <c r="V10" s="87" t="s">
        <v>263</v>
      </c>
      <c r="X10" s="307" t="e">
        <f t="shared" si="0"/>
        <v>#VALUE!</v>
      </c>
    </row>
    <row r="11" spans="1:24" x14ac:dyDescent="0.2">
      <c r="A11" s="347"/>
      <c r="B11" s="353">
        <v>6</v>
      </c>
      <c r="C11" s="352" t="b">
        <v>0</v>
      </c>
      <c r="D11" s="273" t="str">
        <v>K4</v>
      </c>
      <c r="E11" s="351">
        <v>41780</v>
      </c>
      <c r="F11" s="273" t="str">
        <v>K4</v>
      </c>
      <c r="G11" s="350" t="s">
        <v>262</v>
      </c>
      <c r="H11" s="273" t="s">
        <v>262</v>
      </c>
      <c r="I11" s="273" t="s">
        <v>262</v>
      </c>
      <c r="J11" s="273" t="s">
        <v>262</v>
      </c>
      <c r="K11" s="273" t="s">
        <v>262</v>
      </c>
      <c r="L11" s="276" t="e">
        <f>_xll.qlMidSafe($H11,$I11)</f>
        <v>#NUM!</v>
      </c>
      <c r="M11" s="267"/>
      <c r="N11" s="349" t="e">
        <v>#NUM!</v>
      </c>
      <c r="O11" s="267"/>
      <c r="P11" s="348" t="str">
        <v>EURFUT1MK4_Quote</v>
      </c>
      <c r="Q11" s="273" t="e">
        <v>#NUM!</v>
      </c>
      <c r="R11" s="276" t="e">
        <f>_xll.qlSimpleQuoteSetValue($P11,$Q11,Trigger)</f>
        <v>#NUM!</v>
      </c>
      <c r="S11" s="54"/>
      <c r="X11" s="307" t="e">
        <f t="shared" si="0"/>
        <v>#VALUE!</v>
      </c>
    </row>
    <row r="12" spans="1:24" x14ac:dyDescent="0.2">
      <c r="A12" s="347"/>
      <c r="B12" s="353">
        <v>7</v>
      </c>
      <c r="C12" s="352" t="b">
        <v>0</v>
      </c>
      <c r="D12" s="273" t="str">
        <v>M4</v>
      </c>
      <c r="E12" s="351">
        <v>41808</v>
      </c>
      <c r="F12" s="273" t="str">
        <v>M4</v>
      </c>
      <c r="G12" s="350" t="s">
        <v>262</v>
      </c>
      <c r="H12" s="273" t="s">
        <v>262</v>
      </c>
      <c r="I12" s="273" t="s">
        <v>262</v>
      </c>
      <c r="J12" s="273" t="s">
        <v>262</v>
      </c>
      <c r="K12" s="273" t="s">
        <v>262</v>
      </c>
      <c r="L12" s="276" t="e">
        <f>_xll.qlMidSafe($H12,$I12)</f>
        <v>#NUM!</v>
      </c>
      <c r="M12" s="267"/>
      <c r="N12" s="349" t="e">
        <v>#NUM!</v>
      </c>
      <c r="O12" s="267"/>
      <c r="P12" s="348" t="str">
        <v>EURFUT1MM4_Quote</v>
      </c>
      <c r="Q12" s="273" t="e">
        <v>#NUM!</v>
      </c>
      <c r="R12" s="276" t="e">
        <f>_xll.qlSimpleQuoteSetValue($P12,$Q12,Trigger)</f>
        <v>#NUM!</v>
      </c>
      <c r="S12" s="54"/>
      <c r="X12" s="307" t="e">
        <f t="shared" si="0"/>
        <v>#VALUE!</v>
      </c>
    </row>
    <row r="13" spans="1:24" x14ac:dyDescent="0.2">
      <c r="A13" s="347"/>
      <c r="B13" s="353">
        <v>8</v>
      </c>
      <c r="C13" s="352" t="b">
        <v>0</v>
      </c>
      <c r="D13" s="273" t="str">
        <v>N4</v>
      </c>
      <c r="E13" s="351">
        <v>41836</v>
      </c>
      <c r="F13" s="273" t="str">
        <v>N4</v>
      </c>
      <c r="G13" s="350" t="s">
        <v>262</v>
      </c>
      <c r="H13" s="273" t="s">
        <v>262</v>
      </c>
      <c r="I13" s="273" t="s">
        <v>262</v>
      </c>
      <c r="J13" s="273" t="s">
        <v>262</v>
      </c>
      <c r="K13" s="273" t="s">
        <v>262</v>
      </c>
      <c r="L13" s="276" t="e">
        <f>_xll.qlMidSafe($H13,$I13)</f>
        <v>#NUM!</v>
      </c>
      <c r="M13" s="267"/>
      <c r="N13" s="349" t="e">
        <v>#NUM!</v>
      </c>
      <c r="O13" s="267"/>
      <c r="P13" s="348" t="str">
        <v>EURFUT1MN4_Quote</v>
      </c>
      <c r="Q13" s="273" t="e">
        <v>#NUM!</v>
      </c>
      <c r="R13" s="276" t="e">
        <f>_xll.qlSimpleQuoteSetValue($P13,$Q13,Trigger)</f>
        <v>#NUM!</v>
      </c>
      <c r="S13" s="54"/>
      <c r="X13" s="307" t="e">
        <f t="shared" si="0"/>
        <v>#VALUE!</v>
      </c>
    </row>
    <row r="14" spans="1:24" x14ac:dyDescent="0.2">
      <c r="A14" s="347"/>
      <c r="B14" s="353">
        <v>9</v>
      </c>
      <c r="C14" s="352" t="b">
        <v>0</v>
      </c>
      <c r="D14" s="273" t="str">
        <v>Q4</v>
      </c>
      <c r="E14" s="351">
        <v>41871</v>
      </c>
      <c r="F14" s="273" t="str">
        <v>Q4</v>
      </c>
      <c r="G14" s="350" t="s">
        <v>262</v>
      </c>
      <c r="H14" s="273" t="s">
        <v>262</v>
      </c>
      <c r="I14" s="273" t="s">
        <v>262</v>
      </c>
      <c r="J14" s="273" t="s">
        <v>262</v>
      </c>
      <c r="K14" s="273" t="s">
        <v>262</v>
      </c>
      <c r="L14" s="276" t="e">
        <f>_xll.qlMidSafe($H14,$I14)</f>
        <v>#NUM!</v>
      </c>
      <c r="M14" s="267"/>
      <c r="N14" s="349" t="e">
        <v>#NUM!</v>
      </c>
      <c r="O14" s="267"/>
      <c r="P14" s="348" t="str">
        <v>EURFUT1MQ4_Quote</v>
      </c>
      <c r="Q14" s="273" t="e">
        <v>#NUM!</v>
      </c>
      <c r="R14" s="276" t="e">
        <f>_xll.qlSimpleQuoteSetValue($P14,$Q14,Trigger)</f>
        <v>#NUM!</v>
      </c>
      <c r="S14" s="54"/>
      <c r="X14" s="307" t="e">
        <f t="shared" si="0"/>
        <v>#VALUE!</v>
      </c>
    </row>
    <row r="15" spans="1:24" x14ac:dyDescent="0.2">
      <c r="A15" s="347"/>
      <c r="B15" s="353">
        <v>10</v>
      </c>
      <c r="C15" s="352" t="b">
        <v>0</v>
      </c>
      <c r="D15" s="273" t="str">
        <v>U4</v>
      </c>
      <c r="E15" s="351">
        <v>41899</v>
      </c>
      <c r="F15" s="273" t="str">
        <v>U4</v>
      </c>
      <c r="G15" s="350" t="s">
        <v>262</v>
      </c>
      <c r="H15" s="273" t="s">
        <v>262</v>
      </c>
      <c r="I15" s="273" t="s">
        <v>262</v>
      </c>
      <c r="J15" s="273" t="s">
        <v>262</v>
      </c>
      <c r="K15" s="273" t="s">
        <v>262</v>
      </c>
      <c r="L15" s="276" t="e">
        <f>_xll.qlMidSafe($H15,$I15)</f>
        <v>#NUM!</v>
      </c>
      <c r="M15" s="267"/>
      <c r="N15" s="349" t="e">
        <v>#NUM!</v>
      </c>
      <c r="O15" s="267"/>
      <c r="P15" s="348" t="str">
        <v>EURFUT1MU4_Quote</v>
      </c>
      <c r="Q15" s="273" t="e">
        <v>#NUM!</v>
      </c>
      <c r="R15" s="276" t="e">
        <f>_xll.qlSimpleQuoteSetValue($P15,$Q15,Trigger)</f>
        <v>#NUM!</v>
      </c>
      <c r="S15" s="54"/>
      <c r="X15" s="307" t="e">
        <f t="shared" si="0"/>
        <v>#VALUE!</v>
      </c>
    </row>
    <row r="16" spans="1:24" x14ac:dyDescent="0.2">
      <c r="A16" s="347"/>
      <c r="B16" s="353">
        <v>11</v>
      </c>
      <c r="C16" s="352" t="b">
        <v>0</v>
      </c>
      <c r="D16" s="273" t="str">
        <v>V4</v>
      </c>
      <c r="E16" s="351">
        <v>41927</v>
      </c>
      <c r="F16" s="273" t="str">
        <v>V4</v>
      </c>
      <c r="G16" s="350" t="s">
        <v>262</v>
      </c>
      <c r="H16" s="273" t="s">
        <v>262</v>
      </c>
      <c r="I16" s="273" t="s">
        <v>262</v>
      </c>
      <c r="J16" s="273" t="s">
        <v>262</v>
      </c>
      <c r="K16" s="273" t="s">
        <v>262</v>
      </c>
      <c r="L16" s="276" t="e">
        <f>_xll.qlMidSafe($H16,$I16)</f>
        <v>#NUM!</v>
      </c>
      <c r="M16" s="267"/>
      <c r="N16" s="349" t="e">
        <v>#NUM!</v>
      </c>
      <c r="O16" s="267"/>
      <c r="P16" s="348" t="str">
        <v>EURFUT1MV4_Quote</v>
      </c>
      <c r="Q16" s="273" t="e">
        <v>#NUM!</v>
      </c>
      <c r="R16" s="276" t="e">
        <f>_xll.qlSimpleQuoteSetValue($P16,$Q16,Trigger)</f>
        <v>#NUM!</v>
      </c>
      <c r="S16" s="54"/>
      <c r="X16" s="307" t="e">
        <f t="shared" si="0"/>
        <v>#VALUE!</v>
      </c>
    </row>
    <row r="17" spans="1:24" x14ac:dyDescent="0.2">
      <c r="A17" s="347"/>
      <c r="B17" s="346">
        <v>12</v>
      </c>
      <c r="C17" s="345" t="b">
        <v>0</v>
      </c>
      <c r="D17" s="265" t="str">
        <v>X4</v>
      </c>
      <c r="E17" s="344">
        <v>41962</v>
      </c>
      <c r="F17" s="265" t="str">
        <v>X4</v>
      </c>
      <c r="G17" s="343" t="s">
        <v>262</v>
      </c>
      <c r="H17" s="265" t="s">
        <v>262</v>
      </c>
      <c r="I17" s="265" t="s">
        <v>262</v>
      </c>
      <c r="J17" s="265" t="s">
        <v>262</v>
      </c>
      <c r="K17" s="265" t="s">
        <v>262</v>
      </c>
      <c r="L17" s="269" t="e">
        <f>_xll.qlMidSafe($H17,$I17)</f>
        <v>#NUM!</v>
      </c>
      <c r="M17" s="267"/>
      <c r="N17" s="342" t="e">
        <v>#NUM!</v>
      </c>
      <c r="O17" s="267"/>
      <c r="P17" s="341" t="str">
        <v>EURFUT1MX4_Quote</v>
      </c>
      <c r="Q17" s="265" t="e">
        <v>#NUM!</v>
      </c>
      <c r="R17" s="269" t="e">
        <f>_xll.qlSimpleQuoteSetValue($P17,$Q17,Trigger)</f>
        <v>#NUM!</v>
      </c>
      <c r="S17" s="54"/>
      <c r="X17" s="307" t="e">
        <f t="shared" si="0"/>
        <v>#VALUE!</v>
      </c>
    </row>
    <row r="18" spans="1:24" ht="12" thickBot="1" x14ac:dyDescent="0.25">
      <c r="A18" s="340"/>
      <c r="B18" s="52"/>
      <c r="C18" s="52"/>
      <c r="D18" s="52"/>
      <c r="E18" s="52"/>
      <c r="F18" s="52"/>
      <c r="G18" s="52"/>
      <c r="H18" s="52"/>
      <c r="I18" s="52"/>
      <c r="J18" s="52"/>
      <c r="K18" s="52"/>
      <c r="L18" s="52"/>
      <c r="M18" s="52"/>
      <c r="N18" s="52"/>
      <c r="O18" s="52"/>
      <c r="P18" s="52"/>
      <c r="Q18" s="52"/>
      <c r="R18" s="52"/>
      <c r="S18" s="51"/>
    </row>
  </sheetData>
  <pageMargins left="0.75" right="0.75" top="1" bottom="1" header="0.5" footer="0.5"/>
  <pageSetup orientation="portrait" r:id="rId1"/>
  <headerFooter alignWithMargins="0"/>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X48"/>
  <sheetViews>
    <sheetView workbookViewId="0"/>
  </sheetViews>
  <sheetFormatPr defaultRowHeight="11.25" x14ac:dyDescent="0.2"/>
  <cols>
    <col min="1" max="1" width="2.85546875" style="21" customWidth="1"/>
    <col min="2" max="2" width="2.7109375" style="21" bestFit="1" customWidth="1"/>
    <col min="3" max="3" width="5.7109375" style="21" customWidth="1"/>
    <col min="4" max="4" width="6.140625" style="21" bestFit="1" customWidth="1"/>
    <col min="5" max="5" width="14.28515625" style="21" bestFit="1" customWidth="1"/>
    <col min="6" max="6" width="8.85546875" style="21" bestFit="1" customWidth="1"/>
    <col min="7" max="7" width="9" style="21" customWidth="1"/>
    <col min="8" max="10" width="6.5703125" style="21" bestFit="1" customWidth="1"/>
    <col min="11" max="11" width="9.85546875" style="21" customWidth="1"/>
    <col min="12" max="12" width="6.5703125" style="21" bestFit="1" customWidth="1"/>
    <col min="13" max="13" width="2.85546875" style="21" customWidth="1"/>
    <col min="14" max="14" width="6.5703125" style="21" customWidth="1"/>
    <col min="15" max="15" width="2.85546875" style="21" customWidth="1"/>
    <col min="16" max="16" width="15.85546875" style="21" bestFit="1" customWidth="1"/>
    <col min="17" max="17" width="7.7109375" style="21" bestFit="1" customWidth="1"/>
    <col min="18" max="18" width="7" style="21" bestFit="1" customWidth="1"/>
    <col min="19" max="20" width="2.85546875" style="21" customWidth="1"/>
    <col min="21" max="21" width="4.7109375" style="21" bestFit="1" customWidth="1"/>
    <col min="22" max="22" width="6" style="21" bestFit="1" customWidth="1"/>
    <col min="23" max="16384" width="9.140625" style="21"/>
  </cols>
  <sheetData>
    <row r="1" spans="1:24" ht="12.75" customHeight="1" x14ac:dyDescent="0.2">
      <c r="A1" s="305" t="s">
        <v>313</v>
      </c>
      <c r="B1" s="207"/>
      <c r="C1" s="207"/>
      <c r="D1" s="207"/>
      <c r="E1" s="207"/>
      <c r="F1" s="207"/>
      <c r="G1" s="207"/>
      <c r="H1" s="207"/>
      <c r="I1" s="207"/>
      <c r="J1" s="207"/>
      <c r="K1" s="207"/>
      <c r="L1" s="207"/>
      <c r="M1" s="365"/>
      <c r="N1" s="365"/>
      <c r="O1" s="207"/>
      <c r="P1" s="207"/>
      <c r="Q1" s="207"/>
      <c r="R1" s="207"/>
      <c r="S1" s="364"/>
    </row>
    <row r="2" spans="1:24" ht="12.75" customHeight="1" x14ac:dyDescent="0.2">
      <c r="A2" s="304"/>
      <c r="B2" s="145"/>
      <c r="C2" s="303"/>
      <c r="D2" s="303"/>
      <c r="E2" s="145"/>
      <c r="F2" s="145"/>
      <c r="G2" s="145"/>
      <c r="H2" s="145"/>
      <c r="I2" s="145"/>
      <c r="J2" s="145"/>
      <c r="K2" s="145"/>
      <c r="L2" s="145"/>
      <c r="M2" s="267"/>
      <c r="N2" s="267"/>
      <c r="O2" s="145"/>
      <c r="P2" s="99" t="s">
        <v>257</v>
      </c>
      <c r="Q2" s="363" t="s">
        <v>147</v>
      </c>
      <c r="R2" s="145"/>
      <c r="S2" s="362"/>
    </row>
    <row r="3" spans="1:24" ht="12.75" customHeight="1" x14ac:dyDescent="0.2">
      <c r="A3" s="304"/>
      <c r="B3" s="145"/>
      <c r="C3" s="145"/>
      <c r="D3" s="145"/>
      <c r="E3" s="145"/>
      <c r="F3" s="145"/>
      <c r="G3" s="145"/>
      <c r="H3" s="145"/>
      <c r="I3" s="145"/>
      <c r="J3" s="145"/>
      <c r="K3" s="145"/>
      <c r="L3" s="145"/>
      <c r="M3" s="267"/>
      <c r="N3" s="267"/>
      <c r="O3" s="145"/>
      <c r="Q3" s="145"/>
      <c r="R3" s="145"/>
      <c r="S3" s="362"/>
    </row>
    <row r="4" spans="1:24" ht="12.75" customHeight="1" thickBot="1" x14ac:dyDescent="0.25">
      <c r="A4" s="304"/>
      <c r="B4" s="145"/>
      <c r="C4" s="145"/>
      <c r="D4" s="145"/>
      <c r="E4" s="145"/>
      <c r="F4" s="145"/>
      <c r="G4" s="145"/>
      <c r="H4" s="145"/>
      <c r="I4" s="145"/>
      <c r="J4" s="145"/>
      <c r="K4" s="145"/>
      <c r="L4" s="145"/>
      <c r="M4" s="267"/>
      <c r="N4" s="267"/>
      <c r="O4" s="145"/>
      <c r="P4" s="267" t="s">
        <v>273</v>
      </c>
      <c r="Q4" s="145"/>
      <c r="R4" s="299">
        <f>_xll.ohTrigger(R6:R47)</f>
        <v>3</v>
      </c>
      <c r="S4" s="362"/>
    </row>
    <row r="5" spans="1:24" ht="22.5" x14ac:dyDescent="0.2">
      <c r="A5" s="304"/>
      <c r="B5" s="371" t="s">
        <v>188</v>
      </c>
      <c r="C5" s="367" t="s">
        <v>187</v>
      </c>
      <c r="D5" s="367" t="s">
        <v>186</v>
      </c>
      <c r="E5" s="367" t="s">
        <v>267</v>
      </c>
      <c r="F5" s="370" t="e">
        <f ca="1">_xll.RData(F6:F47,G5:K5,,ReutersRtMode,,G6)</f>
        <v>#NAME?</v>
      </c>
      <c r="G5" s="367" t="s">
        <v>266</v>
      </c>
      <c r="H5" s="367" t="s">
        <v>261</v>
      </c>
      <c r="I5" s="367" t="s">
        <v>228</v>
      </c>
      <c r="J5" s="367" t="s">
        <v>243</v>
      </c>
      <c r="K5" s="367" t="s">
        <v>260</v>
      </c>
      <c r="L5" s="369" t="s">
        <v>259</v>
      </c>
      <c r="M5" s="267"/>
      <c r="N5" s="368" t="s">
        <v>255</v>
      </c>
      <c r="O5" s="267"/>
      <c r="P5" s="335" t="s">
        <v>254</v>
      </c>
      <c r="Q5" s="367" t="s">
        <v>253</v>
      </c>
      <c r="R5" s="366" t="s">
        <v>252</v>
      </c>
      <c r="S5" s="54"/>
      <c r="U5" s="216" t="s">
        <v>265</v>
      </c>
      <c r="V5" s="214" t="s">
        <v>264</v>
      </c>
      <c r="X5" s="333" t="s">
        <v>258</v>
      </c>
    </row>
    <row r="6" spans="1:24" ht="12.75" customHeight="1" x14ac:dyDescent="0.2">
      <c r="A6" s="347"/>
      <c r="B6" s="360">
        <v>1</v>
      </c>
      <c r="C6" s="359" t="b">
        <v>0</v>
      </c>
      <c r="D6" s="285" t="str">
        <f t="array" ref="D6:D47">_xll.qlIMMcode(FuturesDates)</f>
        <v>Z3</v>
      </c>
      <c r="E6" s="358">
        <f t="array" ref="E6:E47">_xll.qlIMMNextDates(_xll.qlSettingsEvaluationDate(Trigger)-1,$C6:$C47)</f>
        <v>41626</v>
      </c>
      <c r="F6" s="285" t="str">
        <f t="array" ref="F6:F47">VLOOKUP(Currency,LiffeCodes,2)&amp;FuturesCodes</f>
        <v>FEIZ3</v>
      </c>
      <c r="G6" s="357">
        <v>41505</v>
      </c>
      <c r="H6" s="285">
        <v>99.765000000000001</v>
      </c>
      <c r="I6" s="285">
        <v>99.77</v>
      </c>
      <c r="J6" s="285">
        <v>99.765000000000001</v>
      </c>
      <c r="K6" s="285">
        <v>99.765000000000001</v>
      </c>
      <c r="L6" s="288">
        <f>_xll.qlMidSafe($H6,$I6)</f>
        <v>99.767499999999998</v>
      </c>
      <c r="M6" s="267"/>
      <c r="N6" s="356">
        <v>99.767499999999998</v>
      </c>
      <c r="O6" s="267"/>
      <c r="P6" s="355" t="str">
        <f t="array" ref="P6:P47">Currency&amp;$P$4&amp;FuturesCodes&amp;$Q$2</f>
        <v>EURFUT3MZ3_Quote</v>
      </c>
      <c r="Q6" s="285">
        <f t="array" ref="Q6:Q47">QuoteLive</f>
        <v>99.767499999999998</v>
      </c>
      <c r="R6" s="288" t="e">
        <f>_xll.qlSimpleQuoteSetValue($P6,$Q6,Trigger)</f>
        <v>#N/A</v>
      </c>
      <c r="S6" s="54"/>
      <c r="U6" s="92" t="s">
        <v>137</v>
      </c>
      <c r="V6" s="90" t="s">
        <v>272</v>
      </c>
      <c r="X6" s="307">
        <f t="shared" ref="X6:X47" si="0">(I6-L6)/50</f>
        <v>4.9999999999954527E-5</v>
      </c>
    </row>
    <row r="7" spans="1:24" x14ac:dyDescent="0.2">
      <c r="A7" s="347"/>
      <c r="B7" s="353">
        <v>2</v>
      </c>
      <c r="C7" s="352" t="b">
        <v>0</v>
      </c>
      <c r="D7" s="273" t="str">
        <v>F4</v>
      </c>
      <c r="E7" s="351">
        <v>41654</v>
      </c>
      <c r="F7" s="273" t="str">
        <v>FEIF4</v>
      </c>
      <c r="G7" s="350">
        <v>41533</v>
      </c>
      <c r="H7" s="273">
        <v>99.734999999999999</v>
      </c>
      <c r="I7" s="273">
        <v>99.74</v>
      </c>
      <c r="J7" s="273">
        <v>99.74</v>
      </c>
      <c r="K7" s="273">
        <v>99.734999999999999</v>
      </c>
      <c r="L7" s="276">
        <f>_xll.qlMidSafe($H7,$I7)</f>
        <v>99.737499999999997</v>
      </c>
      <c r="M7" s="267"/>
      <c r="N7" s="354">
        <v>99.737499999999997</v>
      </c>
      <c r="O7" s="267"/>
      <c r="P7" s="348" t="str">
        <v>EURFUT3MF4_Quote</v>
      </c>
      <c r="Q7" s="273">
        <v>99.737499999999997</v>
      </c>
      <c r="R7" s="276" t="e">
        <f>_xll.qlSimpleQuoteSetValue($P7,$Q7,Trigger)</f>
        <v>#N/A</v>
      </c>
      <c r="S7" s="54"/>
      <c r="U7" s="92" t="s">
        <v>123</v>
      </c>
      <c r="V7" s="90" t="s">
        <v>271</v>
      </c>
      <c r="X7" s="307">
        <f t="shared" si="0"/>
        <v>4.9999999999954527E-5</v>
      </c>
    </row>
    <row r="8" spans="1:24" x14ac:dyDescent="0.2">
      <c r="A8" s="347"/>
      <c r="B8" s="353">
        <v>3</v>
      </c>
      <c r="C8" s="352" t="b">
        <v>0</v>
      </c>
      <c r="D8" s="273" t="str">
        <v>G4</v>
      </c>
      <c r="E8" s="351">
        <v>41689</v>
      </c>
      <c r="F8" s="273" t="str">
        <v>FEIG4</v>
      </c>
      <c r="G8" s="350">
        <v>41561</v>
      </c>
      <c r="H8" s="273">
        <v>99.71</v>
      </c>
      <c r="I8" s="273">
        <v>99.72</v>
      </c>
      <c r="J8" s="273">
        <v>0</v>
      </c>
      <c r="K8" s="273">
        <v>99.715000000000003</v>
      </c>
      <c r="L8" s="276">
        <f>_xll.qlMidSafe($H8,$I8)</f>
        <v>99.715000000000003</v>
      </c>
      <c r="M8" s="267"/>
      <c r="N8" s="354">
        <v>99.715000000000003</v>
      </c>
      <c r="O8" s="267"/>
      <c r="P8" s="348" t="str">
        <v>EURFUT3MG4_Quote</v>
      </c>
      <c r="Q8" s="273">
        <v>99.715000000000003</v>
      </c>
      <c r="R8" s="276" t="e">
        <f>_xll.qlSimpleQuoteSetValue($P8,$Q8,Trigger)</f>
        <v>#N/A</v>
      </c>
      <c r="S8" s="54"/>
      <c r="U8" s="92" t="s">
        <v>134</v>
      </c>
      <c r="V8" s="90" t="s">
        <v>270</v>
      </c>
      <c r="X8" s="307">
        <f t="shared" si="0"/>
        <v>9.9999999999909054E-5</v>
      </c>
    </row>
    <row r="9" spans="1:24" x14ac:dyDescent="0.2">
      <c r="A9" s="347"/>
      <c r="B9" s="353">
        <v>4</v>
      </c>
      <c r="C9" s="352" t="b">
        <v>0</v>
      </c>
      <c r="D9" s="273" t="str">
        <v>H4</v>
      </c>
      <c r="E9" s="351">
        <v>41717</v>
      </c>
      <c r="F9" s="273" t="str">
        <v>FEIH4</v>
      </c>
      <c r="G9" s="350">
        <v>41596</v>
      </c>
      <c r="H9" s="273">
        <v>0</v>
      </c>
      <c r="I9" s="273">
        <v>0</v>
      </c>
      <c r="J9" s="273">
        <v>0</v>
      </c>
      <c r="K9" s="273">
        <v>99.7</v>
      </c>
      <c r="L9" s="276" t="e">
        <f>_xll.qlMidSafe($H9,$I9)</f>
        <v>#NUM!</v>
      </c>
      <c r="M9" s="267"/>
      <c r="N9" s="354" t="e">
        <v>#NUM!</v>
      </c>
      <c r="O9" s="267"/>
      <c r="P9" s="348" t="str">
        <v>EURFUT3MH4_Quote</v>
      </c>
      <c r="Q9" s="273" t="e">
        <v>#NUM!</v>
      </c>
      <c r="R9" s="276" t="e">
        <f>_xll.qlSimpleQuoteSetValue($P9,$Q9,Trigger)</f>
        <v>#NUM!</v>
      </c>
      <c r="S9" s="54"/>
      <c r="U9" s="92" t="s">
        <v>133</v>
      </c>
      <c r="V9" s="90"/>
      <c r="X9" s="307" t="e">
        <f t="shared" si="0"/>
        <v>#NUM!</v>
      </c>
    </row>
    <row r="10" spans="1:24" ht="12" thickBot="1" x14ac:dyDescent="0.25">
      <c r="A10" s="347"/>
      <c r="B10" s="353">
        <v>5</v>
      </c>
      <c r="C10" s="352" t="b">
        <v>0</v>
      </c>
      <c r="D10" s="273" t="str">
        <v>J4</v>
      </c>
      <c r="E10" s="351">
        <v>41745</v>
      </c>
      <c r="F10" s="273" t="str">
        <v>FEIJ4</v>
      </c>
      <c r="G10" s="350">
        <v>41624</v>
      </c>
      <c r="H10" s="273">
        <v>99.674999999999997</v>
      </c>
      <c r="I10" s="273">
        <v>99.68</v>
      </c>
      <c r="J10" s="273">
        <v>99.674999999999997</v>
      </c>
      <c r="K10" s="273">
        <v>99.674999999999997</v>
      </c>
      <c r="L10" s="276">
        <f>_xll.qlMidSafe($H10,$I10)</f>
        <v>99.677500000000009</v>
      </c>
      <c r="M10" s="267"/>
      <c r="N10" s="349">
        <v>99.677500000000009</v>
      </c>
      <c r="O10" s="267"/>
      <c r="P10" s="348" t="str">
        <v>EURFUT3MJ4_Quote</v>
      </c>
      <c r="Q10" s="273">
        <v>99.677500000000009</v>
      </c>
      <c r="R10" s="276" t="e">
        <f>_xll.qlSimpleQuoteSetValue($P10,$Q10,Trigger)</f>
        <v>#N/A</v>
      </c>
      <c r="S10" s="54"/>
      <c r="U10" s="89" t="s">
        <v>131</v>
      </c>
      <c r="V10" s="87" t="s">
        <v>269</v>
      </c>
      <c r="X10" s="307">
        <f t="shared" si="0"/>
        <v>4.9999999999954527E-5</v>
      </c>
    </row>
    <row r="11" spans="1:24" x14ac:dyDescent="0.2">
      <c r="A11" s="347"/>
      <c r="B11" s="353">
        <v>6</v>
      </c>
      <c r="C11" s="352" t="b">
        <v>0</v>
      </c>
      <c r="D11" s="273" t="str">
        <v>K4</v>
      </c>
      <c r="E11" s="351">
        <v>41780</v>
      </c>
      <c r="F11" s="273" t="str">
        <v>FEIK4</v>
      </c>
      <c r="G11" s="350">
        <v>41652</v>
      </c>
      <c r="H11" s="273">
        <v>0</v>
      </c>
      <c r="I11" s="273">
        <v>0</v>
      </c>
      <c r="J11" s="273">
        <v>0</v>
      </c>
      <c r="K11" s="273">
        <v>99.68</v>
      </c>
      <c r="L11" s="276" t="e">
        <f>_xll.qlMidSafe($H11,$I11)</f>
        <v>#NUM!</v>
      </c>
      <c r="M11" s="267"/>
      <c r="N11" s="349" t="e">
        <v>#NUM!</v>
      </c>
      <c r="O11" s="267"/>
      <c r="P11" s="348" t="str">
        <v>EURFUT3MK4_Quote</v>
      </c>
      <c r="Q11" s="273" t="e">
        <v>#NUM!</v>
      </c>
      <c r="R11" s="276" t="e">
        <f>_xll.qlSimpleQuoteSetValue($P11,$Q11,Trigger)</f>
        <v>#NUM!</v>
      </c>
      <c r="S11" s="54"/>
      <c r="X11" s="307" t="e">
        <f t="shared" si="0"/>
        <v>#NUM!</v>
      </c>
    </row>
    <row r="12" spans="1:24" x14ac:dyDescent="0.2">
      <c r="A12" s="347"/>
      <c r="B12" s="353">
        <v>7</v>
      </c>
      <c r="C12" s="352" t="b">
        <v>0</v>
      </c>
      <c r="D12" s="273" t="str">
        <v>M4</v>
      </c>
      <c r="E12" s="351">
        <v>41808</v>
      </c>
      <c r="F12" s="273" t="str">
        <v>FEIM4</v>
      </c>
      <c r="G12" s="350" t="s">
        <v>262</v>
      </c>
      <c r="H12" s="273" t="s">
        <v>262</v>
      </c>
      <c r="I12" s="273" t="s">
        <v>262</v>
      </c>
      <c r="J12" s="273" t="s">
        <v>262</v>
      </c>
      <c r="K12" s="273" t="s">
        <v>262</v>
      </c>
      <c r="L12" s="276" t="e">
        <f>_xll.qlMidSafe($H12,$I12)</f>
        <v>#NUM!</v>
      </c>
      <c r="M12" s="267"/>
      <c r="N12" s="349" t="e">
        <v>#NUM!</v>
      </c>
      <c r="O12" s="267"/>
      <c r="P12" s="348" t="str">
        <v>EURFUT3MM4_Quote</v>
      </c>
      <c r="Q12" s="273" t="e">
        <v>#NUM!</v>
      </c>
      <c r="R12" s="276" t="e">
        <f>_xll.qlSimpleQuoteSetValue($P12,$Q12,Trigger)</f>
        <v>#NUM!</v>
      </c>
      <c r="S12" s="54"/>
      <c r="X12" s="307" t="e">
        <f t="shared" si="0"/>
        <v>#VALUE!</v>
      </c>
    </row>
    <row r="13" spans="1:24" x14ac:dyDescent="0.2">
      <c r="A13" s="347"/>
      <c r="B13" s="353">
        <v>8</v>
      </c>
      <c r="C13" s="352" t="b">
        <v>0</v>
      </c>
      <c r="D13" s="273" t="str">
        <v>N4</v>
      </c>
      <c r="E13" s="351">
        <v>41836</v>
      </c>
      <c r="F13" s="273" t="str">
        <v>FEIN4</v>
      </c>
      <c r="G13" s="350">
        <v>41715</v>
      </c>
      <c r="H13" s="273">
        <v>99.605000000000004</v>
      </c>
      <c r="I13" s="273">
        <v>99.61</v>
      </c>
      <c r="J13" s="273">
        <v>99.61</v>
      </c>
      <c r="K13" s="273">
        <v>99.61</v>
      </c>
      <c r="L13" s="276">
        <f>_xll.qlMidSafe($H13,$I13)</f>
        <v>99.607500000000002</v>
      </c>
      <c r="M13" s="267"/>
      <c r="N13" s="349">
        <v>99.607500000000002</v>
      </c>
      <c r="O13" s="267"/>
      <c r="P13" s="348" t="str">
        <v>EURFUT3MN4_Quote</v>
      </c>
      <c r="Q13" s="273">
        <v>99.607500000000002</v>
      </c>
      <c r="R13" s="276" t="e">
        <f>_xll.qlSimpleQuoteSetValue($P13,$Q13,Trigger)</f>
        <v>#N/A</v>
      </c>
      <c r="S13" s="54"/>
      <c r="X13" s="307">
        <f t="shared" si="0"/>
        <v>4.9999999999954527E-5</v>
      </c>
    </row>
    <row r="14" spans="1:24" x14ac:dyDescent="0.2">
      <c r="A14" s="347"/>
      <c r="B14" s="353">
        <v>9</v>
      </c>
      <c r="C14" s="352" t="b">
        <v>0</v>
      </c>
      <c r="D14" s="273" t="str">
        <v>Q4</v>
      </c>
      <c r="E14" s="351">
        <v>41871</v>
      </c>
      <c r="F14" s="273" t="str">
        <v>FEIQ4</v>
      </c>
      <c r="G14" s="350" t="s">
        <v>262</v>
      </c>
      <c r="H14" s="273" t="s">
        <v>262</v>
      </c>
      <c r="I14" s="273" t="s">
        <v>262</v>
      </c>
      <c r="J14" s="273" t="s">
        <v>262</v>
      </c>
      <c r="K14" s="273" t="s">
        <v>262</v>
      </c>
      <c r="L14" s="276" t="e">
        <f>_xll.qlMidSafe($H14,$I14)</f>
        <v>#NUM!</v>
      </c>
      <c r="M14" s="267"/>
      <c r="N14" s="349" t="e">
        <v>#NUM!</v>
      </c>
      <c r="O14" s="267"/>
      <c r="P14" s="348" t="str">
        <v>EURFUT3MQ4_Quote</v>
      </c>
      <c r="Q14" s="273" t="e">
        <v>#NUM!</v>
      </c>
      <c r="R14" s="276" t="e">
        <f>_xll.qlSimpleQuoteSetValue($P14,$Q14,Trigger)</f>
        <v>#NUM!</v>
      </c>
      <c r="S14" s="54"/>
      <c r="X14" s="307" t="e">
        <f t="shared" si="0"/>
        <v>#VALUE!</v>
      </c>
    </row>
    <row r="15" spans="1:24" x14ac:dyDescent="0.2">
      <c r="A15" s="347"/>
      <c r="B15" s="353">
        <v>10</v>
      </c>
      <c r="C15" s="352" t="b">
        <v>0</v>
      </c>
      <c r="D15" s="273" t="str">
        <v>U4</v>
      </c>
      <c r="E15" s="351">
        <v>41899</v>
      </c>
      <c r="F15" s="273" t="str">
        <v>FEIU4</v>
      </c>
      <c r="G15" s="350" t="s">
        <v>262</v>
      </c>
      <c r="H15" s="273" t="s">
        <v>262</v>
      </c>
      <c r="I15" s="273" t="s">
        <v>262</v>
      </c>
      <c r="J15" s="273" t="s">
        <v>262</v>
      </c>
      <c r="K15" s="273" t="s">
        <v>262</v>
      </c>
      <c r="L15" s="276" t="e">
        <f>_xll.qlMidSafe($H15,$I15)</f>
        <v>#NUM!</v>
      </c>
      <c r="M15" s="267"/>
      <c r="N15" s="349" t="e">
        <v>#NUM!</v>
      </c>
      <c r="O15" s="267"/>
      <c r="P15" s="348" t="str">
        <v>EURFUT3MU4_Quote</v>
      </c>
      <c r="Q15" s="273" t="e">
        <v>#NUM!</v>
      </c>
      <c r="R15" s="276" t="e">
        <f>_xll.qlSimpleQuoteSetValue($P15,$Q15,Trigger)</f>
        <v>#NUM!</v>
      </c>
      <c r="S15" s="54"/>
      <c r="X15" s="307" t="e">
        <f t="shared" si="0"/>
        <v>#VALUE!</v>
      </c>
    </row>
    <row r="16" spans="1:24" x14ac:dyDescent="0.2">
      <c r="A16" s="347"/>
      <c r="B16" s="353">
        <v>11</v>
      </c>
      <c r="C16" s="352" t="b">
        <v>0</v>
      </c>
      <c r="D16" s="273" t="str">
        <v>V4</v>
      </c>
      <c r="E16" s="351">
        <v>41927</v>
      </c>
      <c r="F16" s="273" t="str">
        <v>FEIV4</v>
      </c>
      <c r="G16" s="350">
        <v>41806</v>
      </c>
      <c r="H16" s="273">
        <v>99.545000000000002</v>
      </c>
      <c r="I16" s="273">
        <v>99.55</v>
      </c>
      <c r="J16" s="273">
        <v>99.55</v>
      </c>
      <c r="K16" s="273">
        <v>99.56</v>
      </c>
      <c r="L16" s="276">
        <f>_xll.qlMidSafe($H16,$I16)</f>
        <v>99.547499999999999</v>
      </c>
      <c r="M16" s="267"/>
      <c r="N16" s="349">
        <v>99.547499999999999</v>
      </c>
      <c r="O16" s="267"/>
      <c r="P16" s="348" t="str">
        <v>EURFUT3MV4_Quote</v>
      </c>
      <c r="Q16" s="273">
        <v>99.547499999999999</v>
      </c>
      <c r="R16" s="276" t="e">
        <f>_xll.qlSimpleQuoteSetValue($P16,$Q16,Trigger)</f>
        <v>#N/A</v>
      </c>
      <c r="S16" s="54"/>
      <c r="X16" s="307">
        <f t="shared" si="0"/>
        <v>4.9999999999954527E-5</v>
      </c>
    </row>
    <row r="17" spans="1:24" x14ac:dyDescent="0.2">
      <c r="A17" s="347"/>
      <c r="B17" s="353">
        <v>12</v>
      </c>
      <c r="C17" s="352" t="b">
        <v>0</v>
      </c>
      <c r="D17" s="273" t="str">
        <v>X4</v>
      </c>
      <c r="E17" s="351">
        <v>41962</v>
      </c>
      <c r="F17" s="273" t="str">
        <v>FEIX4</v>
      </c>
      <c r="G17" s="350" t="s">
        <v>262</v>
      </c>
      <c r="H17" s="273" t="s">
        <v>262</v>
      </c>
      <c r="I17" s="273" t="s">
        <v>262</v>
      </c>
      <c r="J17" s="273" t="s">
        <v>262</v>
      </c>
      <c r="K17" s="273" t="s">
        <v>262</v>
      </c>
      <c r="L17" s="276" t="e">
        <f>_xll.qlMidSafe($H17,$I17)</f>
        <v>#NUM!</v>
      </c>
      <c r="M17" s="267"/>
      <c r="N17" s="349" t="e">
        <v>#NUM!</v>
      </c>
      <c r="O17" s="267"/>
      <c r="P17" s="348" t="str">
        <v>EURFUT3MX4_Quote</v>
      </c>
      <c r="Q17" s="273" t="e">
        <v>#NUM!</v>
      </c>
      <c r="R17" s="276" t="e">
        <f>_xll.qlSimpleQuoteSetValue($P17,$Q17,Trigger)</f>
        <v>#NUM!</v>
      </c>
      <c r="S17" s="54"/>
      <c r="X17" s="307" t="e">
        <f t="shared" si="0"/>
        <v>#VALUE!</v>
      </c>
    </row>
    <row r="18" spans="1:24" x14ac:dyDescent="0.2">
      <c r="A18" s="347"/>
      <c r="B18" s="353">
        <v>13</v>
      </c>
      <c r="C18" s="352" t="b">
        <v>1</v>
      </c>
      <c r="D18" s="273" t="str">
        <v>Z4</v>
      </c>
      <c r="E18" s="351">
        <v>41990</v>
      </c>
      <c r="F18" s="273" t="str">
        <v>FEIZ4</v>
      </c>
      <c r="G18" s="350">
        <v>41897</v>
      </c>
      <c r="H18" s="273">
        <v>99.484999999999999</v>
      </c>
      <c r="I18" s="273">
        <v>99.49</v>
      </c>
      <c r="J18" s="273">
        <v>99.484999999999999</v>
      </c>
      <c r="K18" s="273">
        <v>99.51</v>
      </c>
      <c r="L18" s="276">
        <f>_xll.qlMidSafe($H18,$I18)</f>
        <v>99.487499999999997</v>
      </c>
      <c r="M18" s="267"/>
      <c r="N18" s="349">
        <v>99.487499999999997</v>
      </c>
      <c r="O18" s="267"/>
      <c r="P18" s="348" t="str">
        <v>EURFUT3MZ4_Quote</v>
      </c>
      <c r="Q18" s="273">
        <v>99.487499999999997</v>
      </c>
      <c r="R18" s="276" t="e">
        <f>_xll.qlSimpleQuoteSetValue($P18,$Q18,Trigger)</f>
        <v>#N/A</v>
      </c>
      <c r="S18" s="54"/>
      <c r="X18" s="307">
        <f t="shared" si="0"/>
        <v>4.9999999999954527E-5</v>
      </c>
    </row>
    <row r="19" spans="1:24" x14ac:dyDescent="0.2">
      <c r="A19" s="347"/>
      <c r="B19" s="353">
        <v>14</v>
      </c>
      <c r="C19" s="352" t="b">
        <v>1</v>
      </c>
      <c r="D19" s="273" t="str">
        <v>H5</v>
      </c>
      <c r="E19" s="351">
        <v>42081</v>
      </c>
      <c r="F19" s="273" t="str">
        <v>FEIH5</v>
      </c>
      <c r="G19" s="350">
        <v>41988</v>
      </c>
      <c r="H19" s="273">
        <v>99.415000000000006</v>
      </c>
      <c r="I19" s="273">
        <v>99.42</v>
      </c>
      <c r="J19" s="273">
        <v>99.42</v>
      </c>
      <c r="K19" s="273">
        <v>99.454999999999998</v>
      </c>
      <c r="L19" s="276">
        <f>_xll.qlMidSafe($H19,$I19)</f>
        <v>99.417500000000004</v>
      </c>
      <c r="M19" s="267"/>
      <c r="N19" s="349">
        <v>99.417500000000004</v>
      </c>
      <c r="O19" s="267"/>
      <c r="P19" s="348" t="str">
        <v>EURFUT3MH5_Quote</v>
      </c>
      <c r="Q19" s="273">
        <v>99.417500000000004</v>
      </c>
      <c r="R19" s="276" t="e">
        <f>_xll.qlSimpleQuoteSetValue($P19,$Q19,Trigger)</f>
        <v>#N/A</v>
      </c>
      <c r="S19" s="54"/>
      <c r="X19" s="307">
        <f t="shared" si="0"/>
        <v>4.9999999999954527E-5</v>
      </c>
    </row>
    <row r="20" spans="1:24" x14ac:dyDescent="0.2">
      <c r="A20" s="347"/>
      <c r="B20" s="353">
        <v>15</v>
      </c>
      <c r="C20" s="352" t="b">
        <v>1</v>
      </c>
      <c r="D20" s="273" t="str">
        <v>M5</v>
      </c>
      <c r="E20" s="351">
        <v>42172</v>
      </c>
      <c r="F20" s="273" t="str">
        <v>FEIM5</v>
      </c>
      <c r="G20" s="350">
        <v>42079</v>
      </c>
      <c r="H20" s="273">
        <v>99.344999999999999</v>
      </c>
      <c r="I20" s="273">
        <v>99.35</v>
      </c>
      <c r="J20" s="273">
        <v>99.35</v>
      </c>
      <c r="K20" s="273">
        <v>99.394999999999996</v>
      </c>
      <c r="L20" s="276">
        <f>_xll.qlMidSafe($H20,$I20)</f>
        <v>99.347499999999997</v>
      </c>
      <c r="M20" s="267"/>
      <c r="N20" s="349">
        <v>99.347499999999997</v>
      </c>
      <c r="O20" s="267"/>
      <c r="P20" s="348" t="str">
        <v>EURFUT3MM5_Quote</v>
      </c>
      <c r="Q20" s="273">
        <v>99.347499999999997</v>
      </c>
      <c r="R20" s="276" t="e">
        <f>_xll.qlSimpleQuoteSetValue($P20,$Q20,Trigger)</f>
        <v>#N/A</v>
      </c>
      <c r="S20" s="54"/>
      <c r="X20" s="307">
        <f t="shared" si="0"/>
        <v>4.9999999999954527E-5</v>
      </c>
    </row>
    <row r="21" spans="1:24" x14ac:dyDescent="0.2">
      <c r="A21" s="347"/>
      <c r="B21" s="353">
        <v>16</v>
      </c>
      <c r="C21" s="352" t="b">
        <v>1</v>
      </c>
      <c r="D21" s="273" t="str">
        <v>U5</v>
      </c>
      <c r="E21" s="351">
        <v>42263</v>
      </c>
      <c r="F21" s="273" t="str">
        <v>FEIU5</v>
      </c>
      <c r="G21" s="350">
        <v>42170</v>
      </c>
      <c r="H21" s="273">
        <v>99.265000000000001</v>
      </c>
      <c r="I21" s="273">
        <v>99.27</v>
      </c>
      <c r="J21" s="273">
        <v>99.27</v>
      </c>
      <c r="K21" s="273">
        <v>99.325000000000003</v>
      </c>
      <c r="L21" s="276">
        <f>_xll.qlMidSafe($H21,$I21)</f>
        <v>99.267499999999998</v>
      </c>
      <c r="M21" s="267"/>
      <c r="N21" s="349">
        <v>99.267499999999998</v>
      </c>
      <c r="O21" s="267"/>
      <c r="P21" s="348" t="str">
        <v>EURFUT3MU5_Quote</v>
      </c>
      <c r="Q21" s="273">
        <v>99.267499999999998</v>
      </c>
      <c r="R21" s="276" t="e">
        <f>_xll.qlSimpleQuoteSetValue($P21,$Q21,Trigger)</f>
        <v>#N/A</v>
      </c>
      <c r="S21" s="54"/>
      <c r="X21" s="307">
        <f t="shared" si="0"/>
        <v>4.9999999999954527E-5</v>
      </c>
    </row>
    <row r="22" spans="1:24" x14ac:dyDescent="0.2">
      <c r="A22" s="347"/>
      <c r="B22" s="353">
        <v>17</v>
      </c>
      <c r="C22" s="352" t="b">
        <v>1</v>
      </c>
      <c r="D22" s="273" t="str">
        <v>Z5</v>
      </c>
      <c r="E22" s="351">
        <v>42354</v>
      </c>
      <c r="F22" s="273" t="str">
        <v>FEIZ5</v>
      </c>
      <c r="G22" s="350">
        <v>42261</v>
      </c>
      <c r="H22" s="273">
        <v>99.18</v>
      </c>
      <c r="I22" s="273">
        <v>99.185000000000002</v>
      </c>
      <c r="J22" s="273">
        <v>99.185000000000002</v>
      </c>
      <c r="K22" s="273">
        <v>99.245000000000005</v>
      </c>
      <c r="L22" s="276">
        <f>_xll.qlMidSafe($H22,$I22)</f>
        <v>99.182500000000005</v>
      </c>
      <c r="M22" s="267"/>
      <c r="N22" s="349">
        <v>99.182500000000005</v>
      </c>
      <c r="O22" s="267"/>
      <c r="P22" s="348" t="str">
        <v>EURFUT3MZ5_Quote</v>
      </c>
      <c r="Q22" s="273">
        <v>99.182500000000005</v>
      </c>
      <c r="R22" s="276" t="e">
        <f>_xll.qlSimpleQuoteSetValue($P22,$Q22,Trigger)</f>
        <v>#N/A</v>
      </c>
      <c r="S22" s="54"/>
      <c r="X22" s="307">
        <f t="shared" si="0"/>
        <v>4.9999999999954527E-5</v>
      </c>
    </row>
    <row r="23" spans="1:24" x14ac:dyDescent="0.2">
      <c r="A23" s="347"/>
      <c r="B23" s="353">
        <v>18</v>
      </c>
      <c r="C23" s="352" t="b">
        <v>1</v>
      </c>
      <c r="D23" s="273" t="str">
        <v>H6</v>
      </c>
      <c r="E23" s="351">
        <v>42445</v>
      </c>
      <c r="F23" s="273" t="str">
        <v>FEIH6</v>
      </c>
      <c r="G23" s="350">
        <v>42352</v>
      </c>
      <c r="H23" s="273">
        <v>99.07</v>
      </c>
      <c r="I23" s="273">
        <v>99.08</v>
      </c>
      <c r="J23" s="273">
        <v>99.075000000000003</v>
      </c>
      <c r="K23" s="273">
        <v>99.15</v>
      </c>
      <c r="L23" s="276">
        <f>_xll.qlMidSafe($H23,$I23)</f>
        <v>99.074999999999989</v>
      </c>
      <c r="M23" s="267"/>
      <c r="N23" s="349">
        <v>99.074999999999989</v>
      </c>
      <c r="O23" s="267"/>
      <c r="P23" s="348" t="str">
        <v>EURFUT3MH6_Quote</v>
      </c>
      <c r="Q23" s="273">
        <v>99.074999999999989</v>
      </c>
      <c r="R23" s="276" t="e">
        <f>_xll.qlSimpleQuoteSetValue($P23,$Q23,Trigger)</f>
        <v>#N/A</v>
      </c>
      <c r="S23" s="54"/>
      <c r="X23" s="307">
        <f t="shared" si="0"/>
        <v>1.0000000000019326E-4</v>
      </c>
    </row>
    <row r="24" spans="1:24" x14ac:dyDescent="0.2">
      <c r="A24" s="347"/>
      <c r="B24" s="353">
        <v>19</v>
      </c>
      <c r="C24" s="352" t="b">
        <v>1</v>
      </c>
      <c r="D24" s="273" t="str">
        <v>M6</v>
      </c>
      <c r="E24" s="351">
        <v>42536</v>
      </c>
      <c r="F24" s="273" t="str">
        <v>FEIM6</v>
      </c>
      <c r="G24" s="350">
        <v>42443</v>
      </c>
      <c r="H24" s="273">
        <v>98.944999999999993</v>
      </c>
      <c r="I24" s="273">
        <v>98.954999999999998</v>
      </c>
      <c r="J24" s="273">
        <v>98.95</v>
      </c>
      <c r="K24" s="273">
        <v>99.034999999999997</v>
      </c>
      <c r="L24" s="276">
        <f>_xll.qlMidSafe($H24,$I24)</f>
        <v>98.949999999999989</v>
      </c>
      <c r="M24" s="267"/>
      <c r="N24" s="349">
        <v>98.949999999999989</v>
      </c>
      <c r="O24" s="267"/>
      <c r="P24" s="348" t="str">
        <v>EURFUT3MM6_Quote</v>
      </c>
      <c r="Q24" s="273">
        <v>98.949999999999989</v>
      </c>
      <c r="R24" s="276" t="e">
        <f>_xll.qlSimpleQuoteSetValue($P24,$Q24,Trigger)</f>
        <v>#N/A</v>
      </c>
      <c r="S24" s="54"/>
      <c r="X24" s="307">
        <f t="shared" si="0"/>
        <v>1.0000000000019326E-4</v>
      </c>
    </row>
    <row r="25" spans="1:24" x14ac:dyDescent="0.2">
      <c r="A25" s="347"/>
      <c r="B25" s="353">
        <v>20</v>
      </c>
      <c r="C25" s="352" t="b">
        <v>1</v>
      </c>
      <c r="D25" s="273" t="str">
        <v>U6</v>
      </c>
      <c r="E25" s="351">
        <v>42634</v>
      </c>
      <c r="F25" s="273" t="str">
        <v>FEIU6</v>
      </c>
      <c r="G25" s="350">
        <v>42534</v>
      </c>
      <c r="H25" s="273">
        <v>98.8</v>
      </c>
      <c r="I25" s="273">
        <v>98.805000000000007</v>
      </c>
      <c r="J25" s="273">
        <v>98.81</v>
      </c>
      <c r="K25" s="273">
        <v>98.9</v>
      </c>
      <c r="L25" s="276">
        <f>_xll.qlMidSafe($H25,$I25)</f>
        <v>98.802500000000009</v>
      </c>
      <c r="M25" s="267"/>
      <c r="N25" s="349">
        <v>98.802500000000009</v>
      </c>
      <c r="O25" s="267"/>
      <c r="P25" s="348" t="str">
        <v>EURFUT3MU6_Quote</v>
      </c>
      <c r="Q25" s="273">
        <v>98.802500000000009</v>
      </c>
      <c r="R25" s="276" t="e">
        <f>_xll.qlSimpleQuoteSetValue($P25,$Q25,Trigger)</f>
        <v>#N/A</v>
      </c>
      <c r="S25" s="54"/>
      <c r="X25" s="307">
        <f t="shared" si="0"/>
        <v>4.9999999999954527E-5</v>
      </c>
    </row>
    <row r="26" spans="1:24" x14ac:dyDescent="0.2">
      <c r="A26" s="347"/>
      <c r="B26" s="353">
        <v>21</v>
      </c>
      <c r="C26" s="352" t="b">
        <v>1</v>
      </c>
      <c r="D26" s="273" t="str">
        <v>Z6</v>
      </c>
      <c r="E26" s="351">
        <v>42725</v>
      </c>
      <c r="F26" s="273" t="str">
        <v>FEIZ6</v>
      </c>
      <c r="G26" s="350">
        <v>42632</v>
      </c>
      <c r="H26" s="273">
        <v>98.65</v>
      </c>
      <c r="I26" s="273">
        <v>98.66</v>
      </c>
      <c r="J26" s="273">
        <v>98.66</v>
      </c>
      <c r="K26" s="273">
        <v>98.765000000000001</v>
      </c>
      <c r="L26" s="276">
        <f>_xll.qlMidSafe($H26,$I26)</f>
        <v>98.655000000000001</v>
      </c>
      <c r="M26" s="267"/>
      <c r="N26" s="349">
        <v>98.655000000000001</v>
      </c>
      <c r="O26" s="267"/>
      <c r="P26" s="348" t="str">
        <v>EURFUT3MZ6_Quote</v>
      </c>
      <c r="Q26" s="273">
        <v>98.655000000000001</v>
      </c>
      <c r="R26" s="276" t="e">
        <f>_xll.qlSimpleQuoteSetValue($P26,$Q26,Trigger)</f>
        <v>#N/A</v>
      </c>
      <c r="S26" s="54"/>
      <c r="X26" s="307">
        <f t="shared" si="0"/>
        <v>9.9999999999909054E-5</v>
      </c>
    </row>
    <row r="27" spans="1:24" x14ac:dyDescent="0.2">
      <c r="A27" s="347"/>
      <c r="B27" s="353">
        <v>22</v>
      </c>
      <c r="C27" s="352" t="b">
        <v>1</v>
      </c>
      <c r="D27" s="273" t="str">
        <v>H7</v>
      </c>
      <c r="E27" s="351">
        <v>42809</v>
      </c>
      <c r="F27" s="273" t="str">
        <v>FEIH7</v>
      </c>
      <c r="G27" s="350">
        <v>42723</v>
      </c>
      <c r="H27" s="273">
        <v>98.51</v>
      </c>
      <c r="I27" s="273">
        <v>98.52</v>
      </c>
      <c r="J27" s="273">
        <v>98.525000000000006</v>
      </c>
      <c r="K27" s="273">
        <v>98.63</v>
      </c>
      <c r="L27" s="276">
        <f>_xll.qlMidSafe($H27,$I27)</f>
        <v>98.515000000000001</v>
      </c>
      <c r="M27" s="267"/>
      <c r="N27" s="349">
        <v>98.515000000000001</v>
      </c>
      <c r="O27" s="267"/>
      <c r="P27" s="348" t="str">
        <v>EURFUT3MH7_Quote</v>
      </c>
      <c r="Q27" s="273">
        <v>98.515000000000001</v>
      </c>
      <c r="R27" s="276" t="e">
        <f>_xll.qlSimpleQuoteSetValue($P27,$Q27,Trigger)</f>
        <v>#N/A</v>
      </c>
      <c r="S27" s="54"/>
      <c r="X27" s="307">
        <f t="shared" si="0"/>
        <v>9.9999999999909054E-5</v>
      </c>
    </row>
    <row r="28" spans="1:24" x14ac:dyDescent="0.2">
      <c r="A28" s="347"/>
      <c r="B28" s="353">
        <v>23</v>
      </c>
      <c r="C28" s="352" t="b">
        <v>1</v>
      </c>
      <c r="D28" s="273" t="str">
        <v>M7</v>
      </c>
      <c r="E28" s="351">
        <v>42907</v>
      </c>
      <c r="F28" s="273" t="str">
        <v>FEIM7</v>
      </c>
      <c r="G28" s="350">
        <v>42807</v>
      </c>
      <c r="H28" s="273">
        <v>98.375</v>
      </c>
      <c r="I28" s="273">
        <v>98.385000000000005</v>
      </c>
      <c r="J28" s="273">
        <v>98.385000000000005</v>
      </c>
      <c r="K28" s="273">
        <v>98.5</v>
      </c>
      <c r="L28" s="276">
        <f>_xll.qlMidSafe($H28,$I28)</f>
        <v>98.38</v>
      </c>
      <c r="M28" s="267"/>
      <c r="N28" s="349">
        <v>98.384999999999991</v>
      </c>
      <c r="O28" s="267"/>
      <c r="P28" s="348" t="str">
        <v>EURFUT3MM7_Quote</v>
      </c>
      <c r="Q28" s="273">
        <v>98.38</v>
      </c>
      <c r="R28" s="276" t="e">
        <f>_xll.qlSimpleQuoteSetValue($P28,$Q28,Trigger)</f>
        <v>#N/A</v>
      </c>
      <c r="S28" s="54"/>
      <c r="X28" s="307">
        <f t="shared" si="0"/>
        <v>1.0000000000019326E-4</v>
      </c>
    </row>
    <row r="29" spans="1:24" x14ac:dyDescent="0.2">
      <c r="A29" s="347"/>
      <c r="B29" s="353">
        <v>24</v>
      </c>
      <c r="C29" s="352" t="b">
        <v>1</v>
      </c>
      <c r="D29" s="273" t="str">
        <v>U7</v>
      </c>
      <c r="E29" s="351">
        <v>42998</v>
      </c>
      <c r="F29" s="273" t="str">
        <v>FEIU7</v>
      </c>
      <c r="G29" s="350">
        <v>42905</v>
      </c>
      <c r="H29" s="273">
        <v>98.24</v>
      </c>
      <c r="I29" s="273">
        <v>98.25</v>
      </c>
      <c r="J29" s="273">
        <v>98.254999999999995</v>
      </c>
      <c r="K29" s="273">
        <v>98.37</v>
      </c>
      <c r="L29" s="276">
        <f>_xll.qlMidSafe($H29,$I29)</f>
        <v>98.245000000000005</v>
      </c>
      <c r="M29" s="267"/>
      <c r="N29" s="349">
        <v>98.25</v>
      </c>
      <c r="O29" s="267"/>
      <c r="P29" s="348" t="str">
        <v>EURFUT3MU7_Quote</v>
      </c>
      <c r="Q29" s="273">
        <v>98.245000000000005</v>
      </c>
      <c r="R29" s="276" t="e">
        <f>_xll.qlSimpleQuoteSetValue($P29,$Q29,Trigger)</f>
        <v>#N/A</v>
      </c>
      <c r="S29" s="54"/>
      <c r="X29" s="307">
        <f t="shared" si="0"/>
        <v>9.9999999999909054E-5</v>
      </c>
    </row>
    <row r="30" spans="1:24" x14ac:dyDescent="0.2">
      <c r="A30" s="347"/>
      <c r="B30" s="353">
        <v>25</v>
      </c>
      <c r="C30" s="352" t="b">
        <v>1</v>
      </c>
      <c r="D30" s="273" t="str">
        <v>Z7</v>
      </c>
      <c r="E30" s="351">
        <v>43089</v>
      </c>
      <c r="F30" s="273" t="str">
        <v>FEIZ7</v>
      </c>
      <c r="G30" s="350">
        <v>42996</v>
      </c>
      <c r="H30" s="273">
        <v>98.114999999999995</v>
      </c>
      <c r="I30" s="273">
        <v>98.13</v>
      </c>
      <c r="J30" s="273">
        <v>98.125</v>
      </c>
      <c r="K30" s="273">
        <v>98.245000000000005</v>
      </c>
      <c r="L30" s="276">
        <f>_xll.qlMidSafe($H30,$I30)</f>
        <v>98.122500000000002</v>
      </c>
      <c r="M30" s="267"/>
      <c r="N30" s="349">
        <v>98.125</v>
      </c>
      <c r="O30" s="267"/>
      <c r="P30" s="348" t="str">
        <v>EURFUT3MZ7_Quote</v>
      </c>
      <c r="Q30" s="273">
        <v>98.122500000000002</v>
      </c>
      <c r="R30" s="276" t="e">
        <f>_xll.qlSimpleQuoteSetValue($P30,$Q30,Trigger)</f>
        <v>#N/A</v>
      </c>
      <c r="S30" s="54"/>
      <c r="X30" s="307">
        <f t="shared" si="0"/>
        <v>1.4999999999986357E-4</v>
      </c>
    </row>
    <row r="31" spans="1:24" x14ac:dyDescent="0.2">
      <c r="A31" s="347"/>
      <c r="B31" s="353">
        <v>26</v>
      </c>
      <c r="C31" s="352" t="b">
        <v>1</v>
      </c>
      <c r="D31" s="273" t="str">
        <v>H8</v>
      </c>
      <c r="E31" s="351">
        <v>43180</v>
      </c>
      <c r="F31" s="273" t="str">
        <v>FEIH8</v>
      </c>
      <c r="G31" s="350">
        <v>43087</v>
      </c>
      <c r="H31" s="273">
        <v>97.995000000000005</v>
      </c>
      <c r="I31" s="273">
        <v>98.015000000000001</v>
      </c>
      <c r="J31" s="273">
        <v>98.045000000000002</v>
      </c>
      <c r="K31" s="273">
        <v>98.135000000000005</v>
      </c>
      <c r="L31" s="276">
        <f>_xll.qlMidSafe($H31,$I31)</f>
        <v>98.004999999999995</v>
      </c>
      <c r="M31" s="267"/>
      <c r="N31" s="349">
        <v>98.009999999999991</v>
      </c>
      <c r="O31" s="267"/>
      <c r="P31" s="348" t="str">
        <v>EURFUT3MH8_Quote</v>
      </c>
      <c r="Q31" s="273">
        <v>98.004999999999995</v>
      </c>
      <c r="R31" s="276" t="e">
        <f>_xll.qlSimpleQuoteSetValue($P31,$Q31,Trigger)</f>
        <v>#N/A</v>
      </c>
      <c r="S31" s="54"/>
      <c r="X31" s="307">
        <f t="shared" si="0"/>
        <v>2.0000000000010233E-4</v>
      </c>
    </row>
    <row r="32" spans="1:24" x14ac:dyDescent="0.2">
      <c r="A32" s="347"/>
      <c r="B32" s="353">
        <v>27</v>
      </c>
      <c r="C32" s="352" t="b">
        <v>1</v>
      </c>
      <c r="D32" s="273" t="str">
        <v>M8</v>
      </c>
      <c r="E32" s="351">
        <v>43271</v>
      </c>
      <c r="F32" s="273" t="str">
        <v>FEIM8</v>
      </c>
      <c r="G32" s="350">
        <v>43178</v>
      </c>
      <c r="H32" s="273">
        <v>97.91</v>
      </c>
      <c r="I32" s="273">
        <v>97.924999999999997</v>
      </c>
      <c r="J32" s="273">
        <v>97.96</v>
      </c>
      <c r="K32" s="273">
        <v>98.045000000000002</v>
      </c>
      <c r="L32" s="276">
        <f>_xll.qlMidSafe($H32,$I32)</f>
        <v>97.91749999999999</v>
      </c>
      <c r="M32" s="267"/>
      <c r="N32" s="349">
        <v>97.922499999999999</v>
      </c>
      <c r="O32" s="267"/>
      <c r="P32" s="348" t="str">
        <v>EURFUT3MM8_Quote</v>
      </c>
      <c r="Q32" s="273">
        <v>97.91749999999999</v>
      </c>
      <c r="R32" s="276" t="e">
        <f>_xll.qlSimpleQuoteSetValue($P32,$Q32,Trigger)</f>
        <v>#N/A</v>
      </c>
      <c r="S32" s="54"/>
      <c r="X32" s="307">
        <f t="shared" si="0"/>
        <v>1.5000000000014779E-4</v>
      </c>
    </row>
    <row r="33" spans="1:24" x14ac:dyDescent="0.2">
      <c r="A33" s="347"/>
      <c r="B33" s="353">
        <v>28</v>
      </c>
      <c r="C33" s="352" t="b">
        <v>1</v>
      </c>
      <c r="D33" s="273" t="str">
        <v>U8</v>
      </c>
      <c r="E33" s="351">
        <v>43362</v>
      </c>
      <c r="F33" s="273" t="str">
        <v>FEIU8</v>
      </c>
      <c r="G33" s="350">
        <v>43269</v>
      </c>
      <c r="H33" s="273">
        <v>97.825000000000003</v>
      </c>
      <c r="I33" s="273">
        <v>97.84</v>
      </c>
      <c r="J33" s="273">
        <v>97.825000000000003</v>
      </c>
      <c r="K33" s="273">
        <v>97.954999999999998</v>
      </c>
      <c r="L33" s="276">
        <f>_xll.qlMidSafe($H33,$I33)</f>
        <v>97.83250000000001</v>
      </c>
      <c r="M33" s="267"/>
      <c r="N33" s="349">
        <v>97.835000000000008</v>
      </c>
      <c r="O33" s="267"/>
      <c r="P33" s="348" t="str">
        <v>EURFUT3MU8_Quote</v>
      </c>
      <c r="Q33" s="273">
        <v>97.83250000000001</v>
      </c>
      <c r="R33" s="276" t="e">
        <f>_xll.qlSimpleQuoteSetValue($P33,$Q33,Trigger)</f>
        <v>#N/A</v>
      </c>
      <c r="S33" s="54"/>
      <c r="X33" s="307">
        <f t="shared" si="0"/>
        <v>1.4999999999986357E-4</v>
      </c>
    </row>
    <row r="34" spans="1:24" x14ac:dyDescent="0.2">
      <c r="A34" s="347"/>
      <c r="B34" s="353">
        <v>29</v>
      </c>
      <c r="C34" s="352" t="b">
        <v>1</v>
      </c>
      <c r="D34" s="273" t="str">
        <v>Z8</v>
      </c>
      <c r="E34" s="351">
        <v>43453</v>
      </c>
      <c r="F34" s="273" t="str">
        <v>FEIZ8</v>
      </c>
      <c r="G34" s="350">
        <v>43360</v>
      </c>
      <c r="H34" s="273">
        <v>97.734999999999999</v>
      </c>
      <c r="I34" s="273">
        <v>97.78</v>
      </c>
      <c r="J34" s="273">
        <v>97.81</v>
      </c>
      <c r="K34" s="273">
        <v>97.875</v>
      </c>
      <c r="L34" s="276">
        <f>_xll.qlMidSafe($H34,$I34)</f>
        <v>97.757499999999993</v>
      </c>
      <c r="M34" s="267"/>
      <c r="N34" s="349">
        <v>97.759999999999991</v>
      </c>
      <c r="O34" s="267"/>
      <c r="P34" s="348" t="str">
        <v>EURFUT3MZ8_Quote</v>
      </c>
      <c r="Q34" s="273">
        <v>97.757499999999993</v>
      </c>
      <c r="R34" s="276" t="e">
        <f>_xll.qlSimpleQuoteSetValue($P34,$Q34,Trigger)</f>
        <v>#N/A</v>
      </c>
      <c r="S34" s="54"/>
      <c r="X34" s="307">
        <f t="shared" si="0"/>
        <v>4.5000000000015915E-4</v>
      </c>
    </row>
    <row r="35" spans="1:24" x14ac:dyDescent="0.2">
      <c r="A35" s="347"/>
      <c r="B35" s="353">
        <v>30</v>
      </c>
      <c r="C35" s="352" t="b">
        <v>1</v>
      </c>
      <c r="D35" s="273" t="str">
        <v>H9</v>
      </c>
      <c r="E35" s="351">
        <v>43544</v>
      </c>
      <c r="F35" s="273" t="str">
        <v>FEIH9</v>
      </c>
      <c r="G35" s="350">
        <v>43451</v>
      </c>
      <c r="H35" s="273">
        <v>97.65</v>
      </c>
      <c r="I35" s="273">
        <v>97.69</v>
      </c>
      <c r="J35" s="273">
        <v>0</v>
      </c>
      <c r="K35" s="273">
        <v>97.795000000000002</v>
      </c>
      <c r="L35" s="276">
        <f>_xll.qlMidSafe($H35,$I35)</f>
        <v>97.67</v>
      </c>
      <c r="M35" s="267"/>
      <c r="N35" s="349">
        <v>97.672499999999999</v>
      </c>
      <c r="O35" s="267"/>
      <c r="P35" s="348" t="str">
        <v>EURFUT3MH9_Quote</v>
      </c>
      <c r="Q35" s="273">
        <v>97.67</v>
      </c>
      <c r="R35" s="276" t="e">
        <f>_xll.qlSimpleQuoteSetValue($P35,$Q35,Trigger)</f>
        <v>#N/A</v>
      </c>
      <c r="S35" s="54"/>
      <c r="X35" s="307">
        <f t="shared" si="0"/>
        <v>3.9999999999992044E-4</v>
      </c>
    </row>
    <row r="36" spans="1:24" x14ac:dyDescent="0.2">
      <c r="A36" s="347"/>
      <c r="B36" s="353">
        <v>31</v>
      </c>
      <c r="C36" s="352" t="b">
        <v>1</v>
      </c>
      <c r="D36" s="273" t="str">
        <v>M9</v>
      </c>
      <c r="E36" s="351">
        <v>43635</v>
      </c>
      <c r="F36" s="273" t="str">
        <v>FEIM9</v>
      </c>
      <c r="G36" s="350">
        <v>43542</v>
      </c>
      <c r="H36" s="273">
        <v>0</v>
      </c>
      <c r="I36" s="273">
        <v>0</v>
      </c>
      <c r="J36" s="273">
        <v>0</v>
      </c>
      <c r="K36" s="273">
        <v>97.715000000000003</v>
      </c>
      <c r="L36" s="276" t="e">
        <f>_xll.qlMidSafe($H36,$I36)</f>
        <v>#NUM!</v>
      </c>
      <c r="M36" s="267"/>
      <c r="N36" s="349" t="e">
        <v>#NUM!</v>
      </c>
      <c r="O36" s="267"/>
      <c r="P36" s="348" t="str">
        <v>EURFUT3MM9_Quote</v>
      </c>
      <c r="Q36" s="273" t="e">
        <v>#NUM!</v>
      </c>
      <c r="R36" s="276" t="e">
        <f>_xll.qlSimpleQuoteSetValue($P36,$Q36,Trigger)</f>
        <v>#NUM!</v>
      </c>
      <c r="S36" s="54"/>
      <c r="X36" s="307" t="e">
        <f t="shared" si="0"/>
        <v>#NUM!</v>
      </c>
    </row>
    <row r="37" spans="1:24" x14ac:dyDescent="0.2">
      <c r="A37" s="347"/>
      <c r="B37" s="353">
        <v>32</v>
      </c>
      <c r="C37" s="352" t="b">
        <v>1</v>
      </c>
      <c r="D37" s="273" t="str">
        <v>U9</v>
      </c>
      <c r="E37" s="351">
        <v>43726</v>
      </c>
      <c r="F37" s="273" t="str">
        <v>FEIU9</v>
      </c>
      <c r="G37" s="350">
        <v>43633</v>
      </c>
      <c r="H37" s="273">
        <v>0</v>
      </c>
      <c r="I37" s="273">
        <v>0</v>
      </c>
      <c r="J37" s="273">
        <v>0</v>
      </c>
      <c r="K37" s="273">
        <v>97.605000000000004</v>
      </c>
      <c r="L37" s="276" t="e">
        <f>_xll.qlMidSafe($H37,$I37)</f>
        <v>#NUM!</v>
      </c>
      <c r="M37" s="267"/>
      <c r="N37" s="349" t="e">
        <v>#NUM!</v>
      </c>
      <c r="O37" s="267"/>
      <c r="P37" s="348" t="str">
        <v>EURFUT3MU9_Quote</v>
      </c>
      <c r="Q37" s="273" t="e">
        <v>#NUM!</v>
      </c>
      <c r="R37" s="276" t="e">
        <f>_xll.qlSimpleQuoteSetValue($P37,$Q37,Trigger)</f>
        <v>#NUM!</v>
      </c>
      <c r="S37" s="54"/>
      <c r="X37" s="307" t="e">
        <f t="shared" si="0"/>
        <v>#NUM!</v>
      </c>
    </row>
    <row r="38" spans="1:24" x14ac:dyDescent="0.2">
      <c r="A38" s="347"/>
      <c r="B38" s="353">
        <v>33</v>
      </c>
      <c r="C38" s="352" t="b">
        <v>1</v>
      </c>
      <c r="D38" s="273" t="str">
        <v>Z9</v>
      </c>
      <c r="E38" s="351">
        <v>43817</v>
      </c>
      <c r="F38" s="273" t="str">
        <v>FEIZ9</v>
      </c>
      <c r="G38" s="350" t="s">
        <v>262</v>
      </c>
      <c r="H38" s="273" t="s">
        <v>262</v>
      </c>
      <c r="I38" s="273" t="s">
        <v>262</v>
      </c>
      <c r="J38" s="273" t="s">
        <v>262</v>
      </c>
      <c r="K38" s="273" t="s">
        <v>262</v>
      </c>
      <c r="L38" s="276" t="e">
        <f>_xll.qlMidSafe($H38,$I38)</f>
        <v>#NUM!</v>
      </c>
      <c r="M38" s="267"/>
      <c r="N38" s="349" t="e">
        <v>#NUM!</v>
      </c>
      <c r="O38" s="267"/>
      <c r="P38" s="348" t="str">
        <v>EURFUT3MZ9_Quote</v>
      </c>
      <c r="Q38" s="273" t="e">
        <v>#NUM!</v>
      </c>
      <c r="R38" s="276" t="e">
        <f>_xll.qlSimpleQuoteSetValue($P38,$Q38,Trigger)</f>
        <v>#NUM!</v>
      </c>
      <c r="S38" s="54"/>
      <c r="X38" s="307" t="e">
        <f t="shared" si="0"/>
        <v>#VALUE!</v>
      </c>
    </row>
    <row r="39" spans="1:24" x14ac:dyDescent="0.2">
      <c r="A39" s="347"/>
      <c r="B39" s="353">
        <v>34</v>
      </c>
      <c r="C39" s="352" t="b">
        <v>1</v>
      </c>
      <c r="D39" s="273" t="str">
        <v>H0</v>
      </c>
      <c r="E39" s="351">
        <v>43908</v>
      </c>
      <c r="F39" s="273" t="str">
        <v>FEIH0</v>
      </c>
      <c r="G39" s="350" t="s">
        <v>262</v>
      </c>
      <c r="H39" s="273" t="s">
        <v>262</v>
      </c>
      <c r="I39" s="273" t="s">
        <v>262</v>
      </c>
      <c r="J39" s="273" t="s">
        <v>262</v>
      </c>
      <c r="K39" s="273" t="s">
        <v>262</v>
      </c>
      <c r="L39" s="276" t="e">
        <f>_xll.qlMidSafe($H39,$I39)</f>
        <v>#NUM!</v>
      </c>
      <c r="M39" s="267"/>
      <c r="N39" s="349" t="e">
        <v>#NUM!</v>
      </c>
      <c r="O39" s="267"/>
      <c r="P39" s="348" t="str">
        <v>EURFUT3MH0_Quote</v>
      </c>
      <c r="Q39" s="273" t="e">
        <v>#NUM!</v>
      </c>
      <c r="R39" s="276" t="e">
        <f>_xll.qlSimpleQuoteSetValue($P39,$Q39,Trigger)</f>
        <v>#NUM!</v>
      </c>
      <c r="S39" s="54"/>
      <c r="X39" s="307" t="e">
        <f t="shared" si="0"/>
        <v>#VALUE!</v>
      </c>
    </row>
    <row r="40" spans="1:24" x14ac:dyDescent="0.2">
      <c r="A40" s="347"/>
      <c r="B40" s="353">
        <v>35</v>
      </c>
      <c r="C40" s="352" t="b">
        <v>1</v>
      </c>
      <c r="D40" s="273" t="str">
        <v>M0</v>
      </c>
      <c r="E40" s="351">
        <v>43999</v>
      </c>
      <c r="F40" s="273" t="str">
        <v>FEIM0</v>
      </c>
      <c r="G40" s="350" t="s">
        <v>262</v>
      </c>
      <c r="H40" s="273" t="s">
        <v>262</v>
      </c>
      <c r="I40" s="273" t="s">
        <v>262</v>
      </c>
      <c r="J40" s="273" t="s">
        <v>262</v>
      </c>
      <c r="K40" s="273" t="s">
        <v>262</v>
      </c>
      <c r="L40" s="276" t="e">
        <f>_xll.qlMidSafe($H40,$I40)</f>
        <v>#NUM!</v>
      </c>
      <c r="M40" s="267"/>
      <c r="N40" s="349" t="e">
        <v>#NUM!</v>
      </c>
      <c r="O40" s="267"/>
      <c r="P40" s="348" t="str">
        <v>EURFUT3MM0_Quote</v>
      </c>
      <c r="Q40" s="273" t="e">
        <v>#NUM!</v>
      </c>
      <c r="R40" s="276" t="e">
        <f>_xll.qlSimpleQuoteSetValue($P40,$Q40,Trigger)</f>
        <v>#NUM!</v>
      </c>
      <c r="S40" s="54"/>
      <c r="X40" s="307" t="e">
        <f t="shared" si="0"/>
        <v>#VALUE!</v>
      </c>
    </row>
    <row r="41" spans="1:24" x14ac:dyDescent="0.2">
      <c r="A41" s="347"/>
      <c r="B41" s="353">
        <v>36</v>
      </c>
      <c r="C41" s="352" t="b">
        <v>1</v>
      </c>
      <c r="D41" s="273" t="str">
        <v>U0</v>
      </c>
      <c r="E41" s="351">
        <v>44090</v>
      </c>
      <c r="F41" s="273" t="str">
        <v>FEIU0</v>
      </c>
      <c r="G41" s="350" t="s">
        <v>262</v>
      </c>
      <c r="H41" s="273" t="s">
        <v>262</v>
      </c>
      <c r="I41" s="273" t="s">
        <v>262</v>
      </c>
      <c r="J41" s="273" t="s">
        <v>262</v>
      </c>
      <c r="K41" s="273" t="s">
        <v>262</v>
      </c>
      <c r="L41" s="276" t="e">
        <f>_xll.qlMidSafe($H41,$I41)</f>
        <v>#NUM!</v>
      </c>
      <c r="M41" s="267"/>
      <c r="N41" s="349" t="e">
        <v>#NUM!</v>
      </c>
      <c r="O41" s="267"/>
      <c r="P41" s="348" t="str">
        <v>EURFUT3MU0_Quote</v>
      </c>
      <c r="Q41" s="273" t="e">
        <v>#NUM!</v>
      </c>
      <c r="R41" s="276" t="e">
        <f>_xll.qlSimpleQuoteSetValue($P41,$Q41,Trigger)</f>
        <v>#NUM!</v>
      </c>
      <c r="S41" s="54"/>
      <c r="X41" s="307" t="e">
        <f t="shared" si="0"/>
        <v>#VALUE!</v>
      </c>
    </row>
    <row r="42" spans="1:24" x14ac:dyDescent="0.2">
      <c r="A42" s="347"/>
      <c r="B42" s="353">
        <v>37</v>
      </c>
      <c r="C42" s="352" t="b">
        <v>1</v>
      </c>
      <c r="D42" s="273" t="str">
        <v>Z0</v>
      </c>
      <c r="E42" s="351">
        <v>44181</v>
      </c>
      <c r="F42" s="273" t="str">
        <v>FEIZ0</v>
      </c>
      <c r="G42" s="350" t="s">
        <v>262</v>
      </c>
      <c r="H42" s="273" t="s">
        <v>262</v>
      </c>
      <c r="I42" s="273" t="s">
        <v>262</v>
      </c>
      <c r="J42" s="273" t="s">
        <v>262</v>
      </c>
      <c r="K42" s="273" t="s">
        <v>262</v>
      </c>
      <c r="L42" s="276" t="e">
        <f>_xll.qlMidSafe($H42,$I42)</f>
        <v>#NUM!</v>
      </c>
      <c r="M42" s="267"/>
      <c r="N42" s="349" t="e">
        <v>#NUM!</v>
      </c>
      <c r="O42" s="267"/>
      <c r="P42" s="348" t="str">
        <v>EURFUT3MZ0_Quote</v>
      </c>
      <c r="Q42" s="273" t="e">
        <v>#NUM!</v>
      </c>
      <c r="R42" s="276" t="e">
        <f>_xll.qlSimpleQuoteSetValue($P42,$Q42,Trigger)</f>
        <v>#NUM!</v>
      </c>
      <c r="S42" s="54"/>
      <c r="X42" s="307" t="e">
        <f t="shared" si="0"/>
        <v>#VALUE!</v>
      </c>
    </row>
    <row r="43" spans="1:24" x14ac:dyDescent="0.2">
      <c r="A43" s="347"/>
      <c r="B43" s="353">
        <v>38</v>
      </c>
      <c r="C43" s="352" t="b">
        <v>1</v>
      </c>
      <c r="D43" s="273" t="str">
        <v>H1</v>
      </c>
      <c r="E43" s="351">
        <v>44272</v>
      </c>
      <c r="F43" s="273" t="str">
        <v>FEIH1</v>
      </c>
      <c r="G43" s="350" t="s">
        <v>262</v>
      </c>
      <c r="H43" s="273" t="s">
        <v>262</v>
      </c>
      <c r="I43" s="273" t="s">
        <v>262</v>
      </c>
      <c r="J43" s="273" t="s">
        <v>262</v>
      </c>
      <c r="K43" s="273" t="s">
        <v>262</v>
      </c>
      <c r="L43" s="276" t="e">
        <f>_xll.qlMidSafe($H43,$I43)</f>
        <v>#NUM!</v>
      </c>
      <c r="M43" s="267"/>
      <c r="N43" s="349" t="e">
        <v>#NUM!</v>
      </c>
      <c r="O43" s="267"/>
      <c r="P43" s="348" t="str">
        <v>EURFUT3MH1_Quote</v>
      </c>
      <c r="Q43" s="273" t="e">
        <v>#NUM!</v>
      </c>
      <c r="R43" s="276" t="e">
        <f>_xll.qlSimpleQuoteSetValue($P43,$Q43,Trigger)</f>
        <v>#NUM!</v>
      </c>
      <c r="S43" s="54"/>
      <c r="X43" s="307" t="e">
        <f t="shared" si="0"/>
        <v>#VALUE!</v>
      </c>
    </row>
    <row r="44" spans="1:24" x14ac:dyDescent="0.2">
      <c r="A44" s="347"/>
      <c r="B44" s="353">
        <v>39</v>
      </c>
      <c r="C44" s="352" t="b">
        <v>1</v>
      </c>
      <c r="D44" s="273" t="str">
        <v>M1</v>
      </c>
      <c r="E44" s="351">
        <v>44363</v>
      </c>
      <c r="F44" s="273" t="str">
        <v>FEIM1</v>
      </c>
      <c r="G44" s="350" t="s">
        <v>262</v>
      </c>
      <c r="H44" s="273" t="s">
        <v>262</v>
      </c>
      <c r="I44" s="273" t="s">
        <v>262</v>
      </c>
      <c r="J44" s="273" t="s">
        <v>262</v>
      </c>
      <c r="K44" s="273" t="s">
        <v>262</v>
      </c>
      <c r="L44" s="276" t="e">
        <f>_xll.qlMidSafe($H44,$I44)</f>
        <v>#NUM!</v>
      </c>
      <c r="M44" s="267"/>
      <c r="N44" s="349" t="e">
        <v>#NUM!</v>
      </c>
      <c r="O44" s="267"/>
      <c r="P44" s="348" t="str">
        <v>EURFUT3MM1_Quote</v>
      </c>
      <c r="Q44" s="273" t="e">
        <v>#NUM!</v>
      </c>
      <c r="R44" s="276" t="e">
        <f>_xll.qlSimpleQuoteSetValue($P44,$Q44,Trigger)</f>
        <v>#NUM!</v>
      </c>
      <c r="S44" s="54"/>
      <c r="X44" s="307" t="e">
        <f t="shared" si="0"/>
        <v>#VALUE!</v>
      </c>
    </row>
    <row r="45" spans="1:24" x14ac:dyDescent="0.2">
      <c r="A45" s="347"/>
      <c r="B45" s="353">
        <v>40</v>
      </c>
      <c r="C45" s="352" t="b">
        <v>1</v>
      </c>
      <c r="D45" s="273" t="str">
        <v>U1</v>
      </c>
      <c r="E45" s="351">
        <v>44454</v>
      </c>
      <c r="F45" s="273" t="str">
        <v>FEIU1</v>
      </c>
      <c r="G45" s="350" t="s">
        <v>262</v>
      </c>
      <c r="H45" s="273" t="s">
        <v>262</v>
      </c>
      <c r="I45" s="273" t="s">
        <v>262</v>
      </c>
      <c r="J45" s="273" t="s">
        <v>262</v>
      </c>
      <c r="K45" s="273" t="s">
        <v>262</v>
      </c>
      <c r="L45" s="276" t="e">
        <f>_xll.qlMidSafe($H45,$I45)</f>
        <v>#NUM!</v>
      </c>
      <c r="M45" s="267"/>
      <c r="N45" s="349" t="e">
        <v>#NUM!</v>
      </c>
      <c r="O45" s="267"/>
      <c r="P45" s="348" t="str">
        <v>EURFUT3MU1_Quote</v>
      </c>
      <c r="Q45" s="273" t="e">
        <v>#NUM!</v>
      </c>
      <c r="R45" s="276" t="e">
        <f>_xll.qlSimpleQuoteSetValue($P45,$Q45,Trigger)</f>
        <v>#NUM!</v>
      </c>
      <c r="S45" s="54"/>
      <c r="X45" s="307" t="e">
        <f t="shared" si="0"/>
        <v>#VALUE!</v>
      </c>
    </row>
    <row r="46" spans="1:24" x14ac:dyDescent="0.2">
      <c r="A46" s="347"/>
      <c r="B46" s="353">
        <v>41</v>
      </c>
      <c r="C46" s="352" t="b">
        <v>1</v>
      </c>
      <c r="D46" s="273" t="str">
        <v>Z1</v>
      </c>
      <c r="E46" s="351">
        <v>44545</v>
      </c>
      <c r="F46" s="273" t="str">
        <v>FEIZ1</v>
      </c>
      <c r="G46" s="350" t="s">
        <v>262</v>
      </c>
      <c r="H46" s="273" t="s">
        <v>262</v>
      </c>
      <c r="I46" s="273" t="s">
        <v>262</v>
      </c>
      <c r="J46" s="273" t="s">
        <v>262</v>
      </c>
      <c r="K46" s="273" t="s">
        <v>262</v>
      </c>
      <c r="L46" s="276" t="e">
        <f>_xll.qlMidSafe($H46,$I46)</f>
        <v>#NUM!</v>
      </c>
      <c r="M46" s="267"/>
      <c r="N46" s="349" t="e">
        <v>#NUM!</v>
      </c>
      <c r="O46" s="267"/>
      <c r="P46" s="348" t="str">
        <v>EURFUT3MZ1_Quote</v>
      </c>
      <c r="Q46" s="273" t="e">
        <v>#NUM!</v>
      </c>
      <c r="R46" s="276" t="e">
        <f>_xll.qlSimpleQuoteSetValue($P46,$Q46,Trigger)</f>
        <v>#NUM!</v>
      </c>
      <c r="S46" s="54"/>
      <c r="X46" s="307" t="e">
        <f t="shared" si="0"/>
        <v>#VALUE!</v>
      </c>
    </row>
    <row r="47" spans="1:24" x14ac:dyDescent="0.2">
      <c r="A47" s="347"/>
      <c r="B47" s="346">
        <v>42</v>
      </c>
      <c r="C47" s="345" t="b">
        <v>1</v>
      </c>
      <c r="D47" s="265" t="str">
        <v>H2</v>
      </c>
      <c r="E47" s="344">
        <v>44636</v>
      </c>
      <c r="F47" s="265" t="str">
        <v>FEIH2</v>
      </c>
      <c r="G47" s="343" t="s">
        <v>262</v>
      </c>
      <c r="H47" s="265" t="s">
        <v>262</v>
      </c>
      <c r="I47" s="265" t="s">
        <v>262</v>
      </c>
      <c r="J47" s="265" t="s">
        <v>262</v>
      </c>
      <c r="K47" s="265" t="s">
        <v>262</v>
      </c>
      <c r="L47" s="269" t="e">
        <f>_xll.qlMidSafe($H47,$I47)</f>
        <v>#NUM!</v>
      </c>
      <c r="M47" s="267"/>
      <c r="N47" s="342" t="e">
        <v>#NUM!</v>
      </c>
      <c r="O47" s="267"/>
      <c r="P47" s="341" t="str">
        <v>EURFUT3MH2_Quote</v>
      </c>
      <c r="Q47" s="265" t="e">
        <v>#NUM!</v>
      </c>
      <c r="R47" s="269" t="e">
        <f>_xll.qlSimpleQuoteSetValue($P47,$Q47,Trigger)</f>
        <v>#NUM!</v>
      </c>
      <c r="S47" s="54"/>
      <c r="X47" s="307" t="e">
        <f t="shared" si="0"/>
        <v>#VALUE!</v>
      </c>
    </row>
    <row r="48" spans="1:24" ht="12" thickBot="1" x14ac:dyDescent="0.25">
      <c r="A48" s="340"/>
      <c r="B48" s="52"/>
      <c r="C48" s="52"/>
      <c r="D48" s="52"/>
      <c r="E48" s="52"/>
      <c r="F48" s="52"/>
      <c r="G48" s="52"/>
      <c r="H48" s="52"/>
      <c r="I48" s="52"/>
      <c r="J48" s="52"/>
      <c r="K48" s="52"/>
      <c r="L48" s="52"/>
      <c r="M48" s="52"/>
      <c r="N48" s="52"/>
      <c r="O48" s="52"/>
      <c r="P48" s="52"/>
      <c r="Q48" s="52"/>
      <c r="R48" s="52"/>
      <c r="S48" s="51"/>
    </row>
  </sheetData>
  <pageMargins left="0.75" right="0.75" top="1" bottom="1" header="0.5" footer="0.5"/>
  <pageSetup orientation="portrait" r:id="rId1"/>
  <headerFooter alignWithMargins="0"/>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X10"/>
  <sheetViews>
    <sheetView workbookViewId="0"/>
  </sheetViews>
  <sheetFormatPr defaultRowHeight="11.25" x14ac:dyDescent="0.2"/>
  <cols>
    <col min="1" max="1" width="2.85546875" style="21" customWidth="1"/>
    <col min="2" max="2" width="2.7109375" style="21" bestFit="1" customWidth="1"/>
    <col min="3" max="3" width="5.7109375" style="21" customWidth="1"/>
    <col min="4" max="4" width="6.140625" style="21" bestFit="1" customWidth="1"/>
    <col min="5" max="5" width="14.28515625" style="21" bestFit="1" customWidth="1"/>
    <col min="6" max="6" width="11.42578125" style="21" bestFit="1" customWidth="1"/>
    <col min="7" max="7" width="9" style="21" customWidth="1"/>
    <col min="8" max="10" width="6.5703125" style="21" bestFit="1" customWidth="1"/>
    <col min="11" max="11" width="9.85546875" style="21" customWidth="1"/>
    <col min="12" max="12" width="8" style="21" bestFit="1" customWidth="1"/>
    <col min="13" max="13" width="2.85546875" style="21" customWidth="1"/>
    <col min="14" max="14" width="6.5703125" style="21" customWidth="1"/>
    <col min="15" max="15" width="2.85546875" style="21" customWidth="1"/>
    <col min="16" max="16" width="18.7109375" style="21" bestFit="1" customWidth="1"/>
    <col min="17" max="17" width="7.7109375" style="21" bestFit="1" customWidth="1"/>
    <col min="18" max="18" width="7" style="21" bestFit="1" customWidth="1"/>
    <col min="19" max="20" width="2.85546875" style="21" customWidth="1"/>
    <col min="21" max="21" width="4.7109375" style="21" bestFit="1" customWidth="1"/>
    <col min="22" max="22" width="6" style="21" bestFit="1" customWidth="1"/>
    <col min="23" max="23" width="9.140625" style="21"/>
    <col min="24" max="24" width="7" style="21" bestFit="1" customWidth="1"/>
    <col min="25" max="16384" width="9.140625" style="21"/>
  </cols>
  <sheetData>
    <row r="1" spans="1:24" ht="12.75" customHeight="1" x14ac:dyDescent="0.2">
      <c r="A1" s="305" t="s">
        <v>313</v>
      </c>
      <c r="B1" s="207"/>
      <c r="C1" s="207"/>
      <c r="D1" s="207"/>
      <c r="E1" s="207"/>
      <c r="F1" s="207"/>
      <c r="G1" s="207"/>
      <c r="H1" s="207"/>
      <c r="I1" s="207"/>
      <c r="J1" s="207"/>
      <c r="K1" s="207"/>
      <c r="L1" s="207"/>
      <c r="M1" s="365"/>
      <c r="N1" s="365"/>
      <c r="O1" s="207"/>
      <c r="P1" s="207"/>
      <c r="Q1" s="207"/>
      <c r="R1" s="207"/>
      <c r="S1" s="364"/>
    </row>
    <row r="2" spans="1:24" ht="12.75" customHeight="1" x14ac:dyDescent="0.2">
      <c r="A2" s="304"/>
      <c r="B2" s="145"/>
      <c r="C2" s="303"/>
      <c r="D2" s="303"/>
      <c r="F2" s="152" t="s">
        <v>238</v>
      </c>
      <c r="G2" s="145"/>
      <c r="H2" s="145"/>
      <c r="I2" s="145"/>
      <c r="J2" s="145"/>
      <c r="K2" s="145"/>
      <c r="L2" s="145"/>
      <c r="M2" s="267"/>
      <c r="N2" s="267"/>
      <c r="O2" s="145"/>
      <c r="P2" s="99" t="s">
        <v>257</v>
      </c>
      <c r="Q2" s="363" t="s">
        <v>147</v>
      </c>
      <c r="R2" s="145"/>
      <c r="S2" s="362"/>
    </row>
    <row r="3" spans="1:24" ht="12.75" customHeight="1" x14ac:dyDescent="0.2">
      <c r="A3" s="304"/>
      <c r="B3" s="145"/>
      <c r="C3" s="145"/>
      <c r="D3" s="145"/>
      <c r="E3" s="145"/>
      <c r="F3" s="145"/>
      <c r="G3" s="145"/>
      <c r="H3" s="145"/>
      <c r="I3" s="145"/>
      <c r="J3" s="145"/>
      <c r="K3" s="145"/>
      <c r="L3" s="145"/>
      <c r="M3" s="267"/>
      <c r="N3" s="267"/>
      <c r="O3" s="145"/>
      <c r="Q3" s="145"/>
      <c r="R3" s="145"/>
      <c r="S3" s="362"/>
    </row>
    <row r="4" spans="1:24" ht="12.75" customHeight="1" x14ac:dyDescent="0.2">
      <c r="A4" s="304"/>
      <c r="B4" s="145"/>
      <c r="C4" s="145"/>
      <c r="D4" s="145"/>
      <c r="E4" s="373">
        <f>_xll.qlCalendarEndOfMonth("TARGET",_xll.qlCalendarAdvance("TARGET",_xll.qlSettingsEvaluationDate(Trigger),"2d"))</f>
        <v>41639</v>
      </c>
      <c r="F4" s="145"/>
      <c r="G4" s="145"/>
      <c r="H4" s="145"/>
      <c r="I4" s="145"/>
      <c r="J4" s="145"/>
      <c r="K4" s="145"/>
      <c r="L4" s="145"/>
      <c r="M4" s="267"/>
      <c r="N4" s="267"/>
      <c r="O4" s="145"/>
      <c r="P4" s="267" t="s">
        <v>275</v>
      </c>
      <c r="Q4" s="145"/>
      <c r="R4" s="299">
        <f>_xll.ohTrigger(R6:R9)</f>
        <v>3</v>
      </c>
      <c r="S4" s="362"/>
    </row>
    <row r="5" spans="1:24" ht="22.5" x14ac:dyDescent="0.2">
      <c r="A5" s="304"/>
      <c r="B5" s="371" t="s">
        <v>188</v>
      </c>
      <c r="C5" s="367" t="s">
        <v>187</v>
      </c>
      <c r="D5" s="367" t="s">
        <v>186</v>
      </c>
      <c r="E5" s="367" t="s">
        <v>267</v>
      </c>
      <c r="F5" s="370" t="e">
        <f ca="1">_xll.RData(F6:F9,G5:K5,,ReutersRtMode,,G6)</f>
        <v>#NAME?</v>
      </c>
      <c r="G5" s="367" t="s">
        <v>266</v>
      </c>
      <c r="H5" s="367" t="s">
        <v>261</v>
      </c>
      <c r="I5" s="367" t="s">
        <v>228</v>
      </c>
      <c r="J5" s="367" t="s">
        <v>243</v>
      </c>
      <c r="K5" s="367" t="s">
        <v>260</v>
      </c>
      <c r="L5" s="369" t="s">
        <v>259</v>
      </c>
      <c r="M5" s="267"/>
      <c r="N5" s="368" t="s">
        <v>255</v>
      </c>
      <c r="O5" s="267"/>
      <c r="P5" s="335" t="s">
        <v>254</v>
      </c>
      <c r="Q5" s="367" t="s">
        <v>253</v>
      </c>
      <c r="R5" s="366" t="s">
        <v>252</v>
      </c>
      <c r="S5" s="54"/>
      <c r="X5" s="333" t="s">
        <v>258</v>
      </c>
    </row>
    <row r="6" spans="1:24" ht="12.75" customHeight="1" x14ac:dyDescent="0.2">
      <c r="A6" s="347"/>
      <c r="B6" s="360">
        <v>1</v>
      </c>
      <c r="C6" s="359" t="b">
        <v>0</v>
      </c>
      <c r="D6" s="285" t="str">
        <f t="array" ref="D6:D9">_xll.qlIMMcode(FuturesDates)</f>
        <v>F4</v>
      </c>
      <c r="E6" s="358">
        <f t="array" ref="E6:E9">_xll.qlIMMNextDates(E4,$C6:$C9)</f>
        <v>41654</v>
      </c>
      <c r="F6" s="285" t="str">
        <f t="array" ref="F6:F9">Currency&amp;"6F"&amp;B6:B9&amp;"="&amp;VLOOKUP(Contributor,ContributorTable,2,FALSE)</f>
        <v>EUR6F1=ICAP</v>
      </c>
      <c r="G6" s="357" t="s">
        <v>274</v>
      </c>
      <c r="H6" s="285">
        <v>0.34300000000000003</v>
      </c>
      <c r="I6" s="285">
        <v>0.39300000000000002</v>
      </c>
      <c r="J6" s="285">
        <v>0</v>
      </c>
      <c r="K6" s="285">
        <v>0</v>
      </c>
      <c r="L6" s="288">
        <f>100-_xll.qlMidSafe($H6,$I6)</f>
        <v>99.632000000000005</v>
      </c>
      <c r="M6" s="267"/>
      <c r="N6" s="356">
        <v>99.632000000000005</v>
      </c>
      <c r="O6" s="267"/>
      <c r="P6" s="355" t="str">
        <f t="array" ref="P6:P9">Currency&amp;P4&amp;FuturesCodes&amp;$Q$2</f>
        <v>EURIMMFRA6MF4_Quote</v>
      </c>
      <c r="Q6" s="285">
        <f t="array" ref="Q6:Q9">QuoteLive</f>
        <v>99.632000000000005</v>
      </c>
      <c r="R6" s="288" t="e">
        <f>_xll.qlSimpleQuoteSetValue($P6,$Q6,Trigger)</f>
        <v>#N/A</v>
      </c>
      <c r="S6" s="54"/>
      <c r="X6" s="307">
        <f>(I6-H6)/100</f>
        <v>4.999999999999999E-4</v>
      </c>
    </row>
    <row r="7" spans="1:24" x14ac:dyDescent="0.2">
      <c r="A7" s="347"/>
      <c r="B7" s="353">
        <v>2</v>
      </c>
      <c r="C7" s="352" t="b">
        <v>0</v>
      </c>
      <c r="D7" s="273" t="str">
        <v>G4</v>
      </c>
      <c r="E7" s="351">
        <v>41689</v>
      </c>
      <c r="F7" s="273" t="str">
        <v>EUR6F2=ICAP</v>
      </c>
      <c r="G7" s="350" t="s">
        <v>274</v>
      </c>
      <c r="H7" s="273">
        <v>0.36199999999999999</v>
      </c>
      <c r="I7" s="273">
        <v>0.41199999999999998</v>
      </c>
      <c r="J7" s="273">
        <v>0</v>
      </c>
      <c r="K7" s="273">
        <v>0</v>
      </c>
      <c r="L7" s="276">
        <f>100-_xll.qlMidSafe($H7,$I7)</f>
        <v>99.613</v>
      </c>
      <c r="M7" s="267"/>
      <c r="N7" s="354">
        <v>99.613</v>
      </c>
      <c r="O7" s="267"/>
      <c r="P7" s="348" t="str">
        <v>EURIMMFRA6MG4_Quote</v>
      </c>
      <c r="Q7" s="273">
        <v>99.613</v>
      </c>
      <c r="R7" s="276" t="e">
        <f>_xll.qlSimpleQuoteSetValue($P7,$Q7,Trigger)</f>
        <v>#N/A</v>
      </c>
      <c r="S7" s="54"/>
      <c r="X7" s="307">
        <f>(I7-H7)/100</f>
        <v>4.999999999999999E-4</v>
      </c>
    </row>
    <row r="8" spans="1:24" x14ac:dyDescent="0.2">
      <c r="A8" s="347"/>
      <c r="B8" s="353">
        <v>3</v>
      </c>
      <c r="C8" s="352" t="b">
        <v>0</v>
      </c>
      <c r="D8" s="273" t="str">
        <v>H4</v>
      </c>
      <c r="E8" s="351">
        <v>41717</v>
      </c>
      <c r="F8" s="273" t="str">
        <v>EUR6F3=ICAP</v>
      </c>
      <c r="G8" s="350" t="s">
        <v>274</v>
      </c>
      <c r="H8" s="273">
        <v>0.39300000000000002</v>
      </c>
      <c r="I8" s="273">
        <v>0.443</v>
      </c>
      <c r="J8" s="273">
        <v>0</v>
      </c>
      <c r="K8" s="273">
        <v>0</v>
      </c>
      <c r="L8" s="276">
        <f>100-_xll.qlMidSafe($H8,$I8)</f>
        <v>99.581999999999994</v>
      </c>
      <c r="M8" s="267"/>
      <c r="N8" s="354">
        <v>99.581999999999994</v>
      </c>
      <c r="O8" s="267"/>
      <c r="P8" s="348" t="str">
        <v>EURIMMFRA6MH4_Quote</v>
      </c>
      <c r="Q8" s="273">
        <v>99.581999999999994</v>
      </c>
      <c r="R8" s="276" t="e">
        <f>_xll.qlSimpleQuoteSetValue($P8,$Q8,Trigger)</f>
        <v>#N/A</v>
      </c>
      <c r="S8" s="54"/>
      <c r="X8" s="307">
        <f>(I8-H8)/100</f>
        <v>4.999999999999999E-4</v>
      </c>
    </row>
    <row r="9" spans="1:24" x14ac:dyDescent="0.2">
      <c r="A9" s="347"/>
      <c r="B9" s="346">
        <v>4</v>
      </c>
      <c r="C9" s="345" t="b">
        <v>0</v>
      </c>
      <c r="D9" s="265" t="str">
        <v>J4</v>
      </c>
      <c r="E9" s="344">
        <v>41745</v>
      </c>
      <c r="F9" s="265" t="str">
        <v>EUR6F4=ICAP</v>
      </c>
      <c r="G9" s="343" t="s">
        <v>274</v>
      </c>
      <c r="H9" s="265">
        <v>0.42099999999999999</v>
      </c>
      <c r="I9" s="265">
        <v>0.47099999999999997</v>
      </c>
      <c r="J9" s="265">
        <v>0</v>
      </c>
      <c r="K9" s="265">
        <v>0</v>
      </c>
      <c r="L9" s="269">
        <f>100-_xll.qlMidSafe($H9,$I9)</f>
        <v>99.554000000000002</v>
      </c>
      <c r="M9" s="267"/>
      <c r="N9" s="372">
        <v>99.554000000000002</v>
      </c>
      <c r="O9" s="267"/>
      <c r="P9" s="341" t="str">
        <v>EURIMMFRA6MJ4_Quote</v>
      </c>
      <c r="Q9" s="265">
        <v>99.554000000000002</v>
      </c>
      <c r="R9" s="269" t="e">
        <f>_xll.qlSimpleQuoteSetValue($P9,$Q9,Trigger)</f>
        <v>#N/A</v>
      </c>
      <c r="S9" s="54"/>
      <c r="X9" s="307">
        <f>(I9-H9)/100</f>
        <v>4.999999999999999E-4</v>
      </c>
    </row>
    <row r="10" spans="1:24" ht="12" thickBot="1" x14ac:dyDescent="0.25">
      <c r="A10" s="340"/>
      <c r="B10" s="52"/>
      <c r="C10" s="52"/>
      <c r="D10" s="52"/>
      <c r="E10" s="52"/>
      <c r="F10" s="52"/>
      <c r="G10" s="52"/>
      <c r="H10" s="52"/>
      <c r="I10" s="52"/>
      <c r="J10" s="52"/>
      <c r="K10" s="52"/>
      <c r="L10" s="52"/>
      <c r="M10" s="52"/>
      <c r="N10" s="52"/>
      <c r="O10" s="52"/>
      <c r="P10" s="52"/>
      <c r="Q10" s="52"/>
      <c r="R10" s="52"/>
      <c r="S10" s="51"/>
    </row>
  </sheetData>
  <dataValidations count="1">
    <dataValidation type="list" showInputMessage="1" showErrorMessage="1" sqref="F2 JB2 SX2 ACT2 AMP2 AWL2 BGH2 BQD2 BZZ2 CJV2 CTR2 DDN2 DNJ2 DXF2 EHB2 EQX2 FAT2 FKP2 FUL2 GEH2 GOD2 GXZ2 HHV2 HRR2 IBN2 ILJ2 IVF2 JFB2 JOX2 JYT2 KIP2 KSL2 LCH2 LMD2 LVZ2 MFV2 MPR2 MZN2 NJJ2 NTF2 ODB2 OMX2 OWT2 PGP2 PQL2 QAH2 QKD2 QTZ2 RDV2 RNR2 RXN2 SHJ2 SRF2 TBB2 TKX2 TUT2 UEP2 UOL2 UYH2 VID2 VRZ2 WBV2 WLR2 WVN2 F65538 JB65538 SX65538 ACT65538 AMP65538 AWL65538 BGH65538 BQD65538 BZZ65538 CJV65538 CTR65538 DDN65538 DNJ65538 DXF65538 EHB65538 EQX65538 FAT65538 FKP65538 FUL65538 GEH65538 GOD65538 GXZ65538 HHV65538 HRR65538 IBN65538 ILJ65538 IVF65538 JFB65538 JOX65538 JYT65538 KIP65538 KSL65538 LCH65538 LMD65538 LVZ65538 MFV65538 MPR65538 MZN65538 NJJ65538 NTF65538 ODB65538 OMX65538 OWT65538 PGP65538 PQL65538 QAH65538 QKD65538 QTZ65538 RDV65538 RNR65538 RXN65538 SHJ65538 SRF65538 TBB65538 TKX65538 TUT65538 UEP65538 UOL65538 UYH65538 VID65538 VRZ65538 WBV65538 WLR65538 WVN65538 F131074 JB131074 SX131074 ACT131074 AMP131074 AWL131074 BGH131074 BQD131074 BZZ131074 CJV131074 CTR131074 DDN131074 DNJ131074 DXF131074 EHB131074 EQX131074 FAT131074 FKP131074 FUL131074 GEH131074 GOD131074 GXZ131074 HHV131074 HRR131074 IBN131074 ILJ131074 IVF131074 JFB131074 JOX131074 JYT131074 KIP131074 KSL131074 LCH131074 LMD131074 LVZ131074 MFV131074 MPR131074 MZN131074 NJJ131074 NTF131074 ODB131074 OMX131074 OWT131074 PGP131074 PQL131074 QAH131074 QKD131074 QTZ131074 RDV131074 RNR131074 RXN131074 SHJ131074 SRF131074 TBB131074 TKX131074 TUT131074 UEP131074 UOL131074 UYH131074 VID131074 VRZ131074 WBV131074 WLR131074 WVN131074 F196610 JB196610 SX196610 ACT196610 AMP196610 AWL196610 BGH196610 BQD196610 BZZ196610 CJV196610 CTR196610 DDN196610 DNJ196610 DXF196610 EHB196610 EQX196610 FAT196610 FKP196610 FUL196610 GEH196610 GOD196610 GXZ196610 HHV196610 HRR196610 IBN196610 ILJ196610 IVF196610 JFB196610 JOX196610 JYT196610 KIP196610 KSL196610 LCH196610 LMD196610 LVZ196610 MFV196610 MPR196610 MZN196610 NJJ196610 NTF196610 ODB196610 OMX196610 OWT196610 PGP196610 PQL196610 QAH196610 QKD196610 QTZ196610 RDV196610 RNR196610 RXN196610 SHJ196610 SRF196610 TBB196610 TKX196610 TUT196610 UEP196610 UOL196610 UYH196610 VID196610 VRZ196610 WBV196610 WLR196610 WVN196610 F262146 JB262146 SX262146 ACT262146 AMP262146 AWL262146 BGH262146 BQD262146 BZZ262146 CJV262146 CTR262146 DDN262146 DNJ262146 DXF262146 EHB262146 EQX262146 FAT262146 FKP262146 FUL262146 GEH262146 GOD262146 GXZ262146 HHV262146 HRR262146 IBN262146 ILJ262146 IVF262146 JFB262146 JOX262146 JYT262146 KIP262146 KSL262146 LCH262146 LMD262146 LVZ262146 MFV262146 MPR262146 MZN262146 NJJ262146 NTF262146 ODB262146 OMX262146 OWT262146 PGP262146 PQL262146 QAH262146 QKD262146 QTZ262146 RDV262146 RNR262146 RXN262146 SHJ262146 SRF262146 TBB262146 TKX262146 TUT262146 UEP262146 UOL262146 UYH262146 VID262146 VRZ262146 WBV262146 WLR262146 WVN262146 F327682 JB327682 SX327682 ACT327682 AMP327682 AWL327682 BGH327682 BQD327682 BZZ327682 CJV327682 CTR327682 DDN327682 DNJ327682 DXF327682 EHB327682 EQX327682 FAT327682 FKP327682 FUL327682 GEH327682 GOD327682 GXZ327682 HHV327682 HRR327682 IBN327682 ILJ327682 IVF327682 JFB327682 JOX327682 JYT327682 KIP327682 KSL327682 LCH327682 LMD327682 LVZ327682 MFV327682 MPR327682 MZN327682 NJJ327682 NTF327682 ODB327682 OMX327682 OWT327682 PGP327682 PQL327682 QAH327682 QKD327682 QTZ327682 RDV327682 RNR327682 RXN327682 SHJ327682 SRF327682 TBB327682 TKX327682 TUT327682 UEP327682 UOL327682 UYH327682 VID327682 VRZ327682 WBV327682 WLR327682 WVN327682 F393218 JB393218 SX393218 ACT393218 AMP393218 AWL393218 BGH393218 BQD393218 BZZ393218 CJV393218 CTR393218 DDN393218 DNJ393218 DXF393218 EHB393218 EQX393218 FAT393218 FKP393218 FUL393218 GEH393218 GOD393218 GXZ393218 HHV393218 HRR393218 IBN393218 ILJ393218 IVF393218 JFB393218 JOX393218 JYT393218 KIP393218 KSL393218 LCH393218 LMD393218 LVZ393218 MFV393218 MPR393218 MZN393218 NJJ393218 NTF393218 ODB393218 OMX393218 OWT393218 PGP393218 PQL393218 QAH393218 QKD393218 QTZ393218 RDV393218 RNR393218 RXN393218 SHJ393218 SRF393218 TBB393218 TKX393218 TUT393218 UEP393218 UOL393218 UYH393218 VID393218 VRZ393218 WBV393218 WLR393218 WVN393218 F458754 JB458754 SX458754 ACT458754 AMP458754 AWL458754 BGH458754 BQD458754 BZZ458754 CJV458754 CTR458754 DDN458754 DNJ458754 DXF458754 EHB458754 EQX458754 FAT458754 FKP458754 FUL458754 GEH458754 GOD458754 GXZ458754 HHV458754 HRR458754 IBN458754 ILJ458754 IVF458754 JFB458754 JOX458754 JYT458754 KIP458754 KSL458754 LCH458754 LMD458754 LVZ458754 MFV458754 MPR458754 MZN458754 NJJ458754 NTF458754 ODB458754 OMX458754 OWT458754 PGP458754 PQL458754 QAH458754 QKD458754 QTZ458754 RDV458754 RNR458754 RXN458754 SHJ458754 SRF458754 TBB458754 TKX458754 TUT458754 UEP458754 UOL458754 UYH458754 VID458754 VRZ458754 WBV458754 WLR458754 WVN458754 F524290 JB524290 SX524290 ACT524290 AMP524290 AWL524290 BGH524290 BQD524290 BZZ524290 CJV524290 CTR524290 DDN524290 DNJ524290 DXF524290 EHB524290 EQX524290 FAT524290 FKP524290 FUL524290 GEH524290 GOD524290 GXZ524290 HHV524290 HRR524290 IBN524290 ILJ524290 IVF524290 JFB524290 JOX524290 JYT524290 KIP524290 KSL524290 LCH524290 LMD524290 LVZ524290 MFV524290 MPR524290 MZN524290 NJJ524290 NTF524290 ODB524290 OMX524290 OWT524290 PGP524290 PQL524290 QAH524290 QKD524290 QTZ524290 RDV524290 RNR524290 RXN524290 SHJ524290 SRF524290 TBB524290 TKX524290 TUT524290 UEP524290 UOL524290 UYH524290 VID524290 VRZ524290 WBV524290 WLR524290 WVN524290 F589826 JB589826 SX589826 ACT589826 AMP589826 AWL589826 BGH589826 BQD589826 BZZ589826 CJV589826 CTR589826 DDN589826 DNJ589826 DXF589826 EHB589826 EQX589826 FAT589826 FKP589826 FUL589826 GEH589826 GOD589826 GXZ589826 HHV589826 HRR589826 IBN589826 ILJ589826 IVF589826 JFB589826 JOX589826 JYT589826 KIP589826 KSL589826 LCH589826 LMD589826 LVZ589826 MFV589826 MPR589826 MZN589826 NJJ589826 NTF589826 ODB589826 OMX589826 OWT589826 PGP589826 PQL589826 QAH589826 QKD589826 QTZ589826 RDV589826 RNR589826 RXN589826 SHJ589826 SRF589826 TBB589826 TKX589826 TUT589826 UEP589826 UOL589826 UYH589826 VID589826 VRZ589826 WBV589826 WLR589826 WVN589826 F655362 JB655362 SX655362 ACT655362 AMP655362 AWL655362 BGH655362 BQD655362 BZZ655362 CJV655362 CTR655362 DDN655362 DNJ655362 DXF655362 EHB655362 EQX655362 FAT655362 FKP655362 FUL655362 GEH655362 GOD655362 GXZ655362 HHV655362 HRR655362 IBN655362 ILJ655362 IVF655362 JFB655362 JOX655362 JYT655362 KIP655362 KSL655362 LCH655362 LMD655362 LVZ655362 MFV655362 MPR655362 MZN655362 NJJ655362 NTF655362 ODB655362 OMX655362 OWT655362 PGP655362 PQL655362 QAH655362 QKD655362 QTZ655362 RDV655362 RNR655362 RXN655362 SHJ655362 SRF655362 TBB655362 TKX655362 TUT655362 UEP655362 UOL655362 UYH655362 VID655362 VRZ655362 WBV655362 WLR655362 WVN655362 F720898 JB720898 SX720898 ACT720898 AMP720898 AWL720898 BGH720898 BQD720898 BZZ720898 CJV720898 CTR720898 DDN720898 DNJ720898 DXF720898 EHB720898 EQX720898 FAT720898 FKP720898 FUL720898 GEH720898 GOD720898 GXZ720898 HHV720898 HRR720898 IBN720898 ILJ720898 IVF720898 JFB720898 JOX720898 JYT720898 KIP720898 KSL720898 LCH720898 LMD720898 LVZ720898 MFV720898 MPR720898 MZN720898 NJJ720898 NTF720898 ODB720898 OMX720898 OWT720898 PGP720898 PQL720898 QAH720898 QKD720898 QTZ720898 RDV720898 RNR720898 RXN720898 SHJ720898 SRF720898 TBB720898 TKX720898 TUT720898 UEP720898 UOL720898 UYH720898 VID720898 VRZ720898 WBV720898 WLR720898 WVN720898 F786434 JB786434 SX786434 ACT786434 AMP786434 AWL786434 BGH786434 BQD786434 BZZ786434 CJV786434 CTR786434 DDN786434 DNJ786434 DXF786434 EHB786434 EQX786434 FAT786434 FKP786434 FUL786434 GEH786434 GOD786434 GXZ786434 HHV786434 HRR786434 IBN786434 ILJ786434 IVF786434 JFB786434 JOX786434 JYT786434 KIP786434 KSL786434 LCH786434 LMD786434 LVZ786434 MFV786434 MPR786434 MZN786434 NJJ786434 NTF786434 ODB786434 OMX786434 OWT786434 PGP786434 PQL786434 QAH786434 QKD786434 QTZ786434 RDV786434 RNR786434 RXN786434 SHJ786434 SRF786434 TBB786434 TKX786434 TUT786434 UEP786434 UOL786434 UYH786434 VID786434 VRZ786434 WBV786434 WLR786434 WVN786434 F851970 JB851970 SX851970 ACT851970 AMP851970 AWL851970 BGH851970 BQD851970 BZZ851970 CJV851970 CTR851970 DDN851970 DNJ851970 DXF851970 EHB851970 EQX851970 FAT851970 FKP851970 FUL851970 GEH851970 GOD851970 GXZ851970 HHV851970 HRR851970 IBN851970 ILJ851970 IVF851970 JFB851970 JOX851970 JYT851970 KIP851970 KSL851970 LCH851970 LMD851970 LVZ851970 MFV851970 MPR851970 MZN851970 NJJ851970 NTF851970 ODB851970 OMX851970 OWT851970 PGP851970 PQL851970 QAH851970 QKD851970 QTZ851970 RDV851970 RNR851970 RXN851970 SHJ851970 SRF851970 TBB851970 TKX851970 TUT851970 UEP851970 UOL851970 UYH851970 VID851970 VRZ851970 WBV851970 WLR851970 WVN851970 F917506 JB917506 SX917506 ACT917506 AMP917506 AWL917506 BGH917506 BQD917506 BZZ917506 CJV917506 CTR917506 DDN917506 DNJ917506 DXF917506 EHB917506 EQX917506 FAT917506 FKP917506 FUL917506 GEH917506 GOD917506 GXZ917506 HHV917506 HRR917506 IBN917506 ILJ917506 IVF917506 JFB917506 JOX917506 JYT917506 KIP917506 KSL917506 LCH917506 LMD917506 LVZ917506 MFV917506 MPR917506 MZN917506 NJJ917506 NTF917506 ODB917506 OMX917506 OWT917506 PGP917506 PQL917506 QAH917506 QKD917506 QTZ917506 RDV917506 RNR917506 RXN917506 SHJ917506 SRF917506 TBB917506 TKX917506 TUT917506 UEP917506 UOL917506 UYH917506 VID917506 VRZ917506 WBV917506 WLR917506 WVN917506 F983042 JB983042 SX983042 ACT983042 AMP983042 AWL983042 BGH983042 BQD983042 BZZ983042 CJV983042 CTR983042 DDN983042 DNJ983042 DXF983042 EHB983042 EQX983042 FAT983042 FKP983042 FUL983042 GEH983042 GOD983042 GXZ983042 HHV983042 HRR983042 IBN983042 ILJ983042 IVF983042 JFB983042 JOX983042 JYT983042 KIP983042 KSL983042 LCH983042 LMD983042 LVZ983042 MFV983042 MPR983042 MZN983042 NJJ983042 NTF983042 ODB983042 OMX983042 OWT983042 PGP983042 PQL983042 QAH983042 QKD983042 QTZ983042 RDV983042 RNR983042 RXN983042 SHJ983042 SRF983042 TBB983042 TKX983042 TUT983042 UEP983042 UOL983042 UYH983042 VID983042 VRZ983042 WBV983042 WLR983042 WVN983042">
      <formula1>Contributors</formula1>
    </dataValidation>
  </dataValidations>
  <pageMargins left="0.75" right="0.75" top="1" bottom="1" header="0.5" footer="0.5"/>
  <pageSetup orientation="portrait" r:id="rId1"/>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Q9"/>
  <sheetViews>
    <sheetView workbookViewId="0"/>
  </sheetViews>
  <sheetFormatPr defaultRowHeight="11.25" x14ac:dyDescent="0.2"/>
  <cols>
    <col min="1" max="1" width="4.28515625" style="21" customWidth="1"/>
    <col min="2" max="2" width="14.140625" style="21" customWidth="1"/>
    <col min="3" max="3" width="4.85546875" style="21" bestFit="1" customWidth="1"/>
    <col min="4" max="4" width="4.28515625" style="21" customWidth="1"/>
    <col min="5" max="5" width="11.7109375" style="21" bestFit="1" customWidth="1"/>
    <col min="6" max="6" width="7.42578125" style="21" bestFit="1" customWidth="1"/>
    <col min="7" max="7" width="4.28515625" style="21" customWidth="1"/>
    <col min="8" max="8" width="7.42578125" style="21" bestFit="1" customWidth="1"/>
    <col min="9" max="9" width="4.28515625" style="21" customWidth="1"/>
    <col min="10" max="10" width="23.42578125" style="21" bestFit="1" customWidth="1"/>
    <col min="11" max="11" width="7.85546875" style="21" bestFit="1" customWidth="1"/>
    <col min="12" max="12" width="7.42578125" style="21" bestFit="1" customWidth="1"/>
    <col min="13" max="13" width="4.28515625" style="21" customWidth="1"/>
    <col min="14" max="14" width="2.28515625" style="21" customWidth="1"/>
    <col min="15" max="15" width="4" style="21" bestFit="1" customWidth="1"/>
    <col min="16" max="16" width="3.140625" style="21" bestFit="1" customWidth="1"/>
    <col min="17" max="17" width="2.7109375" style="21" bestFit="1" customWidth="1"/>
    <col min="18" max="16384" width="9.140625" style="21"/>
  </cols>
  <sheetData>
    <row r="1" spans="1:17" x14ac:dyDescent="0.2">
      <c r="A1" s="305" t="s">
        <v>313</v>
      </c>
      <c r="B1" s="207"/>
      <c r="C1" s="207"/>
      <c r="D1" s="207"/>
      <c r="E1" s="207"/>
      <c r="F1" s="207"/>
      <c r="G1" s="207"/>
      <c r="H1" s="207"/>
      <c r="I1" s="207"/>
      <c r="J1" s="207"/>
      <c r="K1" s="207"/>
      <c r="L1" s="207"/>
      <c r="M1" s="204"/>
    </row>
    <row r="2" spans="1:17" x14ac:dyDescent="0.2">
      <c r="A2" s="304"/>
      <c r="B2" s="152" t="s">
        <v>238</v>
      </c>
      <c r="C2" s="145"/>
      <c r="D2" s="145"/>
      <c r="E2" s="145"/>
      <c r="F2" s="145"/>
      <c r="G2" s="145"/>
      <c r="H2" s="145"/>
      <c r="I2" s="145"/>
      <c r="J2" s="145"/>
      <c r="K2" s="145"/>
      <c r="L2" s="145"/>
      <c r="M2" s="54"/>
    </row>
    <row r="3" spans="1:17" x14ac:dyDescent="0.2">
      <c r="A3" s="304"/>
      <c r="B3" s="145"/>
      <c r="C3" s="145"/>
      <c r="D3" s="145"/>
      <c r="E3" s="145"/>
      <c r="F3" s="145"/>
      <c r="G3" s="145"/>
      <c r="H3" s="145"/>
      <c r="I3" s="145"/>
      <c r="J3" s="145"/>
      <c r="K3" s="145"/>
      <c r="L3" s="299">
        <f>_xll.ohTrigger(L5:L46)</f>
        <v>5</v>
      </c>
      <c r="M3" s="54"/>
      <c r="P3" s="21" t="s">
        <v>113</v>
      </c>
    </row>
    <row r="4" spans="1:17" ht="13.5" thickBot="1" x14ac:dyDescent="0.25">
      <c r="A4" s="304"/>
      <c r="B4" s="361" t="e">
        <f ca="1">_xll.RData(B5,C4,,ReutersRtMode,,C5)</f>
        <v>#NAME?</v>
      </c>
      <c r="C4" s="393" t="s">
        <v>261</v>
      </c>
      <c r="D4" s="382"/>
      <c r="E4" s="461" t="s">
        <v>283</v>
      </c>
      <c r="F4" s="462"/>
      <c r="G4" s="382"/>
      <c r="H4" s="296" t="s">
        <v>255</v>
      </c>
      <c r="I4" s="380"/>
      <c r="J4" s="361" t="s">
        <v>254</v>
      </c>
      <c r="K4" s="336" t="s">
        <v>253</v>
      </c>
      <c r="L4" s="297" t="s">
        <v>252</v>
      </c>
      <c r="M4" s="54"/>
    </row>
    <row r="5" spans="1:17" x14ac:dyDescent="0.2">
      <c r="A5" s="304"/>
      <c r="B5" s="392" t="str">
        <f>VLOOKUP(Currency,$O$5:$Q$9,2)&amp;P3&amp;VLOOKUP(Currency,$O$5:$Q$9,3)&amp;"ATM="&amp;VLOOKUP(Contributor,ContributorTable,2,FALSE)</f>
        <v>EU4Y6LATM=ICAP</v>
      </c>
      <c r="C5" s="391">
        <v>65.53</v>
      </c>
      <c r="D5" s="382"/>
      <c r="E5" s="289" t="s">
        <v>282</v>
      </c>
      <c r="F5" s="387">
        <f>C5/100*IF(ISNUMBER(Swap3M4Y),Swap3M4Y/100,Swap6M4Y/100)*0</f>
        <v>0</v>
      </c>
      <c r="G5" s="382"/>
      <c r="H5" s="390">
        <v>0</v>
      </c>
      <c r="I5" s="380"/>
      <c r="J5" s="389" t="str">
        <f>Currency&amp;"HW_Volatility_Quote"</f>
        <v>EURHW_Volatility_Quote</v>
      </c>
      <c r="K5" s="388">
        <f t="array" ref="K5:K6">QuoteLive</f>
        <v>0</v>
      </c>
      <c r="L5" s="387" t="e">
        <f>_xll.qlSimpleQuoteSetValue(J5,ROUND(K5,6),Trigger)</f>
        <v>#N/A</v>
      </c>
      <c r="M5" s="54"/>
      <c r="O5" s="95" t="s">
        <v>137</v>
      </c>
      <c r="P5" s="386" t="s">
        <v>281</v>
      </c>
      <c r="Q5" s="385" t="s">
        <v>132</v>
      </c>
    </row>
    <row r="6" spans="1:17" x14ac:dyDescent="0.2">
      <c r="A6" s="304"/>
      <c r="B6" s="379"/>
      <c r="C6" s="384"/>
      <c r="D6" s="382"/>
      <c r="E6" s="383" t="s">
        <v>280</v>
      </c>
      <c r="F6" s="377">
        <v>0.03</v>
      </c>
      <c r="G6" s="382"/>
      <c r="H6" s="381">
        <v>0.03</v>
      </c>
      <c r="I6" s="380"/>
      <c r="J6" s="379" t="str">
        <f>Currency&amp;"HW_MeanReversion_Quote"</f>
        <v>EURHW_MeanReversion_Quote</v>
      </c>
      <c r="K6" s="378">
        <v>0.03</v>
      </c>
      <c r="L6" s="377" t="e">
        <f>_xll.qlSimpleQuoteSetValue(J6,ROUND(K6,6),Trigger)</f>
        <v>#N/A</v>
      </c>
      <c r="M6" s="54"/>
      <c r="O6" s="92" t="s">
        <v>123</v>
      </c>
      <c r="P6" s="338" t="s">
        <v>279</v>
      </c>
      <c r="Q6" s="376" t="s">
        <v>132</v>
      </c>
    </row>
    <row r="7" spans="1:17" ht="12" thickBot="1" x14ac:dyDescent="0.25">
      <c r="A7" s="53"/>
      <c r="B7" s="52"/>
      <c r="C7" s="52"/>
      <c r="D7" s="52"/>
      <c r="E7" s="52"/>
      <c r="F7" s="52"/>
      <c r="G7" s="52"/>
      <c r="H7" s="52"/>
      <c r="I7" s="52"/>
      <c r="J7" s="52"/>
      <c r="K7" s="52"/>
      <c r="L7" s="52"/>
      <c r="M7" s="51"/>
      <c r="O7" s="92" t="s">
        <v>134</v>
      </c>
      <c r="P7" s="338" t="s">
        <v>278</v>
      </c>
      <c r="Q7" s="376" t="s">
        <v>130</v>
      </c>
    </row>
    <row r="8" spans="1:17" x14ac:dyDescent="0.2">
      <c r="O8" s="92" t="s">
        <v>133</v>
      </c>
      <c r="P8" s="338" t="s">
        <v>277</v>
      </c>
      <c r="Q8" s="376" t="s">
        <v>132</v>
      </c>
    </row>
    <row r="9" spans="1:17" ht="12" thickBot="1" x14ac:dyDescent="0.25">
      <c r="O9" s="89" t="s">
        <v>131</v>
      </c>
      <c r="P9" s="375" t="s">
        <v>276</v>
      </c>
      <c r="Q9" s="374" t="s">
        <v>130</v>
      </c>
    </row>
  </sheetData>
  <mergeCells count="1">
    <mergeCell ref="E4:F4"/>
  </mergeCells>
  <dataValidations count="1">
    <dataValidation type="list" showInputMessage="1" showErrorMessage="1" sqref="B2 IX2 ST2 ACP2 AML2 AWH2 BGD2 BPZ2 BZV2 CJR2 CTN2 DDJ2 DNF2 DXB2 EGX2 EQT2 FAP2 FKL2 FUH2 GED2 GNZ2 GXV2 HHR2 HRN2 IBJ2 ILF2 IVB2 JEX2 JOT2 JYP2 KIL2 KSH2 LCD2 LLZ2 LVV2 MFR2 MPN2 MZJ2 NJF2 NTB2 OCX2 OMT2 OWP2 PGL2 PQH2 QAD2 QJZ2 QTV2 RDR2 RNN2 RXJ2 SHF2 SRB2 TAX2 TKT2 TUP2 UEL2 UOH2 UYD2 VHZ2 VRV2 WBR2 WLN2 WVJ2 B65538 IX65538 ST65538 ACP65538 AML65538 AWH65538 BGD65538 BPZ65538 BZV65538 CJR65538 CTN65538 DDJ65538 DNF65538 DXB65538 EGX65538 EQT65538 FAP65538 FKL65538 FUH65538 GED65538 GNZ65538 GXV65538 HHR65538 HRN65538 IBJ65538 ILF65538 IVB65538 JEX65538 JOT65538 JYP65538 KIL65538 KSH65538 LCD65538 LLZ65538 LVV65538 MFR65538 MPN65538 MZJ65538 NJF65538 NTB65538 OCX65538 OMT65538 OWP65538 PGL65538 PQH65538 QAD65538 QJZ65538 QTV65538 RDR65538 RNN65538 RXJ65538 SHF65538 SRB65538 TAX65538 TKT65538 TUP65538 UEL65538 UOH65538 UYD65538 VHZ65538 VRV65538 WBR65538 WLN65538 WVJ65538 B131074 IX131074 ST131074 ACP131074 AML131074 AWH131074 BGD131074 BPZ131074 BZV131074 CJR131074 CTN131074 DDJ131074 DNF131074 DXB131074 EGX131074 EQT131074 FAP131074 FKL131074 FUH131074 GED131074 GNZ131074 GXV131074 HHR131074 HRN131074 IBJ131074 ILF131074 IVB131074 JEX131074 JOT131074 JYP131074 KIL131074 KSH131074 LCD131074 LLZ131074 LVV131074 MFR131074 MPN131074 MZJ131074 NJF131074 NTB131074 OCX131074 OMT131074 OWP131074 PGL131074 PQH131074 QAD131074 QJZ131074 QTV131074 RDR131074 RNN131074 RXJ131074 SHF131074 SRB131074 TAX131074 TKT131074 TUP131074 UEL131074 UOH131074 UYD131074 VHZ131074 VRV131074 WBR131074 WLN131074 WVJ131074 B196610 IX196610 ST196610 ACP196610 AML196610 AWH196610 BGD196610 BPZ196610 BZV196610 CJR196610 CTN196610 DDJ196610 DNF196610 DXB196610 EGX196610 EQT196610 FAP196610 FKL196610 FUH196610 GED196610 GNZ196610 GXV196610 HHR196610 HRN196610 IBJ196610 ILF196610 IVB196610 JEX196610 JOT196610 JYP196610 KIL196610 KSH196610 LCD196610 LLZ196610 LVV196610 MFR196610 MPN196610 MZJ196610 NJF196610 NTB196610 OCX196610 OMT196610 OWP196610 PGL196610 PQH196610 QAD196610 QJZ196610 QTV196610 RDR196610 RNN196610 RXJ196610 SHF196610 SRB196610 TAX196610 TKT196610 TUP196610 UEL196610 UOH196610 UYD196610 VHZ196610 VRV196610 WBR196610 WLN196610 WVJ196610 B262146 IX262146 ST262146 ACP262146 AML262146 AWH262146 BGD262146 BPZ262146 BZV262146 CJR262146 CTN262146 DDJ262146 DNF262146 DXB262146 EGX262146 EQT262146 FAP262146 FKL262146 FUH262146 GED262146 GNZ262146 GXV262146 HHR262146 HRN262146 IBJ262146 ILF262146 IVB262146 JEX262146 JOT262146 JYP262146 KIL262146 KSH262146 LCD262146 LLZ262146 LVV262146 MFR262146 MPN262146 MZJ262146 NJF262146 NTB262146 OCX262146 OMT262146 OWP262146 PGL262146 PQH262146 QAD262146 QJZ262146 QTV262146 RDR262146 RNN262146 RXJ262146 SHF262146 SRB262146 TAX262146 TKT262146 TUP262146 UEL262146 UOH262146 UYD262146 VHZ262146 VRV262146 WBR262146 WLN262146 WVJ262146 B327682 IX327682 ST327682 ACP327682 AML327682 AWH327682 BGD327682 BPZ327682 BZV327682 CJR327682 CTN327682 DDJ327682 DNF327682 DXB327682 EGX327682 EQT327682 FAP327682 FKL327682 FUH327682 GED327682 GNZ327682 GXV327682 HHR327682 HRN327682 IBJ327682 ILF327682 IVB327682 JEX327682 JOT327682 JYP327682 KIL327682 KSH327682 LCD327682 LLZ327682 LVV327682 MFR327682 MPN327682 MZJ327682 NJF327682 NTB327682 OCX327682 OMT327682 OWP327682 PGL327682 PQH327682 QAD327682 QJZ327682 QTV327682 RDR327682 RNN327682 RXJ327682 SHF327682 SRB327682 TAX327682 TKT327682 TUP327682 UEL327682 UOH327682 UYD327682 VHZ327682 VRV327682 WBR327682 WLN327682 WVJ327682 B393218 IX393218 ST393218 ACP393218 AML393218 AWH393218 BGD393218 BPZ393218 BZV393218 CJR393218 CTN393218 DDJ393218 DNF393218 DXB393218 EGX393218 EQT393218 FAP393218 FKL393218 FUH393218 GED393218 GNZ393218 GXV393218 HHR393218 HRN393218 IBJ393218 ILF393218 IVB393218 JEX393218 JOT393218 JYP393218 KIL393218 KSH393218 LCD393218 LLZ393218 LVV393218 MFR393218 MPN393218 MZJ393218 NJF393218 NTB393218 OCX393218 OMT393218 OWP393218 PGL393218 PQH393218 QAD393218 QJZ393218 QTV393218 RDR393218 RNN393218 RXJ393218 SHF393218 SRB393218 TAX393218 TKT393218 TUP393218 UEL393218 UOH393218 UYD393218 VHZ393218 VRV393218 WBR393218 WLN393218 WVJ393218 B458754 IX458754 ST458754 ACP458754 AML458754 AWH458754 BGD458754 BPZ458754 BZV458754 CJR458754 CTN458754 DDJ458754 DNF458754 DXB458754 EGX458754 EQT458754 FAP458754 FKL458754 FUH458754 GED458754 GNZ458754 GXV458754 HHR458754 HRN458754 IBJ458754 ILF458754 IVB458754 JEX458754 JOT458754 JYP458754 KIL458754 KSH458754 LCD458754 LLZ458754 LVV458754 MFR458754 MPN458754 MZJ458754 NJF458754 NTB458754 OCX458754 OMT458754 OWP458754 PGL458754 PQH458754 QAD458754 QJZ458754 QTV458754 RDR458754 RNN458754 RXJ458754 SHF458754 SRB458754 TAX458754 TKT458754 TUP458754 UEL458754 UOH458754 UYD458754 VHZ458754 VRV458754 WBR458754 WLN458754 WVJ458754 B524290 IX524290 ST524290 ACP524290 AML524290 AWH524290 BGD524290 BPZ524290 BZV524290 CJR524290 CTN524290 DDJ524290 DNF524290 DXB524290 EGX524290 EQT524290 FAP524290 FKL524290 FUH524290 GED524290 GNZ524290 GXV524290 HHR524290 HRN524290 IBJ524290 ILF524290 IVB524290 JEX524290 JOT524290 JYP524290 KIL524290 KSH524290 LCD524290 LLZ524290 LVV524290 MFR524290 MPN524290 MZJ524290 NJF524290 NTB524290 OCX524290 OMT524290 OWP524290 PGL524290 PQH524290 QAD524290 QJZ524290 QTV524290 RDR524290 RNN524290 RXJ524290 SHF524290 SRB524290 TAX524290 TKT524290 TUP524290 UEL524290 UOH524290 UYD524290 VHZ524290 VRV524290 WBR524290 WLN524290 WVJ524290 B589826 IX589826 ST589826 ACP589826 AML589826 AWH589826 BGD589826 BPZ589826 BZV589826 CJR589826 CTN589826 DDJ589826 DNF589826 DXB589826 EGX589826 EQT589826 FAP589826 FKL589826 FUH589826 GED589826 GNZ589826 GXV589826 HHR589826 HRN589826 IBJ589826 ILF589826 IVB589826 JEX589826 JOT589826 JYP589826 KIL589826 KSH589826 LCD589826 LLZ589826 LVV589826 MFR589826 MPN589826 MZJ589826 NJF589826 NTB589826 OCX589826 OMT589826 OWP589826 PGL589826 PQH589826 QAD589826 QJZ589826 QTV589826 RDR589826 RNN589826 RXJ589826 SHF589826 SRB589826 TAX589826 TKT589826 TUP589826 UEL589826 UOH589826 UYD589826 VHZ589826 VRV589826 WBR589826 WLN589826 WVJ589826 B655362 IX655362 ST655362 ACP655362 AML655362 AWH655362 BGD655362 BPZ655362 BZV655362 CJR655362 CTN655362 DDJ655362 DNF655362 DXB655362 EGX655362 EQT655362 FAP655362 FKL655362 FUH655362 GED655362 GNZ655362 GXV655362 HHR655362 HRN655362 IBJ655362 ILF655362 IVB655362 JEX655362 JOT655362 JYP655362 KIL655362 KSH655362 LCD655362 LLZ655362 LVV655362 MFR655362 MPN655362 MZJ655362 NJF655362 NTB655362 OCX655362 OMT655362 OWP655362 PGL655362 PQH655362 QAD655362 QJZ655362 QTV655362 RDR655362 RNN655362 RXJ655362 SHF655362 SRB655362 TAX655362 TKT655362 TUP655362 UEL655362 UOH655362 UYD655362 VHZ655362 VRV655362 WBR655362 WLN655362 WVJ655362 B720898 IX720898 ST720898 ACP720898 AML720898 AWH720898 BGD720898 BPZ720898 BZV720898 CJR720898 CTN720898 DDJ720898 DNF720898 DXB720898 EGX720898 EQT720898 FAP720898 FKL720898 FUH720898 GED720898 GNZ720898 GXV720898 HHR720898 HRN720898 IBJ720898 ILF720898 IVB720898 JEX720898 JOT720898 JYP720898 KIL720898 KSH720898 LCD720898 LLZ720898 LVV720898 MFR720898 MPN720898 MZJ720898 NJF720898 NTB720898 OCX720898 OMT720898 OWP720898 PGL720898 PQH720898 QAD720898 QJZ720898 QTV720898 RDR720898 RNN720898 RXJ720898 SHF720898 SRB720898 TAX720898 TKT720898 TUP720898 UEL720898 UOH720898 UYD720898 VHZ720898 VRV720898 WBR720898 WLN720898 WVJ720898 B786434 IX786434 ST786434 ACP786434 AML786434 AWH786434 BGD786434 BPZ786434 BZV786434 CJR786434 CTN786434 DDJ786434 DNF786434 DXB786434 EGX786434 EQT786434 FAP786434 FKL786434 FUH786434 GED786434 GNZ786434 GXV786434 HHR786434 HRN786434 IBJ786434 ILF786434 IVB786434 JEX786434 JOT786434 JYP786434 KIL786434 KSH786434 LCD786434 LLZ786434 LVV786434 MFR786434 MPN786434 MZJ786434 NJF786434 NTB786434 OCX786434 OMT786434 OWP786434 PGL786434 PQH786434 QAD786434 QJZ786434 QTV786434 RDR786434 RNN786434 RXJ786434 SHF786434 SRB786434 TAX786434 TKT786434 TUP786434 UEL786434 UOH786434 UYD786434 VHZ786434 VRV786434 WBR786434 WLN786434 WVJ786434 B851970 IX851970 ST851970 ACP851970 AML851970 AWH851970 BGD851970 BPZ851970 BZV851970 CJR851970 CTN851970 DDJ851970 DNF851970 DXB851970 EGX851970 EQT851970 FAP851970 FKL851970 FUH851970 GED851970 GNZ851970 GXV851970 HHR851970 HRN851970 IBJ851970 ILF851970 IVB851970 JEX851970 JOT851970 JYP851970 KIL851970 KSH851970 LCD851970 LLZ851970 LVV851970 MFR851970 MPN851970 MZJ851970 NJF851970 NTB851970 OCX851970 OMT851970 OWP851970 PGL851970 PQH851970 QAD851970 QJZ851970 QTV851970 RDR851970 RNN851970 RXJ851970 SHF851970 SRB851970 TAX851970 TKT851970 TUP851970 UEL851970 UOH851970 UYD851970 VHZ851970 VRV851970 WBR851970 WLN851970 WVJ851970 B917506 IX917506 ST917506 ACP917506 AML917506 AWH917506 BGD917506 BPZ917506 BZV917506 CJR917506 CTN917506 DDJ917506 DNF917506 DXB917506 EGX917506 EQT917506 FAP917506 FKL917506 FUH917506 GED917506 GNZ917506 GXV917506 HHR917506 HRN917506 IBJ917506 ILF917506 IVB917506 JEX917506 JOT917506 JYP917506 KIL917506 KSH917506 LCD917506 LLZ917506 LVV917506 MFR917506 MPN917506 MZJ917506 NJF917506 NTB917506 OCX917506 OMT917506 OWP917506 PGL917506 PQH917506 QAD917506 QJZ917506 QTV917506 RDR917506 RNN917506 RXJ917506 SHF917506 SRB917506 TAX917506 TKT917506 TUP917506 UEL917506 UOH917506 UYD917506 VHZ917506 VRV917506 WBR917506 WLN917506 WVJ917506 B983042 IX983042 ST983042 ACP983042 AML983042 AWH983042 BGD983042 BPZ983042 BZV983042 CJR983042 CTN983042 DDJ983042 DNF983042 DXB983042 EGX983042 EQT983042 FAP983042 FKL983042 FUH983042 GED983042 GNZ983042 GXV983042 HHR983042 HRN983042 IBJ983042 ILF983042 IVB983042 JEX983042 JOT983042 JYP983042 KIL983042 KSH983042 LCD983042 LLZ983042 LVV983042 MFR983042 MPN983042 MZJ983042 NJF983042 NTB983042 OCX983042 OMT983042 OWP983042 PGL983042 PQH983042 QAD983042 QJZ983042 QTV983042 RDR983042 RNN983042 RXJ983042 SHF983042 SRB983042 TAX983042 TKT983042 TUP983042 UEL983042 UOH983042 UYD983042 VHZ983042 VRV983042 WBR983042 WLN983042 WVJ983042">
      <formula1>Contributors</formula1>
    </dataValidation>
  </dataValidations>
  <pageMargins left="0.75" right="0.75" top="1" bottom="1" header="0.5" footer="0.5"/>
  <pageSetup paperSize="9"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X16"/>
  <sheetViews>
    <sheetView workbookViewId="0"/>
  </sheetViews>
  <sheetFormatPr defaultRowHeight="12.75" x14ac:dyDescent="0.2"/>
  <cols>
    <col min="1" max="1" width="5" style="20" customWidth="1"/>
    <col min="2" max="2" width="2.28515625" style="20" customWidth="1"/>
    <col min="3" max="3" width="2.7109375" style="20" bestFit="1" customWidth="1"/>
    <col min="4" max="4" width="3.85546875" style="20" bestFit="1" customWidth="1"/>
    <col min="5" max="5" width="8.5703125" style="20" bestFit="1" customWidth="1"/>
    <col min="6" max="6" width="12.7109375" style="20" bestFit="1" customWidth="1"/>
    <col min="7" max="9" width="5.7109375" style="20" bestFit="1" customWidth="1"/>
    <col min="10" max="10" width="10" style="20" bestFit="1" customWidth="1"/>
    <col min="11" max="11" width="5.7109375" style="20" bestFit="1" customWidth="1"/>
    <col min="12" max="12" width="5" style="20" customWidth="1"/>
    <col min="13" max="13" width="5.7109375" style="20" bestFit="1" customWidth="1"/>
    <col min="14" max="14" width="5" style="20" customWidth="1"/>
    <col min="15" max="15" width="13.7109375" style="20" bestFit="1" customWidth="1"/>
    <col min="16" max="17" width="7.7109375" style="20" bestFit="1" customWidth="1"/>
    <col min="18" max="18" width="5" style="20" customWidth="1"/>
    <col min="19" max="19" width="5.140625" style="20" customWidth="1"/>
    <col min="20" max="23" width="9.140625" style="20"/>
    <col min="24" max="24" width="7" style="20" bestFit="1" customWidth="1"/>
    <col min="25" max="16384" width="9.140625" style="20"/>
  </cols>
  <sheetData>
    <row r="1" spans="1:24" ht="13.5" thickBot="1" x14ac:dyDescent="0.25">
      <c r="A1" s="339" t="s">
        <v>313</v>
      </c>
      <c r="B1" s="207"/>
      <c r="C1" s="207"/>
      <c r="D1" s="207"/>
      <c r="E1" s="207"/>
      <c r="F1" s="207"/>
      <c r="G1" s="207"/>
      <c r="H1" s="207"/>
      <c r="I1" s="207"/>
      <c r="J1" s="207"/>
      <c r="K1" s="207"/>
      <c r="L1" s="207"/>
      <c r="M1" s="207"/>
      <c r="N1" s="207"/>
      <c r="O1" s="207"/>
      <c r="P1" s="207"/>
      <c r="Q1" s="207"/>
      <c r="R1" s="204"/>
    </row>
    <row r="2" spans="1:24" ht="13.5" thickBot="1" x14ac:dyDescent="0.25">
      <c r="A2" s="304"/>
      <c r="B2" s="267"/>
      <c r="C2" s="267"/>
      <c r="D2" s="267"/>
      <c r="E2" s="267"/>
      <c r="F2" s="152" t="s">
        <v>238</v>
      </c>
      <c r="G2" s="267"/>
      <c r="H2" s="267"/>
      <c r="I2" s="267"/>
      <c r="J2" s="267"/>
      <c r="K2" s="145"/>
      <c r="L2" s="267"/>
      <c r="M2" s="267"/>
      <c r="N2" s="267"/>
      <c r="O2" s="401" t="s">
        <v>257</v>
      </c>
      <c r="P2" s="400" t="s">
        <v>147</v>
      </c>
      <c r="Q2" s="145"/>
      <c r="R2" s="54"/>
    </row>
    <row r="3" spans="1:24" x14ac:dyDescent="0.2">
      <c r="A3" s="130"/>
      <c r="B3" s="267"/>
      <c r="C3" s="145"/>
      <c r="D3" s="145"/>
      <c r="E3" s="145"/>
      <c r="F3" s="145"/>
      <c r="G3" s="145"/>
      <c r="H3" s="145"/>
      <c r="I3" s="145"/>
      <c r="J3" s="145"/>
      <c r="K3" s="145"/>
      <c r="L3" s="267"/>
      <c r="M3" s="267"/>
      <c r="N3" s="267"/>
      <c r="O3" s="145"/>
      <c r="P3" s="145"/>
      <c r="Q3" s="299">
        <f>_xll.ohTrigger(Q5:Q15)</f>
        <v>3</v>
      </c>
      <c r="R3" s="225"/>
    </row>
    <row r="4" spans="1:24" ht="22.5" x14ac:dyDescent="0.2">
      <c r="A4" s="130"/>
      <c r="B4" s="399"/>
      <c r="C4" s="202"/>
      <c r="D4" s="202"/>
      <c r="E4" s="202"/>
      <c r="F4" s="298" t="e">
        <f ca="1">_xll.RData(F5:F15,G4:J4,,ReutersRtMode,,G5)</f>
        <v>#NAME?</v>
      </c>
      <c r="G4" s="336" t="s">
        <v>261</v>
      </c>
      <c r="H4" s="336" t="s">
        <v>228</v>
      </c>
      <c r="I4" s="336" t="s">
        <v>243</v>
      </c>
      <c r="J4" s="336" t="s">
        <v>260</v>
      </c>
      <c r="K4" s="293" t="s">
        <v>259</v>
      </c>
      <c r="L4" s="267"/>
      <c r="M4" s="296" t="s">
        <v>255</v>
      </c>
      <c r="N4" s="267"/>
      <c r="O4" s="295" t="s">
        <v>254</v>
      </c>
      <c r="P4" s="398" t="s">
        <v>253</v>
      </c>
      <c r="Q4" s="100" t="s">
        <v>252</v>
      </c>
      <c r="R4" s="225"/>
      <c r="X4" s="333" t="s">
        <v>258</v>
      </c>
    </row>
    <row r="5" spans="1:24" x14ac:dyDescent="0.2">
      <c r="A5" s="130"/>
      <c r="B5" s="274"/>
      <c r="C5" s="318">
        <v>2</v>
      </c>
      <c r="D5" s="318" t="s">
        <v>195</v>
      </c>
      <c r="E5" s="277" t="str">
        <f t="shared" ref="E5:E15" si="0">Currency&amp;$C5&amp;$D5&amp;$B5</f>
        <v>EUR2X1S</v>
      </c>
      <c r="F5" s="277" t="str">
        <f t="array" ref="F5:F15">Instruments&amp;"="&amp;VLOOKUP(Contributor,ContributorTable,2,FALSE)</f>
        <v>EUR2X1S=ICAP</v>
      </c>
      <c r="G5" s="319">
        <v>0.111</v>
      </c>
      <c r="H5" s="319">
        <v>0.161</v>
      </c>
      <c r="I5" s="319">
        <v>0</v>
      </c>
      <c r="J5" s="319">
        <v>0</v>
      </c>
      <c r="K5" s="397">
        <f>_xll.qlMidSafe($G5,$H5)</f>
        <v>0.13600000000000001</v>
      </c>
      <c r="L5" s="267"/>
      <c r="M5" s="275">
        <v>0.13600000000000001</v>
      </c>
      <c r="N5" s="267"/>
      <c r="O5" s="274" t="str">
        <f t="shared" ref="O5:O15" si="1">$E5&amp;$P$2</f>
        <v>EUR2X1S_Quote</v>
      </c>
      <c r="P5" s="273">
        <f t="array" ref="P5:P15">QuoteLive</f>
        <v>0.13600000000000001</v>
      </c>
      <c r="Q5" s="272" t="e">
        <f>_xll.qlSimpleQuoteSetValue($O5,$P5/100,Trigger)</f>
        <v>#N/A</v>
      </c>
      <c r="R5" s="225"/>
      <c r="T5" s="395"/>
      <c r="X5" s="307">
        <f t="shared" ref="X5:X15" si="2">(H5-K5)/50</f>
        <v>4.999999999999999E-4</v>
      </c>
    </row>
    <row r="6" spans="1:24" x14ac:dyDescent="0.2">
      <c r="A6" s="130"/>
      <c r="B6" s="274"/>
      <c r="C6" s="318">
        <v>3</v>
      </c>
      <c r="D6" s="318" t="s">
        <v>195</v>
      </c>
      <c r="E6" s="277" t="str">
        <f t="shared" si="0"/>
        <v>EUR3X1S</v>
      </c>
      <c r="F6" s="277" t="str">
        <v>EUR3X1S=ICAP</v>
      </c>
      <c r="G6" s="319">
        <v>0.11700000000000001</v>
      </c>
      <c r="H6" s="319">
        <v>0.16700000000000001</v>
      </c>
      <c r="I6" s="319">
        <v>0</v>
      </c>
      <c r="J6" s="319">
        <v>0</v>
      </c>
      <c r="K6" s="397">
        <f>_xll.qlMidSafe($G6,$H6)</f>
        <v>0.14200000000000002</v>
      </c>
      <c r="L6" s="267"/>
      <c r="M6" s="275">
        <v>0.14200000000000002</v>
      </c>
      <c r="N6" s="267"/>
      <c r="O6" s="274" t="str">
        <f t="shared" si="1"/>
        <v>EUR3X1S_Quote</v>
      </c>
      <c r="P6" s="273">
        <v>0.14200000000000002</v>
      </c>
      <c r="Q6" s="272" t="e">
        <f>_xll.qlSimpleQuoteSetValue($O6,$P6/100,Trigger)</f>
        <v>#N/A</v>
      </c>
      <c r="R6" s="225"/>
      <c r="T6" s="395"/>
      <c r="X6" s="307">
        <f t="shared" si="2"/>
        <v>4.999999999999999E-4</v>
      </c>
    </row>
    <row r="7" spans="1:24" x14ac:dyDescent="0.2">
      <c r="A7" s="130"/>
      <c r="B7" s="274"/>
      <c r="C7" s="318">
        <v>4</v>
      </c>
      <c r="D7" s="318" t="s">
        <v>195</v>
      </c>
      <c r="E7" s="277" t="str">
        <f t="shared" si="0"/>
        <v>EUR4X1S</v>
      </c>
      <c r="F7" s="277" t="str">
        <v>EUR4X1S=ICAP</v>
      </c>
      <c r="G7" s="319">
        <v>0.121</v>
      </c>
      <c r="H7" s="319">
        <v>0.17100000000000001</v>
      </c>
      <c r="I7" s="319">
        <v>0</v>
      </c>
      <c r="J7" s="319">
        <v>0</v>
      </c>
      <c r="K7" s="397">
        <f>_xll.qlMidSafe($G7,$H7)</f>
        <v>0.14600000000000002</v>
      </c>
      <c r="L7" s="267"/>
      <c r="M7" s="275">
        <v>0.14600000000000002</v>
      </c>
      <c r="N7" s="267"/>
      <c r="O7" s="274" t="str">
        <f t="shared" si="1"/>
        <v>EUR4X1S_Quote</v>
      </c>
      <c r="P7" s="273">
        <v>0.14600000000000002</v>
      </c>
      <c r="Q7" s="272" t="e">
        <f>_xll.qlSimpleQuoteSetValue($O7,$P7/100,Trigger)</f>
        <v>#N/A</v>
      </c>
      <c r="R7" s="225"/>
      <c r="T7" s="395"/>
      <c r="X7" s="307">
        <f t="shared" si="2"/>
        <v>4.999999999999999E-4</v>
      </c>
    </row>
    <row r="8" spans="1:24" x14ac:dyDescent="0.2">
      <c r="A8" s="130"/>
      <c r="B8" s="274"/>
      <c r="C8" s="318">
        <v>5</v>
      </c>
      <c r="D8" s="318" t="s">
        <v>195</v>
      </c>
      <c r="E8" s="277" t="str">
        <f t="shared" si="0"/>
        <v>EUR5X1S</v>
      </c>
      <c r="F8" s="277" t="str">
        <v>EUR5X1S=ICAP</v>
      </c>
      <c r="G8" s="319">
        <v>0.126</v>
      </c>
      <c r="H8" s="319">
        <v>0.17599999999999999</v>
      </c>
      <c r="I8" s="319">
        <v>0</v>
      </c>
      <c r="J8" s="319">
        <v>0</v>
      </c>
      <c r="K8" s="397">
        <f>_xll.qlMidSafe($G8,$H8)</f>
        <v>0.151</v>
      </c>
      <c r="L8" s="267"/>
      <c r="M8" s="275">
        <v>0.151</v>
      </c>
      <c r="N8" s="267"/>
      <c r="O8" s="274" t="str">
        <f t="shared" si="1"/>
        <v>EUR5X1S_Quote</v>
      </c>
      <c r="P8" s="273">
        <v>0.151</v>
      </c>
      <c r="Q8" s="272" t="e">
        <f>_xll.qlSimpleQuoteSetValue($O8,$P8/100,Trigger)</f>
        <v>#N/A</v>
      </c>
      <c r="R8" s="225"/>
      <c r="T8" s="395"/>
      <c r="X8" s="307">
        <f t="shared" si="2"/>
        <v>4.999999999999999E-4</v>
      </c>
    </row>
    <row r="9" spans="1:24" x14ac:dyDescent="0.2">
      <c r="A9" s="130"/>
      <c r="B9" s="274"/>
      <c r="C9" s="318">
        <v>6</v>
      </c>
      <c r="D9" s="318" t="s">
        <v>195</v>
      </c>
      <c r="E9" s="277" t="str">
        <f t="shared" si="0"/>
        <v>EUR6X1S</v>
      </c>
      <c r="F9" s="277" t="str">
        <v>EUR6X1S=ICAP</v>
      </c>
      <c r="G9" s="319">
        <v>0.13300000000000001</v>
      </c>
      <c r="H9" s="319">
        <v>0.183</v>
      </c>
      <c r="I9" s="319">
        <v>0</v>
      </c>
      <c r="J9" s="319">
        <v>0</v>
      </c>
      <c r="K9" s="397">
        <f>_xll.qlMidSafe($G9,$H9)</f>
        <v>0.158</v>
      </c>
      <c r="L9" s="267"/>
      <c r="M9" s="275">
        <v>0.158</v>
      </c>
      <c r="N9" s="267"/>
      <c r="O9" s="274" t="str">
        <f t="shared" si="1"/>
        <v>EUR6X1S_Quote</v>
      </c>
      <c r="P9" s="273">
        <v>0.158</v>
      </c>
      <c r="Q9" s="272" t="e">
        <f>_xll.qlSimpleQuoteSetValue($O9,$P9/100,Trigger)</f>
        <v>#N/A</v>
      </c>
      <c r="R9" s="225"/>
      <c r="T9" s="395"/>
      <c r="X9" s="307">
        <f t="shared" si="2"/>
        <v>4.999999999999999E-4</v>
      </c>
    </row>
    <row r="10" spans="1:24" x14ac:dyDescent="0.2">
      <c r="A10" s="130"/>
      <c r="B10" s="274"/>
      <c r="C10" s="318">
        <v>7</v>
      </c>
      <c r="D10" s="318" t="s">
        <v>195</v>
      </c>
      <c r="E10" s="277" t="str">
        <f t="shared" si="0"/>
        <v>EUR7X1S</v>
      </c>
      <c r="F10" s="277" t="str">
        <v>EUR7X1S=ICAP</v>
      </c>
      <c r="G10" s="319">
        <v>0.13800000000000001</v>
      </c>
      <c r="H10" s="319">
        <v>0.188</v>
      </c>
      <c r="I10" s="319">
        <v>0</v>
      </c>
      <c r="J10" s="319">
        <v>0</v>
      </c>
      <c r="K10" s="397">
        <f>_xll.qlMidSafe($G10,$H10)</f>
        <v>0.16300000000000001</v>
      </c>
      <c r="L10" s="267"/>
      <c r="M10" s="275">
        <v>0.16300000000000001</v>
      </c>
      <c r="N10" s="267"/>
      <c r="O10" s="274" t="str">
        <f t="shared" si="1"/>
        <v>EUR7X1S_Quote</v>
      </c>
      <c r="P10" s="273">
        <v>0.16300000000000001</v>
      </c>
      <c r="Q10" s="272" t="e">
        <f>_xll.qlSimpleQuoteSetValue($O10,$P10/100,Trigger)</f>
        <v>#N/A</v>
      </c>
      <c r="R10" s="225"/>
      <c r="T10" s="395"/>
      <c r="X10" s="307">
        <f t="shared" si="2"/>
        <v>4.999999999999999E-4</v>
      </c>
    </row>
    <row r="11" spans="1:24" x14ac:dyDescent="0.2">
      <c r="A11" s="130"/>
      <c r="B11" s="274"/>
      <c r="C11" s="318">
        <v>8</v>
      </c>
      <c r="D11" s="318" t="s">
        <v>195</v>
      </c>
      <c r="E11" s="277" t="str">
        <f t="shared" si="0"/>
        <v>EUR8X1S</v>
      </c>
      <c r="F11" s="277" t="str">
        <v>EUR8X1S=ICAP</v>
      </c>
      <c r="G11" s="319">
        <v>0.14399999999999999</v>
      </c>
      <c r="H11" s="319">
        <v>0.19400000000000001</v>
      </c>
      <c r="I11" s="319">
        <v>0</v>
      </c>
      <c r="J11" s="319">
        <v>0</v>
      </c>
      <c r="K11" s="397">
        <f>_xll.qlMidSafe($G11,$H11)</f>
        <v>0.16899999999999998</v>
      </c>
      <c r="L11" s="267"/>
      <c r="M11" s="275">
        <v>0.16999999999999998</v>
      </c>
      <c r="N11" s="267"/>
      <c r="O11" s="274" t="str">
        <f t="shared" si="1"/>
        <v>EUR8X1S_Quote</v>
      </c>
      <c r="P11" s="273">
        <v>0.16899999999999998</v>
      </c>
      <c r="Q11" s="272" t="e">
        <f>_xll.qlSimpleQuoteSetValue($O11,$P11/100,Trigger)</f>
        <v>#N/A</v>
      </c>
      <c r="R11" s="225"/>
      <c r="T11" s="395"/>
      <c r="X11" s="307">
        <f t="shared" si="2"/>
        <v>5.0000000000000044E-4</v>
      </c>
    </row>
    <row r="12" spans="1:24" x14ac:dyDescent="0.2">
      <c r="A12" s="130"/>
      <c r="B12" s="274"/>
      <c r="C12" s="318">
        <v>9</v>
      </c>
      <c r="D12" s="318" t="s">
        <v>195</v>
      </c>
      <c r="E12" s="277" t="str">
        <f t="shared" si="0"/>
        <v>EUR9X1S</v>
      </c>
      <c r="F12" s="277" t="str">
        <v>EUR9X1S=ICAP</v>
      </c>
      <c r="G12" s="319">
        <v>0.154</v>
      </c>
      <c r="H12" s="319">
        <v>0.20399999999999999</v>
      </c>
      <c r="I12" s="319">
        <v>0</v>
      </c>
      <c r="J12" s="319">
        <v>0</v>
      </c>
      <c r="K12" s="397">
        <f>_xll.qlMidSafe($G12,$H12)</f>
        <v>0.17899999999999999</v>
      </c>
      <c r="L12" s="267"/>
      <c r="M12" s="275">
        <v>0.17899999999999999</v>
      </c>
      <c r="N12" s="267"/>
      <c r="O12" s="274" t="str">
        <f t="shared" si="1"/>
        <v>EUR9X1S_Quote</v>
      </c>
      <c r="P12" s="273">
        <v>0.17899999999999999</v>
      </c>
      <c r="Q12" s="272" t="e">
        <f>_xll.qlSimpleQuoteSetValue($O12,$P12/100,Trigger)</f>
        <v>#N/A</v>
      </c>
      <c r="R12" s="225"/>
      <c r="T12" s="395"/>
      <c r="X12" s="307">
        <f t="shared" si="2"/>
        <v>4.999999999999999E-4</v>
      </c>
    </row>
    <row r="13" spans="1:24" x14ac:dyDescent="0.2">
      <c r="A13" s="130"/>
      <c r="B13" s="274"/>
      <c r="C13" s="318">
        <v>10</v>
      </c>
      <c r="D13" s="318" t="s">
        <v>195</v>
      </c>
      <c r="E13" s="277" t="str">
        <f t="shared" si="0"/>
        <v>EUR10X1S</v>
      </c>
      <c r="F13" s="277" t="str">
        <v>EUR10X1S=ICAP</v>
      </c>
      <c r="G13" s="319">
        <v>0.161</v>
      </c>
      <c r="H13" s="319">
        <v>0.21099999999999999</v>
      </c>
      <c r="I13" s="319">
        <v>0</v>
      </c>
      <c r="J13" s="319">
        <v>0</v>
      </c>
      <c r="K13" s="397">
        <f>_xll.qlMidSafe($G13,$H13)</f>
        <v>0.186</v>
      </c>
      <c r="L13" s="267"/>
      <c r="M13" s="275">
        <v>0.186</v>
      </c>
      <c r="N13" s="267"/>
      <c r="O13" s="274" t="str">
        <f t="shared" si="1"/>
        <v>EUR10X1S_Quote</v>
      </c>
      <c r="P13" s="273">
        <v>0.186</v>
      </c>
      <c r="Q13" s="272" t="e">
        <f>_xll.qlSimpleQuoteSetValue($O13,$P13/100,Trigger)</f>
        <v>#N/A</v>
      </c>
      <c r="R13" s="225"/>
      <c r="T13" s="395"/>
      <c r="X13" s="307">
        <f t="shared" si="2"/>
        <v>4.999999999999999E-4</v>
      </c>
    </row>
    <row r="14" spans="1:24" x14ac:dyDescent="0.2">
      <c r="A14" s="130"/>
      <c r="B14" s="274"/>
      <c r="C14" s="318">
        <v>11</v>
      </c>
      <c r="D14" s="318" t="s">
        <v>195</v>
      </c>
      <c r="E14" s="277" t="str">
        <f t="shared" si="0"/>
        <v>EUR11X1S</v>
      </c>
      <c r="F14" s="277" t="str">
        <v>EUR11X1S=ICAP</v>
      </c>
      <c r="G14" s="319">
        <v>0.17</v>
      </c>
      <c r="H14" s="319">
        <v>0.22</v>
      </c>
      <c r="I14" s="319">
        <v>0</v>
      </c>
      <c r="J14" s="319">
        <v>0</v>
      </c>
      <c r="K14" s="397">
        <f>_xll.qlMidSafe($G14,$H14)</f>
        <v>0.19500000000000001</v>
      </c>
      <c r="L14" s="267"/>
      <c r="M14" s="275">
        <v>0.19500000000000001</v>
      </c>
      <c r="N14" s="267"/>
      <c r="O14" s="274" t="str">
        <f t="shared" si="1"/>
        <v>EUR11X1S_Quote</v>
      </c>
      <c r="P14" s="273">
        <v>0.19500000000000001</v>
      </c>
      <c r="Q14" s="272" t="e">
        <f>_xll.qlSimpleQuoteSetValue($O14,$P14/100,Trigger)</f>
        <v>#N/A</v>
      </c>
      <c r="R14" s="225"/>
      <c r="T14" s="395"/>
      <c r="X14" s="307">
        <f t="shared" si="2"/>
        <v>4.999999999999999E-4</v>
      </c>
    </row>
    <row r="15" spans="1:24" x14ac:dyDescent="0.2">
      <c r="A15" s="130"/>
      <c r="B15" s="266"/>
      <c r="C15" s="324">
        <v>12</v>
      </c>
      <c r="D15" s="324" t="s">
        <v>195</v>
      </c>
      <c r="E15" s="270" t="str">
        <f t="shared" si="0"/>
        <v>EUR12X1S</v>
      </c>
      <c r="F15" s="270" t="str">
        <v>EUR12X1S=ICAP</v>
      </c>
      <c r="G15" s="325">
        <v>0.17899999999999999</v>
      </c>
      <c r="H15" s="325">
        <v>0.22900000000000001</v>
      </c>
      <c r="I15" s="325">
        <v>0</v>
      </c>
      <c r="J15" s="325">
        <v>0</v>
      </c>
      <c r="K15" s="396">
        <f>_xll.qlMidSafe($G15,$H15)</f>
        <v>0.20400000000000001</v>
      </c>
      <c r="L15" s="267"/>
      <c r="M15" s="268">
        <v>0.20400000000000001</v>
      </c>
      <c r="N15" s="267"/>
      <c r="O15" s="266" t="str">
        <f t="shared" si="1"/>
        <v>EUR12X1S_Quote</v>
      </c>
      <c r="P15" s="265">
        <v>0.20400000000000001</v>
      </c>
      <c r="Q15" s="264" t="e">
        <f>_xll.qlSimpleQuoteSetValue($O15,$P15/100,Trigger)</f>
        <v>#N/A</v>
      </c>
      <c r="R15" s="225"/>
      <c r="T15" s="395"/>
      <c r="X15" s="307">
        <f t="shared" si="2"/>
        <v>4.999999999999999E-4</v>
      </c>
    </row>
    <row r="16" spans="1:24" ht="13.5" thickBot="1" x14ac:dyDescent="0.25">
      <c r="A16" s="53"/>
      <c r="B16" s="52"/>
      <c r="C16" s="52"/>
      <c r="D16" s="52"/>
      <c r="E16" s="52"/>
      <c r="F16" s="52"/>
      <c r="G16" s="52"/>
      <c r="H16" s="52"/>
      <c r="I16" s="52"/>
      <c r="J16" s="52"/>
      <c r="K16" s="52"/>
      <c r="L16" s="52"/>
      <c r="M16" s="52"/>
      <c r="N16" s="52"/>
      <c r="O16" s="52"/>
      <c r="P16" s="52"/>
      <c r="Q16" s="52"/>
      <c r="R16" s="394"/>
    </row>
  </sheetData>
  <dataValidations count="1">
    <dataValidation type="list" showInputMessage="1" showErrorMessage="1" sqref="F2 JB2 SX2 ACT2 AMP2 AWL2 BGH2 BQD2 BZZ2 CJV2 CTR2 DDN2 DNJ2 DXF2 EHB2 EQX2 FAT2 FKP2 FUL2 GEH2 GOD2 GXZ2 HHV2 HRR2 IBN2 ILJ2 IVF2 JFB2 JOX2 JYT2 KIP2 KSL2 LCH2 LMD2 LVZ2 MFV2 MPR2 MZN2 NJJ2 NTF2 ODB2 OMX2 OWT2 PGP2 PQL2 QAH2 QKD2 QTZ2 RDV2 RNR2 RXN2 SHJ2 SRF2 TBB2 TKX2 TUT2 UEP2 UOL2 UYH2 VID2 VRZ2 WBV2 WLR2 WVN2 F65538 JB65538 SX65538 ACT65538 AMP65538 AWL65538 BGH65538 BQD65538 BZZ65538 CJV65538 CTR65538 DDN65538 DNJ65538 DXF65538 EHB65538 EQX65538 FAT65538 FKP65538 FUL65538 GEH65538 GOD65538 GXZ65538 HHV65538 HRR65538 IBN65538 ILJ65538 IVF65538 JFB65538 JOX65538 JYT65538 KIP65538 KSL65538 LCH65538 LMD65538 LVZ65538 MFV65538 MPR65538 MZN65538 NJJ65538 NTF65538 ODB65538 OMX65538 OWT65538 PGP65538 PQL65538 QAH65538 QKD65538 QTZ65538 RDV65538 RNR65538 RXN65538 SHJ65538 SRF65538 TBB65538 TKX65538 TUT65538 UEP65538 UOL65538 UYH65538 VID65538 VRZ65538 WBV65538 WLR65538 WVN65538 F131074 JB131074 SX131074 ACT131074 AMP131074 AWL131074 BGH131074 BQD131074 BZZ131074 CJV131074 CTR131074 DDN131074 DNJ131074 DXF131074 EHB131074 EQX131074 FAT131074 FKP131074 FUL131074 GEH131074 GOD131074 GXZ131074 HHV131074 HRR131074 IBN131074 ILJ131074 IVF131074 JFB131074 JOX131074 JYT131074 KIP131074 KSL131074 LCH131074 LMD131074 LVZ131074 MFV131074 MPR131074 MZN131074 NJJ131074 NTF131074 ODB131074 OMX131074 OWT131074 PGP131074 PQL131074 QAH131074 QKD131074 QTZ131074 RDV131074 RNR131074 RXN131074 SHJ131074 SRF131074 TBB131074 TKX131074 TUT131074 UEP131074 UOL131074 UYH131074 VID131074 VRZ131074 WBV131074 WLR131074 WVN131074 F196610 JB196610 SX196610 ACT196610 AMP196610 AWL196610 BGH196610 BQD196610 BZZ196610 CJV196610 CTR196610 DDN196610 DNJ196610 DXF196610 EHB196610 EQX196610 FAT196610 FKP196610 FUL196610 GEH196610 GOD196610 GXZ196610 HHV196610 HRR196610 IBN196610 ILJ196610 IVF196610 JFB196610 JOX196610 JYT196610 KIP196610 KSL196610 LCH196610 LMD196610 LVZ196610 MFV196610 MPR196610 MZN196610 NJJ196610 NTF196610 ODB196610 OMX196610 OWT196610 PGP196610 PQL196610 QAH196610 QKD196610 QTZ196610 RDV196610 RNR196610 RXN196610 SHJ196610 SRF196610 TBB196610 TKX196610 TUT196610 UEP196610 UOL196610 UYH196610 VID196610 VRZ196610 WBV196610 WLR196610 WVN196610 F262146 JB262146 SX262146 ACT262146 AMP262146 AWL262146 BGH262146 BQD262146 BZZ262146 CJV262146 CTR262146 DDN262146 DNJ262146 DXF262146 EHB262146 EQX262146 FAT262146 FKP262146 FUL262146 GEH262146 GOD262146 GXZ262146 HHV262146 HRR262146 IBN262146 ILJ262146 IVF262146 JFB262146 JOX262146 JYT262146 KIP262146 KSL262146 LCH262146 LMD262146 LVZ262146 MFV262146 MPR262146 MZN262146 NJJ262146 NTF262146 ODB262146 OMX262146 OWT262146 PGP262146 PQL262146 QAH262146 QKD262146 QTZ262146 RDV262146 RNR262146 RXN262146 SHJ262146 SRF262146 TBB262146 TKX262146 TUT262146 UEP262146 UOL262146 UYH262146 VID262146 VRZ262146 WBV262146 WLR262146 WVN262146 F327682 JB327682 SX327682 ACT327682 AMP327682 AWL327682 BGH327682 BQD327682 BZZ327682 CJV327682 CTR327682 DDN327682 DNJ327682 DXF327682 EHB327682 EQX327682 FAT327682 FKP327682 FUL327682 GEH327682 GOD327682 GXZ327682 HHV327682 HRR327682 IBN327682 ILJ327682 IVF327682 JFB327682 JOX327682 JYT327682 KIP327682 KSL327682 LCH327682 LMD327682 LVZ327682 MFV327682 MPR327682 MZN327682 NJJ327682 NTF327682 ODB327682 OMX327682 OWT327682 PGP327682 PQL327682 QAH327682 QKD327682 QTZ327682 RDV327682 RNR327682 RXN327682 SHJ327682 SRF327682 TBB327682 TKX327682 TUT327682 UEP327682 UOL327682 UYH327682 VID327682 VRZ327682 WBV327682 WLR327682 WVN327682 F393218 JB393218 SX393218 ACT393218 AMP393218 AWL393218 BGH393218 BQD393218 BZZ393218 CJV393218 CTR393218 DDN393218 DNJ393218 DXF393218 EHB393218 EQX393218 FAT393218 FKP393218 FUL393218 GEH393218 GOD393218 GXZ393218 HHV393218 HRR393218 IBN393218 ILJ393218 IVF393218 JFB393218 JOX393218 JYT393218 KIP393218 KSL393218 LCH393218 LMD393218 LVZ393218 MFV393218 MPR393218 MZN393218 NJJ393218 NTF393218 ODB393218 OMX393218 OWT393218 PGP393218 PQL393218 QAH393218 QKD393218 QTZ393218 RDV393218 RNR393218 RXN393218 SHJ393218 SRF393218 TBB393218 TKX393218 TUT393218 UEP393218 UOL393218 UYH393218 VID393218 VRZ393218 WBV393218 WLR393218 WVN393218 F458754 JB458754 SX458754 ACT458754 AMP458754 AWL458754 BGH458754 BQD458754 BZZ458754 CJV458754 CTR458754 DDN458754 DNJ458754 DXF458754 EHB458754 EQX458754 FAT458754 FKP458754 FUL458754 GEH458754 GOD458754 GXZ458754 HHV458754 HRR458754 IBN458754 ILJ458754 IVF458754 JFB458754 JOX458754 JYT458754 KIP458754 KSL458754 LCH458754 LMD458754 LVZ458754 MFV458754 MPR458754 MZN458754 NJJ458754 NTF458754 ODB458754 OMX458754 OWT458754 PGP458754 PQL458754 QAH458754 QKD458754 QTZ458754 RDV458754 RNR458754 RXN458754 SHJ458754 SRF458754 TBB458754 TKX458754 TUT458754 UEP458754 UOL458754 UYH458754 VID458754 VRZ458754 WBV458754 WLR458754 WVN458754 F524290 JB524290 SX524290 ACT524290 AMP524290 AWL524290 BGH524290 BQD524290 BZZ524290 CJV524290 CTR524290 DDN524290 DNJ524290 DXF524290 EHB524290 EQX524290 FAT524290 FKP524290 FUL524290 GEH524290 GOD524290 GXZ524290 HHV524290 HRR524290 IBN524290 ILJ524290 IVF524290 JFB524290 JOX524290 JYT524290 KIP524290 KSL524290 LCH524290 LMD524290 LVZ524290 MFV524290 MPR524290 MZN524290 NJJ524290 NTF524290 ODB524290 OMX524290 OWT524290 PGP524290 PQL524290 QAH524290 QKD524290 QTZ524290 RDV524290 RNR524290 RXN524290 SHJ524290 SRF524290 TBB524290 TKX524290 TUT524290 UEP524290 UOL524290 UYH524290 VID524290 VRZ524290 WBV524290 WLR524290 WVN524290 F589826 JB589826 SX589826 ACT589826 AMP589826 AWL589826 BGH589826 BQD589826 BZZ589826 CJV589826 CTR589826 DDN589826 DNJ589826 DXF589826 EHB589826 EQX589826 FAT589826 FKP589826 FUL589826 GEH589826 GOD589826 GXZ589826 HHV589826 HRR589826 IBN589826 ILJ589826 IVF589826 JFB589826 JOX589826 JYT589826 KIP589826 KSL589826 LCH589826 LMD589826 LVZ589826 MFV589826 MPR589826 MZN589826 NJJ589826 NTF589826 ODB589826 OMX589826 OWT589826 PGP589826 PQL589826 QAH589826 QKD589826 QTZ589826 RDV589826 RNR589826 RXN589826 SHJ589826 SRF589826 TBB589826 TKX589826 TUT589826 UEP589826 UOL589826 UYH589826 VID589826 VRZ589826 WBV589826 WLR589826 WVN589826 F655362 JB655362 SX655362 ACT655362 AMP655362 AWL655362 BGH655362 BQD655362 BZZ655362 CJV655362 CTR655362 DDN655362 DNJ655362 DXF655362 EHB655362 EQX655362 FAT655362 FKP655362 FUL655362 GEH655362 GOD655362 GXZ655362 HHV655362 HRR655362 IBN655362 ILJ655362 IVF655362 JFB655362 JOX655362 JYT655362 KIP655362 KSL655362 LCH655362 LMD655362 LVZ655362 MFV655362 MPR655362 MZN655362 NJJ655362 NTF655362 ODB655362 OMX655362 OWT655362 PGP655362 PQL655362 QAH655362 QKD655362 QTZ655362 RDV655362 RNR655362 RXN655362 SHJ655362 SRF655362 TBB655362 TKX655362 TUT655362 UEP655362 UOL655362 UYH655362 VID655362 VRZ655362 WBV655362 WLR655362 WVN655362 F720898 JB720898 SX720898 ACT720898 AMP720898 AWL720898 BGH720898 BQD720898 BZZ720898 CJV720898 CTR720898 DDN720898 DNJ720898 DXF720898 EHB720898 EQX720898 FAT720898 FKP720898 FUL720898 GEH720898 GOD720898 GXZ720898 HHV720898 HRR720898 IBN720898 ILJ720898 IVF720898 JFB720898 JOX720898 JYT720898 KIP720898 KSL720898 LCH720898 LMD720898 LVZ720898 MFV720898 MPR720898 MZN720898 NJJ720898 NTF720898 ODB720898 OMX720898 OWT720898 PGP720898 PQL720898 QAH720898 QKD720898 QTZ720898 RDV720898 RNR720898 RXN720898 SHJ720898 SRF720898 TBB720898 TKX720898 TUT720898 UEP720898 UOL720898 UYH720898 VID720898 VRZ720898 WBV720898 WLR720898 WVN720898 F786434 JB786434 SX786434 ACT786434 AMP786434 AWL786434 BGH786434 BQD786434 BZZ786434 CJV786434 CTR786434 DDN786434 DNJ786434 DXF786434 EHB786434 EQX786434 FAT786434 FKP786434 FUL786434 GEH786434 GOD786434 GXZ786434 HHV786434 HRR786434 IBN786434 ILJ786434 IVF786434 JFB786434 JOX786434 JYT786434 KIP786434 KSL786434 LCH786434 LMD786434 LVZ786434 MFV786434 MPR786434 MZN786434 NJJ786434 NTF786434 ODB786434 OMX786434 OWT786434 PGP786434 PQL786434 QAH786434 QKD786434 QTZ786434 RDV786434 RNR786434 RXN786434 SHJ786434 SRF786434 TBB786434 TKX786434 TUT786434 UEP786434 UOL786434 UYH786434 VID786434 VRZ786434 WBV786434 WLR786434 WVN786434 F851970 JB851970 SX851970 ACT851970 AMP851970 AWL851970 BGH851970 BQD851970 BZZ851970 CJV851970 CTR851970 DDN851970 DNJ851970 DXF851970 EHB851970 EQX851970 FAT851970 FKP851970 FUL851970 GEH851970 GOD851970 GXZ851970 HHV851970 HRR851970 IBN851970 ILJ851970 IVF851970 JFB851970 JOX851970 JYT851970 KIP851970 KSL851970 LCH851970 LMD851970 LVZ851970 MFV851970 MPR851970 MZN851970 NJJ851970 NTF851970 ODB851970 OMX851970 OWT851970 PGP851970 PQL851970 QAH851970 QKD851970 QTZ851970 RDV851970 RNR851970 RXN851970 SHJ851970 SRF851970 TBB851970 TKX851970 TUT851970 UEP851970 UOL851970 UYH851970 VID851970 VRZ851970 WBV851970 WLR851970 WVN851970 F917506 JB917506 SX917506 ACT917506 AMP917506 AWL917506 BGH917506 BQD917506 BZZ917506 CJV917506 CTR917506 DDN917506 DNJ917506 DXF917506 EHB917506 EQX917506 FAT917506 FKP917506 FUL917506 GEH917506 GOD917506 GXZ917506 HHV917506 HRR917506 IBN917506 ILJ917506 IVF917506 JFB917506 JOX917506 JYT917506 KIP917506 KSL917506 LCH917506 LMD917506 LVZ917506 MFV917506 MPR917506 MZN917506 NJJ917506 NTF917506 ODB917506 OMX917506 OWT917506 PGP917506 PQL917506 QAH917506 QKD917506 QTZ917506 RDV917506 RNR917506 RXN917506 SHJ917506 SRF917506 TBB917506 TKX917506 TUT917506 UEP917506 UOL917506 UYH917506 VID917506 VRZ917506 WBV917506 WLR917506 WVN917506 F983042 JB983042 SX983042 ACT983042 AMP983042 AWL983042 BGH983042 BQD983042 BZZ983042 CJV983042 CTR983042 DDN983042 DNJ983042 DXF983042 EHB983042 EQX983042 FAT983042 FKP983042 FUL983042 GEH983042 GOD983042 GXZ983042 HHV983042 HRR983042 IBN983042 ILJ983042 IVF983042 JFB983042 JOX983042 JYT983042 KIP983042 KSL983042 LCH983042 LMD983042 LVZ983042 MFV983042 MPR983042 MZN983042 NJJ983042 NTF983042 ODB983042 OMX983042 OWT983042 PGP983042 PQL983042 QAH983042 QKD983042 QTZ983042 RDV983042 RNR983042 RXN983042 SHJ983042 SRF983042 TBB983042 TKX983042 TUT983042 UEP983042 UOL983042 UYH983042 VID983042 VRZ983042 WBV983042 WLR983042 WVN983042">
      <formula1>Contributors</formula1>
    </dataValidation>
  </dataValidations>
  <pageMargins left="0.75" right="0.75" top="1" bottom="1" header="0.5" footer="0.5"/>
  <pageSetup paperSize="9" orientation="portrait" r:id="rId1"/>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X12"/>
  <sheetViews>
    <sheetView workbookViewId="0"/>
  </sheetViews>
  <sheetFormatPr defaultRowHeight="12.75" x14ac:dyDescent="0.2"/>
  <cols>
    <col min="1" max="1" width="5" style="20" customWidth="1"/>
    <col min="2" max="2" width="3.85546875" style="20" bestFit="1" customWidth="1"/>
    <col min="3" max="3" width="2.85546875" style="20" bestFit="1" customWidth="1"/>
    <col min="4" max="4" width="2.7109375" style="20" bestFit="1" customWidth="1"/>
    <col min="5" max="5" width="7.5703125" style="20" bestFit="1" customWidth="1"/>
    <col min="6" max="6" width="11.7109375" style="20" bestFit="1" customWidth="1"/>
    <col min="7" max="9" width="5.7109375" style="20" bestFit="1" customWidth="1"/>
    <col min="10" max="10" width="10" style="20" bestFit="1" customWidth="1"/>
    <col min="11" max="11" width="5.7109375" style="20" bestFit="1" customWidth="1"/>
    <col min="12" max="12" width="5" style="20" customWidth="1"/>
    <col min="13" max="13" width="5.7109375" style="20" bestFit="1" customWidth="1"/>
    <col min="14" max="14" width="5" style="20" customWidth="1"/>
    <col min="15" max="15" width="12.5703125" style="20" bestFit="1" customWidth="1"/>
    <col min="16" max="17" width="7.7109375" style="20" bestFit="1" customWidth="1"/>
    <col min="18" max="18" width="5" style="20" customWidth="1"/>
    <col min="19" max="19" width="5.140625" style="20" customWidth="1"/>
    <col min="20" max="23" width="9.140625" style="20"/>
    <col min="24" max="24" width="7" style="20" bestFit="1" customWidth="1"/>
    <col min="25" max="16384" width="9.140625" style="20"/>
  </cols>
  <sheetData>
    <row r="1" spans="1:24" ht="13.5" thickBot="1" x14ac:dyDescent="0.25">
      <c r="A1" s="339" t="s">
        <v>313</v>
      </c>
      <c r="B1" s="207"/>
      <c r="C1" s="207"/>
      <c r="D1" s="207"/>
      <c r="E1" s="207"/>
      <c r="F1" s="207"/>
      <c r="G1" s="207"/>
      <c r="H1" s="207"/>
      <c r="I1" s="207"/>
      <c r="J1" s="207"/>
      <c r="K1" s="207"/>
      <c r="L1" s="207"/>
      <c r="M1" s="207"/>
      <c r="N1" s="207"/>
      <c r="O1" s="207"/>
      <c r="P1" s="207"/>
      <c r="Q1" s="207"/>
      <c r="R1" s="204"/>
    </row>
    <row r="2" spans="1:24" ht="13.5" thickBot="1" x14ac:dyDescent="0.25">
      <c r="A2" s="304"/>
      <c r="B2" s="145"/>
      <c r="C2" s="267"/>
      <c r="D2" s="267"/>
      <c r="E2" s="267"/>
      <c r="F2" s="152" t="s">
        <v>238</v>
      </c>
      <c r="G2" s="267"/>
      <c r="H2" s="267"/>
      <c r="I2" s="267"/>
      <c r="J2" s="267"/>
      <c r="K2" s="145"/>
      <c r="L2" s="267"/>
      <c r="M2" s="267"/>
      <c r="N2" s="267"/>
      <c r="O2" s="401" t="s">
        <v>257</v>
      </c>
      <c r="P2" s="400" t="s">
        <v>147</v>
      </c>
      <c r="Q2" s="145"/>
      <c r="R2" s="54"/>
    </row>
    <row r="3" spans="1:24" x14ac:dyDescent="0.2">
      <c r="A3" s="130"/>
      <c r="B3" s="267"/>
      <c r="C3" s="145"/>
      <c r="D3" s="145"/>
      <c r="E3" s="145"/>
      <c r="F3" s="145"/>
      <c r="G3" s="145"/>
      <c r="H3" s="145"/>
      <c r="I3" s="145"/>
      <c r="J3" s="145"/>
      <c r="K3" s="145"/>
      <c r="L3" s="267"/>
      <c r="M3" s="267"/>
      <c r="N3" s="267"/>
      <c r="O3" s="145"/>
      <c r="P3" s="145"/>
      <c r="Q3" s="299">
        <f>_xll.ohTrigger(Q5:Q11)</f>
        <v>3</v>
      </c>
      <c r="R3" s="225"/>
    </row>
    <row r="4" spans="1:24" ht="22.5" x14ac:dyDescent="0.2">
      <c r="A4" s="130"/>
      <c r="B4" s="399"/>
      <c r="C4" s="202"/>
      <c r="D4" s="202"/>
      <c r="E4" s="202"/>
      <c r="F4" s="298" t="e">
        <f ca="1">_xll.RData(F5:F11,G4:J4,,ReutersRtMode,,G5)</f>
        <v>#NAME?</v>
      </c>
      <c r="G4" s="336" t="s">
        <v>261</v>
      </c>
      <c r="H4" s="336" t="s">
        <v>228</v>
      </c>
      <c r="I4" s="336" t="s">
        <v>243</v>
      </c>
      <c r="J4" s="336" t="s">
        <v>260</v>
      </c>
      <c r="K4" s="293" t="s">
        <v>259</v>
      </c>
      <c r="L4" s="267"/>
      <c r="M4" s="296" t="s">
        <v>255</v>
      </c>
      <c r="N4" s="267"/>
      <c r="O4" s="295" t="s">
        <v>254</v>
      </c>
      <c r="P4" s="398" t="s">
        <v>253</v>
      </c>
      <c r="Q4" s="100" t="s">
        <v>252</v>
      </c>
      <c r="R4" s="225"/>
      <c r="X4" s="333" t="s">
        <v>258</v>
      </c>
    </row>
    <row r="5" spans="1:24" x14ac:dyDescent="0.2">
      <c r="A5" s="130"/>
      <c r="B5" s="274"/>
      <c r="C5" s="318" t="s">
        <v>196</v>
      </c>
      <c r="D5" s="318">
        <v>12</v>
      </c>
      <c r="E5" s="277" t="str">
        <f t="shared" ref="E5:E11" si="0">Currency&amp;$C5&amp;$D5&amp;$B5</f>
        <v>EUR1S12</v>
      </c>
      <c r="F5" s="277" t="str">
        <f t="array" ref="F5:F11">Instruments&amp;"="&amp;VLOOKUP(Contributor,ContributorTable,2,FALSE)</f>
        <v>EUR1S12=ICAP</v>
      </c>
      <c r="G5" s="319">
        <v>0.33500000000000002</v>
      </c>
      <c r="H5" s="319">
        <v>0.38500000000000001</v>
      </c>
      <c r="I5" s="319">
        <v>0</v>
      </c>
      <c r="J5" s="319">
        <v>0</v>
      </c>
      <c r="K5" s="397">
        <f>_xll.qlMidSafe($G5,$H5)</f>
        <v>0.36</v>
      </c>
      <c r="L5" s="267"/>
      <c r="M5" s="275">
        <v>0.36</v>
      </c>
      <c r="N5" s="267"/>
      <c r="O5" s="274" t="str">
        <f t="shared" ref="O5:O11" si="1">$E5&amp;$P$2</f>
        <v>EUR1S12_Quote</v>
      </c>
      <c r="P5" s="273">
        <f t="array" ref="P5:P11">QuoteLive</f>
        <v>0.36</v>
      </c>
      <c r="Q5" s="272" t="e">
        <f>_xll.qlSimpleQuoteSetValue($O5,$P5/100,Trigger)</f>
        <v>#N/A</v>
      </c>
      <c r="R5" s="225"/>
      <c r="X5" s="307">
        <f t="shared" ref="X5:X11" si="2">(H5-K5)/50</f>
        <v>5.0000000000000044E-4</v>
      </c>
    </row>
    <row r="6" spans="1:24" x14ac:dyDescent="0.2">
      <c r="A6" s="130"/>
      <c r="B6" s="274"/>
      <c r="C6" s="318" t="s">
        <v>197</v>
      </c>
      <c r="D6" s="318">
        <v>12</v>
      </c>
      <c r="E6" s="277" t="str">
        <f t="shared" si="0"/>
        <v>EUR2S12</v>
      </c>
      <c r="F6" s="277" t="str">
        <v>EUR2S12=ICAP</v>
      </c>
      <c r="G6" s="319">
        <v>0.39700000000000002</v>
      </c>
      <c r="H6" s="319">
        <v>0.44700000000000001</v>
      </c>
      <c r="I6" s="319">
        <v>0</v>
      </c>
      <c r="J6" s="319">
        <v>0</v>
      </c>
      <c r="K6" s="397">
        <f>_xll.qlMidSafe($G6,$H6)</f>
        <v>0.42200000000000004</v>
      </c>
      <c r="L6" s="267"/>
      <c r="M6" s="275">
        <v>0.42200000000000004</v>
      </c>
      <c r="N6" s="267"/>
      <c r="O6" s="274" t="str">
        <f t="shared" si="1"/>
        <v>EUR2S12_Quote</v>
      </c>
      <c r="P6" s="273">
        <v>0.42200000000000004</v>
      </c>
      <c r="Q6" s="272" t="e">
        <f>_xll.qlSimpleQuoteSetValue($O6,$P6/100,Trigger)</f>
        <v>#N/A</v>
      </c>
      <c r="R6" s="225"/>
      <c r="X6" s="307">
        <f t="shared" si="2"/>
        <v>4.9999999999999936E-4</v>
      </c>
    </row>
    <row r="7" spans="1:24" x14ac:dyDescent="0.2">
      <c r="A7" s="130"/>
      <c r="B7" s="274"/>
      <c r="C7" s="318" t="s">
        <v>199</v>
      </c>
      <c r="D7" s="318">
        <v>12</v>
      </c>
      <c r="E7" s="277" t="str">
        <f t="shared" si="0"/>
        <v>EUR3S12</v>
      </c>
      <c r="F7" s="277" t="str">
        <v>EUR3S12=ICAP</v>
      </c>
      <c r="G7" s="319">
        <v>0.46100000000000002</v>
      </c>
      <c r="H7" s="319">
        <v>0.51100000000000001</v>
      </c>
      <c r="I7" s="319">
        <v>0</v>
      </c>
      <c r="J7" s="319">
        <v>0</v>
      </c>
      <c r="K7" s="397">
        <f>_xll.qlMidSafe($G7,$H7)</f>
        <v>0.48599999999999999</v>
      </c>
      <c r="L7" s="267"/>
      <c r="M7" s="275">
        <v>0.48599999999999999</v>
      </c>
      <c r="N7" s="267"/>
      <c r="O7" s="274" t="str">
        <f t="shared" si="1"/>
        <v>EUR3S12_Quote</v>
      </c>
      <c r="P7" s="273">
        <v>0.48599999999999999</v>
      </c>
      <c r="Q7" s="272" t="e">
        <f>_xll.qlSimpleQuoteSetValue($O7,$P7/100,Trigger)</f>
        <v>#N/A</v>
      </c>
      <c r="R7" s="225"/>
      <c r="X7" s="307">
        <f t="shared" si="2"/>
        <v>5.0000000000000044E-4</v>
      </c>
    </row>
    <row r="8" spans="1:24" x14ac:dyDescent="0.2">
      <c r="A8" s="130"/>
      <c r="B8" s="274"/>
      <c r="C8" s="318" t="s">
        <v>198</v>
      </c>
      <c r="D8" s="318">
        <v>12</v>
      </c>
      <c r="E8" s="277" t="str">
        <f t="shared" si="0"/>
        <v>EUR4S12</v>
      </c>
      <c r="F8" s="277" t="str">
        <v>EUR4S12=ICAP</v>
      </c>
      <c r="G8" s="319">
        <v>0.52500000000000002</v>
      </c>
      <c r="H8" s="319">
        <v>0.57499999999999996</v>
      </c>
      <c r="I8" s="319">
        <v>0</v>
      </c>
      <c r="J8" s="319">
        <v>0</v>
      </c>
      <c r="K8" s="397">
        <f>_xll.qlMidSafe($G8,$H8)</f>
        <v>0.55000000000000004</v>
      </c>
      <c r="L8" s="267"/>
      <c r="M8" s="275">
        <v>0.55000000000000004</v>
      </c>
      <c r="N8" s="267"/>
      <c r="O8" s="274" t="str">
        <f t="shared" si="1"/>
        <v>EUR4S12_Quote</v>
      </c>
      <c r="P8" s="273">
        <v>0.55000000000000004</v>
      </c>
      <c r="Q8" s="272" t="e">
        <f>_xll.qlSimpleQuoteSetValue($O8,$P8/100,Trigger)</f>
        <v>#N/A</v>
      </c>
      <c r="R8" s="225"/>
      <c r="X8" s="307">
        <f t="shared" si="2"/>
        <v>4.9999999999999828E-4</v>
      </c>
    </row>
    <row r="9" spans="1:24" x14ac:dyDescent="0.2">
      <c r="A9" s="130"/>
      <c r="B9" s="274"/>
      <c r="C9" s="318" t="s">
        <v>196</v>
      </c>
      <c r="D9" s="318">
        <v>24</v>
      </c>
      <c r="E9" s="277" t="str">
        <f t="shared" si="0"/>
        <v>EUR1S24</v>
      </c>
      <c r="F9" s="277" t="str">
        <v>EUR1S24=ICAP</v>
      </c>
      <c r="G9" s="319">
        <v>0.46400000000000002</v>
      </c>
      <c r="H9" s="319">
        <v>0.51400000000000001</v>
      </c>
      <c r="I9" s="319">
        <v>0</v>
      </c>
      <c r="J9" s="319">
        <v>0</v>
      </c>
      <c r="K9" s="397">
        <f>_xll.qlMidSafe($G9,$H9)</f>
        <v>0.48899999999999999</v>
      </c>
      <c r="L9" s="267"/>
      <c r="M9" s="275">
        <v>0.48899999999999999</v>
      </c>
      <c r="N9" s="267"/>
      <c r="O9" s="274" t="str">
        <f t="shared" si="1"/>
        <v>EUR1S24_Quote</v>
      </c>
      <c r="P9" s="273">
        <v>0.48899999999999999</v>
      </c>
      <c r="Q9" s="272" t="e">
        <f>_xll.qlSimpleQuoteSetValue($O9,$P9/100,Trigger)</f>
        <v>#N/A</v>
      </c>
      <c r="R9" s="225"/>
      <c r="X9" s="307">
        <f t="shared" si="2"/>
        <v>5.0000000000000044E-4</v>
      </c>
    </row>
    <row r="10" spans="1:24" x14ac:dyDescent="0.2">
      <c r="A10" s="130"/>
      <c r="B10" s="274"/>
      <c r="C10" s="318" t="s">
        <v>197</v>
      </c>
      <c r="D10" s="318">
        <v>24</v>
      </c>
      <c r="E10" s="277" t="str">
        <f t="shared" si="0"/>
        <v>EUR2S24</v>
      </c>
      <c r="F10" s="277" t="str">
        <v>EUR2S24=ICAP</v>
      </c>
      <c r="G10" s="319">
        <v>0.53300000000000003</v>
      </c>
      <c r="H10" s="319">
        <v>0.58299999999999996</v>
      </c>
      <c r="I10" s="319">
        <v>0</v>
      </c>
      <c r="J10" s="319">
        <v>0</v>
      </c>
      <c r="K10" s="397">
        <f>_xll.qlMidSafe($G10,$H10)</f>
        <v>0.55800000000000005</v>
      </c>
      <c r="L10" s="267"/>
      <c r="M10" s="275">
        <v>0.55899999999999994</v>
      </c>
      <c r="N10" s="267"/>
      <c r="O10" s="274" t="str">
        <f t="shared" si="1"/>
        <v>EUR2S24_Quote</v>
      </c>
      <c r="P10" s="273">
        <v>0.55800000000000005</v>
      </c>
      <c r="Q10" s="272" t="e">
        <f>_xll.qlSimpleQuoteSetValue($O10,$P10/100,Trigger)</f>
        <v>#N/A</v>
      </c>
      <c r="R10" s="225"/>
      <c r="X10" s="307">
        <f t="shared" si="2"/>
        <v>4.9999999999999828E-4</v>
      </c>
    </row>
    <row r="11" spans="1:24" x14ac:dyDescent="0.2">
      <c r="A11" s="130"/>
      <c r="B11" s="266"/>
      <c r="C11" s="324" t="s">
        <v>196</v>
      </c>
      <c r="D11" s="324">
        <v>36</v>
      </c>
      <c r="E11" s="270" t="str">
        <f t="shared" si="0"/>
        <v>EUR1S36</v>
      </c>
      <c r="F11" s="270" t="str">
        <v>EUR1S36=ICAP</v>
      </c>
      <c r="G11" s="325">
        <v>0.63600000000000001</v>
      </c>
      <c r="H11" s="325">
        <v>0.68600000000000005</v>
      </c>
      <c r="I11" s="325">
        <v>0</v>
      </c>
      <c r="J11" s="325">
        <v>0</v>
      </c>
      <c r="K11" s="396">
        <f>_xll.qlMidSafe($G11,$H11)</f>
        <v>0.66100000000000003</v>
      </c>
      <c r="L11" s="267"/>
      <c r="M11" s="268">
        <v>0.66100000000000003</v>
      </c>
      <c r="N11" s="267"/>
      <c r="O11" s="266" t="str">
        <f t="shared" si="1"/>
        <v>EUR1S36_Quote</v>
      </c>
      <c r="P11" s="265">
        <v>0.66100000000000003</v>
      </c>
      <c r="Q11" s="264" t="e">
        <f>_xll.qlSimpleQuoteSetValue($O11,$P11/100,Trigger)</f>
        <v>#N/A</v>
      </c>
      <c r="R11" s="225"/>
      <c r="X11" s="307">
        <f t="shared" si="2"/>
        <v>5.0000000000000044E-4</v>
      </c>
    </row>
    <row r="12" spans="1:24" ht="13.5" thickBot="1" x14ac:dyDescent="0.25">
      <c r="A12" s="53"/>
      <c r="B12" s="52"/>
      <c r="C12" s="52"/>
      <c r="D12" s="52"/>
      <c r="E12" s="52"/>
      <c r="F12" s="52"/>
      <c r="G12" s="52"/>
      <c r="H12" s="52"/>
      <c r="I12" s="52"/>
      <c r="J12" s="52"/>
      <c r="K12" s="52"/>
      <c r="L12" s="52"/>
      <c r="M12" s="52"/>
      <c r="N12" s="52"/>
      <c r="O12" s="52"/>
      <c r="P12" s="52"/>
      <c r="Q12" s="52"/>
      <c r="R12" s="394"/>
    </row>
  </sheetData>
  <dataValidations count="1">
    <dataValidation type="list" showInputMessage="1" showErrorMessage="1" sqref="F2 JB2 SX2 ACT2 AMP2 AWL2 BGH2 BQD2 BZZ2 CJV2 CTR2 DDN2 DNJ2 DXF2 EHB2 EQX2 FAT2 FKP2 FUL2 GEH2 GOD2 GXZ2 HHV2 HRR2 IBN2 ILJ2 IVF2 JFB2 JOX2 JYT2 KIP2 KSL2 LCH2 LMD2 LVZ2 MFV2 MPR2 MZN2 NJJ2 NTF2 ODB2 OMX2 OWT2 PGP2 PQL2 QAH2 QKD2 QTZ2 RDV2 RNR2 RXN2 SHJ2 SRF2 TBB2 TKX2 TUT2 UEP2 UOL2 UYH2 VID2 VRZ2 WBV2 WLR2 WVN2 F65538 JB65538 SX65538 ACT65538 AMP65538 AWL65538 BGH65538 BQD65538 BZZ65538 CJV65538 CTR65538 DDN65538 DNJ65538 DXF65538 EHB65538 EQX65538 FAT65538 FKP65538 FUL65538 GEH65538 GOD65538 GXZ65538 HHV65538 HRR65538 IBN65538 ILJ65538 IVF65538 JFB65538 JOX65538 JYT65538 KIP65538 KSL65538 LCH65538 LMD65538 LVZ65538 MFV65538 MPR65538 MZN65538 NJJ65538 NTF65538 ODB65538 OMX65538 OWT65538 PGP65538 PQL65538 QAH65538 QKD65538 QTZ65538 RDV65538 RNR65538 RXN65538 SHJ65538 SRF65538 TBB65538 TKX65538 TUT65538 UEP65538 UOL65538 UYH65538 VID65538 VRZ65538 WBV65538 WLR65538 WVN65538 F131074 JB131074 SX131074 ACT131074 AMP131074 AWL131074 BGH131074 BQD131074 BZZ131074 CJV131074 CTR131074 DDN131074 DNJ131074 DXF131074 EHB131074 EQX131074 FAT131074 FKP131074 FUL131074 GEH131074 GOD131074 GXZ131074 HHV131074 HRR131074 IBN131074 ILJ131074 IVF131074 JFB131074 JOX131074 JYT131074 KIP131074 KSL131074 LCH131074 LMD131074 LVZ131074 MFV131074 MPR131074 MZN131074 NJJ131074 NTF131074 ODB131074 OMX131074 OWT131074 PGP131074 PQL131074 QAH131074 QKD131074 QTZ131074 RDV131074 RNR131074 RXN131074 SHJ131074 SRF131074 TBB131074 TKX131074 TUT131074 UEP131074 UOL131074 UYH131074 VID131074 VRZ131074 WBV131074 WLR131074 WVN131074 F196610 JB196610 SX196610 ACT196610 AMP196610 AWL196610 BGH196610 BQD196610 BZZ196610 CJV196610 CTR196610 DDN196610 DNJ196610 DXF196610 EHB196610 EQX196610 FAT196610 FKP196610 FUL196610 GEH196610 GOD196610 GXZ196610 HHV196610 HRR196610 IBN196610 ILJ196610 IVF196610 JFB196610 JOX196610 JYT196610 KIP196610 KSL196610 LCH196610 LMD196610 LVZ196610 MFV196610 MPR196610 MZN196610 NJJ196610 NTF196610 ODB196610 OMX196610 OWT196610 PGP196610 PQL196610 QAH196610 QKD196610 QTZ196610 RDV196610 RNR196610 RXN196610 SHJ196610 SRF196610 TBB196610 TKX196610 TUT196610 UEP196610 UOL196610 UYH196610 VID196610 VRZ196610 WBV196610 WLR196610 WVN196610 F262146 JB262146 SX262146 ACT262146 AMP262146 AWL262146 BGH262146 BQD262146 BZZ262146 CJV262146 CTR262146 DDN262146 DNJ262146 DXF262146 EHB262146 EQX262146 FAT262146 FKP262146 FUL262146 GEH262146 GOD262146 GXZ262146 HHV262146 HRR262146 IBN262146 ILJ262146 IVF262146 JFB262146 JOX262146 JYT262146 KIP262146 KSL262146 LCH262146 LMD262146 LVZ262146 MFV262146 MPR262146 MZN262146 NJJ262146 NTF262146 ODB262146 OMX262146 OWT262146 PGP262146 PQL262146 QAH262146 QKD262146 QTZ262146 RDV262146 RNR262146 RXN262146 SHJ262146 SRF262146 TBB262146 TKX262146 TUT262146 UEP262146 UOL262146 UYH262146 VID262146 VRZ262146 WBV262146 WLR262146 WVN262146 F327682 JB327682 SX327682 ACT327682 AMP327682 AWL327682 BGH327682 BQD327682 BZZ327682 CJV327682 CTR327682 DDN327682 DNJ327682 DXF327682 EHB327682 EQX327682 FAT327682 FKP327682 FUL327682 GEH327682 GOD327682 GXZ327682 HHV327682 HRR327682 IBN327682 ILJ327682 IVF327682 JFB327682 JOX327682 JYT327682 KIP327682 KSL327682 LCH327682 LMD327682 LVZ327682 MFV327682 MPR327682 MZN327682 NJJ327682 NTF327682 ODB327682 OMX327682 OWT327682 PGP327682 PQL327682 QAH327682 QKD327682 QTZ327682 RDV327682 RNR327682 RXN327682 SHJ327682 SRF327682 TBB327682 TKX327682 TUT327682 UEP327682 UOL327682 UYH327682 VID327682 VRZ327682 WBV327682 WLR327682 WVN327682 F393218 JB393218 SX393218 ACT393218 AMP393218 AWL393218 BGH393218 BQD393218 BZZ393218 CJV393218 CTR393218 DDN393218 DNJ393218 DXF393218 EHB393218 EQX393218 FAT393218 FKP393218 FUL393218 GEH393218 GOD393218 GXZ393218 HHV393218 HRR393218 IBN393218 ILJ393218 IVF393218 JFB393218 JOX393218 JYT393218 KIP393218 KSL393218 LCH393218 LMD393218 LVZ393218 MFV393218 MPR393218 MZN393218 NJJ393218 NTF393218 ODB393218 OMX393218 OWT393218 PGP393218 PQL393218 QAH393218 QKD393218 QTZ393218 RDV393218 RNR393218 RXN393218 SHJ393218 SRF393218 TBB393218 TKX393218 TUT393218 UEP393218 UOL393218 UYH393218 VID393218 VRZ393218 WBV393218 WLR393218 WVN393218 F458754 JB458754 SX458754 ACT458754 AMP458754 AWL458754 BGH458754 BQD458754 BZZ458754 CJV458754 CTR458754 DDN458754 DNJ458754 DXF458754 EHB458754 EQX458754 FAT458754 FKP458754 FUL458754 GEH458754 GOD458754 GXZ458754 HHV458754 HRR458754 IBN458754 ILJ458754 IVF458754 JFB458754 JOX458754 JYT458754 KIP458754 KSL458754 LCH458754 LMD458754 LVZ458754 MFV458754 MPR458754 MZN458754 NJJ458754 NTF458754 ODB458754 OMX458754 OWT458754 PGP458754 PQL458754 QAH458754 QKD458754 QTZ458754 RDV458754 RNR458754 RXN458754 SHJ458754 SRF458754 TBB458754 TKX458754 TUT458754 UEP458754 UOL458754 UYH458754 VID458754 VRZ458754 WBV458754 WLR458754 WVN458754 F524290 JB524290 SX524290 ACT524290 AMP524290 AWL524290 BGH524290 BQD524290 BZZ524290 CJV524290 CTR524290 DDN524290 DNJ524290 DXF524290 EHB524290 EQX524290 FAT524290 FKP524290 FUL524290 GEH524290 GOD524290 GXZ524290 HHV524290 HRR524290 IBN524290 ILJ524290 IVF524290 JFB524290 JOX524290 JYT524290 KIP524290 KSL524290 LCH524290 LMD524290 LVZ524290 MFV524290 MPR524290 MZN524290 NJJ524290 NTF524290 ODB524290 OMX524290 OWT524290 PGP524290 PQL524290 QAH524290 QKD524290 QTZ524290 RDV524290 RNR524290 RXN524290 SHJ524290 SRF524290 TBB524290 TKX524290 TUT524290 UEP524290 UOL524290 UYH524290 VID524290 VRZ524290 WBV524290 WLR524290 WVN524290 F589826 JB589826 SX589826 ACT589826 AMP589826 AWL589826 BGH589826 BQD589826 BZZ589826 CJV589826 CTR589826 DDN589826 DNJ589826 DXF589826 EHB589826 EQX589826 FAT589826 FKP589826 FUL589826 GEH589826 GOD589826 GXZ589826 HHV589826 HRR589826 IBN589826 ILJ589826 IVF589826 JFB589826 JOX589826 JYT589826 KIP589826 KSL589826 LCH589826 LMD589826 LVZ589826 MFV589826 MPR589826 MZN589826 NJJ589826 NTF589826 ODB589826 OMX589826 OWT589826 PGP589826 PQL589826 QAH589826 QKD589826 QTZ589826 RDV589826 RNR589826 RXN589826 SHJ589826 SRF589826 TBB589826 TKX589826 TUT589826 UEP589826 UOL589826 UYH589826 VID589826 VRZ589826 WBV589826 WLR589826 WVN589826 F655362 JB655362 SX655362 ACT655362 AMP655362 AWL655362 BGH655362 BQD655362 BZZ655362 CJV655362 CTR655362 DDN655362 DNJ655362 DXF655362 EHB655362 EQX655362 FAT655362 FKP655362 FUL655362 GEH655362 GOD655362 GXZ655362 HHV655362 HRR655362 IBN655362 ILJ655362 IVF655362 JFB655362 JOX655362 JYT655362 KIP655362 KSL655362 LCH655362 LMD655362 LVZ655362 MFV655362 MPR655362 MZN655362 NJJ655362 NTF655362 ODB655362 OMX655362 OWT655362 PGP655362 PQL655362 QAH655362 QKD655362 QTZ655362 RDV655362 RNR655362 RXN655362 SHJ655362 SRF655362 TBB655362 TKX655362 TUT655362 UEP655362 UOL655362 UYH655362 VID655362 VRZ655362 WBV655362 WLR655362 WVN655362 F720898 JB720898 SX720898 ACT720898 AMP720898 AWL720898 BGH720898 BQD720898 BZZ720898 CJV720898 CTR720898 DDN720898 DNJ720898 DXF720898 EHB720898 EQX720898 FAT720898 FKP720898 FUL720898 GEH720898 GOD720898 GXZ720898 HHV720898 HRR720898 IBN720898 ILJ720898 IVF720898 JFB720898 JOX720898 JYT720898 KIP720898 KSL720898 LCH720898 LMD720898 LVZ720898 MFV720898 MPR720898 MZN720898 NJJ720898 NTF720898 ODB720898 OMX720898 OWT720898 PGP720898 PQL720898 QAH720898 QKD720898 QTZ720898 RDV720898 RNR720898 RXN720898 SHJ720898 SRF720898 TBB720898 TKX720898 TUT720898 UEP720898 UOL720898 UYH720898 VID720898 VRZ720898 WBV720898 WLR720898 WVN720898 F786434 JB786434 SX786434 ACT786434 AMP786434 AWL786434 BGH786434 BQD786434 BZZ786434 CJV786434 CTR786434 DDN786434 DNJ786434 DXF786434 EHB786434 EQX786434 FAT786434 FKP786434 FUL786434 GEH786434 GOD786434 GXZ786434 HHV786434 HRR786434 IBN786434 ILJ786434 IVF786434 JFB786434 JOX786434 JYT786434 KIP786434 KSL786434 LCH786434 LMD786434 LVZ786434 MFV786434 MPR786434 MZN786434 NJJ786434 NTF786434 ODB786434 OMX786434 OWT786434 PGP786434 PQL786434 QAH786434 QKD786434 QTZ786434 RDV786434 RNR786434 RXN786434 SHJ786434 SRF786434 TBB786434 TKX786434 TUT786434 UEP786434 UOL786434 UYH786434 VID786434 VRZ786434 WBV786434 WLR786434 WVN786434 F851970 JB851970 SX851970 ACT851970 AMP851970 AWL851970 BGH851970 BQD851970 BZZ851970 CJV851970 CTR851970 DDN851970 DNJ851970 DXF851970 EHB851970 EQX851970 FAT851970 FKP851970 FUL851970 GEH851970 GOD851970 GXZ851970 HHV851970 HRR851970 IBN851970 ILJ851970 IVF851970 JFB851970 JOX851970 JYT851970 KIP851970 KSL851970 LCH851970 LMD851970 LVZ851970 MFV851970 MPR851970 MZN851970 NJJ851970 NTF851970 ODB851970 OMX851970 OWT851970 PGP851970 PQL851970 QAH851970 QKD851970 QTZ851970 RDV851970 RNR851970 RXN851970 SHJ851970 SRF851970 TBB851970 TKX851970 TUT851970 UEP851970 UOL851970 UYH851970 VID851970 VRZ851970 WBV851970 WLR851970 WVN851970 F917506 JB917506 SX917506 ACT917506 AMP917506 AWL917506 BGH917506 BQD917506 BZZ917506 CJV917506 CTR917506 DDN917506 DNJ917506 DXF917506 EHB917506 EQX917506 FAT917506 FKP917506 FUL917506 GEH917506 GOD917506 GXZ917506 HHV917506 HRR917506 IBN917506 ILJ917506 IVF917506 JFB917506 JOX917506 JYT917506 KIP917506 KSL917506 LCH917506 LMD917506 LVZ917506 MFV917506 MPR917506 MZN917506 NJJ917506 NTF917506 ODB917506 OMX917506 OWT917506 PGP917506 PQL917506 QAH917506 QKD917506 QTZ917506 RDV917506 RNR917506 RXN917506 SHJ917506 SRF917506 TBB917506 TKX917506 TUT917506 UEP917506 UOL917506 UYH917506 VID917506 VRZ917506 WBV917506 WLR917506 WVN917506 F983042 JB983042 SX983042 ACT983042 AMP983042 AWL983042 BGH983042 BQD983042 BZZ983042 CJV983042 CTR983042 DDN983042 DNJ983042 DXF983042 EHB983042 EQX983042 FAT983042 FKP983042 FUL983042 GEH983042 GOD983042 GXZ983042 HHV983042 HRR983042 IBN983042 ILJ983042 IVF983042 JFB983042 JOX983042 JYT983042 KIP983042 KSL983042 LCH983042 LMD983042 LVZ983042 MFV983042 MPR983042 MZN983042 NJJ983042 NTF983042 ODB983042 OMX983042 OWT983042 PGP983042 PQL983042 QAH983042 QKD983042 QTZ983042 RDV983042 RNR983042 RXN983042 SHJ983042 SRF983042 TBB983042 TKX983042 TUT983042 UEP983042 UOL983042 UYH983042 VID983042 VRZ983042 WBV983042 WLR983042 WVN983042">
      <formula1>Contributors</formula1>
    </dataValidation>
  </dataValidations>
  <pageMargins left="0.75" right="0.75" top="1" bottom="1" header="0.5" footer="0.5"/>
  <pageSetup paperSize="9" orientation="portrait" r:id="rId1"/>
  <headerFooter alignWithMargins="0"/>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X43"/>
  <sheetViews>
    <sheetView workbookViewId="0"/>
  </sheetViews>
  <sheetFormatPr defaultRowHeight="11.25" x14ac:dyDescent="0.2"/>
  <cols>
    <col min="1" max="1" width="5" style="21" customWidth="1"/>
    <col min="2" max="2" width="3.85546875" style="21" bestFit="1" customWidth="1"/>
    <col min="3" max="3" width="3.28515625" style="21" bestFit="1" customWidth="1"/>
    <col min="4" max="4" width="2.7109375" style="21" bestFit="1" customWidth="1"/>
    <col min="5" max="5" width="10.85546875" style="21" bestFit="1" customWidth="1"/>
    <col min="6" max="6" width="15.140625" style="21" bestFit="1" customWidth="1"/>
    <col min="7" max="9" width="5.7109375" style="21" bestFit="1" customWidth="1"/>
    <col min="10" max="10" width="10" style="21" bestFit="1" customWidth="1"/>
    <col min="11" max="11" width="5.7109375" style="21" bestFit="1" customWidth="1"/>
    <col min="12" max="12" width="5" style="21" customWidth="1"/>
    <col min="13" max="13" width="5.7109375" style="21" bestFit="1" customWidth="1"/>
    <col min="14" max="14" width="5" style="21" customWidth="1"/>
    <col min="15" max="15" width="16" style="21" bestFit="1" customWidth="1"/>
    <col min="16" max="17" width="7.7109375" style="21" bestFit="1" customWidth="1"/>
    <col min="18" max="18" width="5" style="21" customWidth="1"/>
    <col min="19" max="19" width="5.140625" style="21" customWidth="1"/>
    <col min="20" max="20" width="4" style="21" bestFit="1" customWidth="1"/>
    <col min="21" max="21" width="3.28515625" style="21" bestFit="1" customWidth="1"/>
    <col min="22" max="22" width="2.7109375" style="21" bestFit="1" customWidth="1"/>
    <col min="23" max="23" width="9.140625" style="21"/>
    <col min="24" max="24" width="7.140625" style="21" bestFit="1" customWidth="1"/>
    <col min="25" max="16384" width="9.140625" style="21"/>
  </cols>
  <sheetData>
    <row r="1" spans="1:24" ht="12" thickBot="1" x14ac:dyDescent="0.25">
      <c r="A1" s="339" t="s">
        <v>313</v>
      </c>
      <c r="B1" s="207"/>
      <c r="C1" s="207"/>
      <c r="D1" s="207"/>
      <c r="E1" s="207"/>
      <c r="F1" s="207"/>
      <c r="G1" s="207"/>
      <c r="H1" s="207"/>
      <c r="I1" s="207"/>
      <c r="J1" s="207"/>
      <c r="K1" s="207"/>
      <c r="L1" s="207"/>
      <c r="M1" s="207"/>
      <c r="N1" s="207"/>
      <c r="O1" s="207"/>
      <c r="P1" s="207"/>
      <c r="Q1" s="207"/>
      <c r="R1" s="204"/>
    </row>
    <row r="2" spans="1:24" ht="15" customHeight="1" thickBot="1" x14ac:dyDescent="0.25">
      <c r="A2" s="304"/>
      <c r="B2" s="145"/>
      <c r="C2" s="267"/>
      <c r="D2" s="267"/>
      <c r="E2" s="267"/>
      <c r="F2" s="152" t="s">
        <v>238</v>
      </c>
      <c r="G2" s="267"/>
      <c r="H2" s="267"/>
      <c r="I2" s="267"/>
      <c r="J2" s="267"/>
      <c r="K2" s="145"/>
      <c r="L2" s="267"/>
      <c r="M2" s="267"/>
      <c r="N2" s="267"/>
      <c r="O2" s="401" t="s">
        <v>257</v>
      </c>
      <c r="P2" s="400" t="s">
        <v>147</v>
      </c>
      <c r="Q2" s="145"/>
      <c r="R2" s="54"/>
    </row>
    <row r="3" spans="1:24" x14ac:dyDescent="0.2">
      <c r="A3" s="130"/>
      <c r="B3" s="267"/>
      <c r="C3" s="145"/>
      <c r="D3" s="145"/>
      <c r="E3" s="145"/>
      <c r="F3" s="145"/>
      <c r="G3" s="145"/>
      <c r="H3" s="145"/>
      <c r="I3" s="145"/>
      <c r="J3" s="145"/>
      <c r="K3" s="145"/>
      <c r="L3" s="267"/>
      <c r="M3" s="267"/>
      <c r="N3" s="267"/>
      <c r="O3" s="145"/>
      <c r="P3" s="145"/>
      <c r="Q3" s="299">
        <f>_xll.ohTrigger(Q5:Q42)</f>
        <v>3</v>
      </c>
      <c r="R3" s="225"/>
    </row>
    <row r="4" spans="1:24" ht="23.25" thickBot="1" x14ac:dyDescent="0.25">
      <c r="A4" s="130"/>
      <c r="B4" s="399"/>
      <c r="C4" s="202"/>
      <c r="D4" s="202"/>
      <c r="E4" s="202"/>
      <c r="F4" s="298" t="e">
        <f ca="1">_xll.RData(F5:F42,G4:J4,,ReutersRtMode,,G5)</f>
        <v>#NAME?</v>
      </c>
      <c r="G4" s="336" t="s">
        <v>261</v>
      </c>
      <c r="H4" s="336" t="s">
        <v>228</v>
      </c>
      <c r="I4" s="336" t="s">
        <v>243</v>
      </c>
      <c r="J4" s="336" t="s">
        <v>260</v>
      </c>
      <c r="K4" s="293" t="s">
        <v>259</v>
      </c>
      <c r="L4" s="267"/>
      <c r="M4" s="296" t="s">
        <v>255</v>
      </c>
      <c r="N4" s="267"/>
      <c r="O4" s="295" t="s">
        <v>254</v>
      </c>
      <c r="P4" s="398" t="s">
        <v>253</v>
      </c>
      <c r="Q4" s="100" t="s">
        <v>252</v>
      </c>
      <c r="R4" s="225"/>
      <c r="X4" s="333" t="s">
        <v>258</v>
      </c>
    </row>
    <row r="5" spans="1:24" x14ac:dyDescent="0.2">
      <c r="A5" s="130"/>
      <c r="B5" s="278" t="s">
        <v>40</v>
      </c>
      <c r="C5" s="318" t="str">
        <f t="array" ref="C5:C42">VLOOKUP(Currency,Conventions,2)</f>
        <v>AB</v>
      </c>
      <c r="D5" s="318" t="str">
        <f t="array" ref="D5:D42">VLOOKUP(Currency,Conventions,3)</f>
        <v>3E</v>
      </c>
      <c r="E5" s="318" t="str">
        <f t="shared" ref="E5:E42" si="0">Currency&amp;$C5&amp;$D5&amp;$B5</f>
        <v>EURAB3E6M</v>
      </c>
      <c r="F5" s="318" t="str">
        <f t="array" ref="F5:F42">Instruments&amp;"="&amp;VLOOKUP(Contributor,ContributorTable,2,FALSE)</f>
        <v>EURAB3E6M=ICAP</v>
      </c>
      <c r="G5" s="319" t="s">
        <v>262</v>
      </c>
      <c r="H5" s="319" t="s">
        <v>262</v>
      </c>
      <c r="I5" s="319" t="s">
        <v>262</v>
      </c>
      <c r="J5" s="319" t="s">
        <v>262</v>
      </c>
      <c r="K5" s="276" t="e">
        <f>_xll.qlMidSafe($G5,$H5)</f>
        <v>#NUM!</v>
      </c>
      <c r="L5" s="267"/>
      <c r="M5" s="275" t="e">
        <v>#NUM!</v>
      </c>
      <c r="N5" s="267"/>
      <c r="O5" s="274" t="str">
        <f t="shared" ref="O5:O42" si="1">$E5&amp;$P$2</f>
        <v>EURAB3E6M_Quote</v>
      </c>
      <c r="P5" s="273" t="e">
        <f t="array" ref="P5:P42">QuoteLive</f>
        <v>#NUM!</v>
      </c>
      <c r="Q5" s="272" t="e">
        <f>_xll.qlSimpleQuoteSetValue($O5,$P5/100,Trigger)</f>
        <v>#NUM!</v>
      </c>
      <c r="R5" s="225"/>
      <c r="T5" s="405" t="s">
        <v>137</v>
      </c>
      <c r="U5" s="94" t="s">
        <v>202</v>
      </c>
      <c r="V5" s="93" t="s">
        <v>130</v>
      </c>
      <c r="X5" s="307" t="e">
        <f t="shared" ref="X5:X42" si="2">(H5-K5)/50</f>
        <v>#VALUE!</v>
      </c>
    </row>
    <row r="6" spans="1:24" x14ac:dyDescent="0.2">
      <c r="A6" s="130"/>
      <c r="B6" s="278" t="s">
        <v>34</v>
      </c>
      <c r="C6" s="318" t="str">
        <v>AB</v>
      </c>
      <c r="D6" s="318" t="str">
        <v>3E</v>
      </c>
      <c r="E6" s="318" t="str">
        <f t="shared" si="0"/>
        <v>EURAB3E1Y</v>
      </c>
      <c r="F6" s="318" t="str">
        <v>EURAB3E1Y=ICAP</v>
      </c>
      <c r="G6" s="319">
        <v>0.30199999999999999</v>
      </c>
      <c r="H6" s="319">
        <v>0.35199999999999998</v>
      </c>
      <c r="I6" s="319">
        <v>0</v>
      </c>
      <c r="J6" s="319">
        <v>0</v>
      </c>
      <c r="K6" s="276">
        <f>_xll.qlMidSafe($G6,$H6)</f>
        <v>0.32699999999999996</v>
      </c>
      <c r="L6" s="267"/>
      <c r="M6" s="275">
        <v>0.32699999999999996</v>
      </c>
      <c r="N6" s="267"/>
      <c r="O6" s="274" t="str">
        <f t="shared" si="1"/>
        <v>EURAB3E1Y_Quote</v>
      </c>
      <c r="P6" s="273">
        <v>0.32699999999999996</v>
      </c>
      <c r="Q6" s="272" t="e">
        <f>_xll.qlSimpleQuoteSetValue($O6,$P6/100,Trigger)</f>
        <v>#N/A</v>
      </c>
      <c r="R6" s="225"/>
      <c r="T6" s="213" t="s">
        <v>123</v>
      </c>
      <c r="U6" s="91" t="s">
        <v>202</v>
      </c>
      <c r="V6" s="90" t="s">
        <v>142</v>
      </c>
      <c r="X6" s="307">
        <f t="shared" si="2"/>
        <v>5.0000000000000044E-4</v>
      </c>
    </row>
    <row r="7" spans="1:24" x14ac:dyDescent="0.2">
      <c r="A7" s="130"/>
      <c r="B7" s="278" t="s">
        <v>140</v>
      </c>
      <c r="C7" s="318" t="str">
        <v>AB</v>
      </c>
      <c r="D7" s="318" t="str">
        <v>3E</v>
      </c>
      <c r="E7" s="318" t="str">
        <f t="shared" si="0"/>
        <v>EURAB3E15M</v>
      </c>
      <c r="F7" s="318" t="str">
        <v>EURAB3E15M=ICAP</v>
      </c>
      <c r="G7" s="319">
        <v>0.33400000000000002</v>
      </c>
      <c r="H7" s="319">
        <v>0.38400000000000001</v>
      </c>
      <c r="I7" s="319">
        <v>0</v>
      </c>
      <c r="J7" s="319">
        <v>0</v>
      </c>
      <c r="K7" s="276">
        <f>_xll.qlMidSafe($G7,$H7)</f>
        <v>0.35899999999999999</v>
      </c>
      <c r="L7" s="267"/>
      <c r="M7" s="275">
        <v>0.35799999999999998</v>
      </c>
      <c r="N7" s="267"/>
      <c r="O7" s="274" t="str">
        <f t="shared" si="1"/>
        <v>EURAB3E15M_Quote</v>
      </c>
      <c r="P7" s="273">
        <v>0.35899999999999999</v>
      </c>
      <c r="Q7" s="272" t="e">
        <f>_xll.qlSimpleQuoteSetValue($O7,$P7/100,Trigger)</f>
        <v>#N/A</v>
      </c>
      <c r="R7" s="225"/>
      <c r="T7" s="213" t="s">
        <v>134</v>
      </c>
      <c r="U7" s="91" t="s">
        <v>200</v>
      </c>
      <c r="V7" s="90" t="s">
        <v>130</v>
      </c>
      <c r="X7" s="307">
        <f t="shared" si="2"/>
        <v>5.0000000000000044E-4</v>
      </c>
    </row>
    <row r="8" spans="1:24" x14ac:dyDescent="0.2">
      <c r="A8" s="130"/>
      <c r="B8" s="278" t="s">
        <v>139</v>
      </c>
      <c r="C8" s="318" t="str">
        <v>AB</v>
      </c>
      <c r="D8" s="318" t="str">
        <v>3E</v>
      </c>
      <c r="E8" s="318" t="str">
        <f t="shared" si="0"/>
        <v>EURAB3E18M</v>
      </c>
      <c r="F8" s="318" t="str">
        <v>EURAB3E18M=ICAP</v>
      </c>
      <c r="G8" s="319">
        <v>0.36699999999999999</v>
      </c>
      <c r="H8" s="319">
        <v>0.41699999999999998</v>
      </c>
      <c r="I8" s="319">
        <v>0</v>
      </c>
      <c r="J8" s="319">
        <v>0</v>
      </c>
      <c r="K8" s="276">
        <f>_xll.qlMidSafe($G8,$H8)</f>
        <v>0.39200000000000002</v>
      </c>
      <c r="L8" s="267"/>
      <c r="M8" s="275">
        <v>0.39</v>
      </c>
      <c r="N8" s="267"/>
      <c r="O8" s="274" t="str">
        <f t="shared" si="1"/>
        <v>EURAB3E18M_Quote</v>
      </c>
      <c r="P8" s="273">
        <v>0.39200000000000002</v>
      </c>
      <c r="Q8" s="272" t="e">
        <f>_xll.qlSimpleQuoteSetValue($O8,$P8/100,Trigger)</f>
        <v>#N/A</v>
      </c>
      <c r="R8" s="225"/>
      <c r="T8" s="213" t="s">
        <v>286</v>
      </c>
      <c r="U8" s="91" t="s">
        <v>285</v>
      </c>
      <c r="V8" s="90" t="s">
        <v>284</v>
      </c>
      <c r="X8" s="307">
        <f t="shared" si="2"/>
        <v>4.9999999999999936E-4</v>
      </c>
    </row>
    <row r="9" spans="1:24" x14ac:dyDescent="0.2">
      <c r="A9" s="130"/>
      <c r="B9" s="278" t="s">
        <v>138</v>
      </c>
      <c r="C9" s="318" t="str">
        <v>AB</v>
      </c>
      <c r="D9" s="318" t="str">
        <v>3E</v>
      </c>
      <c r="E9" s="318" t="str">
        <f t="shared" si="0"/>
        <v>EURAB3E21M</v>
      </c>
      <c r="F9" s="318" t="str">
        <v>EURAB3E21M=ICAP</v>
      </c>
      <c r="G9" s="319">
        <v>0.39800000000000002</v>
      </c>
      <c r="H9" s="319">
        <v>0.44800000000000001</v>
      </c>
      <c r="I9" s="319">
        <v>0</v>
      </c>
      <c r="J9" s="319">
        <v>0</v>
      </c>
      <c r="K9" s="276">
        <f>_xll.qlMidSafe($G9,$H9)</f>
        <v>0.42300000000000004</v>
      </c>
      <c r="L9" s="267"/>
      <c r="M9" s="275">
        <v>0.42200000000000004</v>
      </c>
      <c r="N9" s="267"/>
      <c r="O9" s="274" t="str">
        <f t="shared" si="1"/>
        <v>EURAB3E21M_Quote</v>
      </c>
      <c r="P9" s="273">
        <v>0.42300000000000004</v>
      </c>
      <c r="Q9" s="272" t="e">
        <f>_xll.qlSimpleQuoteSetValue($O9,$P9/100,Trigger)</f>
        <v>#N/A</v>
      </c>
      <c r="R9" s="225"/>
      <c r="T9" s="213" t="s">
        <v>133</v>
      </c>
      <c r="U9" s="91" t="s">
        <v>201</v>
      </c>
      <c r="V9" s="90" t="s">
        <v>130</v>
      </c>
      <c r="X9" s="307">
        <f t="shared" si="2"/>
        <v>4.9999999999999936E-4</v>
      </c>
    </row>
    <row r="10" spans="1:24" ht="12" thickBot="1" x14ac:dyDescent="0.25">
      <c r="A10" s="130"/>
      <c r="B10" s="278" t="s">
        <v>115</v>
      </c>
      <c r="C10" s="318" t="str">
        <v>AB</v>
      </c>
      <c r="D10" s="318" t="str">
        <v>3E</v>
      </c>
      <c r="E10" s="318" t="str">
        <f t="shared" si="0"/>
        <v>EURAB3E2Y</v>
      </c>
      <c r="F10" s="318" t="str">
        <v>EURAB3E2Y=ICAP</v>
      </c>
      <c r="G10" s="319">
        <v>0.432</v>
      </c>
      <c r="H10" s="319">
        <v>0.48199999999999998</v>
      </c>
      <c r="I10" s="319">
        <v>0</v>
      </c>
      <c r="J10" s="319">
        <v>0</v>
      </c>
      <c r="K10" s="276">
        <f>_xll.qlMidSafe($G10,$H10)</f>
        <v>0.45699999999999996</v>
      </c>
      <c r="L10" s="267"/>
      <c r="M10" s="275">
        <v>0.45499999999999996</v>
      </c>
      <c r="N10" s="267"/>
      <c r="O10" s="274" t="str">
        <f t="shared" si="1"/>
        <v>EURAB3E2Y_Quote</v>
      </c>
      <c r="P10" s="273">
        <v>0.45699999999999996</v>
      </c>
      <c r="Q10" s="272" t="e">
        <f>_xll.qlSimpleQuoteSetValue($O10,$P10/100,Trigger)</f>
        <v>#N/A</v>
      </c>
      <c r="R10" s="225"/>
      <c r="T10" s="212" t="s">
        <v>131</v>
      </c>
      <c r="U10" s="88" t="s">
        <v>200</v>
      </c>
      <c r="V10" s="87" t="s">
        <v>130</v>
      </c>
      <c r="X10" s="307">
        <f t="shared" si="2"/>
        <v>5.0000000000000044E-4</v>
      </c>
    </row>
    <row r="11" spans="1:24" x14ac:dyDescent="0.2">
      <c r="A11" s="130"/>
      <c r="B11" s="278" t="s">
        <v>114</v>
      </c>
      <c r="C11" s="403" t="str">
        <v>AB</v>
      </c>
      <c r="D11" s="403" t="str">
        <v>3E</v>
      </c>
      <c r="E11" s="318" t="str">
        <f t="shared" si="0"/>
        <v>EURAB3E3Y</v>
      </c>
      <c r="F11" s="318" t="str">
        <v>EURAB3E3Y=ICAP</v>
      </c>
      <c r="G11" s="319">
        <v>0.59599999999999997</v>
      </c>
      <c r="H11" s="319">
        <v>0.64600000000000002</v>
      </c>
      <c r="I11" s="319">
        <v>0</v>
      </c>
      <c r="J11" s="319">
        <v>0</v>
      </c>
      <c r="K11" s="276">
        <f>_xll.qlMidSafe($G11,$H11)</f>
        <v>0.621</v>
      </c>
      <c r="L11" s="267"/>
      <c r="M11" s="275">
        <v>0.61899999999999999</v>
      </c>
      <c r="N11" s="267"/>
      <c r="O11" s="274" t="str">
        <f t="shared" si="1"/>
        <v>EURAB3E3Y_Quote</v>
      </c>
      <c r="P11" s="273">
        <v>0.621</v>
      </c>
      <c r="Q11" s="272" t="e">
        <f>_xll.qlSimpleQuoteSetValue($O11,$P11/100,Trigger)</f>
        <v>#N/A</v>
      </c>
      <c r="R11" s="225"/>
      <c r="X11" s="307">
        <f t="shared" si="2"/>
        <v>5.0000000000000044E-4</v>
      </c>
    </row>
    <row r="12" spans="1:24" x14ac:dyDescent="0.2">
      <c r="A12" s="130"/>
      <c r="B12" s="278" t="s">
        <v>113</v>
      </c>
      <c r="C12" s="403" t="str">
        <v>AB</v>
      </c>
      <c r="D12" s="403" t="str">
        <v>3E</v>
      </c>
      <c r="E12" s="318" t="str">
        <f t="shared" si="0"/>
        <v>EURAB3E4Y</v>
      </c>
      <c r="F12" s="318" t="str">
        <v>EURAB3E4Y=ICAP</v>
      </c>
      <c r="G12" s="319">
        <v>0.81299999999999994</v>
      </c>
      <c r="H12" s="319">
        <v>0.86299999999999999</v>
      </c>
      <c r="I12" s="319">
        <v>0</v>
      </c>
      <c r="J12" s="319">
        <v>0</v>
      </c>
      <c r="K12" s="276">
        <f>_xll.qlMidSafe($G12,$H12)</f>
        <v>0.83799999999999997</v>
      </c>
      <c r="L12" s="267"/>
      <c r="M12" s="275">
        <v>0.83600000000000008</v>
      </c>
      <c r="N12" s="267"/>
      <c r="O12" s="274" t="str">
        <f t="shared" si="1"/>
        <v>EURAB3E4Y_Quote</v>
      </c>
      <c r="P12" s="273">
        <v>0.83799999999999997</v>
      </c>
      <c r="Q12" s="272" t="e">
        <f>_xll.qlSimpleQuoteSetValue($O12,$P12/100,Trigger)</f>
        <v>#N/A</v>
      </c>
      <c r="R12" s="225"/>
      <c r="X12" s="307">
        <f t="shared" si="2"/>
        <v>5.0000000000000044E-4</v>
      </c>
    </row>
    <row r="13" spans="1:24" x14ac:dyDescent="0.2">
      <c r="A13" s="130"/>
      <c r="B13" s="278" t="s">
        <v>112</v>
      </c>
      <c r="C13" s="403" t="str">
        <v>AB</v>
      </c>
      <c r="D13" s="403" t="str">
        <v>3E</v>
      </c>
      <c r="E13" s="318" t="str">
        <f t="shared" si="0"/>
        <v>EURAB3E5Y</v>
      </c>
      <c r="F13" s="318" t="str">
        <v>EURAB3E5Y=ICAP</v>
      </c>
      <c r="G13" s="319">
        <v>1.04</v>
      </c>
      <c r="H13" s="319">
        <v>1.0900000000000001</v>
      </c>
      <c r="I13" s="319">
        <v>0</v>
      </c>
      <c r="J13" s="319">
        <v>0</v>
      </c>
      <c r="K13" s="276">
        <f>_xll.qlMidSafe($G13,$H13)</f>
        <v>1.0649999999999999</v>
      </c>
      <c r="L13" s="267"/>
      <c r="M13" s="275">
        <v>1.0630000000000002</v>
      </c>
      <c r="N13" s="267"/>
      <c r="O13" s="274" t="str">
        <f t="shared" si="1"/>
        <v>EURAB3E5Y_Quote</v>
      </c>
      <c r="P13" s="273">
        <v>1.0649999999999999</v>
      </c>
      <c r="Q13" s="272" t="e">
        <f>_xll.qlSimpleQuoteSetValue($O13,$P13/100,Trigger)</f>
        <v>#N/A</v>
      </c>
      <c r="R13" s="225"/>
      <c r="X13" s="307">
        <f t="shared" si="2"/>
        <v>5.0000000000000261E-4</v>
      </c>
    </row>
    <row r="14" spans="1:24" x14ac:dyDescent="0.2">
      <c r="A14" s="130"/>
      <c r="B14" s="278" t="s">
        <v>111</v>
      </c>
      <c r="C14" s="403" t="str">
        <v>AB</v>
      </c>
      <c r="D14" s="403" t="str">
        <v>3E</v>
      </c>
      <c r="E14" s="318" t="str">
        <f t="shared" si="0"/>
        <v>EURAB3E6Y</v>
      </c>
      <c r="F14" s="318" t="str">
        <v>EURAB3E6Y=ICAP</v>
      </c>
      <c r="G14" s="319">
        <v>1.238</v>
      </c>
      <c r="H14" s="319">
        <v>1.288</v>
      </c>
      <c r="I14" s="319">
        <v>0</v>
      </c>
      <c r="J14" s="319">
        <v>0</v>
      </c>
      <c r="K14" s="276">
        <f>_xll.qlMidSafe($G14,$H14)</f>
        <v>1.2629999999999999</v>
      </c>
      <c r="L14" s="267"/>
      <c r="M14" s="275">
        <v>1.2629999999999999</v>
      </c>
      <c r="N14" s="267"/>
      <c r="O14" s="274" t="str">
        <f t="shared" si="1"/>
        <v>EURAB3E6Y_Quote</v>
      </c>
      <c r="P14" s="273">
        <v>1.2629999999999999</v>
      </c>
      <c r="Q14" s="272" t="e">
        <f>_xll.qlSimpleQuoteSetValue($O14,$P14/100,Trigger)</f>
        <v>#N/A</v>
      </c>
      <c r="R14" s="225"/>
      <c r="X14" s="307">
        <f t="shared" si="2"/>
        <v>5.0000000000000261E-4</v>
      </c>
    </row>
    <row r="15" spans="1:24" x14ac:dyDescent="0.2">
      <c r="A15" s="130"/>
      <c r="B15" s="278" t="s">
        <v>110</v>
      </c>
      <c r="C15" s="403" t="str">
        <v>AB</v>
      </c>
      <c r="D15" s="403" t="str">
        <v>3E</v>
      </c>
      <c r="E15" s="318" t="str">
        <f t="shared" si="0"/>
        <v>EURAB3E7Y</v>
      </c>
      <c r="F15" s="318" t="str">
        <v>EURAB3E7Y=ICAP</v>
      </c>
      <c r="G15" s="319">
        <v>1.4139999999999999</v>
      </c>
      <c r="H15" s="319">
        <v>1.464</v>
      </c>
      <c r="I15" s="319">
        <v>0</v>
      </c>
      <c r="J15" s="319">
        <v>0</v>
      </c>
      <c r="K15" s="276">
        <f>_xll.qlMidSafe($G15,$H15)</f>
        <v>1.4390000000000001</v>
      </c>
      <c r="L15" s="267"/>
      <c r="M15" s="275">
        <v>1.4390000000000001</v>
      </c>
      <c r="N15" s="267"/>
      <c r="O15" s="274" t="str">
        <f t="shared" si="1"/>
        <v>EURAB3E7Y_Quote</v>
      </c>
      <c r="P15" s="273">
        <v>1.4390000000000001</v>
      </c>
      <c r="Q15" s="272" t="e">
        <f>_xll.qlSimpleQuoteSetValue($O15,$P15/100,Trigger)</f>
        <v>#N/A</v>
      </c>
      <c r="R15" s="225"/>
      <c r="X15" s="307">
        <f t="shared" si="2"/>
        <v>4.9999999999999828E-4</v>
      </c>
    </row>
    <row r="16" spans="1:24" x14ac:dyDescent="0.2">
      <c r="A16" s="130"/>
      <c r="B16" s="278" t="s">
        <v>109</v>
      </c>
      <c r="C16" s="403" t="str">
        <v>AB</v>
      </c>
      <c r="D16" s="403" t="str">
        <v>3E</v>
      </c>
      <c r="E16" s="318" t="str">
        <f t="shared" si="0"/>
        <v>EURAB3E8Y</v>
      </c>
      <c r="F16" s="318" t="str">
        <v>EURAB3E8Y=ICAP</v>
      </c>
      <c r="G16" s="319">
        <v>1.57</v>
      </c>
      <c r="H16" s="319">
        <v>1.62</v>
      </c>
      <c r="I16" s="319">
        <v>0</v>
      </c>
      <c r="J16" s="319">
        <v>0</v>
      </c>
      <c r="K16" s="276">
        <f>_xll.qlMidSafe($G16,$H16)</f>
        <v>1.5950000000000002</v>
      </c>
      <c r="L16" s="267"/>
      <c r="M16" s="275">
        <v>1.5950000000000002</v>
      </c>
      <c r="N16" s="267"/>
      <c r="O16" s="274" t="str">
        <f t="shared" si="1"/>
        <v>EURAB3E8Y_Quote</v>
      </c>
      <c r="P16" s="273">
        <v>1.5950000000000002</v>
      </c>
      <c r="Q16" s="272" t="e">
        <f>_xll.qlSimpleQuoteSetValue($O16,$P16/100,Trigger)</f>
        <v>#N/A</v>
      </c>
      <c r="R16" s="225"/>
      <c r="X16" s="307">
        <f t="shared" si="2"/>
        <v>4.9999999999999828E-4</v>
      </c>
    </row>
    <row r="17" spans="1:24" x14ac:dyDescent="0.2">
      <c r="A17" s="130"/>
      <c r="B17" s="278" t="s">
        <v>108</v>
      </c>
      <c r="C17" s="403" t="str">
        <v>AB</v>
      </c>
      <c r="D17" s="403" t="str">
        <v>3E</v>
      </c>
      <c r="E17" s="318" t="str">
        <f t="shared" si="0"/>
        <v>EURAB3E9Y</v>
      </c>
      <c r="F17" s="318" t="str">
        <v>EURAB3E9Y=ICAP</v>
      </c>
      <c r="G17" s="319">
        <v>1.7150000000000001</v>
      </c>
      <c r="H17" s="319">
        <v>1.7649999999999999</v>
      </c>
      <c r="I17" s="319">
        <v>0</v>
      </c>
      <c r="J17" s="319">
        <v>0</v>
      </c>
      <c r="K17" s="276">
        <f>_xll.qlMidSafe($G17,$H17)</f>
        <v>1.74</v>
      </c>
      <c r="L17" s="267"/>
      <c r="M17" s="275">
        <v>1.74</v>
      </c>
      <c r="N17" s="267"/>
      <c r="O17" s="274" t="str">
        <f t="shared" si="1"/>
        <v>EURAB3E9Y_Quote</v>
      </c>
      <c r="P17" s="273">
        <v>1.74</v>
      </c>
      <c r="Q17" s="272" t="e">
        <f>_xll.qlSimpleQuoteSetValue($O17,$P17/100,Trigger)</f>
        <v>#N/A</v>
      </c>
      <c r="R17" s="225"/>
      <c r="X17" s="307">
        <f t="shared" si="2"/>
        <v>4.9999999999999828E-4</v>
      </c>
    </row>
    <row r="18" spans="1:24" x14ac:dyDescent="0.2">
      <c r="A18" s="130"/>
      <c r="B18" s="278" t="s">
        <v>107</v>
      </c>
      <c r="C18" s="403" t="str">
        <v>AB</v>
      </c>
      <c r="D18" s="403" t="str">
        <v>3E</v>
      </c>
      <c r="E18" s="318" t="str">
        <f t="shared" si="0"/>
        <v>EURAB3E10Y</v>
      </c>
      <c r="F18" s="318" t="str">
        <v>EURAB3E10Y=ICAP</v>
      </c>
      <c r="G18" s="319">
        <v>1.8460000000000001</v>
      </c>
      <c r="H18" s="319">
        <v>1.8959999999999999</v>
      </c>
      <c r="I18" s="319">
        <v>0</v>
      </c>
      <c r="J18" s="319">
        <v>0</v>
      </c>
      <c r="K18" s="276">
        <f>_xll.qlMidSafe($G18,$H18)</f>
        <v>1.871</v>
      </c>
      <c r="L18" s="267"/>
      <c r="M18" s="275">
        <v>1.871</v>
      </c>
      <c r="N18" s="267"/>
      <c r="O18" s="274" t="str">
        <f t="shared" si="1"/>
        <v>EURAB3E10Y_Quote</v>
      </c>
      <c r="P18" s="273">
        <v>1.871</v>
      </c>
      <c r="Q18" s="272" t="e">
        <f>_xll.qlSimpleQuoteSetValue($O18,$P18/100,Trigger)</f>
        <v>#N/A</v>
      </c>
      <c r="R18" s="225"/>
      <c r="X18" s="307">
        <f t="shared" si="2"/>
        <v>4.9999999999999828E-4</v>
      </c>
    </row>
    <row r="19" spans="1:24" x14ac:dyDescent="0.2">
      <c r="A19" s="130"/>
      <c r="B19" s="278" t="s">
        <v>106</v>
      </c>
      <c r="C19" s="403" t="str">
        <v>AB</v>
      </c>
      <c r="D19" s="403" t="str">
        <v>3E</v>
      </c>
      <c r="E19" s="318" t="str">
        <f t="shared" si="0"/>
        <v>EURAB3E11Y</v>
      </c>
      <c r="F19" s="318" t="str">
        <v>EURAB3E11Y=ICAP</v>
      </c>
      <c r="G19" s="319">
        <v>1.9610000000000001</v>
      </c>
      <c r="H19" s="319">
        <v>2.0110000000000001</v>
      </c>
      <c r="I19" s="319">
        <v>0</v>
      </c>
      <c r="J19" s="319">
        <v>0</v>
      </c>
      <c r="K19" s="276">
        <f>_xll.qlMidSafe($G19,$H19)</f>
        <v>1.9860000000000002</v>
      </c>
      <c r="L19" s="267"/>
      <c r="M19" s="275">
        <v>1.9860000000000002</v>
      </c>
      <c r="N19" s="267"/>
      <c r="O19" s="274" t="str">
        <f t="shared" si="1"/>
        <v>EURAB3E11Y_Quote</v>
      </c>
      <c r="P19" s="273">
        <v>1.9860000000000002</v>
      </c>
      <c r="Q19" s="272" t="e">
        <f>_xll.qlSimpleQuoteSetValue($O19,$P19/100,Trigger)</f>
        <v>#N/A</v>
      </c>
      <c r="R19" s="225"/>
      <c r="X19" s="307">
        <f t="shared" si="2"/>
        <v>4.9999999999999828E-4</v>
      </c>
    </row>
    <row r="20" spans="1:24" x14ac:dyDescent="0.2">
      <c r="A20" s="130"/>
      <c r="B20" s="278" t="s">
        <v>105</v>
      </c>
      <c r="C20" s="403" t="str">
        <v>AB</v>
      </c>
      <c r="D20" s="403" t="str">
        <v>3E</v>
      </c>
      <c r="E20" s="318" t="str">
        <f t="shared" si="0"/>
        <v>EURAB3E12Y</v>
      </c>
      <c r="F20" s="318" t="str">
        <v>EURAB3E12Y=ICAP</v>
      </c>
      <c r="G20" s="319">
        <v>2.0590000000000002</v>
      </c>
      <c r="H20" s="319">
        <v>2.109</v>
      </c>
      <c r="I20" s="319">
        <v>0</v>
      </c>
      <c r="J20" s="319">
        <v>0</v>
      </c>
      <c r="K20" s="276">
        <f>_xll.qlMidSafe($G20,$H20)</f>
        <v>2.0840000000000001</v>
      </c>
      <c r="L20" s="267"/>
      <c r="M20" s="275">
        <v>2.0840000000000001</v>
      </c>
      <c r="N20" s="267"/>
      <c r="O20" s="274" t="str">
        <f t="shared" si="1"/>
        <v>EURAB3E12Y_Quote</v>
      </c>
      <c r="P20" s="273">
        <v>2.0840000000000001</v>
      </c>
      <c r="Q20" s="272" t="e">
        <f>_xll.qlSimpleQuoteSetValue($O20,$P20/100,Trigger)</f>
        <v>#N/A</v>
      </c>
      <c r="R20" s="225"/>
      <c r="X20" s="307">
        <f t="shared" si="2"/>
        <v>4.9999999999999828E-4</v>
      </c>
    </row>
    <row r="21" spans="1:24" x14ac:dyDescent="0.2">
      <c r="A21" s="130"/>
      <c r="B21" s="278" t="s">
        <v>104</v>
      </c>
      <c r="C21" s="403" t="str">
        <v>AB</v>
      </c>
      <c r="D21" s="403" t="str">
        <v>3E</v>
      </c>
      <c r="E21" s="318" t="str">
        <f t="shared" si="0"/>
        <v>EURAB3E13Y</v>
      </c>
      <c r="F21" s="318" t="str">
        <v>EURAB3E13Y=ICAP</v>
      </c>
      <c r="G21" s="319" t="s">
        <v>262</v>
      </c>
      <c r="H21" s="319" t="s">
        <v>262</v>
      </c>
      <c r="I21" s="319" t="s">
        <v>262</v>
      </c>
      <c r="J21" s="319" t="s">
        <v>262</v>
      </c>
      <c r="K21" s="276" t="e">
        <f>_xll.qlMidSafe($G21,$H21)</f>
        <v>#NUM!</v>
      </c>
      <c r="L21" s="267"/>
      <c r="M21" s="275" t="e">
        <v>#NUM!</v>
      </c>
      <c r="N21" s="267"/>
      <c r="O21" s="274" t="str">
        <f t="shared" si="1"/>
        <v>EURAB3E13Y_Quote</v>
      </c>
      <c r="P21" s="273" t="e">
        <v>#NUM!</v>
      </c>
      <c r="Q21" s="272" t="e">
        <f>_xll.qlSimpleQuoteSetValue($O21,$P21/100,Trigger)</f>
        <v>#NUM!</v>
      </c>
      <c r="R21" s="225"/>
      <c r="X21" s="307" t="e">
        <f t="shared" si="2"/>
        <v>#VALUE!</v>
      </c>
    </row>
    <row r="22" spans="1:24" x14ac:dyDescent="0.2">
      <c r="A22" s="130"/>
      <c r="B22" s="278" t="s">
        <v>103</v>
      </c>
      <c r="C22" s="403" t="str">
        <v>AB</v>
      </c>
      <c r="D22" s="403" t="str">
        <v>3E</v>
      </c>
      <c r="E22" s="318" t="str">
        <f t="shared" si="0"/>
        <v>EURAB3E14Y</v>
      </c>
      <c r="F22" s="318" t="str">
        <v>EURAB3E14Y=ICAP</v>
      </c>
      <c r="G22" s="319" t="s">
        <v>262</v>
      </c>
      <c r="H22" s="319" t="s">
        <v>262</v>
      </c>
      <c r="I22" s="319" t="s">
        <v>262</v>
      </c>
      <c r="J22" s="319" t="s">
        <v>262</v>
      </c>
      <c r="K22" s="276" t="e">
        <f>_xll.qlMidSafe($G22,$H22)</f>
        <v>#NUM!</v>
      </c>
      <c r="L22" s="267"/>
      <c r="M22" s="275" t="e">
        <v>#NUM!</v>
      </c>
      <c r="N22" s="267"/>
      <c r="O22" s="274" t="str">
        <f t="shared" si="1"/>
        <v>EURAB3E14Y_Quote</v>
      </c>
      <c r="P22" s="273" t="e">
        <v>#NUM!</v>
      </c>
      <c r="Q22" s="272" t="e">
        <f>_xll.qlSimpleQuoteSetValue($O22,$P22/100,Trigger)</f>
        <v>#NUM!</v>
      </c>
      <c r="R22" s="225"/>
      <c r="X22" s="307" t="e">
        <f t="shared" si="2"/>
        <v>#VALUE!</v>
      </c>
    </row>
    <row r="23" spans="1:24" x14ac:dyDescent="0.2">
      <c r="A23" s="130"/>
      <c r="B23" s="278" t="s">
        <v>102</v>
      </c>
      <c r="C23" s="403" t="str">
        <v>AB</v>
      </c>
      <c r="D23" s="403" t="str">
        <v>3E</v>
      </c>
      <c r="E23" s="318" t="str">
        <f t="shared" si="0"/>
        <v>EURAB3E15Y</v>
      </c>
      <c r="F23" s="318" t="str">
        <v>EURAB3E15Y=ICAP</v>
      </c>
      <c r="G23" s="319">
        <v>2.2639999999999998</v>
      </c>
      <c r="H23" s="319">
        <v>2.3140000000000001</v>
      </c>
      <c r="I23" s="319">
        <v>0</v>
      </c>
      <c r="J23" s="319">
        <v>0</v>
      </c>
      <c r="K23" s="276">
        <f>_xll.qlMidSafe($G23,$H23)</f>
        <v>2.2889999999999997</v>
      </c>
      <c r="L23" s="267"/>
      <c r="M23" s="275">
        <v>2.2889999999999997</v>
      </c>
      <c r="N23" s="267"/>
      <c r="O23" s="274" t="str">
        <f t="shared" si="1"/>
        <v>EURAB3E15Y_Quote</v>
      </c>
      <c r="P23" s="273">
        <v>2.2889999999999997</v>
      </c>
      <c r="Q23" s="272" t="e">
        <f>_xll.qlSimpleQuoteSetValue($O23,$P23/100,Trigger)</f>
        <v>#N/A</v>
      </c>
      <c r="R23" s="225"/>
      <c r="X23" s="307">
        <f t="shared" si="2"/>
        <v>5.0000000000000706E-4</v>
      </c>
    </row>
    <row r="24" spans="1:24" x14ac:dyDescent="0.2">
      <c r="A24" s="130"/>
      <c r="B24" s="278" t="s">
        <v>101</v>
      </c>
      <c r="C24" s="403" t="str">
        <v>AB</v>
      </c>
      <c r="D24" s="403" t="str">
        <v>3E</v>
      </c>
      <c r="E24" s="318" t="str">
        <f t="shared" si="0"/>
        <v>EURAB3E16Y</v>
      </c>
      <c r="F24" s="318" t="str">
        <v>EURAB3E16Y=ICAP</v>
      </c>
      <c r="G24" s="319" t="s">
        <v>262</v>
      </c>
      <c r="H24" s="319" t="s">
        <v>262</v>
      </c>
      <c r="I24" s="319" t="s">
        <v>262</v>
      </c>
      <c r="J24" s="319" t="s">
        <v>262</v>
      </c>
      <c r="K24" s="276" t="e">
        <f>_xll.qlMidSafe($G24,$H24)</f>
        <v>#NUM!</v>
      </c>
      <c r="L24" s="267"/>
      <c r="M24" s="275" t="e">
        <v>#NUM!</v>
      </c>
      <c r="N24" s="267"/>
      <c r="O24" s="274" t="str">
        <f t="shared" si="1"/>
        <v>EURAB3E16Y_Quote</v>
      </c>
      <c r="P24" s="273" t="e">
        <v>#NUM!</v>
      </c>
      <c r="Q24" s="272" t="e">
        <f>_xll.qlSimpleQuoteSetValue($O24,$P24/100,Trigger)</f>
        <v>#NUM!</v>
      </c>
      <c r="R24" s="225"/>
      <c r="X24" s="307" t="e">
        <f t="shared" si="2"/>
        <v>#VALUE!</v>
      </c>
    </row>
    <row r="25" spans="1:24" x14ac:dyDescent="0.2">
      <c r="A25" s="130"/>
      <c r="B25" s="278" t="s">
        <v>100</v>
      </c>
      <c r="C25" s="403" t="str">
        <v>AB</v>
      </c>
      <c r="D25" s="403" t="str">
        <v>3E</v>
      </c>
      <c r="E25" s="318" t="str">
        <f t="shared" si="0"/>
        <v>EURAB3E17Y</v>
      </c>
      <c r="F25" s="318" t="str">
        <v>EURAB3E17Y=ICAP</v>
      </c>
      <c r="G25" s="319" t="s">
        <v>262</v>
      </c>
      <c r="H25" s="319" t="s">
        <v>262</v>
      </c>
      <c r="I25" s="319" t="s">
        <v>262</v>
      </c>
      <c r="J25" s="319" t="s">
        <v>262</v>
      </c>
      <c r="K25" s="276" t="e">
        <f>_xll.qlMidSafe($G25,$H25)</f>
        <v>#NUM!</v>
      </c>
      <c r="L25" s="267"/>
      <c r="M25" s="275" t="e">
        <v>#NUM!</v>
      </c>
      <c r="N25" s="267"/>
      <c r="O25" s="274" t="str">
        <f t="shared" si="1"/>
        <v>EURAB3E17Y_Quote</v>
      </c>
      <c r="P25" s="273" t="e">
        <v>#NUM!</v>
      </c>
      <c r="Q25" s="272" t="e">
        <f>_xll.qlSimpleQuoteSetValue($O25,$P25/100,Trigger)</f>
        <v>#NUM!</v>
      </c>
      <c r="R25" s="225"/>
      <c r="X25" s="307" t="e">
        <f t="shared" si="2"/>
        <v>#VALUE!</v>
      </c>
    </row>
    <row r="26" spans="1:24" x14ac:dyDescent="0.2">
      <c r="A26" s="130"/>
      <c r="B26" s="278" t="s">
        <v>99</v>
      </c>
      <c r="C26" s="403" t="str">
        <v>AB</v>
      </c>
      <c r="D26" s="403" t="str">
        <v>3E</v>
      </c>
      <c r="E26" s="318" t="str">
        <f t="shared" si="0"/>
        <v>EURAB3E18Y</v>
      </c>
      <c r="F26" s="318" t="str">
        <v>EURAB3E18Y=ICAP</v>
      </c>
      <c r="G26" s="319" t="s">
        <v>262</v>
      </c>
      <c r="H26" s="319" t="s">
        <v>262</v>
      </c>
      <c r="I26" s="319" t="s">
        <v>262</v>
      </c>
      <c r="J26" s="319" t="s">
        <v>262</v>
      </c>
      <c r="K26" s="276" t="e">
        <f>_xll.qlMidSafe($G26,$H26)</f>
        <v>#NUM!</v>
      </c>
      <c r="L26" s="267"/>
      <c r="M26" s="275" t="e">
        <v>#NUM!</v>
      </c>
      <c r="N26" s="267"/>
      <c r="O26" s="274" t="str">
        <f t="shared" si="1"/>
        <v>EURAB3E18Y_Quote</v>
      </c>
      <c r="P26" s="273" t="e">
        <v>#NUM!</v>
      </c>
      <c r="Q26" s="272" t="e">
        <f>_xll.qlSimpleQuoteSetValue($O26,$P26/100,Trigger)</f>
        <v>#NUM!</v>
      </c>
      <c r="R26" s="225"/>
      <c r="X26" s="307" t="e">
        <f t="shared" si="2"/>
        <v>#VALUE!</v>
      </c>
    </row>
    <row r="27" spans="1:24" x14ac:dyDescent="0.2">
      <c r="A27" s="130"/>
      <c r="B27" s="278" t="s">
        <v>98</v>
      </c>
      <c r="C27" s="403" t="str">
        <v>AB</v>
      </c>
      <c r="D27" s="403" t="str">
        <v>3E</v>
      </c>
      <c r="E27" s="318" t="str">
        <f t="shared" si="0"/>
        <v>EURAB3E19Y</v>
      </c>
      <c r="F27" s="318" t="str">
        <v>EURAB3E19Y=ICAP</v>
      </c>
      <c r="G27" s="319" t="s">
        <v>262</v>
      </c>
      <c r="H27" s="319" t="s">
        <v>262</v>
      </c>
      <c r="I27" s="319" t="s">
        <v>262</v>
      </c>
      <c r="J27" s="319" t="s">
        <v>262</v>
      </c>
      <c r="K27" s="276" t="e">
        <f>_xll.qlMidSafe($G27,$H27)</f>
        <v>#NUM!</v>
      </c>
      <c r="L27" s="267"/>
      <c r="M27" s="275" t="e">
        <v>#NUM!</v>
      </c>
      <c r="N27" s="267"/>
      <c r="O27" s="274" t="str">
        <f t="shared" si="1"/>
        <v>EURAB3E19Y_Quote</v>
      </c>
      <c r="P27" s="273" t="e">
        <v>#NUM!</v>
      </c>
      <c r="Q27" s="272" t="e">
        <f>_xll.qlSimpleQuoteSetValue($O27,$P27/100,Trigger)</f>
        <v>#NUM!</v>
      </c>
      <c r="R27" s="225"/>
      <c r="X27" s="307" t="e">
        <f t="shared" si="2"/>
        <v>#VALUE!</v>
      </c>
    </row>
    <row r="28" spans="1:24" x14ac:dyDescent="0.2">
      <c r="A28" s="130"/>
      <c r="B28" s="278" t="s">
        <v>97</v>
      </c>
      <c r="C28" s="403" t="str">
        <v>AB</v>
      </c>
      <c r="D28" s="403" t="str">
        <v>3E</v>
      </c>
      <c r="E28" s="318" t="str">
        <f t="shared" si="0"/>
        <v>EURAB3E20Y</v>
      </c>
      <c r="F28" s="318" t="str">
        <v>EURAB3E20Y=ICAP</v>
      </c>
      <c r="G28" s="319">
        <v>2.387</v>
      </c>
      <c r="H28" s="319">
        <v>2.4369999999999998</v>
      </c>
      <c r="I28" s="319">
        <v>0</v>
      </c>
      <c r="J28" s="319">
        <v>0</v>
      </c>
      <c r="K28" s="276">
        <f>_xll.qlMidSafe($G28,$H28)</f>
        <v>2.4119999999999999</v>
      </c>
      <c r="L28" s="267"/>
      <c r="M28" s="275">
        <v>2.4119999999999999</v>
      </c>
      <c r="N28" s="267"/>
      <c r="O28" s="274" t="str">
        <f t="shared" si="1"/>
        <v>EURAB3E20Y_Quote</v>
      </c>
      <c r="P28" s="273">
        <v>2.4119999999999999</v>
      </c>
      <c r="Q28" s="272" t="e">
        <f>_xll.qlSimpleQuoteSetValue($O28,$P28/100,Trigger)</f>
        <v>#N/A</v>
      </c>
      <c r="R28" s="225"/>
      <c r="X28" s="307">
        <f t="shared" si="2"/>
        <v>4.9999999999999828E-4</v>
      </c>
    </row>
    <row r="29" spans="1:24" x14ac:dyDescent="0.2">
      <c r="A29" s="130"/>
      <c r="B29" s="278" t="s">
        <v>96</v>
      </c>
      <c r="C29" s="404" t="str">
        <v>AB</v>
      </c>
      <c r="D29" s="404" t="str">
        <v>3E</v>
      </c>
      <c r="E29" s="318" t="str">
        <f t="shared" si="0"/>
        <v>EURAB3E21Y</v>
      </c>
      <c r="F29" s="318" t="str">
        <v>EURAB3E21Y=ICAP</v>
      </c>
      <c r="G29" s="319" t="s">
        <v>262</v>
      </c>
      <c r="H29" s="319" t="s">
        <v>262</v>
      </c>
      <c r="I29" s="319" t="s">
        <v>262</v>
      </c>
      <c r="J29" s="319" t="s">
        <v>262</v>
      </c>
      <c r="K29" s="276" t="e">
        <f>_xll.qlMidSafe($G29,$H29)</f>
        <v>#NUM!</v>
      </c>
      <c r="L29" s="267"/>
      <c r="M29" s="275" t="e">
        <v>#NUM!</v>
      </c>
      <c r="N29" s="267"/>
      <c r="O29" s="274" t="str">
        <f t="shared" si="1"/>
        <v>EURAB3E21Y_Quote</v>
      </c>
      <c r="P29" s="273" t="e">
        <v>#NUM!</v>
      </c>
      <c r="Q29" s="272" t="e">
        <f>_xll.qlSimpleQuoteSetValue($O29,$P29/100,Trigger)</f>
        <v>#NUM!</v>
      </c>
      <c r="R29" s="225"/>
      <c r="X29" s="307" t="e">
        <f t="shared" si="2"/>
        <v>#VALUE!</v>
      </c>
    </row>
    <row r="30" spans="1:24" x14ac:dyDescent="0.2">
      <c r="A30" s="130"/>
      <c r="B30" s="278" t="s">
        <v>95</v>
      </c>
      <c r="C30" s="403" t="str">
        <v>AB</v>
      </c>
      <c r="D30" s="403" t="str">
        <v>3E</v>
      </c>
      <c r="E30" s="318" t="str">
        <f t="shared" si="0"/>
        <v>EURAB3E22Y</v>
      </c>
      <c r="F30" s="318" t="str">
        <v>EURAB3E22Y=ICAP</v>
      </c>
      <c r="G30" s="319" t="s">
        <v>262</v>
      </c>
      <c r="H30" s="319" t="s">
        <v>262</v>
      </c>
      <c r="I30" s="319" t="s">
        <v>262</v>
      </c>
      <c r="J30" s="319" t="s">
        <v>262</v>
      </c>
      <c r="K30" s="276" t="e">
        <f>_xll.qlMidSafe($G30,$H30)</f>
        <v>#NUM!</v>
      </c>
      <c r="L30" s="267"/>
      <c r="M30" s="275" t="e">
        <v>#NUM!</v>
      </c>
      <c r="N30" s="267"/>
      <c r="O30" s="274" t="str">
        <f t="shared" si="1"/>
        <v>EURAB3E22Y_Quote</v>
      </c>
      <c r="P30" s="273" t="e">
        <v>#NUM!</v>
      </c>
      <c r="Q30" s="272" t="e">
        <f>_xll.qlSimpleQuoteSetValue($O30,$P30/100,Trigger)</f>
        <v>#NUM!</v>
      </c>
      <c r="R30" s="225"/>
      <c r="X30" s="307" t="e">
        <f t="shared" si="2"/>
        <v>#VALUE!</v>
      </c>
    </row>
    <row r="31" spans="1:24" x14ac:dyDescent="0.2">
      <c r="A31" s="130"/>
      <c r="B31" s="278" t="s">
        <v>94</v>
      </c>
      <c r="C31" s="403" t="str">
        <v>AB</v>
      </c>
      <c r="D31" s="403" t="str">
        <v>3E</v>
      </c>
      <c r="E31" s="318" t="str">
        <f t="shared" si="0"/>
        <v>EURAB3E23Y</v>
      </c>
      <c r="F31" s="318" t="str">
        <v>EURAB3E23Y=ICAP</v>
      </c>
      <c r="G31" s="319" t="s">
        <v>262</v>
      </c>
      <c r="H31" s="319" t="s">
        <v>262</v>
      </c>
      <c r="I31" s="319" t="s">
        <v>262</v>
      </c>
      <c r="J31" s="319" t="s">
        <v>262</v>
      </c>
      <c r="K31" s="276" t="e">
        <f>_xll.qlMidSafe($G31,$H31)</f>
        <v>#NUM!</v>
      </c>
      <c r="L31" s="267"/>
      <c r="M31" s="275" t="e">
        <v>#NUM!</v>
      </c>
      <c r="N31" s="267"/>
      <c r="O31" s="274" t="str">
        <f t="shared" si="1"/>
        <v>EURAB3E23Y_Quote</v>
      </c>
      <c r="P31" s="273" t="e">
        <v>#NUM!</v>
      </c>
      <c r="Q31" s="272" t="e">
        <f>_xll.qlSimpleQuoteSetValue($O31,$P31/100,Trigger)</f>
        <v>#NUM!</v>
      </c>
      <c r="R31" s="225"/>
      <c r="X31" s="307" t="e">
        <f t="shared" si="2"/>
        <v>#VALUE!</v>
      </c>
    </row>
    <row r="32" spans="1:24" x14ac:dyDescent="0.2">
      <c r="A32" s="130"/>
      <c r="B32" s="278" t="s">
        <v>93</v>
      </c>
      <c r="C32" s="403" t="str">
        <v>AB</v>
      </c>
      <c r="D32" s="403" t="str">
        <v>3E</v>
      </c>
      <c r="E32" s="318" t="str">
        <f t="shared" si="0"/>
        <v>EURAB3E24Y</v>
      </c>
      <c r="F32" s="318" t="str">
        <v>EURAB3E24Y=ICAP</v>
      </c>
      <c r="G32" s="319" t="s">
        <v>262</v>
      </c>
      <c r="H32" s="319" t="s">
        <v>262</v>
      </c>
      <c r="I32" s="319" t="s">
        <v>262</v>
      </c>
      <c r="J32" s="319" t="s">
        <v>262</v>
      </c>
      <c r="K32" s="276" t="e">
        <f>_xll.qlMidSafe($G32,$H32)</f>
        <v>#NUM!</v>
      </c>
      <c r="L32" s="267"/>
      <c r="M32" s="275" t="e">
        <v>#NUM!</v>
      </c>
      <c r="N32" s="267"/>
      <c r="O32" s="274" t="str">
        <f t="shared" si="1"/>
        <v>EURAB3E24Y_Quote</v>
      </c>
      <c r="P32" s="273" t="e">
        <v>#NUM!</v>
      </c>
      <c r="Q32" s="272" t="e">
        <f>_xll.qlSimpleQuoteSetValue($O32,$P32/100,Trigger)</f>
        <v>#NUM!</v>
      </c>
      <c r="R32" s="225"/>
      <c r="X32" s="307" t="e">
        <f t="shared" si="2"/>
        <v>#VALUE!</v>
      </c>
    </row>
    <row r="33" spans="1:24" x14ac:dyDescent="0.2">
      <c r="A33" s="130"/>
      <c r="B33" s="278" t="s">
        <v>92</v>
      </c>
      <c r="C33" s="403" t="str">
        <v>AB</v>
      </c>
      <c r="D33" s="403" t="str">
        <v>3E</v>
      </c>
      <c r="E33" s="318" t="str">
        <f t="shared" si="0"/>
        <v>EURAB3E25Y</v>
      </c>
      <c r="F33" s="318" t="str">
        <v>EURAB3E25Y=ICAP</v>
      </c>
      <c r="G33" s="319">
        <v>2.4089999999999998</v>
      </c>
      <c r="H33" s="319">
        <v>2.4590000000000001</v>
      </c>
      <c r="I33" s="319">
        <v>0</v>
      </c>
      <c r="J33" s="319">
        <v>0</v>
      </c>
      <c r="K33" s="276">
        <f>_xll.qlMidSafe($G33,$H33)</f>
        <v>2.4340000000000002</v>
      </c>
      <c r="L33" s="267"/>
      <c r="M33" s="275">
        <v>2.4340000000000002</v>
      </c>
      <c r="N33" s="267"/>
      <c r="O33" s="274" t="str">
        <f t="shared" si="1"/>
        <v>EURAB3E25Y_Quote</v>
      </c>
      <c r="P33" s="273">
        <v>2.4340000000000002</v>
      </c>
      <c r="Q33" s="272" t="e">
        <f>_xll.qlSimpleQuoteSetValue($O33,$P33/100,Trigger)</f>
        <v>#N/A</v>
      </c>
      <c r="R33" s="225"/>
      <c r="X33" s="307">
        <f t="shared" si="2"/>
        <v>4.9999999999999828E-4</v>
      </c>
    </row>
    <row r="34" spans="1:24" x14ac:dyDescent="0.2">
      <c r="A34" s="130"/>
      <c r="B34" s="278" t="s">
        <v>91</v>
      </c>
      <c r="C34" s="403" t="str">
        <v>AB</v>
      </c>
      <c r="D34" s="403" t="str">
        <v>3E</v>
      </c>
      <c r="E34" s="318" t="str">
        <f t="shared" si="0"/>
        <v>EURAB3E26Y</v>
      </c>
      <c r="F34" s="318" t="str">
        <v>EURAB3E26Y=ICAP</v>
      </c>
      <c r="G34" s="319" t="s">
        <v>262</v>
      </c>
      <c r="H34" s="319" t="s">
        <v>262</v>
      </c>
      <c r="I34" s="319" t="s">
        <v>262</v>
      </c>
      <c r="J34" s="319" t="s">
        <v>262</v>
      </c>
      <c r="K34" s="276" t="e">
        <f>_xll.qlMidSafe($G34,$H34)</f>
        <v>#NUM!</v>
      </c>
      <c r="L34" s="267"/>
      <c r="M34" s="275" t="e">
        <v>#NUM!</v>
      </c>
      <c r="N34" s="267"/>
      <c r="O34" s="274" t="str">
        <f t="shared" si="1"/>
        <v>EURAB3E26Y_Quote</v>
      </c>
      <c r="P34" s="273" t="e">
        <v>#NUM!</v>
      </c>
      <c r="Q34" s="272" t="e">
        <f>_xll.qlSimpleQuoteSetValue($O34,$P34/100,Trigger)</f>
        <v>#NUM!</v>
      </c>
      <c r="R34" s="225"/>
      <c r="X34" s="307" t="e">
        <f t="shared" si="2"/>
        <v>#VALUE!</v>
      </c>
    </row>
    <row r="35" spans="1:24" x14ac:dyDescent="0.2">
      <c r="A35" s="130"/>
      <c r="B35" s="278" t="s">
        <v>90</v>
      </c>
      <c r="C35" s="403" t="str">
        <v>AB</v>
      </c>
      <c r="D35" s="403" t="str">
        <v>3E</v>
      </c>
      <c r="E35" s="318" t="str">
        <f t="shared" si="0"/>
        <v>EURAB3E27Y</v>
      </c>
      <c r="F35" s="318" t="str">
        <v>EURAB3E27Y=ICAP</v>
      </c>
      <c r="G35" s="319" t="s">
        <v>262</v>
      </c>
      <c r="H35" s="319" t="s">
        <v>262</v>
      </c>
      <c r="I35" s="319" t="s">
        <v>262</v>
      </c>
      <c r="J35" s="319" t="s">
        <v>262</v>
      </c>
      <c r="K35" s="276" t="e">
        <f>_xll.qlMidSafe($G35,$H35)</f>
        <v>#NUM!</v>
      </c>
      <c r="L35" s="267"/>
      <c r="M35" s="275" t="e">
        <v>#NUM!</v>
      </c>
      <c r="N35" s="267"/>
      <c r="O35" s="274" t="str">
        <f t="shared" si="1"/>
        <v>EURAB3E27Y_Quote</v>
      </c>
      <c r="P35" s="273" t="e">
        <v>#NUM!</v>
      </c>
      <c r="Q35" s="272" t="e">
        <f>_xll.qlSimpleQuoteSetValue($O35,$P35/100,Trigger)</f>
        <v>#NUM!</v>
      </c>
      <c r="R35" s="225"/>
      <c r="X35" s="307" t="e">
        <f t="shared" si="2"/>
        <v>#VALUE!</v>
      </c>
    </row>
    <row r="36" spans="1:24" x14ac:dyDescent="0.2">
      <c r="A36" s="130"/>
      <c r="B36" s="278" t="s">
        <v>89</v>
      </c>
      <c r="C36" s="403" t="str">
        <v>AB</v>
      </c>
      <c r="D36" s="403" t="str">
        <v>3E</v>
      </c>
      <c r="E36" s="318" t="str">
        <f t="shared" si="0"/>
        <v>EURAB3E28Y</v>
      </c>
      <c r="F36" s="318" t="str">
        <v>EURAB3E28Y=ICAP</v>
      </c>
      <c r="G36" s="319" t="s">
        <v>262</v>
      </c>
      <c r="H36" s="319" t="s">
        <v>262</v>
      </c>
      <c r="I36" s="319" t="s">
        <v>262</v>
      </c>
      <c r="J36" s="319" t="s">
        <v>262</v>
      </c>
      <c r="K36" s="276" t="e">
        <f>_xll.qlMidSafe($G36,$H36)</f>
        <v>#NUM!</v>
      </c>
      <c r="L36" s="267"/>
      <c r="M36" s="275" t="e">
        <v>#NUM!</v>
      </c>
      <c r="N36" s="267"/>
      <c r="O36" s="274" t="str">
        <f t="shared" si="1"/>
        <v>EURAB3E28Y_Quote</v>
      </c>
      <c r="P36" s="273" t="e">
        <v>#NUM!</v>
      </c>
      <c r="Q36" s="272" t="e">
        <f>_xll.qlSimpleQuoteSetValue($O36,$P36/100,Trigger)</f>
        <v>#NUM!</v>
      </c>
      <c r="R36" s="225"/>
      <c r="X36" s="307" t="e">
        <f t="shared" si="2"/>
        <v>#VALUE!</v>
      </c>
    </row>
    <row r="37" spans="1:24" x14ac:dyDescent="0.2">
      <c r="A37" s="130"/>
      <c r="B37" s="278" t="s">
        <v>88</v>
      </c>
      <c r="C37" s="403" t="str">
        <v>AB</v>
      </c>
      <c r="D37" s="403" t="str">
        <v>3E</v>
      </c>
      <c r="E37" s="318" t="str">
        <f t="shared" si="0"/>
        <v>EURAB3E29Y</v>
      </c>
      <c r="F37" s="318" t="str">
        <v>EURAB3E29Y=ICAP</v>
      </c>
      <c r="G37" s="319" t="s">
        <v>262</v>
      </c>
      <c r="H37" s="319" t="s">
        <v>262</v>
      </c>
      <c r="I37" s="319" t="s">
        <v>262</v>
      </c>
      <c r="J37" s="319" t="s">
        <v>262</v>
      </c>
      <c r="K37" s="276" t="e">
        <f>_xll.qlMidSafe($G37,$H37)</f>
        <v>#NUM!</v>
      </c>
      <c r="L37" s="267"/>
      <c r="M37" s="275" t="e">
        <v>#NUM!</v>
      </c>
      <c r="N37" s="267"/>
      <c r="O37" s="274" t="str">
        <f t="shared" si="1"/>
        <v>EURAB3E29Y_Quote</v>
      </c>
      <c r="P37" s="273" t="e">
        <v>#NUM!</v>
      </c>
      <c r="Q37" s="272" t="e">
        <f>_xll.qlSimpleQuoteSetValue($O37,$P37/100,Trigger)</f>
        <v>#NUM!</v>
      </c>
      <c r="R37" s="225"/>
      <c r="X37" s="307" t="e">
        <f t="shared" si="2"/>
        <v>#VALUE!</v>
      </c>
    </row>
    <row r="38" spans="1:24" x14ac:dyDescent="0.2">
      <c r="A38" s="130"/>
      <c r="B38" s="278" t="s">
        <v>87</v>
      </c>
      <c r="C38" s="403" t="str">
        <v>AB</v>
      </c>
      <c r="D38" s="403" t="str">
        <v>3E</v>
      </c>
      <c r="E38" s="318" t="str">
        <f t="shared" si="0"/>
        <v>EURAB3E30Y</v>
      </c>
      <c r="F38" s="318" t="str">
        <v>EURAB3E30Y=ICAP</v>
      </c>
      <c r="G38" s="319">
        <v>2.4060000000000001</v>
      </c>
      <c r="H38" s="319">
        <v>2.456</v>
      </c>
      <c r="I38" s="319">
        <v>0</v>
      </c>
      <c r="J38" s="319">
        <v>0</v>
      </c>
      <c r="K38" s="276">
        <f>_xll.qlMidSafe($G38,$H38)</f>
        <v>2.431</v>
      </c>
      <c r="L38" s="267"/>
      <c r="M38" s="275">
        <v>2.431</v>
      </c>
      <c r="N38" s="267"/>
      <c r="O38" s="274" t="str">
        <f t="shared" si="1"/>
        <v>EURAB3E30Y_Quote</v>
      </c>
      <c r="P38" s="273">
        <v>2.431</v>
      </c>
      <c r="Q38" s="272" t="e">
        <f>_xll.qlSimpleQuoteSetValue($O38,$P38/100,Trigger)</f>
        <v>#N/A</v>
      </c>
      <c r="R38" s="225"/>
      <c r="X38" s="307">
        <f t="shared" si="2"/>
        <v>4.9999999999999828E-4</v>
      </c>
    </row>
    <row r="39" spans="1:24" x14ac:dyDescent="0.2">
      <c r="A39" s="130"/>
      <c r="B39" s="278" t="s">
        <v>82</v>
      </c>
      <c r="C39" s="403" t="str">
        <v>AB</v>
      </c>
      <c r="D39" s="403" t="str">
        <v>3E</v>
      </c>
      <c r="E39" s="318" t="str">
        <f t="shared" si="0"/>
        <v>EURAB3E35Y</v>
      </c>
      <c r="F39" s="318" t="str">
        <v>EURAB3E35Y=ICAP</v>
      </c>
      <c r="G39" s="319" t="s">
        <v>262</v>
      </c>
      <c r="H39" s="319" t="s">
        <v>262</v>
      </c>
      <c r="I39" s="319" t="s">
        <v>262</v>
      </c>
      <c r="J39" s="319" t="s">
        <v>262</v>
      </c>
      <c r="K39" s="276" t="e">
        <f>_xll.qlMidSafe($G39,$H39)</f>
        <v>#NUM!</v>
      </c>
      <c r="L39" s="267"/>
      <c r="M39" s="275" t="e">
        <v>#NUM!</v>
      </c>
      <c r="N39" s="267"/>
      <c r="O39" s="274" t="str">
        <f t="shared" si="1"/>
        <v>EURAB3E35Y_Quote</v>
      </c>
      <c r="P39" s="273" t="e">
        <v>#NUM!</v>
      </c>
      <c r="Q39" s="272" t="e">
        <f>_xll.qlSimpleQuoteSetValue($O39,$P39/100,Trigger)</f>
        <v>#NUM!</v>
      </c>
      <c r="R39" s="225"/>
      <c r="X39" s="307" t="e">
        <f t="shared" si="2"/>
        <v>#VALUE!</v>
      </c>
    </row>
    <row r="40" spans="1:24" x14ac:dyDescent="0.2">
      <c r="A40" s="130"/>
      <c r="B40" s="278" t="s">
        <v>77</v>
      </c>
      <c r="C40" s="403" t="str">
        <v>AB</v>
      </c>
      <c r="D40" s="403" t="str">
        <v>3E</v>
      </c>
      <c r="E40" s="318" t="str">
        <f t="shared" si="0"/>
        <v>EURAB3E40Y</v>
      </c>
      <c r="F40" s="318" t="str">
        <v>EURAB3E40Y=ICAP</v>
      </c>
      <c r="G40" s="319">
        <v>2.456</v>
      </c>
      <c r="H40" s="319">
        <v>2.5059999999999998</v>
      </c>
      <c r="I40" s="319">
        <v>0</v>
      </c>
      <c r="J40" s="319">
        <v>0</v>
      </c>
      <c r="K40" s="276">
        <f>_xll.qlMidSafe($G40,$H40)</f>
        <v>2.4809999999999999</v>
      </c>
      <c r="L40" s="267"/>
      <c r="M40" s="275">
        <v>2.4809999999999999</v>
      </c>
      <c r="N40" s="267"/>
      <c r="O40" s="274" t="str">
        <f t="shared" si="1"/>
        <v>EURAB3E40Y_Quote</v>
      </c>
      <c r="P40" s="273">
        <v>2.4809999999999999</v>
      </c>
      <c r="Q40" s="272" t="e">
        <f>_xll.qlSimpleQuoteSetValue($O40,$P40/100,Trigger)</f>
        <v>#N/A</v>
      </c>
      <c r="R40" s="225"/>
      <c r="X40" s="307">
        <f t="shared" si="2"/>
        <v>4.9999999999999828E-4</v>
      </c>
    </row>
    <row r="41" spans="1:24" x14ac:dyDescent="0.2">
      <c r="A41" s="130"/>
      <c r="B41" s="278" t="s">
        <v>67</v>
      </c>
      <c r="C41" s="403" t="str">
        <v>AB</v>
      </c>
      <c r="D41" s="403" t="str">
        <v>3E</v>
      </c>
      <c r="E41" s="318" t="str">
        <f t="shared" si="0"/>
        <v>EURAB3E50Y</v>
      </c>
      <c r="F41" s="318" t="str">
        <v>EURAB3E50Y=ICAP</v>
      </c>
      <c r="G41" s="319">
        <v>2.5049999999999999</v>
      </c>
      <c r="H41" s="319">
        <v>2.5550000000000002</v>
      </c>
      <c r="I41" s="319">
        <v>0</v>
      </c>
      <c r="J41" s="319">
        <v>0</v>
      </c>
      <c r="K41" s="276">
        <f>_xll.qlMidSafe($G41,$H41)</f>
        <v>2.5300000000000002</v>
      </c>
      <c r="L41" s="267"/>
      <c r="M41" s="275">
        <v>2.5300000000000002</v>
      </c>
      <c r="N41" s="267"/>
      <c r="O41" s="274" t="str">
        <f t="shared" si="1"/>
        <v>EURAB3E50Y_Quote</v>
      </c>
      <c r="P41" s="273">
        <v>2.5300000000000002</v>
      </c>
      <c r="Q41" s="272" t="e">
        <f>_xll.qlSimpleQuoteSetValue($O41,$P41/100,Trigger)</f>
        <v>#N/A</v>
      </c>
      <c r="R41" s="225"/>
      <c r="X41" s="307">
        <f t="shared" si="2"/>
        <v>4.9999999999999828E-4</v>
      </c>
    </row>
    <row r="42" spans="1:24" x14ac:dyDescent="0.2">
      <c r="A42" s="130"/>
      <c r="B42" s="271" t="s">
        <v>57</v>
      </c>
      <c r="C42" s="402" t="str">
        <v>AB</v>
      </c>
      <c r="D42" s="402" t="str">
        <v>3E</v>
      </c>
      <c r="E42" s="324" t="str">
        <f t="shared" si="0"/>
        <v>EURAB3E60Y</v>
      </c>
      <c r="F42" s="324" t="str">
        <v>EURAB3E60Y=ICAP</v>
      </c>
      <c r="G42" s="325">
        <v>2.5390000000000001</v>
      </c>
      <c r="H42" s="325">
        <v>2.589</v>
      </c>
      <c r="I42" s="325">
        <v>0</v>
      </c>
      <c r="J42" s="325">
        <v>0</v>
      </c>
      <c r="K42" s="269">
        <f>_xll.qlMidSafe($G42,$H42)</f>
        <v>2.5640000000000001</v>
      </c>
      <c r="L42" s="267"/>
      <c r="M42" s="268">
        <v>2.5640000000000001</v>
      </c>
      <c r="N42" s="267"/>
      <c r="O42" s="266" t="str">
        <f t="shared" si="1"/>
        <v>EURAB3E60Y_Quote</v>
      </c>
      <c r="P42" s="265">
        <v>2.5640000000000001</v>
      </c>
      <c r="Q42" s="264" t="e">
        <f>_xll.qlSimpleQuoteSetValue($O42,$P42/100,Trigger)</f>
        <v>#N/A</v>
      </c>
      <c r="R42" s="225"/>
      <c r="X42" s="307">
        <f t="shared" si="2"/>
        <v>4.9999999999999828E-4</v>
      </c>
    </row>
    <row r="43" spans="1:24" ht="12" thickBot="1" x14ac:dyDescent="0.25">
      <c r="A43" s="218"/>
      <c r="B43" s="217"/>
      <c r="C43" s="52"/>
      <c r="D43" s="52"/>
      <c r="E43" s="52"/>
      <c r="F43" s="52"/>
      <c r="G43" s="52"/>
      <c r="H43" s="52"/>
      <c r="I43" s="52"/>
      <c r="J43" s="52"/>
      <c r="K43" s="52"/>
      <c r="L43" s="217"/>
      <c r="M43" s="217"/>
      <c r="N43" s="217"/>
      <c r="O43" s="217"/>
      <c r="P43" s="217"/>
      <c r="Q43" s="217"/>
      <c r="R43" s="394"/>
    </row>
  </sheetData>
  <dataValidations count="1">
    <dataValidation type="list" showInputMessage="1" showErrorMessage="1" sqref="F2 JB2 SX2 ACT2 AMP2 AWL2 BGH2 BQD2 BZZ2 CJV2 CTR2 DDN2 DNJ2 DXF2 EHB2 EQX2 FAT2 FKP2 FUL2 GEH2 GOD2 GXZ2 HHV2 HRR2 IBN2 ILJ2 IVF2 JFB2 JOX2 JYT2 KIP2 KSL2 LCH2 LMD2 LVZ2 MFV2 MPR2 MZN2 NJJ2 NTF2 ODB2 OMX2 OWT2 PGP2 PQL2 QAH2 QKD2 QTZ2 RDV2 RNR2 RXN2 SHJ2 SRF2 TBB2 TKX2 TUT2 UEP2 UOL2 UYH2 VID2 VRZ2 WBV2 WLR2 WVN2 F65538 JB65538 SX65538 ACT65538 AMP65538 AWL65538 BGH65538 BQD65538 BZZ65538 CJV65538 CTR65538 DDN65538 DNJ65538 DXF65538 EHB65538 EQX65538 FAT65538 FKP65538 FUL65538 GEH65538 GOD65538 GXZ65538 HHV65538 HRR65538 IBN65538 ILJ65538 IVF65538 JFB65538 JOX65538 JYT65538 KIP65538 KSL65538 LCH65538 LMD65538 LVZ65538 MFV65538 MPR65538 MZN65538 NJJ65538 NTF65538 ODB65538 OMX65538 OWT65538 PGP65538 PQL65538 QAH65538 QKD65538 QTZ65538 RDV65538 RNR65538 RXN65538 SHJ65538 SRF65538 TBB65538 TKX65538 TUT65538 UEP65538 UOL65538 UYH65538 VID65538 VRZ65538 WBV65538 WLR65538 WVN65538 F131074 JB131074 SX131074 ACT131074 AMP131074 AWL131074 BGH131074 BQD131074 BZZ131074 CJV131074 CTR131074 DDN131074 DNJ131074 DXF131074 EHB131074 EQX131074 FAT131074 FKP131074 FUL131074 GEH131074 GOD131074 GXZ131074 HHV131074 HRR131074 IBN131074 ILJ131074 IVF131074 JFB131074 JOX131074 JYT131074 KIP131074 KSL131074 LCH131074 LMD131074 LVZ131074 MFV131074 MPR131074 MZN131074 NJJ131074 NTF131074 ODB131074 OMX131074 OWT131074 PGP131074 PQL131074 QAH131074 QKD131074 QTZ131074 RDV131074 RNR131074 RXN131074 SHJ131074 SRF131074 TBB131074 TKX131074 TUT131074 UEP131074 UOL131074 UYH131074 VID131074 VRZ131074 WBV131074 WLR131074 WVN131074 F196610 JB196610 SX196610 ACT196610 AMP196610 AWL196610 BGH196610 BQD196610 BZZ196610 CJV196610 CTR196610 DDN196610 DNJ196610 DXF196610 EHB196610 EQX196610 FAT196610 FKP196610 FUL196610 GEH196610 GOD196610 GXZ196610 HHV196610 HRR196610 IBN196610 ILJ196610 IVF196610 JFB196610 JOX196610 JYT196610 KIP196610 KSL196610 LCH196610 LMD196610 LVZ196610 MFV196610 MPR196610 MZN196610 NJJ196610 NTF196610 ODB196610 OMX196610 OWT196610 PGP196610 PQL196610 QAH196610 QKD196610 QTZ196610 RDV196610 RNR196610 RXN196610 SHJ196610 SRF196610 TBB196610 TKX196610 TUT196610 UEP196610 UOL196610 UYH196610 VID196610 VRZ196610 WBV196610 WLR196610 WVN196610 F262146 JB262146 SX262146 ACT262146 AMP262146 AWL262146 BGH262146 BQD262146 BZZ262146 CJV262146 CTR262146 DDN262146 DNJ262146 DXF262146 EHB262146 EQX262146 FAT262146 FKP262146 FUL262146 GEH262146 GOD262146 GXZ262146 HHV262146 HRR262146 IBN262146 ILJ262146 IVF262146 JFB262146 JOX262146 JYT262146 KIP262146 KSL262146 LCH262146 LMD262146 LVZ262146 MFV262146 MPR262146 MZN262146 NJJ262146 NTF262146 ODB262146 OMX262146 OWT262146 PGP262146 PQL262146 QAH262146 QKD262146 QTZ262146 RDV262146 RNR262146 RXN262146 SHJ262146 SRF262146 TBB262146 TKX262146 TUT262146 UEP262146 UOL262146 UYH262146 VID262146 VRZ262146 WBV262146 WLR262146 WVN262146 F327682 JB327682 SX327682 ACT327682 AMP327682 AWL327682 BGH327682 BQD327682 BZZ327682 CJV327682 CTR327682 DDN327682 DNJ327682 DXF327682 EHB327682 EQX327682 FAT327682 FKP327682 FUL327682 GEH327682 GOD327682 GXZ327682 HHV327682 HRR327682 IBN327682 ILJ327682 IVF327682 JFB327682 JOX327682 JYT327682 KIP327682 KSL327682 LCH327682 LMD327682 LVZ327682 MFV327682 MPR327682 MZN327682 NJJ327682 NTF327682 ODB327682 OMX327682 OWT327682 PGP327682 PQL327682 QAH327682 QKD327682 QTZ327682 RDV327682 RNR327682 RXN327682 SHJ327682 SRF327682 TBB327682 TKX327682 TUT327682 UEP327682 UOL327682 UYH327682 VID327682 VRZ327682 WBV327682 WLR327682 WVN327682 F393218 JB393218 SX393218 ACT393218 AMP393218 AWL393218 BGH393218 BQD393218 BZZ393218 CJV393218 CTR393218 DDN393218 DNJ393218 DXF393218 EHB393218 EQX393218 FAT393218 FKP393218 FUL393218 GEH393218 GOD393218 GXZ393218 HHV393218 HRR393218 IBN393218 ILJ393218 IVF393218 JFB393218 JOX393218 JYT393218 KIP393218 KSL393218 LCH393218 LMD393218 LVZ393218 MFV393218 MPR393218 MZN393218 NJJ393218 NTF393218 ODB393218 OMX393218 OWT393218 PGP393218 PQL393218 QAH393218 QKD393218 QTZ393218 RDV393218 RNR393218 RXN393218 SHJ393218 SRF393218 TBB393218 TKX393218 TUT393218 UEP393218 UOL393218 UYH393218 VID393218 VRZ393218 WBV393218 WLR393218 WVN393218 F458754 JB458754 SX458754 ACT458754 AMP458754 AWL458754 BGH458754 BQD458754 BZZ458754 CJV458754 CTR458754 DDN458754 DNJ458754 DXF458754 EHB458754 EQX458754 FAT458754 FKP458754 FUL458754 GEH458754 GOD458754 GXZ458754 HHV458754 HRR458754 IBN458754 ILJ458754 IVF458754 JFB458754 JOX458754 JYT458754 KIP458754 KSL458754 LCH458754 LMD458754 LVZ458754 MFV458754 MPR458754 MZN458754 NJJ458754 NTF458754 ODB458754 OMX458754 OWT458754 PGP458754 PQL458754 QAH458754 QKD458754 QTZ458754 RDV458754 RNR458754 RXN458754 SHJ458754 SRF458754 TBB458754 TKX458754 TUT458754 UEP458754 UOL458754 UYH458754 VID458754 VRZ458754 WBV458754 WLR458754 WVN458754 F524290 JB524290 SX524290 ACT524290 AMP524290 AWL524290 BGH524290 BQD524290 BZZ524290 CJV524290 CTR524290 DDN524290 DNJ524290 DXF524290 EHB524290 EQX524290 FAT524290 FKP524290 FUL524290 GEH524290 GOD524290 GXZ524290 HHV524290 HRR524290 IBN524290 ILJ524290 IVF524290 JFB524290 JOX524290 JYT524290 KIP524290 KSL524290 LCH524290 LMD524290 LVZ524290 MFV524290 MPR524290 MZN524290 NJJ524290 NTF524290 ODB524290 OMX524290 OWT524290 PGP524290 PQL524290 QAH524290 QKD524290 QTZ524290 RDV524290 RNR524290 RXN524290 SHJ524290 SRF524290 TBB524290 TKX524290 TUT524290 UEP524290 UOL524290 UYH524290 VID524290 VRZ524290 WBV524290 WLR524290 WVN524290 F589826 JB589826 SX589826 ACT589826 AMP589826 AWL589826 BGH589826 BQD589826 BZZ589826 CJV589826 CTR589826 DDN589826 DNJ589826 DXF589826 EHB589826 EQX589826 FAT589826 FKP589826 FUL589826 GEH589826 GOD589826 GXZ589826 HHV589826 HRR589826 IBN589826 ILJ589826 IVF589826 JFB589826 JOX589826 JYT589826 KIP589826 KSL589826 LCH589826 LMD589826 LVZ589826 MFV589826 MPR589826 MZN589826 NJJ589826 NTF589826 ODB589826 OMX589826 OWT589826 PGP589826 PQL589826 QAH589826 QKD589826 QTZ589826 RDV589826 RNR589826 RXN589826 SHJ589826 SRF589826 TBB589826 TKX589826 TUT589826 UEP589826 UOL589826 UYH589826 VID589826 VRZ589826 WBV589826 WLR589826 WVN589826 F655362 JB655362 SX655362 ACT655362 AMP655362 AWL655362 BGH655362 BQD655362 BZZ655362 CJV655362 CTR655362 DDN655362 DNJ655362 DXF655362 EHB655362 EQX655362 FAT655362 FKP655362 FUL655362 GEH655362 GOD655362 GXZ655362 HHV655362 HRR655362 IBN655362 ILJ655362 IVF655362 JFB655362 JOX655362 JYT655362 KIP655362 KSL655362 LCH655362 LMD655362 LVZ655362 MFV655362 MPR655362 MZN655362 NJJ655362 NTF655362 ODB655362 OMX655362 OWT655362 PGP655362 PQL655362 QAH655362 QKD655362 QTZ655362 RDV655362 RNR655362 RXN655362 SHJ655362 SRF655362 TBB655362 TKX655362 TUT655362 UEP655362 UOL655362 UYH655362 VID655362 VRZ655362 WBV655362 WLR655362 WVN655362 F720898 JB720898 SX720898 ACT720898 AMP720898 AWL720898 BGH720898 BQD720898 BZZ720898 CJV720898 CTR720898 DDN720898 DNJ720898 DXF720898 EHB720898 EQX720898 FAT720898 FKP720898 FUL720898 GEH720898 GOD720898 GXZ720898 HHV720898 HRR720898 IBN720898 ILJ720898 IVF720898 JFB720898 JOX720898 JYT720898 KIP720898 KSL720898 LCH720898 LMD720898 LVZ720898 MFV720898 MPR720898 MZN720898 NJJ720898 NTF720898 ODB720898 OMX720898 OWT720898 PGP720898 PQL720898 QAH720898 QKD720898 QTZ720898 RDV720898 RNR720898 RXN720898 SHJ720898 SRF720898 TBB720898 TKX720898 TUT720898 UEP720898 UOL720898 UYH720898 VID720898 VRZ720898 WBV720898 WLR720898 WVN720898 F786434 JB786434 SX786434 ACT786434 AMP786434 AWL786434 BGH786434 BQD786434 BZZ786434 CJV786434 CTR786434 DDN786434 DNJ786434 DXF786434 EHB786434 EQX786434 FAT786434 FKP786434 FUL786434 GEH786434 GOD786434 GXZ786434 HHV786434 HRR786434 IBN786434 ILJ786434 IVF786434 JFB786434 JOX786434 JYT786434 KIP786434 KSL786434 LCH786434 LMD786434 LVZ786434 MFV786434 MPR786434 MZN786434 NJJ786434 NTF786434 ODB786434 OMX786434 OWT786434 PGP786434 PQL786434 QAH786434 QKD786434 QTZ786434 RDV786434 RNR786434 RXN786434 SHJ786434 SRF786434 TBB786434 TKX786434 TUT786434 UEP786434 UOL786434 UYH786434 VID786434 VRZ786434 WBV786434 WLR786434 WVN786434 F851970 JB851970 SX851970 ACT851970 AMP851970 AWL851970 BGH851970 BQD851970 BZZ851970 CJV851970 CTR851970 DDN851970 DNJ851970 DXF851970 EHB851970 EQX851970 FAT851970 FKP851970 FUL851970 GEH851970 GOD851970 GXZ851970 HHV851970 HRR851970 IBN851970 ILJ851970 IVF851970 JFB851970 JOX851970 JYT851970 KIP851970 KSL851970 LCH851970 LMD851970 LVZ851970 MFV851970 MPR851970 MZN851970 NJJ851970 NTF851970 ODB851970 OMX851970 OWT851970 PGP851970 PQL851970 QAH851970 QKD851970 QTZ851970 RDV851970 RNR851970 RXN851970 SHJ851970 SRF851970 TBB851970 TKX851970 TUT851970 UEP851970 UOL851970 UYH851970 VID851970 VRZ851970 WBV851970 WLR851970 WVN851970 F917506 JB917506 SX917506 ACT917506 AMP917506 AWL917506 BGH917506 BQD917506 BZZ917506 CJV917506 CTR917506 DDN917506 DNJ917506 DXF917506 EHB917506 EQX917506 FAT917506 FKP917506 FUL917506 GEH917506 GOD917506 GXZ917506 HHV917506 HRR917506 IBN917506 ILJ917506 IVF917506 JFB917506 JOX917506 JYT917506 KIP917506 KSL917506 LCH917506 LMD917506 LVZ917506 MFV917506 MPR917506 MZN917506 NJJ917506 NTF917506 ODB917506 OMX917506 OWT917506 PGP917506 PQL917506 QAH917506 QKD917506 QTZ917506 RDV917506 RNR917506 RXN917506 SHJ917506 SRF917506 TBB917506 TKX917506 TUT917506 UEP917506 UOL917506 UYH917506 VID917506 VRZ917506 WBV917506 WLR917506 WVN917506 F983042 JB983042 SX983042 ACT983042 AMP983042 AWL983042 BGH983042 BQD983042 BZZ983042 CJV983042 CTR983042 DDN983042 DNJ983042 DXF983042 EHB983042 EQX983042 FAT983042 FKP983042 FUL983042 GEH983042 GOD983042 GXZ983042 HHV983042 HRR983042 IBN983042 ILJ983042 IVF983042 JFB983042 JOX983042 JYT983042 KIP983042 KSL983042 LCH983042 LMD983042 LVZ983042 MFV983042 MPR983042 MZN983042 NJJ983042 NTF983042 ODB983042 OMX983042 OWT983042 PGP983042 PQL983042 QAH983042 QKD983042 QTZ983042 RDV983042 RNR983042 RXN983042 SHJ983042 SRF983042 TBB983042 TKX983042 TUT983042 UEP983042 UOL983042 UYH983042 VID983042 VRZ983042 WBV983042 WLR983042 WVN983042">
      <formula1>Contributors</formula1>
    </dataValidation>
  </dataValidations>
  <pageMargins left="0.75" right="0.75" top="1" bottom="1" header="0.5" footer="0.5"/>
  <pageSetup paperSize="9" orientation="portrait" r:id="rId1"/>
  <headerFooter alignWithMargins="0"/>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X43"/>
  <sheetViews>
    <sheetView workbookViewId="0"/>
  </sheetViews>
  <sheetFormatPr defaultRowHeight="11.25" x14ac:dyDescent="0.2"/>
  <cols>
    <col min="1" max="1" width="2.85546875" style="21" customWidth="1"/>
    <col min="2" max="2" width="3.85546875" style="21" bestFit="1" customWidth="1"/>
    <col min="3" max="3" width="3.140625" style="21" bestFit="1" customWidth="1"/>
    <col min="4" max="4" width="2.7109375" style="21" bestFit="1" customWidth="1"/>
    <col min="5" max="5" width="10.5703125" style="21" bestFit="1" customWidth="1"/>
    <col min="6" max="6" width="14.85546875" style="21" bestFit="1" customWidth="1"/>
    <col min="7" max="8" width="7.42578125" style="21" customWidth="1"/>
    <col min="9" max="9" width="5.7109375" style="21" bestFit="1" customWidth="1"/>
    <col min="10" max="10" width="10" style="21" bestFit="1" customWidth="1"/>
    <col min="11" max="11" width="5.7109375" style="21" bestFit="1" customWidth="1"/>
    <col min="12" max="12" width="5" style="21" customWidth="1"/>
    <col min="13" max="13" width="5.7109375" style="21" bestFit="1" customWidth="1"/>
    <col min="14" max="14" width="5" style="21" customWidth="1"/>
    <col min="15" max="15" width="16" style="21" bestFit="1" customWidth="1"/>
    <col min="16" max="17" width="7.7109375" style="21" bestFit="1" customWidth="1"/>
    <col min="18" max="18" width="5" style="21" customWidth="1"/>
    <col min="19" max="19" width="5.140625" style="21" customWidth="1"/>
    <col min="20" max="20" width="4" style="21" bestFit="1" customWidth="1"/>
    <col min="21" max="21" width="3.28515625" style="21" bestFit="1" customWidth="1"/>
    <col min="22" max="22" width="2.7109375" style="21" bestFit="1" customWidth="1"/>
    <col min="23" max="23" width="9.140625" style="21"/>
    <col min="24" max="24" width="7.140625" style="21" bestFit="1" customWidth="1"/>
    <col min="25" max="16384" width="9.140625" style="21"/>
  </cols>
  <sheetData>
    <row r="1" spans="1:24" ht="12" thickBot="1" x14ac:dyDescent="0.25">
      <c r="A1" s="339" t="s">
        <v>313</v>
      </c>
      <c r="B1" s="207"/>
      <c r="C1" s="207"/>
      <c r="D1" s="207"/>
      <c r="E1" s="207"/>
      <c r="F1" s="207"/>
      <c r="G1" s="207"/>
      <c r="H1" s="207"/>
      <c r="I1" s="207"/>
      <c r="J1" s="207"/>
      <c r="K1" s="207"/>
      <c r="L1" s="207"/>
      <c r="M1" s="207"/>
      <c r="N1" s="207"/>
      <c r="O1" s="207"/>
      <c r="P1" s="207"/>
      <c r="Q1" s="207"/>
      <c r="R1" s="204"/>
    </row>
    <row r="2" spans="1:24" ht="12" thickBot="1" x14ac:dyDescent="0.25">
      <c r="A2" s="304"/>
      <c r="B2" s="145"/>
      <c r="C2" s="303"/>
      <c r="D2" s="303"/>
      <c r="E2" s="303"/>
      <c r="F2" s="152" t="s">
        <v>238</v>
      </c>
      <c r="G2" s="267"/>
      <c r="H2" s="267"/>
      <c r="I2" s="267"/>
      <c r="J2" s="267"/>
      <c r="K2" s="145"/>
      <c r="L2" s="267"/>
      <c r="M2" s="267"/>
      <c r="N2" s="267"/>
      <c r="O2" s="401" t="s">
        <v>257</v>
      </c>
      <c r="P2" s="400" t="s">
        <v>147</v>
      </c>
      <c r="Q2" s="145"/>
      <c r="R2" s="54"/>
    </row>
    <row r="3" spans="1:24" x14ac:dyDescent="0.2">
      <c r="A3" s="130"/>
      <c r="B3" s="267"/>
      <c r="C3" s="145"/>
      <c r="D3" s="145"/>
      <c r="E3" s="145"/>
      <c r="F3" s="145"/>
      <c r="G3" s="145"/>
      <c r="H3" s="145"/>
      <c r="I3" s="145"/>
      <c r="J3" s="145"/>
      <c r="K3" s="145"/>
      <c r="L3" s="267"/>
      <c r="M3" s="267"/>
      <c r="N3" s="267"/>
      <c r="O3" s="145"/>
      <c r="P3" s="145"/>
      <c r="Q3" s="299">
        <f>_xll.ohTrigger(Q5:Q42)</f>
        <v>3</v>
      </c>
      <c r="R3" s="225"/>
    </row>
    <row r="4" spans="1:24" ht="23.25" thickBot="1" x14ac:dyDescent="0.25">
      <c r="A4" s="130"/>
      <c r="B4" s="407"/>
      <c r="C4" s="202"/>
      <c r="D4" s="202"/>
      <c r="E4" s="202"/>
      <c r="F4" s="298" t="e">
        <f ca="1">_xll.RData(F5:F42,G4:J4,,ReutersRtMode,,G5)</f>
        <v>#NAME?</v>
      </c>
      <c r="G4" s="336" t="s">
        <v>261</v>
      </c>
      <c r="H4" s="336" t="s">
        <v>228</v>
      </c>
      <c r="I4" s="336" t="s">
        <v>243</v>
      </c>
      <c r="J4" s="336" t="s">
        <v>260</v>
      </c>
      <c r="K4" s="293" t="s">
        <v>259</v>
      </c>
      <c r="L4" s="267"/>
      <c r="M4" s="296" t="s">
        <v>255</v>
      </c>
      <c r="N4" s="267"/>
      <c r="O4" s="295" t="s">
        <v>254</v>
      </c>
      <c r="P4" s="398" t="s">
        <v>253</v>
      </c>
      <c r="Q4" s="100" t="s">
        <v>252</v>
      </c>
      <c r="R4" s="225"/>
      <c r="X4" s="333" t="s">
        <v>258</v>
      </c>
    </row>
    <row r="5" spans="1:24" x14ac:dyDescent="0.2">
      <c r="A5" s="130"/>
      <c r="B5" s="278" t="s">
        <v>40</v>
      </c>
      <c r="C5" s="318" t="str">
        <f t="array" ref="C5:C42">VLOOKUP(Currency,Conventions,2)</f>
        <v>AB</v>
      </c>
      <c r="D5" s="318" t="str">
        <f t="array" ref="D5:D42">VLOOKUP(Currency,Conventions,3)</f>
        <v>6E</v>
      </c>
      <c r="E5" s="277" t="str">
        <f t="shared" ref="E5:E42" si="0">Currency&amp;$C5&amp;$D5&amp;$B5</f>
        <v>EURAB6E6M</v>
      </c>
      <c r="F5" s="277" t="str">
        <f t="array" ref="F5:F42">Instruments&amp;"="&amp;VLOOKUP(Contributor,ContributorTable,2,FALSE)</f>
        <v>EURAB6E6M=ICAP</v>
      </c>
      <c r="G5" s="319" t="s">
        <v>262</v>
      </c>
      <c r="H5" s="319" t="s">
        <v>262</v>
      </c>
      <c r="I5" s="319" t="s">
        <v>262</v>
      </c>
      <c r="J5" s="319" t="s">
        <v>262</v>
      </c>
      <c r="K5" s="397" t="e">
        <f>_xll.qlMidSafe($G5,$H5)</f>
        <v>#NUM!</v>
      </c>
      <c r="L5" s="267"/>
      <c r="M5" s="275" t="e">
        <v>#NUM!</v>
      </c>
      <c r="N5" s="267"/>
      <c r="O5" s="274" t="str">
        <f t="shared" ref="O5:O42" si="1">$E5&amp;$P$2</f>
        <v>EURAB6E6M_Quote</v>
      </c>
      <c r="P5" s="273" t="e">
        <f t="array" ref="P5:P42">QuoteLive</f>
        <v>#NUM!</v>
      </c>
      <c r="Q5" s="272" t="e">
        <f>_xll.qlSimpleQuoteSetValue($O5,$P5/100,Trigger)</f>
        <v>#NUM!</v>
      </c>
      <c r="R5" s="225"/>
      <c r="T5" s="405" t="s">
        <v>137</v>
      </c>
      <c r="U5" s="94" t="s">
        <v>202</v>
      </c>
      <c r="V5" s="93" t="s">
        <v>132</v>
      </c>
      <c r="X5" s="307" t="e">
        <f t="shared" ref="X5:X42" si="2">(H5-K5)/50</f>
        <v>#VALUE!</v>
      </c>
    </row>
    <row r="6" spans="1:24" x14ac:dyDescent="0.2">
      <c r="A6" s="130"/>
      <c r="B6" s="278" t="s">
        <v>34</v>
      </c>
      <c r="C6" s="318" t="str">
        <v>AB</v>
      </c>
      <c r="D6" s="318" t="str">
        <v>6E</v>
      </c>
      <c r="E6" s="277" t="str">
        <f t="shared" si="0"/>
        <v>EURAB6E1Y</v>
      </c>
      <c r="F6" s="277" t="str">
        <v>EURAB6E1Y=ICAP</v>
      </c>
      <c r="G6" s="319">
        <v>0.40699999999999997</v>
      </c>
      <c r="H6" s="319">
        <v>0.44700000000000001</v>
      </c>
      <c r="I6" s="319">
        <v>0</v>
      </c>
      <c r="J6" s="319">
        <v>0</v>
      </c>
      <c r="K6" s="397">
        <f>_xll.qlMidSafe($G6,$H6)</f>
        <v>0.42699999999999999</v>
      </c>
      <c r="L6" s="267"/>
      <c r="M6" s="275">
        <v>0.42699999999999999</v>
      </c>
      <c r="N6" s="267"/>
      <c r="O6" s="274" t="str">
        <f t="shared" si="1"/>
        <v>EURAB6E1Y_Quote</v>
      </c>
      <c r="P6" s="273">
        <v>0.42699999999999999</v>
      </c>
      <c r="Q6" s="272" t="e">
        <f>_xll.qlSimpleQuoteSetValue($O6,$P6/100,Trigger)</f>
        <v>#N/A</v>
      </c>
      <c r="R6" s="225"/>
      <c r="T6" s="213" t="s">
        <v>123</v>
      </c>
      <c r="U6" s="91" t="s">
        <v>202</v>
      </c>
      <c r="V6" s="90" t="s">
        <v>135</v>
      </c>
      <c r="X6" s="307">
        <f t="shared" si="2"/>
        <v>4.0000000000000034E-4</v>
      </c>
    </row>
    <row r="7" spans="1:24" x14ac:dyDescent="0.2">
      <c r="A7" s="130"/>
      <c r="B7" s="278" t="s">
        <v>140</v>
      </c>
      <c r="C7" s="318" t="str">
        <v>AB</v>
      </c>
      <c r="D7" s="318" t="str">
        <v>6E</v>
      </c>
      <c r="E7" s="277" t="str">
        <f t="shared" si="0"/>
        <v>EURAB6E15M</v>
      </c>
      <c r="F7" s="277" t="str">
        <v>EURAB6E15M=ICAP</v>
      </c>
      <c r="G7" s="319">
        <v>0.42699999999999999</v>
      </c>
      <c r="H7" s="319">
        <v>0.47699999999999998</v>
      </c>
      <c r="I7" s="319">
        <v>0</v>
      </c>
      <c r="J7" s="319">
        <v>0</v>
      </c>
      <c r="K7" s="397">
        <f>_xll.qlMidEquivalent($G7,$H7,$I7,$J7)</f>
        <v>0.45199999999999996</v>
      </c>
      <c r="L7" s="267"/>
      <c r="M7" s="275">
        <v>0.45099999999999996</v>
      </c>
      <c r="N7" s="267"/>
      <c r="O7" s="274" t="str">
        <f t="shared" si="1"/>
        <v>EURAB6E15M_Quote</v>
      </c>
      <c r="P7" s="273">
        <v>0.45199999999999996</v>
      </c>
      <c r="Q7" s="272" t="e">
        <f>_xll.qlSimpleQuoteSetValue($O7,$P7/100,Trigger)</f>
        <v>#N/A</v>
      </c>
      <c r="R7" s="225"/>
      <c r="T7" s="213" t="s">
        <v>134</v>
      </c>
      <c r="U7" s="91" t="s">
        <v>201</v>
      </c>
      <c r="V7" s="90" t="s">
        <v>132</v>
      </c>
      <c r="W7" s="406"/>
      <c r="X7" s="307">
        <f t="shared" si="2"/>
        <v>5.0000000000000044E-4</v>
      </c>
    </row>
    <row r="8" spans="1:24" x14ac:dyDescent="0.2">
      <c r="A8" s="130"/>
      <c r="B8" s="278" t="s">
        <v>139</v>
      </c>
      <c r="C8" s="318" t="str">
        <v>AB</v>
      </c>
      <c r="D8" s="318" t="str">
        <v>6E</v>
      </c>
      <c r="E8" s="277" t="str">
        <f t="shared" si="0"/>
        <v>EURAB6E18M</v>
      </c>
      <c r="F8" s="277" t="str">
        <v>EURAB6E18M=ICAP</v>
      </c>
      <c r="G8" s="319">
        <v>0.47899999999999998</v>
      </c>
      <c r="H8" s="319">
        <v>0.52900000000000003</v>
      </c>
      <c r="I8" s="319">
        <v>0</v>
      </c>
      <c r="J8" s="319">
        <v>0</v>
      </c>
      <c r="K8" s="397">
        <f>_xll.qlMidEquivalent($G8,$H8,$I8,$J8)</f>
        <v>0.504</v>
      </c>
      <c r="L8" s="267"/>
      <c r="M8" s="275">
        <v>0.503</v>
      </c>
      <c r="N8" s="267"/>
      <c r="O8" s="274" t="str">
        <f t="shared" si="1"/>
        <v>EURAB6E18M_Quote</v>
      </c>
      <c r="P8" s="273">
        <v>0.504</v>
      </c>
      <c r="Q8" s="272" t="e">
        <f>_xll.qlSimpleQuoteSetValue($O8,$P8/100,Trigger)</f>
        <v>#N/A</v>
      </c>
      <c r="R8" s="225"/>
      <c r="T8" s="213" t="s">
        <v>133</v>
      </c>
      <c r="U8" s="91" t="s">
        <v>201</v>
      </c>
      <c r="V8" s="90" t="s">
        <v>132</v>
      </c>
      <c r="W8" s="406"/>
      <c r="X8" s="307">
        <f t="shared" si="2"/>
        <v>5.0000000000000044E-4</v>
      </c>
    </row>
    <row r="9" spans="1:24" ht="12" thickBot="1" x14ac:dyDescent="0.25">
      <c r="A9" s="130"/>
      <c r="B9" s="278" t="s">
        <v>138</v>
      </c>
      <c r="C9" s="318" t="str">
        <v>AB</v>
      </c>
      <c r="D9" s="318" t="str">
        <v>6E</v>
      </c>
      <c r="E9" s="277" t="str">
        <f t="shared" si="0"/>
        <v>EURAB6E21M</v>
      </c>
      <c r="F9" s="277" t="str">
        <v>EURAB6E21M=ICAP</v>
      </c>
      <c r="G9" s="319">
        <v>0.504</v>
      </c>
      <c r="H9" s="319">
        <v>0.55400000000000005</v>
      </c>
      <c r="I9" s="319">
        <v>0</v>
      </c>
      <c r="J9" s="319">
        <v>0</v>
      </c>
      <c r="K9" s="397">
        <f>_xll.qlMidEquivalent($G9,$H9,$I9,$J9)</f>
        <v>0.52900000000000003</v>
      </c>
      <c r="L9" s="267"/>
      <c r="M9" s="275">
        <v>0.52700000000000002</v>
      </c>
      <c r="N9" s="267"/>
      <c r="O9" s="274" t="str">
        <f t="shared" si="1"/>
        <v>EURAB6E21M_Quote</v>
      </c>
      <c r="P9" s="273">
        <v>0.52900000000000003</v>
      </c>
      <c r="Q9" s="272" t="e">
        <f>_xll.qlSimpleQuoteSetValue($O9,$P9/100,Trigger)</f>
        <v>#N/A</v>
      </c>
      <c r="R9" s="225"/>
      <c r="T9" s="212" t="s">
        <v>131</v>
      </c>
      <c r="U9" s="88" t="s">
        <v>200</v>
      </c>
      <c r="V9" s="87" t="s">
        <v>132</v>
      </c>
      <c r="X9" s="307">
        <f t="shared" si="2"/>
        <v>5.0000000000000044E-4</v>
      </c>
    </row>
    <row r="10" spans="1:24" x14ac:dyDescent="0.2">
      <c r="A10" s="130"/>
      <c r="B10" s="278" t="s">
        <v>115</v>
      </c>
      <c r="C10" s="318" t="str">
        <v>AB</v>
      </c>
      <c r="D10" s="318" t="str">
        <v>6E</v>
      </c>
      <c r="E10" s="277" t="str">
        <f t="shared" si="0"/>
        <v>EURAB6E2Y</v>
      </c>
      <c r="F10" s="277" t="str">
        <v>EURAB6E2Y=ICAP</v>
      </c>
      <c r="G10" s="319">
        <v>0.55600000000000005</v>
      </c>
      <c r="H10" s="319">
        <v>0.59599999999999997</v>
      </c>
      <c r="I10" s="319">
        <v>0</v>
      </c>
      <c r="J10" s="319">
        <v>0</v>
      </c>
      <c r="K10" s="397">
        <f>_xll.qlMidEquivalent($G10,$H10,$I10,$J10)</f>
        <v>0.57600000000000007</v>
      </c>
      <c r="L10" s="267"/>
      <c r="M10" s="275">
        <v>0.57600000000000007</v>
      </c>
      <c r="N10" s="267"/>
      <c r="O10" s="274" t="str">
        <f t="shared" si="1"/>
        <v>EURAB6E2Y_Quote</v>
      </c>
      <c r="P10" s="273">
        <v>0.57600000000000007</v>
      </c>
      <c r="Q10" s="272" t="e">
        <f>_xll.qlSimpleQuoteSetValue($O10,$P10/100,Trigger)</f>
        <v>#N/A</v>
      </c>
      <c r="R10" s="225"/>
      <c r="X10" s="307">
        <f t="shared" si="2"/>
        <v>3.9999999999999812E-4</v>
      </c>
    </row>
    <row r="11" spans="1:24" x14ac:dyDescent="0.2">
      <c r="A11" s="130"/>
      <c r="B11" s="278" t="s">
        <v>114</v>
      </c>
      <c r="C11" s="318" t="str">
        <v>AB</v>
      </c>
      <c r="D11" s="318" t="str">
        <v>6E</v>
      </c>
      <c r="E11" s="277" t="str">
        <f t="shared" si="0"/>
        <v>EURAB6E3Y</v>
      </c>
      <c r="F11" s="277" t="str">
        <v>EURAB6E3Y=ICAP</v>
      </c>
      <c r="G11" s="319">
        <v>0.72499999999999998</v>
      </c>
      <c r="H11" s="319">
        <v>0.76500000000000001</v>
      </c>
      <c r="I11" s="319">
        <v>0</v>
      </c>
      <c r="J11" s="319">
        <v>0</v>
      </c>
      <c r="K11" s="397">
        <f>_xll.qlMidEquivalent($G11,$H11,$I11,$J11)</f>
        <v>0.745</v>
      </c>
      <c r="L11" s="267"/>
      <c r="M11" s="275">
        <v>0.745</v>
      </c>
      <c r="N11" s="267"/>
      <c r="O11" s="274" t="str">
        <f t="shared" si="1"/>
        <v>EURAB6E3Y_Quote</v>
      </c>
      <c r="P11" s="273">
        <v>0.745</v>
      </c>
      <c r="Q11" s="272" t="e">
        <f>_xll.qlSimpleQuoteSetValue($O11,$P11/100,Trigger)</f>
        <v>#N/A</v>
      </c>
      <c r="R11" s="225"/>
      <c r="X11" s="307">
        <f t="shared" si="2"/>
        <v>4.0000000000000034E-4</v>
      </c>
    </row>
    <row r="12" spans="1:24" x14ac:dyDescent="0.2">
      <c r="A12" s="130"/>
      <c r="B12" s="278" t="s">
        <v>113</v>
      </c>
      <c r="C12" s="318" t="str">
        <v>AB</v>
      </c>
      <c r="D12" s="318" t="str">
        <v>6E</v>
      </c>
      <c r="E12" s="277" t="str">
        <f t="shared" si="0"/>
        <v>EURAB6E4Y</v>
      </c>
      <c r="F12" s="277" t="str">
        <v>EURAB6E4Y=ICAP</v>
      </c>
      <c r="G12" s="319">
        <v>0.94099999999999995</v>
      </c>
      <c r="H12" s="319">
        <v>0.98099999999999998</v>
      </c>
      <c r="I12" s="319">
        <v>0</v>
      </c>
      <c r="J12" s="319">
        <v>0</v>
      </c>
      <c r="K12" s="397">
        <f>_xll.qlMidEquivalent($G12,$H12,$I12,$J12)</f>
        <v>0.96099999999999997</v>
      </c>
      <c r="L12" s="267"/>
      <c r="M12" s="275">
        <v>0.96099999999999997</v>
      </c>
      <c r="N12" s="267"/>
      <c r="O12" s="274" t="str">
        <f t="shared" si="1"/>
        <v>EURAB6E4Y_Quote</v>
      </c>
      <c r="P12" s="273">
        <v>0.96099999999999997</v>
      </c>
      <c r="Q12" s="272" t="e">
        <f>_xll.qlSimpleQuoteSetValue($O12,$P12/100,Trigger)</f>
        <v>#N/A</v>
      </c>
      <c r="R12" s="225"/>
      <c r="X12" s="307">
        <f t="shared" si="2"/>
        <v>4.0000000000000034E-4</v>
      </c>
    </row>
    <row r="13" spans="1:24" x14ac:dyDescent="0.2">
      <c r="A13" s="130"/>
      <c r="B13" s="278" t="s">
        <v>112</v>
      </c>
      <c r="C13" s="318" t="str">
        <v>AB</v>
      </c>
      <c r="D13" s="318" t="str">
        <v>6E</v>
      </c>
      <c r="E13" s="277" t="str">
        <f t="shared" si="0"/>
        <v>EURAB6E5Y</v>
      </c>
      <c r="F13" s="277" t="str">
        <v>EURAB6E5Y=ICAP</v>
      </c>
      <c r="G13" s="319">
        <v>1.165</v>
      </c>
      <c r="H13" s="319">
        <v>1.2050000000000001</v>
      </c>
      <c r="I13" s="319">
        <v>0</v>
      </c>
      <c r="J13" s="319">
        <v>0</v>
      </c>
      <c r="K13" s="397">
        <f>_xll.qlMidEquivalent($G13,$H13,$I13,$J13)</f>
        <v>1.1850000000000001</v>
      </c>
      <c r="L13" s="267"/>
      <c r="M13" s="275">
        <v>1.1850000000000001</v>
      </c>
      <c r="N13" s="267"/>
      <c r="O13" s="274" t="str">
        <f t="shared" si="1"/>
        <v>EURAB6E5Y_Quote</v>
      </c>
      <c r="P13" s="273">
        <v>1.1850000000000001</v>
      </c>
      <c r="Q13" s="272" t="e">
        <f>_xll.qlSimpleQuoteSetValue($O13,$P13/100,Trigger)</f>
        <v>#N/A</v>
      </c>
      <c r="R13" s="225"/>
      <c r="X13" s="307">
        <f t="shared" si="2"/>
        <v>4.0000000000000034E-4</v>
      </c>
    </row>
    <row r="14" spans="1:24" x14ac:dyDescent="0.2">
      <c r="A14" s="130"/>
      <c r="B14" s="278" t="s">
        <v>111</v>
      </c>
      <c r="C14" s="318" t="str">
        <v>AB</v>
      </c>
      <c r="D14" s="318" t="str">
        <v>6E</v>
      </c>
      <c r="E14" s="277" t="str">
        <f t="shared" si="0"/>
        <v>EURAB6E6Y</v>
      </c>
      <c r="F14" s="277" t="str">
        <v>EURAB6E6Y=ICAP</v>
      </c>
      <c r="G14" s="319">
        <v>1.36</v>
      </c>
      <c r="H14" s="319">
        <v>1.4</v>
      </c>
      <c r="I14" s="319">
        <v>0</v>
      </c>
      <c r="J14" s="319">
        <v>0</v>
      </c>
      <c r="K14" s="397">
        <f>_xll.qlMidEquivalent($G14,$H14,$I14,$J14)</f>
        <v>1.38</v>
      </c>
      <c r="L14" s="267"/>
      <c r="M14" s="275">
        <v>1.38</v>
      </c>
      <c r="N14" s="267"/>
      <c r="O14" s="274" t="str">
        <f t="shared" si="1"/>
        <v>EURAB6E6Y_Quote</v>
      </c>
      <c r="P14" s="273">
        <v>1.38</v>
      </c>
      <c r="Q14" s="272" t="e">
        <f>_xll.qlSimpleQuoteSetValue($O14,$P14/100,Trigger)</f>
        <v>#N/A</v>
      </c>
      <c r="R14" s="225"/>
      <c r="X14" s="307">
        <f t="shared" si="2"/>
        <v>4.0000000000000034E-4</v>
      </c>
    </row>
    <row r="15" spans="1:24" x14ac:dyDescent="0.2">
      <c r="A15" s="130"/>
      <c r="B15" s="278" t="s">
        <v>110</v>
      </c>
      <c r="C15" s="318" t="str">
        <v>AB</v>
      </c>
      <c r="D15" s="318" t="str">
        <v>6E</v>
      </c>
      <c r="E15" s="277" t="str">
        <f t="shared" si="0"/>
        <v>EURAB6E7Y</v>
      </c>
      <c r="F15" s="277" t="str">
        <v>EURAB6E7Y=ICAP</v>
      </c>
      <c r="G15" s="319">
        <v>1.5329999999999999</v>
      </c>
      <c r="H15" s="319">
        <v>1.573</v>
      </c>
      <c r="I15" s="319">
        <v>0</v>
      </c>
      <c r="J15" s="319">
        <v>0</v>
      </c>
      <c r="K15" s="397">
        <f>_xll.qlMidEquivalent($G15,$H15,$I15,$J15)</f>
        <v>1.5529999999999999</v>
      </c>
      <c r="L15" s="267"/>
      <c r="M15" s="275">
        <v>1.5529999999999999</v>
      </c>
      <c r="N15" s="267"/>
      <c r="O15" s="274" t="str">
        <f t="shared" si="1"/>
        <v>EURAB6E7Y_Quote</v>
      </c>
      <c r="P15" s="273">
        <v>1.5529999999999999</v>
      </c>
      <c r="Q15" s="272" t="e">
        <f>_xll.qlSimpleQuoteSetValue($O15,$P15/100,Trigger)</f>
        <v>#N/A</v>
      </c>
      <c r="R15" s="225"/>
      <c r="X15" s="307">
        <f t="shared" si="2"/>
        <v>4.0000000000000034E-4</v>
      </c>
    </row>
    <row r="16" spans="1:24" x14ac:dyDescent="0.2">
      <c r="A16" s="130"/>
      <c r="B16" s="278" t="s">
        <v>109</v>
      </c>
      <c r="C16" s="318" t="str">
        <v>AB</v>
      </c>
      <c r="D16" s="318" t="str">
        <v>6E</v>
      </c>
      <c r="E16" s="277" t="str">
        <f t="shared" si="0"/>
        <v>EURAB6E8Y</v>
      </c>
      <c r="F16" s="277" t="str">
        <v>EURAB6E8Y=ICAP</v>
      </c>
      <c r="G16" s="319">
        <v>1.6859999999999999</v>
      </c>
      <c r="H16" s="319">
        <v>1.726</v>
      </c>
      <c r="I16" s="319">
        <v>0</v>
      </c>
      <c r="J16" s="319">
        <v>0</v>
      </c>
      <c r="K16" s="397">
        <f>_xll.qlMidEquivalent($G16,$H16,$I16,$J16)</f>
        <v>1.706</v>
      </c>
      <c r="L16" s="267"/>
      <c r="M16" s="275">
        <v>1.706</v>
      </c>
      <c r="N16" s="267"/>
      <c r="O16" s="274" t="str">
        <f t="shared" si="1"/>
        <v>EURAB6E8Y_Quote</v>
      </c>
      <c r="P16" s="273">
        <v>1.706</v>
      </c>
      <c r="Q16" s="272" t="e">
        <f>_xll.qlSimpleQuoteSetValue($O16,$P16/100,Trigger)</f>
        <v>#N/A</v>
      </c>
      <c r="R16" s="225"/>
      <c r="X16" s="307">
        <f t="shared" si="2"/>
        <v>4.0000000000000034E-4</v>
      </c>
    </row>
    <row r="17" spans="1:24" x14ac:dyDescent="0.2">
      <c r="A17" s="130"/>
      <c r="B17" s="278" t="s">
        <v>108</v>
      </c>
      <c r="C17" s="318" t="str">
        <v>AB</v>
      </c>
      <c r="D17" s="318" t="str">
        <v>6E</v>
      </c>
      <c r="E17" s="277" t="str">
        <f t="shared" si="0"/>
        <v>EURAB6E9Y</v>
      </c>
      <c r="F17" s="277" t="str">
        <v>EURAB6E9Y=ICAP</v>
      </c>
      <c r="G17" s="319">
        <v>1.8260000000000001</v>
      </c>
      <c r="H17" s="319">
        <v>1.8660000000000001</v>
      </c>
      <c r="I17" s="319">
        <v>0</v>
      </c>
      <c r="J17" s="319">
        <v>0</v>
      </c>
      <c r="K17" s="397">
        <f>_xll.qlMidEquivalent($G17,$H17,$I17,$J17)</f>
        <v>1.8460000000000001</v>
      </c>
      <c r="L17" s="267"/>
      <c r="M17" s="275">
        <v>1.8460000000000001</v>
      </c>
      <c r="N17" s="267"/>
      <c r="O17" s="274" t="str">
        <f t="shared" si="1"/>
        <v>EURAB6E9Y_Quote</v>
      </c>
      <c r="P17" s="273">
        <v>1.8460000000000001</v>
      </c>
      <c r="Q17" s="272" t="e">
        <f>_xll.qlSimpleQuoteSetValue($O17,$P17/100,Trigger)</f>
        <v>#N/A</v>
      </c>
      <c r="R17" s="225"/>
      <c r="X17" s="307">
        <f t="shared" si="2"/>
        <v>4.0000000000000034E-4</v>
      </c>
    </row>
    <row r="18" spans="1:24" x14ac:dyDescent="0.2">
      <c r="A18" s="130"/>
      <c r="B18" s="278" t="s">
        <v>107</v>
      </c>
      <c r="C18" s="318" t="str">
        <v>AB</v>
      </c>
      <c r="D18" s="318" t="str">
        <v>6E</v>
      </c>
      <c r="E18" s="277" t="str">
        <f t="shared" si="0"/>
        <v>EURAB6E10Y</v>
      </c>
      <c r="F18" s="277" t="str">
        <v>EURAB6E10Y=ICAP</v>
      </c>
      <c r="G18" s="319">
        <v>1.954</v>
      </c>
      <c r="H18" s="319">
        <v>1.994</v>
      </c>
      <c r="I18" s="319">
        <v>0</v>
      </c>
      <c r="J18" s="319">
        <v>0</v>
      </c>
      <c r="K18" s="397">
        <f>_xll.qlMidEquivalent($G18,$H18,$I18,$J18)</f>
        <v>1.974</v>
      </c>
      <c r="L18" s="267"/>
      <c r="M18" s="275">
        <v>1.974</v>
      </c>
      <c r="N18" s="267"/>
      <c r="O18" s="274" t="str">
        <f t="shared" si="1"/>
        <v>EURAB6E10Y_Quote</v>
      </c>
      <c r="P18" s="273">
        <v>1.974</v>
      </c>
      <c r="Q18" s="272" t="e">
        <f>_xll.qlSimpleQuoteSetValue($O18,$P18/100,Trigger)</f>
        <v>#N/A</v>
      </c>
      <c r="R18" s="225"/>
      <c r="X18" s="307">
        <f t="shared" si="2"/>
        <v>4.0000000000000034E-4</v>
      </c>
    </row>
    <row r="19" spans="1:24" x14ac:dyDescent="0.2">
      <c r="A19" s="130"/>
      <c r="B19" s="278" t="s">
        <v>106</v>
      </c>
      <c r="C19" s="318" t="str">
        <v>AB</v>
      </c>
      <c r="D19" s="318" t="str">
        <v>6E</v>
      </c>
      <c r="E19" s="277" t="str">
        <f t="shared" si="0"/>
        <v>EURAB6E11Y</v>
      </c>
      <c r="F19" s="277" t="str">
        <v>EURAB6E11Y=ICAP</v>
      </c>
      <c r="G19" s="319">
        <v>2.0649999999999999</v>
      </c>
      <c r="H19" s="319">
        <v>2.105</v>
      </c>
      <c r="I19" s="319">
        <v>0</v>
      </c>
      <c r="J19" s="319">
        <v>0</v>
      </c>
      <c r="K19" s="397">
        <f>_xll.qlMidEquivalent($G19,$H19,$I19,$J19)</f>
        <v>2.085</v>
      </c>
      <c r="L19" s="267"/>
      <c r="M19" s="275">
        <v>2.085</v>
      </c>
      <c r="N19" s="267"/>
      <c r="O19" s="274" t="str">
        <f t="shared" si="1"/>
        <v>EURAB6E11Y_Quote</v>
      </c>
      <c r="P19" s="273">
        <v>2.085</v>
      </c>
      <c r="Q19" s="272" t="e">
        <f>_xll.qlSimpleQuoteSetValue($O19,$P19/100,Trigger)</f>
        <v>#N/A</v>
      </c>
      <c r="R19" s="225"/>
      <c r="X19" s="307">
        <f t="shared" si="2"/>
        <v>4.0000000000000034E-4</v>
      </c>
    </row>
    <row r="20" spans="1:24" x14ac:dyDescent="0.2">
      <c r="A20" s="130"/>
      <c r="B20" s="278" t="s">
        <v>105</v>
      </c>
      <c r="C20" s="318" t="str">
        <v>AB</v>
      </c>
      <c r="D20" s="318" t="str">
        <v>6E</v>
      </c>
      <c r="E20" s="277" t="str">
        <f t="shared" si="0"/>
        <v>EURAB6E12Y</v>
      </c>
      <c r="F20" s="277" t="str">
        <v>EURAB6E12Y=ICAP</v>
      </c>
      <c r="G20" s="319">
        <v>2.16</v>
      </c>
      <c r="H20" s="319">
        <v>2.2000000000000002</v>
      </c>
      <c r="I20" s="319">
        <v>0</v>
      </c>
      <c r="J20" s="319">
        <v>0</v>
      </c>
      <c r="K20" s="397">
        <f>_xll.qlMidEquivalent($G20,$H20,$I20,$J20)</f>
        <v>2.1800000000000002</v>
      </c>
      <c r="L20" s="267"/>
      <c r="M20" s="275">
        <v>2.1800000000000002</v>
      </c>
      <c r="N20" s="267"/>
      <c r="O20" s="274" t="str">
        <f t="shared" si="1"/>
        <v>EURAB6E12Y_Quote</v>
      </c>
      <c r="P20" s="273">
        <v>2.1800000000000002</v>
      </c>
      <c r="Q20" s="272" t="e">
        <f>_xll.qlSimpleQuoteSetValue($O20,$P20/100,Trigger)</f>
        <v>#N/A</v>
      </c>
      <c r="R20" s="225"/>
      <c r="X20" s="307">
        <f t="shared" si="2"/>
        <v>4.0000000000000034E-4</v>
      </c>
    </row>
    <row r="21" spans="1:24" x14ac:dyDescent="0.2">
      <c r="A21" s="130"/>
      <c r="B21" s="278" t="s">
        <v>104</v>
      </c>
      <c r="C21" s="318" t="str">
        <v>AB</v>
      </c>
      <c r="D21" s="318" t="str">
        <v>6E</v>
      </c>
      <c r="E21" s="277" t="str">
        <f t="shared" si="0"/>
        <v>EURAB6E13Y</v>
      </c>
      <c r="F21" s="277" t="str">
        <v>EURAB6E13Y=ICAP</v>
      </c>
      <c r="G21" s="319">
        <v>2.2400000000000002</v>
      </c>
      <c r="H21" s="319">
        <v>2.2799999999999998</v>
      </c>
      <c r="I21" s="319">
        <v>0</v>
      </c>
      <c r="J21" s="319">
        <v>0</v>
      </c>
      <c r="K21" s="397">
        <f>_xll.qlMidEquivalent($G21,$H21,$I21,$J21)</f>
        <v>2.2599999999999998</v>
      </c>
      <c r="L21" s="267"/>
      <c r="M21" s="275">
        <v>2.2599999999999998</v>
      </c>
      <c r="N21" s="267"/>
      <c r="O21" s="274" t="str">
        <f t="shared" si="1"/>
        <v>EURAB6E13Y_Quote</v>
      </c>
      <c r="P21" s="273">
        <v>2.2599999999999998</v>
      </c>
      <c r="Q21" s="272" t="e">
        <f>_xll.qlSimpleQuoteSetValue($O21,$P21/100,Trigger)</f>
        <v>#N/A</v>
      </c>
      <c r="R21" s="225"/>
      <c r="X21" s="307">
        <f t="shared" si="2"/>
        <v>4.0000000000000034E-4</v>
      </c>
    </row>
    <row r="22" spans="1:24" x14ac:dyDescent="0.2">
      <c r="A22" s="130"/>
      <c r="B22" s="278" t="s">
        <v>103</v>
      </c>
      <c r="C22" s="318" t="str">
        <v>AB</v>
      </c>
      <c r="D22" s="318" t="str">
        <v>6E</v>
      </c>
      <c r="E22" s="277" t="str">
        <f t="shared" si="0"/>
        <v>EURAB6E14Y</v>
      </c>
      <c r="F22" s="277" t="str">
        <v>EURAB6E14Y=ICAP</v>
      </c>
      <c r="G22" s="319">
        <v>2.3050000000000002</v>
      </c>
      <c r="H22" s="319">
        <v>2.3450000000000002</v>
      </c>
      <c r="I22" s="319">
        <v>0</v>
      </c>
      <c r="J22" s="319">
        <v>0</v>
      </c>
      <c r="K22" s="397">
        <f>_xll.qlMidEquivalent($G22,$H22,$I22,$J22)</f>
        <v>2.3250000000000002</v>
      </c>
      <c r="L22" s="267"/>
      <c r="M22" s="275">
        <v>2.3250000000000002</v>
      </c>
      <c r="N22" s="267"/>
      <c r="O22" s="274" t="str">
        <f t="shared" si="1"/>
        <v>EURAB6E14Y_Quote</v>
      </c>
      <c r="P22" s="273">
        <v>2.3250000000000002</v>
      </c>
      <c r="Q22" s="272" t="e">
        <f>_xll.qlSimpleQuoteSetValue($O22,$P22/100,Trigger)</f>
        <v>#N/A</v>
      </c>
      <c r="R22" s="225"/>
      <c r="X22" s="307">
        <f t="shared" si="2"/>
        <v>4.0000000000000034E-4</v>
      </c>
    </row>
    <row r="23" spans="1:24" x14ac:dyDescent="0.2">
      <c r="A23" s="130"/>
      <c r="B23" s="278" t="s">
        <v>102</v>
      </c>
      <c r="C23" s="318" t="str">
        <v>AB</v>
      </c>
      <c r="D23" s="318" t="str">
        <v>6E</v>
      </c>
      <c r="E23" s="277" t="str">
        <f t="shared" si="0"/>
        <v>EURAB6E15Y</v>
      </c>
      <c r="F23" s="277" t="str">
        <v>EURAB6E15Y=ICAP</v>
      </c>
      <c r="G23" s="319">
        <v>2.3559999999999999</v>
      </c>
      <c r="H23" s="319">
        <v>2.3959999999999999</v>
      </c>
      <c r="I23" s="319">
        <v>0</v>
      </c>
      <c r="J23" s="319">
        <v>0</v>
      </c>
      <c r="K23" s="397">
        <f>_xll.qlMidEquivalent($G23,$H23,$I23,$J23)</f>
        <v>2.3759999999999999</v>
      </c>
      <c r="L23" s="267"/>
      <c r="M23" s="275">
        <v>2.3759999999999999</v>
      </c>
      <c r="N23" s="267"/>
      <c r="O23" s="274" t="str">
        <f t="shared" si="1"/>
        <v>EURAB6E15Y_Quote</v>
      </c>
      <c r="P23" s="273">
        <v>2.3759999999999999</v>
      </c>
      <c r="Q23" s="272" t="e">
        <f>_xll.qlSimpleQuoteSetValue($O23,$P23/100,Trigger)</f>
        <v>#N/A</v>
      </c>
      <c r="R23" s="225"/>
      <c r="X23" s="307">
        <f t="shared" si="2"/>
        <v>4.0000000000000034E-4</v>
      </c>
    </row>
    <row r="24" spans="1:24" x14ac:dyDescent="0.2">
      <c r="A24" s="130"/>
      <c r="B24" s="278" t="s">
        <v>101</v>
      </c>
      <c r="C24" s="318" t="str">
        <v>AB</v>
      </c>
      <c r="D24" s="318" t="str">
        <v>6E</v>
      </c>
      <c r="E24" s="277" t="str">
        <f t="shared" si="0"/>
        <v>EURAB6E16Y</v>
      </c>
      <c r="F24" s="277" t="str">
        <v>EURAB6E16Y=ICAP</v>
      </c>
      <c r="G24" s="319">
        <v>2.395</v>
      </c>
      <c r="H24" s="319">
        <v>2.4350000000000001</v>
      </c>
      <c r="I24" s="319">
        <v>0</v>
      </c>
      <c r="J24" s="319">
        <v>0</v>
      </c>
      <c r="K24" s="397">
        <f>_xll.qlMidEquivalent($G24,$H24,$I24,$J24)</f>
        <v>2.415</v>
      </c>
      <c r="L24" s="267"/>
      <c r="M24" s="275">
        <v>2.415</v>
      </c>
      <c r="N24" s="267"/>
      <c r="O24" s="274" t="str">
        <f t="shared" si="1"/>
        <v>EURAB6E16Y_Quote</v>
      </c>
      <c r="P24" s="273">
        <v>2.415</v>
      </c>
      <c r="Q24" s="272" t="e">
        <f>_xll.qlSimpleQuoteSetValue($O24,$P24/100,Trigger)</f>
        <v>#N/A</v>
      </c>
      <c r="R24" s="225"/>
      <c r="X24" s="307">
        <f t="shared" si="2"/>
        <v>4.0000000000000034E-4</v>
      </c>
    </row>
    <row r="25" spans="1:24" x14ac:dyDescent="0.2">
      <c r="A25" s="130"/>
      <c r="B25" s="278" t="s">
        <v>100</v>
      </c>
      <c r="C25" s="318" t="str">
        <v>AB</v>
      </c>
      <c r="D25" s="318" t="str">
        <v>6E</v>
      </c>
      <c r="E25" s="277" t="str">
        <f t="shared" si="0"/>
        <v>EURAB6E17Y</v>
      </c>
      <c r="F25" s="277" t="str">
        <v>EURAB6E17Y=ICAP</v>
      </c>
      <c r="G25" s="319">
        <v>2.4239999999999999</v>
      </c>
      <c r="H25" s="319">
        <v>2.464</v>
      </c>
      <c r="I25" s="319">
        <v>0</v>
      </c>
      <c r="J25" s="319">
        <v>0</v>
      </c>
      <c r="K25" s="397">
        <f>_xll.qlMidEquivalent($G25,$H25,$I25,$J25)</f>
        <v>2.444</v>
      </c>
      <c r="L25" s="267"/>
      <c r="M25" s="275">
        <v>2.444</v>
      </c>
      <c r="N25" s="267"/>
      <c r="O25" s="274" t="str">
        <f t="shared" si="1"/>
        <v>EURAB6E17Y_Quote</v>
      </c>
      <c r="P25" s="273">
        <v>2.444</v>
      </c>
      <c r="Q25" s="272" t="e">
        <f>_xll.qlSimpleQuoteSetValue($O25,$P25/100,Trigger)</f>
        <v>#N/A</v>
      </c>
      <c r="R25" s="225"/>
      <c r="X25" s="307">
        <f t="shared" si="2"/>
        <v>4.0000000000000034E-4</v>
      </c>
    </row>
    <row r="26" spans="1:24" x14ac:dyDescent="0.2">
      <c r="A26" s="130"/>
      <c r="B26" s="278" t="s">
        <v>99</v>
      </c>
      <c r="C26" s="318" t="str">
        <v>AB</v>
      </c>
      <c r="D26" s="318" t="str">
        <v>6E</v>
      </c>
      <c r="E26" s="277" t="str">
        <f t="shared" si="0"/>
        <v>EURAB6E18Y</v>
      </c>
      <c r="F26" s="277" t="str">
        <v>EURAB6E18Y=ICAP</v>
      </c>
      <c r="G26" s="319">
        <v>2.444</v>
      </c>
      <c r="H26" s="319">
        <v>2.484</v>
      </c>
      <c r="I26" s="319">
        <v>0</v>
      </c>
      <c r="J26" s="319">
        <v>0</v>
      </c>
      <c r="K26" s="397">
        <f>_xll.qlMidEquivalent($G26,$H26,$I26,$J26)</f>
        <v>2.464</v>
      </c>
      <c r="L26" s="267"/>
      <c r="M26" s="275">
        <v>2.464</v>
      </c>
      <c r="N26" s="267"/>
      <c r="O26" s="274" t="str">
        <f t="shared" si="1"/>
        <v>EURAB6E18Y_Quote</v>
      </c>
      <c r="P26" s="273">
        <v>2.464</v>
      </c>
      <c r="Q26" s="272" t="e">
        <f>_xll.qlSimpleQuoteSetValue($O26,$P26/100,Trigger)</f>
        <v>#N/A</v>
      </c>
      <c r="R26" s="225"/>
      <c r="X26" s="307">
        <f t="shared" si="2"/>
        <v>4.0000000000000034E-4</v>
      </c>
    </row>
    <row r="27" spans="1:24" x14ac:dyDescent="0.2">
      <c r="A27" s="130"/>
      <c r="B27" s="278" t="s">
        <v>98</v>
      </c>
      <c r="C27" s="318" t="str">
        <v>AB</v>
      </c>
      <c r="D27" s="318" t="str">
        <v>6E</v>
      </c>
      <c r="E27" s="277" t="str">
        <f t="shared" si="0"/>
        <v>EURAB6E19Y</v>
      </c>
      <c r="F27" s="277" t="str">
        <v>EURAB6E19Y=ICAP</v>
      </c>
      <c r="G27" s="319">
        <v>2.4580000000000002</v>
      </c>
      <c r="H27" s="319">
        <v>2.4980000000000002</v>
      </c>
      <c r="I27" s="319">
        <v>0</v>
      </c>
      <c r="J27" s="319">
        <v>0</v>
      </c>
      <c r="K27" s="397">
        <f>_xll.qlMidEquivalent($G27,$H27,$I27,$J27)</f>
        <v>2.4780000000000002</v>
      </c>
      <c r="L27" s="267"/>
      <c r="M27" s="275">
        <v>2.4780000000000002</v>
      </c>
      <c r="N27" s="267"/>
      <c r="O27" s="274" t="str">
        <f t="shared" si="1"/>
        <v>EURAB6E19Y_Quote</v>
      </c>
      <c r="P27" s="273">
        <v>2.4780000000000002</v>
      </c>
      <c r="Q27" s="272" t="e">
        <f>_xll.qlSimpleQuoteSetValue($O27,$P27/100,Trigger)</f>
        <v>#N/A</v>
      </c>
      <c r="R27" s="225"/>
      <c r="X27" s="307">
        <f t="shared" si="2"/>
        <v>4.0000000000000034E-4</v>
      </c>
    </row>
    <row r="28" spans="1:24" x14ac:dyDescent="0.2">
      <c r="A28" s="130"/>
      <c r="B28" s="278" t="s">
        <v>97</v>
      </c>
      <c r="C28" s="318" t="str">
        <v>AB</v>
      </c>
      <c r="D28" s="318" t="str">
        <v>6E</v>
      </c>
      <c r="E28" s="277" t="str">
        <f t="shared" si="0"/>
        <v>EURAB6E20Y</v>
      </c>
      <c r="F28" s="277" t="str">
        <v>EURAB6E20Y=ICAP</v>
      </c>
      <c r="G28" s="319">
        <v>2.4670000000000001</v>
      </c>
      <c r="H28" s="319">
        <v>2.5070000000000001</v>
      </c>
      <c r="I28" s="319">
        <v>0</v>
      </c>
      <c r="J28" s="319">
        <v>0</v>
      </c>
      <c r="K28" s="397">
        <f>_xll.qlMidEquivalent($G28,$H28,$I28,$J28)</f>
        <v>2.4870000000000001</v>
      </c>
      <c r="L28" s="267"/>
      <c r="M28" s="275">
        <v>2.4870000000000001</v>
      </c>
      <c r="N28" s="267"/>
      <c r="O28" s="274" t="str">
        <f t="shared" si="1"/>
        <v>EURAB6E20Y_Quote</v>
      </c>
      <c r="P28" s="273">
        <v>2.4870000000000001</v>
      </c>
      <c r="Q28" s="272" t="e">
        <f>_xll.qlSimpleQuoteSetValue($O28,$P28/100,Trigger)</f>
        <v>#N/A</v>
      </c>
      <c r="R28" s="225"/>
      <c r="X28" s="307">
        <f t="shared" si="2"/>
        <v>4.0000000000000034E-4</v>
      </c>
    </row>
    <row r="29" spans="1:24" x14ac:dyDescent="0.2">
      <c r="A29" s="130"/>
      <c r="B29" s="278" t="s">
        <v>96</v>
      </c>
      <c r="C29" s="318" t="str">
        <v>AB</v>
      </c>
      <c r="D29" s="318" t="str">
        <v>6E</v>
      </c>
      <c r="E29" s="277" t="str">
        <f t="shared" si="0"/>
        <v>EURAB6E21Y</v>
      </c>
      <c r="F29" s="277" t="str">
        <v>EURAB6E21Y=ICAP</v>
      </c>
      <c r="G29" s="319">
        <v>2.4729999999999999</v>
      </c>
      <c r="H29" s="319">
        <v>2.5129999999999999</v>
      </c>
      <c r="I29" s="319">
        <v>0</v>
      </c>
      <c r="J29" s="319">
        <v>0</v>
      </c>
      <c r="K29" s="397">
        <f>_xll.qlMidEquivalent($G29,$H29,$I29,$J29)</f>
        <v>2.4929999999999999</v>
      </c>
      <c r="L29" s="267"/>
      <c r="M29" s="275">
        <v>2.4929999999999999</v>
      </c>
      <c r="N29" s="267"/>
      <c r="O29" s="274" t="str">
        <f t="shared" si="1"/>
        <v>EURAB6E21Y_Quote</v>
      </c>
      <c r="P29" s="273">
        <v>2.4929999999999999</v>
      </c>
      <c r="Q29" s="272" t="e">
        <f>_xll.qlSimpleQuoteSetValue($O29,$P29/100,Trigger)</f>
        <v>#N/A</v>
      </c>
      <c r="R29" s="225"/>
      <c r="X29" s="307">
        <f t="shared" si="2"/>
        <v>4.0000000000000034E-4</v>
      </c>
    </row>
    <row r="30" spans="1:24" x14ac:dyDescent="0.2">
      <c r="A30" s="130"/>
      <c r="B30" s="278" t="s">
        <v>95</v>
      </c>
      <c r="C30" s="318" t="str">
        <v>AB</v>
      </c>
      <c r="D30" s="318" t="str">
        <v>6E</v>
      </c>
      <c r="E30" s="277" t="str">
        <f t="shared" si="0"/>
        <v>EURAB6E22Y</v>
      </c>
      <c r="F30" s="277" t="str">
        <v>EURAB6E22Y=ICAP</v>
      </c>
      <c r="G30" s="319">
        <v>2.4780000000000002</v>
      </c>
      <c r="H30" s="319">
        <v>2.5179999999999998</v>
      </c>
      <c r="I30" s="319">
        <v>0</v>
      </c>
      <c r="J30" s="319">
        <v>0</v>
      </c>
      <c r="K30" s="397">
        <f>_xll.qlMidEquivalent($G30,$H30,$I30,$J30)</f>
        <v>2.4980000000000002</v>
      </c>
      <c r="L30" s="267"/>
      <c r="M30" s="275">
        <v>2.4980000000000002</v>
      </c>
      <c r="N30" s="267"/>
      <c r="O30" s="274" t="str">
        <f t="shared" si="1"/>
        <v>EURAB6E22Y_Quote</v>
      </c>
      <c r="P30" s="273">
        <v>2.4980000000000002</v>
      </c>
      <c r="Q30" s="272" t="e">
        <f>_xll.qlSimpleQuoteSetValue($O30,$P30/100,Trigger)</f>
        <v>#N/A</v>
      </c>
      <c r="R30" s="225"/>
      <c r="X30" s="307">
        <f t="shared" si="2"/>
        <v>3.9999999999999145E-4</v>
      </c>
    </row>
    <row r="31" spans="1:24" x14ac:dyDescent="0.2">
      <c r="A31" s="130"/>
      <c r="B31" s="278" t="s">
        <v>94</v>
      </c>
      <c r="C31" s="318" t="str">
        <v>AB</v>
      </c>
      <c r="D31" s="318" t="str">
        <v>6E</v>
      </c>
      <c r="E31" s="277" t="str">
        <f t="shared" si="0"/>
        <v>EURAB6E23Y</v>
      </c>
      <c r="F31" s="277" t="str">
        <v>EURAB6E23Y=ICAP</v>
      </c>
      <c r="G31" s="319">
        <v>2.4809999999999999</v>
      </c>
      <c r="H31" s="319">
        <v>2.5209999999999999</v>
      </c>
      <c r="I31" s="319">
        <v>0</v>
      </c>
      <c r="J31" s="319">
        <v>0</v>
      </c>
      <c r="K31" s="397">
        <f>_xll.qlMidEquivalent($G31,$H31,$I31,$J31)</f>
        <v>2.5009999999999999</v>
      </c>
      <c r="L31" s="267"/>
      <c r="M31" s="275">
        <v>2.5009999999999999</v>
      </c>
      <c r="N31" s="267"/>
      <c r="O31" s="274" t="str">
        <f t="shared" si="1"/>
        <v>EURAB6E23Y_Quote</v>
      </c>
      <c r="P31" s="273">
        <v>2.5009999999999999</v>
      </c>
      <c r="Q31" s="272" t="e">
        <f>_xll.qlSimpleQuoteSetValue($O31,$P31/100,Trigger)</f>
        <v>#N/A</v>
      </c>
      <c r="R31" s="225"/>
      <c r="X31" s="307">
        <f t="shared" si="2"/>
        <v>4.0000000000000034E-4</v>
      </c>
    </row>
    <row r="32" spans="1:24" x14ac:dyDescent="0.2">
      <c r="A32" s="130"/>
      <c r="B32" s="278" t="s">
        <v>93</v>
      </c>
      <c r="C32" s="318" t="str">
        <v>AB</v>
      </c>
      <c r="D32" s="318" t="str">
        <v>6E</v>
      </c>
      <c r="E32" s="277" t="str">
        <f t="shared" si="0"/>
        <v>EURAB6E24Y</v>
      </c>
      <c r="F32" s="277" t="str">
        <v>EURAB6E24Y=ICAP</v>
      </c>
      <c r="G32" s="319">
        <v>2.4809999999999999</v>
      </c>
      <c r="H32" s="319">
        <v>2.5209999999999999</v>
      </c>
      <c r="I32" s="319">
        <v>0</v>
      </c>
      <c r="J32" s="319">
        <v>0</v>
      </c>
      <c r="K32" s="397">
        <f>_xll.qlMidEquivalent($G32,$H32,$I32,$J32)</f>
        <v>2.5009999999999999</v>
      </c>
      <c r="L32" s="267"/>
      <c r="M32" s="275">
        <v>2.5009999999999999</v>
      </c>
      <c r="N32" s="267"/>
      <c r="O32" s="274" t="str">
        <f t="shared" si="1"/>
        <v>EURAB6E24Y_Quote</v>
      </c>
      <c r="P32" s="273">
        <v>2.5009999999999999</v>
      </c>
      <c r="Q32" s="272" t="e">
        <f>_xll.qlSimpleQuoteSetValue($O32,$P32/100,Trigger)</f>
        <v>#N/A</v>
      </c>
      <c r="R32" s="225"/>
      <c r="X32" s="307">
        <f t="shared" si="2"/>
        <v>4.0000000000000034E-4</v>
      </c>
    </row>
    <row r="33" spans="1:24" x14ac:dyDescent="0.2">
      <c r="A33" s="130"/>
      <c r="B33" s="278" t="s">
        <v>92</v>
      </c>
      <c r="C33" s="318" t="str">
        <v>AB</v>
      </c>
      <c r="D33" s="318" t="str">
        <v>6E</v>
      </c>
      <c r="E33" s="277" t="str">
        <f t="shared" si="0"/>
        <v>EURAB6E25Y</v>
      </c>
      <c r="F33" s="277" t="str">
        <v>EURAB6E25Y=ICAP</v>
      </c>
      <c r="G33" s="319">
        <v>2.4809999999999999</v>
      </c>
      <c r="H33" s="319">
        <v>2.5209999999999999</v>
      </c>
      <c r="I33" s="319">
        <v>0</v>
      </c>
      <c r="J33" s="319">
        <v>0</v>
      </c>
      <c r="K33" s="397">
        <f>_xll.qlMidEquivalent($G33,$H33,$I33,$J33)</f>
        <v>2.5009999999999999</v>
      </c>
      <c r="L33" s="267"/>
      <c r="M33" s="275">
        <v>2.5009999999999999</v>
      </c>
      <c r="N33" s="267"/>
      <c r="O33" s="274" t="str">
        <f t="shared" si="1"/>
        <v>EURAB6E25Y_Quote</v>
      </c>
      <c r="P33" s="273">
        <v>2.5009999999999999</v>
      </c>
      <c r="Q33" s="272" t="e">
        <f>_xll.qlSimpleQuoteSetValue($O33,$P33/100,Trigger)</f>
        <v>#N/A</v>
      </c>
      <c r="R33" s="225"/>
      <c r="X33" s="307">
        <f t="shared" si="2"/>
        <v>4.0000000000000034E-4</v>
      </c>
    </row>
    <row r="34" spans="1:24" x14ac:dyDescent="0.2">
      <c r="A34" s="130"/>
      <c r="B34" s="278" t="s">
        <v>91</v>
      </c>
      <c r="C34" s="318" t="str">
        <v>AB</v>
      </c>
      <c r="D34" s="318" t="str">
        <v>6E</v>
      </c>
      <c r="E34" s="277" t="str">
        <f t="shared" si="0"/>
        <v>EURAB6E26Y</v>
      </c>
      <c r="F34" s="277" t="str">
        <v>EURAB6E26Y=ICAP</v>
      </c>
      <c r="G34" s="319">
        <v>2.48</v>
      </c>
      <c r="H34" s="319">
        <v>2.52</v>
      </c>
      <c r="I34" s="319">
        <v>0</v>
      </c>
      <c r="J34" s="319">
        <v>0</v>
      </c>
      <c r="K34" s="397">
        <f>_xll.qlMidEquivalent($G34,$H34,$I34,$J34)</f>
        <v>2.5</v>
      </c>
      <c r="L34" s="267"/>
      <c r="M34" s="275">
        <v>2.5</v>
      </c>
      <c r="N34" s="267"/>
      <c r="O34" s="274" t="str">
        <f t="shared" si="1"/>
        <v>EURAB6E26Y_Quote</v>
      </c>
      <c r="P34" s="273">
        <v>2.5</v>
      </c>
      <c r="Q34" s="272" t="e">
        <f>_xll.qlSimpleQuoteSetValue($O34,$P34/100,Trigger)</f>
        <v>#N/A</v>
      </c>
      <c r="R34" s="225"/>
      <c r="X34" s="307">
        <f t="shared" si="2"/>
        <v>4.0000000000000034E-4</v>
      </c>
    </row>
    <row r="35" spans="1:24" x14ac:dyDescent="0.2">
      <c r="A35" s="130"/>
      <c r="B35" s="278" t="s">
        <v>90</v>
      </c>
      <c r="C35" s="318" t="str">
        <v>AB</v>
      </c>
      <c r="D35" s="318" t="str">
        <v>6E</v>
      </c>
      <c r="E35" s="277" t="str">
        <f t="shared" si="0"/>
        <v>EURAB6E27Y</v>
      </c>
      <c r="F35" s="277" t="str">
        <v>EURAB6E27Y=ICAP</v>
      </c>
      <c r="G35" s="319">
        <v>2.4780000000000002</v>
      </c>
      <c r="H35" s="319">
        <v>2.5179999999999998</v>
      </c>
      <c r="I35" s="319">
        <v>0</v>
      </c>
      <c r="J35" s="319">
        <v>0</v>
      </c>
      <c r="K35" s="397">
        <f>_xll.qlMidEquivalent($G35,$H35,$I35,$J35)</f>
        <v>2.4980000000000002</v>
      </c>
      <c r="L35" s="267"/>
      <c r="M35" s="275">
        <v>2.4980000000000002</v>
      </c>
      <c r="N35" s="267"/>
      <c r="O35" s="274" t="str">
        <f t="shared" si="1"/>
        <v>EURAB6E27Y_Quote</v>
      </c>
      <c r="P35" s="273">
        <v>2.4980000000000002</v>
      </c>
      <c r="Q35" s="272" t="e">
        <f>_xll.qlSimpleQuoteSetValue($O35,$P35/100,Trigger)</f>
        <v>#N/A</v>
      </c>
      <c r="R35" s="225"/>
      <c r="X35" s="307">
        <f t="shared" si="2"/>
        <v>3.9999999999999145E-4</v>
      </c>
    </row>
    <row r="36" spans="1:24" x14ac:dyDescent="0.2">
      <c r="A36" s="130"/>
      <c r="B36" s="278" t="s">
        <v>89</v>
      </c>
      <c r="C36" s="318" t="str">
        <v>AB</v>
      </c>
      <c r="D36" s="318" t="str">
        <v>6E</v>
      </c>
      <c r="E36" s="277" t="str">
        <f t="shared" si="0"/>
        <v>EURAB6E28Y</v>
      </c>
      <c r="F36" s="277" t="str">
        <v>EURAB6E28Y=ICAP</v>
      </c>
      <c r="G36" s="319">
        <v>2.4750000000000001</v>
      </c>
      <c r="H36" s="319">
        <v>2.5150000000000001</v>
      </c>
      <c r="I36" s="319">
        <v>0</v>
      </c>
      <c r="J36" s="319">
        <v>0</v>
      </c>
      <c r="K36" s="397">
        <f>_xll.qlMidEquivalent($G36,$H36,$I36,$J36)</f>
        <v>2.4950000000000001</v>
      </c>
      <c r="L36" s="267"/>
      <c r="M36" s="275">
        <v>2.4950000000000001</v>
      </c>
      <c r="N36" s="267"/>
      <c r="O36" s="274" t="str">
        <f t="shared" si="1"/>
        <v>EURAB6E28Y_Quote</v>
      </c>
      <c r="P36" s="273">
        <v>2.4950000000000001</v>
      </c>
      <c r="Q36" s="272" t="e">
        <f>_xll.qlSimpleQuoteSetValue($O36,$P36/100,Trigger)</f>
        <v>#N/A</v>
      </c>
      <c r="R36" s="225"/>
      <c r="X36" s="307">
        <f t="shared" si="2"/>
        <v>4.0000000000000034E-4</v>
      </c>
    </row>
    <row r="37" spans="1:24" x14ac:dyDescent="0.2">
      <c r="A37" s="130"/>
      <c r="B37" s="278" t="s">
        <v>88</v>
      </c>
      <c r="C37" s="318" t="str">
        <v>AB</v>
      </c>
      <c r="D37" s="318" t="str">
        <v>6E</v>
      </c>
      <c r="E37" s="277" t="str">
        <f t="shared" si="0"/>
        <v>EURAB6E29Y</v>
      </c>
      <c r="F37" s="277" t="str">
        <v>EURAB6E29Y=ICAP</v>
      </c>
      <c r="G37" s="319">
        <v>2.4740000000000002</v>
      </c>
      <c r="H37" s="319">
        <v>2.5139999999999998</v>
      </c>
      <c r="I37" s="319">
        <v>0</v>
      </c>
      <c r="J37" s="319">
        <v>0</v>
      </c>
      <c r="K37" s="397">
        <f>_xll.qlMidEquivalent($G37,$H37,$I37,$J37)</f>
        <v>2.4939999999999998</v>
      </c>
      <c r="L37" s="267"/>
      <c r="M37" s="275">
        <v>2.4939999999999998</v>
      </c>
      <c r="N37" s="267"/>
      <c r="O37" s="274" t="str">
        <f t="shared" si="1"/>
        <v>EURAB6E29Y_Quote</v>
      </c>
      <c r="P37" s="273">
        <v>2.4939999999999998</v>
      </c>
      <c r="Q37" s="272" t="e">
        <f>_xll.qlSimpleQuoteSetValue($O37,$P37/100,Trigger)</f>
        <v>#N/A</v>
      </c>
      <c r="R37" s="225"/>
      <c r="X37" s="307">
        <f t="shared" si="2"/>
        <v>4.0000000000000034E-4</v>
      </c>
    </row>
    <row r="38" spans="1:24" x14ac:dyDescent="0.2">
      <c r="A38" s="130"/>
      <c r="B38" s="278" t="s">
        <v>87</v>
      </c>
      <c r="C38" s="318" t="str">
        <v>AB</v>
      </c>
      <c r="D38" s="318" t="str">
        <v>6E</v>
      </c>
      <c r="E38" s="277" t="str">
        <f t="shared" si="0"/>
        <v>EURAB6E30Y</v>
      </c>
      <c r="F38" s="277" t="str">
        <v>EURAB6E30Y=ICAP</v>
      </c>
      <c r="G38" s="319">
        <v>2.4729999999999999</v>
      </c>
      <c r="H38" s="319">
        <v>2.5129999999999999</v>
      </c>
      <c r="I38" s="319">
        <v>0</v>
      </c>
      <c r="J38" s="319">
        <v>0</v>
      </c>
      <c r="K38" s="397">
        <f>_xll.qlMidEquivalent($G38,$H38,$I38,$J38)</f>
        <v>2.4929999999999999</v>
      </c>
      <c r="L38" s="267"/>
      <c r="M38" s="275">
        <v>2.4929999999999999</v>
      </c>
      <c r="N38" s="267"/>
      <c r="O38" s="274" t="str">
        <f t="shared" si="1"/>
        <v>EURAB6E30Y_Quote</v>
      </c>
      <c r="P38" s="273">
        <v>2.4929999999999999</v>
      </c>
      <c r="Q38" s="272" t="e">
        <f>_xll.qlSimpleQuoteSetValue($O38,$P38/100,Trigger)</f>
        <v>#N/A</v>
      </c>
      <c r="R38" s="225"/>
      <c r="X38" s="307">
        <f t="shared" si="2"/>
        <v>4.0000000000000034E-4</v>
      </c>
    </row>
    <row r="39" spans="1:24" x14ac:dyDescent="0.2">
      <c r="A39" s="130"/>
      <c r="B39" s="278" t="s">
        <v>82</v>
      </c>
      <c r="C39" s="318" t="str">
        <v>AB</v>
      </c>
      <c r="D39" s="318" t="str">
        <v>6E</v>
      </c>
      <c r="E39" s="277" t="str">
        <f t="shared" si="0"/>
        <v>EURAB6E35Y</v>
      </c>
      <c r="F39" s="277" t="str">
        <v>EURAB6E35Y=ICAP</v>
      </c>
      <c r="G39" s="319">
        <v>2.4870000000000001</v>
      </c>
      <c r="H39" s="319">
        <v>2.5270000000000001</v>
      </c>
      <c r="I39" s="319">
        <v>0</v>
      </c>
      <c r="J39" s="319">
        <v>0</v>
      </c>
      <c r="K39" s="397">
        <f>_xll.qlMidEquivalent($G39,$H39,$I39,$J39)</f>
        <v>2.5070000000000001</v>
      </c>
      <c r="L39" s="267"/>
      <c r="M39" s="275">
        <v>2.5070000000000001</v>
      </c>
      <c r="N39" s="267"/>
      <c r="O39" s="274" t="str">
        <f t="shared" si="1"/>
        <v>EURAB6E35Y_Quote</v>
      </c>
      <c r="P39" s="273">
        <v>2.5070000000000001</v>
      </c>
      <c r="Q39" s="272" t="e">
        <f>_xll.qlSimpleQuoteSetValue($O39,$P39/100,Trigger)</f>
        <v>#N/A</v>
      </c>
      <c r="R39" s="225"/>
      <c r="X39" s="307">
        <f t="shared" si="2"/>
        <v>4.0000000000000034E-4</v>
      </c>
    </row>
    <row r="40" spans="1:24" x14ac:dyDescent="0.2">
      <c r="A40" s="130"/>
      <c r="B40" s="278" t="s">
        <v>77</v>
      </c>
      <c r="C40" s="318" t="str">
        <v>AB</v>
      </c>
      <c r="D40" s="318" t="str">
        <v>6E</v>
      </c>
      <c r="E40" s="277" t="str">
        <f t="shared" si="0"/>
        <v>EURAB6E40Y</v>
      </c>
      <c r="F40" s="277" t="str">
        <v>EURAB6E40Y=ICAP</v>
      </c>
      <c r="G40" s="319">
        <v>2.5150000000000001</v>
      </c>
      <c r="H40" s="319">
        <v>2.5550000000000002</v>
      </c>
      <c r="I40" s="319">
        <v>0</v>
      </c>
      <c r="J40" s="319">
        <v>0</v>
      </c>
      <c r="K40" s="397">
        <f>_xll.qlMidEquivalent($G40,$H40,$I40,$J40)</f>
        <v>2.5350000000000001</v>
      </c>
      <c r="L40" s="267"/>
      <c r="M40" s="275">
        <v>2.5350000000000001</v>
      </c>
      <c r="N40" s="267"/>
      <c r="O40" s="274" t="str">
        <f t="shared" si="1"/>
        <v>EURAB6E40Y_Quote</v>
      </c>
      <c r="P40" s="273">
        <v>2.5350000000000001</v>
      </c>
      <c r="Q40" s="272" t="e">
        <f>_xll.qlSimpleQuoteSetValue($O40,$P40/100,Trigger)</f>
        <v>#N/A</v>
      </c>
      <c r="R40" s="225"/>
      <c r="X40" s="307">
        <f t="shared" si="2"/>
        <v>4.0000000000000034E-4</v>
      </c>
    </row>
    <row r="41" spans="1:24" x14ac:dyDescent="0.2">
      <c r="A41" s="130"/>
      <c r="B41" s="278" t="s">
        <v>67</v>
      </c>
      <c r="C41" s="318" t="str">
        <v>AB</v>
      </c>
      <c r="D41" s="318" t="str">
        <v>6E</v>
      </c>
      <c r="E41" s="277" t="str">
        <f t="shared" si="0"/>
        <v>EURAB6E50Y</v>
      </c>
      <c r="F41" s="277" t="str">
        <v>EURAB6E50Y=ICAP</v>
      </c>
      <c r="G41" s="319">
        <v>2.5590000000000002</v>
      </c>
      <c r="H41" s="319">
        <v>2.5990000000000002</v>
      </c>
      <c r="I41" s="319">
        <v>0</v>
      </c>
      <c r="J41" s="319">
        <v>0</v>
      </c>
      <c r="K41" s="397">
        <f>_xll.qlMidEquivalent($G41,$H41,$I41,$J41)</f>
        <v>2.5790000000000002</v>
      </c>
      <c r="L41" s="267"/>
      <c r="M41" s="275">
        <v>2.5790000000000002</v>
      </c>
      <c r="N41" s="267"/>
      <c r="O41" s="274" t="str">
        <f t="shared" si="1"/>
        <v>EURAB6E50Y_Quote</v>
      </c>
      <c r="P41" s="273">
        <v>2.5790000000000002</v>
      </c>
      <c r="Q41" s="272" t="e">
        <f>_xll.qlSimpleQuoteSetValue($O41,$P41/100,Trigger)</f>
        <v>#N/A</v>
      </c>
      <c r="R41" s="225"/>
      <c r="X41" s="307">
        <f t="shared" si="2"/>
        <v>4.0000000000000034E-4</v>
      </c>
    </row>
    <row r="42" spans="1:24" x14ac:dyDescent="0.2">
      <c r="A42" s="130"/>
      <c r="B42" s="271" t="s">
        <v>57</v>
      </c>
      <c r="C42" s="324" t="str">
        <v>AB</v>
      </c>
      <c r="D42" s="324" t="str">
        <v>6E</v>
      </c>
      <c r="E42" s="270" t="str">
        <f t="shared" si="0"/>
        <v>EURAB6E60Y</v>
      </c>
      <c r="F42" s="270" t="str">
        <v>EURAB6E60Y=ICAP</v>
      </c>
      <c r="G42" s="325">
        <v>2.59</v>
      </c>
      <c r="H42" s="325">
        <v>2.63</v>
      </c>
      <c r="I42" s="325">
        <v>0</v>
      </c>
      <c r="J42" s="325">
        <v>0</v>
      </c>
      <c r="K42" s="396">
        <f>_xll.qlMidEquivalent($G42,$H42,$I42,$J42)</f>
        <v>2.61</v>
      </c>
      <c r="L42" s="267"/>
      <c r="M42" s="268">
        <v>2.61</v>
      </c>
      <c r="N42" s="267"/>
      <c r="O42" s="266" t="str">
        <f t="shared" si="1"/>
        <v>EURAB6E60Y_Quote</v>
      </c>
      <c r="P42" s="265">
        <v>2.61</v>
      </c>
      <c r="Q42" s="264" t="e">
        <f>_xll.qlSimpleQuoteSetValue($O42,$P42/100,Trigger)</f>
        <v>#N/A</v>
      </c>
      <c r="R42" s="225"/>
      <c r="X42" s="307">
        <f t="shared" si="2"/>
        <v>4.0000000000000034E-4</v>
      </c>
    </row>
    <row r="43" spans="1:24" ht="12" thickBot="1" x14ac:dyDescent="0.25">
      <c r="A43" s="53"/>
      <c r="B43" s="52"/>
      <c r="C43" s="52"/>
      <c r="D43" s="52"/>
      <c r="E43" s="52"/>
      <c r="F43" s="52"/>
      <c r="G43" s="52"/>
      <c r="H43" s="52"/>
      <c r="I43" s="52"/>
      <c r="J43" s="52"/>
      <c r="K43" s="52"/>
      <c r="L43" s="52"/>
      <c r="M43" s="52"/>
      <c r="N43" s="52"/>
      <c r="O43" s="52"/>
      <c r="P43" s="52"/>
      <c r="Q43" s="52"/>
      <c r="R43" s="394"/>
    </row>
  </sheetData>
  <dataValidations count="1">
    <dataValidation type="list" showInputMessage="1" showErrorMessage="1" sqref="F2 JB2 SX2 ACT2 AMP2 AWL2 BGH2 BQD2 BZZ2 CJV2 CTR2 DDN2 DNJ2 DXF2 EHB2 EQX2 FAT2 FKP2 FUL2 GEH2 GOD2 GXZ2 HHV2 HRR2 IBN2 ILJ2 IVF2 JFB2 JOX2 JYT2 KIP2 KSL2 LCH2 LMD2 LVZ2 MFV2 MPR2 MZN2 NJJ2 NTF2 ODB2 OMX2 OWT2 PGP2 PQL2 QAH2 QKD2 QTZ2 RDV2 RNR2 RXN2 SHJ2 SRF2 TBB2 TKX2 TUT2 UEP2 UOL2 UYH2 VID2 VRZ2 WBV2 WLR2 WVN2 F65538 JB65538 SX65538 ACT65538 AMP65538 AWL65538 BGH65538 BQD65538 BZZ65538 CJV65538 CTR65538 DDN65538 DNJ65538 DXF65538 EHB65538 EQX65538 FAT65538 FKP65538 FUL65538 GEH65538 GOD65538 GXZ65538 HHV65538 HRR65538 IBN65538 ILJ65538 IVF65538 JFB65538 JOX65538 JYT65538 KIP65538 KSL65538 LCH65538 LMD65538 LVZ65538 MFV65538 MPR65538 MZN65538 NJJ65538 NTF65538 ODB65538 OMX65538 OWT65538 PGP65538 PQL65538 QAH65538 QKD65538 QTZ65538 RDV65538 RNR65538 RXN65538 SHJ65538 SRF65538 TBB65538 TKX65538 TUT65538 UEP65538 UOL65538 UYH65538 VID65538 VRZ65538 WBV65538 WLR65538 WVN65538 F131074 JB131074 SX131074 ACT131074 AMP131074 AWL131074 BGH131074 BQD131074 BZZ131074 CJV131074 CTR131074 DDN131074 DNJ131074 DXF131074 EHB131074 EQX131074 FAT131074 FKP131074 FUL131074 GEH131074 GOD131074 GXZ131074 HHV131074 HRR131074 IBN131074 ILJ131074 IVF131074 JFB131074 JOX131074 JYT131074 KIP131074 KSL131074 LCH131074 LMD131074 LVZ131074 MFV131074 MPR131074 MZN131074 NJJ131074 NTF131074 ODB131074 OMX131074 OWT131074 PGP131074 PQL131074 QAH131074 QKD131074 QTZ131074 RDV131074 RNR131074 RXN131074 SHJ131074 SRF131074 TBB131074 TKX131074 TUT131074 UEP131074 UOL131074 UYH131074 VID131074 VRZ131074 WBV131074 WLR131074 WVN131074 F196610 JB196610 SX196610 ACT196610 AMP196610 AWL196610 BGH196610 BQD196610 BZZ196610 CJV196610 CTR196610 DDN196610 DNJ196610 DXF196610 EHB196610 EQX196610 FAT196610 FKP196610 FUL196610 GEH196610 GOD196610 GXZ196610 HHV196610 HRR196610 IBN196610 ILJ196610 IVF196610 JFB196610 JOX196610 JYT196610 KIP196610 KSL196610 LCH196610 LMD196610 LVZ196610 MFV196610 MPR196610 MZN196610 NJJ196610 NTF196610 ODB196610 OMX196610 OWT196610 PGP196610 PQL196610 QAH196610 QKD196610 QTZ196610 RDV196610 RNR196610 RXN196610 SHJ196610 SRF196610 TBB196610 TKX196610 TUT196610 UEP196610 UOL196610 UYH196610 VID196610 VRZ196610 WBV196610 WLR196610 WVN196610 F262146 JB262146 SX262146 ACT262146 AMP262146 AWL262146 BGH262146 BQD262146 BZZ262146 CJV262146 CTR262146 DDN262146 DNJ262146 DXF262146 EHB262146 EQX262146 FAT262146 FKP262146 FUL262146 GEH262146 GOD262146 GXZ262146 HHV262146 HRR262146 IBN262146 ILJ262146 IVF262146 JFB262146 JOX262146 JYT262146 KIP262146 KSL262146 LCH262146 LMD262146 LVZ262146 MFV262146 MPR262146 MZN262146 NJJ262146 NTF262146 ODB262146 OMX262146 OWT262146 PGP262146 PQL262146 QAH262146 QKD262146 QTZ262146 RDV262146 RNR262146 RXN262146 SHJ262146 SRF262146 TBB262146 TKX262146 TUT262146 UEP262146 UOL262146 UYH262146 VID262146 VRZ262146 WBV262146 WLR262146 WVN262146 F327682 JB327682 SX327682 ACT327682 AMP327682 AWL327682 BGH327682 BQD327682 BZZ327682 CJV327682 CTR327682 DDN327682 DNJ327682 DXF327682 EHB327682 EQX327682 FAT327682 FKP327682 FUL327682 GEH327682 GOD327682 GXZ327682 HHV327682 HRR327682 IBN327682 ILJ327682 IVF327682 JFB327682 JOX327682 JYT327682 KIP327682 KSL327682 LCH327682 LMD327682 LVZ327682 MFV327682 MPR327682 MZN327682 NJJ327682 NTF327682 ODB327682 OMX327682 OWT327682 PGP327682 PQL327682 QAH327682 QKD327682 QTZ327682 RDV327682 RNR327682 RXN327682 SHJ327682 SRF327682 TBB327682 TKX327682 TUT327682 UEP327682 UOL327682 UYH327682 VID327682 VRZ327682 WBV327682 WLR327682 WVN327682 F393218 JB393218 SX393218 ACT393218 AMP393218 AWL393218 BGH393218 BQD393218 BZZ393218 CJV393218 CTR393218 DDN393218 DNJ393218 DXF393218 EHB393218 EQX393218 FAT393218 FKP393218 FUL393218 GEH393218 GOD393218 GXZ393218 HHV393218 HRR393218 IBN393218 ILJ393218 IVF393218 JFB393218 JOX393218 JYT393218 KIP393218 KSL393218 LCH393218 LMD393218 LVZ393218 MFV393218 MPR393218 MZN393218 NJJ393218 NTF393218 ODB393218 OMX393218 OWT393218 PGP393218 PQL393218 QAH393218 QKD393218 QTZ393218 RDV393218 RNR393218 RXN393218 SHJ393218 SRF393218 TBB393218 TKX393218 TUT393218 UEP393218 UOL393218 UYH393218 VID393218 VRZ393218 WBV393218 WLR393218 WVN393218 F458754 JB458754 SX458754 ACT458754 AMP458754 AWL458754 BGH458754 BQD458754 BZZ458754 CJV458754 CTR458754 DDN458754 DNJ458754 DXF458754 EHB458754 EQX458754 FAT458754 FKP458754 FUL458754 GEH458754 GOD458754 GXZ458754 HHV458754 HRR458754 IBN458754 ILJ458754 IVF458754 JFB458754 JOX458754 JYT458754 KIP458754 KSL458754 LCH458754 LMD458754 LVZ458754 MFV458754 MPR458754 MZN458754 NJJ458754 NTF458754 ODB458754 OMX458754 OWT458754 PGP458754 PQL458754 QAH458754 QKD458754 QTZ458754 RDV458754 RNR458754 RXN458754 SHJ458754 SRF458754 TBB458754 TKX458754 TUT458754 UEP458754 UOL458754 UYH458754 VID458754 VRZ458754 WBV458754 WLR458754 WVN458754 F524290 JB524290 SX524290 ACT524290 AMP524290 AWL524290 BGH524290 BQD524290 BZZ524290 CJV524290 CTR524290 DDN524290 DNJ524290 DXF524290 EHB524290 EQX524290 FAT524290 FKP524290 FUL524290 GEH524290 GOD524290 GXZ524290 HHV524290 HRR524290 IBN524290 ILJ524290 IVF524290 JFB524290 JOX524290 JYT524290 KIP524290 KSL524290 LCH524290 LMD524290 LVZ524290 MFV524290 MPR524290 MZN524290 NJJ524290 NTF524290 ODB524290 OMX524290 OWT524290 PGP524290 PQL524290 QAH524290 QKD524290 QTZ524290 RDV524290 RNR524290 RXN524290 SHJ524290 SRF524290 TBB524290 TKX524290 TUT524290 UEP524290 UOL524290 UYH524290 VID524290 VRZ524290 WBV524290 WLR524290 WVN524290 F589826 JB589826 SX589826 ACT589826 AMP589826 AWL589826 BGH589826 BQD589826 BZZ589826 CJV589826 CTR589826 DDN589826 DNJ589826 DXF589826 EHB589826 EQX589826 FAT589826 FKP589826 FUL589826 GEH589826 GOD589826 GXZ589826 HHV589826 HRR589826 IBN589826 ILJ589826 IVF589826 JFB589826 JOX589826 JYT589826 KIP589826 KSL589826 LCH589826 LMD589826 LVZ589826 MFV589826 MPR589826 MZN589826 NJJ589826 NTF589826 ODB589826 OMX589826 OWT589826 PGP589826 PQL589826 QAH589826 QKD589826 QTZ589826 RDV589826 RNR589826 RXN589826 SHJ589826 SRF589826 TBB589826 TKX589826 TUT589826 UEP589826 UOL589826 UYH589826 VID589826 VRZ589826 WBV589826 WLR589826 WVN589826 F655362 JB655362 SX655362 ACT655362 AMP655362 AWL655362 BGH655362 BQD655362 BZZ655362 CJV655362 CTR655362 DDN655362 DNJ655362 DXF655362 EHB655362 EQX655362 FAT655362 FKP655362 FUL655362 GEH655362 GOD655362 GXZ655362 HHV655362 HRR655362 IBN655362 ILJ655362 IVF655362 JFB655362 JOX655362 JYT655362 KIP655362 KSL655362 LCH655362 LMD655362 LVZ655362 MFV655362 MPR655362 MZN655362 NJJ655362 NTF655362 ODB655362 OMX655362 OWT655362 PGP655362 PQL655362 QAH655362 QKD655362 QTZ655362 RDV655362 RNR655362 RXN655362 SHJ655362 SRF655362 TBB655362 TKX655362 TUT655362 UEP655362 UOL655362 UYH655362 VID655362 VRZ655362 WBV655362 WLR655362 WVN655362 F720898 JB720898 SX720898 ACT720898 AMP720898 AWL720898 BGH720898 BQD720898 BZZ720898 CJV720898 CTR720898 DDN720898 DNJ720898 DXF720898 EHB720898 EQX720898 FAT720898 FKP720898 FUL720898 GEH720898 GOD720898 GXZ720898 HHV720898 HRR720898 IBN720898 ILJ720898 IVF720898 JFB720898 JOX720898 JYT720898 KIP720898 KSL720898 LCH720898 LMD720898 LVZ720898 MFV720898 MPR720898 MZN720898 NJJ720898 NTF720898 ODB720898 OMX720898 OWT720898 PGP720898 PQL720898 QAH720898 QKD720898 QTZ720898 RDV720898 RNR720898 RXN720898 SHJ720898 SRF720898 TBB720898 TKX720898 TUT720898 UEP720898 UOL720898 UYH720898 VID720898 VRZ720898 WBV720898 WLR720898 WVN720898 F786434 JB786434 SX786434 ACT786434 AMP786434 AWL786434 BGH786434 BQD786434 BZZ786434 CJV786434 CTR786434 DDN786434 DNJ786434 DXF786434 EHB786434 EQX786434 FAT786434 FKP786434 FUL786434 GEH786434 GOD786434 GXZ786434 HHV786434 HRR786434 IBN786434 ILJ786434 IVF786434 JFB786434 JOX786434 JYT786434 KIP786434 KSL786434 LCH786434 LMD786434 LVZ786434 MFV786434 MPR786434 MZN786434 NJJ786434 NTF786434 ODB786434 OMX786434 OWT786434 PGP786434 PQL786434 QAH786434 QKD786434 QTZ786434 RDV786434 RNR786434 RXN786434 SHJ786434 SRF786434 TBB786434 TKX786434 TUT786434 UEP786434 UOL786434 UYH786434 VID786434 VRZ786434 WBV786434 WLR786434 WVN786434 F851970 JB851970 SX851970 ACT851970 AMP851970 AWL851970 BGH851970 BQD851970 BZZ851970 CJV851970 CTR851970 DDN851970 DNJ851970 DXF851970 EHB851970 EQX851970 FAT851970 FKP851970 FUL851970 GEH851970 GOD851970 GXZ851970 HHV851970 HRR851970 IBN851970 ILJ851970 IVF851970 JFB851970 JOX851970 JYT851970 KIP851970 KSL851970 LCH851970 LMD851970 LVZ851970 MFV851970 MPR851970 MZN851970 NJJ851970 NTF851970 ODB851970 OMX851970 OWT851970 PGP851970 PQL851970 QAH851970 QKD851970 QTZ851970 RDV851970 RNR851970 RXN851970 SHJ851970 SRF851970 TBB851970 TKX851970 TUT851970 UEP851970 UOL851970 UYH851970 VID851970 VRZ851970 WBV851970 WLR851970 WVN851970 F917506 JB917506 SX917506 ACT917506 AMP917506 AWL917506 BGH917506 BQD917506 BZZ917506 CJV917506 CTR917506 DDN917506 DNJ917506 DXF917506 EHB917506 EQX917506 FAT917506 FKP917506 FUL917506 GEH917506 GOD917506 GXZ917506 HHV917506 HRR917506 IBN917506 ILJ917506 IVF917506 JFB917506 JOX917506 JYT917506 KIP917506 KSL917506 LCH917506 LMD917506 LVZ917506 MFV917506 MPR917506 MZN917506 NJJ917506 NTF917506 ODB917506 OMX917506 OWT917506 PGP917506 PQL917506 QAH917506 QKD917506 QTZ917506 RDV917506 RNR917506 RXN917506 SHJ917506 SRF917506 TBB917506 TKX917506 TUT917506 UEP917506 UOL917506 UYH917506 VID917506 VRZ917506 WBV917506 WLR917506 WVN917506 F983042 JB983042 SX983042 ACT983042 AMP983042 AWL983042 BGH983042 BQD983042 BZZ983042 CJV983042 CTR983042 DDN983042 DNJ983042 DXF983042 EHB983042 EQX983042 FAT983042 FKP983042 FUL983042 GEH983042 GOD983042 GXZ983042 HHV983042 HRR983042 IBN983042 ILJ983042 IVF983042 JFB983042 JOX983042 JYT983042 KIP983042 KSL983042 LCH983042 LMD983042 LVZ983042 MFV983042 MPR983042 MZN983042 NJJ983042 NTF983042 ODB983042 OMX983042 OWT983042 PGP983042 PQL983042 QAH983042 QKD983042 QTZ983042 RDV983042 RNR983042 RXN983042 SHJ983042 SRF983042 TBB983042 TKX983042 TUT983042 UEP983042 UOL983042 UYH983042 VID983042 VRZ983042 WBV983042 WLR983042 WVN983042">
      <formula1>Contributors</formula1>
    </dataValidation>
  </dataValidations>
  <pageMargins left="0.75" right="0.75" top="1" bottom="1" header="0.5" footer="0.5"/>
  <pageSetup paperSize="9" orientation="portrait" r:id="rId1"/>
  <headerFooter alignWithMargins="0"/>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V65"/>
  <sheetViews>
    <sheetView workbookViewId="0"/>
  </sheetViews>
  <sheetFormatPr defaultRowHeight="11.25" x14ac:dyDescent="0.2"/>
  <cols>
    <col min="1" max="1" width="5" style="21" customWidth="1"/>
    <col min="2" max="2" width="3.85546875" style="21" bestFit="1" customWidth="1"/>
    <col min="3" max="4" width="2.7109375" style="21" bestFit="1" customWidth="1"/>
    <col min="5" max="5" width="10.28515625" style="21" bestFit="1" customWidth="1"/>
    <col min="6" max="6" width="14.5703125" style="21" bestFit="1" customWidth="1"/>
    <col min="7" max="7" width="4.85546875" style="21" bestFit="1" customWidth="1"/>
    <col min="8" max="8" width="4.140625" style="21" bestFit="1" customWidth="1"/>
    <col min="9" max="9" width="9" style="21" bestFit="1" customWidth="1"/>
    <col min="10" max="11" width="5.7109375" style="21" bestFit="1" customWidth="1"/>
    <col min="12" max="12" width="4" style="21" customWidth="1"/>
    <col min="13" max="13" width="5.28515625" style="21" bestFit="1" customWidth="1"/>
    <col min="14" max="14" width="4.140625" style="21" customWidth="1"/>
    <col min="15" max="15" width="15.42578125" style="21" bestFit="1" customWidth="1"/>
    <col min="16" max="17" width="7.7109375" style="21" bestFit="1" customWidth="1"/>
    <col min="18" max="18" width="5" style="21" customWidth="1"/>
    <col min="19" max="19" width="5.140625" style="21" customWidth="1"/>
    <col min="20" max="20" width="9" style="21" bestFit="1" customWidth="1"/>
    <col min="21" max="21" width="4.140625" style="21" bestFit="1" customWidth="1"/>
    <col min="22" max="22" width="9.5703125" style="21" bestFit="1" customWidth="1"/>
    <col min="23" max="16384" width="9.140625" style="21"/>
  </cols>
  <sheetData>
    <row r="1" spans="1:22" x14ac:dyDescent="0.2">
      <c r="A1" s="339" t="s">
        <v>313</v>
      </c>
      <c r="B1" s="207"/>
      <c r="C1" s="207"/>
      <c r="D1" s="207"/>
      <c r="E1" s="207"/>
      <c r="F1" s="207"/>
      <c r="G1" s="207"/>
      <c r="H1" s="207"/>
      <c r="I1" s="207"/>
      <c r="J1" s="207"/>
      <c r="K1" s="207"/>
      <c r="L1" s="207"/>
      <c r="M1" s="207"/>
      <c r="N1" s="207"/>
      <c r="O1" s="207"/>
      <c r="P1" s="207"/>
      <c r="Q1" s="207"/>
      <c r="R1" s="204"/>
    </row>
    <row r="2" spans="1:22" x14ac:dyDescent="0.2">
      <c r="A2" s="304"/>
      <c r="B2" s="267"/>
      <c r="C2" s="267"/>
      <c r="D2" s="267"/>
      <c r="E2" s="267"/>
      <c r="F2" s="152" t="s">
        <v>238</v>
      </c>
      <c r="G2" s="267"/>
      <c r="H2" s="267"/>
      <c r="I2" s="267"/>
      <c r="J2" s="267"/>
      <c r="K2" s="145"/>
      <c r="L2" s="267"/>
      <c r="M2" s="267"/>
      <c r="N2" s="267"/>
      <c r="O2" s="415" t="s">
        <v>257</v>
      </c>
      <c r="P2" s="152" t="s">
        <v>147</v>
      </c>
      <c r="Q2" s="145"/>
      <c r="R2" s="54"/>
    </row>
    <row r="3" spans="1:22" x14ac:dyDescent="0.2">
      <c r="A3" s="130"/>
      <c r="B3" s="267"/>
      <c r="C3" s="145"/>
      <c r="D3" s="145"/>
      <c r="E3" s="145"/>
      <c r="F3" s="145" t="str">
        <f>_xll.qlInterpolation(,InterpolationType,_xll.ohFilter(A5:A42,J5:J42),_xll.ohFilter(I5:I42,J5:J42))</f>
        <v>obj_004c8#0002</v>
      </c>
      <c r="G3" s="145"/>
      <c r="H3" s="145"/>
      <c r="I3" s="145"/>
      <c r="J3" s="145"/>
      <c r="K3" s="145"/>
      <c r="L3" s="267"/>
      <c r="M3" s="267"/>
      <c r="N3" s="267"/>
      <c r="O3" s="145"/>
      <c r="P3" s="145"/>
      <c r="Q3" s="299">
        <f>_xll.ohTrigger(Q5:Q42)</f>
        <v>3</v>
      </c>
      <c r="R3" s="225"/>
    </row>
    <row r="4" spans="1:22" ht="23.25" thickBot="1" x14ac:dyDescent="0.25">
      <c r="A4" s="130"/>
      <c r="B4" s="399"/>
      <c r="C4" s="202"/>
      <c r="D4" s="202"/>
      <c r="E4" s="202"/>
      <c r="F4" s="298" t="e">
        <f ca="1">_xll.RData(F5:F42,G4:H4,,ReutersRtMode,,G5)</f>
        <v>#NAME?</v>
      </c>
      <c r="G4" s="336" t="s">
        <v>261</v>
      </c>
      <c r="H4" s="336" t="s">
        <v>228</v>
      </c>
      <c r="I4" s="336" t="s">
        <v>288</v>
      </c>
      <c r="J4" s="336"/>
      <c r="K4" s="293" t="s">
        <v>287</v>
      </c>
      <c r="L4" s="267"/>
      <c r="M4" s="296" t="s">
        <v>255</v>
      </c>
      <c r="N4" s="267"/>
      <c r="O4" s="295" t="s">
        <v>254</v>
      </c>
      <c r="P4" s="398" t="s">
        <v>253</v>
      </c>
      <c r="Q4" s="100" t="s">
        <v>252</v>
      </c>
      <c r="R4" s="225"/>
    </row>
    <row r="5" spans="1:22" x14ac:dyDescent="0.2">
      <c r="A5" s="414">
        <v>0.5</v>
      </c>
      <c r="B5" s="321" t="s">
        <v>40</v>
      </c>
      <c r="C5" s="320" t="str">
        <f t="array" ref="C5:C42">VLOOKUP(Currency,Conventions,2)</f>
        <v>1E</v>
      </c>
      <c r="D5" s="320" t="str">
        <f t="array" ref="D5:D42">VLOOKUP(Currency,Conventions,3)</f>
        <v>6E</v>
      </c>
      <c r="E5" s="318" t="str">
        <f t="shared" ref="E5:E42" si="0">Currency&amp;$C5&amp;$D5&amp;$B5</f>
        <v>EUR1E6E6M</v>
      </c>
      <c r="F5" s="277" t="str">
        <f t="array" ref="F5:F42">Instruments&amp;"="&amp;VLOOKUP(Contributor,ContributorTable,2,FALSE)</f>
        <v>EUR1E6E6M=ICAP</v>
      </c>
      <c r="G5" s="413" t="s">
        <v>262</v>
      </c>
      <c r="H5" s="413" t="s">
        <v>262</v>
      </c>
      <c r="I5" s="413" t="e">
        <f>_xll.qlMidEquivalent(G5,H5)</f>
        <v>#NUM!</v>
      </c>
      <c r="J5" s="273" t="b">
        <f t="shared" ref="J5:J42" si="1">IF(ISNUMBER(I5),TRUE,FALSE)</f>
        <v>0</v>
      </c>
      <c r="K5" s="412" t="e">
        <f t="array" ref="K5:K42">_xll.qlInterpolationInterpolate(F3,A5:A42)</f>
        <v>#NUM!</v>
      </c>
      <c r="L5" s="267"/>
      <c r="M5" s="411" t="e">
        <v>#NUM!</v>
      </c>
      <c r="N5" s="267"/>
      <c r="O5" s="274" t="str">
        <f t="shared" ref="O5:O42" si="2">$E5&amp;$P$2</f>
        <v>EUR1E6E6M_Quote</v>
      </c>
      <c r="P5" s="410" t="e">
        <f t="array" ref="P5:P42">QuoteLive</f>
        <v>#NUM!</v>
      </c>
      <c r="Q5" s="272" t="e">
        <f>_xll.qlSimpleQuoteSetValue($O5,ROUND($P5/10000,6),Trigger)</f>
        <v>#NUM!</v>
      </c>
      <c r="R5" s="225"/>
      <c r="T5" s="95" t="s">
        <v>137</v>
      </c>
      <c r="U5" s="94" t="s">
        <v>129</v>
      </c>
      <c r="V5" s="93" t="s">
        <v>132</v>
      </c>
    </row>
    <row r="6" spans="1:22" x14ac:dyDescent="0.2">
      <c r="A6" s="414">
        <v>1</v>
      </c>
      <c r="B6" s="321" t="s">
        <v>34</v>
      </c>
      <c r="C6" s="320" t="str">
        <v>1E</v>
      </c>
      <c r="D6" s="320" t="str">
        <v>6E</v>
      </c>
      <c r="E6" s="318" t="str">
        <f t="shared" si="0"/>
        <v>EUR1E6E1Y</v>
      </c>
      <c r="F6" s="277" t="str">
        <v>EUR1E6E1Y=ICAP</v>
      </c>
      <c r="G6" s="413">
        <v>22</v>
      </c>
      <c r="H6" s="413">
        <v>0</v>
      </c>
      <c r="I6" s="413">
        <f>_xll.qlMidEquivalent(G6,H6)</f>
        <v>22</v>
      </c>
      <c r="J6" s="273" t="b">
        <f t="shared" si="1"/>
        <v>1</v>
      </c>
      <c r="K6" s="412">
        <v>22</v>
      </c>
      <c r="L6" s="267"/>
      <c r="M6" s="411">
        <v>22</v>
      </c>
      <c r="N6" s="267"/>
      <c r="O6" s="274" t="str">
        <f t="shared" si="2"/>
        <v>EUR1E6E1Y_Quote</v>
      </c>
      <c r="P6" s="410">
        <v>22</v>
      </c>
      <c r="Q6" s="272" t="e">
        <f>_xll.qlSimpleQuoteSetValue($O6,ROUND($P6/10000,6),Trigger)</f>
        <v>#N/A</v>
      </c>
      <c r="R6" s="225"/>
      <c r="T6" s="92" t="s">
        <v>123</v>
      </c>
      <c r="U6" s="91" t="s">
        <v>136</v>
      </c>
      <c r="V6" s="90" t="s">
        <v>135</v>
      </c>
    </row>
    <row r="7" spans="1:22" x14ac:dyDescent="0.2">
      <c r="A7" s="414">
        <v>1.25</v>
      </c>
      <c r="B7" s="321" t="s">
        <v>140</v>
      </c>
      <c r="C7" s="320" t="str">
        <v>1E</v>
      </c>
      <c r="D7" s="320" t="str">
        <v>6E</v>
      </c>
      <c r="E7" s="318" t="str">
        <f t="shared" si="0"/>
        <v>EUR1E6E15M</v>
      </c>
      <c r="F7" s="277" t="str">
        <v>EUR1E6E15M=ICAP</v>
      </c>
      <c r="G7" s="413" t="s">
        <v>262</v>
      </c>
      <c r="H7" s="413" t="s">
        <v>262</v>
      </c>
      <c r="I7" s="413" t="e">
        <f>_xll.qlMidEquivalent(G7,H7)</f>
        <v>#NUM!</v>
      </c>
      <c r="J7" s="273" t="b">
        <f t="shared" si="1"/>
        <v>0</v>
      </c>
      <c r="K7" s="412">
        <v>22.978821515415554</v>
      </c>
      <c r="L7" s="267"/>
      <c r="M7" s="411">
        <v>22.978630018969486</v>
      </c>
      <c r="N7" s="267"/>
      <c r="O7" s="274" t="str">
        <f t="shared" si="2"/>
        <v>EUR1E6E15M_Quote</v>
      </c>
      <c r="P7" s="410">
        <v>22.978821515415554</v>
      </c>
      <c r="Q7" s="272" t="e">
        <f>_xll.qlSimpleQuoteSetValue($O7,ROUND($P7/10000,6),Trigger)</f>
        <v>#N/A</v>
      </c>
      <c r="R7" s="225"/>
      <c r="T7" s="92" t="s">
        <v>134</v>
      </c>
      <c r="U7" s="91" t="s">
        <v>129</v>
      </c>
      <c r="V7" s="90" t="s">
        <v>132</v>
      </c>
    </row>
    <row r="8" spans="1:22" x14ac:dyDescent="0.2">
      <c r="A8" s="414">
        <v>1.5</v>
      </c>
      <c r="B8" s="321" t="s">
        <v>139</v>
      </c>
      <c r="C8" s="320" t="str">
        <v>1E</v>
      </c>
      <c r="D8" s="320" t="str">
        <v>6E</v>
      </c>
      <c r="E8" s="318" t="str">
        <f t="shared" si="0"/>
        <v>EUR1E6E18M</v>
      </c>
      <c r="F8" s="277" t="str">
        <v>EUR1E6E18M=ICAP</v>
      </c>
      <c r="G8" s="413" t="s">
        <v>262</v>
      </c>
      <c r="H8" s="413" t="s">
        <v>262</v>
      </c>
      <c r="I8" s="413" t="e">
        <f>_xll.qlMidEquivalent(G8,H8)</f>
        <v>#NUM!</v>
      </c>
      <c r="J8" s="273" t="b">
        <f t="shared" si="1"/>
        <v>0</v>
      </c>
      <c r="K8" s="412">
        <v>23.906114424664885</v>
      </c>
      <c r="L8" s="267"/>
      <c r="M8" s="411">
        <v>23.905808030351182</v>
      </c>
      <c r="N8" s="267"/>
      <c r="O8" s="274" t="str">
        <f t="shared" si="2"/>
        <v>EUR1E6E18M_Quote</v>
      </c>
      <c r="P8" s="410">
        <v>23.906114424664885</v>
      </c>
      <c r="Q8" s="272" t="e">
        <f>_xll.qlSimpleQuoteSetValue($O8,ROUND($P8/10000,6),Trigger)</f>
        <v>#N/A</v>
      </c>
      <c r="R8" s="225"/>
      <c r="T8" s="92" t="s">
        <v>133</v>
      </c>
      <c r="U8" s="91" t="s">
        <v>129</v>
      </c>
      <c r="V8" s="90" t="s">
        <v>132</v>
      </c>
    </row>
    <row r="9" spans="1:22" ht="12" thickBot="1" x14ac:dyDescent="0.25">
      <c r="A9" s="414">
        <v>1.75</v>
      </c>
      <c r="B9" s="321" t="s">
        <v>138</v>
      </c>
      <c r="C9" s="320" t="str">
        <v>1E</v>
      </c>
      <c r="D9" s="320" t="str">
        <v>6E</v>
      </c>
      <c r="E9" s="318" t="str">
        <f t="shared" si="0"/>
        <v>EUR1E6E21M</v>
      </c>
      <c r="F9" s="277" t="str">
        <v>EUR1E6E21M=ICAP</v>
      </c>
      <c r="G9" s="413" t="s">
        <v>262</v>
      </c>
      <c r="H9" s="413" t="s">
        <v>262</v>
      </c>
      <c r="I9" s="413" t="e">
        <f>_xll.qlMidEquivalent(G9,H9)</f>
        <v>#NUM!</v>
      </c>
      <c r="J9" s="273" t="b">
        <f t="shared" si="1"/>
        <v>0</v>
      </c>
      <c r="K9" s="412">
        <v>24.730350121581775</v>
      </c>
      <c r="L9" s="267"/>
      <c r="M9" s="411">
        <v>24.730082026557284</v>
      </c>
      <c r="N9" s="267"/>
      <c r="O9" s="274" t="str">
        <f t="shared" si="2"/>
        <v>EUR1E6E21M_Quote</v>
      </c>
      <c r="P9" s="410">
        <v>24.730350121581775</v>
      </c>
      <c r="Q9" s="272" t="e">
        <f>_xll.qlSimpleQuoteSetValue($O9,ROUND($P9/10000,6),Trigger)</f>
        <v>#N/A</v>
      </c>
      <c r="R9" s="225"/>
      <c r="T9" s="89" t="s">
        <v>131</v>
      </c>
      <c r="U9" s="88" t="s">
        <v>130</v>
      </c>
      <c r="V9" s="87" t="s">
        <v>129</v>
      </c>
    </row>
    <row r="10" spans="1:22" x14ac:dyDescent="0.2">
      <c r="A10" s="130">
        <v>2</v>
      </c>
      <c r="B10" s="321" t="s">
        <v>115</v>
      </c>
      <c r="C10" s="320" t="str">
        <v>1E</v>
      </c>
      <c r="D10" s="320" t="str">
        <v>6E</v>
      </c>
      <c r="E10" s="318" t="str">
        <f t="shared" si="0"/>
        <v>EUR1E6E2Y</v>
      </c>
      <c r="F10" s="277" t="str">
        <v>EUR1E6E2Y=ICAP</v>
      </c>
      <c r="G10" s="413">
        <v>25.4</v>
      </c>
      <c r="H10" s="413">
        <v>0</v>
      </c>
      <c r="I10" s="413">
        <f>_xll.qlMidEquivalent(G10,H10)</f>
        <v>25.4</v>
      </c>
      <c r="J10" s="273" t="b">
        <f t="shared" si="1"/>
        <v>1</v>
      </c>
      <c r="K10" s="412">
        <v>25.4</v>
      </c>
      <c r="L10" s="267"/>
      <c r="M10" s="411">
        <v>25.4</v>
      </c>
      <c r="N10" s="267"/>
      <c r="O10" s="274" t="str">
        <f t="shared" si="2"/>
        <v>EUR1E6E2Y_Quote</v>
      </c>
      <c r="P10" s="410">
        <v>25.4</v>
      </c>
      <c r="Q10" s="272" t="e">
        <f>_xll.qlSimpleQuoteSetValue($O10,ROUND($P10/10000,6),Trigger)</f>
        <v>#N/A</v>
      </c>
      <c r="R10" s="225"/>
    </row>
    <row r="11" spans="1:22" x14ac:dyDescent="0.2">
      <c r="A11" s="130">
        <v>3</v>
      </c>
      <c r="B11" s="321" t="s">
        <v>114</v>
      </c>
      <c r="C11" s="320" t="str">
        <v>1E</v>
      </c>
      <c r="D11" s="320" t="str">
        <v>6E</v>
      </c>
      <c r="E11" s="318" t="str">
        <f t="shared" si="0"/>
        <v>EUR1E6E3Y</v>
      </c>
      <c r="F11" s="277" t="str">
        <v>EUR1E6E3Y=ICAP</v>
      </c>
      <c r="G11" s="413">
        <v>26.5</v>
      </c>
      <c r="H11" s="413">
        <v>0</v>
      </c>
      <c r="I11" s="413">
        <f>_xll.qlMidEquivalent(G11,H11)</f>
        <v>26.5</v>
      </c>
      <c r="J11" s="273" t="b">
        <f t="shared" si="1"/>
        <v>1</v>
      </c>
      <c r="K11" s="412">
        <v>26.5</v>
      </c>
      <c r="L11" s="267"/>
      <c r="M11" s="411">
        <v>26.5</v>
      </c>
      <c r="N11" s="267"/>
      <c r="O11" s="274" t="str">
        <f t="shared" si="2"/>
        <v>EUR1E6E3Y_Quote</v>
      </c>
      <c r="P11" s="410">
        <v>26.5</v>
      </c>
      <c r="Q11" s="272" t="e">
        <f>_xll.qlSimpleQuoteSetValue($O11,ROUND($P11/10000,6),Trigger)</f>
        <v>#N/A</v>
      </c>
      <c r="R11" s="225"/>
    </row>
    <row r="12" spans="1:22" x14ac:dyDescent="0.2">
      <c r="A12" s="130">
        <v>4</v>
      </c>
      <c r="B12" s="321" t="s">
        <v>113</v>
      </c>
      <c r="C12" s="320" t="str">
        <v>1E</v>
      </c>
      <c r="D12" s="320" t="str">
        <v>6E</v>
      </c>
      <c r="E12" s="318" t="str">
        <f t="shared" si="0"/>
        <v>EUR1E6E4Y</v>
      </c>
      <c r="F12" s="277" t="str">
        <v>EUR1E6E4Y=ICAP</v>
      </c>
      <c r="G12" s="413">
        <v>26.6</v>
      </c>
      <c r="H12" s="413">
        <v>0</v>
      </c>
      <c r="I12" s="413">
        <f>_xll.qlMidEquivalent(G12,H12)</f>
        <v>26.6</v>
      </c>
      <c r="J12" s="273" t="b">
        <f t="shared" si="1"/>
        <v>1</v>
      </c>
      <c r="K12" s="412">
        <v>26.6</v>
      </c>
      <c r="L12" s="267"/>
      <c r="M12" s="411">
        <v>26.6</v>
      </c>
      <c r="N12" s="267"/>
      <c r="O12" s="274" t="str">
        <f t="shared" si="2"/>
        <v>EUR1E6E4Y_Quote</v>
      </c>
      <c r="P12" s="410">
        <v>26.6</v>
      </c>
      <c r="Q12" s="272" t="e">
        <f>_xll.qlSimpleQuoteSetValue($O12,ROUND($P12/10000,6),Trigger)</f>
        <v>#N/A</v>
      </c>
      <c r="R12" s="225"/>
    </row>
    <row r="13" spans="1:22" x14ac:dyDescent="0.2">
      <c r="A13" s="130">
        <v>5</v>
      </c>
      <c r="B13" s="321" t="s">
        <v>112</v>
      </c>
      <c r="C13" s="320" t="str">
        <v>1E</v>
      </c>
      <c r="D13" s="320" t="str">
        <v>6E</v>
      </c>
      <c r="E13" s="318" t="str">
        <f t="shared" si="0"/>
        <v>EUR1E6E5Y</v>
      </c>
      <c r="F13" s="277" t="str">
        <v>EUR1E6E5Y=ICAP</v>
      </c>
      <c r="G13" s="413">
        <v>26.4</v>
      </c>
      <c r="H13" s="413">
        <v>0</v>
      </c>
      <c r="I13" s="413">
        <f>_xll.qlMidEquivalent(G13,H13)</f>
        <v>26.4</v>
      </c>
      <c r="J13" s="273" t="b">
        <f t="shared" si="1"/>
        <v>1</v>
      </c>
      <c r="K13" s="412">
        <v>26.4</v>
      </c>
      <c r="L13" s="267"/>
      <c r="M13" s="411">
        <v>26.4</v>
      </c>
      <c r="N13" s="267"/>
      <c r="O13" s="274" t="str">
        <f t="shared" si="2"/>
        <v>EUR1E6E5Y_Quote</v>
      </c>
      <c r="P13" s="410">
        <v>26.4</v>
      </c>
      <c r="Q13" s="272" t="e">
        <f>_xll.qlSimpleQuoteSetValue($O13,ROUND($P13/10000,6),Trigger)</f>
        <v>#N/A</v>
      </c>
      <c r="R13" s="225"/>
    </row>
    <row r="14" spans="1:22" x14ac:dyDescent="0.2">
      <c r="A14" s="130">
        <v>6</v>
      </c>
      <c r="B14" s="321" t="s">
        <v>111</v>
      </c>
      <c r="C14" s="320" t="str">
        <v>1E</v>
      </c>
      <c r="D14" s="320" t="str">
        <v>6E</v>
      </c>
      <c r="E14" s="318" t="str">
        <f t="shared" si="0"/>
        <v>EUR1E6E6Y</v>
      </c>
      <c r="F14" s="277" t="str">
        <v>EUR1E6E6Y=ICAP</v>
      </c>
      <c r="G14" s="413">
        <v>26</v>
      </c>
      <c r="H14" s="413">
        <v>0</v>
      </c>
      <c r="I14" s="413">
        <f>_xll.qlMidEquivalent(G14,H14)</f>
        <v>26</v>
      </c>
      <c r="J14" s="273" t="b">
        <f t="shared" si="1"/>
        <v>1</v>
      </c>
      <c r="K14" s="412">
        <v>26</v>
      </c>
      <c r="L14" s="267"/>
      <c r="M14" s="411">
        <v>25.9</v>
      </c>
      <c r="N14" s="267"/>
      <c r="O14" s="274" t="str">
        <f t="shared" si="2"/>
        <v>EUR1E6E6Y_Quote</v>
      </c>
      <c r="P14" s="410">
        <v>26</v>
      </c>
      <c r="Q14" s="272" t="e">
        <f>_xll.qlSimpleQuoteSetValue($O14,ROUND($P14/10000,6),Trigger)</f>
        <v>#N/A</v>
      </c>
      <c r="R14" s="225"/>
    </row>
    <row r="15" spans="1:22" x14ac:dyDescent="0.2">
      <c r="A15" s="130">
        <v>7</v>
      </c>
      <c r="B15" s="321" t="s">
        <v>110</v>
      </c>
      <c r="C15" s="320" t="str">
        <v>1E</v>
      </c>
      <c r="D15" s="320" t="str">
        <v>6E</v>
      </c>
      <c r="E15" s="318" t="str">
        <f t="shared" si="0"/>
        <v>EUR1E6E7Y</v>
      </c>
      <c r="F15" s="277" t="str">
        <v>EUR1E6E7Y=ICAP</v>
      </c>
      <c r="G15" s="413">
        <v>25.3</v>
      </c>
      <c r="H15" s="413">
        <v>0</v>
      </c>
      <c r="I15" s="413">
        <f>_xll.qlMidEquivalent(G15,H15)</f>
        <v>25.3</v>
      </c>
      <c r="J15" s="273" t="b">
        <f t="shared" si="1"/>
        <v>1</v>
      </c>
      <c r="K15" s="412">
        <v>25.3</v>
      </c>
      <c r="L15" s="267"/>
      <c r="M15" s="411">
        <v>25.3</v>
      </c>
      <c r="N15" s="267"/>
      <c r="O15" s="274" t="str">
        <f t="shared" si="2"/>
        <v>EUR1E6E7Y_Quote</v>
      </c>
      <c r="P15" s="410">
        <v>25.3</v>
      </c>
      <c r="Q15" s="272" t="e">
        <f>_xll.qlSimpleQuoteSetValue($O15,ROUND($P15/10000,6),Trigger)</f>
        <v>#N/A</v>
      </c>
      <c r="R15" s="225"/>
    </row>
    <row r="16" spans="1:22" x14ac:dyDescent="0.2">
      <c r="A16" s="130">
        <v>8</v>
      </c>
      <c r="B16" s="321" t="s">
        <v>109</v>
      </c>
      <c r="C16" s="320" t="str">
        <v>1E</v>
      </c>
      <c r="D16" s="320" t="str">
        <v>6E</v>
      </c>
      <c r="E16" s="318" t="str">
        <f t="shared" si="0"/>
        <v>EUR1E6E8Y</v>
      </c>
      <c r="F16" s="277" t="str">
        <v>EUR1E6E8Y=ICAP</v>
      </c>
      <c r="G16" s="413">
        <v>24.6</v>
      </c>
      <c r="H16" s="413">
        <v>0</v>
      </c>
      <c r="I16" s="413">
        <f>_xll.qlMidEquivalent(G16,H16)</f>
        <v>24.6</v>
      </c>
      <c r="J16" s="273" t="b">
        <f t="shared" si="1"/>
        <v>1</v>
      </c>
      <c r="K16" s="412">
        <v>24.6</v>
      </c>
      <c r="L16" s="267"/>
      <c r="M16" s="411">
        <v>24.6</v>
      </c>
      <c r="N16" s="267"/>
      <c r="O16" s="274" t="str">
        <f t="shared" si="2"/>
        <v>EUR1E6E8Y_Quote</v>
      </c>
      <c r="P16" s="410">
        <v>24.6</v>
      </c>
      <c r="Q16" s="272" t="e">
        <f>_xll.qlSimpleQuoteSetValue($O16,ROUND($P16/10000,6),Trigger)</f>
        <v>#N/A</v>
      </c>
      <c r="R16" s="225"/>
    </row>
    <row r="17" spans="1:18" x14ac:dyDescent="0.2">
      <c r="A17" s="130">
        <v>9</v>
      </c>
      <c r="B17" s="321" t="s">
        <v>108</v>
      </c>
      <c r="C17" s="320" t="str">
        <v>1E</v>
      </c>
      <c r="D17" s="320" t="str">
        <v>6E</v>
      </c>
      <c r="E17" s="318" t="str">
        <f t="shared" si="0"/>
        <v>EUR1E6E9Y</v>
      </c>
      <c r="F17" s="277" t="str">
        <v>EUR1E6E9Y=ICAP</v>
      </c>
      <c r="G17" s="413">
        <v>23.9</v>
      </c>
      <c r="H17" s="413">
        <v>0</v>
      </c>
      <c r="I17" s="413">
        <f>_xll.qlMidEquivalent(G17,H17)</f>
        <v>23.9</v>
      </c>
      <c r="J17" s="273" t="b">
        <f t="shared" si="1"/>
        <v>1</v>
      </c>
      <c r="K17" s="412">
        <v>23.9</v>
      </c>
      <c r="L17" s="267"/>
      <c r="M17" s="411">
        <v>23.8</v>
      </c>
      <c r="N17" s="267"/>
      <c r="O17" s="274" t="str">
        <f t="shared" si="2"/>
        <v>EUR1E6E9Y_Quote</v>
      </c>
      <c r="P17" s="410">
        <v>23.9</v>
      </c>
      <c r="Q17" s="272" t="e">
        <f>_xll.qlSimpleQuoteSetValue($O17,ROUND($P17/10000,6),Trigger)</f>
        <v>#N/A</v>
      </c>
      <c r="R17" s="225"/>
    </row>
    <row r="18" spans="1:18" x14ac:dyDescent="0.2">
      <c r="A18" s="130">
        <v>10</v>
      </c>
      <c r="B18" s="321" t="s">
        <v>107</v>
      </c>
      <c r="C18" s="320" t="str">
        <v>1E</v>
      </c>
      <c r="D18" s="320" t="str">
        <v>6E</v>
      </c>
      <c r="E18" s="318" t="str">
        <f t="shared" si="0"/>
        <v>EUR1E6E10Y</v>
      </c>
      <c r="F18" s="277" t="str">
        <v>EUR1E6E10Y=ICAP</v>
      </c>
      <c r="G18" s="413">
        <v>23.1</v>
      </c>
      <c r="H18" s="413">
        <v>0</v>
      </c>
      <c r="I18" s="413">
        <f>_xll.qlMidEquivalent(G18,H18)</f>
        <v>23.1</v>
      </c>
      <c r="J18" s="273" t="b">
        <f t="shared" si="1"/>
        <v>1</v>
      </c>
      <c r="K18" s="412">
        <v>23.1</v>
      </c>
      <c r="L18" s="267"/>
      <c r="M18" s="411">
        <v>23</v>
      </c>
      <c r="N18" s="267"/>
      <c r="O18" s="274" t="str">
        <f t="shared" si="2"/>
        <v>EUR1E6E10Y_Quote</v>
      </c>
      <c r="P18" s="410">
        <v>23.1</v>
      </c>
      <c r="Q18" s="272" t="e">
        <f>_xll.qlSimpleQuoteSetValue($O18,ROUND($P18/10000,6),Trigger)</f>
        <v>#N/A</v>
      </c>
      <c r="R18" s="225"/>
    </row>
    <row r="19" spans="1:18" x14ac:dyDescent="0.2">
      <c r="A19" s="130">
        <v>11</v>
      </c>
      <c r="B19" s="321" t="s">
        <v>106</v>
      </c>
      <c r="C19" s="320" t="str">
        <v>1E</v>
      </c>
      <c r="D19" s="320" t="str">
        <v>6E</v>
      </c>
      <c r="E19" s="318" t="str">
        <f t="shared" si="0"/>
        <v>EUR1E6E11Y</v>
      </c>
      <c r="F19" s="277" t="str">
        <v>EUR1E6E11Y=ICAP</v>
      </c>
      <c r="G19" s="413">
        <v>22.3</v>
      </c>
      <c r="H19" s="413">
        <v>0</v>
      </c>
      <c r="I19" s="413">
        <f>_xll.qlMidEquivalent(G19,H19)</f>
        <v>22.3</v>
      </c>
      <c r="J19" s="273" t="b">
        <f t="shared" si="1"/>
        <v>1</v>
      </c>
      <c r="K19" s="412">
        <v>22.3</v>
      </c>
      <c r="L19" s="267"/>
      <c r="M19" s="411">
        <v>22.3</v>
      </c>
      <c r="N19" s="267"/>
      <c r="O19" s="274" t="str">
        <f t="shared" si="2"/>
        <v>EUR1E6E11Y_Quote</v>
      </c>
      <c r="P19" s="410">
        <v>22.3</v>
      </c>
      <c r="Q19" s="272" t="e">
        <f>_xll.qlSimpleQuoteSetValue($O19,ROUND($P19/10000,6),Trigger)</f>
        <v>#N/A</v>
      </c>
      <c r="R19" s="225"/>
    </row>
    <row r="20" spans="1:18" x14ac:dyDescent="0.2">
      <c r="A20" s="130">
        <v>12</v>
      </c>
      <c r="B20" s="321" t="s">
        <v>105</v>
      </c>
      <c r="C20" s="320" t="str">
        <v>1E</v>
      </c>
      <c r="D20" s="320" t="str">
        <v>6E</v>
      </c>
      <c r="E20" s="318" t="str">
        <f t="shared" si="0"/>
        <v>EUR1E6E12Y</v>
      </c>
      <c r="F20" s="277" t="str">
        <v>EUR1E6E12Y=ICAP</v>
      </c>
      <c r="G20" s="413">
        <v>21.5</v>
      </c>
      <c r="H20" s="413">
        <v>0</v>
      </c>
      <c r="I20" s="413">
        <f>_xll.qlMidEquivalent(G20,H20)</f>
        <v>21.5</v>
      </c>
      <c r="J20" s="273" t="b">
        <f t="shared" si="1"/>
        <v>1</v>
      </c>
      <c r="K20" s="412">
        <v>21.5</v>
      </c>
      <c r="L20" s="267"/>
      <c r="M20" s="411">
        <v>21.5</v>
      </c>
      <c r="N20" s="267"/>
      <c r="O20" s="274" t="str">
        <f t="shared" si="2"/>
        <v>EUR1E6E12Y_Quote</v>
      </c>
      <c r="P20" s="410">
        <v>21.5</v>
      </c>
      <c r="Q20" s="272" t="e">
        <f>_xll.qlSimpleQuoteSetValue($O20,ROUND($P20/10000,6),Trigger)</f>
        <v>#N/A</v>
      </c>
      <c r="R20" s="225"/>
    </row>
    <row r="21" spans="1:18" x14ac:dyDescent="0.2">
      <c r="A21" s="130">
        <v>13</v>
      </c>
      <c r="B21" s="321" t="s">
        <v>104</v>
      </c>
      <c r="C21" s="320" t="str">
        <v>1E</v>
      </c>
      <c r="D21" s="320" t="str">
        <v>6E</v>
      </c>
      <c r="E21" s="318" t="str">
        <f t="shared" si="0"/>
        <v>EUR1E6E13Y</v>
      </c>
      <c r="F21" s="277" t="str">
        <v>EUR1E6E13Y=ICAP</v>
      </c>
      <c r="G21" s="413" t="s">
        <v>262</v>
      </c>
      <c r="H21" s="413" t="s">
        <v>262</v>
      </c>
      <c r="I21" s="413" t="e">
        <f>_xll.qlMidEquivalent(G21,H21)</f>
        <v>#NUM!</v>
      </c>
      <c r="J21" s="273" t="b">
        <f t="shared" si="1"/>
        <v>0</v>
      </c>
      <c r="K21" s="412">
        <v>20.767158961360217</v>
      </c>
      <c r="L21" s="267"/>
      <c r="M21" s="411">
        <v>20.754886144272987</v>
      </c>
      <c r="N21" s="267"/>
      <c r="O21" s="274" t="str">
        <f t="shared" si="2"/>
        <v>EUR1E6E13Y_Quote</v>
      </c>
      <c r="P21" s="410">
        <v>20.767158961360217</v>
      </c>
      <c r="Q21" s="272" t="e">
        <f>_xll.qlSimpleQuoteSetValue($O21,ROUND($P21/10000,6),Trigger)</f>
        <v>#N/A</v>
      </c>
      <c r="R21" s="225"/>
    </row>
    <row r="22" spans="1:18" x14ac:dyDescent="0.2">
      <c r="A22" s="130">
        <v>14</v>
      </c>
      <c r="B22" s="321" t="s">
        <v>103</v>
      </c>
      <c r="C22" s="320" t="str">
        <v>1E</v>
      </c>
      <c r="D22" s="320" t="str">
        <v>6E</v>
      </c>
      <c r="E22" s="318" t="str">
        <f t="shared" si="0"/>
        <v>EUR1E6E14Y</v>
      </c>
      <c r="F22" s="277" t="str">
        <v>EUR1E6E14Y=ICAP</v>
      </c>
      <c r="G22" s="413" t="s">
        <v>262</v>
      </c>
      <c r="H22" s="413" t="s">
        <v>262</v>
      </c>
      <c r="I22" s="413" t="e">
        <f>_xll.qlMidEquivalent(G22,H22)</f>
        <v>#NUM!</v>
      </c>
      <c r="J22" s="273" t="b">
        <f t="shared" si="1"/>
        <v>0</v>
      </c>
      <c r="K22" s="412">
        <v>20.106819379057171</v>
      </c>
      <c r="L22" s="267"/>
      <c r="M22" s="411">
        <v>20.098240125294787</v>
      </c>
      <c r="N22" s="267"/>
      <c r="O22" s="274" t="str">
        <f t="shared" si="2"/>
        <v>EUR1E6E14Y_Quote</v>
      </c>
      <c r="P22" s="410">
        <v>20.106819379057171</v>
      </c>
      <c r="Q22" s="272" t="e">
        <f>_xll.qlSimpleQuoteSetValue($O22,ROUND($P22/10000,6),Trigger)</f>
        <v>#N/A</v>
      </c>
      <c r="R22" s="225"/>
    </row>
    <row r="23" spans="1:18" x14ac:dyDescent="0.2">
      <c r="A23" s="130">
        <v>15</v>
      </c>
      <c r="B23" s="321" t="s">
        <v>102</v>
      </c>
      <c r="C23" s="320" t="str">
        <v>1E</v>
      </c>
      <c r="D23" s="320" t="str">
        <v>6E</v>
      </c>
      <c r="E23" s="318" t="str">
        <f t="shared" si="0"/>
        <v>EUR1E6E15Y</v>
      </c>
      <c r="F23" s="277" t="str">
        <v>EUR1E6E15Y=ICAP</v>
      </c>
      <c r="G23" s="413">
        <v>19.5</v>
      </c>
      <c r="H23" s="413">
        <v>0</v>
      </c>
      <c r="I23" s="413">
        <f>_xll.qlMidEquivalent(G23,H23)</f>
        <v>19.5</v>
      </c>
      <c r="J23" s="273" t="b">
        <f t="shared" si="1"/>
        <v>1</v>
      </c>
      <c r="K23" s="412">
        <v>19.5</v>
      </c>
      <c r="L23" s="267"/>
      <c r="M23" s="411">
        <v>19.5</v>
      </c>
      <c r="N23" s="267"/>
      <c r="O23" s="274" t="str">
        <f t="shared" si="2"/>
        <v>EUR1E6E15Y_Quote</v>
      </c>
      <c r="P23" s="410">
        <v>19.5</v>
      </c>
      <c r="Q23" s="272" t="e">
        <f>_xll.qlSimpleQuoteSetValue($O23,ROUND($P23/10000,6),Trigger)</f>
        <v>#N/A</v>
      </c>
      <c r="R23" s="225"/>
    </row>
    <row r="24" spans="1:18" x14ac:dyDescent="0.2">
      <c r="A24" s="130">
        <v>16</v>
      </c>
      <c r="B24" s="321" t="s">
        <v>101</v>
      </c>
      <c r="C24" s="320" t="str">
        <v>1E</v>
      </c>
      <c r="D24" s="320" t="str">
        <v>6E</v>
      </c>
      <c r="E24" s="318" t="str">
        <f t="shared" si="0"/>
        <v>EUR1E6E16Y</v>
      </c>
      <c r="F24" s="277" t="str">
        <v>EUR1E6E16Y=ICAP</v>
      </c>
      <c r="G24" s="413" t="s">
        <v>262</v>
      </c>
      <c r="H24" s="413" t="s">
        <v>262</v>
      </c>
      <c r="I24" s="413" t="e">
        <f>_xll.qlMidEquivalent(G24,H24)</f>
        <v>#NUM!</v>
      </c>
      <c r="J24" s="273" t="b">
        <f t="shared" si="1"/>
        <v>0</v>
      </c>
      <c r="K24" s="412">
        <v>18.930884672736056</v>
      </c>
      <c r="L24" s="267"/>
      <c r="M24" s="411">
        <v>18.935442067151328</v>
      </c>
      <c r="N24" s="267"/>
      <c r="O24" s="274" t="str">
        <f t="shared" si="2"/>
        <v>EUR1E6E16Y_Quote</v>
      </c>
      <c r="P24" s="410">
        <v>18.930884672736056</v>
      </c>
      <c r="Q24" s="272" t="e">
        <f>_xll.qlSimpleQuoteSetValue($O24,ROUND($P24/10000,6),Trigger)</f>
        <v>#N/A</v>
      </c>
      <c r="R24" s="225"/>
    </row>
    <row r="25" spans="1:18" x14ac:dyDescent="0.2">
      <c r="A25" s="130">
        <v>17</v>
      </c>
      <c r="B25" s="321" t="s">
        <v>100</v>
      </c>
      <c r="C25" s="320" t="str">
        <v>1E</v>
      </c>
      <c r="D25" s="320" t="str">
        <v>6E</v>
      </c>
      <c r="E25" s="318" t="str">
        <f t="shared" si="0"/>
        <v>EUR1E6E17Y</v>
      </c>
      <c r="F25" s="277" t="str">
        <v>EUR1E6E17Y=ICAP</v>
      </c>
      <c r="G25" s="413" t="s">
        <v>262</v>
      </c>
      <c r="H25" s="413" t="s">
        <v>262</v>
      </c>
      <c r="I25" s="413" t="e">
        <f>_xll.qlMidEquivalent(G25,H25)</f>
        <v>#NUM!</v>
      </c>
      <c r="J25" s="273" t="b">
        <f t="shared" si="1"/>
        <v>0</v>
      </c>
      <c r="K25" s="412">
        <v>18.396317652365603</v>
      </c>
      <c r="L25" s="267"/>
      <c r="M25" s="411">
        <v>18.401195592823832</v>
      </c>
      <c r="N25" s="267"/>
      <c r="O25" s="274" t="str">
        <f t="shared" si="2"/>
        <v>EUR1E6E17Y_Quote</v>
      </c>
      <c r="P25" s="410">
        <v>18.396317652365603</v>
      </c>
      <c r="Q25" s="272" t="e">
        <f>_xll.qlSimpleQuoteSetValue($O25,ROUND($P25/10000,6),Trigger)</f>
        <v>#N/A</v>
      </c>
      <c r="R25" s="225"/>
    </row>
    <row r="26" spans="1:18" x14ac:dyDescent="0.2">
      <c r="A26" s="130">
        <v>18</v>
      </c>
      <c r="B26" s="321" t="s">
        <v>99</v>
      </c>
      <c r="C26" s="320" t="str">
        <v>1E</v>
      </c>
      <c r="D26" s="320" t="str">
        <v>6E</v>
      </c>
      <c r="E26" s="318" t="str">
        <f t="shared" si="0"/>
        <v>EUR1E6E18Y</v>
      </c>
      <c r="F26" s="277" t="str">
        <v>EUR1E6E18Y=ICAP</v>
      </c>
      <c r="G26" s="413" t="s">
        <v>262</v>
      </c>
      <c r="H26" s="413" t="s">
        <v>262</v>
      </c>
      <c r="I26" s="413" t="e">
        <f>_xll.qlMidEquivalent(G26,H26)</f>
        <v>#NUM!</v>
      </c>
      <c r="J26" s="273" t="b">
        <f t="shared" si="1"/>
        <v>0</v>
      </c>
      <c r="K26" s="412">
        <v>17.896308295627119</v>
      </c>
      <c r="L26" s="267"/>
      <c r="M26" s="411">
        <v>17.899228084920672</v>
      </c>
      <c r="N26" s="267"/>
      <c r="O26" s="274" t="str">
        <f t="shared" si="2"/>
        <v>EUR1E6E18Y_Quote</v>
      </c>
      <c r="P26" s="410">
        <v>17.896308295627119</v>
      </c>
      <c r="Q26" s="272" t="e">
        <f>_xll.qlSimpleQuoteSetValue($O26,ROUND($P26/10000,6),Trigger)</f>
        <v>#N/A</v>
      </c>
      <c r="R26" s="225"/>
    </row>
    <row r="27" spans="1:18" x14ac:dyDescent="0.2">
      <c r="A27" s="130">
        <v>19</v>
      </c>
      <c r="B27" s="321" t="s">
        <v>98</v>
      </c>
      <c r="C27" s="320" t="str">
        <v>1E</v>
      </c>
      <c r="D27" s="320" t="str">
        <v>6E</v>
      </c>
      <c r="E27" s="318" t="str">
        <f t="shared" si="0"/>
        <v>EUR1E6E19Y</v>
      </c>
      <c r="F27" s="277" t="str">
        <v>EUR1E6E19Y=ICAP</v>
      </c>
      <c r="G27" s="413" t="s">
        <v>262</v>
      </c>
      <c r="H27" s="413" t="s">
        <v>262</v>
      </c>
      <c r="I27" s="413" t="e">
        <f>_xll.qlMidEquivalent(G27,H27)</f>
        <v>#NUM!</v>
      </c>
      <c r="J27" s="273" t="b">
        <f t="shared" si="1"/>
        <v>0</v>
      </c>
      <c r="K27" s="412">
        <v>17.430865959259091</v>
      </c>
      <c r="L27" s="267"/>
      <c r="M27" s="411">
        <v>17.431507051345008</v>
      </c>
      <c r="N27" s="267"/>
      <c r="O27" s="274" t="str">
        <f t="shared" si="2"/>
        <v>EUR1E6E19Y_Quote</v>
      </c>
      <c r="P27" s="410">
        <v>17.430865959259091</v>
      </c>
      <c r="Q27" s="272" t="e">
        <f>_xll.qlSimpleQuoteSetValue($O27,ROUND($P27/10000,6),Trigger)</f>
        <v>#N/A</v>
      </c>
      <c r="R27" s="225"/>
    </row>
    <row r="28" spans="1:18" x14ac:dyDescent="0.2">
      <c r="A28" s="130">
        <v>20</v>
      </c>
      <c r="B28" s="321" t="s">
        <v>97</v>
      </c>
      <c r="C28" s="320" t="str">
        <v>1E</v>
      </c>
      <c r="D28" s="320" t="str">
        <v>6E</v>
      </c>
      <c r="E28" s="318" t="str">
        <f t="shared" si="0"/>
        <v>EUR1E6E20Y</v>
      </c>
      <c r="F28" s="277" t="str">
        <v>EUR1E6E20Y=ICAP</v>
      </c>
      <c r="G28" s="413">
        <v>17</v>
      </c>
      <c r="H28" s="413">
        <v>0</v>
      </c>
      <c r="I28" s="413">
        <f>_xll.qlMidEquivalent(G28,H28)</f>
        <v>17</v>
      </c>
      <c r="J28" s="273" t="b">
        <f t="shared" si="1"/>
        <v>1</v>
      </c>
      <c r="K28" s="412">
        <v>17</v>
      </c>
      <c r="L28" s="267"/>
      <c r="M28" s="411">
        <v>17</v>
      </c>
      <c r="N28" s="267"/>
      <c r="O28" s="274" t="str">
        <f t="shared" si="2"/>
        <v>EUR1E6E20Y_Quote</v>
      </c>
      <c r="P28" s="410">
        <v>17</v>
      </c>
      <c r="Q28" s="272" t="e">
        <f>_xll.qlSimpleQuoteSetValue($O28,ROUND($P28/10000,6),Trigger)</f>
        <v>#N/A</v>
      </c>
      <c r="R28" s="225"/>
    </row>
    <row r="29" spans="1:18" x14ac:dyDescent="0.2">
      <c r="A29" s="130">
        <v>21</v>
      </c>
      <c r="B29" s="321" t="s">
        <v>96</v>
      </c>
      <c r="C29" s="320" t="str">
        <v>1E</v>
      </c>
      <c r="D29" s="320" t="str">
        <v>6E</v>
      </c>
      <c r="E29" s="318" t="str">
        <f t="shared" si="0"/>
        <v>EUR1E6E21Y</v>
      </c>
      <c r="F29" s="277" t="str">
        <v>EUR1E6E21Y=ICAP</v>
      </c>
      <c r="G29" s="413" t="s">
        <v>262</v>
      </c>
      <c r="H29" s="413" t="s">
        <v>262</v>
      </c>
      <c r="I29" s="413" t="e">
        <f>_xll.qlMidEquivalent(G29,H29)</f>
        <v>#NUM!</v>
      </c>
      <c r="J29" s="273" t="b">
        <f t="shared" si="1"/>
        <v>0</v>
      </c>
      <c r="K29" s="412">
        <v>16.603202627818849</v>
      </c>
      <c r="L29" s="267"/>
      <c r="M29" s="411">
        <v>16.60543814076204</v>
      </c>
      <c r="N29" s="267"/>
      <c r="O29" s="274" t="str">
        <f t="shared" si="2"/>
        <v>EUR1E6E21Y_Quote</v>
      </c>
      <c r="P29" s="410">
        <v>16.603202627818849</v>
      </c>
      <c r="Q29" s="272" t="e">
        <f>_xll.qlSimpleQuoteSetValue($O29,ROUND($P29/10000,6),Trigger)</f>
        <v>#N/A</v>
      </c>
      <c r="R29" s="225"/>
    </row>
    <row r="30" spans="1:18" x14ac:dyDescent="0.2">
      <c r="A30" s="130">
        <v>22</v>
      </c>
      <c r="B30" s="321" t="s">
        <v>95</v>
      </c>
      <c r="C30" s="320" t="str">
        <v>1E</v>
      </c>
      <c r="D30" s="320" t="str">
        <v>6E</v>
      </c>
      <c r="E30" s="318" t="str">
        <f t="shared" si="0"/>
        <v>EUR1E6E22Y</v>
      </c>
      <c r="F30" s="277" t="str">
        <v>EUR1E6E22Y=ICAP</v>
      </c>
      <c r="G30" s="413" t="s">
        <v>262</v>
      </c>
      <c r="H30" s="413" t="s">
        <v>262</v>
      </c>
      <c r="I30" s="413" t="e">
        <f>_xll.qlMidEquivalent(G30,H30)</f>
        <v>#NUM!</v>
      </c>
      <c r="J30" s="273" t="b">
        <f t="shared" si="1"/>
        <v>0</v>
      </c>
      <c r="K30" s="412">
        <v>16.237897465606693</v>
      </c>
      <c r="L30" s="267"/>
      <c r="M30" s="411">
        <v>16.243607491400475</v>
      </c>
      <c r="N30" s="267"/>
      <c r="O30" s="274" t="str">
        <f t="shared" si="2"/>
        <v>EUR1E6E22Y_Quote</v>
      </c>
      <c r="P30" s="410">
        <v>16.237897465606693</v>
      </c>
      <c r="Q30" s="272" t="e">
        <f>_xll.qlSimpleQuoteSetValue($O30,ROUND($P30/10000,6),Trigger)</f>
        <v>#N/A</v>
      </c>
      <c r="R30" s="225"/>
    </row>
    <row r="31" spans="1:18" x14ac:dyDescent="0.2">
      <c r="A31" s="130">
        <v>23</v>
      </c>
      <c r="B31" s="321" t="s">
        <v>94</v>
      </c>
      <c r="C31" s="320" t="str">
        <v>1E</v>
      </c>
      <c r="D31" s="320" t="str">
        <v>6E</v>
      </c>
      <c r="E31" s="318" t="str">
        <f t="shared" si="0"/>
        <v>EUR1E6E23Y</v>
      </c>
      <c r="F31" s="277" t="str">
        <v>EUR1E6E23Y=ICAP</v>
      </c>
      <c r="G31" s="413" t="s">
        <v>262</v>
      </c>
      <c r="H31" s="413" t="s">
        <v>262</v>
      </c>
      <c r="I31" s="413" t="e">
        <f>_xll.qlMidEquivalent(G31,H31)</f>
        <v>#NUM!</v>
      </c>
      <c r="J31" s="273" t="b">
        <f t="shared" si="1"/>
        <v>0</v>
      </c>
      <c r="K31" s="412">
        <v>15.900990989485116</v>
      </c>
      <c r="L31" s="267"/>
      <c r="M31" s="411">
        <v>15.909057771657892</v>
      </c>
      <c r="N31" s="267"/>
      <c r="O31" s="274" t="str">
        <f t="shared" si="2"/>
        <v>EUR1E6E23Y_Quote</v>
      </c>
      <c r="P31" s="410">
        <v>15.900990989485116</v>
      </c>
      <c r="Q31" s="272" t="e">
        <f>_xll.qlSimpleQuoteSetValue($O31,ROUND($P31/10000,6),Trigger)</f>
        <v>#N/A</v>
      </c>
      <c r="R31" s="225"/>
    </row>
    <row r="32" spans="1:18" x14ac:dyDescent="0.2">
      <c r="A32" s="130">
        <v>24</v>
      </c>
      <c r="B32" s="321" t="s">
        <v>93</v>
      </c>
      <c r="C32" s="320" t="str">
        <v>1E</v>
      </c>
      <c r="D32" s="320" t="str">
        <v>6E</v>
      </c>
      <c r="E32" s="318" t="str">
        <f t="shared" si="0"/>
        <v>EUR1E6E24Y</v>
      </c>
      <c r="F32" s="277" t="str">
        <v>EUR1E6E24Y=ICAP</v>
      </c>
      <c r="G32" s="413" t="s">
        <v>262</v>
      </c>
      <c r="H32" s="413" t="s">
        <v>262</v>
      </c>
      <c r="I32" s="413" t="e">
        <f>_xll.qlMidEquivalent(G32,H32)</f>
        <v>#NUM!</v>
      </c>
      <c r="J32" s="273" t="b">
        <f t="shared" si="1"/>
        <v>0</v>
      </c>
      <c r="K32" s="412">
        <v>15.589389675575694</v>
      </c>
      <c r="L32" s="267"/>
      <c r="M32" s="411">
        <v>15.596338701276871</v>
      </c>
      <c r="N32" s="267"/>
      <c r="O32" s="274" t="str">
        <f t="shared" si="2"/>
        <v>EUR1E6E24Y_Quote</v>
      </c>
      <c r="P32" s="410">
        <v>15.589389675575694</v>
      </c>
      <c r="Q32" s="272" t="e">
        <f>_xll.qlSimpleQuoteSetValue($O32,ROUND($P32/10000,6),Trigger)</f>
        <v>#N/A</v>
      </c>
      <c r="R32" s="225"/>
    </row>
    <row r="33" spans="1:18" x14ac:dyDescent="0.2">
      <c r="A33" s="130">
        <v>25</v>
      </c>
      <c r="B33" s="321" t="s">
        <v>92</v>
      </c>
      <c r="C33" s="320" t="str">
        <v>1E</v>
      </c>
      <c r="D33" s="320" t="str">
        <v>6E</v>
      </c>
      <c r="E33" s="318" t="str">
        <f t="shared" si="0"/>
        <v>EUR1E6E25Y</v>
      </c>
      <c r="F33" s="277" t="str">
        <v>EUR1E6E25Y=ICAP</v>
      </c>
      <c r="G33" s="413">
        <v>15.3</v>
      </c>
      <c r="H33" s="413">
        <v>0</v>
      </c>
      <c r="I33" s="413">
        <f>_xll.qlMidEquivalent(G33,H33)</f>
        <v>15.3</v>
      </c>
      <c r="J33" s="273" t="b">
        <f t="shared" si="1"/>
        <v>1</v>
      </c>
      <c r="K33" s="412">
        <v>15.3</v>
      </c>
      <c r="L33" s="267"/>
      <c r="M33" s="411">
        <v>15.3</v>
      </c>
      <c r="N33" s="267"/>
      <c r="O33" s="274" t="str">
        <f t="shared" si="2"/>
        <v>EUR1E6E25Y_Quote</v>
      </c>
      <c r="P33" s="410">
        <v>15.3</v>
      </c>
      <c r="Q33" s="272" t="e">
        <f>_xll.qlSimpleQuoteSetValue($O33,ROUND($P33/10000,6),Trigger)</f>
        <v>#N/A</v>
      </c>
      <c r="R33" s="225"/>
    </row>
    <row r="34" spans="1:18" x14ac:dyDescent="0.2">
      <c r="A34" s="130">
        <v>26</v>
      </c>
      <c r="B34" s="321" t="s">
        <v>91</v>
      </c>
      <c r="C34" s="320" t="str">
        <v>1E</v>
      </c>
      <c r="D34" s="320" t="str">
        <v>6E</v>
      </c>
      <c r="E34" s="318" t="str">
        <f t="shared" si="0"/>
        <v>EUR1E6E26Y</v>
      </c>
      <c r="F34" s="277" t="str">
        <v>EUR1E6E26Y=ICAP</v>
      </c>
      <c r="G34" s="413" t="s">
        <v>262</v>
      </c>
      <c r="H34" s="413" t="s">
        <v>262</v>
      </c>
      <c r="I34" s="413" t="e">
        <f>_xll.qlMidEquivalent(G34,H34)</f>
        <v>#NUM!</v>
      </c>
      <c r="J34" s="273" t="b">
        <f t="shared" si="1"/>
        <v>0</v>
      </c>
      <c r="K34" s="412">
        <v>15.029904815988555</v>
      </c>
      <c r="L34" s="267"/>
      <c r="M34" s="411">
        <v>15.015605369800516</v>
      </c>
      <c r="N34" s="267"/>
      <c r="O34" s="274" t="str">
        <f t="shared" si="2"/>
        <v>EUR1E6E26Y_Quote</v>
      </c>
      <c r="P34" s="410">
        <v>15.029904815988555</v>
      </c>
      <c r="Q34" s="272" t="e">
        <f>_xll.qlSimpleQuoteSetValue($O34,ROUND($P34/10000,6),Trigger)</f>
        <v>#N/A</v>
      </c>
      <c r="R34" s="225"/>
    </row>
    <row r="35" spans="1:18" x14ac:dyDescent="0.2">
      <c r="A35" s="130">
        <v>27</v>
      </c>
      <c r="B35" s="321" t="s">
        <v>90</v>
      </c>
      <c r="C35" s="320" t="str">
        <v>1E</v>
      </c>
      <c r="D35" s="320" t="str">
        <v>6E</v>
      </c>
      <c r="E35" s="318" t="str">
        <f t="shared" si="0"/>
        <v>EUR1E6E27Y</v>
      </c>
      <c r="F35" s="277" t="str">
        <v>EUR1E6E27Y=ICAP</v>
      </c>
      <c r="G35" s="413" t="s">
        <v>262</v>
      </c>
      <c r="H35" s="413" t="s">
        <v>262</v>
      </c>
      <c r="I35" s="413" t="e">
        <f>_xll.qlMidEquivalent(G35,H35)</f>
        <v>#NUM!</v>
      </c>
      <c r="J35" s="273" t="b">
        <f t="shared" si="1"/>
        <v>0</v>
      </c>
      <c r="K35" s="412">
        <v>14.776892485207624</v>
      </c>
      <c r="L35" s="267"/>
      <c r="M35" s="411">
        <v>14.742774441574269</v>
      </c>
      <c r="N35" s="267"/>
      <c r="O35" s="274" t="str">
        <f t="shared" si="2"/>
        <v>EUR1E6E27Y_Quote</v>
      </c>
      <c r="P35" s="410">
        <v>14.776892485207624</v>
      </c>
      <c r="Q35" s="272" t="e">
        <f>_xll.qlSimpleQuoteSetValue($O35,ROUND($P35/10000,6),Trigger)</f>
        <v>#N/A</v>
      </c>
      <c r="R35" s="225"/>
    </row>
    <row r="36" spans="1:18" x14ac:dyDescent="0.2">
      <c r="A36" s="130">
        <v>28</v>
      </c>
      <c r="B36" s="321" t="s">
        <v>89</v>
      </c>
      <c r="C36" s="320" t="str">
        <v>1E</v>
      </c>
      <c r="D36" s="320" t="str">
        <v>6E</v>
      </c>
      <c r="E36" s="318" t="str">
        <f t="shared" si="0"/>
        <v>EUR1E6E28Y</v>
      </c>
      <c r="F36" s="277" t="str">
        <v>EUR1E6E28Y=ICAP</v>
      </c>
      <c r="G36" s="413" t="s">
        <v>262</v>
      </c>
      <c r="H36" s="413" t="s">
        <v>262</v>
      </c>
      <c r="I36" s="413" t="e">
        <f>_xll.qlMidEquivalent(G36,H36)</f>
        <v>#NUM!</v>
      </c>
      <c r="J36" s="273" t="b">
        <f t="shared" si="1"/>
        <v>0</v>
      </c>
      <c r="K36" s="412">
        <v>14.538927746432416</v>
      </c>
      <c r="L36" s="267"/>
      <c r="M36" s="411">
        <v>14.482140828447765</v>
      </c>
      <c r="N36" s="267"/>
      <c r="O36" s="274" t="str">
        <f t="shared" si="2"/>
        <v>EUR1E6E28Y_Quote</v>
      </c>
      <c r="P36" s="410">
        <v>14.538927746432416</v>
      </c>
      <c r="Q36" s="272" t="e">
        <f>_xll.qlSimpleQuoteSetValue($O36,ROUND($P36/10000,6),Trigger)</f>
        <v>#N/A</v>
      </c>
      <c r="R36" s="225"/>
    </row>
    <row r="37" spans="1:18" x14ac:dyDescent="0.2">
      <c r="A37" s="130">
        <v>29</v>
      </c>
      <c r="B37" s="321" t="s">
        <v>88</v>
      </c>
      <c r="C37" s="320" t="str">
        <v>1E</v>
      </c>
      <c r="D37" s="320" t="str">
        <v>6E</v>
      </c>
      <c r="E37" s="318" t="str">
        <f t="shared" si="0"/>
        <v>EUR1E6E29Y</v>
      </c>
      <c r="F37" s="277" t="str">
        <v>EUR1E6E29Y=ICAP</v>
      </c>
      <c r="G37" s="413" t="s">
        <v>262</v>
      </c>
      <c r="H37" s="413" t="s">
        <v>262</v>
      </c>
      <c r="I37" s="413" t="e">
        <f>_xll.qlMidEquivalent(G37,H37)</f>
        <v>#NUM!</v>
      </c>
      <c r="J37" s="273" t="b">
        <f t="shared" si="1"/>
        <v>0</v>
      </c>
      <c r="K37" s="412">
        <v>14.313975338438139</v>
      </c>
      <c r="L37" s="267"/>
      <c r="M37" s="411">
        <v>14.234338143547507</v>
      </c>
      <c r="N37" s="267"/>
      <c r="O37" s="274" t="str">
        <f t="shared" si="2"/>
        <v>EUR1E6E29Y_Quote</v>
      </c>
      <c r="P37" s="410">
        <v>14.313975338438139</v>
      </c>
      <c r="Q37" s="272" t="e">
        <f>_xll.qlSimpleQuoteSetValue($O37,ROUND($P37/10000,6),Trigger)</f>
        <v>#N/A</v>
      </c>
      <c r="R37" s="225"/>
    </row>
    <row r="38" spans="1:18" x14ac:dyDescent="0.2">
      <c r="A38" s="130">
        <v>30</v>
      </c>
      <c r="B38" s="321" t="s">
        <v>87</v>
      </c>
      <c r="C38" s="320" t="str">
        <v>1E</v>
      </c>
      <c r="D38" s="320" t="str">
        <v>6E</v>
      </c>
      <c r="E38" s="318" t="str">
        <f t="shared" si="0"/>
        <v>EUR1E6E30Y</v>
      </c>
      <c r="F38" s="277" t="str">
        <v>EUR1E6E30Y=ICAP</v>
      </c>
      <c r="G38" s="413">
        <v>14.1</v>
      </c>
      <c r="H38" s="413">
        <v>0</v>
      </c>
      <c r="I38" s="413">
        <f>_xll.qlMidEquivalent(G38,H38)</f>
        <v>14.1</v>
      </c>
      <c r="J38" s="273" t="b">
        <f t="shared" si="1"/>
        <v>1</v>
      </c>
      <c r="K38" s="412">
        <v>14.1</v>
      </c>
      <c r="L38" s="267"/>
      <c r="M38" s="411">
        <v>14</v>
      </c>
      <c r="N38" s="267"/>
      <c r="O38" s="274" t="str">
        <f t="shared" si="2"/>
        <v>EUR1E6E30Y_Quote</v>
      </c>
      <c r="P38" s="410">
        <v>14.1</v>
      </c>
      <c r="Q38" s="272" t="e">
        <f>_xll.qlSimpleQuoteSetValue($O38,ROUND($P38/10000,6),Trigger)</f>
        <v>#N/A</v>
      </c>
      <c r="R38" s="225"/>
    </row>
    <row r="39" spans="1:18" x14ac:dyDescent="0.2">
      <c r="A39" s="130">
        <v>35</v>
      </c>
      <c r="B39" s="321" t="s">
        <v>82</v>
      </c>
      <c r="C39" s="320" t="str">
        <v>1E</v>
      </c>
      <c r="D39" s="320" t="str">
        <v>6E</v>
      </c>
      <c r="E39" s="318" t="str">
        <f t="shared" si="0"/>
        <v>EUR1E6E35Y</v>
      </c>
      <c r="F39" s="277" t="str">
        <v>EUR1E6E35Y=ICAP</v>
      </c>
      <c r="G39" s="413" t="s">
        <v>262</v>
      </c>
      <c r="H39" s="413" t="s">
        <v>262</v>
      </c>
      <c r="I39" s="413" t="e">
        <f>_xll.qlMidEquivalent(G39,H39)</f>
        <v>#NUM!</v>
      </c>
      <c r="J39" s="273" t="b">
        <f t="shared" si="1"/>
        <v>0</v>
      </c>
      <c r="K39" s="412">
        <v>13.159016711814663</v>
      </c>
      <c r="L39" s="267"/>
      <c r="M39" s="411">
        <v>13.022883458636743</v>
      </c>
      <c r="N39" s="267"/>
      <c r="O39" s="274" t="str">
        <f t="shared" si="2"/>
        <v>EUR1E6E35Y_Quote</v>
      </c>
      <c r="P39" s="410">
        <v>13.159016711814663</v>
      </c>
      <c r="Q39" s="272" t="e">
        <f>_xll.qlSimpleQuoteSetValue($O39,ROUND($P39/10000,6),Trigger)</f>
        <v>#N/A</v>
      </c>
      <c r="R39" s="225"/>
    </row>
    <row r="40" spans="1:18" x14ac:dyDescent="0.2">
      <c r="A40" s="130">
        <v>40</v>
      </c>
      <c r="B40" s="321" t="s">
        <v>77</v>
      </c>
      <c r="C40" s="320" t="str">
        <v>1E</v>
      </c>
      <c r="D40" s="320" t="str">
        <v>6E</v>
      </c>
      <c r="E40" s="318" t="str">
        <f t="shared" si="0"/>
        <v>EUR1E6E40Y</v>
      </c>
      <c r="F40" s="277" t="str">
        <v>EUR1E6E40Y=ICAP</v>
      </c>
      <c r="G40" s="413">
        <v>12.4</v>
      </c>
      <c r="H40" s="413">
        <v>0</v>
      </c>
      <c r="I40" s="413">
        <f>_xll.qlMidEquivalent(G40,H40)</f>
        <v>12.4</v>
      </c>
      <c r="J40" s="273" t="b">
        <f t="shared" si="1"/>
        <v>1</v>
      </c>
      <c r="K40" s="412">
        <v>12.4</v>
      </c>
      <c r="L40" s="267"/>
      <c r="M40" s="411">
        <v>12.3</v>
      </c>
      <c r="N40" s="267"/>
      <c r="O40" s="274" t="str">
        <f t="shared" si="2"/>
        <v>EUR1E6E40Y_Quote</v>
      </c>
      <c r="P40" s="410">
        <v>12.4</v>
      </c>
      <c r="Q40" s="272" t="e">
        <f>_xll.qlSimpleQuoteSetValue($O40,ROUND($P40/10000,6),Trigger)</f>
        <v>#N/A</v>
      </c>
      <c r="R40" s="225"/>
    </row>
    <row r="41" spans="1:18" x14ac:dyDescent="0.2">
      <c r="A41" s="130">
        <v>50</v>
      </c>
      <c r="B41" s="321" t="s">
        <v>67</v>
      </c>
      <c r="C41" s="320" t="str">
        <v>1E</v>
      </c>
      <c r="D41" s="320" t="str">
        <v>6E</v>
      </c>
      <c r="E41" s="318" t="str">
        <f t="shared" si="0"/>
        <v>EUR1E6E50Y</v>
      </c>
      <c r="F41" s="277" t="str">
        <v>EUR1E6E50Y=ICAP</v>
      </c>
      <c r="G41" s="413">
        <v>11.3</v>
      </c>
      <c r="H41" s="413">
        <v>0</v>
      </c>
      <c r="I41" s="413">
        <f>_xll.qlMidEquivalent(G41,H41)</f>
        <v>11.3</v>
      </c>
      <c r="J41" s="273" t="b">
        <f t="shared" si="1"/>
        <v>1</v>
      </c>
      <c r="K41" s="412">
        <v>11.3</v>
      </c>
      <c r="L41" s="267"/>
      <c r="M41" s="411">
        <v>11.3</v>
      </c>
      <c r="N41" s="267"/>
      <c r="O41" s="274" t="str">
        <f t="shared" si="2"/>
        <v>EUR1E6E50Y_Quote</v>
      </c>
      <c r="P41" s="410">
        <v>11.3</v>
      </c>
      <c r="Q41" s="272" t="e">
        <f>_xll.qlSimpleQuoteSetValue($O41,ROUND($P41/10000,6),Trigger)</f>
        <v>#N/A</v>
      </c>
      <c r="R41" s="225"/>
    </row>
    <row r="42" spans="1:18" x14ac:dyDescent="0.2">
      <c r="A42" s="130">
        <v>60</v>
      </c>
      <c r="B42" s="321" t="s">
        <v>57</v>
      </c>
      <c r="C42" s="320" t="str">
        <v>1E</v>
      </c>
      <c r="D42" s="320" t="str">
        <v>6E</v>
      </c>
      <c r="E42" s="318" t="str">
        <f t="shared" si="0"/>
        <v>EUR1E6E60Y</v>
      </c>
      <c r="F42" s="277" t="str">
        <v>EUR1E6E60Y=ICAP</v>
      </c>
      <c r="G42" s="413">
        <v>10.6</v>
      </c>
      <c r="H42" s="413">
        <v>0</v>
      </c>
      <c r="I42" s="413">
        <f>_xll.qlMidEquivalent(G42,H42)</f>
        <v>10.6</v>
      </c>
      <c r="J42" s="273" t="b">
        <f t="shared" si="1"/>
        <v>1</v>
      </c>
      <c r="K42" s="412">
        <v>10.6</v>
      </c>
      <c r="L42" s="267"/>
      <c r="M42" s="411">
        <v>10.6</v>
      </c>
      <c r="N42" s="267"/>
      <c r="O42" s="274" t="str">
        <f t="shared" si="2"/>
        <v>EUR1E6E60Y_Quote</v>
      </c>
      <c r="P42" s="410">
        <v>10.6</v>
      </c>
      <c r="Q42" s="272" t="e">
        <f>_xll.qlSimpleQuoteSetValue($O42,ROUND($P42/10000,6),Trigger)</f>
        <v>#N/A</v>
      </c>
      <c r="R42" s="225"/>
    </row>
    <row r="43" spans="1:18" ht="12" thickBot="1" x14ac:dyDescent="0.25">
      <c r="A43" s="53"/>
      <c r="B43" s="306"/>
      <c r="C43" s="306"/>
      <c r="D43" s="306"/>
      <c r="E43" s="306"/>
      <c r="F43" s="306"/>
      <c r="G43" s="306"/>
      <c r="H43" s="306"/>
      <c r="I43" s="306"/>
      <c r="J43" s="306"/>
      <c r="K43" s="306"/>
      <c r="L43" s="52"/>
      <c r="M43" s="306"/>
      <c r="N43" s="52"/>
      <c r="O43" s="306"/>
      <c r="P43" s="306"/>
      <c r="Q43" s="306"/>
      <c r="R43" s="394"/>
    </row>
    <row r="53" spans="6:6" x14ac:dyDescent="0.2">
      <c r="F53" s="409"/>
    </row>
    <row r="54" spans="6:6" x14ac:dyDescent="0.2">
      <c r="F54" s="409"/>
    </row>
    <row r="55" spans="6:6" x14ac:dyDescent="0.2">
      <c r="F55" s="409"/>
    </row>
    <row r="56" spans="6:6" x14ac:dyDescent="0.2">
      <c r="F56" s="409"/>
    </row>
    <row r="57" spans="6:6" x14ac:dyDescent="0.2">
      <c r="F57" s="409"/>
    </row>
    <row r="58" spans="6:6" x14ac:dyDescent="0.2">
      <c r="F58" s="409"/>
    </row>
    <row r="59" spans="6:6" x14ac:dyDescent="0.2">
      <c r="F59" s="409"/>
    </row>
    <row r="60" spans="6:6" x14ac:dyDescent="0.2">
      <c r="F60" s="409"/>
    </row>
    <row r="61" spans="6:6" x14ac:dyDescent="0.2">
      <c r="F61" s="409"/>
    </row>
    <row r="62" spans="6:6" x14ac:dyDescent="0.2">
      <c r="F62" s="408"/>
    </row>
    <row r="63" spans="6:6" x14ac:dyDescent="0.2">
      <c r="F63" s="408"/>
    </row>
    <row r="64" spans="6:6" x14ac:dyDescent="0.2">
      <c r="F64" s="408"/>
    </row>
    <row r="65" spans="6:6" x14ac:dyDescent="0.2">
      <c r="F65" s="408"/>
    </row>
  </sheetData>
  <dataValidations count="2">
    <dataValidation type="list" showInputMessage="1" showErrorMessage="1" sqref="F2 JB2 SX2 ACT2 AMP2 AWL2 BGH2 BQD2 BZZ2 CJV2 CTR2 DDN2 DNJ2 DXF2 EHB2 EQX2 FAT2 FKP2 FUL2 GEH2 GOD2 GXZ2 HHV2 HRR2 IBN2 ILJ2 IVF2 JFB2 JOX2 JYT2 KIP2 KSL2 LCH2 LMD2 LVZ2 MFV2 MPR2 MZN2 NJJ2 NTF2 ODB2 OMX2 OWT2 PGP2 PQL2 QAH2 QKD2 QTZ2 RDV2 RNR2 RXN2 SHJ2 SRF2 TBB2 TKX2 TUT2 UEP2 UOL2 UYH2 VID2 VRZ2 WBV2 WLR2 WVN2 F65538 JB65538 SX65538 ACT65538 AMP65538 AWL65538 BGH65538 BQD65538 BZZ65538 CJV65538 CTR65538 DDN65538 DNJ65538 DXF65538 EHB65538 EQX65538 FAT65538 FKP65538 FUL65538 GEH65538 GOD65538 GXZ65538 HHV65538 HRR65538 IBN65538 ILJ65538 IVF65538 JFB65538 JOX65538 JYT65538 KIP65538 KSL65538 LCH65538 LMD65538 LVZ65538 MFV65538 MPR65538 MZN65538 NJJ65538 NTF65538 ODB65538 OMX65538 OWT65538 PGP65538 PQL65538 QAH65538 QKD65538 QTZ65538 RDV65538 RNR65538 RXN65538 SHJ65538 SRF65538 TBB65538 TKX65538 TUT65538 UEP65538 UOL65538 UYH65538 VID65538 VRZ65538 WBV65538 WLR65538 WVN65538 F131074 JB131074 SX131074 ACT131074 AMP131074 AWL131074 BGH131074 BQD131074 BZZ131074 CJV131074 CTR131074 DDN131074 DNJ131074 DXF131074 EHB131074 EQX131074 FAT131074 FKP131074 FUL131074 GEH131074 GOD131074 GXZ131074 HHV131074 HRR131074 IBN131074 ILJ131074 IVF131074 JFB131074 JOX131074 JYT131074 KIP131074 KSL131074 LCH131074 LMD131074 LVZ131074 MFV131074 MPR131074 MZN131074 NJJ131074 NTF131074 ODB131074 OMX131074 OWT131074 PGP131074 PQL131074 QAH131074 QKD131074 QTZ131074 RDV131074 RNR131074 RXN131074 SHJ131074 SRF131074 TBB131074 TKX131074 TUT131074 UEP131074 UOL131074 UYH131074 VID131074 VRZ131074 WBV131074 WLR131074 WVN131074 F196610 JB196610 SX196610 ACT196610 AMP196610 AWL196610 BGH196610 BQD196610 BZZ196610 CJV196610 CTR196610 DDN196610 DNJ196610 DXF196610 EHB196610 EQX196610 FAT196610 FKP196610 FUL196610 GEH196610 GOD196610 GXZ196610 HHV196610 HRR196610 IBN196610 ILJ196610 IVF196610 JFB196610 JOX196610 JYT196610 KIP196610 KSL196610 LCH196610 LMD196610 LVZ196610 MFV196610 MPR196610 MZN196610 NJJ196610 NTF196610 ODB196610 OMX196610 OWT196610 PGP196610 PQL196610 QAH196610 QKD196610 QTZ196610 RDV196610 RNR196610 RXN196610 SHJ196610 SRF196610 TBB196610 TKX196610 TUT196610 UEP196610 UOL196610 UYH196610 VID196610 VRZ196610 WBV196610 WLR196610 WVN196610 F262146 JB262146 SX262146 ACT262146 AMP262146 AWL262146 BGH262146 BQD262146 BZZ262146 CJV262146 CTR262146 DDN262146 DNJ262146 DXF262146 EHB262146 EQX262146 FAT262146 FKP262146 FUL262146 GEH262146 GOD262146 GXZ262146 HHV262146 HRR262146 IBN262146 ILJ262146 IVF262146 JFB262146 JOX262146 JYT262146 KIP262146 KSL262146 LCH262146 LMD262146 LVZ262146 MFV262146 MPR262146 MZN262146 NJJ262146 NTF262146 ODB262146 OMX262146 OWT262146 PGP262146 PQL262146 QAH262146 QKD262146 QTZ262146 RDV262146 RNR262146 RXN262146 SHJ262146 SRF262146 TBB262146 TKX262146 TUT262146 UEP262146 UOL262146 UYH262146 VID262146 VRZ262146 WBV262146 WLR262146 WVN262146 F327682 JB327682 SX327682 ACT327682 AMP327682 AWL327682 BGH327682 BQD327682 BZZ327682 CJV327682 CTR327682 DDN327682 DNJ327682 DXF327682 EHB327682 EQX327682 FAT327682 FKP327682 FUL327682 GEH327682 GOD327682 GXZ327682 HHV327682 HRR327682 IBN327682 ILJ327682 IVF327682 JFB327682 JOX327682 JYT327682 KIP327682 KSL327682 LCH327682 LMD327682 LVZ327682 MFV327682 MPR327682 MZN327682 NJJ327682 NTF327682 ODB327682 OMX327682 OWT327682 PGP327682 PQL327682 QAH327682 QKD327682 QTZ327682 RDV327682 RNR327682 RXN327682 SHJ327682 SRF327682 TBB327682 TKX327682 TUT327682 UEP327682 UOL327682 UYH327682 VID327682 VRZ327682 WBV327682 WLR327682 WVN327682 F393218 JB393218 SX393218 ACT393218 AMP393218 AWL393218 BGH393218 BQD393218 BZZ393218 CJV393218 CTR393218 DDN393218 DNJ393218 DXF393218 EHB393218 EQX393218 FAT393218 FKP393218 FUL393218 GEH393218 GOD393218 GXZ393218 HHV393218 HRR393218 IBN393218 ILJ393218 IVF393218 JFB393218 JOX393218 JYT393218 KIP393218 KSL393218 LCH393218 LMD393218 LVZ393218 MFV393218 MPR393218 MZN393218 NJJ393218 NTF393218 ODB393218 OMX393218 OWT393218 PGP393218 PQL393218 QAH393218 QKD393218 QTZ393218 RDV393218 RNR393218 RXN393218 SHJ393218 SRF393218 TBB393218 TKX393218 TUT393218 UEP393218 UOL393218 UYH393218 VID393218 VRZ393218 WBV393218 WLR393218 WVN393218 F458754 JB458754 SX458754 ACT458754 AMP458754 AWL458754 BGH458754 BQD458754 BZZ458754 CJV458754 CTR458754 DDN458754 DNJ458754 DXF458754 EHB458754 EQX458754 FAT458754 FKP458754 FUL458754 GEH458754 GOD458754 GXZ458754 HHV458754 HRR458754 IBN458754 ILJ458754 IVF458754 JFB458754 JOX458754 JYT458754 KIP458754 KSL458754 LCH458754 LMD458754 LVZ458754 MFV458754 MPR458754 MZN458754 NJJ458754 NTF458754 ODB458754 OMX458754 OWT458754 PGP458754 PQL458754 QAH458754 QKD458754 QTZ458754 RDV458754 RNR458754 RXN458754 SHJ458754 SRF458754 TBB458754 TKX458754 TUT458754 UEP458754 UOL458754 UYH458754 VID458754 VRZ458754 WBV458754 WLR458754 WVN458754 F524290 JB524290 SX524290 ACT524290 AMP524290 AWL524290 BGH524290 BQD524290 BZZ524290 CJV524290 CTR524290 DDN524290 DNJ524290 DXF524290 EHB524290 EQX524290 FAT524290 FKP524290 FUL524290 GEH524290 GOD524290 GXZ524290 HHV524290 HRR524290 IBN524290 ILJ524290 IVF524290 JFB524290 JOX524290 JYT524290 KIP524290 KSL524290 LCH524290 LMD524290 LVZ524290 MFV524290 MPR524290 MZN524290 NJJ524290 NTF524290 ODB524290 OMX524290 OWT524290 PGP524290 PQL524290 QAH524290 QKD524290 QTZ524290 RDV524290 RNR524290 RXN524290 SHJ524290 SRF524290 TBB524290 TKX524290 TUT524290 UEP524290 UOL524290 UYH524290 VID524290 VRZ524290 WBV524290 WLR524290 WVN524290 F589826 JB589826 SX589826 ACT589826 AMP589826 AWL589826 BGH589826 BQD589826 BZZ589826 CJV589826 CTR589826 DDN589826 DNJ589826 DXF589826 EHB589826 EQX589826 FAT589826 FKP589826 FUL589826 GEH589826 GOD589826 GXZ589826 HHV589826 HRR589826 IBN589826 ILJ589826 IVF589826 JFB589826 JOX589826 JYT589826 KIP589826 KSL589826 LCH589826 LMD589826 LVZ589826 MFV589826 MPR589826 MZN589826 NJJ589826 NTF589826 ODB589826 OMX589826 OWT589826 PGP589826 PQL589826 QAH589826 QKD589826 QTZ589826 RDV589826 RNR589826 RXN589826 SHJ589826 SRF589826 TBB589826 TKX589826 TUT589826 UEP589826 UOL589826 UYH589826 VID589826 VRZ589826 WBV589826 WLR589826 WVN589826 F655362 JB655362 SX655362 ACT655362 AMP655362 AWL655362 BGH655362 BQD655362 BZZ655362 CJV655362 CTR655362 DDN655362 DNJ655362 DXF655362 EHB655362 EQX655362 FAT655362 FKP655362 FUL655362 GEH655362 GOD655362 GXZ655362 HHV655362 HRR655362 IBN655362 ILJ655362 IVF655362 JFB655362 JOX655362 JYT655362 KIP655362 KSL655362 LCH655362 LMD655362 LVZ655362 MFV655362 MPR655362 MZN655362 NJJ655362 NTF655362 ODB655362 OMX655362 OWT655362 PGP655362 PQL655362 QAH655362 QKD655362 QTZ655362 RDV655362 RNR655362 RXN655362 SHJ655362 SRF655362 TBB655362 TKX655362 TUT655362 UEP655362 UOL655362 UYH655362 VID655362 VRZ655362 WBV655362 WLR655362 WVN655362 F720898 JB720898 SX720898 ACT720898 AMP720898 AWL720898 BGH720898 BQD720898 BZZ720898 CJV720898 CTR720898 DDN720898 DNJ720898 DXF720898 EHB720898 EQX720898 FAT720898 FKP720898 FUL720898 GEH720898 GOD720898 GXZ720898 HHV720898 HRR720898 IBN720898 ILJ720898 IVF720898 JFB720898 JOX720898 JYT720898 KIP720898 KSL720898 LCH720898 LMD720898 LVZ720898 MFV720898 MPR720898 MZN720898 NJJ720898 NTF720898 ODB720898 OMX720898 OWT720898 PGP720898 PQL720898 QAH720898 QKD720898 QTZ720898 RDV720898 RNR720898 RXN720898 SHJ720898 SRF720898 TBB720898 TKX720898 TUT720898 UEP720898 UOL720898 UYH720898 VID720898 VRZ720898 WBV720898 WLR720898 WVN720898 F786434 JB786434 SX786434 ACT786434 AMP786434 AWL786434 BGH786434 BQD786434 BZZ786434 CJV786434 CTR786434 DDN786434 DNJ786434 DXF786434 EHB786434 EQX786434 FAT786434 FKP786434 FUL786434 GEH786434 GOD786434 GXZ786434 HHV786434 HRR786434 IBN786434 ILJ786434 IVF786434 JFB786434 JOX786434 JYT786434 KIP786434 KSL786434 LCH786434 LMD786434 LVZ786434 MFV786434 MPR786434 MZN786434 NJJ786434 NTF786434 ODB786434 OMX786434 OWT786434 PGP786434 PQL786434 QAH786434 QKD786434 QTZ786434 RDV786434 RNR786434 RXN786434 SHJ786434 SRF786434 TBB786434 TKX786434 TUT786434 UEP786434 UOL786434 UYH786434 VID786434 VRZ786434 WBV786434 WLR786434 WVN786434 F851970 JB851970 SX851970 ACT851970 AMP851970 AWL851970 BGH851970 BQD851970 BZZ851970 CJV851970 CTR851970 DDN851970 DNJ851970 DXF851970 EHB851970 EQX851970 FAT851970 FKP851970 FUL851970 GEH851970 GOD851970 GXZ851970 HHV851970 HRR851970 IBN851970 ILJ851970 IVF851970 JFB851970 JOX851970 JYT851970 KIP851970 KSL851970 LCH851970 LMD851970 LVZ851970 MFV851970 MPR851970 MZN851970 NJJ851970 NTF851970 ODB851970 OMX851970 OWT851970 PGP851970 PQL851970 QAH851970 QKD851970 QTZ851970 RDV851970 RNR851970 RXN851970 SHJ851970 SRF851970 TBB851970 TKX851970 TUT851970 UEP851970 UOL851970 UYH851970 VID851970 VRZ851970 WBV851970 WLR851970 WVN851970 F917506 JB917506 SX917506 ACT917506 AMP917506 AWL917506 BGH917506 BQD917506 BZZ917506 CJV917506 CTR917506 DDN917506 DNJ917506 DXF917506 EHB917506 EQX917506 FAT917506 FKP917506 FUL917506 GEH917506 GOD917506 GXZ917506 HHV917506 HRR917506 IBN917506 ILJ917506 IVF917506 JFB917506 JOX917506 JYT917506 KIP917506 KSL917506 LCH917506 LMD917506 LVZ917506 MFV917506 MPR917506 MZN917506 NJJ917506 NTF917506 ODB917506 OMX917506 OWT917506 PGP917506 PQL917506 QAH917506 QKD917506 QTZ917506 RDV917506 RNR917506 RXN917506 SHJ917506 SRF917506 TBB917506 TKX917506 TUT917506 UEP917506 UOL917506 UYH917506 VID917506 VRZ917506 WBV917506 WLR917506 WVN917506 F983042 JB983042 SX983042 ACT983042 AMP983042 AWL983042 BGH983042 BQD983042 BZZ983042 CJV983042 CTR983042 DDN983042 DNJ983042 DXF983042 EHB983042 EQX983042 FAT983042 FKP983042 FUL983042 GEH983042 GOD983042 GXZ983042 HHV983042 HRR983042 IBN983042 ILJ983042 IVF983042 JFB983042 JOX983042 JYT983042 KIP983042 KSL983042 LCH983042 LMD983042 LVZ983042 MFV983042 MPR983042 MZN983042 NJJ983042 NTF983042 ODB983042 OMX983042 OWT983042 PGP983042 PQL983042 QAH983042 QKD983042 QTZ983042 RDV983042 RNR983042 RXN983042 SHJ983042 SRF983042 TBB983042 TKX983042 TUT983042 UEP983042 UOL983042 UYH983042 VID983042 VRZ983042 WBV983042 WLR983042 WVN983042">
      <formula1>Contributors</formula1>
    </dataValidation>
    <dataValidation type="list" allowBlank="1" showInputMessage="1" showErrorMessage="1" sqref="F45:F52 JB45:JB52 SX45:SX52 ACT45:ACT52 AMP45:AMP52 AWL45:AWL52 BGH45:BGH52 BQD45:BQD52 BZZ45:BZZ52 CJV45:CJV52 CTR45:CTR52 DDN45:DDN52 DNJ45:DNJ52 DXF45:DXF52 EHB45:EHB52 EQX45:EQX52 FAT45:FAT52 FKP45:FKP52 FUL45:FUL52 GEH45:GEH52 GOD45:GOD52 GXZ45:GXZ52 HHV45:HHV52 HRR45:HRR52 IBN45:IBN52 ILJ45:ILJ52 IVF45:IVF52 JFB45:JFB52 JOX45:JOX52 JYT45:JYT52 KIP45:KIP52 KSL45:KSL52 LCH45:LCH52 LMD45:LMD52 LVZ45:LVZ52 MFV45:MFV52 MPR45:MPR52 MZN45:MZN52 NJJ45:NJJ52 NTF45:NTF52 ODB45:ODB52 OMX45:OMX52 OWT45:OWT52 PGP45:PGP52 PQL45:PQL52 QAH45:QAH52 QKD45:QKD52 QTZ45:QTZ52 RDV45:RDV52 RNR45:RNR52 RXN45:RXN52 SHJ45:SHJ52 SRF45:SRF52 TBB45:TBB52 TKX45:TKX52 TUT45:TUT52 UEP45:UEP52 UOL45:UOL52 UYH45:UYH52 VID45:VID52 VRZ45:VRZ52 WBV45:WBV52 WLR45:WLR52 WVN45:WVN52 F65581:F65588 JB65581:JB65588 SX65581:SX65588 ACT65581:ACT65588 AMP65581:AMP65588 AWL65581:AWL65588 BGH65581:BGH65588 BQD65581:BQD65588 BZZ65581:BZZ65588 CJV65581:CJV65588 CTR65581:CTR65588 DDN65581:DDN65588 DNJ65581:DNJ65588 DXF65581:DXF65588 EHB65581:EHB65588 EQX65581:EQX65588 FAT65581:FAT65588 FKP65581:FKP65588 FUL65581:FUL65588 GEH65581:GEH65588 GOD65581:GOD65588 GXZ65581:GXZ65588 HHV65581:HHV65588 HRR65581:HRR65588 IBN65581:IBN65588 ILJ65581:ILJ65588 IVF65581:IVF65588 JFB65581:JFB65588 JOX65581:JOX65588 JYT65581:JYT65588 KIP65581:KIP65588 KSL65581:KSL65588 LCH65581:LCH65588 LMD65581:LMD65588 LVZ65581:LVZ65588 MFV65581:MFV65588 MPR65581:MPR65588 MZN65581:MZN65588 NJJ65581:NJJ65588 NTF65581:NTF65588 ODB65581:ODB65588 OMX65581:OMX65588 OWT65581:OWT65588 PGP65581:PGP65588 PQL65581:PQL65588 QAH65581:QAH65588 QKD65581:QKD65588 QTZ65581:QTZ65588 RDV65581:RDV65588 RNR65581:RNR65588 RXN65581:RXN65588 SHJ65581:SHJ65588 SRF65581:SRF65588 TBB65581:TBB65588 TKX65581:TKX65588 TUT65581:TUT65588 UEP65581:UEP65588 UOL65581:UOL65588 UYH65581:UYH65588 VID65581:VID65588 VRZ65581:VRZ65588 WBV65581:WBV65588 WLR65581:WLR65588 WVN65581:WVN65588 F131117:F131124 JB131117:JB131124 SX131117:SX131124 ACT131117:ACT131124 AMP131117:AMP131124 AWL131117:AWL131124 BGH131117:BGH131124 BQD131117:BQD131124 BZZ131117:BZZ131124 CJV131117:CJV131124 CTR131117:CTR131124 DDN131117:DDN131124 DNJ131117:DNJ131124 DXF131117:DXF131124 EHB131117:EHB131124 EQX131117:EQX131124 FAT131117:FAT131124 FKP131117:FKP131124 FUL131117:FUL131124 GEH131117:GEH131124 GOD131117:GOD131124 GXZ131117:GXZ131124 HHV131117:HHV131124 HRR131117:HRR131124 IBN131117:IBN131124 ILJ131117:ILJ131124 IVF131117:IVF131124 JFB131117:JFB131124 JOX131117:JOX131124 JYT131117:JYT131124 KIP131117:KIP131124 KSL131117:KSL131124 LCH131117:LCH131124 LMD131117:LMD131124 LVZ131117:LVZ131124 MFV131117:MFV131124 MPR131117:MPR131124 MZN131117:MZN131124 NJJ131117:NJJ131124 NTF131117:NTF131124 ODB131117:ODB131124 OMX131117:OMX131124 OWT131117:OWT131124 PGP131117:PGP131124 PQL131117:PQL131124 QAH131117:QAH131124 QKD131117:QKD131124 QTZ131117:QTZ131124 RDV131117:RDV131124 RNR131117:RNR131124 RXN131117:RXN131124 SHJ131117:SHJ131124 SRF131117:SRF131124 TBB131117:TBB131124 TKX131117:TKX131124 TUT131117:TUT131124 UEP131117:UEP131124 UOL131117:UOL131124 UYH131117:UYH131124 VID131117:VID131124 VRZ131117:VRZ131124 WBV131117:WBV131124 WLR131117:WLR131124 WVN131117:WVN131124 F196653:F196660 JB196653:JB196660 SX196653:SX196660 ACT196653:ACT196660 AMP196653:AMP196660 AWL196653:AWL196660 BGH196653:BGH196660 BQD196653:BQD196660 BZZ196653:BZZ196660 CJV196653:CJV196660 CTR196653:CTR196660 DDN196653:DDN196660 DNJ196653:DNJ196660 DXF196653:DXF196660 EHB196653:EHB196660 EQX196653:EQX196660 FAT196653:FAT196660 FKP196653:FKP196660 FUL196653:FUL196660 GEH196653:GEH196660 GOD196653:GOD196660 GXZ196653:GXZ196660 HHV196653:HHV196660 HRR196653:HRR196660 IBN196653:IBN196660 ILJ196653:ILJ196660 IVF196653:IVF196660 JFB196653:JFB196660 JOX196653:JOX196660 JYT196653:JYT196660 KIP196653:KIP196660 KSL196653:KSL196660 LCH196653:LCH196660 LMD196653:LMD196660 LVZ196653:LVZ196660 MFV196653:MFV196660 MPR196653:MPR196660 MZN196653:MZN196660 NJJ196653:NJJ196660 NTF196653:NTF196660 ODB196653:ODB196660 OMX196653:OMX196660 OWT196653:OWT196660 PGP196653:PGP196660 PQL196653:PQL196660 QAH196653:QAH196660 QKD196653:QKD196660 QTZ196653:QTZ196660 RDV196653:RDV196660 RNR196653:RNR196660 RXN196653:RXN196660 SHJ196653:SHJ196660 SRF196653:SRF196660 TBB196653:TBB196660 TKX196653:TKX196660 TUT196653:TUT196660 UEP196653:UEP196660 UOL196653:UOL196660 UYH196653:UYH196660 VID196653:VID196660 VRZ196653:VRZ196660 WBV196653:WBV196660 WLR196653:WLR196660 WVN196653:WVN196660 F262189:F262196 JB262189:JB262196 SX262189:SX262196 ACT262189:ACT262196 AMP262189:AMP262196 AWL262189:AWL262196 BGH262189:BGH262196 BQD262189:BQD262196 BZZ262189:BZZ262196 CJV262189:CJV262196 CTR262189:CTR262196 DDN262189:DDN262196 DNJ262189:DNJ262196 DXF262189:DXF262196 EHB262189:EHB262196 EQX262189:EQX262196 FAT262189:FAT262196 FKP262189:FKP262196 FUL262189:FUL262196 GEH262189:GEH262196 GOD262189:GOD262196 GXZ262189:GXZ262196 HHV262189:HHV262196 HRR262189:HRR262196 IBN262189:IBN262196 ILJ262189:ILJ262196 IVF262189:IVF262196 JFB262189:JFB262196 JOX262189:JOX262196 JYT262189:JYT262196 KIP262189:KIP262196 KSL262189:KSL262196 LCH262189:LCH262196 LMD262189:LMD262196 LVZ262189:LVZ262196 MFV262189:MFV262196 MPR262189:MPR262196 MZN262189:MZN262196 NJJ262189:NJJ262196 NTF262189:NTF262196 ODB262189:ODB262196 OMX262189:OMX262196 OWT262189:OWT262196 PGP262189:PGP262196 PQL262189:PQL262196 QAH262189:QAH262196 QKD262189:QKD262196 QTZ262189:QTZ262196 RDV262189:RDV262196 RNR262189:RNR262196 RXN262189:RXN262196 SHJ262189:SHJ262196 SRF262189:SRF262196 TBB262189:TBB262196 TKX262189:TKX262196 TUT262189:TUT262196 UEP262189:UEP262196 UOL262189:UOL262196 UYH262189:UYH262196 VID262189:VID262196 VRZ262189:VRZ262196 WBV262189:WBV262196 WLR262189:WLR262196 WVN262189:WVN262196 F327725:F327732 JB327725:JB327732 SX327725:SX327732 ACT327725:ACT327732 AMP327725:AMP327732 AWL327725:AWL327732 BGH327725:BGH327732 BQD327725:BQD327732 BZZ327725:BZZ327732 CJV327725:CJV327732 CTR327725:CTR327732 DDN327725:DDN327732 DNJ327725:DNJ327732 DXF327725:DXF327732 EHB327725:EHB327732 EQX327725:EQX327732 FAT327725:FAT327732 FKP327725:FKP327732 FUL327725:FUL327732 GEH327725:GEH327732 GOD327725:GOD327732 GXZ327725:GXZ327732 HHV327725:HHV327732 HRR327725:HRR327732 IBN327725:IBN327732 ILJ327725:ILJ327732 IVF327725:IVF327732 JFB327725:JFB327732 JOX327725:JOX327732 JYT327725:JYT327732 KIP327725:KIP327732 KSL327725:KSL327732 LCH327725:LCH327732 LMD327725:LMD327732 LVZ327725:LVZ327732 MFV327725:MFV327732 MPR327725:MPR327732 MZN327725:MZN327732 NJJ327725:NJJ327732 NTF327725:NTF327732 ODB327725:ODB327732 OMX327725:OMX327732 OWT327725:OWT327732 PGP327725:PGP327732 PQL327725:PQL327732 QAH327725:QAH327732 QKD327725:QKD327732 QTZ327725:QTZ327732 RDV327725:RDV327732 RNR327725:RNR327732 RXN327725:RXN327732 SHJ327725:SHJ327732 SRF327725:SRF327732 TBB327725:TBB327732 TKX327725:TKX327732 TUT327725:TUT327732 UEP327725:UEP327732 UOL327725:UOL327732 UYH327725:UYH327732 VID327725:VID327732 VRZ327725:VRZ327732 WBV327725:WBV327732 WLR327725:WLR327732 WVN327725:WVN327732 F393261:F393268 JB393261:JB393268 SX393261:SX393268 ACT393261:ACT393268 AMP393261:AMP393268 AWL393261:AWL393268 BGH393261:BGH393268 BQD393261:BQD393268 BZZ393261:BZZ393268 CJV393261:CJV393268 CTR393261:CTR393268 DDN393261:DDN393268 DNJ393261:DNJ393268 DXF393261:DXF393268 EHB393261:EHB393268 EQX393261:EQX393268 FAT393261:FAT393268 FKP393261:FKP393268 FUL393261:FUL393268 GEH393261:GEH393268 GOD393261:GOD393268 GXZ393261:GXZ393268 HHV393261:HHV393268 HRR393261:HRR393268 IBN393261:IBN393268 ILJ393261:ILJ393268 IVF393261:IVF393268 JFB393261:JFB393268 JOX393261:JOX393268 JYT393261:JYT393268 KIP393261:KIP393268 KSL393261:KSL393268 LCH393261:LCH393268 LMD393261:LMD393268 LVZ393261:LVZ393268 MFV393261:MFV393268 MPR393261:MPR393268 MZN393261:MZN393268 NJJ393261:NJJ393268 NTF393261:NTF393268 ODB393261:ODB393268 OMX393261:OMX393268 OWT393261:OWT393268 PGP393261:PGP393268 PQL393261:PQL393268 QAH393261:QAH393268 QKD393261:QKD393268 QTZ393261:QTZ393268 RDV393261:RDV393268 RNR393261:RNR393268 RXN393261:RXN393268 SHJ393261:SHJ393268 SRF393261:SRF393268 TBB393261:TBB393268 TKX393261:TKX393268 TUT393261:TUT393268 UEP393261:UEP393268 UOL393261:UOL393268 UYH393261:UYH393268 VID393261:VID393268 VRZ393261:VRZ393268 WBV393261:WBV393268 WLR393261:WLR393268 WVN393261:WVN393268 F458797:F458804 JB458797:JB458804 SX458797:SX458804 ACT458797:ACT458804 AMP458797:AMP458804 AWL458797:AWL458804 BGH458797:BGH458804 BQD458797:BQD458804 BZZ458797:BZZ458804 CJV458797:CJV458804 CTR458797:CTR458804 DDN458797:DDN458804 DNJ458797:DNJ458804 DXF458797:DXF458804 EHB458797:EHB458804 EQX458797:EQX458804 FAT458797:FAT458804 FKP458797:FKP458804 FUL458797:FUL458804 GEH458797:GEH458804 GOD458797:GOD458804 GXZ458797:GXZ458804 HHV458797:HHV458804 HRR458797:HRR458804 IBN458797:IBN458804 ILJ458797:ILJ458804 IVF458797:IVF458804 JFB458797:JFB458804 JOX458797:JOX458804 JYT458797:JYT458804 KIP458797:KIP458804 KSL458797:KSL458804 LCH458797:LCH458804 LMD458797:LMD458804 LVZ458797:LVZ458804 MFV458797:MFV458804 MPR458797:MPR458804 MZN458797:MZN458804 NJJ458797:NJJ458804 NTF458797:NTF458804 ODB458797:ODB458804 OMX458797:OMX458804 OWT458797:OWT458804 PGP458797:PGP458804 PQL458797:PQL458804 QAH458797:QAH458804 QKD458797:QKD458804 QTZ458797:QTZ458804 RDV458797:RDV458804 RNR458797:RNR458804 RXN458797:RXN458804 SHJ458797:SHJ458804 SRF458797:SRF458804 TBB458797:TBB458804 TKX458797:TKX458804 TUT458797:TUT458804 UEP458797:UEP458804 UOL458797:UOL458804 UYH458797:UYH458804 VID458797:VID458804 VRZ458797:VRZ458804 WBV458797:WBV458804 WLR458797:WLR458804 WVN458797:WVN458804 F524333:F524340 JB524333:JB524340 SX524333:SX524340 ACT524333:ACT524340 AMP524333:AMP524340 AWL524333:AWL524340 BGH524333:BGH524340 BQD524333:BQD524340 BZZ524333:BZZ524340 CJV524333:CJV524340 CTR524333:CTR524340 DDN524333:DDN524340 DNJ524333:DNJ524340 DXF524333:DXF524340 EHB524333:EHB524340 EQX524333:EQX524340 FAT524333:FAT524340 FKP524333:FKP524340 FUL524333:FUL524340 GEH524333:GEH524340 GOD524333:GOD524340 GXZ524333:GXZ524340 HHV524333:HHV524340 HRR524333:HRR524340 IBN524333:IBN524340 ILJ524333:ILJ524340 IVF524333:IVF524340 JFB524333:JFB524340 JOX524333:JOX524340 JYT524333:JYT524340 KIP524333:KIP524340 KSL524333:KSL524340 LCH524333:LCH524340 LMD524333:LMD524340 LVZ524333:LVZ524340 MFV524333:MFV524340 MPR524333:MPR524340 MZN524333:MZN524340 NJJ524333:NJJ524340 NTF524333:NTF524340 ODB524333:ODB524340 OMX524333:OMX524340 OWT524333:OWT524340 PGP524333:PGP524340 PQL524333:PQL524340 QAH524333:QAH524340 QKD524333:QKD524340 QTZ524333:QTZ524340 RDV524333:RDV524340 RNR524333:RNR524340 RXN524333:RXN524340 SHJ524333:SHJ524340 SRF524333:SRF524340 TBB524333:TBB524340 TKX524333:TKX524340 TUT524333:TUT524340 UEP524333:UEP524340 UOL524333:UOL524340 UYH524333:UYH524340 VID524333:VID524340 VRZ524333:VRZ524340 WBV524333:WBV524340 WLR524333:WLR524340 WVN524333:WVN524340 F589869:F589876 JB589869:JB589876 SX589869:SX589876 ACT589869:ACT589876 AMP589869:AMP589876 AWL589869:AWL589876 BGH589869:BGH589876 BQD589869:BQD589876 BZZ589869:BZZ589876 CJV589869:CJV589876 CTR589869:CTR589876 DDN589869:DDN589876 DNJ589869:DNJ589876 DXF589869:DXF589876 EHB589869:EHB589876 EQX589869:EQX589876 FAT589869:FAT589876 FKP589869:FKP589876 FUL589869:FUL589876 GEH589869:GEH589876 GOD589869:GOD589876 GXZ589869:GXZ589876 HHV589869:HHV589876 HRR589869:HRR589876 IBN589869:IBN589876 ILJ589869:ILJ589876 IVF589869:IVF589876 JFB589869:JFB589876 JOX589869:JOX589876 JYT589869:JYT589876 KIP589869:KIP589876 KSL589869:KSL589876 LCH589869:LCH589876 LMD589869:LMD589876 LVZ589869:LVZ589876 MFV589869:MFV589876 MPR589869:MPR589876 MZN589869:MZN589876 NJJ589869:NJJ589876 NTF589869:NTF589876 ODB589869:ODB589876 OMX589869:OMX589876 OWT589869:OWT589876 PGP589869:PGP589876 PQL589869:PQL589876 QAH589869:QAH589876 QKD589869:QKD589876 QTZ589869:QTZ589876 RDV589869:RDV589876 RNR589869:RNR589876 RXN589869:RXN589876 SHJ589869:SHJ589876 SRF589869:SRF589876 TBB589869:TBB589876 TKX589869:TKX589876 TUT589869:TUT589876 UEP589869:UEP589876 UOL589869:UOL589876 UYH589869:UYH589876 VID589869:VID589876 VRZ589869:VRZ589876 WBV589869:WBV589876 WLR589869:WLR589876 WVN589869:WVN589876 F655405:F655412 JB655405:JB655412 SX655405:SX655412 ACT655405:ACT655412 AMP655405:AMP655412 AWL655405:AWL655412 BGH655405:BGH655412 BQD655405:BQD655412 BZZ655405:BZZ655412 CJV655405:CJV655412 CTR655405:CTR655412 DDN655405:DDN655412 DNJ655405:DNJ655412 DXF655405:DXF655412 EHB655405:EHB655412 EQX655405:EQX655412 FAT655405:FAT655412 FKP655405:FKP655412 FUL655405:FUL655412 GEH655405:GEH655412 GOD655405:GOD655412 GXZ655405:GXZ655412 HHV655405:HHV655412 HRR655405:HRR655412 IBN655405:IBN655412 ILJ655405:ILJ655412 IVF655405:IVF655412 JFB655405:JFB655412 JOX655405:JOX655412 JYT655405:JYT655412 KIP655405:KIP655412 KSL655405:KSL655412 LCH655405:LCH655412 LMD655405:LMD655412 LVZ655405:LVZ655412 MFV655405:MFV655412 MPR655405:MPR655412 MZN655405:MZN655412 NJJ655405:NJJ655412 NTF655405:NTF655412 ODB655405:ODB655412 OMX655405:OMX655412 OWT655405:OWT655412 PGP655405:PGP655412 PQL655405:PQL655412 QAH655405:QAH655412 QKD655405:QKD655412 QTZ655405:QTZ655412 RDV655405:RDV655412 RNR655405:RNR655412 RXN655405:RXN655412 SHJ655405:SHJ655412 SRF655405:SRF655412 TBB655405:TBB655412 TKX655405:TKX655412 TUT655405:TUT655412 UEP655405:UEP655412 UOL655405:UOL655412 UYH655405:UYH655412 VID655405:VID655412 VRZ655405:VRZ655412 WBV655405:WBV655412 WLR655405:WLR655412 WVN655405:WVN655412 F720941:F720948 JB720941:JB720948 SX720941:SX720948 ACT720941:ACT720948 AMP720941:AMP720948 AWL720941:AWL720948 BGH720941:BGH720948 BQD720941:BQD720948 BZZ720941:BZZ720948 CJV720941:CJV720948 CTR720941:CTR720948 DDN720941:DDN720948 DNJ720941:DNJ720948 DXF720941:DXF720948 EHB720941:EHB720948 EQX720941:EQX720948 FAT720941:FAT720948 FKP720941:FKP720948 FUL720941:FUL720948 GEH720941:GEH720948 GOD720941:GOD720948 GXZ720941:GXZ720948 HHV720941:HHV720948 HRR720941:HRR720948 IBN720941:IBN720948 ILJ720941:ILJ720948 IVF720941:IVF720948 JFB720941:JFB720948 JOX720941:JOX720948 JYT720941:JYT720948 KIP720941:KIP720948 KSL720941:KSL720948 LCH720941:LCH720948 LMD720941:LMD720948 LVZ720941:LVZ720948 MFV720941:MFV720948 MPR720941:MPR720948 MZN720941:MZN720948 NJJ720941:NJJ720948 NTF720941:NTF720948 ODB720941:ODB720948 OMX720941:OMX720948 OWT720941:OWT720948 PGP720941:PGP720948 PQL720941:PQL720948 QAH720941:QAH720948 QKD720941:QKD720948 QTZ720941:QTZ720948 RDV720941:RDV720948 RNR720941:RNR720948 RXN720941:RXN720948 SHJ720941:SHJ720948 SRF720941:SRF720948 TBB720941:TBB720948 TKX720941:TKX720948 TUT720941:TUT720948 UEP720941:UEP720948 UOL720941:UOL720948 UYH720941:UYH720948 VID720941:VID720948 VRZ720941:VRZ720948 WBV720941:WBV720948 WLR720941:WLR720948 WVN720941:WVN720948 F786477:F786484 JB786477:JB786484 SX786477:SX786484 ACT786477:ACT786484 AMP786477:AMP786484 AWL786477:AWL786484 BGH786477:BGH786484 BQD786477:BQD786484 BZZ786477:BZZ786484 CJV786477:CJV786484 CTR786477:CTR786484 DDN786477:DDN786484 DNJ786477:DNJ786484 DXF786477:DXF786484 EHB786477:EHB786484 EQX786477:EQX786484 FAT786477:FAT786484 FKP786477:FKP786484 FUL786477:FUL786484 GEH786477:GEH786484 GOD786477:GOD786484 GXZ786477:GXZ786484 HHV786477:HHV786484 HRR786477:HRR786484 IBN786477:IBN786484 ILJ786477:ILJ786484 IVF786477:IVF786484 JFB786477:JFB786484 JOX786477:JOX786484 JYT786477:JYT786484 KIP786477:KIP786484 KSL786477:KSL786484 LCH786477:LCH786484 LMD786477:LMD786484 LVZ786477:LVZ786484 MFV786477:MFV786484 MPR786477:MPR786484 MZN786477:MZN786484 NJJ786477:NJJ786484 NTF786477:NTF786484 ODB786477:ODB786484 OMX786477:OMX786484 OWT786477:OWT786484 PGP786477:PGP786484 PQL786477:PQL786484 QAH786477:QAH786484 QKD786477:QKD786484 QTZ786477:QTZ786484 RDV786477:RDV786484 RNR786477:RNR786484 RXN786477:RXN786484 SHJ786477:SHJ786484 SRF786477:SRF786484 TBB786477:TBB786484 TKX786477:TKX786484 TUT786477:TUT786484 UEP786477:UEP786484 UOL786477:UOL786484 UYH786477:UYH786484 VID786477:VID786484 VRZ786477:VRZ786484 WBV786477:WBV786484 WLR786477:WLR786484 WVN786477:WVN786484 F852013:F852020 JB852013:JB852020 SX852013:SX852020 ACT852013:ACT852020 AMP852013:AMP852020 AWL852013:AWL852020 BGH852013:BGH852020 BQD852013:BQD852020 BZZ852013:BZZ852020 CJV852013:CJV852020 CTR852013:CTR852020 DDN852013:DDN852020 DNJ852013:DNJ852020 DXF852013:DXF852020 EHB852013:EHB852020 EQX852013:EQX852020 FAT852013:FAT852020 FKP852013:FKP852020 FUL852013:FUL852020 GEH852013:GEH852020 GOD852013:GOD852020 GXZ852013:GXZ852020 HHV852013:HHV852020 HRR852013:HRR852020 IBN852013:IBN852020 ILJ852013:ILJ852020 IVF852013:IVF852020 JFB852013:JFB852020 JOX852013:JOX852020 JYT852013:JYT852020 KIP852013:KIP852020 KSL852013:KSL852020 LCH852013:LCH852020 LMD852013:LMD852020 LVZ852013:LVZ852020 MFV852013:MFV852020 MPR852013:MPR852020 MZN852013:MZN852020 NJJ852013:NJJ852020 NTF852013:NTF852020 ODB852013:ODB852020 OMX852013:OMX852020 OWT852013:OWT852020 PGP852013:PGP852020 PQL852013:PQL852020 QAH852013:QAH852020 QKD852013:QKD852020 QTZ852013:QTZ852020 RDV852013:RDV852020 RNR852013:RNR852020 RXN852013:RXN852020 SHJ852013:SHJ852020 SRF852013:SRF852020 TBB852013:TBB852020 TKX852013:TKX852020 TUT852013:TUT852020 UEP852013:UEP852020 UOL852013:UOL852020 UYH852013:UYH852020 VID852013:VID852020 VRZ852013:VRZ852020 WBV852013:WBV852020 WLR852013:WLR852020 WVN852013:WVN852020 F917549:F917556 JB917549:JB917556 SX917549:SX917556 ACT917549:ACT917556 AMP917549:AMP917556 AWL917549:AWL917556 BGH917549:BGH917556 BQD917549:BQD917556 BZZ917549:BZZ917556 CJV917549:CJV917556 CTR917549:CTR917556 DDN917549:DDN917556 DNJ917549:DNJ917556 DXF917549:DXF917556 EHB917549:EHB917556 EQX917549:EQX917556 FAT917549:FAT917556 FKP917549:FKP917556 FUL917549:FUL917556 GEH917549:GEH917556 GOD917549:GOD917556 GXZ917549:GXZ917556 HHV917549:HHV917556 HRR917549:HRR917556 IBN917549:IBN917556 ILJ917549:ILJ917556 IVF917549:IVF917556 JFB917549:JFB917556 JOX917549:JOX917556 JYT917549:JYT917556 KIP917549:KIP917556 KSL917549:KSL917556 LCH917549:LCH917556 LMD917549:LMD917556 LVZ917549:LVZ917556 MFV917549:MFV917556 MPR917549:MPR917556 MZN917549:MZN917556 NJJ917549:NJJ917556 NTF917549:NTF917556 ODB917549:ODB917556 OMX917549:OMX917556 OWT917549:OWT917556 PGP917549:PGP917556 PQL917549:PQL917556 QAH917549:QAH917556 QKD917549:QKD917556 QTZ917549:QTZ917556 RDV917549:RDV917556 RNR917549:RNR917556 RXN917549:RXN917556 SHJ917549:SHJ917556 SRF917549:SRF917556 TBB917549:TBB917556 TKX917549:TKX917556 TUT917549:TUT917556 UEP917549:UEP917556 UOL917549:UOL917556 UYH917549:UYH917556 VID917549:VID917556 VRZ917549:VRZ917556 WBV917549:WBV917556 WLR917549:WLR917556 WVN917549:WVN917556 F983085:F983092 JB983085:JB983092 SX983085:SX983092 ACT983085:ACT983092 AMP983085:AMP983092 AWL983085:AWL983092 BGH983085:BGH983092 BQD983085:BQD983092 BZZ983085:BZZ983092 CJV983085:CJV983092 CTR983085:CTR983092 DDN983085:DDN983092 DNJ983085:DNJ983092 DXF983085:DXF983092 EHB983085:EHB983092 EQX983085:EQX983092 FAT983085:FAT983092 FKP983085:FKP983092 FUL983085:FUL983092 GEH983085:GEH983092 GOD983085:GOD983092 GXZ983085:GXZ983092 HHV983085:HHV983092 HRR983085:HRR983092 IBN983085:IBN983092 ILJ983085:ILJ983092 IVF983085:IVF983092 JFB983085:JFB983092 JOX983085:JOX983092 JYT983085:JYT983092 KIP983085:KIP983092 KSL983085:KSL983092 LCH983085:LCH983092 LMD983085:LMD983092 LVZ983085:LVZ983092 MFV983085:MFV983092 MPR983085:MPR983092 MZN983085:MZN983092 NJJ983085:NJJ983092 NTF983085:NTF983092 ODB983085:ODB983092 OMX983085:OMX983092 OWT983085:OWT983092 PGP983085:PGP983092 PQL983085:PQL983092 QAH983085:QAH983092 QKD983085:QKD983092 QTZ983085:QTZ983092 RDV983085:RDV983092 RNR983085:RNR983092 RXN983085:RXN983092 SHJ983085:SHJ983092 SRF983085:SRF983092 TBB983085:TBB983092 TKX983085:TKX983092 TUT983085:TUT983092 UEP983085:UEP983092 UOL983085:UOL983092 UYH983085:UYH983092 VID983085:VID983092 VRZ983085:VRZ983092 WBV983085:WBV983092 WLR983085:WLR983092 WVN983085:WVN983092">
      <formula1>"FirstDerivative,SecondDerivative,Lagrange,NotAKnot,Periodic"</formula1>
    </dataValidation>
  </dataValidations>
  <pageMargins left="0.75" right="0.75" top="1" bottom="1" header="0.5" footer="0.5"/>
  <pageSetup paperSize="9" orientation="portrait" r:id="rId1"/>
  <headerFooter alignWithMargins="0"/>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X63"/>
  <sheetViews>
    <sheetView workbookViewId="0"/>
  </sheetViews>
  <sheetFormatPr defaultRowHeight="11.25" x14ac:dyDescent="0.2"/>
  <cols>
    <col min="1" max="1" width="4" style="21" bestFit="1" customWidth="1"/>
    <col min="2" max="2" width="3.85546875" style="21" bestFit="1" customWidth="1"/>
    <col min="3" max="4" width="2.7109375" style="21" bestFit="1" customWidth="1"/>
    <col min="5" max="5" width="10.28515625" style="21" bestFit="1" customWidth="1"/>
    <col min="6" max="6" width="14.5703125" style="21" bestFit="1" customWidth="1"/>
    <col min="7" max="8" width="5.28515625" style="21" customWidth="1"/>
    <col min="9" max="9" width="9" style="21" bestFit="1" customWidth="1"/>
    <col min="10" max="10" width="5.7109375" style="21" bestFit="1" customWidth="1"/>
    <col min="11" max="11" width="5.28515625" style="21" bestFit="1" customWidth="1"/>
    <col min="12" max="12" width="5" style="21" customWidth="1"/>
    <col min="13" max="13" width="5.28515625" style="21" bestFit="1" customWidth="1"/>
    <col min="14" max="14" width="5" style="21" customWidth="1"/>
    <col min="15" max="15" width="15.42578125" style="21" bestFit="1" customWidth="1"/>
    <col min="16" max="17" width="7.7109375" style="21" bestFit="1" customWidth="1"/>
    <col min="18" max="18" width="5" style="21" customWidth="1"/>
    <col min="19" max="19" width="5.140625" style="21" customWidth="1"/>
    <col min="20" max="20" width="9" style="21" bestFit="1" customWidth="1"/>
    <col min="21" max="21" width="4.140625" style="21" bestFit="1" customWidth="1"/>
    <col min="22" max="22" width="9.5703125" style="21" bestFit="1" customWidth="1"/>
    <col min="23" max="23" width="3.85546875" style="21" bestFit="1" customWidth="1"/>
    <col min="24" max="24" width="7.7109375" style="21" bestFit="1" customWidth="1"/>
    <col min="25" max="16384" width="9.140625" style="21"/>
  </cols>
  <sheetData>
    <row r="1" spans="1:24" x14ac:dyDescent="0.2">
      <c r="A1" s="339" t="s">
        <v>313</v>
      </c>
      <c r="B1" s="207"/>
      <c r="C1" s="207"/>
      <c r="D1" s="207"/>
      <c r="E1" s="207"/>
      <c r="F1" s="207"/>
      <c r="G1" s="207"/>
      <c r="H1" s="207"/>
      <c r="I1" s="207"/>
      <c r="J1" s="207"/>
      <c r="K1" s="207"/>
      <c r="L1" s="207"/>
      <c r="M1" s="207"/>
      <c r="N1" s="207"/>
      <c r="O1" s="207"/>
      <c r="P1" s="207"/>
      <c r="Q1" s="207"/>
      <c r="R1" s="204"/>
    </row>
    <row r="2" spans="1:24" x14ac:dyDescent="0.2">
      <c r="A2" s="304"/>
      <c r="B2" s="145"/>
      <c r="C2" s="267"/>
      <c r="D2" s="267"/>
      <c r="E2" s="267"/>
      <c r="F2" s="152" t="s">
        <v>238</v>
      </c>
      <c r="G2" s="267"/>
      <c r="H2" s="267"/>
      <c r="I2" s="267"/>
      <c r="J2" s="267"/>
      <c r="K2" s="145"/>
      <c r="L2" s="267"/>
      <c r="M2" s="267"/>
      <c r="N2" s="267"/>
      <c r="O2" s="415" t="s">
        <v>257</v>
      </c>
      <c r="P2" s="152" t="s">
        <v>147</v>
      </c>
      <c r="Q2" s="145"/>
      <c r="R2" s="54"/>
    </row>
    <row r="3" spans="1:24" x14ac:dyDescent="0.2">
      <c r="A3" s="130"/>
      <c r="B3" s="267"/>
      <c r="C3" s="145"/>
      <c r="D3" s="145"/>
      <c r="E3" s="145"/>
      <c r="F3" s="145" t="str">
        <f>_xll.qlInterpolation(,InterpolationType,_xll.ohFilter(A5:A42,J5:J42),_xll.ohFilter(I5:I42,J5:J42))</f>
        <v>obj_004c9#0002</v>
      </c>
      <c r="G3" s="145"/>
      <c r="H3" s="145"/>
      <c r="I3" s="145"/>
      <c r="J3" s="145"/>
      <c r="K3" s="145"/>
      <c r="L3" s="267"/>
      <c r="M3" s="267"/>
      <c r="N3" s="267"/>
      <c r="O3" s="145"/>
      <c r="P3" s="145"/>
      <c r="Q3" s="299">
        <f>_xll.ohTrigger(Q5:Q42)</f>
        <v>3</v>
      </c>
      <c r="R3" s="225"/>
    </row>
    <row r="4" spans="1:24" ht="23.25" thickBot="1" x14ac:dyDescent="0.25">
      <c r="A4" s="130"/>
      <c r="B4" s="399"/>
      <c r="C4" s="202"/>
      <c r="D4" s="202"/>
      <c r="E4" s="202"/>
      <c r="F4" s="298" t="e">
        <f ca="1">_xll.RData(F5:F42,G4:H4,,ReutersRtMode,,G5)</f>
        <v>#NAME?</v>
      </c>
      <c r="G4" s="336" t="s">
        <v>261</v>
      </c>
      <c r="H4" s="336" t="s">
        <v>228</v>
      </c>
      <c r="I4" s="336" t="s">
        <v>288</v>
      </c>
      <c r="J4" s="336"/>
      <c r="K4" s="293" t="s">
        <v>287</v>
      </c>
      <c r="L4" s="267"/>
      <c r="M4" s="296" t="s">
        <v>255</v>
      </c>
      <c r="N4" s="267"/>
      <c r="O4" s="295" t="s">
        <v>254</v>
      </c>
      <c r="P4" s="398" t="s">
        <v>253</v>
      </c>
      <c r="Q4" s="100" t="s">
        <v>252</v>
      </c>
      <c r="R4" s="225"/>
      <c r="X4" s="333" t="s">
        <v>289</v>
      </c>
    </row>
    <row r="5" spans="1:24" x14ac:dyDescent="0.2">
      <c r="A5" s="414">
        <v>0.5</v>
      </c>
      <c r="B5" s="321" t="s">
        <v>40</v>
      </c>
      <c r="C5" s="320" t="str">
        <f t="array" ref="C5:C42">VLOOKUP(Currency,Conventions,2)</f>
        <v>3E</v>
      </c>
      <c r="D5" s="320" t="str">
        <f t="array" ref="D5:D42">VLOOKUP(Currency,Conventions,3)</f>
        <v>6E</v>
      </c>
      <c r="E5" s="318" t="str">
        <f t="shared" ref="E5:E42" si="0">Currency&amp;$C5&amp;$D5&amp;$B5</f>
        <v>EUR3E6E6M</v>
      </c>
      <c r="F5" s="277" t="str">
        <f t="array" ref="F5:F42">Instruments&amp;"="&amp;VLOOKUP(Contributor,ContributorTable,2,FALSE)</f>
        <v>EUR3E6E6M=ICAP</v>
      </c>
      <c r="G5" s="413" t="s">
        <v>262</v>
      </c>
      <c r="H5" s="413" t="s">
        <v>262</v>
      </c>
      <c r="I5" s="413" t="e">
        <f>_xll.qlMidEquivalent(G5,H5)</f>
        <v>#NUM!</v>
      </c>
      <c r="J5" s="273" t="b">
        <f t="shared" ref="J5:J42" si="1">IF(ISNUMBER(I5),TRUE,FALSE)</f>
        <v>0</v>
      </c>
      <c r="K5" s="418" t="e">
        <f t="array" ref="K5:K41">_xll.qlInterpolationInterpolate(F3,A5:A42)</f>
        <v>#NUM!</v>
      </c>
      <c r="L5" s="267"/>
      <c r="M5" s="411" t="e">
        <v>#NUM!</v>
      </c>
      <c r="N5" s="267"/>
      <c r="O5" s="274" t="str">
        <f t="shared" ref="O5:O42" si="2">$E5&amp;$P$2</f>
        <v>EUR3E6E6M_Quote</v>
      </c>
      <c r="P5" s="410" t="e">
        <f t="array" ref="P5:P42">QuoteLive</f>
        <v>#NUM!</v>
      </c>
      <c r="Q5" s="272" t="e">
        <f>_xll.qlSimpleQuoteSetValue($O5,ROUND($P5/10000,6),Trigger)</f>
        <v>#NUM!</v>
      </c>
      <c r="R5" s="225"/>
      <c r="T5" s="95" t="s">
        <v>137</v>
      </c>
      <c r="U5" s="94" t="s">
        <v>130</v>
      </c>
      <c r="V5" s="93" t="s">
        <v>132</v>
      </c>
      <c r="W5" s="21" t="str">
        <f t="shared" ref="W5:W42" si="3">B5</f>
        <v>6M</v>
      </c>
      <c r="X5" s="408" t="e">
        <f>(('Swap6M (2)'!P5-'Swap3M (2)'!P5)*100-P5)/10000</f>
        <v>#NUM!</v>
      </c>
    </row>
    <row r="6" spans="1:24" x14ac:dyDescent="0.2">
      <c r="A6" s="414">
        <v>1</v>
      </c>
      <c r="B6" s="321" t="s">
        <v>34</v>
      </c>
      <c r="C6" s="320" t="str">
        <v>3E</v>
      </c>
      <c r="D6" s="320" t="str">
        <v>6E</v>
      </c>
      <c r="E6" s="318" t="str">
        <f t="shared" si="0"/>
        <v>EUR3E6E1Y</v>
      </c>
      <c r="F6" s="277" t="str">
        <v>EUR3E6E1Y=ICAP</v>
      </c>
      <c r="G6" s="413">
        <v>9.5</v>
      </c>
      <c r="H6" s="413">
        <v>10.5</v>
      </c>
      <c r="I6" s="413">
        <f>_xll.qlMidEquivalent(G6,H6)</f>
        <v>10</v>
      </c>
      <c r="J6" s="273" t="b">
        <f t="shared" si="1"/>
        <v>1</v>
      </c>
      <c r="K6" s="418">
        <v>10</v>
      </c>
      <c r="L6" s="267"/>
      <c r="M6" s="411">
        <v>10</v>
      </c>
      <c r="N6" s="267"/>
      <c r="O6" s="274" t="str">
        <f t="shared" si="2"/>
        <v>EUR3E6E1Y_Quote</v>
      </c>
      <c r="P6" s="410">
        <v>10</v>
      </c>
      <c r="Q6" s="272" t="e">
        <f>_xll.qlSimpleQuoteSetValue($O6,ROUND($P6/10000,6),Trigger)</f>
        <v>#N/A</v>
      </c>
      <c r="R6" s="225"/>
      <c r="T6" s="92" t="s">
        <v>123</v>
      </c>
      <c r="U6" s="91" t="s">
        <v>142</v>
      </c>
      <c r="V6" s="90" t="s">
        <v>135</v>
      </c>
      <c r="W6" s="21" t="str">
        <f t="shared" si="3"/>
        <v>1Y</v>
      </c>
      <c r="X6" s="408">
        <f>(('Swap6M (2)'!P6-'Swap3M (2)'!P6)*100-P6)/10000</f>
        <v>3.5527136788005011E-19</v>
      </c>
    </row>
    <row r="7" spans="1:24" x14ac:dyDescent="0.2">
      <c r="A7" s="414">
        <v>1.25</v>
      </c>
      <c r="B7" s="321" t="s">
        <v>140</v>
      </c>
      <c r="C7" s="320" t="str">
        <v>3E</v>
      </c>
      <c r="D7" s="320" t="str">
        <v>6E</v>
      </c>
      <c r="E7" s="318" t="str">
        <f t="shared" si="0"/>
        <v>EUR3E6E15M</v>
      </c>
      <c r="F7" s="277" t="str">
        <v>EUR3E6E15M=ICAP</v>
      </c>
      <c r="G7" s="413" t="s">
        <v>262</v>
      </c>
      <c r="H7" s="413" t="s">
        <v>262</v>
      </c>
      <c r="I7" s="413" t="e">
        <f>_xll.qlMidEquivalent(G7,H7)</f>
        <v>#NUM!</v>
      </c>
      <c r="J7" s="273" t="b">
        <f t="shared" si="1"/>
        <v>0</v>
      </c>
      <c r="K7" s="418">
        <v>10.707205499281535</v>
      </c>
      <c r="L7" s="267"/>
      <c r="M7" s="411">
        <v>10.707205499281535</v>
      </c>
      <c r="N7" s="267"/>
      <c r="O7" s="274" t="str">
        <f t="shared" si="2"/>
        <v>EUR3E6E15M_Quote</v>
      </c>
      <c r="P7" s="410">
        <v>10.707205499281535</v>
      </c>
      <c r="Q7" s="272" t="e">
        <f>_xll.qlSimpleQuoteSetValue($O7,ROUND($P7/10000,6),Trigger)</f>
        <v>#N/A</v>
      </c>
      <c r="R7" s="225"/>
      <c r="T7" s="92" t="s">
        <v>134</v>
      </c>
      <c r="U7" s="91" t="s">
        <v>130</v>
      </c>
      <c r="V7" s="90" t="s">
        <v>132</v>
      </c>
      <c r="W7" s="21" t="str">
        <f t="shared" si="3"/>
        <v>15M</v>
      </c>
      <c r="X7" s="408">
        <f>(('Swap6M (2)'!P7-'Swap3M (2)'!P7)*100-P7)/10000</f>
        <v>-1.4072054992815382E-4</v>
      </c>
    </row>
    <row r="8" spans="1:24" x14ac:dyDescent="0.2">
      <c r="A8" s="414">
        <v>1.5</v>
      </c>
      <c r="B8" s="321" t="s">
        <v>139</v>
      </c>
      <c r="C8" s="320" t="str">
        <v>3E</v>
      </c>
      <c r="D8" s="320" t="str">
        <v>6E</v>
      </c>
      <c r="E8" s="318" t="str">
        <f t="shared" si="0"/>
        <v>EUR3E6E18M</v>
      </c>
      <c r="F8" s="277" t="str">
        <v>EUR3E6E18M=ICAP</v>
      </c>
      <c r="G8" s="413">
        <v>10.8</v>
      </c>
      <c r="H8" s="413">
        <v>11.8</v>
      </c>
      <c r="I8" s="413">
        <f>_xll.qlMidEquivalent(G8,H8)</f>
        <v>11.3</v>
      </c>
      <c r="J8" s="273" t="b">
        <f t="shared" si="1"/>
        <v>1</v>
      </c>
      <c r="K8" s="418">
        <v>11.3</v>
      </c>
      <c r="L8" s="267"/>
      <c r="M8" s="411">
        <v>11.3</v>
      </c>
      <c r="N8" s="267"/>
      <c r="O8" s="274" t="str">
        <f t="shared" si="2"/>
        <v>EUR3E6E18M_Quote</v>
      </c>
      <c r="P8" s="410">
        <v>11.3</v>
      </c>
      <c r="Q8" s="272" t="e">
        <f>_xll.qlSimpleQuoteSetValue($O8,ROUND($P8/10000,6),Trigger)</f>
        <v>#N/A</v>
      </c>
      <c r="R8" s="225"/>
      <c r="T8" s="92" t="s">
        <v>133</v>
      </c>
      <c r="U8" s="91" t="s">
        <v>130</v>
      </c>
      <c r="V8" s="90" t="s">
        <v>132</v>
      </c>
      <c r="W8" s="21" t="str">
        <f t="shared" si="3"/>
        <v>18M</v>
      </c>
      <c r="X8" s="408">
        <f>(('Swap6M (2)'!P8-'Swap3M (2)'!P8)*100-P8)/10000</f>
        <v>-1.0000000000000141E-5</v>
      </c>
    </row>
    <row r="9" spans="1:24" ht="12" thickBot="1" x14ac:dyDescent="0.25">
      <c r="A9" s="414">
        <v>1.75</v>
      </c>
      <c r="B9" s="321" t="s">
        <v>138</v>
      </c>
      <c r="C9" s="320" t="str">
        <v>3E</v>
      </c>
      <c r="D9" s="320" t="str">
        <v>6E</v>
      </c>
      <c r="E9" s="318" t="str">
        <f t="shared" si="0"/>
        <v>EUR3E6E21M</v>
      </c>
      <c r="F9" s="277" t="str">
        <v>EUR3E6E21M=ICAP</v>
      </c>
      <c r="G9" s="413" t="s">
        <v>262</v>
      </c>
      <c r="H9" s="413" t="s">
        <v>262</v>
      </c>
      <c r="I9" s="413" t="e">
        <f>_xll.qlMidEquivalent(G9,H9)</f>
        <v>#NUM!</v>
      </c>
      <c r="J9" s="273" t="b">
        <f t="shared" si="1"/>
        <v>0</v>
      </c>
      <c r="K9" s="418">
        <v>11.697133502155394</v>
      </c>
      <c r="L9" s="267"/>
      <c r="M9" s="411">
        <v>11.697133502155394</v>
      </c>
      <c r="N9" s="267"/>
      <c r="O9" s="274" t="str">
        <f t="shared" si="2"/>
        <v>EUR3E6E21M_Quote</v>
      </c>
      <c r="P9" s="410">
        <v>11.697133502155394</v>
      </c>
      <c r="Q9" s="272" t="e">
        <f>_xll.qlSimpleQuoteSetValue($O9,ROUND($P9/10000,6),Trigger)</f>
        <v>#N/A</v>
      </c>
      <c r="R9" s="225"/>
      <c r="T9" s="89" t="s">
        <v>131</v>
      </c>
      <c r="U9" s="88" t="s">
        <v>132</v>
      </c>
      <c r="V9" s="87" t="s">
        <v>130</v>
      </c>
      <c r="W9" s="21" t="str">
        <f t="shared" si="3"/>
        <v>21M</v>
      </c>
      <c r="X9" s="408">
        <f>(('Swap6M (2)'!P9-'Swap3M (2)'!P9)*100-P9)/10000</f>
        <v>-1.0971335021553959E-4</v>
      </c>
    </row>
    <row r="10" spans="1:24" x14ac:dyDescent="0.2">
      <c r="A10" s="130">
        <v>2</v>
      </c>
      <c r="B10" s="321" t="s">
        <v>115</v>
      </c>
      <c r="C10" s="320" t="str">
        <v>3E</v>
      </c>
      <c r="D10" s="320" t="str">
        <v>6E</v>
      </c>
      <c r="E10" s="318" t="str">
        <f t="shared" si="0"/>
        <v>EUR3E6E2Y</v>
      </c>
      <c r="F10" s="277" t="str">
        <v>EUR3E6E2Y=ICAP</v>
      </c>
      <c r="G10" s="413">
        <v>11.45</v>
      </c>
      <c r="H10" s="413">
        <v>12.45</v>
      </c>
      <c r="I10" s="413">
        <f>_xll.qlMidEquivalent(G10,H10)</f>
        <v>11.95</v>
      </c>
      <c r="J10" s="273" t="b">
        <f t="shared" si="1"/>
        <v>1</v>
      </c>
      <c r="K10" s="418">
        <v>11.95</v>
      </c>
      <c r="L10" s="267"/>
      <c r="M10" s="411">
        <v>11.95</v>
      </c>
      <c r="N10" s="267"/>
      <c r="O10" s="274" t="str">
        <f t="shared" si="2"/>
        <v>EUR3E6E2Y_Quote</v>
      </c>
      <c r="P10" s="410">
        <v>11.95</v>
      </c>
      <c r="Q10" s="272" t="e">
        <f>_xll.qlSimpleQuoteSetValue($O10,ROUND($P10/10000,6),Trigger)</f>
        <v>#N/A</v>
      </c>
      <c r="R10" s="225"/>
      <c r="W10" s="21" t="str">
        <f t="shared" si="3"/>
        <v>2Y</v>
      </c>
      <c r="X10" s="408">
        <f>(('Swap6M (2)'!P10-'Swap3M (2)'!P10)*100-P10)/10000</f>
        <v>-4.9999999999988273E-6</v>
      </c>
    </row>
    <row r="11" spans="1:24" x14ac:dyDescent="0.2">
      <c r="A11" s="130">
        <v>3</v>
      </c>
      <c r="B11" s="321" t="s">
        <v>114</v>
      </c>
      <c r="C11" s="320" t="str">
        <v>3E</v>
      </c>
      <c r="D11" s="320" t="str">
        <v>6E</v>
      </c>
      <c r="E11" s="318" t="str">
        <f t="shared" si="0"/>
        <v>EUR3E6E3Y</v>
      </c>
      <c r="F11" s="277" t="str">
        <v>EUR3E6E3Y=ICAP</v>
      </c>
      <c r="G11" s="413">
        <v>11.9</v>
      </c>
      <c r="H11" s="413">
        <v>12.9</v>
      </c>
      <c r="I11" s="413">
        <f>_xll.qlMidEquivalent(G11,H11)</f>
        <v>12.4</v>
      </c>
      <c r="J11" s="273" t="b">
        <f t="shared" si="1"/>
        <v>1</v>
      </c>
      <c r="K11" s="418">
        <v>12.4</v>
      </c>
      <c r="L11" s="267"/>
      <c r="M11" s="411">
        <v>12.4</v>
      </c>
      <c r="N11" s="267"/>
      <c r="O11" s="274" t="str">
        <f t="shared" si="2"/>
        <v>EUR3E6E3Y_Quote</v>
      </c>
      <c r="P11" s="410">
        <v>12.4</v>
      </c>
      <c r="Q11" s="272" t="e">
        <f>_xll.qlSimpleQuoteSetValue($O11,ROUND($P11/10000,6),Trigger)</f>
        <v>#N/A</v>
      </c>
      <c r="R11" s="225"/>
      <c r="W11" s="21" t="str">
        <f t="shared" si="3"/>
        <v>3Y</v>
      </c>
      <c r="X11" s="408">
        <f>(('Swap6M (2)'!P11-'Swap3M (2)'!P11)*100-P11)/10000</f>
        <v>0</v>
      </c>
    </row>
    <row r="12" spans="1:24" x14ac:dyDescent="0.2">
      <c r="A12" s="130">
        <v>4</v>
      </c>
      <c r="B12" s="321" t="s">
        <v>113</v>
      </c>
      <c r="C12" s="320" t="str">
        <v>3E</v>
      </c>
      <c r="D12" s="320" t="str">
        <v>6E</v>
      </c>
      <c r="E12" s="318" t="str">
        <f t="shared" si="0"/>
        <v>EUR3E6E4Y</v>
      </c>
      <c r="F12" s="277" t="str">
        <v>EUR3E6E4Y=ICAP</v>
      </c>
      <c r="G12" s="413">
        <v>11.85</v>
      </c>
      <c r="H12" s="413">
        <v>12.85</v>
      </c>
      <c r="I12" s="413">
        <f>_xll.qlMidEquivalent(G12,H12)</f>
        <v>12.35</v>
      </c>
      <c r="J12" s="273" t="b">
        <f t="shared" si="1"/>
        <v>1</v>
      </c>
      <c r="K12" s="418">
        <v>12.35</v>
      </c>
      <c r="L12" s="267"/>
      <c r="M12" s="411">
        <v>12.35</v>
      </c>
      <c r="N12" s="267"/>
      <c r="O12" s="274" t="str">
        <f t="shared" si="2"/>
        <v>EUR3E6E4Y_Quote</v>
      </c>
      <c r="P12" s="410">
        <v>12.35</v>
      </c>
      <c r="Q12" s="272" t="e">
        <f>_xll.qlSimpleQuoteSetValue($O12,ROUND($P12/10000,6),Trigger)</f>
        <v>#N/A</v>
      </c>
      <c r="R12" s="225"/>
      <c r="W12" s="21" t="str">
        <f t="shared" si="3"/>
        <v>4Y</v>
      </c>
      <c r="X12" s="408">
        <f>(('Swap6M (2)'!P12-'Swap3M (2)'!P12)*100-P12)/10000</f>
        <v>-4.9999999999998937E-6</v>
      </c>
    </row>
    <row r="13" spans="1:24" x14ac:dyDescent="0.2">
      <c r="A13" s="130">
        <v>5</v>
      </c>
      <c r="B13" s="321" t="s">
        <v>112</v>
      </c>
      <c r="C13" s="320" t="str">
        <v>3E</v>
      </c>
      <c r="D13" s="320" t="str">
        <v>6E</v>
      </c>
      <c r="E13" s="318" t="str">
        <f t="shared" si="0"/>
        <v>EUR3E6E5Y</v>
      </c>
      <c r="F13" s="277" t="str">
        <v>EUR3E6E5Y=ICAP</v>
      </c>
      <c r="G13" s="413">
        <v>11.5</v>
      </c>
      <c r="H13" s="413">
        <v>12.5</v>
      </c>
      <c r="I13" s="413">
        <f>_xll.qlMidEquivalent(G13,H13)</f>
        <v>12</v>
      </c>
      <c r="J13" s="273" t="b">
        <f t="shared" si="1"/>
        <v>1</v>
      </c>
      <c r="K13" s="418">
        <v>12</v>
      </c>
      <c r="L13" s="267"/>
      <c r="M13" s="411">
        <v>12</v>
      </c>
      <c r="N13" s="267"/>
      <c r="O13" s="274" t="str">
        <f t="shared" si="2"/>
        <v>EUR3E6E5Y_Quote</v>
      </c>
      <c r="P13" s="410">
        <v>12</v>
      </c>
      <c r="Q13" s="272" t="e">
        <f>_xll.qlSimpleQuoteSetValue($O13,ROUND($P13/10000,6),Trigger)</f>
        <v>#N/A</v>
      </c>
      <c r="R13" s="225"/>
      <c r="W13" s="21" t="str">
        <f t="shared" si="3"/>
        <v>5Y</v>
      </c>
      <c r="X13" s="408">
        <f>(('Swap6M (2)'!P13-'Swap3M (2)'!P13)*100-P13)/10000</f>
        <v>1.0658141036401502E-18</v>
      </c>
    </row>
    <row r="14" spans="1:24" x14ac:dyDescent="0.2">
      <c r="A14" s="130">
        <v>6</v>
      </c>
      <c r="B14" s="321" t="s">
        <v>111</v>
      </c>
      <c r="C14" s="320" t="str">
        <v>3E</v>
      </c>
      <c r="D14" s="320" t="str">
        <v>6E</v>
      </c>
      <c r="E14" s="318" t="str">
        <f t="shared" si="0"/>
        <v>EUR3E6E6Y</v>
      </c>
      <c r="F14" s="277" t="str">
        <v>EUR3E6E6Y=ICAP</v>
      </c>
      <c r="G14" s="413">
        <v>11.25</v>
      </c>
      <c r="H14" s="413">
        <v>12.25</v>
      </c>
      <c r="I14" s="413">
        <f>_xll.qlMidEquivalent(G14,H14)</f>
        <v>11.75</v>
      </c>
      <c r="J14" s="273" t="b">
        <f t="shared" si="1"/>
        <v>1</v>
      </c>
      <c r="K14" s="418">
        <v>11.75</v>
      </c>
      <c r="L14" s="267"/>
      <c r="M14" s="411">
        <v>11.75</v>
      </c>
      <c r="N14" s="267"/>
      <c r="O14" s="274" t="str">
        <f t="shared" si="2"/>
        <v>EUR3E6E6Y_Quote</v>
      </c>
      <c r="P14" s="410">
        <v>11.75</v>
      </c>
      <c r="Q14" s="272" t="e">
        <f>_xll.qlSimpleQuoteSetValue($O14,ROUND($P14/10000,6),Trigger)</f>
        <v>#N/A</v>
      </c>
      <c r="R14" s="225"/>
      <c r="W14" s="21" t="str">
        <f t="shared" si="3"/>
        <v>6Y</v>
      </c>
      <c r="X14" s="408">
        <f>(('Swap6M (2)'!P14-'Swap3M (2)'!P14)*100-P14)/10000</f>
        <v>-5.0000000000000707E-6</v>
      </c>
    </row>
    <row r="15" spans="1:24" x14ac:dyDescent="0.2">
      <c r="A15" s="130">
        <v>7</v>
      </c>
      <c r="B15" s="321" t="s">
        <v>110</v>
      </c>
      <c r="C15" s="320" t="str">
        <v>3E</v>
      </c>
      <c r="D15" s="320" t="str">
        <v>6E</v>
      </c>
      <c r="E15" s="318" t="str">
        <f t="shared" si="0"/>
        <v>EUR3E6E7Y</v>
      </c>
      <c r="F15" s="277" t="str">
        <v>EUR3E6E7Y=ICAP</v>
      </c>
      <c r="G15" s="413">
        <v>10.9</v>
      </c>
      <c r="H15" s="413">
        <v>11.9</v>
      </c>
      <c r="I15" s="413">
        <f>_xll.qlMidEquivalent(G15,H15)</f>
        <v>11.4</v>
      </c>
      <c r="J15" s="273" t="b">
        <f t="shared" si="1"/>
        <v>1</v>
      </c>
      <c r="K15" s="418">
        <v>11.4</v>
      </c>
      <c r="L15" s="267"/>
      <c r="M15" s="411">
        <v>11.4</v>
      </c>
      <c r="N15" s="267"/>
      <c r="O15" s="274" t="str">
        <f t="shared" si="2"/>
        <v>EUR3E6E7Y_Quote</v>
      </c>
      <c r="P15" s="410">
        <v>11.4</v>
      </c>
      <c r="Q15" s="272" t="e">
        <f>_xll.qlSimpleQuoteSetValue($O15,ROUND($P15/10000,6),Trigger)</f>
        <v>#N/A</v>
      </c>
      <c r="R15" s="225"/>
      <c r="W15" s="21" t="str">
        <f t="shared" si="3"/>
        <v>7Y</v>
      </c>
      <c r="X15" s="408">
        <f>(('Swap6M (2)'!P15-'Swap3M (2)'!P15)*100-P15)/10000</f>
        <v>-1.2434497875801753E-18</v>
      </c>
    </row>
    <row r="16" spans="1:24" x14ac:dyDescent="0.2">
      <c r="A16" s="130">
        <v>8</v>
      </c>
      <c r="B16" s="321" t="s">
        <v>109</v>
      </c>
      <c r="C16" s="320" t="str">
        <v>3E</v>
      </c>
      <c r="D16" s="320" t="str">
        <v>6E</v>
      </c>
      <c r="E16" s="318" t="str">
        <f t="shared" si="0"/>
        <v>EUR3E6E8Y</v>
      </c>
      <c r="F16" s="277" t="str">
        <v>EUR3E6E8Y=ICAP</v>
      </c>
      <c r="G16" s="413">
        <v>10.6</v>
      </c>
      <c r="H16" s="413">
        <v>11.6</v>
      </c>
      <c r="I16" s="413">
        <f>_xll.qlMidEquivalent(G16,H16)</f>
        <v>11.1</v>
      </c>
      <c r="J16" s="273" t="b">
        <f t="shared" si="1"/>
        <v>1</v>
      </c>
      <c r="K16" s="418">
        <v>11.1</v>
      </c>
      <c r="L16" s="267"/>
      <c r="M16" s="411">
        <v>11.1</v>
      </c>
      <c r="N16" s="267"/>
      <c r="O16" s="274" t="str">
        <f t="shared" si="2"/>
        <v>EUR3E6E8Y_Quote</v>
      </c>
      <c r="P16" s="410">
        <v>11.1</v>
      </c>
      <c r="Q16" s="272" t="e">
        <f>_xll.qlSimpleQuoteSetValue($O16,ROUND($P16/10000,6),Trigger)</f>
        <v>#N/A</v>
      </c>
      <c r="R16" s="225"/>
      <c r="W16" s="21" t="str">
        <f t="shared" si="3"/>
        <v>8Y</v>
      </c>
      <c r="X16" s="408">
        <f>(('Swap6M (2)'!P16-'Swap3M (2)'!P16)*100-P16)/10000</f>
        <v>-2.3092638912203255E-18</v>
      </c>
    </row>
    <row r="17" spans="1:24" x14ac:dyDescent="0.2">
      <c r="A17" s="130">
        <v>9</v>
      </c>
      <c r="B17" s="321" t="s">
        <v>108</v>
      </c>
      <c r="C17" s="320" t="str">
        <v>3E</v>
      </c>
      <c r="D17" s="320" t="str">
        <v>6E</v>
      </c>
      <c r="E17" s="318" t="str">
        <f t="shared" si="0"/>
        <v>EUR3E6E9Y</v>
      </c>
      <c r="F17" s="277" t="str">
        <v>EUR3E6E9Y=ICAP</v>
      </c>
      <c r="G17" s="413">
        <v>10.15</v>
      </c>
      <c r="H17" s="413">
        <v>11.15</v>
      </c>
      <c r="I17" s="413">
        <f>_xll.qlMidEquivalent(G17,H17)</f>
        <v>10.65</v>
      </c>
      <c r="J17" s="273" t="b">
        <f t="shared" si="1"/>
        <v>1</v>
      </c>
      <c r="K17" s="418">
        <v>10.65</v>
      </c>
      <c r="L17" s="267"/>
      <c r="M17" s="411">
        <v>10.65</v>
      </c>
      <c r="N17" s="267"/>
      <c r="O17" s="274" t="str">
        <f t="shared" si="2"/>
        <v>EUR3E6E9Y_Quote</v>
      </c>
      <c r="P17" s="410">
        <v>10.65</v>
      </c>
      <c r="Q17" s="272" t="e">
        <f>_xll.qlSimpleQuoteSetValue($O17,ROUND($P17/10000,6),Trigger)</f>
        <v>#N/A</v>
      </c>
      <c r="R17" s="225"/>
      <c r="W17" s="21" t="str">
        <f t="shared" si="3"/>
        <v>9Y</v>
      </c>
      <c r="X17" s="408">
        <f>(('Swap6M (2)'!P17-'Swap3M (2)'!P17)*100-P17)/10000</f>
        <v>-4.999999999999183E-6</v>
      </c>
    </row>
    <row r="18" spans="1:24" x14ac:dyDescent="0.2">
      <c r="A18" s="130">
        <v>10</v>
      </c>
      <c r="B18" s="321" t="s">
        <v>107</v>
      </c>
      <c r="C18" s="320" t="str">
        <v>3E</v>
      </c>
      <c r="D18" s="320" t="str">
        <v>6E</v>
      </c>
      <c r="E18" s="318" t="str">
        <f t="shared" si="0"/>
        <v>EUR3E6E10Y</v>
      </c>
      <c r="F18" s="277" t="str">
        <v>EUR3E6E10Y=ICAP</v>
      </c>
      <c r="G18" s="413">
        <v>9.6999999999999993</v>
      </c>
      <c r="H18" s="413">
        <v>10.7</v>
      </c>
      <c r="I18" s="413">
        <f>_xll.qlMidEquivalent(G18,H18)</f>
        <v>10.199999999999999</v>
      </c>
      <c r="J18" s="273" t="b">
        <f t="shared" si="1"/>
        <v>1</v>
      </c>
      <c r="K18" s="418">
        <v>10.199999999999999</v>
      </c>
      <c r="L18" s="267"/>
      <c r="M18" s="411">
        <v>10.199999999999999</v>
      </c>
      <c r="N18" s="267"/>
      <c r="O18" s="274" t="str">
        <f t="shared" si="2"/>
        <v>EUR3E6E10Y_Quote</v>
      </c>
      <c r="P18" s="410">
        <v>10.199999999999999</v>
      </c>
      <c r="Q18" s="272" t="e">
        <f>_xll.qlSimpleQuoteSetValue($O18,ROUND($P18/10000,6),Trigger)</f>
        <v>#N/A</v>
      </c>
      <c r="R18" s="225"/>
      <c r="W18" s="21" t="str">
        <f t="shared" si="3"/>
        <v>10Y</v>
      </c>
      <c r="X18" s="408">
        <f>(('Swap6M (2)'!P18-'Swap3M (2)'!P18)*100-P18)/10000</f>
        <v>9.9999999999997874E-6</v>
      </c>
    </row>
    <row r="19" spans="1:24" x14ac:dyDescent="0.2">
      <c r="A19" s="130">
        <v>11</v>
      </c>
      <c r="B19" s="321" t="s">
        <v>106</v>
      </c>
      <c r="C19" s="320" t="str">
        <v>3E</v>
      </c>
      <c r="D19" s="320" t="str">
        <v>6E</v>
      </c>
      <c r="E19" s="318" t="str">
        <f t="shared" si="0"/>
        <v>EUR3E6E11Y</v>
      </c>
      <c r="F19" s="277" t="str">
        <v>EUR3E6E11Y=ICAP</v>
      </c>
      <c r="G19" s="413">
        <v>9.35</v>
      </c>
      <c r="H19" s="413">
        <v>10.35</v>
      </c>
      <c r="I19" s="413">
        <f>_xll.qlMidEquivalent(G19,H19)</f>
        <v>9.85</v>
      </c>
      <c r="J19" s="273" t="b">
        <f t="shared" si="1"/>
        <v>1</v>
      </c>
      <c r="K19" s="418">
        <v>9.85</v>
      </c>
      <c r="L19" s="267"/>
      <c r="M19" s="411">
        <v>9.85</v>
      </c>
      <c r="N19" s="267"/>
      <c r="O19" s="274" t="str">
        <f t="shared" si="2"/>
        <v>EUR3E6E11Y_Quote</v>
      </c>
      <c r="P19" s="410">
        <v>9.85</v>
      </c>
      <c r="Q19" s="272" t="e">
        <f>_xll.qlSimpleQuoteSetValue($O19,ROUND($P19/10000,6),Trigger)</f>
        <v>#N/A</v>
      </c>
      <c r="R19" s="225"/>
      <c r="W19" s="21" t="str">
        <f t="shared" si="3"/>
        <v>11Y</v>
      </c>
      <c r="X19" s="408">
        <f>(('Swap6M (2)'!P19-'Swap3M (2)'!P19)*100-P19)/10000</f>
        <v>4.9999999999975838E-6</v>
      </c>
    </row>
    <row r="20" spans="1:24" x14ac:dyDescent="0.2">
      <c r="A20" s="130">
        <v>12</v>
      </c>
      <c r="B20" s="321" t="s">
        <v>105</v>
      </c>
      <c r="C20" s="320" t="str">
        <v>3E</v>
      </c>
      <c r="D20" s="320" t="str">
        <v>6E</v>
      </c>
      <c r="E20" s="318" t="str">
        <f t="shared" si="0"/>
        <v>EUR3E6E12Y</v>
      </c>
      <c r="F20" s="277" t="str">
        <v>EUR3E6E12Y=ICAP</v>
      </c>
      <c r="G20" s="413">
        <v>9.0500000000000007</v>
      </c>
      <c r="H20" s="413">
        <v>10.050000000000001</v>
      </c>
      <c r="I20" s="413">
        <f>_xll.qlMidEquivalent(G20,H20)</f>
        <v>9.5500000000000007</v>
      </c>
      <c r="J20" s="273" t="b">
        <f t="shared" si="1"/>
        <v>1</v>
      </c>
      <c r="K20" s="418">
        <v>9.5500000000000007</v>
      </c>
      <c r="L20" s="267"/>
      <c r="M20" s="411">
        <v>9.5500000000000007</v>
      </c>
      <c r="N20" s="267"/>
      <c r="O20" s="274" t="str">
        <f t="shared" si="2"/>
        <v>EUR3E6E12Y_Quote</v>
      </c>
      <c r="P20" s="410">
        <v>9.5500000000000007</v>
      </c>
      <c r="Q20" s="272" t="e">
        <f>_xll.qlSimpleQuoteSetValue($O20,ROUND($P20/10000,6),Trigger)</f>
        <v>#N/A</v>
      </c>
      <c r="R20" s="225"/>
      <c r="W20" s="21" t="str">
        <f t="shared" si="3"/>
        <v>12Y</v>
      </c>
      <c r="X20" s="408">
        <f>(('Swap6M (2)'!P20-'Swap3M (2)'!P20)*100-P20)/10000</f>
        <v>5.0000000000007814E-6</v>
      </c>
    </row>
    <row r="21" spans="1:24" x14ac:dyDescent="0.2">
      <c r="A21" s="130">
        <v>13</v>
      </c>
      <c r="B21" s="321" t="s">
        <v>104</v>
      </c>
      <c r="C21" s="320" t="str">
        <v>3E</v>
      </c>
      <c r="D21" s="320" t="str">
        <v>6E</v>
      </c>
      <c r="E21" s="318" t="str">
        <f t="shared" si="0"/>
        <v>EUR3E6E13Y</v>
      </c>
      <c r="F21" s="277" t="str">
        <v>EUR3E6E13Y=ICAP</v>
      </c>
      <c r="G21" s="413" t="s">
        <v>262</v>
      </c>
      <c r="H21" s="413" t="s">
        <v>262</v>
      </c>
      <c r="I21" s="413" t="e">
        <f>_xll.qlMidEquivalent(G21,H21)</f>
        <v>#NUM!</v>
      </c>
      <c r="J21" s="273" t="b">
        <f t="shared" si="1"/>
        <v>0</v>
      </c>
      <c r="K21" s="418">
        <v>9.2370385241899786</v>
      </c>
      <c r="L21" s="267"/>
      <c r="M21" s="411">
        <v>9.2370385241899786</v>
      </c>
      <c r="N21" s="267"/>
      <c r="O21" s="274" t="str">
        <f t="shared" si="2"/>
        <v>EUR3E6E13Y_Quote</v>
      </c>
      <c r="P21" s="410">
        <v>9.2370385241899786</v>
      </c>
      <c r="Q21" s="272" t="e">
        <f>_xll.qlSimpleQuoteSetValue($O21,ROUND($P21/10000,6),Trigger)</f>
        <v>#N/A</v>
      </c>
      <c r="R21" s="225"/>
      <c r="W21" s="21" t="str">
        <f t="shared" si="3"/>
        <v>13Y</v>
      </c>
      <c r="X21" s="408" t="e">
        <f>(('Swap6M (2)'!P21-'Swap3M (2)'!P21)*100-P21)/10000</f>
        <v>#NUM!</v>
      </c>
    </row>
    <row r="22" spans="1:24" x14ac:dyDescent="0.2">
      <c r="A22" s="130">
        <v>14</v>
      </c>
      <c r="B22" s="321" t="s">
        <v>103</v>
      </c>
      <c r="C22" s="320" t="str">
        <v>3E</v>
      </c>
      <c r="D22" s="320" t="str">
        <v>6E</v>
      </c>
      <c r="E22" s="318" t="str">
        <f t="shared" si="0"/>
        <v>EUR3E6E14Y</v>
      </c>
      <c r="F22" s="277" t="str">
        <v>EUR3E6E14Y=ICAP</v>
      </c>
      <c r="G22" s="413" t="s">
        <v>262</v>
      </c>
      <c r="H22" s="413" t="s">
        <v>262</v>
      </c>
      <c r="I22" s="413" t="e">
        <f>_xll.qlMidEquivalent(G22,H22)</f>
        <v>#NUM!</v>
      </c>
      <c r="J22" s="273" t="b">
        <f t="shared" si="1"/>
        <v>0</v>
      </c>
      <c r="K22" s="418">
        <v>8.9139108863230252</v>
      </c>
      <c r="L22" s="267"/>
      <c r="M22" s="411">
        <v>8.9139108863230252</v>
      </c>
      <c r="N22" s="267"/>
      <c r="O22" s="274" t="str">
        <f t="shared" si="2"/>
        <v>EUR3E6E14Y_Quote</v>
      </c>
      <c r="P22" s="410">
        <v>8.9139108863230252</v>
      </c>
      <c r="Q22" s="272" t="e">
        <f>_xll.qlSimpleQuoteSetValue($O22,ROUND($P22/10000,6),Trigger)</f>
        <v>#N/A</v>
      </c>
      <c r="R22" s="225"/>
      <c r="W22" s="21" t="str">
        <f t="shared" si="3"/>
        <v>14Y</v>
      </c>
      <c r="X22" s="408" t="e">
        <f>(('Swap6M (2)'!P22-'Swap3M (2)'!P22)*100-P22)/10000</f>
        <v>#NUM!</v>
      </c>
    </row>
    <row r="23" spans="1:24" x14ac:dyDescent="0.2">
      <c r="A23" s="130">
        <v>15</v>
      </c>
      <c r="B23" s="321" t="s">
        <v>102</v>
      </c>
      <c r="C23" s="320" t="str">
        <v>3E</v>
      </c>
      <c r="D23" s="320" t="str">
        <v>6E</v>
      </c>
      <c r="E23" s="318" t="str">
        <f t="shared" si="0"/>
        <v>EUR3E6E15Y</v>
      </c>
      <c r="F23" s="277" t="str">
        <v>EUR3E6E15Y=ICAP</v>
      </c>
      <c r="G23" s="413">
        <v>8.1</v>
      </c>
      <c r="H23" s="413">
        <v>9.1</v>
      </c>
      <c r="I23" s="413">
        <f>_xll.qlMidEquivalent(G23,H23)</f>
        <v>8.6</v>
      </c>
      <c r="J23" s="273" t="b">
        <f t="shared" si="1"/>
        <v>1</v>
      </c>
      <c r="K23" s="418">
        <v>8.6</v>
      </c>
      <c r="L23" s="267"/>
      <c r="M23" s="411">
        <v>8.6</v>
      </c>
      <c r="N23" s="267"/>
      <c r="O23" s="274" t="str">
        <f t="shared" si="2"/>
        <v>EUR3E6E15Y_Quote</v>
      </c>
      <c r="P23" s="410">
        <v>8.6</v>
      </c>
      <c r="Q23" s="272" t="e">
        <f>_xll.qlSimpleQuoteSetValue($O23,ROUND($P23/10000,6),Trigger)</f>
        <v>#N/A</v>
      </c>
      <c r="R23" s="225"/>
      <c r="W23" s="21" t="str">
        <f t="shared" si="3"/>
        <v>15Y</v>
      </c>
      <c r="X23" s="408">
        <f>(('Swap6M (2)'!P23-'Swap3M (2)'!P23)*100-P23)/10000</f>
        <v>1.0000000000001919E-5</v>
      </c>
    </row>
    <row r="24" spans="1:24" x14ac:dyDescent="0.2">
      <c r="A24" s="130">
        <v>16</v>
      </c>
      <c r="B24" s="321" t="s">
        <v>101</v>
      </c>
      <c r="C24" s="320" t="str">
        <v>3E</v>
      </c>
      <c r="D24" s="320" t="str">
        <v>6E</v>
      </c>
      <c r="E24" s="318" t="str">
        <f t="shared" si="0"/>
        <v>EUR3E6E16Y</v>
      </c>
      <c r="F24" s="277" t="str">
        <v>EUR3E6E16Y=ICAP</v>
      </c>
      <c r="G24" s="413" t="s">
        <v>262</v>
      </c>
      <c r="H24" s="413" t="s">
        <v>262</v>
      </c>
      <c r="I24" s="413" t="e">
        <f>_xll.qlMidEquivalent(G24,H24)</f>
        <v>#NUM!</v>
      </c>
      <c r="J24" s="273" t="b">
        <f t="shared" si="1"/>
        <v>0</v>
      </c>
      <c r="K24" s="418">
        <v>8.311111988281171</v>
      </c>
      <c r="L24" s="267"/>
      <c r="M24" s="411">
        <v>8.311111988281171</v>
      </c>
      <c r="N24" s="267"/>
      <c r="O24" s="274" t="str">
        <f t="shared" si="2"/>
        <v>EUR3E6E16Y_Quote</v>
      </c>
      <c r="P24" s="410">
        <v>8.311111988281171</v>
      </c>
      <c r="Q24" s="272" t="e">
        <f>_xll.qlSimpleQuoteSetValue($O24,ROUND($P24/10000,6),Trigger)</f>
        <v>#N/A</v>
      </c>
      <c r="R24" s="225"/>
      <c r="W24" s="21" t="str">
        <f t="shared" si="3"/>
        <v>16Y</v>
      </c>
      <c r="X24" s="408" t="e">
        <f>(('Swap6M (2)'!P24-'Swap3M (2)'!P24)*100-P24)/10000</f>
        <v>#NUM!</v>
      </c>
    </row>
    <row r="25" spans="1:24" x14ac:dyDescent="0.2">
      <c r="A25" s="130">
        <v>17</v>
      </c>
      <c r="B25" s="321" t="s">
        <v>100</v>
      </c>
      <c r="C25" s="320" t="str">
        <v>3E</v>
      </c>
      <c r="D25" s="320" t="str">
        <v>6E</v>
      </c>
      <c r="E25" s="318" t="str">
        <f t="shared" si="0"/>
        <v>EUR3E6E17Y</v>
      </c>
      <c r="F25" s="277" t="str">
        <v>EUR3E6E17Y=ICAP</v>
      </c>
      <c r="G25" s="413" t="s">
        <v>262</v>
      </c>
      <c r="H25" s="413" t="s">
        <v>262</v>
      </c>
      <c r="I25" s="413" t="e">
        <f>_xll.qlMidEquivalent(G25,H25)</f>
        <v>#NUM!</v>
      </c>
      <c r="J25" s="273" t="b">
        <f t="shared" si="1"/>
        <v>0</v>
      </c>
      <c r="K25" s="418">
        <v>8.0487458120644462</v>
      </c>
      <c r="L25" s="267"/>
      <c r="M25" s="411">
        <v>8.0487458120644462</v>
      </c>
      <c r="N25" s="267"/>
      <c r="O25" s="274" t="str">
        <f t="shared" si="2"/>
        <v>EUR3E6E17Y_Quote</v>
      </c>
      <c r="P25" s="410">
        <v>8.0487458120644462</v>
      </c>
      <c r="Q25" s="272" t="e">
        <f>_xll.qlSimpleQuoteSetValue($O25,ROUND($P25/10000,6),Trigger)</f>
        <v>#N/A</v>
      </c>
      <c r="R25" s="225"/>
      <c r="W25" s="21" t="str">
        <f t="shared" si="3"/>
        <v>17Y</v>
      </c>
      <c r="X25" s="408" t="e">
        <f>(('Swap6M (2)'!P25-'Swap3M (2)'!P25)*100-P25)/10000</f>
        <v>#NUM!</v>
      </c>
    </row>
    <row r="26" spans="1:24" x14ac:dyDescent="0.2">
      <c r="A26" s="130">
        <v>18</v>
      </c>
      <c r="B26" s="321" t="s">
        <v>99</v>
      </c>
      <c r="C26" s="320" t="str">
        <v>3E</v>
      </c>
      <c r="D26" s="320" t="str">
        <v>6E</v>
      </c>
      <c r="E26" s="318" t="str">
        <f t="shared" si="0"/>
        <v>EUR3E6E18Y</v>
      </c>
      <c r="F26" s="277" t="str">
        <v>EUR3E6E18Y=ICAP</v>
      </c>
      <c r="G26" s="413" t="s">
        <v>262</v>
      </c>
      <c r="H26" s="413" t="s">
        <v>262</v>
      </c>
      <c r="I26" s="413" t="e">
        <f>_xll.qlMidEquivalent(G26,H26)</f>
        <v>#NUM!</v>
      </c>
      <c r="J26" s="273" t="b">
        <f t="shared" si="1"/>
        <v>0</v>
      </c>
      <c r="K26" s="418">
        <v>7.8108236417071328</v>
      </c>
      <c r="L26" s="267"/>
      <c r="M26" s="411">
        <v>7.8108236417071328</v>
      </c>
      <c r="N26" s="267"/>
      <c r="O26" s="274" t="str">
        <f t="shared" si="2"/>
        <v>EUR3E6E18Y_Quote</v>
      </c>
      <c r="P26" s="410">
        <v>7.8108236417071328</v>
      </c>
      <c r="Q26" s="272" t="e">
        <f>_xll.qlSimpleQuoteSetValue($O26,ROUND($P26/10000,6),Trigger)</f>
        <v>#N/A</v>
      </c>
      <c r="R26" s="225"/>
      <c r="W26" s="21" t="str">
        <f t="shared" si="3"/>
        <v>18Y</v>
      </c>
      <c r="X26" s="408" t="e">
        <f>(('Swap6M (2)'!P26-'Swap3M (2)'!P26)*100-P26)/10000</f>
        <v>#NUM!</v>
      </c>
    </row>
    <row r="27" spans="1:24" x14ac:dyDescent="0.2">
      <c r="A27" s="130">
        <v>19</v>
      </c>
      <c r="B27" s="321" t="s">
        <v>98</v>
      </c>
      <c r="C27" s="320" t="str">
        <v>3E</v>
      </c>
      <c r="D27" s="320" t="str">
        <v>6E</v>
      </c>
      <c r="E27" s="318" t="str">
        <f t="shared" si="0"/>
        <v>EUR3E6E19Y</v>
      </c>
      <c r="F27" s="277" t="str">
        <v>EUR3E6E19Y=ICAP</v>
      </c>
      <c r="G27" s="413" t="s">
        <v>262</v>
      </c>
      <c r="H27" s="413" t="s">
        <v>262</v>
      </c>
      <c r="I27" s="413" t="e">
        <f>_xll.qlMidEquivalent(G27,H27)</f>
        <v>#NUM!</v>
      </c>
      <c r="J27" s="273" t="b">
        <f t="shared" si="1"/>
        <v>0</v>
      </c>
      <c r="K27" s="418">
        <v>7.5952676475665477</v>
      </c>
      <c r="L27" s="267"/>
      <c r="M27" s="411">
        <v>7.5952676475665477</v>
      </c>
      <c r="N27" s="267"/>
      <c r="O27" s="274" t="str">
        <f t="shared" si="2"/>
        <v>EUR3E6E19Y_Quote</v>
      </c>
      <c r="P27" s="410">
        <v>7.5952676475665477</v>
      </c>
      <c r="Q27" s="272" t="e">
        <f>_xll.qlSimpleQuoteSetValue($O27,ROUND($P27/10000,6),Trigger)</f>
        <v>#N/A</v>
      </c>
      <c r="R27" s="225"/>
      <c r="W27" s="21" t="str">
        <f t="shared" si="3"/>
        <v>19Y</v>
      </c>
      <c r="X27" s="408" t="e">
        <f>(('Swap6M (2)'!P27-'Swap3M (2)'!P27)*100-P27)/10000</f>
        <v>#NUM!</v>
      </c>
    </row>
    <row r="28" spans="1:24" x14ac:dyDescent="0.2">
      <c r="A28" s="130">
        <v>20</v>
      </c>
      <c r="B28" s="321" t="s">
        <v>97</v>
      </c>
      <c r="C28" s="320" t="str">
        <v>3E</v>
      </c>
      <c r="D28" s="320" t="str">
        <v>6E</v>
      </c>
      <c r="E28" s="318" t="str">
        <f t="shared" si="0"/>
        <v>EUR3E6E20Y</v>
      </c>
      <c r="F28" s="277" t="str">
        <v>EUR3E6E20Y=ICAP</v>
      </c>
      <c r="G28" s="413">
        <v>6.9</v>
      </c>
      <c r="H28" s="413">
        <v>7.9</v>
      </c>
      <c r="I28" s="413">
        <f>_xll.qlMidEquivalent(G28,H28)</f>
        <v>7.4</v>
      </c>
      <c r="J28" s="273" t="b">
        <f t="shared" si="1"/>
        <v>1</v>
      </c>
      <c r="K28" s="418">
        <v>7.4</v>
      </c>
      <c r="L28" s="267"/>
      <c r="M28" s="411">
        <v>7.4</v>
      </c>
      <c r="N28" s="267"/>
      <c r="O28" s="274" t="str">
        <f t="shared" si="2"/>
        <v>EUR3E6E20Y_Quote</v>
      </c>
      <c r="P28" s="410">
        <v>7.4</v>
      </c>
      <c r="Q28" s="272" t="e">
        <f>_xll.qlSimpleQuoteSetValue($O28,ROUND($P28/10000,6),Trigger)</f>
        <v>#N/A</v>
      </c>
      <c r="R28" s="225"/>
      <c r="W28" s="21" t="str">
        <f t="shared" si="3"/>
        <v>20Y</v>
      </c>
      <c r="X28" s="408">
        <f>(('Swap6M (2)'!P28-'Swap3M (2)'!P28)*100-P28)/10000</f>
        <v>1.0000000000001741E-5</v>
      </c>
    </row>
    <row r="29" spans="1:24" x14ac:dyDescent="0.2">
      <c r="A29" s="130">
        <v>21</v>
      </c>
      <c r="B29" s="321" t="s">
        <v>96</v>
      </c>
      <c r="C29" s="320" t="str">
        <v>3E</v>
      </c>
      <c r="D29" s="320" t="str">
        <v>6E</v>
      </c>
      <c r="E29" s="318" t="str">
        <f t="shared" si="0"/>
        <v>EUR3E6E21Y</v>
      </c>
      <c r="F29" s="277" t="str">
        <v>EUR3E6E21Y=ICAP</v>
      </c>
      <c r="G29" s="413" t="s">
        <v>262</v>
      </c>
      <c r="H29" s="413" t="s">
        <v>262</v>
      </c>
      <c r="I29" s="413" t="e">
        <f>_xll.qlMidEquivalent(G29,H29)</f>
        <v>#NUM!</v>
      </c>
      <c r="J29" s="273" t="b">
        <f t="shared" si="1"/>
        <v>0</v>
      </c>
      <c r="K29" s="418">
        <v>7.222900765978534</v>
      </c>
      <c r="L29" s="267"/>
      <c r="M29" s="411">
        <v>7.222900765978534</v>
      </c>
      <c r="N29" s="267"/>
      <c r="O29" s="274" t="str">
        <f t="shared" si="2"/>
        <v>EUR3E6E21Y_Quote</v>
      </c>
      <c r="P29" s="410">
        <v>7.222900765978534</v>
      </c>
      <c r="Q29" s="272" t="e">
        <f>_xll.qlSimpleQuoteSetValue($O29,ROUND($P29/10000,6),Trigger)</f>
        <v>#N/A</v>
      </c>
      <c r="R29" s="225"/>
      <c r="W29" s="21" t="str">
        <f t="shared" si="3"/>
        <v>21Y</v>
      </c>
      <c r="X29" s="408" t="e">
        <f>(('Swap6M (2)'!P29-'Swap3M (2)'!P29)*100-P29)/10000</f>
        <v>#NUM!</v>
      </c>
    </row>
    <row r="30" spans="1:24" x14ac:dyDescent="0.2">
      <c r="A30" s="130">
        <v>22</v>
      </c>
      <c r="B30" s="321" t="s">
        <v>95</v>
      </c>
      <c r="C30" s="320" t="str">
        <v>3E</v>
      </c>
      <c r="D30" s="320" t="str">
        <v>6E</v>
      </c>
      <c r="E30" s="318" t="str">
        <f t="shared" si="0"/>
        <v>EUR3E6E22Y</v>
      </c>
      <c r="F30" s="277" t="str">
        <v>EUR3E6E22Y=ICAP</v>
      </c>
      <c r="G30" s="413" t="s">
        <v>262</v>
      </c>
      <c r="H30" s="413" t="s">
        <v>262</v>
      </c>
      <c r="I30" s="413" t="e">
        <f>_xll.qlMidEquivalent(G30,H30)</f>
        <v>#NUM!</v>
      </c>
      <c r="J30" s="273" t="b">
        <f t="shared" si="1"/>
        <v>0</v>
      </c>
      <c r="K30" s="418">
        <v>7.0616815989281108</v>
      </c>
      <c r="L30" s="267"/>
      <c r="M30" s="411">
        <v>7.0616815989281108</v>
      </c>
      <c r="N30" s="267"/>
      <c r="O30" s="274" t="str">
        <f t="shared" si="2"/>
        <v>EUR3E6E22Y_Quote</v>
      </c>
      <c r="P30" s="410">
        <v>7.0616815989281108</v>
      </c>
      <c r="Q30" s="272" t="e">
        <f>_xll.qlSimpleQuoteSetValue($O30,ROUND($P30/10000,6),Trigger)</f>
        <v>#N/A</v>
      </c>
      <c r="R30" s="225"/>
      <c r="W30" s="21" t="str">
        <f t="shared" si="3"/>
        <v>22Y</v>
      </c>
      <c r="X30" s="408" t="e">
        <f>(('Swap6M (2)'!P30-'Swap3M (2)'!P30)*100-P30)/10000</f>
        <v>#NUM!</v>
      </c>
    </row>
    <row r="31" spans="1:24" x14ac:dyDescent="0.2">
      <c r="A31" s="130">
        <v>23</v>
      </c>
      <c r="B31" s="321" t="s">
        <v>94</v>
      </c>
      <c r="C31" s="320" t="str">
        <v>3E</v>
      </c>
      <c r="D31" s="320" t="str">
        <v>6E</v>
      </c>
      <c r="E31" s="318" t="str">
        <f t="shared" si="0"/>
        <v>EUR3E6E23Y</v>
      </c>
      <c r="F31" s="277" t="str">
        <v>EUR3E6E23Y=ICAP</v>
      </c>
      <c r="G31" s="413" t="s">
        <v>262</v>
      </c>
      <c r="H31" s="413" t="s">
        <v>262</v>
      </c>
      <c r="I31" s="413" t="e">
        <f>_xll.qlMidEquivalent(G31,H31)</f>
        <v>#NUM!</v>
      </c>
      <c r="J31" s="273" t="b">
        <f t="shared" si="1"/>
        <v>0</v>
      </c>
      <c r="K31" s="418">
        <v>6.91401204888842</v>
      </c>
      <c r="L31" s="267"/>
      <c r="M31" s="411">
        <v>6.91401204888842</v>
      </c>
      <c r="N31" s="267"/>
      <c r="O31" s="274" t="str">
        <f t="shared" si="2"/>
        <v>EUR3E6E23Y_Quote</v>
      </c>
      <c r="P31" s="410">
        <v>6.91401204888842</v>
      </c>
      <c r="Q31" s="272" t="e">
        <f>_xll.qlSimpleQuoteSetValue($O31,ROUND($P31/10000,6),Trigger)</f>
        <v>#N/A</v>
      </c>
      <c r="R31" s="225"/>
      <c r="W31" s="21" t="str">
        <f t="shared" si="3"/>
        <v>23Y</v>
      </c>
      <c r="X31" s="408" t="e">
        <f>(('Swap6M (2)'!P31-'Swap3M (2)'!P31)*100-P31)/10000</f>
        <v>#NUM!</v>
      </c>
    </row>
    <row r="32" spans="1:24" x14ac:dyDescent="0.2">
      <c r="A32" s="130">
        <v>24</v>
      </c>
      <c r="B32" s="321" t="s">
        <v>93</v>
      </c>
      <c r="C32" s="320" t="str">
        <v>3E</v>
      </c>
      <c r="D32" s="320" t="str">
        <v>6E</v>
      </c>
      <c r="E32" s="318" t="str">
        <f t="shared" si="0"/>
        <v>EUR3E6E24Y</v>
      </c>
      <c r="F32" s="277" t="str">
        <v>EUR3E6E24Y=ICAP</v>
      </c>
      <c r="G32" s="413" t="s">
        <v>262</v>
      </c>
      <c r="H32" s="413" t="s">
        <v>262</v>
      </c>
      <c r="I32" s="413" t="e">
        <f>_xll.qlMidEquivalent(G32,H32)</f>
        <v>#NUM!</v>
      </c>
      <c r="J32" s="273" t="b">
        <f t="shared" si="1"/>
        <v>0</v>
      </c>
      <c r="K32" s="418">
        <v>6.7775616658991531</v>
      </c>
      <c r="L32" s="267"/>
      <c r="M32" s="411">
        <v>6.7775616658991531</v>
      </c>
      <c r="N32" s="267"/>
      <c r="O32" s="274" t="str">
        <f t="shared" si="2"/>
        <v>EUR3E6E24Y_Quote</v>
      </c>
      <c r="P32" s="410">
        <v>6.7775616658991531</v>
      </c>
      <c r="Q32" s="272" t="e">
        <f>_xll.qlSimpleQuoteSetValue($O32,ROUND($P32/10000,6),Trigger)</f>
        <v>#N/A</v>
      </c>
      <c r="R32" s="225"/>
      <c r="W32" s="21" t="str">
        <f t="shared" si="3"/>
        <v>24Y</v>
      </c>
      <c r="X32" s="408" t="e">
        <f>(('Swap6M (2)'!P32-'Swap3M (2)'!P32)*100-P32)/10000</f>
        <v>#NUM!</v>
      </c>
    </row>
    <row r="33" spans="1:24" x14ac:dyDescent="0.2">
      <c r="A33" s="130">
        <v>25</v>
      </c>
      <c r="B33" s="321" t="s">
        <v>92</v>
      </c>
      <c r="C33" s="320" t="str">
        <v>3E</v>
      </c>
      <c r="D33" s="320" t="str">
        <v>6E</v>
      </c>
      <c r="E33" s="318" t="str">
        <f t="shared" si="0"/>
        <v>EUR3E6E25Y</v>
      </c>
      <c r="F33" s="277" t="str">
        <v>EUR3E6E25Y=ICAP</v>
      </c>
      <c r="G33" s="413">
        <v>6.15</v>
      </c>
      <c r="H33" s="413">
        <v>7.15</v>
      </c>
      <c r="I33" s="413">
        <f>_xll.qlMidEquivalent(G33,H33)</f>
        <v>6.65</v>
      </c>
      <c r="J33" s="273" t="b">
        <f t="shared" si="1"/>
        <v>1</v>
      </c>
      <c r="K33" s="418">
        <v>6.65</v>
      </c>
      <c r="L33" s="267"/>
      <c r="M33" s="411">
        <v>6.65</v>
      </c>
      <c r="N33" s="267"/>
      <c r="O33" s="274" t="str">
        <f t="shared" si="2"/>
        <v>EUR3E6E25Y_Quote</v>
      </c>
      <c r="P33" s="410">
        <v>6.65</v>
      </c>
      <c r="Q33" s="272" t="e">
        <f>_xll.qlSimpleQuoteSetValue($O33,ROUND($P33/10000,6),Trigger)</f>
        <v>#N/A</v>
      </c>
      <c r="R33" s="225"/>
      <c r="W33" s="21" t="str">
        <f t="shared" si="3"/>
        <v>25Y</v>
      </c>
      <c r="X33" s="408">
        <f>(('Swap6M (2)'!P33-'Swap3M (2)'!P33)*100-P33)/10000</f>
        <v>4.9999999999972289E-6</v>
      </c>
    </row>
    <row r="34" spans="1:24" x14ac:dyDescent="0.2">
      <c r="A34" s="130">
        <v>26</v>
      </c>
      <c r="B34" s="321" t="s">
        <v>91</v>
      </c>
      <c r="C34" s="320" t="str">
        <v>3E</v>
      </c>
      <c r="D34" s="320" t="str">
        <v>6E</v>
      </c>
      <c r="E34" s="318" t="str">
        <f t="shared" si="0"/>
        <v>EUR3E6E26Y</v>
      </c>
      <c r="F34" s="277" t="str">
        <v>EUR3E6E26Y=ICAP</v>
      </c>
      <c r="G34" s="413" t="s">
        <v>262</v>
      </c>
      <c r="H34" s="413" t="s">
        <v>262</v>
      </c>
      <c r="I34" s="413" t="e">
        <f>_xll.qlMidEquivalent(G34,H34)</f>
        <v>#NUM!</v>
      </c>
      <c r="J34" s="273" t="b">
        <f t="shared" si="1"/>
        <v>0</v>
      </c>
      <c r="K34" s="418">
        <v>6.529284947804693</v>
      </c>
      <c r="L34" s="267"/>
      <c r="M34" s="411">
        <v>6.529284947804693</v>
      </c>
      <c r="N34" s="267"/>
      <c r="O34" s="274" t="str">
        <f t="shared" si="2"/>
        <v>EUR3E6E26Y_Quote</v>
      </c>
      <c r="P34" s="410">
        <v>6.529284947804693</v>
      </c>
      <c r="Q34" s="272" t="e">
        <f>_xll.qlSimpleQuoteSetValue($O34,ROUND($P34/10000,6),Trigger)</f>
        <v>#N/A</v>
      </c>
      <c r="R34" s="225"/>
      <c r="W34" s="21" t="str">
        <f t="shared" si="3"/>
        <v>26Y</v>
      </c>
      <c r="X34" s="408" t="e">
        <f>(('Swap6M (2)'!P34-'Swap3M (2)'!P34)*100-P34)/10000</f>
        <v>#NUM!</v>
      </c>
    </row>
    <row r="35" spans="1:24" x14ac:dyDescent="0.2">
      <c r="A35" s="130">
        <v>27</v>
      </c>
      <c r="B35" s="321" t="s">
        <v>90</v>
      </c>
      <c r="C35" s="320" t="str">
        <v>3E</v>
      </c>
      <c r="D35" s="320" t="str">
        <v>6E</v>
      </c>
      <c r="E35" s="318" t="str">
        <f t="shared" si="0"/>
        <v>EUR3E6E27Y</v>
      </c>
      <c r="F35" s="277" t="str">
        <v>EUR3E6E27Y=ICAP</v>
      </c>
      <c r="G35" s="413" t="s">
        <v>262</v>
      </c>
      <c r="H35" s="413" t="s">
        <v>262</v>
      </c>
      <c r="I35" s="413" t="e">
        <f>_xll.qlMidEquivalent(G35,H35)</f>
        <v>#NUM!</v>
      </c>
      <c r="J35" s="273" t="b">
        <f t="shared" si="1"/>
        <v>0</v>
      </c>
      <c r="K35" s="418">
        <v>6.4145277922231152</v>
      </c>
      <c r="L35" s="267"/>
      <c r="M35" s="411">
        <v>6.4145277922231152</v>
      </c>
      <c r="N35" s="267"/>
      <c r="O35" s="274" t="str">
        <f t="shared" si="2"/>
        <v>EUR3E6E27Y_Quote</v>
      </c>
      <c r="P35" s="410">
        <v>6.4145277922231152</v>
      </c>
      <c r="Q35" s="272" t="e">
        <f>_xll.qlSimpleQuoteSetValue($O35,ROUND($P35/10000,6),Trigger)</f>
        <v>#N/A</v>
      </c>
      <c r="R35" s="225"/>
      <c r="W35" s="21" t="str">
        <f t="shared" si="3"/>
        <v>27Y</v>
      </c>
      <c r="X35" s="408" t="e">
        <f>(('Swap6M (2)'!P35-'Swap3M (2)'!P35)*100-P35)/10000</f>
        <v>#NUM!</v>
      </c>
    </row>
    <row r="36" spans="1:24" x14ac:dyDescent="0.2">
      <c r="A36" s="130">
        <v>28</v>
      </c>
      <c r="B36" s="321" t="s">
        <v>89</v>
      </c>
      <c r="C36" s="320" t="str">
        <v>3E</v>
      </c>
      <c r="D36" s="320" t="str">
        <v>6E</v>
      </c>
      <c r="E36" s="318" t="str">
        <f t="shared" si="0"/>
        <v>EUR3E6E28Y</v>
      </c>
      <c r="F36" s="277" t="str">
        <v>EUR3E6E28Y=ICAP</v>
      </c>
      <c r="G36" s="413" t="s">
        <v>262</v>
      </c>
      <c r="H36" s="413" t="s">
        <v>262</v>
      </c>
      <c r="I36" s="413" t="e">
        <f>_xll.qlMidEquivalent(G36,H36)</f>
        <v>#NUM!</v>
      </c>
      <c r="J36" s="273" t="b">
        <f t="shared" si="1"/>
        <v>0</v>
      </c>
      <c r="K36" s="418">
        <v>6.3051281627391909</v>
      </c>
      <c r="L36" s="267"/>
      <c r="M36" s="411">
        <v>6.3051281627391909</v>
      </c>
      <c r="N36" s="267"/>
      <c r="O36" s="274" t="str">
        <f t="shared" si="2"/>
        <v>EUR3E6E28Y_Quote</v>
      </c>
      <c r="P36" s="410">
        <v>6.3051281627391909</v>
      </c>
      <c r="Q36" s="272" t="e">
        <f>_xll.qlSimpleQuoteSetValue($O36,ROUND($P36/10000,6),Trigger)</f>
        <v>#N/A</v>
      </c>
      <c r="R36" s="225"/>
      <c r="W36" s="21" t="str">
        <f t="shared" si="3"/>
        <v>28Y</v>
      </c>
      <c r="X36" s="408" t="e">
        <f>(('Swap6M (2)'!P36-'Swap3M (2)'!P36)*100-P36)/10000</f>
        <v>#NUM!</v>
      </c>
    </row>
    <row r="37" spans="1:24" x14ac:dyDescent="0.2">
      <c r="A37" s="130">
        <v>29</v>
      </c>
      <c r="B37" s="321" t="s">
        <v>88</v>
      </c>
      <c r="C37" s="320" t="str">
        <v>3E</v>
      </c>
      <c r="D37" s="320" t="str">
        <v>6E</v>
      </c>
      <c r="E37" s="318" t="str">
        <f t="shared" si="0"/>
        <v>EUR3E6E29Y</v>
      </c>
      <c r="F37" s="277" t="str">
        <v>EUR3E6E29Y=ICAP</v>
      </c>
      <c r="G37" s="413" t="s">
        <v>262</v>
      </c>
      <c r="H37" s="413" t="s">
        <v>262</v>
      </c>
      <c r="I37" s="413" t="e">
        <f>_xll.qlMidEquivalent(G37,H37)</f>
        <v>#NUM!</v>
      </c>
      <c r="J37" s="273" t="b">
        <f t="shared" si="1"/>
        <v>0</v>
      </c>
      <c r="K37" s="418">
        <v>6.200485688836844</v>
      </c>
      <c r="L37" s="267"/>
      <c r="M37" s="411">
        <v>6.200485688836844</v>
      </c>
      <c r="N37" s="267"/>
      <c r="O37" s="274" t="str">
        <f t="shared" si="2"/>
        <v>EUR3E6E29Y_Quote</v>
      </c>
      <c r="P37" s="410">
        <v>6.200485688836844</v>
      </c>
      <c r="Q37" s="272" t="e">
        <f>_xll.qlSimpleQuoteSetValue($O37,ROUND($P37/10000,6),Trigger)</f>
        <v>#N/A</v>
      </c>
      <c r="R37" s="225"/>
      <c r="W37" s="21" t="str">
        <f t="shared" si="3"/>
        <v>29Y</v>
      </c>
      <c r="X37" s="408" t="e">
        <f>(('Swap6M (2)'!P37-'Swap3M (2)'!P37)*100-P37)/10000</f>
        <v>#NUM!</v>
      </c>
    </row>
    <row r="38" spans="1:24" x14ac:dyDescent="0.2">
      <c r="A38" s="130">
        <v>30</v>
      </c>
      <c r="B38" s="321" t="s">
        <v>87</v>
      </c>
      <c r="C38" s="320" t="str">
        <v>3E</v>
      </c>
      <c r="D38" s="320" t="str">
        <v>6E</v>
      </c>
      <c r="E38" s="318" t="str">
        <f t="shared" si="0"/>
        <v>EUR3E6E30Y</v>
      </c>
      <c r="F38" s="277" t="str">
        <v>EUR3E6E30Y=ICAP</v>
      </c>
      <c r="G38" s="413">
        <v>5.6</v>
      </c>
      <c r="H38" s="413">
        <v>6.6</v>
      </c>
      <c r="I38" s="413">
        <f>_xll.qlMidEquivalent(G38,H38)</f>
        <v>6.1</v>
      </c>
      <c r="J38" s="273" t="b">
        <f t="shared" si="1"/>
        <v>1</v>
      </c>
      <c r="K38" s="418">
        <v>6.1</v>
      </c>
      <c r="L38" s="267"/>
      <c r="M38" s="411">
        <v>6.1</v>
      </c>
      <c r="N38" s="267"/>
      <c r="O38" s="274" t="str">
        <f t="shared" si="2"/>
        <v>EUR3E6E30Y_Quote</v>
      </c>
      <c r="P38" s="410">
        <v>6.1</v>
      </c>
      <c r="Q38" s="272" t="e">
        <f>_xll.qlSimpleQuoteSetValue($O38,ROUND($P38/10000,6),Trigger)</f>
        <v>#N/A</v>
      </c>
      <c r="R38" s="225"/>
      <c r="W38" s="21" t="str">
        <f t="shared" si="3"/>
        <v>30Y</v>
      </c>
      <c r="X38" s="408">
        <f>(('Swap6M (2)'!P38-'Swap3M (2)'!P38)*100-P38)/10000</f>
        <v>9.999999999998366E-6</v>
      </c>
    </row>
    <row r="39" spans="1:24" x14ac:dyDescent="0.2">
      <c r="A39" s="130">
        <v>35</v>
      </c>
      <c r="B39" s="321" t="s">
        <v>82</v>
      </c>
      <c r="C39" s="320" t="str">
        <v>3E</v>
      </c>
      <c r="D39" s="320" t="str">
        <v>6E</v>
      </c>
      <c r="E39" s="318" t="str">
        <f t="shared" si="0"/>
        <v>EUR3E6E35Y</v>
      </c>
      <c r="F39" s="277" t="str">
        <v>EUR3E6E35Y=ICAP</v>
      </c>
      <c r="G39" s="413" t="s">
        <v>262</v>
      </c>
      <c r="H39" s="413" t="s">
        <v>262</v>
      </c>
      <c r="I39" s="413" t="e">
        <f>_xll.qlMidEquivalent(G39,H39)</f>
        <v>#NUM!</v>
      </c>
      <c r="J39" s="273" t="b">
        <f t="shared" si="1"/>
        <v>0</v>
      </c>
      <c r="K39" s="418">
        <v>5.6524497666484645</v>
      </c>
      <c r="L39" s="267"/>
      <c r="M39" s="411">
        <v>5.6524497666484645</v>
      </c>
      <c r="N39" s="267"/>
      <c r="O39" s="274" t="str">
        <f t="shared" si="2"/>
        <v>EUR3E6E35Y_Quote</v>
      </c>
      <c r="P39" s="410">
        <v>5.6524497666484645</v>
      </c>
      <c r="Q39" s="272" t="e">
        <f>_xll.qlSimpleQuoteSetValue($O39,ROUND($P39/10000,6),Trigger)</f>
        <v>#N/A</v>
      </c>
      <c r="R39" s="225"/>
      <c r="W39" s="21" t="str">
        <f t="shared" si="3"/>
        <v>35Y</v>
      </c>
      <c r="X39" s="408" t="e">
        <f>(('Swap6M (2)'!P39-'Swap3M (2)'!P39)*100-P39)/10000</f>
        <v>#NUM!</v>
      </c>
    </row>
    <row r="40" spans="1:24" x14ac:dyDescent="0.2">
      <c r="A40" s="130">
        <v>40</v>
      </c>
      <c r="B40" s="321" t="s">
        <v>77</v>
      </c>
      <c r="C40" s="320" t="str">
        <v>3E</v>
      </c>
      <c r="D40" s="320" t="str">
        <v>6E</v>
      </c>
      <c r="E40" s="318" t="str">
        <f t="shared" si="0"/>
        <v>EUR3E6E40Y</v>
      </c>
      <c r="F40" s="277" t="str">
        <v>EUR3E6E40Y=ICAP</v>
      </c>
      <c r="G40" s="413">
        <v>4.8</v>
      </c>
      <c r="H40" s="413">
        <v>5.8</v>
      </c>
      <c r="I40" s="413">
        <f>_xll.qlMidEquivalent(G40,H40)</f>
        <v>5.3</v>
      </c>
      <c r="J40" s="273" t="b">
        <f t="shared" si="1"/>
        <v>1</v>
      </c>
      <c r="K40" s="418">
        <v>5.3</v>
      </c>
      <c r="L40" s="416">
        <f>K38-K40</f>
        <v>0.79999999999999982</v>
      </c>
      <c r="M40" s="411">
        <v>5.3</v>
      </c>
      <c r="N40" s="267"/>
      <c r="O40" s="274" t="str">
        <f t="shared" si="2"/>
        <v>EUR3E6E40Y_Quote</v>
      </c>
      <c r="P40" s="410">
        <v>5.3</v>
      </c>
      <c r="Q40" s="272" t="e">
        <f>_xll.qlSimpleQuoteSetValue($O40,ROUND($P40/10000,6),Trigger)</f>
        <v>#N/A</v>
      </c>
      <c r="R40" s="225"/>
      <c r="W40" s="21" t="str">
        <f t="shared" si="3"/>
        <v>40Y</v>
      </c>
      <c r="X40" s="408">
        <f>(('Swap6M (2)'!P40-'Swap3M (2)'!P40)*100-P40)/10000</f>
        <v>1.0000000000002718E-5</v>
      </c>
    </row>
    <row r="41" spans="1:24" x14ac:dyDescent="0.2">
      <c r="A41" s="130">
        <v>50</v>
      </c>
      <c r="B41" s="321" t="s">
        <v>67</v>
      </c>
      <c r="C41" s="320" t="str">
        <v>3E</v>
      </c>
      <c r="D41" s="320" t="str">
        <v>6E</v>
      </c>
      <c r="E41" s="318" t="str">
        <f t="shared" si="0"/>
        <v>EUR3E6E50Y</v>
      </c>
      <c r="F41" s="277" t="str">
        <v>EUR3E6E50Y=ICAP</v>
      </c>
      <c r="G41" s="413">
        <v>4.3499999999999996</v>
      </c>
      <c r="H41" s="413">
        <v>5.35</v>
      </c>
      <c r="I41" s="413">
        <f>_xll.qlMidEquivalent(G41,H41)</f>
        <v>4.8499999999999996</v>
      </c>
      <c r="J41" s="273" t="b">
        <f t="shared" si="1"/>
        <v>1</v>
      </c>
      <c r="K41" s="418">
        <v>4.8499999999999996</v>
      </c>
      <c r="L41" s="416">
        <f>K40-K41</f>
        <v>0.45000000000000018</v>
      </c>
      <c r="M41" s="411">
        <v>4.8499999999999996</v>
      </c>
      <c r="N41" s="267"/>
      <c r="O41" s="274" t="str">
        <f t="shared" si="2"/>
        <v>EUR3E6E50Y_Quote</v>
      </c>
      <c r="P41" s="410">
        <v>4.8499999999999996</v>
      </c>
      <c r="Q41" s="272" t="e">
        <f>_xll.qlSimpleQuoteSetValue($O41,ROUND($P41/10000,6),Trigger)</f>
        <v>#N/A</v>
      </c>
      <c r="R41" s="225"/>
      <c r="W41" s="21" t="str">
        <f t="shared" si="3"/>
        <v>50Y</v>
      </c>
      <c r="X41" s="408">
        <f>(('Swap6M (2)'!P41-'Swap3M (2)'!P41)*100-P41)/10000</f>
        <v>4.9999999999993609E-6</v>
      </c>
    </row>
    <row r="42" spans="1:24" x14ac:dyDescent="0.2">
      <c r="A42" s="130">
        <v>60</v>
      </c>
      <c r="B42" s="321" t="s">
        <v>57</v>
      </c>
      <c r="C42" s="320" t="str">
        <v>3E</v>
      </c>
      <c r="D42" s="320" t="str">
        <v>6E</v>
      </c>
      <c r="E42" s="318" t="str">
        <f t="shared" si="0"/>
        <v>EUR3E6E60Y</v>
      </c>
      <c r="F42" s="277" t="str">
        <v>EUR3E6E60Y=ICAP</v>
      </c>
      <c r="G42" s="413">
        <v>4.05</v>
      </c>
      <c r="H42" s="413">
        <v>5.05</v>
      </c>
      <c r="I42" s="413">
        <f>_xll.qlMidEquivalent(G42,H42)</f>
        <v>4.55</v>
      </c>
      <c r="J42" s="273" t="b">
        <f t="shared" si="1"/>
        <v>1</v>
      </c>
      <c r="K42" s="417">
        <f>K41-L42</f>
        <v>4.5968749999999989</v>
      </c>
      <c r="L42" s="416">
        <f>L41/L40*L41</f>
        <v>0.25312500000000027</v>
      </c>
      <c r="M42" s="411">
        <v>4.5968749999999989</v>
      </c>
      <c r="N42" s="267"/>
      <c r="O42" s="274" t="str">
        <f t="shared" si="2"/>
        <v>EUR3E6E60Y_Quote</v>
      </c>
      <c r="P42" s="410">
        <v>4.5968749999999989</v>
      </c>
      <c r="Q42" s="272" t="e">
        <f>_xll.qlSimpleQuoteSetValue($O42,ROUND($P42/10000,6),Trigger)</f>
        <v>#N/A</v>
      </c>
      <c r="R42" s="225"/>
      <c r="W42" s="21" t="str">
        <f t="shared" si="3"/>
        <v>60Y</v>
      </c>
      <c r="X42" s="408">
        <f>(('Swap6M (2)'!P42-'Swap3M (2)'!P42)*100-P42)/10000</f>
        <v>3.1249999999829468E-7</v>
      </c>
    </row>
    <row r="43" spans="1:24" ht="12" thickBot="1" x14ac:dyDescent="0.25">
      <c r="A43" s="53"/>
      <c r="B43" s="306"/>
      <c r="C43" s="306"/>
      <c r="D43" s="306"/>
      <c r="E43" s="306"/>
      <c r="F43" s="306"/>
      <c r="G43" s="306"/>
      <c r="H43" s="306"/>
      <c r="I43" s="306"/>
      <c r="J43" s="306"/>
      <c r="K43" s="306"/>
      <c r="L43" s="52"/>
      <c r="M43" s="306"/>
      <c r="N43" s="52"/>
      <c r="O43" s="306"/>
      <c r="P43" s="306"/>
      <c r="Q43" s="306"/>
      <c r="R43" s="394"/>
    </row>
    <row r="47" spans="1:24" x14ac:dyDescent="0.2">
      <c r="F47" s="409"/>
    </row>
    <row r="48" spans="1:24" x14ac:dyDescent="0.2">
      <c r="F48" s="409"/>
    </row>
    <row r="49" spans="6:6" x14ac:dyDescent="0.2">
      <c r="F49" s="409"/>
    </row>
    <row r="50" spans="6:6" x14ac:dyDescent="0.2">
      <c r="F50" s="409"/>
    </row>
    <row r="51" spans="6:6" x14ac:dyDescent="0.2">
      <c r="F51" s="409"/>
    </row>
    <row r="52" spans="6:6" x14ac:dyDescent="0.2">
      <c r="F52" s="409"/>
    </row>
    <row r="53" spans="6:6" x14ac:dyDescent="0.2">
      <c r="F53" s="409"/>
    </row>
    <row r="54" spans="6:6" x14ac:dyDescent="0.2">
      <c r="F54" s="409"/>
    </row>
    <row r="55" spans="6:6" x14ac:dyDescent="0.2">
      <c r="F55" s="409"/>
    </row>
    <row r="56" spans="6:6" x14ac:dyDescent="0.2">
      <c r="F56" s="409"/>
    </row>
    <row r="57" spans="6:6" x14ac:dyDescent="0.2">
      <c r="F57" s="409"/>
    </row>
    <row r="58" spans="6:6" x14ac:dyDescent="0.2">
      <c r="F58" s="409"/>
    </row>
    <row r="59" spans="6:6" x14ac:dyDescent="0.2">
      <c r="F59" s="409"/>
    </row>
    <row r="60" spans="6:6" x14ac:dyDescent="0.2">
      <c r="F60" s="408"/>
    </row>
    <row r="61" spans="6:6" x14ac:dyDescent="0.2">
      <c r="F61" s="408"/>
    </row>
    <row r="62" spans="6:6" x14ac:dyDescent="0.2">
      <c r="F62" s="408"/>
    </row>
    <row r="63" spans="6:6" x14ac:dyDescent="0.2">
      <c r="F63" s="408"/>
    </row>
  </sheetData>
  <dataValidations count="2">
    <dataValidation type="list" showInputMessage="1" showErrorMessage="1" sqref="F2 JB2 SX2 ACT2 AMP2 AWL2 BGH2 BQD2 BZZ2 CJV2 CTR2 DDN2 DNJ2 DXF2 EHB2 EQX2 FAT2 FKP2 FUL2 GEH2 GOD2 GXZ2 HHV2 HRR2 IBN2 ILJ2 IVF2 JFB2 JOX2 JYT2 KIP2 KSL2 LCH2 LMD2 LVZ2 MFV2 MPR2 MZN2 NJJ2 NTF2 ODB2 OMX2 OWT2 PGP2 PQL2 QAH2 QKD2 QTZ2 RDV2 RNR2 RXN2 SHJ2 SRF2 TBB2 TKX2 TUT2 UEP2 UOL2 UYH2 VID2 VRZ2 WBV2 WLR2 WVN2 F65538 JB65538 SX65538 ACT65538 AMP65538 AWL65538 BGH65538 BQD65538 BZZ65538 CJV65538 CTR65538 DDN65538 DNJ65538 DXF65538 EHB65538 EQX65538 FAT65538 FKP65538 FUL65538 GEH65538 GOD65538 GXZ65538 HHV65538 HRR65538 IBN65538 ILJ65538 IVF65538 JFB65538 JOX65538 JYT65538 KIP65538 KSL65538 LCH65538 LMD65538 LVZ65538 MFV65538 MPR65538 MZN65538 NJJ65538 NTF65538 ODB65538 OMX65538 OWT65538 PGP65538 PQL65538 QAH65538 QKD65538 QTZ65538 RDV65538 RNR65538 RXN65538 SHJ65538 SRF65538 TBB65538 TKX65538 TUT65538 UEP65538 UOL65538 UYH65538 VID65538 VRZ65538 WBV65538 WLR65538 WVN65538 F131074 JB131074 SX131074 ACT131074 AMP131074 AWL131074 BGH131074 BQD131074 BZZ131074 CJV131074 CTR131074 DDN131074 DNJ131074 DXF131074 EHB131074 EQX131074 FAT131074 FKP131074 FUL131074 GEH131074 GOD131074 GXZ131074 HHV131074 HRR131074 IBN131074 ILJ131074 IVF131074 JFB131074 JOX131074 JYT131074 KIP131074 KSL131074 LCH131074 LMD131074 LVZ131074 MFV131074 MPR131074 MZN131074 NJJ131074 NTF131074 ODB131074 OMX131074 OWT131074 PGP131074 PQL131074 QAH131074 QKD131074 QTZ131074 RDV131074 RNR131074 RXN131074 SHJ131074 SRF131074 TBB131074 TKX131074 TUT131074 UEP131074 UOL131074 UYH131074 VID131074 VRZ131074 WBV131074 WLR131074 WVN131074 F196610 JB196610 SX196610 ACT196610 AMP196610 AWL196610 BGH196610 BQD196610 BZZ196610 CJV196610 CTR196610 DDN196610 DNJ196610 DXF196610 EHB196610 EQX196610 FAT196610 FKP196610 FUL196610 GEH196610 GOD196610 GXZ196610 HHV196610 HRR196610 IBN196610 ILJ196610 IVF196610 JFB196610 JOX196610 JYT196610 KIP196610 KSL196610 LCH196610 LMD196610 LVZ196610 MFV196610 MPR196610 MZN196610 NJJ196610 NTF196610 ODB196610 OMX196610 OWT196610 PGP196610 PQL196610 QAH196610 QKD196610 QTZ196610 RDV196610 RNR196610 RXN196610 SHJ196610 SRF196610 TBB196610 TKX196610 TUT196610 UEP196610 UOL196610 UYH196610 VID196610 VRZ196610 WBV196610 WLR196610 WVN196610 F262146 JB262146 SX262146 ACT262146 AMP262146 AWL262146 BGH262146 BQD262146 BZZ262146 CJV262146 CTR262146 DDN262146 DNJ262146 DXF262146 EHB262146 EQX262146 FAT262146 FKP262146 FUL262146 GEH262146 GOD262146 GXZ262146 HHV262146 HRR262146 IBN262146 ILJ262146 IVF262146 JFB262146 JOX262146 JYT262146 KIP262146 KSL262146 LCH262146 LMD262146 LVZ262146 MFV262146 MPR262146 MZN262146 NJJ262146 NTF262146 ODB262146 OMX262146 OWT262146 PGP262146 PQL262146 QAH262146 QKD262146 QTZ262146 RDV262146 RNR262146 RXN262146 SHJ262146 SRF262146 TBB262146 TKX262146 TUT262146 UEP262146 UOL262146 UYH262146 VID262146 VRZ262146 WBV262146 WLR262146 WVN262146 F327682 JB327682 SX327682 ACT327682 AMP327682 AWL327682 BGH327682 BQD327682 BZZ327682 CJV327682 CTR327682 DDN327682 DNJ327682 DXF327682 EHB327682 EQX327682 FAT327682 FKP327682 FUL327682 GEH327682 GOD327682 GXZ327682 HHV327682 HRR327682 IBN327682 ILJ327682 IVF327682 JFB327682 JOX327682 JYT327682 KIP327682 KSL327682 LCH327682 LMD327682 LVZ327682 MFV327682 MPR327682 MZN327682 NJJ327682 NTF327682 ODB327682 OMX327682 OWT327682 PGP327682 PQL327682 QAH327682 QKD327682 QTZ327682 RDV327682 RNR327682 RXN327682 SHJ327682 SRF327682 TBB327682 TKX327682 TUT327682 UEP327682 UOL327682 UYH327682 VID327682 VRZ327682 WBV327682 WLR327682 WVN327682 F393218 JB393218 SX393218 ACT393218 AMP393218 AWL393218 BGH393218 BQD393218 BZZ393218 CJV393218 CTR393218 DDN393218 DNJ393218 DXF393218 EHB393218 EQX393218 FAT393218 FKP393218 FUL393218 GEH393218 GOD393218 GXZ393218 HHV393218 HRR393218 IBN393218 ILJ393218 IVF393218 JFB393218 JOX393218 JYT393218 KIP393218 KSL393218 LCH393218 LMD393218 LVZ393218 MFV393218 MPR393218 MZN393218 NJJ393218 NTF393218 ODB393218 OMX393218 OWT393218 PGP393218 PQL393218 QAH393218 QKD393218 QTZ393218 RDV393218 RNR393218 RXN393218 SHJ393218 SRF393218 TBB393218 TKX393218 TUT393218 UEP393218 UOL393218 UYH393218 VID393218 VRZ393218 WBV393218 WLR393218 WVN393218 F458754 JB458754 SX458754 ACT458754 AMP458754 AWL458754 BGH458754 BQD458754 BZZ458754 CJV458754 CTR458754 DDN458754 DNJ458754 DXF458754 EHB458754 EQX458754 FAT458754 FKP458754 FUL458754 GEH458754 GOD458754 GXZ458754 HHV458754 HRR458754 IBN458754 ILJ458754 IVF458754 JFB458754 JOX458754 JYT458754 KIP458754 KSL458754 LCH458754 LMD458754 LVZ458754 MFV458754 MPR458754 MZN458754 NJJ458754 NTF458754 ODB458754 OMX458754 OWT458754 PGP458754 PQL458754 QAH458754 QKD458754 QTZ458754 RDV458754 RNR458754 RXN458754 SHJ458754 SRF458754 TBB458754 TKX458754 TUT458754 UEP458754 UOL458754 UYH458754 VID458754 VRZ458754 WBV458754 WLR458754 WVN458754 F524290 JB524290 SX524290 ACT524290 AMP524290 AWL524290 BGH524290 BQD524290 BZZ524290 CJV524290 CTR524290 DDN524290 DNJ524290 DXF524290 EHB524290 EQX524290 FAT524290 FKP524290 FUL524290 GEH524290 GOD524290 GXZ524290 HHV524290 HRR524290 IBN524290 ILJ524290 IVF524290 JFB524290 JOX524290 JYT524290 KIP524290 KSL524290 LCH524290 LMD524290 LVZ524290 MFV524290 MPR524290 MZN524290 NJJ524290 NTF524290 ODB524290 OMX524290 OWT524290 PGP524290 PQL524290 QAH524290 QKD524290 QTZ524290 RDV524290 RNR524290 RXN524290 SHJ524290 SRF524290 TBB524290 TKX524290 TUT524290 UEP524290 UOL524290 UYH524290 VID524290 VRZ524290 WBV524290 WLR524290 WVN524290 F589826 JB589826 SX589826 ACT589826 AMP589826 AWL589826 BGH589826 BQD589826 BZZ589826 CJV589826 CTR589826 DDN589826 DNJ589826 DXF589826 EHB589826 EQX589826 FAT589826 FKP589826 FUL589826 GEH589826 GOD589826 GXZ589826 HHV589826 HRR589826 IBN589826 ILJ589826 IVF589826 JFB589826 JOX589826 JYT589826 KIP589826 KSL589826 LCH589826 LMD589826 LVZ589826 MFV589826 MPR589826 MZN589826 NJJ589826 NTF589826 ODB589826 OMX589826 OWT589826 PGP589826 PQL589826 QAH589826 QKD589826 QTZ589826 RDV589826 RNR589826 RXN589826 SHJ589826 SRF589826 TBB589826 TKX589826 TUT589826 UEP589826 UOL589826 UYH589826 VID589826 VRZ589826 WBV589826 WLR589826 WVN589826 F655362 JB655362 SX655362 ACT655362 AMP655362 AWL655362 BGH655362 BQD655362 BZZ655362 CJV655362 CTR655362 DDN655362 DNJ655362 DXF655362 EHB655362 EQX655362 FAT655362 FKP655362 FUL655362 GEH655362 GOD655362 GXZ655362 HHV655362 HRR655362 IBN655362 ILJ655362 IVF655362 JFB655362 JOX655362 JYT655362 KIP655362 KSL655362 LCH655362 LMD655362 LVZ655362 MFV655362 MPR655362 MZN655362 NJJ655362 NTF655362 ODB655362 OMX655362 OWT655362 PGP655362 PQL655362 QAH655362 QKD655362 QTZ655362 RDV655362 RNR655362 RXN655362 SHJ655362 SRF655362 TBB655362 TKX655362 TUT655362 UEP655362 UOL655362 UYH655362 VID655362 VRZ655362 WBV655362 WLR655362 WVN655362 F720898 JB720898 SX720898 ACT720898 AMP720898 AWL720898 BGH720898 BQD720898 BZZ720898 CJV720898 CTR720898 DDN720898 DNJ720898 DXF720898 EHB720898 EQX720898 FAT720898 FKP720898 FUL720898 GEH720898 GOD720898 GXZ720898 HHV720898 HRR720898 IBN720898 ILJ720898 IVF720898 JFB720898 JOX720898 JYT720898 KIP720898 KSL720898 LCH720898 LMD720898 LVZ720898 MFV720898 MPR720898 MZN720898 NJJ720898 NTF720898 ODB720898 OMX720898 OWT720898 PGP720898 PQL720898 QAH720898 QKD720898 QTZ720898 RDV720898 RNR720898 RXN720898 SHJ720898 SRF720898 TBB720898 TKX720898 TUT720898 UEP720898 UOL720898 UYH720898 VID720898 VRZ720898 WBV720898 WLR720898 WVN720898 F786434 JB786434 SX786434 ACT786434 AMP786434 AWL786434 BGH786434 BQD786434 BZZ786434 CJV786434 CTR786434 DDN786434 DNJ786434 DXF786434 EHB786434 EQX786434 FAT786434 FKP786434 FUL786434 GEH786434 GOD786434 GXZ786434 HHV786434 HRR786434 IBN786434 ILJ786434 IVF786434 JFB786434 JOX786434 JYT786434 KIP786434 KSL786434 LCH786434 LMD786434 LVZ786434 MFV786434 MPR786434 MZN786434 NJJ786434 NTF786434 ODB786434 OMX786434 OWT786434 PGP786434 PQL786434 QAH786434 QKD786434 QTZ786434 RDV786434 RNR786434 RXN786434 SHJ786434 SRF786434 TBB786434 TKX786434 TUT786434 UEP786434 UOL786434 UYH786434 VID786434 VRZ786434 WBV786434 WLR786434 WVN786434 F851970 JB851970 SX851970 ACT851970 AMP851970 AWL851970 BGH851970 BQD851970 BZZ851970 CJV851970 CTR851970 DDN851970 DNJ851970 DXF851970 EHB851970 EQX851970 FAT851970 FKP851970 FUL851970 GEH851970 GOD851970 GXZ851970 HHV851970 HRR851970 IBN851970 ILJ851970 IVF851970 JFB851970 JOX851970 JYT851970 KIP851970 KSL851970 LCH851970 LMD851970 LVZ851970 MFV851970 MPR851970 MZN851970 NJJ851970 NTF851970 ODB851970 OMX851970 OWT851970 PGP851970 PQL851970 QAH851970 QKD851970 QTZ851970 RDV851970 RNR851970 RXN851970 SHJ851970 SRF851970 TBB851970 TKX851970 TUT851970 UEP851970 UOL851970 UYH851970 VID851970 VRZ851970 WBV851970 WLR851970 WVN851970 F917506 JB917506 SX917506 ACT917506 AMP917506 AWL917506 BGH917506 BQD917506 BZZ917506 CJV917506 CTR917506 DDN917506 DNJ917506 DXF917506 EHB917506 EQX917506 FAT917506 FKP917506 FUL917506 GEH917506 GOD917506 GXZ917506 HHV917506 HRR917506 IBN917506 ILJ917506 IVF917506 JFB917506 JOX917506 JYT917506 KIP917506 KSL917506 LCH917506 LMD917506 LVZ917506 MFV917506 MPR917506 MZN917506 NJJ917506 NTF917506 ODB917506 OMX917506 OWT917506 PGP917506 PQL917506 QAH917506 QKD917506 QTZ917506 RDV917506 RNR917506 RXN917506 SHJ917506 SRF917506 TBB917506 TKX917506 TUT917506 UEP917506 UOL917506 UYH917506 VID917506 VRZ917506 WBV917506 WLR917506 WVN917506 F983042 JB983042 SX983042 ACT983042 AMP983042 AWL983042 BGH983042 BQD983042 BZZ983042 CJV983042 CTR983042 DDN983042 DNJ983042 DXF983042 EHB983042 EQX983042 FAT983042 FKP983042 FUL983042 GEH983042 GOD983042 GXZ983042 HHV983042 HRR983042 IBN983042 ILJ983042 IVF983042 JFB983042 JOX983042 JYT983042 KIP983042 KSL983042 LCH983042 LMD983042 LVZ983042 MFV983042 MPR983042 MZN983042 NJJ983042 NTF983042 ODB983042 OMX983042 OWT983042 PGP983042 PQL983042 QAH983042 QKD983042 QTZ983042 RDV983042 RNR983042 RXN983042 SHJ983042 SRF983042 TBB983042 TKX983042 TUT983042 UEP983042 UOL983042 UYH983042 VID983042 VRZ983042 WBV983042 WLR983042 WVN983042">
      <formula1>Contributors</formula1>
    </dataValidation>
    <dataValidation type="list" allowBlank="1" showInputMessage="1" showErrorMessage="1" sqref="F43:F44 JB43:JB44 SX43:SX44 ACT43:ACT44 AMP43:AMP44 AWL43:AWL44 BGH43:BGH44 BQD43:BQD44 BZZ43:BZZ44 CJV43:CJV44 CTR43:CTR44 DDN43:DDN44 DNJ43:DNJ44 DXF43:DXF44 EHB43:EHB44 EQX43:EQX44 FAT43:FAT44 FKP43:FKP44 FUL43:FUL44 GEH43:GEH44 GOD43:GOD44 GXZ43:GXZ44 HHV43:HHV44 HRR43:HRR44 IBN43:IBN44 ILJ43:ILJ44 IVF43:IVF44 JFB43:JFB44 JOX43:JOX44 JYT43:JYT44 KIP43:KIP44 KSL43:KSL44 LCH43:LCH44 LMD43:LMD44 LVZ43:LVZ44 MFV43:MFV44 MPR43:MPR44 MZN43:MZN44 NJJ43:NJJ44 NTF43:NTF44 ODB43:ODB44 OMX43:OMX44 OWT43:OWT44 PGP43:PGP44 PQL43:PQL44 QAH43:QAH44 QKD43:QKD44 QTZ43:QTZ44 RDV43:RDV44 RNR43:RNR44 RXN43:RXN44 SHJ43:SHJ44 SRF43:SRF44 TBB43:TBB44 TKX43:TKX44 TUT43:TUT44 UEP43:UEP44 UOL43:UOL44 UYH43:UYH44 VID43:VID44 VRZ43:VRZ44 WBV43:WBV44 WLR43:WLR44 WVN43:WVN44 F65579:F65580 JB65579:JB65580 SX65579:SX65580 ACT65579:ACT65580 AMP65579:AMP65580 AWL65579:AWL65580 BGH65579:BGH65580 BQD65579:BQD65580 BZZ65579:BZZ65580 CJV65579:CJV65580 CTR65579:CTR65580 DDN65579:DDN65580 DNJ65579:DNJ65580 DXF65579:DXF65580 EHB65579:EHB65580 EQX65579:EQX65580 FAT65579:FAT65580 FKP65579:FKP65580 FUL65579:FUL65580 GEH65579:GEH65580 GOD65579:GOD65580 GXZ65579:GXZ65580 HHV65579:HHV65580 HRR65579:HRR65580 IBN65579:IBN65580 ILJ65579:ILJ65580 IVF65579:IVF65580 JFB65579:JFB65580 JOX65579:JOX65580 JYT65579:JYT65580 KIP65579:KIP65580 KSL65579:KSL65580 LCH65579:LCH65580 LMD65579:LMD65580 LVZ65579:LVZ65580 MFV65579:MFV65580 MPR65579:MPR65580 MZN65579:MZN65580 NJJ65579:NJJ65580 NTF65579:NTF65580 ODB65579:ODB65580 OMX65579:OMX65580 OWT65579:OWT65580 PGP65579:PGP65580 PQL65579:PQL65580 QAH65579:QAH65580 QKD65579:QKD65580 QTZ65579:QTZ65580 RDV65579:RDV65580 RNR65579:RNR65580 RXN65579:RXN65580 SHJ65579:SHJ65580 SRF65579:SRF65580 TBB65579:TBB65580 TKX65579:TKX65580 TUT65579:TUT65580 UEP65579:UEP65580 UOL65579:UOL65580 UYH65579:UYH65580 VID65579:VID65580 VRZ65579:VRZ65580 WBV65579:WBV65580 WLR65579:WLR65580 WVN65579:WVN65580 F131115:F131116 JB131115:JB131116 SX131115:SX131116 ACT131115:ACT131116 AMP131115:AMP131116 AWL131115:AWL131116 BGH131115:BGH131116 BQD131115:BQD131116 BZZ131115:BZZ131116 CJV131115:CJV131116 CTR131115:CTR131116 DDN131115:DDN131116 DNJ131115:DNJ131116 DXF131115:DXF131116 EHB131115:EHB131116 EQX131115:EQX131116 FAT131115:FAT131116 FKP131115:FKP131116 FUL131115:FUL131116 GEH131115:GEH131116 GOD131115:GOD131116 GXZ131115:GXZ131116 HHV131115:HHV131116 HRR131115:HRR131116 IBN131115:IBN131116 ILJ131115:ILJ131116 IVF131115:IVF131116 JFB131115:JFB131116 JOX131115:JOX131116 JYT131115:JYT131116 KIP131115:KIP131116 KSL131115:KSL131116 LCH131115:LCH131116 LMD131115:LMD131116 LVZ131115:LVZ131116 MFV131115:MFV131116 MPR131115:MPR131116 MZN131115:MZN131116 NJJ131115:NJJ131116 NTF131115:NTF131116 ODB131115:ODB131116 OMX131115:OMX131116 OWT131115:OWT131116 PGP131115:PGP131116 PQL131115:PQL131116 QAH131115:QAH131116 QKD131115:QKD131116 QTZ131115:QTZ131116 RDV131115:RDV131116 RNR131115:RNR131116 RXN131115:RXN131116 SHJ131115:SHJ131116 SRF131115:SRF131116 TBB131115:TBB131116 TKX131115:TKX131116 TUT131115:TUT131116 UEP131115:UEP131116 UOL131115:UOL131116 UYH131115:UYH131116 VID131115:VID131116 VRZ131115:VRZ131116 WBV131115:WBV131116 WLR131115:WLR131116 WVN131115:WVN131116 F196651:F196652 JB196651:JB196652 SX196651:SX196652 ACT196651:ACT196652 AMP196651:AMP196652 AWL196651:AWL196652 BGH196651:BGH196652 BQD196651:BQD196652 BZZ196651:BZZ196652 CJV196651:CJV196652 CTR196651:CTR196652 DDN196651:DDN196652 DNJ196651:DNJ196652 DXF196651:DXF196652 EHB196651:EHB196652 EQX196651:EQX196652 FAT196651:FAT196652 FKP196651:FKP196652 FUL196651:FUL196652 GEH196651:GEH196652 GOD196651:GOD196652 GXZ196651:GXZ196652 HHV196651:HHV196652 HRR196651:HRR196652 IBN196651:IBN196652 ILJ196651:ILJ196652 IVF196651:IVF196652 JFB196651:JFB196652 JOX196651:JOX196652 JYT196651:JYT196652 KIP196651:KIP196652 KSL196651:KSL196652 LCH196651:LCH196652 LMD196651:LMD196652 LVZ196651:LVZ196652 MFV196651:MFV196652 MPR196651:MPR196652 MZN196651:MZN196652 NJJ196651:NJJ196652 NTF196651:NTF196652 ODB196651:ODB196652 OMX196651:OMX196652 OWT196651:OWT196652 PGP196651:PGP196652 PQL196651:PQL196652 QAH196651:QAH196652 QKD196651:QKD196652 QTZ196651:QTZ196652 RDV196651:RDV196652 RNR196651:RNR196652 RXN196651:RXN196652 SHJ196651:SHJ196652 SRF196651:SRF196652 TBB196651:TBB196652 TKX196651:TKX196652 TUT196651:TUT196652 UEP196651:UEP196652 UOL196651:UOL196652 UYH196651:UYH196652 VID196651:VID196652 VRZ196651:VRZ196652 WBV196651:WBV196652 WLR196651:WLR196652 WVN196651:WVN196652 F262187:F262188 JB262187:JB262188 SX262187:SX262188 ACT262187:ACT262188 AMP262187:AMP262188 AWL262187:AWL262188 BGH262187:BGH262188 BQD262187:BQD262188 BZZ262187:BZZ262188 CJV262187:CJV262188 CTR262187:CTR262188 DDN262187:DDN262188 DNJ262187:DNJ262188 DXF262187:DXF262188 EHB262187:EHB262188 EQX262187:EQX262188 FAT262187:FAT262188 FKP262187:FKP262188 FUL262187:FUL262188 GEH262187:GEH262188 GOD262187:GOD262188 GXZ262187:GXZ262188 HHV262187:HHV262188 HRR262187:HRR262188 IBN262187:IBN262188 ILJ262187:ILJ262188 IVF262187:IVF262188 JFB262187:JFB262188 JOX262187:JOX262188 JYT262187:JYT262188 KIP262187:KIP262188 KSL262187:KSL262188 LCH262187:LCH262188 LMD262187:LMD262188 LVZ262187:LVZ262188 MFV262187:MFV262188 MPR262187:MPR262188 MZN262187:MZN262188 NJJ262187:NJJ262188 NTF262187:NTF262188 ODB262187:ODB262188 OMX262187:OMX262188 OWT262187:OWT262188 PGP262187:PGP262188 PQL262187:PQL262188 QAH262187:QAH262188 QKD262187:QKD262188 QTZ262187:QTZ262188 RDV262187:RDV262188 RNR262187:RNR262188 RXN262187:RXN262188 SHJ262187:SHJ262188 SRF262187:SRF262188 TBB262187:TBB262188 TKX262187:TKX262188 TUT262187:TUT262188 UEP262187:UEP262188 UOL262187:UOL262188 UYH262187:UYH262188 VID262187:VID262188 VRZ262187:VRZ262188 WBV262187:WBV262188 WLR262187:WLR262188 WVN262187:WVN262188 F327723:F327724 JB327723:JB327724 SX327723:SX327724 ACT327723:ACT327724 AMP327723:AMP327724 AWL327723:AWL327724 BGH327723:BGH327724 BQD327723:BQD327724 BZZ327723:BZZ327724 CJV327723:CJV327724 CTR327723:CTR327724 DDN327723:DDN327724 DNJ327723:DNJ327724 DXF327723:DXF327724 EHB327723:EHB327724 EQX327723:EQX327724 FAT327723:FAT327724 FKP327723:FKP327724 FUL327723:FUL327724 GEH327723:GEH327724 GOD327723:GOD327724 GXZ327723:GXZ327724 HHV327723:HHV327724 HRR327723:HRR327724 IBN327723:IBN327724 ILJ327723:ILJ327724 IVF327723:IVF327724 JFB327723:JFB327724 JOX327723:JOX327724 JYT327723:JYT327724 KIP327723:KIP327724 KSL327723:KSL327724 LCH327723:LCH327724 LMD327723:LMD327724 LVZ327723:LVZ327724 MFV327723:MFV327724 MPR327723:MPR327724 MZN327723:MZN327724 NJJ327723:NJJ327724 NTF327723:NTF327724 ODB327723:ODB327724 OMX327723:OMX327724 OWT327723:OWT327724 PGP327723:PGP327724 PQL327723:PQL327724 QAH327723:QAH327724 QKD327723:QKD327724 QTZ327723:QTZ327724 RDV327723:RDV327724 RNR327723:RNR327724 RXN327723:RXN327724 SHJ327723:SHJ327724 SRF327723:SRF327724 TBB327723:TBB327724 TKX327723:TKX327724 TUT327723:TUT327724 UEP327723:UEP327724 UOL327723:UOL327724 UYH327723:UYH327724 VID327723:VID327724 VRZ327723:VRZ327724 WBV327723:WBV327724 WLR327723:WLR327724 WVN327723:WVN327724 F393259:F393260 JB393259:JB393260 SX393259:SX393260 ACT393259:ACT393260 AMP393259:AMP393260 AWL393259:AWL393260 BGH393259:BGH393260 BQD393259:BQD393260 BZZ393259:BZZ393260 CJV393259:CJV393260 CTR393259:CTR393260 DDN393259:DDN393260 DNJ393259:DNJ393260 DXF393259:DXF393260 EHB393259:EHB393260 EQX393259:EQX393260 FAT393259:FAT393260 FKP393259:FKP393260 FUL393259:FUL393260 GEH393259:GEH393260 GOD393259:GOD393260 GXZ393259:GXZ393260 HHV393259:HHV393260 HRR393259:HRR393260 IBN393259:IBN393260 ILJ393259:ILJ393260 IVF393259:IVF393260 JFB393259:JFB393260 JOX393259:JOX393260 JYT393259:JYT393260 KIP393259:KIP393260 KSL393259:KSL393260 LCH393259:LCH393260 LMD393259:LMD393260 LVZ393259:LVZ393260 MFV393259:MFV393260 MPR393259:MPR393260 MZN393259:MZN393260 NJJ393259:NJJ393260 NTF393259:NTF393260 ODB393259:ODB393260 OMX393259:OMX393260 OWT393259:OWT393260 PGP393259:PGP393260 PQL393259:PQL393260 QAH393259:QAH393260 QKD393259:QKD393260 QTZ393259:QTZ393260 RDV393259:RDV393260 RNR393259:RNR393260 RXN393259:RXN393260 SHJ393259:SHJ393260 SRF393259:SRF393260 TBB393259:TBB393260 TKX393259:TKX393260 TUT393259:TUT393260 UEP393259:UEP393260 UOL393259:UOL393260 UYH393259:UYH393260 VID393259:VID393260 VRZ393259:VRZ393260 WBV393259:WBV393260 WLR393259:WLR393260 WVN393259:WVN393260 F458795:F458796 JB458795:JB458796 SX458795:SX458796 ACT458795:ACT458796 AMP458795:AMP458796 AWL458795:AWL458796 BGH458795:BGH458796 BQD458795:BQD458796 BZZ458795:BZZ458796 CJV458795:CJV458796 CTR458795:CTR458796 DDN458795:DDN458796 DNJ458795:DNJ458796 DXF458795:DXF458796 EHB458795:EHB458796 EQX458795:EQX458796 FAT458795:FAT458796 FKP458795:FKP458796 FUL458795:FUL458796 GEH458795:GEH458796 GOD458795:GOD458796 GXZ458795:GXZ458796 HHV458795:HHV458796 HRR458795:HRR458796 IBN458795:IBN458796 ILJ458795:ILJ458796 IVF458795:IVF458796 JFB458795:JFB458796 JOX458795:JOX458796 JYT458795:JYT458796 KIP458795:KIP458796 KSL458795:KSL458796 LCH458795:LCH458796 LMD458795:LMD458796 LVZ458795:LVZ458796 MFV458795:MFV458796 MPR458795:MPR458796 MZN458795:MZN458796 NJJ458795:NJJ458796 NTF458795:NTF458796 ODB458795:ODB458796 OMX458795:OMX458796 OWT458795:OWT458796 PGP458795:PGP458796 PQL458795:PQL458796 QAH458795:QAH458796 QKD458795:QKD458796 QTZ458795:QTZ458796 RDV458795:RDV458796 RNR458795:RNR458796 RXN458795:RXN458796 SHJ458795:SHJ458796 SRF458795:SRF458796 TBB458795:TBB458796 TKX458795:TKX458796 TUT458795:TUT458796 UEP458795:UEP458796 UOL458795:UOL458796 UYH458795:UYH458796 VID458795:VID458796 VRZ458795:VRZ458796 WBV458795:WBV458796 WLR458795:WLR458796 WVN458795:WVN458796 F524331:F524332 JB524331:JB524332 SX524331:SX524332 ACT524331:ACT524332 AMP524331:AMP524332 AWL524331:AWL524332 BGH524331:BGH524332 BQD524331:BQD524332 BZZ524331:BZZ524332 CJV524331:CJV524332 CTR524331:CTR524332 DDN524331:DDN524332 DNJ524331:DNJ524332 DXF524331:DXF524332 EHB524331:EHB524332 EQX524331:EQX524332 FAT524331:FAT524332 FKP524331:FKP524332 FUL524331:FUL524332 GEH524331:GEH524332 GOD524331:GOD524332 GXZ524331:GXZ524332 HHV524331:HHV524332 HRR524331:HRR524332 IBN524331:IBN524332 ILJ524331:ILJ524332 IVF524331:IVF524332 JFB524331:JFB524332 JOX524331:JOX524332 JYT524331:JYT524332 KIP524331:KIP524332 KSL524331:KSL524332 LCH524331:LCH524332 LMD524331:LMD524332 LVZ524331:LVZ524332 MFV524331:MFV524332 MPR524331:MPR524332 MZN524331:MZN524332 NJJ524331:NJJ524332 NTF524331:NTF524332 ODB524331:ODB524332 OMX524331:OMX524332 OWT524331:OWT524332 PGP524331:PGP524332 PQL524331:PQL524332 QAH524331:QAH524332 QKD524331:QKD524332 QTZ524331:QTZ524332 RDV524331:RDV524332 RNR524331:RNR524332 RXN524331:RXN524332 SHJ524331:SHJ524332 SRF524331:SRF524332 TBB524331:TBB524332 TKX524331:TKX524332 TUT524331:TUT524332 UEP524331:UEP524332 UOL524331:UOL524332 UYH524331:UYH524332 VID524331:VID524332 VRZ524331:VRZ524332 WBV524331:WBV524332 WLR524331:WLR524332 WVN524331:WVN524332 F589867:F589868 JB589867:JB589868 SX589867:SX589868 ACT589867:ACT589868 AMP589867:AMP589868 AWL589867:AWL589868 BGH589867:BGH589868 BQD589867:BQD589868 BZZ589867:BZZ589868 CJV589867:CJV589868 CTR589867:CTR589868 DDN589867:DDN589868 DNJ589867:DNJ589868 DXF589867:DXF589868 EHB589867:EHB589868 EQX589867:EQX589868 FAT589867:FAT589868 FKP589867:FKP589868 FUL589867:FUL589868 GEH589867:GEH589868 GOD589867:GOD589868 GXZ589867:GXZ589868 HHV589867:HHV589868 HRR589867:HRR589868 IBN589867:IBN589868 ILJ589867:ILJ589868 IVF589867:IVF589868 JFB589867:JFB589868 JOX589867:JOX589868 JYT589867:JYT589868 KIP589867:KIP589868 KSL589867:KSL589868 LCH589867:LCH589868 LMD589867:LMD589868 LVZ589867:LVZ589868 MFV589867:MFV589868 MPR589867:MPR589868 MZN589867:MZN589868 NJJ589867:NJJ589868 NTF589867:NTF589868 ODB589867:ODB589868 OMX589867:OMX589868 OWT589867:OWT589868 PGP589867:PGP589868 PQL589867:PQL589868 QAH589867:QAH589868 QKD589867:QKD589868 QTZ589867:QTZ589868 RDV589867:RDV589868 RNR589867:RNR589868 RXN589867:RXN589868 SHJ589867:SHJ589868 SRF589867:SRF589868 TBB589867:TBB589868 TKX589867:TKX589868 TUT589867:TUT589868 UEP589867:UEP589868 UOL589867:UOL589868 UYH589867:UYH589868 VID589867:VID589868 VRZ589867:VRZ589868 WBV589867:WBV589868 WLR589867:WLR589868 WVN589867:WVN589868 F655403:F655404 JB655403:JB655404 SX655403:SX655404 ACT655403:ACT655404 AMP655403:AMP655404 AWL655403:AWL655404 BGH655403:BGH655404 BQD655403:BQD655404 BZZ655403:BZZ655404 CJV655403:CJV655404 CTR655403:CTR655404 DDN655403:DDN655404 DNJ655403:DNJ655404 DXF655403:DXF655404 EHB655403:EHB655404 EQX655403:EQX655404 FAT655403:FAT655404 FKP655403:FKP655404 FUL655403:FUL655404 GEH655403:GEH655404 GOD655403:GOD655404 GXZ655403:GXZ655404 HHV655403:HHV655404 HRR655403:HRR655404 IBN655403:IBN655404 ILJ655403:ILJ655404 IVF655403:IVF655404 JFB655403:JFB655404 JOX655403:JOX655404 JYT655403:JYT655404 KIP655403:KIP655404 KSL655403:KSL655404 LCH655403:LCH655404 LMD655403:LMD655404 LVZ655403:LVZ655404 MFV655403:MFV655404 MPR655403:MPR655404 MZN655403:MZN655404 NJJ655403:NJJ655404 NTF655403:NTF655404 ODB655403:ODB655404 OMX655403:OMX655404 OWT655403:OWT655404 PGP655403:PGP655404 PQL655403:PQL655404 QAH655403:QAH655404 QKD655403:QKD655404 QTZ655403:QTZ655404 RDV655403:RDV655404 RNR655403:RNR655404 RXN655403:RXN655404 SHJ655403:SHJ655404 SRF655403:SRF655404 TBB655403:TBB655404 TKX655403:TKX655404 TUT655403:TUT655404 UEP655403:UEP655404 UOL655403:UOL655404 UYH655403:UYH655404 VID655403:VID655404 VRZ655403:VRZ655404 WBV655403:WBV655404 WLR655403:WLR655404 WVN655403:WVN655404 F720939:F720940 JB720939:JB720940 SX720939:SX720940 ACT720939:ACT720940 AMP720939:AMP720940 AWL720939:AWL720940 BGH720939:BGH720940 BQD720939:BQD720940 BZZ720939:BZZ720940 CJV720939:CJV720940 CTR720939:CTR720940 DDN720939:DDN720940 DNJ720939:DNJ720940 DXF720939:DXF720940 EHB720939:EHB720940 EQX720939:EQX720940 FAT720939:FAT720940 FKP720939:FKP720940 FUL720939:FUL720940 GEH720939:GEH720940 GOD720939:GOD720940 GXZ720939:GXZ720940 HHV720939:HHV720940 HRR720939:HRR720940 IBN720939:IBN720940 ILJ720939:ILJ720940 IVF720939:IVF720940 JFB720939:JFB720940 JOX720939:JOX720940 JYT720939:JYT720940 KIP720939:KIP720940 KSL720939:KSL720940 LCH720939:LCH720940 LMD720939:LMD720940 LVZ720939:LVZ720940 MFV720939:MFV720940 MPR720939:MPR720940 MZN720939:MZN720940 NJJ720939:NJJ720940 NTF720939:NTF720940 ODB720939:ODB720940 OMX720939:OMX720940 OWT720939:OWT720940 PGP720939:PGP720940 PQL720939:PQL720940 QAH720939:QAH720940 QKD720939:QKD720940 QTZ720939:QTZ720940 RDV720939:RDV720940 RNR720939:RNR720940 RXN720939:RXN720940 SHJ720939:SHJ720940 SRF720939:SRF720940 TBB720939:TBB720940 TKX720939:TKX720940 TUT720939:TUT720940 UEP720939:UEP720940 UOL720939:UOL720940 UYH720939:UYH720940 VID720939:VID720940 VRZ720939:VRZ720940 WBV720939:WBV720940 WLR720939:WLR720940 WVN720939:WVN720940 F786475:F786476 JB786475:JB786476 SX786475:SX786476 ACT786475:ACT786476 AMP786475:AMP786476 AWL786475:AWL786476 BGH786475:BGH786476 BQD786475:BQD786476 BZZ786475:BZZ786476 CJV786475:CJV786476 CTR786475:CTR786476 DDN786475:DDN786476 DNJ786475:DNJ786476 DXF786475:DXF786476 EHB786475:EHB786476 EQX786475:EQX786476 FAT786475:FAT786476 FKP786475:FKP786476 FUL786475:FUL786476 GEH786475:GEH786476 GOD786475:GOD786476 GXZ786475:GXZ786476 HHV786475:HHV786476 HRR786475:HRR786476 IBN786475:IBN786476 ILJ786475:ILJ786476 IVF786475:IVF786476 JFB786475:JFB786476 JOX786475:JOX786476 JYT786475:JYT786476 KIP786475:KIP786476 KSL786475:KSL786476 LCH786475:LCH786476 LMD786475:LMD786476 LVZ786475:LVZ786476 MFV786475:MFV786476 MPR786475:MPR786476 MZN786475:MZN786476 NJJ786475:NJJ786476 NTF786475:NTF786476 ODB786475:ODB786476 OMX786475:OMX786476 OWT786475:OWT786476 PGP786475:PGP786476 PQL786475:PQL786476 QAH786475:QAH786476 QKD786475:QKD786476 QTZ786475:QTZ786476 RDV786475:RDV786476 RNR786475:RNR786476 RXN786475:RXN786476 SHJ786475:SHJ786476 SRF786475:SRF786476 TBB786475:TBB786476 TKX786475:TKX786476 TUT786475:TUT786476 UEP786475:UEP786476 UOL786475:UOL786476 UYH786475:UYH786476 VID786475:VID786476 VRZ786475:VRZ786476 WBV786475:WBV786476 WLR786475:WLR786476 WVN786475:WVN786476 F852011:F852012 JB852011:JB852012 SX852011:SX852012 ACT852011:ACT852012 AMP852011:AMP852012 AWL852011:AWL852012 BGH852011:BGH852012 BQD852011:BQD852012 BZZ852011:BZZ852012 CJV852011:CJV852012 CTR852011:CTR852012 DDN852011:DDN852012 DNJ852011:DNJ852012 DXF852011:DXF852012 EHB852011:EHB852012 EQX852011:EQX852012 FAT852011:FAT852012 FKP852011:FKP852012 FUL852011:FUL852012 GEH852011:GEH852012 GOD852011:GOD852012 GXZ852011:GXZ852012 HHV852011:HHV852012 HRR852011:HRR852012 IBN852011:IBN852012 ILJ852011:ILJ852012 IVF852011:IVF852012 JFB852011:JFB852012 JOX852011:JOX852012 JYT852011:JYT852012 KIP852011:KIP852012 KSL852011:KSL852012 LCH852011:LCH852012 LMD852011:LMD852012 LVZ852011:LVZ852012 MFV852011:MFV852012 MPR852011:MPR852012 MZN852011:MZN852012 NJJ852011:NJJ852012 NTF852011:NTF852012 ODB852011:ODB852012 OMX852011:OMX852012 OWT852011:OWT852012 PGP852011:PGP852012 PQL852011:PQL852012 QAH852011:QAH852012 QKD852011:QKD852012 QTZ852011:QTZ852012 RDV852011:RDV852012 RNR852011:RNR852012 RXN852011:RXN852012 SHJ852011:SHJ852012 SRF852011:SRF852012 TBB852011:TBB852012 TKX852011:TKX852012 TUT852011:TUT852012 UEP852011:UEP852012 UOL852011:UOL852012 UYH852011:UYH852012 VID852011:VID852012 VRZ852011:VRZ852012 WBV852011:WBV852012 WLR852011:WLR852012 WVN852011:WVN852012 F917547:F917548 JB917547:JB917548 SX917547:SX917548 ACT917547:ACT917548 AMP917547:AMP917548 AWL917547:AWL917548 BGH917547:BGH917548 BQD917547:BQD917548 BZZ917547:BZZ917548 CJV917547:CJV917548 CTR917547:CTR917548 DDN917547:DDN917548 DNJ917547:DNJ917548 DXF917547:DXF917548 EHB917547:EHB917548 EQX917547:EQX917548 FAT917547:FAT917548 FKP917547:FKP917548 FUL917547:FUL917548 GEH917547:GEH917548 GOD917547:GOD917548 GXZ917547:GXZ917548 HHV917547:HHV917548 HRR917547:HRR917548 IBN917547:IBN917548 ILJ917547:ILJ917548 IVF917547:IVF917548 JFB917547:JFB917548 JOX917547:JOX917548 JYT917547:JYT917548 KIP917547:KIP917548 KSL917547:KSL917548 LCH917547:LCH917548 LMD917547:LMD917548 LVZ917547:LVZ917548 MFV917547:MFV917548 MPR917547:MPR917548 MZN917547:MZN917548 NJJ917547:NJJ917548 NTF917547:NTF917548 ODB917547:ODB917548 OMX917547:OMX917548 OWT917547:OWT917548 PGP917547:PGP917548 PQL917547:PQL917548 QAH917547:QAH917548 QKD917547:QKD917548 QTZ917547:QTZ917548 RDV917547:RDV917548 RNR917547:RNR917548 RXN917547:RXN917548 SHJ917547:SHJ917548 SRF917547:SRF917548 TBB917547:TBB917548 TKX917547:TKX917548 TUT917547:TUT917548 UEP917547:UEP917548 UOL917547:UOL917548 UYH917547:UYH917548 VID917547:VID917548 VRZ917547:VRZ917548 WBV917547:WBV917548 WLR917547:WLR917548 WVN917547:WVN917548 F983083:F983084 JB983083:JB983084 SX983083:SX983084 ACT983083:ACT983084 AMP983083:AMP983084 AWL983083:AWL983084 BGH983083:BGH983084 BQD983083:BQD983084 BZZ983083:BZZ983084 CJV983083:CJV983084 CTR983083:CTR983084 DDN983083:DDN983084 DNJ983083:DNJ983084 DXF983083:DXF983084 EHB983083:EHB983084 EQX983083:EQX983084 FAT983083:FAT983084 FKP983083:FKP983084 FUL983083:FUL983084 GEH983083:GEH983084 GOD983083:GOD983084 GXZ983083:GXZ983084 HHV983083:HHV983084 HRR983083:HRR983084 IBN983083:IBN983084 ILJ983083:ILJ983084 IVF983083:IVF983084 JFB983083:JFB983084 JOX983083:JOX983084 JYT983083:JYT983084 KIP983083:KIP983084 KSL983083:KSL983084 LCH983083:LCH983084 LMD983083:LMD983084 LVZ983083:LVZ983084 MFV983083:MFV983084 MPR983083:MPR983084 MZN983083:MZN983084 NJJ983083:NJJ983084 NTF983083:NTF983084 ODB983083:ODB983084 OMX983083:OMX983084 OWT983083:OWT983084 PGP983083:PGP983084 PQL983083:PQL983084 QAH983083:QAH983084 QKD983083:QKD983084 QTZ983083:QTZ983084 RDV983083:RDV983084 RNR983083:RNR983084 RXN983083:RXN983084 SHJ983083:SHJ983084 SRF983083:SRF983084 TBB983083:TBB983084 TKX983083:TKX983084 TUT983083:TUT983084 UEP983083:UEP983084 UOL983083:UOL983084 UYH983083:UYH983084 VID983083:VID983084 VRZ983083:VRZ983084 WBV983083:WBV983084 WLR983083:WLR983084 WVN983083:WVN983084">
      <formula1>"FirstDerivative,SecondDerivative,Lagrange,NotAKnot,Periodic"</formula1>
    </dataValidation>
  </dataValidations>
  <pageMargins left="0.75" right="0.75" top="1" bottom="1" header="0.5" footer="0.5"/>
  <pageSetup paperSize="9" orientation="portrait" r:id="rId1"/>
  <headerFooter alignWithMargins="0"/>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X63"/>
  <sheetViews>
    <sheetView workbookViewId="0"/>
  </sheetViews>
  <sheetFormatPr defaultRowHeight="11.25" x14ac:dyDescent="0.2"/>
  <cols>
    <col min="1" max="1" width="5" style="21" customWidth="1"/>
    <col min="2" max="2" width="3.85546875" style="21" bestFit="1" customWidth="1"/>
    <col min="3" max="3" width="3.5703125" style="21" bestFit="1" customWidth="1"/>
    <col min="4" max="4" width="2.7109375" style="21" bestFit="1" customWidth="1"/>
    <col min="5" max="5" width="11.140625" style="21" bestFit="1" customWidth="1"/>
    <col min="6" max="6" width="15.42578125" style="21" bestFit="1" customWidth="1"/>
    <col min="7" max="7" width="4.85546875" style="21" bestFit="1" customWidth="1"/>
    <col min="8" max="8" width="4.140625" style="21" bestFit="1" customWidth="1"/>
    <col min="9" max="9" width="9" style="21" bestFit="1" customWidth="1"/>
    <col min="10" max="10" width="5.7109375" style="21" bestFit="1" customWidth="1"/>
    <col min="11" max="11" width="7.140625" style="21" bestFit="1" customWidth="1"/>
    <col min="12" max="12" width="5" style="21" customWidth="1"/>
    <col min="13" max="13" width="7.140625" style="21" bestFit="1" customWidth="1"/>
    <col min="14" max="14" width="5" style="21" customWidth="1"/>
    <col min="15" max="15" width="16.28515625" style="21" bestFit="1" customWidth="1"/>
    <col min="16" max="17" width="7.7109375" style="21" bestFit="1" customWidth="1"/>
    <col min="18" max="18" width="5" style="21" customWidth="1"/>
    <col min="19" max="19" width="5.140625" style="21" customWidth="1"/>
    <col min="20" max="20" width="9" style="21" bestFit="1" customWidth="1"/>
    <col min="21" max="21" width="4.140625" style="21" bestFit="1" customWidth="1"/>
    <col min="22" max="22" width="9.5703125" style="21" bestFit="1" customWidth="1"/>
    <col min="23" max="16384" width="9.140625" style="21"/>
  </cols>
  <sheetData>
    <row r="1" spans="1:24" x14ac:dyDescent="0.2">
      <c r="A1" s="339" t="s">
        <v>313</v>
      </c>
      <c r="B1" s="207"/>
      <c r="C1" s="207"/>
      <c r="D1" s="207"/>
      <c r="E1" s="207"/>
      <c r="F1" s="207"/>
      <c r="G1" s="207"/>
      <c r="H1" s="207"/>
      <c r="I1" s="207"/>
      <c r="J1" s="207"/>
      <c r="K1" s="207"/>
      <c r="L1" s="207"/>
      <c r="M1" s="207"/>
      <c r="N1" s="207"/>
      <c r="O1" s="207"/>
      <c r="P1" s="207"/>
      <c r="Q1" s="207"/>
      <c r="R1" s="204"/>
    </row>
    <row r="2" spans="1:24" x14ac:dyDescent="0.2">
      <c r="A2" s="304"/>
      <c r="B2" s="145"/>
      <c r="C2" s="267"/>
      <c r="D2" s="267"/>
      <c r="E2" s="267"/>
      <c r="F2" s="152" t="s">
        <v>238</v>
      </c>
      <c r="G2" s="267"/>
      <c r="H2" s="267"/>
      <c r="I2" s="267"/>
      <c r="J2" s="267"/>
      <c r="K2" s="145"/>
      <c r="L2" s="267"/>
      <c r="M2" s="267"/>
      <c r="N2" s="267"/>
      <c r="O2" s="415" t="s">
        <v>257</v>
      </c>
      <c r="P2" s="152" t="s">
        <v>147</v>
      </c>
      <c r="Q2" s="145"/>
      <c r="R2" s="54"/>
    </row>
    <row r="3" spans="1:24" x14ac:dyDescent="0.2">
      <c r="A3" s="130"/>
      <c r="B3" s="267"/>
      <c r="C3" s="145"/>
      <c r="D3" s="145"/>
      <c r="E3" s="145"/>
      <c r="F3" s="145" t="str">
        <f>_xll.qlInterpolation(,InterpolationType,_xll.ohFilter(A5:A42,J5:J42),_xll.ohFilter(I5:I42,J5:J42))</f>
        <v>obj_004c7#0002</v>
      </c>
      <c r="G3" s="145"/>
      <c r="H3" s="145"/>
      <c r="I3" s="145"/>
      <c r="J3" s="145"/>
      <c r="K3" s="145"/>
      <c r="L3" s="267"/>
      <c r="M3" s="267"/>
      <c r="N3" s="267"/>
      <c r="O3" s="145"/>
      <c r="P3" s="145"/>
      <c r="Q3" s="299">
        <f>_xll.ohTrigger(Q5:Q42)</f>
        <v>3</v>
      </c>
      <c r="R3" s="225"/>
    </row>
    <row r="4" spans="1:24" ht="23.25" thickBot="1" x14ac:dyDescent="0.25">
      <c r="A4" s="130"/>
      <c r="B4" s="399"/>
      <c r="C4" s="202"/>
      <c r="D4" s="202"/>
      <c r="E4" s="202"/>
      <c r="F4" s="298" t="e">
        <f ca="1">_xll.RData(F5:F42,G4:H4,,ReutersRtMode,,G5)</f>
        <v>#NAME?</v>
      </c>
      <c r="G4" s="336" t="s">
        <v>261</v>
      </c>
      <c r="H4" s="336" t="s">
        <v>228</v>
      </c>
      <c r="I4" s="336" t="s">
        <v>288</v>
      </c>
      <c r="J4" s="336"/>
      <c r="K4" s="293" t="s">
        <v>287</v>
      </c>
      <c r="L4" s="267"/>
      <c r="M4" s="296" t="s">
        <v>255</v>
      </c>
      <c r="N4" s="267"/>
      <c r="O4" s="295" t="s">
        <v>254</v>
      </c>
      <c r="P4" s="398" t="s">
        <v>253</v>
      </c>
      <c r="Q4" s="100" t="s">
        <v>252</v>
      </c>
      <c r="R4" s="225"/>
    </row>
    <row r="5" spans="1:24" x14ac:dyDescent="0.2">
      <c r="A5" s="414">
        <v>0.5</v>
      </c>
      <c r="B5" s="321" t="s">
        <v>40</v>
      </c>
      <c r="C5" s="320" t="str">
        <f t="array" ref="C5:C42">VLOOKUP(Currency,Conventions,2)</f>
        <v>6E</v>
      </c>
      <c r="D5" s="320" t="str">
        <f t="array" ref="D5:D42">VLOOKUP(Currency,Conventions,3)</f>
        <v>12E</v>
      </c>
      <c r="E5" s="318" t="str">
        <f t="shared" ref="E5:E42" si="0">Currency&amp;$C5&amp;$D5&amp;$B5</f>
        <v>EUR6E12E6M</v>
      </c>
      <c r="F5" s="277" t="str">
        <f t="array" ref="F5:F42">Instruments&amp;"="&amp;VLOOKUP(Contributor,ContributorTable,2,FALSE)</f>
        <v>EUR6E12E6M=ICAP</v>
      </c>
      <c r="G5" s="413" t="s">
        <v>262</v>
      </c>
      <c r="H5" s="413" t="s">
        <v>262</v>
      </c>
      <c r="I5" s="413" t="e">
        <f>_xll.qlMidEquivalent(G5,H5)</f>
        <v>#NUM!</v>
      </c>
      <c r="J5" s="273" t="b">
        <f t="shared" ref="J5:J42" si="1">IF(ISNUMBER(I5),TRUE,FALSE)</f>
        <v>0</v>
      </c>
      <c r="K5" s="418" t="e">
        <f t="array" ref="K5:K38">_xll.qlInterpolationInterpolate(F3,A5:A42)</f>
        <v>#NUM!</v>
      </c>
      <c r="L5" s="267"/>
      <c r="M5" s="411" t="e">
        <v>#NUM!</v>
      </c>
      <c r="N5" s="267"/>
      <c r="O5" s="274" t="str">
        <f t="shared" ref="O5:O42" si="2">$E5&amp;$P$2</f>
        <v>EUR6E12E6M_Quote</v>
      </c>
      <c r="P5" s="410" t="e">
        <f t="array" ref="P5:P42">QuoteLive</f>
        <v>#NUM!</v>
      </c>
      <c r="Q5" s="272" t="e">
        <f>_xll.qlSimpleQuoteSetValue($O5,ROUND($P5/10000,6),Trigger)</f>
        <v>#NUM!</v>
      </c>
      <c r="R5" s="225"/>
      <c r="T5" s="95" t="s">
        <v>137</v>
      </c>
      <c r="U5" s="94" t="s">
        <v>132</v>
      </c>
      <c r="V5" s="93" t="s">
        <v>143</v>
      </c>
      <c r="X5" s="333"/>
    </row>
    <row r="6" spans="1:24" x14ac:dyDescent="0.2">
      <c r="A6" s="414">
        <v>1</v>
      </c>
      <c r="B6" s="321" t="s">
        <v>34</v>
      </c>
      <c r="C6" s="320" t="str">
        <v>6E</v>
      </c>
      <c r="D6" s="320" t="str">
        <v>12E</v>
      </c>
      <c r="E6" s="318" t="str">
        <f t="shared" si="0"/>
        <v>EUR6E12E1Y</v>
      </c>
      <c r="F6" s="277" t="str">
        <v>EUR6E12E1Y=ICAP</v>
      </c>
      <c r="G6" s="413">
        <v>11.5</v>
      </c>
      <c r="H6" s="413">
        <v>0</v>
      </c>
      <c r="I6" s="413">
        <f>_xll.qlMidEquivalent(G6,H6)</f>
        <v>11.5</v>
      </c>
      <c r="J6" s="273" t="b">
        <f t="shared" si="1"/>
        <v>1</v>
      </c>
      <c r="K6" s="418">
        <v>11.5</v>
      </c>
      <c r="L6" s="267"/>
      <c r="M6" s="411">
        <v>11.5</v>
      </c>
      <c r="N6" s="267"/>
      <c r="O6" s="274" t="str">
        <f t="shared" si="2"/>
        <v>EUR6E12E1Y_Quote</v>
      </c>
      <c r="P6" s="410">
        <v>11.5</v>
      </c>
      <c r="Q6" s="272" t="e">
        <f>_xll.qlSimpleQuoteSetValue($O6,ROUND($P6/10000,6),Trigger)</f>
        <v>#N/A</v>
      </c>
      <c r="R6" s="225"/>
      <c r="T6" s="92" t="s">
        <v>123</v>
      </c>
      <c r="U6" s="91" t="s">
        <v>135</v>
      </c>
      <c r="V6" s="90" t="s">
        <v>144</v>
      </c>
      <c r="X6" s="333"/>
    </row>
    <row r="7" spans="1:24" x14ac:dyDescent="0.2">
      <c r="A7" s="414">
        <v>1.25</v>
      </c>
      <c r="B7" s="321" t="s">
        <v>140</v>
      </c>
      <c r="C7" s="320" t="str">
        <v>6E</v>
      </c>
      <c r="D7" s="320" t="str">
        <v>12E</v>
      </c>
      <c r="E7" s="318" t="str">
        <f t="shared" si="0"/>
        <v>EUR6E12E15M</v>
      </c>
      <c r="F7" s="277" t="str">
        <v>EUR6E12E15M=ICAP</v>
      </c>
      <c r="G7" s="413" t="s">
        <v>262</v>
      </c>
      <c r="H7" s="413" t="s">
        <v>262</v>
      </c>
      <c r="I7" s="413" t="e">
        <f>_xll.qlMidEquivalent(G7,H7)</f>
        <v>#NUM!</v>
      </c>
      <c r="J7" s="273" t="b">
        <f t="shared" si="1"/>
        <v>0</v>
      </c>
      <c r="K7" s="418">
        <v>12.050187007852388</v>
      </c>
      <c r="L7" s="267"/>
      <c r="M7" s="411">
        <v>12.048566052745013</v>
      </c>
      <c r="N7" s="267"/>
      <c r="O7" s="274" t="str">
        <f t="shared" si="2"/>
        <v>EUR6E12E15M_Quote</v>
      </c>
      <c r="P7" s="410">
        <v>12.050187007852388</v>
      </c>
      <c r="Q7" s="272" t="e">
        <f>_xll.qlSimpleQuoteSetValue($O7,ROUND($P7/10000,6),Trigger)</f>
        <v>#N/A</v>
      </c>
      <c r="R7" s="225"/>
      <c r="T7" s="92" t="s">
        <v>134</v>
      </c>
      <c r="U7" s="91" t="s">
        <v>132</v>
      </c>
      <c r="V7" s="90" t="s">
        <v>143</v>
      </c>
      <c r="X7" s="333"/>
    </row>
    <row r="8" spans="1:24" x14ac:dyDescent="0.2">
      <c r="A8" s="414">
        <v>1.5</v>
      </c>
      <c r="B8" s="321" t="s">
        <v>139</v>
      </c>
      <c r="C8" s="320" t="str">
        <v>6E</v>
      </c>
      <c r="D8" s="320" t="str">
        <v>12E</v>
      </c>
      <c r="E8" s="318" t="str">
        <f t="shared" si="0"/>
        <v>EUR6E12E18M</v>
      </c>
      <c r="F8" s="277" t="str">
        <v>EUR6E12E18M=ICAP</v>
      </c>
      <c r="G8" s="413" t="s">
        <v>262</v>
      </c>
      <c r="H8" s="413" t="s">
        <v>262</v>
      </c>
      <c r="I8" s="413" t="e">
        <f>_xll.qlMidEquivalent(G8,H8)</f>
        <v>#NUM!</v>
      </c>
      <c r="J8" s="273" t="b">
        <f t="shared" si="1"/>
        <v>0</v>
      </c>
      <c r="K8" s="418">
        <v>12.5779440069799</v>
      </c>
      <c r="L8" s="267"/>
      <c r="M8" s="411">
        <v>12.576503157995568</v>
      </c>
      <c r="N8" s="267"/>
      <c r="O8" s="274" t="str">
        <f t="shared" si="2"/>
        <v>EUR6E12E18M_Quote</v>
      </c>
      <c r="P8" s="410">
        <v>12.5779440069799</v>
      </c>
      <c r="Q8" s="272" t="e">
        <f>_xll.qlSimpleQuoteSetValue($O8,ROUND($P8/10000,6),Trigger)</f>
        <v>#N/A</v>
      </c>
      <c r="R8" s="225"/>
      <c r="T8" s="92" t="s">
        <v>133</v>
      </c>
      <c r="U8" s="91" t="s">
        <v>132</v>
      </c>
      <c r="V8" s="90" t="s">
        <v>143</v>
      </c>
    </row>
    <row r="9" spans="1:24" ht="12" thickBot="1" x14ac:dyDescent="0.25">
      <c r="A9" s="414">
        <v>1.75</v>
      </c>
      <c r="B9" s="321" t="s">
        <v>138</v>
      </c>
      <c r="C9" s="320" t="str">
        <v>6E</v>
      </c>
      <c r="D9" s="320" t="str">
        <v>12E</v>
      </c>
      <c r="E9" s="318" t="str">
        <f t="shared" si="0"/>
        <v>EUR6E12E21M</v>
      </c>
      <c r="F9" s="277" t="str">
        <v>EUR6E12E21M=ICAP</v>
      </c>
      <c r="G9" s="413" t="s">
        <v>262</v>
      </c>
      <c r="H9" s="413" t="s">
        <v>262</v>
      </c>
      <c r="I9" s="413" t="e">
        <f>_xll.qlMidEquivalent(G9,H9)</f>
        <v>#NUM!</v>
      </c>
      <c r="J9" s="273" t="b">
        <f t="shared" si="1"/>
        <v>0</v>
      </c>
      <c r="K9" s="418">
        <v>12.991729002617461</v>
      </c>
      <c r="L9" s="267"/>
      <c r="M9" s="411">
        <v>12.991188684248337</v>
      </c>
      <c r="N9" s="267"/>
      <c r="O9" s="274" t="str">
        <f t="shared" si="2"/>
        <v>EUR6E12E21M_Quote</v>
      </c>
      <c r="P9" s="410">
        <v>12.991729002617461</v>
      </c>
      <c r="Q9" s="272" t="e">
        <f>_xll.qlSimpleQuoteSetValue($O9,ROUND($P9/10000,6),Trigger)</f>
        <v>#N/A</v>
      </c>
      <c r="R9" s="225"/>
      <c r="T9" s="89" t="s">
        <v>131</v>
      </c>
      <c r="U9" s="88" t="s">
        <v>143</v>
      </c>
      <c r="V9" s="87" t="s">
        <v>130</v>
      </c>
    </row>
    <row r="10" spans="1:24" x14ac:dyDescent="0.2">
      <c r="A10" s="130">
        <v>2</v>
      </c>
      <c r="B10" s="321" t="s">
        <v>115</v>
      </c>
      <c r="C10" s="320" t="str">
        <v>6E</v>
      </c>
      <c r="D10" s="320" t="str">
        <v>12E</v>
      </c>
      <c r="E10" s="318" t="str">
        <f t="shared" si="0"/>
        <v>EUR6E12E2Y</v>
      </c>
      <c r="F10" s="277" t="str">
        <v>EUR6E12E2Y=ICAP</v>
      </c>
      <c r="G10" s="413">
        <v>13.2</v>
      </c>
      <c r="H10" s="413">
        <v>0</v>
      </c>
      <c r="I10" s="413">
        <f>_xll.qlMidEquivalent(G10,H10)</f>
        <v>13.2</v>
      </c>
      <c r="J10" s="273" t="b">
        <f t="shared" si="1"/>
        <v>1</v>
      </c>
      <c r="K10" s="418">
        <v>13.2</v>
      </c>
      <c r="L10" s="267"/>
      <c r="M10" s="411">
        <v>13.2</v>
      </c>
      <c r="N10" s="267"/>
      <c r="O10" s="274" t="str">
        <f t="shared" si="2"/>
        <v>EUR6E12E2Y_Quote</v>
      </c>
      <c r="P10" s="410">
        <v>13.2</v>
      </c>
      <c r="Q10" s="272" t="e">
        <f>_xll.qlSimpleQuoteSetValue($O10,ROUND($P10/10000,6),Trigger)</f>
        <v>#N/A</v>
      </c>
      <c r="R10" s="225"/>
    </row>
    <row r="11" spans="1:24" x14ac:dyDescent="0.2">
      <c r="A11" s="130">
        <v>3</v>
      </c>
      <c r="B11" s="321" t="s">
        <v>114</v>
      </c>
      <c r="C11" s="320" t="str">
        <v>6E</v>
      </c>
      <c r="D11" s="320" t="str">
        <v>12E</v>
      </c>
      <c r="E11" s="318" t="str">
        <f t="shared" si="0"/>
        <v>EUR6E12E3Y</v>
      </c>
      <c r="F11" s="277" t="str">
        <v>EUR6E12E3Y=ICAP</v>
      </c>
      <c r="G11" s="413">
        <v>13.3</v>
      </c>
      <c r="H11" s="413">
        <v>0</v>
      </c>
      <c r="I11" s="413">
        <f>_xll.qlMidEquivalent(G11,H11)</f>
        <v>13.3</v>
      </c>
      <c r="J11" s="273" t="b">
        <f t="shared" si="1"/>
        <v>1</v>
      </c>
      <c r="K11" s="418">
        <v>13.3</v>
      </c>
      <c r="L11" s="267"/>
      <c r="M11" s="411">
        <v>13.3</v>
      </c>
      <c r="N11" s="267"/>
      <c r="O11" s="274" t="str">
        <f t="shared" si="2"/>
        <v>EUR6E12E3Y_Quote</v>
      </c>
      <c r="P11" s="410">
        <v>13.3</v>
      </c>
      <c r="Q11" s="272" t="e">
        <f>_xll.qlSimpleQuoteSetValue($O11,ROUND($P11/10000,6),Trigger)</f>
        <v>#N/A</v>
      </c>
      <c r="R11" s="225"/>
    </row>
    <row r="12" spans="1:24" x14ac:dyDescent="0.2">
      <c r="A12" s="130">
        <v>4</v>
      </c>
      <c r="B12" s="321" t="s">
        <v>113</v>
      </c>
      <c r="C12" s="320" t="str">
        <v>6E</v>
      </c>
      <c r="D12" s="320" t="str">
        <v>12E</v>
      </c>
      <c r="E12" s="318" t="str">
        <f t="shared" si="0"/>
        <v>EUR6E12E4Y</v>
      </c>
      <c r="F12" s="277" t="str">
        <v>EUR6E12E4Y=ICAP</v>
      </c>
      <c r="G12" s="413">
        <v>13.3</v>
      </c>
      <c r="H12" s="413">
        <v>0</v>
      </c>
      <c r="I12" s="413">
        <f>_xll.qlMidEquivalent(G12,H12)</f>
        <v>13.3</v>
      </c>
      <c r="J12" s="273" t="b">
        <f t="shared" si="1"/>
        <v>1</v>
      </c>
      <c r="K12" s="418">
        <v>13.3</v>
      </c>
      <c r="L12" s="267"/>
      <c r="M12" s="411">
        <v>13.2</v>
      </c>
      <c r="N12" s="267"/>
      <c r="O12" s="274" t="str">
        <f t="shared" si="2"/>
        <v>EUR6E12E4Y_Quote</v>
      </c>
      <c r="P12" s="410">
        <v>13.3</v>
      </c>
      <c r="Q12" s="272" t="e">
        <f>_xll.qlSimpleQuoteSetValue($O12,ROUND($P12/10000,6),Trigger)</f>
        <v>#N/A</v>
      </c>
      <c r="R12" s="225"/>
    </row>
    <row r="13" spans="1:24" x14ac:dyDescent="0.2">
      <c r="A13" s="130">
        <v>5</v>
      </c>
      <c r="B13" s="321" t="s">
        <v>112</v>
      </c>
      <c r="C13" s="320" t="str">
        <v>6E</v>
      </c>
      <c r="D13" s="320" t="str">
        <v>12E</v>
      </c>
      <c r="E13" s="318" t="str">
        <f t="shared" si="0"/>
        <v>EUR6E12E5Y</v>
      </c>
      <c r="F13" s="277" t="str">
        <v>EUR6E12E5Y=ICAP</v>
      </c>
      <c r="G13" s="413">
        <v>13.2</v>
      </c>
      <c r="H13" s="413">
        <v>0</v>
      </c>
      <c r="I13" s="413">
        <f>_xll.qlMidEquivalent(G13,H13)</f>
        <v>13.2</v>
      </c>
      <c r="J13" s="273" t="b">
        <f t="shared" si="1"/>
        <v>1</v>
      </c>
      <c r="K13" s="418">
        <v>13.2</v>
      </c>
      <c r="L13" s="267"/>
      <c r="M13" s="411">
        <v>13.2</v>
      </c>
      <c r="N13" s="267"/>
      <c r="O13" s="274" t="str">
        <f t="shared" si="2"/>
        <v>EUR6E12E5Y_Quote</v>
      </c>
      <c r="P13" s="410">
        <v>13.2</v>
      </c>
      <c r="Q13" s="272" t="e">
        <f>_xll.qlSimpleQuoteSetValue($O13,ROUND($P13/10000,6),Trigger)</f>
        <v>#N/A</v>
      </c>
      <c r="R13" s="225"/>
    </row>
    <row r="14" spans="1:24" x14ac:dyDescent="0.2">
      <c r="A14" s="130">
        <v>6</v>
      </c>
      <c r="B14" s="321" t="s">
        <v>111</v>
      </c>
      <c r="C14" s="320" t="str">
        <v>6E</v>
      </c>
      <c r="D14" s="320" t="str">
        <v>12E</v>
      </c>
      <c r="E14" s="318" t="str">
        <f t="shared" si="0"/>
        <v>EUR6E12E6Y</v>
      </c>
      <c r="F14" s="277" t="str">
        <v>EUR6E12E6Y=ICAP</v>
      </c>
      <c r="G14" s="413">
        <v>13.1</v>
      </c>
      <c r="H14" s="413">
        <v>0</v>
      </c>
      <c r="I14" s="413">
        <f>_xll.qlMidEquivalent(G14,H14)</f>
        <v>13.1</v>
      </c>
      <c r="J14" s="273" t="b">
        <f t="shared" si="1"/>
        <v>1</v>
      </c>
      <c r="K14" s="418">
        <v>13.1</v>
      </c>
      <c r="L14" s="267"/>
      <c r="M14" s="411">
        <v>13.1</v>
      </c>
      <c r="N14" s="267"/>
      <c r="O14" s="274" t="str">
        <f t="shared" si="2"/>
        <v>EUR6E12E6Y_Quote</v>
      </c>
      <c r="P14" s="410">
        <v>13.1</v>
      </c>
      <c r="Q14" s="272" t="e">
        <f>_xll.qlSimpleQuoteSetValue($O14,ROUND($P14/10000,6),Trigger)</f>
        <v>#N/A</v>
      </c>
      <c r="R14" s="225"/>
    </row>
    <row r="15" spans="1:24" x14ac:dyDescent="0.2">
      <c r="A15" s="130">
        <v>7</v>
      </c>
      <c r="B15" s="321" t="s">
        <v>110</v>
      </c>
      <c r="C15" s="320" t="str">
        <v>6E</v>
      </c>
      <c r="D15" s="320" t="str">
        <v>12E</v>
      </c>
      <c r="E15" s="318" t="str">
        <f t="shared" si="0"/>
        <v>EUR6E12E7Y</v>
      </c>
      <c r="F15" s="277" t="str">
        <v>EUR6E12E7Y=ICAP</v>
      </c>
      <c r="G15" s="413">
        <v>12.9</v>
      </c>
      <c r="H15" s="413">
        <v>0</v>
      </c>
      <c r="I15" s="413">
        <f>_xll.qlMidEquivalent(G15,H15)</f>
        <v>12.9</v>
      </c>
      <c r="J15" s="273" t="b">
        <f t="shared" si="1"/>
        <v>1</v>
      </c>
      <c r="K15" s="418">
        <v>12.9</v>
      </c>
      <c r="L15" s="267"/>
      <c r="M15" s="411">
        <v>12.9</v>
      </c>
      <c r="N15" s="267"/>
      <c r="O15" s="274" t="str">
        <f t="shared" si="2"/>
        <v>EUR6E12E7Y_Quote</v>
      </c>
      <c r="P15" s="410">
        <v>12.9</v>
      </c>
      <c r="Q15" s="272" t="e">
        <f>_xll.qlSimpleQuoteSetValue($O15,ROUND($P15/10000,6),Trigger)</f>
        <v>#N/A</v>
      </c>
      <c r="R15" s="225"/>
    </row>
    <row r="16" spans="1:24" x14ac:dyDescent="0.2">
      <c r="A16" s="130">
        <v>8</v>
      </c>
      <c r="B16" s="321" t="s">
        <v>109</v>
      </c>
      <c r="C16" s="320" t="str">
        <v>6E</v>
      </c>
      <c r="D16" s="320" t="str">
        <v>12E</v>
      </c>
      <c r="E16" s="318" t="str">
        <f t="shared" si="0"/>
        <v>EUR6E12E8Y</v>
      </c>
      <c r="F16" s="277" t="str">
        <v>EUR6E12E8Y=ICAP</v>
      </c>
      <c r="G16" s="413">
        <v>12.6</v>
      </c>
      <c r="H16" s="413">
        <v>0</v>
      </c>
      <c r="I16" s="413">
        <f>_xll.qlMidEquivalent(G16,H16)</f>
        <v>12.6</v>
      </c>
      <c r="J16" s="273" t="b">
        <f t="shared" si="1"/>
        <v>1</v>
      </c>
      <c r="K16" s="418">
        <v>12.6</v>
      </c>
      <c r="L16" s="267"/>
      <c r="M16" s="411">
        <v>12.6</v>
      </c>
      <c r="N16" s="267"/>
      <c r="O16" s="274" t="str">
        <f t="shared" si="2"/>
        <v>EUR6E12E8Y_Quote</v>
      </c>
      <c r="P16" s="410">
        <v>12.6</v>
      </c>
      <c r="Q16" s="272" t="e">
        <f>_xll.qlSimpleQuoteSetValue($O16,ROUND($P16/10000,6),Trigger)</f>
        <v>#N/A</v>
      </c>
      <c r="R16" s="225"/>
    </row>
    <row r="17" spans="1:18" x14ac:dyDescent="0.2">
      <c r="A17" s="130">
        <v>9</v>
      </c>
      <c r="B17" s="321" t="s">
        <v>108</v>
      </c>
      <c r="C17" s="320" t="str">
        <v>6E</v>
      </c>
      <c r="D17" s="320" t="str">
        <v>12E</v>
      </c>
      <c r="E17" s="318" t="str">
        <f t="shared" si="0"/>
        <v>EUR6E12E9Y</v>
      </c>
      <c r="F17" s="277" t="str">
        <v>EUR6E12E9Y=ICAP</v>
      </c>
      <c r="G17" s="413">
        <v>12.4</v>
      </c>
      <c r="H17" s="413">
        <v>0</v>
      </c>
      <c r="I17" s="413">
        <f>_xll.qlMidEquivalent(G17,H17)</f>
        <v>12.4</v>
      </c>
      <c r="J17" s="273" t="b">
        <f t="shared" si="1"/>
        <v>1</v>
      </c>
      <c r="K17" s="418">
        <v>12.4</v>
      </c>
      <c r="L17" s="267"/>
      <c r="M17" s="411">
        <v>12.3</v>
      </c>
      <c r="N17" s="267"/>
      <c r="O17" s="274" t="str">
        <f t="shared" si="2"/>
        <v>EUR6E12E9Y_Quote</v>
      </c>
      <c r="P17" s="410">
        <v>12.4</v>
      </c>
      <c r="Q17" s="272" t="e">
        <f>_xll.qlSimpleQuoteSetValue($O17,ROUND($P17/10000,6),Trigger)</f>
        <v>#N/A</v>
      </c>
      <c r="R17" s="225"/>
    </row>
    <row r="18" spans="1:18" x14ac:dyDescent="0.2">
      <c r="A18" s="130">
        <v>10</v>
      </c>
      <c r="B18" s="321" t="s">
        <v>107</v>
      </c>
      <c r="C18" s="320" t="str">
        <v>6E</v>
      </c>
      <c r="D18" s="320" t="str">
        <v>12E</v>
      </c>
      <c r="E18" s="318" t="str">
        <f t="shared" si="0"/>
        <v>EUR6E12E10Y</v>
      </c>
      <c r="F18" s="277" t="str">
        <v>EUR6E12E10Y=ICAP</v>
      </c>
      <c r="G18" s="413">
        <v>12.1</v>
      </c>
      <c r="H18" s="413">
        <v>0</v>
      </c>
      <c r="I18" s="413">
        <f>_xll.qlMidEquivalent(G18,H18)</f>
        <v>12.1</v>
      </c>
      <c r="J18" s="273" t="b">
        <f t="shared" si="1"/>
        <v>1</v>
      </c>
      <c r="K18" s="418">
        <v>12.1</v>
      </c>
      <c r="L18" s="267"/>
      <c r="M18" s="411">
        <v>12.1</v>
      </c>
      <c r="N18" s="267"/>
      <c r="O18" s="274" t="str">
        <f t="shared" si="2"/>
        <v>EUR6E12E10Y_Quote</v>
      </c>
      <c r="P18" s="410">
        <v>12.1</v>
      </c>
      <c r="Q18" s="272" t="e">
        <f>_xll.qlSimpleQuoteSetValue($O18,ROUND($P18/10000,6),Trigger)</f>
        <v>#N/A</v>
      </c>
      <c r="R18" s="225"/>
    </row>
    <row r="19" spans="1:18" x14ac:dyDescent="0.2">
      <c r="A19" s="130">
        <v>11</v>
      </c>
      <c r="B19" s="321" t="s">
        <v>106</v>
      </c>
      <c r="C19" s="320" t="str">
        <v>6E</v>
      </c>
      <c r="D19" s="320" t="str">
        <v>12E</v>
      </c>
      <c r="E19" s="318" t="str">
        <f t="shared" si="0"/>
        <v>EUR6E12E11Y</v>
      </c>
      <c r="F19" s="277" t="str">
        <v>EUR6E12E11Y=ICAP</v>
      </c>
      <c r="G19" s="413">
        <v>11.7</v>
      </c>
      <c r="H19" s="413">
        <v>0</v>
      </c>
      <c r="I19" s="413">
        <f>_xll.qlMidEquivalent(G19,H19)</f>
        <v>11.7</v>
      </c>
      <c r="J19" s="273" t="b">
        <f t="shared" si="1"/>
        <v>1</v>
      </c>
      <c r="K19" s="418">
        <v>11.7</v>
      </c>
      <c r="L19" s="267"/>
      <c r="M19" s="411">
        <v>11.7</v>
      </c>
      <c r="N19" s="267"/>
      <c r="O19" s="274" t="str">
        <f t="shared" si="2"/>
        <v>EUR6E12E11Y_Quote</v>
      </c>
      <c r="P19" s="410">
        <v>11.7</v>
      </c>
      <c r="Q19" s="272" t="e">
        <f>_xll.qlSimpleQuoteSetValue($O19,ROUND($P19/10000,6),Trigger)</f>
        <v>#N/A</v>
      </c>
      <c r="R19" s="225"/>
    </row>
    <row r="20" spans="1:18" x14ac:dyDescent="0.2">
      <c r="A20" s="130">
        <v>12</v>
      </c>
      <c r="B20" s="321" t="s">
        <v>105</v>
      </c>
      <c r="C20" s="320" t="str">
        <v>6E</v>
      </c>
      <c r="D20" s="320" t="str">
        <v>12E</v>
      </c>
      <c r="E20" s="318" t="str">
        <f t="shared" si="0"/>
        <v>EUR6E12E12Y</v>
      </c>
      <c r="F20" s="277" t="str">
        <v>EUR6E12E12Y=ICAP</v>
      </c>
      <c r="G20" s="413">
        <v>11.3</v>
      </c>
      <c r="H20" s="413">
        <v>0</v>
      </c>
      <c r="I20" s="413">
        <f>_xll.qlMidEquivalent(G20,H20)</f>
        <v>11.3</v>
      </c>
      <c r="J20" s="273" t="b">
        <f t="shared" si="1"/>
        <v>1</v>
      </c>
      <c r="K20" s="418">
        <v>11.3</v>
      </c>
      <c r="L20" s="267"/>
      <c r="M20" s="411">
        <v>11.3</v>
      </c>
      <c r="N20" s="267"/>
      <c r="O20" s="274" t="str">
        <f t="shared" si="2"/>
        <v>EUR6E12E12Y_Quote</v>
      </c>
      <c r="P20" s="410">
        <v>11.3</v>
      </c>
      <c r="Q20" s="272" t="e">
        <f>_xll.qlSimpleQuoteSetValue($O20,ROUND($P20/10000,6),Trigger)</f>
        <v>#N/A</v>
      </c>
      <c r="R20" s="225"/>
    </row>
    <row r="21" spans="1:18" x14ac:dyDescent="0.2">
      <c r="A21" s="130">
        <v>13</v>
      </c>
      <c r="B21" s="321" t="s">
        <v>104</v>
      </c>
      <c r="C21" s="320" t="str">
        <v>6E</v>
      </c>
      <c r="D21" s="320" t="str">
        <v>12E</v>
      </c>
      <c r="E21" s="318" t="str">
        <f t="shared" si="0"/>
        <v>EUR6E12E13Y</v>
      </c>
      <c r="F21" s="277" t="str">
        <v>EUR6E12E13Y=ICAP</v>
      </c>
      <c r="G21" s="413" t="s">
        <v>262</v>
      </c>
      <c r="H21" s="413" t="s">
        <v>262</v>
      </c>
      <c r="I21" s="413" t="e">
        <f>_xll.qlMidEquivalent(G21,H21)</f>
        <v>#NUM!</v>
      </c>
      <c r="J21" s="273" t="b">
        <f t="shared" si="1"/>
        <v>0</v>
      </c>
      <c r="K21" s="418">
        <v>10.934820884371806</v>
      </c>
      <c r="L21" s="267"/>
      <c r="M21" s="411">
        <v>10.939335131423944</v>
      </c>
      <c r="N21" s="267"/>
      <c r="O21" s="274" t="str">
        <f t="shared" si="2"/>
        <v>EUR6E12E13Y_Quote</v>
      </c>
      <c r="P21" s="410">
        <v>10.934820884371806</v>
      </c>
      <c r="Q21" s="272" t="e">
        <f>_xll.qlSimpleQuoteSetValue($O21,ROUND($P21/10000,6),Trigger)</f>
        <v>#N/A</v>
      </c>
      <c r="R21" s="225"/>
    </row>
    <row r="22" spans="1:18" x14ac:dyDescent="0.2">
      <c r="A22" s="130">
        <v>14</v>
      </c>
      <c r="B22" s="321" t="s">
        <v>103</v>
      </c>
      <c r="C22" s="320" t="str">
        <v>6E</v>
      </c>
      <c r="D22" s="320" t="str">
        <v>12E</v>
      </c>
      <c r="E22" s="318" t="str">
        <f t="shared" si="0"/>
        <v>EUR6E12E14Y</v>
      </c>
      <c r="F22" s="277" t="str">
        <v>EUR6E12E14Y=ICAP</v>
      </c>
      <c r="G22" s="413" t="s">
        <v>262</v>
      </c>
      <c r="H22" s="413" t="s">
        <v>262</v>
      </c>
      <c r="I22" s="413" t="e">
        <f>_xll.qlMidEquivalent(G22,H22)</f>
        <v>#NUM!</v>
      </c>
      <c r="J22" s="273" t="b">
        <f t="shared" si="1"/>
        <v>0</v>
      </c>
      <c r="K22" s="418">
        <v>10.603393916008477</v>
      </c>
      <c r="L22" s="267"/>
      <c r="M22" s="411">
        <v>10.606607725124706</v>
      </c>
      <c r="N22" s="267"/>
      <c r="O22" s="274" t="str">
        <f t="shared" si="2"/>
        <v>EUR6E12E14Y_Quote</v>
      </c>
      <c r="P22" s="410">
        <v>10.603393916008477</v>
      </c>
      <c r="Q22" s="272" t="e">
        <f>_xll.qlSimpleQuoteSetValue($O22,ROUND($P22/10000,6),Trigger)</f>
        <v>#N/A</v>
      </c>
      <c r="R22" s="225"/>
    </row>
    <row r="23" spans="1:18" x14ac:dyDescent="0.2">
      <c r="A23" s="130">
        <v>15</v>
      </c>
      <c r="B23" s="321" t="s">
        <v>102</v>
      </c>
      <c r="C23" s="320" t="str">
        <v>6E</v>
      </c>
      <c r="D23" s="320" t="str">
        <v>12E</v>
      </c>
      <c r="E23" s="318" t="str">
        <f t="shared" si="0"/>
        <v>EUR6E12E15Y</v>
      </c>
      <c r="F23" s="277" t="str">
        <v>EUR6E12E15Y=ICAP</v>
      </c>
      <c r="G23" s="413">
        <v>10.3</v>
      </c>
      <c r="H23" s="413">
        <v>0</v>
      </c>
      <c r="I23" s="413">
        <f>_xll.qlMidEquivalent(G23,H23)</f>
        <v>10.3</v>
      </c>
      <c r="J23" s="273" t="b">
        <f t="shared" si="1"/>
        <v>1</v>
      </c>
      <c r="K23" s="418">
        <v>10.3</v>
      </c>
      <c r="L23" s="267"/>
      <c r="M23" s="411">
        <v>10.3</v>
      </c>
      <c r="N23" s="267"/>
      <c r="O23" s="274" t="str">
        <f t="shared" si="2"/>
        <v>EUR6E12E15Y_Quote</v>
      </c>
      <c r="P23" s="410">
        <v>10.3</v>
      </c>
      <c r="Q23" s="272" t="e">
        <f>_xll.qlSimpleQuoteSetValue($O23,ROUND($P23/10000,6),Trigger)</f>
        <v>#N/A</v>
      </c>
      <c r="R23" s="225"/>
    </row>
    <row r="24" spans="1:18" x14ac:dyDescent="0.2">
      <c r="A24" s="130">
        <v>16</v>
      </c>
      <c r="B24" s="321" t="s">
        <v>101</v>
      </c>
      <c r="C24" s="320" t="str">
        <v>6E</v>
      </c>
      <c r="D24" s="320" t="str">
        <v>12E</v>
      </c>
      <c r="E24" s="318" t="str">
        <f t="shared" si="0"/>
        <v>EUR6E12E16Y</v>
      </c>
      <c r="F24" s="277" t="str">
        <v>EUR6E12E16Y=ICAP</v>
      </c>
      <c r="G24" s="413" t="s">
        <v>262</v>
      </c>
      <c r="H24" s="413" t="s">
        <v>262</v>
      </c>
      <c r="I24" s="413" t="e">
        <f>_xll.qlMidEquivalent(G24,H24)</f>
        <v>#NUM!</v>
      </c>
      <c r="J24" s="273" t="b">
        <f t="shared" si="1"/>
        <v>0</v>
      </c>
      <c r="K24" s="418">
        <v>10.019693178368922</v>
      </c>
      <c r="L24" s="267"/>
      <c r="M24" s="411">
        <v>10.017733100920223</v>
      </c>
      <c r="N24" s="267"/>
      <c r="O24" s="274" t="str">
        <f t="shared" si="2"/>
        <v>EUR6E12E16Y_Quote</v>
      </c>
      <c r="P24" s="410">
        <v>10.019693178368922</v>
      </c>
      <c r="Q24" s="272" t="e">
        <f>_xll.qlSimpleQuoteSetValue($O24,ROUND($P24/10000,6),Trigger)</f>
        <v>#N/A</v>
      </c>
      <c r="R24" s="225"/>
    </row>
    <row r="25" spans="1:18" x14ac:dyDescent="0.2">
      <c r="A25" s="130">
        <v>17</v>
      </c>
      <c r="B25" s="321" t="s">
        <v>100</v>
      </c>
      <c r="C25" s="320" t="str">
        <v>6E</v>
      </c>
      <c r="D25" s="320" t="str">
        <v>12E</v>
      </c>
      <c r="E25" s="318" t="str">
        <f t="shared" si="0"/>
        <v>EUR6E12E17Y</v>
      </c>
      <c r="F25" s="277" t="str">
        <v>EUR6E12E17Y=ICAP</v>
      </c>
      <c r="G25" s="413" t="s">
        <v>262</v>
      </c>
      <c r="H25" s="413" t="s">
        <v>262</v>
      </c>
      <c r="I25" s="413" t="e">
        <f>_xll.qlMidEquivalent(G25,H25)</f>
        <v>#NUM!</v>
      </c>
      <c r="J25" s="273" t="b">
        <f t="shared" si="1"/>
        <v>0</v>
      </c>
      <c r="K25" s="418">
        <v>9.7606200408680301</v>
      </c>
      <c r="L25" s="267"/>
      <c r="M25" s="411">
        <v>9.7581838766465108</v>
      </c>
      <c r="N25" s="267"/>
      <c r="O25" s="274" t="str">
        <f t="shared" si="2"/>
        <v>EUR6E12E17Y_Quote</v>
      </c>
      <c r="P25" s="410">
        <v>9.7606200408680301</v>
      </c>
      <c r="Q25" s="272" t="e">
        <f>_xll.qlSimpleQuoteSetValue($O25,ROUND($P25/10000,6),Trigger)</f>
        <v>#N/A</v>
      </c>
      <c r="R25" s="225"/>
    </row>
    <row r="26" spans="1:18" x14ac:dyDescent="0.2">
      <c r="A26" s="130">
        <v>18</v>
      </c>
      <c r="B26" s="321" t="s">
        <v>99</v>
      </c>
      <c r="C26" s="320" t="str">
        <v>6E</v>
      </c>
      <c r="D26" s="320" t="str">
        <v>12E</v>
      </c>
      <c r="E26" s="318" t="str">
        <f t="shared" si="0"/>
        <v>EUR6E12E18Y</v>
      </c>
      <c r="F26" s="277" t="str">
        <v>EUR6E12E18Y=ICAP</v>
      </c>
      <c r="G26" s="413" t="s">
        <v>262</v>
      </c>
      <c r="H26" s="413" t="s">
        <v>262</v>
      </c>
      <c r="I26" s="413" t="e">
        <f>_xll.qlMidEquivalent(G26,H26)</f>
        <v>#NUM!</v>
      </c>
      <c r="J26" s="273" t="b">
        <f t="shared" si="1"/>
        <v>0</v>
      </c>
      <c r="K26" s="418">
        <v>9.5217003141826773</v>
      </c>
      <c r="L26" s="267"/>
      <c r="M26" s="411">
        <v>9.519768101912689</v>
      </c>
      <c r="N26" s="267"/>
      <c r="O26" s="274" t="str">
        <f t="shared" si="2"/>
        <v>EUR6E12E18Y_Quote</v>
      </c>
      <c r="P26" s="410">
        <v>9.5217003141826773</v>
      </c>
      <c r="Q26" s="272" t="e">
        <f>_xll.qlSimpleQuoteSetValue($O26,ROUND($P26/10000,6),Trigger)</f>
        <v>#N/A</v>
      </c>
      <c r="R26" s="225"/>
    </row>
    <row r="27" spans="1:18" x14ac:dyDescent="0.2">
      <c r="A27" s="130">
        <v>19</v>
      </c>
      <c r="B27" s="321" t="s">
        <v>98</v>
      </c>
      <c r="C27" s="320" t="str">
        <v>6E</v>
      </c>
      <c r="D27" s="320" t="str">
        <v>12E</v>
      </c>
      <c r="E27" s="318" t="str">
        <f t="shared" si="0"/>
        <v>EUR6E12E19Y</v>
      </c>
      <c r="F27" s="277" t="str">
        <v>EUR6E12E19Y=ICAP</v>
      </c>
      <c r="G27" s="413" t="s">
        <v>262</v>
      </c>
      <c r="H27" s="413" t="s">
        <v>262</v>
      </c>
      <c r="I27" s="413" t="e">
        <f>_xll.qlMidEquivalent(G27,H27)</f>
        <v>#NUM!</v>
      </c>
      <c r="J27" s="273" t="b">
        <f t="shared" si="1"/>
        <v>0</v>
      </c>
      <c r="K27" s="418">
        <v>9.3018537249982174</v>
      </c>
      <c r="L27" s="267"/>
      <c r="M27" s="411">
        <v>9.3009015514525775</v>
      </c>
      <c r="N27" s="267"/>
      <c r="O27" s="274" t="str">
        <f t="shared" si="2"/>
        <v>EUR6E12E19Y_Quote</v>
      </c>
      <c r="P27" s="410">
        <v>9.3018537249982174</v>
      </c>
      <c r="Q27" s="272" t="e">
        <f>_xll.qlSimpleQuoteSetValue($O27,ROUND($P27/10000,6),Trigger)</f>
        <v>#N/A</v>
      </c>
      <c r="R27" s="225"/>
    </row>
    <row r="28" spans="1:18" x14ac:dyDescent="0.2">
      <c r="A28" s="130">
        <v>20</v>
      </c>
      <c r="B28" s="321" t="s">
        <v>97</v>
      </c>
      <c r="C28" s="320" t="str">
        <v>6E</v>
      </c>
      <c r="D28" s="320" t="str">
        <v>12E</v>
      </c>
      <c r="E28" s="318" t="str">
        <f t="shared" si="0"/>
        <v>EUR6E12E20Y</v>
      </c>
      <c r="F28" s="277" t="str">
        <v>EUR6E12E20Y=ICAP</v>
      </c>
      <c r="G28" s="413">
        <v>9.1</v>
      </c>
      <c r="H28" s="413">
        <v>0</v>
      </c>
      <c r="I28" s="413">
        <f>_xll.qlMidEquivalent(G28,H28)</f>
        <v>9.1</v>
      </c>
      <c r="J28" s="273" t="b">
        <f t="shared" si="1"/>
        <v>1</v>
      </c>
      <c r="K28" s="418">
        <v>9.1</v>
      </c>
      <c r="L28" s="267"/>
      <c r="M28" s="411">
        <v>9.1</v>
      </c>
      <c r="N28" s="267"/>
      <c r="O28" s="274" t="str">
        <f t="shared" si="2"/>
        <v>EUR6E12E20Y_Quote</v>
      </c>
      <c r="P28" s="410">
        <v>9.1</v>
      </c>
      <c r="Q28" s="272" t="e">
        <f>_xll.qlSimpleQuoteSetValue($O28,ROUND($P28/10000,6),Trigger)</f>
        <v>#N/A</v>
      </c>
      <c r="R28" s="225"/>
    </row>
    <row r="29" spans="1:18" x14ac:dyDescent="0.2">
      <c r="A29" s="130">
        <v>21</v>
      </c>
      <c r="B29" s="321" t="s">
        <v>96</v>
      </c>
      <c r="C29" s="320" t="str">
        <v>6E</v>
      </c>
      <c r="D29" s="320" t="str">
        <v>12E</v>
      </c>
      <c r="E29" s="318" t="str">
        <f t="shared" si="0"/>
        <v>EUR6E12E21Y</v>
      </c>
      <c r="F29" s="277" t="str">
        <v>EUR6E12E21Y=ICAP</v>
      </c>
      <c r="G29" s="413" t="s">
        <v>262</v>
      </c>
      <c r="H29" s="413" t="s">
        <v>262</v>
      </c>
      <c r="I29" s="413" t="e">
        <f>_xll.qlMidEquivalent(G29,H29)</f>
        <v>#NUM!</v>
      </c>
      <c r="J29" s="273" t="b">
        <f t="shared" si="1"/>
        <v>0</v>
      </c>
      <c r="K29" s="418">
        <v>8.9148763476990585</v>
      </c>
      <c r="L29" s="267"/>
      <c r="M29" s="411">
        <v>8.9154030675405078</v>
      </c>
      <c r="N29" s="267"/>
      <c r="O29" s="274" t="str">
        <f t="shared" si="2"/>
        <v>EUR6E12E21Y_Quote</v>
      </c>
      <c r="P29" s="410">
        <v>8.9148763476990585</v>
      </c>
      <c r="Q29" s="272" t="e">
        <f>_xll.qlSimpleQuoteSetValue($O29,ROUND($P29/10000,6),Trigger)</f>
        <v>#N/A</v>
      </c>
      <c r="R29" s="225"/>
    </row>
    <row r="30" spans="1:18" x14ac:dyDescent="0.2">
      <c r="A30" s="130">
        <v>22</v>
      </c>
      <c r="B30" s="321" t="s">
        <v>95</v>
      </c>
      <c r="C30" s="320" t="str">
        <v>6E</v>
      </c>
      <c r="D30" s="320" t="str">
        <v>12E</v>
      </c>
      <c r="E30" s="318" t="str">
        <f t="shared" si="0"/>
        <v>EUR6E12E22Y</v>
      </c>
      <c r="F30" s="277" t="str">
        <v>EUR6E12E22Y=ICAP</v>
      </c>
      <c r="G30" s="413" t="s">
        <v>262</v>
      </c>
      <c r="H30" s="413" t="s">
        <v>262</v>
      </c>
      <c r="I30" s="413" t="e">
        <f>_xll.qlMidEquivalent(G30,H30)</f>
        <v>#NUM!</v>
      </c>
      <c r="J30" s="273" t="b">
        <f t="shared" si="1"/>
        <v>0</v>
      </c>
      <c r="K30" s="418">
        <v>8.7444899039091517</v>
      </c>
      <c r="L30" s="267"/>
      <c r="M30" s="411">
        <v>8.7451457550665683</v>
      </c>
      <c r="N30" s="267"/>
      <c r="O30" s="274" t="str">
        <f t="shared" si="2"/>
        <v>EUR6E12E22Y_Quote</v>
      </c>
      <c r="P30" s="410">
        <v>8.7444899039091517</v>
      </c>
      <c r="Q30" s="272" t="e">
        <f>_xll.qlSimpleQuoteSetValue($O30,ROUND($P30/10000,6),Trigger)</f>
        <v>#N/A</v>
      </c>
      <c r="R30" s="225"/>
    </row>
    <row r="31" spans="1:18" x14ac:dyDescent="0.2">
      <c r="A31" s="130">
        <v>23</v>
      </c>
      <c r="B31" s="321" t="s">
        <v>94</v>
      </c>
      <c r="C31" s="320" t="str">
        <v>6E</v>
      </c>
      <c r="D31" s="320" t="str">
        <v>12E</v>
      </c>
      <c r="E31" s="318" t="str">
        <f t="shared" si="0"/>
        <v>EUR6E12E23Y</v>
      </c>
      <c r="F31" s="277" t="str">
        <v>EUR6E12E23Y=ICAP</v>
      </c>
      <c r="G31" s="413" t="s">
        <v>262</v>
      </c>
      <c r="H31" s="413" t="s">
        <v>262</v>
      </c>
      <c r="I31" s="413" t="e">
        <f>_xll.qlMidEquivalent(G31,H31)</f>
        <v>#NUM!</v>
      </c>
      <c r="J31" s="273" t="b">
        <f t="shared" si="1"/>
        <v>0</v>
      </c>
      <c r="K31" s="418">
        <v>8.5866652862697137</v>
      </c>
      <c r="L31" s="267"/>
      <c r="M31" s="411">
        <v>8.5871869088223747</v>
      </c>
      <c r="N31" s="267"/>
      <c r="O31" s="274" t="str">
        <f t="shared" si="2"/>
        <v>EUR6E12E23Y_Quote</v>
      </c>
      <c r="P31" s="410">
        <v>8.5866652862697137</v>
      </c>
      <c r="Q31" s="272" t="e">
        <f>_xll.qlSimpleQuoteSetValue($O31,ROUND($P31/10000,6),Trigger)</f>
        <v>#N/A</v>
      </c>
      <c r="R31" s="225"/>
    </row>
    <row r="32" spans="1:18" x14ac:dyDescent="0.2">
      <c r="A32" s="130">
        <v>24</v>
      </c>
      <c r="B32" s="321" t="s">
        <v>93</v>
      </c>
      <c r="C32" s="320" t="str">
        <v>6E</v>
      </c>
      <c r="D32" s="320" t="str">
        <v>12E</v>
      </c>
      <c r="E32" s="318" t="str">
        <f t="shared" si="0"/>
        <v>EUR6E12E24Y</v>
      </c>
      <c r="F32" s="277" t="str">
        <v>EUR6E12E24Y=ICAP</v>
      </c>
      <c r="G32" s="413" t="s">
        <v>262</v>
      </c>
      <c r="H32" s="413" t="s">
        <v>262</v>
      </c>
      <c r="I32" s="413" t="e">
        <f>_xll.qlMidEquivalent(G32,H32)</f>
        <v>#NUM!</v>
      </c>
      <c r="J32" s="273" t="b">
        <f t="shared" si="1"/>
        <v>0</v>
      </c>
      <c r="K32" s="418">
        <v>8.4392271124201841</v>
      </c>
      <c r="L32" s="267"/>
      <c r="M32" s="411">
        <v>8.4394853750521204</v>
      </c>
      <c r="N32" s="267"/>
      <c r="O32" s="274" t="str">
        <f t="shared" si="2"/>
        <v>EUR6E12E24Y_Quote</v>
      </c>
      <c r="P32" s="410">
        <v>8.4392271124201841</v>
      </c>
      <c r="Q32" s="272" t="e">
        <f>_xll.qlSimpleQuoteSetValue($O32,ROUND($P32/10000,6),Trigger)</f>
        <v>#N/A</v>
      </c>
      <c r="R32" s="225"/>
    </row>
    <row r="33" spans="1:18" x14ac:dyDescent="0.2">
      <c r="A33" s="130">
        <v>25</v>
      </c>
      <c r="B33" s="321" t="s">
        <v>92</v>
      </c>
      <c r="C33" s="320" t="str">
        <v>6E</v>
      </c>
      <c r="D33" s="320" t="str">
        <v>12E</v>
      </c>
      <c r="E33" s="318" t="str">
        <f t="shared" si="0"/>
        <v>EUR6E12E25Y</v>
      </c>
      <c r="F33" s="277" t="str">
        <v>EUR6E12E25Y=ICAP</v>
      </c>
      <c r="G33" s="413">
        <v>8.3000000000000007</v>
      </c>
      <c r="H33" s="413">
        <v>0</v>
      </c>
      <c r="I33" s="413">
        <f>_xll.qlMidEquivalent(G33,H33)</f>
        <v>8.3000000000000007</v>
      </c>
      <c r="J33" s="273" t="b">
        <f t="shared" si="1"/>
        <v>1</v>
      </c>
      <c r="K33" s="418">
        <v>8.3000000000000007</v>
      </c>
      <c r="L33" s="267"/>
      <c r="M33" s="411">
        <v>8.3000000000000007</v>
      </c>
      <c r="N33" s="267"/>
      <c r="O33" s="274" t="str">
        <f t="shared" si="2"/>
        <v>EUR6E12E25Y_Quote</v>
      </c>
      <c r="P33" s="410">
        <v>8.3000000000000007</v>
      </c>
      <c r="Q33" s="272" t="e">
        <f>_xll.qlSimpleQuoteSetValue($O33,ROUND($P33/10000,6),Trigger)</f>
        <v>#N/A</v>
      </c>
      <c r="R33" s="225"/>
    </row>
    <row r="34" spans="1:18" x14ac:dyDescent="0.2">
      <c r="A34" s="130">
        <v>26</v>
      </c>
      <c r="B34" s="321" t="s">
        <v>91</v>
      </c>
      <c r="C34" s="320" t="str">
        <v>6E</v>
      </c>
      <c r="D34" s="320" t="str">
        <v>12E</v>
      </c>
      <c r="E34" s="318" t="str">
        <f t="shared" si="0"/>
        <v>EUR6E12E26Y</v>
      </c>
      <c r="F34" s="277" t="str">
        <v>EUR6E12E26Y=ICAP</v>
      </c>
      <c r="G34" s="413" t="s">
        <v>262</v>
      </c>
      <c r="H34" s="413" t="s">
        <v>262</v>
      </c>
      <c r="I34" s="413" t="e">
        <f>_xll.qlMidEquivalent(G34,H34)</f>
        <v>#NUM!</v>
      </c>
      <c r="J34" s="273" t="b">
        <f t="shared" si="1"/>
        <v>0</v>
      </c>
      <c r="K34" s="418">
        <v>8.1672014308348437</v>
      </c>
      <c r="L34" s="267"/>
      <c r="M34" s="411">
        <v>8.167054628917743</v>
      </c>
      <c r="N34" s="267"/>
      <c r="O34" s="274" t="str">
        <f t="shared" si="2"/>
        <v>EUR6E12E26Y_Quote</v>
      </c>
      <c r="P34" s="410">
        <v>8.1672014308348437</v>
      </c>
      <c r="Q34" s="272" t="e">
        <f>_xll.qlSimpleQuoteSetValue($O34,ROUND($P34/10000,6),Trigger)</f>
        <v>#N/A</v>
      </c>
      <c r="R34" s="225"/>
    </row>
    <row r="35" spans="1:18" x14ac:dyDescent="0.2">
      <c r="A35" s="130">
        <v>27</v>
      </c>
      <c r="B35" s="321" t="s">
        <v>90</v>
      </c>
      <c r="C35" s="320" t="str">
        <v>6E</v>
      </c>
      <c r="D35" s="320" t="str">
        <v>12E</v>
      </c>
      <c r="E35" s="318" t="str">
        <f t="shared" si="0"/>
        <v>EUR6E12E27Y</v>
      </c>
      <c r="F35" s="277" t="str">
        <v>EUR6E12E27Y=ICAP</v>
      </c>
      <c r="G35" s="413" t="s">
        <v>262</v>
      </c>
      <c r="H35" s="413" t="s">
        <v>262</v>
      </c>
      <c r="I35" s="413" t="e">
        <f>_xll.qlMidEquivalent(G35,H35)</f>
        <v>#NUM!</v>
      </c>
      <c r="J35" s="273" t="b">
        <f t="shared" si="1"/>
        <v>0</v>
      </c>
      <c r="K35" s="418">
        <v>8.0406203434953678</v>
      </c>
      <c r="L35" s="267"/>
      <c r="M35" s="411">
        <v>8.0404331030872136</v>
      </c>
      <c r="N35" s="267"/>
      <c r="O35" s="274" t="str">
        <f t="shared" si="2"/>
        <v>EUR6E12E27Y_Quote</v>
      </c>
      <c r="P35" s="410">
        <v>8.0406203434953678</v>
      </c>
      <c r="Q35" s="272" t="e">
        <f>_xll.qlSimpleQuoteSetValue($O35,ROUND($P35/10000,6),Trigger)</f>
        <v>#N/A</v>
      </c>
      <c r="R35" s="225"/>
    </row>
    <row r="36" spans="1:18" x14ac:dyDescent="0.2">
      <c r="A36" s="130">
        <v>28</v>
      </c>
      <c r="B36" s="321" t="s">
        <v>89</v>
      </c>
      <c r="C36" s="320" t="str">
        <v>6E</v>
      </c>
      <c r="D36" s="320" t="str">
        <v>12E</v>
      </c>
      <c r="E36" s="318" t="str">
        <f t="shared" si="0"/>
        <v>EUR6E12E28Y</v>
      </c>
      <c r="F36" s="277" t="str">
        <v>EUR6E12E28Y=ICAP</v>
      </c>
      <c r="G36" s="413" t="s">
        <v>262</v>
      </c>
      <c r="H36" s="413" t="s">
        <v>262</v>
      </c>
      <c r="I36" s="413" t="e">
        <f>_xll.qlMidEquivalent(G36,H36)</f>
        <v>#NUM!</v>
      </c>
      <c r="J36" s="273" t="b">
        <f t="shared" si="1"/>
        <v>0</v>
      </c>
      <c r="K36" s="418">
        <v>7.9204385407384699</v>
      </c>
      <c r="L36" s="267"/>
      <c r="M36" s="411">
        <v>7.9202842627978125</v>
      </c>
      <c r="N36" s="267"/>
      <c r="O36" s="274" t="str">
        <f t="shared" si="2"/>
        <v>EUR6E12E28Y_Quote</v>
      </c>
      <c r="P36" s="410">
        <v>7.9204385407384699</v>
      </c>
      <c r="Q36" s="272" t="e">
        <f>_xll.qlSimpleQuoteSetValue($O36,ROUND($P36/10000,6),Trigger)</f>
        <v>#N/A</v>
      </c>
      <c r="R36" s="225"/>
    </row>
    <row r="37" spans="1:18" x14ac:dyDescent="0.2">
      <c r="A37" s="130">
        <v>29</v>
      </c>
      <c r="B37" s="321" t="s">
        <v>88</v>
      </c>
      <c r="C37" s="320" t="str">
        <v>6E</v>
      </c>
      <c r="D37" s="320" t="str">
        <v>12E</v>
      </c>
      <c r="E37" s="318" t="str">
        <f t="shared" si="0"/>
        <v>EUR6E12E29Y</v>
      </c>
      <c r="F37" s="277" t="str">
        <v>EUR6E12E29Y=ICAP</v>
      </c>
      <c r="G37" s="413" t="s">
        <v>262</v>
      </c>
      <c r="H37" s="413" t="s">
        <v>262</v>
      </c>
      <c r="I37" s="413" t="e">
        <f>_xll.qlMidEquivalent(G37,H37)</f>
        <v>#NUM!</v>
      </c>
      <c r="J37" s="273" t="b">
        <f t="shared" si="1"/>
        <v>0</v>
      </c>
      <c r="K37" s="418">
        <v>7.8068378253210478</v>
      </c>
      <c r="L37" s="267"/>
      <c r="M37" s="411">
        <v>7.8067569483389416</v>
      </c>
      <c r="N37" s="267"/>
      <c r="O37" s="274" t="str">
        <f t="shared" si="2"/>
        <v>EUR6E12E29Y_Quote</v>
      </c>
      <c r="P37" s="410">
        <v>7.8068378253210478</v>
      </c>
      <c r="Q37" s="272" t="e">
        <f>_xll.qlSimpleQuoteSetValue($O37,ROUND($P37/10000,6),Trigger)</f>
        <v>#N/A</v>
      </c>
      <c r="R37" s="225"/>
    </row>
    <row r="38" spans="1:18" x14ac:dyDescent="0.2">
      <c r="A38" s="130">
        <v>30</v>
      </c>
      <c r="B38" s="321" t="s">
        <v>87</v>
      </c>
      <c r="C38" s="320" t="str">
        <v>6E</v>
      </c>
      <c r="D38" s="320" t="str">
        <v>12E</v>
      </c>
      <c r="E38" s="318" t="str">
        <f t="shared" si="0"/>
        <v>EUR6E12E30Y</v>
      </c>
      <c r="F38" s="277" t="str">
        <v>EUR6E12E30Y=ICAP</v>
      </c>
      <c r="G38" s="413">
        <v>7.7</v>
      </c>
      <c r="H38" s="413">
        <v>0</v>
      </c>
      <c r="I38" s="413">
        <f>_xll.qlMidEquivalent(G38,H38)</f>
        <v>7.7</v>
      </c>
      <c r="J38" s="273" t="b">
        <f t="shared" si="1"/>
        <v>1</v>
      </c>
      <c r="K38" s="418">
        <v>7.7</v>
      </c>
      <c r="L38" s="416">
        <f>K28-K38</f>
        <v>1.3999999999999995</v>
      </c>
      <c r="M38" s="411">
        <v>7.7</v>
      </c>
      <c r="N38" s="267"/>
      <c r="O38" s="274" t="str">
        <f t="shared" si="2"/>
        <v>EUR6E12E30Y_Quote</v>
      </c>
      <c r="P38" s="410">
        <v>7.7</v>
      </c>
      <c r="Q38" s="272" t="e">
        <f>_xll.qlSimpleQuoteSetValue($O38,ROUND($P38/10000,6),Trigger)</f>
        <v>#N/A</v>
      </c>
      <c r="R38" s="225"/>
    </row>
    <row r="39" spans="1:18" x14ac:dyDescent="0.2">
      <c r="A39" s="130">
        <v>35</v>
      </c>
      <c r="B39" s="321" t="s">
        <v>82</v>
      </c>
      <c r="C39" s="320" t="str">
        <v>6E</v>
      </c>
      <c r="D39" s="320" t="str">
        <v>12E</v>
      </c>
      <c r="E39" s="318" t="str">
        <f t="shared" si="0"/>
        <v>EUR6E12E35Y</v>
      </c>
      <c r="F39" s="277" t="str">
        <v>EUR6E12E35Y=ICAP</v>
      </c>
      <c r="G39" s="413" t="s">
        <v>262</v>
      </c>
      <c r="H39" s="413" t="s">
        <v>262</v>
      </c>
      <c r="I39" s="413" t="e">
        <f>_xll.qlMidEquivalent(G39,H39)</f>
        <v>#NUM!</v>
      </c>
      <c r="J39" s="273" t="b">
        <f t="shared" si="1"/>
        <v>0</v>
      </c>
      <c r="K39" s="417">
        <f>K38</f>
        <v>7.7</v>
      </c>
      <c r="L39" s="267"/>
      <c r="M39" s="411">
        <v>7.7</v>
      </c>
      <c r="N39" s="267"/>
      <c r="O39" s="274" t="str">
        <f t="shared" si="2"/>
        <v>EUR6E12E35Y_Quote</v>
      </c>
      <c r="P39" s="410">
        <v>7.7</v>
      </c>
      <c r="Q39" s="272" t="e">
        <f>_xll.qlSimpleQuoteSetValue($O39,ROUND($P39/10000,6),Trigger)</f>
        <v>#N/A</v>
      </c>
      <c r="R39" s="225"/>
    </row>
    <row r="40" spans="1:18" x14ac:dyDescent="0.2">
      <c r="A40" s="130">
        <v>40</v>
      </c>
      <c r="B40" s="321" t="s">
        <v>77</v>
      </c>
      <c r="C40" s="320" t="str">
        <v>6E</v>
      </c>
      <c r="D40" s="320" t="str">
        <v>12E</v>
      </c>
      <c r="E40" s="318" t="str">
        <f t="shared" si="0"/>
        <v>EUR6E12E40Y</v>
      </c>
      <c r="F40" s="277" t="str">
        <v>EUR6E12E40Y=ICAP</v>
      </c>
      <c r="G40" s="413">
        <v>6.9</v>
      </c>
      <c r="H40" s="413">
        <v>0</v>
      </c>
      <c r="I40" s="413">
        <f>_xll.qlMidEquivalent(G40,H40)</f>
        <v>6.9</v>
      </c>
      <c r="J40" s="273" t="b">
        <f t="shared" si="1"/>
        <v>1</v>
      </c>
      <c r="K40" s="417">
        <f>K39</f>
        <v>7.7</v>
      </c>
      <c r="L40" s="267"/>
      <c r="M40" s="411">
        <v>7.7</v>
      </c>
      <c r="N40" s="267"/>
      <c r="O40" s="274" t="str">
        <f t="shared" si="2"/>
        <v>EUR6E12E40Y_Quote</v>
      </c>
      <c r="P40" s="410">
        <v>7.7</v>
      </c>
      <c r="Q40" s="272" t="e">
        <f>_xll.qlSimpleQuoteSetValue($O40,ROUND($P40/10000,6),Trigger)</f>
        <v>#N/A</v>
      </c>
      <c r="R40" s="225"/>
    </row>
    <row r="41" spans="1:18" x14ac:dyDescent="0.2">
      <c r="A41" s="130">
        <v>50</v>
      </c>
      <c r="B41" s="321" t="s">
        <v>67</v>
      </c>
      <c r="C41" s="320" t="str">
        <v>6E</v>
      </c>
      <c r="D41" s="320" t="str">
        <v>12E</v>
      </c>
      <c r="E41" s="318" t="str">
        <f t="shared" si="0"/>
        <v>EUR6E12E50Y</v>
      </c>
      <c r="F41" s="277" t="str">
        <v>EUR6E12E50Y=ICAP</v>
      </c>
      <c r="G41" s="413">
        <v>6.3</v>
      </c>
      <c r="H41" s="413">
        <v>0</v>
      </c>
      <c r="I41" s="413">
        <f>_xll.qlMidEquivalent(G41,H41)</f>
        <v>6.3</v>
      </c>
      <c r="J41" s="273" t="b">
        <f t="shared" si="1"/>
        <v>1</v>
      </c>
      <c r="K41" s="417">
        <f>K40</f>
        <v>7.7</v>
      </c>
      <c r="L41" s="267"/>
      <c r="M41" s="411">
        <v>7.7</v>
      </c>
      <c r="N41" s="267"/>
      <c r="O41" s="274" t="str">
        <f t="shared" si="2"/>
        <v>EUR6E12E50Y_Quote</v>
      </c>
      <c r="P41" s="410">
        <v>7.7</v>
      </c>
      <c r="Q41" s="272" t="e">
        <f>_xll.qlSimpleQuoteSetValue($O41,ROUND($P41/10000,6),Trigger)</f>
        <v>#N/A</v>
      </c>
      <c r="R41" s="225"/>
    </row>
    <row r="42" spans="1:18" x14ac:dyDescent="0.2">
      <c r="A42" s="130">
        <v>60</v>
      </c>
      <c r="B42" s="321" t="s">
        <v>57</v>
      </c>
      <c r="C42" s="320" t="str">
        <v>6E</v>
      </c>
      <c r="D42" s="320" t="str">
        <v>12E</v>
      </c>
      <c r="E42" s="318" t="str">
        <f t="shared" si="0"/>
        <v>EUR6E12E60Y</v>
      </c>
      <c r="F42" s="277" t="str">
        <v>EUR6E12E60Y=ICAP</v>
      </c>
      <c r="G42" s="413">
        <v>6</v>
      </c>
      <c r="H42" s="413">
        <v>0</v>
      </c>
      <c r="I42" s="413">
        <f>_xll.qlMidEquivalent(G42,H42)</f>
        <v>6</v>
      </c>
      <c r="J42" s="273" t="b">
        <f t="shared" si="1"/>
        <v>1</v>
      </c>
      <c r="K42" s="417">
        <f>K41</f>
        <v>7.7</v>
      </c>
      <c r="L42" s="267"/>
      <c r="M42" s="411">
        <v>7.7</v>
      </c>
      <c r="N42" s="267"/>
      <c r="O42" s="274" t="str">
        <f t="shared" si="2"/>
        <v>EUR6E12E60Y_Quote</v>
      </c>
      <c r="P42" s="410">
        <v>7.7</v>
      </c>
      <c r="Q42" s="272" t="e">
        <f>_xll.qlSimpleQuoteSetValue($O42,ROUND($P42/10000,6),Trigger)</f>
        <v>#N/A</v>
      </c>
      <c r="R42" s="225"/>
    </row>
    <row r="43" spans="1:18" ht="12" thickBot="1" x14ac:dyDescent="0.25">
      <c r="A43" s="53"/>
      <c r="B43" s="306"/>
      <c r="C43" s="306"/>
      <c r="D43" s="306"/>
      <c r="E43" s="306"/>
      <c r="F43" s="306"/>
      <c r="G43" s="306"/>
      <c r="H43" s="306"/>
      <c r="I43" s="306"/>
      <c r="J43" s="306"/>
      <c r="K43" s="306"/>
      <c r="L43" s="52"/>
      <c r="M43" s="306"/>
      <c r="N43" s="52"/>
      <c r="O43" s="306"/>
      <c r="P43" s="306"/>
      <c r="Q43" s="306"/>
      <c r="R43" s="394"/>
    </row>
    <row r="47" spans="1:18" x14ac:dyDescent="0.2">
      <c r="F47" s="409"/>
    </row>
    <row r="48" spans="1:18" x14ac:dyDescent="0.2">
      <c r="F48" s="409"/>
    </row>
    <row r="49" spans="6:6" x14ac:dyDescent="0.2">
      <c r="F49" s="409"/>
    </row>
    <row r="50" spans="6:6" x14ac:dyDescent="0.2">
      <c r="F50" s="409"/>
    </row>
    <row r="51" spans="6:6" x14ac:dyDescent="0.2">
      <c r="F51" s="409"/>
    </row>
    <row r="52" spans="6:6" x14ac:dyDescent="0.2">
      <c r="F52" s="409"/>
    </row>
    <row r="53" spans="6:6" x14ac:dyDescent="0.2">
      <c r="F53" s="409"/>
    </row>
    <row r="54" spans="6:6" x14ac:dyDescent="0.2">
      <c r="F54" s="409"/>
    </row>
    <row r="55" spans="6:6" x14ac:dyDescent="0.2">
      <c r="F55" s="409"/>
    </row>
    <row r="56" spans="6:6" x14ac:dyDescent="0.2">
      <c r="F56" s="409"/>
    </row>
    <row r="57" spans="6:6" x14ac:dyDescent="0.2">
      <c r="F57" s="409"/>
    </row>
    <row r="58" spans="6:6" x14ac:dyDescent="0.2">
      <c r="F58" s="409"/>
    </row>
    <row r="59" spans="6:6" x14ac:dyDescent="0.2">
      <c r="F59" s="409"/>
    </row>
    <row r="60" spans="6:6" x14ac:dyDescent="0.2">
      <c r="F60" s="408"/>
    </row>
    <row r="61" spans="6:6" x14ac:dyDescent="0.2">
      <c r="F61" s="408"/>
    </row>
    <row r="62" spans="6:6" x14ac:dyDescent="0.2">
      <c r="F62" s="408"/>
    </row>
    <row r="63" spans="6:6" x14ac:dyDescent="0.2">
      <c r="F63" s="408"/>
    </row>
  </sheetData>
  <dataValidations count="2">
    <dataValidation type="list" showInputMessage="1" showErrorMessage="1" sqref="F2 JB2 SX2 ACT2 AMP2 AWL2 BGH2 BQD2 BZZ2 CJV2 CTR2 DDN2 DNJ2 DXF2 EHB2 EQX2 FAT2 FKP2 FUL2 GEH2 GOD2 GXZ2 HHV2 HRR2 IBN2 ILJ2 IVF2 JFB2 JOX2 JYT2 KIP2 KSL2 LCH2 LMD2 LVZ2 MFV2 MPR2 MZN2 NJJ2 NTF2 ODB2 OMX2 OWT2 PGP2 PQL2 QAH2 QKD2 QTZ2 RDV2 RNR2 RXN2 SHJ2 SRF2 TBB2 TKX2 TUT2 UEP2 UOL2 UYH2 VID2 VRZ2 WBV2 WLR2 WVN2 F65538 JB65538 SX65538 ACT65538 AMP65538 AWL65538 BGH65538 BQD65538 BZZ65538 CJV65538 CTR65538 DDN65538 DNJ65538 DXF65538 EHB65538 EQX65538 FAT65538 FKP65538 FUL65538 GEH65538 GOD65538 GXZ65538 HHV65538 HRR65538 IBN65538 ILJ65538 IVF65538 JFB65538 JOX65538 JYT65538 KIP65538 KSL65538 LCH65538 LMD65538 LVZ65538 MFV65538 MPR65538 MZN65538 NJJ65538 NTF65538 ODB65538 OMX65538 OWT65538 PGP65538 PQL65538 QAH65538 QKD65538 QTZ65538 RDV65538 RNR65538 RXN65538 SHJ65538 SRF65538 TBB65538 TKX65538 TUT65538 UEP65538 UOL65538 UYH65538 VID65538 VRZ65538 WBV65538 WLR65538 WVN65538 F131074 JB131074 SX131074 ACT131074 AMP131074 AWL131074 BGH131074 BQD131074 BZZ131074 CJV131074 CTR131074 DDN131074 DNJ131074 DXF131074 EHB131074 EQX131074 FAT131074 FKP131074 FUL131074 GEH131074 GOD131074 GXZ131074 HHV131074 HRR131074 IBN131074 ILJ131074 IVF131074 JFB131074 JOX131074 JYT131074 KIP131074 KSL131074 LCH131074 LMD131074 LVZ131074 MFV131074 MPR131074 MZN131074 NJJ131074 NTF131074 ODB131074 OMX131074 OWT131074 PGP131074 PQL131074 QAH131074 QKD131074 QTZ131074 RDV131074 RNR131074 RXN131074 SHJ131074 SRF131074 TBB131074 TKX131074 TUT131074 UEP131074 UOL131074 UYH131074 VID131074 VRZ131074 WBV131074 WLR131074 WVN131074 F196610 JB196610 SX196610 ACT196610 AMP196610 AWL196610 BGH196610 BQD196610 BZZ196610 CJV196610 CTR196610 DDN196610 DNJ196610 DXF196610 EHB196610 EQX196610 FAT196610 FKP196610 FUL196610 GEH196610 GOD196610 GXZ196610 HHV196610 HRR196610 IBN196610 ILJ196610 IVF196610 JFB196610 JOX196610 JYT196610 KIP196610 KSL196610 LCH196610 LMD196610 LVZ196610 MFV196610 MPR196610 MZN196610 NJJ196610 NTF196610 ODB196610 OMX196610 OWT196610 PGP196610 PQL196610 QAH196610 QKD196610 QTZ196610 RDV196610 RNR196610 RXN196610 SHJ196610 SRF196610 TBB196610 TKX196610 TUT196610 UEP196610 UOL196610 UYH196610 VID196610 VRZ196610 WBV196610 WLR196610 WVN196610 F262146 JB262146 SX262146 ACT262146 AMP262146 AWL262146 BGH262146 BQD262146 BZZ262146 CJV262146 CTR262146 DDN262146 DNJ262146 DXF262146 EHB262146 EQX262146 FAT262146 FKP262146 FUL262146 GEH262146 GOD262146 GXZ262146 HHV262146 HRR262146 IBN262146 ILJ262146 IVF262146 JFB262146 JOX262146 JYT262146 KIP262146 KSL262146 LCH262146 LMD262146 LVZ262146 MFV262146 MPR262146 MZN262146 NJJ262146 NTF262146 ODB262146 OMX262146 OWT262146 PGP262146 PQL262146 QAH262146 QKD262146 QTZ262146 RDV262146 RNR262146 RXN262146 SHJ262146 SRF262146 TBB262146 TKX262146 TUT262146 UEP262146 UOL262146 UYH262146 VID262146 VRZ262146 WBV262146 WLR262146 WVN262146 F327682 JB327682 SX327682 ACT327682 AMP327682 AWL327682 BGH327682 BQD327682 BZZ327682 CJV327682 CTR327682 DDN327682 DNJ327682 DXF327682 EHB327682 EQX327682 FAT327682 FKP327682 FUL327682 GEH327682 GOD327682 GXZ327682 HHV327682 HRR327682 IBN327682 ILJ327682 IVF327682 JFB327682 JOX327682 JYT327682 KIP327682 KSL327682 LCH327682 LMD327682 LVZ327682 MFV327682 MPR327682 MZN327682 NJJ327682 NTF327682 ODB327682 OMX327682 OWT327682 PGP327682 PQL327682 QAH327682 QKD327682 QTZ327682 RDV327682 RNR327682 RXN327682 SHJ327682 SRF327682 TBB327682 TKX327682 TUT327682 UEP327682 UOL327682 UYH327682 VID327682 VRZ327682 WBV327682 WLR327682 WVN327682 F393218 JB393218 SX393218 ACT393218 AMP393218 AWL393218 BGH393218 BQD393218 BZZ393218 CJV393218 CTR393218 DDN393218 DNJ393218 DXF393218 EHB393218 EQX393218 FAT393218 FKP393218 FUL393218 GEH393218 GOD393218 GXZ393218 HHV393218 HRR393218 IBN393218 ILJ393218 IVF393218 JFB393218 JOX393218 JYT393218 KIP393218 KSL393218 LCH393218 LMD393218 LVZ393218 MFV393218 MPR393218 MZN393218 NJJ393218 NTF393218 ODB393218 OMX393218 OWT393218 PGP393218 PQL393218 QAH393218 QKD393218 QTZ393218 RDV393218 RNR393218 RXN393218 SHJ393218 SRF393218 TBB393218 TKX393218 TUT393218 UEP393218 UOL393218 UYH393218 VID393218 VRZ393218 WBV393218 WLR393218 WVN393218 F458754 JB458754 SX458754 ACT458754 AMP458754 AWL458754 BGH458754 BQD458754 BZZ458754 CJV458754 CTR458754 DDN458754 DNJ458754 DXF458754 EHB458754 EQX458754 FAT458754 FKP458754 FUL458754 GEH458754 GOD458754 GXZ458754 HHV458754 HRR458754 IBN458754 ILJ458754 IVF458754 JFB458754 JOX458754 JYT458754 KIP458754 KSL458754 LCH458754 LMD458754 LVZ458754 MFV458754 MPR458754 MZN458754 NJJ458754 NTF458754 ODB458754 OMX458754 OWT458754 PGP458754 PQL458754 QAH458754 QKD458754 QTZ458754 RDV458754 RNR458754 RXN458754 SHJ458754 SRF458754 TBB458754 TKX458754 TUT458754 UEP458754 UOL458754 UYH458754 VID458754 VRZ458754 WBV458754 WLR458754 WVN458754 F524290 JB524290 SX524290 ACT524290 AMP524290 AWL524290 BGH524290 BQD524290 BZZ524290 CJV524290 CTR524290 DDN524290 DNJ524290 DXF524290 EHB524290 EQX524290 FAT524290 FKP524290 FUL524290 GEH524290 GOD524290 GXZ524290 HHV524290 HRR524290 IBN524290 ILJ524290 IVF524290 JFB524290 JOX524290 JYT524290 KIP524290 KSL524290 LCH524290 LMD524290 LVZ524290 MFV524290 MPR524290 MZN524290 NJJ524290 NTF524290 ODB524290 OMX524290 OWT524290 PGP524290 PQL524290 QAH524290 QKD524290 QTZ524290 RDV524290 RNR524290 RXN524290 SHJ524290 SRF524290 TBB524290 TKX524290 TUT524290 UEP524290 UOL524290 UYH524290 VID524290 VRZ524290 WBV524290 WLR524290 WVN524290 F589826 JB589826 SX589826 ACT589826 AMP589826 AWL589826 BGH589826 BQD589826 BZZ589826 CJV589826 CTR589826 DDN589826 DNJ589826 DXF589826 EHB589826 EQX589826 FAT589826 FKP589826 FUL589826 GEH589826 GOD589826 GXZ589826 HHV589826 HRR589826 IBN589826 ILJ589826 IVF589826 JFB589826 JOX589826 JYT589826 KIP589826 KSL589826 LCH589826 LMD589826 LVZ589826 MFV589826 MPR589826 MZN589826 NJJ589826 NTF589826 ODB589826 OMX589826 OWT589826 PGP589826 PQL589826 QAH589826 QKD589826 QTZ589826 RDV589826 RNR589826 RXN589826 SHJ589826 SRF589826 TBB589826 TKX589826 TUT589826 UEP589826 UOL589826 UYH589826 VID589826 VRZ589826 WBV589826 WLR589826 WVN589826 F655362 JB655362 SX655362 ACT655362 AMP655362 AWL655362 BGH655362 BQD655362 BZZ655362 CJV655362 CTR655362 DDN655362 DNJ655362 DXF655362 EHB655362 EQX655362 FAT655362 FKP655362 FUL655362 GEH655362 GOD655362 GXZ655362 HHV655362 HRR655362 IBN655362 ILJ655362 IVF655362 JFB655362 JOX655362 JYT655362 KIP655362 KSL655362 LCH655362 LMD655362 LVZ655362 MFV655362 MPR655362 MZN655362 NJJ655362 NTF655362 ODB655362 OMX655362 OWT655362 PGP655362 PQL655362 QAH655362 QKD655362 QTZ655362 RDV655362 RNR655362 RXN655362 SHJ655362 SRF655362 TBB655362 TKX655362 TUT655362 UEP655362 UOL655362 UYH655362 VID655362 VRZ655362 WBV655362 WLR655362 WVN655362 F720898 JB720898 SX720898 ACT720898 AMP720898 AWL720898 BGH720898 BQD720898 BZZ720898 CJV720898 CTR720898 DDN720898 DNJ720898 DXF720898 EHB720898 EQX720898 FAT720898 FKP720898 FUL720898 GEH720898 GOD720898 GXZ720898 HHV720898 HRR720898 IBN720898 ILJ720898 IVF720898 JFB720898 JOX720898 JYT720898 KIP720898 KSL720898 LCH720898 LMD720898 LVZ720898 MFV720898 MPR720898 MZN720898 NJJ720898 NTF720898 ODB720898 OMX720898 OWT720898 PGP720898 PQL720898 QAH720898 QKD720898 QTZ720898 RDV720898 RNR720898 RXN720898 SHJ720898 SRF720898 TBB720898 TKX720898 TUT720898 UEP720898 UOL720898 UYH720898 VID720898 VRZ720898 WBV720898 WLR720898 WVN720898 F786434 JB786434 SX786434 ACT786434 AMP786434 AWL786434 BGH786434 BQD786434 BZZ786434 CJV786434 CTR786434 DDN786434 DNJ786434 DXF786434 EHB786434 EQX786434 FAT786434 FKP786434 FUL786434 GEH786434 GOD786434 GXZ786434 HHV786434 HRR786434 IBN786434 ILJ786434 IVF786434 JFB786434 JOX786434 JYT786434 KIP786434 KSL786434 LCH786434 LMD786434 LVZ786434 MFV786434 MPR786434 MZN786434 NJJ786434 NTF786434 ODB786434 OMX786434 OWT786434 PGP786434 PQL786434 QAH786434 QKD786434 QTZ786434 RDV786434 RNR786434 RXN786434 SHJ786434 SRF786434 TBB786434 TKX786434 TUT786434 UEP786434 UOL786434 UYH786434 VID786434 VRZ786434 WBV786434 WLR786434 WVN786434 F851970 JB851970 SX851970 ACT851970 AMP851970 AWL851970 BGH851970 BQD851970 BZZ851970 CJV851970 CTR851970 DDN851970 DNJ851970 DXF851970 EHB851970 EQX851970 FAT851970 FKP851970 FUL851970 GEH851970 GOD851970 GXZ851970 HHV851970 HRR851970 IBN851970 ILJ851970 IVF851970 JFB851970 JOX851970 JYT851970 KIP851970 KSL851970 LCH851970 LMD851970 LVZ851970 MFV851970 MPR851970 MZN851970 NJJ851970 NTF851970 ODB851970 OMX851970 OWT851970 PGP851970 PQL851970 QAH851970 QKD851970 QTZ851970 RDV851970 RNR851970 RXN851970 SHJ851970 SRF851970 TBB851970 TKX851970 TUT851970 UEP851970 UOL851970 UYH851970 VID851970 VRZ851970 WBV851970 WLR851970 WVN851970 F917506 JB917506 SX917506 ACT917506 AMP917506 AWL917506 BGH917506 BQD917506 BZZ917506 CJV917506 CTR917506 DDN917506 DNJ917506 DXF917506 EHB917506 EQX917506 FAT917506 FKP917506 FUL917506 GEH917506 GOD917506 GXZ917506 HHV917506 HRR917506 IBN917506 ILJ917506 IVF917506 JFB917506 JOX917506 JYT917506 KIP917506 KSL917506 LCH917506 LMD917506 LVZ917506 MFV917506 MPR917506 MZN917506 NJJ917506 NTF917506 ODB917506 OMX917506 OWT917506 PGP917506 PQL917506 QAH917506 QKD917506 QTZ917506 RDV917506 RNR917506 RXN917506 SHJ917506 SRF917506 TBB917506 TKX917506 TUT917506 UEP917506 UOL917506 UYH917506 VID917506 VRZ917506 WBV917506 WLR917506 WVN917506 F983042 JB983042 SX983042 ACT983042 AMP983042 AWL983042 BGH983042 BQD983042 BZZ983042 CJV983042 CTR983042 DDN983042 DNJ983042 DXF983042 EHB983042 EQX983042 FAT983042 FKP983042 FUL983042 GEH983042 GOD983042 GXZ983042 HHV983042 HRR983042 IBN983042 ILJ983042 IVF983042 JFB983042 JOX983042 JYT983042 KIP983042 KSL983042 LCH983042 LMD983042 LVZ983042 MFV983042 MPR983042 MZN983042 NJJ983042 NTF983042 ODB983042 OMX983042 OWT983042 PGP983042 PQL983042 QAH983042 QKD983042 QTZ983042 RDV983042 RNR983042 RXN983042 SHJ983042 SRF983042 TBB983042 TKX983042 TUT983042 UEP983042 UOL983042 UYH983042 VID983042 VRZ983042 WBV983042 WLR983042 WVN983042">
      <formula1>Contributors</formula1>
    </dataValidation>
    <dataValidation type="list" allowBlank="1" showInputMessage="1" showErrorMessage="1" sqref="F43:F44 JB43:JB44 SX43:SX44 ACT43:ACT44 AMP43:AMP44 AWL43:AWL44 BGH43:BGH44 BQD43:BQD44 BZZ43:BZZ44 CJV43:CJV44 CTR43:CTR44 DDN43:DDN44 DNJ43:DNJ44 DXF43:DXF44 EHB43:EHB44 EQX43:EQX44 FAT43:FAT44 FKP43:FKP44 FUL43:FUL44 GEH43:GEH44 GOD43:GOD44 GXZ43:GXZ44 HHV43:HHV44 HRR43:HRR44 IBN43:IBN44 ILJ43:ILJ44 IVF43:IVF44 JFB43:JFB44 JOX43:JOX44 JYT43:JYT44 KIP43:KIP44 KSL43:KSL44 LCH43:LCH44 LMD43:LMD44 LVZ43:LVZ44 MFV43:MFV44 MPR43:MPR44 MZN43:MZN44 NJJ43:NJJ44 NTF43:NTF44 ODB43:ODB44 OMX43:OMX44 OWT43:OWT44 PGP43:PGP44 PQL43:PQL44 QAH43:QAH44 QKD43:QKD44 QTZ43:QTZ44 RDV43:RDV44 RNR43:RNR44 RXN43:RXN44 SHJ43:SHJ44 SRF43:SRF44 TBB43:TBB44 TKX43:TKX44 TUT43:TUT44 UEP43:UEP44 UOL43:UOL44 UYH43:UYH44 VID43:VID44 VRZ43:VRZ44 WBV43:WBV44 WLR43:WLR44 WVN43:WVN44 F65579:F65580 JB65579:JB65580 SX65579:SX65580 ACT65579:ACT65580 AMP65579:AMP65580 AWL65579:AWL65580 BGH65579:BGH65580 BQD65579:BQD65580 BZZ65579:BZZ65580 CJV65579:CJV65580 CTR65579:CTR65580 DDN65579:DDN65580 DNJ65579:DNJ65580 DXF65579:DXF65580 EHB65579:EHB65580 EQX65579:EQX65580 FAT65579:FAT65580 FKP65579:FKP65580 FUL65579:FUL65580 GEH65579:GEH65580 GOD65579:GOD65580 GXZ65579:GXZ65580 HHV65579:HHV65580 HRR65579:HRR65580 IBN65579:IBN65580 ILJ65579:ILJ65580 IVF65579:IVF65580 JFB65579:JFB65580 JOX65579:JOX65580 JYT65579:JYT65580 KIP65579:KIP65580 KSL65579:KSL65580 LCH65579:LCH65580 LMD65579:LMD65580 LVZ65579:LVZ65580 MFV65579:MFV65580 MPR65579:MPR65580 MZN65579:MZN65580 NJJ65579:NJJ65580 NTF65579:NTF65580 ODB65579:ODB65580 OMX65579:OMX65580 OWT65579:OWT65580 PGP65579:PGP65580 PQL65579:PQL65580 QAH65579:QAH65580 QKD65579:QKD65580 QTZ65579:QTZ65580 RDV65579:RDV65580 RNR65579:RNR65580 RXN65579:RXN65580 SHJ65579:SHJ65580 SRF65579:SRF65580 TBB65579:TBB65580 TKX65579:TKX65580 TUT65579:TUT65580 UEP65579:UEP65580 UOL65579:UOL65580 UYH65579:UYH65580 VID65579:VID65580 VRZ65579:VRZ65580 WBV65579:WBV65580 WLR65579:WLR65580 WVN65579:WVN65580 F131115:F131116 JB131115:JB131116 SX131115:SX131116 ACT131115:ACT131116 AMP131115:AMP131116 AWL131115:AWL131116 BGH131115:BGH131116 BQD131115:BQD131116 BZZ131115:BZZ131116 CJV131115:CJV131116 CTR131115:CTR131116 DDN131115:DDN131116 DNJ131115:DNJ131116 DXF131115:DXF131116 EHB131115:EHB131116 EQX131115:EQX131116 FAT131115:FAT131116 FKP131115:FKP131116 FUL131115:FUL131116 GEH131115:GEH131116 GOD131115:GOD131116 GXZ131115:GXZ131116 HHV131115:HHV131116 HRR131115:HRR131116 IBN131115:IBN131116 ILJ131115:ILJ131116 IVF131115:IVF131116 JFB131115:JFB131116 JOX131115:JOX131116 JYT131115:JYT131116 KIP131115:KIP131116 KSL131115:KSL131116 LCH131115:LCH131116 LMD131115:LMD131116 LVZ131115:LVZ131116 MFV131115:MFV131116 MPR131115:MPR131116 MZN131115:MZN131116 NJJ131115:NJJ131116 NTF131115:NTF131116 ODB131115:ODB131116 OMX131115:OMX131116 OWT131115:OWT131116 PGP131115:PGP131116 PQL131115:PQL131116 QAH131115:QAH131116 QKD131115:QKD131116 QTZ131115:QTZ131116 RDV131115:RDV131116 RNR131115:RNR131116 RXN131115:RXN131116 SHJ131115:SHJ131116 SRF131115:SRF131116 TBB131115:TBB131116 TKX131115:TKX131116 TUT131115:TUT131116 UEP131115:UEP131116 UOL131115:UOL131116 UYH131115:UYH131116 VID131115:VID131116 VRZ131115:VRZ131116 WBV131115:WBV131116 WLR131115:WLR131116 WVN131115:WVN131116 F196651:F196652 JB196651:JB196652 SX196651:SX196652 ACT196651:ACT196652 AMP196651:AMP196652 AWL196651:AWL196652 BGH196651:BGH196652 BQD196651:BQD196652 BZZ196651:BZZ196652 CJV196651:CJV196652 CTR196651:CTR196652 DDN196651:DDN196652 DNJ196651:DNJ196652 DXF196651:DXF196652 EHB196651:EHB196652 EQX196651:EQX196652 FAT196651:FAT196652 FKP196651:FKP196652 FUL196651:FUL196652 GEH196651:GEH196652 GOD196651:GOD196652 GXZ196651:GXZ196652 HHV196651:HHV196652 HRR196651:HRR196652 IBN196651:IBN196652 ILJ196651:ILJ196652 IVF196651:IVF196652 JFB196651:JFB196652 JOX196651:JOX196652 JYT196651:JYT196652 KIP196651:KIP196652 KSL196651:KSL196652 LCH196651:LCH196652 LMD196651:LMD196652 LVZ196651:LVZ196652 MFV196651:MFV196652 MPR196651:MPR196652 MZN196651:MZN196652 NJJ196651:NJJ196652 NTF196651:NTF196652 ODB196651:ODB196652 OMX196651:OMX196652 OWT196651:OWT196652 PGP196651:PGP196652 PQL196651:PQL196652 QAH196651:QAH196652 QKD196651:QKD196652 QTZ196651:QTZ196652 RDV196651:RDV196652 RNR196651:RNR196652 RXN196651:RXN196652 SHJ196651:SHJ196652 SRF196651:SRF196652 TBB196651:TBB196652 TKX196651:TKX196652 TUT196651:TUT196652 UEP196651:UEP196652 UOL196651:UOL196652 UYH196651:UYH196652 VID196651:VID196652 VRZ196651:VRZ196652 WBV196651:WBV196652 WLR196651:WLR196652 WVN196651:WVN196652 F262187:F262188 JB262187:JB262188 SX262187:SX262188 ACT262187:ACT262188 AMP262187:AMP262188 AWL262187:AWL262188 BGH262187:BGH262188 BQD262187:BQD262188 BZZ262187:BZZ262188 CJV262187:CJV262188 CTR262187:CTR262188 DDN262187:DDN262188 DNJ262187:DNJ262188 DXF262187:DXF262188 EHB262187:EHB262188 EQX262187:EQX262188 FAT262187:FAT262188 FKP262187:FKP262188 FUL262187:FUL262188 GEH262187:GEH262188 GOD262187:GOD262188 GXZ262187:GXZ262188 HHV262187:HHV262188 HRR262187:HRR262188 IBN262187:IBN262188 ILJ262187:ILJ262188 IVF262187:IVF262188 JFB262187:JFB262188 JOX262187:JOX262188 JYT262187:JYT262188 KIP262187:KIP262188 KSL262187:KSL262188 LCH262187:LCH262188 LMD262187:LMD262188 LVZ262187:LVZ262188 MFV262187:MFV262188 MPR262187:MPR262188 MZN262187:MZN262188 NJJ262187:NJJ262188 NTF262187:NTF262188 ODB262187:ODB262188 OMX262187:OMX262188 OWT262187:OWT262188 PGP262187:PGP262188 PQL262187:PQL262188 QAH262187:QAH262188 QKD262187:QKD262188 QTZ262187:QTZ262188 RDV262187:RDV262188 RNR262187:RNR262188 RXN262187:RXN262188 SHJ262187:SHJ262188 SRF262187:SRF262188 TBB262187:TBB262188 TKX262187:TKX262188 TUT262187:TUT262188 UEP262187:UEP262188 UOL262187:UOL262188 UYH262187:UYH262188 VID262187:VID262188 VRZ262187:VRZ262188 WBV262187:WBV262188 WLR262187:WLR262188 WVN262187:WVN262188 F327723:F327724 JB327723:JB327724 SX327723:SX327724 ACT327723:ACT327724 AMP327723:AMP327724 AWL327723:AWL327724 BGH327723:BGH327724 BQD327723:BQD327724 BZZ327723:BZZ327724 CJV327723:CJV327724 CTR327723:CTR327724 DDN327723:DDN327724 DNJ327723:DNJ327724 DXF327723:DXF327724 EHB327723:EHB327724 EQX327723:EQX327724 FAT327723:FAT327724 FKP327723:FKP327724 FUL327723:FUL327724 GEH327723:GEH327724 GOD327723:GOD327724 GXZ327723:GXZ327724 HHV327723:HHV327724 HRR327723:HRR327724 IBN327723:IBN327724 ILJ327723:ILJ327724 IVF327723:IVF327724 JFB327723:JFB327724 JOX327723:JOX327724 JYT327723:JYT327724 KIP327723:KIP327724 KSL327723:KSL327724 LCH327723:LCH327724 LMD327723:LMD327724 LVZ327723:LVZ327724 MFV327723:MFV327724 MPR327723:MPR327724 MZN327723:MZN327724 NJJ327723:NJJ327724 NTF327723:NTF327724 ODB327723:ODB327724 OMX327723:OMX327724 OWT327723:OWT327724 PGP327723:PGP327724 PQL327723:PQL327724 QAH327723:QAH327724 QKD327723:QKD327724 QTZ327723:QTZ327724 RDV327723:RDV327724 RNR327723:RNR327724 RXN327723:RXN327724 SHJ327723:SHJ327724 SRF327723:SRF327724 TBB327723:TBB327724 TKX327723:TKX327724 TUT327723:TUT327724 UEP327723:UEP327724 UOL327723:UOL327724 UYH327723:UYH327724 VID327723:VID327724 VRZ327723:VRZ327724 WBV327723:WBV327724 WLR327723:WLR327724 WVN327723:WVN327724 F393259:F393260 JB393259:JB393260 SX393259:SX393260 ACT393259:ACT393260 AMP393259:AMP393260 AWL393259:AWL393260 BGH393259:BGH393260 BQD393259:BQD393260 BZZ393259:BZZ393260 CJV393259:CJV393260 CTR393259:CTR393260 DDN393259:DDN393260 DNJ393259:DNJ393260 DXF393259:DXF393260 EHB393259:EHB393260 EQX393259:EQX393260 FAT393259:FAT393260 FKP393259:FKP393260 FUL393259:FUL393260 GEH393259:GEH393260 GOD393259:GOD393260 GXZ393259:GXZ393260 HHV393259:HHV393260 HRR393259:HRR393260 IBN393259:IBN393260 ILJ393259:ILJ393260 IVF393259:IVF393260 JFB393259:JFB393260 JOX393259:JOX393260 JYT393259:JYT393260 KIP393259:KIP393260 KSL393259:KSL393260 LCH393259:LCH393260 LMD393259:LMD393260 LVZ393259:LVZ393260 MFV393259:MFV393260 MPR393259:MPR393260 MZN393259:MZN393260 NJJ393259:NJJ393260 NTF393259:NTF393260 ODB393259:ODB393260 OMX393259:OMX393260 OWT393259:OWT393260 PGP393259:PGP393260 PQL393259:PQL393260 QAH393259:QAH393260 QKD393259:QKD393260 QTZ393259:QTZ393260 RDV393259:RDV393260 RNR393259:RNR393260 RXN393259:RXN393260 SHJ393259:SHJ393260 SRF393259:SRF393260 TBB393259:TBB393260 TKX393259:TKX393260 TUT393259:TUT393260 UEP393259:UEP393260 UOL393259:UOL393260 UYH393259:UYH393260 VID393259:VID393260 VRZ393259:VRZ393260 WBV393259:WBV393260 WLR393259:WLR393260 WVN393259:WVN393260 F458795:F458796 JB458795:JB458796 SX458795:SX458796 ACT458795:ACT458796 AMP458795:AMP458796 AWL458795:AWL458796 BGH458795:BGH458796 BQD458795:BQD458796 BZZ458795:BZZ458796 CJV458795:CJV458796 CTR458795:CTR458796 DDN458795:DDN458796 DNJ458795:DNJ458796 DXF458795:DXF458796 EHB458795:EHB458796 EQX458795:EQX458796 FAT458795:FAT458796 FKP458795:FKP458796 FUL458795:FUL458796 GEH458795:GEH458796 GOD458795:GOD458796 GXZ458795:GXZ458796 HHV458795:HHV458796 HRR458795:HRR458796 IBN458795:IBN458796 ILJ458795:ILJ458796 IVF458795:IVF458796 JFB458795:JFB458796 JOX458795:JOX458796 JYT458795:JYT458796 KIP458795:KIP458796 KSL458795:KSL458796 LCH458795:LCH458796 LMD458795:LMD458796 LVZ458795:LVZ458796 MFV458795:MFV458796 MPR458795:MPR458796 MZN458795:MZN458796 NJJ458795:NJJ458796 NTF458795:NTF458796 ODB458795:ODB458796 OMX458795:OMX458796 OWT458795:OWT458796 PGP458795:PGP458796 PQL458795:PQL458796 QAH458795:QAH458796 QKD458795:QKD458796 QTZ458795:QTZ458796 RDV458795:RDV458796 RNR458795:RNR458796 RXN458795:RXN458796 SHJ458795:SHJ458796 SRF458795:SRF458796 TBB458795:TBB458796 TKX458795:TKX458796 TUT458795:TUT458796 UEP458795:UEP458796 UOL458795:UOL458796 UYH458795:UYH458796 VID458795:VID458796 VRZ458795:VRZ458796 WBV458795:WBV458796 WLR458795:WLR458796 WVN458795:WVN458796 F524331:F524332 JB524331:JB524332 SX524331:SX524332 ACT524331:ACT524332 AMP524331:AMP524332 AWL524331:AWL524332 BGH524331:BGH524332 BQD524331:BQD524332 BZZ524331:BZZ524332 CJV524331:CJV524332 CTR524331:CTR524332 DDN524331:DDN524332 DNJ524331:DNJ524332 DXF524331:DXF524332 EHB524331:EHB524332 EQX524331:EQX524332 FAT524331:FAT524332 FKP524331:FKP524332 FUL524331:FUL524332 GEH524331:GEH524332 GOD524331:GOD524332 GXZ524331:GXZ524332 HHV524331:HHV524332 HRR524331:HRR524332 IBN524331:IBN524332 ILJ524331:ILJ524332 IVF524331:IVF524332 JFB524331:JFB524332 JOX524331:JOX524332 JYT524331:JYT524332 KIP524331:KIP524332 KSL524331:KSL524332 LCH524331:LCH524332 LMD524331:LMD524332 LVZ524331:LVZ524332 MFV524331:MFV524332 MPR524331:MPR524332 MZN524331:MZN524332 NJJ524331:NJJ524332 NTF524331:NTF524332 ODB524331:ODB524332 OMX524331:OMX524332 OWT524331:OWT524332 PGP524331:PGP524332 PQL524331:PQL524332 QAH524331:QAH524332 QKD524331:QKD524332 QTZ524331:QTZ524332 RDV524331:RDV524332 RNR524331:RNR524332 RXN524331:RXN524332 SHJ524331:SHJ524332 SRF524331:SRF524332 TBB524331:TBB524332 TKX524331:TKX524332 TUT524331:TUT524332 UEP524331:UEP524332 UOL524331:UOL524332 UYH524331:UYH524332 VID524331:VID524332 VRZ524331:VRZ524332 WBV524331:WBV524332 WLR524331:WLR524332 WVN524331:WVN524332 F589867:F589868 JB589867:JB589868 SX589867:SX589868 ACT589867:ACT589868 AMP589867:AMP589868 AWL589867:AWL589868 BGH589867:BGH589868 BQD589867:BQD589868 BZZ589867:BZZ589868 CJV589867:CJV589868 CTR589867:CTR589868 DDN589867:DDN589868 DNJ589867:DNJ589868 DXF589867:DXF589868 EHB589867:EHB589868 EQX589867:EQX589868 FAT589867:FAT589868 FKP589867:FKP589868 FUL589867:FUL589868 GEH589867:GEH589868 GOD589867:GOD589868 GXZ589867:GXZ589868 HHV589867:HHV589868 HRR589867:HRR589868 IBN589867:IBN589868 ILJ589867:ILJ589868 IVF589867:IVF589868 JFB589867:JFB589868 JOX589867:JOX589868 JYT589867:JYT589868 KIP589867:KIP589868 KSL589867:KSL589868 LCH589867:LCH589868 LMD589867:LMD589868 LVZ589867:LVZ589868 MFV589867:MFV589868 MPR589867:MPR589868 MZN589867:MZN589868 NJJ589867:NJJ589868 NTF589867:NTF589868 ODB589867:ODB589868 OMX589867:OMX589868 OWT589867:OWT589868 PGP589867:PGP589868 PQL589867:PQL589868 QAH589867:QAH589868 QKD589867:QKD589868 QTZ589867:QTZ589868 RDV589867:RDV589868 RNR589867:RNR589868 RXN589867:RXN589868 SHJ589867:SHJ589868 SRF589867:SRF589868 TBB589867:TBB589868 TKX589867:TKX589868 TUT589867:TUT589868 UEP589867:UEP589868 UOL589867:UOL589868 UYH589867:UYH589868 VID589867:VID589868 VRZ589867:VRZ589868 WBV589867:WBV589868 WLR589867:WLR589868 WVN589867:WVN589868 F655403:F655404 JB655403:JB655404 SX655403:SX655404 ACT655403:ACT655404 AMP655403:AMP655404 AWL655403:AWL655404 BGH655403:BGH655404 BQD655403:BQD655404 BZZ655403:BZZ655404 CJV655403:CJV655404 CTR655403:CTR655404 DDN655403:DDN655404 DNJ655403:DNJ655404 DXF655403:DXF655404 EHB655403:EHB655404 EQX655403:EQX655404 FAT655403:FAT655404 FKP655403:FKP655404 FUL655403:FUL655404 GEH655403:GEH655404 GOD655403:GOD655404 GXZ655403:GXZ655404 HHV655403:HHV655404 HRR655403:HRR655404 IBN655403:IBN655404 ILJ655403:ILJ655404 IVF655403:IVF655404 JFB655403:JFB655404 JOX655403:JOX655404 JYT655403:JYT655404 KIP655403:KIP655404 KSL655403:KSL655404 LCH655403:LCH655404 LMD655403:LMD655404 LVZ655403:LVZ655404 MFV655403:MFV655404 MPR655403:MPR655404 MZN655403:MZN655404 NJJ655403:NJJ655404 NTF655403:NTF655404 ODB655403:ODB655404 OMX655403:OMX655404 OWT655403:OWT655404 PGP655403:PGP655404 PQL655403:PQL655404 QAH655403:QAH655404 QKD655403:QKD655404 QTZ655403:QTZ655404 RDV655403:RDV655404 RNR655403:RNR655404 RXN655403:RXN655404 SHJ655403:SHJ655404 SRF655403:SRF655404 TBB655403:TBB655404 TKX655403:TKX655404 TUT655403:TUT655404 UEP655403:UEP655404 UOL655403:UOL655404 UYH655403:UYH655404 VID655403:VID655404 VRZ655403:VRZ655404 WBV655403:WBV655404 WLR655403:WLR655404 WVN655403:WVN655404 F720939:F720940 JB720939:JB720940 SX720939:SX720940 ACT720939:ACT720940 AMP720939:AMP720940 AWL720939:AWL720940 BGH720939:BGH720940 BQD720939:BQD720940 BZZ720939:BZZ720940 CJV720939:CJV720940 CTR720939:CTR720940 DDN720939:DDN720940 DNJ720939:DNJ720940 DXF720939:DXF720940 EHB720939:EHB720940 EQX720939:EQX720940 FAT720939:FAT720940 FKP720939:FKP720940 FUL720939:FUL720940 GEH720939:GEH720940 GOD720939:GOD720940 GXZ720939:GXZ720940 HHV720939:HHV720940 HRR720939:HRR720940 IBN720939:IBN720940 ILJ720939:ILJ720940 IVF720939:IVF720940 JFB720939:JFB720940 JOX720939:JOX720940 JYT720939:JYT720940 KIP720939:KIP720940 KSL720939:KSL720940 LCH720939:LCH720940 LMD720939:LMD720940 LVZ720939:LVZ720940 MFV720939:MFV720940 MPR720939:MPR720940 MZN720939:MZN720940 NJJ720939:NJJ720940 NTF720939:NTF720940 ODB720939:ODB720940 OMX720939:OMX720940 OWT720939:OWT720940 PGP720939:PGP720940 PQL720939:PQL720940 QAH720939:QAH720940 QKD720939:QKD720940 QTZ720939:QTZ720940 RDV720939:RDV720940 RNR720939:RNR720940 RXN720939:RXN720940 SHJ720939:SHJ720940 SRF720939:SRF720940 TBB720939:TBB720940 TKX720939:TKX720940 TUT720939:TUT720940 UEP720939:UEP720940 UOL720939:UOL720940 UYH720939:UYH720940 VID720939:VID720940 VRZ720939:VRZ720940 WBV720939:WBV720940 WLR720939:WLR720940 WVN720939:WVN720940 F786475:F786476 JB786475:JB786476 SX786475:SX786476 ACT786475:ACT786476 AMP786475:AMP786476 AWL786475:AWL786476 BGH786475:BGH786476 BQD786475:BQD786476 BZZ786475:BZZ786476 CJV786475:CJV786476 CTR786475:CTR786476 DDN786475:DDN786476 DNJ786475:DNJ786476 DXF786475:DXF786476 EHB786475:EHB786476 EQX786475:EQX786476 FAT786475:FAT786476 FKP786475:FKP786476 FUL786475:FUL786476 GEH786475:GEH786476 GOD786475:GOD786476 GXZ786475:GXZ786476 HHV786475:HHV786476 HRR786475:HRR786476 IBN786475:IBN786476 ILJ786475:ILJ786476 IVF786475:IVF786476 JFB786475:JFB786476 JOX786475:JOX786476 JYT786475:JYT786476 KIP786475:KIP786476 KSL786475:KSL786476 LCH786475:LCH786476 LMD786475:LMD786476 LVZ786475:LVZ786476 MFV786475:MFV786476 MPR786475:MPR786476 MZN786475:MZN786476 NJJ786475:NJJ786476 NTF786475:NTF786476 ODB786475:ODB786476 OMX786475:OMX786476 OWT786475:OWT786476 PGP786475:PGP786476 PQL786475:PQL786476 QAH786475:QAH786476 QKD786475:QKD786476 QTZ786475:QTZ786476 RDV786475:RDV786476 RNR786475:RNR786476 RXN786475:RXN786476 SHJ786475:SHJ786476 SRF786475:SRF786476 TBB786475:TBB786476 TKX786475:TKX786476 TUT786475:TUT786476 UEP786475:UEP786476 UOL786475:UOL786476 UYH786475:UYH786476 VID786475:VID786476 VRZ786475:VRZ786476 WBV786475:WBV786476 WLR786475:WLR786476 WVN786475:WVN786476 F852011:F852012 JB852011:JB852012 SX852011:SX852012 ACT852011:ACT852012 AMP852011:AMP852012 AWL852011:AWL852012 BGH852011:BGH852012 BQD852011:BQD852012 BZZ852011:BZZ852012 CJV852011:CJV852012 CTR852011:CTR852012 DDN852011:DDN852012 DNJ852011:DNJ852012 DXF852011:DXF852012 EHB852011:EHB852012 EQX852011:EQX852012 FAT852011:FAT852012 FKP852011:FKP852012 FUL852011:FUL852012 GEH852011:GEH852012 GOD852011:GOD852012 GXZ852011:GXZ852012 HHV852011:HHV852012 HRR852011:HRR852012 IBN852011:IBN852012 ILJ852011:ILJ852012 IVF852011:IVF852012 JFB852011:JFB852012 JOX852011:JOX852012 JYT852011:JYT852012 KIP852011:KIP852012 KSL852011:KSL852012 LCH852011:LCH852012 LMD852011:LMD852012 LVZ852011:LVZ852012 MFV852011:MFV852012 MPR852011:MPR852012 MZN852011:MZN852012 NJJ852011:NJJ852012 NTF852011:NTF852012 ODB852011:ODB852012 OMX852011:OMX852012 OWT852011:OWT852012 PGP852011:PGP852012 PQL852011:PQL852012 QAH852011:QAH852012 QKD852011:QKD852012 QTZ852011:QTZ852012 RDV852011:RDV852012 RNR852011:RNR852012 RXN852011:RXN852012 SHJ852011:SHJ852012 SRF852011:SRF852012 TBB852011:TBB852012 TKX852011:TKX852012 TUT852011:TUT852012 UEP852011:UEP852012 UOL852011:UOL852012 UYH852011:UYH852012 VID852011:VID852012 VRZ852011:VRZ852012 WBV852011:WBV852012 WLR852011:WLR852012 WVN852011:WVN852012 F917547:F917548 JB917547:JB917548 SX917547:SX917548 ACT917547:ACT917548 AMP917547:AMP917548 AWL917547:AWL917548 BGH917547:BGH917548 BQD917547:BQD917548 BZZ917547:BZZ917548 CJV917547:CJV917548 CTR917547:CTR917548 DDN917547:DDN917548 DNJ917547:DNJ917548 DXF917547:DXF917548 EHB917547:EHB917548 EQX917547:EQX917548 FAT917547:FAT917548 FKP917547:FKP917548 FUL917547:FUL917548 GEH917547:GEH917548 GOD917547:GOD917548 GXZ917547:GXZ917548 HHV917547:HHV917548 HRR917547:HRR917548 IBN917547:IBN917548 ILJ917547:ILJ917548 IVF917547:IVF917548 JFB917547:JFB917548 JOX917547:JOX917548 JYT917547:JYT917548 KIP917547:KIP917548 KSL917547:KSL917548 LCH917547:LCH917548 LMD917547:LMD917548 LVZ917547:LVZ917548 MFV917547:MFV917548 MPR917547:MPR917548 MZN917547:MZN917548 NJJ917547:NJJ917548 NTF917547:NTF917548 ODB917547:ODB917548 OMX917547:OMX917548 OWT917547:OWT917548 PGP917547:PGP917548 PQL917547:PQL917548 QAH917547:QAH917548 QKD917547:QKD917548 QTZ917547:QTZ917548 RDV917547:RDV917548 RNR917547:RNR917548 RXN917547:RXN917548 SHJ917547:SHJ917548 SRF917547:SRF917548 TBB917547:TBB917548 TKX917547:TKX917548 TUT917547:TUT917548 UEP917547:UEP917548 UOL917547:UOL917548 UYH917547:UYH917548 VID917547:VID917548 VRZ917547:VRZ917548 WBV917547:WBV917548 WLR917547:WLR917548 WVN917547:WVN917548 F983083:F983084 JB983083:JB983084 SX983083:SX983084 ACT983083:ACT983084 AMP983083:AMP983084 AWL983083:AWL983084 BGH983083:BGH983084 BQD983083:BQD983084 BZZ983083:BZZ983084 CJV983083:CJV983084 CTR983083:CTR983084 DDN983083:DDN983084 DNJ983083:DNJ983084 DXF983083:DXF983084 EHB983083:EHB983084 EQX983083:EQX983084 FAT983083:FAT983084 FKP983083:FKP983084 FUL983083:FUL983084 GEH983083:GEH983084 GOD983083:GOD983084 GXZ983083:GXZ983084 HHV983083:HHV983084 HRR983083:HRR983084 IBN983083:IBN983084 ILJ983083:ILJ983084 IVF983083:IVF983084 JFB983083:JFB983084 JOX983083:JOX983084 JYT983083:JYT983084 KIP983083:KIP983084 KSL983083:KSL983084 LCH983083:LCH983084 LMD983083:LMD983084 LVZ983083:LVZ983084 MFV983083:MFV983084 MPR983083:MPR983084 MZN983083:MZN983084 NJJ983083:NJJ983084 NTF983083:NTF983084 ODB983083:ODB983084 OMX983083:OMX983084 OWT983083:OWT983084 PGP983083:PGP983084 PQL983083:PQL983084 QAH983083:QAH983084 QKD983083:QKD983084 QTZ983083:QTZ983084 RDV983083:RDV983084 RNR983083:RNR983084 RXN983083:RXN983084 SHJ983083:SHJ983084 SRF983083:SRF983084 TBB983083:TBB983084 TKX983083:TKX983084 TUT983083:TUT983084 UEP983083:UEP983084 UOL983083:UOL983084 UYH983083:UYH983084 VID983083:VID983084 VRZ983083:VRZ983084 WBV983083:WBV983084 WLR983083:WLR983084 WVN983083:WVN983084">
      <formula1>"FirstDerivative,SecondDerivative,Lagrange,NotAKnot,Periodic"</formula1>
    </dataValidation>
  </dataValidations>
  <pageMargins left="0.75" right="0.75" top="1" bottom="1" header="0.5" footer="0.5"/>
  <pageSetup paperSize="9" orientation="portrait" r:id="rId1"/>
  <headerFooter alignWithMargins="0"/>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R41"/>
  <sheetViews>
    <sheetView workbookViewId="0">
      <selection activeCell="Q5" sqref="Q5:Q40"/>
    </sheetView>
  </sheetViews>
  <sheetFormatPr defaultRowHeight="12.75" x14ac:dyDescent="0.2"/>
  <cols>
    <col min="1" max="1" width="5" style="20" customWidth="1"/>
    <col min="2" max="2" width="3.85546875" style="20" bestFit="1" customWidth="1"/>
    <col min="3" max="4" width="4" style="20" bestFit="1" customWidth="1"/>
    <col min="5" max="5" width="9.85546875" style="20" bestFit="1" customWidth="1"/>
    <col min="6" max="6" width="14.140625" style="20" bestFit="1" customWidth="1"/>
    <col min="7" max="7" width="6.28515625" style="20" bestFit="1" customWidth="1"/>
    <col min="8" max="9" width="5.7109375" style="20" bestFit="1" customWidth="1"/>
    <col min="10" max="10" width="10" style="20" bestFit="1" customWidth="1"/>
    <col min="11" max="11" width="5.7109375" style="20" customWidth="1"/>
    <col min="12" max="12" width="5" style="20" customWidth="1"/>
    <col min="13" max="13" width="5.7109375" style="20" bestFit="1" customWidth="1"/>
    <col min="14" max="14" width="5" style="20" customWidth="1"/>
    <col min="15" max="15" width="15" style="20" bestFit="1" customWidth="1"/>
    <col min="16" max="17" width="7.7109375" style="20" bestFit="1" customWidth="1"/>
    <col min="18" max="18" width="5" style="20" customWidth="1"/>
    <col min="19" max="19" width="5.140625" style="20" customWidth="1"/>
    <col min="20" max="16384" width="9.140625" style="20"/>
  </cols>
  <sheetData>
    <row r="1" spans="1:18" x14ac:dyDescent="0.2">
      <c r="A1" s="339" t="s">
        <v>313</v>
      </c>
      <c r="B1" s="207"/>
      <c r="C1" s="207"/>
      <c r="D1" s="207"/>
      <c r="E1" s="207"/>
      <c r="F1" s="207"/>
      <c r="G1" s="207"/>
      <c r="H1" s="207"/>
      <c r="I1" s="207"/>
      <c r="J1" s="207"/>
      <c r="K1" s="207"/>
      <c r="L1" s="207"/>
      <c r="M1" s="207"/>
      <c r="N1" s="207"/>
      <c r="O1" s="207"/>
      <c r="P1" s="207"/>
      <c r="Q1" s="207"/>
      <c r="R1" s="204"/>
    </row>
    <row r="2" spans="1:18" x14ac:dyDescent="0.2">
      <c r="A2" s="304"/>
      <c r="B2" s="145"/>
      <c r="C2" s="145"/>
      <c r="D2" s="145"/>
      <c r="E2" s="145"/>
      <c r="F2" s="152" t="s">
        <v>238</v>
      </c>
      <c r="G2" s="145"/>
      <c r="H2" s="145"/>
      <c r="I2" s="145"/>
      <c r="J2" s="145"/>
      <c r="K2" s="145"/>
      <c r="L2" s="267"/>
      <c r="M2" s="267"/>
      <c r="N2" s="267"/>
      <c r="O2" s="337" t="s">
        <v>257</v>
      </c>
      <c r="P2" s="152" t="s">
        <v>147</v>
      </c>
      <c r="Q2" s="145"/>
      <c r="R2" s="54"/>
    </row>
    <row r="3" spans="1:18" x14ac:dyDescent="0.2">
      <c r="A3" s="130"/>
      <c r="B3" s="267"/>
      <c r="C3" s="145"/>
      <c r="D3" s="145"/>
      <c r="E3" s="145"/>
      <c r="F3" s="145"/>
      <c r="G3" s="145"/>
      <c r="H3" s="145"/>
      <c r="I3" s="145"/>
      <c r="J3" s="145"/>
      <c r="K3" s="145"/>
      <c r="L3" s="267"/>
      <c r="M3" s="267"/>
      <c r="N3" s="267"/>
      <c r="O3" s="145"/>
      <c r="P3" s="145"/>
      <c r="Q3" s="299">
        <f>_xll.ohTrigger(Q5:Q37)</f>
        <v>5</v>
      </c>
      <c r="R3" s="225"/>
    </row>
    <row r="4" spans="1:18" ht="22.5" x14ac:dyDescent="0.2">
      <c r="A4" s="130"/>
      <c r="B4" s="399"/>
      <c r="C4" s="202"/>
      <c r="D4" s="202"/>
      <c r="E4" s="202"/>
      <c r="F4" s="298" t="e">
        <f ca="1">_xll.RData(F5:F40,G4:J4,,ReutersRtMode,,G5)</f>
        <v>#NAME?</v>
      </c>
      <c r="G4" s="336" t="s">
        <v>261</v>
      </c>
      <c r="H4" s="336" t="s">
        <v>228</v>
      </c>
      <c r="I4" s="336" t="s">
        <v>243</v>
      </c>
      <c r="J4" s="336" t="s">
        <v>260</v>
      </c>
      <c r="K4" s="293" t="s">
        <v>259</v>
      </c>
      <c r="L4" s="267"/>
      <c r="M4" s="296" t="s">
        <v>255</v>
      </c>
      <c r="N4" s="267"/>
      <c r="O4" s="295" t="s">
        <v>254</v>
      </c>
      <c r="P4" s="398" t="s">
        <v>253</v>
      </c>
      <c r="Q4" s="100" t="s">
        <v>252</v>
      </c>
      <c r="R4" s="225"/>
    </row>
    <row r="5" spans="1:18" x14ac:dyDescent="0.2">
      <c r="A5" s="130"/>
      <c r="B5" s="419" t="s">
        <v>48</v>
      </c>
      <c r="C5" s="320" t="s">
        <v>194</v>
      </c>
      <c r="D5" s="320"/>
      <c r="E5" s="318" t="str">
        <f>Currency&amp;$C5&amp;$B5&amp;$D5</f>
        <v>EUREONSW</v>
      </c>
      <c r="F5" s="318" t="str">
        <f t="shared" ref="F5:F40" si="0">E5&amp;"="&amp;VLOOKUP(Contributor,ContributorTable,2,FALSE)</f>
        <v>EUREONSW=ICAP</v>
      </c>
      <c r="G5" s="273">
        <v>5.8000000000000003E-2</v>
      </c>
      <c r="H5" s="273">
        <v>0.158</v>
      </c>
      <c r="I5" s="273">
        <v>0</v>
      </c>
      <c r="J5" s="273">
        <v>0</v>
      </c>
      <c r="K5" s="276">
        <f t="shared" ref="K5:K40" si="1">AVERAGE($G5,$H5)</f>
        <v>0.108</v>
      </c>
      <c r="L5" s="267"/>
      <c r="M5" s="287">
        <v>0.108</v>
      </c>
      <c r="N5" s="267"/>
      <c r="O5" s="286" t="str">
        <f t="shared" ref="O5:O40" si="2">$E5&amp;$P$2</f>
        <v>EUREONSW_Quote</v>
      </c>
      <c r="P5" s="285">
        <f t="array" ref="P5:P40">QuoteLive</f>
        <v>0.108</v>
      </c>
      <c r="Q5" s="284">
        <f>_xll.qlSimpleQuoteSetValue($O5,$P5/100,Trigger)</f>
        <v>0</v>
      </c>
      <c r="R5" s="225"/>
    </row>
    <row r="6" spans="1:18" x14ac:dyDescent="0.2">
      <c r="A6" s="130"/>
      <c r="B6" s="419" t="s">
        <v>47</v>
      </c>
      <c r="C6" s="320" t="s">
        <v>194</v>
      </c>
      <c r="D6" s="320"/>
      <c r="E6" s="318" t="str">
        <f t="shared" ref="E6:E40" si="3">Currency&amp;$C6&amp;$D6&amp;$B6</f>
        <v>EUREON2W</v>
      </c>
      <c r="F6" s="318" t="str">
        <f t="shared" si="0"/>
        <v>EUREON2W=ICAP</v>
      </c>
      <c r="G6" s="273">
        <v>5.6000000000000001E-2</v>
      </c>
      <c r="H6" s="273">
        <v>0.156</v>
      </c>
      <c r="I6" s="273">
        <v>0</v>
      </c>
      <c r="J6" s="273">
        <v>0</v>
      </c>
      <c r="K6" s="276">
        <f t="shared" si="1"/>
        <v>0.106</v>
      </c>
      <c r="L6" s="267"/>
      <c r="M6" s="275">
        <v>0.106</v>
      </c>
      <c r="N6" s="267"/>
      <c r="O6" s="274" t="str">
        <f t="shared" si="2"/>
        <v>EUREON2W_Quote</v>
      </c>
      <c r="P6" s="273">
        <v>0.106</v>
      </c>
      <c r="Q6" s="272">
        <f>_xll.qlSimpleQuoteSetValue($O6,$P6/100,Trigger)</f>
        <v>0</v>
      </c>
      <c r="R6" s="225"/>
    </row>
    <row r="7" spans="1:18" x14ac:dyDescent="0.2">
      <c r="A7" s="130"/>
      <c r="B7" s="419" t="s">
        <v>46</v>
      </c>
      <c r="C7" s="320" t="s">
        <v>194</v>
      </c>
      <c r="D7" s="320"/>
      <c r="E7" s="318" t="str">
        <f t="shared" si="3"/>
        <v>EUREON3W</v>
      </c>
      <c r="F7" s="318" t="str">
        <f t="shared" si="0"/>
        <v>EUREON3W=ICAP</v>
      </c>
      <c r="G7" s="273">
        <v>5.6000000000000001E-2</v>
      </c>
      <c r="H7" s="273">
        <v>0.156</v>
      </c>
      <c r="I7" s="273">
        <v>0</v>
      </c>
      <c r="J7" s="273">
        <v>0</v>
      </c>
      <c r="K7" s="276">
        <f t="shared" si="1"/>
        <v>0.106</v>
      </c>
      <c r="L7" s="267"/>
      <c r="M7" s="275">
        <v>0.106</v>
      </c>
      <c r="N7" s="267"/>
      <c r="O7" s="274" t="str">
        <f t="shared" si="2"/>
        <v>EUREON3W_Quote</v>
      </c>
      <c r="P7" s="273">
        <v>0.106</v>
      </c>
      <c r="Q7" s="272">
        <f>_xll.qlSimpleQuoteSetValue($O7,$P7/100,Trigger)</f>
        <v>0</v>
      </c>
      <c r="R7" s="225"/>
    </row>
    <row r="8" spans="1:18" x14ac:dyDescent="0.2">
      <c r="A8" s="130"/>
      <c r="B8" s="419" t="s">
        <v>45</v>
      </c>
      <c r="C8" s="320" t="s">
        <v>194</v>
      </c>
      <c r="D8" s="320"/>
      <c r="E8" s="318" t="str">
        <f t="shared" si="3"/>
        <v>EUREON1M</v>
      </c>
      <c r="F8" s="318" t="str">
        <f t="shared" si="0"/>
        <v>EUREON1M=ICAP</v>
      </c>
      <c r="G8" s="273">
        <v>8.1000000000000003E-2</v>
      </c>
      <c r="H8" s="273">
        <v>0.13100000000000001</v>
      </c>
      <c r="I8" s="273">
        <v>0</v>
      </c>
      <c r="J8" s="273">
        <v>0</v>
      </c>
      <c r="K8" s="276">
        <f t="shared" si="1"/>
        <v>0.10600000000000001</v>
      </c>
      <c r="L8" s="267"/>
      <c r="M8" s="275">
        <v>0.10600000000000001</v>
      </c>
      <c r="N8" s="267"/>
      <c r="O8" s="274" t="str">
        <f t="shared" si="2"/>
        <v>EUREON1M_Quote</v>
      </c>
      <c r="P8" s="273">
        <v>0.10600000000000001</v>
      </c>
      <c r="Q8" s="272">
        <f>_xll.qlSimpleQuoteSetValue($O8,$P8/100,Trigger)</f>
        <v>0</v>
      </c>
      <c r="R8" s="225"/>
    </row>
    <row r="9" spans="1:18" x14ac:dyDescent="0.2">
      <c r="A9" s="130"/>
      <c r="B9" s="419" t="s">
        <v>44</v>
      </c>
      <c r="C9" s="320" t="s">
        <v>194</v>
      </c>
      <c r="D9" s="320"/>
      <c r="E9" s="318" t="str">
        <f t="shared" si="3"/>
        <v>EUREON2M</v>
      </c>
      <c r="F9" s="318" t="str">
        <f t="shared" si="0"/>
        <v>EUREON2M=ICAP</v>
      </c>
      <c r="G9" s="273">
        <v>8.5999999999999993E-2</v>
      </c>
      <c r="H9" s="273">
        <v>0.13600000000000001</v>
      </c>
      <c r="I9" s="273">
        <v>0</v>
      </c>
      <c r="J9" s="273">
        <v>0</v>
      </c>
      <c r="K9" s="276">
        <f t="shared" si="1"/>
        <v>0.111</v>
      </c>
      <c r="L9" s="267"/>
      <c r="M9" s="275">
        <v>0.111</v>
      </c>
      <c r="N9" s="267"/>
      <c r="O9" s="274" t="str">
        <f t="shared" si="2"/>
        <v>EUREON2M_Quote</v>
      </c>
      <c r="P9" s="273">
        <v>0.111</v>
      </c>
      <c r="Q9" s="272">
        <f>_xll.qlSimpleQuoteSetValue($O9,$P9/100,Trigger)</f>
        <v>0</v>
      </c>
      <c r="R9" s="225"/>
    </row>
    <row r="10" spans="1:18" x14ac:dyDescent="0.2">
      <c r="A10" s="130"/>
      <c r="B10" s="419" t="s">
        <v>43</v>
      </c>
      <c r="C10" s="320" t="s">
        <v>194</v>
      </c>
      <c r="D10" s="320"/>
      <c r="E10" s="318" t="str">
        <f t="shared" si="3"/>
        <v>EUREON3M</v>
      </c>
      <c r="F10" s="318" t="str">
        <f t="shared" si="0"/>
        <v>EUREON3M=ICAP</v>
      </c>
      <c r="G10" s="273">
        <v>0.09</v>
      </c>
      <c r="H10" s="273">
        <v>0.14000000000000001</v>
      </c>
      <c r="I10" s="273">
        <v>0</v>
      </c>
      <c r="J10" s="273">
        <v>0</v>
      </c>
      <c r="K10" s="276">
        <f t="shared" si="1"/>
        <v>0.115</v>
      </c>
      <c r="L10" s="267"/>
      <c r="M10" s="275">
        <v>0.115</v>
      </c>
      <c r="N10" s="267"/>
      <c r="O10" s="274" t="str">
        <f t="shared" si="2"/>
        <v>EUREON3M_Quote</v>
      </c>
      <c r="P10" s="273">
        <v>0.115</v>
      </c>
      <c r="Q10" s="272">
        <f>_xll.qlSimpleQuoteSetValue($O10,$P10/100,Trigger)</f>
        <v>0</v>
      </c>
      <c r="R10" s="225"/>
    </row>
    <row r="11" spans="1:18" x14ac:dyDescent="0.2">
      <c r="A11" s="130"/>
      <c r="B11" s="419" t="s">
        <v>42</v>
      </c>
      <c r="C11" s="320" t="s">
        <v>194</v>
      </c>
      <c r="D11" s="320"/>
      <c r="E11" s="318" t="str">
        <f t="shared" si="3"/>
        <v>EUREON4M</v>
      </c>
      <c r="F11" s="318" t="str">
        <f t="shared" si="0"/>
        <v>EUREON4M=ICAP</v>
      </c>
      <c r="G11" s="273">
        <v>9.1999999999999998E-2</v>
      </c>
      <c r="H11" s="273">
        <v>0.14199999999999999</v>
      </c>
      <c r="I11" s="273">
        <v>0</v>
      </c>
      <c r="J11" s="273">
        <v>0</v>
      </c>
      <c r="K11" s="276">
        <f t="shared" si="1"/>
        <v>0.11699999999999999</v>
      </c>
      <c r="L11" s="267"/>
      <c r="M11" s="275">
        <v>0.11699999999999999</v>
      </c>
      <c r="N11" s="267"/>
      <c r="O11" s="274" t="str">
        <f t="shared" si="2"/>
        <v>EUREON4M_Quote</v>
      </c>
      <c r="P11" s="273">
        <v>0.11699999999999999</v>
      </c>
      <c r="Q11" s="272">
        <f>_xll.qlSimpleQuoteSetValue($O11,$P11/100,Trigger)</f>
        <v>0</v>
      </c>
      <c r="R11" s="225"/>
    </row>
    <row r="12" spans="1:18" x14ac:dyDescent="0.2">
      <c r="A12" s="130"/>
      <c r="B12" s="419" t="s">
        <v>41</v>
      </c>
      <c r="C12" s="320" t="s">
        <v>194</v>
      </c>
      <c r="D12" s="320"/>
      <c r="E12" s="318" t="str">
        <f t="shared" si="3"/>
        <v>EUREON5M</v>
      </c>
      <c r="F12" s="318" t="str">
        <f t="shared" si="0"/>
        <v>EUREON5M=ICAP</v>
      </c>
      <c r="G12" s="273">
        <v>9.4E-2</v>
      </c>
      <c r="H12" s="273">
        <v>0.14399999999999999</v>
      </c>
      <c r="I12" s="273">
        <v>0</v>
      </c>
      <c r="J12" s="273">
        <v>0</v>
      </c>
      <c r="K12" s="276">
        <f t="shared" si="1"/>
        <v>0.11899999999999999</v>
      </c>
      <c r="L12" s="267"/>
      <c r="M12" s="275">
        <v>0.11899999999999999</v>
      </c>
      <c r="N12" s="267"/>
      <c r="O12" s="274" t="str">
        <f t="shared" si="2"/>
        <v>EUREON5M_Quote</v>
      </c>
      <c r="P12" s="273">
        <v>0.11899999999999999</v>
      </c>
      <c r="Q12" s="272">
        <f>_xll.qlSimpleQuoteSetValue($O12,$P12/100,Trigger)</f>
        <v>0</v>
      </c>
      <c r="R12" s="225"/>
    </row>
    <row r="13" spans="1:18" x14ac:dyDescent="0.2">
      <c r="A13" s="130"/>
      <c r="B13" s="419" t="s">
        <v>40</v>
      </c>
      <c r="C13" s="320" t="s">
        <v>194</v>
      </c>
      <c r="D13" s="320"/>
      <c r="E13" s="318" t="str">
        <f t="shared" si="3"/>
        <v>EUREON6M</v>
      </c>
      <c r="F13" s="318" t="str">
        <f t="shared" si="0"/>
        <v>EUREON6M=ICAP</v>
      </c>
      <c r="G13" s="273">
        <v>9.9000000000000005E-2</v>
      </c>
      <c r="H13" s="273">
        <v>0.14899999999999999</v>
      </c>
      <c r="I13" s="273">
        <v>0</v>
      </c>
      <c r="J13" s="273">
        <v>0</v>
      </c>
      <c r="K13" s="276">
        <f t="shared" si="1"/>
        <v>0.124</v>
      </c>
      <c r="L13" s="267"/>
      <c r="M13" s="275">
        <v>0.124</v>
      </c>
      <c r="N13" s="267"/>
      <c r="O13" s="274" t="str">
        <f t="shared" si="2"/>
        <v>EUREON6M_Quote</v>
      </c>
      <c r="P13" s="273">
        <v>0.124</v>
      </c>
      <c r="Q13" s="272">
        <f>_xll.qlSimpleQuoteSetValue($O13,$P13/100,Trigger)</f>
        <v>0</v>
      </c>
      <c r="R13" s="225"/>
    </row>
    <row r="14" spans="1:18" x14ac:dyDescent="0.2">
      <c r="A14" s="130"/>
      <c r="B14" s="419" t="s">
        <v>39</v>
      </c>
      <c r="C14" s="320" t="s">
        <v>194</v>
      </c>
      <c r="D14" s="320"/>
      <c r="E14" s="318" t="str">
        <f t="shared" si="3"/>
        <v>EUREON7M</v>
      </c>
      <c r="F14" s="318" t="str">
        <f t="shared" si="0"/>
        <v>EUREON7M=ICAP</v>
      </c>
      <c r="G14" s="273">
        <v>0.10299999999999999</v>
      </c>
      <c r="H14" s="273">
        <v>0.153</v>
      </c>
      <c r="I14" s="273">
        <v>0</v>
      </c>
      <c r="J14" s="273">
        <v>0</v>
      </c>
      <c r="K14" s="276">
        <f t="shared" si="1"/>
        <v>0.128</v>
      </c>
      <c r="L14" s="267"/>
      <c r="M14" s="275">
        <v>0.128</v>
      </c>
      <c r="N14" s="267"/>
      <c r="O14" s="274" t="str">
        <f t="shared" si="2"/>
        <v>EUREON7M_Quote</v>
      </c>
      <c r="P14" s="273">
        <v>0.128</v>
      </c>
      <c r="Q14" s="272">
        <f>_xll.qlSimpleQuoteSetValue($O14,$P14/100,Trigger)</f>
        <v>0</v>
      </c>
      <c r="R14" s="225"/>
    </row>
    <row r="15" spans="1:18" x14ac:dyDescent="0.2">
      <c r="A15" s="130"/>
      <c r="B15" s="419" t="s">
        <v>38</v>
      </c>
      <c r="C15" s="320" t="s">
        <v>194</v>
      </c>
      <c r="D15" s="320"/>
      <c r="E15" s="318" t="str">
        <f t="shared" si="3"/>
        <v>EUREON8M</v>
      </c>
      <c r="F15" s="318" t="str">
        <f t="shared" si="0"/>
        <v>EUREON8M=ICAP</v>
      </c>
      <c r="G15" s="273">
        <v>0.108</v>
      </c>
      <c r="H15" s="273">
        <v>0.158</v>
      </c>
      <c r="I15" s="273">
        <v>0</v>
      </c>
      <c r="J15" s="273">
        <v>0</v>
      </c>
      <c r="K15" s="276">
        <f t="shared" si="1"/>
        <v>0.13300000000000001</v>
      </c>
      <c r="L15" s="267"/>
      <c r="M15" s="275">
        <v>0.13300000000000001</v>
      </c>
      <c r="N15" s="267"/>
      <c r="O15" s="274" t="str">
        <f t="shared" si="2"/>
        <v>EUREON8M_Quote</v>
      </c>
      <c r="P15" s="273">
        <v>0.13300000000000001</v>
      </c>
      <c r="Q15" s="272">
        <f>_xll.qlSimpleQuoteSetValue($O15,$P15/100,Trigger)</f>
        <v>0</v>
      </c>
      <c r="R15" s="225"/>
    </row>
    <row r="16" spans="1:18" x14ac:dyDescent="0.2">
      <c r="A16" s="130"/>
      <c r="B16" s="419" t="s">
        <v>37</v>
      </c>
      <c r="C16" s="320" t="s">
        <v>194</v>
      </c>
      <c r="D16" s="320"/>
      <c r="E16" s="318" t="str">
        <f t="shared" si="3"/>
        <v>EUREON9M</v>
      </c>
      <c r="F16" s="318" t="str">
        <f t="shared" si="0"/>
        <v>EUREON9M=ICAP</v>
      </c>
      <c r="G16" s="273">
        <v>0.11600000000000001</v>
      </c>
      <c r="H16" s="273">
        <v>0.16600000000000001</v>
      </c>
      <c r="I16" s="273">
        <v>0</v>
      </c>
      <c r="J16" s="273">
        <v>0</v>
      </c>
      <c r="K16" s="276">
        <f t="shared" si="1"/>
        <v>0.14100000000000001</v>
      </c>
      <c r="L16" s="267"/>
      <c r="M16" s="275">
        <v>0.14100000000000001</v>
      </c>
      <c r="N16" s="267"/>
      <c r="O16" s="274" t="str">
        <f t="shared" si="2"/>
        <v>EUREON9M_Quote</v>
      </c>
      <c r="P16" s="273">
        <v>0.14100000000000001</v>
      </c>
      <c r="Q16" s="272">
        <f>_xll.qlSimpleQuoteSetValue($O16,$P16/100,Trigger)</f>
        <v>0</v>
      </c>
      <c r="R16" s="225"/>
    </row>
    <row r="17" spans="1:18" x14ac:dyDescent="0.2">
      <c r="A17" s="130"/>
      <c r="B17" s="419" t="s">
        <v>36</v>
      </c>
      <c r="C17" s="320" t="s">
        <v>194</v>
      </c>
      <c r="D17" s="320"/>
      <c r="E17" s="318" t="str">
        <f t="shared" si="3"/>
        <v>EUREON10M</v>
      </c>
      <c r="F17" s="318" t="str">
        <f t="shared" si="0"/>
        <v>EUREON10M=ICAP</v>
      </c>
      <c r="G17" s="273">
        <v>0.122</v>
      </c>
      <c r="H17" s="273">
        <v>0.17199999999999999</v>
      </c>
      <c r="I17" s="273">
        <v>0</v>
      </c>
      <c r="J17" s="273">
        <v>0</v>
      </c>
      <c r="K17" s="276">
        <f t="shared" si="1"/>
        <v>0.14699999999999999</v>
      </c>
      <c r="L17" s="267"/>
      <c r="M17" s="275">
        <v>0.14799999999999999</v>
      </c>
      <c r="N17" s="267"/>
      <c r="O17" s="274" t="str">
        <f t="shared" si="2"/>
        <v>EUREON10M_Quote</v>
      </c>
      <c r="P17" s="273">
        <v>0.14699999999999999</v>
      </c>
      <c r="Q17" s="272">
        <f>_xll.qlSimpleQuoteSetValue($O17,$P17/100,Trigger)</f>
        <v>0</v>
      </c>
      <c r="R17" s="225"/>
    </row>
    <row r="18" spans="1:18" x14ac:dyDescent="0.2">
      <c r="A18" s="130"/>
      <c r="B18" s="419" t="s">
        <v>35</v>
      </c>
      <c r="C18" s="320" t="s">
        <v>194</v>
      </c>
      <c r="D18" s="320"/>
      <c r="E18" s="318" t="str">
        <f t="shared" si="3"/>
        <v>EUREON11M</v>
      </c>
      <c r="F18" s="318" t="str">
        <f t="shared" si="0"/>
        <v>EUREON11M=ICAP</v>
      </c>
      <c r="G18" s="273">
        <v>0.13</v>
      </c>
      <c r="H18" s="273">
        <v>0.18</v>
      </c>
      <c r="I18" s="273">
        <v>0</v>
      </c>
      <c r="J18" s="273">
        <v>0</v>
      </c>
      <c r="K18" s="276">
        <f t="shared" si="1"/>
        <v>0.155</v>
      </c>
      <c r="L18" s="267"/>
      <c r="M18" s="275">
        <v>0.155</v>
      </c>
      <c r="N18" s="267"/>
      <c r="O18" s="274" t="str">
        <f t="shared" si="2"/>
        <v>EUREON11M_Quote</v>
      </c>
      <c r="P18" s="273">
        <v>0.155</v>
      </c>
      <c r="Q18" s="272">
        <f>_xll.qlSimpleQuoteSetValue($O18,$P18/100,Trigger)</f>
        <v>0</v>
      </c>
      <c r="R18" s="225"/>
    </row>
    <row r="19" spans="1:18" x14ac:dyDescent="0.2">
      <c r="A19" s="130"/>
      <c r="B19" s="419" t="s">
        <v>34</v>
      </c>
      <c r="C19" s="320" t="s">
        <v>194</v>
      </c>
      <c r="D19" s="320"/>
      <c r="E19" s="318" t="str">
        <f t="shared" si="3"/>
        <v>EUREON1Y</v>
      </c>
      <c r="F19" s="318" t="str">
        <f t="shared" si="0"/>
        <v>EUREON1Y=ICAP</v>
      </c>
      <c r="G19" s="273">
        <v>0.127</v>
      </c>
      <c r="H19" s="273">
        <v>0.19700000000000001</v>
      </c>
      <c r="I19" s="273">
        <v>0</v>
      </c>
      <c r="J19" s="273">
        <v>0</v>
      </c>
      <c r="K19" s="276">
        <f t="shared" si="1"/>
        <v>0.16200000000000001</v>
      </c>
      <c r="L19" s="267"/>
      <c r="M19" s="275">
        <v>0.16200000000000001</v>
      </c>
      <c r="N19" s="267"/>
      <c r="O19" s="274" t="str">
        <f t="shared" si="2"/>
        <v>EUREON1Y_Quote</v>
      </c>
      <c r="P19" s="273">
        <v>0.16200000000000001</v>
      </c>
      <c r="Q19" s="272">
        <f>_xll.qlSimpleQuoteSetValue($O19,$P19/100,Trigger)</f>
        <v>0</v>
      </c>
      <c r="R19" s="225"/>
    </row>
    <row r="20" spans="1:18" x14ac:dyDescent="0.2">
      <c r="A20" s="130"/>
      <c r="B20" s="419" t="s">
        <v>140</v>
      </c>
      <c r="C20" s="320" t="s">
        <v>194</v>
      </c>
      <c r="D20" s="320"/>
      <c r="E20" s="318" t="str">
        <f t="shared" si="3"/>
        <v>EUREON15M</v>
      </c>
      <c r="F20" s="318" t="str">
        <f t="shared" si="0"/>
        <v>EUREON15M=ICAP</v>
      </c>
      <c r="G20" s="273">
        <v>0.16</v>
      </c>
      <c r="H20" s="273">
        <v>0.21</v>
      </c>
      <c r="I20" s="273">
        <v>0</v>
      </c>
      <c r="J20" s="273">
        <v>0</v>
      </c>
      <c r="K20" s="276">
        <f t="shared" si="1"/>
        <v>0.185</v>
      </c>
      <c r="L20" s="267"/>
      <c r="M20" s="275">
        <v>0.184</v>
      </c>
      <c r="N20" s="267"/>
      <c r="O20" s="274" t="str">
        <f t="shared" si="2"/>
        <v>EUREON15M_Quote</v>
      </c>
      <c r="P20" s="273">
        <v>0.185</v>
      </c>
      <c r="Q20" s="272">
        <f>_xll.qlSimpleQuoteSetValue($O20,$P20/100,Trigger)</f>
        <v>0</v>
      </c>
      <c r="R20" s="225"/>
    </row>
    <row r="21" spans="1:18" x14ac:dyDescent="0.2">
      <c r="A21" s="130"/>
      <c r="B21" s="419" t="s">
        <v>139</v>
      </c>
      <c r="C21" s="320" t="s">
        <v>194</v>
      </c>
      <c r="D21" s="320"/>
      <c r="E21" s="318" t="str">
        <f t="shared" si="3"/>
        <v>EUREON18M</v>
      </c>
      <c r="F21" s="318" t="str">
        <f t="shared" si="0"/>
        <v>EUREON18M=ICAP</v>
      </c>
      <c r="G21" s="273">
        <v>0.184</v>
      </c>
      <c r="H21" s="273">
        <v>0.23400000000000001</v>
      </c>
      <c r="I21" s="273">
        <v>0</v>
      </c>
      <c r="J21" s="273">
        <v>0</v>
      </c>
      <c r="K21" s="276">
        <f t="shared" si="1"/>
        <v>0.20900000000000002</v>
      </c>
      <c r="L21" s="267"/>
      <c r="M21" s="275">
        <v>0.20700000000000002</v>
      </c>
      <c r="N21" s="267"/>
      <c r="O21" s="274" t="str">
        <f t="shared" si="2"/>
        <v>EUREON18M_Quote</v>
      </c>
      <c r="P21" s="273">
        <v>0.20900000000000002</v>
      </c>
      <c r="Q21" s="272">
        <f>_xll.qlSimpleQuoteSetValue($O21,$P21/100,Trigger)</f>
        <v>0</v>
      </c>
      <c r="R21" s="225"/>
    </row>
    <row r="22" spans="1:18" x14ac:dyDescent="0.2">
      <c r="A22" s="130"/>
      <c r="B22" s="419" t="s">
        <v>138</v>
      </c>
      <c r="C22" s="320" t="s">
        <v>194</v>
      </c>
      <c r="D22" s="320"/>
      <c r="E22" s="318" t="str">
        <f t="shared" si="3"/>
        <v>EUREON21M</v>
      </c>
      <c r="F22" s="318" t="str">
        <f t="shared" si="0"/>
        <v>EUREON21M=ICAP</v>
      </c>
      <c r="G22" s="273">
        <v>0.21</v>
      </c>
      <c r="H22" s="273">
        <v>0.26</v>
      </c>
      <c r="I22" s="273">
        <v>0</v>
      </c>
      <c r="J22" s="273">
        <v>0</v>
      </c>
      <c r="K22" s="276">
        <f t="shared" si="1"/>
        <v>0.23499999999999999</v>
      </c>
      <c r="L22" s="267"/>
      <c r="M22" s="275">
        <v>0.23299999999999998</v>
      </c>
      <c r="N22" s="267"/>
      <c r="O22" s="274" t="str">
        <f t="shared" si="2"/>
        <v>EUREON21M_Quote</v>
      </c>
      <c r="P22" s="273">
        <v>0.23499999999999999</v>
      </c>
      <c r="Q22" s="272">
        <f>_xll.qlSimpleQuoteSetValue($O22,$P22/100,Trigger)</f>
        <v>0</v>
      </c>
      <c r="R22" s="225"/>
    </row>
    <row r="23" spans="1:18" x14ac:dyDescent="0.2">
      <c r="A23" s="130"/>
      <c r="B23" s="419" t="s">
        <v>115</v>
      </c>
      <c r="C23" s="320" t="s">
        <v>194</v>
      </c>
      <c r="D23" s="320"/>
      <c r="E23" s="318" t="str">
        <f t="shared" si="3"/>
        <v>EUREON2Y</v>
      </c>
      <c r="F23" s="318" t="str">
        <f t="shared" si="0"/>
        <v>EUREON2Y=ICAP</v>
      </c>
      <c r="G23" s="273">
        <v>0.22800000000000001</v>
      </c>
      <c r="H23" s="273">
        <v>0.29799999999999999</v>
      </c>
      <c r="I23" s="273">
        <v>0</v>
      </c>
      <c r="J23" s="273">
        <v>0</v>
      </c>
      <c r="K23" s="276">
        <f t="shared" si="1"/>
        <v>0.26300000000000001</v>
      </c>
      <c r="L23" s="267"/>
      <c r="M23" s="275">
        <v>0.26100000000000001</v>
      </c>
      <c r="N23" s="267"/>
      <c r="O23" s="274" t="str">
        <f t="shared" si="2"/>
        <v>EUREON2Y_Quote</v>
      </c>
      <c r="P23" s="273">
        <v>0.26300000000000001</v>
      </c>
      <c r="Q23" s="272">
        <f>_xll.qlSimpleQuoteSetValue($O23,$P23/100,Trigger)</f>
        <v>0</v>
      </c>
      <c r="R23" s="225"/>
    </row>
    <row r="24" spans="1:18" x14ac:dyDescent="0.2">
      <c r="A24" s="130"/>
      <c r="B24" s="419" t="s">
        <v>114</v>
      </c>
      <c r="C24" s="320" t="s">
        <v>194</v>
      </c>
      <c r="D24" s="320"/>
      <c r="E24" s="318" t="str">
        <f t="shared" si="3"/>
        <v>EUREON3Y</v>
      </c>
      <c r="F24" s="318" t="str">
        <f t="shared" si="0"/>
        <v>EUREON3Y=ICAP</v>
      </c>
      <c r="G24" s="273">
        <v>0.38</v>
      </c>
      <c r="H24" s="273">
        <v>0.45</v>
      </c>
      <c r="I24" s="273">
        <v>0</v>
      </c>
      <c r="J24" s="273">
        <v>0</v>
      </c>
      <c r="K24" s="276">
        <f t="shared" si="1"/>
        <v>0.41500000000000004</v>
      </c>
      <c r="L24" s="267"/>
      <c r="M24" s="275">
        <v>0.41300000000000003</v>
      </c>
      <c r="N24" s="267"/>
      <c r="O24" s="274" t="str">
        <f t="shared" si="2"/>
        <v>EUREON3Y_Quote</v>
      </c>
      <c r="P24" s="273">
        <v>0.41500000000000004</v>
      </c>
      <c r="Q24" s="272">
        <f>_xll.qlSimpleQuoteSetValue($O24,$P24/100,Trigger)</f>
        <v>0</v>
      </c>
      <c r="R24" s="225"/>
    </row>
    <row r="25" spans="1:18" x14ac:dyDescent="0.2">
      <c r="A25" s="130"/>
      <c r="B25" s="419" t="s">
        <v>113</v>
      </c>
      <c r="C25" s="320" t="s">
        <v>194</v>
      </c>
      <c r="D25" s="320"/>
      <c r="E25" s="318" t="str">
        <f t="shared" si="3"/>
        <v>EUREON4Y</v>
      </c>
      <c r="F25" s="318" t="str">
        <f t="shared" si="0"/>
        <v>EUREON4Y=ICAP</v>
      </c>
      <c r="G25" s="273">
        <v>0.58899999999999997</v>
      </c>
      <c r="H25" s="273">
        <v>0.65900000000000003</v>
      </c>
      <c r="I25" s="273">
        <v>0</v>
      </c>
      <c r="J25" s="273">
        <v>0</v>
      </c>
      <c r="K25" s="276">
        <f t="shared" si="1"/>
        <v>0.624</v>
      </c>
      <c r="L25" s="267"/>
      <c r="M25" s="275">
        <v>0.622</v>
      </c>
      <c r="N25" s="267"/>
      <c r="O25" s="274" t="str">
        <f t="shared" si="2"/>
        <v>EUREON4Y_Quote</v>
      </c>
      <c r="P25" s="273">
        <v>0.624</v>
      </c>
      <c r="Q25" s="272">
        <f>_xll.qlSimpleQuoteSetValue($O25,$P25/100,Trigger)</f>
        <v>0</v>
      </c>
      <c r="R25" s="225"/>
    </row>
    <row r="26" spans="1:18" x14ac:dyDescent="0.2">
      <c r="A26" s="130"/>
      <c r="B26" s="419" t="s">
        <v>112</v>
      </c>
      <c r="C26" s="320" t="s">
        <v>194</v>
      </c>
      <c r="D26" s="320"/>
      <c r="E26" s="318" t="str">
        <f t="shared" si="3"/>
        <v>EUREON5Y</v>
      </c>
      <c r="F26" s="318" t="str">
        <f t="shared" si="0"/>
        <v>EUREON5Y=ICAP</v>
      </c>
      <c r="G26" s="273">
        <v>0.81399999999999995</v>
      </c>
      <c r="H26" s="273">
        <v>0.88400000000000001</v>
      </c>
      <c r="I26" s="273">
        <v>0</v>
      </c>
      <c r="J26" s="273">
        <v>0</v>
      </c>
      <c r="K26" s="276">
        <f t="shared" si="1"/>
        <v>0.84899999999999998</v>
      </c>
      <c r="L26" s="267"/>
      <c r="M26" s="275">
        <v>0.84899999999999998</v>
      </c>
      <c r="N26" s="267"/>
      <c r="O26" s="274" t="str">
        <f t="shared" si="2"/>
        <v>EUREON5Y_Quote</v>
      </c>
      <c r="P26" s="273">
        <v>0.84899999999999998</v>
      </c>
      <c r="Q26" s="272">
        <f>_xll.qlSimpleQuoteSetValue($O26,$P26/100,Trigger)</f>
        <v>0</v>
      </c>
      <c r="R26" s="225"/>
    </row>
    <row r="27" spans="1:18" x14ac:dyDescent="0.2">
      <c r="A27" s="130"/>
      <c r="B27" s="419" t="s">
        <v>111</v>
      </c>
      <c r="C27" s="320" t="s">
        <v>194</v>
      </c>
      <c r="D27" s="320"/>
      <c r="E27" s="318" t="str">
        <f t="shared" si="3"/>
        <v>EUREON6Y</v>
      </c>
      <c r="F27" s="318" t="str">
        <f t="shared" si="0"/>
        <v>EUREON6Y=ICAP</v>
      </c>
      <c r="G27" s="273">
        <v>1.0109999999999999</v>
      </c>
      <c r="H27" s="273">
        <v>1.081</v>
      </c>
      <c r="I27" s="273">
        <v>0</v>
      </c>
      <c r="J27" s="273">
        <v>0</v>
      </c>
      <c r="K27" s="276">
        <f t="shared" si="1"/>
        <v>1.0459999999999998</v>
      </c>
      <c r="L27" s="267"/>
      <c r="M27" s="275">
        <v>1.0459999999999998</v>
      </c>
      <c r="N27" s="267"/>
      <c r="O27" s="274" t="str">
        <f t="shared" si="2"/>
        <v>EUREON6Y_Quote</v>
      </c>
      <c r="P27" s="273">
        <v>1.0459999999999998</v>
      </c>
      <c r="Q27" s="272">
        <f>_xll.qlSimpleQuoteSetValue($O27,$P27/100,Trigger)</f>
        <v>0</v>
      </c>
      <c r="R27" s="225"/>
    </row>
    <row r="28" spans="1:18" x14ac:dyDescent="0.2">
      <c r="A28" s="130"/>
      <c r="B28" s="419" t="s">
        <v>110</v>
      </c>
      <c r="C28" s="320" t="s">
        <v>194</v>
      </c>
      <c r="D28" s="320"/>
      <c r="E28" s="318" t="str">
        <f t="shared" si="3"/>
        <v>EUREON7Y</v>
      </c>
      <c r="F28" s="318" t="str">
        <f t="shared" si="0"/>
        <v>EUREON7Y=ICAP</v>
      </c>
      <c r="G28" s="273">
        <v>1.1879999999999999</v>
      </c>
      <c r="H28" s="273">
        <v>1.258</v>
      </c>
      <c r="I28" s="273">
        <v>0</v>
      </c>
      <c r="J28" s="273">
        <v>0</v>
      </c>
      <c r="K28" s="276">
        <f t="shared" si="1"/>
        <v>1.2229999999999999</v>
      </c>
      <c r="L28" s="267"/>
      <c r="M28" s="275">
        <v>1.2229999999999999</v>
      </c>
      <c r="N28" s="267"/>
      <c r="O28" s="274" t="str">
        <f t="shared" si="2"/>
        <v>EUREON7Y_Quote</v>
      </c>
      <c r="P28" s="273">
        <v>1.2229999999999999</v>
      </c>
      <c r="Q28" s="272">
        <f>_xll.qlSimpleQuoteSetValue($O28,$P28/100,Trigger)</f>
        <v>0</v>
      </c>
      <c r="R28" s="225"/>
    </row>
    <row r="29" spans="1:18" x14ac:dyDescent="0.2">
      <c r="A29" s="130"/>
      <c r="B29" s="419" t="s">
        <v>109</v>
      </c>
      <c r="C29" s="320" t="s">
        <v>194</v>
      </c>
      <c r="D29" s="320"/>
      <c r="E29" s="318" t="str">
        <f t="shared" si="3"/>
        <v>EUREON8Y</v>
      </c>
      <c r="F29" s="318" t="str">
        <f t="shared" si="0"/>
        <v>EUREON8Y=ICAP</v>
      </c>
      <c r="G29" s="273">
        <v>1.3460000000000001</v>
      </c>
      <c r="H29" s="273">
        <v>1.4159999999999999</v>
      </c>
      <c r="I29" s="273">
        <v>0</v>
      </c>
      <c r="J29" s="273">
        <v>0</v>
      </c>
      <c r="K29" s="276">
        <f t="shared" si="1"/>
        <v>1.381</v>
      </c>
      <c r="L29" s="267"/>
      <c r="M29" s="275">
        <v>1.381</v>
      </c>
      <c r="N29" s="267"/>
      <c r="O29" s="274" t="str">
        <f t="shared" si="2"/>
        <v>EUREON8Y_Quote</v>
      </c>
      <c r="P29" s="273">
        <v>1.381</v>
      </c>
      <c r="Q29" s="272">
        <f>_xll.qlSimpleQuoteSetValue($O29,$P29/100,Trigger)</f>
        <v>0</v>
      </c>
      <c r="R29" s="225"/>
    </row>
    <row r="30" spans="1:18" x14ac:dyDescent="0.2">
      <c r="A30" s="130"/>
      <c r="B30" s="419" t="s">
        <v>108</v>
      </c>
      <c r="C30" s="320" t="s">
        <v>194</v>
      </c>
      <c r="D30" s="320"/>
      <c r="E30" s="318" t="str">
        <f t="shared" si="3"/>
        <v>EUREON9Y</v>
      </c>
      <c r="F30" s="318" t="str">
        <f t="shared" si="0"/>
        <v>EUREON9Y=ICAP</v>
      </c>
      <c r="G30" s="273">
        <v>1.494</v>
      </c>
      <c r="H30" s="273">
        <v>1.5640000000000001</v>
      </c>
      <c r="I30" s="273">
        <v>0</v>
      </c>
      <c r="J30" s="273">
        <v>0</v>
      </c>
      <c r="K30" s="276">
        <f t="shared" si="1"/>
        <v>1.5289999999999999</v>
      </c>
      <c r="L30" s="267"/>
      <c r="M30" s="275">
        <v>1.5289999999999999</v>
      </c>
      <c r="N30" s="267"/>
      <c r="O30" s="274" t="str">
        <f t="shared" si="2"/>
        <v>EUREON9Y_Quote</v>
      </c>
      <c r="P30" s="273">
        <v>1.5289999999999999</v>
      </c>
      <c r="Q30" s="272">
        <f>_xll.qlSimpleQuoteSetValue($O30,$P30/100,Trigger)</f>
        <v>0</v>
      </c>
      <c r="R30" s="225"/>
    </row>
    <row r="31" spans="1:18" x14ac:dyDescent="0.2">
      <c r="A31" s="130"/>
      <c r="B31" s="419" t="s">
        <v>107</v>
      </c>
      <c r="C31" s="320" t="s">
        <v>194</v>
      </c>
      <c r="D31" s="320"/>
      <c r="E31" s="318" t="str">
        <f t="shared" si="3"/>
        <v>EUREON10Y</v>
      </c>
      <c r="F31" s="318" t="str">
        <f t="shared" si="0"/>
        <v>EUREON10Y=ICAP</v>
      </c>
      <c r="G31" s="273">
        <v>1.629</v>
      </c>
      <c r="H31" s="273">
        <v>1.6990000000000001</v>
      </c>
      <c r="I31" s="273">
        <v>0</v>
      </c>
      <c r="J31" s="273">
        <v>0</v>
      </c>
      <c r="K31" s="276">
        <f t="shared" si="1"/>
        <v>1.6640000000000001</v>
      </c>
      <c r="L31" s="267"/>
      <c r="M31" s="275">
        <v>1.6640000000000001</v>
      </c>
      <c r="N31" s="267"/>
      <c r="O31" s="274" t="str">
        <f t="shared" si="2"/>
        <v>EUREON10Y_Quote</v>
      </c>
      <c r="P31" s="273">
        <v>1.6640000000000001</v>
      </c>
      <c r="Q31" s="272">
        <f>_xll.qlSimpleQuoteSetValue($O31,$P31/100,Trigger)</f>
        <v>0</v>
      </c>
      <c r="R31" s="225"/>
    </row>
    <row r="32" spans="1:18" x14ac:dyDescent="0.2">
      <c r="A32" s="130"/>
      <c r="B32" s="419" t="s">
        <v>106</v>
      </c>
      <c r="C32" s="320" t="s">
        <v>194</v>
      </c>
      <c r="D32" s="320"/>
      <c r="E32" s="318" t="str">
        <f t="shared" si="3"/>
        <v>EUREON11Y</v>
      </c>
      <c r="F32" s="318" t="str">
        <f t="shared" si="0"/>
        <v>EUREON11Y=ICAP</v>
      </c>
      <c r="G32" s="273">
        <v>1.7470000000000001</v>
      </c>
      <c r="H32" s="273">
        <v>1.8169999999999999</v>
      </c>
      <c r="I32" s="273">
        <v>0</v>
      </c>
      <c r="J32" s="273">
        <v>0</v>
      </c>
      <c r="K32" s="276">
        <f t="shared" si="1"/>
        <v>1.782</v>
      </c>
      <c r="L32" s="267"/>
      <c r="M32" s="275">
        <v>1.782</v>
      </c>
      <c r="N32" s="267"/>
      <c r="O32" s="274" t="str">
        <f t="shared" si="2"/>
        <v>EUREON11Y_Quote</v>
      </c>
      <c r="P32" s="273">
        <v>1.782</v>
      </c>
      <c r="Q32" s="272">
        <f>_xll.qlSimpleQuoteSetValue($O32,$P32/100,Trigger)</f>
        <v>0</v>
      </c>
      <c r="R32" s="225"/>
    </row>
    <row r="33" spans="1:18" x14ac:dyDescent="0.2">
      <c r="A33" s="130"/>
      <c r="B33" s="419" t="s">
        <v>105</v>
      </c>
      <c r="C33" s="320" t="s">
        <v>194</v>
      </c>
      <c r="D33" s="320"/>
      <c r="E33" s="318" t="str">
        <f t="shared" si="3"/>
        <v>EUREON12Y</v>
      </c>
      <c r="F33" s="318" t="str">
        <f t="shared" si="0"/>
        <v>EUREON12Y=ICAP</v>
      </c>
      <c r="G33" s="273">
        <v>1.849</v>
      </c>
      <c r="H33" s="273">
        <v>1.919</v>
      </c>
      <c r="I33" s="273">
        <v>0</v>
      </c>
      <c r="J33" s="273">
        <v>0</v>
      </c>
      <c r="K33" s="276">
        <f t="shared" si="1"/>
        <v>1.8839999999999999</v>
      </c>
      <c r="L33" s="267"/>
      <c r="M33" s="275">
        <v>1.8839999999999999</v>
      </c>
      <c r="N33" s="267"/>
      <c r="O33" s="274" t="str">
        <f t="shared" si="2"/>
        <v>EUREON12Y_Quote</v>
      </c>
      <c r="P33" s="273">
        <v>1.8839999999999999</v>
      </c>
      <c r="Q33" s="272">
        <f>_xll.qlSimpleQuoteSetValue($O33,$P33/100,Trigger)</f>
        <v>0</v>
      </c>
      <c r="R33" s="225"/>
    </row>
    <row r="34" spans="1:18" x14ac:dyDescent="0.2">
      <c r="A34" s="130"/>
      <c r="B34" s="419" t="s">
        <v>102</v>
      </c>
      <c r="C34" s="320" t="s">
        <v>194</v>
      </c>
      <c r="D34" s="320"/>
      <c r="E34" s="318" t="str">
        <f t="shared" si="3"/>
        <v>EUREON15Y</v>
      </c>
      <c r="F34" s="318" t="str">
        <f t="shared" si="0"/>
        <v>EUREON15Y=ICAP</v>
      </c>
      <c r="G34" s="273">
        <v>2.0699999999999998</v>
      </c>
      <c r="H34" s="273">
        <v>2.14</v>
      </c>
      <c r="I34" s="273">
        <v>0</v>
      </c>
      <c r="J34" s="273">
        <v>0</v>
      </c>
      <c r="K34" s="276">
        <f t="shared" si="1"/>
        <v>2.105</v>
      </c>
      <c r="L34" s="267"/>
      <c r="M34" s="275">
        <v>2.105</v>
      </c>
      <c r="N34" s="267"/>
      <c r="O34" s="274" t="str">
        <f t="shared" si="2"/>
        <v>EUREON15Y_Quote</v>
      </c>
      <c r="P34" s="273">
        <v>2.105</v>
      </c>
      <c r="Q34" s="272">
        <f>_xll.qlSimpleQuoteSetValue($O34,$P34/100,Trigger)</f>
        <v>0</v>
      </c>
      <c r="R34" s="225"/>
    </row>
    <row r="35" spans="1:18" x14ac:dyDescent="0.2">
      <c r="A35" s="130"/>
      <c r="B35" s="419" t="s">
        <v>97</v>
      </c>
      <c r="C35" s="320" t="s">
        <v>194</v>
      </c>
      <c r="D35" s="320"/>
      <c r="E35" s="318" t="str">
        <f t="shared" si="3"/>
        <v>EUREON20Y</v>
      </c>
      <c r="F35" s="318" t="str">
        <f t="shared" si="0"/>
        <v>EUREON20Y=ICAP</v>
      </c>
      <c r="G35" s="273">
        <v>2.21</v>
      </c>
      <c r="H35" s="273">
        <v>2.2799999999999998</v>
      </c>
      <c r="I35" s="273">
        <v>0</v>
      </c>
      <c r="J35" s="273">
        <v>0</v>
      </c>
      <c r="K35" s="276">
        <f t="shared" si="1"/>
        <v>2.2450000000000001</v>
      </c>
      <c r="L35" s="267"/>
      <c r="M35" s="275">
        <v>2.2450000000000001</v>
      </c>
      <c r="N35" s="267"/>
      <c r="O35" s="274" t="str">
        <f t="shared" si="2"/>
        <v>EUREON20Y_Quote</v>
      </c>
      <c r="P35" s="273">
        <v>2.2450000000000001</v>
      </c>
      <c r="Q35" s="272">
        <f>_xll.qlSimpleQuoteSetValue($O35,$P35/100,Trigger)</f>
        <v>0</v>
      </c>
      <c r="R35" s="225"/>
    </row>
    <row r="36" spans="1:18" x14ac:dyDescent="0.2">
      <c r="A36" s="130"/>
      <c r="B36" s="419" t="s">
        <v>92</v>
      </c>
      <c r="C36" s="320" t="s">
        <v>194</v>
      </c>
      <c r="D36" s="320"/>
      <c r="E36" s="318" t="str">
        <f t="shared" si="3"/>
        <v>EUREON25Y</v>
      </c>
      <c r="F36" s="318" t="str">
        <f t="shared" si="0"/>
        <v>EUREON25Y=ICAP</v>
      </c>
      <c r="G36" s="273">
        <v>2.246</v>
      </c>
      <c r="H36" s="273">
        <v>2.3159999999999998</v>
      </c>
      <c r="I36" s="273">
        <v>0</v>
      </c>
      <c r="J36" s="273">
        <v>0</v>
      </c>
      <c r="K36" s="276">
        <f t="shared" si="1"/>
        <v>2.2809999999999997</v>
      </c>
      <c r="L36" s="267"/>
      <c r="M36" s="275">
        <v>2.2809999999999997</v>
      </c>
      <c r="N36" s="267"/>
      <c r="O36" s="274" t="str">
        <f t="shared" si="2"/>
        <v>EUREON25Y_Quote</v>
      </c>
      <c r="P36" s="273">
        <v>2.2809999999999997</v>
      </c>
      <c r="Q36" s="272">
        <f>_xll.qlSimpleQuoteSetValue($O36,$P36/100,Trigger)</f>
        <v>0</v>
      </c>
      <c r="R36" s="225"/>
    </row>
    <row r="37" spans="1:18" x14ac:dyDescent="0.2">
      <c r="A37" s="130"/>
      <c r="B37" s="419" t="s">
        <v>87</v>
      </c>
      <c r="C37" s="320" t="s">
        <v>194</v>
      </c>
      <c r="D37" s="320"/>
      <c r="E37" s="318" t="str">
        <f t="shared" si="3"/>
        <v>EUREON30Y</v>
      </c>
      <c r="F37" s="318" t="str">
        <f t="shared" si="0"/>
        <v>EUREON30Y=ICAP</v>
      </c>
      <c r="G37" s="273">
        <v>2.254</v>
      </c>
      <c r="H37" s="273">
        <v>2.3239999999999998</v>
      </c>
      <c r="I37" s="273">
        <v>0</v>
      </c>
      <c r="J37" s="273">
        <v>0</v>
      </c>
      <c r="K37" s="276">
        <f t="shared" si="1"/>
        <v>2.2889999999999997</v>
      </c>
      <c r="L37" s="267"/>
      <c r="M37" s="275">
        <v>2.2889999999999997</v>
      </c>
      <c r="N37" s="267"/>
      <c r="O37" s="274" t="str">
        <f t="shared" si="2"/>
        <v>EUREON30Y_Quote</v>
      </c>
      <c r="P37" s="273">
        <v>2.2889999999999997</v>
      </c>
      <c r="Q37" s="272">
        <f>_xll.qlSimpleQuoteSetValue($O37,$P37/100,Trigger)</f>
        <v>0</v>
      </c>
      <c r="R37" s="225"/>
    </row>
    <row r="38" spans="1:18" x14ac:dyDescent="0.2">
      <c r="A38" s="130"/>
      <c r="B38" s="419" t="s">
        <v>77</v>
      </c>
      <c r="C38" s="320" t="s">
        <v>194</v>
      </c>
      <c r="D38" s="320"/>
      <c r="E38" s="318" t="str">
        <f t="shared" si="3"/>
        <v>EUREON40Y</v>
      </c>
      <c r="F38" s="318" t="str">
        <f t="shared" si="0"/>
        <v>EUREON40Y=ICAP</v>
      </c>
      <c r="G38" s="273">
        <v>2.3170000000000002</v>
      </c>
      <c r="H38" s="273">
        <v>2.387</v>
      </c>
      <c r="I38" s="273">
        <v>0</v>
      </c>
      <c r="J38" s="273">
        <v>0</v>
      </c>
      <c r="K38" s="276">
        <f t="shared" si="1"/>
        <v>2.3520000000000003</v>
      </c>
      <c r="L38" s="267"/>
      <c r="M38" s="275">
        <v>2.3520000000000003</v>
      </c>
      <c r="N38" s="267"/>
      <c r="O38" s="274" t="str">
        <f t="shared" si="2"/>
        <v>EUREON40Y_Quote</v>
      </c>
      <c r="P38" s="273">
        <v>2.3520000000000003</v>
      </c>
      <c r="Q38" s="272">
        <f>_xll.qlSimpleQuoteSetValue($O38,$P38/100,Trigger)</f>
        <v>0</v>
      </c>
      <c r="R38" s="225"/>
    </row>
    <row r="39" spans="1:18" x14ac:dyDescent="0.2">
      <c r="A39" s="130"/>
      <c r="B39" s="419" t="s">
        <v>67</v>
      </c>
      <c r="C39" s="320" t="s">
        <v>194</v>
      </c>
      <c r="D39" s="320"/>
      <c r="E39" s="318" t="str">
        <f t="shared" si="3"/>
        <v>EUREON50Y</v>
      </c>
      <c r="F39" s="318" t="str">
        <f t="shared" si="0"/>
        <v>EUREON50Y=ICAP</v>
      </c>
      <c r="G39" s="273">
        <v>2.3730000000000002</v>
      </c>
      <c r="H39" s="273">
        <v>2.4430000000000001</v>
      </c>
      <c r="I39" s="273">
        <v>0</v>
      </c>
      <c r="J39" s="273">
        <v>0</v>
      </c>
      <c r="K39" s="276">
        <f t="shared" si="1"/>
        <v>2.4080000000000004</v>
      </c>
      <c r="L39" s="267"/>
      <c r="M39" s="275">
        <v>2.4080000000000004</v>
      </c>
      <c r="N39" s="267"/>
      <c r="O39" s="274" t="str">
        <f t="shared" si="2"/>
        <v>EUREON50Y_Quote</v>
      </c>
      <c r="P39" s="273">
        <v>2.4080000000000004</v>
      </c>
      <c r="Q39" s="272">
        <f>_xll.qlSimpleQuoteSetValue($O39,$P39/100,Trigger)</f>
        <v>0</v>
      </c>
      <c r="R39" s="225"/>
    </row>
    <row r="40" spans="1:18" x14ac:dyDescent="0.2">
      <c r="A40" s="130"/>
      <c r="B40" s="419" t="s">
        <v>57</v>
      </c>
      <c r="C40" s="320" t="s">
        <v>194</v>
      </c>
      <c r="D40" s="320"/>
      <c r="E40" s="318" t="str">
        <f t="shared" si="3"/>
        <v>EUREON60Y</v>
      </c>
      <c r="F40" s="318" t="str">
        <f t="shared" si="0"/>
        <v>EUREON60Y=ICAP</v>
      </c>
      <c r="G40" s="273">
        <v>2.4119999999999999</v>
      </c>
      <c r="H40" s="273">
        <v>2.4820000000000002</v>
      </c>
      <c r="I40" s="273">
        <v>0</v>
      </c>
      <c r="J40" s="273">
        <v>0</v>
      </c>
      <c r="K40" s="276">
        <f t="shared" si="1"/>
        <v>2.4470000000000001</v>
      </c>
      <c r="L40" s="267"/>
      <c r="M40" s="275">
        <v>2.4470000000000001</v>
      </c>
      <c r="N40" s="267"/>
      <c r="O40" s="274" t="str">
        <f t="shared" si="2"/>
        <v>EUREON60Y_Quote</v>
      </c>
      <c r="P40" s="273">
        <v>2.4470000000000001</v>
      </c>
      <c r="Q40" s="272">
        <f>_xll.qlSimpleQuoteSetValue($O40,$P40/100,Trigger)</f>
        <v>0</v>
      </c>
      <c r="R40" s="225"/>
    </row>
    <row r="41" spans="1:18" ht="13.5" thickBot="1" x14ac:dyDescent="0.25">
      <c r="A41" s="53"/>
      <c r="B41" s="306"/>
      <c r="C41" s="306"/>
      <c r="D41" s="306"/>
      <c r="E41" s="306"/>
      <c r="F41" s="306"/>
      <c r="G41" s="306"/>
      <c r="H41" s="306"/>
      <c r="I41" s="306"/>
      <c r="J41" s="306"/>
      <c r="K41" s="306"/>
      <c r="L41" s="52"/>
      <c r="M41" s="306"/>
      <c r="N41" s="52"/>
      <c r="O41" s="306"/>
      <c r="P41" s="306"/>
      <c r="Q41" s="306"/>
      <c r="R41" s="394"/>
    </row>
  </sheetData>
  <dataValidations count="1">
    <dataValidation type="list" showInputMessage="1" showErrorMessage="1" sqref="F2 JB2 SX2 ACT2 AMP2 AWL2 BGH2 BQD2 BZZ2 CJV2 CTR2 DDN2 DNJ2 DXF2 EHB2 EQX2 FAT2 FKP2 FUL2 GEH2 GOD2 GXZ2 HHV2 HRR2 IBN2 ILJ2 IVF2 JFB2 JOX2 JYT2 KIP2 KSL2 LCH2 LMD2 LVZ2 MFV2 MPR2 MZN2 NJJ2 NTF2 ODB2 OMX2 OWT2 PGP2 PQL2 QAH2 QKD2 QTZ2 RDV2 RNR2 RXN2 SHJ2 SRF2 TBB2 TKX2 TUT2 UEP2 UOL2 UYH2 VID2 VRZ2 WBV2 WLR2 WVN2 F65538 JB65538 SX65538 ACT65538 AMP65538 AWL65538 BGH65538 BQD65538 BZZ65538 CJV65538 CTR65538 DDN65538 DNJ65538 DXF65538 EHB65538 EQX65538 FAT65538 FKP65538 FUL65538 GEH65538 GOD65538 GXZ65538 HHV65538 HRR65538 IBN65538 ILJ65538 IVF65538 JFB65538 JOX65538 JYT65538 KIP65538 KSL65538 LCH65538 LMD65538 LVZ65538 MFV65538 MPR65538 MZN65538 NJJ65538 NTF65538 ODB65538 OMX65538 OWT65538 PGP65538 PQL65538 QAH65538 QKD65538 QTZ65538 RDV65538 RNR65538 RXN65538 SHJ65538 SRF65538 TBB65538 TKX65538 TUT65538 UEP65538 UOL65538 UYH65538 VID65538 VRZ65538 WBV65538 WLR65538 WVN65538 F131074 JB131074 SX131074 ACT131074 AMP131074 AWL131074 BGH131074 BQD131074 BZZ131074 CJV131074 CTR131074 DDN131074 DNJ131074 DXF131074 EHB131074 EQX131074 FAT131074 FKP131074 FUL131074 GEH131074 GOD131074 GXZ131074 HHV131074 HRR131074 IBN131074 ILJ131074 IVF131074 JFB131074 JOX131074 JYT131074 KIP131074 KSL131074 LCH131074 LMD131074 LVZ131074 MFV131074 MPR131074 MZN131074 NJJ131074 NTF131074 ODB131074 OMX131074 OWT131074 PGP131074 PQL131074 QAH131074 QKD131074 QTZ131074 RDV131074 RNR131074 RXN131074 SHJ131074 SRF131074 TBB131074 TKX131074 TUT131074 UEP131074 UOL131074 UYH131074 VID131074 VRZ131074 WBV131074 WLR131074 WVN131074 F196610 JB196610 SX196610 ACT196610 AMP196610 AWL196610 BGH196610 BQD196610 BZZ196610 CJV196610 CTR196610 DDN196610 DNJ196610 DXF196610 EHB196610 EQX196610 FAT196610 FKP196610 FUL196610 GEH196610 GOD196610 GXZ196610 HHV196610 HRR196610 IBN196610 ILJ196610 IVF196610 JFB196610 JOX196610 JYT196610 KIP196610 KSL196610 LCH196610 LMD196610 LVZ196610 MFV196610 MPR196610 MZN196610 NJJ196610 NTF196610 ODB196610 OMX196610 OWT196610 PGP196610 PQL196610 QAH196610 QKD196610 QTZ196610 RDV196610 RNR196610 RXN196610 SHJ196610 SRF196610 TBB196610 TKX196610 TUT196610 UEP196610 UOL196610 UYH196610 VID196610 VRZ196610 WBV196610 WLR196610 WVN196610 F262146 JB262146 SX262146 ACT262146 AMP262146 AWL262146 BGH262146 BQD262146 BZZ262146 CJV262146 CTR262146 DDN262146 DNJ262146 DXF262146 EHB262146 EQX262146 FAT262146 FKP262146 FUL262146 GEH262146 GOD262146 GXZ262146 HHV262146 HRR262146 IBN262146 ILJ262146 IVF262146 JFB262146 JOX262146 JYT262146 KIP262146 KSL262146 LCH262146 LMD262146 LVZ262146 MFV262146 MPR262146 MZN262146 NJJ262146 NTF262146 ODB262146 OMX262146 OWT262146 PGP262146 PQL262146 QAH262146 QKD262146 QTZ262146 RDV262146 RNR262146 RXN262146 SHJ262146 SRF262146 TBB262146 TKX262146 TUT262146 UEP262146 UOL262146 UYH262146 VID262146 VRZ262146 WBV262146 WLR262146 WVN262146 F327682 JB327682 SX327682 ACT327682 AMP327682 AWL327682 BGH327682 BQD327682 BZZ327682 CJV327682 CTR327682 DDN327682 DNJ327682 DXF327682 EHB327682 EQX327682 FAT327682 FKP327682 FUL327682 GEH327682 GOD327682 GXZ327682 HHV327682 HRR327682 IBN327682 ILJ327682 IVF327682 JFB327682 JOX327682 JYT327682 KIP327682 KSL327682 LCH327682 LMD327682 LVZ327682 MFV327682 MPR327682 MZN327682 NJJ327682 NTF327682 ODB327682 OMX327682 OWT327682 PGP327682 PQL327682 QAH327682 QKD327682 QTZ327682 RDV327682 RNR327682 RXN327682 SHJ327682 SRF327682 TBB327682 TKX327682 TUT327682 UEP327682 UOL327682 UYH327682 VID327682 VRZ327682 WBV327682 WLR327682 WVN327682 F393218 JB393218 SX393218 ACT393218 AMP393218 AWL393218 BGH393218 BQD393218 BZZ393218 CJV393218 CTR393218 DDN393218 DNJ393218 DXF393218 EHB393218 EQX393218 FAT393218 FKP393218 FUL393218 GEH393218 GOD393218 GXZ393218 HHV393218 HRR393218 IBN393218 ILJ393218 IVF393218 JFB393218 JOX393218 JYT393218 KIP393218 KSL393218 LCH393218 LMD393218 LVZ393218 MFV393218 MPR393218 MZN393218 NJJ393218 NTF393218 ODB393218 OMX393218 OWT393218 PGP393218 PQL393218 QAH393218 QKD393218 QTZ393218 RDV393218 RNR393218 RXN393218 SHJ393218 SRF393218 TBB393218 TKX393218 TUT393218 UEP393218 UOL393218 UYH393218 VID393218 VRZ393218 WBV393218 WLR393218 WVN393218 F458754 JB458754 SX458754 ACT458754 AMP458754 AWL458754 BGH458754 BQD458754 BZZ458754 CJV458754 CTR458754 DDN458754 DNJ458754 DXF458754 EHB458754 EQX458754 FAT458754 FKP458754 FUL458754 GEH458754 GOD458754 GXZ458754 HHV458754 HRR458754 IBN458754 ILJ458754 IVF458754 JFB458754 JOX458754 JYT458754 KIP458754 KSL458754 LCH458754 LMD458754 LVZ458754 MFV458754 MPR458754 MZN458754 NJJ458754 NTF458754 ODB458754 OMX458754 OWT458754 PGP458754 PQL458754 QAH458754 QKD458754 QTZ458754 RDV458754 RNR458754 RXN458754 SHJ458754 SRF458754 TBB458754 TKX458754 TUT458754 UEP458754 UOL458754 UYH458754 VID458754 VRZ458754 WBV458754 WLR458754 WVN458754 F524290 JB524290 SX524290 ACT524290 AMP524290 AWL524290 BGH524290 BQD524290 BZZ524290 CJV524290 CTR524290 DDN524290 DNJ524290 DXF524290 EHB524290 EQX524290 FAT524290 FKP524290 FUL524290 GEH524290 GOD524290 GXZ524290 HHV524290 HRR524290 IBN524290 ILJ524290 IVF524290 JFB524290 JOX524290 JYT524290 KIP524290 KSL524290 LCH524290 LMD524290 LVZ524290 MFV524290 MPR524290 MZN524290 NJJ524290 NTF524290 ODB524290 OMX524290 OWT524290 PGP524290 PQL524290 QAH524290 QKD524290 QTZ524290 RDV524290 RNR524290 RXN524290 SHJ524290 SRF524290 TBB524290 TKX524290 TUT524290 UEP524290 UOL524290 UYH524290 VID524290 VRZ524290 WBV524290 WLR524290 WVN524290 F589826 JB589826 SX589826 ACT589826 AMP589826 AWL589826 BGH589826 BQD589826 BZZ589826 CJV589826 CTR589826 DDN589826 DNJ589826 DXF589826 EHB589826 EQX589826 FAT589826 FKP589826 FUL589826 GEH589826 GOD589826 GXZ589826 HHV589826 HRR589826 IBN589826 ILJ589826 IVF589826 JFB589826 JOX589826 JYT589826 KIP589826 KSL589826 LCH589826 LMD589826 LVZ589826 MFV589826 MPR589826 MZN589826 NJJ589826 NTF589826 ODB589826 OMX589826 OWT589826 PGP589826 PQL589826 QAH589826 QKD589826 QTZ589826 RDV589826 RNR589826 RXN589826 SHJ589826 SRF589826 TBB589826 TKX589826 TUT589826 UEP589826 UOL589826 UYH589826 VID589826 VRZ589826 WBV589826 WLR589826 WVN589826 F655362 JB655362 SX655362 ACT655362 AMP655362 AWL655362 BGH655362 BQD655362 BZZ655362 CJV655362 CTR655362 DDN655362 DNJ655362 DXF655362 EHB655362 EQX655362 FAT655362 FKP655362 FUL655362 GEH655362 GOD655362 GXZ655362 HHV655362 HRR655362 IBN655362 ILJ655362 IVF655362 JFB655362 JOX655362 JYT655362 KIP655362 KSL655362 LCH655362 LMD655362 LVZ655362 MFV655362 MPR655362 MZN655362 NJJ655362 NTF655362 ODB655362 OMX655362 OWT655362 PGP655362 PQL655362 QAH655362 QKD655362 QTZ655362 RDV655362 RNR655362 RXN655362 SHJ655362 SRF655362 TBB655362 TKX655362 TUT655362 UEP655362 UOL655362 UYH655362 VID655362 VRZ655362 WBV655362 WLR655362 WVN655362 F720898 JB720898 SX720898 ACT720898 AMP720898 AWL720898 BGH720898 BQD720898 BZZ720898 CJV720898 CTR720898 DDN720898 DNJ720898 DXF720898 EHB720898 EQX720898 FAT720898 FKP720898 FUL720898 GEH720898 GOD720898 GXZ720898 HHV720898 HRR720898 IBN720898 ILJ720898 IVF720898 JFB720898 JOX720898 JYT720898 KIP720898 KSL720898 LCH720898 LMD720898 LVZ720898 MFV720898 MPR720898 MZN720898 NJJ720898 NTF720898 ODB720898 OMX720898 OWT720898 PGP720898 PQL720898 QAH720898 QKD720898 QTZ720898 RDV720898 RNR720898 RXN720898 SHJ720898 SRF720898 TBB720898 TKX720898 TUT720898 UEP720898 UOL720898 UYH720898 VID720898 VRZ720898 WBV720898 WLR720898 WVN720898 F786434 JB786434 SX786434 ACT786434 AMP786434 AWL786434 BGH786434 BQD786434 BZZ786434 CJV786434 CTR786434 DDN786434 DNJ786434 DXF786434 EHB786434 EQX786434 FAT786434 FKP786434 FUL786434 GEH786434 GOD786434 GXZ786434 HHV786434 HRR786434 IBN786434 ILJ786434 IVF786434 JFB786434 JOX786434 JYT786434 KIP786434 KSL786434 LCH786434 LMD786434 LVZ786434 MFV786434 MPR786434 MZN786434 NJJ786434 NTF786434 ODB786434 OMX786434 OWT786434 PGP786434 PQL786434 QAH786434 QKD786434 QTZ786434 RDV786434 RNR786434 RXN786434 SHJ786434 SRF786434 TBB786434 TKX786434 TUT786434 UEP786434 UOL786434 UYH786434 VID786434 VRZ786434 WBV786434 WLR786434 WVN786434 F851970 JB851970 SX851970 ACT851970 AMP851970 AWL851970 BGH851970 BQD851970 BZZ851970 CJV851970 CTR851970 DDN851970 DNJ851970 DXF851970 EHB851970 EQX851970 FAT851970 FKP851970 FUL851970 GEH851970 GOD851970 GXZ851970 HHV851970 HRR851970 IBN851970 ILJ851970 IVF851970 JFB851970 JOX851970 JYT851970 KIP851970 KSL851970 LCH851970 LMD851970 LVZ851970 MFV851970 MPR851970 MZN851970 NJJ851970 NTF851970 ODB851970 OMX851970 OWT851970 PGP851970 PQL851970 QAH851970 QKD851970 QTZ851970 RDV851970 RNR851970 RXN851970 SHJ851970 SRF851970 TBB851970 TKX851970 TUT851970 UEP851970 UOL851970 UYH851970 VID851970 VRZ851970 WBV851970 WLR851970 WVN851970 F917506 JB917506 SX917506 ACT917506 AMP917506 AWL917506 BGH917506 BQD917506 BZZ917506 CJV917506 CTR917506 DDN917506 DNJ917506 DXF917506 EHB917506 EQX917506 FAT917506 FKP917506 FUL917506 GEH917506 GOD917506 GXZ917506 HHV917506 HRR917506 IBN917506 ILJ917506 IVF917506 JFB917506 JOX917506 JYT917506 KIP917506 KSL917506 LCH917506 LMD917506 LVZ917506 MFV917506 MPR917506 MZN917506 NJJ917506 NTF917506 ODB917506 OMX917506 OWT917506 PGP917506 PQL917506 QAH917506 QKD917506 QTZ917506 RDV917506 RNR917506 RXN917506 SHJ917506 SRF917506 TBB917506 TKX917506 TUT917506 UEP917506 UOL917506 UYH917506 VID917506 VRZ917506 WBV917506 WLR917506 WVN917506 F983042 JB983042 SX983042 ACT983042 AMP983042 AWL983042 BGH983042 BQD983042 BZZ983042 CJV983042 CTR983042 DDN983042 DNJ983042 DXF983042 EHB983042 EQX983042 FAT983042 FKP983042 FUL983042 GEH983042 GOD983042 GXZ983042 HHV983042 HRR983042 IBN983042 ILJ983042 IVF983042 JFB983042 JOX983042 JYT983042 KIP983042 KSL983042 LCH983042 LMD983042 LVZ983042 MFV983042 MPR983042 MZN983042 NJJ983042 NTF983042 ODB983042 OMX983042 OWT983042 PGP983042 PQL983042 QAH983042 QKD983042 QTZ983042 RDV983042 RNR983042 RXN983042 SHJ983042 SRF983042 TBB983042 TKX983042 TUT983042 UEP983042 UOL983042 UYH983042 VID983042 VRZ983042 WBV983042 WLR983042 WVN983042">
      <formula1>Contributors</formula1>
    </dataValidation>
  </dataValidations>
  <pageMargins left="0.75" right="0.75" top="1" bottom="1" header="0.5" footer="0.5"/>
  <pageSetup paperSize="9" orientation="portrait" r:id="rId1"/>
  <headerFooter alignWithMargins="0"/>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R11"/>
  <sheetViews>
    <sheetView workbookViewId="0"/>
  </sheetViews>
  <sheetFormatPr defaultRowHeight="12.75" x14ac:dyDescent="0.2"/>
  <cols>
    <col min="1" max="1" width="5" style="20" customWidth="1"/>
    <col min="2" max="2" width="3" style="20" bestFit="1" customWidth="1"/>
    <col min="3" max="3" width="3.85546875" style="20" bestFit="1" customWidth="1"/>
    <col min="4" max="4" width="3.42578125" style="20" bestFit="1" customWidth="1"/>
    <col min="5" max="5" width="11.140625" style="20" bestFit="1" customWidth="1"/>
    <col min="6" max="6" width="15.42578125" style="20" bestFit="1" customWidth="1"/>
    <col min="7" max="7" width="6.28515625" style="20" bestFit="1" customWidth="1"/>
    <col min="8" max="9" width="5.7109375" style="20" bestFit="1" customWidth="1"/>
    <col min="10" max="10" width="8.85546875" style="20" bestFit="1" customWidth="1"/>
    <col min="11" max="11" width="5.7109375" style="20" bestFit="1" customWidth="1"/>
    <col min="12" max="12" width="5" style="20" customWidth="1"/>
    <col min="13" max="13" width="5.7109375" style="20" bestFit="1" customWidth="1"/>
    <col min="14" max="14" width="5" style="20" customWidth="1"/>
    <col min="15" max="15" width="19.5703125" style="20" bestFit="1" customWidth="1"/>
    <col min="16" max="17" width="7.7109375" style="20" bestFit="1" customWidth="1"/>
    <col min="18" max="18" width="5" style="20" customWidth="1"/>
    <col min="19" max="19" width="5.140625" style="20" customWidth="1"/>
    <col min="20" max="16384" width="9.140625" style="20"/>
  </cols>
  <sheetData>
    <row r="1" spans="1:18" x14ac:dyDescent="0.2">
      <c r="A1" s="339" t="s">
        <v>313</v>
      </c>
      <c r="B1" s="207"/>
      <c r="C1" s="207"/>
      <c r="D1" s="207"/>
      <c r="E1" s="207"/>
      <c r="F1" s="207"/>
      <c r="G1" s="207"/>
      <c r="H1" s="207"/>
      <c r="I1" s="207"/>
      <c r="J1" s="207"/>
      <c r="K1" s="207"/>
      <c r="L1" s="207"/>
      <c r="M1" s="207"/>
      <c r="N1" s="207"/>
      <c r="O1" s="207"/>
      <c r="P1" s="207"/>
      <c r="Q1" s="207"/>
      <c r="R1" s="204"/>
    </row>
    <row r="2" spans="1:18" x14ac:dyDescent="0.2">
      <c r="A2" s="304"/>
      <c r="B2" s="145"/>
      <c r="C2" s="145"/>
      <c r="D2" s="145"/>
      <c r="E2" s="145"/>
      <c r="F2" s="152" t="s">
        <v>238</v>
      </c>
      <c r="G2" s="145"/>
      <c r="H2" s="145"/>
      <c r="I2" s="145"/>
      <c r="J2" s="145"/>
      <c r="K2" s="145"/>
      <c r="L2" s="267"/>
      <c r="M2" s="267"/>
      <c r="N2" s="267"/>
      <c r="O2" s="337" t="s">
        <v>257</v>
      </c>
      <c r="P2" s="152" t="s">
        <v>147</v>
      </c>
      <c r="Q2" s="145"/>
      <c r="R2" s="54"/>
    </row>
    <row r="3" spans="1:18" x14ac:dyDescent="0.2">
      <c r="A3" s="130"/>
      <c r="B3" s="267"/>
      <c r="C3" s="145"/>
      <c r="D3" s="145"/>
      <c r="E3" s="145"/>
      <c r="F3" s="145"/>
      <c r="G3" s="145"/>
      <c r="H3" s="145"/>
      <c r="I3" s="145"/>
      <c r="J3" s="145"/>
      <c r="K3" s="145"/>
      <c r="L3" s="267"/>
      <c r="M3" s="267"/>
      <c r="N3" s="267"/>
      <c r="O3" s="145"/>
      <c r="P3" s="145"/>
      <c r="Q3" s="299">
        <f>_xll.ohTrigger(Q5:Q10)</f>
        <v>3</v>
      </c>
      <c r="R3" s="225"/>
    </row>
    <row r="4" spans="1:18" ht="22.5" x14ac:dyDescent="0.2">
      <c r="A4" s="130"/>
      <c r="B4" s="399"/>
      <c r="C4" s="210"/>
      <c r="D4" s="202"/>
      <c r="E4" s="202"/>
      <c r="F4" s="298" t="e">
        <f ca="1">_xll.RData(F5:F10,G4:J4,,ReutersRtMode,,G5)</f>
        <v>#NAME?</v>
      </c>
      <c r="G4" s="336" t="s">
        <v>261</v>
      </c>
      <c r="H4" s="336" t="s">
        <v>228</v>
      </c>
      <c r="I4" s="336"/>
      <c r="J4" s="336" t="s">
        <v>303</v>
      </c>
      <c r="K4" s="293" t="s">
        <v>259</v>
      </c>
      <c r="L4" s="267"/>
      <c r="M4" s="296" t="s">
        <v>255</v>
      </c>
      <c r="N4" s="267"/>
      <c r="O4" s="295" t="s">
        <v>254</v>
      </c>
      <c r="P4" s="398" t="s">
        <v>253</v>
      </c>
      <c r="Q4" s="100" t="s">
        <v>252</v>
      </c>
      <c r="R4" s="225"/>
    </row>
    <row r="5" spans="1:18" x14ac:dyDescent="0.2">
      <c r="A5" s="130"/>
      <c r="B5" s="332" t="s">
        <v>302</v>
      </c>
      <c r="C5" s="320" t="s">
        <v>193</v>
      </c>
      <c r="D5" s="320" t="s">
        <v>192</v>
      </c>
      <c r="E5" s="318" t="str">
        <f t="shared" ref="E5:E10" si="0">Currency&amp;$C5&amp;$D5&amp;$B5</f>
        <v>EURECBOISM1</v>
      </c>
      <c r="F5" s="318" t="str">
        <f t="array" ref="F5:F10">Instruments&amp;"="&amp;VLOOKUP(Contributor,ContributorTable,2,FALSE)</f>
        <v>EURECBOISM1=ICAP</v>
      </c>
      <c r="G5" s="273">
        <v>8.5000000000000006E-2</v>
      </c>
      <c r="H5" s="273">
        <v>0.13500000000000001</v>
      </c>
      <c r="I5" s="273" t="s">
        <v>291</v>
      </c>
      <c r="J5" s="421" t="s">
        <v>301</v>
      </c>
      <c r="K5" s="276">
        <f t="shared" ref="K5:K10" si="1">AVERAGE($G5,$H5)</f>
        <v>0.11000000000000001</v>
      </c>
      <c r="L5" s="267"/>
      <c r="M5" s="287">
        <v>0.11000000000000001</v>
      </c>
      <c r="N5" s="267"/>
      <c r="O5" s="286" t="str">
        <f t="shared" ref="O5:O10" si="2">Currency&amp;$C5&amp;$D5&amp;UPPER(TRIM($J5))&amp;$P$2</f>
        <v>EURECBOISAUG13_Quote</v>
      </c>
      <c r="P5" s="285">
        <f t="array" ref="P5:P10">QuoteLive</f>
        <v>0.11000000000000001</v>
      </c>
      <c r="Q5" s="284" t="e">
        <f>_xll.qlSimpleQuoteSetValue($O5,$P5/100,Trigger)</f>
        <v>#N/A</v>
      </c>
      <c r="R5" s="225"/>
    </row>
    <row r="6" spans="1:18" x14ac:dyDescent="0.2">
      <c r="A6" s="130"/>
      <c r="B6" s="321" t="s">
        <v>300</v>
      </c>
      <c r="C6" s="320" t="s">
        <v>193</v>
      </c>
      <c r="D6" s="320" t="s">
        <v>192</v>
      </c>
      <c r="E6" s="318" t="str">
        <f t="shared" si="0"/>
        <v>EURECBOISM2</v>
      </c>
      <c r="F6" s="318" t="str">
        <v>EURECBOISM2=ICAP</v>
      </c>
      <c r="G6" s="273">
        <v>9.7000000000000003E-2</v>
      </c>
      <c r="H6" s="273">
        <v>0.14699999999999999</v>
      </c>
      <c r="I6" s="273" t="s">
        <v>291</v>
      </c>
      <c r="J6" s="421" t="s">
        <v>299</v>
      </c>
      <c r="K6" s="276">
        <f t="shared" si="1"/>
        <v>0.122</v>
      </c>
      <c r="L6" s="267"/>
      <c r="M6" s="275">
        <v>0.122</v>
      </c>
      <c r="N6" s="267"/>
      <c r="O6" s="274" t="str">
        <f t="shared" si="2"/>
        <v>EURECBOISSEP13_Quote</v>
      </c>
      <c r="P6" s="273">
        <v>0.122</v>
      </c>
      <c r="Q6" s="272" t="e">
        <f>_xll.qlSimpleQuoteSetValue($O6,$P6/100,Trigger)</f>
        <v>#N/A</v>
      </c>
      <c r="R6" s="225"/>
    </row>
    <row r="7" spans="1:18" x14ac:dyDescent="0.2">
      <c r="A7" s="130"/>
      <c r="B7" s="321" t="s">
        <v>298</v>
      </c>
      <c r="C7" s="320" t="s">
        <v>193</v>
      </c>
      <c r="D7" s="320" t="s">
        <v>192</v>
      </c>
      <c r="E7" s="318" t="str">
        <f t="shared" si="0"/>
        <v>EURECBOISM3</v>
      </c>
      <c r="F7" s="318" t="str">
        <v>EURECBOISM3=ICAP</v>
      </c>
      <c r="G7" s="273">
        <v>9.5000000000000001E-2</v>
      </c>
      <c r="H7" s="273">
        <v>0.14499999999999999</v>
      </c>
      <c r="I7" s="273" t="s">
        <v>291</v>
      </c>
      <c r="J7" s="421" t="s">
        <v>297</v>
      </c>
      <c r="K7" s="276">
        <f t="shared" si="1"/>
        <v>0.12</v>
      </c>
      <c r="L7" s="267"/>
      <c r="M7" s="275">
        <v>0.12</v>
      </c>
      <c r="N7" s="267"/>
      <c r="O7" s="274" t="str">
        <f t="shared" si="2"/>
        <v>EURECBOISOCT13_Quote</v>
      </c>
      <c r="P7" s="273">
        <v>0.12</v>
      </c>
      <c r="Q7" s="272" t="e">
        <f>_xll.qlSimpleQuoteSetValue($O7,$P7/100,Trigger)</f>
        <v>#N/A</v>
      </c>
      <c r="R7" s="225"/>
    </row>
    <row r="8" spans="1:18" x14ac:dyDescent="0.2">
      <c r="A8" s="130"/>
      <c r="B8" s="321" t="s">
        <v>296</v>
      </c>
      <c r="C8" s="320" t="s">
        <v>193</v>
      </c>
      <c r="D8" s="320" t="s">
        <v>192</v>
      </c>
      <c r="E8" s="318" t="str">
        <f t="shared" si="0"/>
        <v>EURECBOISM4</v>
      </c>
      <c r="F8" s="318" t="str">
        <v>EURECBOISM4=ICAP</v>
      </c>
      <c r="G8" s="273">
        <v>9.8000000000000004E-2</v>
      </c>
      <c r="H8" s="273">
        <v>0.14799999999999999</v>
      </c>
      <c r="I8" s="273" t="s">
        <v>291</v>
      </c>
      <c r="J8" s="421" t="s">
        <v>295</v>
      </c>
      <c r="K8" s="276">
        <f t="shared" si="1"/>
        <v>0.123</v>
      </c>
      <c r="L8" s="267"/>
      <c r="M8" s="275">
        <v>0.123</v>
      </c>
      <c r="N8" s="267"/>
      <c r="O8" s="274" t="str">
        <f t="shared" si="2"/>
        <v>EURECBOISNOV13_Quote</v>
      </c>
      <c r="P8" s="273">
        <v>0.123</v>
      </c>
      <c r="Q8" s="272" t="e">
        <f>_xll.qlSimpleQuoteSetValue($O8,$P8/100,Trigger)</f>
        <v>#N/A</v>
      </c>
      <c r="R8" s="225"/>
    </row>
    <row r="9" spans="1:18" x14ac:dyDescent="0.2">
      <c r="A9" s="130"/>
      <c r="B9" s="321" t="s">
        <v>294</v>
      </c>
      <c r="C9" s="320" t="s">
        <v>193</v>
      </c>
      <c r="D9" s="320" t="s">
        <v>192</v>
      </c>
      <c r="E9" s="318" t="str">
        <f t="shared" si="0"/>
        <v>EURECBOISM5</v>
      </c>
      <c r="F9" s="318" t="str">
        <v>EURECBOISM5=ICAP</v>
      </c>
      <c r="G9" s="273">
        <v>0.12</v>
      </c>
      <c r="H9" s="273">
        <v>0.17</v>
      </c>
      <c r="I9" s="273" t="s">
        <v>291</v>
      </c>
      <c r="J9" s="421" t="s">
        <v>293</v>
      </c>
      <c r="K9" s="276">
        <f t="shared" si="1"/>
        <v>0.14500000000000002</v>
      </c>
      <c r="L9" s="267"/>
      <c r="M9" s="275">
        <v>0.14500000000000002</v>
      </c>
      <c r="N9" s="267"/>
      <c r="O9" s="274" t="str">
        <f t="shared" si="2"/>
        <v>EURECBOISDEC13_Quote</v>
      </c>
      <c r="P9" s="273">
        <v>0.14500000000000002</v>
      </c>
      <c r="Q9" s="272" t="e">
        <f>_xll.qlSimpleQuoteSetValue($O9,$P9/100,Trigger)</f>
        <v>#N/A</v>
      </c>
      <c r="R9" s="225"/>
    </row>
    <row r="10" spans="1:18" x14ac:dyDescent="0.2">
      <c r="A10" s="130"/>
      <c r="B10" s="327" t="s">
        <v>292</v>
      </c>
      <c r="C10" s="326" t="s">
        <v>193</v>
      </c>
      <c r="D10" s="326" t="s">
        <v>192</v>
      </c>
      <c r="E10" s="324" t="str">
        <f t="shared" si="0"/>
        <v>EURECBOISM6</v>
      </c>
      <c r="F10" s="324" t="str">
        <v>EURECBOISM6=ICAP</v>
      </c>
      <c r="G10" s="265">
        <v>0.11799999999999999</v>
      </c>
      <c r="H10" s="265">
        <v>0.16800000000000001</v>
      </c>
      <c r="I10" s="265" t="s">
        <v>291</v>
      </c>
      <c r="J10" s="420" t="s">
        <v>290</v>
      </c>
      <c r="K10" s="269">
        <f t="shared" si="1"/>
        <v>0.14300000000000002</v>
      </c>
      <c r="L10" s="267"/>
      <c r="M10" s="268">
        <v>0.14300000000000002</v>
      </c>
      <c r="N10" s="267"/>
      <c r="O10" s="266" t="str">
        <f t="shared" si="2"/>
        <v>EURECBOISJAN14_Quote</v>
      </c>
      <c r="P10" s="265">
        <v>0.14300000000000002</v>
      </c>
      <c r="Q10" s="264" t="e">
        <f>_xll.qlSimpleQuoteSetValue($O10,$P10/100,Trigger)</f>
        <v>#NUM!</v>
      </c>
      <c r="R10" s="225"/>
    </row>
    <row r="11" spans="1:18" ht="13.5" thickBot="1" x14ac:dyDescent="0.25">
      <c r="A11" s="53"/>
      <c r="B11" s="306"/>
      <c r="C11" s="306"/>
      <c r="D11" s="306"/>
      <c r="E11" s="306"/>
      <c r="F11" s="306"/>
      <c r="G11" s="306"/>
      <c r="H11" s="306"/>
      <c r="I11" s="306"/>
      <c r="J11" s="306"/>
      <c r="K11" s="306"/>
      <c r="L11" s="52"/>
      <c r="M11" s="52"/>
      <c r="N11" s="52"/>
      <c r="O11" s="52"/>
      <c r="P11" s="52"/>
      <c r="Q11" s="52"/>
      <c r="R11" s="394"/>
    </row>
  </sheetData>
  <dataValidations count="1">
    <dataValidation type="list" showInputMessage="1" showErrorMessage="1" sqref="F2 JB2 SX2 ACT2 AMP2 AWL2 BGH2 BQD2 BZZ2 CJV2 CTR2 DDN2 DNJ2 DXF2 EHB2 EQX2 FAT2 FKP2 FUL2 GEH2 GOD2 GXZ2 HHV2 HRR2 IBN2 ILJ2 IVF2 JFB2 JOX2 JYT2 KIP2 KSL2 LCH2 LMD2 LVZ2 MFV2 MPR2 MZN2 NJJ2 NTF2 ODB2 OMX2 OWT2 PGP2 PQL2 QAH2 QKD2 QTZ2 RDV2 RNR2 RXN2 SHJ2 SRF2 TBB2 TKX2 TUT2 UEP2 UOL2 UYH2 VID2 VRZ2 WBV2 WLR2 WVN2 F65538 JB65538 SX65538 ACT65538 AMP65538 AWL65538 BGH65538 BQD65538 BZZ65538 CJV65538 CTR65538 DDN65538 DNJ65538 DXF65538 EHB65538 EQX65538 FAT65538 FKP65538 FUL65538 GEH65538 GOD65538 GXZ65538 HHV65538 HRR65538 IBN65538 ILJ65538 IVF65538 JFB65538 JOX65538 JYT65538 KIP65538 KSL65538 LCH65538 LMD65538 LVZ65538 MFV65538 MPR65538 MZN65538 NJJ65538 NTF65538 ODB65538 OMX65538 OWT65538 PGP65538 PQL65538 QAH65538 QKD65538 QTZ65538 RDV65538 RNR65538 RXN65538 SHJ65538 SRF65538 TBB65538 TKX65538 TUT65538 UEP65538 UOL65538 UYH65538 VID65538 VRZ65538 WBV65538 WLR65538 WVN65538 F131074 JB131074 SX131074 ACT131074 AMP131074 AWL131074 BGH131074 BQD131074 BZZ131074 CJV131074 CTR131074 DDN131074 DNJ131074 DXF131074 EHB131074 EQX131074 FAT131074 FKP131074 FUL131074 GEH131074 GOD131074 GXZ131074 HHV131074 HRR131074 IBN131074 ILJ131074 IVF131074 JFB131074 JOX131074 JYT131074 KIP131074 KSL131074 LCH131074 LMD131074 LVZ131074 MFV131074 MPR131074 MZN131074 NJJ131074 NTF131074 ODB131074 OMX131074 OWT131074 PGP131074 PQL131074 QAH131074 QKD131074 QTZ131074 RDV131074 RNR131074 RXN131074 SHJ131074 SRF131074 TBB131074 TKX131074 TUT131074 UEP131074 UOL131074 UYH131074 VID131074 VRZ131074 WBV131074 WLR131074 WVN131074 F196610 JB196610 SX196610 ACT196610 AMP196610 AWL196610 BGH196610 BQD196610 BZZ196610 CJV196610 CTR196610 DDN196610 DNJ196610 DXF196610 EHB196610 EQX196610 FAT196610 FKP196610 FUL196610 GEH196610 GOD196610 GXZ196610 HHV196610 HRR196610 IBN196610 ILJ196610 IVF196610 JFB196610 JOX196610 JYT196610 KIP196610 KSL196610 LCH196610 LMD196610 LVZ196610 MFV196610 MPR196610 MZN196610 NJJ196610 NTF196610 ODB196610 OMX196610 OWT196610 PGP196610 PQL196610 QAH196610 QKD196610 QTZ196610 RDV196610 RNR196610 RXN196610 SHJ196610 SRF196610 TBB196610 TKX196610 TUT196610 UEP196610 UOL196610 UYH196610 VID196610 VRZ196610 WBV196610 WLR196610 WVN196610 F262146 JB262146 SX262146 ACT262146 AMP262146 AWL262146 BGH262146 BQD262146 BZZ262146 CJV262146 CTR262146 DDN262146 DNJ262146 DXF262146 EHB262146 EQX262146 FAT262146 FKP262146 FUL262146 GEH262146 GOD262146 GXZ262146 HHV262146 HRR262146 IBN262146 ILJ262146 IVF262146 JFB262146 JOX262146 JYT262146 KIP262146 KSL262146 LCH262146 LMD262146 LVZ262146 MFV262146 MPR262146 MZN262146 NJJ262146 NTF262146 ODB262146 OMX262146 OWT262146 PGP262146 PQL262146 QAH262146 QKD262146 QTZ262146 RDV262146 RNR262146 RXN262146 SHJ262146 SRF262146 TBB262146 TKX262146 TUT262146 UEP262146 UOL262146 UYH262146 VID262146 VRZ262146 WBV262146 WLR262146 WVN262146 F327682 JB327682 SX327682 ACT327682 AMP327682 AWL327682 BGH327682 BQD327682 BZZ327682 CJV327682 CTR327682 DDN327682 DNJ327682 DXF327682 EHB327682 EQX327682 FAT327682 FKP327682 FUL327682 GEH327682 GOD327682 GXZ327682 HHV327682 HRR327682 IBN327682 ILJ327682 IVF327682 JFB327682 JOX327682 JYT327682 KIP327682 KSL327682 LCH327682 LMD327682 LVZ327682 MFV327682 MPR327682 MZN327682 NJJ327682 NTF327682 ODB327682 OMX327682 OWT327682 PGP327682 PQL327682 QAH327682 QKD327682 QTZ327682 RDV327682 RNR327682 RXN327682 SHJ327682 SRF327682 TBB327682 TKX327682 TUT327682 UEP327682 UOL327682 UYH327682 VID327682 VRZ327682 WBV327682 WLR327682 WVN327682 F393218 JB393218 SX393218 ACT393218 AMP393218 AWL393218 BGH393218 BQD393218 BZZ393218 CJV393218 CTR393218 DDN393218 DNJ393218 DXF393218 EHB393218 EQX393218 FAT393218 FKP393218 FUL393218 GEH393218 GOD393218 GXZ393218 HHV393218 HRR393218 IBN393218 ILJ393218 IVF393218 JFB393218 JOX393218 JYT393218 KIP393218 KSL393218 LCH393218 LMD393218 LVZ393218 MFV393218 MPR393218 MZN393218 NJJ393218 NTF393218 ODB393218 OMX393218 OWT393218 PGP393218 PQL393218 QAH393218 QKD393218 QTZ393218 RDV393218 RNR393218 RXN393218 SHJ393218 SRF393218 TBB393218 TKX393218 TUT393218 UEP393218 UOL393218 UYH393218 VID393218 VRZ393218 WBV393218 WLR393218 WVN393218 F458754 JB458754 SX458754 ACT458754 AMP458754 AWL458754 BGH458754 BQD458754 BZZ458754 CJV458754 CTR458754 DDN458754 DNJ458754 DXF458754 EHB458754 EQX458754 FAT458754 FKP458754 FUL458754 GEH458754 GOD458754 GXZ458754 HHV458754 HRR458754 IBN458754 ILJ458754 IVF458754 JFB458754 JOX458754 JYT458754 KIP458754 KSL458754 LCH458754 LMD458754 LVZ458754 MFV458754 MPR458754 MZN458754 NJJ458754 NTF458754 ODB458754 OMX458754 OWT458754 PGP458754 PQL458754 QAH458754 QKD458754 QTZ458754 RDV458754 RNR458754 RXN458754 SHJ458754 SRF458754 TBB458754 TKX458754 TUT458754 UEP458754 UOL458754 UYH458754 VID458754 VRZ458754 WBV458754 WLR458754 WVN458754 F524290 JB524290 SX524290 ACT524290 AMP524290 AWL524290 BGH524290 BQD524290 BZZ524290 CJV524290 CTR524290 DDN524290 DNJ524290 DXF524290 EHB524290 EQX524290 FAT524290 FKP524290 FUL524290 GEH524290 GOD524290 GXZ524290 HHV524290 HRR524290 IBN524290 ILJ524290 IVF524290 JFB524290 JOX524290 JYT524290 KIP524290 KSL524290 LCH524290 LMD524290 LVZ524290 MFV524290 MPR524290 MZN524290 NJJ524290 NTF524290 ODB524290 OMX524290 OWT524290 PGP524290 PQL524290 QAH524290 QKD524290 QTZ524290 RDV524290 RNR524290 RXN524290 SHJ524290 SRF524290 TBB524290 TKX524290 TUT524290 UEP524290 UOL524290 UYH524290 VID524290 VRZ524290 WBV524290 WLR524290 WVN524290 F589826 JB589826 SX589826 ACT589826 AMP589826 AWL589826 BGH589826 BQD589826 BZZ589826 CJV589826 CTR589826 DDN589826 DNJ589826 DXF589826 EHB589826 EQX589826 FAT589826 FKP589826 FUL589826 GEH589826 GOD589826 GXZ589826 HHV589826 HRR589826 IBN589826 ILJ589826 IVF589826 JFB589826 JOX589826 JYT589826 KIP589826 KSL589826 LCH589826 LMD589826 LVZ589826 MFV589826 MPR589826 MZN589826 NJJ589826 NTF589826 ODB589826 OMX589826 OWT589826 PGP589826 PQL589826 QAH589826 QKD589826 QTZ589826 RDV589826 RNR589826 RXN589826 SHJ589826 SRF589826 TBB589826 TKX589826 TUT589826 UEP589826 UOL589826 UYH589826 VID589826 VRZ589826 WBV589826 WLR589826 WVN589826 F655362 JB655362 SX655362 ACT655362 AMP655362 AWL655362 BGH655362 BQD655362 BZZ655362 CJV655362 CTR655362 DDN655362 DNJ655362 DXF655362 EHB655362 EQX655362 FAT655362 FKP655362 FUL655362 GEH655362 GOD655362 GXZ655362 HHV655362 HRR655362 IBN655362 ILJ655362 IVF655362 JFB655362 JOX655362 JYT655362 KIP655362 KSL655362 LCH655362 LMD655362 LVZ655362 MFV655362 MPR655362 MZN655362 NJJ655362 NTF655362 ODB655362 OMX655362 OWT655362 PGP655362 PQL655362 QAH655362 QKD655362 QTZ655362 RDV655362 RNR655362 RXN655362 SHJ655362 SRF655362 TBB655362 TKX655362 TUT655362 UEP655362 UOL655362 UYH655362 VID655362 VRZ655362 WBV655362 WLR655362 WVN655362 F720898 JB720898 SX720898 ACT720898 AMP720898 AWL720898 BGH720898 BQD720898 BZZ720898 CJV720898 CTR720898 DDN720898 DNJ720898 DXF720898 EHB720898 EQX720898 FAT720898 FKP720898 FUL720898 GEH720898 GOD720898 GXZ720898 HHV720898 HRR720898 IBN720898 ILJ720898 IVF720898 JFB720898 JOX720898 JYT720898 KIP720898 KSL720898 LCH720898 LMD720898 LVZ720898 MFV720898 MPR720898 MZN720898 NJJ720898 NTF720898 ODB720898 OMX720898 OWT720898 PGP720898 PQL720898 QAH720898 QKD720898 QTZ720898 RDV720898 RNR720898 RXN720898 SHJ720898 SRF720898 TBB720898 TKX720898 TUT720898 UEP720898 UOL720898 UYH720898 VID720898 VRZ720898 WBV720898 WLR720898 WVN720898 F786434 JB786434 SX786434 ACT786434 AMP786434 AWL786434 BGH786434 BQD786434 BZZ786434 CJV786434 CTR786434 DDN786434 DNJ786434 DXF786434 EHB786434 EQX786434 FAT786434 FKP786434 FUL786434 GEH786434 GOD786434 GXZ786434 HHV786434 HRR786434 IBN786434 ILJ786434 IVF786434 JFB786434 JOX786434 JYT786434 KIP786434 KSL786434 LCH786434 LMD786434 LVZ786434 MFV786434 MPR786434 MZN786434 NJJ786434 NTF786434 ODB786434 OMX786434 OWT786434 PGP786434 PQL786434 QAH786434 QKD786434 QTZ786434 RDV786434 RNR786434 RXN786434 SHJ786434 SRF786434 TBB786434 TKX786434 TUT786434 UEP786434 UOL786434 UYH786434 VID786434 VRZ786434 WBV786434 WLR786434 WVN786434 F851970 JB851970 SX851970 ACT851970 AMP851970 AWL851970 BGH851970 BQD851970 BZZ851970 CJV851970 CTR851970 DDN851970 DNJ851970 DXF851970 EHB851970 EQX851970 FAT851970 FKP851970 FUL851970 GEH851970 GOD851970 GXZ851970 HHV851970 HRR851970 IBN851970 ILJ851970 IVF851970 JFB851970 JOX851970 JYT851970 KIP851970 KSL851970 LCH851970 LMD851970 LVZ851970 MFV851970 MPR851970 MZN851970 NJJ851970 NTF851970 ODB851970 OMX851970 OWT851970 PGP851970 PQL851970 QAH851970 QKD851970 QTZ851970 RDV851970 RNR851970 RXN851970 SHJ851970 SRF851970 TBB851970 TKX851970 TUT851970 UEP851970 UOL851970 UYH851970 VID851970 VRZ851970 WBV851970 WLR851970 WVN851970 F917506 JB917506 SX917506 ACT917506 AMP917506 AWL917506 BGH917506 BQD917506 BZZ917506 CJV917506 CTR917506 DDN917506 DNJ917506 DXF917506 EHB917506 EQX917506 FAT917506 FKP917506 FUL917506 GEH917506 GOD917506 GXZ917506 HHV917506 HRR917506 IBN917506 ILJ917506 IVF917506 JFB917506 JOX917506 JYT917506 KIP917506 KSL917506 LCH917506 LMD917506 LVZ917506 MFV917506 MPR917506 MZN917506 NJJ917506 NTF917506 ODB917506 OMX917506 OWT917506 PGP917506 PQL917506 QAH917506 QKD917506 QTZ917506 RDV917506 RNR917506 RXN917506 SHJ917506 SRF917506 TBB917506 TKX917506 TUT917506 UEP917506 UOL917506 UYH917506 VID917506 VRZ917506 WBV917506 WLR917506 WVN917506 F983042 JB983042 SX983042 ACT983042 AMP983042 AWL983042 BGH983042 BQD983042 BZZ983042 CJV983042 CTR983042 DDN983042 DNJ983042 DXF983042 EHB983042 EQX983042 FAT983042 FKP983042 FUL983042 GEH983042 GOD983042 GXZ983042 HHV983042 HRR983042 IBN983042 ILJ983042 IVF983042 JFB983042 JOX983042 JYT983042 KIP983042 KSL983042 LCH983042 LMD983042 LVZ983042 MFV983042 MPR983042 MZN983042 NJJ983042 NTF983042 ODB983042 OMX983042 OWT983042 PGP983042 PQL983042 QAH983042 QKD983042 QTZ983042 RDV983042 RNR983042 RXN983042 SHJ983042 SRF983042 TBB983042 TKX983042 TUT983042 UEP983042 UOL983042 UYH983042 VID983042 VRZ983042 WBV983042 WLR983042 WVN983042">
      <formula1>Contributors</formula1>
    </dataValidation>
  </dataValidations>
  <pageMargins left="0.75" right="0.75" top="1" bottom="1" header="0.5" footer="0.5"/>
  <pageSetup paperSize="9" orientation="portrait" r:id="rId1"/>
  <headerFooter alignWithMargins="0"/>
</worksheet>
</file>

<file path=xl/worksheets/sheet6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4"/>
  <dimension ref="A1:AJ56"/>
  <sheetViews>
    <sheetView tabSelected="1" workbookViewId="0"/>
  </sheetViews>
  <sheetFormatPr defaultRowHeight="12.75" x14ac:dyDescent="0.2"/>
  <cols>
    <col min="1" max="1" width="3" style="422" customWidth="1"/>
    <col min="2" max="2" width="5.140625" style="422" customWidth="1"/>
    <col min="3" max="3" width="14.85546875" style="422" bestFit="1" customWidth="1"/>
    <col min="4" max="4" width="21.42578125" style="422" bestFit="1" customWidth="1"/>
    <col min="5" max="5" width="20.7109375" style="422" bestFit="1" customWidth="1"/>
    <col min="6" max="6" width="5.42578125" style="422" customWidth="1"/>
    <col min="7" max="16384" width="9.140625" style="422"/>
  </cols>
  <sheetData>
    <row r="1" spans="1:36" s="423" customFormat="1" ht="13.5" thickBot="1" x14ac:dyDescent="0.25">
      <c r="A1" s="423" t="s">
        <v>313</v>
      </c>
      <c r="B1" s="423" t="str">
        <f>_xll.qlxlVersion(TRUE,Trigger)</f>
        <v>QuantLibXL 1.3.0 - MS VC++ 9.0 - Multithreaded Static Runtime library - Release Configuration - Dec  5 2013 11:03:51</v>
      </c>
    </row>
    <row r="2" spans="1:36" s="423" customFormat="1" ht="15.75" x14ac:dyDescent="0.25">
      <c r="B2" s="455" t="s">
        <v>312</v>
      </c>
      <c r="C2" s="456"/>
      <c r="D2" s="456"/>
      <c r="E2" s="456"/>
      <c r="F2" s="457"/>
    </row>
    <row r="3" spans="1:36" s="20" customFormat="1" x14ac:dyDescent="0.2">
      <c r="A3" s="423"/>
      <c r="B3" s="429"/>
      <c r="C3" s="451"/>
      <c r="D3" s="451"/>
      <c r="E3" s="451"/>
      <c r="F3" s="450"/>
      <c r="G3" s="423"/>
      <c r="H3" s="423"/>
      <c r="I3" s="423"/>
      <c r="J3" s="423"/>
      <c r="K3" s="423"/>
      <c r="L3" s="423"/>
      <c r="M3" s="423"/>
      <c r="N3" s="423"/>
      <c r="O3" s="423"/>
      <c r="P3" s="423"/>
      <c r="Q3" s="423"/>
      <c r="R3" s="423"/>
      <c r="S3" s="423"/>
      <c r="T3" s="423"/>
      <c r="U3" s="423"/>
      <c r="V3" s="423"/>
      <c r="W3" s="423"/>
      <c r="X3" s="423"/>
      <c r="Y3" s="423"/>
      <c r="Z3" s="423"/>
      <c r="AA3" s="423"/>
      <c r="AB3" s="423"/>
      <c r="AC3" s="423"/>
      <c r="AD3" s="423"/>
      <c r="AE3" s="423"/>
      <c r="AF3" s="423"/>
      <c r="AG3" s="423"/>
      <c r="AH3" s="423"/>
      <c r="AI3" s="423"/>
      <c r="AJ3" s="423"/>
    </row>
    <row r="4" spans="1:36" s="20" customFormat="1" x14ac:dyDescent="0.2">
      <c r="A4" s="423"/>
      <c r="B4" s="429"/>
      <c r="C4" s="449" t="s">
        <v>25</v>
      </c>
      <c r="D4" s="448" t="s">
        <v>123</v>
      </c>
      <c r="E4" s="439"/>
      <c r="F4" s="431"/>
      <c r="G4" s="423"/>
      <c r="H4" s="423"/>
      <c r="I4" s="423"/>
      <c r="J4" s="423"/>
      <c r="K4" s="423"/>
      <c r="L4" s="423"/>
      <c r="M4" s="423"/>
      <c r="N4" s="423"/>
      <c r="O4" s="423"/>
      <c r="P4" s="423"/>
      <c r="Q4" s="423"/>
      <c r="R4" s="423"/>
      <c r="S4" s="423"/>
      <c r="T4" s="423"/>
      <c r="U4" s="423"/>
      <c r="V4" s="423"/>
      <c r="W4" s="423"/>
      <c r="X4" s="423"/>
      <c r="Y4" s="423"/>
      <c r="Z4" s="423"/>
      <c r="AA4" s="423"/>
      <c r="AB4" s="423"/>
      <c r="AC4" s="423"/>
      <c r="AD4" s="423"/>
      <c r="AE4" s="423"/>
      <c r="AF4" s="423"/>
      <c r="AG4" s="423"/>
      <c r="AH4" s="423"/>
      <c r="AI4" s="423"/>
      <c r="AJ4" s="423"/>
    </row>
    <row r="5" spans="1:36" s="20" customFormat="1" x14ac:dyDescent="0.2">
      <c r="A5" s="423"/>
      <c r="B5" s="429"/>
      <c r="C5" s="445" t="s">
        <v>31</v>
      </c>
      <c r="D5" s="447">
        <v>41479.711631944447</v>
      </c>
      <c r="E5" s="439"/>
      <c r="F5" s="431"/>
      <c r="G5" s="423"/>
      <c r="H5" s="423"/>
      <c r="I5" s="423"/>
      <c r="J5" s="423"/>
      <c r="K5" s="423"/>
      <c r="L5" s="423"/>
      <c r="M5" s="423"/>
      <c r="N5" s="423"/>
      <c r="O5" s="423"/>
      <c r="P5" s="423"/>
      <c r="Q5" s="423"/>
      <c r="R5" s="423"/>
      <c r="S5" s="423"/>
      <c r="T5" s="423"/>
      <c r="U5" s="423"/>
      <c r="V5" s="423"/>
      <c r="W5" s="423"/>
      <c r="X5" s="423"/>
      <c r="Y5" s="423"/>
      <c r="Z5" s="423"/>
      <c r="AA5" s="423"/>
      <c r="AB5" s="423"/>
      <c r="AC5" s="423"/>
      <c r="AD5" s="423"/>
      <c r="AE5" s="423"/>
      <c r="AF5" s="423"/>
      <c r="AG5" s="423"/>
      <c r="AH5" s="423"/>
      <c r="AI5" s="423"/>
      <c r="AJ5" s="423"/>
    </row>
    <row r="6" spans="1:36" s="20" customFormat="1" x14ac:dyDescent="0.2">
      <c r="A6" s="423"/>
      <c r="B6" s="429"/>
      <c r="C6" s="445" t="s">
        <v>311</v>
      </c>
      <c r="D6" s="446" t="s">
        <v>310</v>
      </c>
      <c r="E6" s="439"/>
      <c r="F6" s="431"/>
      <c r="G6" s="423"/>
      <c r="H6" s="423"/>
      <c r="I6" s="423"/>
      <c r="J6" s="423"/>
      <c r="K6" s="423"/>
      <c r="L6" s="423"/>
      <c r="M6" s="423"/>
      <c r="N6" s="423"/>
      <c r="O6" s="423"/>
      <c r="P6" s="423"/>
      <c r="Q6" s="423"/>
      <c r="R6" s="423"/>
      <c r="S6" s="423"/>
      <c r="T6" s="423"/>
      <c r="U6" s="423"/>
      <c r="V6" s="423"/>
      <c r="W6" s="423"/>
      <c r="X6" s="423"/>
      <c r="Y6" s="423"/>
      <c r="Z6" s="423"/>
      <c r="AA6" s="423"/>
      <c r="AB6" s="423"/>
      <c r="AC6" s="423"/>
      <c r="AD6" s="423"/>
      <c r="AE6" s="423"/>
      <c r="AF6" s="423"/>
      <c r="AG6" s="423"/>
      <c r="AH6" s="423"/>
      <c r="AI6" s="423"/>
      <c r="AJ6" s="423"/>
    </row>
    <row r="7" spans="1:36" s="20" customFormat="1" x14ac:dyDescent="0.2">
      <c r="A7" s="423"/>
      <c r="B7" s="429"/>
      <c r="C7" s="445" t="s">
        <v>309</v>
      </c>
      <c r="D7" s="444">
        <f>_xll.ohTrigger('Deposits (2)'!J3,'FRA (2)'!P3,'Futures3M (2)'!R4,FuturesConvexityAdjustment!L3,Swap1M!Q3,'Swap3M (2)'!Q3,SwapIMMDated!Q3,'Swap6M (2)'!Q3,'BasisSwap1MXM (2)'!Q3,'BasisSwap3M6M (2)'!Q3,'BasisSwapXM12M (2)'!Q3,'OIS (2)'!Q3)</f>
        <v>18</v>
      </c>
      <c r="E7" s="439"/>
      <c r="F7" s="431"/>
      <c r="G7" s="423"/>
      <c r="H7" s="423"/>
      <c r="I7" s="423"/>
      <c r="J7" s="423"/>
      <c r="K7" s="423"/>
      <c r="L7" s="423"/>
      <c r="M7" s="423"/>
      <c r="N7" s="423"/>
      <c r="O7" s="423"/>
      <c r="P7" s="423"/>
      <c r="Q7" s="423"/>
      <c r="R7" s="423"/>
      <c r="S7" s="423"/>
      <c r="T7" s="423"/>
      <c r="U7" s="423"/>
      <c r="V7" s="423"/>
      <c r="W7" s="423"/>
      <c r="X7" s="423"/>
      <c r="Y7" s="423"/>
      <c r="Z7" s="423"/>
      <c r="AA7" s="423"/>
      <c r="AB7" s="423"/>
      <c r="AC7" s="423"/>
      <c r="AD7" s="423"/>
      <c r="AE7" s="423"/>
      <c r="AF7" s="423"/>
      <c r="AG7" s="423"/>
      <c r="AH7" s="423"/>
      <c r="AI7" s="423"/>
      <c r="AJ7" s="423"/>
    </row>
    <row r="8" spans="1:36" s="20" customFormat="1" x14ac:dyDescent="0.2">
      <c r="A8" s="423"/>
      <c r="B8" s="429"/>
      <c r="C8" s="443" t="s">
        <v>308</v>
      </c>
      <c r="D8" s="442" t="s">
        <v>307</v>
      </c>
      <c r="E8" s="439"/>
      <c r="F8" s="431"/>
      <c r="G8" s="423"/>
      <c r="H8" s="423"/>
      <c r="I8" s="423"/>
      <c r="J8" s="423"/>
      <c r="K8" s="423"/>
      <c r="L8" s="423"/>
      <c r="M8" s="423"/>
      <c r="N8" s="423"/>
      <c r="O8" s="423"/>
      <c r="P8" s="423"/>
      <c r="Q8" s="423"/>
      <c r="R8" s="423"/>
      <c r="S8" s="423"/>
      <c r="T8" s="423"/>
      <c r="U8" s="423"/>
      <c r="V8" s="423"/>
      <c r="W8" s="423"/>
      <c r="X8" s="423"/>
      <c r="Y8" s="423"/>
      <c r="Z8" s="423"/>
      <c r="AA8" s="423"/>
      <c r="AB8" s="423"/>
      <c r="AC8" s="423"/>
      <c r="AD8" s="423"/>
      <c r="AE8" s="423"/>
      <c r="AF8" s="423"/>
      <c r="AG8" s="423"/>
      <c r="AH8" s="423"/>
      <c r="AI8" s="423"/>
      <c r="AJ8" s="423"/>
    </row>
    <row r="9" spans="1:36" s="20" customFormat="1" x14ac:dyDescent="0.2">
      <c r="A9" s="423"/>
      <c r="B9" s="429"/>
      <c r="C9" s="439"/>
      <c r="D9" s="338"/>
      <c r="E9" s="439"/>
      <c r="F9" s="431"/>
      <c r="G9" s="423"/>
      <c r="H9" s="423"/>
      <c r="I9" s="423"/>
      <c r="J9" s="423"/>
      <c r="K9" s="423"/>
      <c r="L9" s="423"/>
      <c r="M9" s="423"/>
      <c r="N9" s="423"/>
      <c r="O9" s="423"/>
      <c r="P9" s="423"/>
      <c r="Q9" s="423"/>
      <c r="R9" s="423"/>
      <c r="S9" s="423"/>
      <c r="T9" s="423"/>
      <c r="U9" s="423"/>
      <c r="V9" s="423"/>
      <c r="W9" s="423"/>
      <c r="X9" s="423"/>
      <c r="Y9" s="423"/>
      <c r="Z9" s="423"/>
      <c r="AA9" s="423"/>
      <c r="AB9" s="423"/>
      <c r="AC9" s="423"/>
      <c r="AD9" s="423"/>
      <c r="AE9" s="423"/>
      <c r="AF9" s="423"/>
      <c r="AG9" s="423"/>
      <c r="AH9" s="423"/>
      <c r="AI9" s="423"/>
      <c r="AJ9" s="423"/>
    </row>
    <row r="10" spans="1:36" s="20" customFormat="1" x14ac:dyDescent="0.2">
      <c r="A10" s="423"/>
      <c r="B10" s="429"/>
      <c r="C10" s="441" t="s">
        <v>251</v>
      </c>
      <c r="D10" s="440" t="s">
        <v>306</v>
      </c>
      <c r="E10" s="439"/>
      <c r="F10" s="431"/>
      <c r="G10" s="423"/>
      <c r="H10" s="423"/>
      <c r="I10" s="423"/>
      <c r="J10" s="423"/>
      <c r="K10" s="423"/>
      <c r="L10" s="423"/>
      <c r="M10" s="423"/>
      <c r="N10" s="423"/>
      <c r="O10" s="423"/>
      <c r="P10" s="423"/>
      <c r="Q10" s="423"/>
      <c r="R10" s="423"/>
      <c r="S10" s="423"/>
      <c r="T10" s="423"/>
      <c r="U10" s="423"/>
      <c r="V10" s="423"/>
      <c r="W10" s="423"/>
      <c r="X10" s="423"/>
      <c r="Y10" s="423"/>
      <c r="Z10" s="423"/>
      <c r="AA10" s="423"/>
      <c r="AB10" s="423"/>
      <c r="AC10" s="423"/>
      <c r="AD10" s="423"/>
      <c r="AE10" s="423"/>
      <c r="AF10" s="423"/>
      <c r="AG10" s="423"/>
      <c r="AH10" s="423"/>
      <c r="AI10" s="423"/>
      <c r="AJ10" s="423"/>
    </row>
    <row r="11" spans="1:36" s="20" customFormat="1" x14ac:dyDescent="0.2">
      <c r="A11" s="423"/>
      <c r="B11" s="429"/>
      <c r="C11" s="438" t="s">
        <v>241</v>
      </c>
      <c r="D11" s="437" t="str">
        <f>""</f>
        <v/>
      </c>
      <c r="E11" s="439"/>
      <c r="F11" s="431"/>
      <c r="G11" s="423"/>
      <c r="H11" s="423"/>
      <c r="I11" s="423"/>
      <c r="J11" s="423"/>
      <c r="K11" s="423"/>
      <c r="L11" s="423"/>
      <c r="M11" s="423"/>
      <c r="N11" s="423"/>
      <c r="O11" s="423"/>
      <c r="P11" s="423"/>
      <c r="Q11" s="423"/>
      <c r="R11" s="423"/>
      <c r="S11" s="423"/>
      <c r="T11" s="423"/>
      <c r="U11" s="423"/>
      <c r="V11" s="423"/>
      <c r="W11" s="423"/>
      <c r="X11" s="423"/>
      <c r="Y11" s="423"/>
      <c r="Z11" s="423"/>
      <c r="AA11" s="423"/>
      <c r="AB11" s="423"/>
      <c r="AC11" s="423"/>
      <c r="AD11" s="423"/>
      <c r="AE11" s="423"/>
      <c r="AF11" s="423"/>
      <c r="AG11" s="423"/>
      <c r="AH11" s="423"/>
      <c r="AI11" s="423"/>
      <c r="AJ11" s="423"/>
    </row>
    <row r="12" spans="1:36" s="20" customFormat="1" x14ac:dyDescent="0.2">
      <c r="A12" s="423"/>
      <c r="B12" s="429"/>
      <c r="C12" s="438" t="s">
        <v>240</v>
      </c>
      <c r="D12" s="437" t="s">
        <v>239</v>
      </c>
      <c r="E12" s="434"/>
      <c r="F12" s="431"/>
      <c r="G12" s="423"/>
      <c r="H12" s="423"/>
      <c r="I12" s="423"/>
      <c r="J12" s="423"/>
      <c r="K12" s="423"/>
      <c r="L12" s="423"/>
      <c r="M12" s="423"/>
      <c r="N12" s="423"/>
      <c r="O12" s="423"/>
      <c r="P12" s="423"/>
      <c r="Q12" s="423"/>
      <c r="R12" s="423"/>
      <c r="S12" s="423"/>
      <c r="T12" s="423"/>
      <c r="U12" s="423"/>
      <c r="V12" s="423"/>
      <c r="W12" s="423"/>
      <c r="X12" s="423"/>
      <c r="Y12" s="423"/>
      <c r="Z12" s="423"/>
      <c r="AA12" s="423"/>
      <c r="AB12" s="423"/>
      <c r="AC12" s="423"/>
      <c r="AD12" s="423"/>
      <c r="AE12" s="423"/>
      <c r="AF12" s="423"/>
      <c r="AG12" s="423"/>
      <c r="AH12" s="423"/>
      <c r="AI12" s="423"/>
      <c r="AJ12" s="423"/>
    </row>
    <row r="13" spans="1:36" s="20" customFormat="1" x14ac:dyDescent="0.2">
      <c r="A13" s="423"/>
      <c r="B13" s="429"/>
      <c r="C13" s="438" t="s">
        <v>238</v>
      </c>
      <c r="D13" s="437" t="s">
        <v>238</v>
      </c>
      <c r="E13" s="434"/>
      <c r="F13" s="431"/>
      <c r="G13" s="423"/>
      <c r="H13" s="423"/>
      <c r="I13" s="423"/>
      <c r="J13" s="423"/>
      <c r="K13" s="423"/>
      <c r="L13" s="423"/>
      <c r="M13" s="423"/>
      <c r="N13" s="423"/>
      <c r="O13" s="423"/>
      <c r="P13" s="423"/>
      <c r="Q13" s="423"/>
      <c r="R13" s="423"/>
      <c r="S13" s="423"/>
      <c r="T13" s="423"/>
      <c r="U13" s="423"/>
      <c r="V13" s="423"/>
      <c r="W13" s="423"/>
      <c r="X13" s="423"/>
      <c r="Y13" s="423"/>
      <c r="Z13" s="423"/>
      <c r="AA13" s="423"/>
      <c r="AB13" s="423"/>
      <c r="AC13" s="423"/>
      <c r="AD13" s="423"/>
      <c r="AE13" s="423"/>
      <c r="AF13" s="423"/>
      <c r="AG13" s="423"/>
      <c r="AH13" s="423"/>
      <c r="AI13" s="423"/>
      <c r="AJ13" s="423"/>
    </row>
    <row r="14" spans="1:36" s="20" customFormat="1" x14ac:dyDescent="0.2">
      <c r="A14" s="423"/>
      <c r="B14" s="429"/>
      <c r="C14" s="438" t="s">
        <v>237</v>
      </c>
      <c r="D14" s="437" t="s">
        <v>236</v>
      </c>
      <c r="E14" s="434"/>
      <c r="F14" s="431"/>
      <c r="G14" s="423"/>
      <c r="H14" s="423"/>
      <c r="I14" s="423"/>
      <c r="J14" s="423"/>
      <c r="K14" s="423"/>
      <c r="L14" s="423"/>
      <c r="M14" s="423"/>
      <c r="N14" s="423"/>
      <c r="O14" s="423"/>
      <c r="P14" s="423"/>
      <c r="Q14" s="423"/>
      <c r="R14" s="423"/>
      <c r="S14" s="423"/>
      <c r="T14" s="423"/>
      <c r="U14" s="423"/>
      <c r="V14" s="423"/>
      <c r="W14" s="423"/>
      <c r="X14" s="423"/>
      <c r="Y14" s="423"/>
      <c r="Z14" s="423"/>
      <c r="AA14" s="423"/>
      <c r="AB14" s="423"/>
      <c r="AC14" s="423"/>
      <c r="AD14" s="423"/>
      <c r="AE14" s="423"/>
      <c r="AF14" s="423"/>
      <c r="AG14" s="423"/>
      <c r="AH14" s="423"/>
      <c r="AI14" s="423"/>
      <c r="AJ14" s="423"/>
    </row>
    <row r="15" spans="1:36" s="20" customFormat="1" x14ac:dyDescent="0.2">
      <c r="A15" s="423"/>
      <c r="B15" s="429"/>
      <c r="C15" s="438" t="s">
        <v>235</v>
      </c>
      <c r="D15" s="437" t="s">
        <v>234</v>
      </c>
      <c r="E15" s="434"/>
      <c r="F15" s="431"/>
      <c r="G15" s="423"/>
      <c r="H15" s="423"/>
      <c r="I15" s="423"/>
      <c r="J15" s="423"/>
      <c r="K15" s="423"/>
      <c r="L15" s="423"/>
      <c r="M15" s="423"/>
      <c r="N15" s="423"/>
      <c r="O15" s="423"/>
      <c r="P15" s="423"/>
      <c r="Q15" s="423"/>
      <c r="R15" s="423"/>
      <c r="S15" s="423"/>
      <c r="T15" s="423"/>
      <c r="U15" s="423"/>
      <c r="V15" s="423"/>
      <c r="W15" s="423"/>
      <c r="X15" s="423"/>
      <c r="Y15" s="423"/>
      <c r="Z15" s="423"/>
      <c r="AA15" s="423"/>
      <c r="AB15" s="423"/>
      <c r="AC15" s="423"/>
      <c r="AD15" s="423"/>
      <c r="AE15" s="423"/>
      <c r="AF15" s="423"/>
      <c r="AG15" s="423"/>
      <c r="AH15" s="423"/>
      <c r="AI15" s="423"/>
      <c r="AJ15" s="423"/>
    </row>
    <row r="16" spans="1:36" s="20" customFormat="1" x14ac:dyDescent="0.2">
      <c r="A16" s="423"/>
      <c r="B16" s="429"/>
      <c r="C16" s="438" t="s">
        <v>233</v>
      </c>
      <c r="D16" s="437" t="s">
        <v>232</v>
      </c>
      <c r="E16" s="434"/>
      <c r="F16" s="431"/>
      <c r="G16" s="423"/>
      <c r="H16" s="423"/>
      <c r="I16" s="423"/>
      <c r="J16" s="423"/>
      <c r="K16" s="423"/>
      <c r="L16" s="423"/>
      <c r="M16" s="423"/>
      <c r="N16" s="423"/>
      <c r="O16" s="423"/>
      <c r="P16" s="423"/>
      <c r="Q16" s="423"/>
      <c r="R16" s="423"/>
      <c r="S16" s="423"/>
      <c r="T16" s="423"/>
      <c r="U16" s="423"/>
      <c r="V16" s="423"/>
      <c r="W16" s="423"/>
      <c r="X16" s="423"/>
      <c r="Y16" s="423"/>
      <c r="Z16" s="423"/>
      <c r="AA16" s="423"/>
      <c r="AB16" s="423"/>
      <c r="AC16" s="423"/>
      <c r="AD16" s="423"/>
      <c r="AE16" s="423"/>
      <c r="AF16" s="423"/>
      <c r="AG16" s="423"/>
      <c r="AH16" s="423"/>
      <c r="AI16" s="423"/>
      <c r="AJ16" s="423"/>
    </row>
    <row r="17" spans="1:36" s="20" customFormat="1" x14ac:dyDescent="0.2">
      <c r="A17" s="423"/>
      <c r="B17" s="429"/>
      <c r="C17" s="436" t="s">
        <v>231</v>
      </c>
      <c r="D17" s="435" t="s">
        <v>229</v>
      </c>
      <c r="E17" s="434"/>
      <c r="F17" s="431"/>
      <c r="G17" s="423"/>
      <c r="H17" s="423"/>
      <c r="I17" s="423"/>
      <c r="J17" s="423"/>
      <c r="K17" s="423"/>
      <c r="L17" s="423"/>
      <c r="M17" s="423"/>
      <c r="N17" s="423"/>
      <c r="O17" s="423"/>
      <c r="P17" s="423"/>
      <c r="Q17" s="423"/>
      <c r="R17" s="423"/>
      <c r="S17" s="423"/>
      <c r="T17" s="423"/>
      <c r="U17" s="423"/>
      <c r="V17" s="423"/>
      <c r="W17" s="423"/>
      <c r="X17" s="423"/>
      <c r="Y17" s="423"/>
      <c r="Z17" s="423"/>
      <c r="AA17" s="423"/>
      <c r="AB17" s="423"/>
      <c r="AC17" s="423"/>
      <c r="AD17" s="423"/>
      <c r="AE17" s="423"/>
      <c r="AF17" s="423"/>
      <c r="AG17" s="423"/>
      <c r="AH17" s="423"/>
      <c r="AI17" s="423"/>
      <c r="AJ17" s="423"/>
    </row>
    <row r="18" spans="1:36" s="20" customFormat="1" x14ac:dyDescent="0.2">
      <c r="A18" s="423"/>
      <c r="B18" s="429"/>
      <c r="C18" s="428"/>
      <c r="D18" s="428"/>
      <c r="E18" s="428"/>
      <c r="F18" s="431"/>
      <c r="G18" s="423"/>
      <c r="H18" s="423"/>
      <c r="I18" s="423"/>
      <c r="J18" s="423"/>
      <c r="K18" s="423"/>
      <c r="L18" s="423"/>
      <c r="M18" s="423"/>
      <c r="N18" s="423"/>
      <c r="O18" s="423"/>
      <c r="P18" s="423"/>
      <c r="Q18" s="423"/>
      <c r="R18" s="423"/>
      <c r="S18" s="423"/>
      <c r="T18" s="423"/>
      <c r="U18" s="423"/>
      <c r="V18" s="423"/>
      <c r="W18" s="423"/>
      <c r="X18" s="423"/>
      <c r="Y18" s="423"/>
      <c r="Z18" s="423"/>
      <c r="AA18" s="423"/>
      <c r="AB18" s="423"/>
      <c r="AC18" s="423"/>
      <c r="AD18" s="423"/>
      <c r="AE18" s="423"/>
      <c r="AF18" s="423"/>
      <c r="AG18" s="423"/>
      <c r="AH18" s="423"/>
      <c r="AI18" s="423"/>
      <c r="AJ18" s="423"/>
    </row>
    <row r="19" spans="1:36" s="20" customFormat="1" x14ac:dyDescent="0.2">
      <c r="A19" s="423"/>
      <c r="B19" s="429"/>
      <c r="C19" s="428"/>
      <c r="D19" s="428"/>
      <c r="E19" s="428"/>
      <c r="F19" s="431"/>
      <c r="G19" s="423"/>
      <c r="H19" s="423"/>
      <c r="I19" s="423"/>
      <c r="J19" s="423"/>
      <c r="K19" s="423"/>
      <c r="L19" s="423"/>
      <c r="M19" s="423"/>
      <c r="N19" s="423"/>
      <c r="O19" s="423"/>
      <c r="P19" s="423"/>
      <c r="Q19" s="423"/>
      <c r="R19" s="423"/>
      <c r="S19" s="423"/>
      <c r="T19" s="423"/>
      <c r="U19" s="423"/>
      <c r="V19" s="423"/>
      <c r="W19" s="423"/>
      <c r="X19" s="423"/>
      <c r="Y19" s="423"/>
      <c r="Z19" s="423"/>
      <c r="AA19" s="423"/>
      <c r="AB19" s="423"/>
      <c r="AC19" s="423"/>
      <c r="AD19" s="423"/>
      <c r="AE19" s="423"/>
      <c r="AF19" s="423"/>
      <c r="AG19" s="423"/>
      <c r="AH19" s="423"/>
      <c r="AI19" s="423"/>
      <c r="AJ19" s="423"/>
    </row>
    <row r="20" spans="1:36" s="20" customFormat="1" x14ac:dyDescent="0.2">
      <c r="A20" s="423"/>
      <c r="B20" s="429"/>
      <c r="C20" s="428"/>
      <c r="D20" s="427" t="s">
        <v>305</v>
      </c>
      <c r="E20" s="433">
        <v>41479.71230324074</v>
      </c>
      <c r="F20" s="54"/>
      <c r="G20" s="423"/>
      <c r="H20" s="423"/>
      <c r="I20" s="423"/>
      <c r="J20" s="423"/>
      <c r="K20" s="423"/>
      <c r="L20" s="423"/>
      <c r="M20" s="423"/>
      <c r="N20" s="423"/>
      <c r="O20" s="423"/>
      <c r="P20" s="423"/>
      <c r="Q20" s="423"/>
      <c r="R20" s="423"/>
      <c r="S20" s="423"/>
      <c r="T20" s="423"/>
      <c r="U20" s="423"/>
      <c r="V20" s="423"/>
      <c r="W20" s="423"/>
      <c r="X20" s="423"/>
      <c r="Y20" s="423"/>
      <c r="Z20" s="423"/>
      <c r="AA20" s="423"/>
      <c r="AB20" s="423"/>
      <c r="AC20" s="423"/>
      <c r="AD20" s="423"/>
      <c r="AE20" s="423"/>
      <c r="AF20" s="423"/>
      <c r="AG20" s="423"/>
      <c r="AH20" s="423"/>
      <c r="AI20" s="423"/>
      <c r="AJ20" s="423"/>
    </row>
    <row r="21" spans="1:36" s="20" customFormat="1" x14ac:dyDescent="0.2">
      <c r="A21" s="423"/>
      <c r="B21" s="429"/>
      <c r="C21" s="428"/>
      <c r="D21" s="432"/>
      <c r="E21" s="430"/>
      <c r="F21" s="431"/>
      <c r="G21" s="423"/>
      <c r="H21" s="423"/>
      <c r="I21" s="423"/>
      <c r="J21" s="423"/>
      <c r="K21" s="423"/>
      <c r="L21" s="423"/>
      <c r="M21" s="423"/>
      <c r="N21" s="423"/>
      <c r="O21" s="423"/>
      <c r="P21" s="423"/>
      <c r="Q21" s="423"/>
      <c r="R21" s="423"/>
      <c r="S21" s="423"/>
      <c r="T21" s="423"/>
      <c r="U21" s="423"/>
      <c r="V21" s="423"/>
      <c r="W21" s="423"/>
      <c r="X21" s="423"/>
      <c r="Y21" s="423"/>
      <c r="Z21" s="423"/>
      <c r="AA21" s="423"/>
      <c r="AB21" s="423"/>
      <c r="AC21" s="423"/>
      <c r="AD21" s="423"/>
      <c r="AE21" s="423"/>
      <c r="AF21" s="423"/>
      <c r="AG21" s="423"/>
      <c r="AH21" s="423"/>
      <c r="AI21" s="423"/>
      <c r="AJ21" s="423"/>
    </row>
    <row r="22" spans="1:36" s="20" customFormat="1" x14ac:dyDescent="0.2">
      <c r="A22" s="423"/>
      <c r="B22" s="429"/>
      <c r="C22" s="428"/>
      <c r="D22" s="427"/>
      <c r="E22" s="430"/>
      <c r="F22" s="54"/>
      <c r="G22" s="423"/>
      <c r="H22" s="423"/>
      <c r="I22" s="423"/>
      <c r="J22" s="423"/>
      <c r="K22" s="423"/>
      <c r="L22" s="423"/>
      <c r="M22" s="423"/>
      <c r="N22" s="423"/>
      <c r="O22" s="423"/>
      <c r="P22" s="423"/>
      <c r="Q22" s="423"/>
      <c r="R22" s="423"/>
      <c r="S22" s="423"/>
      <c r="T22" s="423"/>
      <c r="U22" s="423"/>
      <c r="V22" s="423"/>
      <c r="W22" s="423"/>
      <c r="X22" s="423"/>
      <c r="Y22" s="423"/>
      <c r="Z22" s="423"/>
      <c r="AA22" s="423"/>
      <c r="AB22" s="423"/>
      <c r="AC22" s="423"/>
      <c r="AD22" s="423"/>
      <c r="AE22" s="423"/>
      <c r="AF22" s="423"/>
      <c r="AG22" s="423"/>
      <c r="AH22" s="423"/>
      <c r="AI22" s="423"/>
      <c r="AJ22" s="423"/>
    </row>
    <row r="23" spans="1:36" s="20" customFormat="1" x14ac:dyDescent="0.2">
      <c r="A23" s="423"/>
      <c r="B23" s="429"/>
      <c r="C23" s="428"/>
      <c r="D23" s="427" t="s">
        <v>304</v>
      </c>
      <c r="E23" s="426" t="b">
        <v>1</v>
      </c>
      <c r="F23" s="54"/>
      <c r="G23" s="423"/>
      <c r="H23" s="423"/>
      <c r="I23" s="423"/>
      <c r="J23" s="423"/>
      <c r="K23" s="423"/>
      <c r="L23" s="423"/>
      <c r="M23" s="423"/>
      <c r="N23" s="423"/>
      <c r="O23" s="423"/>
      <c r="P23" s="423"/>
      <c r="Q23" s="423"/>
      <c r="R23" s="423"/>
      <c r="S23" s="423"/>
      <c r="T23" s="423"/>
      <c r="U23" s="423"/>
      <c r="V23" s="423"/>
      <c r="W23" s="423"/>
      <c r="X23" s="423"/>
      <c r="Y23" s="423"/>
      <c r="Z23" s="423"/>
      <c r="AA23" s="423"/>
      <c r="AB23" s="423"/>
      <c r="AC23" s="423"/>
      <c r="AD23" s="423"/>
      <c r="AE23" s="423"/>
      <c r="AF23" s="423"/>
      <c r="AG23" s="423"/>
      <c r="AH23" s="423"/>
      <c r="AI23" s="423"/>
      <c r="AJ23" s="423"/>
    </row>
    <row r="24" spans="1:36" s="20" customFormat="1" ht="11.25" customHeight="1" thickBot="1" x14ac:dyDescent="0.25">
      <c r="A24" s="423"/>
      <c r="B24" s="425"/>
      <c r="C24" s="52"/>
      <c r="D24" s="52"/>
      <c r="E24" s="52"/>
      <c r="F24" s="51"/>
      <c r="G24" s="423"/>
      <c r="H24" s="423"/>
      <c r="I24" s="423"/>
      <c r="J24" s="423"/>
      <c r="K24" s="423"/>
      <c r="L24" s="423"/>
      <c r="M24" s="423"/>
      <c r="N24" s="423"/>
      <c r="O24" s="423"/>
      <c r="P24" s="423"/>
      <c r="Q24" s="423"/>
      <c r="R24" s="423"/>
      <c r="S24" s="423"/>
      <c r="T24" s="423"/>
      <c r="U24" s="423"/>
      <c r="V24" s="423"/>
      <c r="W24" s="423"/>
      <c r="X24" s="423"/>
      <c r="Y24" s="423"/>
      <c r="Z24" s="423"/>
      <c r="AA24" s="423"/>
      <c r="AB24" s="423"/>
      <c r="AC24" s="423"/>
      <c r="AD24" s="423"/>
      <c r="AE24" s="423"/>
      <c r="AF24" s="423"/>
      <c r="AG24" s="423"/>
      <c r="AH24" s="423"/>
      <c r="AI24" s="423"/>
      <c r="AJ24" s="423"/>
    </row>
    <row r="25" spans="1:36" s="423" customFormat="1" x14ac:dyDescent="0.2">
      <c r="C25" s="424"/>
      <c r="D25" s="424"/>
      <c r="E25" s="424"/>
      <c r="F25" s="424"/>
    </row>
    <row r="26" spans="1:36" s="423" customFormat="1" x14ac:dyDescent="0.2">
      <c r="C26" s="424"/>
      <c r="D26" s="424"/>
      <c r="E26" s="424"/>
      <c r="F26" s="424"/>
    </row>
    <row r="27" spans="1:36" s="423" customFormat="1" x14ac:dyDescent="0.2">
      <c r="C27" s="424"/>
      <c r="D27" s="424"/>
      <c r="E27" s="424"/>
      <c r="F27" s="424"/>
    </row>
    <row r="28" spans="1:36" s="423" customFormat="1" x14ac:dyDescent="0.2">
      <c r="C28" s="424"/>
      <c r="D28" s="424"/>
      <c r="E28" s="424"/>
      <c r="F28" s="424"/>
    </row>
    <row r="29" spans="1:36" s="423" customFormat="1" x14ac:dyDescent="0.2">
      <c r="C29" s="424"/>
      <c r="D29" s="424"/>
      <c r="E29" s="424"/>
      <c r="F29" s="424"/>
    </row>
    <row r="30" spans="1:36" s="423" customFormat="1" x14ac:dyDescent="0.2">
      <c r="C30" s="424"/>
      <c r="D30" s="424"/>
      <c r="E30" s="424"/>
      <c r="F30" s="424"/>
    </row>
    <row r="31" spans="1:36" s="423" customFormat="1" x14ac:dyDescent="0.2"/>
    <row r="32" spans="1:36" s="423" customFormat="1" x14ac:dyDescent="0.2"/>
    <row r="33" s="423" customFormat="1" x14ac:dyDescent="0.2"/>
    <row r="34" s="423" customFormat="1" x14ac:dyDescent="0.2"/>
    <row r="35" s="423" customFormat="1" x14ac:dyDescent="0.2"/>
    <row r="36" s="423" customFormat="1" x14ac:dyDescent="0.2"/>
    <row r="37" s="423" customFormat="1" x14ac:dyDescent="0.2"/>
    <row r="38" s="423" customFormat="1" x14ac:dyDescent="0.2"/>
    <row r="39" s="423" customFormat="1" x14ac:dyDescent="0.2"/>
    <row r="40" s="423" customFormat="1" x14ac:dyDescent="0.2"/>
    <row r="41" s="423" customFormat="1" x14ac:dyDescent="0.2"/>
    <row r="42" s="423" customFormat="1" x14ac:dyDescent="0.2"/>
    <row r="43" s="423" customFormat="1" x14ac:dyDescent="0.2"/>
    <row r="44" s="423" customFormat="1" x14ac:dyDescent="0.2"/>
    <row r="45" s="423" customFormat="1" x14ac:dyDescent="0.2"/>
    <row r="46" s="423" customFormat="1" x14ac:dyDescent="0.2"/>
    <row r="47" s="423" customFormat="1" x14ac:dyDescent="0.2"/>
    <row r="48" s="423" customFormat="1" x14ac:dyDescent="0.2"/>
    <row r="49" s="423" customFormat="1" x14ac:dyDescent="0.2"/>
    <row r="50" s="423" customFormat="1" x14ac:dyDescent="0.2"/>
    <row r="51" s="423" customFormat="1" x14ac:dyDescent="0.2"/>
    <row r="52" s="423" customFormat="1" x14ac:dyDescent="0.2"/>
    <row r="53" s="423" customFormat="1" x14ac:dyDescent="0.2"/>
    <row r="54" s="423" customFormat="1" x14ac:dyDescent="0.2"/>
    <row r="55" s="423" customFormat="1" x14ac:dyDescent="0.2"/>
    <row r="56" s="423" customFormat="1" x14ac:dyDescent="0.2"/>
  </sheetData>
  <mergeCells count="1">
    <mergeCell ref="B2:F2"/>
  </mergeCells>
  <conditionalFormatting sqref="E23">
    <cfRule type="cellIs" dxfId="0" priority="1" stopIfTrue="1" operator="equal">
      <formula>TRUE</formula>
    </cfRule>
  </conditionalFormatting>
  <dataValidations count="2">
    <dataValidation type="list" allowBlank="1" showInputMessage="1" showErrorMessage="1" sqref="D8:D9 IZ8:IZ9 SV8:SV9 ACR8:ACR9 AMN8:AMN9 AWJ8:AWJ9 BGF8:BGF9 BQB8:BQB9 BZX8:BZX9 CJT8:CJT9 CTP8:CTP9 DDL8:DDL9 DNH8:DNH9 DXD8:DXD9 EGZ8:EGZ9 EQV8:EQV9 FAR8:FAR9 FKN8:FKN9 FUJ8:FUJ9 GEF8:GEF9 GOB8:GOB9 GXX8:GXX9 HHT8:HHT9 HRP8:HRP9 IBL8:IBL9 ILH8:ILH9 IVD8:IVD9 JEZ8:JEZ9 JOV8:JOV9 JYR8:JYR9 KIN8:KIN9 KSJ8:KSJ9 LCF8:LCF9 LMB8:LMB9 LVX8:LVX9 MFT8:MFT9 MPP8:MPP9 MZL8:MZL9 NJH8:NJH9 NTD8:NTD9 OCZ8:OCZ9 OMV8:OMV9 OWR8:OWR9 PGN8:PGN9 PQJ8:PQJ9 QAF8:QAF9 QKB8:QKB9 QTX8:QTX9 RDT8:RDT9 RNP8:RNP9 RXL8:RXL9 SHH8:SHH9 SRD8:SRD9 TAZ8:TAZ9 TKV8:TKV9 TUR8:TUR9 UEN8:UEN9 UOJ8:UOJ9 UYF8:UYF9 VIB8:VIB9 VRX8:VRX9 WBT8:WBT9 WLP8:WLP9 WVL8:WVL9 D65544:D65545 IZ65544:IZ65545 SV65544:SV65545 ACR65544:ACR65545 AMN65544:AMN65545 AWJ65544:AWJ65545 BGF65544:BGF65545 BQB65544:BQB65545 BZX65544:BZX65545 CJT65544:CJT65545 CTP65544:CTP65545 DDL65544:DDL65545 DNH65544:DNH65545 DXD65544:DXD65545 EGZ65544:EGZ65545 EQV65544:EQV65545 FAR65544:FAR65545 FKN65544:FKN65545 FUJ65544:FUJ65545 GEF65544:GEF65545 GOB65544:GOB65545 GXX65544:GXX65545 HHT65544:HHT65545 HRP65544:HRP65545 IBL65544:IBL65545 ILH65544:ILH65545 IVD65544:IVD65545 JEZ65544:JEZ65545 JOV65544:JOV65545 JYR65544:JYR65545 KIN65544:KIN65545 KSJ65544:KSJ65545 LCF65544:LCF65545 LMB65544:LMB65545 LVX65544:LVX65545 MFT65544:MFT65545 MPP65544:MPP65545 MZL65544:MZL65545 NJH65544:NJH65545 NTD65544:NTD65545 OCZ65544:OCZ65545 OMV65544:OMV65545 OWR65544:OWR65545 PGN65544:PGN65545 PQJ65544:PQJ65545 QAF65544:QAF65545 QKB65544:QKB65545 QTX65544:QTX65545 RDT65544:RDT65545 RNP65544:RNP65545 RXL65544:RXL65545 SHH65544:SHH65545 SRD65544:SRD65545 TAZ65544:TAZ65545 TKV65544:TKV65545 TUR65544:TUR65545 UEN65544:UEN65545 UOJ65544:UOJ65545 UYF65544:UYF65545 VIB65544:VIB65545 VRX65544:VRX65545 WBT65544:WBT65545 WLP65544:WLP65545 WVL65544:WVL65545 D131080:D131081 IZ131080:IZ131081 SV131080:SV131081 ACR131080:ACR131081 AMN131080:AMN131081 AWJ131080:AWJ131081 BGF131080:BGF131081 BQB131080:BQB131081 BZX131080:BZX131081 CJT131080:CJT131081 CTP131080:CTP131081 DDL131080:DDL131081 DNH131080:DNH131081 DXD131080:DXD131081 EGZ131080:EGZ131081 EQV131080:EQV131081 FAR131080:FAR131081 FKN131080:FKN131081 FUJ131080:FUJ131081 GEF131080:GEF131081 GOB131080:GOB131081 GXX131080:GXX131081 HHT131080:HHT131081 HRP131080:HRP131081 IBL131080:IBL131081 ILH131080:ILH131081 IVD131080:IVD131081 JEZ131080:JEZ131081 JOV131080:JOV131081 JYR131080:JYR131081 KIN131080:KIN131081 KSJ131080:KSJ131081 LCF131080:LCF131081 LMB131080:LMB131081 LVX131080:LVX131081 MFT131080:MFT131081 MPP131080:MPP131081 MZL131080:MZL131081 NJH131080:NJH131081 NTD131080:NTD131081 OCZ131080:OCZ131081 OMV131080:OMV131081 OWR131080:OWR131081 PGN131080:PGN131081 PQJ131080:PQJ131081 QAF131080:QAF131081 QKB131080:QKB131081 QTX131080:QTX131081 RDT131080:RDT131081 RNP131080:RNP131081 RXL131080:RXL131081 SHH131080:SHH131081 SRD131080:SRD131081 TAZ131080:TAZ131081 TKV131080:TKV131081 TUR131080:TUR131081 UEN131080:UEN131081 UOJ131080:UOJ131081 UYF131080:UYF131081 VIB131080:VIB131081 VRX131080:VRX131081 WBT131080:WBT131081 WLP131080:WLP131081 WVL131080:WVL131081 D196616:D196617 IZ196616:IZ196617 SV196616:SV196617 ACR196616:ACR196617 AMN196616:AMN196617 AWJ196616:AWJ196617 BGF196616:BGF196617 BQB196616:BQB196617 BZX196616:BZX196617 CJT196616:CJT196617 CTP196616:CTP196617 DDL196616:DDL196617 DNH196616:DNH196617 DXD196616:DXD196617 EGZ196616:EGZ196617 EQV196616:EQV196617 FAR196616:FAR196617 FKN196616:FKN196617 FUJ196616:FUJ196617 GEF196616:GEF196617 GOB196616:GOB196617 GXX196616:GXX196617 HHT196616:HHT196617 HRP196616:HRP196617 IBL196616:IBL196617 ILH196616:ILH196617 IVD196616:IVD196617 JEZ196616:JEZ196617 JOV196616:JOV196617 JYR196616:JYR196617 KIN196616:KIN196617 KSJ196616:KSJ196617 LCF196616:LCF196617 LMB196616:LMB196617 LVX196616:LVX196617 MFT196616:MFT196617 MPP196616:MPP196617 MZL196616:MZL196617 NJH196616:NJH196617 NTD196616:NTD196617 OCZ196616:OCZ196617 OMV196616:OMV196617 OWR196616:OWR196617 PGN196616:PGN196617 PQJ196616:PQJ196617 QAF196616:QAF196617 QKB196616:QKB196617 QTX196616:QTX196617 RDT196616:RDT196617 RNP196616:RNP196617 RXL196616:RXL196617 SHH196616:SHH196617 SRD196616:SRD196617 TAZ196616:TAZ196617 TKV196616:TKV196617 TUR196616:TUR196617 UEN196616:UEN196617 UOJ196616:UOJ196617 UYF196616:UYF196617 VIB196616:VIB196617 VRX196616:VRX196617 WBT196616:WBT196617 WLP196616:WLP196617 WVL196616:WVL196617 D262152:D262153 IZ262152:IZ262153 SV262152:SV262153 ACR262152:ACR262153 AMN262152:AMN262153 AWJ262152:AWJ262153 BGF262152:BGF262153 BQB262152:BQB262153 BZX262152:BZX262153 CJT262152:CJT262153 CTP262152:CTP262153 DDL262152:DDL262153 DNH262152:DNH262153 DXD262152:DXD262153 EGZ262152:EGZ262153 EQV262152:EQV262153 FAR262152:FAR262153 FKN262152:FKN262153 FUJ262152:FUJ262153 GEF262152:GEF262153 GOB262152:GOB262153 GXX262152:GXX262153 HHT262152:HHT262153 HRP262152:HRP262153 IBL262152:IBL262153 ILH262152:ILH262153 IVD262152:IVD262153 JEZ262152:JEZ262153 JOV262152:JOV262153 JYR262152:JYR262153 KIN262152:KIN262153 KSJ262152:KSJ262153 LCF262152:LCF262153 LMB262152:LMB262153 LVX262152:LVX262153 MFT262152:MFT262153 MPP262152:MPP262153 MZL262152:MZL262153 NJH262152:NJH262153 NTD262152:NTD262153 OCZ262152:OCZ262153 OMV262152:OMV262153 OWR262152:OWR262153 PGN262152:PGN262153 PQJ262152:PQJ262153 QAF262152:QAF262153 QKB262152:QKB262153 QTX262152:QTX262153 RDT262152:RDT262153 RNP262152:RNP262153 RXL262152:RXL262153 SHH262152:SHH262153 SRD262152:SRD262153 TAZ262152:TAZ262153 TKV262152:TKV262153 TUR262152:TUR262153 UEN262152:UEN262153 UOJ262152:UOJ262153 UYF262152:UYF262153 VIB262152:VIB262153 VRX262152:VRX262153 WBT262152:WBT262153 WLP262152:WLP262153 WVL262152:WVL262153 D327688:D327689 IZ327688:IZ327689 SV327688:SV327689 ACR327688:ACR327689 AMN327688:AMN327689 AWJ327688:AWJ327689 BGF327688:BGF327689 BQB327688:BQB327689 BZX327688:BZX327689 CJT327688:CJT327689 CTP327688:CTP327689 DDL327688:DDL327689 DNH327688:DNH327689 DXD327688:DXD327689 EGZ327688:EGZ327689 EQV327688:EQV327689 FAR327688:FAR327689 FKN327688:FKN327689 FUJ327688:FUJ327689 GEF327688:GEF327689 GOB327688:GOB327689 GXX327688:GXX327689 HHT327688:HHT327689 HRP327688:HRP327689 IBL327688:IBL327689 ILH327688:ILH327689 IVD327688:IVD327689 JEZ327688:JEZ327689 JOV327688:JOV327689 JYR327688:JYR327689 KIN327688:KIN327689 KSJ327688:KSJ327689 LCF327688:LCF327689 LMB327688:LMB327689 LVX327688:LVX327689 MFT327688:MFT327689 MPP327688:MPP327689 MZL327688:MZL327689 NJH327688:NJH327689 NTD327688:NTD327689 OCZ327688:OCZ327689 OMV327688:OMV327689 OWR327688:OWR327689 PGN327688:PGN327689 PQJ327688:PQJ327689 QAF327688:QAF327689 QKB327688:QKB327689 QTX327688:QTX327689 RDT327688:RDT327689 RNP327688:RNP327689 RXL327688:RXL327689 SHH327688:SHH327689 SRD327688:SRD327689 TAZ327688:TAZ327689 TKV327688:TKV327689 TUR327688:TUR327689 UEN327688:UEN327689 UOJ327688:UOJ327689 UYF327688:UYF327689 VIB327688:VIB327689 VRX327688:VRX327689 WBT327688:WBT327689 WLP327688:WLP327689 WVL327688:WVL327689 D393224:D393225 IZ393224:IZ393225 SV393224:SV393225 ACR393224:ACR393225 AMN393224:AMN393225 AWJ393224:AWJ393225 BGF393224:BGF393225 BQB393224:BQB393225 BZX393224:BZX393225 CJT393224:CJT393225 CTP393224:CTP393225 DDL393224:DDL393225 DNH393224:DNH393225 DXD393224:DXD393225 EGZ393224:EGZ393225 EQV393224:EQV393225 FAR393224:FAR393225 FKN393224:FKN393225 FUJ393224:FUJ393225 GEF393224:GEF393225 GOB393224:GOB393225 GXX393224:GXX393225 HHT393224:HHT393225 HRP393224:HRP393225 IBL393224:IBL393225 ILH393224:ILH393225 IVD393224:IVD393225 JEZ393224:JEZ393225 JOV393224:JOV393225 JYR393224:JYR393225 KIN393224:KIN393225 KSJ393224:KSJ393225 LCF393224:LCF393225 LMB393224:LMB393225 LVX393224:LVX393225 MFT393224:MFT393225 MPP393224:MPP393225 MZL393224:MZL393225 NJH393224:NJH393225 NTD393224:NTD393225 OCZ393224:OCZ393225 OMV393224:OMV393225 OWR393224:OWR393225 PGN393224:PGN393225 PQJ393224:PQJ393225 QAF393224:QAF393225 QKB393224:QKB393225 QTX393224:QTX393225 RDT393224:RDT393225 RNP393224:RNP393225 RXL393224:RXL393225 SHH393224:SHH393225 SRD393224:SRD393225 TAZ393224:TAZ393225 TKV393224:TKV393225 TUR393224:TUR393225 UEN393224:UEN393225 UOJ393224:UOJ393225 UYF393224:UYF393225 VIB393224:VIB393225 VRX393224:VRX393225 WBT393224:WBT393225 WLP393224:WLP393225 WVL393224:WVL393225 D458760:D458761 IZ458760:IZ458761 SV458760:SV458761 ACR458760:ACR458761 AMN458760:AMN458761 AWJ458760:AWJ458761 BGF458760:BGF458761 BQB458760:BQB458761 BZX458760:BZX458761 CJT458760:CJT458761 CTP458760:CTP458761 DDL458760:DDL458761 DNH458760:DNH458761 DXD458760:DXD458761 EGZ458760:EGZ458761 EQV458760:EQV458761 FAR458760:FAR458761 FKN458760:FKN458761 FUJ458760:FUJ458761 GEF458760:GEF458761 GOB458760:GOB458761 GXX458760:GXX458761 HHT458760:HHT458761 HRP458760:HRP458761 IBL458760:IBL458761 ILH458760:ILH458761 IVD458760:IVD458761 JEZ458760:JEZ458761 JOV458760:JOV458761 JYR458760:JYR458761 KIN458760:KIN458761 KSJ458760:KSJ458761 LCF458760:LCF458761 LMB458760:LMB458761 LVX458760:LVX458761 MFT458760:MFT458761 MPP458760:MPP458761 MZL458760:MZL458761 NJH458760:NJH458761 NTD458760:NTD458761 OCZ458760:OCZ458761 OMV458760:OMV458761 OWR458760:OWR458761 PGN458760:PGN458761 PQJ458760:PQJ458761 QAF458760:QAF458761 QKB458760:QKB458761 QTX458760:QTX458761 RDT458760:RDT458761 RNP458760:RNP458761 RXL458760:RXL458761 SHH458760:SHH458761 SRD458760:SRD458761 TAZ458760:TAZ458761 TKV458760:TKV458761 TUR458760:TUR458761 UEN458760:UEN458761 UOJ458760:UOJ458761 UYF458760:UYF458761 VIB458760:VIB458761 VRX458760:VRX458761 WBT458760:WBT458761 WLP458760:WLP458761 WVL458760:WVL458761 D524296:D524297 IZ524296:IZ524297 SV524296:SV524297 ACR524296:ACR524297 AMN524296:AMN524297 AWJ524296:AWJ524297 BGF524296:BGF524297 BQB524296:BQB524297 BZX524296:BZX524297 CJT524296:CJT524297 CTP524296:CTP524297 DDL524296:DDL524297 DNH524296:DNH524297 DXD524296:DXD524297 EGZ524296:EGZ524297 EQV524296:EQV524297 FAR524296:FAR524297 FKN524296:FKN524297 FUJ524296:FUJ524297 GEF524296:GEF524297 GOB524296:GOB524297 GXX524296:GXX524297 HHT524296:HHT524297 HRP524296:HRP524297 IBL524296:IBL524297 ILH524296:ILH524297 IVD524296:IVD524297 JEZ524296:JEZ524297 JOV524296:JOV524297 JYR524296:JYR524297 KIN524296:KIN524297 KSJ524296:KSJ524297 LCF524296:LCF524297 LMB524296:LMB524297 LVX524296:LVX524297 MFT524296:MFT524297 MPP524296:MPP524297 MZL524296:MZL524297 NJH524296:NJH524297 NTD524296:NTD524297 OCZ524296:OCZ524297 OMV524296:OMV524297 OWR524296:OWR524297 PGN524296:PGN524297 PQJ524296:PQJ524297 QAF524296:QAF524297 QKB524296:QKB524297 QTX524296:QTX524297 RDT524296:RDT524297 RNP524296:RNP524297 RXL524296:RXL524297 SHH524296:SHH524297 SRD524296:SRD524297 TAZ524296:TAZ524297 TKV524296:TKV524297 TUR524296:TUR524297 UEN524296:UEN524297 UOJ524296:UOJ524297 UYF524296:UYF524297 VIB524296:VIB524297 VRX524296:VRX524297 WBT524296:WBT524297 WLP524296:WLP524297 WVL524296:WVL524297 D589832:D589833 IZ589832:IZ589833 SV589832:SV589833 ACR589832:ACR589833 AMN589832:AMN589833 AWJ589832:AWJ589833 BGF589832:BGF589833 BQB589832:BQB589833 BZX589832:BZX589833 CJT589832:CJT589833 CTP589832:CTP589833 DDL589832:DDL589833 DNH589832:DNH589833 DXD589832:DXD589833 EGZ589832:EGZ589833 EQV589832:EQV589833 FAR589832:FAR589833 FKN589832:FKN589833 FUJ589832:FUJ589833 GEF589832:GEF589833 GOB589832:GOB589833 GXX589832:GXX589833 HHT589832:HHT589833 HRP589832:HRP589833 IBL589832:IBL589833 ILH589832:ILH589833 IVD589832:IVD589833 JEZ589832:JEZ589833 JOV589832:JOV589833 JYR589832:JYR589833 KIN589832:KIN589833 KSJ589832:KSJ589833 LCF589832:LCF589833 LMB589832:LMB589833 LVX589832:LVX589833 MFT589832:MFT589833 MPP589832:MPP589833 MZL589832:MZL589833 NJH589832:NJH589833 NTD589832:NTD589833 OCZ589832:OCZ589833 OMV589832:OMV589833 OWR589832:OWR589833 PGN589832:PGN589833 PQJ589832:PQJ589833 QAF589832:QAF589833 QKB589832:QKB589833 QTX589832:QTX589833 RDT589832:RDT589833 RNP589832:RNP589833 RXL589832:RXL589833 SHH589832:SHH589833 SRD589832:SRD589833 TAZ589832:TAZ589833 TKV589832:TKV589833 TUR589832:TUR589833 UEN589832:UEN589833 UOJ589832:UOJ589833 UYF589832:UYF589833 VIB589832:VIB589833 VRX589832:VRX589833 WBT589832:WBT589833 WLP589832:WLP589833 WVL589832:WVL589833 D655368:D655369 IZ655368:IZ655369 SV655368:SV655369 ACR655368:ACR655369 AMN655368:AMN655369 AWJ655368:AWJ655369 BGF655368:BGF655369 BQB655368:BQB655369 BZX655368:BZX655369 CJT655368:CJT655369 CTP655368:CTP655369 DDL655368:DDL655369 DNH655368:DNH655369 DXD655368:DXD655369 EGZ655368:EGZ655369 EQV655368:EQV655369 FAR655368:FAR655369 FKN655368:FKN655369 FUJ655368:FUJ655369 GEF655368:GEF655369 GOB655368:GOB655369 GXX655368:GXX655369 HHT655368:HHT655369 HRP655368:HRP655369 IBL655368:IBL655369 ILH655368:ILH655369 IVD655368:IVD655369 JEZ655368:JEZ655369 JOV655368:JOV655369 JYR655368:JYR655369 KIN655368:KIN655369 KSJ655368:KSJ655369 LCF655368:LCF655369 LMB655368:LMB655369 LVX655368:LVX655369 MFT655368:MFT655369 MPP655368:MPP655369 MZL655368:MZL655369 NJH655368:NJH655369 NTD655368:NTD655369 OCZ655368:OCZ655369 OMV655368:OMV655369 OWR655368:OWR655369 PGN655368:PGN655369 PQJ655368:PQJ655369 QAF655368:QAF655369 QKB655368:QKB655369 QTX655368:QTX655369 RDT655368:RDT655369 RNP655368:RNP655369 RXL655368:RXL655369 SHH655368:SHH655369 SRD655368:SRD655369 TAZ655368:TAZ655369 TKV655368:TKV655369 TUR655368:TUR655369 UEN655368:UEN655369 UOJ655368:UOJ655369 UYF655368:UYF655369 VIB655368:VIB655369 VRX655368:VRX655369 WBT655368:WBT655369 WLP655368:WLP655369 WVL655368:WVL655369 D720904:D720905 IZ720904:IZ720905 SV720904:SV720905 ACR720904:ACR720905 AMN720904:AMN720905 AWJ720904:AWJ720905 BGF720904:BGF720905 BQB720904:BQB720905 BZX720904:BZX720905 CJT720904:CJT720905 CTP720904:CTP720905 DDL720904:DDL720905 DNH720904:DNH720905 DXD720904:DXD720905 EGZ720904:EGZ720905 EQV720904:EQV720905 FAR720904:FAR720905 FKN720904:FKN720905 FUJ720904:FUJ720905 GEF720904:GEF720905 GOB720904:GOB720905 GXX720904:GXX720905 HHT720904:HHT720905 HRP720904:HRP720905 IBL720904:IBL720905 ILH720904:ILH720905 IVD720904:IVD720905 JEZ720904:JEZ720905 JOV720904:JOV720905 JYR720904:JYR720905 KIN720904:KIN720905 KSJ720904:KSJ720905 LCF720904:LCF720905 LMB720904:LMB720905 LVX720904:LVX720905 MFT720904:MFT720905 MPP720904:MPP720905 MZL720904:MZL720905 NJH720904:NJH720905 NTD720904:NTD720905 OCZ720904:OCZ720905 OMV720904:OMV720905 OWR720904:OWR720905 PGN720904:PGN720905 PQJ720904:PQJ720905 QAF720904:QAF720905 QKB720904:QKB720905 QTX720904:QTX720905 RDT720904:RDT720905 RNP720904:RNP720905 RXL720904:RXL720905 SHH720904:SHH720905 SRD720904:SRD720905 TAZ720904:TAZ720905 TKV720904:TKV720905 TUR720904:TUR720905 UEN720904:UEN720905 UOJ720904:UOJ720905 UYF720904:UYF720905 VIB720904:VIB720905 VRX720904:VRX720905 WBT720904:WBT720905 WLP720904:WLP720905 WVL720904:WVL720905 D786440:D786441 IZ786440:IZ786441 SV786440:SV786441 ACR786440:ACR786441 AMN786440:AMN786441 AWJ786440:AWJ786441 BGF786440:BGF786441 BQB786440:BQB786441 BZX786440:BZX786441 CJT786440:CJT786441 CTP786440:CTP786441 DDL786440:DDL786441 DNH786440:DNH786441 DXD786440:DXD786441 EGZ786440:EGZ786441 EQV786440:EQV786441 FAR786440:FAR786441 FKN786440:FKN786441 FUJ786440:FUJ786441 GEF786440:GEF786441 GOB786440:GOB786441 GXX786440:GXX786441 HHT786440:HHT786441 HRP786440:HRP786441 IBL786440:IBL786441 ILH786440:ILH786441 IVD786440:IVD786441 JEZ786440:JEZ786441 JOV786440:JOV786441 JYR786440:JYR786441 KIN786440:KIN786441 KSJ786440:KSJ786441 LCF786440:LCF786441 LMB786440:LMB786441 LVX786440:LVX786441 MFT786440:MFT786441 MPP786440:MPP786441 MZL786440:MZL786441 NJH786440:NJH786441 NTD786440:NTD786441 OCZ786440:OCZ786441 OMV786440:OMV786441 OWR786440:OWR786441 PGN786440:PGN786441 PQJ786440:PQJ786441 QAF786440:QAF786441 QKB786440:QKB786441 QTX786440:QTX786441 RDT786440:RDT786441 RNP786440:RNP786441 RXL786440:RXL786441 SHH786440:SHH786441 SRD786440:SRD786441 TAZ786440:TAZ786441 TKV786440:TKV786441 TUR786440:TUR786441 UEN786440:UEN786441 UOJ786440:UOJ786441 UYF786440:UYF786441 VIB786440:VIB786441 VRX786440:VRX786441 WBT786440:WBT786441 WLP786440:WLP786441 WVL786440:WVL786441 D851976:D851977 IZ851976:IZ851977 SV851976:SV851977 ACR851976:ACR851977 AMN851976:AMN851977 AWJ851976:AWJ851977 BGF851976:BGF851977 BQB851976:BQB851977 BZX851976:BZX851977 CJT851976:CJT851977 CTP851976:CTP851977 DDL851976:DDL851977 DNH851976:DNH851977 DXD851976:DXD851977 EGZ851976:EGZ851977 EQV851976:EQV851977 FAR851976:FAR851977 FKN851976:FKN851977 FUJ851976:FUJ851977 GEF851976:GEF851977 GOB851976:GOB851977 GXX851976:GXX851977 HHT851976:HHT851977 HRP851976:HRP851977 IBL851976:IBL851977 ILH851976:ILH851977 IVD851976:IVD851977 JEZ851976:JEZ851977 JOV851976:JOV851977 JYR851976:JYR851977 KIN851976:KIN851977 KSJ851976:KSJ851977 LCF851976:LCF851977 LMB851976:LMB851977 LVX851976:LVX851977 MFT851976:MFT851977 MPP851976:MPP851977 MZL851976:MZL851977 NJH851976:NJH851977 NTD851976:NTD851977 OCZ851976:OCZ851977 OMV851976:OMV851977 OWR851976:OWR851977 PGN851976:PGN851977 PQJ851976:PQJ851977 QAF851976:QAF851977 QKB851976:QKB851977 QTX851976:QTX851977 RDT851976:RDT851977 RNP851976:RNP851977 RXL851976:RXL851977 SHH851976:SHH851977 SRD851976:SRD851977 TAZ851976:TAZ851977 TKV851976:TKV851977 TUR851976:TUR851977 UEN851976:UEN851977 UOJ851976:UOJ851977 UYF851976:UYF851977 VIB851976:VIB851977 VRX851976:VRX851977 WBT851976:WBT851977 WLP851976:WLP851977 WVL851976:WVL851977 D917512:D917513 IZ917512:IZ917513 SV917512:SV917513 ACR917512:ACR917513 AMN917512:AMN917513 AWJ917512:AWJ917513 BGF917512:BGF917513 BQB917512:BQB917513 BZX917512:BZX917513 CJT917512:CJT917513 CTP917512:CTP917513 DDL917512:DDL917513 DNH917512:DNH917513 DXD917512:DXD917513 EGZ917512:EGZ917513 EQV917512:EQV917513 FAR917512:FAR917513 FKN917512:FKN917513 FUJ917512:FUJ917513 GEF917512:GEF917513 GOB917512:GOB917513 GXX917512:GXX917513 HHT917512:HHT917513 HRP917512:HRP917513 IBL917512:IBL917513 ILH917512:ILH917513 IVD917512:IVD917513 JEZ917512:JEZ917513 JOV917512:JOV917513 JYR917512:JYR917513 KIN917512:KIN917513 KSJ917512:KSJ917513 LCF917512:LCF917513 LMB917512:LMB917513 LVX917512:LVX917513 MFT917512:MFT917513 MPP917512:MPP917513 MZL917512:MZL917513 NJH917512:NJH917513 NTD917512:NTD917513 OCZ917512:OCZ917513 OMV917512:OMV917513 OWR917512:OWR917513 PGN917512:PGN917513 PQJ917512:PQJ917513 QAF917512:QAF917513 QKB917512:QKB917513 QTX917512:QTX917513 RDT917512:RDT917513 RNP917512:RNP917513 RXL917512:RXL917513 SHH917512:SHH917513 SRD917512:SRD917513 TAZ917512:TAZ917513 TKV917512:TKV917513 TUR917512:TUR917513 UEN917512:UEN917513 UOJ917512:UOJ917513 UYF917512:UYF917513 VIB917512:VIB917513 VRX917512:VRX917513 WBT917512:WBT917513 WLP917512:WLP917513 WVL917512:WVL917513 D983048:D983049 IZ983048:IZ983049 SV983048:SV983049 ACR983048:ACR983049 AMN983048:AMN983049 AWJ983048:AWJ983049 BGF983048:BGF983049 BQB983048:BQB983049 BZX983048:BZX983049 CJT983048:CJT983049 CTP983048:CTP983049 DDL983048:DDL983049 DNH983048:DNH983049 DXD983048:DXD983049 EGZ983048:EGZ983049 EQV983048:EQV983049 FAR983048:FAR983049 FKN983048:FKN983049 FUJ983048:FUJ983049 GEF983048:GEF983049 GOB983048:GOB983049 GXX983048:GXX983049 HHT983048:HHT983049 HRP983048:HRP983049 IBL983048:IBL983049 ILH983048:ILH983049 IVD983048:IVD983049 JEZ983048:JEZ983049 JOV983048:JOV983049 JYR983048:JYR983049 KIN983048:KIN983049 KSJ983048:KSJ983049 LCF983048:LCF983049 LMB983048:LMB983049 LVX983048:LVX983049 MFT983048:MFT983049 MPP983048:MPP983049 MZL983048:MZL983049 NJH983048:NJH983049 NTD983048:NTD983049 OCZ983048:OCZ983049 OMV983048:OMV983049 OWR983048:OWR983049 PGN983048:PGN983049 PQJ983048:PQJ983049 QAF983048:QAF983049 QKB983048:QKB983049 QTX983048:QTX983049 RDT983048:RDT983049 RNP983048:RNP983049 RXL983048:RXL983049 SHH983048:SHH983049 SRD983048:SRD983049 TAZ983048:TAZ983049 TKV983048:TKV983049 TUR983048:TUR983049 UEN983048:UEN983049 UOJ983048:UOJ983049 UYF983048:UYF983049 VIB983048:VIB983049 VRX983048:VRX983049 WBT983048:WBT983049 WLP983048:WLP983049 WVL983048:WVL983049">
      <formula1>"BackwardFlat,ForwardFlat,Linear,LogLinear,CubicNaturalSpline,LogCubicNaturalSpline,MonotonicCubicNaturalSpline,MonotonicLogCubicNaturalSpline,FritschButlandCubic,FritschButlandLogCubic,KrugerCubic,KrugerLogCubic"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4 IZ4 SV4 ACR4 AMN4 AWJ4 BGF4 BQB4 BZX4 CJT4 CTP4 DDL4 DNH4 DXD4 EGZ4 EQV4 FAR4 FKN4 FUJ4 GEF4 GOB4 GXX4 HHT4 HRP4 IBL4 ILH4 IVD4 JEZ4 JOV4 JYR4 KIN4 KSJ4 LCF4 LMB4 LVX4 MFT4 MPP4 MZL4 NJH4 NTD4 OCZ4 OMV4 OWR4 PGN4 PQJ4 QAF4 QKB4 QTX4 RDT4 RNP4 RXL4 SHH4 SRD4 TAZ4 TKV4 TUR4 UEN4 UOJ4 UYF4 VIB4 VRX4 WBT4 WLP4 WVL4 D65540 IZ65540 SV65540 ACR65540 AMN65540 AWJ65540 BGF65540 BQB65540 BZX65540 CJT65540 CTP65540 DDL65540 DNH65540 DXD65540 EGZ65540 EQV65540 FAR65540 FKN65540 FUJ65540 GEF65540 GOB65540 GXX65540 HHT65540 HRP65540 IBL65540 ILH65540 IVD65540 JEZ65540 JOV65540 JYR65540 KIN65540 KSJ65540 LCF65540 LMB65540 LVX65540 MFT65540 MPP65540 MZL65540 NJH65540 NTD65540 OCZ65540 OMV65540 OWR65540 PGN65540 PQJ65540 QAF65540 QKB65540 QTX65540 RDT65540 RNP65540 RXL65540 SHH65540 SRD65540 TAZ65540 TKV65540 TUR65540 UEN65540 UOJ65540 UYF65540 VIB65540 VRX65540 WBT65540 WLP65540 WVL65540 D131076 IZ131076 SV131076 ACR131076 AMN131076 AWJ131076 BGF131076 BQB131076 BZX131076 CJT131076 CTP131076 DDL131076 DNH131076 DXD131076 EGZ131076 EQV131076 FAR131076 FKN131076 FUJ131076 GEF131076 GOB131076 GXX131076 HHT131076 HRP131076 IBL131076 ILH131076 IVD131076 JEZ131076 JOV131076 JYR131076 KIN131076 KSJ131076 LCF131076 LMB131076 LVX131076 MFT131076 MPP131076 MZL131076 NJH131076 NTD131076 OCZ131076 OMV131076 OWR131076 PGN131076 PQJ131076 QAF131076 QKB131076 QTX131076 RDT131076 RNP131076 RXL131076 SHH131076 SRD131076 TAZ131076 TKV131076 TUR131076 UEN131076 UOJ131076 UYF131076 VIB131076 VRX131076 WBT131076 WLP131076 WVL131076 D196612 IZ196612 SV196612 ACR196612 AMN196612 AWJ196612 BGF196612 BQB196612 BZX196612 CJT196612 CTP196612 DDL196612 DNH196612 DXD196612 EGZ196612 EQV196612 FAR196612 FKN196612 FUJ196612 GEF196612 GOB196612 GXX196612 HHT196612 HRP196612 IBL196612 ILH196612 IVD196612 JEZ196612 JOV196612 JYR196612 KIN196612 KSJ196612 LCF196612 LMB196612 LVX196612 MFT196612 MPP196612 MZL196612 NJH196612 NTD196612 OCZ196612 OMV196612 OWR196612 PGN196612 PQJ196612 QAF196612 QKB196612 QTX196612 RDT196612 RNP196612 RXL196612 SHH196612 SRD196612 TAZ196612 TKV196612 TUR196612 UEN196612 UOJ196612 UYF196612 VIB196612 VRX196612 WBT196612 WLP196612 WVL196612 D262148 IZ262148 SV262148 ACR262148 AMN262148 AWJ262148 BGF262148 BQB262148 BZX262148 CJT262148 CTP262148 DDL262148 DNH262148 DXD262148 EGZ262148 EQV262148 FAR262148 FKN262148 FUJ262148 GEF262148 GOB262148 GXX262148 HHT262148 HRP262148 IBL262148 ILH262148 IVD262148 JEZ262148 JOV262148 JYR262148 KIN262148 KSJ262148 LCF262148 LMB262148 LVX262148 MFT262148 MPP262148 MZL262148 NJH262148 NTD262148 OCZ262148 OMV262148 OWR262148 PGN262148 PQJ262148 QAF262148 QKB262148 QTX262148 RDT262148 RNP262148 RXL262148 SHH262148 SRD262148 TAZ262148 TKV262148 TUR262148 UEN262148 UOJ262148 UYF262148 VIB262148 VRX262148 WBT262148 WLP262148 WVL262148 D327684 IZ327684 SV327684 ACR327684 AMN327684 AWJ327684 BGF327684 BQB327684 BZX327684 CJT327684 CTP327684 DDL327684 DNH327684 DXD327684 EGZ327684 EQV327684 FAR327684 FKN327684 FUJ327684 GEF327684 GOB327684 GXX327684 HHT327684 HRP327684 IBL327684 ILH327684 IVD327684 JEZ327684 JOV327684 JYR327684 KIN327684 KSJ327684 LCF327684 LMB327684 LVX327684 MFT327684 MPP327684 MZL327684 NJH327684 NTD327684 OCZ327684 OMV327684 OWR327684 PGN327684 PQJ327684 QAF327684 QKB327684 QTX327684 RDT327684 RNP327684 RXL327684 SHH327684 SRD327684 TAZ327684 TKV327684 TUR327684 UEN327684 UOJ327684 UYF327684 VIB327684 VRX327684 WBT327684 WLP327684 WVL327684 D393220 IZ393220 SV393220 ACR393220 AMN393220 AWJ393220 BGF393220 BQB393220 BZX393220 CJT393220 CTP393220 DDL393220 DNH393220 DXD393220 EGZ393220 EQV393220 FAR393220 FKN393220 FUJ393220 GEF393220 GOB393220 GXX393220 HHT393220 HRP393220 IBL393220 ILH393220 IVD393220 JEZ393220 JOV393220 JYR393220 KIN393220 KSJ393220 LCF393220 LMB393220 LVX393220 MFT393220 MPP393220 MZL393220 NJH393220 NTD393220 OCZ393220 OMV393220 OWR393220 PGN393220 PQJ393220 QAF393220 QKB393220 QTX393220 RDT393220 RNP393220 RXL393220 SHH393220 SRD393220 TAZ393220 TKV393220 TUR393220 UEN393220 UOJ393220 UYF393220 VIB393220 VRX393220 WBT393220 WLP393220 WVL393220 D458756 IZ458756 SV458756 ACR458756 AMN458756 AWJ458756 BGF458756 BQB458756 BZX458756 CJT458756 CTP458756 DDL458756 DNH458756 DXD458756 EGZ458756 EQV458756 FAR458756 FKN458756 FUJ458756 GEF458756 GOB458756 GXX458756 HHT458756 HRP458756 IBL458756 ILH458756 IVD458756 JEZ458756 JOV458756 JYR458756 KIN458756 KSJ458756 LCF458756 LMB458756 LVX458756 MFT458756 MPP458756 MZL458756 NJH458756 NTD458756 OCZ458756 OMV458756 OWR458756 PGN458756 PQJ458756 QAF458756 QKB458756 QTX458756 RDT458756 RNP458756 RXL458756 SHH458756 SRD458756 TAZ458756 TKV458756 TUR458756 UEN458756 UOJ458756 UYF458756 VIB458756 VRX458756 WBT458756 WLP458756 WVL458756 D524292 IZ524292 SV524292 ACR524292 AMN524292 AWJ524292 BGF524292 BQB524292 BZX524292 CJT524292 CTP524292 DDL524292 DNH524292 DXD524292 EGZ524292 EQV524292 FAR524292 FKN524292 FUJ524292 GEF524292 GOB524292 GXX524292 HHT524292 HRP524292 IBL524292 ILH524292 IVD524292 JEZ524292 JOV524292 JYR524292 KIN524292 KSJ524292 LCF524292 LMB524292 LVX524292 MFT524292 MPP524292 MZL524292 NJH524292 NTD524292 OCZ524292 OMV524292 OWR524292 PGN524292 PQJ524292 QAF524292 QKB524292 QTX524292 RDT524292 RNP524292 RXL524292 SHH524292 SRD524292 TAZ524292 TKV524292 TUR524292 UEN524292 UOJ524292 UYF524292 VIB524292 VRX524292 WBT524292 WLP524292 WVL524292 D589828 IZ589828 SV589828 ACR589828 AMN589828 AWJ589828 BGF589828 BQB589828 BZX589828 CJT589828 CTP589828 DDL589828 DNH589828 DXD589828 EGZ589828 EQV589828 FAR589828 FKN589828 FUJ589828 GEF589828 GOB589828 GXX589828 HHT589828 HRP589828 IBL589828 ILH589828 IVD589828 JEZ589828 JOV589828 JYR589828 KIN589828 KSJ589828 LCF589828 LMB589828 LVX589828 MFT589828 MPP589828 MZL589828 NJH589828 NTD589828 OCZ589828 OMV589828 OWR589828 PGN589828 PQJ589828 QAF589828 QKB589828 QTX589828 RDT589828 RNP589828 RXL589828 SHH589828 SRD589828 TAZ589828 TKV589828 TUR589828 UEN589828 UOJ589828 UYF589828 VIB589828 VRX589828 WBT589828 WLP589828 WVL589828 D655364 IZ655364 SV655364 ACR655364 AMN655364 AWJ655364 BGF655364 BQB655364 BZX655364 CJT655364 CTP655364 DDL655364 DNH655364 DXD655364 EGZ655364 EQV655364 FAR655364 FKN655364 FUJ655364 GEF655364 GOB655364 GXX655364 HHT655364 HRP655364 IBL655364 ILH655364 IVD655364 JEZ655364 JOV655364 JYR655364 KIN655364 KSJ655364 LCF655364 LMB655364 LVX655364 MFT655364 MPP655364 MZL655364 NJH655364 NTD655364 OCZ655364 OMV655364 OWR655364 PGN655364 PQJ655364 QAF655364 QKB655364 QTX655364 RDT655364 RNP655364 RXL655364 SHH655364 SRD655364 TAZ655364 TKV655364 TUR655364 UEN655364 UOJ655364 UYF655364 VIB655364 VRX655364 WBT655364 WLP655364 WVL655364 D720900 IZ720900 SV720900 ACR720900 AMN720900 AWJ720900 BGF720900 BQB720900 BZX720900 CJT720900 CTP720900 DDL720900 DNH720900 DXD720900 EGZ720900 EQV720900 FAR720900 FKN720900 FUJ720900 GEF720900 GOB720900 GXX720900 HHT720900 HRP720900 IBL720900 ILH720900 IVD720900 JEZ720900 JOV720900 JYR720900 KIN720900 KSJ720900 LCF720900 LMB720900 LVX720900 MFT720900 MPP720900 MZL720900 NJH720900 NTD720900 OCZ720900 OMV720900 OWR720900 PGN720900 PQJ720900 QAF720900 QKB720900 QTX720900 RDT720900 RNP720900 RXL720900 SHH720900 SRD720900 TAZ720900 TKV720900 TUR720900 UEN720900 UOJ720900 UYF720900 VIB720900 VRX720900 WBT720900 WLP720900 WVL720900 D786436 IZ786436 SV786436 ACR786436 AMN786436 AWJ786436 BGF786436 BQB786436 BZX786436 CJT786436 CTP786436 DDL786436 DNH786436 DXD786436 EGZ786436 EQV786436 FAR786436 FKN786436 FUJ786436 GEF786436 GOB786436 GXX786436 HHT786436 HRP786436 IBL786436 ILH786436 IVD786436 JEZ786436 JOV786436 JYR786436 KIN786436 KSJ786436 LCF786436 LMB786436 LVX786436 MFT786436 MPP786436 MZL786436 NJH786436 NTD786436 OCZ786436 OMV786436 OWR786436 PGN786436 PQJ786436 QAF786436 QKB786436 QTX786436 RDT786436 RNP786436 RXL786436 SHH786436 SRD786436 TAZ786436 TKV786436 TUR786436 UEN786436 UOJ786436 UYF786436 VIB786436 VRX786436 WBT786436 WLP786436 WVL786436 D851972 IZ851972 SV851972 ACR851972 AMN851972 AWJ851972 BGF851972 BQB851972 BZX851972 CJT851972 CTP851972 DDL851972 DNH851972 DXD851972 EGZ851972 EQV851972 FAR851972 FKN851972 FUJ851972 GEF851972 GOB851972 GXX851972 HHT851972 HRP851972 IBL851972 ILH851972 IVD851972 JEZ851972 JOV851972 JYR851972 KIN851972 KSJ851972 LCF851972 LMB851972 LVX851972 MFT851972 MPP851972 MZL851972 NJH851972 NTD851972 OCZ851972 OMV851972 OWR851972 PGN851972 PQJ851972 QAF851972 QKB851972 QTX851972 RDT851972 RNP851972 RXL851972 SHH851972 SRD851972 TAZ851972 TKV851972 TUR851972 UEN851972 UOJ851972 UYF851972 VIB851972 VRX851972 WBT851972 WLP851972 WVL851972 D917508 IZ917508 SV917508 ACR917508 AMN917508 AWJ917508 BGF917508 BQB917508 BZX917508 CJT917508 CTP917508 DDL917508 DNH917508 DXD917508 EGZ917508 EQV917508 FAR917508 FKN917508 FUJ917508 GEF917508 GOB917508 GXX917508 HHT917508 HRP917508 IBL917508 ILH917508 IVD917508 JEZ917508 JOV917508 JYR917508 KIN917508 KSJ917508 LCF917508 LMB917508 LVX917508 MFT917508 MPP917508 MZL917508 NJH917508 NTD917508 OCZ917508 OMV917508 OWR917508 PGN917508 PQJ917508 QAF917508 QKB917508 QTX917508 RDT917508 RNP917508 RXL917508 SHH917508 SRD917508 TAZ917508 TKV917508 TUR917508 UEN917508 UOJ917508 UYF917508 VIB917508 VRX917508 WBT917508 WLP917508 WVL917508 D983044 IZ983044 SV983044 ACR983044 AMN983044 AWJ983044 BGF983044 BQB983044 BZX983044 CJT983044 CTP983044 DDL983044 DNH983044 DXD983044 EGZ983044 EQV983044 FAR983044 FKN983044 FUJ983044 GEF983044 GOB983044 GXX983044 HHT983044 HRP983044 IBL983044 ILH983044 IVD983044 JEZ983044 JOV983044 JYR983044 KIN983044 KSJ983044 LCF983044 LMB983044 LVX983044 MFT983044 MPP983044 MZL983044 NJH983044 NTD983044 OCZ983044 OMV983044 OWR983044 PGN983044 PQJ983044 QAF983044 QKB983044 QTX983044 RDT983044 RNP983044 RXL983044 SHH983044 SRD983044 TAZ983044 TKV983044 TUR983044 UEN983044 UOJ983044 UYF983044 VIB983044 VRX983044 WBT983044 WLP983044 WVL983044">
      <formula1>"EUR,USD,GBP,JPY,CHF"</formula1>
    </dataValidation>
  </dataValidations>
  <pageMargins left="0.75" right="0.75" top="1" bottom="1" header="0.5" footer="0.5"/>
  <pageSetup paperSize="9" orientation="portrait" r:id="rId1"/>
  <headerFooter alignWithMargins="0"/>
  <drawing r:id="rId2"/>
  <legacyDrawing r:id="rId3"/>
  <controls>
    <mc:AlternateContent xmlns:mc="http://schemas.openxmlformats.org/markup-compatibility/2006">
      <mc:Choice Requires="x14">
        <control shapeId="2049" r:id="rId4" name="CommandButton1">
          <controlPr defaultSize="0" autoLine="0" r:id="rId5">
            <anchor moveWithCells="1">
              <from>
                <xdr:col>1</xdr:col>
                <xdr:colOff>333375</xdr:colOff>
                <xdr:row>18</xdr:row>
                <xdr:rowOff>57150</xdr:rowOff>
              </from>
              <to>
                <xdr:col>3</xdr:col>
                <xdr:colOff>381000</xdr:colOff>
                <xdr:row>20</xdr:row>
                <xdr:rowOff>47625</xdr:rowOff>
              </to>
            </anchor>
          </controlPr>
        </control>
      </mc:Choice>
      <mc:Fallback>
        <control shapeId="2049" r:id="rId4" name="CommandButton1"/>
      </mc:Fallback>
    </mc:AlternateContent>
    <mc:AlternateContent xmlns:mc="http://schemas.openxmlformats.org/markup-compatibility/2006">
      <mc:Choice Requires="x14">
        <control shapeId="2050" r:id="rId6" name="CommandButton2">
          <controlPr defaultSize="0" autoLine="0" r:id="rId7">
            <anchor moveWithCells="1">
              <from>
                <xdr:col>2</xdr:col>
                <xdr:colOff>0</xdr:colOff>
                <xdr:row>20</xdr:row>
                <xdr:rowOff>123825</xdr:rowOff>
              </from>
              <to>
                <xdr:col>3</xdr:col>
                <xdr:colOff>390525</xdr:colOff>
                <xdr:row>22</xdr:row>
                <xdr:rowOff>114300</xdr:rowOff>
              </to>
            </anchor>
          </controlPr>
        </control>
      </mc:Choice>
      <mc:Fallback>
        <control shapeId="2050" r:id="rId6" name="CommandButton2"/>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64</vt:i4>
      </vt:variant>
      <vt:variant>
        <vt:lpstr>Named Ranges</vt:lpstr>
      </vt:variant>
      <vt:variant>
        <vt:i4>579</vt:i4>
      </vt:variant>
    </vt:vector>
  </HeadingPairs>
  <TitlesOfParts>
    <vt:vector size="643" baseType="lpstr">
      <vt:lpstr>EUR</vt:lpstr>
      <vt:lpstr>RelinkableHandles</vt:lpstr>
      <vt:lpstr>Euribor</vt:lpstr>
      <vt:lpstr>Euribor365</vt:lpstr>
      <vt:lpstr>EuriborSwapIsdaFixA</vt:lpstr>
      <vt:lpstr>EuriborSwapIsdaFixB</vt:lpstr>
      <vt:lpstr>EuriborSwapIfrFix</vt:lpstr>
      <vt:lpstr>General Settings (2)</vt:lpstr>
      <vt:lpstr>Libor</vt:lpstr>
      <vt:lpstr>LiborSwapIsdaFixA</vt:lpstr>
      <vt:lpstr>LiborSwapIsdaFixB</vt:lpstr>
      <vt:lpstr>LiborSwapIfrFix</vt:lpstr>
      <vt:lpstr>EurLibor</vt:lpstr>
      <vt:lpstr>BasisSwap1MxM</vt:lpstr>
      <vt:lpstr>BasisSwap3M6M</vt:lpstr>
      <vt:lpstr>BasisSwapxM12M</vt:lpstr>
      <vt:lpstr>EUR_010_BasisSwapQuotes</vt:lpstr>
      <vt:lpstr>Deposits</vt:lpstr>
      <vt:lpstr>FRA</vt:lpstr>
      <vt:lpstr>Futures1M</vt:lpstr>
      <vt:lpstr>Futures3M</vt:lpstr>
      <vt:lpstr>ImmFra6M </vt:lpstr>
      <vt:lpstr>FuturesHWConvAdj</vt:lpstr>
      <vt:lpstr>EUR_010_DepoFRAFuturesQuotes</vt:lpstr>
      <vt:lpstr>OIS</vt:lpstr>
      <vt:lpstr>Swaps1M</vt:lpstr>
      <vt:lpstr>SwapsIMMDated</vt:lpstr>
      <vt:lpstr>Swap3M</vt:lpstr>
      <vt:lpstr>Swap6M</vt:lpstr>
      <vt:lpstr>EUR_010_SwapQuotes</vt:lpstr>
      <vt:lpstr>ON</vt:lpstr>
      <vt:lpstr>1M</vt:lpstr>
      <vt:lpstr>3M</vt:lpstr>
      <vt:lpstr>6M</vt:lpstr>
      <vt:lpstr>1Y</vt:lpstr>
      <vt:lpstr>EUR_015_SyntheticQuotes</vt:lpstr>
      <vt:lpstr>1M (2)</vt:lpstr>
      <vt:lpstr>3M (2)</vt:lpstr>
      <vt:lpstr>6M (2)</vt:lpstr>
      <vt:lpstr>1Y (2)</vt:lpstr>
      <vt:lpstr>EUR_020_ForwardSwapQuotes</vt:lpstr>
      <vt:lpstr>3M (3)</vt:lpstr>
      <vt:lpstr>EUR_020_FuturesConvAdjQuotes</vt:lpstr>
      <vt:lpstr>1M (3)</vt:lpstr>
      <vt:lpstr>3M (4)</vt:lpstr>
      <vt:lpstr>6M (3)</vt:lpstr>
      <vt:lpstr>1Y (3)</vt:lpstr>
      <vt:lpstr>EUR_020_SwapFromBasisQuotes</vt:lpstr>
      <vt:lpstr>Deposits (2)</vt:lpstr>
      <vt:lpstr>FRA (2)</vt:lpstr>
      <vt:lpstr>Futures1M (2)</vt:lpstr>
      <vt:lpstr>Futures3M (2)</vt:lpstr>
      <vt:lpstr>ImmFra6M</vt:lpstr>
      <vt:lpstr>FuturesConvexityAdjustment</vt:lpstr>
      <vt:lpstr>Swap1M</vt:lpstr>
      <vt:lpstr>SwapIMMDated</vt:lpstr>
      <vt:lpstr>Swap3M (2)</vt:lpstr>
      <vt:lpstr>Swap6M (2)</vt:lpstr>
      <vt:lpstr>BasisSwap1MXM (2)</vt:lpstr>
      <vt:lpstr>BasisSwap3M6M (2)</vt:lpstr>
      <vt:lpstr>BasisSwapXM12M (2)</vt:lpstr>
      <vt:lpstr>OIS (2)</vt:lpstr>
      <vt:lpstr>ECBOIS</vt:lpstr>
      <vt:lpstr>General Settings</vt:lpstr>
      <vt:lpstr>'BasisSwap1MXM (2)'!Contributor</vt:lpstr>
      <vt:lpstr>'BasisSwap3M6M (2)'!Contributor</vt:lpstr>
      <vt:lpstr>'BasisSwapXM12M (2)'!Contributor</vt:lpstr>
      <vt:lpstr>'Deposits (2)'!Contributor</vt:lpstr>
      <vt:lpstr>ECBOIS!Contributor</vt:lpstr>
      <vt:lpstr>'FRA (2)'!Contributor</vt:lpstr>
      <vt:lpstr>FuturesConvexityAdjustment!Contributor</vt:lpstr>
      <vt:lpstr>ImmFra6M!Contributor</vt:lpstr>
      <vt:lpstr>'OIS (2)'!Contributor</vt:lpstr>
      <vt:lpstr>Swap1M!Contributor</vt:lpstr>
      <vt:lpstr>'Swap3M (2)'!Contributor</vt:lpstr>
      <vt:lpstr>'Swap6M (2)'!Contributor</vt:lpstr>
      <vt:lpstr>SwapIMMDated!Contributor</vt:lpstr>
      <vt:lpstr>'Deposits (2)'!Contributors</vt:lpstr>
      <vt:lpstr>Contributors</vt:lpstr>
      <vt:lpstr>'Deposits (2)'!ContributorTable</vt:lpstr>
      <vt:lpstr>ContributorTable</vt:lpstr>
      <vt:lpstr>'BasisSwap1MXM (2)'!Conventions</vt:lpstr>
      <vt:lpstr>'BasisSwap3M6M (2)'!Conventions</vt:lpstr>
      <vt:lpstr>'BasisSwapXM12M (2)'!Conventions</vt:lpstr>
      <vt:lpstr>'Swap3M (2)'!Conventions</vt:lpstr>
      <vt:lpstr>'Swap6M (2)'!Conventions</vt:lpstr>
      <vt:lpstr>'BasisSwap1MXM (2)'!Counter</vt:lpstr>
      <vt:lpstr>'BasisSwap3M6M (2)'!Counter</vt:lpstr>
      <vt:lpstr>'BasisSwapXM12M (2)'!Counter</vt:lpstr>
      <vt:lpstr>'Deposits (2)'!Counter</vt:lpstr>
      <vt:lpstr>ECBOIS!Counter</vt:lpstr>
      <vt:lpstr>'FRA (2)'!Counter</vt:lpstr>
      <vt:lpstr>'Futures1M (2)'!Counter</vt:lpstr>
      <vt:lpstr>'Futures3M (2)'!Counter</vt:lpstr>
      <vt:lpstr>FuturesConvexityAdjustment!Counter</vt:lpstr>
      <vt:lpstr>ImmFra6M!Counter</vt:lpstr>
      <vt:lpstr>'OIS (2)'!Counter</vt:lpstr>
      <vt:lpstr>Swap1M!Counter</vt:lpstr>
      <vt:lpstr>'Swap3M (2)'!Counter</vt:lpstr>
      <vt:lpstr>'Swap6M (2)'!Counter</vt:lpstr>
      <vt:lpstr>SwapIMMDated!Counter</vt:lpstr>
      <vt:lpstr>Counter</vt:lpstr>
      <vt:lpstr>'1M'!Currency</vt:lpstr>
      <vt:lpstr>'1M (2)'!Currency</vt:lpstr>
      <vt:lpstr>'1M (3)'!Currency</vt:lpstr>
      <vt:lpstr>'1Y'!Currency</vt:lpstr>
      <vt:lpstr>'1Y (2)'!Currency</vt:lpstr>
      <vt:lpstr>'1Y (3)'!Currency</vt:lpstr>
      <vt:lpstr>'3M'!Currency</vt:lpstr>
      <vt:lpstr>'3M (2)'!Currency</vt:lpstr>
      <vt:lpstr>'3M (3)'!Currency</vt:lpstr>
      <vt:lpstr>'3M (4)'!Currency</vt:lpstr>
      <vt:lpstr>'6M'!Currency</vt:lpstr>
      <vt:lpstr>'6M (2)'!Currency</vt:lpstr>
      <vt:lpstr>'6M (3)'!Currency</vt:lpstr>
      <vt:lpstr>BasisSwap1MxM!Currency</vt:lpstr>
      <vt:lpstr>'BasisSwap1MXM (2)'!Currency</vt:lpstr>
      <vt:lpstr>BasisSwap3M6M!Currency</vt:lpstr>
      <vt:lpstr>'BasisSwap3M6M (2)'!Currency</vt:lpstr>
      <vt:lpstr>BasisSwapxM12M!Currency</vt:lpstr>
      <vt:lpstr>'BasisSwapXM12M (2)'!Currency</vt:lpstr>
      <vt:lpstr>Deposits!Currency</vt:lpstr>
      <vt:lpstr>'Deposits (2)'!Currency</vt:lpstr>
      <vt:lpstr>ECBOIS!Currency</vt:lpstr>
      <vt:lpstr>EUR!Currency</vt:lpstr>
      <vt:lpstr>EUR_010_BasisSwapQuotes!Currency</vt:lpstr>
      <vt:lpstr>EUR_010_DepoFRAFuturesQuotes!Currency</vt:lpstr>
      <vt:lpstr>EUR_010_SwapQuotes!Currency</vt:lpstr>
      <vt:lpstr>EUR_015_SyntheticQuotes!Currency</vt:lpstr>
      <vt:lpstr>EUR_020_ForwardSwapQuotes!Currency</vt:lpstr>
      <vt:lpstr>EUR_020_FuturesConvAdjQuotes!Currency</vt:lpstr>
      <vt:lpstr>EUR_020_SwapFromBasisQuotes!Currency</vt:lpstr>
      <vt:lpstr>EurLibor!Currency</vt:lpstr>
      <vt:lpstr>FRA!Currency</vt:lpstr>
      <vt:lpstr>'FRA (2)'!Currency</vt:lpstr>
      <vt:lpstr>Futures1M!Currency</vt:lpstr>
      <vt:lpstr>'Futures1M (2)'!Currency</vt:lpstr>
      <vt:lpstr>Futures3M!Currency</vt:lpstr>
      <vt:lpstr>'Futures3M (2)'!Currency</vt:lpstr>
      <vt:lpstr>FuturesConvexityAdjustment!Currency</vt:lpstr>
      <vt:lpstr>FuturesHWConvAdj!Currency</vt:lpstr>
      <vt:lpstr>'General Settings'!Currency</vt:lpstr>
      <vt:lpstr>ImmFra6M!Currency</vt:lpstr>
      <vt:lpstr>'ImmFra6M '!Currency</vt:lpstr>
      <vt:lpstr>Libor!Currency</vt:lpstr>
      <vt:lpstr>LiborSwapIfrFix!Currency</vt:lpstr>
      <vt:lpstr>LiborSwapIsdaFixA!Currency</vt:lpstr>
      <vt:lpstr>LiborSwapIsdaFixB!Currency</vt:lpstr>
      <vt:lpstr>OIS!Currency</vt:lpstr>
      <vt:lpstr>'OIS (2)'!Currency</vt:lpstr>
      <vt:lpstr>ON!Currency</vt:lpstr>
      <vt:lpstr>Swap1M!Currency</vt:lpstr>
      <vt:lpstr>Swap3M!Currency</vt:lpstr>
      <vt:lpstr>'Swap3M (2)'!Currency</vt:lpstr>
      <vt:lpstr>Swap6M!Currency</vt:lpstr>
      <vt:lpstr>'Swap6M (2)'!Currency</vt:lpstr>
      <vt:lpstr>SwapIMMDated!Currency</vt:lpstr>
      <vt:lpstr>Swaps1M!Currency</vt:lpstr>
      <vt:lpstr>SwapsIMMDated!Currency</vt:lpstr>
      <vt:lpstr>Currency</vt:lpstr>
      <vt:lpstr>'3M (3)'!FamilyName</vt:lpstr>
      <vt:lpstr>EUR_020_FuturesConvAdjQuotes!FamilyName</vt:lpstr>
      <vt:lpstr>Euribor!FamilyName</vt:lpstr>
      <vt:lpstr>Euribor365!FamilyName</vt:lpstr>
      <vt:lpstr>EuriborSwapIfrFix!FamilyName</vt:lpstr>
      <vt:lpstr>EuriborSwapIsdaFixA!FamilyName</vt:lpstr>
      <vt:lpstr>EuriborSwapIsdaFixB!FamilyName</vt:lpstr>
      <vt:lpstr>Libor!FamilyName</vt:lpstr>
      <vt:lpstr>LiborSwapIfrFix!FamilyName</vt:lpstr>
      <vt:lpstr>LiborSwapIsdaFixA!FamilyName</vt:lpstr>
      <vt:lpstr>LiborSwapIsdaFixB!FamilyName</vt:lpstr>
      <vt:lpstr>FamilyName</vt:lpstr>
      <vt:lpstr>Euribor!FileName</vt:lpstr>
      <vt:lpstr>Euribor365!FileName</vt:lpstr>
      <vt:lpstr>EuriborSwapIfrFix!FileName</vt:lpstr>
      <vt:lpstr>EuriborSwapIsdaFixA!FileName</vt:lpstr>
      <vt:lpstr>EuriborSwapIsdaFixB!FileName</vt:lpstr>
      <vt:lpstr>Libor!FileName</vt:lpstr>
      <vt:lpstr>LiborSwapIfrFix!FileName</vt:lpstr>
      <vt:lpstr>LiborSwapIsdaFixA!FileName</vt:lpstr>
      <vt:lpstr>LiborSwapIsdaFixB!FileName</vt:lpstr>
      <vt:lpstr>'1M'!FileOverwrite</vt:lpstr>
      <vt:lpstr>'1M (2)'!FileOverwrite</vt:lpstr>
      <vt:lpstr>'1M (3)'!FileOverwrite</vt:lpstr>
      <vt:lpstr>'1Y'!FileOverwrite</vt:lpstr>
      <vt:lpstr>'1Y (2)'!FileOverwrite</vt:lpstr>
      <vt:lpstr>'1Y (3)'!FileOverwrite</vt:lpstr>
      <vt:lpstr>'3M'!FileOverwrite</vt:lpstr>
      <vt:lpstr>'3M (2)'!FileOverwrite</vt:lpstr>
      <vt:lpstr>'3M (3)'!FileOverwrite</vt:lpstr>
      <vt:lpstr>'3M (4)'!FileOverwrite</vt:lpstr>
      <vt:lpstr>'6M'!FileOverwrite</vt:lpstr>
      <vt:lpstr>'6M (2)'!FileOverwrite</vt:lpstr>
      <vt:lpstr>'6M (3)'!FileOverwrite</vt:lpstr>
      <vt:lpstr>BasisSwap1MxM!FileOverwrite</vt:lpstr>
      <vt:lpstr>BasisSwap3M6M!FileOverwrite</vt:lpstr>
      <vt:lpstr>BasisSwapxM12M!FileOverwrite</vt:lpstr>
      <vt:lpstr>Deposits!FileOverwrite</vt:lpstr>
      <vt:lpstr>EUR_010_BasisSwapQuotes!FileOverwrite</vt:lpstr>
      <vt:lpstr>EUR_010_DepoFRAFuturesQuotes!FileOverwrite</vt:lpstr>
      <vt:lpstr>EUR_010_SwapQuotes!FileOverwrite</vt:lpstr>
      <vt:lpstr>EUR_015_SyntheticQuotes!FileOverwrite</vt:lpstr>
      <vt:lpstr>EUR_020_ForwardSwapQuotes!FileOverwrite</vt:lpstr>
      <vt:lpstr>EUR_020_FuturesConvAdjQuotes!FileOverwrite</vt:lpstr>
      <vt:lpstr>EUR_020_SwapFromBasisQuotes!FileOverwrite</vt:lpstr>
      <vt:lpstr>Euribor!FileOverwrite</vt:lpstr>
      <vt:lpstr>Euribor365!FileOverwrite</vt:lpstr>
      <vt:lpstr>EuriborSwapIfrFix!FileOverwrite</vt:lpstr>
      <vt:lpstr>EuriborSwapIsdaFixA!FileOverwrite</vt:lpstr>
      <vt:lpstr>EuriborSwapIsdaFixB!FileOverwrite</vt:lpstr>
      <vt:lpstr>EurLibor!FileOverwrite</vt:lpstr>
      <vt:lpstr>FRA!FileOverwrite</vt:lpstr>
      <vt:lpstr>Futures1M!FileOverwrite</vt:lpstr>
      <vt:lpstr>Futures3M!FileOverwrite</vt:lpstr>
      <vt:lpstr>FuturesHWConvAdj!FileOverwrite</vt:lpstr>
      <vt:lpstr>'General Settings (2)'!FileOverwrite</vt:lpstr>
      <vt:lpstr>'ImmFra6M '!FileOverwrite</vt:lpstr>
      <vt:lpstr>Libor!FileOverwrite</vt:lpstr>
      <vt:lpstr>LiborSwapIfrFix!FileOverwrite</vt:lpstr>
      <vt:lpstr>LiborSwapIsdaFixA!FileOverwrite</vt:lpstr>
      <vt:lpstr>LiborSwapIsdaFixB!FileOverwrite</vt:lpstr>
      <vt:lpstr>OIS!FileOverwrite</vt:lpstr>
      <vt:lpstr>ON!FileOverwrite</vt:lpstr>
      <vt:lpstr>Swap3M!FileOverwrite</vt:lpstr>
      <vt:lpstr>Swap6M!FileOverwrite</vt:lpstr>
      <vt:lpstr>Swaps1M!FileOverwrite</vt:lpstr>
      <vt:lpstr>SwapsIMMDated!FileOverwrite</vt:lpstr>
      <vt:lpstr>FileOverwrite</vt:lpstr>
      <vt:lpstr>EuriborSwapIfrFix!FixingType</vt:lpstr>
      <vt:lpstr>EuriborSwapIsdaFixA!FixingType</vt:lpstr>
      <vt:lpstr>EuriborSwapIsdaFixB!FixingType</vt:lpstr>
      <vt:lpstr>LiborSwapIfrFix!FixingType</vt:lpstr>
      <vt:lpstr>LiborSwapIsdaFixA!FixingType</vt:lpstr>
      <vt:lpstr>LiborSwapIsdaFixB!FixingType</vt:lpstr>
      <vt:lpstr>FixingType</vt:lpstr>
      <vt:lpstr>'Futures1M (2)'!FuturesCodes</vt:lpstr>
      <vt:lpstr>'Futures3M (2)'!FuturesCodes</vt:lpstr>
      <vt:lpstr>ImmFra6M!FuturesCodes</vt:lpstr>
      <vt:lpstr>'Futures1M (2)'!FuturesDates</vt:lpstr>
      <vt:lpstr>'Futures3M (2)'!FuturesDates</vt:lpstr>
      <vt:lpstr>ImmFra6M!FuturesDates</vt:lpstr>
      <vt:lpstr>GENERAL_SETTINGS</vt:lpstr>
      <vt:lpstr>'3M (3)'!IborIndex</vt:lpstr>
      <vt:lpstr>'BasisSwap1MXM (2)'!Instruments</vt:lpstr>
      <vt:lpstr>'BasisSwap3M6M (2)'!Instruments</vt:lpstr>
      <vt:lpstr>'BasisSwapXM12M (2)'!Instruments</vt:lpstr>
      <vt:lpstr>'Deposits (2)'!Instruments</vt:lpstr>
      <vt:lpstr>ECBOIS!Instruments</vt:lpstr>
      <vt:lpstr>'FRA (2)'!Instruments</vt:lpstr>
      <vt:lpstr>'Futures1M (2)'!Instruments</vt:lpstr>
      <vt:lpstr>'OIS (2)'!Instruments</vt:lpstr>
      <vt:lpstr>Swap1M!Instruments</vt:lpstr>
      <vt:lpstr>'Swap3M (2)'!Instruments</vt:lpstr>
      <vt:lpstr>'Swap6M (2)'!Instruments</vt:lpstr>
      <vt:lpstr>SwapIMMDated!Instruments</vt:lpstr>
      <vt:lpstr>InterpolationType</vt:lpstr>
      <vt:lpstr>LastUpdate</vt:lpstr>
      <vt:lpstr>'Futures1M (2)'!LiffeCodes</vt:lpstr>
      <vt:lpstr>'Futures3M (2)'!LiffeCodes</vt:lpstr>
      <vt:lpstr>ImmFra6M!LiffeCodes</vt:lpstr>
      <vt:lpstr>LiveDataFeed</vt:lpstr>
      <vt:lpstr>'3M (3)'!MeanReversion</vt:lpstr>
      <vt:lpstr>'1M'!Months</vt:lpstr>
      <vt:lpstr>'1Y'!Months</vt:lpstr>
      <vt:lpstr>'3M'!Months</vt:lpstr>
      <vt:lpstr>'6M'!Months</vt:lpstr>
      <vt:lpstr>ON!Months</vt:lpstr>
      <vt:lpstr>'1M'!ObjectOverwrite</vt:lpstr>
      <vt:lpstr>'1M (2)'!ObjectOverwrite</vt:lpstr>
      <vt:lpstr>'1M (3)'!ObjectOverwrite</vt:lpstr>
      <vt:lpstr>'1Y'!ObjectOverwrite</vt:lpstr>
      <vt:lpstr>'1Y (2)'!ObjectOverwrite</vt:lpstr>
      <vt:lpstr>'1Y (3)'!ObjectOverwrite</vt:lpstr>
      <vt:lpstr>'3M'!ObjectOverwrite</vt:lpstr>
      <vt:lpstr>'3M (2)'!ObjectOverwrite</vt:lpstr>
      <vt:lpstr>'3M (3)'!ObjectOverwrite</vt:lpstr>
      <vt:lpstr>'3M (4)'!ObjectOverwrite</vt:lpstr>
      <vt:lpstr>'6M'!ObjectOverwrite</vt:lpstr>
      <vt:lpstr>'6M (2)'!ObjectOverwrite</vt:lpstr>
      <vt:lpstr>'6M (3)'!ObjectOverwrite</vt:lpstr>
      <vt:lpstr>BasisSwap1MxM!ObjectOverwrite</vt:lpstr>
      <vt:lpstr>BasisSwap3M6M!ObjectOverwrite</vt:lpstr>
      <vt:lpstr>BasisSwapxM12M!ObjectOverwrite</vt:lpstr>
      <vt:lpstr>Deposits!ObjectOverwrite</vt:lpstr>
      <vt:lpstr>EUR_010_BasisSwapQuotes!ObjectOverwrite</vt:lpstr>
      <vt:lpstr>EUR_010_DepoFRAFuturesQuotes!ObjectOverwrite</vt:lpstr>
      <vt:lpstr>EUR_010_SwapQuotes!ObjectOverwrite</vt:lpstr>
      <vt:lpstr>EUR_015_SyntheticQuotes!ObjectOverwrite</vt:lpstr>
      <vt:lpstr>EUR_020_ForwardSwapQuotes!ObjectOverwrite</vt:lpstr>
      <vt:lpstr>EUR_020_FuturesConvAdjQuotes!ObjectOverwrite</vt:lpstr>
      <vt:lpstr>EUR_020_SwapFromBasisQuotes!ObjectOverwrite</vt:lpstr>
      <vt:lpstr>Euribor!ObjectOverwrite</vt:lpstr>
      <vt:lpstr>Euribor365!ObjectOverwrite</vt:lpstr>
      <vt:lpstr>EuriborSwapIfrFix!ObjectOverwrite</vt:lpstr>
      <vt:lpstr>EuriborSwapIsdaFixA!ObjectOverwrite</vt:lpstr>
      <vt:lpstr>EuriborSwapIsdaFixB!ObjectOverwrite</vt:lpstr>
      <vt:lpstr>EurLibor!ObjectOverwrite</vt:lpstr>
      <vt:lpstr>FRA!ObjectOverwrite</vt:lpstr>
      <vt:lpstr>Futures1M!ObjectOverwrite</vt:lpstr>
      <vt:lpstr>Futures3M!ObjectOverwrite</vt:lpstr>
      <vt:lpstr>FuturesHWConvAdj!ObjectOverwrite</vt:lpstr>
      <vt:lpstr>'General Settings (2)'!ObjectOverwrite</vt:lpstr>
      <vt:lpstr>'ImmFra6M '!ObjectOverwrite</vt:lpstr>
      <vt:lpstr>Libor!ObjectOverwrite</vt:lpstr>
      <vt:lpstr>LiborSwapIfrFix!ObjectOverwrite</vt:lpstr>
      <vt:lpstr>LiborSwapIsdaFixA!ObjectOverwrite</vt:lpstr>
      <vt:lpstr>LiborSwapIsdaFixB!ObjectOverwrite</vt:lpstr>
      <vt:lpstr>OIS!ObjectOverwrite</vt:lpstr>
      <vt:lpstr>ON!ObjectOverwrite</vt:lpstr>
      <vt:lpstr>Swap3M!ObjectOverwrite</vt:lpstr>
      <vt:lpstr>Swap6M!ObjectOverwrite</vt:lpstr>
      <vt:lpstr>Swaps1M!ObjectOverwrite</vt:lpstr>
      <vt:lpstr>SwapsIMMDated!ObjectOverwrite</vt:lpstr>
      <vt:lpstr>ObjectOverwrite</vt:lpstr>
      <vt:lpstr>'1M'!Permanent</vt:lpstr>
      <vt:lpstr>'1M (2)'!Permanent</vt:lpstr>
      <vt:lpstr>'1M (3)'!Permanent</vt:lpstr>
      <vt:lpstr>'1Y'!Permanent</vt:lpstr>
      <vt:lpstr>'1Y (2)'!Permanent</vt:lpstr>
      <vt:lpstr>'1Y (3)'!Permanent</vt:lpstr>
      <vt:lpstr>'3M'!Permanent</vt:lpstr>
      <vt:lpstr>'3M (2)'!Permanent</vt:lpstr>
      <vt:lpstr>'3M (3)'!Permanent</vt:lpstr>
      <vt:lpstr>'3M (4)'!Permanent</vt:lpstr>
      <vt:lpstr>'6M'!Permanent</vt:lpstr>
      <vt:lpstr>'6M (2)'!Permanent</vt:lpstr>
      <vt:lpstr>'6M (3)'!Permanent</vt:lpstr>
      <vt:lpstr>BasisSwap1MxM!Permanent</vt:lpstr>
      <vt:lpstr>BasisSwap3M6M!Permanent</vt:lpstr>
      <vt:lpstr>BasisSwapxM12M!Permanent</vt:lpstr>
      <vt:lpstr>Deposits!Permanent</vt:lpstr>
      <vt:lpstr>EUR_010_BasisSwapQuotes!Permanent</vt:lpstr>
      <vt:lpstr>EUR_010_DepoFRAFuturesQuotes!Permanent</vt:lpstr>
      <vt:lpstr>EUR_010_SwapQuotes!Permanent</vt:lpstr>
      <vt:lpstr>EUR_015_SyntheticQuotes!Permanent</vt:lpstr>
      <vt:lpstr>EUR_020_ForwardSwapQuotes!Permanent</vt:lpstr>
      <vt:lpstr>EUR_020_FuturesConvAdjQuotes!Permanent</vt:lpstr>
      <vt:lpstr>EUR_020_SwapFromBasisQuotes!Permanent</vt:lpstr>
      <vt:lpstr>Euribor!Permanent</vt:lpstr>
      <vt:lpstr>Euribor365!Permanent</vt:lpstr>
      <vt:lpstr>EuriborSwapIfrFix!Permanent</vt:lpstr>
      <vt:lpstr>EuriborSwapIsdaFixA!Permanent</vt:lpstr>
      <vt:lpstr>EuriborSwapIsdaFixB!Permanent</vt:lpstr>
      <vt:lpstr>EurLibor!Permanent</vt:lpstr>
      <vt:lpstr>FRA!Permanent</vt:lpstr>
      <vt:lpstr>Futures1M!Permanent</vt:lpstr>
      <vt:lpstr>Futures3M!Permanent</vt:lpstr>
      <vt:lpstr>FuturesHWConvAdj!Permanent</vt:lpstr>
      <vt:lpstr>'General Settings (2)'!Permanent</vt:lpstr>
      <vt:lpstr>'ImmFra6M '!Permanent</vt:lpstr>
      <vt:lpstr>Libor!Permanent</vt:lpstr>
      <vt:lpstr>LiborSwapIfrFix!Permanent</vt:lpstr>
      <vt:lpstr>LiborSwapIsdaFixA!Permanent</vt:lpstr>
      <vt:lpstr>LiborSwapIsdaFixB!Permanent</vt:lpstr>
      <vt:lpstr>OIS!Permanent</vt:lpstr>
      <vt:lpstr>ON!Permanent</vt:lpstr>
      <vt:lpstr>Swap3M!Permanent</vt:lpstr>
      <vt:lpstr>Swap6M!Permanent</vt:lpstr>
      <vt:lpstr>Swaps1M!Permanent</vt:lpstr>
      <vt:lpstr>SwapsIMMDated!Permanent</vt:lpstr>
      <vt:lpstr>Permanent</vt:lpstr>
      <vt:lpstr>Deposits!PriceTickValue</vt:lpstr>
      <vt:lpstr>EUR_010_DepoFRAFuturesQuotes!PriceTickValue</vt:lpstr>
      <vt:lpstr>EUR_010_SwapQuotes!PriceTickValue</vt:lpstr>
      <vt:lpstr>EUR_020_ForwardSwapQuotes!PriceTickValue</vt:lpstr>
      <vt:lpstr>EUR_020_FuturesConvAdjQuotes!PriceTickValue</vt:lpstr>
      <vt:lpstr>EUR_020_SwapFromBasisQuotes!PriceTickValue</vt:lpstr>
      <vt:lpstr>FRA!PriceTickValue</vt:lpstr>
      <vt:lpstr>Futures1M!PriceTickValue</vt:lpstr>
      <vt:lpstr>Futures3M!PriceTickValue</vt:lpstr>
      <vt:lpstr>FuturesHWConvAdj!PriceTickValue</vt:lpstr>
      <vt:lpstr>'ImmFra6M '!PriceTickValue</vt:lpstr>
      <vt:lpstr>PriceTickValue</vt:lpstr>
      <vt:lpstr>'BasisSwap1MXM (2)'!Quote</vt:lpstr>
      <vt:lpstr>'BasisSwap3M6M (2)'!Quote</vt:lpstr>
      <vt:lpstr>'BasisSwapXM12M (2)'!Quote</vt:lpstr>
      <vt:lpstr>'Deposits (2)'!Quote</vt:lpstr>
      <vt:lpstr>ECBOIS!Quote</vt:lpstr>
      <vt:lpstr>'FRA (2)'!Quote</vt:lpstr>
      <vt:lpstr>'Futures1M (2)'!Quote</vt:lpstr>
      <vt:lpstr>'Futures3M (2)'!Quote</vt:lpstr>
      <vt:lpstr>FuturesConvexityAdjustment!Quote</vt:lpstr>
      <vt:lpstr>ImmFra6M!Quote</vt:lpstr>
      <vt:lpstr>'OIS (2)'!Quote</vt:lpstr>
      <vt:lpstr>Swap1M!Quote</vt:lpstr>
      <vt:lpstr>'Swap3M (2)'!Quote</vt:lpstr>
      <vt:lpstr>'Swap6M (2)'!Quote</vt:lpstr>
      <vt:lpstr>SwapIMMDated!Quote</vt:lpstr>
      <vt:lpstr>'BasisSwap1MXM (2)'!QuoteLive</vt:lpstr>
      <vt:lpstr>'BasisSwap3M6M (2)'!QuoteLive</vt:lpstr>
      <vt:lpstr>'BasisSwapXM12M (2)'!QuoteLive</vt:lpstr>
      <vt:lpstr>'Deposits (2)'!QuoteLive</vt:lpstr>
      <vt:lpstr>ECBOIS!QuoteLive</vt:lpstr>
      <vt:lpstr>'FRA (2)'!QuoteLive</vt:lpstr>
      <vt:lpstr>'Futures1M (2)'!QuoteLive</vt:lpstr>
      <vt:lpstr>'Futures3M (2)'!QuoteLive</vt:lpstr>
      <vt:lpstr>FuturesConvexityAdjustment!QuoteLive</vt:lpstr>
      <vt:lpstr>ImmFra6M!QuoteLive</vt:lpstr>
      <vt:lpstr>'OIS (2)'!QuoteLive</vt:lpstr>
      <vt:lpstr>Swap1M!QuoteLive</vt:lpstr>
      <vt:lpstr>'Swap3M (2)'!QuoteLive</vt:lpstr>
      <vt:lpstr>'Swap6M (2)'!QuoteLive</vt:lpstr>
      <vt:lpstr>SwapIMMDated!QuoteLive</vt:lpstr>
      <vt:lpstr>'BasisSwap1MXM (2)'!QuoteStatic</vt:lpstr>
      <vt:lpstr>'BasisSwap3M6M (2)'!QuoteStatic</vt:lpstr>
      <vt:lpstr>'BasisSwapXM12M (2)'!QuoteStatic</vt:lpstr>
      <vt:lpstr>'Deposits (2)'!QuoteStatic</vt:lpstr>
      <vt:lpstr>ECBOIS!QuoteStatic</vt:lpstr>
      <vt:lpstr>'FRA (2)'!QuoteStatic</vt:lpstr>
      <vt:lpstr>'Futures1M (2)'!QuoteStatic</vt:lpstr>
      <vt:lpstr>'Futures3M (2)'!QuoteStatic</vt:lpstr>
      <vt:lpstr>FuturesConvexityAdjustment!QuoteStatic</vt:lpstr>
      <vt:lpstr>ImmFra6M!QuoteStatic</vt:lpstr>
      <vt:lpstr>'OIS (2)'!QuoteStatic</vt:lpstr>
      <vt:lpstr>Swap1M!QuoteStatic</vt:lpstr>
      <vt:lpstr>'Swap3M (2)'!QuoteStatic</vt:lpstr>
      <vt:lpstr>'Swap6M (2)'!QuoteStatic</vt:lpstr>
      <vt:lpstr>SwapIMMDated!QuoteStatic</vt:lpstr>
      <vt:lpstr>'1M'!QuoteSuffix</vt:lpstr>
      <vt:lpstr>'1M (2)'!QuoteSuffix</vt:lpstr>
      <vt:lpstr>'1M (3)'!QuoteSuffix</vt:lpstr>
      <vt:lpstr>'1Y'!QuoteSuffix</vt:lpstr>
      <vt:lpstr>'1Y (2)'!QuoteSuffix</vt:lpstr>
      <vt:lpstr>'1Y (3)'!QuoteSuffix</vt:lpstr>
      <vt:lpstr>'3M'!QuoteSuffix</vt:lpstr>
      <vt:lpstr>'3M (2)'!QuoteSuffix</vt:lpstr>
      <vt:lpstr>'3M (3)'!QuoteSuffix</vt:lpstr>
      <vt:lpstr>'3M (4)'!QuoteSuffix</vt:lpstr>
      <vt:lpstr>'6M'!QuoteSuffix</vt:lpstr>
      <vt:lpstr>'6M (2)'!QuoteSuffix</vt:lpstr>
      <vt:lpstr>'6M (3)'!QuoteSuffix</vt:lpstr>
      <vt:lpstr>Deposits!QuoteSuffix</vt:lpstr>
      <vt:lpstr>EUR_010_DepoFRAFuturesQuotes!QuoteSuffix</vt:lpstr>
      <vt:lpstr>EUR_010_SwapQuotes!QuoteSuffix</vt:lpstr>
      <vt:lpstr>EUR_015_SyntheticQuotes!QuoteSuffix</vt:lpstr>
      <vt:lpstr>EUR_020_ForwardSwapQuotes!QuoteSuffix</vt:lpstr>
      <vt:lpstr>EUR_020_FuturesConvAdjQuotes!QuoteSuffix</vt:lpstr>
      <vt:lpstr>EUR_020_SwapFromBasisQuotes!QuoteSuffix</vt:lpstr>
      <vt:lpstr>FRA!QuoteSuffix</vt:lpstr>
      <vt:lpstr>Futures1M!QuoteSuffix</vt:lpstr>
      <vt:lpstr>Futures3M!QuoteSuffix</vt:lpstr>
      <vt:lpstr>FuturesHWConvAdj!QuoteSuffix</vt:lpstr>
      <vt:lpstr>'ImmFra6M '!QuoteSuffix</vt:lpstr>
      <vt:lpstr>OIS!QuoteSuffix</vt:lpstr>
      <vt:lpstr>ON!QuoteSuffix</vt:lpstr>
      <vt:lpstr>Swap3M!QuoteSuffix</vt:lpstr>
      <vt:lpstr>Swap6M!QuoteSuffix</vt:lpstr>
      <vt:lpstr>Swaps1M!QuoteSuffix</vt:lpstr>
      <vt:lpstr>SwapsIMMDated!QuoteSuffix</vt:lpstr>
      <vt:lpstr>QuoteSuffix</vt:lpstr>
      <vt:lpstr>'1M'!RateTickValue</vt:lpstr>
      <vt:lpstr>'1Y'!RateTickValue</vt:lpstr>
      <vt:lpstr>'3M'!RateTickValue</vt:lpstr>
      <vt:lpstr>'6M'!RateTickValue</vt:lpstr>
      <vt:lpstr>Deposits!RateTickValue</vt:lpstr>
      <vt:lpstr>EUR_010_DepoFRAFuturesQuotes!RateTickValue</vt:lpstr>
      <vt:lpstr>EUR_010_SwapQuotes!RateTickValue</vt:lpstr>
      <vt:lpstr>EUR_015_SyntheticQuotes!RateTickValue</vt:lpstr>
      <vt:lpstr>EUR_020_ForwardSwapQuotes!RateTickValue</vt:lpstr>
      <vt:lpstr>EUR_020_FuturesConvAdjQuotes!RateTickValue</vt:lpstr>
      <vt:lpstr>EUR_020_SwapFromBasisQuotes!RateTickValue</vt:lpstr>
      <vt:lpstr>FRA!RateTickValue</vt:lpstr>
      <vt:lpstr>Futures1M!RateTickValue</vt:lpstr>
      <vt:lpstr>Futures3M!RateTickValue</vt:lpstr>
      <vt:lpstr>FuturesHWConvAdj!RateTickValue</vt:lpstr>
      <vt:lpstr>'ImmFra6M '!RateTickValue</vt:lpstr>
      <vt:lpstr>OIS!RateTickValue</vt:lpstr>
      <vt:lpstr>ON!RateTickValue</vt:lpstr>
      <vt:lpstr>Swap3M!RateTickValue</vt:lpstr>
      <vt:lpstr>Swap6M!RateTickValue</vt:lpstr>
      <vt:lpstr>Swaps1M!RateTickValue</vt:lpstr>
      <vt:lpstr>SwapsIMMDated!RateTickValue</vt:lpstr>
      <vt:lpstr>RateTickValue</vt:lpstr>
      <vt:lpstr>ReutersRtMode</vt:lpstr>
      <vt:lpstr>'Deposits (2)'!SA_TWEAK</vt:lpstr>
      <vt:lpstr>'1M'!SerializationPath</vt:lpstr>
      <vt:lpstr>'1M (2)'!SerializationPath</vt:lpstr>
      <vt:lpstr>'1M (3)'!SerializationPath</vt:lpstr>
      <vt:lpstr>'1Y'!SerializationPath</vt:lpstr>
      <vt:lpstr>'1Y (2)'!SerializationPath</vt:lpstr>
      <vt:lpstr>'1Y (3)'!SerializationPath</vt:lpstr>
      <vt:lpstr>'3M'!SerializationPath</vt:lpstr>
      <vt:lpstr>'3M (2)'!SerializationPath</vt:lpstr>
      <vt:lpstr>'3M (3)'!SerializationPath</vt:lpstr>
      <vt:lpstr>'3M (4)'!SerializationPath</vt:lpstr>
      <vt:lpstr>'6M'!SerializationPath</vt:lpstr>
      <vt:lpstr>'6M (2)'!SerializationPath</vt:lpstr>
      <vt:lpstr>'6M (3)'!SerializationPath</vt:lpstr>
      <vt:lpstr>BasisSwap1MxM!SerializationPath</vt:lpstr>
      <vt:lpstr>BasisSwap3M6M!SerializationPath</vt:lpstr>
      <vt:lpstr>BasisSwapxM12M!SerializationPath</vt:lpstr>
      <vt:lpstr>Deposits!SerializationPath</vt:lpstr>
      <vt:lpstr>EUR_010_BasisSwapQuotes!SerializationPath</vt:lpstr>
      <vt:lpstr>EUR_010_DepoFRAFuturesQuotes!SerializationPath</vt:lpstr>
      <vt:lpstr>EUR_010_SwapQuotes!SerializationPath</vt:lpstr>
      <vt:lpstr>EUR_015_SyntheticQuotes!SerializationPath</vt:lpstr>
      <vt:lpstr>EUR_020_ForwardSwapQuotes!SerializationPath</vt:lpstr>
      <vt:lpstr>EUR_020_FuturesConvAdjQuotes!SerializationPath</vt:lpstr>
      <vt:lpstr>EUR_020_SwapFromBasisQuotes!SerializationPath</vt:lpstr>
      <vt:lpstr>Euribor!SerializationPath</vt:lpstr>
      <vt:lpstr>Euribor365!SerializationPath</vt:lpstr>
      <vt:lpstr>EuriborSwapIfrFix!SerializationPath</vt:lpstr>
      <vt:lpstr>EuriborSwapIsdaFixA!SerializationPath</vt:lpstr>
      <vt:lpstr>EuriborSwapIsdaFixB!SerializationPath</vt:lpstr>
      <vt:lpstr>EurLibor!SerializationPath</vt:lpstr>
      <vt:lpstr>FRA!SerializationPath</vt:lpstr>
      <vt:lpstr>Futures1M!SerializationPath</vt:lpstr>
      <vt:lpstr>Futures3M!SerializationPath</vt:lpstr>
      <vt:lpstr>FuturesHWConvAdj!SerializationPath</vt:lpstr>
      <vt:lpstr>'General Settings (2)'!SerializationPath</vt:lpstr>
      <vt:lpstr>'ImmFra6M '!SerializationPath</vt:lpstr>
      <vt:lpstr>Libor!SerializationPath</vt:lpstr>
      <vt:lpstr>LiborSwapIfrFix!SerializationPath</vt:lpstr>
      <vt:lpstr>LiborSwapIsdaFixA!SerializationPath</vt:lpstr>
      <vt:lpstr>LiborSwapIsdaFixB!SerializationPath</vt:lpstr>
      <vt:lpstr>OIS!SerializationPath</vt:lpstr>
      <vt:lpstr>ON!SerializationPath</vt:lpstr>
      <vt:lpstr>Swap3M!SerializationPath</vt:lpstr>
      <vt:lpstr>Swap6M!SerializationPath</vt:lpstr>
      <vt:lpstr>Swaps1M!SerializationPath</vt:lpstr>
      <vt:lpstr>SwapsIMMDated!SerializationPath</vt:lpstr>
      <vt:lpstr>SerializationPath</vt:lpstr>
      <vt:lpstr>'1M'!Serialize</vt:lpstr>
      <vt:lpstr>'1M (2)'!Serialize</vt:lpstr>
      <vt:lpstr>'1M (3)'!Serialize</vt:lpstr>
      <vt:lpstr>'1Y'!Serialize</vt:lpstr>
      <vt:lpstr>'1Y (2)'!Serialize</vt:lpstr>
      <vt:lpstr>'1Y (3)'!Serialize</vt:lpstr>
      <vt:lpstr>'3M'!Serialize</vt:lpstr>
      <vt:lpstr>'3M (2)'!Serialize</vt:lpstr>
      <vt:lpstr>'3M (3)'!Serialize</vt:lpstr>
      <vt:lpstr>'3M (4)'!Serialize</vt:lpstr>
      <vt:lpstr>'6M'!Serialize</vt:lpstr>
      <vt:lpstr>'6M (2)'!Serialize</vt:lpstr>
      <vt:lpstr>'6M (3)'!Serialize</vt:lpstr>
      <vt:lpstr>BasisSwap1MxM!Serialize</vt:lpstr>
      <vt:lpstr>BasisSwap3M6M!Serialize</vt:lpstr>
      <vt:lpstr>BasisSwapxM12M!Serialize</vt:lpstr>
      <vt:lpstr>Deposits!Serialize</vt:lpstr>
      <vt:lpstr>EUR_010_BasisSwapQuotes!Serialize</vt:lpstr>
      <vt:lpstr>EUR_010_DepoFRAFuturesQuotes!Serialize</vt:lpstr>
      <vt:lpstr>EUR_010_SwapQuotes!Serialize</vt:lpstr>
      <vt:lpstr>EUR_015_SyntheticQuotes!Serialize</vt:lpstr>
      <vt:lpstr>EUR_020_ForwardSwapQuotes!Serialize</vt:lpstr>
      <vt:lpstr>EUR_020_FuturesConvAdjQuotes!Serialize</vt:lpstr>
      <vt:lpstr>EUR_020_SwapFromBasisQuotes!Serialize</vt:lpstr>
      <vt:lpstr>Euribor!Serialize</vt:lpstr>
      <vt:lpstr>Euribor365!Serialize</vt:lpstr>
      <vt:lpstr>EuriborSwapIfrFix!Serialize</vt:lpstr>
      <vt:lpstr>EuriborSwapIsdaFixA!Serialize</vt:lpstr>
      <vt:lpstr>EuriborSwapIsdaFixB!Serialize</vt:lpstr>
      <vt:lpstr>EurLibor!Serialize</vt:lpstr>
      <vt:lpstr>FRA!Serialize</vt:lpstr>
      <vt:lpstr>Futures1M!Serialize</vt:lpstr>
      <vt:lpstr>Futures3M!Serialize</vt:lpstr>
      <vt:lpstr>FuturesHWConvAdj!Serialize</vt:lpstr>
      <vt:lpstr>'General Settings (2)'!Serialize</vt:lpstr>
      <vt:lpstr>'ImmFra6M '!Serialize</vt:lpstr>
      <vt:lpstr>Libor!Serialize</vt:lpstr>
      <vt:lpstr>LiborSwapIfrFix!Serialize</vt:lpstr>
      <vt:lpstr>LiborSwapIsdaFixA!Serialize</vt:lpstr>
      <vt:lpstr>LiborSwapIsdaFixB!Serialize</vt:lpstr>
      <vt:lpstr>OIS!Serialize</vt:lpstr>
      <vt:lpstr>ON!Serialize</vt:lpstr>
      <vt:lpstr>Swap3M!Serialize</vt:lpstr>
      <vt:lpstr>Swap6M!Serialize</vt:lpstr>
      <vt:lpstr>Swaps1M!Serialize</vt:lpstr>
      <vt:lpstr>SwapsIMMDated!Serialize</vt:lpstr>
      <vt:lpstr>Serialize</vt:lpstr>
      <vt:lpstr>Swap3M4Y</vt:lpstr>
      <vt:lpstr>Swap6M4Y</vt:lpstr>
      <vt:lpstr>SwapMainSetConventions</vt:lpstr>
      <vt:lpstr>SwapSecondarySetConventions</vt:lpstr>
      <vt:lpstr>'1M'!Tenor</vt:lpstr>
      <vt:lpstr>'1Y'!Tenor</vt:lpstr>
      <vt:lpstr>'3M'!Tenor</vt:lpstr>
      <vt:lpstr>'6M'!Tenor</vt:lpstr>
      <vt:lpstr>ON!Tenor</vt:lpstr>
      <vt:lpstr>'1M'!Trigger</vt:lpstr>
      <vt:lpstr>'1M (2)'!Trigger</vt:lpstr>
      <vt:lpstr>'1M (3)'!Trigger</vt:lpstr>
      <vt:lpstr>'1Y'!Trigger</vt:lpstr>
      <vt:lpstr>'1Y (2)'!Trigger</vt:lpstr>
      <vt:lpstr>'1Y (3)'!Trigger</vt:lpstr>
      <vt:lpstr>'3M'!Trigger</vt:lpstr>
      <vt:lpstr>'3M (2)'!Trigger</vt:lpstr>
      <vt:lpstr>'3M (3)'!Trigger</vt:lpstr>
      <vt:lpstr>'3M (4)'!Trigger</vt:lpstr>
      <vt:lpstr>'6M'!Trigger</vt:lpstr>
      <vt:lpstr>'6M (2)'!Trigger</vt:lpstr>
      <vt:lpstr>'6M (3)'!Trigger</vt:lpstr>
      <vt:lpstr>BasisSwap1MxM!Trigger</vt:lpstr>
      <vt:lpstr>'BasisSwap1MXM (2)'!Trigger</vt:lpstr>
      <vt:lpstr>BasisSwap3M6M!Trigger</vt:lpstr>
      <vt:lpstr>'BasisSwap3M6M (2)'!Trigger</vt:lpstr>
      <vt:lpstr>BasisSwapxM12M!Trigger</vt:lpstr>
      <vt:lpstr>'BasisSwapXM12M (2)'!Trigger</vt:lpstr>
      <vt:lpstr>Deposits!Trigger</vt:lpstr>
      <vt:lpstr>'Deposits (2)'!Trigger</vt:lpstr>
      <vt:lpstr>ECBOIS!Trigger</vt:lpstr>
      <vt:lpstr>EUR_010_BasisSwapQuotes!Trigger</vt:lpstr>
      <vt:lpstr>EUR_010_DepoFRAFuturesQuotes!Trigger</vt:lpstr>
      <vt:lpstr>EUR_010_SwapQuotes!Trigger</vt:lpstr>
      <vt:lpstr>EUR_015_SyntheticQuotes!Trigger</vt:lpstr>
      <vt:lpstr>EUR_020_ForwardSwapQuotes!Trigger</vt:lpstr>
      <vt:lpstr>EUR_020_FuturesConvAdjQuotes!Trigger</vt:lpstr>
      <vt:lpstr>EUR_020_SwapFromBasisQuotes!Trigger</vt:lpstr>
      <vt:lpstr>Euribor!Trigger</vt:lpstr>
      <vt:lpstr>Euribor365!Trigger</vt:lpstr>
      <vt:lpstr>EuriborSwapIfrFix!Trigger</vt:lpstr>
      <vt:lpstr>EuriborSwapIsdaFixA!Trigger</vt:lpstr>
      <vt:lpstr>EuriborSwapIsdaFixB!Trigger</vt:lpstr>
      <vt:lpstr>EurLibor!Trigger</vt:lpstr>
      <vt:lpstr>FRA!Trigger</vt:lpstr>
      <vt:lpstr>'FRA (2)'!Trigger</vt:lpstr>
      <vt:lpstr>Futures1M!Trigger</vt:lpstr>
      <vt:lpstr>'Futures1M (2)'!Trigger</vt:lpstr>
      <vt:lpstr>Futures3M!Trigger</vt:lpstr>
      <vt:lpstr>'Futures3M (2)'!Trigger</vt:lpstr>
      <vt:lpstr>FuturesConvexityAdjustment!Trigger</vt:lpstr>
      <vt:lpstr>FuturesHWConvAdj!Trigger</vt:lpstr>
      <vt:lpstr>'General Settings'!Trigger</vt:lpstr>
      <vt:lpstr>'General Settings (2)'!Trigger</vt:lpstr>
      <vt:lpstr>ImmFra6M!Trigger</vt:lpstr>
      <vt:lpstr>'ImmFra6M '!Trigger</vt:lpstr>
      <vt:lpstr>Libor!Trigger</vt:lpstr>
      <vt:lpstr>LiborSwapIfrFix!Trigger</vt:lpstr>
      <vt:lpstr>LiborSwapIsdaFixA!Trigger</vt:lpstr>
      <vt:lpstr>LiborSwapIsdaFixB!Trigger</vt:lpstr>
      <vt:lpstr>OIS!Trigger</vt:lpstr>
      <vt:lpstr>'OIS (2)'!Trigger</vt:lpstr>
      <vt:lpstr>ON!Trigger</vt:lpstr>
      <vt:lpstr>Swap1M!Trigger</vt:lpstr>
      <vt:lpstr>Swap3M!Trigger</vt:lpstr>
      <vt:lpstr>'Swap3M (2)'!Trigger</vt:lpstr>
      <vt:lpstr>Swap6M!Trigger</vt:lpstr>
      <vt:lpstr>'Swap6M (2)'!Trigger</vt:lpstr>
      <vt:lpstr>SwapIMMDated!Trigger</vt:lpstr>
      <vt:lpstr>Swaps1M!Trigger</vt:lpstr>
      <vt:lpstr>SwapsIMMDated!Trigger</vt:lpstr>
      <vt:lpstr>Trigger</vt:lpstr>
      <vt:lpstr>TriggerCounter</vt:lpstr>
      <vt:lpstr>'3M (3)'!Volatility</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erik</cp:lastModifiedBy>
  <dcterms:created xsi:type="dcterms:W3CDTF">2013-12-09T23:24:41Z</dcterms:created>
  <dcterms:modified xsi:type="dcterms:W3CDTF">2013-12-10T22:27:32Z</dcterms:modified>
</cp:coreProperties>
</file>
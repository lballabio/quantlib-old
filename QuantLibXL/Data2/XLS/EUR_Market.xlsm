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 name="Deposits (2)" sheetId="52" r:id="rId40"/>
    <sheet name="FRA (2)" sheetId="53" r:id="rId41"/>
    <sheet name="Futures1M (2)" sheetId="54" r:id="rId42"/>
    <sheet name="Futures3M (2)" sheetId="55" r:id="rId43"/>
    <sheet name="ImmFra6M" sheetId="56" r:id="rId44"/>
    <sheet name="FuturesConvexityAdjustment" sheetId="57" r:id="rId45"/>
    <sheet name="Swap1M" sheetId="58" r:id="rId46"/>
    <sheet name="SwapIMMDated" sheetId="59" r:id="rId47"/>
    <sheet name="Swap3M (2)" sheetId="60" r:id="rId48"/>
    <sheet name="Swap6M (2)" sheetId="61" r:id="rId49"/>
    <sheet name="BasisSwap1MXM (2)" sheetId="62" r:id="rId50"/>
    <sheet name="BasisSwap3M6M (2)" sheetId="63" r:id="rId51"/>
    <sheet name="BasisSwapXM12M (2)" sheetId="64" r:id="rId52"/>
    <sheet name="OIS (2)" sheetId="65" r:id="rId53"/>
    <sheet name="ECBOIS" sheetId="66" r:id="rId54"/>
  </sheets>
  <definedNames>
    <definedName name="Contributor" localSheetId="49">'BasisSwap1MXM (2)'!$F$2</definedName>
    <definedName name="Contributor" localSheetId="50">'BasisSwap3M6M (2)'!$F$2</definedName>
    <definedName name="Contributor" localSheetId="51">'BasisSwapXM12M (2)'!$F$2</definedName>
    <definedName name="Contributor" localSheetId="39">'Deposits (2)'!$C$2</definedName>
    <definedName name="Contributor" localSheetId="53">ECBOIS!$F$2</definedName>
    <definedName name="Contributor" localSheetId="40">'FRA (2)'!$E$2</definedName>
    <definedName name="Contributor" localSheetId="44">FuturesConvexityAdjustment!$B$2</definedName>
    <definedName name="Contributor" localSheetId="43">ImmFra6M!$F$2</definedName>
    <definedName name="Contributor" localSheetId="52">'OIS (2)'!$F$2</definedName>
    <definedName name="Contributor" localSheetId="45">Swap1M!$F$2</definedName>
    <definedName name="Contributor" localSheetId="47">'Swap3M (2)'!$F$2</definedName>
    <definedName name="Contributor" localSheetId="48">'Swap6M (2)'!$F$2</definedName>
    <definedName name="Contributor" localSheetId="46">SwapIMMDated!$F$2</definedName>
    <definedName name="Contributors" localSheetId="39">'Deposits (2)'!$M$5:$M$13</definedName>
    <definedName name="Contributors">'General Settings'!$C$11:$C$17</definedName>
    <definedName name="ContributorTable" localSheetId="39">'Deposits (2)'!$M$5:$Q$13</definedName>
    <definedName name="ContributorTable">'General Settings'!$C$11:$D$17</definedName>
    <definedName name="Conventions" localSheetId="49">'BasisSwap1MXM (2)'!$T$5:$V$9</definedName>
    <definedName name="Conventions" localSheetId="50">'BasisSwap3M6M (2)'!$T$5:$V$9</definedName>
    <definedName name="Conventions" localSheetId="51">'BasisSwapXM12M (2)'!$T$5:$V$9</definedName>
    <definedName name="Conventions" localSheetId="47">'Swap3M (2)'!$T$5:$V$10</definedName>
    <definedName name="Conventions" localSheetId="48">'Swap6M (2)'!$T$5:$V$9</definedName>
    <definedName name="Counter" localSheetId="49">'BasisSwap1MXM (2)'!$Q$3</definedName>
    <definedName name="Counter" localSheetId="50">'BasisSwap3M6M (2)'!$Q$3</definedName>
    <definedName name="Counter" localSheetId="51">'BasisSwapXM12M (2)'!$Q$3</definedName>
    <definedName name="Counter" localSheetId="39">'Deposits (2)'!$J$3</definedName>
    <definedName name="Counter" localSheetId="53">ECBOIS!$Q$3</definedName>
    <definedName name="Counter" localSheetId="40">'FRA (2)'!$P$3</definedName>
    <definedName name="Counter" localSheetId="41">'Futures1M (2)'!$R$4</definedName>
    <definedName name="Counter" localSheetId="42">'Futures3M (2)'!$R$4</definedName>
    <definedName name="Counter" localSheetId="44">FuturesConvexityAdjustment!$L$3</definedName>
    <definedName name="Counter" localSheetId="43">ImmFra6M!$R$4</definedName>
    <definedName name="Counter" localSheetId="52">'OIS (2)'!$Q$3</definedName>
    <definedName name="Counter" localSheetId="45">Swap1M!$Q$3</definedName>
    <definedName name="Counter" localSheetId="47">'Swap3M (2)'!$Q$3</definedName>
    <definedName name="Counter" localSheetId="48">'Swap6M (2)'!$Q$3</definedName>
    <definedName name="Counter" localSheetId="46">SwapIMMDated!$Q$3</definedName>
    <definedName name="Counter">'Futures1M (2)'!$R$4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41">'Futures1M (2)'!$D$6:$D$17</definedName>
    <definedName name="FuturesCodes" localSheetId="42">'Futures3M (2)'!$D$6:$D$47</definedName>
    <definedName name="FuturesCodes" localSheetId="43">ImmFra6M!$D$6:$D$9</definedName>
    <definedName name="FuturesDates" localSheetId="41">'Futures1M (2)'!$E$6:$E$17</definedName>
    <definedName name="FuturesDates" localSheetId="42">'Futures3M (2)'!$E$6:$E$47</definedName>
    <definedName name="FuturesDates" localSheetId="43">ImmFra6M!$E$6:$E$9</definedName>
    <definedName name="IborIndex" localSheetId="34">'3M (3)'!$F$4</definedName>
    <definedName name="Instruments" localSheetId="49">'BasisSwap1MXM (2)'!$E$5:$E$42</definedName>
    <definedName name="Instruments" localSheetId="50">'BasisSwap3M6M (2)'!$E$5:$E$42</definedName>
    <definedName name="Instruments" localSheetId="51">'BasisSwapXM12M (2)'!$E$5:$E$42</definedName>
    <definedName name="Instruments" localSheetId="39">'Deposits (2)'!$B$5:$B$22</definedName>
    <definedName name="Instruments" localSheetId="53">ECBOIS!$E$5:$E$10</definedName>
    <definedName name="Instruments" localSheetId="40">'FRA (2)'!$D$5:$D$33</definedName>
    <definedName name="Instruments" localSheetId="41">'Futures1M (2)'!$F$6:$F$17</definedName>
    <definedName name="Instruments" localSheetId="52">'OIS (2)'!$E$5:$E$40</definedName>
    <definedName name="Instruments" localSheetId="45">Swap1M!$E$5:$E$15</definedName>
    <definedName name="Instruments" localSheetId="47">'Swap3M (2)'!$E$5:$E$42</definedName>
    <definedName name="Instruments" localSheetId="48">'Swap6M (2)'!$E$5:$E$42</definedName>
    <definedName name="Instruments" localSheetId="46">SwapIMMDated!$E$5:$E$11</definedName>
    <definedName name="InterpolationType">'General Settings'!$D$8</definedName>
    <definedName name="LastUpdate">'General Settings'!$E$20</definedName>
    <definedName name="LiffeCodes" localSheetId="41">'Futures1M (2)'!$U$6:$V$10</definedName>
    <definedName name="LiffeCodes" localSheetId="42">'Futures3M (2)'!$U$6:$V$10</definedName>
    <definedName name="LiffeCodes" localSheetId="43">ImmFra6M!$U$6:$V$9</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 localSheetId="49">'BasisSwap1MXM (2)'!$P$5:$P$42</definedName>
    <definedName name="Quote" localSheetId="50">'BasisSwap3M6M (2)'!$P$5:$P$42</definedName>
    <definedName name="Quote" localSheetId="51">'BasisSwapXM12M (2)'!$P$5:$P$42</definedName>
    <definedName name="Quote" localSheetId="39">'Deposits (2)'!$I$5:$I$22</definedName>
    <definedName name="Quote" localSheetId="53">ECBOIS!$P$5:$P$10</definedName>
    <definedName name="Quote" localSheetId="40">'FRA (2)'!$O$5:$O$33</definedName>
    <definedName name="Quote" localSheetId="41">'Futures1M (2)'!$Q$6:$Q$17</definedName>
    <definedName name="Quote" localSheetId="42">'Futures3M (2)'!$Q$6:$Q$47</definedName>
    <definedName name="Quote" localSheetId="44">FuturesConvexityAdjustment!$K$5:$K$6</definedName>
    <definedName name="Quote" localSheetId="43">ImmFra6M!$Q$6:$Q$9</definedName>
    <definedName name="Quote" localSheetId="52">'OIS (2)'!$P$5:$P$40</definedName>
    <definedName name="Quote" localSheetId="45">Swap1M!$P$5:$P$15</definedName>
    <definedName name="Quote" localSheetId="47">'Swap3M (2)'!$P$5:$P$42</definedName>
    <definedName name="Quote" localSheetId="48">'Swap6M (2)'!$P$5:$P$42</definedName>
    <definedName name="Quote" localSheetId="46">SwapIMMDated!$P$5:$P$11</definedName>
    <definedName name="QuoteLive" localSheetId="49">'BasisSwap1MXM (2)'!$K$5:$K$42</definedName>
    <definedName name="QuoteLive" localSheetId="50">'BasisSwap3M6M (2)'!$K$5:$K$42</definedName>
    <definedName name="QuoteLive" localSheetId="51">'BasisSwapXM12M (2)'!$K$5:$K$42</definedName>
    <definedName name="QuoteLive" localSheetId="39">'Deposits (2)'!$D$5:$D$22</definedName>
    <definedName name="QuoteLive" localSheetId="53">ECBOIS!$K$5:$K$10</definedName>
    <definedName name="QuoteLive" localSheetId="40">'FRA (2)'!$J$5:$J$33</definedName>
    <definedName name="QuoteLive" localSheetId="41">'Futures1M (2)'!$L$6:$L$17</definedName>
    <definedName name="QuoteLive" localSheetId="42">'Futures3M (2)'!$L$6:$L$47</definedName>
    <definedName name="QuoteLive" localSheetId="44">FuturesConvexityAdjustment!$F$5:$F$6</definedName>
    <definedName name="QuoteLive" localSheetId="43">ImmFra6M!$L$6:$L$9</definedName>
    <definedName name="QuoteLive" localSheetId="52">'OIS (2)'!$K$5:$K$40</definedName>
    <definedName name="QuoteLive" localSheetId="45">Swap1M!$K$5:$K$15</definedName>
    <definedName name="QuoteLive" localSheetId="47">'Swap3M (2)'!$K$5:$K$42</definedName>
    <definedName name="QuoteLive" localSheetId="48">'Swap6M (2)'!$K$5:$K$42</definedName>
    <definedName name="QuoteLive" localSheetId="46">SwapIMMDated!$K$5:$K$11</definedName>
    <definedName name="QuoteStatic" localSheetId="49">'BasisSwap1MXM (2)'!$M$5:$M$42</definedName>
    <definedName name="QuoteStatic" localSheetId="50">'BasisSwap3M6M (2)'!$M$5:$M$42</definedName>
    <definedName name="QuoteStatic" localSheetId="51">'BasisSwapXM12M (2)'!$M$5:$M$42</definedName>
    <definedName name="QuoteStatic" localSheetId="39">'Deposits (2)'!$F$5:$F$22</definedName>
    <definedName name="QuoteStatic" localSheetId="53">ECBOIS!$M$5:$M$10</definedName>
    <definedName name="QuoteStatic" localSheetId="40">'FRA (2)'!$L$5:$L$33</definedName>
    <definedName name="QuoteStatic" localSheetId="41">'Futures1M (2)'!$N$6:$N$17</definedName>
    <definedName name="QuoteStatic" localSheetId="42">'Futures3M (2)'!$N$6:$N$47</definedName>
    <definedName name="QuoteStatic" localSheetId="44">FuturesConvexityAdjustment!$H$5:$H$6</definedName>
    <definedName name="QuoteStatic" localSheetId="43">ImmFra6M!$N$6:$N$9</definedName>
    <definedName name="QuoteStatic" localSheetId="52">'OIS (2)'!$M$5:$M$40</definedName>
    <definedName name="QuoteStatic" localSheetId="45">Swap1M!$M$5:$M$15</definedName>
    <definedName name="QuoteStatic" localSheetId="47">'Swap3M (2)'!$M$5:$M$42</definedName>
    <definedName name="QuoteStatic" localSheetId="48">'Swap6M (2)'!$M$5:$M$42</definedName>
    <definedName name="QuoteStatic" localSheetId="46">SwapIMMDated!$M$5:$M$11</definedName>
    <definedName name="QuoteSuffix">'General Settings'!$J$15</definedName>
    <definedName name="RateTickValue">'General Settings'!$J$16</definedName>
    <definedName name="ReutersRtMode">'General Settings'!$D$6</definedName>
    <definedName name="SA_TWEAK" localSheetId="39">'Deposits (2)'!$A$25</definedName>
    <definedName name="SerializationPath">'General Settings'!$J$8</definedName>
    <definedName name="Serialize">'General Settings'!$J$7</definedName>
    <definedName name="Swap3M4Y">'Swap3M (2)'!$P$12</definedName>
    <definedName name="Swap6M4Y">'Swap6M (2)'!$P$12</definedName>
    <definedName name="SwapMainSetConventions">Swap3M!$J$3:$L$7</definedName>
    <definedName name="SwapSecondarySetConventions">Swap6M!$J$3:$L$7</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J8" i="67" l="1"/>
  <c r="I5" i="52" l="1" a="1"/>
  <c r="I7" i="52" s="1"/>
  <c r="I22" i="52" l="1"/>
  <c r="I14" i="52"/>
  <c r="I6" i="52"/>
  <c r="I21" i="52"/>
  <c r="I13" i="52"/>
  <c r="I5" i="52"/>
  <c r="I20" i="52"/>
  <c r="I12" i="52"/>
  <c r="I19" i="52"/>
  <c r="I11" i="52"/>
  <c r="I18" i="52"/>
  <c r="I10" i="52"/>
  <c r="I17" i="52"/>
  <c r="I9" i="52"/>
  <c r="I16" i="52"/>
  <c r="I8" i="52"/>
  <c r="I15" i="52"/>
  <c r="D11" i="67" l="1"/>
  <c r="E5" i="66"/>
  <c r="K5" i="66"/>
  <c r="O5" i="66"/>
  <c r="E6" i="66"/>
  <c r="K6" i="66"/>
  <c r="O6" i="66"/>
  <c r="B1" i="67"/>
  <c r="F4" i="66"/>
  <c r="E7" i="66" l="1"/>
  <c r="K7" i="66"/>
  <c r="O7" i="66"/>
  <c r="E8" i="66" l="1"/>
  <c r="K8" i="66"/>
  <c r="O8" i="66"/>
  <c r="E9" i="66" l="1"/>
  <c r="K9" i="66"/>
  <c r="O9" i="66"/>
  <c r="E10" i="66" l="1"/>
  <c r="F5" i="66" s="1" a="1"/>
  <c r="K10" i="66"/>
  <c r="P5" i="66" s="1" a="1"/>
  <c r="O10" i="66"/>
  <c r="F4" i="65"/>
  <c r="P5" i="66" l="1"/>
  <c r="P8" i="66"/>
  <c r="P9" i="66"/>
  <c r="P6" i="66"/>
  <c r="P7" i="66"/>
  <c r="P10" i="66"/>
  <c r="F5" i="66"/>
  <c r="F6" i="66"/>
  <c r="F7" i="66"/>
  <c r="F8" i="66"/>
  <c r="F9" i="66"/>
  <c r="F10" i="66"/>
  <c r="E5" i="65"/>
  <c r="F5" i="65" s="1"/>
  <c r="K5" i="65"/>
  <c r="Q9" i="66"/>
  <c r="Q5" i="66"/>
  <c r="Q10" i="66"/>
  <c r="Q6" i="66"/>
  <c r="Q7" i="66"/>
  <c r="Q8" i="66"/>
  <c r="O5" i="65" l="1"/>
  <c r="E6" i="65"/>
  <c r="O6" i="65" s="1"/>
  <c r="K6" i="65"/>
  <c r="F6" i="65" l="1"/>
  <c r="E7" i="65"/>
  <c r="F7" i="65" s="1"/>
  <c r="K7" i="65"/>
  <c r="O7" i="65" l="1"/>
  <c r="E8" i="65"/>
  <c r="O8" i="65" s="1"/>
  <c r="K8" i="65"/>
  <c r="F8" i="65" l="1"/>
  <c r="E9" i="65"/>
  <c r="F9" i="65" s="1"/>
  <c r="K9" i="65"/>
  <c r="O9" i="65" l="1"/>
  <c r="E10" i="65"/>
  <c r="F10" i="65" s="1"/>
  <c r="K10" i="65"/>
  <c r="O10" i="65" l="1"/>
  <c r="E11" i="65"/>
  <c r="F11" i="65" s="1"/>
  <c r="K11" i="65"/>
  <c r="O11" i="65" l="1"/>
  <c r="E12" i="65"/>
  <c r="F12" i="65" s="1"/>
  <c r="K12" i="65"/>
  <c r="O12" i="65" l="1"/>
  <c r="E13" i="65"/>
  <c r="F13" i="65" s="1"/>
  <c r="K13" i="65"/>
  <c r="O13" i="65" l="1"/>
  <c r="E14" i="65"/>
  <c r="F14" i="65" s="1"/>
  <c r="K14" i="65"/>
  <c r="O14" i="65" l="1"/>
  <c r="E15" i="65"/>
  <c r="F15" i="65" s="1"/>
  <c r="K15" i="65"/>
  <c r="O15" i="65" l="1"/>
  <c r="E16" i="65"/>
  <c r="F16" i="65" s="1"/>
  <c r="K16" i="65"/>
  <c r="O16" i="65" l="1"/>
  <c r="E17" i="65"/>
  <c r="F17" i="65" s="1"/>
  <c r="K17" i="65"/>
  <c r="O17" i="65" l="1"/>
  <c r="E18" i="65"/>
  <c r="F18" i="65" s="1"/>
  <c r="K18" i="65"/>
  <c r="O18" i="65" l="1"/>
  <c r="E19" i="65"/>
  <c r="F19" i="65" s="1"/>
  <c r="K19" i="65"/>
  <c r="O19" i="65" l="1"/>
  <c r="E20" i="65"/>
  <c r="F20" i="65" s="1"/>
  <c r="K20" i="65"/>
  <c r="O20" i="65" l="1"/>
  <c r="E21" i="65"/>
  <c r="F21" i="65" s="1"/>
  <c r="K21" i="65"/>
  <c r="O21" i="65" l="1"/>
  <c r="E22" i="65"/>
  <c r="F22" i="65" s="1"/>
  <c r="K22" i="65"/>
  <c r="O22" i="65" l="1"/>
  <c r="E23" i="65"/>
  <c r="F23" i="65" s="1"/>
  <c r="K23" i="65"/>
  <c r="O23" i="65" l="1"/>
  <c r="E24" i="65"/>
  <c r="F24" i="65" s="1"/>
  <c r="K24" i="65"/>
  <c r="O24" i="65" l="1"/>
  <c r="E25" i="65"/>
  <c r="F25" i="65" s="1"/>
  <c r="K25" i="65"/>
  <c r="O25" i="65" l="1"/>
  <c r="E26" i="65"/>
  <c r="F26" i="65" s="1"/>
  <c r="K26" i="65"/>
  <c r="O26" i="65" l="1"/>
  <c r="E27" i="65"/>
  <c r="F27" i="65" s="1"/>
  <c r="K27" i="65"/>
  <c r="O27" i="65" l="1"/>
  <c r="E28" i="65"/>
  <c r="F28" i="65" s="1"/>
  <c r="K28" i="65"/>
  <c r="O28" i="65" l="1"/>
  <c r="E29" i="65"/>
  <c r="F29" i="65" s="1"/>
  <c r="K29" i="65"/>
  <c r="O29" i="65" l="1"/>
  <c r="E30" i="65"/>
  <c r="F30" i="65" s="1"/>
  <c r="K30" i="65"/>
  <c r="O30" i="65" l="1"/>
  <c r="E31" i="65"/>
  <c r="F31" i="65" s="1"/>
  <c r="K31" i="65"/>
  <c r="O31" i="65" l="1"/>
  <c r="E32" i="65"/>
  <c r="F32" i="65" s="1"/>
  <c r="K32" i="65"/>
  <c r="O32" i="65" l="1"/>
  <c r="E33" i="65"/>
  <c r="F33" i="65" s="1"/>
  <c r="K33" i="65"/>
  <c r="O33" i="65" l="1"/>
  <c r="E34" i="65"/>
  <c r="F34" i="65" s="1"/>
  <c r="K34" i="65"/>
  <c r="O34" i="65" l="1"/>
  <c r="E35" i="65"/>
  <c r="F35" i="65" s="1"/>
  <c r="K35" i="65"/>
  <c r="O35" i="65" l="1"/>
  <c r="E36" i="65"/>
  <c r="F36" i="65" s="1"/>
  <c r="K36" i="65"/>
  <c r="O36" i="65" l="1"/>
  <c r="E37" i="65"/>
  <c r="F37" i="65" s="1"/>
  <c r="K37" i="65"/>
  <c r="O37" i="65" l="1"/>
  <c r="E38" i="65"/>
  <c r="F38" i="65" s="1"/>
  <c r="K38" i="65"/>
  <c r="O38" i="65" l="1"/>
  <c r="E39" i="65"/>
  <c r="F39" i="65" s="1"/>
  <c r="K39" i="65"/>
  <c r="O39" i="65" l="1"/>
  <c r="E40" i="65"/>
  <c r="F40" i="65" s="1"/>
  <c r="K40" i="65"/>
  <c r="P5" i="65" s="1" a="1"/>
  <c r="F4" i="64"/>
  <c r="P5" i="65" l="1"/>
  <c r="P27" i="65"/>
  <c r="P16" i="65"/>
  <c r="P12" i="65"/>
  <c r="P22" i="65"/>
  <c r="P39" i="65"/>
  <c r="P34" i="65"/>
  <c r="P31" i="65"/>
  <c r="P18" i="65"/>
  <c r="P26" i="65"/>
  <c r="P8" i="65"/>
  <c r="P19" i="65"/>
  <c r="P14" i="65"/>
  <c r="P10" i="65"/>
  <c r="P6" i="65"/>
  <c r="P37" i="65"/>
  <c r="P33" i="65"/>
  <c r="P20" i="65"/>
  <c r="P17" i="65"/>
  <c r="P23" i="65"/>
  <c r="P25" i="65"/>
  <c r="P29" i="65"/>
  <c r="P35" i="65"/>
  <c r="P40" i="65"/>
  <c r="P15" i="65"/>
  <c r="P9" i="65"/>
  <c r="P21" i="65"/>
  <c r="P11" i="65"/>
  <c r="P13" i="65"/>
  <c r="P28" i="65"/>
  <c r="P32" i="65"/>
  <c r="P24" i="65"/>
  <c r="P38" i="65"/>
  <c r="P7" i="65"/>
  <c r="P36" i="65"/>
  <c r="P30" i="65"/>
  <c r="O40" i="65"/>
  <c r="C5" i="64" a="1"/>
  <c r="C5" i="64" s="1"/>
  <c r="D5" i="64" a="1"/>
  <c r="D5" i="64" s="1"/>
  <c r="Q5" i="65"/>
  <c r="Q18" i="65"/>
  <c r="Q33" i="65"/>
  <c r="Q15" i="65"/>
  <c r="Q38" i="65"/>
  <c r="Q9" i="65"/>
  <c r="Q7" i="65"/>
  <c r="Q16" i="65"/>
  <c r="Q17" i="65"/>
  <c r="Q21" i="65"/>
  <c r="Q36" i="65"/>
  <c r="Q12" i="65"/>
  <c r="Q23" i="65"/>
  <c r="Q27" i="65"/>
  <c r="Q26" i="65"/>
  <c r="Q20" i="65"/>
  <c r="Q8" i="65"/>
  <c r="Q11" i="65"/>
  <c r="Q30" i="65"/>
  <c r="Q22" i="65"/>
  <c r="Q14" i="65"/>
  <c r="Q25" i="65"/>
  <c r="Q13" i="65"/>
  <c r="Q19" i="65"/>
  <c r="Q39" i="65"/>
  <c r="Q34" i="65"/>
  <c r="Q6" i="65"/>
  <c r="Q32" i="65"/>
  <c r="Q10" i="65"/>
  <c r="Q29" i="65"/>
  <c r="Q28" i="65"/>
  <c r="Q35" i="65"/>
  <c r="Q31" i="65"/>
  <c r="Q37" i="65"/>
  <c r="Q40" i="65"/>
  <c r="Q24" i="65"/>
  <c r="I5" i="64"/>
  <c r="E5" i="64" l="1"/>
  <c r="O5" i="64" s="1"/>
  <c r="J5" i="64"/>
  <c r="C6" i="64"/>
  <c r="D6" i="64"/>
  <c r="I6" i="64"/>
  <c r="E6" i="64" l="1"/>
  <c r="O6" i="64" s="1"/>
  <c r="J6" i="64"/>
  <c r="C7" i="64"/>
  <c r="D7" i="64"/>
  <c r="I7" i="64"/>
  <c r="E7" i="64" l="1"/>
  <c r="O7" i="64" s="1"/>
  <c r="J7" i="64"/>
  <c r="C8" i="64"/>
  <c r="D8" i="64"/>
  <c r="I8" i="64"/>
  <c r="E8" i="64" l="1"/>
  <c r="O8" i="64" s="1"/>
  <c r="J8" i="64"/>
  <c r="C9" i="64"/>
  <c r="D9" i="64"/>
  <c r="I9" i="64"/>
  <c r="E9" i="64" l="1"/>
  <c r="O9" i="64" s="1"/>
  <c r="J9" i="64"/>
  <c r="C10" i="64"/>
  <c r="D10" i="64"/>
  <c r="I10" i="64"/>
  <c r="E10" i="64" l="1"/>
  <c r="O10" i="64" s="1"/>
  <c r="J10" i="64"/>
  <c r="C11" i="64"/>
  <c r="D11" i="64"/>
  <c r="I11" i="64"/>
  <c r="E11" i="64" l="1"/>
  <c r="O11" i="64" s="1"/>
  <c r="J11" i="64"/>
  <c r="C12" i="64"/>
  <c r="D12" i="64"/>
  <c r="I12" i="64"/>
  <c r="E12" i="64" l="1"/>
  <c r="O12" i="64" s="1"/>
  <c r="J12" i="64"/>
  <c r="C13" i="64"/>
  <c r="D13" i="64"/>
  <c r="I13" i="64"/>
  <c r="E13" i="64" l="1"/>
  <c r="O13" i="64" s="1"/>
  <c r="J13" i="64"/>
  <c r="C14" i="64"/>
  <c r="D14" i="64"/>
  <c r="I14" i="64"/>
  <c r="E14" i="64" l="1"/>
  <c r="O14" i="64" s="1"/>
  <c r="J14" i="64"/>
  <c r="C15" i="64"/>
  <c r="D15" i="64"/>
  <c r="I15" i="64"/>
  <c r="E15" i="64" l="1"/>
  <c r="O15" i="64" s="1"/>
  <c r="J15" i="64"/>
  <c r="C16" i="64"/>
  <c r="D16" i="64"/>
  <c r="I16" i="64"/>
  <c r="E16" i="64" l="1"/>
  <c r="O16" i="64" s="1"/>
  <c r="J16" i="64"/>
  <c r="C17" i="64"/>
  <c r="D17" i="64"/>
  <c r="I17" i="64"/>
  <c r="E17" i="64" l="1"/>
  <c r="O17" i="64" s="1"/>
  <c r="J17" i="64"/>
  <c r="C18" i="64"/>
  <c r="D18" i="64"/>
  <c r="I18" i="64"/>
  <c r="E18" i="64" l="1"/>
  <c r="O18" i="64" s="1"/>
  <c r="J18" i="64"/>
  <c r="C19" i="64"/>
  <c r="D19" i="64"/>
  <c r="E19" i="64" s="1"/>
  <c r="I19" i="64"/>
  <c r="J19" i="64" l="1"/>
  <c r="O19" i="64"/>
  <c r="C20" i="64"/>
  <c r="D20" i="64"/>
  <c r="E20" i="64"/>
  <c r="I20" i="64"/>
  <c r="J20" i="64" l="1"/>
  <c r="O20" i="64"/>
  <c r="C21" i="64"/>
  <c r="D21" i="64"/>
  <c r="E21" i="64"/>
  <c r="I21" i="64"/>
  <c r="J21" i="64" l="1"/>
  <c r="O21" i="64"/>
  <c r="C22" i="64"/>
  <c r="D22" i="64"/>
  <c r="E22" i="64"/>
  <c r="I22" i="64"/>
  <c r="J22" i="64" l="1"/>
  <c r="O22" i="64"/>
  <c r="C23" i="64"/>
  <c r="D23" i="64"/>
  <c r="E23" i="64"/>
  <c r="I23" i="64"/>
  <c r="J23" i="64" l="1"/>
  <c r="O23" i="64"/>
  <c r="C24" i="64"/>
  <c r="D24" i="64"/>
  <c r="E24" i="64"/>
  <c r="I24" i="64"/>
  <c r="J24" i="64" l="1"/>
  <c r="O24" i="64"/>
  <c r="C25" i="64"/>
  <c r="D25" i="64"/>
  <c r="E25" i="64"/>
  <c r="I25" i="64"/>
  <c r="J25" i="64" l="1"/>
  <c r="O25" i="64"/>
  <c r="C26" i="64"/>
  <c r="D26" i="64"/>
  <c r="E26" i="64"/>
  <c r="I26" i="64"/>
  <c r="J26" i="64" l="1"/>
  <c r="O26" i="64"/>
  <c r="C27" i="64"/>
  <c r="D27" i="64"/>
  <c r="I27" i="64"/>
  <c r="E27" i="64" l="1"/>
  <c r="O27" i="64" s="1"/>
  <c r="J27" i="64"/>
  <c r="C28" i="64"/>
  <c r="D28" i="64"/>
  <c r="E28" i="64"/>
  <c r="I28" i="64"/>
  <c r="J28" i="64" l="1"/>
  <c r="O28" i="64"/>
  <c r="C29" i="64"/>
  <c r="D29" i="64"/>
  <c r="E29" i="64"/>
  <c r="I29" i="64"/>
  <c r="J29" i="64" l="1"/>
  <c r="O29" i="64"/>
  <c r="C30" i="64"/>
  <c r="D30" i="64"/>
  <c r="E30" i="64"/>
  <c r="I30" i="64"/>
  <c r="J30" i="64" l="1"/>
  <c r="O30" i="64"/>
  <c r="C31" i="64"/>
  <c r="D31" i="64"/>
  <c r="E31" i="64"/>
  <c r="I31" i="64"/>
  <c r="J31" i="64" l="1"/>
  <c r="O31" i="64"/>
  <c r="C32" i="64"/>
  <c r="D32" i="64"/>
  <c r="E32" i="64"/>
  <c r="I32" i="64"/>
  <c r="J32" i="64" l="1"/>
  <c r="O32" i="64"/>
  <c r="C33" i="64"/>
  <c r="D33" i="64"/>
  <c r="I33" i="64"/>
  <c r="E33" i="64" l="1"/>
  <c r="O33" i="64" s="1"/>
  <c r="J33" i="64"/>
  <c r="C34" i="64"/>
  <c r="D34" i="64"/>
  <c r="I34" i="64"/>
  <c r="E34" i="64" l="1"/>
  <c r="O34" i="64" s="1"/>
  <c r="J34" i="64"/>
  <c r="C35" i="64"/>
  <c r="D35" i="64"/>
  <c r="I35" i="64"/>
  <c r="E35" i="64" l="1"/>
  <c r="O35" i="64" s="1"/>
  <c r="J35" i="64"/>
  <c r="C36" i="64"/>
  <c r="D36" i="64"/>
  <c r="E36" i="64"/>
  <c r="I36" i="64"/>
  <c r="J36" i="64" l="1"/>
  <c r="O36" i="64"/>
  <c r="C37" i="64"/>
  <c r="D37" i="64"/>
  <c r="E37" i="64"/>
  <c r="I37" i="64"/>
  <c r="J37" i="64" l="1"/>
  <c r="O37" i="64"/>
  <c r="C38" i="64"/>
  <c r="D38" i="64"/>
  <c r="E38" i="64"/>
  <c r="I38" i="64"/>
  <c r="J38" i="64" l="1"/>
  <c r="O38" i="64"/>
  <c r="C39" i="64"/>
  <c r="D39" i="64"/>
  <c r="E39" i="64"/>
  <c r="I39" i="64"/>
  <c r="J39" i="64" l="1"/>
  <c r="O39" i="64"/>
  <c r="C40" i="64"/>
  <c r="D40" i="64"/>
  <c r="E40" i="64"/>
  <c r="I40" i="64"/>
  <c r="J40" i="64" l="1"/>
  <c r="O40" i="64"/>
  <c r="C41" i="64"/>
  <c r="D41" i="64"/>
  <c r="I41" i="64"/>
  <c r="E41" i="64" l="1"/>
  <c r="O41" i="64" s="1"/>
  <c r="J41" i="64"/>
  <c r="C42" i="64"/>
  <c r="D42" i="64"/>
  <c r="E42" i="64"/>
  <c r="I42" i="64"/>
  <c r="F5" i="64" l="1" a="1"/>
  <c r="F42" i="64" s="1"/>
  <c r="J42" i="64"/>
  <c r="O42" i="64"/>
  <c r="C5" i="63" a="1"/>
  <c r="C5" i="63" s="1"/>
  <c r="D5" i="63" a="1"/>
  <c r="D5" i="63" s="1"/>
  <c r="I5" i="63"/>
  <c r="F4" i="63"/>
  <c r="F36" i="64" l="1"/>
  <c r="F27" i="64"/>
  <c r="F11" i="64"/>
  <c r="F34" i="64"/>
  <c r="F18" i="64"/>
  <c r="F10" i="64"/>
  <c r="F33" i="64"/>
  <c r="F17" i="64"/>
  <c r="F40" i="64"/>
  <c r="F24" i="64"/>
  <c r="F8" i="64"/>
  <c r="F39" i="64"/>
  <c r="F31" i="64"/>
  <c r="F23" i="64"/>
  <c r="F15" i="64"/>
  <c r="F7" i="64"/>
  <c r="F28" i="64"/>
  <c r="F20" i="64"/>
  <c r="F12" i="64"/>
  <c r="F35" i="64"/>
  <c r="F19" i="64"/>
  <c r="F26" i="64"/>
  <c r="F41" i="64"/>
  <c r="F25" i="64"/>
  <c r="F9" i="64"/>
  <c r="F32" i="64"/>
  <c r="F16" i="64"/>
  <c r="F38" i="64"/>
  <c r="F30" i="64"/>
  <c r="F22" i="64"/>
  <c r="F14" i="64"/>
  <c r="F6" i="64"/>
  <c r="F37" i="64"/>
  <c r="F29" i="64"/>
  <c r="F21" i="64"/>
  <c r="F13" i="64"/>
  <c r="F5" i="64"/>
  <c r="E5" i="63"/>
  <c r="O5" i="63" s="1"/>
  <c r="J5" i="63"/>
  <c r="W5" i="63"/>
  <c r="C6" i="63"/>
  <c r="E6" i="63" s="1"/>
  <c r="D6" i="63"/>
  <c r="I6" i="63"/>
  <c r="J6" i="63" l="1"/>
  <c r="O6" i="63"/>
  <c r="W6" i="63"/>
  <c r="C7" i="63"/>
  <c r="D7" i="63"/>
  <c r="E7" i="63"/>
  <c r="I7" i="63"/>
  <c r="J7" i="63" l="1"/>
  <c r="O7" i="63"/>
  <c r="W7" i="63"/>
  <c r="C8" i="63"/>
  <c r="D8" i="63"/>
  <c r="E8" i="63"/>
  <c r="I8" i="63"/>
  <c r="J8" i="63" l="1"/>
  <c r="O8" i="63"/>
  <c r="W8" i="63"/>
  <c r="C9" i="63"/>
  <c r="D9" i="63"/>
  <c r="E9" i="63"/>
  <c r="I9" i="63"/>
  <c r="J9" i="63" l="1"/>
  <c r="O9" i="63"/>
  <c r="W9" i="63"/>
  <c r="C10" i="63"/>
  <c r="D10" i="63"/>
  <c r="E10" i="63"/>
  <c r="I10" i="63"/>
  <c r="J10" i="63" l="1"/>
  <c r="O10" i="63"/>
  <c r="W10" i="63"/>
  <c r="C11" i="63"/>
  <c r="D11" i="63"/>
  <c r="E11" i="63"/>
  <c r="I11" i="63"/>
  <c r="J11" i="63" l="1"/>
  <c r="O11" i="63"/>
  <c r="W11" i="63"/>
  <c r="C12" i="63"/>
  <c r="D12" i="63"/>
  <c r="E12" i="63" s="1"/>
  <c r="I12" i="63"/>
  <c r="J12" i="63" l="1"/>
  <c r="O12" i="63"/>
  <c r="W12" i="63"/>
  <c r="C13" i="63"/>
  <c r="D13" i="63"/>
  <c r="I13" i="63"/>
  <c r="E13" i="63" l="1"/>
  <c r="O13" i="63" s="1"/>
  <c r="J13" i="63"/>
  <c r="W13" i="63"/>
  <c r="C14" i="63"/>
  <c r="D14" i="63"/>
  <c r="I14" i="63"/>
  <c r="E14" i="63" l="1"/>
  <c r="O14" i="63" s="1"/>
  <c r="J14" i="63"/>
  <c r="W14" i="63"/>
  <c r="C15" i="63"/>
  <c r="D15" i="63"/>
  <c r="E15" i="63"/>
  <c r="I15" i="63"/>
  <c r="J15" i="63" l="1"/>
  <c r="O15" i="63"/>
  <c r="W15" i="63"/>
  <c r="C16" i="63"/>
  <c r="D16" i="63"/>
  <c r="I16" i="63"/>
  <c r="E16" i="63" l="1"/>
  <c r="O16" i="63" s="1"/>
  <c r="J16" i="63"/>
  <c r="W16" i="63"/>
  <c r="C17" i="63"/>
  <c r="D17" i="63"/>
  <c r="E17" i="63"/>
  <c r="I17" i="63"/>
  <c r="J17" i="63" l="1"/>
  <c r="O17" i="63"/>
  <c r="W17" i="63"/>
  <c r="C18" i="63"/>
  <c r="D18" i="63"/>
  <c r="E18" i="63"/>
  <c r="I18" i="63"/>
  <c r="J18" i="63" l="1"/>
  <c r="O18" i="63"/>
  <c r="W18" i="63"/>
  <c r="C19" i="63"/>
  <c r="D19" i="63"/>
  <c r="I19" i="63"/>
  <c r="E19" i="63" l="1"/>
  <c r="O19" i="63" s="1"/>
  <c r="J19" i="63"/>
  <c r="W19" i="63"/>
  <c r="C20" i="63"/>
  <c r="D20" i="63"/>
  <c r="E20" i="63"/>
  <c r="I20" i="63"/>
  <c r="J20" i="63" l="1"/>
  <c r="O20" i="63"/>
  <c r="W20" i="63"/>
  <c r="C21" i="63"/>
  <c r="D21" i="63"/>
  <c r="E21" i="63"/>
  <c r="I21" i="63"/>
  <c r="J21" i="63" l="1"/>
  <c r="O21" i="63"/>
  <c r="W21" i="63"/>
  <c r="C22" i="63"/>
  <c r="D22" i="63"/>
  <c r="E22" i="63"/>
  <c r="I22" i="63"/>
  <c r="J22" i="63" l="1"/>
  <c r="O22" i="63"/>
  <c r="W22" i="63"/>
  <c r="C23" i="63"/>
  <c r="D23" i="63"/>
  <c r="E23" i="63"/>
  <c r="I23" i="63"/>
  <c r="J23" i="63" l="1"/>
  <c r="O23" i="63"/>
  <c r="W23" i="63"/>
  <c r="C24" i="63"/>
  <c r="D24" i="63"/>
  <c r="E24" i="63" s="1"/>
  <c r="I24" i="63"/>
  <c r="J24" i="63" l="1"/>
  <c r="O24" i="63"/>
  <c r="W24" i="63"/>
  <c r="C25" i="63"/>
  <c r="D25" i="63"/>
  <c r="E25" i="63"/>
  <c r="I25" i="63"/>
  <c r="J25" i="63" l="1"/>
  <c r="O25" i="63"/>
  <c r="W25" i="63"/>
  <c r="C26" i="63"/>
  <c r="D26" i="63"/>
  <c r="E26" i="63"/>
  <c r="I26" i="63"/>
  <c r="J26" i="63" l="1"/>
  <c r="O26" i="63"/>
  <c r="W26" i="63"/>
  <c r="C27" i="63"/>
  <c r="D27" i="63"/>
  <c r="E27" i="63"/>
  <c r="I27" i="63"/>
  <c r="J27" i="63" l="1"/>
  <c r="O27" i="63"/>
  <c r="W27" i="63"/>
  <c r="C28" i="63"/>
  <c r="D28" i="63"/>
  <c r="E28" i="63"/>
  <c r="I28" i="63"/>
  <c r="J28" i="63" l="1"/>
  <c r="O28" i="63"/>
  <c r="W28" i="63"/>
  <c r="C29" i="63"/>
  <c r="D29" i="63"/>
  <c r="I29" i="63"/>
  <c r="E29" i="63" l="1"/>
  <c r="O29" i="63" s="1"/>
  <c r="J29" i="63"/>
  <c r="W29" i="63"/>
  <c r="C30" i="63"/>
  <c r="D30" i="63"/>
  <c r="I30" i="63"/>
  <c r="E30" i="63" l="1"/>
  <c r="O30" i="63" s="1"/>
  <c r="J30" i="63"/>
  <c r="W30" i="63"/>
  <c r="C31" i="63"/>
  <c r="D31" i="63"/>
  <c r="E31" i="63"/>
  <c r="I31" i="63"/>
  <c r="J31" i="63" l="1"/>
  <c r="O31" i="63"/>
  <c r="W31" i="63"/>
  <c r="C32" i="63"/>
  <c r="D32" i="63"/>
  <c r="E32" i="63"/>
  <c r="I32" i="63"/>
  <c r="J32" i="63" l="1"/>
  <c r="O32" i="63"/>
  <c r="W32" i="63"/>
  <c r="C33" i="63"/>
  <c r="D33" i="63"/>
  <c r="E33" i="63"/>
  <c r="I33" i="63"/>
  <c r="J33" i="63" l="1"/>
  <c r="O33" i="63"/>
  <c r="W33" i="63"/>
  <c r="C34" i="63"/>
  <c r="D34" i="63"/>
  <c r="E34" i="63"/>
  <c r="I34" i="63"/>
  <c r="J34" i="63" l="1"/>
  <c r="O34" i="63"/>
  <c r="W34" i="63"/>
  <c r="C35" i="63"/>
  <c r="D35" i="63"/>
  <c r="I35" i="63"/>
  <c r="E35" i="63" l="1"/>
  <c r="O35" i="63" s="1"/>
  <c r="J35" i="63"/>
  <c r="W35" i="63"/>
  <c r="C36" i="63"/>
  <c r="D36" i="63"/>
  <c r="I36" i="63"/>
  <c r="E36" i="63" l="1"/>
  <c r="O36" i="63" s="1"/>
  <c r="J36" i="63"/>
  <c r="W36" i="63"/>
  <c r="C37" i="63"/>
  <c r="D37" i="63"/>
  <c r="E37" i="63"/>
  <c r="I37" i="63"/>
  <c r="J37" i="63" l="1"/>
  <c r="O37" i="63"/>
  <c r="W37" i="63"/>
  <c r="C38" i="63"/>
  <c r="D38" i="63"/>
  <c r="E38" i="63"/>
  <c r="I38" i="63"/>
  <c r="J38" i="63" l="1"/>
  <c r="O38" i="63"/>
  <c r="W38" i="63"/>
  <c r="C39" i="63"/>
  <c r="D39" i="63"/>
  <c r="E39" i="63"/>
  <c r="I39" i="63"/>
  <c r="J39" i="63" l="1"/>
  <c r="O39" i="63"/>
  <c r="W39" i="63"/>
  <c r="C40" i="63"/>
  <c r="D40" i="63"/>
  <c r="E40" i="63"/>
  <c r="I40" i="63"/>
  <c r="J40" i="63" l="1"/>
  <c r="O40" i="63"/>
  <c r="W40" i="63"/>
  <c r="C41" i="63"/>
  <c r="D41" i="63"/>
  <c r="E41" i="63"/>
  <c r="I41" i="63"/>
  <c r="J41" i="63" l="1"/>
  <c r="O41" i="63"/>
  <c r="W41" i="63"/>
  <c r="C42" i="63"/>
  <c r="D42" i="63"/>
  <c r="E42" i="63"/>
  <c r="F5" i="63" s="1" a="1"/>
  <c r="F42" i="63" s="1"/>
  <c r="I42" i="63"/>
  <c r="F5" i="63" l="1"/>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J42" i="63"/>
  <c r="O42" i="63"/>
  <c r="W42" i="63"/>
  <c r="C5" i="62" a="1"/>
  <c r="C5" i="62" s="1"/>
  <c r="D5" i="62" a="1"/>
  <c r="D5" i="62" s="1"/>
  <c r="I5" i="62"/>
  <c r="F4" i="62"/>
  <c r="E5" i="62" l="1"/>
  <c r="O5" i="62" s="1"/>
  <c r="J5" i="62"/>
  <c r="C6" i="62"/>
  <c r="D6" i="62"/>
  <c r="E6" i="62"/>
  <c r="I6" i="62"/>
  <c r="J6" i="62" l="1"/>
  <c r="O6" i="62"/>
  <c r="C7" i="62"/>
  <c r="D7" i="62"/>
  <c r="I7" i="62"/>
  <c r="E7" i="62" l="1"/>
  <c r="O7" i="62" s="1"/>
  <c r="J7" i="62"/>
  <c r="C8" i="62"/>
  <c r="D8" i="62"/>
  <c r="I8" i="62"/>
  <c r="E8" i="62" l="1"/>
  <c r="O8" i="62" s="1"/>
  <c r="J8" i="62"/>
  <c r="C9" i="62"/>
  <c r="D9" i="62"/>
  <c r="E9" i="62"/>
  <c r="I9" i="62"/>
  <c r="J9" i="62" l="1"/>
  <c r="O9" i="62"/>
  <c r="C10" i="62"/>
  <c r="D10" i="62"/>
  <c r="I10" i="62"/>
  <c r="E10" i="62" l="1"/>
  <c r="O10" i="62" s="1"/>
  <c r="J10" i="62"/>
  <c r="C11" i="62"/>
  <c r="D11" i="62"/>
  <c r="I11" i="62"/>
  <c r="E11" i="62" l="1"/>
  <c r="O11" i="62" s="1"/>
  <c r="J11" i="62"/>
  <c r="C12" i="62"/>
  <c r="D12" i="62"/>
  <c r="E12" i="62"/>
  <c r="I12" i="62"/>
  <c r="J12" i="62" l="1"/>
  <c r="O12" i="62"/>
  <c r="C13" i="62"/>
  <c r="D13" i="62"/>
  <c r="I13" i="62"/>
  <c r="E13" i="62" l="1"/>
  <c r="O13" i="62" s="1"/>
  <c r="J13" i="62"/>
  <c r="C14" i="62"/>
  <c r="D14" i="62"/>
  <c r="I14" i="62"/>
  <c r="E14" i="62" l="1"/>
  <c r="O14" i="62" s="1"/>
  <c r="J14" i="62"/>
  <c r="C15" i="62"/>
  <c r="D15" i="62"/>
  <c r="E15" i="62"/>
  <c r="I15" i="62"/>
  <c r="J15" i="62" l="1"/>
  <c r="O15" i="62"/>
  <c r="C16" i="62"/>
  <c r="D16" i="62"/>
  <c r="I16" i="62"/>
  <c r="E16" i="62" l="1"/>
  <c r="O16" i="62" s="1"/>
  <c r="J16" i="62"/>
  <c r="C17" i="62"/>
  <c r="D17" i="62"/>
  <c r="E17" i="62"/>
  <c r="I17" i="62"/>
  <c r="J17" i="62" l="1"/>
  <c r="O17" i="62"/>
  <c r="C18" i="62"/>
  <c r="D18" i="62"/>
  <c r="E18" i="62"/>
  <c r="I18" i="62"/>
  <c r="J18" i="62" l="1"/>
  <c r="O18" i="62"/>
  <c r="C19" i="62"/>
  <c r="D19" i="62"/>
  <c r="E19" i="62"/>
  <c r="I19" i="62"/>
  <c r="J19" i="62" l="1"/>
  <c r="O19" i="62"/>
  <c r="C20" i="62"/>
  <c r="D20" i="62"/>
  <c r="E20" i="62"/>
  <c r="I20" i="62"/>
  <c r="J20" i="62" l="1"/>
  <c r="O20" i="62"/>
  <c r="C21" i="62"/>
  <c r="D21" i="62"/>
  <c r="E21" i="62"/>
  <c r="I21" i="62"/>
  <c r="J21" i="62" l="1"/>
  <c r="O21" i="62"/>
  <c r="C22" i="62"/>
  <c r="D22" i="62"/>
  <c r="E22" i="62"/>
  <c r="I22" i="62"/>
  <c r="J22" i="62" l="1"/>
  <c r="O22" i="62"/>
  <c r="C23" i="62"/>
  <c r="D23" i="62"/>
  <c r="E23" i="62"/>
  <c r="I23" i="62"/>
  <c r="J23" i="62" l="1"/>
  <c r="O23" i="62"/>
  <c r="C24" i="62"/>
  <c r="D24" i="62"/>
  <c r="I24" i="62"/>
  <c r="E24" i="62" l="1"/>
  <c r="O24" i="62" s="1"/>
  <c r="J24" i="62"/>
  <c r="C25" i="62"/>
  <c r="D25" i="62"/>
  <c r="I25" i="62"/>
  <c r="E25" i="62" l="1"/>
  <c r="O25" i="62" s="1"/>
  <c r="J25" i="62"/>
  <c r="C26" i="62"/>
  <c r="D26" i="62"/>
  <c r="I26" i="62"/>
  <c r="E26" i="62" l="1"/>
  <c r="O26" i="62" s="1"/>
  <c r="J26" i="62"/>
  <c r="C27" i="62"/>
  <c r="D27" i="62"/>
  <c r="E27" i="62"/>
  <c r="I27" i="62"/>
  <c r="J27" i="62" l="1"/>
  <c r="O27" i="62"/>
  <c r="C28" i="62"/>
  <c r="D28" i="62"/>
  <c r="E28" i="62"/>
  <c r="I28" i="62"/>
  <c r="J28" i="62" l="1"/>
  <c r="O28" i="62"/>
  <c r="C29" i="62"/>
  <c r="D29" i="62"/>
  <c r="I29" i="62"/>
  <c r="E29" i="62" l="1"/>
  <c r="O29" i="62" s="1"/>
  <c r="J29" i="62"/>
  <c r="C30" i="62"/>
  <c r="D30" i="62"/>
  <c r="I30" i="62"/>
  <c r="E30" i="62" l="1"/>
  <c r="O30" i="62" s="1"/>
  <c r="J30" i="62"/>
  <c r="C31" i="62"/>
  <c r="D31" i="62"/>
  <c r="I31" i="62"/>
  <c r="E31" i="62" l="1"/>
  <c r="O31" i="62" s="1"/>
  <c r="J31" i="62"/>
  <c r="C32" i="62"/>
  <c r="D32" i="62"/>
  <c r="E32" i="62"/>
  <c r="I32" i="62"/>
  <c r="J32" i="62" l="1"/>
  <c r="O32" i="62"/>
  <c r="C33" i="62"/>
  <c r="D33" i="62"/>
  <c r="E33" i="62"/>
  <c r="I33" i="62"/>
  <c r="J33" i="62" l="1"/>
  <c r="O33" i="62"/>
  <c r="C34" i="62"/>
  <c r="D34" i="62"/>
  <c r="E34" i="62"/>
  <c r="I34" i="62"/>
  <c r="J34" i="62" l="1"/>
  <c r="O34" i="62"/>
  <c r="C35" i="62"/>
  <c r="D35" i="62"/>
  <c r="I35" i="62"/>
  <c r="E35" i="62" l="1"/>
  <c r="O35" i="62" s="1"/>
  <c r="J35" i="62"/>
  <c r="C36" i="62"/>
  <c r="D36" i="62"/>
  <c r="I36" i="62"/>
  <c r="E36" i="62" l="1"/>
  <c r="O36" i="62" s="1"/>
  <c r="J36" i="62"/>
  <c r="C37" i="62"/>
  <c r="D37" i="62"/>
  <c r="E37" i="62"/>
  <c r="I37" i="62"/>
  <c r="J37" i="62" l="1"/>
  <c r="O37" i="62"/>
  <c r="C38" i="62"/>
  <c r="D38" i="62"/>
  <c r="I38" i="62"/>
  <c r="E38" i="62" l="1"/>
  <c r="O38" i="62" s="1"/>
  <c r="J38" i="62"/>
  <c r="C39" i="62"/>
  <c r="D39" i="62"/>
  <c r="I39" i="62"/>
  <c r="E39" i="62" l="1"/>
  <c r="O39" i="62" s="1"/>
  <c r="J39" i="62"/>
  <c r="C40" i="62"/>
  <c r="D40" i="62"/>
  <c r="I40" i="62"/>
  <c r="E40" i="62" l="1"/>
  <c r="O40" i="62" s="1"/>
  <c r="J40" i="62"/>
  <c r="C41" i="62"/>
  <c r="D41" i="62"/>
  <c r="I41" i="62"/>
  <c r="E41" i="62" l="1"/>
  <c r="O41" i="62" s="1"/>
  <c r="J41" i="62"/>
  <c r="C42" i="62"/>
  <c r="D42" i="62"/>
  <c r="E42" i="62"/>
  <c r="I42" i="62"/>
  <c r="F5" i="62" l="1" a="1"/>
  <c r="F42" i="62" s="1"/>
  <c r="J42" i="62"/>
  <c r="O42" i="62"/>
  <c r="C5" i="61" a="1"/>
  <c r="C5" i="61" s="1"/>
  <c r="D5" i="61" a="1"/>
  <c r="D5" i="61" s="1"/>
  <c r="K5" i="61"/>
  <c r="F4" i="61"/>
  <c r="F29" i="62" l="1"/>
  <c r="F21" i="62"/>
  <c r="F13" i="62"/>
  <c r="F5" i="62"/>
  <c r="F36" i="62"/>
  <c r="F12" i="62"/>
  <c r="F10" i="62"/>
  <c r="F37" i="62"/>
  <c r="F20" i="62"/>
  <c r="F28" i="62"/>
  <c r="F26" i="62"/>
  <c r="F41" i="62"/>
  <c r="F25" i="62"/>
  <c r="F9" i="62"/>
  <c r="F40" i="62"/>
  <c r="F39" i="62"/>
  <c r="F15" i="62"/>
  <c r="F7" i="62"/>
  <c r="F35" i="62"/>
  <c r="F27" i="62"/>
  <c r="F19" i="62"/>
  <c r="F11" i="62"/>
  <c r="F34" i="62"/>
  <c r="F18" i="62"/>
  <c r="F33" i="62"/>
  <c r="F17" i="62"/>
  <c r="F32" i="62"/>
  <c r="F24" i="62"/>
  <c r="F16" i="62"/>
  <c r="F8" i="62"/>
  <c r="F31" i="62"/>
  <c r="F23" i="62"/>
  <c r="F38" i="62"/>
  <c r="F30" i="62"/>
  <c r="F22" i="62"/>
  <c r="F14" i="62"/>
  <c r="F6" i="62"/>
  <c r="E5" i="61"/>
  <c r="O5" i="61" s="1"/>
  <c r="X5" i="61" l="1"/>
  <c r="C6" i="61"/>
  <c r="D6" i="61"/>
  <c r="K6" i="61"/>
  <c r="E6" i="61" l="1"/>
  <c r="O6" i="61" s="1"/>
  <c r="X6" i="61" l="1"/>
  <c r="C7" i="61"/>
  <c r="D7" i="61"/>
  <c r="K7" i="61"/>
  <c r="E7" i="61" l="1"/>
  <c r="O7" i="61" s="1"/>
  <c r="X7" i="61" l="1"/>
  <c r="C8" i="61"/>
  <c r="D8" i="61"/>
  <c r="K8" i="61"/>
  <c r="E8" i="61" l="1"/>
  <c r="O8" i="61" s="1"/>
  <c r="X8" i="61" l="1"/>
  <c r="C9" i="61"/>
  <c r="D9" i="61"/>
  <c r="K9" i="61"/>
  <c r="E9" i="61" l="1"/>
  <c r="O9" i="61" s="1"/>
  <c r="X9" i="61" l="1"/>
  <c r="C10" i="61"/>
  <c r="D10" i="61"/>
  <c r="K10" i="61"/>
  <c r="E10" i="61" l="1"/>
  <c r="O10" i="61" s="1"/>
  <c r="X10" i="61" l="1"/>
  <c r="C11" i="61"/>
  <c r="D11" i="61"/>
  <c r="K11" i="61"/>
  <c r="E11" i="61" l="1"/>
  <c r="O11" i="61" s="1"/>
  <c r="X11" i="61" l="1"/>
  <c r="C12" i="61"/>
  <c r="D12" i="61"/>
  <c r="K12" i="61"/>
  <c r="E12" i="61" l="1"/>
  <c r="O12" i="61" s="1"/>
  <c r="X12" i="61" l="1"/>
  <c r="C13" i="61"/>
  <c r="D13" i="61"/>
  <c r="K13" i="61"/>
  <c r="E13" i="61" l="1"/>
  <c r="O13" i="61" s="1"/>
  <c r="X13" i="61" l="1"/>
  <c r="C14" i="61"/>
  <c r="D14" i="61"/>
  <c r="K14" i="61"/>
  <c r="E14" i="61" l="1"/>
  <c r="O14" i="61" s="1"/>
  <c r="X14" i="61" l="1"/>
  <c r="C15" i="61"/>
  <c r="D15" i="61"/>
  <c r="K15" i="61"/>
  <c r="E15" i="61" l="1"/>
  <c r="O15" i="61" s="1"/>
  <c r="X15" i="61" l="1"/>
  <c r="C16" i="61"/>
  <c r="D16" i="61"/>
  <c r="K16" i="61"/>
  <c r="E16" i="61" l="1"/>
  <c r="O16" i="61" s="1"/>
  <c r="X16" i="61" l="1"/>
  <c r="C17" i="61"/>
  <c r="D17" i="61"/>
  <c r="K17" i="61"/>
  <c r="E17" i="61" l="1"/>
  <c r="O17" i="61" s="1"/>
  <c r="X17" i="61" l="1"/>
  <c r="C18" i="61"/>
  <c r="D18" i="61"/>
  <c r="K18" i="61"/>
  <c r="E18" i="61" l="1"/>
  <c r="O18" i="61" s="1"/>
  <c r="X18" i="61" l="1"/>
  <c r="C19" i="61"/>
  <c r="D19" i="61"/>
  <c r="K19" i="61"/>
  <c r="E19" i="61" l="1"/>
  <c r="O19" i="61" s="1"/>
  <c r="X19" i="61" l="1"/>
  <c r="C20" i="61"/>
  <c r="D20" i="61"/>
  <c r="K20" i="61"/>
  <c r="E20" i="61" l="1"/>
  <c r="O20" i="61" s="1"/>
  <c r="X20" i="61" l="1"/>
  <c r="C21" i="61"/>
  <c r="D21" i="61"/>
  <c r="K21" i="61"/>
  <c r="E21" i="61" l="1"/>
  <c r="O21" i="61" s="1"/>
  <c r="X21" i="61" l="1"/>
  <c r="C22" i="61"/>
  <c r="D22" i="61"/>
  <c r="K22" i="61"/>
  <c r="E22" i="61" l="1"/>
  <c r="O22" i="61" s="1"/>
  <c r="X22" i="61" l="1"/>
  <c r="C23" i="61"/>
  <c r="D23" i="61"/>
  <c r="K23" i="61"/>
  <c r="E23" i="61" l="1"/>
  <c r="O23" i="61" s="1"/>
  <c r="X23" i="61" l="1"/>
  <c r="C24" i="61"/>
  <c r="D24" i="61"/>
  <c r="K24" i="61"/>
  <c r="E24" i="61" l="1"/>
  <c r="O24" i="61" s="1"/>
  <c r="X24" i="61" l="1"/>
  <c r="C25" i="61"/>
  <c r="D25" i="61"/>
  <c r="K25" i="61"/>
  <c r="E25" i="61" l="1"/>
  <c r="O25" i="61" s="1"/>
  <c r="X25" i="61" l="1"/>
  <c r="C26" i="61"/>
  <c r="D26" i="61"/>
  <c r="K26" i="61"/>
  <c r="E26" i="61" l="1"/>
  <c r="O26" i="61" s="1"/>
  <c r="X26" i="61" l="1"/>
  <c r="C27" i="61"/>
  <c r="D27" i="61"/>
  <c r="K27" i="61"/>
  <c r="E27" i="61" l="1"/>
  <c r="O27" i="61" s="1"/>
  <c r="X27" i="61" l="1"/>
  <c r="C28" i="61"/>
  <c r="D28" i="61"/>
  <c r="K28" i="61"/>
  <c r="E28" i="61" l="1"/>
  <c r="O28" i="61" s="1"/>
  <c r="X28" i="61" l="1"/>
  <c r="C29" i="61"/>
  <c r="D29" i="61"/>
  <c r="K29" i="61"/>
  <c r="E29" i="61" l="1"/>
  <c r="O29" i="61" s="1"/>
  <c r="X29" i="61" l="1"/>
  <c r="C30" i="61"/>
  <c r="D30" i="61"/>
  <c r="K30" i="61"/>
  <c r="E30" i="61" l="1"/>
  <c r="O30" i="61" s="1"/>
  <c r="X30" i="61" l="1"/>
  <c r="C31" i="61"/>
  <c r="D31" i="61"/>
  <c r="K31" i="61"/>
  <c r="E31" i="61" l="1"/>
  <c r="O31" i="61" s="1"/>
  <c r="X31" i="61" l="1"/>
  <c r="C32" i="61"/>
  <c r="D32" i="61"/>
  <c r="K32" i="61"/>
  <c r="E32" i="61" l="1"/>
  <c r="O32" i="61" s="1"/>
  <c r="X32" i="61" l="1"/>
  <c r="C33" i="61"/>
  <c r="D33" i="61"/>
  <c r="K33" i="61"/>
  <c r="E33" i="61" l="1"/>
  <c r="O33" i="61" s="1"/>
  <c r="X33" i="61" l="1"/>
  <c r="C34" i="61"/>
  <c r="D34" i="61"/>
  <c r="K34" i="61"/>
  <c r="E34" i="61" l="1"/>
  <c r="O34" i="61" s="1"/>
  <c r="X34" i="61" l="1"/>
  <c r="C35" i="61"/>
  <c r="D35" i="61"/>
  <c r="K35" i="61"/>
  <c r="E35" i="61" l="1"/>
  <c r="O35" i="61" s="1"/>
  <c r="X35" i="61" l="1"/>
  <c r="C36" i="61"/>
  <c r="D36" i="61"/>
  <c r="K36" i="61"/>
  <c r="E36" i="61" l="1"/>
  <c r="O36" i="61" s="1"/>
  <c r="X36" i="61" l="1"/>
  <c r="C37" i="61"/>
  <c r="D37" i="61"/>
  <c r="K37" i="61"/>
  <c r="E37" i="61" l="1"/>
  <c r="O37" i="61" s="1"/>
  <c r="X37" i="61" l="1"/>
  <c r="C38" i="61"/>
  <c r="D38" i="61"/>
  <c r="K38" i="61"/>
  <c r="E38" i="61" l="1"/>
  <c r="O38" i="61" s="1"/>
  <c r="X38" i="61" l="1"/>
  <c r="C39" i="61"/>
  <c r="D39" i="61"/>
  <c r="K39" i="61"/>
  <c r="E39" i="61" l="1"/>
  <c r="O39" i="61" s="1"/>
  <c r="X39" i="61" l="1"/>
  <c r="C40" i="61"/>
  <c r="D40" i="61"/>
  <c r="K40" i="61"/>
  <c r="E40" i="61" l="1"/>
  <c r="O40" i="61" s="1"/>
  <c r="X40" i="61" l="1"/>
  <c r="C41" i="61"/>
  <c r="D41" i="61"/>
  <c r="K41" i="61"/>
  <c r="E41" i="61" l="1"/>
  <c r="O41" i="61" s="1"/>
  <c r="X41" i="61" l="1"/>
  <c r="C42" i="61"/>
  <c r="D42" i="61"/>
  <c r="K42" i="61"/>
  <c r="P5" i="61" l="1" a="1"/>
  <c r="E42" i="61"/>
  <c r="F5" i="61" s="1" a="1"/>
  <c r="F42" i="61" s="1"/>
  <c r="O42" i="61" l="1"/>
  <c r="P6" i="61"/>
  <c r="P13" i="61"/>
  <c r="P9" i="61"/>
  <c r="P12" i="61"/>
  <c r="P17" i="61"/>
  <c r="P30" i="61"/>
  <c r="P39" i="61"/>
  <c r="P24" i="61"/>
  <c r="P23" i="61"/>
  <c r="P16" i="61"/>
  <c r="P36" i="61"/>
  <c r="P32" i="61"/>
  <c r="P27" i="61"/>
  <c r="P40" i="61"/>
  <c r="P22" i="61"/>
  <c r="P20" i="61"/>
  <c r="P11" i="61"/>
  <c r="P14" i="61"/>
  <c r="P42" i="61"/>
  <c r="P35" i="61"/>
  <c r="P19" i="61"/>
  <c r="P7" i="61"/>
  <c r="P26" i="61"/>
  <c r="P8" i="61"/>
  <c r="P34" i="61"/>
  <c r="P29" i="61"/>
  <c r="P10" i="61"/>
  <c r="P31" i="61"/>
  <c r="P5" i="61"/>
  <c r="P28" i="61"/>
  <c r="P41" i="61"/>
  <c r="P25" i="61"/>
  <c r="P18" i="61"/>
  <c r="P21" i="61"/>
  <c r="P15" i="61"/>
  <c r="P37" i="61"/>
  <c r="P38" i="61"/>
  <c r="P33" i="61"/>
  <c r="F28" i="61"/>
  <c r="F11" i="61"/>
  <c r="F26" i="61"/>
  <c r="F18" i="61"/>
  <c r="F10" i="61"/>
  <c r="F41" i="61"/>
  <c r="F33" i="61"/>
  <c r="F25" i="61"/>
  <c r="F17" i="61"/>
  <c r="F9" i="61"/>
  <c r="F40" i="61"/>
  <c r="F32" i="61"/>
  <c r="F24" i="61"/>
  <c r="F16" i="61"/>
  <c r="F8" i="61"/>
  <c r="F39" i="61"/>
  <c r="F31" i="61"/>
  <c r="F23" i="61"/>
  <c r="F15" i="61"/>
  <c r="F7" i="61"/>
  <c r="F36" i="61"/>
  <c r="F20" i="61"/>
  <c r="F12" i="61"/>
  <c r="F35" i="61"/>
  <c r="F27" i="61"/>
  <c r="F19" i="61"/>
  <c r="F34" i="61"/>
  <c r="F38" i="61"/>
  <c r="F30" i="61"/>
  <c r="F22" i="61"/>
  <c r="F14" i="61"/>
  <c r="F6" i="61"/>
  <c r="F37" i="61"/>
  <c r="F29" i="61"/>
  <c r="F21" i="61"/>
  <c r="F13" i="61"/>
  <c r="F5" i="61"/>
  <c r="X42" i="61"/>
  <c r="C5" i="60" a="1"/>
  <c r="C5" i="60" s="1"/>
  <c r="D5" i="60" a="1"/>
  <c r="D5" i="60" s="1"/>
  <c r="K5" i="60"/>
  <c r="Q5" i="61"/>
  <c r="Q26" i="61"/>
  <c r="Q16" i="61"/>
  <c r="Q18" i="61"/>
  <c r="Q39" i="61"/>
  <c r="Q14" i="61"/>
  <c r="Q37" i="61"/>
  <c r="Q7" i="61"/>
  <c r="Q25" i="61"/>
  <c r="Q31" i="61"/>
  <c r="Q8" i="61"/>
  <c r="Q41" i="61"/>
  <c r="Q24" i="61"/>
  <c r="Q10" i="61"/>
  <c r="Q28" i="61"/>
  <c r="Q9" i="61"/>
  <c r="Q11" i="61"/>
  <c r="Q34" i="61"/>
  <c r="Q40" i="61"/>
  <c r="Q12" i="61"/>
  <c r="Q32" i="61"/>
  <c r="Q33" i="61"/>
  <c r="Q27" i="61"/>
  <c r="Q38" i="61"/>
  <c r="Q22" i="61"/>
  <c r="Q19" i="61"/>
  <c r="Q36" i="61"/>
  <c r="Q17" i="61"/>
  <c r="Q23" i="61"/>
  <c r="Q21" i="61"/>
  <c r="Q20" i="61"/>
  <c r="Q30" i="61"/>
  <c r="Q35" i="61"/>
  <c r="Q42" i="61"/>
  <c r="Q13" i="61"/>
  <c r="Q6" i="61"/>
  <c r="Q29" i="61"/>
  <c r="Q15" i="61"/>
  <c r="F4" i="60"/>
  <c r="E5" i="60" l="1"/>
  <c r="O5" i="60" s="1"/>
  <c r="X5" i="60"/>
  <c r="C6" i="60"/>
  <c r="D6" i="60"/>
  <c r="K6" i="60"/>
  <c r="E6" i="60" l="1"/>
  <c r="O6" i="60" s="1"/>
  <c r="X6" i="60"/>
  <c r="C7" i="60"/>
  <c r="D7" i="60"/>
  <c r="E7" i="60"/>
  <c r="K7" i="60"/>
  <c r="O7" i="60" l="1"/>
  <c r="X7" i="60"/>
  <c r="C8" i="60"/>
  <c r="D8" i="60"/>
  <c r="E8" i="60"/>
  <c r="K8" i="60"/>
  <c r="O8" i="60" l="1"/>
  <c r="X8" i="60"/>
  <c r="C9" i="60"/>
  <c r="D9" i="60"/>
  <c r="K9" i="60"/>
  <c r="E9" i="60" l="1"/>
  <c r="O9" i="60" s="1"/>
  <c r="X9" i="60"/>
  <c r="C10" i="60"/>
  <c r="D10" i="60"/>
  <c r="K10" i="60"/>
  <c r="E10" i="60" l="1"/>
  <c r="O10" i="60" s="1"/>
  <c r="X10" i="60"/>
  <c r="C11" i="60"/>
  <c r="D11" i="60"/>
  <c r="K11" i="60"/>
  <c r="E11" i="60" l="1"/>
  <c r="O11" i="60" s="1"/>
  <c r="X11" i="60"/>
  <c r="C12" i="60"/>
  <c r="D12" i="60"/>
  <c r="E12" i="60"/>
  <c r="K12" i="60"/>
  <c r="O12" i="60" l="1"/>
  <c r="X12" i="60"/>
  <c r="C13" i="60"/>
  <c r="D13" i="60"/>
  <c r="E13" i="60"/>
  <c r="K13" i="60"/>
  <c r="O13" i="60" l="1"/>
  <c r="X13" i="60"/>
  <c r="C14" i="60"/>
  <c r="D14" i="60"/>
  <c r="E14" i="60"/>
  <c r="K14" i="60"/>
  <c r="O14" i="60" l="1"/>
  <c r="X14" i="60"/>
  <c r="C15" i="60"/>
  <c r="D15" i="60"/>
  <c r="E15" i="60"/>
  <c r="K15" i="60"/>
  <c r="O15" i="60" l="1"/>
  <c r="X15" i="60"/>
  <c r="C16" i="60"/>
  <c r="D16" i="60"/>
  <c r="E16" i="60" s="1"/>
  <c r="K16" i="60"/>
  <c r="O16" i="60" l="1"/>
  <c r="X16" i="60"/>
  <c r="C17" i="60"/>
  <c r="D17" i="60"/>
  <c r="E17" i="60"/>
  <c r="K17" i="60"/>
  <c r="O17" i="60" l="1"/>
  <c r="X17" i="60"/>
  <c r="C18" i="60"/>
  <c r="D18" i="60"/>
  <c r="E18" i="60"/>
  <c r="K18" i="60"/>
  <c r="O18" i="60" l="1"/>
  <c r="X18" i="60"/>
  <c r="C19" i="60"/>
  <c r="D19" i="60"/>
  <c r="E19" i="60"/>
  <c r="K19" i="60"/>
  <c r="O19" i="60" l="1"/>
  <c r="X19" i="60"/>
  <c r="C20" i="60"/>
  <c r="D20" i="60"/>
  <c r="E20" i="60"/>
  <c r="K20" i="60"/>
  <c r="O20" i="60" l="1"/>
  <c r="X20" i="60"/>
  <c r="C21" i="60"/>
  <c r="D21" i="60"/>
  <c r="E21" i="60" s="1"/>
  <c r="K21" i="60"/>
  <c r="O21" i="60" l="1"/>
  <c r="X21" i="60"/>
  <c r="C22" i="60"/>
  <c r="D22" i="60"/>
  <c r="K22" i="60"/>
  <c r="E22" i="60" l="1"/>
  <c r="O22" i="60" s="1"/>
  <c r="X22" i="60"/>
  <c r="C23" i="60"/>
  <c r="D23" i="60"/>
  <c r="K23" i="60"/>
  <c r="E23" i="60" l="1"/>
  <c r="O23" i="60" s="1"/>
  <c r="X23" i="60"/>
  <c r="C24" i="60"/>
  <c r="D24" i="60"/>
  <c r="K24" i="60"/>
  <c r="E24" i="60" l="1"/>
  <c r="O24" i="60" s="1"/>
  <c r="X24" i="60"/>
  <c r="C25" i="60"/>
  <c r="D25" i="60"/>
  <c r="K25" i="60"/>
  <c r="E25" i="60" l="1"/>
  <c r="O25" i="60" s="1"/>
  <c r="X25" i="60"/>
  <c r="C26" i="60"/>
  <c r="D26" i="60"/>
  <c r="K26" i="60"/>
  <c r="E26" i="60" l="1"/>
  <c r="O26" i="60" s="1"/>
  <c r="X26" i="60"/>
  <c r="C27" i="60"/>
  <c r="D27" i="60"/>
  <c r="K27" i="60"/>
  <c r="E27" i="60" l="1"/>
  <c r="O27" i="60" s="1"/>
  <c r="X27" i="60"/>
  <c r="C28" i="60"/>
  <c r="D28" i="60"/>
  <c r="K28" i="60"/>
  <c r="E28" i="60" l="1"/>
  <c r="O28" i="60" s="1"/>
  <c r="X28" i="60"/>
  <c r="C29" i="60"/>
  <c r="D29" i="60"/>
  <c r="K29" i="60"/>
  <c r="E29" i="60" l="1"/>
  <c r="O29" i="60" s="1"/>
  <c r="X29" i="60"/>
  <c r="C30" i="60"/>
  <c r="D30" i="60"/>
  <c r="K30" i="60"/>
  <c r="E30" i="60" l="1"/>
  <c r="O30" i="60" s="1"/>
  <c r="X30" i="60"/>
  <c r="C31" i="60"/>
  <c r="D31" i="60"/>
  <c r="K31" i="60"/>
  <c r="E31" i="60" l="1"/>
  <c r="O31" i="60" s="1"/>
  <c r="X31" i="60"/>
  <c r="C32" i="60"/>
  <c r="D32" i="60"/>
  <c r="K32" i="60"/>
  <c r="E32" i="60" l="1"/>
  <c r="O32" i="60" s="1"/>
  <c r="X32" i="60"/>
  <c r="C33" i="60"/>
  <c r="D33" i="60"/>
  <c r="K33" i="60"/>
  <c r="E33" i="60" l="1"/>
  <c r="O33" i="60" s="1"/>
  <c r="X33" i="60"/>
  <c r="C34" i="60"/>
  <c r="D34" i="60"/>
  <c r="K34" i="60"/>
  <c r="E34" i="60" l="1"/>
  <c r="O34" i="60" s="1"/>
  <c r="X34" i="60"/>
  <c r="C35" i="60"/>
  <c r="D35" i="60"/>
  <c r="K35" i="60"/>
  <c r="E35" i="60" l="1"/>
  <c r="O35" i="60" s="1"/>
  <c r="X35" i="60"/>
  <c r="C36" i="60"/>
  <c r="D36" i="60"/>
  <c r="K36" i="60"/>
  <c r="E36" i="60" l="1"/>
  <c r="O36" i="60" s="1"/>
  <c r="X36" i="60"/>
  <c r="C37" i="60"/>
  <c r="D37" i="60"/>
  <c r="K37" i="60"/>
  <c r="E37" i="60" l="1"/>
  <c r="O37" i="60" s="1"/>
  <c r="X37" i="60"/>
  <c r="C38" i="60"/>
  <c r="D38" i="60"/>
  <c r="K38" i="60"/>
  <c r="E38" i="60" l="1"/>
  <c r="O38" i="60" s="1"/>
  <c r="X38" i="60"/>
  <c r="C39" i="60"/>
  <c r="D39" i="60"/>
  <c r="E39" i="60"/>
  <c r="K39" i="60"/>
  <c r="O39" i="60" l="1"/>
  <c r="X39" i="60"/>
  <c r="C40" i="60"/>
  <c r="D40" i="60"/>
  <c r="E40" i="60"/>
  <c r="K40" i="60"/>
  <c r="O40" i="60" l="1"/>
  <c r="X40" i="60"/>
  <c r="C41" i="60"/>
  <c r="D41" i="60"/>
  <c r="E41" i="60"/>
  <c r="K41" i="60"/>
  <c r="O41" i="60" l="1"/>
  <c r="X41" i="60"/>
  <c r="C42" i="60"/>
  <c r="D42" i="60"/>
  <c r="E42" i="60"/>
  <c r="F5" i="60" s="1" a="1"/>
  <c r="F42" i="60" s="1"/>
  <c r="K42" i="60"/>
  <c r="P5" i="60" l="1" a="1"/>
  <c r="F5" i="60"/>
  <c r="F6" i="60"/>
  <c r="F7" i="60"/>
  <c r="F8" i="60"/>
  <c r="F9" i="60"/>
  <c r="F10" i="60"/>
  <c r="F11" i="60"/>
  <c r="F12" i="60"/>
  <c r="F13" i="60"/>
  <c r="F14" i="60"/>
  <c r="F15" i="60"/>
  <c r="F16" i="60"/>
  <c r="F17" i="60"/>
  <c r="F18" i="60"/>
  <c r="F19" i="60"/>
  <c r="F20" i="60"/>
  <c r="F21" i="60"/>
  <c r="F22" i="60"/>
  <c r="F23" i="60"/>
  <c r="F24" i="60"/>
  <c r="F25" i="60"/>
  <c r="F26" i="60"/>
  <c r="F27" i="60"/>
  <c r="F28" i="60"/>
  <c r="F29" i="60"/>
  <c r="F30" i="60"/>
  <c r="F31" i="60"/>
  <c r="F32" i="60"/>
  <c r="F33" i="60"/>
  <c r="F34" i="60"/>
  <c r="F35" i="60"/>
  <c r="F36" i="60"/>
  <c r="F37" i="60"/>
  <c r="F38" i="60"/>
  <c r="F39" i="60"/>
  <c r="F40" i="60"/>
  <c r="F41" i="60"/>
  <c r="O42" i="60"/>
  <c r="X42" i="60"/>
  <c r="E5" i="59"/>
  <c r="K5" i="59"/>
  <c r="F4" i="59"/>
  <c r="P5" i="60" l="1"/>
  <c r="P18" i="60"/>
  <c r="P23" i="60"/>
  <c r="P26" i="60"/>
  <c r="P30" i="60"/>
  <c r="P17" i="60"/>
  <c r="P41" i="60"/>
  <c r="P14" i="60"/>
  <c r="P32" i="60"/>
  <c r="P25" i="60"/>
  <c r="P33" i="60"/>
  <c r="P15" i="60"/>
  <c r="P10" i="60"/>
  <c r="P22" i="60"/>
  <c r="P7" i="60"/>
  <c r="P36" i="60"/>
  <c r="P28" i="60"/>
  <c r="P6" i="60"/>
  <c r="P20" i="60"/>
  <c r="P16" i="60"/>
  <c r="P12" i="60"/>
  <c r="P9" i="60"/>
  <c r="P37" i="60"/>
  <c r="P35" i="60"/>
  <c r="P8" i="60"/>
  <c r="P27" i="60"/>
  <c r="P40" i="60"/>
  <c r="P29" i="60"/>
  <c r="P39" i="60"/>
  <c r="P31" i="60"/>
  <c r="P11" i="60"/>
  <c r="P42" i="60"/>
  <c r="P19" i="60"/>
  <c r="P34" i="60"/>
  <c r="P13" i="60"/>
  <c r="P24" i="60"/>
  <c r="P38" i="60"/>
  <c r="P21" i="60"/>
  <c r="O5" i="59"/>
  <c r="X5" i="59"/>
  <c r="E6" i="59"/>
  <c r="K6" i="59"/>
  <c r="Q42" i="60"/>
  <c r="Q28" i="60"/>
  <c r="Q29" i="60"/>
  <c r="Q10" i="60"/>
  <c r="Q31" i="60"/>
  <c r="Q7" i="60"/>
  <c r="Q41" i="60"/>
  <c r="Q15" i="60"/>
  <c r="Q12" i="60"/>
  <c r="Q14" i="60"/>
  <c r="Q23" i="60"/>
  <c r="Q38" i="60"/>
  <c r="Q39" i="60"/>
  <c r="Q5" i="60"/>
  <c r="Q22" i="60"/>
  <c r="Q16" i="60"/>
  <c r="Q20" i="60"/>
  <c r="Q30" i="60"/>
  <c r="Q21" i="60"/>
  <c r="Q27" i="60"/>
  <c r="Q40" i="60"/>
  <c r="Q24" i="60"/>
  <c r="Q8" i="60"/>
  <c r="Q35" i="60"/>
  <c r="Q32" i="60"/>
  <c r="Q37" i="60"/>
  <c r="Q25" i="60"/>
  <c r="Q18" i="60"/>
  <c r="Q17" i="60"/>
  <c r="Q19" i="60"/>
  <c r="Q13" i="60"/>
  <c r="Q11" i="60"/>
  <c r="Q6" i="60"/>
  <c r="Q36" i="60"/>
  <c r="Q34" i="60"/>
  <c r="Q9" i="60"/>
  <c r="Q33" i="60"/>
  <c r="Q26" i="60"/>
  <c r="O6" i="59" l="1"/>
  <c r="X6" i="59"/>
  <c r="E7" i="59"/>
  <c r="K7" i="59"/>
  <c r="O7" i="59" l="1"/>
  <c r="X7" i="59"/>
  <c r="E8" i="59"/>
  <c r="K8" i="59"/>
  <c r="O8" i="59" l="1"/>
  <c r="X8" i="59"/>
  <c r="E9" i="59"/>
  <c r="K9" i="59"/>
  <c r="O9" i="59" l="1"/>
  <c r="X9" i="59"/>
  <c r="E10" i="59"/>
  <c r="K10" i="59"/>
  <c r="O10" i="59" l="1"/>
  <c r="X10" i="59"/>
  <c r="E11" i="59"/>
  <c r="F5" i="59" s="1" a="1"/>
  <c r="K11" i="59"/>
  <c r="P5" i="59" l="1" a="1"/>
  <c r="F5" i="59"/>
  <c r="F6" i="59"/>
  <c r="F7" i="59"/>
  <c r="F8" i="59"/>
  <c r="F9" i="59"/>
  <c r="F10" i="59"/>
  <c r="F11" i="59"/>
  <c r="O11" i="59"/>
  <c r="X11" i="59"/>
  <c r="E5" i="58"/>
  <c r="O5" i="58" s="1"/>
  <c r="E6" i="58"/>
  <c r="K6" i="58"/>
  <c r="K5" i="58"/>
  <c r="F4" i="58"/>
  <c r="P5" i="59" l="1"/>
  <c r="P6" i="59"/>
  <c r="P9" i="59"/>
  <c r="P11" i="59"/>
  <c r="P10" i="59"/>
  <c r="P8" i="59"/>
  <c r="P7" i="59"/>
  <c r="X5" i="58"/>
  <c r="O6" i="58"/>
  <c r="X6" i="58"/>
  <c r="E7" i="58"/>
  <c r="K7" i="58"/>
  <c r="Q9" i="59"/>
  <c r="Q11" i="59"/>
  <c r="Q8" i="59"/>
  <c r="Q7" i="59"/>
  <c r="Q5" i="59"/>
  <c r="Q6" i="59"/>
  <c r="Q10" i="59"/>
  <c r="O7" i="58" l="1"/>
  <c r="X7" i="58"/>
  <c r="E8" i="58"/>
  <c r="K8" i="58"/>
  <c r="O8" i="58" l="1"/>
  <c r="X8" i="58"/>
  <c r="E9" i="58"/>
  <c r="K9" i="58"/>
  <c r="O9" i="58" l="1"/>
  <c r="X9" i="58"/>
  <c r="E10" i="58"/>
  <c r="K10" i="58"/>
  <c r="O10" i="58" l="1"/>
  <c r="X10" i="58"/>
  <c r="E11" i="58"/>
  <c r="K11" i="58"/>
  <c r="O11" i="58" l="1"/>
  <c r="X11" i="58"/>
  <c r="E12" i="58"/>
  <c r="K12" i="58"/>
  <c r="O12" i="58" l="1"/>
  <c r="X12" i="58"/>
  <c r="E13" i="58"/>
  <c r="K13" i="58"/>
  <c r="O13" i="58" l="1"/>
  <c r="X13" i="58"/>
  <c r="E14" i="58"/>
  <c r="K14" i="58"/>
  <c r="O14" i="58" l="1"/>
  <c r="X14" i="58"/>
  <c r="E15" i="58"/>
  <c r="F5" i="58" s="1" a="1"/>
  <c r="F15" i="58" s="1"/>
  <c r="K15" i="58"/>
  <c r="P5" i="58" l="1" a="1"/>
  <c r="F5" i="58"/>
  <c r="F6" i="58"/>
  <c r="F7" i="58"/>
  <c r="F8" i="58"/>
  <c r="F9" i="58"/>
  <c r="F10" i="58"/>
  <c r="F11" i="58"/>
  <c r="F12" i="58"/>
  <c r="F13" i="58"/>
  <c r="F14" i="58"/>
  <c r="O15" i="58"/>
  <c r="X15" i="58"/>
  <c r="B5" i="57"/>
  <c r="F5" i="57"/>
  <c r="J5" i="57"/>
  <c r="J6" i="57"/>
  <c r="F6" i="56" a="1"/>
  <c r="F6" i="56" s="1"/>
  <c r="X6" i="56"/>
  <c r="X7" i="56"/>
  <c r="X8" i="56"/>
  <c r="X9" i="56"/>
  <c r="D5" i="53"/>
  <c r="N5" i="53" s="1"/>
  <c r="D6" i="53"/>
  <c r="L29" i="55"/>
  <c r="L16" i="55"/>
  <c r="L15" i="54"/>
  <c r="L27" i="55"/>
  <c r="L12" i="55"/>
  <c r="L8" i="56"/>
  <c r="L17" i="54"/>
  <c r="L23" i="55"/>
  <c r="L45" i="55"/>
  <c r="E4" i="56"/>
  <c r="L37" i="55"/>
  <c r="L24" i="55"/>
  <c r="L47" i="55"/>
  <c r="L35" i="55"/>
  <c r="L7" i="54"/>
  <c r="L6" i="55"/>
  <c r="L25" i="55"/>
  <c r="L31" i="55"/>
  <c r="L32" i="55"/>
  <c r="L43" i="55"/>
  <c r="L39" i="55"/>
  <c r="L14" i="55"/>
  <c r="L33" i="55"/>
  <c r="L10" i="54"/>
  <c r="E6" i="54" a="1"/>
  <c r="L40" i="55"/>
  <c r="L26" i="55"/>
  <c r="L6" i="54"/>
  <c r="J5" i="53"/>
  <c r="L22" i="55"/>
  <c r="L41" i="55"/>
  <c r="L7" i="56"/>
  <c r="L8" i="54"/>
  <c r="L11" i="54"/>
  <c r="L42" i="55"/>
  <c r="L14" i="54"/>
  <c r="L9" i="56"/>
  <c r="L30" i="55"/>
  <c r="L12" i="54"/>
  <c r="L18" i="55"/>
  <c r="L28" i="55"/>
  <c r="L11" i="55"/>
  <c r="L9" i="55"/>
  <c r="L46" i="55"/>
  <c r="L7" i="55"/>
  <c r="L21" i="55"/>
  <c r="L36" i="55"/>
  <c r="L17" i="55"/>
  <c r="L9" i="54"/>
  <c r="L15" i="55"/>
  <c r="L16" i="54"/>
  <c r="L20" i="55"/>
  <c r="L13" i="54"/>
  <c r="J6" i="53"/>
  <c r="L10" i="55"/>
  <c r="L38" i="55"/>
  <c r="L44" i="55"/>
  <c r="L13" i="55"/>
  <c r="E6" i="55" a="1"/>
  <c r="L34" i="55"/>
  <c r="L8" i="55"/>
  <c r="L19" i="55"/>
  <c r="L6" i="56"/>
  <c r="E4" i="53"/>
  <c r="F5" i="55"/>
  <c r="F5" i="54"/>
  <c r="B4" i="57"/>
  <c r="F5" i="56"/>
  <c r="Q6" i="56" l="1" a="1"/>
  <c r="Q6" i="54" a="1"/>
  <c r="Q6" i="55" a="1"/>
  <c r="K5" i="57" a="1"/>
  <c r="K6" i="57" s="1"/>
  <c r="P5" i="58"/>
  <c r="P12" i="58"/>
  <c r="P9" i="58"/>
  <c r="P11" i="58"/>
  <c r="P8" i="58"/>
  <c r="P15" i="58"/>
  <c r="P7" i="58"/>
  <c r="P10" i="58"/>
  <c r="P13" i="58"/>
  <c r="P14" i="58"/>
  <c r="P6" i="58"/>
  <c r="F9" i="56"/>
  <c r="F8" i="56"/>
  <c r="F7" i="56"/>
  <c r="X18" i="55"/>
  <c r="X10" i="54"/>
  <c r="X31" i="55"/>
  <c r="X23" i="55"/>
  <c r="X15" i="55"/>
  <c r="X7" i="55"/>
  <c r="X44" i="55"/>
  <c r="X12" i="54"/>
  <c r="X41" i="55"/>
  <c r="X33" i="55"/>
  <c r="X25" i="55"/>
  <c r="X17" i="54"/>
  <c r="X9" i="54"/>
  <c r="X46" i="55"/>
  <c r="X38" i="55"/>
  <c r="X30" i="55"/>
  <c r="X22" i="55"/>
  <c r="X14" i="55"/>
  <c r="X6" i="55"/>
  <c r="X34" i="55"/>
  <c r="X10" i="55"/>
  <c r="W5" i="53"/>
  <c r="X39" i="55"/>
  <c r="X7" i="54"/>
  <c r="X12" i="55"/>
  <c r="X17" i="55"/>
  <c r="X9" i="55"/>
  <c r="X14" i="54"/>
  <c r="X6" i="54"/>
  <c r="X43" i="55"/>
  <c r="X35" i="55"/>
  <c r="X27" i="55"/>
  <c r="X19" i="55"/>
  <c r="X11" i="55"/>
  <c r="X13" i="54"/>
  <c r="X42" i="55"/>
  <c r="X26" i="55"/>
  <c r="X47" i="55"/>
  <c r="X15" i="54"/>
  <c r="X36" i="55"/>
  <c r="X28" i="55"/>
  <c r="X20" i="55"/>
  <c r="X11" i="54"/>
  <c r="X40" i="55"/>
  <c r="X32" i="55"/>
  <c r="X24" i="55"/>
  <c r="X16" i="55"/>
  <c r="X8" i="55"/>
  <c r="E8" i="55"/>
  <c r="E16" i="55"/>
  <c r="E24" i="55"/>
  <c r="E32" i="55"/>
  <c r="E40" i="55"/>
  <c r="E11" i="55"/>
  <c r="E19" i="55"/>
  <c r="E27" i="55"/>
  <c r="E35" i="55"/>
  <c r="E43" i="55"/>
  <c r="E7" i="55"/>
  <c r="E15" i="55"/>
  <c r="E47" i="55"/>
  <c r="E26" i="55"/>
  <c r="E6" i="55"/>
  <c r="E14" i="55"/>
  <c r="E22" i="55"/>
  <c r="E30" i="55"/>
  <c r="E38" i="55"/>
  <c r="E46" i="55"/>
  <c r="E12" i="55"/>
  <c r="E28" i="55"/>
  <c r="E36" i="55"/>
  <c r="E44" i="55"/>
  <c r="E23" i="55"/>
  <c r="E34" i="55"/>
  <c r="E21" i="55"/>
  <c r="E45" i="55"/>
  <c r="E9" i="55"/>
  <c r="E17" i="55"/>
  <c r="E25" i="55"/>
  <c r="E33" i="55"/>
  <c r="E41" i="55"/>
  <c r="E20" i="55"/>
  <c r="E31" i="55"/>
  <c r="E39" i="55"/>
  <c r="E10" i="55"/>
  <c r="E18" i="55"/>
  <c r="E42" i="55"/>
  <c r="E13" i="55"/>
  <c r="E29" i="55"/>
  <c r="E37" i="55"/>
  <c r="X16" i="54"/>
  <c r="X8" i="54"/>
  <c r="E11" i="54"/>
  <c r="E6" i="54"/>
  <c r="E14" i="54"/>
  <c r="E10" i="54"/>
  <c r="E9" i="54"/>
  <c r="E17" i="54"/>
  <c r="E12" i="54"/>
  <c r="E15" i="54"/>
  <c r="E13" i="54"/>
  <c r="E8" i="54"/>
  <c r="E7" i="54"/>
  <c r="E16" i="54"/>
  <c r="X45" i="55"/>
  <c r="X37" i="55"/>
  <c r="X29" i="55"/>
  <c r="X21" i="55"/>
  <c r="X13" i="55"/>
  <c r="N6" i="53"/>
  <c r="W6" i="53"/>
  <c r="D7" i="53"/>
  <c r="E6" i="56" a="1"/>
  <c r="J7" i="53"/>
  <c r="Q14" i="58"/>
  <c r="Q6" i="58"/>
  <c r="Q15" i="58"/>
  <c r="Q10" i="58"/>
  <c r="Q9" i="58"/>
  <c r="Q7" i="58"/>
  <c r="Q5" i="58"/>
  <c r="Q11" i="58"/>
  <c r="Q8" i="58"/>
  <c r="Q13" i="58"/>
  <c r="Q12" i="58"/>
  <c r="L6" i="57"/>
  <c r="K5" i="57" l="1"/>
  <c r="E6" i="56"/>
  <c r="E8" i="56"/>
  <c r="E9" i="56"/>
  <c r="E7" i="56"/>
  <c r="Q7" i="56"/>
  <c r="Q9" i="56"/>
  <c r="Q8" i="56"/>
  <c r="Q6" i="56"/>
  <c r="Q6" i="55"/>
  <c r="Q28" i="55"/>
  <c r="Q12" i="55"/>
  <c r="Q41" i="55"/>
  <c r="Q16" i="55"/>
  <c r="Q46" i="55"/>
  <c r="Q27" i="55"/>
  <c r="Q47" i="55"/>
  <c r="Q19" i="55"/>
  <c r="Q39" i="55"/>
  <c r="Q35" i="55"/>
  <c r="Q43" i="55"/>
  <c r="Q33" i="55"/>
  <c r="Q8" i="55"/>
  <c r="Q38" i="55"/>
  <c r="Q26" i="55"/>
  <c r="Q25" i="55"/>
  <c r="Q30" i="55"/>
  <c r="Q37" i="55"/>
  <c r="Q17" i="55"/>
  <c r="Q22" i="55"/>
  <c r="Q45" i="55"/>
  <c r="Q21" i="55"/>
  <c r="Q11" i="55"/>
  <c r="Q9" i="55"/>
  <c r="Q31" i="55"/>
  <c r="Q14" i="55"/>
  <c r="Q29" i="55"/>
  <c r="Q20" i="55"/>
  <c r="Q42" i="55"/>
  <c r="Q40" i="55"/>
  <c r="Q23" i="55"/>
  <c r="Q34" i="55"/>
  <c r="Q18" i="55"/>
  <c r="Q32" i="55"/>
  <c r="Q24" i="55"/>
  <c r="Q10" i="55"/>
  <c r="Q13" i="55"/>
  <c r="Q15" i="55"/>
  <c r="Q44" i="55"/>
  <c r="Q7" i="55"/>
  <c r="Q36" i="55"/>
  <c r="Q6" i="54"/>
  <c r="Q13" i="54"/>
  <c r="Q10" i="54"/>
  <c r="Q17" i="54"/>
  <c r="Q11" i="54"/>
  <c r="Q9" i="54"/>
  <c r="Q12" i="54"/>
  <c r="Q16" i="54"/>
  <c r="Q15" i="54"/>
  <c r="Q7" i="54"/>
  <c r="Q14" i="54"/>
  <c r="Q8" i="54"/>
  <c r="N7" i="53"/>
  <c r="W7" i="53"/>
  <c r="D8" i="53"/>
  <c r="J8" i="53"/>
  <c r="L5" i="57"/>
  <c r="N8" i="53" l="1"/>
  <c r="W8" i="53"/>
  <c r="D9" i="53"/>
  <c r="J9" i="53"/>
  <c r="L3" i="57"/>
  <c r="N9" i="53" l="1"/>
  <c r="W9" i="53"/>
  <c r="D10" i="53"/>
  <c r="J10" i="53"/>
  <c r="N10" i="53" l="1"/>
  <c r="W10" i="53"/>
  <c r="D11" i="53"/>
  <c r="J11" i="53"/>
  <c r="N11" i="53" l="1"/>
  <c r="W11" i="53"/>
  <c r="D12" i="53"/>
  <c r="J12" i="53"/>
  <c r="N12" i="53" l="1"/>
  <c r="W12" i="53"/>
  <c r="D13" i="53"/>
  <c r="J13" i="53"/>
  <c r="N13" i="53" l="1"/>
  <c r="W13" i="53"/>
  <c r="D14" i="53"/>
  <c r="J14" i="53"/>
  <c r="N14" i="53" l="1"/>
  <c r="W14" i="53"/>
  <c r="C15" i="53"/>
  <c r="D15" i="53" s="1"/>
  <c r="J15" i="53"/>
  <c r="N15" i="53" l="1"/>
  <c r="W15" i="53"/>
  <c r="C16" i="53"/>
  <c r="D16" i="53" s="1"/>
  <c r="J16" i="53"/>
  <c r="N16" i="53" l="1"/>
  <c r="W16" i="53"/>
  <c r="C17" i="53"/>
  <c r="D17" i="53" s="1"/>
  <c r="J17" i="53"/>
  <c r="N17" i="53" l="1"/>
  <c r="W17" i="53"/>
  <c r="C18" i="53"/>
  <c r="D18" i="53" s="1"/>
  <c r="J18" i="53"/>
  <c r="N18" i="53" l="1"/>
  <c r="W18" i="53"/>
  <c r="C19" i="53"/>
  <c r="D19" i="53" s="1"/>
  <c r="J19" i="53"/>
  <c r="N19" i="53" l="1"/>
  <c r="W19" i="53"/>
  <c r="C20" i="53"/>
  <c r="D20" i="53" s="1"/>
  <c r="J20" i="53"/>
  <c r="N20" i="53" l="1"/>
  <c r="W20" i="53"/>
  <c r="C21" i="53"/>
  <c r="D21" i="53" s="1"/>
  <c r="J21" i="53"/>
  <c r="N21" i="53" l="1"/>
  <c r="W21" i="53"/>
  <c r="C22" i="53"/>
  <c r="D22" i="53" s="1"/>
  <c r="J22" i="53"/>
  <c r="N22" i="53" l="1"/>
  <c r="W22" i="53"/>
  <c r="C23" i="53"/>
  <c r="D23" i="53" s="1"/>
  <c r="J23" i="53"/>
  <c r="N23" i="53" l="1"/>
  <c r="W23" i="53"/>
  <c r="C24" i="53"/>
  <c r="D24" i="53" s="1"/>
  <c r="J24" i="53"/>
  <c r="N24" i="53" l="1"/>
  <c r="W24" i="53"/>
  <c r="C25" i="53"/>
  <c r="D25" i="53" s="1"/>
  <c r="J25" i="53"/>
  <c r="N25" i="53" l="1"/>
  <c r="W25" i="53"/>
  <c r="C26" i="53"/>
  <c r="D26" i="53" s="1"/>
  <c r="J26" i="53"/>
  <c r="N26" i="53" l="1"/>
  <c r="W26" i="53"/>
  <c r="C27" i="53"/>
  <c r="D27" i="53" s="1"/>
  <c r="J27" i="53"/>
  <c r="N27" i="53" l="1"/>
  <c r="W27" i="53"/>
  <c r="C28" i="53"/>
  <c r="D28" i="53" s="1"/>
  <c r="J28" i="53"/>
  <c r="N28" i="53" l="1"/>
  <c r="W28" i="53"/>
  <c r="C29" i="53"/>
  <c r="D29" i="53" s="1"/>
  <c r="J29" i="53"/>
  <c r="N29" i="53" l="1"/>
  <c r="W29" i="53"/>
  <c r="C30" i="53"/>
  <c r="D30" i="53" s="1"/>
  <c r="J30" i="53"/>
  <c r="N30" i="53" l="1"/>
  <c r="W30" i="53"/>
  <c r="C31" i="53"/>
  <c r="D31" i="53" s="1"/>
  <c r="J31" i="53"/>
  <c r="N31" i="53" l="1"/>
  <c r="W31" i="53"/>
  <c r="C32" i="53"/>
  <c r="D32" i="53" s="1"/>
  <c r="J32" i="53"/>
  <c r="N32" i="53" l="1"/>
  <c r="W32" i="53"/>
  <c r="C33" i="53"/>
  <c r="D33" i="53" s="1"/>
  <c r="E5" i="53" s="1" a="1"/>
  <c r="J33" i="53"/>
  <c r="O5" i="53" l="1" a="1"/>
  <c r="E5" i="53"/>
  <c r="E6" i="53"/>
  <c r="E7" i="53"/>
  <c r="E8" i="53"/>
  <c r="E9" i="53"/>
  <c r="E10" i="53"/>
  <c r="E11" i="53"/>
  <c r="E12" i="53"/>
  <c r="E13" i="53"/>
  <c r="E14" i="53"/>
  <c r="E15" i="53"/>
  <c r="E16" i="53"/>
  <c r="E17" i="53"/>
  <c r="E18" i="53"/>
  <c r="E19" i="53"/>
  <c r="E20" i="53"/>
  <c r="E21" i="53"/>
  <c r="E22" i="53"/>
  <c r="E23" i="53"/>
  <c r="E24" i="53"/>
  <c r="E25" i="53"/>
  <c r="E26" i="53"/>
  <c r="E27" i="53"/>
  <c r="E28" i="53"/>
  <c r="E29" i="53"/>
  <c r="E30" i="53"/>
  <c r="E31" i="53"/>
  <c r="E32" i="53"/>
  <c r="E33" i="53"/>
  <c r="N33" i="53"/>
  <c r="W33" i="53"/>
  <c r="D4" i="52"/>
  <c r="C5" i="52"/>
  <c r="H5" i="52"/>
  <c r="P5" i="52"/>
  <c r="C6" i="52"/>
  <c r="H6" i="52"/>
  <c r="C7" i="52"/>
  <c r="H7" i="52"/>
  <c r="C8" i="52"/>
  <c r="H8" i="52"/>
  <c r="C9" i="52"/>
  <c r="H9" i="52"/>
  <c r="C10" i="52"/>
  <c r="H10" i="52"/>
  <c r="C11" i="52"/>
  <c r="H11" i="52"/>
  <c r="C12" i="52"/>
  <c r="H12" i="52"/>
  <c r="C13" i="52"/>
  <c r="H13" i="52"/>
  <c r="C14" i="52"/>
  <c r="H14" i="52"/>
  <c r="C15" i="52"/>
  <c r="H15" i="52"/>
  <c r="C16" i="52"/>
  <c r="H16" i="52"/>
  <c r="C17" i="52"/>
  <c r="H17" i="52"/>
  <c r="C18" i="52"/>
  <c r="H18" i="52"/>
  <c r="C19" i="52"/>
  <c r="H19" i="52"/>
  <c r="C20" i="52"/>
  <c r="H20" i="52"/>
  <c r="C21" i="52"/>
  <c r="H21" i="52"/>
  <c r="C22" i="52"/>
  <c r="H22" i="52"/>
  <c r="J5" i="52"/>
  <c r="J20" i="52"/>
  <c r="J9" i="52"/>
  <c r="J13" i="52"/>
  <c r="J17" i="52"/>
  <c r="J21" i="52"/>
  <c r="J6" i="52"/>
  <c r="J10" i="52"/>
  <c r="J14" i="52"/>
  <c r="J18" i="52"/>
  <c r="J22" i="52"/>
  <c r="J11" i="52"/>
  <c r="J19" i="52"/>
  <c r="J16" i="52"/>
  <c r="J7" i="52"/>
  <c r="J15" i="52"/>
  <c r="J8" i="52"/>
  <c r="J12" i="52"/>
  <c r="C4" i="52"/>
  <c r="O5" i="53" l="1"/>
  <c r="O6" i="53"/>
  <c r="O11" i="53"/>
  <c r="O14" i="53"/>
  <c r="O23" i="53"/>
  <c r="O10" i="53"/>
  <c r="O7" i="53"/>
  <c r="O33" i="53"/>
  <c r="O13" i="53"/>
  <c r="O26" i="53"/>
  <c r="O18" i="53"/>
  <c r="O29" i="53"/>
  <c r="O15" i="53"/>
  <c r="O22" i="53"/>
  <c r="O28" i="53"/>
  <c r="O21" i="53"/>
  <c r="O32" i="53"/>
  <c r="O20" i="53"/>
  <c r="O25" i="53"/>
  <c r="O24" i="53"/>
  <c r="O12" i="53"/>
  <c r="O17" i="53"/>
  <c r="O16" i="53"/>
  <c r="O27" i="53"/>
  <c r="O19" i="53"/>
  <c r="O8" i="53"/>
  <c r="O9" i="53"/>
  <c r="O30" i="53"/>
  <c r="O31" i="53"/>
  <c r="I2" i="50"/>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22" i="50"/>
  <c r="J33" i="50"/>
  <c r="J11" i="50"/>
  <c r="J33" i="47"/>
  <c r="J25" i="49"/>
  <c r="J25" i="48"/>
  <c r="J32" i="47"/>
  <c r="J22" i="47"/>
  <c r="J36" i="47"/>
  <c r="J29" i="48"/>
  <c r="J36" i="50"/>
  <c r="J10" i="50"/>
  <c r="J34" i="49"/>
  <c r="J23" i="50"/>
  <c r="J36" i="48"/>
  <c r="K29" i="48"/>
  <c r="J18" i="50"/>
  <c r="J20" i="50"/>
  <c r="J7" i="50"/>
  <c r="J18" i="48"/>
  <c r="J36" i="49"/>
  <c r="J11" i="49"/>
  <c r="J30" i="49"/>
  <c r="J9" i="50"/>
  <c r="J5" i="47"/>
  <c r="J30" i="50"/>
  <c r="J37" i="50"/>
  <c r="J6" i="48"/>
  <c r="J12" i="49"/>
  <c r="J3" i="49"/>
  <c r="J19" i="50"/>
  <c r="J21" i="50"/>
  <c r="J6" i="49"/>
  <c r="J28" i="48"/>
  <c r="J20" i="48"/>
  <c r="J5" i="50"/>
  <c r="J4" i="49"/>
  <c r="J37" i="48"/>
  <c r="J18" i="49"/>
  <c r="J31" i="50"/>
  <c r="J24" i="50"/>
  <c r="J21" i="47"/>
  <c r="J14" i="49"/>
  <c r="J15" i="47"/>
  <c r="K33" i="50"/>
  <c r="J39" i="49"/>
  <c r="J22" i="48"/>
  <c r="J17" i="48"/>
  <c r="J35" i="48"/>
  <c r="J37" i="47"/>
  <c r="J10" i="49"/>
  <c r="K22" i="48"/>
  <c r="J24" i="47"/>
  <c r="J4" i="47"/>
  <c r="J32" i="50"/>
  <c r="J15" i="50"/>
  <c r="K11" i="50"/>
  <c r="J19" i="49"/>
  <c r="J5" i="48"/>
  <c r="J15" i="48"/>
  <c r="J31" i="47"/>
  <c r="J3" i="47"/>
  <c r="J11" i="47"/>
  <c r="J39" i="50"/>
  <c r="J29" i="47"/>
  <c r="K10" i="49"/>
  <c r="J8" i="49"/>
  <c r="J13" i="48"/>
  <c r="J12" i="47"/>
  <c r="J16" i="48"/>
  <c r="J16" i="49"/>
  <c r="J27" i="47"/>
  <c r="J25" i="47"/>
  <c r="J22" i="49"/>
  <c r="J8" i="50"/>
  <c r="J13" i="47"/>
  <c r="J31" i="48"/>
  <c r="J3" i="50"/>
  <c r="K22" i="50"/>
  <c r="J19" i="48"/>
  <c r="J9" i="49"/>
  <c r="J14" i="47"/>
  <c r="J7" i="48"/>
  <c r="J14" i="48"/>
  <c r="J34" i="48"/>
  <c r="J3" i="48"/>
  <c r="J27" i="49"/>
  <c r="J38" i="48"/>
  <c r="J17" i="49"/>
  <c r="K17" i="49" s="1"/>
  <c r="J12" i="48"/>
  <c r="J6" i="47"/>
  <c r="K6" i="47" s="1"/>
  <c r="J10" i="48"/>
  <c r="K10" i="48" s="1"/>
  <c r="J33" i="49"/>
  <c r="K33" i="49" s="1"/>
  <c r="J27" i="48"/>
  <c r="J26" i="48"/>
  <c r="J11" i="48"/>
  <c r="J39" i="47"/>
  <c r="J27" i="50"/>
  <c r="J23" i="48"/>
  <c r="J31" i="49"/>
  <c r="J20" i="47"/>
  <c r="J8" i="48"/>
  <c r="J4" i="48"/>
  <c r="J35" i="47"/>
  <c r="J34" i="50"/>
  <c r="J34" i="47"/>
  <c r="K11" i="49"/>
  <c r="J5" i="49"/>
  <c r="J29" i="50"/>
  <c r="J30" i="48"/>
  <c r="J29" i="49"/>
  <c r="K25" i="48"/>
  <c r="J14" i="50"/>
  <c r="J33" i="48"/>
  <c r="K33" i="48" s="1"/>
  <c r="J38" i="47"/>
  <c r="J21" i="48"/>
  <c r="K39" i="47"/>
  <c r="J13" i="50"/>
  <c r="J16" i="47"/>
  <c r="J21" i="49"/>
  <c r="K21" i="49" s="1"/>
  <c r="J10" i="47"/>
  <c r="J16" i="50"/>
  <c r="K16" i="50" s="1"/>
  <c r="J26" i="50"/>
  <c r="K26" i="50" s="1"/>
  <c r="J15" i="49"/>
  <c r="K21" i="47"/>
  <c r="J9" i="47"/>
  <c r="K9" i="47" s="1"/>
  <c r="J7" i="47"/>
  <c r="J24" i="49"/>
  <c r="K24" i="49" s="1"/>
  <c r="J25" i="50"/>
  <c r="K37" i="48"/>
  <c r="K33" i="47"/>
  <c r="J17" i="50"/>
  <c r="J28" i="50"/>
  <c r="J32" i="49"/>
  <c r="K32" i="49" s="1"/>
  <c r="K16" i="49"/>
  <c r="J7" i="49"/>
  <c r="J20" i="49"/>
  <c r="K11" i="48"/>
  <c r="J12" i="50"/>
  <c r="J23" i="49"/>
  <c r="J28" i="47"/>
  <c r="J17" i="47"/>
  <c r="J37" i="49"/>
  <c r="J13" i="49"/>
  <c r="J28" i="49"/>
  <c r="K28" i="49" s="1"/>
  <c r="J39" i="48"/>
  <c r="J8" i="47"/>
  <c r="J18" i="47"/>
  <c r="K18" i="47" s="1"/>
  <c r="J9" i="48"/>
  <c r="J26" i="49"/>
  <c r="J35" i="50"/>
  <c r="K35" i="50" s="1"/>
  <c r="J19" i="47"/>
  <c r="K19" i="47" s="1"/>
  <c r="J4" i="50"/>
  <c r="J24" i="48"/>
  <c r="J23" i="47"/>
  <c r="J6" i="50"/>
  <c r="J35" i="49"/>
  <c r="J32" i="48"/>
  <c r="J38" i="50"/>
  <c r="J38" i="49"/>
  <c r="K25" i="49"/>
  <c r="J26" i="47"/>
  <c r="K32" i="47"/>
  <c r="J30" i="47"/>
  <c r="P19" i="53"/>
  <c r="P14" i="53"/>
  <c r="P31" i="53"/>
  <c r="P23" i="53"/>
  <c r="P30" i="53"/>
  <c r="P12" i="53"/>
  <c r="P17" i="53"/>
  <c r="P11" i="53"/>
  <c r="P8" i="53"/>
  <c r="P9" i="53"/>
  <c r="P29" i="53"/>
  <c r="P10" i="53"/>
  <c r="P27" i="53"/>
  <c r="P22" i="53"/>
  <c r="P7" i="53"/>
  <c r="P32" i="53"/>
  <c r="P24" i="53"/>
  <c r="P28" i="53"/>
  <c r="P18" i="53"/>
  <c r="P5" i="53"/>
  <c r="P15" i="53"/>
  <c r="P25" i="53"/>
  <c r="P26" i="53"/>
  <c r="P13" i="53"/>
  <c r="P33" i="53"/>
  <c r="P16" i="53"/>
  <c r="P21" i="53"/>
  <c r="P6" i="53"/>
  <c r="P20" i="53"/>
  <c r="J2" i="48"/>
  <c r="F2" i="45" l="1"/>
  <c r="F3" i="45"/>
  <c r="F4" i="45"/>
  <c r="F6" i="45"/>
  <c r="K38" i="49"/>
  <c r="K3" i="48"/>
  <c r="K29" i="50"/>
  <c r="K13" i="50"/>
  <c r="K19" i="50"/>
  <c r="K34" i="50"/>
  <c r="K7" i="49"/>
  <c r="K8" i="48"/>
  <c r="K16" i="48"/>
  <c r="K14" i="49"/>
  <c r="K5" i="47"/>
  <c r="K23" i="48"/>
  <c r="K13" i="48"/>
  <c r="K24" i="50"/>
  <c r="K9" i="50"/>
  <c r="K18" i="48"/>
  <c r="K15" i="47"/>
  <c r="K38" i="47"/>
  <c r="K21" i="48"/>
  <c r="K10" i="50"/>
  <c r="K12" i="50"/>
  <c r="K15" i="48"/>
  <c r="K26" i="49"/>
  <c r="K36" i="47"/>
  <c r="K13" i="49"/>
  <c r="K8" i="49"/>
  <c r="K7" i="50"/>
  <c r="K24" i="48"/>
  <c r="K4" i="47"/>
  <c r="K21" i="50"/>
  <c r="K3" i="47"/>
  <c r="K23" i="50"/>
  <c r="K9" i="49"/>
  <c r="K28" i="48"/>
  <c r="K10" i="47"/>
  <c r="K12" i="48"/>
  <c r="K32" i="48"/>
  <c r="K20" i="49"/>
  <c r="K31" i="49"/>
  <c r="K37" i="47"/>
  <c r="K14" i="47"/>
  <c r="K4" i="49"/>
  <c r="K5" i="49"/>
  <c r="K6" i="50"/>
  <c r="K30" i="47"/>
  <c r="K31" i="48"/>
  <c r="K4" i="48"/>
  <c r="K39" i="50"/>
  <c r="K25" i="47"/>
  <c r="K17" i="50"/>
  <c r="K7" i="48"/>
  <c r="D7" i="45" a="1"/>
  <c r="K27" i="48"/>
  <c r="K8" i="47"/>
  <c r="K19" i="48"/>
  <c r="K5" i="48"/>
  <c r="K3" i="49"/>
  <c r="K3" i="50"/>
  <c r="K19" i="49"/>
  <c r="K5" i="50"/>
  <c r="K34" i="47"/>
  <c r="K26" i="47"/>
  <c r="K34" i="49"/>
  <c r="K36" i="49"/>
  <c r="K37" i="49"/>
  <c r="K39" i="48"/>
  <c r="K17" i="47"/>
  <c r="K35" i="48"/>
  <c r="K35" i="49"/>
  <c r="K24" i="47"/>
  <c r="K23" i="49"/>
  <c r="K17" i="48"/>
  <c r="K27" i="50"/>
  <c r="K38" i="50"/>
  <c r="K22" i="47"/>
  <c r="K26" i="48"/>
  <c r="K38" i="48"/>
  <c r="K29" i="47"/>
  <c r="K31" i="50"/>
  <c r="K18" i="50"/>
  <c r="K29" i="49"/>
  <c r="K7" i="47"/>
  <c r="K28" i="47"/>
  <c r="K25" i="50"/>
  <c r="K37" i="50"/>
  <c r="K15" i="49"/>
  <c r="K14" i="48"/>
  <c r="K18" i="49"/>
  <c r="K36" i="50"/>
  <c r="K30" i="49"/>
  <c r="K9" i="48"/>
  <c r="K31" i="47"/>
  <c r="K14" i="50"/>
  <c r="K28" i="50"/>
  <c r="K8" i="50"/>
  <c r="K12" i="49"/>
  <c r="K39" i="49"/>
  <c r="K11" i="47"/>
  <c r="K35" i="47"/>
  <c r="K4" i="50"/>
  <c r="K16" i="47"/>
  <c r="K27" i="49"/>
  <c r="K20" i="50"/>
  <c r="K23" i="47"/>
  <c r="K27" i="47"/>
  <c r="K30" i="50"/>
  <c r="K20" i="47"/>
  <c r="K6" i="48"/>
  <c r="K30" i="48"/>
  <c r="K12" i="47"/>
  <c r="K6" i="49"/>
  <c r="K15" i="50"/>
  <c r="K22" i="49"/>
  <c r="K20" i="48"/>
  <c r="K34" i="48"/>
  <c r="K32" i="50"/>
  <c r="K36" i="48"/>
  <c r="K13" i="47"/>
  <c r="J2" i="49"/>
  <c r="K2" i="48"/>
  <c r="J2" i="50"/>
  <c r="J2" i="47"/>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49"/>
  <c r="K2" i="50"/>
  <c r="K2" i="47"/>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G85" i="45"/>
  <c r="G40" i="45"/>
  <c r="G15" i="45"/>
  <c r="G48" i="45"/>
  <c r="L26" i="42"/>
  <c r="G119" i="45"/>
  <c r="G70" i="45"/>
  <c r="G66" i="45"/>
  <c r="G123" i="45"/>
  <c r="G51" i="45"/>
  <c r="G72" i="45"/>
  <c r="G121" i="45"/>
  <c r="L13" i="42"/>
  <c r="L11" i="41"/>
  <c r="G69" i="45"/>
  <c r="L6" i="42"/>
  <c r="G79" i="45"/>
  <c r="G39" i="45"/>
  <c r="L35" i="41"/>
  <c r="G10" i="45"/>
  <c r="L22" i="42"/>
  <c r="L36" i="41"/>
  <c r="G92" i="45"/>
  <c r="L32" i="41"/>
  <c r="L19" i="41"/>
  <c r="L20" i="42"/>
  <c r="G60" i="45"/>
  <c r="G16" i="45"/>
  <c r="G62" i="45"/>
  <c r="L27" i="42"/>
  <c r="L7" i="41"/>
  <c r="L32" i="42"/>
  <c r="L20" i="41"/>
  <c r="L3" i="43"/>
  <c r="G74" i="45"/>
  <c r="G76" i="45"/>
  <c r="G89" i="45"/>
  <c r="L28" i="42"/>
  <c r="L34" i="41"/>
  <c r="G21" i="45"/>
  <c r="L3" i="41"/>
  <c r="L15" i="42"/>
  <c r="G47" i="45"/>
  <c r="G26" i="45"/>
  <c r="G100" i="45"/>
  <c r="G31" i="45"/>
  <c r="L30" i="42"/>
  <c r="G45" i="45"/>
  <c r="G7" i="45"/>
  <c r="G105" i="45"/>
  <c r="G78" i="45"/>
  <c r="L8" i="42"/>
  <c r="G20" i="45"/>
  <c r="G56" i="45"/>
  <c r="G14" i="45"/>
  <c r="G99" i="45"/>
  <c r="G24" i="45"/>
  <c r="L12" i="42"/>
  <c r="G106" i="45"/>
  <c r="L8" i="41"/>
  <c r="L13" i="41"/>
  <c r="L26" i="41"/>
  <c r="G27" i="45"/>
  <c r="G107" i="45"/>
  <c r="G108" i="45"/>
  <c r="L10" i="42"/>
  <c r="G46" i="45"/>
  <c r="L18" i="41"/>
  <c r="L3" i="40"/>
  <c r="G67" i="45"/>
  <c r="L25" i="42"/>
  <c r="G61" i="45"/>
  <c r="L29" i="41"/>
  <c r="G110" i="45"/>
  <c r="G115" i="45"/>
  <c r="L9" i="42"/>
  <c r="G101" i="45"/>
  <c r="G59" i="45"/>
  <c r="G75" i="45"/>
  <c r="L10" i="41"/>
  <c r="G93" i="45"/>
  <c r="L24" i="41"/>
  <c r="G73" i="45"/>
  <c r="G33" i="45"/>
  <c r="G124" i="45"/>
  <c r="L21" i="41"/>
  <c r="G87" i="45"/>
  <c r="G37" i="45"/>
  <c r="L33" i="42"/>
  <c r="G114" i="45"/>
  <c r="G86" i="45"/>
  <c r="L30" i="41"/>
  <c r="G49" i="45"/>
  <c r="G35" i="45"/>
  <c r="G58" i="45"/>
  <c r="G22" i="45"/>
  <c r="G18" i="45"/>
  <c r="G120" i="45"/>
  <c r="L33" i="41"/>
  <c r="G65" i="45"/>
  <c r="G102" i="45"/>
  <c r="L28" i="41"/>
  <c r="L29" i="42"/>
  <c r="G84" i="45"/>
  <c r="G17" i="45"/>
  <c r="L14" i="42"/>
  <c r="L4" i="42"/>
  <c r="G90" i="45"/>
  <c r="G82" i="45"/>
  <c r="G44" i="45"/>
  <c r="G28" i="45"/>
  <c r="G118" i="45"/>
  <c r="L23" i="41"/>
  <c r="L9" i="41"/>
  <c r="G109" i="45"/>
  <c r="L34" i="42"/>
  <c r="G116" i="45"/>
  <c r="G8" i="45"/>
  <c r="L36" i="42"/>
  <c r="G113" i="45"/>
  <c r="L14" i="41"/>
  <c r="L27" i="41"/>
  <c r="G30" i="45"/>
  <c r="L31" i="42"/>
  <c r="L11" i="42"/>
  <c r="G41" i="45"/>
  <c r="L17" i="42"/>
  <c r="G122" i="45"/>
  <c r="G23" i="45"/>
  <c r="G97" i="45"/>
  <c r="G50" i="45"/>
  <c r="G55" i="45"/>
  <c r="L31" i="41"/>
  <c r="L18" i="42"/>
  <c r="L7" i="42"/>
  <c r="G95" i="45"/>
  <c r="G19" i="45"/>
  <c r="L12" i="41"/>
  <c r="L19" i="42"/>
  <c r="G53" i="45"/>
  <c r="G125" i="45"/>
  <c r="G91" i="45"/>
  <c r="G80" i="45"/>
  <c r="G104" i="45"/>
  <c r="L15" i="41"/>
  <c r="L5" i="42"/>
  <c r="G71" i="45"/>
  <c r="G68" i="45"/>
  <c r="G83" i="45"/>
  <c r="L16" i="42"/>
  <c r="G38" i="45"/>
  <c r="G29" i="45"/>
  <c r="G42" i="45"/>
  <c r="G34" i="45"/>
  <c r="G88" i="45"/>
  <c r="L24" i="42"/>
  <c r="L21" i="42"/>
  <c r="G54" i="45"/>
  <c r="G63" i="45"/>
  <c r="G57" i="45"/>
  <c r="G11" i="45"/>
  <c r="G111" i="45"/>
  <c r="G77" i="45"/>
  <c r="L5" i="41"/>
  <c r="L22" i="41"/>
  <c r="G64" i="45"/>
  <c r="G103" i="45"/>
  <c r="G32" i="45"/>
  <c r="G81" i="45"/>
  <c r="G36" i="45"/>
  <c r="G94" i="45"/>
  <c r="G9" i="45"/>
  <c r="G126" i="45"/>
  <c r="L4" i="41"/>
  <c r="L3" i="42"/>
  <c r="G52" i="45"/>
  <c r="L17" i="41"/>
  <c r="G13" i="45"/>
  <c r="L23" i="42"/>
  <c r="G12" i="45"/>
  <c r="L25" i="41"/>
  <c r="G112" i="45"/>
  <c r="L6" i="41"/>
  <c r="G98" i="45"/>
  <c r="G25" i="45"/>
  <c r="G96" i="45"/>
  <c r="L35" i="42"/>
  <c r="G43" i="45"/>
  <c r="G117" i="45"/>
  <c r="L16" i="41"/>
  <c r="H21" i="43" l="1"/>
  <c r="J21" i="43" s="1"/>
  <c r="H31" i="42"/>
  <c r="J31" i="42" s="1"/>
  <c r="H23" i="42"/>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23" i="42"/>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H74" i="45"/>
  <c r="K31" i="40"/>
  <c r="K22" i="40"/>
  <c r="H122" i="45"/>
  <c r="H88" i="45"/>
  <c r="K4" i="40"/>
  <c r="K35" i="43"/>
  <c r="H28" i="45"/>
  <c r="K30" i="43"/>
  <c r="K10" i="43"/>
  <c r="K36" i="40"/>
  <c r="H117" i="45"/>
  <c r="H40" i="45"/>
  <c r="K28" i="43"/>
  <c r="K11" i="43"/>
  <c r="H62" i="45"/>
  <c r="H97" i="45"/>
  <c r="K31" i="43"/>
  <c r="H26" i="45"/>
  <c r="K29" i="40"/>
  <c r="H14" i="45"/>
  <c r="H44" i="45"/>
  <c r="K35" i="40"/>
  <c r="H31" i="45"/>
  <c r="H86" i="45"/>
  <c r="H64" i="45"/>
  <c r="K5" i="43"/>
  <c r="K34" i="43"/>
  <c r="H104" i="45"/>
  <c r="H54" i="45"/>
  <c r="K19" i="40"/>
  <c r="H52" i="45"/>
  <c r="H107" i="45"/>
  <c r="K16" i="40"/>
  <c r="H98" i="45"/>
  <c r="K27" i="43"/>
  <c r="H115" i="45"/>
  <c r="H58" i="45"/>
  <c r="H114" i="45"/>
  <c r="H111" i="45"/>
  <c r="K24" i="43"/>
  <c r="H75" i="45"/>
  <c r="H22" i="45"/>
  <c r="K9" i="43"/>
  <c r="H95" i="45"/>
  <c r="H37" i="45"/>
  <c r="H121" i="45"/>
  <c r="K18" i="43"/>
  <c r="H126" i="45"/>
  <c r="H13" i="45"/>
  <c r="K28" i="40"/>
  <c r="H87" i="45"/>
  <c r="H41" i="45"/>
  <c r="K22" i="43"/>
  <c r="H16" i="45"/>
  <c r="H124" i="45"/>
  <c r="H80" i="45"/>
  <c r="H91" i="45"/>
  <c r="H89" i="45"/>
  <c r="K17" i="43"/>
  <c r="H55" i="45"/>
  <c r="H93" i="45"/>
  <c r="H27" i="45"/>
  <c r="K8" i="40"/>
  <c r="H68" i="45"/>
  <c r="H81" i="45"/>
  <c r="K25" i="43"/>
  <c r="H101" i="45"/>
  <c r="H94" i="45"/>
  <c r="H53" i="45"/>
  <c r="H21" i="45"/>
  <c r="H116" i="45"/>
  <c r="H120" i="45"/>
  <c r="H76" i="45"/>
  <c r="K25" i="40"/>
  <c r="K27" i="40"/>
  <c r="H8" i="45"/>
  <c r="H47" i="45"/>
  <c r="H67" i="45"/>
  <c r="H36" i="45"/>
  <c r="K33" i="43"/>
  <c r="H49" i="45"/>
  <c r="K30" i="40"/>
  <c r="H77" i="45"/>
  <c r="K21" i="40"/>
  <c r="H106" i="45"/>
  <c r="H102" i="45"/>
  <c r="H50" i="45"/>
  <c r="K10" i="40"/>
  <c r="K7" i="40"/>
  <c r="H65" i="45"/>
  <c r="H30" i="45"/>
  <c r="H70" i="45"/>
  <c r="K24" i="40"/>
  <c r="H92" i="45"/>
  <c r="K21" i="43"/>
  <c r="K26" i="43"/>
  <c r="K14" i="40"/>
  <c r="H7" i="45"/>
  <c r="H51" i="45"/>
  <c r="K18" i="40"/>
  <c r="H85" i="45"/>
  <c r="H103" i="45"/>
  <c r="H71" i="45"/>
  <c r="H29" i="45"/>
  <c r="K15" i="40"/>
  <c r="H39" i="45"/>
  <c r="H79" i="45"/>
  <c r="H42" i="45"/>
  <c r="H69" i="45"/>
  <c r="K15" i="43"/>
  <c r="H17" i="45"/>
  <c r="K23" i="40"/>
  <c r="H46" i="45"/>
  <c r="H56" i="45"/>
  <c r="H11" i="45"/>
  <c r="H61" i="45"/>
  <c r="H43" i="45"/>
  <c r="K16" i="43"/>
  <c r="H25" i="45"/>
  <c r="K26" i="40"/>
  <c r="H109" i="45"/>
  <c r="H119" i="45"/>
  <c r="K7" i="43"/>
  <c r="H125" i="45"/>
  <c r="K23" i="43"/>
  <c r="H90" i="45"/>
  <c r="H118" i="45"/>
  <c r="H99" i="45"/>
  <c r="H112" i="45"/>
  <c r="H15" i="45"/>
  <c r="K4" i="43"/>
  <c r="K12" i="43"/>
  <c r="K9" i="40"/>
  <c r="H9" i="45"/>
  <c r="H72" i="45"/>
  <c r="H35" i="45"/>
  <c r="H38" i="45"/>
  <c r="H45" i="45"/>
  <c r="K19" i="43"/>
  <c r="H96" i="45"/>
  <c r="H19" i="45"/>
  <c r="K29" i="43"/>
  <c r="H105" i="45"/>
  <c r="H24" i="45"/>
  <c r="K6" i="43"/>
  <c r="H113" i="45"/>
  <c r="H82" i="45"/>
  <c r="H20" i="45"/>
  <c r="H66" i="45"/>
  <c r="H78" i="45"/>
  <c r="H63" i="45"/>
  <c r="H34" i="45"/>
  <c r="H32" i="45"/>
  <c r="K14" i="43"/>
  <c r="H84" i="45"/>
  <c r="K13" i="40"/>
  <c r="H59" i="45"/>
  <c r="K12" i="40"/>
  <c r="K34" i="40"/>
  <c r="K8" i="43"/>
  <c r="H108" i="45"/>
  <c r="K11" i="40"/>
  <c r="H18" i="45"/>
  <c r="K33" i="40"/>
  <c r="H83" i="45"/>
  <c r="H23" i="45"/>
  <c r="K36" i="43"/>
  <c r="H123" i="45"/>
  <c r="H48" i="45"/>
  <c r="K32" i="43"/>
  <c r="K17" i="40"/>
  <c r="H73" i="45"/>
  <c r="K5" i="40"/>
  <c r="H12" i="45"/>
  <c r="K32" i="40"/>
  <c r="K6" i="40"/>
  <c r="K20" i="43"/>
  <c r="H100" i="45"/>
  <c r="K20" i="40"/>
  <c r="H110" i="45"/>
  <c r="H10" i="45"/>
  <c r="K13" i="43"/>
  <c r="H60" i="45"/>
  <c r="H57" i="45"/>
  <c r="H33" i="45"/>
  <c r="K2" i="41"/>
  <c r="K2" i="40"/>
  <c r="J2" i="42" l="1"/>
  <c r="J2" i="43"/>
  <c r="L23" i="40"/>
  <c r="L36" i="43"/>
  <c r="L26" i="40"/>
  <c r="L25" i="43"/>
  <c r="L10" i="40"/>
  <c r="L30" i="43"/>
  <c r="L33" i="40"/>
  <c r="L16" i="40"/>
  <c r="L25" i="40"/>
  <c r="L4" i="40"/>
  <c r="L34" i="43"/>
  <c r="L27" i="43"/>
  <c r="L34" i="40"/>
  <c r="L7" i="40"/>
  <c r="L23" i="43"/>
  <c r="L12" i="43"/>
  <c r="L20" i="40"/>
  <c r="L30" i="40"/>
  <c r="L31" i="40"/>
  <c r="L24" i="40"/>
  <c r="L21" i="43"/>
  <c r="L26" i="43"/>
  <c r="L29" i="43"/>
  <c r="L32" i="40"/>
  <c r="L31" i="43"/>
  <c r="L16" i="43"/>
  <c r="L32" i="43"/>
  <c r="L21" i="40"/>
  <c r="L20" i="43"/>
  <c r="L15" i="40"/>
  <c r="L4" i="43"/>
  <c r="L11" i="43"/>
  <c r="L28" i="43"/>
  <c r="L8" i="43"/>
  <c r="L18" i="40"/>
  <c r="L7" i="43"/>
  <c r="L24" i="43"/>
  <c r="L9" i="40"/>
  <c r="L19" i="40"/>
  <c r="L14" i="43"/>
  <c r="L5" i="40"/>
  <c r="L8" i="40"/>
  <c r="L29" i="40"/>
  <c r="L36" i="40"/>
  <c r="L17" i="40"/>
  <c r="L13" i="40"/>
  <c r="L5" i="43"/>
  <c r="L11" i="40"/>
  <c r="L10" i="43"/>
  <c r="L15" i="43"/>
  <c r="L9" i="43"/>
  <c r="L27" i="40"/>
  <c r="L19" i="43"/>
  <c r="L17" i="43"/>
  <c r="L22" i="43"/>
  <c r="L22" i="40"/>
  <c r="L12" i="40"/>
  <c r="L28" i="40"/>
  <c r="L35" i="40"/>
  <c r="L6" i="40"/>
  <c r="L14" i="40"/>
  <c r="L13" i="43"/>
  <c r="L33" i="43"/>
  <c r="L18" i="43"/>
  <c r="L35" i="43"/>
  <c r="L6" i="43"/>
  <c r="C1" i="38"/>
  <c r="K2" i="43"/>
  <c r="K2" i="42"/>
  <c r="L2" i="41"/>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D42" i="38"/>
  <c r="D59" i="38"/>
  <c r="D23" i="38"/>
  <c r="D39" i="38"/>
  <c r="D56" i="38"/>
  <c r="D49" i="38"/>
  <c r="D43" i="38"/>
  <c r="D24" i="38"/>
  <c r="D51" i="38"/>
  <c r="D26" i="38"/>
  <c r="D25" i="38"/>
  <c r="D55" i="38"/>
  <c r="D9" i="38"/>
  <c r="C1" i="37"/>
  <c r="D11" i="38"/>
  <c r="D38" i="38"/>
  <c r="D12" i="38"/>
  <c r="D34" i="38"/>
  <c r="E34" i="38" s="1"/>
  <c r="D18" i="38"/>
  <c r="D27" i="38"/>
  <c r="D62" i="38"/>
  <c r="D13" i="38"/>
  <c r="D45" i="38"/>
  <c r="D16" i="38"/>
  <c r="D33" i="38"/>
  <c r="D10" i="38"/>
  <c r="D22" i="38"/>
  <c r="D58" i="38"/>
  <c r="E58" i="38"/>
  <c r="D52" i="38"/>
  <c r="D8" i="38"/>
  <c r="D17" i="38"/>
  <c r="D15" i="38"/>
  <c r="D30" i="38"/>
  <c r="E30" i="38" s="1"/>
  <c r="D20" i="38"/>
  <c r="D60" i="38"/>
  <c r="D61" i="38"/>
  <c r="D35" i="38"/>
  <c r="D37" i="38"/>
  <c r="D36" i="38"/>
  <c r="D41" i="38"/>
  <c r="D4" i="38"/>
  <c r="D28" i="38"/>
  <c r="D29" i="38"/>
  <c r="D7" i="38"/>
  <c r="D50" i="38"/>
  <c r="D21" i="38"/>
  <c r="D54" i="38"/>
  <c r="D57" i="38"/>
  <c r="D48" i="38"/>
  <c r="D44" i="38"/>
  <c r="D46" i="38"/>
  <c r="D31" i="38"/>
  <c r="D64" i="38"/>
  <c r="D47" i="38"/>
  <c r="D63" i="38"/>
  <c r="D53" i="38"/>
  <c r="D19" i="38"/>
  <c r="E22" i="38"/>
  <c r="D14" i="38"/>
  <c r="D6" i="38"/>
  <c r="D40" i="38"/>
  <c r="D3" i="38"/>
  <c r="D5" i="38"/>
  <c r="D32" i="38"/>
  <c r="L2" i="43"/>
  <c r="L2" i="42"/>
  <c r="C2" i="37" l="1"/>
  <c r="C3" i="37"/>
  <c r="C4" i="37"/>
  <c r="C5" i="37"/>
  <c r="C6" i="37"/>
  <c r="C7" i="37"/>
  <c r="C8" i="37"/>
  <c r="C9" i="37"/>
  <c r="C10" i="37"/>
  <c r="C11" i="37"/>
  <c r="C12" i="37"/>
  <c r="C13" i="37"/>
  <c r="C14" i="37"/>
  <c r="C15" i="37"/>
  <c r="C16" i="37"/>
  <c r="E11" i="38"/>
  <c r="D16" i="37"/>
  <c r="E28" i="38"/>
  <c r="D4" i="37"/>
  <c r="E35" i="38"/>
  <c r="E44" i="38"/>
  <c r="D12" i="37"/>
  <c r="E20" i="38"/>
  <c r="E57" i="38"/>
  <c r="E24" i="38"/>
  <c r="D7" i="37"/>
  <c r="E49" i="38"/>
  <c r="E48" i="38"/>
  <c r="D14" i="37"/>
  <c r="E31" i="38"/>
  <c r="E10" i="38"/>
  <c r="E14" i="38"/>
  <c r="E46" i="38"/>
  <c r="E38" i="38"/>
  <c r="E64" i="38"/>
  <c r="E32" i="38"/>
  <c r="E36" i="38"/>
  <c r="E7" i="38"/>
  <c r="E4" i="38"/>
  <c r="E23" i="38"/>
  <c r="E26" i="38"/>
  <c r="E14" i="37"/>
  <c r="E51" i="38"/>
  <c r="E50" i="38"/>
  <c r="D15" i="37"/>
  <c r="E42" i="38"/>
  <c r="E16" i="38"/>
  <c r="E29" i="38"/>
  <c r="E6" i="38"/>
  <c r="D11" i="37"/>
  <c r="D5" i="37"/>
  <c r="E5" i="37" s="1"/>
  <c r="E3" i="38"/>
  <c r="E17" i="38"/>
  <c r="E63" i="38"/>
  <c r="C1" i="36"/>
  <c r="E27" i="38"/>
  <c r="D9" i="37"/>
  <c r="D3" i="37"/>
  <c r="E18" i="38"/>
  <c r="E7" i="37"/>
  <c r="E21" i="38"/>
  <c r="E52" i="38"/>
  <c r="E43" i="38"/>
  <c r="D6" i="37"/>
  <c r="E6" i="37"/>
  <c r="E25" i="38"/>
  <c r="E55" i="38"/>
  <c r="D8" i="37"/>
  <c r="E19" i="38"/>
  <c r="D10" i="37"/>
  <c r="E37" i="38"/>
  <c r="E39" i="38"/>
  <c r="E12" i="38"/>
  <c r="E62" i="38"/>
  <c r="E47" i="38"/>
  <c r="E59" i="38"/>
  <c r="E9" i="38"/>
  <c r="E56" i="38"/>
  <c r="E15" i="38"/>
  <c r="E41" i="38"/>
  <c r="E5" i="38"/>
  <c r="D13" i="37"/>
  <c r="E60" i="38"/>
  <c r="E61" i="38"/>
  <c r="E40" i="38"/>
  <c r="E8" i="38"/>
  <c r="E45" i="38"/>
  <c r="E13" i="38"/>
  <c r="E53" i="38"/>
  <c r="E54" i="38"/>
  <c r="E33" i="38"/>
  <c r="C2" i="36" l="1"/>
  <c r="C3" i="36"/>
  <c r="C4" i="36"/>
  <c r="C5" i="36"/>
  <c r="C6" i="36"/>
  <c r="C7" i="36"/>
  <c r="C8" i="36"/>
  <c r="C9" i="36"/>
  <c r="C10" i="36"/>
  <c r="C11" i="36"/>
  <c r="C12" i="36"/>
  <c r="C13" i="36"/>
  <c r="D13" i="36"/>
  <c r="E4" i="37"/>
  <c r="C1" i="35"/>
  <c r="D5" i="36"/>
  <c r="D12" i="36"/>
  <c r="E11" i="37"/>
  <c r="E9" i="37"/>
  <c r="E8" i="37"/>
  <c r="E13" i="37"/>
  <c r="D10" i="36"/>
  <c r="D7" i="36"/>
  <c r="D6" i="36"/>
  <c r="E12" i="37"/>
  <c r="D9" i="36"/>
  <c r="D3" i="36"/>
  <c r="D11" i="36"/>
  <c r="E15" i="37"/>
  <c r="E3" i="37"/>
  <c r="D4" i="36"/>
  <c r="D8" i="36"/>
  <c r="E16" i="37"/>
  <c r="E11" i="36"/>
  <c r="E10" i="37"/>
  <c r="E10" i="36"/>
  <c r="C2" i="35" l="1"/>
  <c r="C3" i="35"/>
  <c r="C4" i="35"/>
  <c r="C5" i="35"/>
  <c r="C6" i="35"/>
  <c r="C7" i="35"/>
  <c r="C8" i="35"/>
  <c r="C9" i="35"/>
  <c r="C10" i="35"/>
  <c r="C11" i="35"/>
  <c r="C2" i="34"/>
  <c r="C3" i="34"/>
  <c r="C4" i="34"/>
  <c r="E3" i="36"/>
  <c r="D3" i="35"/>
  <c r="E13" i="36"/>
  <c r="D4" i="35"/>
  <c r="E12" i="36"/>
  <c r="E3" i="35"/>
  <c r="E5" i="36"/>
  <c r="D4" i="34"/>
  <c r="D3" i="34"/>
  <c r="D8" i="35"/>
  <c r="E6" i="36"/>
  <c r="D5" i="35"/>
  <c r="D7" i="35"/>
  <c r="D11" i="35"/>
  <c r="E7" i="35"/>
  <c r="E7" i="36"/>
  <c r="D10" i="35"/>
  <c r="E8" i="36"/>
  <c r="E3" i="34"/>
  <c r="D6" i="35"/>
  <c r="E4" i="36"/>
  <c r="E9" i="36"/>
  <c r="D9" i="35"/>
  <c r="D2" i="35"/>
  <c r="D2" i="36"/>
  <c r="D2" i="38"/>
  <c r="D2" i="34"/>
  <c r="D2" i="37"/>
  <c r="C3" i="32" l="1" a="1"/>
  <c r="C3" i="32" s="1"/>
  <c r="D3" i="32" a="1"/>
  <c r="D9" i="32" s="1"/>
  <c r="C3" i="31" a="1"/>
  <c r="C3" i="31" s="1"/>
  <c r="D3" i="31" a="1"/>
  <c r="D9" i="31" s="1"/>
  <c r="E2" i="30"/>
  <c r="E3" i="30"/>
  <c r="E4" i="30"/>
  <c r="E5" i="30"/>
  <c r="E6" i="30"/>
  <c r="E7" i="30"/>
  <c r="E8" i="30"/>
  <c r="E9" i="30"/>
  <c r="E2" i="29"/>
  <c r="E3" i="29"/>
  <c r="E4" i="29"/>
  <c r="E5" i="29"/>
  <c r="E6" i="29"/>
  <c r="E7" i="29"/>
  <c r="E8" i="29"/>
  <c r="E9" i="29"/>
  <c r="E10" i="29"/>
  <c r="E11" i="29"/>
  <c r="E12" i="29"/>
  <c r="E13" i="29"/>
  <c r="E2" i="28"/>
  <c r="E3" i="28"/>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4" i="35"/>
  <c r="F9" i="29"/>
  <c r="F3" i="29"/>
  <c r="F5" i="29"/>
  <c r="D40" i="28"/>
  <c r="F23" i="28"/>
  <c r="F24" i="28"/>
  <c r="F8" i="30"/>
  <c r="F8" i="29"/>
  <c r="F26" i="28"/>
  <c r="G9" i="29"/>
  <c r="F35" i="28"/>
  <c r="F14" i="28"/>
  <c r="F34" i="28"/>
  <c r="G34" i="28" s="1"/>
  <c r="F11" i="29"/>
  <c r="F13" i="28"/>
  <c r="F6" i="30"/>
  <c r="F31" i="28"/>
  <c r="F30" i="28"/>
  <c r="F21" i="28"/>
  <c r="D41" i="28"/>
  <c r="F3" i="28"/>
  <c r="F20" i="28"/>
  <c r="F8" i="28"/>
  <c r="F5" i="30"/>
  <c r="E4" i="34"/>
  <c r="F12" i="29"/>
  <c r="F10" i="29"/>
  <c r="F32" i="28"/>
  <c r="F16" i="28"/>
  <c r="F15" i="28"/>
  <c r="F3" i="30"/>
  <c r="F5" i="28"/>
  <c r="G30" i="28"/>
  <c r="F33" i="28"/>
  <c r="F25" i="28"/>
  <c r="E6" i="35"/>
  <c r="F37" i="28"/>
  <c r="F9" i="28"/>
  <c r="F10" i="28"/>
  <c r="F29" i="28"/>
  <c r="F28" i="28"/>
  <c r="F4" i="29"/>
  <c r="F7" i="28"/>
  <c r="F17" i="28"/>
  <c r="F6" i="29"/>
  <c r="G6" i="29" s="1"/>
  <c r="E5" i="35"/>
  <c r="F12" i="28"/>
  <c r="F6" i="28"/>
  <c r="E11" i="35"/>
  <c r="F9" i="30"/>
  <c r="F19" i="28"/>
  <c r="G19" i="28" s="1"/>
  <c r="F18" i="28"/>
  <c r="G31" i="28"/>
  <c r="F4" i="28"/>
  <c r="G3" i="28"/>
  <c r="E10" i="35"/>
  <c r="F13" i="29"/>
  <c r="F4" i="30"/>
  <c r="G4" i="30" s="1"/>
  <c r="F38" i="28"/>
  <c r="F7" i="29"/>
  <c r="F22" i="28"/>
  <c r="G22" i="28" s="1"/>
  <c r="G4" i="29"/>
  <c r="G18" i="28"/>
  <c r="F7" i="30"/>
  <c r="E9" i="35"/>
  <c r="F27" i="28"/>
  <c r="G27" i="28" s="1"/>
  <c r="F11" i="28"/>
  <c r="F36" i="28"/>
  <c r="E8" i="35"/>
  <c r="G10" i="28"/>
  <c r="G35" i="28"/>
  <c r="E2" i="35"/>
  <c r="E2" i="38"/>
  <c r="E2" i="37"/>
  <c r="E2" i="34"/>
  <c r="E2" i="36"/>
  <c r="C19" i="32" l="1"/>
  <c r="C16" i="32"/>
  <c r="C24" i="32"/>
  <c r="D3" i="32"/>
  <c r="E2" i="32" s="1"/>
  <c r="C25" i="32"/>
  <c r="D35" i="32"/>
  <c r="C17" i="32"/>
  <c r="C35" i="32"/>
  <c r="C33" i="32"/>
  <c r="C11" i="32"/>
  <c r="C32" i="32"/>
  <c r="C9" i="32"/>
  <c r="E9" i="32" s="1"/>
  <c r="C27" i="32"/>
  <c r="C8" i="32"/>
  <c r="D27" i="32"/>
  <c r="D30" i="32"/>
  <c r="D22" i="32"/>
  <c r="D14" i="32"/>
  <c r="D6" i="32"/>
  <c r="D36" i="32"/>
  <c r="D28" i="32"/>
  <c r="D39" i="32"/>
  <c r="C36" i="32"/>
  <c r="D31" i="32"/>
  <c r="C28" i="32"/>
  <c r="D23" i="32"/>
  <c r="C20" i="32"/>
  <c r="D15" i="32"/>
  <c r="C12" i="32"/>
  <c r="D7" i="32"/>
  <c r="C4" i="32"/>
  <c r="C39" i="32"/>
  <c r="D34" i="32"/>
  <c r="C31" i="32"/>
  <c r="D26" i="32"/>
  <c r="C23" i="32"/>
  <c r="D18" i="32"/>
  <c r="C15" i="32"/>
  <c r="D10" i="32"/>
  <c r="C7" i="32"/>
  <c r="D37" i="32"/>
  <c r="C34" i="32"/>
  <c r="D29" i="32"/>
  <c r="C26" i="32"/>
  <c r="D21" i="32"/>
  <c r="C18" i="32"/>
  <c r="D13" i="32"/>
  <c r="C10" i="32"/>
  <c r="D5" i="32"/>
  <c r="D19" i="32"/>
  <c r="D11" i="32"/>
  <c r="D38" i="32"/>
  <c r="D20" i="32"/>
  <c r="D12" i="32"/>
  <c r="D4" i="32"/>
  <c r="C37" i="32"/>
  <c r="D32" i="32"/>
  <c r="C29" i="32"/>
  <c r="D24" i="32"/>
  <c r="C21" i="32"/>
  <c r="D16" i="32"/>
  <c r="C13" i="32"/>
  <c r="D8" i="32"/>
  <c r="C5" i="32"/>
  <c r="C38" i="32"/>
  <c r="D33" i="32"/>
  <c r="C30" i="32"/>
  <c r="D25" i="32"/>
  <c r="C22" i="32"/>
  <c r="D17" i="32"/>
  <c r="C14" i="32"/>
  <c r="C6" i="32"/>
  <c r="C37" i="31"/>
  <c r="D27" i="31"/>
  <c r="D16" i="31"/>
  <c r="D35" i="31"/>
  <c r="C27" i="31"/>
  <c r="C16" i="31"/>
  <c r="C35" i="31"/>
  <c r="D24" i="31"/>
  <c r="D14" i="31"/>
  <c r="D32" i="31"/>
  <c r="C24" i="31"/>
  <c r="C13" i="31"/>
  <c r="C32" i="31"/>
  <c r="D22" i="31"/>
  <c r="D11" i="31"/>
  <c r="C19" i="31"/>
  <c r="D30" i="31"/>
  <c r="C21" i="31"/>
  <c r="C8" i="31"/>
  <c r="D38" i="31"/>
  <c r="C29" i="31"/>
  <c r="D19" i="31"/>
  <c r="D3" i="31"/>
  <c r="E3" i="31" s="1"/>
  <c r="D36" i="31"/>
  <c r="C33" i="31"/>
  <c r="D28" i="31"/>
  <c r="C25" i="31"/>
  <c r="D20" i="31"/>
  <c r="C17" i="31"/>
  <c r="D12" i="31"/>
  <c r="C9" i="31"/>
  <c r="D4" i="31"/>
  <c r="D39" i="31"/>
  <c r="C36" i="31"/>
  <c r="D31" i="31"/>
  <c r="C28" i="31"/>
  <c r="D23" i="31"/>
  <c r="C20" i="31"/>
  <c r="D15" i="31"/>
  <c r="C12" i="31"/>
  <c r="D7" i="31"/>
  <c r="C4" i="31"/>
  <c r="C39" i="31"/>
  <c r="D34" i="31"/>
  <c r="C31" i="31"/>
  <c r="D26" i="31"/>
  <c r="C23" i="31"/>
  <c r="D18" i="31"/>
  <c r="C15" i="31"/>
  <c r="D10" i="31"/>
  <c r="C7" i="31"/>
  <c r="D37" i="31"/>
  <c r="C34" i="31"/>
  <c r="D29" i="31"/>
  <c r="C26" i="31"/>
  <c r="D21" i="31"/>
  <c r="C18" i="31"/>
  <c r="D13" i="31"/>
  <c r="C10" i="31"/>
  <c r="D5" i="31"/>
  <c r="D8" i="31"/>
  <c r="C5" i="31"/>
  <c r="C11" i="31"/>
  <c r="D6" i="31"/>
  <c r="C38" i="31"/>
  <c r="D33" i="31"/>
  <c r="C30" i="31"/>
  <c r="D25" i="31"/>
  <c r="C22" i="31"/>
  <c r="D17" i="31"/>
  <c r="C14" i="31"/>
  <c r="C6" i="31"/>
  <c r="E41" i="28"/>
  <c r="E40" i="28"/>
  <c r="G36" i="28"/>
  <c r="G5" i="30"/>
  <c r="G24" i="28"/>
  <c r="G3" i="30"/>
  <c r="G8" i="28"/>
  <c r="G37" i="28"/>
  <c r="G12" i="29"/>
  <c r="G8" i="29"/>
  <c r="G5" i="29"/>
  <c r="F16" i="32"/>
  <c r="F19" i="32"/>
  <c r="G7" i="30"/>
  <c r="D42" i="28"/>
  <c r="F24" i="32"/>
  <c r="G11" i="29"/>
  <c r="G13" i="29"/>
  <c r="G5" i="28"/>
  <c r="F27" i="31"/>
  <c r="G3" i="29"/>
  <c r="G9" i="28"/>
  <c r="G12" i="28"/>
  <c r="G15" i="28"/>
  <c r="G16" i="28"/>
  <c r="G13" i="28"/>
  <c r="G11" i="28"/>
  <c r="G4" i="28"/>
  <c r="G6" i="30"/>
  <c r="F13" i="31"/>
  <c r="F40" i="28"/>
  <c r="G20" i="28"/>
  <c r="G6" i="28"/>
  <c r="G17" i="28"/>
  <c r="G14" i="28"/>
  <c r="G9" i="30"/>
  <c r="G40" i="28"/>
  <c r="G38" i="28"/>
  <c r="G7" i="28"/>
  <c r="G26" i="28"/>
  <c r="G32" i="28"/>
  <c r="G29" i="28"/>
  <c r="F29" i="31"/>
  <c r="G7" i="29"/>
  <c r="F32" i="31"/>
  <c r="G23" i="28"/>
  <c r="G21" i="28"/>
  <c r="G33" i="28"/>
  <c r="G25" i="28"/>
  <c r="G8" i="30"/>
  <c r="G28" i="28"/>
  <c r="G10" i="29"/>
  <c r="F41" i="28"/>
  <c r="F16" i="31"/>
  <c r="F35" i="31"/>
  <c r="F24" i="31"/>
  <c r="F21" i="31"/>
  <c r="F27" i="32"/>
  <c r="F8" i="32"/>
  <c r="F35" i="32"/>
  <c r="F19" i="31"/>
  <c r="F32" i="32"/>
  <c r="D43" i="28"/>
  <c r="E43" i="28" l="1"/>
  <c r="E42" i="28"/>
  <c r="E2" i="31"/>
  <c r="E3" i="32"/>
  <c r="E8" i="32"/>
  <c r="E19" i="31"/>
  <c r="E32" i="31"/>
  <c r="E16" i="32"/>
  <c r="E24" i="31"/>
  <c r="E24" i="32"/>
  <c r="E11" i="32"/>
  <c r="E27" i="32"/>
  <c r="E35" i="32"/>
  <c r="E13" i="31"/>
  <c r="E16" i="31"/>
  <c r="E19" i="32"/>
  <c r="E21" i="31"/>
  <c r="E37" i="31"/>
  <c r="E32" i="32"/>
  <c r="E29" i="31"/>
  <c r="E27" i="31"/>
  <c r="E12" i="32"/>
  <c r="E22" i="32"/>
  <c r="E18" i="32"/>
  <c r="E7" i="32"/>
  <c r="E20" i="32"/>
  <c r="E30" i="32"/>
  <c r="E31" i="32"/>
  <c r="E33" i="32"/>
  <c r="E29" i="32"/>
  <c r="E26" i="32"/>
  <c r="E28" i="32"/>
  <c r="E38" i="32"/>
  <c r="E15" i="32"/>
  <c r="E39" i="32"/>
  <c r="E6" i="32"/>
  <c r="E5" i="32"/>
  <c r="E37" i="32"/>
  <c r="E10" i="32"/>
  <c r="E4" i="32"/>
  <c r="E36" i="32"/>
  <c r="E14" i="32"/>
  <c r="E34" i="32"/>
  <c r="E17" i="32"/>
  <c r="E13" i="32"/>
  <c r="E23" i="32"/>
  <c r="E25" i="32"/>
  <c r="E21" i="32"/>
  <c r="E35" i="31"/>
  <c r="E8" i="31"/>
  <c r="E22" i="31"/>
  <c r="E34" i="31"/>
  <c r="E31" i="31"/>
  <c r="E17" i="31"/>
  <c r="E30" i="31"/>
  <c r="E7" i="31"/>
  <c r="E39" i="31"/>
  <c r="E25" i="31"/>
  <c r="E38" i="31"/>
  <c r="E18" i="31"/>
  <c r="E15" i="31"/>
  <c r="E33" i="31"/>
  <c r="E6" i="31"/>
  <c r="E12" i="31"/>
  <c r="E14" i="31"/>
  <c r="E11" i="31"/>
  <c r="E26" i="31"/>
  <c r="E23" i="31"/>
  <c r="E9" i="31"/>
  <c r="E5" i="31"/>
  <c r="E20" i="31"/>
  <c r="E28" i="31"/>
  <c r="E10" i="31"/>
  <c r="E4" i="31"/>
  <c r="E36" i="31"/>
  <c r="F43" i="28"/>
  <c r="F37" i="31"/>
  <c r="G24" i="32"/>
  <c r="F17" i="31"/>
  <c r="F30" i="31"/>
  <c r="G8" i="32"/>
  <c r="G27" i="31"/>
  <c r="F20" i="31"/>
  <c r="F38" i="32"/>
  <c r="F37" i="32"/>
  <c r="F36" i="32"/>
  <c r="F5" i="31"/>
  <c r="F15" i="31"/>
  <c r="F3" i="31"/>
  <c r="F25" i="32"/>
  <c r="F39" i="32"/>
  <c r="F23" i="32"/>
  <c r="F11" i="31"/>
  <c r="G32" i="31"/>
  <c r="F38" i="31"/>
  <c r="F14" i="31"/>
  <c r="F10" i="32"/>
  <c r="G19" i="31"/>
  <c r="F9" i="31"/>
  <c r="F4" i="31"/>
  <c r="G24" i="31"/>
  <c r="G16" i="31"/>
  <c r="F3" i="32"/>
  <c r="F22" i="31"/>
  <c r="F42" i="28"/>
  <c r="G42" i="28" s="1"/>
  <c r="F29" i="32"/>
  <c r="F31" i="32"/>
  <c r="F7" i="31"/>
  <c r="F15" i="32"/>
  <c r="F18" i="31"/>
  <c r="F12" i="31"/>
  <c r="F7" i="32"/>
  <c r="F33" i="32"/>
  <c r="F5" i="32"/>
  <c r="F14" i="32"/>
  <c r="F8" i="31"/>
  <c r="G29" i="31"/>
  <c r="F26" i="32"/>
  <c r="F33" i="31"/>
  <c r="G43" i="28"/>
  <c r="G35" i="31"/>
  <c r="G32" i="32"/>
  <c r="G3" i="31"/>
  <c r="F36" i="31"/>
  <c r="G19" i="32"/>
  <c r="F23" i="31"/>
  <c r="F22" i="32"/>
  <c r="F6" i="31"/>
  <c r="G41" i="28"/>
  <c r="F28" i="32"/>
  <c r="G27" i="32"/>
  <c r="G35" i="32"/>
  <c r="F39" i="31"/>
  <c r="F18" i="32"/>
  <c r="F26" i="31"/>
  <c r="G13" i="31"/>
  <c r="F12" i="32"/>
  <c r="F30" i="32"/>
  <c r="F25" i="31"/>
  <c r="F31" i="31"/>
  <c r="F28" i="31"/>
  <c r="F10" i="31"/>
  <c r="F4" i="32"/>
  <c r="D44" i="28"/>
  <c r="F34" i="31"/>
  <c r="F20" i="32"/>
  <c r="F6" i="32"/>
  <c r="F21" i="32"/>
  <c r="G16" i="32"/>
  <c r="F17" i="32"/>
  <c r="G21" i="31"/>
  <c r="F9" i="32"/>
  <c r="F11" i="32"/>
  <c r="F13" i="32"/>
  <c r="F34" i="32"/>
  <c r="D45" i="28"/>
  <c r="D46" i="28"/>
  <c r="E45" i="28" l="1"/>
  <c r="E44" i="28"/>
  <c r="E46" i="28"/>
  <c r="F45" i="28"/>
  <c r="G45" i="28" s="1"/>
  <c r="G30" i="31"/>
  <c r="G20" i="32"/>
  <c r="G26" i="32"/>
  <c r="G7" i="31"/>
  <c r="G30" i="32"/>
  <c r="G9" i="32"/>
  <c r="G39" i="31"/>
  <c r="F44" i="28"/>
  <c r="G44" i="28" s="1"/>
  <c r="G23" i="32"/>
  <c r="G12" i="31"/>
  <c r="G34" i="31"/>
  <c r="G17" i="31"/>
  <c r="G8" i="31"/>
  <c r="G25" i="31"/>
  <c r="G10" i="31"/>
  <c r="F46" i="28"/>
  <c r="G36" i="31"/>
  <c r="G36" i="32"/>
  <c r="G10" i="32"/>
  <c r="G15" i="31"/>
  <c r="G4" i="32"/>
  <c r="G38" i="31"/>
  <c r="G23" i="31"/>
  <c r="G17" i="32"/>
  <c r="G7" i="32"/>
  <c r="G6" i="32"/>
  <c r="G34" i="32"/>
  <c r="G37" i="32"/>
  <c r="G29" i="32"/>
  <c r="D47" i="28"/>
  <c r="G5" i="32"/>
  <c r="G11" i="31"/>
  <c r="G22" i="32"/>
  <c r="G37" i="31"/>
  <c r="G18" i="31"/>
  <c r="G18" i="32"/>
  <c r="G5" i="31"/>
  <c r="G22" i="31"/>
  <c r="G28" i="32"/>
  <c r="G9" i="31"/>
  <c r="G38" i="32"/>
  <c r="G14" i="31"/>
  <c r="G6" i="31"/>
  <c r="G26" i="31"/>
  <c r="G14" i="32"/>
  <c r="G25" i="32"/>
  <c r="G28" i="31"/>
  <c r="G31" i="32"/>
  <c r="G31" i="31"/>
  <c r="G15" i="32"/>
  <c r="G3" i="32"/>
  <c r="G12" i="32"/>
  <c r="G11" i="32"/>
  <c r="G33" i="32"/>
  <c r="G39" i="32"/>
  <c r="G20" i="31"/>
  <c r="G33" i="31"/>
  <c r="G21" i="32"/>
  <c r="G13" i="32"/>
  <c r="G4" i="31"/>
  <c r="E47" i="28" l="1"/>
  <c r="G46" i="28"/>
  <c r="D48" i="28"/>
  <c r="F47" i="28"/>
  <c r="E48" i="28" l="1"/>
  <c r="G47" i="28"/>
  <c r="F48" i="28"/>
  <c r="D49" i="28"/>
  <c r="E49" i="28" l="1"/>
  <c r="G48" i="28"/>
  <c r="D50" i="28"/>
  <c r="F49" i="28"/>
  <c r="E50" i="28" l="1"/>
  <c r="G49" i="28"/>
  <c r="D51" i="28"/>
  <c r="F50" i="28"/>
  <c r="D52" i="28"/>
  <c r="E52" i="28" l="1"/>
  <c r="E51" i="28"/>
  <c r="G50" i="28"/>
  <c r="D53" i="28"/>
  <c r="F52" i="28"/>
  <c r="F51" i="28"/>
  <c r="E53" i="28" l="1"/>
  <c r="G51" i="28"/>
  <c r="G52" i="28"/>
  <c r="D54" i="28"/>
  <c r="F53" i="28"/>
  <c r="G53" i="28"/>
  <c r="E54" i="28" l="1"/>
  <c r="D55" i="28"/>
  <c r="F54" i="28"/>
  <c r="G54" i="28"/>
  <c r="E55" i="28" l="1"/>
  <c r="D56" i="28"/>
  <c r="F55" i="28"/>
  <c r="G55" i="28"/>
  <c r="E56" i="28" l="1"/>
  <c r="F56" i="28"/>
  <c r="D57" i="28"/>
  <c r="D58" i="28"/>
  <c r="D59" i="28"/>
  <c r="D60" i="28"/>
  <c r="D61" i="28" s="1"/>
  <c r="D62" i="28" s="1"/>
  <c r="D63" i="28" s="1"/>
  <c r="D64" i="28" s="1"/>
  <c r="D65" i="28" s="1"/>
  <c r="D66" i="28" s="1"/>
  <c r="D67" i="28" s="1"/>
  <c r="D68" i="28"/>
  <c r="D69" i="28" s="1"/>
  <c r="G56" i="28"/>
  <c r="E68" i="28" l="1"/>
  <c r="E67" i="28"/>
  <c r="E66" i="28"/>
  <c r="E65" i="28"/>
  <c r="E64" i="28"/>
  <c r="E63" i="28"/>
  <c r="E62" i="28"/>
  <c r="E61" i="28"/>
  <c r="E60" i="28"/>
  <c r="E59" i="28"/>
  <c r="E58" i="28"/>
  <c r="E57" i="28"/>
  <c r="E69" i="28"/>
  <c r="F59" i="28"/>
  <c r="F65" i="28"/>
  <c r="F68" i="28"/>
  <c r="F61" i="28"/>
  <c r="F60" i="28"/>
  <c r="F57" i="28"/>
  <c r="F67" i="28"/>
  <c r="F64" i="28"/>
  <c r="F66" i="28"/>
  <c r="F69" i="28"/>
  <c r="F58" i="28"/>
  <c r="F63" i="28"/>
  <c r="D70" i="28"/>
  <c r="F62" i="28"/>
  <c r="G57" i="28"/>
  <c r="G64" i="28"/>
  <c r="G66" i="28"/>
  <c r="G58" i="28"/>
  <c r="G61" i="28"/>
  <c r="G63" i="28"/>
  <c r="G69" i="28"/>
  <c r="G59" i="28"/>
  <c r="G65" i="28"/>
  <c r="G68" i="28"/>
  <c r="G67" i="28"/>
  <c r="G62" i="28"/>
  <c r="G60" i="28"/>
  <c r="E70" i="28" l="1"/>
  <c r="D71" i="28"/>
  <c r="F70" i="28"/>
  <c r="G70" i="28"/>
  <c r="E71" i="28" l="1"/>
  <c r="D72" i="28"/>
  <c r="F71" i="28"/>
  <c r="G71" i="28"/>
  <c r="E72" i="28" l="1"/>
  <c r="D73" i="28"/>
  <c r="F72" i="28"/>
  <c r="G72" i="28"/>
  <c r="E73" i="28" l="1"/>
  <c r="D74" i="28"/>
  <c r="F73" i="28"/>
  <c r="G73" i="28"/>
  <c r="E74" i="28" l="1"/>
  <c r="D75" i="28"/>
  <c r="F74" i="28"/>
  <c r="G74" i="28"/>
  <c r="E75" i="28" l="1"/>
  <c r="F75" i="28"/>
  <c r="F2" i="32"/>
  <c r="G75" i="28"/>
  <c r="F2" i="29"/>
  <c r="F2" i="28"/>
  <c r="F2" i="30"/>
  <c r="F2" i="31"/>
  <c r="B2" i="26" l="1"/>
  <c r="B3" i="26"/>
  <c r="B4" i="26"/>
  <c r="E2" i="25"/>
  <c r="E2" i="24"/>
  <c r="E2"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2" i="21"/>
  <c r="C3" i="21"/>
  <c r="C4" i="21"/>
  <c r="C5" i="21"/>
  <c r="C6" i="21"/>
  <c r="C7" i="21"/>
  <c r="C8" i="21"/>
  <c r="C9" i="21"/>
  <c r="C10" i="21"/>
  <c r="C11" i="21"/>
  <c r="C12" i="21"/>
  <c r="C13" i="21"/>
  <c r="C14" i="21"/>
  <c r="C15" i="21"/>
  <c r="C16" i="21"/>
  <c r="C17" i="21"/>
  <c r="C18" i="21"/>
  <c r="C19" i="21"/>
  <c r="C20" i="21"/>
  <c r="E8" i="22"/>
  <c r="D17" i="21"/>
  <c r="E18" i="22"/>
  <c r="E6" i="22"/>
  <c r="E17" i="22"/>
  <c r="E14" i="22"/>
  <c r="E5" i="22"/>
  <c r="E21" i="22"/>
  <c r="E17" i="21"/>
  <c r="D3" i="24" a="1"/>
  <c r="E29" i="22"/>
  <c r="E24" i="22"/>
  <c r="E19" i="22"/>
  <c r="F29" i="22"/>
  <c r="E16" i="22"/>
  <c r="E35" i="22"/>
  <c r="E30" i="22"/>
  <c r="D7" i="21"/>
  <c r="E7" i="21" s="1"/>
  <c r="E15" i="22"/>
  <c r="E31" i="22"/>
  <c r="D13" i="21"/>
  <c r="E33" i="22"/>
  <c r="E23" i="22"/>
  <c r="E27" i="22"/>
  <c r="D18" i="21"/>
  <c r="E18" i="21" s="1"/>
  <c r="D11" i="21"/>
  <c r="C3" i="26"/>
  <c r="E20" i="22"/>
  <c r="E11" i="22"/>
  <c r="E32" i="22"/>
  <c r="E9" i="22"/>
  <c r="E28" i="22"/>
  <c r="F28" i="22" s="1"/>
  <c r="D3" i="26"/>
  <c r="D15" i="21"/>
  <c r="E13" i="22"/>
  <c r="D8" i="21"/>
  <c r="D12" i="21"/>
  <c r="C4" i="26"/>
  <c r="D3" i="25" a="1"/>
  <c r="E26" i="22"/>
  <c r="D5" i="21"/>
  <c r="F19" i="22"/>
  <c r="E4" i="22"/>
  <c r="D6" i="21"/>
  <c r="D16" i="21"/>
  <c r="E6" i="21"/>
  <c r="E34" i="22"/>
  <c r="D9" i="21"/>
  <c r="E9" i="21" s="1"/>
  <c r="E3" i="22"/>
  <c r="E10" i="22"/>
  <c r="E5" i="21"/>
  <c r="E25" i="22"/>
  <c r="F25" i="22" s="1"/>
  <c r="D19" i="21"/>
  <c r="D20" i="21"/>
  <c r="E12" i="22"/>
  <c r="D10" i="21"/>
  <c r="D3" i="21"/>
  <c r="E7" i="22"/>
  <c r="D3" i="23" a="1"/>
  <c r="E22" i="22"/>
  <c r="D14" i="21"/>
  <c r="D4" i="21"/>
  <c r="G2" i="28"/>
  <c r="G2" i="32"/>
  <c r="G2" i="29"/>
  <c r="G2" i="30"/>
  <c r="G2" i="31"/>
  <c r="D4" i="25" l="1"/>
  <c r="E4" i="25" s="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65" i="25"/>
  <c r="E65" i="25" s="1"/>
  <c r="D81" i="25"/>
  <c r="E81" i="25" s="1"/>
  <c r="D97" i="25"/>
  <c r="E97" i="25" s="1"/>
  <c r="D113" i="25"/>
  <c r="E113" i="25" s="1"/>
  <c r="D59" i="25"/>
  <c r="E59" i="25" s="1"/>
  <c r="D75" i="25"/>
  <c r="E75" i="25" s="1"/>
  <c r="D107" i="25"/>
  <c r="E107" i="25" s="1"/>
  <c r="D69" i="25"/>
  <c r="E69" i="25" s="1"/>
  <c r="D101" i="25"/>
  <c r="E101" i="25" s="1"/>
  <c r="D95" i="25"/>
  <c r="E95" i="25" s="1"/>
  <c r="D117" i="25"/>
  <c r="E117" i="25" s="1"/>
  <c r="D91" i="25"/>
  <c r="E91" i="25" s="1"/>
  <c r="D119" i="25"/>
  <c r="E119" i="25" s="1"/>
  <c r="D63" i="25"/>
  <c r="E63" i="25" s="1"/>
  <c r="D79" i="25"/>
  <c r="E79" i="25" s="1"/>
  <c r="D5" i="25"/>
  <c r="E5" i="25" s="1"/>
  <c r="D9" i="25"/>
  <c r="E9" i="25" s="1"/>
  <c r="D13" i="25"/>
  <c r="E13" i="25" s="1"/>
  <c r="D17" i="25"/>
  <c r="E17" i="25" s="1"/>
  <c r="D21" i="25"/>
  <c r="E21" i="25" s="1"/>
  <c r="D25" i="25"/>
  <c r="E25" i="25" s="1"/>
  <c r="D29" i="25"/>
  <c r="E29" i="25" s="1"/>
  <c r="D33" i="25"/>
  <c r="E33" i="25" s="1"/>
  <c r="D37" i="25"/>
  <c r="E37" i="25" s="1"/>
  <c r="D41" i="25"/>
  <c r="E41" i="25" s="1"/>
  <c r="D45" i="25"/>
  <c r="E45" i="25" s="1"/>
  <c r="D49" i="25"/>
  <c r="E49" i="25" s="1"/>
  <c r="D53" i="25"/>
  <c r="E53" i="25" s="1"/>
  <c r="D85" i="25"/>
  <c r="E85" i="25" s="1"/>
  <c r="D111" i="25"/>
  <c r="E111" i="25" s="1"/>
  <c r="D57" i="25"/>
  <c r="E57" i="25" s="1"/>
  <c r="D27" i="25"/>
  <c r="E27" i="25" s="1"/>
  <c r="D67" i="25"/>
  <c r="E67" i="25" s="1"/>
  <c r="D99" i="25"/>
  <c r="E99" i="25" s="1"/>
  <c r="D7" i="25"/>
  <c r="E7" i="25" s="1"/>
  <c r="D39" i="25"/>
  <c r="E39" i="25" s="1"/>
  <c r="D93" i="25"/>
  <c r="E93" i="25" s="1"/>
  <c r="D19" i="25"/>
  <c r="E19" i="25" s="1"/>
  <c r="D51" i="25"/>
  <c r="E51" i="25" s="1"/>
  <c r="D87" i="25"/>
  <c r="E87" i="25" s="1"/>
  <c r="D31" i="25"/>
  <c r="E31" i="25" s="1"/>
  <c r="D61" i="25"/>
  <c r="E61" i="25" s="1"/>
  <c r="D89" i="25"/>
  <c r="E89" i="25" s="1"/>
  <c r="D11" i="25"/>
  <c r="E11" i="25" s="1"/>
  <c r="D43" i="25"/>
  <c r="E43" i="25" s="1"/>
  <c r="D83" i="25"/>
  <c r="E83" i="25" s="1"/>
  <c r="D115" i="25"/>
  <c r="E115" i="25" s="1"/>
  <c r="D23" i="25"/>
  <c r="E23" i="25" s="1"/>
  <c r="D77" i="25"/>
  <c r="E77" i="25" s="1"/>
  <c r="D55" i="25"/>
  <c r="E55" i="25" s="1"/>
  <c r="D71" i="25"/>
  <c r="E71" i="25" s="1"/>
  <c r="D121" i="25"/>
  <c r="E121" i="25" s="1"/>
  <c r="D47" i="25"/>
  <c r="E47" i="25" s="1"/>
  <c r="D73" i="25"/>
  <c r="E73" i="25" s="1"/>
  <c r="D109" i="25"/>
  <c r="E109" i="25" s="1"/>
  <c r="D3" i="25"/>
  <c r="E3" i="25" s="1"/>
  <c r="D35" i="25"/>
  <c r="E35" i="25" s="1"/>
  <c r="D103" i="25"/>
  <c r="E103" i="25" s="1"/>
  <c r="D15" i="25"/>
  <c r="E15" i="25" s="1"/>
  <c r="D105" i="25"/>
  <c r="E105" i="25" s="1"/>
  <c r="D3" i="24"/>
  <c r="E3" i="24" s="1"/>
  <c r="D5" i="24"/>
  <c r="E5" i="24" s="1"/>
  <c r="D7" i="24"/>
  <c r="E7" i="24" s="1"/>
  <c r="D9" i="24"/>
  <c r="E9" i="24" s="1"/>
  <c r="D11" i="24"/>
  <c r="E11" i="24" s="1"/>
  <c r="D13" i="24"/>
  <c r="E13" i="24" s="1"/>
  <c r="D15" i="24"/>
  <c r="E15" i="24" s="1"/>
  <c r="D17" i="24"/>
  <c r="E17" i="24" s="1"/>
  <c r="D19" i="24"/>
  <c r="E19" i="24" s="1"/>
  <c r="D21" i="24"/>
  <c r="E21" i="24" s="1"/>
  <c r="D23" i="24"/>
  <c r="E23" i="24" s="1"/>
  <c r="D25" i="24"/>
  <c r="E25" i="24" s="1"/>
  <c r="D27" i="24"/>
  <c r="E27" i="24" s="1"/>
  <c r="D29" i="24"/>
  <c r="E29" i="24" s="1"/>
  <c r="D31" i="24"/>
  <c r="E31" i="24" s="1"/>
  <c r="D33" i="24"/>
  <c r="E33" i="24" s="1"/>
  <c r="D35" i="24"/>
  <c r="E35" i="24" s="1"/>
  <c r="D37" i="24"/>
  <c r="E37" i="24" s="1"/>
  <c r="D39" i="24"/>
  <c r="E39" i="24" s="1"/>
  <c r="D41" i="24"/>
  <c r="E41" i="24" s="1"/>
  <c r="D43" i="24"/>
  <c r="E43" i="24" s="1"/>
  <c r="D45" i="24"/>
  <c r="E45" i="24" s="1"/>
  <c r="D47" i="24"/>
  <c r="E47" i="24" s="1"/>
  <c r="D49" i="24"/>
  <c r="E49" i="24" s="1"/>
  <c r="D51" i="24"/>
  <c r="E51" i="24" s="1"/>
  <c r="D53" i="24"/>
  <c r="E53" i="24" s="1"/>
  <c r="D55" i="24"/>
  <c r="E55" i="24" s="1"/>
  <c r="D57" i="24"/>
  <c r="E57" i="24" s="1"/>
  <c r="D59" i="24"/>
  <c r="E59" i="24" s="1"/>
  <c r="D61" i="24"/>
  <c r="E61" i="24" s="1"/>
  <c r="D63" i="24"/>
  <c r="E63" i="24" s="1"/>
  <c r="D65" i="24"/>
  <c r="E65" i="24" s="1"/>
  <c r="D67" i="24"/>
  <c r="E67" i="24" s="1"/>
  <c r="D69" i="24"/>
  <c r="E69" i="24" s="1"/>
  <c r="D71" i="24"/>
  <c r="E71" i="24" s="1"/>
  <c r="D73" i="24"/>
  <c r="E73" i="24" s="1"/>
  <c r="D75" i="24"/>
  <c r="E75" i="24" s="1"/>
  <c r="D77" i="24"/>
  <c r="E77" i="24" s="1"/>
  <c r="D79" i="24"/>
  <c r="E79" i="24" s="1"/>
  <c r="D81" i="24"/>
  <c r="E81" i="24" s="1"/>
  <c r="D83" i="24"/>
  <c r="E83" i="24" s="1"/>
  <c r="D85" i="24"/>
  <c r="E85" i="24" s="1"/>
  <c r="D87" i="24"/>
  <c r="E87" i="24" s="1"/>
  <c r="D89" i="24"/>
  <c r="E89" i="24" s="1"/>
  <c r="D91" i="24"/>
  <c r="E91" i="24" s="1"/>
  <c r="D93" i="24"/>
  <c r="E93" i="24" s="1"/>
  <c r="D95" i="24"/>
  <c r="E95" i="24" s="1"/>
  <c r="D97" i="24"/>
  <c r="E97" i="24" s="1"/>
  <c r="D99" i="24"/>
  <c r="E99" i="24" s="1"/>
  <c r="D101" i="24"/>
  <c r="E101" i="24" s="1"/>
  <c r="D103" i="24"/>
  <c r="E103" i="24" s="1"/>
  <c r="D105" i="24"/>
  <c r="E105" i="24" s="1"/>
  <c r="D107" i="24"/>
  <c r="E107" i="24" s="1"/>
  <c r="D109" i="24"/>
  <c r="E109" i="24" s="1"/>
  <c r="D111" i="24"/>
  <c r="E111" i="24" s="1"/>
  <c r="D113" i="24"/>
  <c r="E113" i="24" s="1"/>
  <c r="D115" i="24"/>
  <c r="E115" i="24" s="1"/>
  <c r="D117" i="24"/>
  <c r="E117" i="24" s="1"/>
  <c r="D119" i="24"/>
  <c r="E119" i="24" s="1"/>
  <c r="D121" i="24"/>
  <c r="E121" i="24" s="1"/>
  <c r="D54" i="24"/>
  <c r="E54" i="24" s="1"/>
  <c r="D70" i="24"/>
  <c r="E70" i="24" s="1"/>
  <c r="D86" i="24"/>
  <c r="E86" i="24" s="1"/>
  <c r="D66" i="24"/>
  <c r="E66" i="24" s="1"/>
  <c r="D82" i="24"/>
  <c r="E82" i="24" s="1"/>
  <c r="D10" i="24"/>
  <c r="E10" i="24" s="1"/>
  <c r="D18" i="24"/>
  <c r="E18" i="24" s="1"/>
  <c r="D26" i="24"/>
  <c r="E26" i="24" s="1"/>
  <c r="D34" i="24"/>
  <c r="E34" i="24" s="1"/>
  <c r="D42" i="24"/>
  <c r="E42" i="24" s="1"/>
  <c r="D50" i="24"/>
  <c r="E50" i="24" s="1"/>
  <c r="D64" i="24"/>
  <c r="E64" i="24" s="1"/>
  <c r="D80" i="24"/>
  <c r="E80" i="24" s="1"/>
  <c r="D96" i="24"/>
  <c r="E96" i="24" s="1"/>
  <c r="D112" i="24"/>
  <c r="E112" i="24" s="1"/>
  <c r="D60" i="24"/>
  <c r="E60" i="24" s="1"/>
  <c r="D74" i="24"/>
  <c r="E74" i="24" s="1"/>
  <c r="D62" i="24"/>
  <c r="E62" i="24" s="1"/>
  <c r="D78" i="24"/>
  <c r="E78" i="24" s="1"/>
  <c r="D94" i="24"/>
  <c r="E94" i="24" s="1"/>
  <c r="D110" i="24"/>
  <c r="E110" i="24" s="1"/>
  <c r="D8" i="24"/>
  <c r="E8" i="24" s="1"/>
  <c r="D16" i="24"/>
  <c r="E16" i="24" s="1"/>
  <c r="D24" i="24"/>
  <c r="E24" i="24" s="1"/>
  <c r="D32" i="24"/>
  <c r="E32" i="24" s="1"/>
  <c r="D40" i="24"/>
  <c r="E40" i="24" s="1"/>
  <c r="D48" i="24"/>
  <c r="E48" i="24" s="1"/>
  <c r="D76" i="24"/>
  <c r="E76" i="24" s="1"/>
  <c r="D92" i="24"/>
  <c r="E92" i="24" s="1"/>
  <c r="D108" i="24"/>
  <c r="E108" i="24" s="1"/>
  <c r="D58" i="24"/>
  <c r="E58" i="24" s="1"/>
  <c r="D4" i="24"/>
  <c r="E4" i="24" s="1"/>
  <c r="D36" i="24"/>
  <c r="E36" i="24" s="1"/>
  <c r="D6" i="24"/>
  <c r="E6" i="24" s="1"/>
  <c r="D38" i="24"/>
  <c r="E38" i="24" s="1"/>
  <c r="D88" i="24"/>
  <c r="E88" i="24" s="1"/>
  <c r="D28" i="24"/>
  <c r="E28" i="24" s="1"/>
  <c r="D68" i="24"/>
  <c r="E68" i="24" s="1"/>
  <c r="D116" i="24"/>
  <c r="E116" i="24" s="1"/>
  <c r="D120" i="24"/>
  <c r="E120" i="24" s="1"/>
  <c r="D30" i="24"/>
  <c r="E30" i="24" s="1"/>
  <c r="D90" i="24"/>
  <c r="E90" i="24" s="1"/>
  <c r="D98" i="24"/>
  <c r="E98" i="24" s="1"/>
  <c r="D102" i="24"/>
  <c r="E102" i="24" s="1"/>
  <c r="D106" i="24"/>
  <c r="E106" i="24" s="1"/>
  <c r="D22" i="24"/>
  <c r="E22" i="24" s="1"/>
  <c r="D72" i="24"/>
  <c r="E72" i="24" s="1"/>
  <c r="D12" i="24"/>
  <c r="E12" i="24" s="1"/>
  <c r="D114" i="24"/>
  <c r="E114" i="24" s="1"/>
  <c r="D20" i="24"/>
  <c r="E20" i="24" s="1"/>
  <c r="D52" i="24"/>
  <c r="E52" i="24" s="1"/>
  <c r="D118" i="24"/>
  <c r="E118" i="24" s="1"/>
  <c r="D14" i="24"/>
  <c r="E14" i="24" s="1"/>
  <c r="D46" i="24"/>
  <c r="E46" i="24" s="1"/>
  <c r="D56" i="24"/>
  <c r="E56" i="24" s="1"/>
  <c r="D100" i="24"/>
  <c r="E100" i="24" s="1"/>
  <c r="D104" i="24"/>
  <c r="E104" i="24" s="1"/>
  <c r="D84" i="24"/>
  <c r="E84" i="24" s="1"/>
  <c r="D44" i="24"/>
  <c r="E44" i="24" s="1"/>
  <c r="D122" i="24"/>
  <c r="E122" i="24" s="1"/>
  <c r="D4" i="23"/>
  <c r="E4" i="23" s="1"/>
  <c r="D6" i="23"/>
  <c r="E6" i="23" s="1"/>
  <c r="D8" i="23"/>
  <c r="E8" i="23" s="1"/>
  <c r="D10" i="23"/>
  <c r="E10" i="23" s="1"/>
  <c r="D12" i="23"/>
  <c r="E12" i="23" s="1"/>
  <c r="D14" i="23"/>
  <c r="E14" i="23" s="1"/>
  <c r="D16" i="23"/>
  <c r="E16" i="23" s="1"/>
  <c r="D18" i="23"/>
  <c r="E18" i="23" s="1"/>
  <c r="D20" i="23"/>
  <c r="E20" i="23" s="1"/>
  <c r="D22" i="23"/>
  <c r="E22" i="23" s="1"/>
  <c r="D24" i="23"/>
  <c r="E24" i="23" s="1"/>
  <c r="D26" i="23"/>
  <c r="E26" i="23" s="1"/>
  <c r="D28" i="23"/>
  <c r="E28" i="23" s="1"/>
  <c r="D30" i="23"/>
  <c r="E30" i="23" s="1"/>
  <c r="D32" i="23"/>
  <c r="E32" i="23" s="1"/>
  <c r="D34" i="23"/>
  <c r="E34" i="23" s="1"/>
  <c r="D36" i="23"/>
  <c r="E36" i="23" s="1"/>
  <c r="D38" i="23"/>
  <c r="E38" i="23" s="1"/>
  <c r="D40" i="23"/>
  <c r="E40" i="23" s="1"/>
  <c r="D42" i="23"/>
  <c r="E42" i="23" s="1"/>
  <c r="D44" i="23"/>
  <c r="E44" i="23" s="1"/>
  <c r="D46" i="23"/>
  <c r="E46" i="23" s="1"/>
  <c r="D48" i="23"/>
  <c r="E48" i="23" s="1"/>
  <c r="D50" i="23"/>
  <c r="E50" i="23" s="1"/>
  <c r="D52" i="23"/>
  <c r="E52" i="23" s="1"/>
  <c r="D54" i="23"/>
  <c r="E54" i="23" s="1"/>
  <c r="D56" i="23"/>
  <c r="E56" i="23" s="1"/>
  <c r="D58" i="23"/>
  <c r="E58" i="23" s="1"/>
  <c r="D60" i="23"/>
  <c r="E60" i="23" s="1"/>
  <c r="D62" i="23"/>
  <c r="E62" i="23" s="1"/>
  <c r="D64" i="23"/>
  <c r="E64" i="23" s="1"/>
  <c r="D68" i="23"/>
  <c r="E68" i="23" s="1"/>
  <c r="D70" i="23"/>
  <c r="E70" i="23" s="1"/>
  <c r="D72" i="23"/>
  <c r="E72" i="23" s="1"/>
  <c r="D74" i="23"/>
  <c r="E74" i="23" s="1"/>
  <c r="D76" i="23"/>
  <c r="E76" i="23" s="1"/>
  <c r="D78" i="23"/>
  <c r="E78" i="23" s="1"/>
  <c r="D80" i="23"/>
  <c r="E80" i="23" s="1"/>
  <c r="D82" i="23"/>
  <c r="E82" i="23" s="1"/>
  <c r="D84" i="23"/>
  <c r="E84" i="23" s="1"/>
  <c r="D86" i="23"/>
  <c r="E86" i="23" s="1"/>
  <c r="D88" i="23"/>
  <c r="E88" i="23" s="1"/>
  <c r="D90" i="23"/>
  <c r="E90" i="23" s="1"/>
  <c r="D92" i="23"/>
  <c r="E92" i="23" s="1"/>
  <c r="D94" i="23"/>
  <c r="E94" i="23" s="1"/>
  <c r="D3" i="23"/>
  <c r="E3" i="23" s="1"/>
  <c r="D15" i="23"/>
  <c r="E15" i="23" s="1"/>
  <c r="D23" i="23"/>
  <c r="E23" i="23" s="1"/>
  <c r="D31" i="23"/>
  <c r="E31" i="23" s="1"/>
  <c r="D39" i="23"/>
  <c r="E39" i="23" s="1"/>
  <c r="D47" i="23"/>
  <c r="E47" i="23" s="1"/>
  <c r="D55" i="23"/>
  <c r="E55" i="23" s="1"/>
  <c r="D63" i="23"/>
  <c r="E63" i="23" s="1"/>
  <c r="D97" i="23"/>
  <c r="E97" i="23" s="1"/>
  <c r="D104" i="23"/>
  <c r="E104" i="23" s="1"/>
  <c r="D113" i="23"/>
  <c r="E113" i="23" s="1"/>
  <c r="D120" i="23"/>
  <c r="E120" i="23" s="1"/>
  <c r="D7" i="23"/>
  <c r="E7" i="23" s="1"/>
  <c r="D66" i="23"/>
  <c r="E66" i="23" s="1"/>
  <c r="D71" i="23"/>
  <c r="E71" i="23" s="1"/>
  <c r="D79" i="23"/>
  <c r="E79" i="23" s="1"/>
  <c r="D87" i="23"/>
  <c r="E87" i="23" s="1"/>
  <c r="D95" i="23"/>
  <c r="E95" i="23" s="1"/>
  <c r="D102" i="23"/>
  <c r="E102" i="23" s="1"/>
  <c r="D111" i="23"/>
  <c r="E111" i="23" s="1"/>
  <c r="D118" i="23"/>
  <c r="E118" i="23" s="1"/>
  <c r="D98" i="23"/>
  <c r="E98" i="23" s="1"/>
  <c r="D107" i="23"/>
  <c r="E107" i="23" s="1"/>
  <c r="D13" i="23"/>
  <c r="E13" i="23" s="1"/>
  <c r="D21" i="23"/>
  <c r="E21" i="23" s="1"/>
  <c r="D29" i="23"/>
  <c r="E29" i="23" s="1"/>
  <c r="D37" i="23"/>
  <c r="E37" i="23" s="1"/>
  <c r="D45" i="23"/>
  <c r="E45" i="23" s="1"/>
  <c r="D53" i="23"/>
  <c r="E53" i="23" s="1"/>
  <c r="D61" i="23"/>
  <c r="E61" i="23" s="1"/>
  <c r="D100" i="23"/>
  <c r="E100" i="23" s="1"/>
  <c r="D109" i="23"/>
  <c r="E109" i="23" s="1"/>
  <c r="D116" i="23"/>
  <c r="E116" i="23" s="1"/>
  <c r="D69" i="23"/>
  <c r="E69" i="23" s="1"/>
  <c r="D77" i="23"/>
  <c r="E77" i="23" s="1"/>
  <c r="D85" i="23"/>
  <c r="E85" i="23" s="1"/>
  <c r="D93" i="23"/>
  <c r="E93" i="23" s="1"/>
  <c r="D114" i="23"/>
  <c r="E114" i="23" s="1"/>
  <c r="D5" i="23"/>
  <c r="E5" i="23" s="1"/>
  <c r="D11" i="23"/>
  <c r="E11" i="23" s="1"/>
  <c r="D19" i="23"/>
  <c r="E19" i="23" s="1"/>
  <c r="D27" i="23"/>
  <c r="E27" i="23" s="1"/>
  <c r="D35" i="23"/>
  <c r="E35" i="23" s="1"/>
  <c r="D43" i="23"/>
  <c r="E43" i="23" s="1"/>
  <c r="D51" i="23"/>
  <c r="E51" i="23" s="1"/>
  <c r="D59" i="23"/>
  <c r="E59" i="23" s="1"/>
  <c r="D96" i="23"/>
  <c r="E96" i="23" s="1"/>
  <c r="D105" i="23"/>
  <c r="E105" i="23" s="1"/>
  <c r="D112" i="23"/>
  <c r="E112" i="23" s="1"/>
  <c r="D121" i="23"/>
  <c r="E121" i="23" s="1"/>
  <c r="D103" i="23"/>
  <c r="E103" i="23" s="1"/>
  <c r="D110" i="23"/>
  <c r="E110" i="23" s="1"/>
  <c r="D119" i="23"/>
  <c r="E119" i="23" s="1"/>
  <c r="D17" i="23"/>
  <c r="E17" i="23" s="1"/>
  <c r="D25" i="23"/>
  <c r="E25" i="23" s="1"/>
  <c r="D33" i="23"/>
  <c r="E33" i="23" s="1"/>
  <c r="D41" i="23"/>
  <c r="E41" i="23" s="1"/>
  <c r="D49" i="23"/>
  <c r="E49" i="23" s="1"/>
  <c r="D57" i="23"/>
  <c r="E57" i="23" s="1"/>
  <c r="D65" i="23"/>
  <c r="E65" i="23" s="1"/>
  <c r="D101" i="23"/>
  <c r="E101" i="23" s="1"/>
  <c r="D108" i="23"/>
  <c r="E108" i="23" s="1"/>
  <c r="D117" i="23"/>
  <c r="E117" i="23" s="1"/>
  <c r="D73" i="23"/>
  <c r="E73" i="23" s="1"/>
  <c r="D81" i="23"/>
  <c r="E81" i="23" s="1"/>
  <c r="D89" i="23"/>
  <c r="E89" i="23" s="1"/>
  <c r="D99" i="23"/>
  <c r="E99" i="23" s="1"/>
  <c r="D67" i="23"/>
  <c r="E67" i="23" s="1"/>
  <c r="D75" i="23"/>
  <c r="E75" i="23" s="1"/>
  <c r="D83" i="23"/>
  <c r="E83" i="23" s="1"/>
  <c r="D91" i="23"/>
  <c r="E91" i="23" s="1"/>
  <c r="D9" i="23"/>
  <c r="E9" i="23" s="1"/>
  <c r="D106" i="23"/>
  <c r="E106" i="23" s="1"/>
  <c r="D115" i="23"/>
  <c r="E115" i="23" s="1"/>
  <c r="D122" i="23"/>
  <c r="E122" i="23" s="1"/>
  <c r="F12" i="22"/>
  <c r="F13" i="22"/>
  <c r="F120" i="23"/>
  <c r="F38" i="23"/>
  <c r="F97" i="23"/>
  <c r="F94" i="24"/>
  <c r="F47" i="25"/>
  <c r="F91" i="24"/>
  <c r="F21" i="23"/>
  <c r="F33" i="24"/>
  <c r="F31" i="22"/>
  <c r="F4" i="25"/>
  <c r="F27" i="24"/>
  <c r="F11" i="24"/>
  <c r="F41" i="23"/>
  <c r="E4" i="21"/>
  <c r="F5" i="24"/>
  <c r="F114" i="23"/>
  <c r="F25" i="24"/>
  <c r="F89" i="25"/>
  <c r="F110" i="23"/>
  <c r="F9" i="22"/>
  <c r="F74" i="24"/>
  <c r="F51" i="24"/>
  <c r="F10" i="22"/>
  <c r="F69" i="24"/>
  <c r="F24" i="25"/>
  <c r="F26" i="23"/>
  <c r="F107" i="25"/>
  <c r="F21" i="25"/>
  <c r="F8" i="24"/>
  <c r="E12" i="21"/>
  <c r="F60" i="23"/>
  <c r="E8" i="21"/>
  <c r="F58" i="25"/>
  <c r="E16" i="21"/>
  <c r="F118" i="23"/>
  <c r="F67" i="24"/>
  <c r="F32" i="25"/>
  <c r="F43" i="25"/>
  <c r="F107" i="24"/>
  <c r="F36" i="24"/>
  <c r="F63" i="24"/>
  <c r="F19" i="24"/>
  <c r="F81" i="24"/>
  <c r="F46" i="25"/>
  <c r="F104" i="24"/>
  <c r="F81" i="25"/>
  <c r="F10" i="23"/>
  <c r="F66" i="24"/>
  <c r="F117" i="25"/>
  <c r="F87" i="25"/>
  <c r="F108" i="25"/>
  <c r="F40" i="23"/>
  <c r="F20" i="23"/>
  <c r="F38" i="25"/>
  <c r="F101" i="23"/>
  <c r="F61" i="23"/>
  <c r="F109" i="23"/>
  <c r="F92" i="24"/>
  <c r="F6" i="24"/>
  <c r="F23" i="25"/>
  <c r="F113" i="23"/>
  <c r="F115" i="23"/>
  <c r="F53" i="23"/>
  <c r="F61" i="25"/>
  <c r="F88" i="25"/>
  <c r="F101" i="24"/>
  <c r="F25" i="25"/>
  <c r="F64" i="23"/>
  <c r="F56" i="24"/>
  <c r="F12" i="24"/>
  <c r="F99" i="24"/>
  <c r="E20" i="21"/>
  <c r="F21" i="22"/>
  <c r="F102" i="23"/>
  <c r="F90" i="25"/>
  <c r="F58" i="24"/>
  <c r="F78" i="25"/>
  <c r="F55" i="25"/>
  <c r="F55" i="24"/>
  <c r="F24" i="24"/>
  <c r="F64" i="25"/>
  <c r="F22" i="24"/>
  <c r="F103" i="24"/>
  <c r="F89" i="24"/>
  <c r="F100" i="24"/>
  <c r="F34" i="24"/>
  <c r="F60" i="25"/>
  <c r="F95" i="25"/>
  <c r="F50" i="23"/>
  <c r="F15" i="23"/>
  <c r="F18" i="22"/>
  <c r="F73" i="24"/>
  <c r="F14" i="25"/>
  <c r="F28" i="24"/>
  <c r="F24" i="22"/>
  <c r="F121" i="25"/>
  <c r="F116" i="24"/>
  <c r="F121" i="23"/>
  <c r="F9" i="24"/>
  <c r="F68" i="25"/>
  <c r="F8" i="23"/>
  <c r="F24" i="23"/>
  <c r="F35" i="23"/>
  <c r="F75" i="23"/>
  <c r="F120" i="24"/>
  <c r="F65" i="23"/>
  <c r="F18" i="23"/>
  <c r="F28" i="25"/>
  <c r="E3" i="21"/>
  <c r="F17" i="22"/>
  <c r="F102" i="25"/>
  <c r="F23" i="22"/>
  <c r="F37" i="23"/>
  <c r="F5" i="22"/>
  <c r="F18" i="24"/>
  <c r="F76" i="24"/>
  <c r="F48" i="23"/>
  <c r="F122" i="24"/>
  <c r="F16" i="23"/>
  <c r="F99" i="23"/>
  <c r="F39" i="24"/>
  <c r="F55" i="23"/>
  <c r="F36" i="25"/>
  <c r="F114" i="25"/>
  <c r="F4" i="22"/>
  <c r="F35" i="22"/>
  <c r="F11" i="25"/>
  <c r="F76" i="25"/>
  <c r="F49" i="23"/>
  <c r="F52" i="25"/>
  <c r="F78" i="23"/>
  <c r="F103" i="23"/>
  <c r="F43" i="24"/>
  <c r="F10" i="24"/>
  <c r="E10" i="21"/>
  <c r="F82" i="25"/>
  <c r="F27" i="22"/>
  <c r="D4" i="26"/>
  <c r="F32" i="23"/>
  <c r="F11" i="22"/>
  <c r="F34" i="23"/>
  <c r="F112" i="25"/>
  <c r="F5" i="25"/>
  <c r="F15" i="25"/>
  <c r="F48" i="24"/>
  <c r="F20" i="22"/>
  <c r="F6" i="25"/>
  <c r="F12" i="23"/>
  <c r="F113" i="24"/>
  <c r="F8" i="22"/>
  <c r="F29" i="24"/>
  <c r="F74" i="25"/>
  <c r="F42" i="24"/>
  <c r="F6" i="23"/>
  <c r="F111" i="25"/>
  <c r="F84" i="25"/>
  <c r="F25" i="23"/>
  <c r="F78" i="24"/>
  <c r="F53" i="24"/>
  <c r="F7" i="25"/>
  <c r="F72" i="23"/>
  <c r="F9" i="23"/>
  <c r="F23" i="23"/>
  <c r="F91" i="23"/>
  <c r="F80" i="24"/>
  <c r="F19" i="25"/>
  <c r="F33" i="23"/>
  <c r="F104" i="25"/>
  <c r="F20" i="24"/>
  <c r="F54" i="23"/>
  <c r="F23" i="24"/>
  <c r="F71" i="25"/>
  <c r="F47" i="24"/>
  <c r="F41" i="25"/>
  <c r="F16" i="25"/>
  <c r="F41" i="24"/>
  <c r="F86" i="25"/>
  <c r="F42" i="25"/>
  <c r="F72" i="24"/>
  <c r="F90" i="24"/>
  <c r="F16" i="22"/>
  <c r="F96" i="24"/>
  <c r="F112" i="24"/>
  <c r="F90" i="23"/>
  <c r="F63" i="25"/>
  <c r="F79" i="24"/>
  <c r="F29" i="25"/>
  <c r="F30" i="25"/>
  <c r="F122" i="23"/>
  <c r="F85" i="25"/>
  <c r="F118" i="24"/>
  <c r="F83" i="23"/>
  <c r="F65" i="24"/>
  <c r="F44" i="24"/>
  <c r="F110" i="25"/>
  <c r="F46" i="24"/>
  <c r="F84" i="24"/>
  <c r="F105" i="24"/>
  <c r="F105" i="25"/>
  <c r="F80" i="25"/>
  <c r="F70" i="24"/>
  <c r="F68" i="23"/>
  <c r="F93" i="23"/>
  <c r="F57" i="25"/>
  <c r="F71" i="24"/>
  <c r="F17" i="25"/>
  <c r="F79" i="25"/>
  <c r="F74" i="23"/>
  <c r="F17" i="23"/>
  <c r="F109" i="24"/>
  <c r="F108" i="24"/>
  <c r="F27" i="23"/>
  <c r="F102" i="24"/>
  <c r="F45" i="25"/>
  <c r="F63" i="23"/>
  <c r="F84" i="23"/>
  <c r="F31" i="25"/>
  <c r="E15" i="21"/>
  <c r="F3" i="22"/>
  <c r="F57" i="23"/>
  <c r="F88" i="24"/>
  <c r="F115" i="24"/>
  <c r="F96" i="23"/>
  <c r="F21" i="24"/>
  <c r="F100" i="23"/>
  <c r="F40" i="25"/>
  <c r="F14" i="23"/>
  <c r="F96" i="25"/>
  <c r="F42" i="23"/>
  <c r="F64" i="24"/>
  <c r="F26" i="24"/>
  <c r="F59" i="24"/>
  <c r="F27" i="25"/>
  <c r="F82" i="24"/>
  <c r="F66" i="23"/>
  <c r="F30" i="22"/>
  <c r="F107" i="23"/>
  <c r="F37" i="25"/>
  <c r="F115" i="25"/>
  <c r="F60" i="24"/>
  <c r="F3" i="25"/>
  <c r="F75" i="25"/>
  <c r="F65" i="25"/>
  <c r="F33" i="25"/>
  <c r="F49" i="25"/>
  <c r="F97" i="24"/>
  <c r="F45" i="24"/>
  <c r="F73" i="25"/>
  <c r="F17" i="24"/>
  <c r="F61" i="24"/>
  <c r="F113" i="25"/>
  <c r="F7" i="22"/>
  <c r="F59" i="25"/>
  <c r="E14" i="21"/>
  <c r="F122" i="25"/>
  <c r="E19" i="21"/>
  <c r="F52" i="23"/>
  <c r="F28" i="23"/>
  <c r="F4" i="24"/>
  <c r="F11" i="23"/>
  <c r="F57" i="24"/>
  <c r="F12" i="25"/>
  <c r="F98" i="25"/>
  <c r="F9" i="25"/>
  <c r="F19" i="23"/>
  <c r="F26" i="22"/>
  <c r="F83" i="25"/>
  <c r="F87" i="24"/>
  <c r="E11" i="21"/>
  <c r="F50" i="25"/>
  <c r="F120" i="25"/>
  <c r="F20" i="25"/>
  <c r="F56" i="23"/>
  <c r="F32" i="24"/>
  <c r="F94" i="23"/>
  <c r="F104" i="23"/>
  <c r="F91" i="25"/>
  <c r="F40" i="24"/>
  <c r="F54" i="25"/>
  <c r="F7" i="24"/>
  <c r="F54" i="24"/>
  <c r="F82" i="23"/>
  <c r="F86" i="23"/>
  <c r="F76" i="23"/>
  <c r="F70" i="25"/>
  <c r="F108" i="23"/>
  <c r="F97" i="25"/>
  <c r="F98" i="23"/>
  <c r="F109" i="25"/>
  <c r="F105" i="23"/>
  <c r="F48" i="25"/>
  <c r="F44" i="25"/>
  <c r="F37" i="24"/>
  <c r="F56" i="25"/>
  <c r="F116" i="25"/>
  <c r="F59" i="23"/>
  <c r="F88" i="23"/>
  <c r="F106" i="25"/>
  <c r="F101" i="25"/>
  <c r="F14" i="22"/>
  <c r="F98" i="24"/>
  <c r="F34" i="25"/>
  <c r="F85" i="24"/>
  <c r="F116" i="23"/>
  <c r="F46" i="23"/>
  <c r="F75" i="24"/>
  <c r="F15" i="22"/>
  <c r="F93" i="24"/>
  <c r="F106" i="23"/>
  <c r="F38" i="24"/>
  <c r="F119" i="24"/>
  <c r="F111" i="24"/>
  <c r="F49" i="24"/>
  <c r="F35" i="24"/>
  <c r="F44" i="23"/>
  <c r="F72" i="25"/>
  <c r="F7" i="23"/>
  <c r="F114" i="24"/>
  <c r="F3" i="24"/>
  <c r="F47" i="23"/>
  <c r="F15" i="24"/>
  <c r="F10" i="25"/>
  <c r="F52" i="24"/>
  <c r="F81" i="23"/>
  <c r="F18" i="25"/>
  <c r="F93" i="25"/>
  <c r="F110" i="24"/>
  <c r="F118" i="25"/>
  <c r="F77" i="23"/>
  <c r="F67" i="25"/>
  <c r="F30" i="23"/>
  <c r="F31" i="23"/>
  <c r="F51" i="23"/>
  <c r="F94" i="25"/>
  <c r="F31" i="24"/>
  <c r="F100" i="25"/>
  <c r="F14" i="24"/>
  <c r="F66" i="25"/>
  <c r="F43" i="23"/>
  <c r="F89" i="23"/>
  <c r="F80" i="23"/>
  <c r="F92" i="25"/>
  <c r="F36" i="23"/>
  <c r="F70" i="23"/>
  <c r="F16" i="24"/>
  <c r="F95" i="24"/>
  <c r="F33" i="22"/>
  <c r="F22" i="23"/>
  <c r="F62" i="24"/>
  <c r="F13" i="25"/>
  <c r="F45" i="23"/>
  <c r="F69" i="25"/>
  <c r="F53" i="25"/>
  <c r="F22" i="22"/>
  <c r="F119" i="23"/>
  <c r="F32" i="22"/>
  <c r="F99" i="25"/>
  <c r="F22" i="25"/>
  <c r="F71" i="23"/>
  <c r="F92" i="23"/>
  <c r="F50" i="24"/>
  <c r="F4" i="23"/>
  <c r="F5" i="23"/>
  <c r="F26" i="25"/>
  <c r="F35" i="25"/>
  <c r="F34" i="22"/>
  <c r="F13" i="23"/>
  <c r="F29" i="23"/>
  <c r="F117" i="23"/>
  <c r="F77" i="24"/>
  <c r="F58" i="23"/>
  <c r="F87" i="23"/>
  <c r="F30" i="24"/>
  <c r="F51" i="25"/>
  <c r="F121" i="24"/>
  <c r="F68" i="24"/>
  <c r="F86" i="24"/>
  <c r="F119" i="25"/>
  <c r="F112" i="23"/>
  <c r="E13" i="21"/>
  <c r="F79" i="23"/>
  <c r="F69" i="23"/>
  <c r="F13" i="24"/>
  <c r="F117" i="24"/>
  <c r="F83" i="24"/>
  <c r="F77" i="25"/>
  <c r="F103" i="25"/>
  <c r="F67" i="23"/>
  <c r="F3" i="23"/>
  <c r="G3" i="23" s="1"/>
  <c r="F39" i="23"/>
  <c r="F95" i="23"/>
  <c r="F62" i="23"/>
  <c r="F85" i="23"/>
  <c r="F39" i="25"/>
  <c r="F106" i="24"/>
  <c r="F6" i="22"/>
  <c r="F62" i="25"/>
  <c r="F73" i="23"/>
  <c r="F111" i="23"/>
  <c r="F8" i="25"/>
  <c r="F2" i="24"/>
  <c r="E2" i="22"/>
  <c r="D2" i="21"/>
  <c r="F2" i="23"/>
  <c r="F2" i="25"/>
  <c r="C2" i="26"/>
  <c r="C3" i="19" l="1"/>
  <c r="D3" i="19"/>
  <c r="D4" i="19" s="1"/>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C3" i="18"/>
  <c r="C4" i="18" s="1"/>
  <c r="D3" i="18"/>
  <c r="D4" i="18" s="1"/>
  <c r="D5" i="18" s="1"/>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C3" i="17"/>
  <c r="D3" i="17"/>
  <c r="D4" i="17" s="1"/>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G4" i="24"/>
  <c r="G64" i="23"/>
  <c r="G27" i="23"/>
  <c r="G30" i="25"/>
  <c r="G34" i="24"/>
  <c r="G41" i="23"/>
  <c r="G87" i="25"/>
  <c r="G65" i="24"/>
  <c r="G59" i="24"/>
  <c r="G121" i="24"/>
  <c r="G48" i="23"/>
  <c r="G59" i="23"/>
  <c r="G35" i="23"/>
  <c r="G48" i="25"/>
  <c r="G114" i="23"/>
  <c r="G90" i="25"/>
  <c r="G11" i="24"/>
  <c r="G60" i="24"/>
  <c r="G108" i="23"/>
  <c r="G15" i="25"/>
  <c r="G53" i="25"/>
  <c r="G65" i="25"/>
  <c r="G89" i="23"/>
  <c r="G67" i="24"/>
  <c r="G116" i="23"/>
  <c r="G3" i="25"/>
  <c r="G68" i="23"/>
  <c r="G113" i="25"/>
  <c r="G72" i="24"/>
  <c r="G69" i="23"/>
  <c r="G17" i="23"/>
  <c r="G52" i="25"/>
  <c r="G100" i="24"/>
  <c r="G120" i="24"/>
  <c r="G22" i="24"/>
  <c r="G98" i="23"/>
  <c r="G44" i="25"/>
  <c r="G21" i="24"/>
  <c r="G12" i="25"/>
  <c r="G101" i="23"/>
  <c r="G84" i="25"/>
  <c r="G96" i="24"/>
  <c r="G62" i="25"/>
  <c r="G17" i="25"/>
  <c r="G44" i="23"/>
  <c r="G85" i="24"/>
  <c r="G53" i="24"/>
  <c r="G51" i="25"/>
  <c r="G111" i="25"/>
  <c r="G69" i="25"/>
  <c r="G61" i="25"/>
  <c r="G64" i="25"/>
  <c r="G111" i="24"/>
  <c r="G70" i="25"/>
  <c r="G70" i="23"/>
  <c r="G11" i="23"/>
  <c r="G45" i="24"/>
  <c r="G16" i="24"/>
  <c r="G22" i="25"/>
  <c r="G101" i="24"/>
  <c r="G8" i="24"/>
  <c r="G115" i="23"/>
  <c r="G19" i="24"/>
  <c r="G104" i="25"/>
  <c r="G54" i="24"/>
  <c r="G42" i="24"/>
  <c r="G100" i="25"/>
  <c r="G84" i="24"/>
  <c r="G78" i="23"/>
  <c r="G10" i="25"/>
  <c r="G4" i="25"/>
  <c r="G115" i="25"/>
  <c r="G76" i="23"/>
  <c r="G26" i="23"/>
  <c r="G107" i="23"/>
  <c r="G32" i="24"/>
  <c r="G97" i="23"/>
  <c r="G16" i="25"/>
  <c r="G103" i="25"/>
  <c r="G82" i="23"/>
  <c r="G28" i="24"/>
  <c r="G36" i="23"/>
  <c r="G104" i="24"/>
  <c r="G61" i="24"/>
  <c r="G91" i="24"/>
  <c r="G90" i="24"/>
  <c r="G38" i="23"/>
  <c r="G50" i="24"/>
  <c r="G12" i="23"/>
  <c r="G94" i="25"/>
  <c r="G85" i="23"/>
  <c r="G58" i="25"/>
  <c r="G89" i="25"/>
  <c r="G80" i="23"/>
  <c r="G4" i="23"/>
  <c r="G119" i="24"/>
  <c r="G23" i="25"/>
  <c r="G83" i="24"/>
  <c r="G40" i="24"/>
  <c r="G57" i="25"/>
  <c r="G63" i="25"/>
  <c r="G112" i="25"/>
  <c r="G106" i="23"/>
  <c r="G5" i="23"/>
  <c r="G112" i="23"/>
  <c r="G31" i="23"/>
  <c r="G88" i="23"/>
  <c r="G77" i="23"/>
  <c r="G87" i="24"/>
  <c r="G120" i="23"/>
  <c r="G42" i="25"/>
  <c r="G52" i="24"/>
  <c r="G98" i="25"/>
  <c r="G112" i="24"/>
  <c r="G40" i="25"/>
  <c r="G66" i="24"/>
  <c r="G67" i="25"/>
  <c r="G101" i="25"/>
  <c r="G119" i="25"/>
  <c r="G105" i="23"/>
  <c r="G34" i="25"/>
  <c r="G35" i="24"/>
  <c r="G81" i="25"/>
  <c r="G61" i="23"/>
  <c r="G70" i="24"/>
  <c r="G71" i="25"/>
  <c r="G106" i="24"/>
  <c r="G88" i="25"/>
  <c r="G113" i="23"/>
  <c r="G78" i="24"/>
  <c r="G68" i="24"/>
  <c r="G83" i="25"/>
  <c r="G72" i="23"/>
  <c r="G21" i="25"/>
  <c r="G85" i="25"/>
  <c r="G36" i="24"/>
  <c r="G18" i="23"/>
  <c r="G24" i="23"/>
  <c r="G31" i="25"/>
  <c r="G17" i="24"/>
  <c r="G104" i="23"/>
  <c r="G117" i="23"/>
  <c r="G62" i="24"/>
  <c r="G29" i="25"/>
  <c r="G91" i="23"/>
  <c r="G117" i="25"/>
  <c r="G46" i="24"/>
  <c r="G74" i="23"/>
  <c r="G87" i="23"/>
  <c r="G77" i="25"/>
  <c r="G41" i="24"/>
  <c r="G38" i="25"/>
  <c r="G80" i="24"/>
  <c r="G65" i="23"/>
  <c r="G54" i="23"/>
  <c r="G76" i="25"/>
  <c r="G73" i="23"/>
  <c r="G20" i="23"/>
  <c r="G32" i="25"/>
  <c r="G84" i="23"/>
  <c r="G122" i="25"/>
  <c r="G107" i="25"/>
  <c r="G72" i="25"/>
  <c r="G49" i="24"/>
  <c r="G5" i="25"/>
  <c r="G120" i="25"/>
  <c r="G83" i="23"/>
  <c r="G49" i="25"/>
  <c r="G117" i="24"/>
  <c r="G19" i="23"/>
  <c r="G25" i="23"/>
  <c r="G74" i="24"/>
  <c r="G53" i="23"/>
  <c r="G13" i="24"/>
  <c r="G121" i="25"/>
  <c r="G89" i="24"/>
  <c r="G29" i="23"/>
  <c r="G96" i="25"/>
  <c r="G94" i="23"/>
  <c r="G79" i="25"/>
  <c r="G33" i="24"/>
  <c r="G14" i="23"/>
  <c r="G23" i="23"/>
  <c r="G8" i="25"/>
  <c r="G110" i="24"/>
  <c r="G86" i="24"/>
  <c r="G46" i="23"/>
  <c r="G103" i="24"/>
  <c r="G118" i="24"/>
  <c r="G16" i="23"/>
  <c r="G119" i="23"/>
  <c r="G45" i="25"/>
  <c r="G28" i="23"/>
  <c r="G14" i="25"/>
  <c r="G66" i="25"/>
  <c r="G11" i="25"/>
  <c r="G43" i="23"/>
  <c r="G57" i="24"/>
  <c r="G86" i="23"/>
  <c r="G71" i="23"/>
  <c r="G95" i="23"/>
  <c r="G110" i="25"/>
  <c r="G71" i="24"/>
  <c r="G102" i="25"/>
  <c r="G97" i="24"/>
  <c r="G95" i="25"/>
  <c r="G39" i="23"/>
  <c r="G26" i="25"/>
  <c r="G35" i="25"/>
  <c r="G25" i="24"/>
  <c r="G36" i="25"/>
  <c r="G73" i="25"/>
  <c r="G50" i="23"/>
  <c r="G69" i="24"/>
  <c r="G28" i="25"/>
  <c r="G109" i="23"/>
  <c r="G91" i="25"/>
  <c r="G48" i="24"/>
  <c r="G99" i="24"/>
  <c r="G100" i="23"/>
  <c r="G114" i="25"/>
  <c r="G45" i="23"/>
  <c r="G26" i="24"/>
  <c r="G82" i="25"/>
  <c r="G102" i="24"/>
  <c r="G82" i="24"/>
  <c r="G24" i="24"/>
  <c r="G41" i="25"/>
  <c r="G10" i="24"/>
  <c r="G31" i="24"/>
  <c r="G66" i="23"/>
  <c r="G38" i="24"/>
  <c r="G75" i="23"/>
  <c r="G56" i="24"/>
  <c r="G114" i="24"/>
  <c r="G14" i="24"/>
  <c r="G25" i="25"/>
  <c r="G49" i="23"/>
  <c r="G6" i="25"/>
  <c r="G12" i="24"/>
  <c r="G3" i="24"/>
  <c r="G6" i="24"/>
  <c r="G60" i="25"/>
  <c r="G86" i="25"/>
  <c r="G109" i="25"/>
  <c r="G33" i="25"/>
  <c r="G115" i="24"/>
  <c r="G55" i="24"/>
  <c r="G15" i="23"/>
  <c r="G88" i="24"/>
  <c r="G60" i="23"/>
  <c r="G21" i="23"/>
  <c r="G110" i="23"/>
  <c r="G111" i="23"/>
  <c r="G33" i="23"/>
  <c r="G37" i="25"/>
  <c r="G37" i="24"/>
  <c r="G47" i="24"/>
  <c r="G57" i="23"/>
  <c r="G15" i="24"/>
  <c r="G93" i="25"/>
  <c r="G56" i="23"/>
  <c r="G18" i="24"/>
  <c r="G62" i="23"/>
  <c r="G116" i="25"/>
  <c r="G81" i="24"/>
  <c r="G7" i="25"/>
  <c r="G7" i="24"/>
  <c r="G34" i="23"/>
  <c r="G92" i="24"/>
  <c r="G105" i="24"/>
  <c r="G19" i="25"/>
  <c r="G92" i="23"/>
  <c r="G30" i="23"/>
  <c r="G39" i="25"/>
  <c r="G96" i="23"/>
  <c r="G105" i="25"/>
  <c r="G55" i="23"/>
  <c r="G50" i="25"/>
  <c r="G47" i="23"/>
  <c r="G79" i="24"/>
  <c r="G13" i="25"/>
  <c r="G93" i="23"/>
  <c r="G79" i="23"/>
  <c r="G78" i="25"/>
  <c r="G44" i="24"/>
  <c r="G43" i="24"/>
  <c r="G102" i="23"/>
  <c r="G18" i="25"/>
  <c r="G92" i="25"/>
  <c r="G99" i="25"/>
  <c r="G42" i="23"/>
  <c r="G122" i="24"/>
  <c r="G63" i="24"/>
  <c r="G75" i="24"/>
  <c r="G23" i="24"/>
  <c r="G10" i="23"/>
  <c r="G22" i="23"/>
  <c r="G9" i="25"/>
  <c r="G68" i="25"/>
  <c r="G75" i="25"/>
  <c r="G8" i="23"/>
  <c r="G90" i="23"/>
  <c r="G122" i="23"/>
  <c r="G32" i="23"/>
  <c r="G64" i="24"/>
  <c r="G58" i="24"/>
  <c r="G74" i="25"/>
  <c r="G99" i="23"/>
  <c r="G27" i="24"/>
  <c r="G121" i="23"/>
  <c r="G43" i="25"/>
  <c r="G97" i="25"/>
  <c r="G81" i="23"/>
  <c r="G103" i="23"/>
  <c r="G106" i="25"/>
  <c r="G20" i="24"/>
  <c r="G113" i="24"/>
  <c r="G93" i="24"/>
  <c r="G67" i="23"/>
  <c r="G80" i="25"/>
  <c r="G9" i="23"/>
  <c r="G30" i="24"/>
  <c r="G20" i="25"/>
  <c r="G27" i="25"/>
  <c r="G108" i="25"/>
  <c r="G63" i="23"/>
  <c r="G39" i="24"/>
  <c r="G77" i="24"/>
  <c r="G107" i="24"/>
  <c r="G58" i="23"/>
  <c r="G29" i="24"/>
  <c r="G47" i="25"/>
  <c r="G108" i="24"/>
  <c r="G6" i="23"/>
  <c r="G7" i="23"/>
  <c r="G55" i="25"/>
  <c r="G9" i="24"/>
  <c r="G54" i="25"/>
  <c r="G95" i="24"/>
  <c r="G56" i="25"/>
  <c r="G73" i="24"/>
  <c r="G98" i="24"/>
  <c r="G94" i="24"/>
  <c r="G40" i="23"/>
  <c r="G37" i="23"/>
  <c r="G51" i="24"/>
  <c r="G24" i="25"/>
  <c r="G118" i="25"/>
  <c r="G46" i="25"/>
  <c r="G118" i="23"/>
  <c r="G116" i="24"/>
  <c r="G59" i="25"/>
  <c r="G52" i="23"/>
  <c r="G5" i="24"/>
  <c r="G109" i="24"/>
  <c r="G51" i="23"/>
  <c r="G76" i="24"/>
  <c r="G13" i="23"/>
  <c r="F2" i="22"/>
  <c r="E2" i="21"/>
  <c r="D2" i="26"/>
  <c r="G2" i="25"/>
  <c r="G2" i="24"/>
  <c r="G2" i="23"/>
  <c r="E3" i="17" l="1"/>
  <c r="E3" i="19"/>
  <c r="C4" i="19"/>
  <c r="E3" i="18"/>
  <c r="E2" i="18"/>
  <c r="C5" i="18"/>
  <c r="E4" i="18"/>
  <c r="C4" i="17"/>
  <c r="F3" i="17"/>
  <c r="F3" i="19"/>
  <c r="F3" i="18"/>
  <c r="F4" i="18"/>
  <c r="G4" i="18" s="1"/>
  <c r="C5" i="19" l="1"/>
  <c r="E4" i="19"/>
  <c r="E5" i="18"/>
  <c r="C6" i="18"/>
  <c r="E2" i="17"/>
  <c r="C5" i="17"/>
  <c r="E4" i="17"/>
  <c r="G3" i="17"/>
  <c r="G3" i="18"/>
  <c r="F4" i="19"/>
  <c r="F5" i="18"/>
  <c r="G5" i="18"/>
  <c r="G3" i="19"/>
  <c r="F4" i="17"/>
  <c r="E5" i="19" l="1"/>
  <c r="C6" i="19"/>
  <c r="E6" i="18"/>
  <c r="C7" i="18"/>
  <c r="C6" i="17"/>
  <c r="E5" i="17"/>
  <c r="G4" i="19"/>
  <c r="F5" i="17"/>
  <c r="F6" i="18"/>
  <c r="G6" i="18" s="1"/>
  <c r="G4" i="17"/>
  <c r="F5" i="19"/>
  <c r="E6" i="19" l="1"/>
  <c r="C7" i="19"/>
  <c r="C8" i="18"/>
  <c r="E7" i="18"/>
  <c r="E6" i="17"/>
  <c r="C7" i="17"/>
  <c r="G5" i="17"/>
  <c r="G5" i="19"/>
  <c r="F6" i="19"/>
  <c r="F6" i="17"/>
  <c r="F7" i="18"/>
  <c r="E2" i="19" l="1"/>
  <c r="C8" i="19"/>
  <c r="E7" i="19"/>
  <c r="E8" i="18"/>
  <c r="C9" i="18"/>
  <c r="C8" i="17"/>
  <c r="E7" i="17"/>
  <c r="G6" i="19"/>
  <c r="F7" i="17"/>
  <c r="G7" i="18"/>
  <c r="G7" i="17"/>
  <c r="G6" i="17"/>
  <c r="F7" i="19"/>
  <c r="G7" i="19" s="1"/>
  <c r="F8" i="18"/>
  <c r="E8" i="19" l="1"/>
  <c r="C9" i="19"/>
  <c r="E9" i="18"/>
  <c r="C10" i="18"/>
  <c r="E8" i="17"/>
  <c r="C9" i="17"/>
  <c r="F8" i="17"/>
  <c r="G8" i="18"/>
  <c r="F8" i="19"/>
  <c r="F9" i="18"/>
  <c r="C10" i="19" l="1"/>
  <c r="E9" i="19"/>
  <c r="C11" i="18"/>
  <c r="E10" i="18"/>
  <c r="C10" i="17"/>
  <c r="E9" i="17"/>
  <c r="G8" i="17"/>
  <c r="F10" i="18"/>
  <c r="G9" i="18"/>
  <c r="F9" i="19"/>
  <c r="G8" i="19"/>
  <c r="F9" i="17"/>
  <c r="E10" i="19" l="1"/>
  <c r="C11" i="19"/>
  <c r="E11" i="18"/>
  <c r="C12" i="18"/>
  <c r="E10" i="17"/>
  <c r="C11" i="17"/>
  <c r="G9" i="17"/>
  <c r="F10" i="17"/>
  <c r="F10" i="19"/>
  <c r="G10" i="18"/>
  <c r="F11" i="18"/>
  <c r="G9" i="19"/>
  <c r="E11" i="19" l="1"/>
  <c r="C12" i="19"/>
  <c r="C13" i="18"/>
  <c r="E12" i="18"/>
  <c r="E11" i="17"/>
  <c r="C12" i="17"/>
  <c r="G10" i="19"/>
  <c r="G11" i="18"/>
  <c r="G10" i="17"/>
  <c r="F12" i="18"/>
  <c r="F11" i="17"/>
  <c r="G11" i="17" s="1"/>
  <c r="F11" i="19"/>
  <c r="G11" i="19" s="1"/>
  <c r="C13" i="19" l="1"/>
  <c r="E12" i="19"/>
  <c r="C14" i="18"/>
  <c r="E13" i="18"/>
  <c r="C13" i="17"/>
  <c r="E12" i="17"/>
  <c r="F12" i="19"/>
  <c r="F12" i="17"/>
  <c r="G12" i="17" s="1"/>
  <c r="F13" i="18"/>
  <c r="G12" i="18"/>
  <c r="E13" i="19" l="1"/>
  <c r="C14" i="19"/>
  <c r="C15" i="18"/>
  <c r="E14" i="18"/>
  <c r="E13" i="17"/>
  <c r="C14" i="17"/>
  <c r="F13" i="17"/>
  <c r="G12" i="19"/>
  <c r="F14" i="18"/>
  <c r="F13" i="19"/>
  <c r="G13" i="18"/>
  <c r="E14" i="19" l="1"/>
  <c r="C15" i="19"/>
  <c r="C16" i="18"/>
  <c r="E15" i="18"/>
  <c r="E14" i="17"/>
  <c r="C15" i="17"/>
  <c r="F14" i="19"/>
  <c r="F15" i="18"/>
  <c r="G13" i="19"/>
  <c r="G13" i="17"/>
  <c r="F14" i="17"/>
  <c r="G14" i="17" s="1"/>
  <c r="G14" i="18"/>
  <c r="G15" i="18"/>
  <c r="C16" i="19" l="1"/>
  <c r="E15" i="19"/>
  <c r="E16" i="18"/>
  <c r="C17" i="18"/>
  <c r="C16" i="17"/>
  <c r="E15" i="17"/>
  <c r="G14" i="19"/>
  <c r="F15" i="17"/>
  <c r="F16" i="18"/>
  <c r="G16" i="18" s="1"/>
  <c r="F15" i="19"/>
  <c r="E16" i="19" l="1"/>
  <c r="C17" i="19"/>
  <c r="E17" i="18"/>
  <c r="C18" i="18"/>
  <c r="E16" i="17"/>
  <c r="C17" i="17"/>
  <c r="G15" i="19"/>
  <c r="F17" i="18"/>
  <c r="G15" i="17"/>
  <c r="F16" i="17"/>
  <c r="F16" i="19"/>
  <c r="C18" i="19" l="1"/>
  <c r="E17" i="19"/>
  <c r="C19" i="18"/>
  <c r="E18" i="18"/>
  <c r="C18" i="17"/>
  <c r="E17" i="17"/>
  <c r="F17" i="17"/>
  <c r="G16" i="19"/>
  <c r="G17" i="17"/>
  <c r="G16" i="17"/>
  <c r="F17" i="19"/>
  <c r="G17" i="19" s="1"/>
  <c r="G17" i="18"/>
  <c r="F18" i="18"/>
  <c r="G18" i="18" s="1"/>
  <c r="E18" i="19" l="1"/>
  <c r="C19" i="19"/>
  <c r="C20" i="18"/>
  <c r="E19" i="18"/>
  <c r="E18" i="17"/>
  <c r="C19" i="17"/>
  <c r="F19" i="18"/>
  <c r="F18" i="17"/>
  <c r="F18" i="19"/>
  <c r="G18" i="19" s="1"/>
  <c r="E19" i="19" l="1"/>
  <c r="C20" i="19"/>
  <c r="E20" i="18"/>
  <c r="C21" i="18"/>
  <c r="E19" i="17"/>
  <c r="C20" i="17"/>
  <c r="F19" i="19"/>
  <c r="F20" i="18"/>
  <c r="G19" i="18"/>
  <c r="G18" i="17"/>
  <c r="F19" i="17"/>
  <c r="G19" i="17" s="1"/>
  <c r="C21" i="19" l="1"/>
  <c r="E20" i="19"/>
  <c r="C22" i="18"/>
  <c r="E21" i="18"/>
  <c r="C21" i="17"/>
  <c r="E20" i="17"/>
  <c r="F21" i="18"/>
  <c r="G19" i="19"/>
  <c r="G20" i="18"/>
  <c r="F20" i="17"/>
  <c r="G20" i="17"/>
  <c r="F20" i="19"/>
  <c r="E21" i="19" l="1"/>
  <c r="C22" i="19"/>
  <c r="C23" i="18"/>
  <c r="E22" i="18"/>
  <c r="E21" i="17"/>
  <c r="C22" i="17"/>
  <c r="G20" i="19"/>
  <c r="F21" i="19"/>
  <c r="G21" i="18"/>
  <c r="F22" i="18"/>
  <c r="F21" i="17"/>
  <c r="E22" i="19" l="1"/>
  <c r="C23" i="19"/>
  <c r="C24" i="18"/>
  <c r="E23" i="18"/>
  <c r="E22" i="17"/>
  <c r="C23" i="17"/>
  <c r="G21" i="17"/>
  <c r="G22" i="18"/>
  <c r="F22" i="19"/>
  <c r="G21" i="19"/>
  <c r="F23" i="18"/>
  <c r="F22" i="17"/>
  <c r="C24" i="19" l="1"/>
  <c r="E23" i="19"/>
  <c r="E24" i="18"/>
  <c r="C25" i="18"/>
  <c r="C24" i="17"/>
  <c r="E23" i="17"/>
  <c r="G23" i="18"/>
  <c r="F23" i="17"/>
  <c r="G22" i="19"/>
  <c r="F23" i="19"/>
  <c r="F24" i="18"/>
  <c r="G22" i="17"/>
  <c r="E24" i="19" l="1"/>
  <c r="C25" i="19"/>
  <c r="E25" i="18"/>
  <c r="C26" i="18"/>
  <c r="E24" i="17"/>
  <c r="C25" i="17"/>
  <c r="G24" i="18"/>
  <c r="G23" i="17"/>
  <c r="F24" i="19"/>
  <c r="G24" i="19"/>
  <c r="G23" i="19"/>
  <c r="F24" i="17"/>
  <c r="F25" i="18"/>
  <c r="G25" i="18" s="1"/>
  <c r="G24" i="17"/>
  <c r="C26" i="19" l="1"/>
  <c r="E25" i="19"/>
  <c r="C27" i="18"/>
  <c r="E26" i="18"/>
  <c r="C26" i="17"/>
  <c r="E25" i="17"/>
  <c r="F25" i="19"/>
  <c r="F26" i="18"/>
  <c r="F25" i="17"/>
  <c r="G25" i="17"/>
  <c r="E26" i="19" l="1"/>
  <c r="C27" i="19"/>
  <c r="C28" i="18"/>
  <c r="E27" i="18"/>
  <c r="E26" i="17"/>
  <c r="C27" i="17"/>
  <c r="G25" i="19"/>
  <c r="F27" i="18"/>
  <c r="G26" i="18"/>
  <c r="F26" i="19"/>
  <c r="F26" i="17"/>
  <c r="G26" i="17" s="1"/>
  <c r="E27" i="19" l="1"/>
  <c r="C28" i="19"/>
  <c r="E28" i="18"/>
  <c r="C29" i="18"/>
  <c r="E27" i="17"/>
  <c r="C28" i="17"/>
  <c r="F27" i="19"/>
  <c r="F28" i="18"/>
  <c r="G27" i="18"/>
  <c r="G26" i="19"/>
  <c r="F27" i="17"/>
  <c r="G27" i="17" s="1"/>
  <c r="C29" i="19" l="1"/>
  <c r="E28" i="19"/>
  <c r="E29" i="18"/>
  <c r="C30" i="18"/>
  <c r="C29" i="17"/>
  <c r="E28" i="17"/>
  <c r="F28" i="17"/>
  <c r="G28" i="18"/>
  <c r="G27" i="19"/>
  <c r="F28" i="19"/>
  <c r="F29" i="18"/>
  <c r="E29" i="19" l="1"/>
  <c r="C30" i="19"/>
  <c r="C31" i="18"/>
  <c r="E30" i="18"/>
  <c r="C30" i="17"/>
  <c r="E29" i="17"/>
  <c r="G29" i="18"/>
  <c r="G28" i="17"/>
  <c r="G28" i="19"/>
  <c r="F29" i="17"/>
  <c r="F29" i="19"/>
  <c r="F30" i="18"/>
  <c r="E30" i="19" l="1"/>
  <c r="C31" i="19"/>
  <c r="C32" i="18"/>
  <c r="E31" i="18"/>
  <c r="E30" i="17"/>
  <c r="C31" i="17"/>
  <c r="G30" i="18"/>
  <c r="G29" i="19"/>
  <c r="F30" i="17"/>
  <c r="G29" i="17"/>
  <c r="F30" i="19"/>
  <c r="G30" i="17"/>
  <c r="F31" i="18"/>
  <c r="C32" i="19" l="1"/>
  <c r="E31" i="19"/>
  <c r="E32" i="18"/>
  <c r="C33" i="18"/>
  <c r="C32" i="17"/>
  <c r="E31" i="17"/>
  <c r="F32" i="18"/>
  <c r="G30" i="19"/>
  <c r="G32" i="18"/>
  <c r="F31" i="17"/>
  <c r="F31" i="19"/>
  <c r="G31" i="18"/>
  <c r="E32" i="19" l="1"/>
  <c r="C33" i="19"/>
  <c r="E33" i="18"/>
  <c r="C34" i="18"/>
  <c r="E32" i="17"/>
  <c r="C33" i="17"/>
  <c r="G31" i="19"/>
  <c r="F32" i="19"/>
  <c r="G31" i="17"/>
  <c r="F32" i="17"/>
  <c r="G32" i="19"/>
  <c r="F33" i="18"/>
  <c r="G32" i="17"/>
  <c r="C34" i="19" l="1"/>
  <c r="E33" i="19"/>
  <c r="C35" i="18"/>
  <c r="E34" i="18"/>
  <c r="C34" i="17"/>
  <c r="E33" i="17"/>
  <c r="F33" i="19"/>
  <c r="G33" i="19" s="1"/>
  <c r="G33" i="18"/>
  <c r="F33" i="17"/>
  <c r="G33" i="17"/>
  <c r="F34" i="18"/>
  <c r="G34" i="18"/>
  <c r="E34" i="19" l="1"/>
  <c r="C35" i="19"/>
  <c r="E35" i="18"/>
  <c r="C36" i="18"/>
  <c r="E34" i="17"/>
  <c r="C35" i="17"/>
  <c r="F34" i="19"/>
  <c r="F35" i="18"/>
  <c r="F34" i="17"/>
  <c r="G35" i="18"/>
  <c r="G34" i="19"/>
  <c r="E35" i="19" l="1"/>
  <c r="C36" i="19"/>
  <c r="E36" i="18"/>
  <c r="C37" i="18"/>
  <c r="E35" i="17"/>
  <c r="C36" i="17"/>
  <c r="F35" i="19"/>
  <c r="G34" i="17"/>
  <c r="G35" i="19"/>
  <c r="F36" i="18"/>
  <c r="F35" i="17"/>
  <c r="G36" i="18"/>
  <c r="C37" i="19" l="1"/>
  <c r="E36" i="19"/>
  <c r="E37" i="18"/>
  <c r="C38" i="18"/>
  <c r="C37" i="17"/>
  <c r="E36" i="17"/>
  <c r="G35" i="17"/>
  <c r="F37" i="18"/>
  <c r="G37" i="18"/>
  <c r="F36" i="17"/>
  <c r="G36" i="17"/>
  <c r="F36" i="19"/>
  <c r="G36" i="19" s="1"/>
  <c r="E37" i="19" l="1"/>
  <c r="C38" i="19"/>
  <c r="E38" i="18"/>
  <c r="C39" i="18"/>
  <c r="C38" i="17"/>
  <c r="E37" i="17"/>
  <c r="F37" i="19"/>
  <c r="F37" i="17"/>
  <c r="G37" i="17" s="1"/>
  <c r="G37" i="19"/>
  <c r="F38" i="18"/>
  <c r="C39" i="19" l="1"/>
  <c r="E38" i="19"/>
  <c r="E39" i="18"/>
  <c r="C40" i="18"/>
  <c r="E40" i="18" s="1"/>
  <c r="E38" i="17"/>
  <c r="C39" i="17"/>
  <c r="G38" i="18"/>
  <c r="F40" i="18"/>
  <c r="F38" i="17"/>
  <c r="G38" i="17" s="1"/>
  <c r="F39" i="18"/>
  <c r="G39" i="18" s="1"/>
  <c r="F38" i="19"/>
  <c r="G38" i="19" s="1"/>
  <c r="F2" i="18"/>
  <c r="C40" i="19" l="1"/>
  <c r="E40" i="19" s="1"/>
  <c r="E39" i="19"/>
  <c r="C40" i="17"/>
  <c r="E40" i="17" s="1"/>
  <c r="E39"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41" i="15"/>
  <c r="G57" i="15"/>
  <c r="G46" i="15"/>
  <c r="G46" i="14"/>
  <c r="G33" i="13"/>
  <c r="G13" i="15"/>
  <c r="G57" i="13"/>
  <c r="G61" i="15"/>
  <c r="H46" i="14"/>
  <c r="G23" i="13"/>
  <c r="F13" i="12"/>
  <c r="G40" i="18"/>
  <c r="H33" i="13"/>
  <c r="G44" i="15"/>
  <c r="G30" i="15"/>
  <c r="G31" i="15"/>
  <c r="G38" i="13"/>
  <c r="G22" i="13"/>
  <c r="G12" i="14"/>
  <c r="G13" i="13"/>
  <c r="F7" i="12"/>
  <c r="G59" i="13"/>
  <c r="G28" i="13"/>
  <c r="F8" i="12"/>
  <c r="G58" i="13"/>
  <c r="G37" i="15"/>
  <c r="F10" i="12"/>
  <c r="G44" i="14"/>
  <c r="G27" i="15"/>
  <c r="G8" i="13"/>
  <c r="G21" i="14"/>
  <c r="H21" i="14" s="1"/>
  <c r="G47" i="15"/>
  <c r="G8" i="14"/>
  <c r="G63" i="15"/>
  <c r="H63" i="15" s="1"/>
  <c r="G27" i="13"/>
  <c r="G64" i="15"/>
  <c r="G15" i="13"/>
  <c r="G39" i="14"/>
  <c r="G63" i="13"/>
  <c r="G28" i="15"/>
  <c r="G21" i="13"/>
  <c r="G13" i="14"/>
  <c r="G39" i="13"/>
  <c r="G16" i="15"/>
  <c r="G44" i="13"/>
  <c r="G9" i="13"/>
  <c r="H15" i="13"/>
  <c r="H21" i="13"/>
  <c r="G37" i="14"/>
  <c r="G48" i="13"/>
  <c r="G60" i="15"/>
  <c r="G40" i="15"/>
  <c r="G56" i="15"/>
  <c r="F39" i="19"/>
  <c r="G59" i="15"/>
  <c r="G53" i="15"/>
  <c r="G16" i="14"/>
  <c r="G9" i="14"/>
  <c r="G61" i="14"/>
  <c r="G15" i="15"/>
  <c r="H8" i="13"/>
  <c r="G14" i="13"/>
  <c r="G46" i="13"/>
  <c r="G60" i="14"/>
  <c r="F12" i="12"/>
  <c r="G49" i="14"/>
  <c r="G31" i="13"/>
  <c r="G62" i="14"/>
  <c r="G42" i="14"/>
  <c r="G11" i="15"/>
  <c r="G51" i="13"/>
  <c r="G21" i="15"/>
  <c r="G10" i="14"/>
  <c r="G30" i="14"/>
  <c r="G54" i="14"/>
  <c r="G23" i="15"/>
  <c r="G19" i="13"/>
  <c r="G15" i="14"/>
  <c r="G26" i="13"/>
  <c r="G59" i="14"/>
  <c r="H59" i="14" s="1"/>
  <c r="G19" i="14"/>
  <c r="G17" i="13"/>
  <c r="G10" i="15"/>
  <c r="G8" i="15"/>
  <c r="G7" i="13"/>
  <c r="G10" i="12"/>
  <c r="G66" i="15"/>
  <c r="F14" i="12"/>
  <c r="G48" i="15"/>
  <c r="G34" i="15"/>
  <c r="F11" i="12"/>
  <c r="G17" i="15"/>
  <c r="G9" i="15"/>
  <c r="G50" i="13"/>
  <c r="G57" i="14"/>
  <c r="G47" i="13"/>
  <c r="G49" i="15"/>
  <c r="G55" i="14"/>
  <c r="G47" i="14"/>
  <c r="G65" i="13"/>
  <c r="G32" i="13"/>
  <c r="G7" i="14"/>
  <c r="G45" i="13"/>
  <c r="G53" i="13"/>
  <c r="G24" i="13"/>
  <c r="G50" i="15"/>
  <c r="H50" i="15" s="1"/>
  <c r="G17" i="14"/>
  <c r="G11" i="13"/>
  <c r="G27" i="14"/>
  <c r="G31" i="14"/>
  <c r="G65" i="14"/>
  <c r="G38" i="14"/>
  <c r="G45" i="14"/>
  <c r="G41" i="13"/>
  <c r="H41" i="13" s="1"/>
  <c r="G36" i="15"/>
  <c r="G36" i="13"/>
  <c r="G56" i="13"/>
  <c r="H56" i="13" s="1"/>
  <c r="G65" i="15"/>
  <c r="G24" i="14"/>
  <c r="G42" i="15"/>
  <c r="G18" i="15"/>
  <c r="G53" i="14"/>
  <c r="G20" i="13"/>
  <c r="G29" i="13"/>
  <c r="G58" i="14"/>
  <c r="G54" i="13"/>
  <c r="G52" i="14"/>
  <c r="G23" i="14"/>
  <c r="G52" i="15"/>
  <c r="G55" i="15"/>
  <c r="F15" i="12"/>
  <c r="F16" i="12"/>
  <c r="G32" i="14"/>
  <c r="G25" i="15"/>
  <c r="H25" i="15" s="1"/>
  <c r="G43" i="14"/>
  <c r="G62" i="13"/>
  <c r="F19" i="12"/>
  <c r="F20" i="12"/>
  <c r="G20" i="12" s="1"/>
  <c r="G33" i="14"/>
  <c r="G18" i="13"/>
  <c r="G20" i="14"/>
  <c r="G12" i="15"/>
  <c r="G11" i="14"/>
  <c r="H11" i="14" s="1"/>
  <c r="F40" i="19"/>
  <c r="G30" i="13"/>
  <c r="F40" i="17"/>
  <c r="G60" i="13"/>
  <c r="G66" i="13"/>
  <c r="H66" i="13" s="1"/>
  <c r="G51" i="15"/>
  <c r="G63" i="14"/>
  <c r="G64" i="14"/>
  <c r="G7" i="15"/>
  <c r="G42" i="13"/>
  <c r="G35" i="14"/>
  <c r="G39" i="15"/>
  <c r="H39" i="15" s="1"/>
  <c r="G62" i="15"/>
  <c r="H27" i="14"/>
  <c r="G14" i="15"/>
  <c r="G58" i="15"/>
  <c r="G48" i="14"/>
  <c r="G64" i="13"/>
  <c r="G22" i="15"/>
  <c r="G36" i="14"/>
  <c r="H36" i="14" s="1"/>
  <c r="G49" i="13"/>
  <c r="G35" i="13"/>
  <c r="H35" i="13" s="1"/>
  <c r="G61" i="13"/>
  <c r="G32" i="15"/>
  <c r="H32" i="15" s="1"/>
  <c r="H54" i="14"/>
  <c r="G56" i="14"/>
  <c r="G54" i="15"/>
  <c r="G33" i="15"/>
  <c r="H33" i="15" s="1"/>
  <c r="G43" i="13"/>
  <c r="G55" i="13"/>
  <c r="G50" i="14"/>
  <c r="H50" i="14" s="1"/>
  <c r="G29" i="15"/>
  <c r="G43" i="15"/>
  <c r="H29" i="15"/>
  <c r="G25" i="13"/>
  <c r="G24" i="15"/>
  <c r="G41" i="14"/>
  <c r="G26" i="15"/>
  <c r="F18" i="12"/>
  <c r="G38" i="15"/>
  <c r="G26" i="14"/>
  <c r="H13" i="13"/>
  <c r="H58" i="15"/>
  <c r="G45" i="15"/>
  <c r="G37" i="13"/>
  <c r="H8" i="15"/>
  <c r="G14" i="14"/>
  <c r="F6" i="12"/>
  <c r="G18" i="14"/>
  <c r="G22" i="14"/>
  <c r="H22" i="14" s="1"/>
  <c r="G29" i="14"/>
  <c r="G52" i="13"/>
  <c r="F39" i="17"/>
  <c r="G12" i="13"/>
  <c r="G25" i="14"/>
  <c r="G19" i="15"/>
  <c r="F17" i="12"/>
  <c r="H61" i="15"/>
  <c r="H56" i="14"/>
  <c r="G20" i="15"/>
  <c r="G35" i="15"/>
  <c r="H58" i="14"/>
  <c r="G16" i="13"/>
  <c r="G66" i="14"/>
  <c r="H65" i="15"/>
  <c r="G40" i="14"/>
  <c r="H40" i="14" s="1"/>
  <c r="G40" i="13"/>
  <c r="H40" i="13" s="1"/>
  <c r="G28" i="14"/>
  <c r="H28" i="14" s="1"/>
  <c r="H19" i="13"/>
  <c r="H21" i="15"/>
  <c r="G10" i="13"/>
  <c r="G34" i="14"/>
  <c r="G34" i="13"/>
  <c r="F9" i="12"/>
  <c r="H63" i="13"/>
  <c r="H16" i="13"/>
  <c r="H23" i="13"/>
  <c r="G51" i="14"/>
  <c r="G2" i="18"/>
  <c r="F2" i="17"/>
  <c r="F2" i="19"/>
  <c r="G6"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H51" i="14"/>
  <c r="H34" i="13"/>
  <c r="H63" i="14"/>
  <c r="H47" i="14"/>
  <c r="H64" i="15"/>
  <c r="H26" i="15"/>
  <c r="G27" i="10"/>
  <c r="G38" i="10"/>
  <c r="H41" i="15"/>
  <c r="F13" i="7"/>
  <c r="H15" i="14"/>
  <c r="G11" i="8"/>
  <c r="H52" i="15"/>
  <c r="G22" i="8"/>
  <c r="H24" i="14"/>
  <c r="H17" i="14"/>
  <c r="H58" i="13"/>
  <c r="G20" i="10"/>
  <c r="F10" i="6"/>
  <c r="F13" i="6"/>
  <c r="G11" i="10"/>
  <c r="G13" i="8"/>
  <c r="H34" i="15"/>
  <c r="G20" i="9"/>
  <c r="G9" i="10"/>
  <c r="H49" i="15"/>
  <c r="G66" i="8"/>
  <c r="H60" i="14"/>
  <c r="G62" i="9"/>
  <c r="G54" i="10"/>
  <c r="G12" i="8"/>
  <c r="H53" i="13"/>
  <c r="G8" i="10"/>
  <c r="G18" i="9"/>
  <c r="G24" i="8"/>
  <c r="G40" i="10"/>
  <c r="H62" i="13"/>
  <c r="G58" i="9"/>
  <c r="H54" i="15"/>
  <c r="G14" i="10"/>
  <c r="F9" i="7"/>
  <c r="G10" i="10"/>
  <c r="H35" i="14"/>
  <c r="H26" i="13"/>
  <c r="G61" i="10"/>
  <c r="G28" i="9"/>
  <c r="H33" i="14"/>
  <c r="H23" i="15"/>
  <c r="F21" i="6"/>
  <c r="H43" i="14"/>
  <c r="H44" i="14"/>
  <c r="G8" i="8"/>
  <c r="G24" i="9"/>
  <c r="H64" i="13"/>
  <c r="G64" i="9"/>
  <c r="H57" i="13"/>
  <c r="G44" i="10"/>
  <c r="G18" i="8"/>
  <c r="H57" i="15"/>
  <c r="H16" i="15"/>
  <c r="H30" i="14"/>
  <c r="G14" i="8"/>
  <c r="H45" i="14"/>
  <c r="G38" i="9"/>
  <c r="H66" i="15"/>
  <c r="G38" i="8"/>
  <c r="G40" i="9"/>
  <c r="G17" i="9"/>
  <c r="G25" i="9"/>
  <c r="H25" i="9" s="1"/>
  <c r="G22" i="10"/>
  <c r="G49" i="10"/>
  <c r="G63" i="8"/>
  <c r="G10" i="6"/>
  <c r="G24" i="10"/>
  <c r="G59" i="9"/>
  <c r="F16" i="7"/>
  <c r="G56" i="8"/>
  <c r="G65" i="9"/>
  <c r="H11" i="13"/>
  <c r="F7" i="7"/>
  <c r="G52" i="8"/>
  <c r="G39" i="8"/>
  <c r="F16" i="6"/>
  <c r="G63" i="9"/>
  <c r="F15" i="6"/>
  <c r="H47" i="13"/>
  <c r="G42" i="10"/>
  <c r="G17" i="12"/>
  <c r="H51" i="15"/>
  <c r="H17" i="15"/>
  <c r="H27" i="15"/>
  <c r="H38" i="13"/>
  <c r="G48" i="9"/>
  <c r="G36" i="8"/>
  <c r="H36" i="8" s="1"/>
  <c r="G48" i="10"/>
  <c r="H62" i="15"/>
  <c r="G20" i="8"/>
  <c r="G51" i="10"/>
  <c r="G65" i="10"/>
  <c r="G57" i="8"/>
  <c r="G16" i="9"/>
  <c r="H16" i="14"/>
  <c r="G40" i="19"/>
  <c r="F22" i="6"/>
  <c r="H22" i="6" s="1"/>
  <c r="F18" i="7"/>
  <c r="G41" i="10"/>
  <c r="G32" i="9"/>
  <c r="G46" i="8"/>
  <c r="H46" i="8" s="1"/>
  <c r="F11" i="7"/>
  <c r="H9" i="14"/>
  <c r="H19" i="14"/>
  <c r="H27" i="10"/>
  <c r="H55" i="13"/>
  <c r="G43" i="8"/>
  <c r="F8" i="7"/>
  <c r="G15" i="9"/>
  <c r="H43" i="13"/>
  <c r="H48" i="10"/>
  <c r="G42" i="8"/>
  <c r="H42" i="8" s="1"/>
  <c r="H20" i="13"/>
  <c r="G55" i="10"/>
  <c r="G32" i="8"/>
  <c r="H61" i="13"/>
  <c r="H62" i="14"/>
  <c r="H8" i="14"/>
  <c r="G37" i="8"/>
  <c r="H66" i="14"/>
  <c r="G21" i="9"/>
  <c r="G55" i="8"/>
  <c r="G40" i="17"/>
  <c r="H9" i="15"/>
  <c r="G29" i="8"/>
  <c r="G19" i="8"/>
  <c r="G49" i="8"/>
  <c r="G33" i="10"/>
  <c r="G15" i="10"/>
  <c r="H10" i="6"/>
  <c r="H14" i="14"/>
  <c r="H7" i="13"/>
  <c r="H53" i="14"/>
  <c r="G21" i="10"/>
  <c r="G56" i="10"/>
  <c r="H19" i="15"/>
  <c r="G51" i="8"/>
  <c r="H56" i="15"/>
  <c r="G23" i="8"/>
  <c r="H11" i="15"/>
  <c r="G13" i="9"/>
  <c r="H20" i="14"/>
  <c r="G9" i="9"/>
  <c r="G18" i="10"/>
  <c r="G19" i="10"/>
  <c r="G30" i="8"/>
  <c r="G6" i="12"/>
  <c r="G35" i="9"/>
  <c r="G51" i="9"/>
  <c r="H65" i="13"/>
  <c r="H20" i="15"/>
  <c r="G50" i="9"/>
  <c r="H50" i="9" s="1"/>
  <c r="G44" i="9"/>
  <c r="H40" i="15"/>
  <c r="H51" i="13"/>
  <c r="G57" i="10"/>
  <c r="H45" i="13"/>
  <c r="G11" i="9"/>
  <c r="G56" i="9"/>
  <c r="H29" i="14"/>
  <c r="G12" i="10"/>
  <c r="H59" i="9"/>
  <c r="H18" i="14"/>
  <c r="H38" i="14"/>
  <c r="G36" i="9"/>
  <c r="G14" i="9"/>
  <c r="G60" i="9"/>
  <c r="H48" i="13"/>
  <c r="G50" i="8"/>
  <c r="F9" i="6"/>
  <c r="G47" i="10"/>
  <c r="H12" i="13"/>
  <c r="G55" i="9"/>
  <c r="H7" i="14"/>
  <c r="H23" i="14"/>
  <c r="G14" i="12"/>
  <c r="G19" i="12"/>
  <c r="H42" i="15"/>
  <c r="G10" i="8"/>
  <c r="H36" i="13"/>
  <c r="G33" i="8"/>
  <c r="H37" i="13"/>
  <c r="G16" i="12"/>
  <c r="H10" i="15"/>
  <c r="G8" i="12"/>
  <c r="H50" i="13"/>
  <c r="F18" i="6"/>
  <c r="G18" i="6" s="1"/>
  <c r="F6" i="7"/>
  <c r="G6" i="7" s="1"/>
  <c r="G7" i="8"/>
  <c r="G12" i="9"/>
  <c r="H17" i="13"/>
  <c r="G65" i="8"/>
  <c r="G9" i="8"/>
  <c r="H8" i="8"/>
  <c r="F19" i="6"/>
  <c r="G19" i="6" s="1"/>
  <c r="G12" i="12"/>
  <c r="G59" i="10"/>
  <c r="H59" i="10" s="1"/>
  <c r="H57" i="14"/>
  <c r="F17" i="6"/>
  <c r="H13" i="14"/>
  <c r="F8" i="6"/>
  <c r="H8" i="6" s="1"/>
  <c r="H24" i="15"/>
  <c r="F15" i="7"/>
  <c r="G15" i="7" s="1"/>
  <c r="H48" i="9"/>
  <c r="G37" i="9"/>
  <c r="H13" i="6"/>
  <c r="G36" i="10"/>
  <c r="G27" i="8"/>
  <c r="G11" i="12"/>
  <c r="G34" i="9"/>
  <c r="G39" i="9"/>
  <c r="G16" i="8"/>
  <c r="G62" i="10"/>
  <c r="H66" i="8"/>
  <c r="G52" i="10"/>
  <c r="G7" i="10"/>
  <c r="G54" i="8"/>
  <c r="H42" i="14"/>
  <c r="H49" i="13"/>
  <c r="G13" i="10"/>
  <c r="H37" i="9"/>
  <c r="G48" i="8"/>
  <c r="H10" i="14"/>
  <c r="G63" i="10"/>
  <c r="G42" i="9"/>
  <c r="G43" i="9"/>
  <c r="H11" i="8"/>
  <c r="G18" i="12"/>
  <c r="G29" i="10"/>
  <c r="G34" i="8"/>
  <c r="H9" i="10"/>
  <c r="G17" i="6"/>
  <c r="H55" i="15"/>
  <c r="H47" i="15"/>
  <c r="G26" i="10"/>
  <c r="H26" i="10" s="1"/>
  <c r="G39" i="10"/>
  <c r="H32" i="13"/>
  <c r="G45" i="8"/>
  <c r="G52" i="9"/>
  <c r="G40" i="8"/>
  <c r="H40" i="8" s="1"/>
  <c r="G35" i="10"/>
  <c r="F17" i="7"/>
  <c r="H43" i="15"/>
  <c r="H30" i="15"/>
  <c r="H53" i="15"/>
  <c r="H44" i="13"/>
  <c r="G29" i="9"/>
  <c r="H31" i="15"/>
  <c r="F12" i="6"/>
  <c r="H12" i="6" s="1"/>
  <c r="H60" i="15"/>
  <c r="H24" i="13"/>
  <c r="G10" i="9"/>
  <c r="I6" i="6"/>
  <c r="H29" i="9"/>
  <c r="H16" i="6"/>
  <c r="G61" i="9"/>
  <c r="H9" i="13"/>
  <c r="F7" i="6"/>
  <c r="H18" i="15"/>
  <c r="H34" i="14"/>
  <c r="F12" i="7"/>
  <c r="H36" i="15"/>
  <c r="G46" i="10"/>
  <c r="G25" i="10"/>
  <c r="G34" i="10"/>
  <c r="H52" i="8"/>
  <c r="H38" i="15"/>
  <c r="G66" i="10"/>
  <c r="G21" i="8"/>
  <c r="G28" i="8"/>
  <c r="G26" i="8"/>
  <c r="G9" i="12"/>
  <c r="H32" i="14"/>
  <c r="H60" i="13"/>
  <c r="H46" i="15"/>
  <c r="G60" i="10"/>
  <c r="H14" i="15"/>
  <c r="G17" i="10"/>
  <c r="H28" i="13"/>
  <c r="G31" i="10"/>
  <c r="H31" i="10" s="1"/>
  <c r="H52" i="14"/>
  <c r="G45" i="9"/>
  <c r="G64" i="10"/>
  <c r="G25" i="8"/>
  <c r="G19" i="9"/>
  <c r="H26" i="14"/>
  <c r="G15" i="12"/>
  <c r="H31" i="13"/>
  <c r="H59" i="13"/>
  <c r="H27" i="13"/>
  <c r="F10" i="7"/>
  <c r="G10" i="7" s="1"/>
  <c r="G61" i="8"/>
  <c r="F20" i="7"/>
  <c r="G60" i="8"/>
  <c r="H15" i="15"/>
  <c r="F6" i="6"/>
  <c r="H22" i="13"/>
  <c r="H28" i="15"/>
  <c r="G16" i="10"/>
  <c r="H30" i="13"/>
  <c r="G41" i="9"/>
  <c r="H41" i="9" s="1"/>
  <c r="G7" i="9"/>
  <c r="H61" i="14"/>
  <c r="G8" i="9"/>
  <c r="H49" i="14"/>
  <c r="G39" i="17"/>
  <c r="G23" i="9"/>
  <c r="G30" i="10"/>
  <c r="H25" i="14"/>
  <c r="G17" i="8"/>
  <c r="F11" i="6"/>
  <c r="G49" i="9"/>
  <c r="H42" i="13"/>
  <c r="H55" i="14"/>
  <c r="H19" i="6"/>
  <c r="H8" i="9"/>
  <c r="G39" i="19"/>
  <c r="G27" i="9"/>
  <c r="G58" i="10"/>
  <c r="H64" i="14"/>
  <c r="G44" i="8"/>
  <c r="H31" i="14"/>
  <c r="H37" i="14"/>
  <c r="G53" i="10"/>
  <c r="H54" i="13"/>
  <c r="G37" i="10"/>
  <c r="H35" i="15"/>
  <c r="G50" i="10"/>
  <c r="G64" i="8"/>
  <c r="F19" i="7"/>
  <c r="H44" i="15"/>
  <c r="G53" i="8"/>
  <c r="H18" i="13"/>
  <c r="H54" i="10"/>
  <c r="H38" i="8"/>
  <c r="G33" i="9"/>
  <c r="G7" i="6"/>
  <c r="H25" i="13"/>
  <c r="H59" i="15"/>
  <c r="H12" i="14"/>
  <c r="G22" i="9"/>
  <c r="G59" i="8"/>
  <c r="G35" i="8"/>
  <c r="H35" i="8" s="1"/>
  <c r="G26" i="9"/>
  <c r="H10" i="13"/>
  <c r="G58" i="8"/>
  <c r="G28" i="10"/>
  <c r="H48" i="15"/>
  <c r="H22" i="15"/>
  <c r="G43" i="10"/>
  <c r="F14" i="6"/>
  <c r="G47" i="8"/>
  <c r="H52" i="13"/>
  <c r="G13" i="12"/>
  <c r="G32" i="10"/>
  <c r="G23" i="10"/>
  <c r="G31" i="9"/>
  <c r="H28" i="8"/>
  <c r="G46" i="9"/>
  <c r="H22" i="8"/>
  <c r="H48" i="14"/>
  <c r="G47" i="9"/>
  <c r="H29" i="13"/>
  <c r="H37" i="15"/>
  <c r="F14" i="7"/>
  <c r="G14" i="7" s="1"/>
  <c r="H46" i="13"/>
  <c r="G54" i="9"/>
  <c r="G15" i="8"/>
  <c r="H14" i="13"/>
  <c r="G41" i="8"/>
  <c r="H39" i="13"/>
  <c r="G57" i="9"/>
  <c r="G7" i="12"/>
  <c r="H65" i="14"/>
  <c r="G31" i="8"/>
  <c r="H7" i="15"/>
  <c r="G45" i="10"/>
  <c r="H45" i="10" s="1"/>
  <c r="G62" i="8"/>
  <c r="H13" i="15"/>
  <c r="F20" i="6"/>
  <c r="G30" i="9"/>
  <c r="H30" i="9" s="1"/>
  <c r="G66" i="9"/>
  <c r="H41" i="14"/>
  <c r="G53" i="9"/>
  <c r="H12" i="15"/>
  <c r="H39" i="8"/>
  <c r="H39" i="14"/>
  <c r="H45" i="15"/>
  <c r="G21" i="6"/>
  <c r="G15" i="6"/>
  <c r="F5" i="12"/>
  <c r="G2" i="17"/>
  <c r="H6" i="14"/>
  <c r="G5" i="12"/>
  <c r="G2" i="19"/>
  <c r="G6" i="15"/>
  <c r="G6" i="13"/>
  <c r="F5" i="7"/>
  <c r="H9" i="6"/>
  <c r="G20" i="6"/>
  <c r="H20" i="6"/>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G19" i="7"/>
  <c r="H26" i="8"/>
  <c r="G9" i="6"/>
  <c r="H16" i="9"/>
  <c r="H18" i="9"/>
  <c r="H15" i="8"/>
  <c r="H7" i="8"/>
  <c r="H56" i="8"/>
  <c r="H25" i="8"/>
  <c r="H30" i="10"/>
  <c r="H40" i="9"/>
  <c r="I15" i="6"/>
  <c r="H60" i="10"/>
  <c r="H56" i="10"/>
  <c r="H66" i="9"/>
  <c r="H13" i="8"/>
  <c r="G8" i="7"/>
  <c r="H48" i="8"/>
  <c r="G7" i="7"/>
  <c r="H49" i="9"/>
  <c r="H60" i="8"/>
  <c r="H51" i="8"/>
  <c r="G18" i="7"/>
  <c r="H37" i="10"/>
  <c r="H21" i="8"/>
  <c r="H30" i="8"/>
  <c r="H42" i="10"/>
  <c r="H8" i="10"/>
  <c r="H11" i="10"/>
  <c r="H20" i="9"/>
  <c r="H53" i="9"/>
  <c r="G17" i="7"/>
  <c r="H35" i="9"/>
  <c r="H24" i="8"/>
  <c r="H62" i="9"/>
  <c r="H51" i="9"/>
  <c r="H11" i="6"/>
  <c r="H22" i="9"/>
  <c r="H34" i="10"/>
  <c r="G13" i="6"/>
  <c r="H14" i="10"/>
  <c r="H44" i="8"/>
  <c r="H28" i="10"/>
  <c r="G9" i="7"/>
  <c r="H18" i="6"/>
  <c r="H21" i="10"/>
  <c r="G12" i="7"/>
  <c r="H53" i="10"/>
  <c r="H25" i="10"/>
  <c r="H23" i="8"/>
  <c r="H15" i="6"/>
  <c r="H27" i="9"/>
  <c r="H61" i="9"/>
  <c r="H15" i="10"/>
  <c r="H63" i="9"/>
  <c r="I17" i="6"/>
  <c r="H64" i="9"/>
  <c r="H6" i="6"/>
  <c r="H13" i="9"/>
  <c r="H17" i="8"/>
  <c r="H45" i="8"/>
  <c r="H23" i="9"/>
  <c r="H34" i="9"/>
  <c r="H20" i="8"/>
  <c r="H35" i="10"/>
  <c r="H58" i="9"/>
  <c r="H49" i="10"/>
  <c r="H50" i="8"/>
  <c r="H60" i="9"/>
  <c r="H27" i="8"/>
  <c r="H21" i="9"/>
  <c r="H62" i="10"/>
  <c r="H26" i="9"/>
  <c r="H66" i="10"/>
  <c r="H49" i="8"/>
  <c r="H55" i="8"/>
  <c r="H36" i="10"/>
  <c r="H54" i="9"/>
  <c r="H7" i="10"/>
  <c r="H43" i="10"/>
  <c r="H52" i="9"/>
  <c r="H63" i="10"/>
  <c r="H10" i="8"/>
  <c r="H65" i="8"/>
  <c r="H65" i="10"/>
  <c r="H51" i="10"/>
  <c r="H10" i="10"/>
  <c r="H58" i="10"/>
  <c r="D6" i="54" a="1"/>
  <c r="H13" i="10"/>
  <c r="H16" i="8"/>
  <c r="H50" i="10"/>
  <c r="H63" i="8"/>
  <c r="H31" i="9"/>
  <c r="H44" i="9"/>
  <c r="G13" i="7"/>
  <c r="H41" i="8"/>
  <c r="H12" i="8"/>
  <c r="H41" i="10"/>
  <c r="G11" i="7"/>
  <c r="H18" i="8"/>
  <c r="H33" i="8"/>
  <c r="H28" i="9"/>
  <c r="H19" i="8"/>
  <c r="H54" i="8"/>
  <c r="G11" i="6"/>
  <c r="I11" i="6" s="1"/>
  <c r="H34" i="8"/>
  <c r="H29" i="8"/>
  <c r="H17" i="9"/>
  <c r="H14" i="9"/>
  <c r="H47" i="9"/>
  <c r="H57" i="8"/>
  <c r="G22" i="6"/>
  <c r="G16" i="6"/>
  <c r="I16" i="6" s="1"/>
  <c r="I19" i="6"/>
  <c r="H47" i="10"/>
  <c r="H33" i="10"/>
  <c r="G20" i="7"/>
  <c r="G16" i="7"/>
  <c r="H24" i="9"/>
  <c r="H33" i="9"/>
  <c r="H22" i="10"/>
  <c r="H19" i="9"/>
  <c r="H21" i="6"/>
  <c r="I10" i="6"/>
  <c r="I21" i="6"/>
  <c r="H24" i="10"/>
  <c r="H14" i="8"/>
  <c r="H19" i="10"/>
  <c r="H45" i="9"/>
  <c r="H44" i="10"/>
  <c r="G14" i="6"/>
  <c r="H59" i="8"/>
  <c r="H58" i="8"/>
  <c r="H39" i="9"/>
  <c r="H15" i="9"/>
  <c r="I14" i="6"/>
  <c r="I9" i="6"/>
  <c r="H12" i="9"/>
  <c r="I18" i="6"/>
  <c r="H16" i="10"/>
  <c r="H29" i="10"/>
  <c r="H37" i="8"/>
  <c r="H38" i="9"/>
  <c r="H23" i="10"/>
  <c r="H20" i="10"/>
  <c r="H31" i="8"/>
  <c r="H42" i="9"/>
  <c r="I20" i="6"/>
  <c r="H62" i="8"/>
  <c r="H7" i="9"/>
  <c r="H38" i="10"/>
  <c r="H12" i="10"/>
  <c r="H9" i="8"/>
  <c r="H64" i="8"/>
  <c r="H32" i="10"/>
  <c r="H46" i="9"/>
  <c r="H47" i="8"/>
  <c r="H56" i="9"/>
  <c r="H10" i="9"/>
  <c r="G12" i="6"/>
  <c r="H43" i="9"/>
  <c r="I7" i="6"/>
  <c r="H46" i="10"/>
  <c r="H57" i="9"/>
  <c r="H32" i="8"/>
  <c r="H61" i="10"/>
  <c r="H55" i="10"/>
  <c r="H52" i="10"/>
  <c r="G8" i="6"/>
  <c r="I8" i="6" s="1"/>
  <c r="H32" i="9"/>
  <c r="H36" i="9"/>
  <c r="H18" i="10"/>
  <c r="H14" i="6"/>
  <c r="H43" i="8"/>
  <c r="H40" i="10"/>
  <c r="H7" i="6"/>
  <c r="H39" i="10"/>
  <c r="H17" i="6"/>
  <c r="H9" i="9"/>
  <c r="H53" i="8"/>
  <c r="H11" i="9"/>
  <c r="H55" i="9"/>
  <c r="H61" i="8"/>
  <c r="H17" i="10"/>
  <c r="H57" i="10"/>
  <c r="H64" i="10"/>
  <c r="H65" i="9"/>
  <c r="E11" i="4"/>
  <c r="E9" i="4"/>
  <c r="E29" i="4"/>
  <c r="E31" i="4"/>
  <c r="F11" i="4"/>
  <c r="E36" i="4"/>
  <c r="E33" i="4"/>
  <c r="E12" i="4"/>
  <c r="E34" i="4"/>
  <c r="E30" i="4"/>
  <c r="F30" i="4"/>
  <c r="E26" i="4"/>
  <c r="E10" i="4"/>
  <c r="E7" i="4"/>
  <c r="E32" i="4"/>
  <c r="E8" i="4"/>
  <c r="E19" i="4"/>
  <c r="E38" i="4"/>
  <c r="E17" i="4"/>
  <c r="E14" i="4"/>
  <c r="E18" i="4"/>
  <c r="F14" i="4"/>
  <c r="E22" i="4"/>
  <c r="F22" i="4" s="1"/>
  <c r="E20" i="4"/>
  <c r="F18" i="4"/>
  <c r="E21" i="4"/>
  <c r="E35" i="4"/>
  <c r="E15" i="4"/>
  <c r="E25" i="4"/>
  <c r="F25" i="4" s="1"/>
  <c r="F8" i="4"/>
  <c r="E13" i="4"/>
  <c r="E37" i="4"/>
  <c r="E16" i="4"/>
  <c r="F16" i="4" s="1"/>
  <c r="F13" i="4"/>
  <c r="E6" i="4"/>
  <c r="P3" i="53"/>
  <c r="J3" i="52"/>
  <c r="H6" i="15"/>
  <c r="G6" i="8"/>
  <c r="H6" i="8" s="1"/>
  <c r="G6" i="45"/>
  <c r="G6" i="9"/>
  <c r="G6" i="10"/>
  <c r="H6" i="10" s="1"/>
  <c r="G5" i="7"/>
  <c r="H6" i="13"/>
  <c r="F5" i="6"/>
  <c r="E5" i="4"/>
  <c r="D7" i="54" l="1"/>
  <c r="D6" i="54"/>
  <c r="D8" i="54"/>
  <c r="I22" i="6"/>
  <c r="I13" i="6"/>
  <c r="I12" i="6"/>
  <c r="F21" i="4"/>
  <c r="F12" i="4"/>
  <c r="F15" i="4"/>
  <c r="F20" i="4"/>
  <c r="F33" i="4"/>
  <c r="F17" i="4"/>
  <c r="F38" i="4"/>
  <c r="F31" i="4"/>
  <c r="F19" i="4"/>
  <c r="F35" i="4"/>
  <c r="F32" i="4"/>
  <c r="F29" i="4"/>
  <c r="F37" i="4"/>
  <c r="F10" i="4"/>
  <c r="F26" i="4"/>
  <c r="F7" i="4"/>
  <c r="F9" i="4"/>
  <c r="F36" i="4"/>
  <c r="F6" i="4"/>
  <c r="F34" i="4"/>
  <c r="F5" i="4"/>
  <c r="H5" i="6"/>
  <c r="H6" i="45"/>
  <c r="E24" i="4"/>
  <c r="H6" i="9"/>
  <c r="E28" i="4"/>
  <c r="D9" i="54" l="1"/>
  <c r="F28" i="4"/>
  <c r="F24" i="4"/>
  <c r="D10" i="54" l="1"/>
  <c r="D11" i="54" l="1"/>
  <c r="D12" i="54"/>
  <c r="D13" i="54"/>
  <c r="D14" i="54"/>
  <c r="D15" i="54"/>
  <c r="D16" i="54"/>
  <c r="D17" i="54"/>
  <c r="F6" i="54" l="1" a="1"/>
  <c r="P6" i="54" a="1"/>
  <c r="P6" i="54" l="1"/>
  <c r="P7" i="54"/>
  <c r="P8" i="54"/>
  <c r="P9" i="54"/>
  <c r="P10" i="54"/>
  <c r="P11" i="54"/>
  <c r="P12" i="54"/>
  <c r="P13" i="54"/>
  <c r="P14" i="54"/>
  <c r="P15" i="54"/>
  <c r="P16" i="54"/>
  <c r="P17" i="54"/>
  <c r="F6" i="54"/>
  <c r="F7" i="54"/>
  <c r="F8" i="54"/>
  <c r="F9" i="54"/>
  <c r="F10" i="54"/>
  <c r="F11" i="54"/>
  <c r="F12" i="54"/>
  <c r="F13" i="54"/>
  <c r="F14" i="54"/>
  <c r="F15" i="54"/>
  <c r="F16" i="54"/>
  <c r="F17" i="54"/>
  <c r="D6" i="55" a="1"/>
  <c r="R17" i="54"/>
  <c r="R12" i="54"/>
  <c r="R13" i="54"/>
  <c r="R6" i="54"/>
  <c r="R14" i="54"/>
  <c r="R10" i="54"/>
  <c r="R15" i="54"/>
  <c r="R11" i="54"/>
  <c r="R9" i="54"/>
  <c r="R8" i="54"/>
  <c r="R7" i="54"/>
  <c r="R16" i="54"/>
  <c r="D7" i="55" l="1"/>
  <c r="D6" i="55"/>
  <c r="D8" i="55"/>
  <c r="R4" i="54"/>
  <c r="D9" i="55" l="1"/>
  <c r="D10" i="55" l="1"/>
  <c r="D11" i="55" l="1"/>
  <c r="D12" i="55"/>
  <c r="D13" i="55"/>
  <c r="D14" i="55"/>
  <c r="D15" i="55"/>
  <c r="D16" i="55"/>
  <c r="D17" i="55"/>
  <c r="D18" i="55"/>
  <c r="D19" i="55"/>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F6" i="55" l="1" a="1"/>
  <c r="P6" i="55" a="1"/>
  <c r="P6" i="55" l="1"/>
  <c r="P7" i="55"/>
  <c r="P8" i="55"/>
  <c r="P9" i="55"/>
  <c r="P10" i="55"/>
  <c r="P11" i="55"/>
  <c r="P12" i="55"/>
  <c r="P13" i="55"/>
  <c r="P14" i="55"/>
  <c r="P15" i="55"/>
  <c r="P16" i="55"/>
  <c r="P17" i="55"/>
  <c r="P18" i="55"/>
  <c r="P19" i="55"/>
  <c r="P20" i="55"/>
  <c r="P21" i="55"/>
  <c r="P22" i="55"/>
  <c r="P23" i="55"/>
  <c r="P24" i="55"/>
  <c r="P25" i="55"/>
  <c r="P26" i="55"/>
  <c r="P27" i="55"/>
  <c r="P28" i="55"/>
  <c r="P29" i="55"/>
  <c r="P30" i="55"/>
  <c r="P31" i="55"/>
  <c r="P32" i="55"/>
  <c r="P33" i="55"/>
  <c r="P34" i="55"/>
  <c r="P35" i="55"/>
  <c r="P36" i="55"/>
  <c r="P37" i="55"/>
  <c r="P38" i="55"/>
  <c r="P39" i="55"/>
  <c r="P40" i="55"/>
  <c r="P41" i="55"/>
  <c r="P42" i="55"/>
  <c r="P43" i="55"/>
  <c r="P44" i="55"/>
  <c r="P45" i="55"/>
  <c r="P46" i="55"/>
  <c r="P47"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D6" i="56" a="1"/>
  <c r="R36" i="55"/>
  <c r="R15" i="55"/>
  <c r="R16" i="55"/>
  <c r="R18" i="55"/>
  <c r="R30" i="55"/>
  <c r="R35" i="55"/>
  <c r="R29" i="55"/>
  <c r="R23" i="55"/>
  <c r="R26" i="55"/>
  <c r="R19" i="55"/>
  <c r="R42" i="55"/>
  <c r="R21" i="55"/>
  <c r="R10" i="55"/>
  <c r="R32" i="55"/>
  <c r="R6" i="55"/>
  <c r="R45" i="55"/>
  <c r="R43" i="55"/>
  <c r="R25" i="55"/>
  <c r="R9" i="55"/>
  <c r="R38" i="55"/>
  <c r="R47" i="55"/>
  <c r="R8" i="55"/>
  <c r="R27" i="55"/>
  <c r="R7" i="55"/>
  <c r="R11" i="55"/>
  <c r="R40" i="55"/>
  <c r="R14" i="55"/>
  <c r="R34" i="55"/>
  <c r="R46" i="55"/>
  <c r="R20" i="55"/>
  <c r="R28" i="55"/>
  <c r="R13" i="55"/>
  <c r="R37" i="55"/>
  <c r="R24" i="55"/>
  <c r="R44" i="55"/>
  <c r="R33" i="55"/>
  <c r="R31" i="55"/>
  <c r="R22" i="55"/>
  <c r="R17" i="55"/>
  <c r="R39" i="55"/>
  <c r="R41" i="55"/>
  <c r="R12" i="55"/>
  <c r="D6" i="56" l="1"/>
  <c r="D7" i="56"/>
  <c r="D8" i="56"/>
  <c r="R4" i="55"/>
  <c r="D9" i="56" l="1"/>
  <c r="P6" i="56" s="1" a="1"/>
  <c r="P9" i="56" s="1"/>
  <c r="R9" i="56"/>
  <c r="P6" i="56" l="1"/>
  <c r="P7" i="56"/>
  <c r="P8" i="56"/>
  <c r="F3" i="64"/>
  <c r="F3" i="62"/>
  <c r="F3" i="63"/>
  <c r="K5" i="64" a="1"/>
  <c r="K5" i="62" a="1"/>
  <c r="K5" i="63" a="1"/>
  <c r="Q3" i="61"/>
  <c r="Q3" i="60"/>
  <c r="Q3" i="59"/>
  <c r="Q3" i="58"/>
  <c r="R8" i="56"/>
  <c r="R6" i="56"/>
  <c r="R7" i="56"/>
  <c r="K10" i="63" l="1"/>
  <c r="K18" i="63"/>
  <c r="K26" i="63"/>
  <c r="K34" i="63"/>
  <c r="K11" i="63"/>
  <c r="K19" i="63"/>
  <c r="K27" i="63"/>
  <c r="K35" i="63"/>
  <c r="K12" i="63"/>
  <c r="K20" i="63"/>
  <c r="K28" i="63"/>
  <c r="K36" i="63"/>
  <c r="K5" i="63"/>
  <c r="K13" i="63"/>
  <c r="K21" i="63"/>
  <c r="K29" i="63"/>
  <c r="K37" i="63"/>
  <c r="K6" i="63"/>
  <c r="K14" i="63"/>
  <c r="K22" i="63"/>
  <c r="K30" i="63"/>
  <c r="K38" i="63"/>
  <c r="K7" i="63"/>
  <c r="K15" i="63"/>
  <c r="K23" i="63"/>
  <c r="K31" i="63"/>
  <c r="K39" i="63"/>
  <c r="K8" i="63"/>
  <c r="K16" i="63"/>
  <c r="K24" i="63"/>
  <c r="K32" i="63"/>
  <c r="K40" i="63"/>
  <c r="K9" i="63"/>
  <c r="K17" i="63"/>
  <c r="K25" i="63"/>
  <c r="K33" i="63"/>
  <c r="K41" i="63"/>
  <c r="K10" i="62"/>
  <c r="K18" i="62"/>
  <c r="K26" i="62"/>
  <c r="K34" i="62"/>
  <c r="K42" i="62"/>
  <c r="K11" i="62"/>
  <c r="K19" i="62"/>
  <c r="K27" i="62"/>
  <c r="K35" i="62"/>
  <c r="K12" i="62"/>
  <c r="K20" i="62"/>
  <c r="K28" i="62"/>
  <c r="K36" i="62"/>
  <c r="K5" i="62"/>
  <c r="K13" i="62"/>
  <c r="K21" i="62"/>
  <c r="K29" i="62"/>
  <c r="K37" i="62"/>
  <c r="K6" i="62"/>
  <c r="K14" i="62"/>
  <c r="K22" i="62"/>
  <c r="K30" i="62"/>
  <c r="K38" i="62"/>
  <c r="K7" i="62"/>
  <c r="K15" i="62"/>
  <c r="K23" i="62"/>
  <c r="K31" i="62"/>
  <c r="K39" i="62"/>
  <c r="K8" i="62"/>
  <c r="K16" i="62"/>
  <c r="K24" i="62"/>
  <c r="K32" i="62"/>
  <c r="K40" i="62"/>
  <c r="K9" i="62"/>
  <c r="K17" i="62"/>
  <c r="K25" i="62"/>
  <c r="K33" i="62"/>
  <c r="K41" i="62"/>
  <c r="K5" i="64"/>
  <c r="K6" i="64"/>
  <c r="K7" i="64"/>
  <c r="K8" i="64"/>
  <c r="K9" i="64"/>
  <c r="K10" i="64"/>
  <c r="K11" i="64"/>
  <c r="K12" i="64"/>
  <c r="K1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s="1"/>
  <c r="K40" i="64" s="1"/>
  <c r="K41" i="64" s="1"/>
  <c r="K42" i="64" s="1"/>
  <c r="Q3" i="66"/>
  <c r="Q3" i="65"/>
  <c r="R4" i="56"/>
  <c r="L41" i="63" l="1"/>
  <c r="L38" i="64"/>
  <c r="P5" i="64" a="1"/>
  <c r="P5" i="62" a="1"/>
  <c r="L40" i="63"/>
  <c r="L42" i="63" l="1"/>
  <c r="K42" i="63" s="1"/>
  <c r="P5" i="63" s="1" a="1"/>
  <c r="P5" i="63"/>
  <c r="P35" i="63"/>
  <c r="P32" i="63"/>
  <c r="P36" i="63"/>
  <c r="X36" i="63" s="1"/>
  <c r="P38" i="63"/>
  <c r="X38" i="63" s="1"/>
  <c r="P13" i="63"/>
  <c r="P8" i="63"/>
  <c r="X8" i="63" s="1"/>
  <c r="P19" i="63"/>
  <c r="P39" i="63"/>
  <c r="P14" i="63"/>
  <c r="P11" i="63"/>
  <c r="X11" i="63" s="1"/>
  <c r="P24" i="63"/>
  <c r="X24" i="63" s="1"/>
  <c r="P12" i="63"/>
  <c r="P30" i="63"/>
  <c r="P22" i="63"/>
  <c r="X22" i="63" s="1"/>
  <c r="P26" i="63"/>
  <c r="X26" i="63" s="1"/>
  <c r="P34" i="63"/>
  <c r="P20" i="63"/>
  <c r="X20" i="63" s="1"/>
  <c r="P10" i="63"/>
  <c r="X10" i="63" s="1"/>
  <c r="P31" i="63"/>
  <c r="X31" i="63" s="1"/>
  <c r="P18" i="63"/>
  <c r="X18" i="63" s="1"/>
  <c r="P6" i="63"/>
  <c r="X6" i="63" s="1"/>
  <c r="P27" i="63"/>
  <c r="P41" i="63"/>
  <c r="P23" i="63"/>
  <c r="P25" i="63"/>
  <c r="X25" i="63" s="1"/>
  <c r="P37" i="63"/>
  <c r="X37" i="63" s="1"/>
  <c r="P40" i="63"/>
  <c r="X40" i="63" s="1"/>
  <c r="P16" i="63"/>
  <c r="X16" i="63" s="1"/>
  <c r="P9" i="63"/>
  <c r="X9" i="63" s="1"/>
  <c r="P29" i="63"/>
  <c r="P28" i="63"/>
  <c r="P21" i="63"/>
  <c r="P15" i="63"/>
  <c r="P33" i="63"/>
  <c r="X33" i="63" s="1"/>
  <c r="P17" i="63"/>
  <c r="X17" i="63" s="1"/>
  <c r="P7" i="63"/>
  <c r="P5" i="64"/>
  <c r="P35" i="64"/>
  <c r="P25" i="64"/>
  <c r="P15" i="64"/>
  <c r="P17" i="64"/>
  <c r="P37" i="64"/>
  <c r="P41" i="64"/>
  <c r="P36" i="64"/>
  <c r="P21" i="64"/>
  <c r="P20" i="64"/>
  <c r="P12" i="64"/>
  <c r="P13" i="64"/>
  <c r="P11" i="64"/>
  <c r="P9" i="64"/>
  <c r="P7" i="64"/>
  <c r="P40" i="64"/>
  <c r="P29" i="64"/>
  <c r="P32" i="64"/>
  <c r="P16" i="64"/>
  <c r="P38" i="64"/>
  <c r="P24" i="64"/>
  <c r="P27" i="64"/>
  <c r="P8" i="64"/>
  <c r="P19" i="64"/>
  <c r="P30" i="64"/>
  <c r="P42" i="64"/>
  <c r="P39" i="64"/>
  <c r="P26" i="64"/>
  <c r="P22" i="64"/>
  <c r="P14" i="64"/>
  <c r="P28" i="64"/>
  <c r="P6" i="64"/>
  <c r="P34" i="64"/>
  <c r="P18" i="64"/>
  <c r="P33" i="64"/>
  <c r="P31" i="64"/>
  <c r="P23" i="64"/>
  <c r="P10" i="64"/>
  <c r="P5" i="62"/>
  <c r="P33" i="62"/>
  <c r="P20" i="62"/>
  <c r="P22" i="62"/>
  <c r="P39" i="62"/>
  <c r="P12" i="62"/>
  <c r="P19" i="62"/>
  <c r="P37" i="62"/>
  <c r="P31" i="62"/>
  <c r="P41" i="62"/>
  <c r="P28" i="62"/>
  <c r="P17" i="62"/>
  <c r="P35" i="62"/>
  <c r="P14" i="62"/>
  <c r="P38" i="62"/>
  <c r="P32" i="62"/>
  <c r="P6" i="62"/>
  <c r="P27" i="62"/>
  <c r="P26" i="62"/>
  <c r="P29" i="62"/>
  <c r="P11" i="62"/>
  <c r="P23" i="62"/>
  <c r="P10" i="62"/>
  <c r="P9" i="62"/>
  <c r="P21" i="62"/>
  <c r="P42" i="62"/>
  <c r="P15" i="62"/>
  <c r="P25" i="62"/>
  <c r="P40" i="62"/>
  <c r="P13" i="62"/>
  <c r="P24" i="62"/>
  <c r="P30" i="62"/>
  <c r="P16" i="62"/>
  <c r="P8" i="62"/>
  <c r="P36" i="62"/>
  <c r="P34" i="62"/>
  <c r="P18" i="62"/>
  <c r="P7" i="62"/>
  <c r="X15" i="63"/>
  <c r="X32" i="63"/>
  <c r="Q32" i="63"/>
  <c r="Q11" i="63"/>
  <c r="Q20" i="63"/>
  <c r="Q25" i="63"/>
  <c r="Q15" i="63"/>
  <c r="Q17" i="64"/>
  <c r="Q11" i="64"/>
  <c r="Q24" i="64"/>
  <c r="Q22" i="64"/>
  <c r="Q23" i="64"/>
  <c r="Q19" i="62"/>
  <c r="Q38" i="62"/>
  <c r="Q10" i="62"/>
  <c r="Q24" i="62"/>
  <c r="Q36" i="63"/>
  <c r="Q24" i="63"/>
  <c r="Q10" i="63"/>
  <c r="Q37" i="63"/>
  <c r="Q33" i="63"/>
  <c r="Q37" i="64"/>
  <c r="Q9" i="64"/>
  <c r="Q27" i="64"/>
  <c r="Q14" i="64"/>
  <c r="Q10" i="64"/>
  <c r="Q37" i="62"/>
  <c r="Q32" i="62"/>
  <c r="Q9" i="62"/>
  <c r="Q30" i="62"/>
  <c r="Q38" i="63"/>
  <c r="Q12" i="63"/>
  <c r="Q31" i="63"/>
  <c r="Q40" i="63"/>
  <c r="Q17" i="63"/>
  <c r="Q41" i="64"/>
  <c r="Q7" i="64"/>
  <c r="Q8" i="64"/>
  <c r="Q28" i="64"/>
  <c r="Q5" i="62"/>
  <c r="Q31" i="62"/>
  <c r="Q6" i="62"/>
  <c r="Q21" i="62"/>
  <c r="Q16" i="62"/>
  <c r="Q13" i="63"/>
  <c r="Q30" i="63"/>
  <c r="Q18" i="63"/>
  <c r="Q16" i="63"/>
  <c r="Q7" i="63"/>
  <c r="Q36" i="64"/>
  <c r="Q40" i="64"/>
  <c r="Q19" i="64"/>
  <c r="Q6" i="64"/>
  <c r="Q33" i="62"/>
  <c r="Q41" i="62"/>
  <c r="Q27" i="62"/>
  <c r="Q42" i="62"/>
  <c r="Q8" i="62"/>
  <c r="Q14" i="63"/>
  <c r="Q26" i="64"/>
  <c r="Q23" i="62"/>
  <c r="Q8" i="63"/>
  <c r="Q6" i="63"/>
  <c r="Q9" i="63"/>
  <c r="Q5" i="64"/>
  <c r="Q21" i="64"/>
  <c r="Q29" i="64"/>
  <c r="Q30" i="64"/>
  <c r="Q34" i="64"/>
  <c r="Q20" i="62"/>
  <c r="Q28" i="62"/>
  <c r="Q26" i="62"/>
  <c r="Q15" i="62"/>
  <c r="Q36" i="62"/>
  <c r="Q19" i="63"/>
  <c r="Q22" i="63"/>
  <c r="Q27" i="63"/>
  <c r="Q29" i="63"/>
  <c r="Q35" i="64"/>
  <c r="Q20" i="64"/>
  <c r="Q32" i="64"/>
  <c r="Q42" i="64"/>
  <c r="Q18" i="64"/>
  <c r="Q22" i="62"/>
  <c r="Q17" i="62"/>
  <c r="Q29" i="62"/>
  <c r="Q25" i="62"/>
  <c r="Q34" i="62"/>
  <c r="Q5" i="63"/>
  <c r="Q39" i="63"/>
  <c r="Q26" i="63"/>
  <c r="Q41" i="63"/>
  <c r="Q28" i="63"/>
  <c r="Q25" i="64"/>
  <c r="Q12" i="64"/>
  <c r="Q16" i="64"/>
  <c r="Q39" i="64"/>
  <c r="Q33" i="64"/>
  <c r="Q39" i="62"/>
  <c r="Q35" i="62"/>
  <c r="Q11" i="62"/>
  <c r="Q40" i="62"/>
  <c r="Q18" i="62"/>
  <c r="Q35" i="63"/>
  <c r="Q34" i="63"/>
  <c r="Q23" i="63"/>
  <c r="Q21" i="63"/>
  <c r="Q15" i="64"/>
  <c r="Q13" i="64"/>
  <c r="Q38" i="64"/>
  <c r="Q31" i="64"/>
  <c r="Q12" i="62"/>
  <c r="Q14" i="62"/>
  <c r="Q13" i="62"/>
  <c r="Q7" i="62"/>
  <c r="Q3" i="64"/>
  <c r="Q3" i="62"/>
  <c r="P42" i="63" l="1"/>
  <c r="X5" i="63"/>
  <c r="X41" i="63"/>
  <c r="X39" i="63"/>
  <c r="X35" i="63"/>
  <c r="X28" i="63"/>
  <c r="X34" i="63"/>
  <c r="X23" i="63"/>
  <c r="X30" i="63"/>
  <c r="X21" i="63"/>
  <c r="X27" i="63"/>
  <c r="X12" i="63"/>
  <c r="X14" i="63"/>
  <c r="X13" i="63"/>
  <c r="X19" i="63"/>
  <c r="X7" i="63"/>
  <c r="X29" i="63"/>
  <c r="Q42" i="63"/>
  <c r="Q3" i="63" s="1"/>
  <c r="D7" i="67" s="1"/>
  <c r="X42" i="63" l="1"/>
</calcChain>
</file>

<file path=xl/comments1.xml><?xml version="1.0" encoding="utf-8"?>
<comments xmlns="http://schemas.openxmlformats.org/spreadsheetml/2006/main">
  <authors>
    <author>erik</author>
  </authors>
  <commentList>
    <comment ref="A25" authorId="0">
      <text>
        <r>
          <rPr>
            <b/>
            <sz val="8"/>
            <color indexed="81"/>
            <rFont val="Tahoma"/>
            <family val="2"/>
          </rPr>
          <t>erik:</t>
        </r>
        <r>
          <rPr>
            <sz val="8"/>
            <color indexed="81"/>
            <rFont val="Tahoma"/>
            <family val="2"/>
          </rPr>
          <t xml:space="preserve">
this named range is a marker for Sensitivity Analysis</t>
        </r>
      </text>
    </comment>
  </commentList>
</comments>
</file>

<file path=xl/sharedStrings.xml><?xml version="1.0" encoding="utf-8"?>
<sst xmlns="http://schemas.openxmlformats.org/spreadsheetml/2006/main" count="3902" uniqueCount="312">
  <si>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</si>
  <si>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</si>
  <si>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</si>
  <si>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</si>
  <si>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</si>
  <si>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</si>
  <si>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</si>
  <si>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</si>
  <si>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</si>
  <si>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</si>
  <si>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</si>
  <si>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</si>
  <si>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</si>
  <si>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</si>
  <si>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</si>
  <si>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</si>
  <si>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</si>
  <si>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</si>
  <si>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</si>
  <si>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</si>
  <si>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</si>
  <si>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</si>
  <si>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</si>
  <si>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</si>
  <si>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</si>
  <si>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</si>
  <si>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</si>
  <si>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</si>
  <si>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</si>
  <si>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</si>
  <si>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</si>
  <si>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</si>
  <si>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</si>
  <si>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</si>
  <si>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</si>
  <si>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</si>
  <si>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</si>
  <si>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</si>
  <si>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</si>
  <si>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</si>
  <si>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</si>
  <si>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</si>
  <si>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</si>
  <si>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</si>
  <si>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</si>
  <si>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</si>
  <si>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</si>
  <si>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</si>
  <si>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</si>
  <si>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</si>
  <si>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</si>
  <si>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</si>
  <si>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</si>
  <si>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</si>
  <si>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</si>
  <si>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</si>
  <si>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</si>
  <si>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</si>
  <si>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</si>
  <si>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</si>
  <si>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</si>
  <si>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</si>
  <si>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</si>
  <si>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</si>
  <si>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</si>
  <si>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</si>
  <si>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</si>
  <si>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</si>
  <si>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</si>
  <si>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</si>
  <si>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</si>
  <si>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</si>
  <si>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</si>
  <si>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</si>
  <si>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</si>
  <si>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</si>
  <si>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</si>
  <si>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</si>
  <si>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</si>
  <si>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</si>
  <si>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</si>
  <si>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</si>
  <si>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</si>
  <si>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</si>
  <si>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</si>
  <si>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</si>
  <si>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</si>
  <si>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</si>
  <si>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</si>
  <si>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</si>
  <si>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</si>
  <si>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</si>
  <si>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</si>
  <si>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</si>
  <si>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</si>
  <si>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</si>
  <si>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</si>
  <si>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</si>
  <si>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</si>
  <si>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</si>
  <si>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</si>
  <si>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</si>
  <si>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</si>
  <si>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</si>
  <si>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</si>
  <si>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</si>
  <si>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</si>
  <si>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</si>
  <si>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</si>
  <si>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</si>
  <si>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</si>
  <si>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</si>
  <si>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</si>
  <si>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</si>
  <si>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</si>
  <si>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</si>
  <si>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</si>
  <si>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</si>
  <si>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</si>
  <si>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</si>
  <si>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</si>
  <si>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</si>
  <si>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</si>
  <si>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</si>
  <si>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</si>
  <si>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</si>
  <si>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</si>
  <si>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</si>
  <si>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</si>
  <si>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</si>
  <si>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</si>
  <si>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</si>
  <si>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</si>
  <si>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</si>
  <si>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</si>
  <si>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</si>
  <si>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</si>
  <si>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</si>
  <si>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</si>
  <si>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</si>
  <si>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</si>
  <si>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</si>
  <si>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</si>
  <si>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</si>
  <si>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</si>
  <si>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</si>
  <si>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</si>
  <si>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</si>
  <si>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</si>
  <si>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</si>
  <si>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</si>
  <si>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</si>
  <si>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</si>
  <si>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</si>
  <si>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</si>
  <si>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</si>
  <si>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</si>
  <si>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</si>
  <si>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</si>
  <si>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</si>
  <si>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</si>
  <si>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</si>
  <si>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</si>
  <si>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</si>
  <si>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</si>
  <si>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</si>
  <si>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</si>
  <si>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</si>
  <si>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</si>
  <si>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</si>
  <si>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</si>
  <si>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</si>
  <si>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</si>
  <si>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</si>
  <si>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</si>
  <si>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</si>
  <si>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</si>
  <si>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</si>
  <si>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</si>
  <si>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</si>
  <si>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</si>
  <si>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</si>
  <si>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</si>
  <si>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</si>
  <si>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</si>
  <si>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</si>
  <si>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</si>
  <si>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</si>
  <si>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</si>
  <si>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</si>
  <si>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</si>
  <si>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</si>
  <si>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</si>
  <si>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</si>
  <si>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</si>
  <si>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</si>
  <si>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</si>
  <si>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</si>
  <si>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</si>
  <si>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</si>
  <si>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</si>
  <si>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</si>
  <si>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</si>
  <si>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</si>
  <si>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</si>
  <si>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</si>
  <si>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</si>
  <si>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</si>
  <si>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</si>
  <si>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</si>
  <si>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</si>
  <si>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</si>
  <si>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</si>
  <si>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</si>
  <si>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</si>
  <si>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</si>
  <si>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</si>
  <si>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</si>
  <si>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</si>
  <si>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</si>
  <si>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</si>
  <si>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</si>
  <si>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</si>
  <si>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</si>
  <si>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</si>
  <si>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SaYieldCurveTweak</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</si>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</sst>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b/>
      <sz val="8"/>
      <color indexed="81"/>
      <name val="Tahoma"/>
      <family val="2"/>
    </font>
    <font>
      <sz val="8"/>
      <color indexed="81"/>
      <name val="Tahoma"/>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8"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2" fontId="5" fillId="0" borderId="0" xfId="1" applyNumberFormat="1" applyFont="1"/>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5"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5"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5" fillId="3" borderId="4" xfId="1" applyFont="1" applyFill="1" applyBorder="1"/>
    <xf numFmtId="0" fontId="5" fillId="3" borderId="6" xfId="1" applyFont="1" applyFill="1" applyBorder="1" applyAlignment="1">
      <alignment horizontal="center" vertical="center" wrapText="1"/>
    </xf>
    <xf numFmtId="0" fontId="25"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2" fontId="1" fillId="0" borderId="0" xfId="1" applyNumberFormat="1"/>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5" fillId="0" borderId="0" xfId="1" applyFont="1" applyFill="1"/>
    <xf numFmtId="0" fontId="5" fillId="3" borderId="16" xfId="1" applyFont="1" applyFill="1" applyBorder="1" applyAlignment="1">
      <alignment horizontal="center" wrapText="1"/>
    </xf>
    <xf numFmtId="170" fontId="5" fillId="0" borderId="0" xfId="4" applyNumberFormat="1" applyFont="1"/>
    <xf numFmtId="170" fontId="5" fillId="0" borderId="0" xfId="1"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6" fillId="3" borderId="0" xfId="1" applyFont="1" applyFill="1" applyBorder="1" applyAlignment="1">
      <alignment horizontal="right"/>
    </xf>
    <xf numFmtId="0" fontId="27" fillId="3" borderId="0" xfId="1" applyFont="1" applyFill="1" applyBorder="1" applyAlignment="1">
      <alignment horizontal="center"/>
    </xf>
    <xf numFmtId="0" fontId="4" fillId="3" borderId="7" xfId="1" applyFont="1" applyFill="1" applyBorder="1"/>
    <xf numFmtId="0" fontId="28" fillId="3" borderId="0" xfId="1" applyFont="1" applyFill="1" applyBorder="1" applyAlignment="1">
      <alignment horizontal="right"/>
    </xf>
    <xf numFmtId="0" fontId="27" fillId="3" borderId="4" xfId="1" applyFont="1" applyFill="1" applyBorder="1"/>
    <xf numFmtId="0" fontId="4" fillId="3" borderId="0" xfId="1" applyFont="1" applyFill="1" applyBorder="1" applyAlignment="1">
      <alignment horizontal="right"/>
    </xf>
    <xf numFmtId="176" fontId="29" fillId="3" borderId="0" xfId="1" applyNumberFormat="1" applyFont="1" applyFill="1" applyBorder="1" applyAlignment="1">
      <alignment horizontal="left"/>
    </xf>
    <xf numFmtId="0" fontId="1" fillId="3" borderId="0" xfId="1" applyFill="1" applyBorder="1"/>
    <xf numFmtId="0" fontId="27" fillId="3" borderId="15" xfId="1" applyFont="1" applyFill="1" applyBorder="1" applyAlignment="1">
      <alignment horizontal="center"/>
    </xf>
    <xf numFmtId="0" fontId="27" fillId="3" borderId="14" xfId="1" applyFont="1" applyFill="1" applyBorder="1" applyAlignment="1">
      <alignment horizontal="center"/>
    </xf>
    <xf numFmtId="0" fontId="27" fillId="3" borderId="22" xfId="1" applyFont="1" applyFill="1" applyBorder="1" applyAlignment="1">
      <alignment horizontal="center"/>
    </xf>
    <xf numFmtId="0" fontId="27" fillId="3" borderId="27" xfId="1" applyFont="1" applyFill="1" applyBorder="1" applyAlignment="1">
      <alignment horizontal="center"/>
    </xf>
    <xf numFmtId="0" fontId="27" fillId="3" borderId="0" xfId="1" applyFont="1" applyFill="1" applyBorder="1"/>
    <xf numFmtId="0" fontId="27" fillId="3" borderId="6" xfId="1" applyFont="1" applyFill="1" applyBorder="1" applyAlignment="1">
      <alignment horizontal="center"/>
    </xf>
    <xf numFmtId="0" fontId="27" fillId="3" borderId="5" xfId="1" applyFont="1" applyFill="1" applyBorder="1" applyAlignment="1">
      <alignment horizontal="center"/>
    </xf>
    <xf numFmtId="1" fontId="27" fillId="3" borderId="15" xfId="1" applyNumberFormat="1" applyFont="1" applyFill="1" applyBorder="1" applyAlignment="1">
      <alignment horizontal="center"/>
    </xf>
    <xf numFmtId="0" fontId="27" fillId="2" borderId="14" xfId="1" applyFont="1" applyFill="1" applyBorder="1"/>
    <xf numFmtId="1" fontId="27" fillId="3" borderId="22" xfId="1" applyNumberFormat="1" applyFont="1" applyFill="1" applyBorder="1" applyAlignment="1">
      <alignment horizontal="center"/>
    </xf>
    <xf numFmtId="0" fontId="27" fillId="2" borderId="27" xfId="1" applyFont="1" applyFill="1" applyBorder="1"/>
    <xf numFmtId="0" fontId="27" fillId="3" borderId="22" xfId="1" quotePrefix="1" applyNumberFormat="1" applyFont="1" applyFill="1" applyBorder="1" applyAlignment="1">
      <alignment horizontal="center"/>
    </xf>
    <xf numFmtId="177" fontId="27" fillId="3" borderId="22" xfId="1" applyNumberFormat="1" applyFont="1" applyFill="1" applyBorder="1" applyAlignment="1">
      <alignment horizontal="center"/>
    </xf>
    <xf numFmtId="0" fontId="27" fillId="3" borderId="17" xfId="1" applyFont="1" applyFill="1" applyBorder="1" applyAlignment="1">
      <alignment horizontal="center"/>
    </xf>
    <xf numFmtId="0" fontId="27" fillId="2" borderId="26" xfId="1" applyFont="1" applyFill="1" applyBorder="1"/>
    <xf numFmtId="0" fontId="4" fillId="3" borderId="4" xfId="1" applyFont="1" applyFill="1" applyBorder="1"/>
    <xf numFmtId="0" fontId="4" fillId="3" borderId="0" xfId="1"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 fillId="9" borderId="0" xfId="1" applyFill="1"/>
    <xf numFmtId="0" fontId="5" fillId="9" borderId="0" xfId="1" applyFont="1" applyFill="1" applyBorder="1"/>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2">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333375</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tabSelected="1" workbookViewId="0"/>
  </sheetViews>
  <sheetFormatPr defaultRowHeight="12.75" x14ac:dyDescent="0.2"/>
  <cols>
    <col min="1" max="2" width="2.7109375" style="447" customWidth="1"/>
    <col min="3" max="3" width="14.85546875" style="447" bestFit="1" customWidth="1"/>
    <col min="4" max="4" width="21.42578125" style="447" bestFit="1" customWidth="1"/>
    <col min="5" max="5" width="20.7109375" style="447" bestFit="1" customWidth="1"/>
    <col min="6" max="8" width="2.7109375" style="447" customWidth="1"/>
    <col min="9" max="9" width="12.140625" style="447" bestFit="1" customWidth="1"/>
    <col min="10" max="10" width="53.7109375" style="447" bestFit="1" customWidth="1"/>
    <col min="11" max="11" width="2.7109375" style="447" customWidth="1"/>
    <col min="12" max="16384" width="9.140625" style="447"/>
  </cols>
  <sheetData>
    <row r="1" spans="1:11" ht="13.5" thickBot="1" x14ac:dyDescent="0.25">
      <c r="A1" s="447" t="s">
        <v>311</v>
      </c>
      <c r="B1" s="447" t="str">
        <f>_xll.qlxlVersion(TRUE,Trigger)</f>
        <v>QuantLibXL 1.3.0 - MS VC++ 9.0 - Multithreaded Static Runtime library - Release Configuration - Dec  5 2013 11:03:51</v>
      </c>
    </row>
    <row r="2" spans="1:11" ht="15.75" x14ac:dyDescent="0.25">
      <c r="B2" s="442" t="s">
        <v>310</v>
      </c>
      <c r="C2" s="443"/>
      <c r="D2" s="443"/>
      <c r="E2" s="443"/>
      <c r="F2" s="444"/>
      <c r="H2" s="442" t="s">
        <v>32</v>
      </c>
      <c r="I2" s="443"/>
      <c r="J2" s="443"/>
      <c r="K2" s="443"/>
    </row>
    <row r="3" spans="1:11" x14ac:dyDescent="0.2">
      <c r="B3" s="419"/>
      <c r="C3" s="441"/>
      <c r="D3" s="441"/>
      <c r="E3" s="441"/>
      <c r="F3" s="440"/>
      <c r="H3" s="9"/>
      <c r="I3" s="13"/>
      <c r="J3" s="13"/>
      <c r="K3" s="5"/>
    </row>
    <row r="4" spans="1:11" x14ac:dyDescent="0.2">
      <c r="B4" s="419"/>
      <c r="C4" s="439" t="s">
        <v>25</v>
      </c>
      <c r="D4" s="438" t="s">
        <v>123</v>
      </c>
      <c r="E4" s="429"/>
      <c r="F4" s="421"/>
      <c r="H4" s="9"/>
      <c r="I4" s="16" t="s">
        <v>31</v>
      </c>
      <c r="J4" s="15">
        <v>41618.625092592592</v>
      </c>
      <c r="K4" s="14"/>
    </row>
    <row r="5" spans="1:11" x14ac:dyDescent="0.2">
      <c r="B5" s="419"/>
      <c r="C5" s="435" t="s">
        <v>31</v>
      </c>
      <c r="D5" s="437">
        <v>41479.711631944447</v>
      </c>
      <c r="E5" s="429"/>
      <c r="F5" s="421"/>
      <c r="H5" s="9"/>
      <c r="I5" s="16" t="s">
        <v>30</v>
      </c>
      <c r="J5" s="15" t="b">
        <v>1</v>
      </c>
      <c r="K5" s="14"/>
    </row>
    <row r="6" spans="1:11" x14ac:dyDescent="0.2">
      <c r="B6" s="419"/>
      <c r="C6" s="435" t="s">
        <v>309</v>
      </c>
      <c r="D6" s="436" t="s">
        <v>308</v>
      </c>
      <c r="E6" s="429"/>
      <c r="F6" s="421"/>
      <c r="H6" s="9"/>
      <c r="I6" s="16" t="s">
        <v>29</v>
      </c>
      <c r="J6" s="15" t="b">
        <v>0</v>
      </c>
      <c r="K6" s="14"/>
    </row>
    <row r="7" spans="1:11" x14ac:dyDescent="0.2">
      <c r="B7" s="419"/>
      <c r="C7" s="435" t="s">
        <v>307</v>
      </c>
      <c r="D7" s="434">
        <f>_xll.ohTrigger('Deposits (2)'!J3,'FRA (2)'!P3,'Futures3M (2)'!R4,FuturesConvexityAdjustment!L3,Swap1M!Q3,'Swap3M (2)'!Q3,SwapIMMDated!Q3,'Swap6M (2)'!Q3,'BasisSwap1MXM (2)'!Q3,'BasisSwap3M6M (2)'!Q3,'BasisSwapXM12M (2)'!Q3,'OIS (2)'!Q3)</f>
        <v>33</v>
      </c>
      <c r="E7" s="429"/>
      <c r="F7" s="421"/>
      <c r="H7" s="9"/>
      <c r="I7" s="16" t="s">
        <v>28</v>
      </c>
      <c r="J7" s="15" t="b">
        <v>1</v>
      </c>
      <c r="K7" s="14"/>
    </row>
    <row r="8" spans="1:11" x14ac:dyDescent="0.2">
      <c r="B8" s="419"/>
      <c r="C8" s="433" t="s">
        <v>306</v>
      </c>
      <c r="D8" s="432" t="s">
        <v>305</v>
      </c>
      <c r="E8" s="429"/>
      <c r="F8" s="421"/>
      <c r="H8" s="9"/>
      <c r="I8" s="16" t="s">
        <v>27</v>
      </c>
      <c r="J8" s="24" t="str">
        <f ca="1">SUBSTITUTE(LEFT(CELL("filename",A1),FIND("[",CELL("filename",A1),1)-1),"\XLS\","\XML\")</f>
        <v>C:\Users\erik\Documents\repos\quantlib_nando\QuantLibXL\Data2\XML\</v>
      </c>
      <c r="K8" s="14"/>
    </row>
    <row r="9" spans="1:11" x14ac:dyDescent="0.2">
      <c r="B9" s="419"/>
      <c r="C9" s="429"/>
      <c r="D9" s="331"/>
      <c r="E9" s="429"/>
      <c r="F9" s="421"/>
      <c r="H9" s="9"/>
      <c r="I9" s="16" t="s">
        <v>26</v>
      </c>
      <c r="J9" s="23" t="b">
        <v>1</v>
      </c>
      <c r="K9" s="14"/>
    </row>
    <row r="10" spans="1:11" x14ac:dyDescent="0.2">
      <c r="B10" s="419"/>
      <c r="C10" s="431" t="s">
        <v>249</v>
      </c>
      <c r="D10" s="430" t="s">
        <v>304</v>
      </c>
      <c r="E10" s="429"/>
      <c r="F10" s="421"/>
      <c r="H10" s="9"/>
      <c r="I10" s="16" t="s">
        <v>25</v>
      </c>
      <c r="J10" s="40" t="s">
        <v>123</v>
      </c>
      <c r="K10" s="14"/>
    </row>
    <row r="11" spans="1:11" ht="13.5" thickBot="1" x14ac:dyDescent="0.25">
      <c r="B11" s="419"/>
      <c r="C11" s="428" t="s">
        <v>239</v>
      </c>
      <c r="D11" s="427" t="str">
        <f>""</f>
        <v/>
      </c>
      <c r="E11" s="429"/>
      <c r="F11" s="421"/>
      <c r="H11" s="4"/>
      <c r="I11" s="3"/>
      <c r="J11" s="3"/>
      <c r="K11" s="2"/>
    </row>
    <row r="12" spans="1:11" ht="13.5" thickBot="1" x14ac:dyDescent="0.25">
      <c r="B12" s="419"/>
      <c r="C12" s="428" t="s">
        <v>238</v>
      </c>
      <c r="D12" s="427" t="s">
        <v>237</v>
      </c>
      <c r="E12" s="424"/>
      <c r="F12" s="421"/>
    </row>
    <row r="13" spans="1:11" ht="15.75" x14ac:dyDescent="0.25">
      <c r="B13" s="419"/>
      <c r="C13" s="428" t="s">
        <v>236</v>
      </c>
      <c r="D13" s="427" t="s">
        <v>236</v>
      </c>
      <c r="E13" s="424"/>
      <c r="F13" s="421"/>
      <c r="H13" s="442" t="s">
        <v>149</v>
      </c>
      <c r="I13" s="443"/>
      <c r="J13" s="443"/>
      <c r="K13" s="443"/>
    </row>
    <row r="14" spans="1:11" x14ac:dyDescent="0.2">
      <c r="B14" s="419"/>
      <c r="C14" s="428" t="s">
        <v>235</v>
      </c>
      <c r="D14" s="427" t="s">
        <v>234</v>
      </c>
      <c r="E14" s="424"/>
      <c r="F14" s="421"/>
      <c r="H14" s="9"/>
      <c r="I14" s="13"/>
      <c r="J14" s="13"/>
      <c r="K14" s="5"/>
    </row>
    <row r="15" spans="1:11" x14ac:dyDescent="0.2">
      <c r="B15" s="419"/>
      <c r="C15" s="428" t="s">
        <v>233</v>
      </c>
      <c r="D15" s="427" t="s">
        <v>232</v>
      </c>
      <c r="E15" s="424"/>
      <c r="F15" s="421"/>
      <c r="H15" s="9"/>
      <c r="I15" s="16" t="s">
        <v>148</v>
      </c>
      <c r="J15" s="23" t="s">
        <v>147</v>
      </c>
      <c r="K15" s="14"/>
    </row>
    <row r="16" spans="1:11" x14ac:dyDescent="0.2">
      <c r="B16" s="419"/>
      <c r="C16" s="428" t="s">
        <v>231</v>
      </c>
      <c r="D16" s="427" t="s">
        <v>230</v>
      </c>
      <c r="E16" s="424"/>
      <c r="F16" s="421"/>
      <c r="H16" s="9"/>
      <c r="I16" s="16" t="s">
        <v>146</v>
      </c>
      <c r="J16" s="106">
        <v>1E-4</v>
      </c>
      <c r="K16" s="14"/>
    </row>
    <row r="17" spans="2:11" x14ac:dyDescent="0.2">
      <c r="B17" s="419"/>
      <c r="C17" s="426" t="s">
        <v>229</v>
      </c>
      <c r="D17" s="425" t="s">
        <v>227</v>
      </c>
      <c r="E17" s="424"/>
      <c r="F17" s="421"/>
      <c r="H17" s="9"/>
      <c r="I17" s="16" t="s">
        <v>145</v>
      </c>
      <c r="J17" s="105">
        <v>-0.01</v>
      </c>
      <c r="K17" s="14"/>
    </row>
    <row r="18" spans="2:11" x14ac:dyDescent="0.2">
      <c r="B18" s="419"/>
      <c r="C18" s="418"/>
      <c r="D18" s="418"/>
      <c r="E18" s="418"/>
      <c r="F18" s="421"/>
      <c r="H18" s="9"/>
      <c r="I18" s="16" t="s">
        <v>54</v>
      </c>
      <c r="J18" s="15" t="s">
        <v>53</v>
      </c>
      <c r="K18" s="14"/>
    </row>
    <row r="19" spans="2:11" x14ac:dyDescent="0.2">
      <c r="B19" s="419"/>
      <c r="C19" s="418"/>
      <c r="D19" s="418"/>
      <c r="E19" s="418"/>
      <c r="F19" s="421"/>
      <c r="H19" s="9"/>
      <c r="I19" s="16" t="s">
        <v>119</v>
      </c>
      <c r="J19" s="15" t="s">
        <v>118</v>
      </c>
      <c r="K19" s="14"/>
    </row>
    <row r="20" spans="2:11" ht="13.5" thickBot="1" x14ac:dyDescent="0.25">
      <c r="B20" s="419"/>
      <c r="C20" s="418"/>
      <c r="D20" s="417" t="s">
        <v>303</v>
      </c>
      <c r="E20" s="423">
        <v>41479.71230324074</v>
      </c>
      <c r="F20" s="53"/>
      <c r="H20" s="4"/>
      <c r="I20" s="3"/>
      <c r="J20" s="3"/>
      <c r="K20" s="2"/>
    </row>
    <row r="21" spans="2:11" x14ac:dyDescent="0.2">
      <c r="B21" s="419"/>
      <c r="C21" s="418"/>
      <c r="D21" s="422"/>
      <c r="E21" s="420"/>
      <c r="F21" s="421"/>
    </row>
    <row r="22" spans="2:11" x14ac:dyDescent="0.2">
      <c r="B22" s="419"/>
      <c r="C22" s="418"/>
      <c r="D22" s="417"/>
      <c r="E22" s="420"/>
      <c r="F22" s="53"/>
    </row>
    <row r="23" spans="2:11" x14ac:dyDescent="0.2">
      <c r="B23" s="419"/>
      <c r="C23" s="418"/>
      <c r="D23" s="417" t="s">
        <v>302</v>
      </c>
      <c r="E23" s="416" t="b">
        <v>1</v>
      </c>
      <c r="F23" s="53"/>
    </row>
    <row r="24" spans="2:11" ht="11.25" customHeight="1" thickBot="1" x14ac:dyDescent="0.25">
      <c r="B24" s="415"/>
      <c r="C24" s="51"/>
      <c r="D24" s="51"/>
      <c r="E24" s="51"/>
      <c r="F24" s="50"/>
    </row>
    <row r="25" spans="2:11" x14ac:dyDescent="0.2">
      <c r="C25" s="448"/>
      <c r="D25" s="448"/>
      <c r="E25" s="448"/>
      <c r="F25" s="448"/>
    </row>
    <row r="26" spans="2:11" x14ac:dyDescent="0.2">
      <c r="C26" s="448"/>
      <c r="D26" s="448"/>
      <c r="E26" s="448"/>
      <c r="F26" s="448"/>
    </row>
    <row r="27" spans="2:11" x14ac:dyDescent="0.2">
      <c r="C27" s="448"/>
      <c r="D27" s="448"/>
      <c r="E27" s="448"/>
      <c r="F27" s="448"/>
    </row>
    <row r="28" spans="2:11" x14ac:dyDescent="0.2">
      <c r="C28" s="448"/>
      <c r="D28" s="448"/>
      <c r="E28" s="448"/>
      <c r="F28" s="448"/>
    </row>
    <row r="29" spans="2:11" x14ac:dyDescent="0.2">
      <c r="C29" s="448"/>
      <c r="D29" s="448"/>
      <c r="E29" s="448"/>
      <c r="F29" s="448"/>
    </row>
    <row r="30" spans="2:11" x14ac:dyDescent="0.2">
      <c r="C30" s="448"/>
      <c r="D30" s="448"/>
      <c r="E30" s="448"/>
      <c r="F30" s="448"/>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20</xdr:row>
                <xdr:rowOff>123825</xdr:rowOff>
              </from>
              <to>
                <xdr:col>3</xdr:col>
                <xdr:colOff>390525</xdr:colOff>
                <xdr:row>22</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18</xdr:row>
                <xdr:rowOff>57150</xdr:rowOff>
              </from>
              <to>
                <xdr:col>3</xdr:col>
                <xdr:colOff>390525</xdr:colOff>
                <xdr:row>20</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EurYC#0021</v>
      </c>
      <c r="F6" s="6" t="str">
        <f>_xll.ohRangeRetrieveError(E6)</f>
        <v/>
      </c>
      <c r="G6" s="5"/>
    </row>
    <row r="7" spans="1:7" x14ac:dyDescent="0.2">
      <c r="B7" s="9"/>
      <c r="C7" s="8" t="s">
        <v>22</v>
      </c>
      <c r="D7" s="8" t="str">
        <f t="shared" si="0"/>
        <v>EurYCSTD</v>
      </c>
      <c r="E7" s="7" t="str">
        <f>_xll.qlRelinkableHandleYieldTermStructure(D7,,Permanent,Trigger,ObjectOverwrite)</f>
        <v>EurYCSTD#0021</v>
      </c>
      <c r="F7" s="6" t="str">
        <f>_xll.ohRangeRetrieveError(E7)</f>
        <v/>
      </c>
      <c r="G7" s="5"/>
    </row>
    <row r="8" spans="1:7" x14ac:dyDescent="0.2">
      <c r="B8" s="9"/>
      <c r="C8" s="8" t="s">
        <v>21</v>
      </c>
      <c r="D8" s="8" t="str">
        <f t="shared" si="0"/>
        <v>EuriborYCON</v>
      </c>
      <c r="E8" s="7" t="str">
        <f>_xll.qlRelinkableHandleYieldTermStructure(D8,,Permanent,Trigger,ObjectOverwrite)</f>
        <v>EuriborYCON#0021</v>
      </c>
      <c r="F8" s="6" t="str">
        <f>_xll.ohRangeRetrieveError(E8)</f>
        <v/>
      </c>
      <c r="G8" s="5"/>
    </row>
    <row r="9" spans="1:7" x14ac:dyDescent="0.2">
      <c r="B9" s="9"/>
      <c r="C9" s="8" t="s">
        <v>20</v>
      </c>
      <c r="D9" s="8" t="str">
        <f t="shared" si="0"/>
        <v>EuriborYC1M</v>
      </c>
      <c r="E9" s="7" t="str">
        <f>_xll.qlRelinkableHandleYieldTermStructure(D9,,Permanent,Trigger,ObjectOverwrite)</f>
        <v>EuriborYC1M#0021</v>
      </c>
      <c r="F9" s="6" t="str">
        <f>_xll.ohRangeRetrieveError(E9)</f>
        <v/>
      </c>
      <c r="G9" s="5"/>
    </row>
    <row r="10" spans="1:7" x14ac:dyDescent="0.2">
      <c r="B10" s="9"/>
      <c r="C10" s="8" t="s">
        <v>19</v>
      </c>
      <c r="D10" s="8" t="str">
        <f t="shared" si="0"/>
        <v>EuriborYC3M</v>
      </c>
      <c r="E10" s="7" t="str">
        <f>_xll.qlRelinkableHandleYieldTermStructure(D10,,Permanent,Trigger,ObjectOverwrite)</f>
        <v>EuriborYC3M#0021</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EuriborYC6M#0021</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EuriborYC1Y#0021</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EuriborYCON-Mx#0021</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EuriborYC1M-Mx#0021</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EuriborYC3M-Mx#0021</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EuriborYC6M-Mx#0021</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EuriborYC1Y-Mx#0021</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EurLiborYCON#0021</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EurLiborYC1M#0021</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EurLiborYC3M#0021</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EurLiborYC6M#0021</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EurLiborYC1Y#0021</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EurSwaptionATMVol#0021</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EurSwaptionVol#0021</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Eur3MFutOptionVol#0021</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Eur1MCapletVol#0021</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Eur3MCapletVol#0021</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Eur6MCapletVol#0021</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Eur1YCapletVol#0021</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Eur3MFutOptionVolEx#0021</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Eur1MCapletVolEx#0021</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Eur3MCapletVolEx#0021</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Eur6MCapletVolEx#0021</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Eur1YCapletVolEx#0021</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1" width="3.140625" style="1" customWidth="1"/>
    <col min="2" max="2" width="4" style="1" bestFit="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Eonia2#0019</v>
      </c>
      <c r="G6" s="26"/>
      <c r="H6" s="7" t="str">
        <f>_xll.ohRangeRetrieveError(F6)</f>
        <v/>
      </c>
      <c r="I6" s="7" t="str">
        <f>_xll.ohRangeRetrieveError(G6)</f>
        <v/>
      </c>
      <c r="J6" s="31"/>
    </row>
    <row r="7" spans="1:10" s="25" customFormat="1" x14ac:dyDescent="0.2">
      <c r="B7" s="30"/>
      <c r="C7" s="29" t="s">
        <v>49</v>
      </c>
      <c r="D7" s="28" t="s">
        <v>21</v>
      </c>
      <c r="E7" s="32" t="s">
        <v>49</v>
      </c>
      <c r="F7" s="26" t="str">
        <f>_xll.qlEonia(C7,Currency&amp;$D7,Permanent,Trigger,ObjectOverwrite)</f>
        <v>Eonia#0019</v>
      </c>
      <c r="G7" s="26" t="str">
        <f>_xll.qlLastFixingQuote(E7&amp;"LastFixing_Quote",F7,Permanent,Trigger,ObjectOverwrite)</f>
        <v>EoniaLastFixing_Quote#0019</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EuriborSW#0019</v>
      </c>
      <c r="G8" s="26" t="str">
        <f>_xll.qlLastFixingQuote(E8&amp;"LastFixing_Quote",F8,Permanent,Trigger,ObjectOverwrite)</f>
        <v>EuriborSWLastFixing_Quote#0019</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Euribor2W#0019</v>
      </c>
      <c r="G9" s="26" t="str">
        <f>_xll.qlLastFixingQuote(E9&amp;"LastFixing_Quote",F9,Permanent,Trigger,ObjectOverwrite)</f>
        <v>Euribor2WLastFixing_Quote#0019</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Euribor3W#0019</v>
      </c>
      <c r="G10" s="26" t="str">
        <f>_xll.qlLastFixingQuote(E10&amp;"LastFixing_Quote",F10,Permanent,Trigger,ObjectOverwrite)</f>
        <v>Euribor3WLastFixing_Quote#0019</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Euribor1M#0019</v>
      </c>
      <c r="G11" s="26" t="str">
        <f>_xll.qlLastFixingQuote(E11&amp;"LastFixing_Quote",F11,Permanent,Trigger,ObjectOverwrite)</f>
        <v>Euribor1MLastFixing_Quote#0019</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Euribor2M#0019</v>
      </c>
      <c r="G12" s="26" t="str">
        <f>_xll.qlLastFixingQuote(E12&amp;"LastFixing_Quote",F12,Permanent,Trigger,ObjectOverwrite)</f>
        <v>Euribor2MLastFixing_Quote#0019</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Euribor3M#0019</v>
      </c>
      <c r="G13" s="26" t="str">
        <f>_xll.qlLastFixingQuote(E13&amp;"LastFixing_Quote",F13,Permanent,Trigger,ObjectOverwrite)</f>
        <v>Euribor3MLastFixing_Quote#0019</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Euribor4M#0019</v>
      </c>
      <c r="G14" s="26" t="str">
        <f>_xll.qlLastFixingQuote(E14&amp;"LastFixing_Quote",F14,Permanent,Trigger,ObjectOverwrite)</f>
        <v>Euribor4MLastFixing_Quote#0019</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Euribor5M#0019</v>
      </c>
      <c r="G15" s="26" t="str">
        <f>_xll.qlLastFixingQuote(E15&amp;"LastFixing_Quote",F15,Permanent,Trigger,ObjectOverwrite)</f>
        <v>Euribor5MLastFixing_Quote#0019</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Euribor6M#0019</v>
      </c>
      <c r="G16" s="26" t="str">
        <f>_xll.qlLastFixingQuote(E16&amp;"LastFixing_Quote",F16,Permanent,Trigger,ObjectOverwrite)</f>
        <v>Euribor6MLastFixing_Quote#0019</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Euribor7M#0019</v>
      </c>
      <c r="G17" s="26" t="str">
        <f>_xll.qlLastFixingQuote(E17&amp;"LastFixing_Quote",F17,Permanent,Trigger,ObjectOverwrite)</f>
        <v>Euribor7MLastFixing_Quote#0019</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Euribor8M#0019</v>
      </c>
      <c r="G18" s="26" t="str">
        <f>_xll.qlLastFixingQuote(E18&amp;"LastFixing_Quote",F18,Permanent,Trigger,ObjectOverwrite)</f>
        <v>Euribor8MLastFixing_Quote#0019</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Euribor9M#0019</v>
      </c>
      <c r="G19" s="26" t="str">
        <f>_xll.qlLastFixingQuote(E19&amp;"LastFixing_Quote",F19,Permanent,Trigger,ObjectOverwrite)</f>
        <v>Euribor9MLastFixing_Quote#0019</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Euribor10M#0019</v>
      </c>
      <c r="G20" s="26" t="str">
        <f>_xll.qlLastFixingQuote(E20&amp;"LastFixing_Quote",F20,Permanent,Trigger,ObjectOverwrite)</f>
        <v>Euribor10MLastFixing_Quote#0019</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Euribor11M#0019</v>
      </c>
      <c r="G21" s="26" t="str">
        <f>_xll.qlLastFixingQuote(E21&amp;"LastFixing_Quote",F21,Permanent,Trigger,ObjectOverwrite)</f>
        <v>Euribor11MLastFixing_Quote#0019</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Euribor1Y#0019</v>
      </c>
      <c r="G22" s="26" t="str">
        <f>_xll.qlLastFixingQuote(E22&amp;"LastFixing_Quote",F22,Permanent,Trigger,ObjectOverwrite)</f>
        <v>Euribor1YLastFixing_Quote#0019</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Euribor365SW#0019</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Euribor3652W#0019</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Euribor3653W#0019</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Euribor3651M#0019</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Euribor3652M#0019</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Euribor3653M#0019</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Euribor3654M#0019</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Euribor3655M#0019</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Euribor3656M#0019</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Euribor3657M#0019</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Euribor3658M#0019</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Euribor3659M#0019</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Euribor36510M#0019</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Euribor36511M#0019</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Euribor3651Y#0019</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EuriborSwapIsdaFixA1Y#0019</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EuriborSwapIsdaFixA2Y#0019</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EuriborSwapIsdaFixA3Y#0019</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EuriborSwapIsdaFixA4Y#0019</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EuriborSwapIsdaFixA5Y#0019</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EuriborSwapIsdaFixA6Y#0019</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EuriborSwapIsdaFixA7Y#0019</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EuriborSwapIsdaFixA8Y#0019</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EuriborSwapIsdaFixA9Y#0019</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EuriborSwapIsdaFixA10Y#0019</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EuriborSwapIsdaFixA11Y#0019</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EuriborSwapIsdaFixA12Y#0019</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EuriborSwapIsdaFixA13Y#0019</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EuriborSwapIsdaFixA14Y#0019</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EuriborSwapIsdaFixA15Y#0019</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EuriborSwapIsdaFixA16Y#0019</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EuriborSwapIsdaFixA17Y#0019</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EuriborSwapIsdaFixA18Y#0019</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EuriborSwapIsdaFixA19Y#0019</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EuriborSwapIsdaFixA20Y#0019</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EuriborSwapIsdaFixA21Y#0019</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EuriborSwapIsdaFixA22Y#0019</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EuriborSwapIsdaFixA23Y#0019</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EuriborSwapIsdaFixA24Y#0019</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EuriborSwapIsdaFixA25Y#0019</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EuriborSwapIsdaFixA26Y#0019</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EuriborSwapIsdaFixA27Y#0019</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EuriborSwapIsdaFixA28Y#0019</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EuriborSwapIsdaFixA29Y#0019</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EuriborSwapIsdaFixA30Y#0019</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EuriborSwapIsdaFixA31Y#0019</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EuriborSwapIsdaFixA32Y#0019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EuriborSwapIsdaFixA33Y#0019</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EuriborSwapIsdaFixA34Y#0019</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EuriborSwapIsdaFixA35Y#0019</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EuriborSwapIsdaFixA36Y#0019</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EuriborSwapIsdaFixA37Y#0019</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EuriborSwapIsdaFixA38Y#0019</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EuriborSwapIsdaFixA39Y#0019</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EuriborSwapIsdaFixA40Y#0019</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EuriborSwapIsdaFixA41Y#0019</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EuriborSwapIsdaFixA42Y#0019</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EuriborSwapIsdaFixA43Y#0019</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EuriborSwapIsdaFixA44Y#0019</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EuriborSwapIsdaFixA45Y#0019</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EuriborSwapIsdaFixA46Y#0019</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EuriborSwapIsdaFixA47Y#0019</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EuriborSwapIsdaFixA48Y#0019</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EuriborSwapIsdaFixA49Y#0019</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EuriborSwapIsdaFixA50Y#0019</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EuriborSwapIsdaFixA51Y#0019</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EuriborSwapIsdaFixA52Y#0019</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EuriborSwapIsdaFixA53Y#0019</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EuriborSwapIsdaFixA54Y#0019</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EuriborSwapIsdaFixA55Y#0019</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EuriborSwapIsdaFixA56Y#0019</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EuriborSwapIsdaFixA57Y#0019</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EuriborSwapIsdaFixA58Y#0019</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EuriborSwapIsdaFixA59Y#0019</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EuriborSwapIsdaFixA60Y#0019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EuriborSwapIsdaFixB1Y#0019</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EuriborSwapIsdaFixB2Y#0019</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EuriborSwapIsdaFixB3Y#0019</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EuriborSwapIsdaFixB4Y#0019</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EuriborSwapIsdaFixB5Y#0019</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EuriborSwapIsdaFixB6Y#0019</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EuriborSwapIsdaFixB7Y#0019</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EuriborSwapIsdaFixB8Y#0019</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EuriborSwapIsdaFixB9Y#0019</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EuriborSwapIsdaFixB10Y#0019</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EuriborSwapIsdaFixB11Y#0019</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EuriborSwapIsdaFixB12Y#0019</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EuriborSwapIsdaFixB13Y#0019</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EuriborSwapIsdaFixB14Y#0019</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EuriborSwapIsdaFixB15Y#0019</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EuriborSwapIsdaFixB16Y#0019</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EuriborSwapIsdaFixB17Y#0019</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EuriborSwapIsdaFixB18Y#0019</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EuriborSwapIsdaFixB19Y#0019</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EuriborSwapIsdaFixB20Y#0019</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EuriborSwapIsdaFixB21Y#0019</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EuriborSwapIsdaFixB22Y#0019</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EuriborSwapIsdaFixB23Y#0019</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EuriborSwapIsdaFixB24Y#0019</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EuriborSwapIsdaFixB25Y#0019</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EuriborSwapIsdaFixB26Y#0019</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EuriborSwapIsdaFixB27Y#0019</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EuriborSwapIsdaFixB28Y#0019</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EuriborSwapIsdaFixB29Y#0019</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EuriborSwapIsdaFixB30Y#0019</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EuriborSwapIsdaFixB31Y#0019</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EuriborSwapIsdaFixB32Y#0019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EuriborSwapIsdaFixB33Y#0019</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EuriborSwapIsdaFixB34Y#0019</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EuriborSwapIsdaFixB35Y#0019</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EuriborSwapIsdaFixB36Y#0019</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EuriborSwapIsdaFixB37Y#0019</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EuriborSwapIsdaFixB38Y#0019</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EuriborSwapIsdaFixB39Y#0019</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EuriborSwapIsdaFixB40Y#0019</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EuriborSwapIsdaFixB41Y#0019</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EuriborSwapIsdaFixB42Y#0019</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EuriborSwapIsdaFixB43Y#0019</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EuriborSwapIsdaFixB44Y#0019</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EuriborSwapIsdaFixB45Y#0019</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EuriborSwapIsdaFixB46Y#0019</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EuriborSwapIsdaFixB47Y#0019</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EuriborSwapIsdaFixB48Y#0019</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EuriborSwapIsdaFixB49Y#0019</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EuriborSwapIsdaFixB50Y#0019</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EuriborSwapIsdaFixB51Y#0019</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EuriborSwapIsdaFixB52Y#0019</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EuriborSwapIsdaFixB53Y#0019</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EuriborSwapIsdaFixB54Y#0019</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EuriborSwapIsdaFixB55Y#0019</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EuriborSwapIsdaFixB56Y#0019</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EuriborSwapIsdaFixB57Y#0019</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EuriborSwapIsdaFixB58Y#0019</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EuriborSwapIsdaFixB59Y#0019</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EuriborSwapIsdaFixB60Y#0019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EuriborSwapIfrFix1Y#0019</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EuriborSwapIfrFix2Y#0019</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EuriborSwapIfrFix3Y#0019</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EuriborSwapIfrFix4Y#0019</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EuriborSwapIfrFix5Y#0019</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EuriborSwapIfrFix6Y#0019</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EuriborSwapIfrFix7Y#0019</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EuriborSwapIfrFix8Y#0019</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EuriborSwapIfrFix9Y#0019</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EuriborSwapIfrFix10Y#0019</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EuriborSwapIfrFix11Y#0019</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EuriborSwapIfrFix12Y#0019</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EuriborSwapIfrFix13Y#0019</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EuriborSwapIfrFix14Y#0019</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EuriborSwapIfrFix15Y#0019</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EuriborSwapIfrFix16Y#0019</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EuriborSwapIfrFix17Y#0019</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EuriborSwapIfrFix18Y#0019</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EuriborSwapIfrFix19Y#0019</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EuriborSwapIfrFix20Y#0019</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EuriborSwapIfrFix21Y#0019</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EuriborSwapIfrFix22Y#0019</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EuriborSwapIfrFix23Y#0019</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EuriborSwapIfrFix24Y#0019</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EuriborSwapIfrFix25Y#0019</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EuriborSwapIfrFix26Y#0019</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EuriborSwapIfrFix27Y#0019</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EuriborSwapIfrFix28Y#0019</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EuriborSwapIfrFix29Y#0019</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EuriborSwapIfrFix30Y#0019</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EuriborSwapIfrFix31Y#0019</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EuriborSwapIfrFix32Y#0019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EuriborSwapIfrFix33Y#0019</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EuriborSwapIfrFix34Y#0019</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EuriborSwapIfrFix35Y#0019</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EuriborSwapIfrFix36Y#0019</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EuriborSwapIfrFix37Y#0019</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EuriborSwapIfrFix38Y#0019</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EuriborSwapIfrFix39Y#0019</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EuriborSwapIfrFix40Y#0019</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EuriborSwapIfrFix41Y#0019</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EuriborSwapIfrFix42Y#0019</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EuriborSwapIfrFix43Y#0019</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EuriborSwapIfrFix44Y#0019</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EuriborSwapIfrFix45Y#0019</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EuriborSwapIfrFix46Y#0019</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EuriborSwapIfrFix47Y#0019</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EuriborSwapIfrFix48Y#0019</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EuriborSwapIfrFix49Y#0019</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EuriborSwapIfrFix50Y#0019</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EuriborSwapIfrFix51Y#0019</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EuriborSwapIfrFix52Y#0019</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EuriborSwapIfrFix53Y#0019</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EuriborSwapIfrFix54Y#0019</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EuriborSwapIfrFix55Y#0019</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EuriborSwapIfrFix56Y#0019</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EuriborSwapIfrFix57Y#0019</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EuriborSwapIfrFix58Y#0019</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EuriborSwapIfrFix59Y#0019</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EuriborSwapIfrFix60Y#0019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EurLiborON#0018</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EurLiborSW#0018</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EurLibor2W#0018</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EurLibor1M#0018</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EurLibor2M#0018</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EurLibor3M#0018</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EurLibor4M#0018</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EurLibor5M#0018</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EurLibor6M#0018</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EurLibor7M#0018</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EurLibor8M#0018</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EurLibor9M#0018</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EurLibor10M#0018</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EurLibor11M#0018</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EurLibor1Y#0018</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EurLiborSwapIsdaFixA1Y#0018</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EurLiborSwapIsdaFixA2Y#0018</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EurLiborSwapIsdaFixA3Y#0018</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EurLiborSwapIsdaFixA4Y#0018</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EurLiborSwapIsdaFixA5Y#0018</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EurLiborSwapIsdaFixA6Y#0018</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EurLiborSwapIsdaFixA7Y#0018</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EurLiborSwapIsdaFixA8Y#0018</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EurLiborSwapIsdaFixA9Y#0018</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EurLiborSwapIsdaFixA10Y#0018</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EurLiborSwapIsdaFixA11Y#0018</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EurLiborSwapIsdaFixA12Y#0018</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EurLiborSwapIsdaFixA13Y#0018</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EurLiborSwapIsdaFixA14Y#0018</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EurLiborSwapIsdaFixA15Y#0018</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EurLiborSwapIsdaFixA16Y#0018</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EurLiborSwapIsdaFixA17Y#0018</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EurLiborSwapIsdaFixA18Y#0018</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EurLiborSwapIsdaFixA19Y#0018</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EurLiborSwapIsdaFixA20Y#0018</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EurLiborSwapIsdaFixA21Y#0018</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EurLiborSwapIsdaFixA22Y#0018</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EurLiborSwapIsdaFixA23Y#0018</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EurLiborSwapIsdaFixA24Y#0018</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EurLiborSwapIsdaFixA25Y#0018</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EurLiborSwapIsdaFixA26Y#0018</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EurLiborSwapIsdaFixA27Y#0018</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EurLiborSwapIsdaFixA28Y#0018</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EurLiborSwapIsdaFixA29Y#0018</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EurLiborSwapIsdaFixA30Y#0018</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EurLiborSwapIsdaFixA31Y#0018</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EurLiborSwapIsdaFixA32Y#0018</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EurLiborSwapIsdaFixA33Y#0018</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EurLiborSwapIsdaFixA34Y#0018</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EurLiborSwapIsdaFixA35Y#0018</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EurLiborSwapIsdaFixA36Y#0018</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EurLiborSwapIsdaFixA37Y#0018</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EurLiborSwapIsdaFixA38Y#0018</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EurLiborSwapIsdaFixA39Y#0018</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EurLiborSwapIsdaFixA40Y#0018</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EurLiborSwapIsdaFixA41Y#0018</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EurLiborSwapIsdaFixA42Y#0018</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EurLiborSwapIsdaFixA43Y#0018</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EurLiborSwapIsdaFixA44Y#0018</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EurLiborSwapIsdaFixA45Y#0018</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EurLiborSwapIsdaFixA46Y#0018</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EurLiborSwapIsdaFixA47Y#0018</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EurLiborSwapIsdaFixA48Y#0018</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EurLiborSwapIsdaFixA49Y#0018</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EurLiborSwapIsdaFixA50Y#0018</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EurLiborSwapIsdaFixA51Y#0018</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EurLiborSwapIsdaFixA52Y#0018</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EurLiborSwapIsdaFixA53Y#0018</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EurLiborSwapIsdaFixA54Y#0018</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EurLiborSwapIsdaFixA55Y#0018</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EurLiborSwapIsdaFixA56Y#0018</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EurLiborSwapIsdaFixA57Y#0018</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EurLiborSwapIsdaFixA58Y#0018</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EurLiborSwapIsdaFixA59Y#0018</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EurLiborSwapIsdaFixA60Y#0018</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EurLiborSwapIsdaFixB1Y#0018</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EurLiborSwapIsdaFixB2Y#0018</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EurLiborSwapIsdaFixB3Y#0018</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EurLiborSwapIsdaFixB4Y#0018</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EurLiborSwapIsdaFixB5Y#0018</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EurLiborSwapIsdaFixB6Y#0018</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EurLiborSwapIsdaFixB7Y#0018</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EurLiborSwapIsdaFixB8Y#0018</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EurLiborSwapIsdaFixB9Y#0018</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EurLiborSwapIsdaFixB10Y#0018</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EurLiborSwapIsdaFixB11Y#0018</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EurLiborSwapIsdaFixB12Y#0018</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EurLiborSwapIsdaFixB13Y#0018</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EurLiborSwapIsdaFixB14Y#0018</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EurLiborSwapIsdaFixB15Y#0018</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EurLiborSwapIsdaFixB16Y#0018</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EurLiborSwapIsdaFixB17Y#0018</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EurLiborSwapIsdaFixB18Y#0018</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EurLiborSwapIsdaFixB19Y#0018</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EurLiborSwapIsdaFixB20Y#0018</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EurLiborSwapIsdaFixB21Y#0018</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EurLiborSwapIsdaFixB22Y#0018</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EurLiborSwapIsdaFixB23Y#0018</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EurLiborSwapIsdaFixB24Y#0018</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EurLiborSwapIsdaFixB25Y#0018</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EurLiborSwapIsdaFixB26Y#0018</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EurLiborSwapIsdaFixB27Y#0018</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EurLiborSwapIsdaFixB28Y#0018</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EurLiborSwapIsdaFixB29Y#0018</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EurLiborSwapIsdaFixB30Y#0018</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EurLiborSwapIsdaFixB31Y#0018</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EurLiborSwapIsdaFixB32Y#0018</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EurLiborSwapIsdaFixB33Y#0018</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EurLiborSwapIsdaFixB34Y#0018</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EurLiborSwapIsdaFixB35Y#0018</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EurLiborSwapIsdaFixB36Y#0018</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EurLiborSwapIsdaFixB37Y#0018</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EurLiborSwapIsdaFixB38Y#0018</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EurLiborSwapIsdaFixB39Y#0018</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EurLiborSwapIsdaFixB40Y#0018</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EurLiborSwapIsdaFixB41Y#0018</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EurLiborSwapIsdaFixB42Y#0018</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EurLiborSwapIsdaFixB43Y#0018</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EurLiborSwapIsdaFixB44Y#0018</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EurLiborSwapIsdaFixB45Y#0018</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EurLiborSwapIsdaFixB46Y#0018</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EurLiborSwapIsdaFixB47Y#0018</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EurLiborSwapIsdaFixB48Y#0018</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EurLiborSwapIsdaFixB49Y#0018</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EurLiborSwapIsdaFixB50Y#0018</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EurLiborSwapIsdaFixB51Y#0018</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EurLiborSwapIsdaFixB52Y#0018</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EurLiborSwapIsdaFixB53Y#0018</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EurLiborSwapIsdaFixB54Y#0018</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EurLiborSwapIsdaFixB55Y#0018</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EurLiborSwapIsdaFixB56Y#0018</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EurLiborSwapIsdaFixB57Y#0018</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EurLiborSwapIsdaFixB58Y#0018</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EurLiborSwapIsdaFixB59Y#0018</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EurLiborSwapIsdaFixB60Y#0018</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EurLiborSwapIfrFix1Y#0018</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EurLiborSwapIfrFix2Y#0018</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EurLiborSwapIfrFix3Y#0018</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EurLiborSwapIfrFix4Y#0018</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EurLiborSwapIfrFix5Y#0018</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EurLiborSwapIfrFix6Y#0018</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EurLiborSwapIfrFix7Y#0018</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EurLiborSwapIfrFix8Y#0018</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EurLiborSwapIfrFix9Y#0018</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EurLiborSwapIfrFix10Y#0018</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EurLiborSwapIfrFix11Y#0018</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EurLiborSwapIfrFix12Y#0018</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EurLiborSwapIfrFix13Y#0018</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EurLiborSwapIfrFix14Y#0018</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EurLiborSwapIfrFix15Y#0018</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EurLiborSwapIfrFix16Y#0018</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EurLiborSwapIfrFix17Y#0018</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EurLiborSwapIfrFix18Y#0018</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EurLiborSwapIfrFix19Y#0018</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EurLiborSwapIfrFix20Y#0018</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EurLiborSwapIfrFix21Y#0018</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EurLiborSwapIfrFix22Y#0018</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EurLiborSwapIfrFix23Y#0018</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EurLiborSwapIfrFix24Y#0018</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EurLiborSwapIfrFix25Y#0018</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EurLiborSwapIfrFix26Y#0018</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EurLiborSwapIfrFix27Y#0018</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EurLiborSwapIfrFix28Y#0018</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EurLiborSwapIfrFix29Y#0018</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EurLiborSwapIfrFix30Y#0018</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EurLiborSwapIfrFix31Y#0018</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EurLiborSwapIfrFix32Y#0018</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EurLiborSwapIfrFix33Y#0018</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EurLiborSwapIfrFix34Y#0018</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EurLiborSwapIfrFix35Y#0018</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EurLiborSwapIfrFix36Y#0018</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EurLiborSwapIfrFix37Y#0018</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EurLiborSwapIfrFix38Y#0018</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EurLiborSwapIfrFix39Y#0018</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EurLiborSwapIfrFix40Y#0018</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EurLiborSwapIfrFix41Y#0018</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EurLiborSwapIfrFix42Y#0018</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EurLiborSwapIfrFix43Y#0018</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EurLiborSwapIfrFix44Y#0018</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EurLiborSwapIfrFix45Y#0018</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EurLiborSwapIfrFix46Y#0018</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EurLiborSwapIfrFix47Y#0018</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EurLiborSwapIfrFix48Y#0018</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EurLiborSwapIfrFix49Y#0018</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EurLiborSwapIfrFix50Y#0018</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EurLiborSwapIfrFix51Y#0018</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EurLiborSwapIfrFix52Y#0018</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EurLiborSwapIfrFix53Y#0018</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EurLiborSwapIfrFix54Y#0018</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EurLiborSwapIfrFix55Y#0018</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EurLiborSwapIfrFix56Y#0018</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EurLiborSwapIfrFix57Y#0018</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EurLiborSwapIfrFix58Y#0018</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EurLiborSwapIfrFix59Y#0018</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EurLiborSwapIfrFix60Y#0018</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41"/>
  <sheetViews>
    <sheetView workbookViewId="0"/>
  </sheetViews>
  <sheetFormatPr defaultRowHeight="11.25" x14ac:dyDescent="0.2"/>
  <cols>
    <col min="1" max="1" width="3.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8" width="4.42578125" style="72" customWidth="1"/>
    <col min="9" max="12" width="3.5703125" style="72" customWidth="1"/>
    <col min="13" max="16384" width="9.140625" style="72"/>
  </cols>
  <sheetData>
    <row r="1" spans="1:12" x14ac:dyDescent="0.2">
      <c r="A1" s="107" t="s">
        <v>150</v>
      </c>
      <c r="B1" s="102"/>
      <c r="C1" s="102"/>
      <c r="D1" s="102"/>
      <c r="E1" s="100"/>
      <c r="F1" s="101"/>
      <c r="G1" s="100"/>
      <c r="H1" s="99"/>
    </row>
    <row r="2" spans="1:12" x14ac:dyDescent="0.2">
      <c r="A2" s="84"/>
      <c r="B2" s="97" t="s">
        <v>141</v>
      </c>
      <c r="C2" s="98"/>
      <c r="D2" s="97"/>
      <c r="E2" s="96" t="str">
        <f>Currency&amp;"_010_Sw"&amp;$C$4&amp;$D$4&amp;".xml"</f>
        <v>EUR_010_Sw1E6E.xml</v>
      </c>
      <c r="F2" s="95">
        <f ca="1">IF(Serialize,_xll.ohObjectSave(F3:F40,SerializationPath&amp;E2,FileOverwrite,Serialize),"---")</f>
        <v>38</v>
      </c>
      <c r="G2" s="79" t="str">
        <f ca="1">_xll.ohRangeRetrieveError(F2)</f>
        <v/>
      </c>
      <c r="H2" s="78"/>
    </row>
    <row r="3" spans="1:12" x14ac:dyDescent="0.2">
      <c r="A3" s="84"/>
      <c r="B3" s="94" t="s">
        <v>40</v>
      </c>
      <c r="C3" s="82" t="str">
        <f>VLOOKUP(Currency,$J$8:$L$12,2)</f>
        <v>1E</v>
      </c>
      <c r="D3" s="81" t="str">
        <f>VLOOKUP(Currency,$J$8:$L$12,3)</f>
        <v>6E</v>
      </c>
      <c r="E3" s="80" t="str">
        <f t="shared" ref="E3:E40" si="0">IF(ISBLANK(C3),"#",Currency&amp;$C3&amp;$D3&amp;$B3&amp;QuoteSuffix)</f>
        <v>EUR1E6E6M_Quote</v>
      </c>
      <c r="F3" s="80" t="str">
        <f>_xll.qlSimpleQuote(E3,,RateTickValue,Permanent,Trigger,ObjectOverwrite)</f>
        <v>EUR1E6E6M_Quote#0018</v>
      </c>
      <c r="G3" s="79" t="str">
        <f>_xll.ohRangeRetrieveError(F3)</f>
        <v/>
      </c>
      <c r="H3" s="78"/>
    </row>
    <row r="4" spans="1:12" x14ac:dyDescent="0.2">
      <c r="A4" s="84"/>
      <c r="B4" s="94" t="s">
        <v>34</v>
      </c>
      <c r="C4" s="82" t="str">
        <f t="shared" ref="C4:C40" si="1">C3</f>
        <v>1E</v>
      </c>
      <c r="D4" s="81" t="str">
        <f t="shared" ref="D4:D40" si="2">D3</f>
        <v>6E</v>
      </c>
      <c r="E4" s="80" t="str">
        <f t="shared" si="0"/>
        <v>EUR1E6E1Y_Quote</v>
      </c>
      <c r="F4" s="80" t="str">
        <f>_xll.qlSimpleQuote(E4,,RateTickValue,Permanent,Trigger,ObjectOverwrite)</f>
        <v>EUR1E6E1Y_Quote#0018</v>
      </c>
      <c r="G4" s="79" t="str">
        <f>_xll.ohRangeRetrieveError(F4)</f>
        <v/>
      </c>
      <c r="H4" s="78"/>
    </row>
    <row r="5" spans="1:12" s="20" customFormat="1" ht="12.75" x14ac:dyDescent="0.2">
      <c r="A5" s="84"/>
      <c r="B5" s="94" t="s">
        <v>140</v>
      </c>
      <c r="C5" s="82" t="str">
        <f t="shared" si="1"/>
        <v>1E</v>
      </c>
      <c r="D5" s="81" t="str">
        <f t="shared" si="2"/>
        <v>6E</v>
      </c>
      <c r="E5" s="80" t="str">
        <f t="shared" si="0"/>
        <v>EUR1E6E15M_Quote</v>
      </c>
      <c r="F5" s="80" t="str">
        <f>_xll.qlSimpleQuote(E5,,RateTickValue,Permanent,Trigger,ObjectOverwrite)</f>
        <v>EUR1E6E15M_Quote#0018</v>
      </c>
      <c r="G5" s="79" t="str">
        <f>_xll.ohRangeRetrieveError(F5)</f>
        <v/>
      </c>
      <c r="H5" s="78"/>
    </row>
    <row r="6" spans="1:12" s="20" customFormat="1" ht="12.75" x14ac:dyDescent="0.2">
      <c r="A6" s="84"/>
      <c r="B6" s="94" t="s">
        <v>139</v>
      </c>
      <c r="C6" s="82" t="str">
        <f t="shared" si="1"/>
        <v>1E</v>
      </c>
      <c r="D6" s="81" t="str">
        <f t="shared" si="2"/>
        <v>6E</v>
      </c>
      <c r="E6" s="80" t="str">
        <f t="shared" si="0"/>
        <v>EUR1E6E18M_Quote</v>
      </c>
      <c r="F6" s="80" t="str">
        <f>_xll.qlSimpleQuote(E6,,RateTickValue,Permanent,Trigger,ObjectOverwrite)</f>
        <v>EUR1E6E18M_Quote#0018</v>
      </c>
      <c r="G6" s="79" t="str">
        <f>_xll.ohRangeRetrieveError(F6)</f>
        <v/>
      </c>
      <c r="H6" s="78"/>
    </row>
    <row r="7" spans="1:12" s="20" customFormat="1" ht="13.5" thickBot="1" x14ac:dyDescent="0.25">
      <c r="A7" s="84"/>
      <c r="B7" s="94" t="s">
        <v>138</v>
      </c>
      <c r="C7" s="82" t="str">
        <f t="shared" si="1"/>
        <v>1E</v>
      </c>
      <c r="D7" s="81" t="str">
        <f t="shared" si="2"/>
        <v>6E</v>
      </c>
      <c r="E7" s="80" t="str">
        <f t="shared" si="0"/>
        <v>EUR1E6E21M_Quote</v>
      </c>
      <c r="F7" s="80" t="str">
        <f>_xll.qlSimpleQuote(E7,,RateTickValue,Permanent,Trigger,ObjectOverwrite)</f>
        <v>EUR1E6E21M_Quote#0018</v>
      </c>
      <c r="G7" s="79" t="str">
        <f>_xll.ohRangeRetrieveError(F7)</f>
        <v/>
      </c>
      <c r="H7" s="78"/>
    </row>
    <row r="8" spans="1:12" x14ac:dyDescent="0.2">
      <c r="A8" s="84"/>
      <c r="B8" s="83" t="s">
        <v>115</v>
      </c>
      <c r="C8" s="82" t="str">
        <f t="shared" si="1"/>
        <v>1E</v>
      </c>
      <c r="D8" s="81" t="str">
        <f t="shared" si="2"/>
        <v>6E</v>
      </c>
      <c r="E8" s="80" t="str">
        <f t="shared" si="0"/>
        <v>EUR1E6E2Y_Quote</v>
      </c>
      <c r="F8" s="80" t="str">
        <f>_xll.qlSimpleQuote(E8,,RateTickValue,Permanent,Trigger,ObjectOverwrite)</f>
        <v>EUR1E6E2Y_Quote#0018</v>
      </c>
      <c r="G8" s="79" t="str">
        <f>_xll.ohRangeRetrieveError(F8)</f>
        <v/>
      </c>
      <c r="H8" s="78"/>
      <c r="J8" s="93" t="s">
        <v>137</v>
      </c>
      <c r="K8" s="92" t="s">
        <v>129</v>
      </c>
      <c r="L8" s="91" t="s">
        <v>132</v>
      </c>
    </row>
    <row r="9" spans="1:12" x14ac:dyDescent="0.2">
      <c r="A9" s="84"/>
      <c r="B9" s="83" t="s">
        <v>114</v>
      </c>
      <c r="C9" s="82" t="str">
        <f t="shared" si="1"/>
        <v>1E</v>
      </c>
      <c r="D9" s="81" t="str">
        <f t="shared" si="2"/>
        <v>6E</v>
      </c>
      <c r="E9" s="80" t="str">
        <f t="shared" si="0"/>
        <v>EUR1E6E3Y_Quote</v>
      </c>
      <c r="F9" s="80" t="str">
        <f>_xll.qlSimpleQuote(E9,,RateTickValue,Permanent,Trigger,ObjectOverwrite)</f>
        <v>EUR1E6E3Y_Quote#0018</v>
      </c>
      <c r="G9" s="79" t="str">
        <f>_xll.ohRangeRetrieveError(F9)</f>
        <v/>
      </c>
      <c r="H9" s="78"/>
      <c r="J9" s="90" t="s">
        <v>123</v>
      </c>
      <c r="K9" s="89" t="s">
        <v>136</v>
      </c>
      <c r="L9" s="88" t="s">
        <v>135</v>
      </c>
    </row>
    <row r="10" spans="1:12" x14ac:dyDescent="0.2">
      <c r="A10" s="84"/>
      <c r="B10" s="83" t="s">
        <v>113</v>
      </c>
      <c r="C10" s="82" t="str">
        <f t="shared" si="1"/>
        <v>1E</v>
      </c>
      <c r="D10" s="81" t="str">
        <f t="shared" si="2"/>
        <v>6E</v>
      </c>
      <c r="E10" s="80" t="str">
        <f t="shared" si="0"/>
        <v>EUR1E6E4Y_Quote</v>
      </c>
      <c r="F10" s="80" t="str">
        <f>_xll.qlSimpleQuote(E10,,RateTickValue,Permanent,Trigger,ObjectOverwrite)</f>
        <v>EUR1E6E4Y_Quote#0018</v>
      </c>
      <c r="G10" s="79" t="str">
        <f>_xll.ohRangeRetrieveError(F10)</f>
        <v/>
      </c>
      <c r="H10" s="78"/>
      <c r="J10" s="90" t="s">
        <v>134</v>
      </c>
      <c r="K10" s="89" t="s">
        <v>129</v>
      </c>
      <c r="L10" s="88" t="s">
        <v>132</v>
      </c>
    </row>
    <row r="11" spans="1:12" x14ac:dyDescent="0.2">
      <c r="A11" s="84"/>
      <c r="B11" s="83" t="s">
        <v>112</v>
      </c>
      <c r="C11" s="82" t="str">
        <f t="shared" si="1"/>
        <v>1E</v>
      </c>
      <c r="D11" s="81" t="str">
        <f t="shared" si="2"/>
        <v>6E</v>
      </c>
      <c r="E11" s="80" t="str">
        <f t="shared" si="0"/>
        <v>EUR1E6E5Y_Quote</v>
      </c>
      <c r="F11" s="80" t="str">
        <f>_xll.qlSimpleQuote(E11,,RateTickValue,Permanent,Trigger,ObjectOverwrite)</f>
        <v>EUR1E6E5Y_Quote#0018</v>
      </c>
      <c r="G11" s="79" t="str">
        <f>_xll.ohRangeRetrieveError(F11)</f>
        <v/>
      </c>
      <c r="H11" s="78"/>
      <c r="J11" s="90" t="s">
        <v>133</v>
      </c>
      <c r="K11" s="89" t="s">
        <v>129</v>
      </c>
      <c r="L11" s="88" t="s">
        <v>132</v>
      </c>
    </row>
    <row r="12" spans="1:12" ht="12" thickBot="1" x14ac:dyDescent="0.25">
      <c r="A12" s="84"/>
      <c r="B12" s="83" t="s">
        <v>111</v>
      </c>
      <c r="C12" s="82" t="str">
        <f t="shared" si="1"/>
        <v>1E</v>
      </c>
      <c r="D12" s="81" t="str">
        <f t="shared" si="2"/>
        <v>6E</v>
      </c>
      <c r="E12" s="80" t="str">
        <f t="shared" si="0"/>
        <v>EUR1E6E6Y_Quote</v>
      </c>
      <c r="F12" s="80" t="str">
        <f>_xll.qlSimpleQuote(E12,,RateTickValue,Permanent,Trigger,ObjectOverwrite)</f>
        <v>EUR1E6E6Y_Quote#0018</v>
      </c>
      <c r="G12" s="79" t="str">
        <f>_xll.ohRangeRetrieveError(F12)</f>
        <v/>
      </c>
      <c r="H12" s="78"/>
      <c r="J12" s="87" t="s">
        <v>131</v>
      </c>
      <c r="K12" s="86" t="s">
        <v>130</v>
      </c>
      <c r="L12" s="85" t="s">
        <v>129</v>
      </c>
    </row>
    <row r="13" spans="1:12" x14ac:dyDescent="0.2">
      <c r="A13" s="84"/>
      <c r="B13" s="83" t="s">
        <v>110</v>
      </c>
      <c r="C13" s="82" t="str">
        <f t="shared" si="1"/>
        <v>1E</v>
      </c>
      <c r="D13" s="81" t="str">
        <f t="shared" si="2"/>
        <v>6E</v>
      </c>
      <c r="E13" s="80" t="str">
        <f t="shared" si="0"/>
        <v>EUR1E6E7Y_Quote</v>
      </c>
      <c r="F13" s="80" t="str">
        <f>_xll.qlSimpleQuote(E13,,RateTickValue,Permanent,Trigger,ObjectOverwrite)</f>
        <v>EUR1E6E7Y_Quote#0018</v>
      </c>
      <c r="G13" s="79" t="str">
        <f>_xll.ohRangeRetrieveError(F13)</f>
        <v/>
      </c>
      <c r="H13" s="78"/>
    </row>
    <row r="14" spans="1:12" x14ac:dyDescent="0.2">
      <c r="A14" s="84"/>
      <c r="B14" s="83" t="s">
        <v>109</v>
      </c>
      <c r="C14" s="82" t="str">
        <f t="shared" si="1"/>
        <v>1E</v>
      </c>
      <c r="D14" s="81" t="str">
        <f t="shared" si="2"/>
        <v>6E</v>
      </c>
      <c r="E14" s="80" t="str">
        <f t="shared" si="0"/>
        <v>EUR1E6E8Y_Quote</v>
      </c>
      <c r="F14" s="80" t="str">
        <f>_xll.qlSimpleQuote(E14,,RateTickValue,Permanent,Trigger,ObjectOverwrite)</f>
        <v>EUR1E6E8Y_Quote#0018</v>
      </c>
      <c r="G14" s="79" t="str">
        <f>_xll.ohRangeRetrieveError(F14)</f>
        <v/>
      </c>
      <c r="H14" s="78"/>
    </row>
    <row r="15" spans="1:12" x14ac:dyDescent="0.2">
      <c r="A15" s="84"/>
      <c r="B15" s="83" t="s">
        <v>108</v>
      </c>
      <c r="C15" s="82" t="str">
        <f t="shared" si="1"/>
        <v>1E</v>
      </c>
      <c r="D15" s="81" t="str">
        <f t="shared" si="2"/>
        <v>6E</v>
      </c>
      <c r="E15" s="80" t="str">
        <f t="shared" si="0"/>
        <v>EUR1E6E9Y_Quote</v>
      </c>
      <c r="F15" s="80" t="str">
        <f>_xll.qlSimpleQuote(E15,,RateTickValue,Permanent,Trigger,ObjectOverwrite)</f>
        <v>EUR1E6E9Y_Quote#0018</v>
      </c>
      <c r="G15" s="79" t="str">
        <f>_xll.ohRangeRetrieveError(F15)</f>
        <v/>
      </c>
      <c r="H15" s="78"/>
    </row>
    <row r="16" spans="1:12" x14ac:dyDescent="0.2">
      <c r="A16" s="84"/>
      <c r="B16" s="83" t="s">
        <v>107</v>
      </c>
      <c r="C16" s="82" t="str">
        <f t="shared" si="1"/>
        <v>1E</v>
      </c>
      <c r="D16" s="81" t="str">
        <f t="shared" si="2"/>
        <v>6E</v>
      </c>
      <c r="E16" s="80" t="str">
        <f t="shared" si="0"/>
        <v>EUR1E6E10Y_Quote</v>
      </c>
      <c r="F16" s="80" t="str">
        <f>_xll.qlSimpleQuote(E16,,RateTickValue,Permanent,Trigger,ObjectOverwrite)</f>
        <v>EUR1E6E10Y_Quote#0018</v>
      </c>
      <c r="G16" s="79" t="str">
        <f>_xll.ohRangeRetrieveError(F16)</f>
        <v/>
      </c>
      <c r="H16" s="78"/>
    </row>
    <row r="17" spans="1:8" x14ac:dyDescent="0.2">
      <c r="A17" s="84"/>
      <c r="B17" s="83" t="s">
        <v>106</v>
      </c>
      <c r="C17" s="82" t="str">
        <f t="shared" si="1"/>
        <v>1E</v>
      </c>
      <c r="D17" s="81" t="str">
        <f t="shared" si="2"/>
        <v>6E</v>
      </c>
      <c r="E17" s="80" t="str">
        <f t="shared" si="0"/>
        <v>EUR1E6E11Y_Quote</v>
      </c>
      <c r="F17" s="80" t="str">
        <f>_xll.qlSimpleQuote(E17,,RateTickValue,Permanent,Trigger,ObjectOverwrite)</f>
        <v>EUR1E6E11Y_Quote#0018</v>
      </c>
      <c r="G17" s="79" t="str">
        <f>_xll.ohRangeRetrieveError(F17)</f>
        <v/>
      </c>
      <c r="H17" s="78"/>
    </row>
    <row r="18" spans="1:8" x14ac:dyDescent="0.2">
      <c r="A18" s="84"/>
      <c r="B18" s="83" t="s">
        <v>105</v>
      </c>
      <c r="C18" s="82" t="str">
        <f t="shared" si="1"/>
        <v>1E</v>
      </c>
      <c r="D18" s="81" t="str">
        <f t="shared" si="2"/>
        <v>6E</v>
      </c>
      <c r="E18" s="80" t="str">
        <f t="shared" si="0"/>
        <v>EUR1E6E12Y_Quote</v>
      </c>
      <c r="F18" s="80" t="str">
        <f>_xll.qlSimpleQuote(E18,,RateTickValue,Permanent,Trigger,ObjectOverwrite)</f>
        <v>EUR1E6E12Y_Quote#0018</v>
      </c>
      <c r="G18" s="79" t="str">
        <f>_xll.ohRangeRetrieveError(F18)</f>
        <v/>
      </c>
      <c r="H18" s="78"/>
    </row>
    <row r="19" spans="1:8" x14ac:dyDescent="0.2">
      <c r="A19" s="84"/>
      <c r="B19" s="83" t="s">
        <v>104</v>
      </c>
      <c r="C19" s="82" t="str">
        <f t="shared" si="1"/>
        <v>1E</v>
      </c>
      <c r="D19" s="81" t="str">
        <f t="shared" si="2"/>
        <v>6E</v>
      </c>
      <c r="E19" s="80" t="str">
        <f t="shared" si="0"/>
        <v>EUR1E6E13Y_Quote</v>
      </c>
      <c r="F19" s="80" t="str">
        <f>_xll.qlSimpleQuote(E19,,RateTickValue,Permanent,Trigger,ObjectOverwrite)</f>
        <v>EUR1E6E13Y_Quote#0018</v>
      </c>
      <c r="G19" s="79" t="str">
        <f>_xll.ohRangeRetrieveError(F19)</f>
        <v/>
      </c>
      <c r="H19" s="78"/>
    </row>
    <row r="20" spans="1:8" x14ac:dyDescent="0.2">
      <c r="A20" s="84"/>
      <c r="B20" s="83" t="s">
        <v>103</v>
      </c>
      <c r="C20" s="82" t="str">
        <f t="shared" si="1"/>
        <v>1E</v>
      </c>
      <c r="D20" s="81" t="str">
        <f t="shared" si="2"/>
        <v>6E</v>
      </c>
      <c r="E20" s="80" t="str">
        <f t="shared" si="0"/>
        <v>EUR1E6E14Y_Quote</v>
      </c>
      <c r="F20" s="80" t="str">
        <f>_xll.qlSimpleQuote(E20,,RateTickValue,Permanent,Trigger,ObjectOverwrite)</f>
        <v>EUR1E6E14Y_Quote#0018</v>
      </c>
      <c r="G20" s="79" t="str">
        <f>_xll.ohRangeRetrieveError(F20)</f>
        <v/>
      </c>
      <c r="H20" s="78"/>
    </row>
    <row r="21" spans="1:8" x14ac:dyDescent="0.2">
      <c r="A21" s="84"/>
      <c r="B21" s="83" t="s">
        <v>102</v>
      </c>
      <c r="C21" s="82" t="str">
        <f t="shared" si="1"/>
        <v>1E</v>
      </c>
      <c r="D21" s="81" t="str">
        <f t="shared" si="2"/>
        <v>6E</v>
      </c>
      <c r="E21" s="80" t="str">
        <f t="shared" si="0"/>
        <v>EUR1E6E15Y_Quote</v>
      </c>
      <c r="F21" s="80" t="str">
        <f>_xll.qlSimpleQuote(E21,,RateTickValue,Permanent,Trigger,ObjectOverwrite)</f>
        <v>EUR1E6E15Y_Quote#0018</v>
      </c>
      <c r="G21" s="79" t="str">
        <f>_xll.ohRangeRetrieveError(F21)</f>
        <v/>
      </c>
      <c r="H21" s="78"/>
    </row>
    <row r="22" spans="1:8" x14ac:dyDescent="0.2">
      <c r="A22" s="84"/>
      <c r="B22" s="83" t="s">
        <v>101</v>
      </c>
      <c r="C22" s="82" t="str">
        <f t="shared" si="1"/>
        <v>1E</v>
      </c>
      <c r="D22" s="81" t="str">
        <f t="shared" si="2"/>
        <v>6E</v>
      </c>
      <c r="E22" s="80" t="str">
        <f t="shared" si="0"/>
        <v>EUR1E6E16Y_Quote</v>
      </c>
      <c r="F22" s="80" t="str">
        <f>_xll.qlSimpleQuote(E22,,RateTickValue,Permanent,Trigger,ObjectOverwrite)</f>
        <v>EUR1E6E16Y_Quote#0018</v>
      </c>
      <c r="G22" s="79" t="str">
        <f>_xll.ohRangeRetrieveError(F22)</f>
        <v/>
      </c>
      <c r="H22" s="78"/>
    </row>
    <row r="23" spans="1:8" x14ac:dyDescent="0.2">
      <c r="A23" s="84"/>
      <c r="B23" s="83" t="s">
        <v>100</v>
      </c>
      <c r="C23" s="82" t="str">
        <f t="shared" si="1"/>
        <v>1E</v>
      </c>
      <c r="D23" s="81" t="str">
        <f t="shared" si="2"/>
        <v>6E</v>
      </c>
      <c r="E23" s="80" t="str">
        <f t="shared" si="0"/>
        <v>EUR1E6E17Y_Quote</v>
      </c>
      <c r="F23" s="80" t="str">
        <f>_xll.qlSimpleQuote(E23,,RateTickValue,Permanent,Trigger,ObjectOverwrite)</f>
        <v>EUR1E6E17Y_Quote#0018</v>
      </c>
      <c r="G23" s="79" t="str">
        <f>_xll.ohRangeRetrieveError(F23)</f>
        <v/>
      </c>
      <c r="H23" s="78"/>
    </row>
    <row r="24" spans="1:8" x14ac:dyDescent="0.2">
      <c r="A24" s="84"/>
      <c r="B24" s="83" t="s">
        <v>99</v>
      </c>
      <c r="C24" s="82" t="str">
        <f t="shared" si="1"/>
        <v>1E</v>
      </c>
      <c r="D24" s="81" t="str">
        <f t="shared" si="2"/>
        <v>6E</v>
      </c>
      <c r="E24" s="80" t="str">
        <f t="shared" si="0"/>
        <v>EUR1E6E18Y_Quote</v>
      </c>
      <c r="F24" s="80" t="str">
        <f>_xll.qlSimpleQuote(E24,,RateTickValue,Permanent,Trigger,ObjectOverwrite)</f>
        <v>EUR1E6E18Y_Quote#0018</v>
      </c>
      <c r="G24" s="79" t="str">
        <f>_xll.ohRangeRetrieveError(F24)</f>
        <v/>
      </c>
      <c r="H24" s="78"/>
    </row>
    <row r="25" spans="1:8" x14ac:dyDescent="0.2">
      <c r="A25" s="84"/>
      <c r="B25" s="83" t="s">
        <v>98</v>
      </c>
      <c r="C25" s="82" t="str">
        <f t="shared" si="1"/>
        <v>1E</v>
      </c>
      <c r="D25" s="81" t="str">
        <f t="shared" si="2"/>
        <v>6E</v>
      </c>
      <c r="E25" s="80" t="str">
        <f t="shared" si="0"/>
        <v>EUR1E6E19Y_Quote</v>
      </c>
      <c r="F25" s="80" t="str">
        <f>_xll.qlSimpleQuote(E25,,RateTickValue,Permanent,Trigger,ObjectOverwrite)</f>
        <v>EUR1E6E19Y_Quote#0018</v>
      </c>
      <c r="G25" s="79" t="str">
        <f>_xll.ohRangeRetrieveError(F25)</f>
        <v/>
      </c>
      <c r="H25" s="78"/>
    </row>
    <row r="26" spans="1:8" x14ac:dyDescent="0.2">
      <c r="A26" s="84"/>
      <c r="B26" s="83" t="s">
        <v>97</v>
      </c>
      <c r="C26" s="82" t="str">
        <f t="shared" si="1"/>
        <v>1E</v>
      </c>
      <c r="D26" s="81" t="str">
        <f t="shared" si="2"/>
        <v>6E</v>
      </c>
      <c r="E26" s="80" t="str">
        <f t="shared" si="0"/>
        <v>EUR1E6E20Y_Quote</v>
      </c>
      <c r="F26" s="80" t="str">
        <f>_xll.qlSimpleQuote(E26,,RateTickValue,Permanent,Trigger,ObjectOverwrite)</f>
        <v>EUR1E6E20Y_Quote#0018</v>
      </c>
      <c r="G26" s="79" t="str">
        <f>_xll.ohRangeRetrieveError(F26)</f>
        <v/>
      </c>
      <c r="H26" s="78"/>
    </row>
    <row r="27" spans="1:8" x14ac:dyDescent="0.2">
      <c r="A27" s="84"/>
      <c r="B27" s="83" t="s">
        <v>96</v>
      </c>
      <c r="C27" s="82" t="str">
        <f t="shared" si="1"/>
        <v>1E</v>
      </c>
      <c r="D27" s="81" t="str">
        <f t="shared" si="2"/>
        <v>6E</v>
      </c>
      <c r="E27" s="80" t="str">
        <f t="shared" si="0"/>
        <v>EUR1E6E21Y_Quote</v>
      </c>
      <c r="F27" s="80" t="str">
        <f>_xll.qlSimpleQuote(E27,,RateTickValue,Permanent,Trigger,ObjectOverwrite)</f>
        <v>EUR1E6E21Y_Quote#0018</v>
      </c>
      <c r="G27" s="79" t="str">
        <f>_xll.ohRangeRetrieveError(F27)</f>
        <v/>
      </c>
      <c r="H27" s="78"/>
    </row>
    <row r="28" spans="1:8" x14ac:dyDescent="0.2">
      <c r="A28" s="84"/>
      <c r="B28" s="83" t="s">
        <v>95</v>
      </c>
      <c r="C28" s="82" t="str">
        <f t="shared" si="1"/>
        <v>1E</v>
      </c>
      <c r="D28" s="81" t="str">
        <f t="shared" si="2"/>
        <v>6E</v>
      </c>
      <c r="E28" s="80" t="str">
        <f t="shared" si="0"/>
        <v>EUR1E6E22Y_Quote</v>
      </c>
      <c r="F28" s="80" t="str">
        <f>_xll.qlSimpleQuote(E28,,RateTickValue,Permanent,Trigger,ObjectOverwrite)</f>
        <v>EUR1E6E22Y_Quote#0018</v>
      </c>
      <c r="G28" s="79" t="str">
        <f>_xll.ohRangeRetrieveError(F28)</f>
        <v/>
      </c>
      <c r="H28" s="78"/>
    </row>
    <row r="29" spans="1:8" x14ac:dyDescent="0.2">
      <c r="A29" s="84"/>
      <c r="B29" s="83" t="s">
        <v>94</v>
      </c>
      <c r="C29" s="82" t="str">
        <f t="shared" si="1"/>
        <v>1E</v>
      </c>
      <c r="D29" s="81" t="str">
        <f t="shared" si="2"/>
        <v>6E</v>
      </c>
      <c r="E29" s="80" t="str">
        <f t="shared" si="0"/>
        <v>EUR1E6E23Y_Quote</v>
      </c>
      <c r="F29" s="80" t="str">
        <f>_xll.qlSimpleQuote(E29,,RateTickValue,Permanent,Trigger,ObjectOverwrite)</f>
        <v>EUR1E6E23Y_Quote#0018</v>
      </c>
      <c r="G29" s="79" t="str">
        <f>_xll.ohRangeRetrieveError(F29)</f>
        <v/>
      </c>
      <c r="H29" s="78"/>
    </row>
    <row r="30" spans="1:8" x14ac:dyDescent="0.2">
      <c r="A30" s="84"/>
      <c r="B30" s="83" t="s">
        <v>93</v>
      </c>
      <c r="C30" s="82" t="str">
        <f t="shared" si="1"/>
        <v>1E</v>
      </c>
      <c r="D30" s="81" t="str">
        <f t="shared" si="2"/>
        <v>6E</v>
      </c>
      <c r="E30" s="80" t="str">
        <f t="shared" si="0"/>
        <v>EUR1E6E24Y_Quote</v>
      </c>
      <c r="F30" s="80" t="str">
        <f>_xll.qlSimpleQuote(E30,,RateTickValue,Permanent,Trigger,ObjectOverwrite)</f>
        <v>EUR1E6E24Y_Quote#0018</v>
      </c>
      <c r="G30" s="79" t="str">
        <f>_xll.ohRangeRetrieveError(F30)</f>
        <v/>
      </c>
      <c r="H30" s="78"/>
    </row>
    <row r="31" spans="1:8" x14ac:dyDescent="0.2">
      <c r="A31" s="84"/>
      <c r="B31" s="83" t="s">
        <v>92</v>
      </c>
      <c r="C31" s="82" t="str">
        <f t="shared" si="1"/>
        <v>1E</v>
      </c>
      <c r="D31" s="81" t="str">
        <f t="shared" si="2"/>
        <v>6E</v>
      </c>
      <c r="E31" s="80" t="str">
        <f t="shared" si="0"/>
        <v>EUR1E6E25Y_Quote</v>
      </c>
      <c r="F31" s="80" t="str">
        <f>_xll.qlSimpleQuote(E31,,RateTickValue,Permanent,Trigger,ObjectOverwrite)</f>
        <v>EUR1E6E25Y_Quote#0018</v>
      </c>
      <c r="G31" s="79" t="str">
        <f>_xll.ohRangeRetrieveError(F31)</f>
        <v/>
      </c>
      <c r="H31" s="78"/>
    </row>
    <row r="32" spans="1:8" x14ac:dyDescent="0.2">
      <c r="A32" s="84"/>
      <c r="B32" s="83" t="s">
        <v>91</v>
      </c>
      <c r="C32" s="82" t="str">
        <f t="shared" si="1"/>
        <v>1E</v>
      </c>
      <c r="D32" s="81" t="str">
        <f t="shared" si="2"/>
        <v>6E</v>
      </c>
      <c r="E32" s="80" t="str">
        <f t="shared" si="0"/>
        <v>EUR1E6E26Y_Quote</v>
      </c>
      <c r="F32" s="80" t="str">
        <f>_xll.qlSimpleQuote(E32,,RateTickValue,Permanent,Trigger,ObjectOverwrite)</f>
        <v>EUR1E6E26Y_Quote#0018</v>
      </c>
      <c r="G32" s="79" t="str">
        <f>_xll.ohRangeRetrieveError(F32)</f>
        <v/>
      </c>
      <c r="H32" s="78"/>
    </row>
    <row r="33" spans="1:8" x14ac:dyDescent="0.2">
      <c r="A33" s="84"/>
      <c r="B33" s="83" t="s">
        <v>90</v>
      </c>
      <c r="C33" s="82" t="str">
        <f t="shared" si="1"/>
        <v>1E</v>
      </c>
      <c r="D33" s="81" t="str">
        <f t="shared" si="2"/>
        <v>6E</v>
      </c>
      <c r="E33" s="80" t="str">
        <f t="shared" si="0"/>
        <v>EUR1E6E27Y_Quote</v>
      </c>
      <c r="F33" s="80" t="str">
        <f>_xll.qlSimpleQuote(E33,,RateTickValue,Permanent,Trigger,ObjectOverwrite)</f>
        <v>EUR1E6E27Y_Quote#0018</v>
      </c>
      <c r="G33" s="79" t="str">
        <f>_xll.ohRangeRetrieveError(F33)</f>
        <v/>
      </c>
      <c r="H33" s="78"/>
    </row>
    <row r="34" spans="1:8" x14ac:dyDescent="0.2">
      <c r="A34" s="84"/>
      <c r="B34" s="83" t="s">
        <v>89</v>
      </c>
      <c r="C34" s="82" t="str">
        <f t="shared" si="1"/>
        <v>1E</v>
      </c>
      <c r="D34" s="81" t="str">
        <f t="shared" si="2"/>
        <v>6E</v>
      </c>
      <c r="E34" s="80" t="str">
        <f t="shared" si="0"/>
        <v>EUR1E6E28Y_Quote</v>
      </c>
      <c r="F34" s="80" t="str">
        <f>_xll.qlSimpleQuote(E34,,RateTickValue,Permanent,Trigger,ObjectOverwrite)</f>
        <v>EUR1E6E28Y_Quote#0018</v>
      </c>
      <c r="G34" s="79" t="str">
        <f>_xll.ohRangeRetrieveError(F34)</f>
        <v/>
      </c>
      <c r="H34" s="78"/>
    </row>
    <row r="35" spans="1:8" x14ac:dyDescent="0.2">
      <c r="A35" s="84"/>
      <c r="B35" s="83" t="s">
        <v>88</v>
      </c>
      <c r="C35" s="82" t="str">
        <f t="shared" si="1"/>
        <v>1E</v>
      </c>
      <c r="D35" s="81" t="str">
        <f t="shared" si="2"/>
        <v>6E</v>
      </c>
      <c r="E35" s="80" t="str">
        <f t="shared" si="0"/>
        <v>EUR1E6E29Y_Quote</v>
      </c>
      <c r="F35" s="80" t="str">
        <f>_xll.qlSimpleQuote(E35,,RateTickValue,Permanent,Trigger,ObjectOverwrite)</f>
        <v>EUR1E6E29Y_Quote#0018</v>
      </c>
      <c r="G35" s="79" t="str">
        <f>_xll.ohRangeRetrieveError(F35)</f>
        <v/>
      </c>
      <c r="H35" s="78"/>
    </row>
    <row r="36" spans="1:8" x14ac:dyDescent="0.2">
      <c r="A36" s="84"/>
      <c r="B36" s="83" t="s">
        <v>87</v>
      </c>
      <c r="C36" s="82" t="str">
        <f t="shared" si="1"/>
        <v>1E</v>
      </c>
      <c r="D36" s="81" t="str">
        <f t="shared" si="2"/>
        <v>6E</v>
      </c>
      <c r="E36" s="80" t="str">
        <f t="shared" si="0"/>
        <v>EUR1E6E30Y_Quote</v>
      </c>
      <c r="F36" s="80" t="str">
        <f>_xll.qlSimpleQuote(E36,,RateTickValue,Permanent,Trigger,ObjectOverwrite)</f>
        <v>EUR1E6E30Y_Quote#0018</v>
      </c>
      <c r="G36" s="79" t="str">
        <f>_xll.ohRangeRetrieveError(F36)</f>
        <v/>
      </c>
      <c r="H36" s="78"/>
    </row>
    <row r="37" spans="1:8" x14ac:dyDescent="0.2">
      <c r="A37" s="84"/>
      <c r="B37" s="83" t="s">
        <v>82</v>
      </c>
      <c r="C37" s="82" t="str">
        <f t="shared" si="1"/>
        <v>1E</v>
      </c>
      <c r="D37" s="81" t="str">
        <f t="shared" si="2"/>
        <v>6E</v>
      </c>
      <c r="E37" s="80" t="str">
        <f t="shared" si="0"/>
        <v>EUR1E6E35Y_Quote</v>
      </c>
      <c r="F37" s="80" t="str">
        <f>_xll.qlSimpleQuote(E37,,RateTickValue,Permanent,Trigger,ObjectOverwrite)</f>
        <v>EUR1E6E35Y_Quote#0018</v>
      </c>
      <c r="G37" s="79" t="str">
        <f>_xll.ohRangeRetrieveError(F37)</f>
        <v/>
      </c>
      <c r="H37" s="78"/>
    </row>
    <row r="38" spans="1:8" x14ac:dyDescent="0.2">
      <c r="A38" s="84"/>
      <c r="B38" s="83" t="s">
        <v>77</v>
      </c>
      <c r="C38" s="82" t="str">
        <f t="shared" si="1"/>
        <v>1E</v>
      </c>
      <c r="D38" s="81" t="str">
        <f t="shared" si="2"/>
        <v>6E</v>
      </c>
      <c r="E38" s="80" t="str">
        <f t="shared" si="0"/>
        <v>EUR1E6E40Y_Quote</v>
      </c>
      <c r="F38" s="80" t="str">
        <f>_xll.qlSimpleQuote(E38,,RateTickValue,Permanent,Trigger,ObjectOverwrite)</f>
        <v>EUR1E6E40Y_Quote#0018</v>
      </c>
      <c r="G38" s="79" t="str">
        <f>_xll.ohRangeRetrieveError(F38)</f>
        <v/>
      </c>
      <c r="H38" s="78"/>
    </row>
    <row r="39" spans="1:8" x14ac:dyDescent="0.2">
      <c r="A39" s="84"/>
      <c r="B39" s="83" t="s">
        <v>67</v>
      </c>
      <c r="C39" s="82" t="str">
        <f t="shared" si="1"/>
        <v>1E</v>
      </c>
      <c r="D39" s="81" t="str">
        <f t="shared" si="2"/>
        <v>6E</v>
      </c>
      <c r="E39" s="80" t="str">
        <f t="shared" si="0"/>
        <v>EUR1E6E50Y_Quote</v>
      </c>
      <c r="F39" s="80" t="str">
        <f>_xll.qlSimpleQuote(E39,,RateTickValue,Permanent,Trigger,ObjectOverwrite)</f>
        <v>EUR1E6E50Y_Quote#0018</v>
      </c>
      <c r="G39" s="79" t="str">
        <f>_xll.ohRangeRetrieveError(F39)</f>
        <v/>
      </c>
      <c r="H39" s="78"/>
    </row>
    <row r="40" spans="1:8" x14ac:dyDescent="0.2">
      <c r="A40" s="84"/>
      <c r="B40" s="83" t="s">
        <v>57</v>
      </c>
      <c r="C40" s="82" t="str">
        <f t="shared" si="1"/>
        <v>1E</v>
      </c>
      <c r="D40" s="81" t="str">
        <f t="shared" si="2"/>
        <v>6E</v>
      </c>
      <c r="E40" s="80" t="str">
        <f t="shared" si="0"/>
        <v>EUR1E6E60Y_Quote</v>
      </c>
      <c r="F40" s="80" t="str">
        <f>_xll.qlSimpleQuote(E40,,RateTickValue,Permanent,Trigger,ObjectOverwrite)</f>
        <v>EUR1E6E60Y_Quote#0018</v>
      </c>
      <c r="G40" s="79" t="str">
        <f>_xll.ohRangeRetrieveError(F40)</f>
        <v/>
      </c>
      <c r="H40" s="78"/>
    </row>
    <row r="41" spans="1:8" x14ac:dyDescent="0.2">
      <c r="A41" s="77"/>
      <c r="B41" s="76"/>
      <c r="C41" s="76"/>
      <c r="D41" s="76"/>
      <c r="E41" s="76"/>
      <c r="F41" s="75"/>
      <c r="G41" s="75"/>
      <c r="H41" s="74"/>
    </row>
  </sheetData>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41"/>
  <sheetViews>
    <sheetView workbookViewId="0"/>
  </sheetViews>
  <sheetFormatPr defaultRowHeight="12.75" x14ac:dyDescent="0.2"/>
  <cols>
    <col min="1" max="1" width="4.2851562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8" width="3.7109375" style="20" customWidth="1"/>
    <col min="9" max="12" width="3.5703125" style="20" customWidth="1"/>
    <col min="13" max="16384" width="9.140625" style="20"/>
  </cols>
  <sheetData>
    <row r="1" spans="1:12" x14ac:dyDescent="0.2">
      <c r="A1" s="107" t="s">
        <v>150</v>
      </c>
      <c r="B1" s="102"/>
      <c r="C1" s="102"/>
      <c r="D1" s="102"/>
      <c r="E1" s="103"/>
      <c r="F1" s="104"/>
      <c r="G1" s="103"/>
      <c r="H1" s="99"/>
    </row>
    <row r="2" spans="1:12" x14ac:dyDescent="0.2">
      <c r="A2" s="84"/>
      <c r="B2" s="97" t="s">
        <v>141</v>
      </c>
      <c r="C2" s="98"/>
      <c r="D2" s="97"/>
      <c r="E2" s="96" t="str">
        <f>Currency&amp;"_010_Sw"&amp;$C$4&amp;$D$4&amp;".xml"</f>
        <v>EUR_010_Sw3E6E.xml</v>
      </c>
      <c r="F2" s="95">
        <f ca="1">IF(Serialize,_xll.ohObjectSave(F3:F40,SerializationPath&amp;E2,FileOverwrite,Serialize),"---")</f>
        <v>38</v>
      </c>
      <c r="G2" s="79" t="str">
        <f ca="1">_xll.ohRangeRetrieveError(F2)</f>
        <v/>
      </c>
      <c r="H2" s="78"/>
    </row>
    <row r="3" spans="1:12" x14ac:dyDescent="0.2">
      <c r="A3" s="84"/>
      <c r="B3" s="94" t="s">
        <v>40</v>
      </c>
      <c r="C3" s="82" t="str">
        <f>VLOOKUP(Currency,$J$8:$L$12,2)</f>
        <v>3E</v>
      </c>
      <c r="D3" s="81" t="str">
        <f>VLOOKUP(Currency,$J$8:$L$12,3)</f>
        <v>6E</v>
      </c>
      <c r="E3" s="80" t="str">
        <f t="shared" ref="E3:E40" si="0">IF(ISBLANK(C3),"#",Currency&amp;$C3&amp;$D3&amp;$B3&amp;QuoteSuffix)</f>
        <v>EUR3E6E6M_Quote</v>
      </c>
      <c r="F3" s="80" t="str">
        <f>_xll.qlSimpleQuote(E3,,RateTickValue,Permanent,Trigger,ObjectOverwrite)</f>
        <v>EUR3E6E6M_Quote#0018</v>
      </c>
      <c r="G3" s="79" t="str">
        <f>_xll.ohRangeRetrieveError(F3)</f>
        <v/>
      </c>
      <c r="H3" s="78"/>
    </row>
    <row r="4" spans="1:12" x14ac:dyDescent="0.2">
      <c r="A4" s="84"/>
      <c r="B4" s="94" t="s">
        <v>34</v>
      </c>
      <c r="C4" s="82" t="str">
        <f t="shared" ref="C4:C40" si="1">C3</f>
        <v>3E</v>
      </c>
      <c r="D4" s="81" t="str">
        <f t="shared" ref="D4:D40" si="2">D3</f>
        <v>6E</v>
      </c>
      <c r="E4" s="80" t="str">
        <f t="shared" si="0"/>
        <v>EUR3E6E1Y_Quote</v>
      </c>
      <c r="F4" s="80" t="str">
        <f>_xll.qlSimpleQuote(E4,,RateTickValue,Permanent,Trigger,ObjectOverwrite)</f>
        <v>EUR3E6E1Y_Quote#0018</v>
      </c>
      <c r="G4" s="79" t="str">
        <f>_xll.ohRangeRetrieveError(F4)</f>
        <v/>
      </c>
      <c r="H4" s="78"/>
    </row>
    <row r="5" spans="1:12" x14ac:dyDescent="0.2">
      <c r="A5" s="84"/>
      <c r="B5" s="94" t="s">
        <v>140</v>
      </c>
      <c r="C5" s="82" t="str">
        <f t="shared" si="1"/>
        <v>3E</v>
      </c>
      <c r="D5" s="81" t="str">
        <f t="shared" si="2"/>
        <v>6E</v>
      </c>
      <c r="E5" s="80" t="str">
        <f t="shared" si="0"/>
        <v>EUR3E6E15M_Quote</v>
      </c>
      <c r="F5" s="80" t="str">
        <f>_xll.qlSimpleQuote(E5,,RateTickValue,Permanent,Trigger,ObjectOverwrite)</f>
        <v>EUR3E6E15M_Quote#0018</v>
      </c>
      <c r="G5" s="79" t="str">
        <f>_xll.ohRangeRetrieveError(F5)</f>
        <v/>
      </c>
      <c r="H5" s="78"/>
    </row>
    <row r="6" spans="1:12" x14ac:dyDescent="0.2">
      <c r="A6" s="84"/>
      <c r="B6" s="94" t="s">
        <v>139</v>
      </c>
      <c r="C6" s="82" t="str">
        <f t="shared" si="1"/>
        <v>3E</v>
      </c>
      <c r="D6" s="81" t="str">
        <f t="shared" si="2"/>
        <v>6E</v>
      </c>
      <c r="E6" s="80" t="str">
        <f t="shared" si="0"/>
        <v>EUR3E6E18M_Quote</v>
      </c>
      <c r="F6" s="80" t="str">
        <f>_xll.qlSimpleQuote(E6,,RateTickValue,Permanent,Trigger,ObjectOverwrite)</f>
        <v>EUR3E6E18M_Quote#0018</v>
      </c>
      <c r="G6" s="79" t="str">
        <f>_xll.ohRangeRetrieveError(F6)</f>
        <v/>
      </c>
      <c r="H6" s="78"/>
    </row>
    <row r="7" spans="1:12" ht="13.5" thickBot="1" x14ac:dyDescent="0.25">
      <c r="A7" s="84"/>
      <c r="B7" s="94" t="s">
        <v>138</v>
      </c>
      <c r="C7" s="82" t="str">
        <f t="shared" si="1"/>
        <v>3E</v>
      </c>
      <c r="D7" s="81" t="str">
        <f t="shared" si="2"/>
        <v>6E</v>
      </c>
      <c r="E7" s="80" t="str">
        <f t="shared" si="0"/>
        <v>EUR3E6E21M_Quote</v>
      </c>
      <c r="F7" s="80" t="str">
        <f>_xll.qlSimpleQuote(E7,,RateTickValue,Permanent,Trigger,ObjectOverwrite)</f>
        <v>EUR3E6E21M_Quote#0018</v>
      </c>
      <c r="G7" s="79" t="str">
        <f>_xll.ohRangeRetrieveError(F7)</f>
        <v/>
      </c>
      <c r="H7" s="78"/>
    </row>
    <row r="8" spans="1:12" x14ac:dyDescent="0.2">
      <c r="A8" s="84"/>
      <c r="B8" s="83" t="s">
        <v>115</v>
      </c>
      <c r="C8" s="82" t="str">
        <f t="shared" si="1"/>
        <v>3E</v>
      </c>
      <c r="D8" s="81" t="str">
        <f t="shared" si="2"/>
        <v>6E</v>
      </c>
      <c r="E8" s="80" t="str">
        <f t="shared" si="0"/>
        <v>EUR3E6E2Y_Quote</v>
      </c>
      <c r="F8" s="80" t="str">
        <f>_xll.qlSimpleQuote(E8,,RateTickValue,Permanent,Trigger,ObjectOverwrite)</f>
        <v>EUR3E6E2Y_Quote#0018</v>
      </c>
      <c r="G8" s="79" t="str">
        <f>_xll.ohRangeRetrieveError(F8)</f>
        <v/>
      </c>
      <c r="H8" s="78"/>
      <c r="J8" s="93" t="s">
        <v>137</v>
      </c>
      <c r="K8" s="92" t="s">
        <v>130</v>
      </c>
      <c r="L8" s="91" t="s">
        <v>132</v>
      </c>
    </row>
    <row r="9" spans="1:12" x14ac:dyDescent="0.2">
      <c r="A9" s="84"/>
      <c r="B9" s="83" t="s">
        <v>114</v>
      </c>
      <c r="C9" s="82" t="str">
        <f t="shared" si="1"/>
        <v>3E</v>
      </c>
      <c r="D9" s="81" t="str">
        <f t="shared" si="2"/>
        <v>6E</v>
      </c>
      <c r="E9" s="80" t="str">
        <f t="shared" si="0"/>
        <v>EUR3E6E3Y_Quote</v>
      </c>
      <c r="F9" s="80" t="str">
        <f>_xll.qlSimpleQuote(E9,,RateTickValue,Permanent,Trigger,ObjectOverwrite)</f>
        <v>EUR3E6E3Y_Quote#0018</v>
      </c>
      <c r="G9" s="79" t="str">
        <f>_xll.ohRangeRetrieveError(F9)</f>
        <v/>
      </c>
      <c r="H9" s="78"/>
      <c r="J9" s="90" t="s">
        <v>123</v>
      </c>
      <c r="K9" s="89" t="s">
        <v>142</v>
      </c>
      <c r="L9" s="88" t="s">
        <v>135</v>
      </c>
    </row>
    <row r="10" spans="1:12" x14ac:dyDescent="0.2">
      <c r="A10" s="84"/>
      <c r="B10" s="83" t="s">
        <v>113</v>
      </c>
      <c r="C10" s="82" t="str">
        <f t="shared" si="1"/>
        <v>3E</v>
      </c>
      <c r="D10" s="81" t="str">
        <f t="shared" si="2"/>
        <v>6E</v>
      </c>
      <c r="E10" s="80" t="str">
        <f t="shared" si="0"/>
        <v>EUR3E6E4Y_Quote</v>
      </c>
      <c r="F10" s="80" t="str">
        <f>_xll.qlSimpleQuote(E10,,RateTickValue,Permanent,Trigger,ObjectOverwrite)</f>
        <v>EUR3E6E4Y_Quote#0018</v>
      </c>
      <c r="G10" s="79" t="str">
        <f>_xll.ohRangeRetrieveError(F10)</f>
        <v/>
      </c>
      <c r="H10" s="78"/>
      <c r="J10" s="90" t="s">
        <v>134</v>
      </c>
      <c r="K10" s="89" t="s">
        <v>130</v>
      </c>
      <c r="L10" s="88" t="s">
        <v>132</v>
      </c>
    </row>
    <row r="11" spans="1:12" x14ac:dyDescent="0.2">
      <c r="A11" s="84"/>
      <c r="B11" s="83" t="s">
        <v>112</v>
      </c>
      <c r="C11" s="82" t="str">
        <f t="shared" si="1"/>
        <v>3E</v>
      </c>
      <c r="D11" s="81" t="str">
        <f t="shared" si="2"/>
        <v>6E</v>
      </c>
      <c r="E11" s="80" t="str">
        <f t="shared" si="0"/>
        <v>EUR3E6E5Y_Quote</v>
      </c>
      <c r="F11" s="80" t="str">
        <f>_xll.qlSimpleQuote(E11,,RateTickValue,Permanent,Trigger,ObjectOverwrite)</f>
        <v>EUR3E6E5Y_Quote#0018</v>
      </c>
      <c r="G11" s="79" t="str">
        <f>_xll.ohRangeRetrieveError(F11)</f>
        <v/>
      </c>
      <c r="H11" s="78"/>
      <c r="J11" s="90" t="s">
        <v>133</v>
      </c>
      <c r="K11" s="89" t="s">
        <v>130</v>
      </c>
      <c r="L11" s="88" t="s">
        <v>132</v>
      </c>
    </row>
    <row r="12" spans="1:12" ht="13.5" thickBot="1" x14ac:dyDescent="0.25">
      <c r="A12" s="84"/>
      <c r="B12" s="83" t="s">
        <v>111</v>
      </c>
      <c r="C12" s="82" t="str">
        <f t="shared" si="1"/>
        <v>3E</v>
      </c>
      <c r="D12" s="81" t="str">
        <f t="shared" si="2"/>
        <v>6E</v>
      </c>
      <c r="E12" s="80" t="str">
        <f t="shared" si="0"/>
        <v>EUR3E6E6Y_Quote</v>
      </c>
      <c r="F12" s="80" t="str">
        <f>_xll.qlSimpleQuote(E12,,RateTickValue,Permanent,Trigger,ObjectOverwrite)</f>
        <v>EUR3E6E6Y_Quote#0018</v>
      </c>
      <c r="G12" s="79" t="str">
        <f>_xll.ohRangeRetrieveError(F12)</f>
        <v/>
      </c>
      <c r="H12" s="78"/>
      <c r="J12" s="87" t="s">
        <v>131</v>
      </c>
      <c r="K12" s="86" t="s">
        <v>132</v>
      </c>
      <c r="L12" s="85" t="s">
        <v>130</v>
      </c>
    </row>
    <row r="13" spans="1:12" x14ac:dyDescent="0.2">
      <c r="A13" s="84"/>
      <c r="B13" s="83" t="s">
        <v>110</v>
      </c>
      <c r="C13" s="82" t="str">
        <f t="shared" si="1"/>
        <v>3E</v>
      </c>
      <c r="D13" s="81" t="str">
        <f t="shared" si="2"/>
        <v>6E</v>
      </c>
      <c r="E13" s="80" t="str">
        <f t="shared" si="0"/>
        <v>EUR3E6E7Y_Quote</v>
      </c>
      <c r="F13" s="80" t="str">
        <f>_xll.qlSimpleQuote(E13,,RateTickValue,Permanent,Trigger,ObjectOverwrite)</f>
        <v>EUR3E6E7Y_Quote#0018</v>
      </c>
      <c r="G13" s="79" t="str">
        <f>_xll.ohRangeRetrieveError(F13)</f>
        <v/>
      </c>
      <c r="H13" s="78"/>
    </row>
    <row r="14" spans="1:12" x14ac:dyDescent="0.2">
      <c r="A14" s="84"/>
      <c r="B14" s="83" t="s">
        <v>109</v>
      </c>
      <c r="C14" s="82" t="str">
        <f t="shared" si="1"/>
        <v>3E</v>
      </c>
      <c r="D14" s="81" t="str">
        <f t="shared" si="2"/>
        <v>6E</v>
      </c>
      <c r="E14" s="80" t="str">
        <f t="shared" si="0"/>
        <v>EUR3E6E8Y_Quote</v>
      </c>
      <c r="F14" s="80" t="str">
        <f>_xll.qlSimpleQuote(E14,,RateTickValue,Permanent,Trigger,ObjectOverwrite)</f>
        <v>EUR3E6E8Y_Quote#0018</v>
      </c>
      <c r="G14" s="79" t="str">
        <f>_xll.ohRangeRetrieveError(F14)</f>
        <v/>
      </c>
      <c r="H14" s="78"/>
    </row>
    <row r="15" spans="1:12" x14ac:dyDescent="0.2">
      <c r="A15" s="84"/>
      <c r="B15" s="83" t="s">
        <v>108</v>
      </c>
      <c r="C15" s="82" t="str">
        <f t="shared" si="1"/>
        <v>3E</v>
      </c>
      <c r="D15" s="81" t="str">
        <f t="shared" si="2"/>
        <v>6E</v>
      </c>
      <c r="E15" s="80" t="str">
        <f t="shared" si="0"/>
        <v>EUR3E6E9Y_Quote</v>
      </c>
      <c r="F15" s="80" t="str">
        <f>_xll.qlSimpleQuote(E15,,RateTickValue,Permanent,Trigger,ObjectOverwrite)</f>
        <v>EUR3E6E9Y_Quote#0018</v>
      </c>
      <c r="G15" s="79" t="str">
        <f>_xll.ohRangeRetrieveError(F15)</f>
        <v/>
      </c>
      <c r="H15" s="78"/>
    </row>
    <row r="16" spans="1:12" x14ac:dyDescent="0.2">
      <c r="A16" s="84"/>
      <c r="B16" s="83" t="s">
        <v>107</v>
      </c>
      <c r="C16" s="82" t="str">
        <f t="shared" si="1"/>
        <v>3E</v>
      </c>
      <c r="D16" s="81" t="str">
        <f t="shared" si="2"/>
        <v>6E</v>
      </c>
      <c r="E16" s="80" t="str">
        <f t="shared" si="0"/>
        <v>EUR3E6E10Y_Quote</v>
      </c>
      <c r="F16" s="80" t="str">
        <f>_xll.qlSimpleQuote(E16,,RateTickValue,Permanent,Trigger,ObjectOverwrite)</f>
        <v>EUR3E6E10Y_Quote#0018</v>
      </c>
      <c r="G16" s="79" t="str">
        <f>_xll.ohRangeRetrieveError(F16)</f>
        <v/>
      </c>
      <c r="H16" s="78"/>
    </row>
    <row r="17" spans="1:8" x14ac:dyDescent="0.2">
      <c r="A17" s="84"/>
      <c r="B17" s="83" t="s">
        <v>106</v>
      </c>
      <c r="C17" s="82" t="str">
        <f t="shared" si="1"/>
        <v>3E</v>
      </c>
      <c r="D17" s="81" t="str">
        <f t="shared" si="2"/>
        <v>6E</v>
      </c>
      <c r="E17" s="80" t="str">
        <f t="shared" si="0"/>
        <v>EUR3E6E11Y_Quote</v>
      </c>
      <c r="F17" s="80" t="str">
        <f>_xll.qlSimpleQuote(E17,,RateTickValue,Permanent,Trigger,ObjectOverwrite)</f>
        <v>EUR3E6E11Y_Quote#0018</v>
      </c>
      <c r="G17" s="79" t="str">
        <f>_xll.ohRangeRetrieveError(F17)</f>
        <v/>
      </c>
      <c r="H17" s="78"/>
    </row>
    <row r="18" spans="1:8" x14ac:dyDescent="0.2">
      <c r="A18" s="84"/>
      <c r="B18" s="83" t="s">
        <v>105</v>
      </c>
      <c r="C18" s="82" t="str">
        <f t="shared" si="1"/>
        <v>3E</v>
      </c>
      <c r="D18" s="81" t="str">
        <f t="shared" si="2"/>
        <v>6E</v>
      </c>
      <c r="E18" s="80" t="str">
        <f t="shared" si="0"/>
        <v>EUR3E6E12Y_Quote</v>
      </c>
      <c r="F18" s="80" t="str">
        <f>_xll.qlSimpleQuote(E18,,RateTickValue,Permanent,Trigger,ObjectOverwrite)</f>
        <v>EUR3E6E12Y_Quote#0018</v>
      </c>
      <c r="G18" s="79" t="str">
        <f>_xll.ohRangeRetrieveError(F18)</f>
        <v/>
      </c>
      <c r="H18" s="78"/>
    </row>
    <row r="19" spans="1:8" x14ac:dyDescent="0.2">
      <c r="A19" s="84"/>
      <c r="B19" s="83" t="s">
        <v>104</v>
      </c>
      <c r="C19" s="82" t="str">
        <f t="shared" si="1"/>
        <v>3E</v>
      </c>
      <c r="D19" s="81" t="str">
        <f t="shared" si="2"/>
        <v>6E</v>
      </c>
      <c r="E19" s="80" t="str">
        <f t="shared" si="0"/>
        <v>EUR3E6E13Y_Quote</v>
      </c>
      <c r="F19" s="80" t="str">
        <f>_xll.qlSimpleQuote(E19,,RateTickValue,Permanent,Trigger,ObjectOverwrite)</f>
        <v>EUR3E6E13Y_Quote#0018</v>
      </c>
      <c r="G19" s="79" t="str">
        <f>_xll.ohRangeRetrieveError(F19)</f>
        <v/>
      </c>
      <c r="H19" s="78"/>
    </row>
    <row r="20" spans="1:8" x14ac:dyDescent="0.2">
      <c r="A20" s="84"/>
      <c r="B20" s="83" t="s">
        <v>103</v>
      </c>
      <c r="C20" s="82" t="str">
        <f t="shared" si="1"/>
        <v>3E</v>
      </c>
      <c r="D20" s="81" t="str">
        <f t="shared" si="2"/>
        <v>6E</v>
      </c>
      <c r="E20" s="80" t="str">
        <f t="shared" si="0"/>
        <v>EUR3E6E14Y_Quote</v>
      </c>
      <c r="F20" s="80" t="str">
        <f>_xll.qlSimpleQuote(E20,,RateTickValue,Permanent,Trigger,ObjectOverwrite)</f>
        <v>EUR3E6E14Y_Quote#0018</v>
      </c>
      <c r="G20" s="79" t="str">
        <f>_xll.ohRangeRetrieveError(F20)</f>
        <v/>
      </c>
      <c r="H20" s="78"/>
    </row>
    <row r="21" spans="1:8" x14ac:dyDescent="0.2">
      <c r="A21" s="84"/>
      <c r="B21" s="83" t="s">
        <v>102</v>
      </c>
      <c r="C21" s="82" t="str">
        <f t="shared" si="1"/>
        <v>3E</v>
      </c>
      <c r="D21" s="81" t="str">
        <f t="shared" si="2"/>
        <v>6E</v>
      </c>
      <c r="E21" s="80" t="str">
        <f t="shared" si="0"/>
        <v>EUR3E6E15Y_Quote</v>
      </c>
      <c r="F21" s="80" t="str">
        <f>_xll.qlSimpleQuote(E21,,RateTickValue,Permanent,Trigger,ObjectOverwrite)</f>
        <v>EUR3E6E15Y_Quote#0018</v>
      </c>
      <c r="G21" s="79" t="str">
        <f>_xll.ohRangeRetrieveError(F21)</f>
        <v/>
      </c>
      <c r="H21" s="78"/>
    </row>
    <row r="22" spans="1:8" x14ac:dyDescent="0.2">
      <c r="A22" s="84"/>
      <c r="B22" s="83" t="s">
        <v>101</v>
      </c>
      <c r="C22" s="82" t="str">
        <f t="shared" si="1"/>
        <v>3E</v>
      </c>
      <c r="D22" s="81" t="str">
        <f t="shared" si="2"/>
        <v>6E</v>
      </c>
      <c r="E22" s="80" t="str">
        <f t="shared" si="0"/>
        <v>EUR3E6E16Y_Quote</v>
      </c>
      <c r="F22" s="80" t="str">
        <f>_xll.qlSimpleQuote(E22,,RateTickValue,Permanent,Trigger,ObjectOverwrite)</f>
        <v>EUR3E6E16Y_Quote#0018</v>
      </c>
      <c r="G22" s="79" t="str">
        <f>_xll.ohRangeRetrieveError(F22)</f>
        <v/>
      </c>
      <c r="H22" s="78"/>
    </row>
    <row r="23" spans="1:8" x14ac:dyDescent="0.2">
      <c r="A23" s="84"/>
      <c r="B23" s="83" t="s">
        <v>100</v>
      </c>
      <c r="C23" s="82" t="str">
        <f t="shared" si="1"/>
        <v>3E</v>
      </c>
      <c r="D23" s="81" t="str">
        <f t="shared" si="2"/>
        <v>6E</v>
      </c>
      <c r="E23" s="80" t="str">
        <f t="shared" si="0"/>
        <v>EUR3E6E17Y_Quote</v>
      </c>
      <c r="F23" s="80" t="str">
        <f>_xll.qlSimpleQuote(E23,,RateTickValue,Permanent,Trigger,ObjectOverwrite)</f>
        <v>EUR3E6E17Y_Quote#0018</v>
      </c>
      <c r="G23" s="79" t="str">
        <f>_xll.ohRangeRetrieveError(F23)</f>
        <v/>
      </c>
      <c r="H23" s="78"/>
    </row>
    <row r="24" spans="1:8" x14ac:dyDescent="0.2">
      <c r="A24" s="84"/>
      <c r="B24" s="83" t="s">
        <v>99</v>
      </c>
      <c r="C24" s="82" t="str">
        <f t="shared" si="1"/>
        <v>3E</v>
      </c>
      <c r="D24" s="81" t="str">
        <f t="shared" si="2"/>
        <v>6E</v>
      </c>
      <c r="E24" s="80" t="str">
        <f t="shared" si="0"/>
        <v>EUR3E6E18Y_Quote</v>
      </c>
      <c r="F24" s="80" t="str">
        <f>_xll.qlSimpleQuote(E24,,RateTickValue,Permanent,Trigger,ObjectOverwrite)</f>
        <v>EUR3E6E18Y_Quote#0018</v>
      </c>
      <c r="G24" s="79" t="str">
        <f>_xll.ohRangeRetrieveError(F24)</f>
        <v/>
      </c>
      <c r="H24" s="78"/>
    </row>
    <row r="25" spans="1:8" x14ac:dyDescent="0.2">
      <c r="A25" s="84"/>
      <c r="B25" s="83" t="s">
        <v>98</v>
      </c>
      <c r="C25" s="82" t="str">
        <f t="shared" si="1"/>
        <v>3E</v>
      </c>
      <c r="D25" s="81" t="str">
        <f t="shared" si="2"/>
        <v>6E</v>
      </c>
      <c r="E25" s="80" t="str">
        <f t="shared" si="0"/>
        <v>EUR3E6E19Y_Quote</v>
      </c>
      <c r="F25" s="80" t="str">
        <f>_xll.qlSimpleQuote(E25,,RateTickValue,Permanent,Trigger,ObjectOverwrite)</f>
        <v>EUR3E6E19Y_Quote#0018</v>
      </c>
      <c r="G25" s="79" t="str">
        <f>_xll.ohRangeRetrieveError(F25)</f>
        <v/>
      </c>
      <c r="H25" s="78"/>
    </row>
    <row r="26" spans="1:8" x14ac:dyDescent="0.2">
      <c r="A26" s="84"/>
      <c r="B26" s="83" t="s">
        <v>97</v>
      </c>
      <c r="C26" s="82" t="str">
        <f t="shared" si="1"/>
        <v>3E</v>
      </c>
      <c r="D26" s="81" t="str">
        <f t="shared" si="2"/>
        <v>6E</v>
      </c>
      <c r="E26" s="80" t="str">
        <f t="shared" si="0"/>
        <v>EUR3E6E20Y_Quote</v>
      </c>
      <c r="F26" s="80" t="str">
        <f>_xll.qlSimpleQuote(E26,,RateTickValue,Permanent,Trigger,ObjectOverwrite)</f>
        <v>EUR3E6E20Y_Quote#0018</v>
      </c>
      <c r="G26" s="79" t="str">
        <f>_xll.ohRangeRetrieveError(F26)</f>
        <v/>
      </c>
      <c r="H26" s="78"/>
    </row>
    <row r="27" spans="1:8" x14ac:dyDescent="0.2">
      <c r="A27" s="84"/>
      <c r="B27" s="83" t="s">
        <v>96</v>
      </c>
      <c r="C27" s="82" t="str">
        <f t="shared" si="1"/>
        <v>3E</v>
      </c>
      <c r="D27" s="81" t="str">
        <f t="shared" si="2"/>
        <v>6E</v>
      </c>
      <c r="E27" s="80" t="str">
        <f t="shared" si="0"/>
        <v>EUR3E6E21Y_Quote</v>
      </c>
      <c r="F27" s="80" t="str">
        <f>_xll.qlSimpleQuote(E27,,RateTickValue,Permanent,Trigger,ObjectOverwrite)</f>
        <v>EUR3E6E21Y_Quote#0018</v>
      </c>
      <c r="G27" s="79" t="str">
        <f>_xll.ohRangeRetrieveError(F27)</f>
        <v/>
      </c>
      <c r="H27" s="78"/>
    </row>
    <row r="28" spans="1:8" x14ac:dyDescent="0.2">
      <c r="A28" s="84"/>
      <c r="B28" s="83" t="s">
        <v>95</v>
      </c>
      <c r="C28" s="82" t="str">
        <f t="shared" si="1"/>
        <v>3E</v>
      </c>
      <c r="D28" s="81" t="str">
        <f t="shared" si="2"/>
        <v>6E</v>
      </c>
      <c r="E28" s="80" t="str">
        <f t="shared" si="0"/>
        <v>EUR3E6E22Y_Quote</v>
      </c>
      <c r="F28" s="80" t="str">
        <f>_xll.qlSimpleQuote(E28,,RateTickValue,Permanent,Trigger,ObjectOverwrite)</f>
        <v>EUR3E6E22Y_Quote#0018</v>
      </c>
      <c r="G28" s="79" t="str">
        <f>_xll.ohRangeRetrieveError(F28)</f>
        <v/>
      </c>
      <c r="H28" s="78"/>
    </row>
    <row r="29" spans="1:8" x14ac:dyDescent="0.2">
      <c r="A29" s="84"/>
      <c r="B29" s="83" t="s">
        <v>94</v>
      </c>
      <c r="C29" s="82" t="str">
        <f t="shared" si="1"/>
        <v>3E</v>
      </c>
      <c r="D29" s="81" t="str">
        <f t="shared" si="2"/>
        <v>6E</v>
      </c>
      <c r="E29" s="80" t="str">
        <f t="shared" si="0"/>
        <v>EUR3E6E23Y_Quote</v>
      </c>
      <c r="F29" s="80" t="str">
        <f>_xll.qlSimpleQuote(E29,,RateTickValue,Permanent,Trigger,ObjectOverwrite)</f>
        <v>EUR3E6E23Y_Quote#0018</v>
      </c>
      <c r="G29" s="79" t="str">
        <f>_xll.ohRangeRetrieveError(F29)</f>
        <v/>
      </c>
      <c r="H29" s="78"/>
    </row>
    <row r="30" spans="1:8" x14ac:dyDescent="0.2">
      <c r="A30" s="84"/>
      <c r="B30" s="83" t="s">
        <v>93</v>
      </c>
      <c r="C30" s="82" t="str">
        <f t="shared" si="1"/>
        <v>3E</v>
      </c>
      <c r="D30" s="81" t="str">
        <f t="shared" si="2"/>
        <v>6E</v>
      </c>
      <c r="E30" s="80" t="str">
        <f t="shared" si="0"/>
        <v>EUR3E6E24Y_Quote</v>
      </c>
      <c r="F30" s="80" t="str">
        <f>_xll.qlSimpleQuote(E30,,RateTickValue,Permanent,Trigger,ObjectOverwrite)</f>
        <v>EUR3E6E24Y_Quote#0018</v>
      </c>
      <c r="G30" s="79" t="str">
        <f>_xll.ohRangeRetrieveError(F30)</f>
        <v/>
      </c>
      <c r="H30" s="78"/>
    </row>
    <row r="31" spans="1:8" x14ac:dyDescent="0.2">
      <c r="A31" s="84"/>
      <c r="B31" s="83" t="s">
        <v>92</v>
      </c>
      <c r="C31" s="82" t="str">
        <f t="shared" si="1"/>
        <v>3E</v>
      </c>
      <c r="D31" s="81" t="str">
        <f t="shared" si="2"/>
        <v>6E</v>
      </c>
      <c r="E31" s="80" t="str">
        <f t="shared" si="0"/>
        <v>EUR3E6E25Y_Quote</v>
      </c>
      <c r="F31" s="80" t="str">
        <f>_xll.qlSimpleQuote(E31,,RateTickValue,Permanent,Trigger,ObjectOverwrite)</f>
        <v>EUR3E6E25Y_Quote#0018</v>
      </c>
      <c r="G31" s="79" t="str">
        <f>_xll.ohRangeRetrieveError(F31)</f>
        <v/>
      </c>
      <c r="H31" s="78"/>
    </row>
    <row r="32" spans="1:8" x14ac:dyDescent="0.2">
      <c r="A32" s="84"/>
      <c r="B32" s="83" t="s">
        <v>91</v>
      </c>
      <c r="C32" s="82" t="str">
        <f t="shared" si="1"/>
        <v>3E</v>
      </c>
      <c r="D32" s="81" t="str">
        <f t="shared" si="2"/>
        <v>6E</v>
      </c>
      <c r="E32" s="80" t="str">
        <f t="shared" si="0"/>
        <v>EUR3E6E26Y_Quote</v>
      </c>
      <c r="F32" s="80" t="str">
        <f>_xll.qlSimpleQuote(E32,,RateTickValue,Permanent,Trigger,ObjectOverwrite)</f>
        <v>EUR3E6E26Y_Quote#0018</v>
      </c>
      <c r="G32" s="79" t="str">
        <f>_xll.ohRangeRetrieveError(F32)</f>
        <v/>
      </c>
      <c r="H32" s="78"/>
    </row>
    <row r="33" spans="1:8" x14ac:dyDescent="0.2">
      <c r="A33" s="84"/>
      <c r="B33" s="83" t="s">
        <v>90</v>
      </c>
      <c r="C33" s="82" t="str">
        <f t="shared" si="1"/>
        <v>3E</v>
      </c>
      <c r="D33" s="81" t="str">
        <f t="shared" si="2"/>
        <v>6E</v>
      </c>
      <c r="E33" s="80" t="str">
        <f t="shared" si="0"/>
        <v>EUR3E6E27Y_Quote</v>
      </c>
      <c r="F33" s="80" t="str">
        <f>_xll.qlSimpleQuote(E33,,RateTickValue,Permanent,Trigger,ObjectOverwrite)</f>
        <v>EUR3E6E27Y_Quote#0018</v>
      </c>
      <c r="G33" s="79" t="str">
        <f>_xll.ohRangeRetrieveError(F33)</f>
        <v/>
      </c>
      <c r="H33" s="78"/>
    </row>
    <row r="34" spans="1:8" x14ac:dyDescent="0.2">
      <c r="A34" s="84"/>
      <c r="B34" s="83" t="s">
        <v>89</v>
      </c>
      <c r="C34" s="82" t="str">
        <f t="shared" si="1"/>
        <v>3E</v>
      </c>
      <c r="D34" s="81" t="str">
        <f t="shared" si="2"/>
        <v>6E</v>
      </c>
      <c r="E34" s="80" t="str">
        <f t="shared" si="0"/>
        <v>EUR3E6E28Y_Quote</v>
      </c>
      <c r="F34" s="80" t="str">
        <f>_xll.qlSimpleQuote(E34,,RateTickValue,Permanent,Trigger,ObjectOverwrite)</f>
        <v>EUR3E6E28Y_Quote#0018</v>
      </c>
      <c r="G34" s="79" t="str">
        <f>_xll.ohRangeRetrieveError(F34)</f>
        <v/>
      </c>
      <c r="H34" s="78"/>
    </row>
    <row r="35" spans="1:8" x14ac:dyDescent="0.2">
      <c r="A35" s="84"/>
      <c r="B35" s="83" t="s">
        <v>88</v>
      </c>
      <c r="C35" s="82" t="str">
        <f t="shared" si="1"/>
        <v>3E</v>
      </c>
      <c r="D35" s="81" t="str">
        <f t="shared" si="2"/>
        <v>6E</v>
      </c>
      <c r="E35" s="80" t="str">
        <f t="shared" si="0"/>
        <v>EUR3E6E29Y_Quote</v>
      </c>
      <c r="F35" s="80" t="str">
        <f>_xll.qlSimpleQuote(E35,,RateTickValue,Permanent,Trigger,ObjectOverwrite)</f>
        <v>EUR3E6E29Y_Quote#0018</v>
      </c>
      <c r="G35" s="79" t="str">
        <f>_xll.ohRangeRetrieveError(F35)</f>
        <v/>
      </c>
      <c r="H35" s="78"/>
    </row>
    <row r="36" spans="1:8" x14ac:dyDescent="0.2">
      <c r="A36" s="84"/>
      <c r="B36" s="83" t="s">
        <v>87</v>
      </c>
      <c r="C36" s="82" t="str">
        <f t="shared" si="1"/>
        <v>3E</v>
      </c>
      <c r="D36" s="81" t="str">
        <f t="shared" si="2"/>
        <v>6E</v>
      </c>
      <c r="E36" s="80" t="str">
        <f t="shared" si="0"/>
        <v>EUR3E6E30Y_Quote</v>
      </c>
      <c r="F36" s="80" t="str">
        <f>_xll.qlSimpleQuote(E36,,RateTickValue,Permanent,Trigger,ObjectOverwrite)</f>
        <v>EUR3E6E30Y_Quote#0018</v>
      </c>
      <c r="G36" s="79" t="str">
        <f>_xll.ohRangeRetrieveError(F36)</f>
        <v/>
      </c>
      <c r="H36" s="78"/>
    </row>
    <row r="37" spans="1:8" x14ac:dyDescent="0.2">
      <c r="A37" s="84"/>
      <c r="B37" s="83" t="s">
        <v>82</v>
      </c>
      <c r="C37" s="82" t="str">
        <f t="shared" si="1"/>
        <v>3E</v>
      </c>
      <c r="D37" s="81" t="str">
        <f t="shared" si="2"/>
        <v>6E</v>
      </c>
      <c r="E37" s="80" t="str">
        <f t="shared" si="0"/>
        <v>EUR3E6E35Y_Quote</v>
      </c>
      <c r="F37" s="80" t="str">
        <f>_xll.qlSimpleQuote(E37,,RateTickValue,Permanent,Trigger,ObjectOverwrite)</f>
        <v>EUR3E6E35Y_Quote#0018</v>
      </c>
      <c r="G37" s="79" t="str">
        <f>_xll.ohRangeRetrieveError(F37)</f>
        <v/>
      </c>
      <c r="H37" s="78"/>
    </row>
    <row r="38" spans="1:8" x14ac:dyDescent="0.2">
      <c r="A38" s="84"/>
      <c r="B38" s="83" t="s">
        <v>77</v>
      </c>
      <c r="C38" s="82" t="str">
        <f t="shared" si="1"/>
        <v>3E</v>
      </c>
      <c r="D38" s="81" t="str">
        <f t="shared" si="2"/>
        <v>6E</v>
      </c>
      <c r="E38" s="80" t="str">
        <f t="shared" si="0"/>
        <v>EUR3E6E40Y_Quote</v>
      </c>
      <c r="F38" s="80" t="str">
        <f>_xll.qlSimpleQuote(E38,,RateTickValue,Permanent,Trigger,ObjectOverwrite)</f>
        <v>EUR3E6E40Y_Quote#0018</v>
      </c>
      <c r="G38" s="79" t="str">
        <f>_xll.ohRangeRetrieveError(F38)</f>
        <v/>
      </c>
      <c r="H38" s="78"/>
    </row>
    <row r="39" spans="1:8" x14ac:dyDescent="0.2">
      <c r="A39" s="84"/>
      <c r="B39" s="83" t="s">
        <v>67</v>
      </c>
      <c r="C39" s="82" t="str">
        <f t="shared" si="1"/>
        <v>3E</v>
      </c>
      <c r="D39" s="81" t="str">
        <f t="shared" si="2"/>
        <v>6E</v>
      </c>
      <c r="E39" s="80" t="str">
        <f t="shared" si="0"/>
        <v>EUR3E6E50Y_Quote</v>
      </c>
      <c r="F39" s="80" t="str">
        <f>_xll.qlSimpleQuote(E39,,RateTickValue,Permanent,Trigger,ObjectOverwrite)</f>
        <v>EUR3E6E50Y_Quote#0018</v>
      </c>
      <c r="G39" s="79" t="str">
        <f>_xll.ohRangeRetrieveError(F39)</f>
        <v/>
      </c>
      <c r="H39" s="78"/>
    </row>
    <row r="40" spans="1:8" x14ac:dyDescent="0.2">
      <c r="A40" s="84"/>
      <c r="B40" s="83" t="s">
        <v>57</v>
      </c>
      <c r="C40" s="82" t="str">
        <f t="shared" si="1"/>
        <v>3E</v>
      </c>
      <c r="D40" s="81" t="str">
        <f t="shared" si="2"/>
        <v>6E</v>
      </c>
      <c r="E40" s="80" t="str">
        <f t="shared" si="0"/>
        <v>EUR3E6E60Y_Quote</v>
      </c>
      <c r="F40" s="80" t="str">
        <f>_xll.qlSimpleQuote(E40,,RateTickValue,Permanent,Trigger,ObjectOverwrite)</f>
        <v>EUR3E6E60Y_Quote#0018</v>
      </c>
      <c r="G40" s="79" t="str">
        <f>_xll.ohRangeRetrieveError(F40)</f>
        <v/>
      </c>
      <c r="H40" s="78"/>
    </row>
    <row r="41" spans="1:8" x14ac:dyDescent="0.2">
      <c r="A41" s="77"/>
      <c r="B41" s="76"/>
      <c r="C41" s="76"/>
      <c r="D41" s="76"/>
      <c r="E41" s="76"/>
      <c r="F41" s="75"/>
      <c r="G41" s="75"/>
      <c r="H41" s="74"/>
    </row>
  </sheetData>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1"/>
  <sheetViews>
    <sheetView workbookViewId="0"/>
  </sheetViews>
  <sheetFormatPr defaultRowHeight="12.75" x14ac:dyDescent="0.2"/>
  <cols>
    <col min="1" max="1" width="4.14062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8" width="3.7109375" style="20" customWidth="1"/>
    <col min="9" max="9" width="3.140625" style="20" customWidth="1"/>
    <col min="10" max="10" width="4" style="20" bestFit="1" customWidth="1"/>
    <col min="11" max="11" width="3.5703125" style="20" customWidth="1"/>
    <col min="12" max="12" width="3.5703125" style="20" bestFit="1" customWidth="1"/>
    <col min="13" max="16384" width="9.140625" style="20"/>
  </cols>
  <sheetData>
    <row r="1" spans="1:12" x14ac:dyDescent="0.2">
      <c r="A1" s="107" t="s">
        <v>150</v>
      </c>
      <c r="B1" s="102"/>
      <c r="C1" s="102"/>
      <c r="D1" s="102"/>
      <c r="E1" s="103"/>
      <c r="F1" s="104"/>
      <c r="G1" s="103"/>
      <c r="H1" s="99"/>
    </row>
    <row r="2" spans="1:12" x14ac:dyDescent="0.2">
      <c r="A2" s="84"/>
      <c r="B2" s="97" t="s">
        <v>141</v>
      </c>
      <c r="C2" s="98"/>
      <c r="D2" s="97"/>
      <c r="E2" s="96" t="str">
        <f>Currency&amp;"_010_Sw"&amp;$C$7&amp;$D$7&amp;".xml"</f>
        <v>EUR_010_Sw6E12E.xml</v>
      </c>
      <c r="F2" s="95">
        <f ca="1">IF(Serialize,_xll.ohObjectSave(F3:F40,SerializationPath&amp;E2,FileOverwrite,Serialize),"---")</f>
        <v>38</v>
      </c>
      <c r="G2" s="79" t="str">
        <f ca="1">_xll.ohRangeRetrieveError(F2)</f>
        <v/>
      </c>
      <c r="H2" s="78"/>
    </row>
    <row r="3" spans="1:12" x14ac:dyDescent="0.2">
      <c r="A3" s="84"/>
      <c r="B3" s="94" t="s">
        <v>40</v>
      </c>
      <c r="C3" s="82" t="str">
        <f>VLOOKUP(Currency,$J$8:$L$12,2)</f>
        <v>6E</v>
      </c>
      <c r="D3" s="81" t="str">
        <f>VLOOKUP(Currency,$J$8:$L$12,3)</f>
        <v>12E</v>
      </c>
      <c r="E3" s="80" t="str">
        <f t="shared" ref="E3:E40" si="0">IF(ISBLANK(C3),"#",Currency&amp;$C3&amp;$D3&amp;$B3&amp;QuoteSuffix)</f>
        <v>EUR6E12E6M_Quote</v>
      </c>
      <c r="F3" s="80" t="str">
        <f>_xll.qlSimpleQuote(E3,,RateTickValue,Permanent,Trigger,ObjectOverwrite)</f>
        <v>EUR6E12E6M_Quote#0018</v>
      </c>
      <c r="G3" s="79" t="str">
        <f>_xll.ohRangeRetrieveError(F3)</f>
        <v/>
      </c>
      <c r="H3" s="78"/>
    </row>
    <row r="4" spans="1:12" x14ac:dyDescent="0.2">
      <c r="A4" s="84"/>
      <c r="B4" s="94" t="s">
        <v>34</v>
      </c>
      <c r="C4" s="82" t="str">
        <f t="shared" ref="C4:C40" si="1">C3</f>
        <v>6E</v>
      </c>
      <c r="D4" s="81" t="str">
        <f t="shared" ref="D4:D40" si="2">D3</f>
        <v>12E</v>
      </c>
      <c r="E4" s="80" t="str">
        <f t="shared" si="0"/>
        <v>EUR6E12E1Y_Quote</v>
      </c>
      <c r="F4" s="80" t="str">
        <f>_xll.qlSimpleQuote(E4,,RateTickValue,Permanent,Trigger,ObjectOverwrite)</f>
        <v>EUR6E12E1Y_Quote#0018</v>
      </c>
      <c r="G4" s="79" t="str">
        <f>_xll.ohRangeRetrieveError(F4)</f>
        <v/>
      </c>
      <c r="H4" s="78"/>
    </row>
    <row r="5" spans="1:12" x14ac:dyDescent="0.2">
      <c r="A5" s="84"/>
      <c r="B5" s="94" t="s">
        <v>140</v>
      </c>
      <c r="C5" s="82" t="str">
        <f t="shared" si="1"/>
        <v>6E</v>
      </c>
      <c r="D5" s="81" t="str">
        <f t="shared" si="2"/>
        <v>12E</v>
      </c>
      <c r="E5" s="80" t="str">
        <f t="shared" si="0"/>
        <v>EUR6E12E15M_Quote</v>
      </c>
      <c r="F5" s="80" t="str">
        <f>_xll.qlSimpleQuote(E5,,RateTickValue,Permanent,Trigger,ObjectOverwrite)</f>
        <v>EUR6E12E15M_Quote#0018</v>
      </c>
      <c r="G5" s="79" t="str">
        <f>_xll.ohRangeRetrieveError(F5)</f>
        <v/>
      </c>
      <c r="H5" s="78"/>
    </row>
    <row r="6" spans="1:12" x14ac:dyDescent="0.2">
      <c r="A6" s="84"/>
      <c r="B6" s="94" t="s">
        <v>139</v>
      </c>
      <c r="C6" s="82" t="str">
        <f t="shared" si="1"/>
        <v>6E</v>
      </c>
      <c r="D6" s="81" t="str">
        <f t="shared" si="2"/>
        <v>12E</v>
      </c>
      <c r="E6" s="80" t="str">
        <f t="shared" si="0"/>
        <v>EUR6E12E18M_Quote</v>
      </c>
      <c r="F6" s="80" t="str">
        <f>_xll.qlSimpleQuote(E6,,RateTickValue,Permanent,Trigger,ObjectOverwrite)</f>
        <v>EUR6E12E18M_Quote#0018</v>
      </c>
      <c r="G6" s="79" t="str">
        <f>_xll.ohRangeRetrieveError(F6)</f>
        <v/>
      </c>
      <c r="H6" s="78"/>
    </row>
    <row r="7" spans="1:12" ht="13.5" thickBot="1" x14ac:dyDescent="0.25">
      <c r="A7" s="84"/>
      <c r="B7" s="94" t="s">
        <v>138</v>
      </c>
      <c r="C7" s="82" t="str">
        <f t="shared" si="1"/>
        <v>6E</v>
      </c>
      <c r="D7" s="81" t="str">
        <f t="shared" si="2"/>
        <v>12E</v>
      </c>
      <c r="E7" s="80" t="str">
        <f t="shared" si="0"/>
        <v>EUR6E12E21M_Quote</v>
      </c>
      <c r="F7" s="80" t="str">
        <f>_xll.qlSimpleQuote(E7,,RateTickValue,Permanent,Trigger,ObjectOverwrite)</f>
        <v>EUR6E12E21M_Quote#0018</v>
      </c>
      <c r="G7" s="79" t="str">
        <f>_xll.ohRangeRetrieveError(F7)</f>
        <v/>
      </c>
      <c r="H7" s="78"/>
    </row>
    <row r="8" spans="1:12" x14ac:dyDescent="0.2">
      <c r="A8" s="84"/>
      <c r="B8" s="83" t="s">
        <v>115</v>
      </c>
      <c r="C8" s="82" t="str">
        <f t="shared" si="1"/>
        <v>6E</v>
      </c>
      <c r="D8" s="81" t="str">
        <f t="shared" si="2"/>
        <v>12E</v>
      </c>
      <c r="E8" s="80" t="str">
        <f t="shared" si="0"/>
        <v>EUR6E12E2Y_Quote</v>
      </c>
      <c r="F8" s="80" t="str">
        <f>_xll.qlSimpleQuote(E8,,RateTickValue,Permanent,Trigger,ObjectOverwrite)</f>
        <v>EUR6E12E2Y_Quote#0018</v>
      </c>
      <c r="G8" s="79" t="str">
        <f>_xll.ohRangeRetrieveError(F8)</f>
        <v/>
      </c>
      <c r="H8" s="78"/>
      <c r="J8" s="93" t="s">
        <v>137</v>
      </c>
      <c r="K8" s="92" t="s">
        <v>132</v>
      </c>
      <c r="L8" s="91" t="s">
        <v>143</v>
      </c>
    </row>
    <row r="9" spans="1:12" x14ac:dyDescent="0.2">
      <c r="A9" s="84"/>
      <c r="B9" s="83" t="s">
        <v>114</v>
      </c>
      <c r="C9" s="82" t="str">
        <f t="shared" si="1"/>
        <v>6E</v>
      </c>
      <c r="D9" s="81" t="str">
        <f t="shared" si="2"/>
        <v>12E</v>
      </c>
      <c r="E9" s="80" t="str">
        <f t="shared" si="0"/>
        <v>EUR6E12E3Y_Quote</v>
      </c>
      <c r="F9" s="80" t="str">
        <f>_xll.qlSimpleQuote(E9,,RateTickValue,Permanent,Trigger,ObjectOverwrite)</f>
        <v>EUR6E12E3Y_Quote#0018</v>
      </c>
      <c r="G9" s="79" t="str">
        <f>_xll.ohRangeRetrieveError(F9)</f>
        <v/>
      </c>
      <c r="H9" s="78"/>
      <c r="J9" s="90" t="s">
        <v>123</v>
      </c>
      <c r="K9" s="89" t="s">
        <v>135</v>
      </c>
      <c r="L9" s="88" t="s">
        <v>144</v>
      </c>
    </row>
    <row r="10" spans="1:12" x14ac:dyDescent="0.2">
      <c r="A10" s="84"/>
      <c r="B10" s="83" t="s">
        <v>113</v>
      </c>
      <c r="C10" s="82" t="str">
        <f t="shared" si="1"/>
        <v>6E</v>
      </c>
      <c r="D10" s="81" t="str">
        <f t="shared" si="2"/>
        <v>12E</v>
      </c>
      <c r="E10" s="80" t="str">
        <f t="shared" si="0"/>
        <v>EUR6E12E4Y_Quote</v>
      </c>
      <c r="F10" s="80" t="str">
        <f>_xll.qlSimpleQuote(E10,,RateTickValue,Permanent,Trigger,ObjectOverwrite)</f>
        <v>EUR6E12E4Y_Quote#0018</v>
      </c>
      <c r="G10" s="79" t="str">
        <f>_xll.ohRangeRetrieveError(F10)</f>
        <v/>
      </c>
      <c r="H10" s="78"/>
      <c r="J10" s="90" t="s">
        <v>134</v>
      </c>
      <c r="K10" s="89" t="s">
        <v>132</v>
      </c>
      <c r="L10" s="88" t="s">
        <v>143</v>
      </c>
    </row>
    <row r="11" spans="1:12" x14ac:dyDescent="0.2">
      <c r="A11" s="84"/>
      <c r="B11" s="83" t="s">
        <v>112</v>
      </c>
      <c r="C11" s="82" t="str">
        <f t="shared" si="1"/>
        <v>6E</v>
      </c>
      <c r="D11" s="81" t="str">
        <f t="shared" si="2"/>
        <v>12E</v>
      </c>
      <c r="E11" s="80" t="str">
        <f t="shared" si="0"/>
        <v>EUR6E12E5Y_Quote</v>
      </c>
      <c r="F11" s="80" t="str">
        <f>_xll.qlSimpleQuote(E11,,RateTickValue,Permanent,Trigger,ObjectOverwrite)</f>
        <v>EUR6E12E5Y_Quote#0018</v>
      </c>
      <c r="G11" s="79" t="str">
        <f>_xll.ohRangeRetrieveError(F11)</f>
        <v/>
      </c>
      <c r="H11" s="78"/>
      <c r="J11" s="90" t="s">
        <v>133</v>
      </c>
      <c r="K11" s="89" t="s">
        <v>132</v>
      </c>
      <c r="L11" s="88" t="s">
        <v>143</v>
      </c>
    </row>
    <row r="12" spans="1:12" ht="13.5" thickBot="1" x14ac:dyDescent="0.25">
      <c r="A12" s="84"/>
      <c r="B12" s="83" t="s">
        <v>111</v>
      </c>
      <c r="C12" s="82" t="str">
        <f t="shared" si="1"/>
        <v>6E</v>
      </c>
      <c r="D12" s="81" t="str">
        <f t="shared" si="2"/>
        <v>12E</v>
      </c>
      <c r="E12" s="80" t="str">
        <f t="shared" si="0"/>
        <v>EUR6E12E6Y_Quote</v>
      </c>
      <c r="F12" s="80" t="str">
        <f>_xll.qlSimpleQuote(E12,,RateTickValue,Permanent,Trigger,ObjectOverwrite)</f>
        <v>EUR6E12E6Y_Quote#0018</v>
      </c>
      <c r="G12" s="79" t="str">
        <f>_xll.ohRangeRetrieveError(F12)</f>
        <v/>
      </c>
      <c r="H12" s="78"/>
      <c r="J12" s="87" t="s">
        <v>131</v>
      </c>
      <c r="K12" s="86" t="s">
        <v>143</v>
      </c>
      <c r="L12" s="85" t="s">
        <v>130</v>
      </c>
    </row>
    <row r="13" spans="1:12" x14ac:dyDescent="0.2">
      <c r="A13" s="84"/>
      <c r="B13" s="83" t="s">
        <v>110</v>
      </c>
      <c r="C13" s="82" t="str">
        <f t="shared" si="1"/>
        <v>6E</v>
      </c>
      <c r="D13" s="81" t="str">
        <f t="shared" si="2"/>
        <v>12E</v>
      </c>
      <c r="E13" s="80" t="str">
        <f t="shared" si="0"/>
        <v>EUR6E12E7Y_Quote</v>
      </c>
      <c r="F13" s="80" t="str">
        <f>_xll.qlSimpleQuote(E13,,RateTickValue,Permanent,Trigger,ObjectOverwrite)</f>
        <v>EUR6E12E7Y_Quote#0018</v>
      </c>
      <c r="G13" s="79" t="str">
        <f>_xll.ohRangeRetrieveError(F13)</f>
        <v/>
      </c>
      <c r="H13" s="78"/>
    </row>
    <row r="14" spans="1:12" x14ac:dyDescent="0.2">
      <c r="A14" s="84"/>
      <c r="B14" s="83" t="s">
        <v>109</v>
      </c>
      <c r="C14" s="82" t="str">
        <f t="shared" si="1"/>
        <v>6E</v>
      </c>
      <c r="D14" s="81" t="str">
        <f t="shared" si="2"/>
        <v>12E</v>
      </c>
      <c r="E14" s="80" t="str">
        <f t="shared" si="0"/>
        <v>EUR6E12E8Y_Quote</v>
      </c>
      <c r="F14" s="80" t="str">
        <f>_xll.qlSimpleQuote(E14,,RateTickValue,Permanent,Trigger,ObjectOverwrite)</f>
        <v>EUR6E12E8Y_Quote#0018</v>
      </c>
      <c r="G14" s="79" t="str">
        <f>_xll.ohRangeRetrieveError(F14)</f>
        <v/>
      </c>
      <c r="H14" s="78"/>
    </row>
    <row r="15" spans="1:12" x14ac:dyDescent="0.2">
      <c r="A15" s="84"/>
      <c r="B15" s="83" t="s">
        <v>108</v>
      </c>
      <c r="C15" s="82" t="str">
        <f t="shared" si="1"/>
        <v>6E</v>
      </c>
      <c r="D15" s="81" t="str">
        <f t="shared" si="2"/>
        <v>12E</v>
      </c>
      <c r="E15" s="80" t="str">
        <f t="shared" si="0"/>
        <v>EUR6E12E9Y_Quote</v>
      </c>
      <c r="F15" s="80" t="str">
        <f>_xll.qlSimpleQuote(E15,,RateTickValue,Permanent,Trigger,ObjectOverwrite)</f>
        <v>EUR6E12E9Y_Quote#0018</v>
      </c>
      <c r="G15" s="79" t="str">
        <f>_xll.ohRangeRetrieveError(F15)</f>
        <v/>
      </c>
      <c r="H15" s="78"/>
    </row>
    <row r="16" spans="1:12" x14ac:dyDescent="0.2">
      <c r="A16" s="84"/>
      <c r="B16" s="83" t="s">
        <v>107</v>
      </c>
      <c r="C16" s="82" t="str">
        <f t="shared" si="1"/>
        <v>6E</v>
      </c>
      <c r="D16" s="81" t="str">
        <f t="shared" si="2"/>
        <v>12E</v>
      </c>
      <c r="E16" s="80" t="str">
        <f t="shared" si="0"/>
        <v>EUR6E12E10Y_Quote</v>
      </c>
      <c r="F16" s="80" t="str">
        <f>_xll.qlSimpleQuote(E16,,RateTickValue,Permanent,Trigger,ObjectOverwrite)</f>
        <v>EUR6E12E10Y_Quote#0018</v>
      </c>
      <c r="G16" s="79" t="str">
        <f>_xll.ohRangeRetrieveError(F16)</f>
        <v/>
      </c>
      <c r="H16" s="78"/>
    </row>
    <row r="17" spans="1:8" x14ac:dyDescent="0.2">
      <c r="A17" s="84"/>
      <c r="B17" s="83" t="s">
        <v>106</v>
      </c>
      <c r="C17" s="82" t="str">
        <f t="shared" si="1"/>
        <v>6E</v>
      </c>
      <c r="D17" s="81" t="str">
        <f t="shared" si="2"/>
        <v>12E</v>
      </c>
      <c r="E17" s="80" t="str">
        <f t="shared" si="0"/>
        <v>EUR6E12E11Y_Quote</v>
      </c>
      <c r="F17" s="80" t="str">
        <f>_xll.qlSimpleQuote(E17,,RateTickValue,Permanent,Trigger,ObjectOverwrite)</f>
        <v>EUR6E12E11Y_Quote#0018</v>
      </c>
      <c r="G17" s="79" t="str">
        <f>_xll.ohRangeRetrieveError(F17)</f>
        <v/>
      </c>
      <c r="H17" s="78"/>
    </row>
    <row r="18" spans="1:8" x14ac:dyDescent="0.2">
      <c r="A18" s="84"/>
      <c r="B18" s="83" t="s">
        <v>105</v>
      </c>
      <c r="C18" s="82" t="str">
        <f t="shared" si="1"/>
        <v>6E</v>
      </c>
      <c r="D18" s="81" t="str">
        <f t="shared" si="2"/>
        <v>12E</v>
      </c>
      <c r="E18" s="80" t="str">
        <f t="shared" si="0"/>
        <v>EUR6E12E12Y_Quote</v>
      </c>
      <c r="F18" s="80" t="str">
        <f>_xll.qlSimpleQuote(E18,,RateTickValue,Permanent,Trigger,ObjectOverwrite)</f>
        <v>EUR6E12E12Y_Quote#0018</v>
      </c>
      <c r="G18" s="79" t="str">
        <f>_xll.ohRangeRetrieveError(F18)</f>
        <v/>
      </c>
      <c r="H18" s="78"/>
    </row>
    <row r="19" spans="1:8" x14ac:dyDescent="0.2">
      <c r="A19" s="84"/>
      <c r="B19" s="83" t="s">
        <v>104</v>
      </c>
      <c r="C19" s="82" t="str">
        <f t="shared" si="1"/>
        <v>6E</v>
      </c>
      <c r="D19" s="81" t="str">
        <f t="shared" si="2"/>
        <v>12E</v>
      </c>
      <c r="E19" s="80" t="str">
        <f t="shared" si="0"/>
        <v>EUR6E12E13Y_Quote</v>
      </c>
      <c r="F19" s="80" t="str">
        <f>_xll.qlSimpleQuote(E19,,RateTickValue,Permanent,Trigger,ObjectOverwrite)</f>
        <v>EUR6E12E13Y_Quote#0018</v>
      </c>
      <c r="G19" s="79" t="str">
        <f>_xll.ohRangeRetrieveError(F19)</f>
        <v/>
      </c>
      <c r="H19" s="78"/>
    </row>
    <row r="20" spans="1:8" x14ac:dyDescent="0.2">
      <c r="A20" s="84"/>
      <c r="B20" s="83" t="s">
        <v>103</v>
      </c>
      <c r="C20" s="82" t="str">
        <f t="shared" si="1"/>
        <v>6E</v>
      </c>
      <c r="D20" s="81" t="str">
        <f t="shared" si="2"/>
        <v>12E</v>
      </c>
      <c r="E20" s="80" t="str">
        <f t="shared" si="0"/>
        <v>EUR6E12E14Y_Quote</v>
      </c>
      <c r="F20" s="80" t="str">
        <f>_xll.qlSimpleQuote(E20,,RateTickValue,Permanent,Trigger,ObjectOverwrite)</f>
        <v>EUR6E12E14Y_Quote#0018</v>
      </c>
      <c r="G20" s="79" t="str">
        <f>_xll.ohRangeRetrieveError(F20)</f>
        <v/>
      </c>
      <c r="H20" s="78"/>
    </row>
    <row r="21" spans="1:8" x14ac:dyDescent="0.2">
      <c r="A21" s="84"/>
      <c r="B21" s="83" t="s">
        <v>102</v>
      </c>
      <c r="C21" s="82" t="str">
        <f t="shared" si="1"/>
        <v>6E</v>
      </c>
      <c r="D21" s="81" t="str">
        <f t="shared" si="2"/>
        <v>12E</v>
      </c>
      <c r="E21" s="80" t="str">
        <f t="shared" si="0"/>
        <v>EUR6E12E15Y_Quote</v>
      </c>
      <c r="F21" s="80" t="str">
        <f>_xll.qlSimpleQuote(E21,,RateTickValue,Permanent,Trigger,ObjectOverwrite)</f>
        <v>EUR6E12E15Y_Quote#0018</v>
      </c>
      <c r="G21" s="79" t="str">
        <f>_xll.ohRangeRetrieveError(F21)</f>
        <v/>
      </c>
      <c r="H21" s="78"/>
    </row>
    <row r="22" spans="1:8" x14ac:dyDescent="0.2">
      <c r="A22" s="84"/>
      <c r="B22" s="83" t="s">
        <v>101</v>
      </c>
      <c r="C22" s="82" t="str">
        <f t="shared" si="1"/>
        <v>6E</v>
      </c>
      <c r="D22" s="81" t="str">
        <f t="shared" si="2"/>
        <v>12E</v>
      </c>
      <c r="E22" s="80" t="str">
        <f t="shared" si="0"/>
        <v>EUR6E12E16Y_Quote</v>
      </c>
      <c r="F22" s="80" t="str">
        <f>_xll.qlSimpleQuote(E22,,RateTickValue,Permanent,Trigger,ObjectOverwrite)</f>
        <v>EUR6E12E16Y_Quote#0018</v>
      </c>
      <c r="G22" s="79" t="str">
        <f>_xll.ohRangeRetrieveError(F22)</f>
        <v/>
      </c>
      <c r="H22" s="78"/>
    </row>
    <row r="23" spans="1:8" x14ac:dyDescent="0.2">
      <c r="A23" s="84"/>
      <c r="B23" s="83" t="s">
        <v>100</v>
      </c>
      <c r="C23" s="82" t="str">
        <f t="shared" si="1"/>
        <v>6E</v>
      </c>
      <c r="D23" s="81" t="str">
        <f t="shared" si="2"/>
        <v>12E</v>
      </c>
      <c r="E23" s="80" t="str">
        <f t="shared" si="0"/>
        <v>EUR6E12E17Y_Quote</v>
      </c>
      <c r="F23" s="80" t="str">
        <f>_xll.qlSimpleQuote(E23,,RateTickValue,Permanent,Trigger,ObjectOverwrite)</f>
        <v>EUR6E12E17Y_Quote#0018</v>
      </c>
      <c r="G23" s="79" t="str">
        <f>_xll.ohRangeRetrieveError(F23)</f>
        <v/>
      </c>
      <c r="H23" s="78"/>
    </row>
    <row r="24" spans="1:8" x14ac:dyDescent="0.2">
      <c r="A24" s="84"/>
      <c r="B24" s="83" t="s">
        <v>99</v>
      </c>
      <c r="C24" s="82" t="str">
        <f t="shared" si="1"/>
        <v>6E</v>
      </c>
      <c r="D24" s="81" t="str">
        <f t="shared" si="2"/>
        <v>12E</v>
      </c>
      <c r="E24" s="80" t="str">
        <f t="shared" si="0"/>
        <v>EUR6E12E18Y_Quote</v>
      </c>
      <c r="F24" s="80" t="str">
        <f>_xll.qlSimpleQuote(E24,,RateTickValue,Permanent,Trigger,ObjectOverwrite)</f>
        <v>EUR6E12E18Y_Quote#0018</v>
      </c>
      <c r="G24" s="79" t="str">
        <f>_xll.ohRangeRetrieveError(F24)</f>
        <v/>
      </c>
      <c r="H24" s="78"/>
    </row>
    <row r="25" spans="1:8" x14ac:dyDescent="0.2">
      <c r="A25" s="84"/>
      <c r="B25" s="83" t="s">
        <v>98</v>
      </c>
      <c r="C25" s="82" t="str">
        <f t="shared" si="1"/>
        <v>6E</v>
      </c>
      <c r="D25" s="81" t="str">
        <f t="shared" si="2"/>
        <v>12E</v>
      </c>
      <c r="E25" s="80" t="str">
        <f t="shared" si="0"/>
        <v>EUR6E12E19Y_Quote</v>
      </c>
      <c r="F25" s="80" t="str">
        <f>_xll.qlSimpleQuote(E25,,RateTickValue,Permanent,Trigger,ObjectOverwrite)</f>
        <v>EUR6E12E19Y_Quote#0018</v>
      </c>
      <c r="G25" s="79" t="str">
        <f>_xll.ohRangeRetrieveError(F25)</f>
        <v/>
      </c>
      <c r="H25" s="78"/>
    </row>
    <row r="26" spans="1:8" x14ac:dyDescent="0.2">
      <c r="A26" s="84"/>
      <c r="B26" s="83" t="s">
        <v>97</v>
      </c>
      <c r="C26" s="82" t="str">
        <f t="shared" si="1"/>
        <v>6E</v>
      </c>
      <c r="D26" s="81" t="str">
        <f t="shared" si="2"/>
        <v>12E</v>
      </c>
      <c r="E26" s="80" t="str">
        <f t="shared" si="0"/>
        <v>EUR6E12E20Y_Quote</v>
      </c>
      <c r="F26" s="80" t="str">
        <f>_xll.qlSimpleQuote(E26,,RateTickValue,Permanent,Trigger,ObjectOverwrite)</f>
        <v>EUR6E12E20Y_Quote#0018</v>
      </c>
      <c r="G26" s="79" t="str">
        <f>_xll.ohRangeRetrieveError(F26)</f>
        <v/>
      </c>
      <c r="H26" s="78"/>
    </row>
    <row r="27" spans="1:8" x14ac:dyDescent="0.2">
      <c r="A27" s="84"/>
      <c r="B27" s="83" t="s">
        <v>96</v>
      </c>
      <c r="C27" s="82" t="str">
        <f t="shared" si="1"/>
        <v>6E</v>
      </c>
      <c r="D27" s="81" t="str">
        <f t="shared" si="2"/>
        <v>12E</v>
      </c>
      <c r="E27" s="80" t="str">
        <f t="shared" si="0"/>
        <v>EUR6E12E21Y_Quote</v>
      </c>
      <c r="F27" s="80" t="str">
        <f>_xll.qlSimpleQuote(E27,,RateTickValue,Permanent,Trigger,ObjectOverwrite)</f>
        <v>EUR6E12E21Y_Quote#0018</v>
      </c>
      <c r="G27" s="79" t="str">
        <f>_xll.ohRangeRetrieveError(F27)</f>
        <v/>
      </c>
      <c r="H27" s="78"/>
    </row>
    <row r="28" spans="1:8" x14ac:dyDescent="0.2">
      <c r="A28" s="84"/>
      <c r="B28" s="83" t="s">
        <v>95</v>
      </c>
      <c r="C28" s="82" t="str">
        <f t="shared" si="1"/>
        <v>6E</v>
      </c>
      <c r="D28" s="81" t="str">
        <f t="shared" si="2"/>
        <v>12E</v>
      </c>
      <c r="E28" s="80" t="str">
        <f t="shared" si="0"/>
        <v>EUR6E12E22Y_Quote</v>
      </c>
      <c r="F28" s="80" t="str">
        <f>_xll.qlSimpleQuote(E28,,RateTickValue,Permanent,Trigger,ObjectOverwrite)</f>
        <v>EUR6E12E22Y_Quote#0018</v>
      </c>
      <c r="G28" s="79" t="str">
        <f>_xll.ohRangeRetrieveError(F28)</f>
        <v/>
      </c>
      <c r="H28" s="78"/>
    </row>
    <row r="29" spans="1:8" x14ac:dyDescent="0.2">
      <c r="A29" s="84"/>
      <c r="B29" s="83" t="s">
        <v>94</v>
      </c>
      <c r="C29" s="82" t="str">
        <f t="shared" si="1"/>
        <v>6E</v>
      </c>
      <c r="D29" s="81" t="str">
        <f t="shared" si="2"/>
        <v>12E</v>
      </c>
      <c r="E29" s="80" t="str">
        <f t="shared" si="0"/>
        <v>EUR6E12E23Y_Quote</v>
      </c>
      <c r="F29" s="80" t="str">
        <f>_xll.qlSimpleQuote(E29,,RateTickValue,Permanent,Trigger,ObjectOverwrite)</f>
        <v>EUR6E12E23Y_Quote#0018</v>
      </c>
      <c r="G29" s="79" t="str">
        <f>_xll.ohRangeRetrieveError(F29)</f>
        <v/>
      </c>
      <c r="H29" s="78"/>
    </row>
    <row r="30" spans="1:8" x14ac:dyDescent="0.2">
      <c r="A30" s="84"/>
      <c r="B30" s="83" t="s">
        <v>93</v>
      </c>
      <c r="C30" s="82" t="str">
        <f t="shared" si="1"/>
        <v>6E</v>
      </c>
      <c r="D30" s="81" t="str">
        <f t="shared" si="2"/>
        <v>12E</v>
      </c>
      <c r="E30" s="80" t="str">
        <f t="shared" si="0"/>
        <v>EUR6E12E24Y_Quote</v>
      </c>
      <c r="F30" s="80" t="str">
        <f>_xll.qlSimpleQuote(E30,,RateTickValue,Permanent,Trigger,ObjectOverwrite)</f>
        <v>EUR6E12E24Y_Quote#0018</v>
      </c>
      <c r="G30" s="79" t="str">
        <f>_xll.ohRangeRetrieveError(F30)</f>
        <v/>
      </c>
      <c r="H30" s="78"/>
    </row>
    <row r="31" spans="1:8" x14ac:dyDescent="0.2">
      <c r="A31" s="84"/>
      <c r="B31" s="83" t="s">
        <v>92</v>
      </c>
      <c r="C31" s="82" t="str">
        <f t="shared" si="1"/>
        <v>6E</v>
      </c>
      <c r="D31" s="81" t="str">
        <f t="shared" si="2"/>
        <v>12E</v>
      </c>
      <c r="E31" s="80" t="str">
        <f t="shared" si="0"/>
        <v>EUR6E12E25Y_Quote</v>
      </c>
      <c r="F31" s="80" t="str">
        <f>_xll.qlSimpleQuote(E31,,RateTickValue,Permanent,Trigger,ObjectOverwrite)</f>
        <v>EUR6E12E25Y_Quote#0018</v>
      </c>
      <c r="G31" s="79" t="str">
        <f>_xll.ohRangeRetrieveError(F31)</f>
        <v/>
      </c>
      <c r="H31" s="78"/>
    </row>
    <row r="32" spans="1:8" x14ac:dyDescent="0.2">
      <c r="A32" s="84"/>
      <c r="B32" s="83" t="s">
        <v>91</v>
      </c>
      <c r="C32" s="82" t="str">
        <f t="shared" si="1"/>
        <v>6E</v>
      </c>
      <c r="D32" s="81" t="str">
        <f t="shared" si="2"/>
        <v>12E</v>
      </c>
      <c r="E32" s="80" t="str">
        <f t="shared" si="0"/>
        <v>EUR6E12E26Y_Quote</v>
      </c>
      <c r="F32" s="80" t="str">
        <f>_xll.qlSimpleQuote(E32,,RateTickValue,Permanent,Trigger,ObjectOverwrite)</f>
        <v>EUR6E12E26Y_Quote#0018</v>
      </c>
      <c r="G32" s="79" t="str">
        <f>_xll.ohRangeRetrieveError(F32)</f>
        <v/>
      </c>
      <c r="H32" s="78"/>
    </row>
    <row r="33" spans="1:8" x14ac:dyDescent="0.2">
      <c r="A33" s="84"/>
      <c r="B33" s="83" t="s">
        <v>90</v>
      </c>
      <c r="C33" s="82" t="str">
        <f t="shared" si="1"/>
        <v>6E</v>
      </c>
      <c r="D33" s="81" t="str">
        <f t="shared" si="2"/>
        <v>12E</v>
      </c>
      <c r="E33" s="80" t="str">
        <f t="shared" si="0"/>
        <v>EUR6E12E27Y_Quote</v>
      </c>
      <c r="F33" s="80" t="str">
        <f>_xll.qlSimpleQuote(E33,,RateTickValue,Permanent,Trigger,ObjectOverwrite)</f>
        <v>EUR6E12E27Y_Quote#0018</v>
      </c>
      <c r="G33" s="79" t="str">
        <f>_xll.ohRangeRetrieveError(F33)</f>
        <v/>
      </c>
      <c r="H33" s="78"/>
    </row>
    <row r="34" spans="1:8" x14ac:dyDescent="0.2">
      <c r="A34" s="84"/>
      <c r="B34" s="83" t="s">
        <v>89</v>
      </c>
      <c r="C34" s="82" t="str">
        <f t="shared" si="1"/>
        <v>6E</v>
      </c>
      <c r="D34" s="81" t="str">
        <f t="shared" si="2"/>
        <v>12E</v>
      </c>
      <c r="E34" s="80" t="str">
        <f t="shared" si="0"/>
        <v>EUR6E12E28Y_Quote</v>
      </c>
      <c r="F34" s="80" t="str">
        <f>_xll.qlSimpleQuote(E34,,RateTickValue,Permanent,Trigger,ObjectOverwrite)</f>
        <v>EUR6E12E28Y_Quote#0018</v>
      </c>
      <c r="G34" s="79" t="str">
        <f>_xll.ohRangeRetrieveError(F34)</f>
        <v/>
      </c>
      <c r="H34" s="78"/>
    </row>
    <row r="35" spans="1:8" x14ac:dyDescent="0.2">
      <c r="A35" s="84"/>
      <c r="B35" s="83" t="s">
        <v>88</v>
      </c>
      <c r="C35" s="82" t="str">
        <f t="shared" si="1"/>
        <v>6E</v>
      </c>
      <c r="D35" s="81" t="str">
        <f t="shared" si="2"/>
        <v>12E</v>
      </c>
      <c r="E35" s="80" t="str">
        <f t="shared" si="0"/>
        <v>EUR6E12E29Y_Quote</v>
      </c>
      <c r="F35" s="80" t="str">
        <f>_xll.qlSimpleQuote(E35,,RateTickValue,Permanent,Trigger,ObjectOverwrite)</f>
        <v>EUR6E12E29Y_Quote#0018</v>
      </c>
      <c r="G35" s="79" t="str">
        <f>_xll.ohRangeRetrieveError(F35)</f>
        <v/>
      </c>
      <c r="H35" s="78"/>
    </row>
    <row r="36" spans="1:8" x14ac:dyDescent="0.2">
      <c r="A36" s="84"/>
      <c r="B36" s="83" t="s">
        <v>87</v>
      </c>
      <c r="C36" s="82" t="str">
        <f t="shared" si="1"/>
        <v>6E</v>
      </c>
      <c r="D36" s="81" t="str">
        <f t="shared" si="2"/>
        <v>12E</v>
      </c>
      <c r="E36" s="80" t="str">
        <f t="shared" si="0"/>
        <v>EUR6E12E30Y_Quote</v>
      </c>
      <c r="F36" s="80" t="str">
        <f>_xll.qlSimpleQuote(E36,,RateTickValue,Permanent,Trigger,ObjectOverwrite)</f>
        <v>EUR6E12E30Y_Quote#0018</v>
      </c>
      <c r="G36" s="79" t="str">
        <f>_xll.ohRangeRetrieveError(F36)</f>
        <v/>
      </c>
      <c r="H36" s="78"/>
    </row>
    <row r="37" spans="1:8" x14ac:dyDescent="0.2">
      <c r="A37" s="84"/>
      <c r="B37" s="83" t="s">
        <v>82</v>
      </c>
      <c r="C37" s="82" t="str">
        <f t="shared" si="1"/>
        <v>6E</v>
      </c>
      <c r="D37" s="81" t="str">
        <f t="shared" si="2"/>
        <v>12E</v>
      </c>
      <c r="E37" s="80" t="str">
        <f t="shared" si="0"/>
        <v>EUR6E12E35Y_Quote</v>
      </c>
      <c r="F37" s="80" t="str">
        <f>_xll.qlSimpleQuote(E37,,RateTickValue,Permanent,Trigger,ObjectOverwrite)</f>
        <v>EUR6E12E35Y_Quote#0018</v>
      </c>
      <c r="G37" s="79" t="str">
        <f>_xll.ohRangeRetrieveError(F37)</f>
        <v/>
      </c>
      <c r="H37" s="78"/>
    </row>
    <row r="38" spans="1:8" x14ac:dyDescent="0.2">
      <c r="A38" s="84"/>
      <c r="B38" s="83" t="s">
        <v>77</v>
      </c>
      <c r="C38" s="82" t="str">
        <f t="shared" si="1"/>
        <v>6E</v>
      </c>
      <c r="D38" s="81" t="str">
        <f t="shared" si="2"/>
        <v>12E</v>
      </c>
      <c r="E38" s="80" t="str">
        <f t="shared" si="0"/>
        <v>EUR6E12E40Y_Quote</v>
      </c>
      <c r="F38" s="80" t="str">
        <f>_xll.qlSimpleQuote(E38,,RateTickValue,Permanent,Trigger,ObjectOverwrite)</f>
        <v>EUR6E12E40Y_Quote#0018</v>
      </c>
      <c r="G38" s="79" t="str">
        <f>_xll.ohRangeRetrieveError(F38)</f>
        <v/>
      </c>
      <c r="H38" s="78"/>
    </row>
    <row r="39" spans="1:8" x14ac:dyDescent="0.2">
      <c r="A39" s="84"/>
      <c r="B39" s="83" t="s">
        <v>67</v>
      </c>
      <c r="C39" s="82" t="str">
        <f t="shared" si="1"/>
        <v>6E</v>
      </c>
      <c r="D39" s="81" t="str">
        <f t="shared" si="2"/>
        <v>12E</v>
      </c>
      <c r="E39" s="80" t="str">
        <f t="shared" si="0"/>
        <v>EUR6E12E50Y_Quote</v>
      </c>
      <c r="F39" s="80" t="str">
        <f>_xll.qlSimpleQuote(E39,,RateTickValue,Permanent,Trigger,ObjectOverwrite)</f>
        <v>EUR6E12E50Y_Quote#0018</v>
      </c>
      <c r="G39" s="79" t="str">
        <f>_xll.ohRangeRetrieveError(F39)</f>
        <v/>
      </c>
      <c r="H39" s="78"/>
    </row>
    <row r="40" spans="1:8" x14ac:dyDescent="0.2">
      <c r="A40" s="84"/>
      <c r="B40" s="83" t="s">
        <v>57</v>
      </c>
      <c r="C40" s="82" t="str">
        <f t="shared" si="1"/>
        <v>6E</v>
      </c>
      <c r="D40" s="81" t="str">
        <f t="shared" si="2"/>
        <v>12E</v>
      </c>
      <c r="E40" s="80" t="str">
        <f t="shared" si="0"/>
        <v>EUR6E12E60Y_Quote</v>
      </c>
      <c r="F40" s="80" t="str">
        <f>_xll.qlSimpleQuote(E40,,RateTickValue,Permanent,Trigger,ObjectOverwrite)</f>
        <v>EUR6E12E60Y_Quote#0018</v>
      </c>
      <c r="G40" s="79" t="str">
        <f>_xll.ohRangeRetrieveError(F40)</f>
        <v/>
      </c>
      <c r="H40" s="78"/>
    </row>
    <row r="41" spans="1:8" x14ac:dyDescent="0.2">
      <c r="A41" s="77"/>
      <c r="B41" s="76"/>
      <c r="C41" s="76"/>
      <c r="D41" s="76"/>
      <c r="E41" s="76"/>
      <c r="F41" s="75"/>
      <c r="G41" s="75"/>
      <c r="H41" s="74"/>
    </row>
  </sheetData>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21"/>
  <sheetViews>
    <sheetView workbookViewId="0"/>
  </sheetViews>
  <sheetFormatPr defaultRowHeight="11.25" x14ac:dyDescent="0.2"/>
  <cols>
    <col min="1" max="1" width="4.42578125" style="72" customWidth="1"/>
    <col min="2" max="2" width="4.42578125" style="72" bestFit="1" customWidth="1"/>
    <col min="3" max="3" width="17.85546875" style="72" bestFit="1" customWidth="1"/>
    <col min="4" max="4" width="16.7109375" style="72" bestFit="1" customWidth="1"/>
    <col min="5" max="5" width="36.85546875" style="72" bestFit="1" customWidth="1"/>
    <col min="6" max="6" width="5" style="72" customWidth="1"/>
    <col min="7" max="16384" width="9.140625" style="72"/>
  </cols>
  <sheetData>
    <row r="1" spans="1:6" x14ac:dyDescent="0.2">
      <c r="A1" s="168" t="s">
        <v>190</v>
      </c>
      <c r="B1" s="116"/>
      <c r="C1" s="116"/>
      <c r="D1" s="116"/>
      <c r="E1" s="116"/>
      <c r="F1" s="115"/>
    </row>
    <row r="2" spans="1:6" ht="21" customHeight="1" x14ac:dyDescent="0.2">
      <c r="A2" s="84"/>
      <c r="B2" s="114"/>
      <c r="C2" s="96" t="str">
        <f>Currency&amp;"_010_"&amp;"Deposits.xml"</f>
        <v>EUR_010_Deposits.xml</v>
      </c>
      <c r="D2" s="113">
        <f ca="1">IF(Serialize,_xll.ohObjectSave(D3:D20,SerializationPath&amp;C2,FileOverwrite,Serialize),"---")</f>
        <v>18</v>
      </c>
      <c r="E2" s="112" t="str">
        <f ca="1">_xll.ohRangeRetrieveError(D2)</f>
        <v/>
      </c>
      <c r="F2" s="108"/>
    </row>
    <row r="3" spans="1:6" x14ac:dyDescent="0.2">
      <c r="A3" s="84"/>
      <c r="B3" s="111" t="s">
        <v>168</v>
      </c>
      <c r="C3" s="110" t="str">
        <f t="shared" ref="C3:C20" si="0">Currency&amp;$B3&amp;QuoteSuffix</f>
        <v>EUROND_Quote</v>
      </c>
      <c r="D3" s="110" t="str">
        <f>_xll.qlSimpleQuote(C3,,RateTickValue,Permanent,Trigger,ObjectOverwrite)</f>
        <v>EUROND_Quote#0017</v>
      </c>
      <c r="E3" s="109" t="str">
        <f>_xll.ohRangeRetrieveError(D3)</f>
        <v/>
      </c>
      <c r="F3" s="108"/>
    </row>
    <row r="4" spans="1:6" x14ac:dyDescent="0.2">
      <c r="A4" s="84"/>
      <c r="B4" s="111" t="s">
        <v>167</v>
      </c>
      <c r="C4" s="110" t="str">
        <f t="shared" si="0"/>
        <v>EURTND_Quote</v>
      </c>
      <c r="D4" s="110" t="str">
        <f>_xll.qlSimpleQuote(C4,,RateTickValue,Permanent,Trigger,ObjectOverwrite)</f>
        <v>EURTND_Quote#0017</v>
      </c>
      <c r="E4" s="109" t="str">
        <f>_xll.ohRangeRetrieveError(D4)</f>
        <v/>
      </c>
      <c r="F4" s="108"/>
    </row>
    <row r="5" spans="1:6" x14ac:dyDescent="0.2">
      <c r="A5" s="84"/>
      <c r="B5" s="111" t="s">
        <v>166</v>
      </c>
      <c r="C5" s="110" t="str">
        <f t="shared" si="0"/>
        <v>EURSND_Quote</v>
      </c>
      <c r="D5" s="110" t="str">
        <f>_xll.qlSimpleQuote(C5,,RateTickValue,Permanent,Trigger,ObjectOverwrite)</f>
        <v>EURSND_Quote#0017</v>
      </c>
      <c r="E5" s="109" t="str">
        <f>_xll.ohRangeRetrieveError(D5)</f>
        <v/>
      </c>
      <c r="F5" s="108"/>
    </row>
    <row r="6" spans="1:6" x14ac:dyDescent="0.2">
      <c r="A6" s="84"/>
      <c r="B6" s="111" t="s">
        <v>165</v>
      </c>
      <c r="C6" s="110" t="str">
        <f t="shared" si="0"/>
        <v>EURSWD_Quote</v>
      </c>
      <c r="D6" s="110" t="str">
        <f>_xll.qlSimpleQuote(C6,,RateTickValue,Permanent,Trigger,ObjectOverwrite)</f>
        <v>EURSWD_Quote#0017</v>
      </c>
      <c r="E6" s="109" t="str">
        <f>_xll.ohRangeRetrieveError(D6)</f>
        <v/>
      </c>
      <c r="F6" s="108"/>
    </row>
    <row r="7" spans="1:6" x14ac:dyDescent="0.2">
      <c r="A7" s="84"/>
      <c r="B7" s="111" t="s">
        <v>164</v>
      </c>
      <c r="C7" s="110" t="str">
        <f t="shared" si="0"/>
        <v>EUR2WD_Quote</v>
      </c>
      <c r="D7" s="110" t="str">
        <f>_xll.qlSimpleQuote(C7,,RateTickValue,Permanent,Trigger,ObjectOverwrite)</f>
        <v>EUR2WD_Quote#0017</v>
      </c>
      <c r="E7" s="109" t="str">
        <f>_xll.ohRangeRetrieveError(D7)</f>
        <v/>
      </c>
      <c r="F7" s="108"/>
    </row>
    <row r="8" spans="1:6" x14ac:dyDescent="0.2">
      <c r="A8" s="84"/>
      <c r="B8" s="111" t="s">
        <v>163</v>
      </c>
      <c r="C8" s="110" t="str">
        <f t="shared" si="0"/>
        <v>EUR3WD_Quote</v>
      </c>
      <c r="D8" s="110" t="str">
        <f>_xll.qlSimpleQuote(C8,,RateTickValue,Permanent,Trigger,ObjectOverwrite)</f>
        <v>EUR3WD_Quote#0017</v>
      </c>
      <c r="E8" s="109" t="str">
        <f>_xll.ohRangeRetrieveError(D8)</f>
        <v/>
      </c>
      <c r="F8" s="108"/>
    </row>
    <row r="9" spans="1:6" x14ac:dyDescent="0.2">
      <c r="A9" s="84"/>
      <c r="B9" s="111" t="s">
        <v>162</v>
      </c>
      <c r="C9" s="110" t="str">
        <f t="shared" si="0"/>
        <v>EUR1MD_Quote</v>
      </c>
      <c r="D9" s="110" t="str">
        <f>_xll.qlSimpleQuote(C9,,RateTickValue,Permanent,Trigger,ObjectOverwrite)</f>
        <v>EUR1MD_Quote#0017</v>
      </c>
      <c r="E9" s="109" t="str">
        <f>_xll.ohRangeRetrieveError(D9)</f>
        <v/>
      </c>
      <c r="F9" s="108"/>
    </row>
    <row r="10" spans="1:6" x14ac:dyDescent="0.2">
      <c r="A10" s="84"/>
      <c r="B10" s="111" t="s">
        <v>161</v>
      </c>
      <c r="C10" s="110" t="str">
        <f t="shared" si="0"/>
        <v>EUR2MD_Quote</v>
      </c>
      <c r="D10" s="110" t="str">
        <f>_xll.qlSimpleQuote(C10,,RateTickValue,Permanent,Trigger,ObjectOverwrite)</f>
        <v>EUR2MD_Quote#0017</v>
      </c>
      <c r="E10" s="109" t="str">
        <f>_xll.ohRangeRetrieveError(D10)</f>
        <v/>
      </c>
      <c r="F10" s="108"/>
    </row>
    <row r="11" spans="1:6" x14ac:dyDescent="0.2">
      <c r="A11" s="84"/>
      <c r="B11" s="111" t="s">
        <v>160</v>
      </c>
      <c r="C11" s="110" t="str">
        <f t="shared" si="0"/>
        <v>EUR3MD_Quote</v>
      </c>
      <c r="D11" s="110" t="str">
        <f>_xll.qlSimpleQuote(C11,,RateTickValue,Permanent,Trigger,ObjectOverwrite)</f>
        <v>EUR3MD_Quote#0017</v>
      </c>
      <c r="E11" s="109" t="str">
        <f>_xll.ohRangeRetrieveError(D11)</f>
        <v/>
      </c>
      <c r="F11" s="108"/>
    </row>
    <row r="12" spans="1:6" x14ac:dyDescent="0.2">
      <c r="A12" s="84"/>
      <c r="B12" s="111" t="s">
        <v>159</v>
      </c>
      <c r="C12" s="110" t="str">
        <f t="shared" si="0"/>
        <v>EUR4MD_Quote</v>
      </c>
      <c r="D12" s="110" t="str">
        <f>_xll.qlSimpleQuote(C12,,RateTickValue,Permanent,Trigger,ObjectOverwrite)</f>
        <v>EUR4MD_Quote#0017</v>
      </c>
      <c r="E12" s="109" t="str">
        <f>_xll.ohRangeRetrieveError(D12)</f>
        <v/>
      </c>
      <c r="F12" s="108"/>
    </row>
    <row r="13" spans="1:6" x14ac:dyDescent="0.2">
      <c r="A13" s="84"/>
      <c r="B13" s="111" t="s">
        <v>158</v>
      </c>
      <c r="C13" s="110" t="str">
        <f t="shared" si="0"/>
        <v>EUR5MD_Quote</v>
      </c>
      <c r="D13" s="110" t="str">
        <f>_xll.qlSimpleQuote(C13,,RateTickValue,Permanent,Trigger,ObjectOverwrite)</f>
        <v>EUR5MD_Quote#0017</v>
      </c>
      <c r="E13" s="109" t="str">
        <f>_xll.ohRangeRetrieveError(D13)</f>
        <v/>
      </c>
      <c r="F13" s="108"/>
    </row>
    <row r="14" spans="1:6" x14ac:dyDescent="0.2">
      <c r="A14" s="84"/>
      <c r="B14" s="111" t="s">
        <v>157</v>
      </c>
      <c r="C14" s="110" t="str">
        <f t="shared" si="0"/>
        <v>EUR6MD_Quote</v>
      </c>
      <c r="D14" s="110" t="str">
        <f>_xll.qlSimpleQuote(C14,,RateTickValue,Permanent,Trigger,ObjectOverwrite)</f>
        <v>EUR6MD_Quote#0017</v>
      </c>
      <c r="E14" s="109" t="str">
        <f>_xll.ohRangeRetrieveError(D14)</f>
        <v/>
      </c>
      <c r="F14" s="108"/>
    </row>
    <row r="15" spans="1:6" x14ac:dyDescent="0.2">
      <c r="A15" s="84"/>
      <c r="B15" s="111" t="s">
        <v>156</v>
      </c>
      <c r="C15" s="110" t="str">
        <f t="shared" si="0"/>
        <v>EUR7MD_Quote</v>
      </c>
      <c r="D15" s="110" t="str">
        <f>_xll.qlSimpleQuote(C15,,RateTickValue,Permanent,Trigger,ObjectOverwrite)</f>
        <v>EUR7MD_Quote#0017</v>
      </c>
      <c r="E15" s="109" t="str">
        <f>_xll.ohRangeRetrieveError(D15)</f>
        <v/>
      </c>
      <c r="F15" s="108"/>
    </row>
    <row r="16" spans="1:6" x14ac:dyDescent="0.2">
      <c r="A16" s="84"/>
      <c r="B16" s="111" t="s">
        <v>155</v>
      </c>
      <c r="C16" s="110" t="str">
        <f t="shared" si="0"/>
        <v>EUR8MD_Quote</v>
      </c>
      <c r="D16" s="110" t="str">
        <f>_xll.qlSimpleQuote(C16,,RateTickValue,Permanent,Trigger,ObjectOverwrite)</f>
        <v>EUR8MD_Quote#0017</v>
      </c>
      <c r="E16" s="109" t="str">
        <f>_xll.ohRangeRetrieveError(D16)</f>
        <v/>
      </c>
      <c r="F16" s="108"/>
    </row>
    <row r="17" spans="1:6" x14ac:dyDescent="0.2">
      <c r="A17" s="84"/>
      <c r="B17" s="111" t="s">
        <v>154</v>
      </c>
      <c r="C17" s="110" t="str">
        <f t="shared" si="0"/>
        <v>EUR9MD_Quote</v>
      </c>
      <c r="D17" s="110" t="str">
        <f>_xll.qlSimpleQuote(C17,,RateTickValue,Permanent,Trigger,ObjectOverwrite)</f>
        <v>EUR9MD_Quote#0017</v>
      </c>
      <c r="E17" s="109" t="str">
        <f>_xll.ohRangeRetrieveError(D17)</f>
        <v/>
      </c>
      <c r="F17" s="108"/>
    </row>
    <row r="18" spans="1:6" x14ac:dyDescent="0.2">
      <c r="A18" s="84"/>
      <c r="B18" s="111" t="s">
        <v>153</v>
      </c>
      <c r="C18" s="110" t="str">
        <f t="shared" si="0"/>
        <v>EUR10MD_Quote</v>
      </c>
      <c r="D18" s="110" t="str">
        <f>_xll.qlSimpleQuote(C18,,RateTickValue,Permanent,Trigger,ObjectOverwrite)</f>
        <v>EUR10MD_Quote#0017</v>
      </c>
      <c r="E18" s="109" t="str">
        <f>_xll.ohRangeRetrieveError(D18)</f>
        <v/>
      </c>
      <c r="F18" s="108"/>
    </row>
    <row r="19" spans="1:6" x14ac:dyDescent="0.2">
      <c r="A19" s="84"/>
      <c r="B19" s="111" t="s">
        <v>152</v>
      </c>
      <c r="C19" s="110" t="str">
        <f t="shared" si="0"/>
        <v>EUR11MD_Quote</v>
      </c>
      <c r="D19" s="110" t="str">
        <f>_xll.qlSimpleQuote(C19,,RateTickValue,Permanent,Trigger,ObjectOverwrite)</f>
        <v>EUR11MD_Quote#0017</v>
      </c>
      <c r="E19" s="109" t="str">
        <f>_xll.ohRangeRetrieveError(D19)</f>
        <v/>
      </c>
      <c r="F19" s="108"/>
    </row>
    <row r="20" spans="1:6" x14ac:dyDescent="0.2">
      <c r="A20" s="84"/>
      <c r="B20" s="111" t="s">
        <v>151</v>
      </c>
      <c r="C20" s="110" t="str">
        <f t="shared" si="0"/>
        <v>EUR1YD_Quote</v>
      </c>
      <c r="D20" s="110" t="str">
        <f>_xll.qlSimpleQuote(C20,,RateTickValue,Permanent,Trigger,ObjectOverwrite)</f>
        <v>EUR1YD_Quote#0017</v>
      </c>
      <c r="E20" s="109" t="str">
        <f>_xll.ohRangeRetrieveError(D20)</f>
        <v/>
      </c>
      <c r="F20" s="108"/>
    </row>
    <row r="21" spans="1:6" x14ac:dyDescent="0.2">
      <c r="A21" s="77"/>
      <c r="B21" s="76"/>
      <c r="C21" s="76"/>
      <c r="D21" s="76"/>
      <c r="E21" s="76"/>
      <c r="F21" s="74"/>
    </row>
  </sheetData>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36"/>
  <sheetViews>
    <sheetView workbookViewId="0"/>
  </sheetViews>
  <sheetFormatPr defaultRowHeight="12.75" x14ac:dyDescent="0.2"/>
  <cols>
    <col min="1" max="1" width="4.2851562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7" width="4.28515625" style="20" customWidth="1"/>
    <col min="8" max="8" width="4.42578125" style="20" customWidth="1"/>
    <col min="9" max="16384" width="9.140625" style="20"/>
  </cols>
  <sheetData>
    <row r="1" spans="1:7" x14ac:dyDescent="0.2">
      <c r="A1" s="168" t="s">
        <v>190</v>
      </c>
      <c r="B1" s="141"/>
      <c r="C1" s="141"/>
      <c r="D1" s="20"/>
      <c r="E1" s="118"/>
      <c r="F1" s="20"/>
      <c r="G1" s="53"/>
    </row>
    <row r="2" spans="1: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row>
    <row r="3" spans="1:7" x14ac:dyDescent="0.2">
      <c r="A3" s="126"/>
      <c r="B3" s="130" t="s">
        <v>184</v>
      </c>
      <c r="C3" s="131" t="s">
        <v>170</v>
      </c>
      <c r="D3" s="130" t="str">
        <f t="shared" ref="D3:D35" si="0">Currency&amp;$B3&amp;$C3&amp;QuoteSuffix</f>
        <v>EURT1F1_Quote</v>
      </c>
      <c r="E3" s="129" t="str">
        <f>_xll.qlSimpleQuote(D3,,RateTickValue,Permanent,Trigger,ObjectOverwrite)</f>
        <v>EURT1F1_Quote#0017</v>
      </c>
      <c r="F3" s="128" t="str">
        <f>_xll.ohRangeRetrieveError(E3)</f>
        <v/>
      </c>
      <c r="G3" s="53"/>
    </row>
    <row r="4" spans="1:7" x14ac:dyDescent="0.2">
      <c r="A4" s="126"/>
      <c r="B4" s="123" t="s">
        <v>183</v>
      </c>
      <c r="C4" s="127" t="s">
        <v>170</v>
      </c>
      <c r="D4" s="123" t="str">
        <f t="shared" si="0"/>
        <v>EURTOM1F1_Quote</v>
      </c>
      <c r="E4" s="122" t="str">
        <f>_xll.qlSimpleQuote(D4,,RateTickValue,Permanent,Trigger,ObjectOverwrite)</f>
        <v>EURTOM1F1_Quote#0017</v>
      </c>
      <c r="F4" s="121" t="str">
        <f>_xll.ohRangeRetrieveError(E4)</f>
        <v/>
      </c>
      <c r="G4" s="53"/>
    </row>
    <row r="5" spans="1:7" x14ac:dyDescent="0.2">
      <c r="A5" s="126"/>
      <c r="B5" s="130" t="s">
        <v>182</v>
      </c>
      <c r="C5" s="131" t="s">
        <v>170</v>
      </c>
      <c r="D5" s="130" t="str">
        <f t="shared" si="0"/>
        <v>EURT3F1_Quote</v>
      </c>
      <c r="E5" s="129" t="str">
        <f>_xll.qlSimpleQuote(D5,,RateTickValue,Permanent,Trigger,ObjectOverwrite)</f>
        <v>EURT3F1_Quote#0017</v>
      </c>
      <c r="F5" s="128" t="str">
        <f>_xll.ohRangeRetrieveError(E5)</f>
        <v/>
      </c>
      <c r="G5" s="53"/>
    </row>
    <row r="6" spans="1:7" x14ac:dyDescent="0.2">
      <c r="A6" s="126"/>
      <c r="B6" s="123" t="s">
        <v>181</v>
      </c>
      <c r="C6" s="127" t="s">
        <v>170</v>
      </c>
      <c r="D6" s="123" t="str">
        <f t="shared" si="0"/>
        <v>EURTOM3F1_Quote</v>
      </c>
      <c r="E6" s="122" t="str">
        <f>_xll.qlSimpleQuote(D6,,RateTickValue,Permanent,Trigger,ObjectOverwrite)</f>
        <v>EURTOM3F1_Quote#0017</v>
      </c>
      <c r="F6" s="121" t="str">
        <f>_xll.ohRangeRetrieveError(E6)</f>
        <v/>
      </c>
      <c r="G6" s="53"/>
    </row>
    <row r="7" spans="1:7" x14ac:dyDescent="0.2">
      <c r="A7" s="126"/>
      <c r="B7" s="130">
        <v>1</v>
      </c>
      <c r="C7" s="131" t="s">
        <v>180</v>
      </c>
      <c r="D7" s="130" t="str">
        <f t="shared" si="0"/>
        <v>EUR1x4F_Quote</v>
      </c>
      <c r="E7" s="129" t="str">
        <f>_xll.qlSimpleQuote(D7,,RateTickValue,Permanent,Trigger,ObjectOverwrite)</f>
        <v>EUR1x4F_Quote#0017</v>
      </c>
      <c r="F7" s="128" t="str">
        <f>_xll.ohRangeRetrieveError(E7)</f>
        <v/>
      </c>
      <c r="G7" s="53"/>
    </row>
    <row r="8" spans="1:7" x14ac:dyDescent="0.2">
      <c r="A8" s="126"/>
      <c r="B8" s="134">
        <v>2</v>
      </c>
      <c r="C8" s="135" t="s">
        <v>179</v>
      </c>
      <c r="D8" s="134" t="str">
        <f t="shared" si="0"/>
        <v>EUR2x5F_Quote</v>
      </c>
      <c r="E8" s="133" t="str">
        <f>_xll.qlSimpleQuote(D8,,RateTickValue,Permanent,Trigger,ObjectOverwrite)</f>
        <v>EUR2x5F_Quote#0017</v>
      </c>
      <c r="F8" s="132" t="str">
        <f>_xll.ohRangeRetrieveError(E8)</f>
        <v/>
      </c>
      <c r="G8" s="53"/>
    </row>
    <row r="9" spans="1:7" x14ac:dyDescent="0.2">
      <c r="A9" s="126"/>
      <c r="B9" s="134">
        <v>3</v>
      </c>
      <c r="C9" s="135" t="s">
        <v>178</v>
      </c>
      <c r="D9" s="134" t="str">
        <f t="shared" si="0"/>
        <v>EUR3x6F_Quote</v>
      </c>
      <c r="E9" s="133" t="str">
        <f>_xll.qlSimpleQuote(D9,,RateTickValue,Permanent,Trigger,ObjectOverwrite)</f>
        <v>EUR3x6F_Quote#0017</v>
      </c>
      <c r="F9" s="132" t="str">
        <f>_xll.ohRangeRetrieveError(E9)</f>
        <v/>
      </c>
      <c r="G9" s="53"/>
    </row>
    <row r="10" spans="1:7" x14ac:dyDescent="0.2">
      <c r="A10" s="126"/>
      <c r="B10" s="134">
        <v>4</v>
      </c>
      <c r="C10" s="135" t="s">
        <v>177</v>
      </c>
      <c r="D10" s="134" t="str">
        <f t="shared" si="0"/>
        <v>EUR4x7F_Quote</v>
      </c>
      <c r="E10" s="133" t="str">
        <f>_xll.qlSimpleQuote(D10,,RateTickValue,Permanent,Trigger,ObjectOverwrite)</f>
        <v>EUR4x7F_Quote#0017</v>
      </c>
      <c r="F10" s="132" t="str">
        <f>_xll.ohRangeRetrieveError(E10)</f>
        <v/>
      </c>
      <c r="G10" s="53"/>
    </row>
    <row r="11" spans="1:7" x14ac:dyDescent="0.2">
      <c r="A11" s="126"/>
      <c r="B11" s="134">
        <v>5</v>
      </c>
      <c r="C11" s="135" t="s">
        <v>176</v>
      </c>
      <c r="D11" s="134" t="str">
        <f t="shared" si="0"/>
        <v>EUR5x8F_Quote</v>
      </c>
      <c r="E11" s="133" t="str">
        <f>_xll.qlSimpleQuote(D11,,RateTickValue,Permanent,Trigger,ObjectOverwrite)</f>
        <v>EUR5x8F_Quote#0017</v>
      </c>
      <c r="F11" s="132" t="str">
        <f>_xll.ohRangeRetrieveError(E11)</f>
        <v/>
      </c>
      <c r="G11" s="53"/>
    </row>
    <row r="12" spans="1:7" x14ac:dyDescent="0.2">
      <c r="A12" s="126"/>
      <c r="B12" s="123">
        <v>6</v>
      </c>
      <c r="C12" s="127" t="s">
        <v>175</v>
      </c>
      <c r="D12" s="123" t="str">
        <f t="shared" si="0"/>
        <v>EUR6x9F_Quote</v>
      </c>
      <c r="E12" s="122" t="str">
        <f>_xll.qlSimpleQuote(D12,,RateTickValue,Permanent,Trigger,ObjectOverwrite)</f>
        <v>EUR6x9F_Quote#0017</v>
      </c>
      <c r="F12" s="121" t="str">
        <f>_xll.ohRangeRetrieveError(E12)</f>
        <v/>
      </c>
      <c r="G12" s="53"/>
    </row>
    <row r="13" spans="1:7" x14ac:dyDescent="0.2">
      <c r="A13" s="126"/>
      <c r="B13" s="130" t="s">
        <v>174</v>
      </c>
      <c r="C13" s="131" t="s">
        <v>170</v>
      </c>
      <c r="D13" s="130" t="str">
        <f t="shared" si="0"/>
        <v>EURT6F1_Quote</v>
      </c>
      <c r="E13" s="129" t="str">
        <f>_xll.qlSimpleQuote(D13,,RateTickValue,Permanent,Trigger,ObjectOverwrite)</f>
        <v>EURT6F1_Quote#0017</v>
      </c>
      <c r="F13" s="128" t="str">
        <f>_xll.ohRangeRetrieveError(E13)</f>
        <v/>
      </c>
      <c r="G13" s="53"/>
    </row>
    <row r="14" spans="1:7" x14ac:dyDescent="0.2">
      <c r="A14" s="126"/>
      <c r="B14" s="123" t="s">
        <v>173</v>
      </c>
      <c r="C14" s="127" t="s">
        <v>170</v>
      </c>
      <c r="D14" s="123" t="str">
        <f t="shared" si="0"/>
        <v>EURTOM6F1_Quote</v>
      </c>
      <c r="E14" s="122" t="str">
        <f>_xll.qlSimpleQuote(D14,,RateTickValue,Permanent,Trigger,ObjectOverwrite)</f>
        <v>EURTOM6F1_Quote#0017</v>
      </c>
      <c r="F14" s="121" t="str">
        <f>_xll.ohRangeRetrieveError(E14)</f>
        <v/>
      </c>
      <c r="G14" s="53"/>
    </row>
    <row r="15" spans="1:7" x14ac:dyDescent="0.2">
      <c r="A15" s="126"/>
      <c r="B15" s="134">
        <v>1</v>
      </c>
      <c r="C15" s="135" t="str">
        <f t="shared" ref="C15:C32" si="1">"x"&amp;B15+6&amp;"F"</f>
        <v>x7F</v>
      </c>
      <c r="D15" s="134" t="str">
        <f t="shared" si="0"/>
        <v>EUR1x7F_Quote</v>
      </c>
      <c r="E15" s="133" t="str">
        <f>_xll.qlSimpleQuote(D15,,RateTickValue,Permanent,Trigger,ObjectOverwrite)</f>
        <v>EUR1x7F_Quote#0017</v>
      </c>
      <c r="F15" s="132" t="str">
        <f>_xll.ohRangeRetrieveError(E15)</f>
        <v/>
      </c>
      <c r="G15" s="53"/>
    </row>
    <row r="16" spans="1:7" x14ac:dyDescent="0.2">
      <c r="A16" s="126"/>
      <c r="B16" s="134">
        <v>2</v>
      </c>
      <c r="C16" s="135" t="str">
        <f t="shared" si="1"/>
        <v>x8F</v>
      </c>
      <c r="D16" s="134" t="str">
        <f t="shared" si="0"/>
        <v>EUR2x8F_Quote</v>
      </c>
      <c r="E16" s="133" t="str">
        <f>_xll.qlSimpleQuote(D16,,RateTickValue,Permanent,Trigger,ObjectOverwrite)</f>
        <v>EUR2x8F_Quote#0017</v>
      </c>
      <c r="F16" s="132" t="str">
        <f>_xll.ohRangeRetrieveError(E16)</f>
        <v/>
      </c>
      <c r="G16" s="53"/>
    </row>
    <row r="17" spans="1:7" x14ac:dyDescent="0.2">
      <c r="A17" s="126"/>
      <c r="B17" s="134">
        <v>3</v>
      </c>
      <c r="C17" s="135" t="str">
        <f t="shared" si="1"/>
        <v>x9F</v>
      </c>
      <c r="D17" s="134" t="str">
        <f t="shared" si="0"/>
        <v>EUR3x9F_Quote</v>
      </c>
      <c r="E17" s="133" t="str">
        <f>_xll.qlSimpleQuote(D17,,RateTickValue,Permanent,Trigger,ObjectOverwrite)</f>
        <v>EUR3x9F_Quote#0017</v>
      </c>
      <c r="F17" s="132" t="str">
        <f>_xll.ohRangeRetrieveError(E17)</f>
        <v/>
      </c>
      <c r="G17" s="53"/>
    </row>
    <row r="18" spans="1:7" x14ac:dyDescent="0.2">
      <c r="A18" s="126"/>
      <c r="B18" s="134">
        <v>4</v>
      </c>
      <c r="C18" s="135" t="str">
        <f t="shared" si="1"/>
        <v>x10F</v>
      </c>
      <c r="D18" s="134" t="str">
        <f t="shared" si="0"/>
        <v>EUR4x10F_Quote</v>
      </c>
      <c r="E18" s="133" t="str">
        <f>_xll.qlSimpleQuote(D18,,RateTickValue,Permanent,Trigger,ObjectOverwrite)</f>
        <v>EUR4x10F_Quote#0017</v>
      </c>
      <c r="F18" s="132" t="str">
        <f>_xll.ohRangeRetrieveError(E18)</f>
        <v/>
      </c>
      <c r="G18" s="53"/>
    </row>
    <row r="19" spans="1:7" x14ac:dyDescent="0.2">
      <c r="A19" s="126"/>
      <c r="B19" s="134">
        <v>5</v>
      </c>
      <c r="C19" s="135" t="str">
        <f t="shared" si="1"/>
        <v>x11F</v>
      </c>
      <c r="D19" s="134" t="str">
        <f t="shared" si="0"/>
        <v>EUR5x11F_Quote</v>
      </c>
      <c r="E19" s="133" t="str">
        <f>_xll.qlSimpleQuote(D19,,RateTickValue,Permanent,Trigger,ObjectOverwrite)</f>
        <v>EUR5x11F_Quote#0017</v>
      </c>
      <c r="F19" s="132" t="str">
        <f>_xll.ohRangeRetrieveError(E19)</f>
        <v/>
      </c>
      <c r="G19" s="53"/>
    </row>
    <row r="20" spans="1:7" x14ac:dyDescent="0.2">
      <c r="A20" s="126"/>
      <c r="B20" s="134">
        <v>6</v>
      </c>
      <c r="C20" s="135" t="str">
        <f t="shared" si="1"/>
        <v>x12F</v>
      </c>
      <c r="D20" s="134" t="str">
        <f t="shared" si="0"/>
        <v>EUR6x12F_Quote</v>
      </c>
      <c r="E20" s="133" t="str">
        <f>_xll.qlSimpleQuote(D20,,RateTickValue,Permanent,Trigger,ObjectOverwrite)</f>
        <v>EUR6x12F_Quote#0017</v>
      </c>
      <c r="F20" s="132" t="str">
        <f>_xll.ohRangeRetrieveError(E20)</f>
        <v/>
      </c>
      <c r="G20" s="53"/>
    </row>
    <row r="21" spans="1:7" x14ac:dyDescent="0.2">
      <c r="A21" s="126"/>
      <c r="B21" s="134">
        <v>7</v>
      </c>
      <c r="C21" s="135" t="str">
        <f t="shared" si="1"/>
        <v>x13F</v>
      </c>
      <c r="D21" s="134" t="str">
        <f t="shared" si="0"/>
        <v>EUR7x13F_Quote</v>
      </c>
      <c r="E21" s="133" t="str">
        <f>_xll.qlSimpleQuote(D21,,RateTickValue,Permanent,Trigger,ObjectOverwrite)</f>
        <v>EUR7x13F_Quote#0017</v>
      </c>
      <c r="F21" s="132" t="str">
        <f>_xll.ohRangeRetrieveError(E21)</f>
        <v/>
      </c>
      <c r="G21" s="53"/>
    </row>
    <row r="22" spans="1:7" x14ac:dyDescent="0.2">
      <c r="A22" s="126"/>
      <c r="B22" s="134">
        <v>8</v>
      </c>
      <c r="C22" s="135" t="str">
        <f t="shared" si="1"/>
        <v>x14F</v>
      </c>
      <c r="D22" s="134" t="str">
        <f t="shared" si="0"/>
        <v>EUR8x14F_Quote</v>
      </c>
      <c r="E22" s="133" t="str">
        <f>_xll.qlSimpleQuote(D22,,RateTickValue,Permanent,Trigger,ObjectOverwrite)</f>
        <v>EUR8x14F_Quote#0017</v>
      </c>
      <c r="F22" s="132" t="str">
        <f>_xll.ohRangeRetrieveError(E22)</f>
        <v/>
      </c>
      <c r="G22" s="53"/>
    </row>
    <row r="23" spans="1:7" x14ac:dyDescent="0.2">
      <c r="A23" s="126"/>
      <c r="B23" s="134">
        <v>9</v>
      </c>
      <c r="C23" s="135" t="str">
        <f t="shared" si="1"/>
        <v>x15F</v>
      </c>
      <c r="D23" s="134" t="str">
        <f t="shared" si="0"/>
        <v>EUR9x15F_Quote</v>
      </c>
      <c r="E23" s="133" t="str">
        <f>_xll.qlSimpleQuote(D23,,RateTickValue,Permanent,Trigger,ObjectOverwrite)</f>
        <v>EUR9x15F_Quote#0017</v>
      </c>
      <c r="F23" s="132" t="str">
        <f>_xll.ohRangeRetrieveError(E23)</f>
        <v/>
      </c>
      <c r="G23" s="53"/>
    </row>
    <row r="24" spans="1:7" x14ac:dyDescent="0.2">
      <c r="A24" s="126"/>
      <c r="B24" s="134">
        <v>10</v>
      </c>
      <c r="C24" s="135" t="str">
        <f t="shared" si="1"/>
        <v>x16F</v>
      </c>
      <c r="D24" s="134" t="str">
        <f t="shared" si="0"/>
        <v>EUR10x16F_Quote</v>
      </c>
      <c r="E24" s="133" t="str">
        <f>_xll.qlSimpleQuote(D24,,RateTickValue,Permanent,Trigger,ObjectOverwrite)</f>
        <v>EUR10x16F_Quote#0017</v>
      </c>
      <c r="F24" s="132" t="str">
        <f>_xll.ohRangeRetrieveError(E24)</f>
        <v/>
      </c>
      <c r="G24" s="53"/>
    </row>
    <row r="25" spans="1:7" x14ac:dyDescent="0.2">
      <c r="A25" s="126"/>
      <c r="B25" s="134">
        <v>11</v>
      </c>
      <c r="C25" s="135" t="str">
        <f t="shared" si="1"/>
        <v>x17F</v>
      </c>
      <c r="D25" s="134" t="str">
        <f t="shared" si="0"/>
        <v>EUR11x17F_Quote</v>
      </c>
      <c r="E25" s="133" t="str">
        <f>_xll.qlSimpleQuote(D25,,RateTickValue,Permanent,Trigger,ObjectOverwrite)</f>
        <v>EUR11x17F_Quote#0017</v>
      </c>
      <c r="F25" s="132" t="str">
        <f>_xll.ohRangeRetrieveError(E25)</f>
        <v/>
      </c>
      <c r="G25" s="53"/>
    </row>
    <row r="26" spans="1:7" x14ac:dyDescent="0.2">
      <c r="A26" s="126"/>
      <c r="B26" s="134">
        <v>12</v>
      </c>
      <c r="C26" s="135" t="str">
        <f t="shared" si="1"/>
        <v>x18F</v>
      </c>
      <c r="D26" s="134" t="str">
        <f t="shared" si="0"/>
        <v>EUR12x18F_Quote</v>
      </c>
      <c r="E26" s="133" t="str">
        <f>_xll.qlSimpleQuote(D26,,RateTickValue,Permanent,Trigger,ObjectOverwrite)</f>
        <v>EUR12x18F_Quote#0017</v>
      </c>
      <c r="F26" s="132" t="str">
        <f>_xll.ohRangeRetrieveError(E26)</f>
        <v/>
      </c>
      <c r="G26" s="53"/>
    </row>
    <row r="27" spans="1:7" x14ac:dyDescent="0.2">
      <c r="A27" s="126"/>
      <c r="B27" s="134">
        <v>13</v>
      </c>
      <c r="C27" s="135" t="str">
        <f t="shared" si="1"/>
        <v>x19F</v>
      </c>
      <c r="D27" s="134" t="str">
        <f t="shared" si="0"/>
        <v>EUR13x19F_Quote</v>
      </c>
      <c r="E27" s="133" t="str">
        <f>_xll.qlSimpleQuote(D27,,RateTickValue,Permanent,Trigger,ObjectOverwrite)</f>
        <v>EUR13x19F_Quote#0017</v>
      </c>
      <c r="F27" s="132" t="str">
        <f>_xll.ohRangeRetrieveError(E27)</f>
        <v/>
      </c>
      <c r="G27" s="53"/>
    </row>
    <row r="28" spans="1:7" x14ac:dyDescent="0.2">
      <c r="A28" s="126"/>
      <c r="B28" s="134">
        <v>14</v>
      </c>
      <c r="C28" s="135" t="str">
        <f t="shared" si="1"/>
        <v>x20F</v>
      </c>
      <c r="D28" s="134" t="str">
        <f t="shared" si="0"/>
        <v>EUR14x20F_Quote</v>
      </c>
      <c r="E28" s="133" t="str">
        <f>_xll.qlSimpleQuote(D28,,RateTickValue,Permanent,Trigger,ObjectOverwrite)</f>
        <v>EUR14x20F_Quote#0017</v>
      </c>
      <c r="F28" s="132" t="str">
        <f>_xll.ohRangeRetrieveError(E28)</f>
        <v/>
      </c>
      <c r="G28" s="53"/>
    </row>
    <row r="29" spans="1:7" x14ac:dyDescent="0.2">
      <c r="A29" s="126"/>
      <c r="B29" s="134">
        <v>15</v>
      </c>
      <c r="C29" s="135" t="str">
        <f t="shared" si="1"/>
        <v>x21F</v>
      </c>
      <c r="D29" s="134" t="str">
        <f t="shared" si="0"/>
        <v>EUR15x21F_Quote</v>
      </c>
      <c r="E29" s="133" t="str">
        <f>_xll.qlSimpleQuote(D29,,RateTickValue,Permanent,Trigger,ObjectOverwrite)</f>
        <v>EUR15x21F_Quote#0017</v>
      </c>
      <c r="F29" s="132" t="str">
        <f>_xll.ohRangeRetrieveError(E29)</f>
        <v/>
      </c>
      <c r="G29" s="53"/>
    </row>
    <row r="30" spans="1:7" x14ac:dyDescent="0.2">
      <c r="A30" s="126"/>
      <c r="B30" s="134">
        <v>16</v>
      </c>
      <c r="C30" s="135" t="str">
        <f t="shared" si="1"/>
        <v>x22F</v>
      </c>
      <c r="D30" s="134" t="str">
        <f t="shared" si="0"/>
        <v>EUR16x22F_Quote</v>
      </c>
      <c r="E30" s="133" t="str">
        <f>_xll.qlSimpleQuote(D30,,RateTickValue,Permanent,Trigger,ObjectOverwrite)</f>
        <v>EUR16x22F_Quote#0017</v>
      </c>
      <c r="F30" s="132" t="str">
        <f>_xll.ohRangeRetrieveError(E30)</f>
        <v/>
      </c>
      <c r="G30" s="53"/>
    </row>
    <row r="31" spans="1:7" x14ac:dyDescent="0.2">
      <c r="A31" s="126"/>
      <c r="B31" s="134">
        <v>17</v>
      </c>
      <c r="C31" s="135" t="str">
        <f t="shared" si="1"/>
        <v>x23F</v>
      </c>
      <c r="D31" s="134" t="str">
        <f t="shared" si="0"/>
        <v>EUR17x23F_Quote</v>
      </c>
      <c r="E31" s="133" t="str">
        <f>_xll.qlSimpleQuote(D31,,RateTickValue,Permanent,Trigger,ObjectOverwrite)</f>
        <v>EUR17x23F_Quote#0017</v>
      </c>
      <c r="F31" s="132" t="str">
        <f>_xll.ohRangeRetrieveError(E31)</f>
        <v/>
      </c>
      <c r="G31" s="53"/>
    </row>
    <row r="32" spans="1:7" x14ac:dyDescent="0.2">
      <c r="A32" s="126"/>
      <c r="B32" s="134">
        <v>18</v>
      </c>
      <c r="C32" s="135" t="str">
        <f t="shared" si="1"/>
        <v>x24F</v>
      </c>
      <c r="D32" s="134" t="str">
        <f t="shared" si="0"/>
        <v>EUR18x24F_Quote</v>
      </c>
      <c r="E32" s="133" t="str">
        <f>_xll.qlSimpleQuote(D32,,RateTickValue,Permanent,Trigger,ObjectOverwrite)</f>
        <v>EUR18x24F_Quote#0017</v>
      </c>
      <c r="F32" s="132" t="str">
        <f>_xll.ohRangeRetrieveError(E32)</f>
        <v/>
      </c>
      <c r="G32" s="53"/>
    </row>
    <row r="33" spans="1:7" x14ac:dyDescent="0.2">
      <c r="A33" s="126"/>
      <c r="B33" s="130" t="s">
        <v>172</v>
      </c>
      <c r="C33" s="131" t="s">
        <v>170</v>
      </c>
      <c r="D33" s="130" t="str">
        <f t="shared" si="0"/>
        <v>EURT12F1_Quote</v>
      </c>
      <c r="E33" s="129" t="str">
        <f>_xll.qlSimpleQuote(D33,,RateTickValue,Permanent,Trigger,ObjectOverwrite)</f>
        <v>EURT12F1_Quote#0017</v>
      </c>
      <c r="F33" s="128" t="str">
        <f>_xll.ohRangeRetrieveError(E33)</f>
        <v/>
      </c>
      <c r="G33" s="53"/>
    </row>
    <row r="34" spans="1:7" x14ac:dyDescent="0.2">
      <c r="A34" s="126"/>
      <c r="B34" s="123" t="s">
        <v>171</v>
      </c>
      <c r="C34" s="127" t="s">
        <v>170</v>
      </c>
      <c r="D34" s="123" t="str">
        <f t="shared" si="0"/>
        <v>EURTOM12F1_Quote</v>
      </c>
      <c r="E34" s="122" t="str">
        <f>_xll.qlSimpleQuote(D34,,RateTickValue,Permanent,Trigger,ObjectOverwrite)</f>
        <v>EURTOM12F1_Quote#0017</v>
      </c>
      <c r="F34" s="121" t="str">
        <f>_xll.ohRangeRetrieveError(E34)</f>
        <v/>
      </c>
      <c r="G34" s="53"/>
    </row>
    <row r="35" spans="1:7" x14ac:dyDescent="0.2">
      <c r="A35" s="126"/>
      <c r="B35" s="125">
        <v>12</v>
      </c>
      <c r="C35" s="124" t="s">
        <v>169</v>
      </c>
      <c r="D35" s="123" t="str">
        <f t="shared" si="0"/>
        <v>EUR12x24F_Quote</v>
      </c>
      <c r="E35" s="122" t="str">
        <f>_xll.qlSimpleQuote(D35,,RateTickValue,Permanent,Trigger,ObjectOverwrite)</f>
        <v>EUR12x24F_Quote#0017</v>
      </c>
      <c r="F35" s="121" t="str">
        <f>_xll.ohRangeRetrieveError(E35)</f>
        <v/>
      </c>
      <c r="G35" s="53"/>
    </row>
    <row r="36" spans="1:7" ht="13.5" thickBot="1" x14ac:dyDescent="0.25">
      <c r="A36" s="52"/>
      <c r="B36" s="51"/>
      <c r="C36" s="51"/>
      <c r="D36" s="51"/>
      <c r="E36" s="120"/>
      <c r="F36" s="120"/>
      <c r="G36" s="50"/>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123"/>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8" width="4.5703125" style="72" customWidth="1"/>
    <col min="9" max="16384" width="9.140625" style="72"/>
  </cols>
  <sheetData>
    <row r="1" spans="1:8" x14ac:dyDescent="0.2">
      <c r="A1" s="161" t="s">
        <v>190</v>
      </c>
      <c r="B1" s="160"/>
      <c r="C1" s="160"/>
      <c r="D1" s="159" t="s">
        <v>188</v>
      </c>
      <c r="E1" s="159" t="s">
        <v>45</v>
      </c>
      <c r="F1" s="158"/>
      <c r="G1" s="158"/>
      <c r="H1" s="157"/>
    </row>
    <row r="2" spans="1:8" ht="22.5" x14ac:dyDescent="0.2">
      <c r="A2" s="156"/>
      <c r="B2" s="97" t="s">
        <v>187</v>
      </c>
      <c r="C2" s="98" t="s">
        <v>186</v>
      </c>
      <c r="D2" s="98" t="s">
        <v>185</v>
      </c>
      <c r="E2" s="96" t="str">
        <f>Currency&amp;"_010_"&amp;$D$1&amp;$E$1&amp;".xml"</f>
        <v>EUR_010_FUT1M.xml</v>
      </c>
      <c r="F2" s="95">
        <f ca="1">IF(Serialize,_xll.ohObjectSave(F3:F122,SerializationPath&amp;E2,FileOverwrite,Serialize),"---")</f>
        <v>120</v>
      </c>
      <c r="G2" s="112" t="str">
        <f ca="1">_xll.ohRangeRetrieveError(F2)</f>
        <v/>
      </c>
      <c r="H2" s="145"/>
    </row>
    <row r="3" spans="1:8" x14ac:dyDescent="0.2">
      <c r="A3" s="150"/>
      <c r="B3" s="155">
        <v>1</v>
      </c>
      <c r="C3" s="154" t="b">
        <v>0</v>
      </c>
      <c r="D3" s="153" t="str">
        <f t="array" ref="D3:D122">_xll.qlIMMNextCodes(_xll.qlSettingsEvaluationDate(Trigger)-1,$C3:$C122)</f>
        <v>Z3</v>
      </c>
      <c r="E3" s="147" t="str">
        <f t="shared" ref="E3:E34" si="0">Currency&amp;$D$1&amp;$E$1&amp;$D3&amp;QuoteSuffix</f>
        <v>EURFUT1MZ3_Quote</v>
      </c>
      <c r="F3" s="152" t="str">
        <f>_xll.qlSimpleQuote(E3,,PriceTickValue,Permanent,Trigger,ObjectOverwrite)</f>
        <v>EURFUT1MZ3_Quote#0017</v>
      </c>
      <c r="G3" s="151" t="str">
        <f>_xll.ohRangeRetrieveError(F3)</f>
        <v/>
      </c>
      <c r="H3" s="145"/>
    </row>
    <row r="4" spans="1:8" x14ac:dyDescent="0.2">
      <c r="A4" s="150"/>
      <c r="B4" s="111">
        <v>2</v>
      </c>
      <c r="C4" s="149" t="b">
        <v>0</v>
      </c>
      <c r="D4" s="148" t="str">
        <v>F4</v>
      </c>
      <c r="E4" s="147" t="str">
        <f t="shared" si="0"/>
        <v>EURFUT1MF4_Quote</v>
      </c>
      <c r="F4" s="146" t="str">
        <f>_xll.qlSimpleQuote(E4,,PriceTickValue,Permanent,Trigger,ObjectOverwrite)</f>
        <v>EURFUT1MF4_Quote#0017</v>
      </c>
      <c r="G4" s="109" t="str">
        <f>_xll.ohRangeRetrieveError(F4)</f>
        <v/>
      </c>
      <c r="H4" s="145"/>
    </row>
    <row r="5" spans="1:8" x14ac:dyDescent="0.2">
      <c r="A5" s="150"/>
      <c r="B5" s="111">
        <v>3</v>
      </c>
      <c r="C5" s="149" t="b">
        <v>0</v>
      </c>
      <c r="D5" s="148" t="str">
        <v>G4</v>
      </c>
      <c r="E5" s="147" t="str">
        <f t="shared" si="0"/>
        <v>EURFUT1MG4_Quote</v>
      </c>
      <c r="F5" s="146" t="str">
        <f>_xll.qlSimpleQuote(E5,,PriceTickValue,Permanent,Trigger,ObjectOverwrite)</f>
        <v>EURFUT1MG4_Quote#0017</v>
      </c>
      <c r="G5" s="109" t="str">
        <f>_xll.ohRangeRetrieveError(F5)</f>
        <v/>
      </c>
      <c r="H5" s="145"/>
    </row>
    <row r="6" spans="1:8" x14ac:dyDescent="0.2">
      <c r="A6" s="150"/>
      <c r="B6" s="111">
        <v>4</v>
      </c>
      <c r="C6" s="149" t="b">
        <v>0</v>
      </c>
      <c r="D6" s="148" t="str">
        <v>H4</v>
      </c>
      <c r="E6" s="147" t="str">
        <f t="shared" si="0"/>
        <v>EURFUT1MH4_Quote</v>
      </c>
      <c r="F6" s="146" t="str">
        <f>_xll.qlSimpleQuote(E6,,PriceTickValue,Permanent,Trigger,ObjectOverwrite)</f>
        <v>EURFUT1MH4_Quote#0017</v>
      </c>
      <c r="G6" s="109" t="str">
        <f>_xll.ohRangeRetrieveError(F6)</f>
        <v/>
      </c>
      <c r="H6" s="145"/>
    </row>
    <row r="7" spans="1:8" x14ac:dyDescent="0.2">
      <c r="A7" s="150"/>
      <c r="B7" s="111">
        <v>5</v>
      </c>
      <c r="C7" s="149" t="b">
        <v>0</v>
      </c>
      <c r="D7" s="148" t="str">
        <v>J4</v>
      </c>
      <c r="E7" s="147" t="str">
        <f t="shared" si="0"/>
        <v>EURFUT1MJ4_Quote</v>
      </c>
      <c r="F7" s="146" t="str">
        <f>_xll.qlSimpleQuote(E7,,PriceTickValue,Permanent,Trigger,ObjectOverwrite)</f>
        <v>EURFUT1MJ4_Quote#0017</v>
      </c>
      <c r="G7" s="109" t="str">
        <f>_xll.ohRangeRetrieveError(F7)</f>
        <v/>
      </c>
      <c r="H7" s="145"/>
    </row>
    <row r="8" spans="1:8" x14ac:dyDescent="0.2">
      <c r="A8" s="150"/>
      <c r="B8" s="111">
        <v>6</v>
      </c>
      <c r="C8" s="149" t="b">
        <v>0</v>
      </c>
      <c r="D8" s="148" t="str">
        <v>K4</v>
      </c>
      <c r="E8" s="147" t="str">
        <f t="shared" si="0"/>
        <v>EURFUT1MK4_Quote</v>
      </c>
      <c r="F8" s="146" t="str">
        <f>_xll.qlSimpleQuote(E8,,PriceTickValue,Permanent,Trigger,ObjectOverwrite)</f>
        <v>EURFUT1MK4_Quote#0017</v>
      </c>
      <c r="G8" s="109" t="str">
        <f>_xll.ohRangeRetrieveError(F8)</f>
        <v/>
      </c>
      <c r="H8" s="145"/>
    </row>
    <row r="9" spans="1:8" x14ac:dyDescent="0.2">
      <c r="A9" s="150"/>
      <c r="B9" s="111">
        <v>7</v>
      </c>
      <c r="C9" s="149" t="b">
        <v>0</v>
      </c>
      <c r="D9" s="148" t="str">
        <v>M4</v>
      </c>
      <c r="E9" s="147" t="str">
        <f t="shared" si="0"/>
        <v>EURFUT1MM4_Quote</v>
      </c>
      <c r="F9" s="146" t="str">
        <f>_xll.qlSimpleQuote(E9,,PriceTickValue,Permanent,Trigger,ObjectOverwrite)</f>
        <v>EURFUT1MM4_Quote#0017</v>
      </c>
      <c r="G9" s="109" t="str">
        <f>_xll.ohRangeRetrieveError(F9)</f>
        <v/>
      </c>
      <c r="H9" s="145"/>
    </row>
    <row r="10" spans="1:8" x14ac:dyDescent="0.2">
      <c r="A10" s="150"/>
      <c r="B10" s="111">
        <v>8</v>
      </c>
      <c r="C10" s="149" t="b">
        <v>0</v>
      </c>
      <c r="D10" s="148" t="str">
        <v>N4</v>
      </c>
      <c r="E10" s="147" t="str">
        <f t="shared" si="0"/>
        <v>EURFUT1MN4_Quote</v>
      </c>
      <c r="F10" s="146" t="str">
        <f>_xll.qlSimpleQuote(E10,,PriceTickValue,Permanent,Trigger,ObjectOverwrite)</f>
        <v>EURFUT1MN4_Quote#0017</v>
      </c>
      <c r="G10" s="109" t="str">
        <f>_xll.ohRangeRetrieveError(F10)</f>
        <v/>
      </c>
      <c r="H10" s="145"/>
    </row>
    <row r="11" spans="1:8" x14ac:dyDescent="0.2">
      <c r="A11" s="150"/>
      <c r="B11" s="111">
        <v>9</v>
      </c>
      <c r="C11" s="149" t="b">
        <v>0</v>
      </c>
      <c r="D11" s="148" t="str">
        <v>Q4</v>
      </c>
      <c r="E11" s="147" t="str">
        <f t="shared" si="0"/>
        <v>EURFUT1MQ4_Quote</v>
      </c>
      <c r="F11" s="146" t="str">
        <f>_xll.qlSimpleQuote(E11,,PriceTickValue,Permanent,Trigger,ObjectOverwrite)</f>
        <v>EURFUT1MQ4_Quote#0017</v>
      </c>
      <c r="G11" s="109" t="str">
        <f>_xll.ohRangeRetrieveError(F11)</f>
        <v/>
      </c>
      <c r="H11" s="145"/>
    </row>
    <row r="12" spans="1:8" x14ac:dyDescent="0.2">
      <c r="A12" s="150"/>
      <c r="B12" s="111">
        <v>10</v>
      </c>
      <c r="C12" s="149" t="b">
        <v>0</v>
      </c>
      <c r="D12" s="148" t="str">
        <v>U4</v>
      </c>
      <c r="E12" s="147" t="str">
        <f t="shared" si="0"/>
        <v>EURFUT1MU4_Quote</v>
      </c>
      <c r="F12" s="146" t="str">
        <f>_xll.qlSimpleQuote(E12,,PriceTickValue,Permanent,Trigger,ObjectOverwrite)</f>
        <v>EURFUT1MU4_Quote#0017</v>
      </c>
      <c r="G12" s="109" t="str">
        <f>_xll.ohRangeRetrieveError(F12)</f>
        <v/>
      </c>
      <c r="H12" s="145"/>
    </row>
    <row r="13" spans="1:8" x14ac:dyDescent="0.2">
      <c r="A13" s="150"/>
      <c r="B13" s="111">
        <v>11</v>
      </c>
      <c r="C13" s="149" t="b">
        <v>0</v>
      </c>
      <c r="D13" s="148" t="str">
        <v>V4</v>
      </c>
      <c r="E13" s="147" t="str">
        <f t="shared" si="0"/>
        <v>EURFUT1MV4_Quote</v>
      </c>
      <c r="F13" s="146" t="str">
        <f>_xll.qlSimpleQuote(E13,,PriceTickValue,Permanent,Trigger,ObjectOverwrite)</f>
        <v>EURFUT1MV4_Quote#0017</v>
      </c>
      <c r="G13" s="109" t="str">
        <f>_xll.ohRangeRetrieveError(F13)</f>
        <v/>
      </c>
      <c r="H13" s="145"/>
    </row>
    <row r="14" spans="1:8" x14ac:dyDescent="0.2">
      <c r="A14" s="150"/>
      <c r="B14" s="111">
        <v>12</v>
      </c>
      <c r="C14" s="149" t="b">
        <v>0</v>
      </c>
      <c r="D14" s="148" t="str">
        <v>X4</v>
      </c>
      <c r="E14" s="147" t="str">
        <f t="shared" si="0"/>
        <v>EURFUT1MX4_Quote</v>
      </c>
      <c r="F14" s="146" t="str">
        <f>_xll.qlSimpleQuote(E14,,PriceTickValue,Permanent,Trigger,ObjectOverwrite)</f>
        <v>EURFUT1MX4_Quote#0017</v>
      </c>
      <c r="G14" s="109" t="str">
        <f>_xll.ohRangeRetrieveError(F14)</f>
        <v/>
      </c>
      <c r="H14" s="145"/>
    </row>
    <row r="15" spans="1:8" x14ac:dyDescent="0.2">
      <c r="A15" s="150"/>
      <c r="B15" s="111">
        <v>13</v>
      </c>
      <c r="C15" s="149" t="b">
        <v>0</v>
      </c>
      <c r="D15" s="148" t="str">
        <v>Z4</v>
      </c>
      <c r="E15" s="147" t="str">
        <f t="shared" si="0"/>
        <v>EURFUT1MZ4_Quote</v>
      </c>
      <c r="F15" s="146" t="str">
        <f>_xll.qlSimpleQuote(E15,,PriceTickValue,Permanent,Trigger,ObjectOverwrite)</f>
        <v>EURFUT1MZ4_Quote#0017</v>
      </c>
      <c r="G15" s="109" t="str">
        <f>_xll.ohRangeRetrieveError(F15)</f>
        <v/>
      </c>
      <c r="H15" s="145"/>
    </row>
    <row r="16" spans="1:8" x14ac:dyDescent="0.2">
      <c r="A16" s="150"/>
      <c r="B16" s="111">
        <v>14</v>
      </c>
      <c r="C16" s="149" t="b">
        <v>0</v>
      </c>
      <c r="D16" s="148" t="str">
        <v>F5</v>
      </c>
      <c r="E16" s="147" t="str">
        <f t="shared" si="0"/>
        <v>EURFUT1MF5_Quote</v>
      </c>
      <c r="F16" s="146" t="str">
        <f>_xll.qlSimpleQuote(E16,,PriceTickValue,Permanent,Trigger,ObjectOverwrite)</f>
        <v>EURFUT1MF5_Quote#0017</v>
      </c>
      <c r="G16" s="109" t="str">
        <f>_xll.ohRangeRetrieveError(F16)</f>
        <v/>
      </c>
      <c r="H16" s="145"/>
    </row>
    <row r="17" spans="1:8" x14ac:dyDescent="0.2">
      <c r="A17" s="150"/>
      <c r="B17" s="111">
        <v>15</v>
      </c>
      <c r="C17" s="149" t="b">
        <v>0</v>
      </c>
      <c r="D17" s="148" t="str">
        <v>G5</v>
      </c>
      <c r="E17" s="147" t="str">
        <f t="shared" si="0"/>
        <v>EURFUT1MG5_Quote</v>
      </c>
      <c r="F17" s="146" t="str">
        <f>_xll.qlSimpleQuote(E17,,PriceTickValue,Permanent,Trigger,ObjectOverwrite)</f>
        <v>EURFUT1MG5_Quote#0017</v>
      </c>
      <c r="G17" s="109" t="str">
        <f>_xll.ohRangeRetrieveError(F17)</f>
        <v/>
      </c>
      <c r="H17" s="145"/>
    </row>
    <row r="18" spans="1:8" x14ac:dyDescent="0.2">
      <c r="A18" s="150"/>
      <c r="B18" s="111">
        <v>16</v>
      </c>
      <c r="C18" s="149" t="b">
        <v>0</v>
      </c>
      <c r="D18" s="148" t="str">
        <v>H5</v>
      </c>
      <c r="E18" s="147" t="str">
        <f t="shared" si="0"/>
        <v>EURFUT1MH5_Quote</v>
      </c>
      <c r="F18" s="146" t="str">
        <f>_xll.qlSimpleQuote(E18,,PriceTickValue,Permanent,Trigger,ObjectOverwrite)</f>
        <v>EURFUT1MH5_Quote#0017</v>
      </c>
      <c r="G18" s="109" t="str">
        <f>_xll.ohRangeRetrieveError(F18)</f>
        <v/>
      </c>
      <c r="H18" s="145"/>
    </row>
    <row r="19" spans="1:8" x14ac:dyDescent="0.2">
      <c r="A19" s="150"/>
      <c r="B19" s="111">
        <v>17</v>
      </c>
      <c r="C19" s="149" t="b">
        <v>0</v>
      </c>
      <c r="D19" s="148" t="str">
        <v>J5</v>
      </c>
      <c r="E19" s="147" t="str">
        <f t="shared" si="0"/>
        <v>EURFUT1MJ5_Quote</v>
      </c>
      <c r="F19" s="146" t="str">
        <f>_xll.qlSimpleQuote(E19,,PriceTickValue,Permanent,Trigger,ObjectOverwrite)</f>
        <v>EURFUT1MJ5_Quote#0017</v>
      </c>
      <c r="G19" s="109" t="str">
        <f>_xll.ohRangeRetrieveError(F19)</f>
        <v/>
      </c>
      <c r="H19" s="145"/>
    </row>
    <row r="20" spans="1:8" x14ac:dyDescent="0.2">
      <c r="A20" s="150"/>
      <c r="B20" s="111">
        <v>18</v>
      </c>
      <c r="C20" s="149" t="b">
        <v>0</v>
      </c>
      <c r="D20" s="148" t="str">
        <v>K5</v>
      </c>
      <c r="E20" s="147" t="str">
        <f t="shared" si="0"/>
        <v>EURFUT1MK5_Quote</v>
      </c>
      <c r="F20" s="146" t="str">
        <f>_xll.qlSimpleQuote(E20,,PriceTickValue,Permanent,Trigger,ObjectOverwrite)</f>
        <v>EURFUT1MK5_Quote#0017</v>
      </c>
      <c r="G20" s="109" t="str">
        <f>_xll.ohRangeRetrieveError(F20)</f>
        <v/>
      </c>
      <c r="H20" s="145"/>
    </row>
    <row r="21" spans="1:8" x14ac:dyDescent="0.2">
      <c r="A21" s="150"/>
      <c r="B21" s="111">
        <v>19</v>
      </c>
      <c r="C21" s="149" t="b">
        <v>0</v>
      </c>
      <c r="D21" s="148" t="str">
        <v>M5</v>
      </c>
      <c r="E21" s="147" t="str">
        <f t="shared" si="0"/>
        <v>EURFUT1MM5_Quote</v>
      </c>
      <c r="F21" s="146" t="str">
        <f>_xll.qlSimpleQuote(E21,,PriceTickValue,Permanent,Trigger,ObjectOverwrite)</f>
        <v>EURFUT1MM5_Quote#0017</v>
      </c>
      <c r="G21" s="109" t="str">
        <f>_xll.ohRangeRetrieveError(F21)</f>
        <v/>
      </c>
      <c r="H21" s="145"/>
    </row>
    <row r="22" spans="1:8" x14ac:dyDescent="0.2">
      <c r="A22" s="150"/>
      <c r="B22" s="111">
        <v>20</v>
      </c>
      <c r="C22" s="149" t="b">
        <v>0</v>
      </c>
      <c r="D22" s="148" t="str">
        <v>N5</v>
      </c>
      <c r="E22" s="147" t="str">
        <f t="shared" si="0"/>
        <v>EURFUT1MN5_Quote</v>
      </c>
      <c r="F22" s="146" t="str">
        <f>_xll.qlSimpleQuote(E22,,PriceTickValue,Permanent,Trigger,ObjectOverwrite)</f>
        <v>EURFUT1MN5_Quote#0017</v>
      </c>
      <c r="G22" s="109" t="str">
        <f>_xll.ohRangeRetrieveError(F22)</f>
        <v/>
      </c>
      <c r="H22" s="145"/>
    </row>
    <row r="23" spans="1:8" x14ac:dyDescent="0.2">
      <c r="A23" s="150"/>
      <c r="B23" s="111">
        <v>21</v>
      </c>
      <c r="C23" s="149" t="b">
        <v>0</v>
      </c>
      <c r="D23" s="148" t="str">
        <v>Q5</v>
      </c>
      <c r="E23" s="147" t="str">
        <f t="shared" si="0"/>
        <v>EURFUT1MQ5_Quote</v>
      </c>
      <c r="F23" s="146" t="str">
        <f>_xll.qlSimpleQuote(E23,,PriceTickValue,Permanent,Trigger,ObjectOverwrite)</f>
        <v>EURFUT1MQ5_Quote#0017</v>
      </c>
      <c r="G23" s="109" t="str">
        <f>_xll.ohRangeRetrieveError(F23)</f>
        <v/>
      </c>
      <c r="H23" s="145"/>
    </row>
    <row r="24" spans="1:8" x14ac:dyDescent="0.2">
      <c r="A24" s="150"/>
      <c r="B24" s="111">
        <v>22</v>
      </c>
      <c r="C24" s="149" t="b">
        <v>0</v>
      </c>
      <c r="D24" s="148" t="str">
        <v>U5</v>
      </c>
      <c r="E24" s="147" t="str">
        <f t="shared" si="0"/>
        <v>EURFUT1MU5_Quote</v>
      </c>
      <c r="F24" s="146" t="str">
        <f>_xll.qlSimpleQuote(E24,,PriceTickValue,Permanent,Trigger,ObjectOverwrite)</f>
        <v>EURFUT1MU5_Quote#0017</v>
      </c>
      <c r="G24" s="109" t="str">
        <f>_xll.ohRangeRetrieveError(F24)</f>
        <v/>
      </c>
      <c r="H24" s="145"/>
    </row>
    <row r="25" spans="1:8" x14ac:dyDescent="0.2">
      <c r="A25" s="150"/>
      <c r="B25" s="111">
        <v>23</v>
      </c>
      <c r="C25" s="149" t="b">
        <v>0</v>
      </c>
      <c r="D25" s="148" t="str">
        <v>V5</v>
      </c>
      <c r="E25" s="147" t="str">
        <f t="shared" si="0"/>
        <v>EURFUT1MV5_Quote</v>
      </c>
      <c r="F25" s="146" t="str">
        <f>_xll.qlSimpleQuote(E25,,PriceTickValue,Permanent,Trigger,ObjectOverwrite)</f>
        <v>EURFUT1MV5_Quote#0017</v>
      </c>
      <c r="G25" s="109" t="str">
        <f>_xll.ohRangeRetrieveError(F25)</f>
        <v/>
      </c>
      <c r="H25" s="145"/>
    </row>
    <row r="26" spans="1:8" x14ac:dyDescent="0.2">
      <c r="A26" s="150"/>
      <c r="B26" s="111">
        <v>24</v>
      </c>
      <c r="C26" s="149" t="b">
        <v>0</v>
      </c>
      <c r="D26" s="148" t="str">
        <v>X5</v>
      </c>
      <c r="E26" s="147" t="str">
        <f t="shared" si="0"/>
        <v>EURFUT1MX5_Quote</v>
      </c>
      <c r="F26" s="146" t="str">
        <f>_xll.qlSimpleQuote(E26,,PriceTickValue,Permanent,Trigger,ObjectOverwrite)</f>
        <v>EURFUT1MX5_Quote#0017</v>
      </c>
      <c r="G26" s="109" t="str">
        <f>_xll.ohRangeRetrieveError(F26)</f>
        <v/>
      </c>
      <c r="H26" s="145"/>
    </row>
    <row r="27" spans="1:8" x14ac:dyDescent="0.2">
      <c r="A27" s="150"/>
      <c r="B27" s="111">
        <v>25</v>
      </c>
      <c r="C27" s="149" t="b">
        <v>0</v>
      </c>
      <c r="D27" s="148" t="str">
        <v>Z5</v>
      </c>
      <c r="E27" s="147" t="str">
        <f t="shared" si="0"/>
        <v>EURFUT1MZ5_Quote</v>
      </c>
      <c r="F27" s="146" t="str">
        <f>_xll.qlSimpleQuote(E27,,PriceTickValue,Permanent,Trigger,ObjectOverwrite)</f>
        <v>EURFUT1MZ5_Quote#0017</v>
      </c>
      <c r="G27" s="109" t="str">
        <f>_xll.ohRangeRetrieveError(F27)</f>
        <v/>
      </c>
      <c r="H27" s="145"/>
    </row>
    <row r="28" spans="1:8" x14ac:dyDescent="0.2">
      <c r="A28" s="150"/>
      <c r="B28" s="111">
        <v>26</v>
      </c>
      <c r="C28" s="149" t="b">
        <v>0</v>
      </c>
      <c r="D28" s="148" t="str">
        <v>F6</v>
      </c>
      <c r="E28" s="147" t="str">
        <f t="shared" si="0"/>
        <v>EURFUT1MF6_Quote</v>
      </c>
      <c r="F28" s="146" t="str">
        <f>_xll.qlSimpleQuote(E28,,PriceTickValue,Permanent,Trigger,ObjectOverwrite)</f>
        <v>EURFUT1MF6_Quote#0017</v>
      </c>
      <c r="G28" s="109" t="str">
        <f>_xll.ohRangeRetrieveError(F28)</f>
        <v/>
      </c>
      <c r="H28" s="145"/>
    </row>
    <row r="29" spans="1:8" x14ac:dyDescent="0.2">
      <c r="A29" s="150"/>
      <c r="B29" s="111">
        <v>27</v>
      </c>
      <c r="C29" s="149" t="b">
        <v>0</v>
      </c>
      <c r="D29" s="148" t="str">
        <v>G6</v>
      </c>
      <c r="E29" s="147" t="str">
        <f t="shared" si="0"/>
        <v>EURFUT1MG6_Quote</v>
      </c>
      <c r="F29" s="146" t="str">
        <f>_xll.qlSimpleQuote(E29,,PriceTickValue,Permanent,Trigger,ObjectOverwrite)</f>
        <v>EURFUT1MG6_Quote#0017</v>
      </c>
      <c r="G29" s="109" t="str">
        <f>_xll.ohRangeRetrieveError(F29)</f>
        <v/>
      </c>
      <c r="H29" s="145"/>
    </row>
    <row r="30" spans="1:8" x14ac:dyDescent="0.2">
      <c r="A30" s="150"/>
      <c r="B30" s="111">
        <v>28</v>
      </c>
      <c r="C30" s="149" t="b">
        <v>0</v>
      </c>
      <c r="D30" s="148" t="str">
        <v>H6</v>
      </c>
      <c r="E30" s="147" t="str">
        <f t="shared" si="0"/>
        <v>EURFUT1MH6_Quote</v>
      </c>
      <c r="F30" s="146" t="str">
        <f>_xll.qlSimpleQuote(E30,,PriceTickValue,Permanent,Trigger,ObjectOverwrite)</f>
        <v>EURFUT1MH6_Quote#0017</v>
      </c>
      <c r="G30" s="109" t="str">
        <f>_xll.ohRangeRetrieveError(F30)</f>
        <v/>
      </c>
      <c r="H30" s="145"/>
    </row>
    <row r="31" spans="1:8" x14ac:dyDescent="0.2">
      <c r="A31" s="150"/>
      <c r="B31" s="111">
        <v>29</v>
      </c>
      <c r="C31" s="149" t="b">
        <v>0</v>
      </c>
      <c r="D31" s="148" t="str">
        <v>J6</v>
      </c>
      <c r="E31" s="147" t="str">
        <f t="shared" si="0"/>
        <v>EURFUT1MJ6_Quote</v>
      </c>
      <c r="F31" s="146" t="str">
        <f>_xll.qlSimpleQuote(E31,,PriceTickValue,Permanent,Trigger,ObjectOverwrite)</f>
        <v>EURFUT1MJ6_Quote#0017</v>
      </c>
      <c r="G31" s="109" t="str">
        <f>_xll.ohRangeRetrieveError(F31)</f>
        <v/>
      </c>
      <c r="H31" s="145"/>
    </row>
    <row r="32" spans="1:8" x14ac:dyDescent="0.2">
      <c r="A32" s="150"/>
      <c r="B32" s="111">
        <v>30</v>
      </c>
      <c r="C32" s="149" t="b">
        <v>0</v>
      </c>
      <c r="D32" s="148" t="str">
        <v>K6</v>
      </c>
      <c r="E32" s="147" t="str">
        <f t="shared" si="0"/>
        <v>EURFUT1MK6_Quote</v>
      </c>
      <c r="F32" s="146" t="str">
        <f>_xll.qlSimpleQuote(E32,,PriceTickValue,Permanent,Trigger,ObjectOverwrite)</f>
        <v>EURFUT1MK6_Quote#0017</v>
      </c>
      <c r="G32" s="109" t="str">
        <f>_xll.ohRangeRetrieveError(F32)</f>
        <v/>
      </c>
      <c r="H32" s="145"/>
    </row>
    <row r="33" spans="1:8" x14ac:dyDescent="0.2">
      <c r="A33" s="150"/>
      <c r="B33" s="111">
        <v>31</v>
      </c>
      <c r="C33" s="149" t="b">
        <v>0</v>
      </c>
      <c r="D33" s="148" t="str">
        <v>M6</v>
      </c>
      <c r="E33" s="147" t="str">
        <f t="shared" si="0"/>
        <v>EURFUT1MM6_Quote</v>
      </c>
      <c r="F33" s="146" t="str">
        <f>_xll.qlSimpleQuote(E33,,PriceTickValue,Permanent,Trigger,ObjectOverwrite)</f>
        <v>EURFUT1MM6_Quote#0017</v>
      </c>
      <c r="G33" s="109" t="str">
        <f>_xll.ohRangeRetrieveError(F33)</f>
        <v/>
      </c>
      <c r="H33" s="145"/>
    </row>
    <row r="34" spans="1:8" x14ac:dyDescent="0.2">
      <c r="A34" s="150"/>
      <c r="B34" s="111">
        <v>32</v>
      </c>
      <c r="C34" s="149" t="b">
        <v>0</v>
      </c>
      <c r="D34" s="148" t="str">
        <v>N6</v>
      </c>
      <c r="E34" s="147" t="str">
        <f t="shared" si="0"/>
        <v>EURFUT1MN6_Quote</v>
      </c>
      <c r="F34" s="146" t="str">
        <f>_xll.qlSimpleQuote(E34,,PriceTickValue,Permanent,Trigger,ObjectOverwrite)</f>
        <v>EURFUT1MN6_Quote#0017</v>
      </c>
      <c r="G34" s="109" t="str">
        <f>_xll.ohRangeRetrieveError(F34)</f>
        <v/>
      </c>
      <c r="H34" s="145"/>
    </row>
    <row r="35" spans="1:8" x14ac:dyDescent="0.2">
      <c r="A35" s="150"/>
      <c r="B35" s="111">
        <v>33</v>
      </c>
      <c r="C35" s="149" t="b">
        <v>0</v>
      </c>
      <c r="D35" s="148" t="str">
        <v>Q6</v>
      </c>
      <c r="E35" s="147" t="str">
        <f t="shared" ref="E35:E66" si="1">Currency&amp;$D$1&amp;$E$1&amp;$D35&amp;QuoteSuffix</f>
        <v>EURFUT1MQ6_Quote</v>
      </c>
      <c r="F35" s="146" t="str">
        <f>_xll.qlSimpleQuote(E35,,PriceTickValue,Permanent,Trigger,ObjectOverwrite)</f>
        <v>EURFUT1MQ6_Quote#0017</v>
      </c>
      <c r="G35" s="109" t="str">
        <f>_xll.ohRangeRetrieveError(F35)</f>
        <v/>
      </c>
      <c r="H35" s="145"/>
    </row>
    <row r="36" spans="1:8" x14ac:dyDescent="0.2">
      <c r="A36" s="150"/>
      <c r="B36" s="111">
        <v>34</v>
      </c>
      <c r="C36" s="149" t="b">
        <v>0</v>
      </c>
      <c r="D36" s="148" t="str">
        <v>U6</v>
      </c>
      <c r="E36" s="147" t="str">
        <f t="shared" si="1"/>
        <v>EURFUT1MU6_Quote</v>
      </c>
      <c r="F36" s="146" t="str">
        <f>_xll.qlSimpleQuote(E36,,PriceTickValue,Permanent,Trigger,ObjectOverwrite)</f>
        <v>EURFUT1MU6_Quote#0017</v>
      </c>
      <c r="G36" s="109" t="str">
        <f>_xll.ohRangeRetrieveError(F36)</f>
        <v/>
      </c>
      <c r="H36" s="145"/>
    </row>
    <row r="37" spans="1:8" x14ac:dyDescent="0.2">
      <c r="A37" s="150"/>
      <c r="B37" s="111">
        <v>35</v>
      </c>
      <c r="C37" s="149" t="b">
        <v>0</v>
      </c>
      <c r="D37" s="148" t="str">
        <v>V6</v>
      </c>
      <c r="E37" s="147" t="str">
        <f t="shared" si="1"/>
        <v>EURFUT1MV6_Quote</v>
      </c>
      <c r="F37" s="146" t="str">
        <f>_xll.qlSimpleQuote(E37,,PriceTickValue,Permanent,Trigger,ObjectOverwrite)</f>
        <v>EURFUT1MV6_Quote#0017</v>
      </c>
      <c r="G37" s="109" t="str">
        <f>_xll.ohRangeRetrieveError(F37)</f>
        <v/>
      </c>
      <c r="H37" s="145"/>
    </row>
    <row r="38" spans="1:8" x14ac:dyDescent="0.2">
      <c r="A38" s="150"/>
      <c r="B38" s="111">
        <v>36</v>
      </c>
      <c r="C38" s="149" t="b">
        <v>0</v>
      </c>
      <c r="D38" s="148" t="str">
        <v>X6</v>
      </c>
      <c r="E38" s="147" t="str">
        <f t="shared" si="1"/>
        <v>EURFUT1MX6_Quote</v>
      </c>
      <c r="F38" s="146" t="str">
        <f>_xll.qlSimpleQuote(E38,,PriceTickValue,Permanent,Trigger,ObjectOverwrite)</f>
        <v>EURFUT1MX6_Quote#0017</v>
      </c>
      <c r="G38" s="109" t="str">
        <f>_xll.ohRangeRetrieveError(F38)</f>
        <v/>
      </c>
      <c r="H38" s="145"/>
    </row>
    <row r="39" spans="1:8" x14ac:dyDescent="0.2">
      <c r="A39" s="150"/>
      <c r="B39" s="111">
        <v>37</v>
      </c>
      <c r="C39" s="149" t="b">
        <v>0</v>
      </c>
      <c r="D39" s="148" t="str">
        <v>Z6</v>
      </c>
      <c r="E39" s="147" t="str">
        <f t="shared" si="1"/>
        <v>EURFUT1MZ6_Quote</v>
      </c>
      <c r="F39" s="146" t="str">
        <f>_xll.qlSimpleQuote(E39,,PriceTickValue,Permanent,Trigger,ObjectOverwrite)</f>
        <v>EURFUT1MZ6_Quote#0017</v>
      </c>
      <c r="G39" s="109" t="str">
        <f>_xll.ohRangeRetrieveError(F39)</f>
        <v/>
      </c>
      <c r="H39" s="145"/>
    </row>
    <row r="40" spans="1:8" x14ac:dyDescent="0.2">
      <c r="A40" s="150"/>
      <c r="B40" s="111">
        <v>38</v>
      </c>
      <c r="C40" s="149" t="b">
        <v>0</v>
      </c>
      <c r="D40" s="148" t="str">
        <v>F7</v>
      </c>
      <c r="E40" s="147" t="str">
        <f t="shared" si="1"/>
        <v>EURFUT1MF7_Quote</v>
      </c>
      <c r="F40" s="146" t="str">
        <f>_xll.qlSimpleQuote(E40,,PriceTickValue,Permanent,Trigger,ObjectOverwrite)</f>
        <v>EURFUT1MF7_Quote#0017</v>
      </c>
      <c r="G40" s="109" t="str">
        <f>_xll.ohRangeRetrieveError(F40)</f>
        <v/>
      </c>
      <c r="H40" s="145"/>
    </row>
    <row r="41" spans="1:8" x14ac:dyDescent="0.2">
      <c r="A41" s="150"/>
      <c r="B41" s="111">
        <v>39</v>
      </c>
      <c r="C41" s="149" t="b">
        <v>0</v>
      </c>
      <c r="D41" s="148" t="str">
        <v>G7</v>
      </c>
      <c r="E41" s="147" t="str">
        <f t="shared" si="1"/>
        <v>EURFUT1MG7_Quote</v>
      </c>
      <c r="F41" s="146" t="str">
        <f>_xll.qlSimpleQuote(E41,,PriceTickValue,Permanent,Trigger,ObjectOverwrite)</f>
        <v>EURFUT1MG7_Quote#0017</v>
      </c>
      <c r="G41" s="109" t="str">
        <f>_xll.ohRangeRetrieveError(F41)</f>
        <v/>
      </c>
      <c r="H41" s="145"/>
    </row>
    <row r="42" spans="1:8" x14ac:dyDescent="0.2">
      <c r="A42" s="150"/>
      <c r="B42" s="111">
        <v>40</v>
      </c>
      <c r="C42" s="149" t="b">
        <v>0</v>
      </c>
      <c r="D42" s="148" t="str">
        <v>H7</v>
      </c>
      <c r="E42" s="147" t="str">
        <f t="shared" si="1"/>
        <v>EURFUT1MH7_Quote</v>
      </c>
      <c r="F42" s="146" t="str">
        <f>_xll.qlSimpleQuote(E42,,PriceTickValue,Permanent,Trigger,ObjectOverwrite)</f>
        <v>EURFUT1MH7_Quote#0017</v>
      </c>
      <c r="G42" s="109" t="str">
        <f>_xll.ohRangeRetrieveError(F42)</f>
        <v/>
      </c>
      <c r="H42" s="145"/>
    </row>
    <row r="43" spans="1:8" x14ac:dyDescent="0.2">
      <c r="A43" s="150"/>
      <c r="B43" s="111">
        <v>41</v>
      </c>
      <c r="C43" s="149" t="b">
        <v>0</v>
      </c>
      <c r="D43" s="148" t="str">
        <v>J7</v>
      </c>
      <c r="E43" s="147" t="str">
        <f t="shared" si="1"/>
        <v>EURFUT1MJ7_Quote</v>
      </c>
      <c r="F43" s="146" t="str">
        <f>_xll.qlSimpleQuote(E43,,PriceTickValue,Permanent,Trigger,ObjectOverwrite)</f>
        <v>EURFUT1MJ7_Quote#0017</v>
      </c>
      <c r="G43" s="109" t="str">
        <f>_xll.ohRangeRetrieveError(F43)</f>
        <v/>
      </c>
      <c r="H43" s="145"/>
    </row>
    <row r="44" spans="1:8" x14ac:dyDescent="0.2">
      <c r="A44" s="150"/>
      <c r="B44" s="111">
        <v>42</v>
      </c>
      <c r="C44" s="149" t="b">
        <v>0</v>
      </c>
      <c r="D44" s="148" t="str">
        <v>K7</v>
      </c>
      <c r="E44" s="147" t="str">
        <f t="shared" si="1"/>
        <v>EURFUT1MK7_Quote</v>
      </c>
      <c r="F44" s="146" t="str">
        <f>_xll.qlSimpleQuote(E44,,PriceTickValue,Permanent,Trigger,ObjectOverwrite)</f>
        <v>EURFUT1MK7_Quote#0017</v>
      </c>
      <c r="G44" s="109" t="str">
        <f>_xll.ohRangeRetrieveError(F44)</f>
        <v/>
      </c>
      <c r="H44" s="145"/>
    </row>
    <row r="45" spans="1:8" x14ac:dyDescent="0.2">
      <c r="A45" s="150"/>
      <c r="B45" s="111">
        <v>43</v>
      </c>
      <c r="C45" s="149" t="b">
        <v>0</v>
      </c>
      <c r="D45" s="148" t="str">
        <v>M7</v>
      </c>
      <c r="E45" s="147" t="str">
        <f t="shared" si="1"/>
        <v>EURFUT1MM7_Quote</v>
      </c>
      <c r="F45" s="146" t="str">
        <f>_xll.qlSimpleQuote(E45,,PriceTickValue,Permanent,Trigger,ObjectOverwrite)</f>
        <v>EURFUT1MM7_Quote#0017</v>
      </c>
      <c r="G45" s="109" t="str">
        <f>_xll.ohRangeRetrieveError(F45)</f>
        <v/>
      </c>
      <c r="H45" s="145"/>
    </row>
    <row r="46" spans="1:8" x14ac:dyDescent="0.2">
      <c r="A46" s="150"/>
      <c r="B46" s="111">
        <v>44</v>
      </c>
      <c r="C46" s="149" t="b">
        <v>0</v>
      </c>
      <c r="D46" s="148" t="str">
        <v>N7</v>
      </c>
      <c r="E46" s="147" t="str">
        <f t="shared" si="1"/>
        <v>EURFUT1MN7_Quote</v>
      </c>
      <c r="F46" s="146" t="str">
        <f>_xll.qlSimpleQuote(E46,,PriceTickValue,Permanent,Trigger,ObjectOverwrite)</f>
        <v>EURFUT1MN7_Quote#0017</v>
      </c>
      <c r="G46" s="109" t="str">
        <f>_xll.ohRangeRetrieveError(F46)</f>
        <v/>
      </c>
      <c r="H46" s="145"/>
    </row>
    <row r="47" spans="1:8" x14ac:dyDescent="0.2">
      <c r="A47" s="150"/>
      <c r="B47" s="111">
        <v>45</v>
      </c>
      <c r="C47" s="149" t="b">
        <v>0</v>
      </c>
      <c r="D47" s="148" t="str">
        <v>Q7</v>
      </c>
      <c r="E47" s="147" t="str">
        <f t="shared" si="1"/>
        <v>EURFUT1MQ7_Quote</v>
      </c>
      <c r="F47" s="146" t="str">
        <f>_xll.qlSimpleQuote(E47,,PriceTickValue,Permanent,Trigger,ObjectOverwrite)</f>
        <v>EURFUT1MQ7_Quote#0017</v>
      </c>
      <c r="G47" s="109" t="str">
        <f>_xll.ohRangeRetrieveError(F47)</f>
        <v/>
      </c>
      <c r="H47" s="145"/>
    </row>
    <row r="48" spans="1:8" x14ac:dyDescent="0.2">
      <c r="A48" s="150"/>
      <c r="B48" s="111">
        <v>46</v>
      </c>
      <c r="C48" s="149" t="b">
        <v>0</v>
      </c>
      <c r="D48" s="148" t="str">
        <v>U7</v>
      </c>
      <c r="E48" s="147" t="str">
        <f t="shared" si="1"/>
        <v>EURFUT1MU7_Quote</v>
      </c>
      <c r="F48" s="146" t="str">
        <f>_xll.qlSimpleQuote(E48,,PriceTickValue,Permanent,Trigger,ObjectOverwrite)</f>
        <v>EURFUT1MU7_Quote#0017</v>
      </c>
      <c r="G48" s="109" t="str">
        <f>_xll.ohRangeRetrieveError(F48)</f>
        <v/>
      </c>
      <c r="H48" s="145"/>
    </row>
    <row r="49" spans="1:8" x14ac:dyDescent="0.2">
      <c r="A49" s="150"/>
      <c r="B49" s="111">
        <v>47</v>
      </c>
      <c r="C49" s="149" t="b">
        <v>0</v>
      </c>
      <c r="D49" s="148" t="str">
        <v>V7</v>
      </c>
      <c r="E49" s="147" t="str">
        <f t="shared" si="1"/>
        <v>EURFUT1MV7_Quote</v>
      </c>
      <c r="F49" s="146" t="str">
        <f>_xll.qlSimpleQuote(E49,,PriceTickValue,Permanent,Trigger,ObjectOverwrite)</f>
        <v>EURFUT1MV7_Quote#0017</v>
      </c>
      <c r="G49" s="109" t="str">
        <f>_xll.ohRangeRetrieveError(F49)</f>
        <v/>
      </c>
      <c r="H49" s="145"/>
    </row>
    <row r="50" spans="1:8" x14ac:dyDescent="0.2">
      <c r="A50" s="150"/>
      <c r="B50" s="111">
        <v>48</v>
      </c>
      <c r="C50" s="149" t="b">
        <v>0</v>
      </c>
      <c r="D50" s="148" t="str">
        <v>X7</v>
      </c>
      <c r="E50" s="147" t="str">
        <f t="shared" si="1"/>
        <v>EURFUT1MX7_Quote</v>
      </c>
      <c r="F50" s="146" t="str">
        <f>_xll.qlSimpleQuote(E50,,PriceTickValue,Permanent,Trigger,ObjectOverwrite)</f>
        <v>EURFUT1MX7_Quote#0017</v>
      </c>
      <c r="G50" s="109" t="str">
        <f>_xll.ohRangeRetrieveError(F50)</f>
        <v/>
      </c>
      <c r="H50" s="145"/>
    </row>
    <row r="51" spans="1:8" x14ac:dyDescent="0.2">
      <c r="A51" s="150"/>
      <c r="B51" s="111">
        <v>49</v>
      </c>
      <c r="C51" s="149" t="b">
        <v>0</v>
      </c>
      <c r="D51" s="148" t="str">
        <v>Z7</v>
      </c>
      <c r="E51" s="147" t="str">
        <f t="shared" si="1"/>
        <v>EURFUT1MZ7_Quote</v>
      </c>
      <c r="F51" s="146" t="str">
        <f>_xll.qlSimpleQuote(E51,,PriceTickValue,Permanent,Trigger,ObjectOverwrite)</f>
        <v>EURFUT1MZ7_Quote#0017</v>
      </c>
      <c r="G51" s="109" t="str">
        <f>_xll.ohRangeRetrieveError(F51)</f>
        <v/>
      </c>
      <c r="H51" s="145"/>
    </row>
    <row r="52" spans="1:8" x14ac:dyDescent="0.2">
      <c r="A52" s="150"/>
      <c r="B52" s="111">
        <v>50</v>
      </c>
      <c r="C52" s="149" t="b">
        <v>0</v>
      </c>
      <c r="D52" s="148" t="str">
        <v>F8</v>
      </c>
      <c r="E52" s="147" t="str">
        <f t="shared" si="1"/>
        <v>EURFUT1MF8_Quote</v>
      </c>
      <c r="F52" s="146" t="str">
        <f>_xll.qlSimpleQuote(E52,,PriceTickValue,Permanent,Trigger,ObjectOverwrite)</f>
        <v>EURFUT1MF8_Quote#0017</v>
      </c>
      <c r="G52" s="109" t="str">
        <f>_xll.ohRangeRetrieveError(F52)</f>
        <v/>
      </c>
      <c r="H52" s="145"/>
    </row>
    <row r="53" spans="1:8" x14ac:dyDescent="0.2">
      <c r="A53" s="150"/>
      <c r="B53" s="111">
        <v>51</v>
      </c>
      <c r="C53" s="149" t="b">
        <v>0</v>
      </c>
      <c r="D53" s="148" t="str">
        <v>G8</v>
      </c>
      <c r="E53" s="147" t="str">
        <f t="shared" si="1"/>
        <v>EURFUT1MG8_Quote</v>
      </c>
      <c r="F53" s="146" t="str">
        <f>_xll.qlSimpleQuote(E53,,PriceTickValue,Permanent,Trigger,ObjectOverwrite)</f>
        <v>EURFUT1MG8_Quote#0017</v>
      </c>
      <c r="G53" s="109" t="str">
        <f>_xll.ohRangeRetrieveError(F53)</f>
        <v/>
      </c>
      <c r="H53" s="145"/>
    </row>
    <row r="54" spans="1:8" x14ac:dyDescent="0.2">
      <c r="A54" s="150"/>
      <c r="B54" s="111">
        <v>52</v>
      </c>
      <c r="C54" s="149" t="b">
        <v>0</v>
      </c>
      <c r="D54" s="148" t="str">
        <v>H8</v>
      </c>
      <c r="E54" s="147" t="str">
        <f t="shared" si="1"/>
        <v>EURFUT1MH8_Quote</v>
      </c>
      <c r="F54" s="146" t="str">
        <f>_xll.qlSimpleQuote(E54,,PriceTickValue,Permanent,Trigger,ObjectOverwrite)</f>
        <v>EURFUT1MH8_Quote#0017</v>
      </c>
      <c r="G54" s="109" t="str">
        <f>_xll.ohRangeRetrieveError(F54)</f>
        <v/>
      </c>
      <c r="H54" s="145"/>
    </row>
    <row r="55" spans="1:8" x14ac:dyDescent="0.2">
      <c r="A55" s="150"/>
      <c r="B55" s="111">
        <v>53</v>
      </c>
      <c r="C55" s="149" t="b">
        <v>0</v>
      </c>
      <c r="D55" s="148" t="str">
        <v>J8</v>
      </c>
      <c r="E55" s="147" t="str">
        <f t="shared" si="1"/>
        <v>EURFUT1MJ8_Quote</v>
      </c>
      <c r="F55" s="146" t="str">
        <f>_xll.qlSimpleQuote(E55,,PriceTickValue,Permanent,Trigger,ObjectOverwrite)</f>
        <v>EURFUT1MJ8_Quote#0017</v>
      </c>
      <c r="G55" s="109" t="str">
        <f>_xll.ohRangeRetrieveError(F55)</f>
        <v/>
      </c>
      <c r="H55" s="145"/>
    </row>
    <row r="56" spans="1:8" x14ac:dyDescent="0.2">
      <c r="A56" s="150"/>
      <c r="B56" s="111">
        <v>54</v>
      </c>
      <c r="C56" s="149" t="b">
        <v>0</v>
      </c>
      <c r="D56" s="148" t="str">
        <v>K8</v>
      </c>
      <c r="E56" s="147" t="str">
        <f t="shared" si="1"/>
        <v>EURFUT1MK8_Quote</v>
      </c>
      <c r="F56" s="146" t="str">
        <f>_xll.qlSimpleQuote(E56,,PriceTickValue,Permanent,Trigger,ObjectOverwrite)</f>
        <v>EURFUT1MK8_Quote#0017</v>
      </c>
      <c r="G56" s="109" t="str">
        <f>_xll.ohRangeRetrieveError(F56)</f>
        <v/>
      </c>
      <c r="H56" s="145"/>
    </row>
    <row r="57" spans="1:8" x14ac:dyDescent="0.2">
      <c r="A57" s="150"/>
      <c r="B57" s="111">
        <v>55</v>
      </c>
      <c r="C57" s="149" t="b">
        <v>0</v>
      </c>
      <c r="D57" s="148" t="str">
        <v>M8</v>
      </c>
      <c r="E57" s="147" t="str">
        <f t="shared" si="1"/>
        <v>EURFUT1MM8_Quote</v>
      </c>
      <c r="F57" s="146" t="str">
        <f>_xll.qlSimpleQuote(E57,,PriceTickValue,Permanent,Trigger,ObjectOverwrite)</f>
        <v>EURFUT1MM8_Quote#0017</v>
      </c>
      <c r="G57" s="109" t="str">
        <f>_xll.ohRangeRetrieveError(F57)</f>
        <v/>
      </c>
      <c r="H57" s="145"/>
    </row>
    <row r="58" spans="1:8" x14ac:dyDescent="0.2">
      <c r="A58" s="150"/>
      <c r="B58" s="111">
        <v>56</v>
      </c>
      <c r="C58" s="149" t="b">
        <v>0</v>
      </c>
      <c r="D58" s="148" t="str">
        <v>N8</v>
      </c>
      <c r="E58" s="147" t="str">
        <f t="shared" si="1"/>
        <v>EURFUT1MN8_Quote</v>
      </c>
      <c r="F58" s="146" t="str">
        <f>_xll.qlSimpleQuote(E58,,PriceTickValue,Permanent,Trigger,ObjectOverwrite)</f>
        <v>EURFUT1MN8_Quote#0017</v>
      </c>
      <c r="G58" s="109" t="str">
        <f>_xll.ohRangeRetrieveError(F58)</f>
        <v/>
      </c>
      <c r="H58" s="145"/>
    </row>
    <row r="59" spans="1:8" x14ac:dyDescent="0.2">
      <c r="A59" s="150"/>
      <c r="B59" s="111">
        <v>57</v>
      </c>
      <c r="C59" s="149" t="b">
        <v>0</v>
      </c>
      <c r="D59" s="148" t="str">
        <v>Q8</v>
      </c>
      <c r="E59" s="147" t="str">
        <f t="shared" si="1"/>
        <v>EURFUT1MQ8_Quote</v>
      </c>
      <c r="F59" s="146" t="str">
        <f>_xll.qlSimpleQuote(E59,,PriceTickValue,Permanent,Trigger,ObjectOverwrite)</f>
        <v>EURFUT1MQ8_Quote#0017</v>
      </c>
      <c r="G59" s="109" t="str">
        <f>_xll.ohRangeRetrieveError(F59)</f>
        <v/>
      </c>
      <c r="H59" s="145"/>
    </row>
    <row r="60" spans="1:8" x14ac:dyDescent="0.2">
      <c r="A60" s="150"/>
      <c r="B60" s="111">
        <v>58</v>
      </c>
      <c r="C60" s="149" t="b">
        <v>0</v>
      </c>
      <c r="D60" s="148" t="str">
        <v>U8</v>
      </c>
      <c r="E60" s="147" t="str">
        <f t="shared" si="1"/>
        <v>EURFUT1MU8_Quote</v>
      </c>
      <c r="F60" s="146" t="str">
        <f>_xll.qlSimpleQuote(E60,,PriceTickValue,Permanent,Trigger,ObjectOverwrite)</f>
        <v>EURFUT1MU8_Quote#0017</v>
      </c>
      <c r="G60" s="109" t="str">
        <f>_xll.ohRangeRetrieveError(F60)</f>
        <v/>
      </c>
      <c r="H60" s="145"/>
    </row>
    <row r="61" spans="1:8" x14ac:dyDescent="0.2">
      <c r="A61" s="150"/>
      <c r="B61" s="111">
        <v>59</v>
      </c>
      <c r="C61" s="149" t="b">
        <v>0</v>
      </c>
      <c r="D61" s="148" t="str">
        <v>V8</v>
      </c>
      <c r="E61" s="147" t="str">
        <f t="shared" si="1"/>
        <v>EURFUT1MV8_Quote</v>
      </c>
      <c r="F61" s="146" t="str">
        <f>_xll.qlSimpleQuote(E61,,PriceTickValue,Permanent,Trigger,ObjectOverwrite)</f>
        <v>EURFUT1MV8_Quote#0017</v>
      </c>
      <c r="G61" s="109" t="str">
        <f>_xll.ohRangeRetrieveError(F61)</f>
        <v/>
      </c>
      <c r="H61" s="145"/>
    </row>
    <row r="62" spans="1:8" x14ac:dyDescent="0.2">
      <c r="A62" s="150"/>
      <c r="B62" s="111">
        <v>60</v>
      </c>
      <c r="C62" s="149" t="b">
        <v>0</v>
      </c>
      <c r="D62" s="148" t="str">
        <v>X8</v>
      </c>
      <c r="E62" s="147" t="str">
        <f t="shared" si="1"/>
        <v>EURFUT1MX8_Quote</v>
      </c>
      <c r="F62" s="146" t="str">
        <f>_xll.qlSimpleQuote(E62,,PriceTickValue,Permanent,Trigger,ObjectOverwrite)</f>
        <v>EURFUT1MX8_Quote#0017</v>
      </c>
      <c r="G62" s="109" t="str">
        <f>_xll.ohRangeRetrieveError(F62)</f>
        <v/>
      </c>
      <c r="H62" s="145"/>
    </row>
    <row r="63" spans="1:8" x14ac:dyDescent="0.2">
      <c r="A63" s="150"/>
      <c r="B63" s="111">
        <v>61</v>
      </c>
      <c r="C63" s="149" t="b">
        <v>0</v>
      </c>
      <c r="D63" s="148" t="str">
        <v>Z8</v>
      </c>
      <c r="E63" s="147" t="str">
        <f t="shared" si="1"/>
        <v>EURFUT1MZ8_Quote</v>
      </c>
      <c r="F63" s="146" t="str">
        <f>_xll.qlSimpleQuote(E63,,PriceTickValue,Permanent,Trigger,ObjectOverwrite)</f>
        <v>EURFUT1MZ8_Quote#0017</v>
      </c>
      <c r="G63" s="109" t="str">
        <f>_xll.ohRangeRetrieveError(F63)</f>
        <v/>
      </c>
      <c r="H63" s="145"/>
    </row>
    <row r="64" spans="1:8" x14ac:dyDescent="0.2">
      <c r="A64" s="150"/>
      <c r="B64" s="111">
        <v>62</v>
      </c>
      <c r="C64" s="149" t="b">
        <v>0</v>
      </c>
      <c r="D64" s="148" t="str">
        <v>F9</v>
      </c>
      <c r="E64" s="147" t="str">
        <f t="shared" si="1"/>
        <v>EURFUT1MF9_Quote</v>
      </c>
      <c r="F64" s="146" t="str">
        <f>_xll.qlSimpleQuote(E64,,PriceTickValue,Permanent,Trigger,ObjectOverwrite)</f>
        <v>EURFUT1MF9_Quote#0017</v>
      </c>
      <c r="G64" s="109" t="str">
        <f>_xll.ohRangeRetrieveError(F64)</f>
        <v/>
      </c>
      <c r="H64" s="145"/>
    </row>
    <row r="65" spans="1:8" x14ac:dyDescent="0.2">
      <c r="A65" s="150"/>
      <c r="B65" s="111">
        <v>63</v>
      </c>
      <c r="C65" s="149" t="b">
        <v>0</v>
      </c>
      <c r="D65" s="148" t="str">
        <v>G9</v>
      </c>
      <c r="E65" s="147" t="str">
        <f t="shared" si="1"/>
        <v>EURFUT1MG9_Quote</v>
      </c>
      <c r="F65" s="146" t="str">
        <f>_xll.qlSimpleQuote(E65,,PriceTickValue,Permanent,Trigger,ObjectOverwrite)</f>
        <v>EURFUT1MG9_Quote#0017</v>
      </c>
      <c r="G65" s="109" t="str">
        <f>_xll.ohRangeRetrieveError(F65)</f>
        <v/>
      </c>
      <c r="H65" s="145"/>
    </row>
    <row r="66" spans="1:8" x14ac:dyDescent="0.2">
      <c r="A66" s="150"/>
      <c r="B66" s="111">
        <v>64</v>
      </c>
      <c r="C66" s="149" t="b">
        <v>0</v>
      </c>
      <c r="D66" s="148" t="str">
        <v>H9</v>
      </c>
      <c r="E66" s="147" t="str">
        <f t="shared" si="1"/>
        <v>EURFUT1MH9_Quote</v>
      </c>
      <c r="F66" s="146" t="str">
        <f>_xll.qlSimpleQuote(E66,,PriceTickValue,Permanent,Trigger,ObjectOverwrite)</f>
        <v>EURFUT1MH9_Quote#0017</v>
      </c>
      <c r="G66" s="109" t="str">
        <f>_xll.ohRangeRetrieveError(F66)</f>
        <v/>
      </c>
      <c r="H66" s="145"/>
    </row>
    <row r="67" spans="1:8" x14ac:dyDescent="0.2">
      <c r="A67" s="150"/>
      <c r="B67" s="111">
        <v>65</v>
      </c>
      <c r="C67" s="149" t="b">
        <v>0</v>
      </c>
      <c r="D67" s="148" t="str">
        <v>J9</v>
      </c>
      <c r="E67" s="147" t="str">
        <f t="shared" ref="E67:E98" si="2">Currency&amp;$D$1&amp;$E$1&amp;$D67&amp;QuoteSuffix</f>
        <v>EURFUT1MJ9_Quote</v>
      </c>
      <c r="F67" s="146" t="str">
        <f>_xll.qlSimpleQuote(E67,,PriceTickValue,Permanent,Trigger,ObjectOverwrite)</f>
        <v>EURFUT1MJ9_Quote#0017</v>
      </c>
      <c r="G67" s="109" t="str">
        <f>_xll.ohRangeRetrieveError(F67)</f>
        <v/>
      </c>
      <c r="H67" s="145"/>
    </row>
    <row r="68" spans="1:8" x14ac:dyDescent="0.2">
      <c r="A68" s="150"/>
      <c r="B68" s="111">
        <v>66</v>
      </c>
      <c r="C68" s="149" t="b">
        <v>0</v>
      </c>
      <c r="D68" s="148" t="str">
        <v>K9</v>
      </c>
      <c r="E68" s="147" t="str">
        <f t="shared" si="2"/>
        <v>EURFUT1MK9_Quote</v>
      </c>
      <c r="F68" s="146" t="str">
        <f>_xll.qlSimpleQuote(E68,,PriceTickValue,Permanent,Trigger,ObjectOverwrite)</f>
        <v>EURFUT1MK9_Quote#0017</v>
      </c>
      <c r="G68" s="109" t="str">
        <f>_xll.ohRangeRetrieveError(F68)</f>
        <v/>
      </c>
      <c r="H68" s="145"/>
    </row>
    <row r="69" spans="1:8" x14ac:dyDescent="0.2">
      <c r="A69" s="150"/>
      <c r="B69" s="111">
        <v>67</v>
      </c>
      <c r="C69" s="149" t="b">
        <v>0</v>
      </c>
      <c r="D69" s="148" t="str">
        <v>M9</v>
      </c>
      <c r="E69" s="147" t="str">
        <f t="shared" si="2"/>
        <v>EURFUT1MM9_Quote</v>
      </c>
      <c r="F69" s="146" t="str">
        <f>_xll.qlSimpleQuote(E69,,PriceTickValue,Permanent,Trigger,ObjectOverwrite)</f>
        <v>EURFUT1MM9_Quote#0017</v>
      </c>
      <c r="G69" s="109" t="str">
        <f>_xll.ohRangeRetrieveError(F69)</f>
        <v/>
      </c>
      <c r="H69" s="145"/>
    </row>
    <row r="70" spans="1:8" x14ac:dyDescent="0.2">
      <c r="A70" s="150"/>
      <c r="B70" s="111">
        <v>68</v>
      </c>
      <c r="C70" s="149" t="b">
        <v>0</v>
      </c>
      <c r="D70" s="148" t="str">
        <v>N9</v>
      </c>
      <c r="E70" s="147" t="str">
        <f t="shared" si="2"/>
        <v>EURFUT1MN9_Quote</v>
      </c>
      <c r="F70" s="146" t="str">
        <f>_xll.qlSimpleQuote(E70,,PriceTickValue,Permanent,Trigger,ObjectOverwrite)</f>
        <v>EURFUT1MN9_Quote#0017</v>
      </c>
      <c r="G70" s="109" t="str">
        <f>_xll.ohRangeRetrieveError(F70)</f>
        <v/>
      </c>
      <c r="H70" s="145"/>
    </row>
    <row r="71" spans="1:8" x14ac:dyDescent="0.2">
      <c r="A71" s="150"/>
      <c r="B71" s="111">
        <v>69</v>
      </c>
      <c r="C71" s="149" t="b">
        <v>0</v>
      </c>
      <c r="D71" s="148" t="str">
        <v>Q9</v>
      </c>
      <c r="E71" s="147" t="str">
        <f t="shared" si="2"/>
        <v>EURFUT1MQ9_Quote</v>
      </c>
      <c r="F71" s="146" t="str">
        <f>_xll.qlSimpleQuote(E71,,PriceTickValue,Permanent,Trigger,ObjectOverwrite)</f>
        <v>EURFUT1MQ9_Quote#0017</v>
      </c>
      <c r="G71" s="109" t="str">
        <f>_xll.ohRangeRetrieveError(F71)</f>
        <v/>
      </c>
      <c r="H71" s="145"/>
    </row>
    <row r="72" spans="1:8" x14ac:dyDescent="0.2">
      <c r="A72" s="150"/>
      <c r="B72" s="111">
        <v>70</v>
      </c>
      <c r="C72" s="149" t="b">
        <v>0</v>
      </c>
      <c r="D72" s="148" t="str">
        <v>U9</v>
      </c>
      <c r="E72" s="147" t="str">
        <f t="shared" si="2"/>
        <v>EURFUT1MU9_Quote</v>
      </c>
      <c r="F72" s="146" t="str">
        <f>_xll.qlSimpleQuote(E72,,PriceTickValue,Permanent,Trigger,ObjectOverwrite)</f>
        <v>EURFUT1MU9_Quote#0017</v>
      </c>
      <c r="G72" s="109" t="str">
        <f>_xll.ohRangeRetrieveError(F72)</f>
        <v/>
      </c>
      <c r="H72" s="145"/>
    </row>
    <row r="73" spans="1:8" x14ac:dyDescent="0.2">
      <c r="A73" s="150"/>
      <c r="B73" s="111">
        <v>71</v>
      </c>
      <c r="C73" s="149" t="b">
        <v>0</v>
      </c>
      <c r="D73" s="148" t="str">
        <v>V9</v>
      </c>
      <c r="E73" s="147" t="str">
        <f t="shared" si="2"/>
        <v>EURFUT1MV9_Quote</v>
      </c>
      <c r="F73" s="146" t="str">
        <f>_xll.qlSimpleQuote(E73,,PriceTickValue,Permanent,Trigger,ObjectOverwrite)</f>
        <v>EURFUT1MV9_Quote#0017</v>
      </c>
      <c r="G73" s="109" t="str">
        <f>_xll.ohRangeRetrieveError(F73)</f>
        <v/>
      </c>
      <c r="H73" s="145"/>
    </row>
    <row r="74" spans="1:8" x14ac:dyDescent="0.2">
      <c r="A74" s="150"/>
      <c r="B74" s="111">
        <v>72</v>
      </c>
      <c r="C74" s="149" t="b">
        <v>0</v>
      </c>
      <c r="D74" s="148" t="str">
        <v>X9</v>
      </c>
      <c r="E74" s="147" t="str">
        <f t="shared" si="2"/>
        <v>EURFUT1MX9_Quote</v>
      </c>
      <c r="F74" s="146" t="str">
        <f>_xll.qlSimpleQuote(E74,,PriceTickValue,Permanent,Trigger,ObjectOverwrite)</f>
        <v>EURFUT1MX9_Quote#0017</v>
      </c>
      <c r="G74" s="109" t="str">
        <f>_xll.ohRangeRetrieveError(F74)</f>
        <v/>
      </c>
      <c r="H74" s="145"/>
    </row>
    <row r="75" spans="1:8" x14ac:dyDescent="0.2">
      <c r="A75" s="150"/>
      <c r="B75" s="111">
        <v>73</v>
      </c>
      <c r="C75" s="149" t="b">
        <v>0</v>
      </c>
      <c r="D75" s="148" t="str">
        <v>Z9</v>
      </c>
      <c r="E75" s="147" t="str">
        <f t="shared" si="2"/>
        <v>EURFUT1MZ9_Quote</v>
      </c>
      <c r="F75" s="146" t="str">
        <f>_xll.qlSimpleQuote(E75,,PriceTickValue,Permanent,Trigger,ObjectOverwrite)</f>
        <v>EURFUT1MZ9_Quote#0017</v>
      </c>
      <c r="G75" s="109" t="str">
        <f>_xll.ohRangeRetrieveError(F75)</f>
        <v/>
      </c>
      <c r="H75" s="145"/>
    </row>
    <row r="76" spans="1:8" x14ac:dyDescent="0.2">
      <c r="A76" s="150"/>
      <c r="B76" s="111">
        <v>74</v>
      </c>
      <c r="C76" s="149" t="b">
        <v>0</v>
      </c>
      <c r="D76" s="148" t="str">
        <v>F0</v>
      </c>
      <c r="E76" s="147" t="str">
        <f t="shared" si="2"/>
        <v>EURFUT1MF0_Quote</v>
      </c>
      <c r="F76" s="146" t="str">
        <f>_xll.qlSimpleQuote(E76,,PriceTickValue,Permanent,Trigger,ObjectOverwrite)</f>
        <v>EURFUT1MF0_Quote#0017</v>
      </c>
      <c r="G76" s="109" t="str">
        <f>_xll.ohRangeRetrieveError(F76)</f>
        <v/>
      </c>
      <c r="H76" s="145"/>
    </row>
    <row r="77" spans="1:8" x14ac:dyDescent="0.2">
      <c r="A77" s="150"/>
      <c r="B77" s="111">
        <v>75</v>
      </c>
      <c r="C77" s="149" t="b">
        <v>0</v>
      </c>
      <c r="D77" s="148" t="str">
        <v>G0</v>
      </c>
      <c r="E77" s="147" t="str">
        <f t="shared" si="2"/>
        <v>EURFUT1MG0_Quote</v>
      </c>
      <c r="F77" s="146" t="str">
        <f>_xll.qlSimpleQuote(E77,,PriceTickValue,Permanent,Trigger,ObjectOverwrite)</f>
        <v>EURFUT1MG0_Quote#0017</v>
      </c>
      <c r="G77" s="109" t="str">
        <f>_xll.ohRangeRetrieveError(F77)</f>
        <v/>
      </c>
      <c r="H77" s="145"/>
    </row>
    <row r="78" spans="1:8" x14ac:dyDescent="0.2">
      <c r="A78" s="150"/>
      <c r="B78" s="111">
        <v>76</v>
      </c>
      <c r="C78" s="149" t="b">
        <v>0</v>
      </c>
      <c r="D78" s="148" t="str">
        <v>H0</v>
      </c>
      <c r="E78" s="147" t="str">
        <f t="shared" si="2"/>
        <v>EURFUT1MH0_Quote</v>
      </c>
      <c r="F78" s="146" t="str">
        <f>_xll.qlSimpleQuote(E78,,PriceTickValue,Permanent,Trigger,ObjectOverwrite)</f>
        <v>EURFUT1MH0_Quote#0017</v>
      </c>
      <c r="G78" s="109" t="str">
        <f>_xll.ohRangeRetrieveError(F78)</f>
        <v/>
      </c>
      <c r="H78" s="145"/>
    </row>
    <row r="79" spans="1:8" x14ac:dyDescent="0.2">
      <c r="A79" s="150"/>
      <c r="B79" s="111">
        <v>77</v>
      </c>
      <c r="C79" s="149" t="b">
        <v>0</v>
      </c>
      <c r="D79" s="148" t="str">
        <v>J0</v>
      </c>
      <c r="E79" s="147" t="str">
        <f t="shared" si="2"/>
        <v>EURFUT1MJ0_Quote</v>
      </c>
      <c r="F79" s="146" t="str">
        <f>_xll.qlSimpleQuote(E79,,PriceTickValue,Permanent,Trigger,ObjectOverwrite)</f>
        <v>EURFUT1MJ0_Quote#0017</v>
      </c>
      <c r="G79" s="109" t="str">
        <f>_xll.ohRangeRetrieveError(F79)</f>
        <v/>
      </c>
      <c r="H79" s="145"/>
    </row>
    <row r="80" spans="1:8" x14ac:dyDescent="0.2">
      <c r="A80" s="150"/>
      <c r="B80" s="111">
        <v>78</v>
      </c>
      <c r="C80" s="149" t="b">
        <v>0</v>
      </c>
      <c r="D80" s="148" t="str">
        <v>K0</v>
      </c>
      <c r="E80" s="147" t="str">
        <f t="shared" si="2"/>
        <v>EURFUT1MK0_Quote</v>
      </c>
      <c r="F80" s="146" t="str">
        <f>_xll.qlSimpleQuote(E80,,PriceTickValue,Permanent,Trigger,ObjectOverwrite)</f>
        <v>EURFUT1MK0_Quote#0017</v>
      </c>
      <c r="G80" s="109" t="str">
        <f>_xll.ohRangeRetrieveError(F80)</f>
        <v/>
      </c>
      <c r="H80" s="145"/>
    </row>
    <row r="81" spans="1:8" x14ac:dyDescent="0.2">
      <c r="A81" s="150"/>
      <c r="B81" s="111">
        <v>79</v>
      </c>
      <c r="C81" s="149" t="b">
        <v>0</v>
      </c>
      <c r="D81" s="148" t="str">
        <v>M0</v>
      </c>
      <c r="E81" s="147" t="str">
        <f t="shared" si="2"/>
        <v>EURFUT1MM0_Quote</v>
      </c>
      <c r="F81" s="146" t="str">
        <f>_xll.qlSimpleQuote(E81,,PriceTickValue,Permanent,Trigger,ObjectOverwrite)</f>
        <v>EURFUT1MM0_Quote#0017</v>
      </c>
      <c r="G81" s="109" t="str">
        <f>_xll.ohRangeRetrieveError(F81)</f>
        <v/>
      </c>
      <c r="H81" s="145"/>
    </row>
    <row r="82" spans="1:8" x14ac:dyDescent="0.2">
      <c r="A82" s="150"/>
      <c r="B82" s="111">
        <v>80</v>
      </c>
      <c r="C82" s="149" t="b">
        <v>0</v>
      </c>
      <c r="D82" s="148" t="str">
        <v>N0</v>
      </c>
      <c r="E82" s="147" t="str">
        <f t="shared" si="2"/>
        <v>EURFUT1MN0_Quote</v>
      </c>
      <c r="F82" s="146" t="str">
        <f>_xll.qlSimpleQuote(E82,,PriceTickValue,Permanent,Trigger,ObjectOverwrite)</f>
        <v>EURFUT1MN0_Quote#0017</v>
      </c>
      <c r="G82" s="109" t="str">
        <f>_xll.ohRangeRetrieveError(F82)</f>
        <v/>
      </c>
      <c r="H82" s="145"/>
    </row>
    <row r="83" spans="1:8" x14ac:dyDescent="0.2">
      <c r="A83" s="150"/>
      <c r="B83" s="111">
        <v>81</v>
      </c>
      <c r="C83" s="149" t="b">
        <v>0</v>
      </c>
      <c r="D83" s="148" t="str">
        <v>Q0</v>
      </c>
      <c r="E83" s="147" t="str">
        <f t="shared" si="2"/>
        <v>EURFUT1MQ0_Quote</v>
      </c>
      <c r="F83" s="146" t="str">
        <f>_xll.qlSimpleQuote(E83,,PriceTickValue,Permanent,Trigger,ObjectOverwrite)</f>
        <v>EURFUT1MQ0_Quote#0017</v>
      </c>
      <c r="G83" s="109" t="str">
        <f>_xll.ohRangeRetrieveError(F83)</f>
        <v/>
      </c>
      <c r="H83" s="145"/>
    </row>
    <row r="84" spans="1:8" x14ac:dyDescent="0.2">
      <c r="A84" s="150"/>
      <c r="B84" s="111">
        <v>82</v>
      </c>
      <c r="C84" s="149" t="b">
        <v>0</v>
      </c>
      <c r="D84" s="148" t="str">
        <v>U0</v>
      </c>
      <c r="E84" s="147" t="str">
        <f t="shared" si="2"/>
        <v>EURFUT1MU0_Quote</v>
      </c>
      <c r="F84" s="146" t="str">
        <f>_xll.qlSimpleQuote(E84,,PriceTickValue,Permanent,Trigger,ObjectOverwrite)</f>
        <v>EURFUT1MU0_Quote#0017</v>
      </c>
      <c r="G84" s="109" t="str">
        <f>_xll.ohRangeRetrieveError(F84)</f>
        <v/>
      </c>
      <c r="H84" s="145"/>
    </row>
    <row r="85" spans="1:8" x14ac:dyDescent="0.2">
      <c r="A85" s="150"/>
      <c r="B85" s="111">
        <v>83</v>
      </c>
      <c r="C85" s="149" t="b">
        <v>0</v>
      </c>
      <c r="D85" s="148" t="str">
        <v>V0</v>
      </c>
      <c r="E85" s="147" t="str">
        <f t="shared" si="2"/>
        <v>EURFUT1MV0_Quote</v>
      </c>
      <c r="F85" s="146" t="str">
        <f>_xll.qlSimpleQuote(E85,,PriceTickValue,Permanent,Trigger,ObjectOverwrite)</f>
        <v>EURFUT1MV0_Quote#0017</v>
      </c>
      <c r="G85" s="109" t="str">
        <f>_xll.ohRangeRetrieveError(F85)</f>
        <v/>
      </c>
      <c r="H85" s="145"/>
    </row>
    <row r="86" spans="1:8" x14ac:dyDescent="0.2">
      <c r="A86" s="150"/>
      <c r="B86" s="111">
        <v>84</v>
      </c>
      <c r="C86" s="149" t="b">
        <v>0</v>
      </c>
      <c r="D86" s="148" t="str">
        <v>X0</v>
      </c>
      <c r="E86" s="147" t="str">
        <f t="shared" si="2"/>
        <v>EURFUT1MX0_Quote</v>
      </c>
      <c r="F86" s="146" t="str">
        <f>_xll.qlSimpleQuote(E86,,PriceTickValue,Permanent,Trigger,ObjectOverwrite)</f>
        <v>EURFUT1MX0_Quote#0017</v>
      </c>
      <c r="G86" s="109" t="str">
        <f>_xll.ohRangeRetrieveError(F86)</f>
        <v/>
      </c>
      <c r="H86" s="145"/>
    </row>
    <row r="87" spans="1:8" x14ac:dyDescent="0.2">
      <c r="A87" s="150"/>
      <c r="B87" s="111">
        <v>85</v>
      </c>
      <c r="C87" s="149" t="b">
        <v>0</v>
      </c>
      <c r="D87" s="148" t="str">
        <v>Z0</v>
      </c>
      <c r="E87" s="147" t="str">
        <f t="shared" si="2"/>
        <v>EURFUT1MZ0_Quote</v>
      </c>
      <c r="F87" s="146" t="str">
        <f>_xll.qlSimpleQuote(E87,,PriceTickValue,Permanent,Trigger,ObjectOverwrite)</f>
        <v>EURFUT1MZ0_Quote#0017</v>
      </c>
      <c r="G87" s="109" t="str">
        <f>_xll.ohRangeRetrieveError(F87)</f>
        <v/>
      </c>
      <c r="H87" s="145"/>
    </row>
    <row r="88" spans="1:8" x14ac:dyDescent="0.2">
      <c r="A88" s="150"/>
      <c r="B88" s="111">
        <v>86</v>
      </c>
      <c r="C88" s="149" t="b">
        <v>0</v>
      </c>
      <c r="D88" s="148" t="str">
        <v>F1</v>
      </c>
      <c r="E88" s="147" t="str">
        <f t="shared" si="2"/>
        <v>EURFUT1MF1_Quote</v>
      </c>
      <c r="F88" s="146" t="str">
        <f>_xll.qlSimpleQuote(E88,,PriceTickValue,Permanent,Trigger,ObjectOverwrite)</f>
        <v>EURFUT1MF1_Quote#0017</v>
      </c>
      <c r="G88" s="109" t="str">
        <f>_xll.ohRangeRetrieveError(F88)</f>
        <v/>
      </c>
      <c r="H88" s="145"/>
    </row>
    <row r="89" spans="1:8" x14ac:dyDescent="0.2">
      <c r="A89" s="150"/>
      <c r="B89" s="111">
        <v>87</v>
      </c>
      <c r="C89" s="149" t="b">
        <v>0</v>
      </c>
      <c r="D89" s="148" t="str">
        <v>G1</v>
      </c>
      <c r="E89" s="147" t="str">
        <f t="shared" si="2"/>
        <v>EURFUT1MG1_Quote</v>
      </c>
      <c r="F89" s="146" t="str">
        <f>_xll.qlSimpleQuote(E89,,PriceTickValue,Permanent,Trigger,ObjectOverwrite)</f>
        <v>EURFUT1MG1_Quote#0017</v>
      </c>
      <c r="G89" s="109" t="str">
        <f>_xll.ohRangeRetrieveError(F89)</f>
        <v/>
      </c>
      <c r="H89" s="145"/>
    </row>
    <row r="90" spans="1:8" x14ac:dyDescent="0.2">
      <c r="A90" s="150"/>
      <c r="B90" s="111">
        <v>88</v>
      </c>
      <c r="C90" s="149" t="b">
        <v>0</v>
      </c>
      <c r="D90" s="148" t="str">
        <v>H1</v>
      </c>
      <c r="E90" s="147" t="str">
        <f t="shared" si="2"/>
        <v>EURFUT1MH1_Quote</v>
      </c>
      <c r="F90" s="146" t="str">
        <f>_xll.qlSimpleQuote(E90,,PriceTickValue,Permanent,Trigger,ObjectOverwrite)</f>
        <v>EURFUT1MH1_Quote#0017</v>
      </c>
      <c r="G90" s="109" t="str">
        <f>_xll.ohRangeRetrieveError(F90)</f>
        <v/>
      </c>
      <c r="H90" s="145"/>
    </row>
    <row r="91" spans="1:8" x14ac:dyDescent="0.2">
      <c r="A91" s="150"/>
      <c r="B91" s="111">
        <v>89</v>
      </c>
      <c r="C91" s="149" t="b">
        <v>0</v>
      </c>
      <c r="D91" s="148" t="str">
        <v>J1</v>
      </c>
      <c r="E91" s="147" t="str">
        <f t="shared" si="2"/>
        <v>EURFUT1MJ1_Quote</v>
      </c>
      <c r="F91" s="146" t="str">
        <f>_xll.qlSimpleQuote(E91,,PriceTickValue,Permanent,Trigger,ObjectOverwrite)</f>
        <v>EURFUT1MJ1_Quote#0017</v>
      </c>
      <c r="G91" s="109" t="str">
        <f>_xll.ohRangeRetrieveError(F91)</f>
        <v/>
      </c>
      <c r="H91" s="145"/>
    </row>
    <row r="92" spans="1:8" x14ac:dyDescent="0.2">
      <c r="A92" s="150"/>
      <c r="B92" s="111">
        <v>90</v>
      </c>
      <c r="C92" s="149" t="b">
        <v>0</v>
      </c>
      <c r="D92" s="148" t="str">
        <v>K1</v>
      </c>
      <c r="E92" s="147" t="str">
        <f t="shared" si="2"/>
        <v>EURFUT1MK1_Quote</v>
      </c>
      <c r="F92" s="146" t="str">
        <f>_xll.qlSimpleQuote(E92,,PriceTickValue,Permanent,Trigger,ObjectOverwrite)</f>
        <v>EURFUT1MK1_Quote#0017</v>
      </c>
      <c r="G92" s="109" t="str">
        <f>_xll.ohRangeRetrieveError(F92)</f>
        <v/>
      </c>
      <c r="H92" s="145"/>
    </row>
    <row r="93" spans="1:8" x14ac:dyDescent="0.2">
      <c r="A93" s="150"/>
      <c r="B93" s="111">
        <v>91</v>
      </c>
      <c r="C93" s="149" t="b">
        <v>0</v>
      </c>
      <c r="D93" s="148" t="str">
        <v>M1</v>
      </c>
      <c r="E93" s="147" t="str">
        <f t="shared" si="2"/>
        <v>EURFUT1MM1_Quote</v>
      </c>
      <c r="F93" s="146" t="str">
        <f>_xll.qlSimpleQuote(E93,,PriceTickValue,Permanent,Trigger,ObjectOverwrite)</f>
        <v>EURFUT1MM1_Quote#0017</v>
      </c>
      <c r="G93" s="109" t="str">
        <f>_xll.ohRangeRetrieveError(F93)</f>
        <v/>
      </c>
      <c r="H93" s="145"/>
    </row>
    <row r="94" spans="1:8" x14ac:dyDescent="0.2">
      <c r="A94" s="150"/>
      <c r="B94" s="111">
        <v>92</v>
      </c>
      <c r="C94" s="149" t="b">
        <v>0</v>
      </c>
      <c r="D94" s="148" t="str">
        <v>N1</v>
      </c>
      <c r="E94" s="147" t="str">
        <f t="shared" si="2"/>
        <v>EURFUT1MN1_Quote</v>
      </c>
      <c r="F94" s="146" t="str">
        <f>_xll.qlSimpleQuote(E94,,PriceTickValue,Permanent,Trigger,ObjectOverwrite)</f>
        <v>EURFUT1MN1_Quote#0017</v>
      </c>
      <c r="G94" s="109" t="str">
        <f>_xll.ohRangeRetrieveError(F94)</f>
        <v/>
      </c>
      <c r="H94" s="145"/>
    </row>
    <row r="95" spans="1:8" x14ac:dyDescent="0.2">
      <c r="A95" s="150"/>
      <c r="B95" s="111">
        <v>93</v>
      </c>
      <c r="C95" s="149" t="b">
        <v>0</v>
      </c>
      <c r="D95" s="148" t="str">
        <v>Q1</v>
      </c>
      <c r="E95" s="147" t="str">
        <f t="shared" si="2"/>
        <v>EURFUT1MQ1_Quote</v>
      </c>
      <c r="F95" s="146" t="str">
        <f>_xll.qlSimpleQuote(E95,,PriceTickValue,Permanent,Trigger,ObjectOverwrite)</f>
        <v>EURFUT1MQ1_Quote#0017</v>
      </c>
      <c r="G95" s="109" t="str">
        <f>_xll.ohRangeRetrieveError(F95)</f>
        <v/>
      </c>
      <c r="H95" s="145"/>
    </row>
    <row r="96" spans="1:8" x14ac:dyDescent="0.2">
      <c r="A96" s="150"/>
      <c r="B96" s="111">
        <v>94</v>
      </c>
      <c r="C96" s="149" t="b">
        <v>0</v>
      </c>
      <c r="D96" s="148" t="str">
        <v>U1</v>
      </c>
      <c r="E96" s="147" t="str">
        <f t="shared" si="2"/>
        <v>EURFUT1MU1_Quote</v>
      </c>
      <c r="F96" s="146" t="str">
        <f>_xll.qlSimpleQuote(E96,,PriceTickValue,Permanent,Trigger,ObjectOverwrite)</f>
        <v>EURFUT1MU1_Quote#0017</v>
      </c>
      <c r="G96" s="109" t="str">
        <f>_xll.ohRangeRetrieveError(F96)</f>
        <v/>
      </c>
      <c r="H96" s="145"/>
    </row>
    <row r="97" spans="1:8" x14ac:dyDescent="0.2">
      <c r="A97" s="150"/>
      <c r="B97" s="111">
        <v>95</v>
      </c>
      <c r="C97" s="149" t="b">
        <v>0</v>
      </c>
      <c r="D97" s="148" t="str">
        <v>V1</v>
      </c>
      <c r="E97" s="147" t="str">
        <f t="shared" si="2"/>
        <v>EURFUT1MV1_Quote</v>
      </c>
      <c r="F97" s="146" t="str">
        <f>_xll.qlSimpleQuote(E97,,PriceTickValue,Permanent,Trigger,ObjectOverwrite)</f>
        <v>EURFUT1MV1_Quote#0017</v>
      </c>
      <c r="G97" s="109" t="str">
        <f>_xll.ohRangeRetrieveError(F97)</f>
        <v/>
      </c>
      <c r="H97" s="145"/>
    </row>
    <row r="98" spans="1:8" x14ac:dyDescent="0.2">
      <c r="A98" s="150"/>
      <c r="B98" s="111">
        <v>96</v>
      </c>
      <c r="C98" s="149" t="b">
        <v>0</v>
      </c>
      <c r="D98" s="148" t="str">
        <v>X1</v>
      </c>
      <c r="E98" s="147" t="str">
        <f t="shared" si="2"/>
        <v>EURFUT1MX1_Quote</v>
      </c>
      <c r="F98" s="146" t="str">
        <f>_xll.qlSimpleQuote(E98,,PriceTickValue,Permanent,Trigger,ObjectOverwrite)</f>
        <v>EURFUT1MX1_Quote#0017</v>
      </c>
      <c r="G98" s="109" t="str">
        <f>_xll.ohRangeRetrieveError(F98)</f>
        <v/>
      </c>
      <c r="H98" s="145"/>
    </row>
    <row r="99" spans="1:8" x14ac:dyDescent="0.2">
      <c r="A99" s="150"/>
      <c r="B99" s="111">
        <v>97</v>
      </c>
      <c r="C99" s="149" t="b">
        <v>0</v>
      </c>
      <c r="D99" s="148" t="str">
        <v>Z1</v>
      </c>
      <c r="E99" s="147" t="str">
        <f t="shared" ref="E99:E122" si="3">Currency&amp;$D$1&amp;$E$1&amp;$D99&amp;QuoteSuffix</f>
        <v>EURFUT1MZ1_Quote</v>
      </c>
      <c r="F99" s="146" t="str">
        <f>_xll.qlSimpleQuote(E99,,PriceTickValue,Permanent,Trigger,ObjectOverwrite)</f>
        <v>EURFUT1MZ1_Quote#0017</v>
      </c>
      <c r="G99" s="109" t="str">
        <f>_xll.ohRangeRetrieveError(F99)</f>
        <v/>
      </c>
      <c r="H99" s="145"/>
    </row>
    <row r="100" spans="1:8" x14ac:dyDescent="0.2">
      <c r="A100" s="150"/>
      <c r="B100" s="111">
        <v>98</v>
      </c>
      <c r="C100" s="149" t="b">
        <v>0</v>
      </c>
      <c r="D100" s="148" t="str">
        <v>F2</v>
      </c>
      <c r="E100" s="147" t="str">
        <f t="shared" si="3"/>
        <v>EURFUT1MF2_Quote</v>
      </c>
      <c r="F100" s="146" t="str">
        <f>_xll.qlSimpleQuote(E100,,PriceTickValue,Permanent,Trigger,ObjectOverwrite)</f>
        <v>EURFUT1MF2_Quote#0017</v>
      </c>
      <c r="G100" s="109" t="str">
        <f>_xll.ohRangeRetrieveError(F100)</f>
        <v/>
      </c>
      <c r="H100" s="145"/>
    </row>
    <row r="101" spans="1:8" x14ac:dyDescent="0.2">
      <c r="A101" s="150"/>
      <c r="B101" s="111">
        <v>99</v>
      </c>
      <c r="C101" s="149" t="b">
        <v>0</v>
      </c>
      <c r="D101" s="148" t="str">
        <v>G2</v>
      </c>
      <c r="E101" s="147" t="str">
        <f t="shared" si="3"/>
        <v>EURFUT1MG2_Quote</v>
      </c>
      <c r="F101" s="146" t="str">
        <f>_xll.qlSimpleQuote(E101,,PriceTickValue,Permanent,Trigger,ObjectOverwrite)</f>
        <v>EURFUT1MG2_Quote#0017</v>
      </c>
      <c r="G101" s="109" t="str">
        <f>_xll.ohRangeRetrieveError(F101)</f>
        <v/>
      </c>
      <c r="H101" s="145"/>
    </row>
    <row r="102" spans="1:8" x14ac:dyDescent="0.2">
      <c r="A102" s="150"/>
      <c r="B102" s="111">
        <v>100</v>
      </c>
      <c r="C102" s="149" t="b">
        <v>0</v>
      </c>
      <c r="D102" s="148" t="str">
        <v>H2</v>
      </c>
      <c r="E102" s="147" t="str">
        <f t="shared" si="3"/>
        <v>EURFUT1MH2_Quote</v>
      </c>
      <c r="F102" s="146" t="str">
        <f>_xll.qlSimpleQuote(E102,,PriceTickValue,Permanent,Trigger,ObjectOverwrite)</f>
        <v>EURFUT1MH2_Quote#0017</v>
      </c>
      <c r="G102" s="109" t="str">
        <f>_xll.ohRangeRetrieveError(F102)</f>
        <v/>
      </c>
      <c r="H102" s="145"/>
    </row>
    <row r="103" spans="1:8" x14ac:dyDescent="0.2">
      <c r="A103" s="150"/>
      <c r="B103" s="111">
        <v>101</v>
      </c>
      <c r="C103" s="149" t="b">
        <v>0</v>
      </c>
      <c r="D103" s="148" t="str">
        <v>J2</v>
      </c>
      <c r="E103" s="147" t="str">
        <f t="shared" si="3"/>
        <v>EURFUT1MJ2_Quote</v>
      </c>
      <c r="F103" s="146" t="str">
        <f>_xll.qlSimpleQuote(E103,,PriceTickValue,Permanent,Trigger,ObjectOverwrite)</f>
        <v>EURFUT1MJ2_Quote#0017</v>
      </c>
      <c r="G103" s="109" t="str">
        <f>_xll.ohRangeRetrieveError(F103)</f>
        <v/>
      </c>
      <c r="H103" s="145"/>
    </row>
    <row r="104" spans="1:8" x14ac:dyDescent="0.2">
      <c r="A104" s="150"/>
      <c r="B104" s="111">
        <v>102</v>
      </c>
      <c r="C104" s="149" t="b">
        <v>0</v>
      </c>
      <c r="D104" s="148" t="str">
        <v>K2</v>
      </c>
      <c r="E104" s="147" t="str">
        <f t="shared" si="3"/>
        <v>EURFUT1MK2_Quote</v>
      </c>
      <c r="F104" s="146" t="str">
        <f>_xll.qlSimpleQuote(E104,,PriceTickValue,Permanent,Trigger,ObjectOverwrite)</f>
        <v>EURFUT1MK2_Quote#0017</v>
      </c>
      <c r="G104" s="109" t="str">
        <f>_xll.ohRangeRetrieveError(F104)</f>
        <v/>
      </c>
      <c r="H104" s="145"/>
    </row>
    <row r="105" spans="1:8" x14ac:dyDescent="0.2">
      <c r="A105" s="150"/>
      <c r="B105" s="111">
        <v>103</v>
      </c>
      <c r="C105" s="149" t="b">
        <v>0</v>
      </c>
      <c r="D105" s="148" t="str">
        <v>M2</v>
      </c>
      <c r="E105" s="147" t="str">
        <f t="shared" si="3"/>
        <v>EURFUT1MM2_Quote</v>
      </c>
      <c r="F105" s="146" t="str">
        <f>_xll.qlSimpleQuote(E105,,PriceTickValue,Permanent,Trigger,ObjectOverwrite)</f>
        <v>EURFUT1MM2_Quote#0017</v>
      </c>
      <c r="G105" s="109" t="str">
        <f>_xll.ohRangeRetrieveError(F105)</f>
        <v/>
      </c>
      <c r="H105" s="145"/>
    </row>
    <row r="106" spans="1:8" x14ac:dyDescent="0.2">
      <c r="A106" s="150"/>
      <c r="B106" s="111">
        <v>104</v>
      </c>
      <c r="C106" s="149" t="b">
        <v>0</v>
      </c>
      <c r="D106" s="148" t="str">
        <v>N2</v>
      </c>
      <c r="E106" s="147" t="str">
        <f t="shared" si="3"/>
        <v>EURFUT1MN2_Quote</v>
      </c>
      <c r="F106" s="146" t="str">
        <f>_xll.qlSimpleQuote(E106,,PriceTickValue,Permanent,Trigger,ObjectOverwrite)</f>
        <v>EURFUT1MN2_Quote#0017</v>
      </c>
      <c r="G106" s="109" t="str">
        <f>_xll.ohRangeRetrieveError(F106)</f>
        <v/>
      </c>
      <c r="H106" s="145"/>
    </row>
    <row r="107" spans="1:8" x14ac:dyDescent="0.2">
      <c r="A107" s="150"/>
      <c r="B107" s="111">
        <v>105</v>
      </c>
      <c r="C107" s="149" t="b">
        <v>0</v>
      </c>
      <c r="D107" s="148" t="str">
        <v>Q2</v>
      </c>
      <c r="E107" s="147" t="str">
        <f t="shared" si="3"/>
        <v>EURFUT1MQ2_Quote</v>
      </c>
      <c r="F107" s="146" t="str">
        <f>_xll.qlSimpleQuote(E107,,PriceTickValue,Permanent,Trigger,ObjectOverwrite)</f>
        <v>EURFUT1MQ2_Quote#0017</v>
      </c>
      <c r="G107" s="109" t="str">
        <f>_xll.ohRangeRetrieveError(F107)</f>
        <v/>
      </c>
      <c r="H107" s="145"/>
    </row>
    <row r="108" spans="1:8" x14ac:dyDescent="0.2">
      <c r="A108" s="150"/>
      <c r="B108" s="111">
        <v>106</v>
      </c>
      <c r="C108" s="149" t="b">
        <v>0</v>
      </c>
      <c r="D108" s="148" t="str">
        <v>U2</v>
      </c>
      <c r="E108" s="147" t="str">
        <f t="shared" si="3"/>
        <v>EURFUT1MU2_Quote</v>
      </c>
      <c r="F108" s="146" t="str">
        <f>_xll.qlSimpleQuote(E108,,PriceTickValue,Permanent,Trigger,ObjectOverwrite)</f>
        <v>EURFUT1MU2_Quote#0017</v>
      </c>
      <c r="G108" s="109" t="str">
        <f>_xll.ohRangeRetrieveError(F108)</f>
        <v/>
      </c>
      <c r="H108" s="145"/>
    </row>
    <row r="109" spans="1:8" x14ac:dyDescent="0.2">
      <c r="A109" s="150"/>
      <c r="B109" s="111">
        <v>107</v>
      </c>
      <c r="C109" s="149" t="b">
        <v>0</v>
      </c>
      <c r="D109" s="148" t="str">
        <v>V2</v>
      </c>
      <c r="E109" s="147" t="str">
        <f t="shared" si="3"/>
        <v>EURFUT1MV2_Quote</v>
      </c>
      <c r="F109" s="146" t="str">
        <f>_xll.qlSimpleQuote(E109,,PriceTickValue,Permanent,Trigger,ObjectOverwrite)</f>
        <v>EURFUT1MV2_Quote#0017</v>
      </c>
      <c r="G109" s="109" t="str">
        <f>_xll.ohRangeRetrieveError(F109)</f>
        <v/>
      </c>
      <c r="H109" s="145"/>
    </row>
    <row r="110" spans="1:8" x14ac:dyDescent="0.2">
      <c r="A110" s="150"/>
      <c r="B110" s="111">
        <v>108</v>
      </c>
      <c r="C110" s="149" t="b">
        <v>0</v>
      </c>
      <c r="D110" s="148" t="str">
        <v>X2</v>
      </c>
      <c r="E110" s="147" t="str">
        <f t="shared" si="3"/>
        <v>EURFUT1MX2_Quote</v>
      </c>
      <c r="F110" s="146" t="str">
        <f>_xll.qlSimpleQuote(E110,,PriceTickValue,Permanent,Trigger,ObjectOverwrite)</f>
        <v>EURFUT1MX2_Quote#0017</v>
      </c>
      <c r="G110" s="109" t="str">
        <f>_xll.ohRangeRetrieveError(F110)</f>
        <v/>
      </c>
      <c r="H110" s="145"/>
    </row>
    <row r="111" spans="1:8" x14ac:dyDescent="0.2">
      <c r="A111" s="150"/>
      <c r="B111" s="111">
        <v>109</v>
      </c>
      <c r="C111" s="149" t="b">
        <v>0</v>
      </c>
      <c r="D111" s="148" t="str">
        <v>Z2</v>
      </c>
      <c r="E111" s="147" t="str">
        <f t="shared" si="3"/>
        <v>EURFUT1MZ2_Quote</v>
      </c>
      <c r="F111" s="146" t="str">
        <f>_xll.qlSimpleQuote(E111,,PriceTickValue,Permanent,Trigger,ObjectOverwrite)</f>
        <v>EURFUT1MZ2_Quote#0017</v>
      </c>
      <c r="G111" s="109" t="str">
        <f>_xll.ohRangeRetrieveError(F111)</f>
        <v/>
      </c>
      <c r="H111" s="145"/>
    </row>
    <row r="112" spans="1:8" x14ac:dyDescent="0.2">
      <c r="A112" s="150"/>
      <c r="B112" s="111">
        <v>110</v>
      </c>
      <c r="C112" s="149" t="b">
        <v>0</v>
      </c>
      <c r="D112" s="148" t="str">
        <v>F3</v>
      </c>
      <c r="E112" s="147" t="str">
        <f t="shared" si="3"/>
        <v>EURFUT1MF3_Quote</v>
      </c>
      <c r="F112" s="146" t="str">
        <f>_xll.qlSimpleQuote(E112,,PriceTickValue,Permanent,Trigger,ObjectOverwrite)</f>
        <v>EURFUT1MF3_Quote#0017</v>
      </c>
      <c r="G112" s="109" t="str">
        <f>_xll.ohRangeRetrieveError(F112)</f>
        <v/>
      </c>
      <c r="H112" s="145"/>
    </row>
    <row r="113" spans="1:8" x14ac:dyDescent="0.2">
      <c r="A113" s="150"/>
      <c r="B113" s="111">
        <v>111</v>
      </c>
      <c r="C113" s="149" t="b">
        <v>0</v>
      </c>
      <c r="D113" s="148" t="str">
        <v>G3</v>
      </c>
      <c r="E113" s="147" t="str">
        <f t="shared" si="3"/>
        <v>EURFUT1MG3_Quote</v>
      </c>
      <c r="F113" s="146" t="str">
        <f>_xll.qlSimpleQuote(E113,,PriceTickValue,Permanent,Trigger,ObjectOverwrite)</f>
        <v>EURFUT1MG3_Quote#0017</v>
      </c>
      <c r="G113" s="109" t="str">
        <f>_xll.ohRangeRetrieveError(F113)</f>
        <v/>
      </c>
      <c r="H113" s="145"/>
    </row>
    <row r="114" spans="1:8" x14ac:dyDescent="0.2">
      <c r="A114" s="150"/>
      <c r="B114" s="111">
        <v>112</v>
      </c>
      <c r="C114" s="149" t="b">
        <v>0</v>
      </c>
      <c r="D114" s="148" t="str">
        <v>H3</v>
      </c>
      <c r="E114" s="147" t="str">
        <f t="shared" si="3"/>
        <v>EURFUT1MH3_Quote</v>
      </c>
      <c r="F114" s="146" t="str">
        <f>_xll.qlSimpleQuote(E114,,PriceTickValue,Permanent,Trigger,ObjectOverwrite)</f>
        <v>EURFUT1MH3_Quote#0017</v>
      </c>
      <c r="G114" s="109" t="str">
        <f>_xll.ohRangeRetrieveError(F114)</f>
        <v/>
      </c>
      <c r="H114" s="145"/>
    </row>
    <row r="115" spans="1:8" x14ac:dyDescent="0.2">
      <c r="A115" s="150"/>
      <c r="B115" s="111">
        <v>113</v>
      </c>
      <c r="C115" s="149" t="b">
        <v>0</v>
      </c>
      <c r="D115" s="148" t="str">
        <v>J3</v>
      </c>
      <c r="E115" s="147" t="str">
        <f t="shared" si="3"/>
        <v>EURFUT1MJ3_Quote</v>
      </c>
      <c r="F115" s="146" t="str">
        <f>_xll.qlSimpleQuote(E115,,PriceTickValue,Permanent,Trigger,ObjectOverwrite)</f>
        <v>EURFUT1MJ3_Quote#0017</v>
      </c>
      <c r="G115" s="109" t="str">
        <f>_xll.ohRangeRetrieveError(F115)</f>
        <v/>
      </c>
      <c r="H115" s="145"/>
    </row>
    <row r="116" spans="1:8" x14ac:dyDescent="0.2">
      <c r="A116" s="150"/>
      <c r="B116" s="111">
        <v>114</v>
      </c>
      <c r="C116" s="149" t="b">
        <v>0</v>
      </c>
      <c r="D116" s="148" t="str">
        <v>K3</v>
      </c>
      <c r="E116" s="147" t="str">
        <f t="shared" si="3"/>
        <v>EURFUT1MK3_Quote</v>
      </c>
      <c r="F116" s="146" t="str">
        <f>_xll.qlSimpleQuote(E116,,PriceTickValue,Permanent,Trigger,ObjectOverwrite)</f>
        <v>EURFUT1MK3_Quote#0017</v>
      </c>
      <c r="G116" s="109" t="str">
        <f>_xll.ohRangeRetrieveError(F116)</f>
        <v/>
      </c>
      <c r="H116" s="145"/>
    </row>
    <row r="117" spans="1:8" x14ac:dyDescent="0.2">
      <c r="A117" s="150"/>
      <c r="B117" s="111">
        <v>115</v>
      </c>
      <c r="C117" s="149" t="b">
        <v>0</v>
      </c>
      <c r="D117" s="148" t="str">
        <v>M3</v>
      </c>
      <c r="E117" s="147" t="str">
        <f t="shared" si="3"/>
        <v>EURFUT1MM3_Quote</v>
      </c>
      <c r="F117" s="146" t="str">
        <f>_xll.qlSimpleQuote(E117,,PriceTickValue,Permanent,Trigger,ObjectOverwrite)</f>
        <v>EURFUT1MM3_Quote#0017</v>
      </c>
      <c r="G117" s="109" t="str">
        <f>_xll.ohRangeRetrieveError(F117)</f>
        <v/>
      </c>
      <c r="H117" s="145"/>
    </row>
    <row r="118" spans="1:8" x14ac:dyDescent="0.2">
      <c r="A118" s="150"/>
      <c r="B118" s="111">
        <v>116</v>
      </c>
      <c r="C118" s="149" t="b">
        <v>0</v>
      </c>
      <c r="D118" s="148" t="str">
        <v>N3</v>
      </c>
      <c r="E118" s="147" t="str">
        <f t="shared" si="3"/>
        <v>EURFUT1MN3_Quote</v>
      </c>
      <c r="F118" s="146" t="str">
        <f>_xll.qlSimpleQuote(E118,,PriceTickValue,Permanent,Trigger,ObjectOverwrite)</f>
        <v>EURFUT1MN3_Quote#0017</v>
      </c>
      <c r="G118" s="109" t="str">
        <f>_xll.ohRangeRetrieveError(F118)</f>
        <v/>
      </c>
      <c r="H118" s="145"/>
    </row>
    <row r="119" spans="1:8" x14ac:dyDescent="0.2">
      <c r="A119" s="150"/>
      <c r="B119" s="111">
        <v>117</v>
      </c>
      <c r="C119" s="149" t="b">
        <v>0</v>
      </c>
      <c r="D119" s="148" t="str">
        <v>Q3</v>
      </c>
      <c r="E119" s="147" t="str">
        <f t="shared" si="3"/>
        <v>EURFUT1MQ3_Quote</v>
      </c>
      <c r="F119" s="146" t="str">
        <f>_xll.qlSimpleQuote(E119,,PriceTickValue,Permanent,Trigger,ObjectOverwrite)</f>
        <v>EURFUT1MQ3_Quote#0017</v>
      </c>
      <c r="G119" s="109" t="str">
        <f>_xll.ohRangeRetrieveError(F119)</f>
        <v/>
      </c>
      <c r="H119" s="145"/>
    </row>
    <row r="120" spans="1:8" x14ac:dyDescent="0.2">
      <c r="A120" s="150"/>
      <c r="B120" s="111">
        <v>118</v>
      </c>
      <c r="C120" s="149" t="b">
        <v>0</v>
      </c>
      <c r="D120" s="148" t="str">
        <v>U3</v>
      </c>
      <c r="E120" s="147" t="str">
        <f t="shared" si="3"/>
        <v>EURFUT1MU3_Quote</v>
      </c>
      <c r="F120" s="146" t="str">
        <f>_xll.qlSimpleQuote(E120,,PriceTickValue,Permanent,Trigger,ObjectOverwrite)</f>
        <v>EURFUT1MU3_Quote#0017</v>
      </c>
      <c r="G120" s="109" t="str">
        <f>_xll.ohRangeRetrieveError(F120)</f>
        <v/>
      </c>
      <c r="H120" s="145"/>
    </row>
    <row r="121" spans="1:8" x14ac:dyDescent="0.2">
      <c r="A121" s="150"/>
      <c r="B121" s="111">
        <v>119</v>
      </c>
      <c r="C121" s="149" t="b">
        <v>0</v>
      </c>
      <c r="D121" s="148" t="str">
        <v>V3</v>
      </c>
      <c r="E121" s="147" t="str">
        <f t="shared" si="3"/>
        <v>EURFUT1MV3_Quote</v>
      </c>
      <c r="F121" s="146" t="str">
        <f>_xll.qlSimpleQuote(E121,,PriceTickValue,Permanent,Trigger,ObjectOverwrite)</f>
        <v>EURFUT1MV3_Quote#0017</v>
      </c>
      <c r="G121" s="109" t="str">
        <f>_xll.ohRangeRetrieveError(F121)</f>
        <v/>
      </c>
      <c r="H121" s="145"/>
    </row>
    <row r="122" spans="1:8" x14ac:dyDescent="0.2">
      <c r="A122" s="150"/>
      <c r="B122" s="111">
        <v>120</v>
      </c>
      <c r="C122" s="149" t="b">
        <v>0</v>
      </c>
      <c r="D122" s="148" t="str">
        <v>X3</v>
      </c>
      <c r="E122" s="147" t="str">
        <f t="shared" si="3"/>
        <v>EURFUT1MX3_Quote</v>
      </c>
      <c r="F122" s="146" t="str">
        <f>_xll.qlSimpleQuote(E122,,PriceTickValue,Permanent,Trigger,ObjectOverwrite)</f>
        <v>EURFUT1MX3_Quote#0017</v>
      </c>
      <c r="G122" s="109" t="str">
        <f>_xll.ohRangeRetrieveError(F122)</f>
        <v/>
      </c>
      <c r="H122" s="145"/>
    </row>
    <row r="123" spans="1:8" ht="12" thickBot="1" x14ac:dyDescent="0.25">
      <c r="A123" s="144"/>
      <c r="B123" s="143"/>
      <c r="C123" s="143"/>
      <c r="D123" s="143"/>
      <c r="E123" s="143"/>
      <c r="F123" s="143"/>
      <c r="G123" s="143"/>
      <c r="H123"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123"/>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8" width="4.5703125" style="72" customWidth="1"/>
    <col min="9" max="16384" width="9.140625" style="72"/>
  </cols>
  <sheetData>
    <row r="1" spans="1:8" x14ac:dyDescent="0.2">
      <c r="A1" s="161" t="s">
        <v>190</v>
      </c>
      <c r="B1" s="160"/>
      <c r="C1" s="160"/>
      <c r="D1" s="159" t="s">
        <v>188</v>
      </c>
      <c r="E1" s="159" t="s">
        <v>43</v>
      </c>
      <c r="F1" s="158"/>
      <c r="G1" s="158"/>
      <c r="H1" s="157"/>
    </row>
    <row r="2" spans="1:8" ht="22.5" x14ac:dyDescent="0.2">
      <c r="A2" s="156"/>
      <c r="B2" s="97" t="s">
        <v>187</v>
      </c>
      <c r="C2" s="98" t="s">
        <v>186</v>
      </c>
      <c r="D2" s="98" t="s">
        <v>185</v>
      </c>
      <c r="E2" s="96" t="str">
        <f>Currency&amp;"_010_"&amp;$D$1&amp;$E$1&amp;".xml"</f>
        <v>EUR_010_FUT3M.xml</v>
      </c>
      <c r="F2" s="95">
        <f ca="1">IF(Serialize,_xll.ohObjectSave(F3:F122,SerializationPath&amp;E2,FileOverwrite,Serialize),"---")</f>
        <v>120</v>
      </c>
      <c r="G2" s="112" t="str">
        <f ca="1">_xll.ohRangeRetrieveError(F2)</f>
        <v/>
      </c>
      <c r="H2" s="145"/>
    </row>
    <row r="3" spans="1:8" x14ac:dyDescent="0.2">
      <c r="A3" s="150"/>
      <c r="B3" s="155">
        <v>1</v>
      </c>
      <c r="C3" s="154" t="b">
        <v>0</v>
      </c>
      <c r="D3" s="153" t="str">
        <f t="array" ref="D3:D122">_xll.qlIMMNextCodes(_xll.qlSettingsEvaluationDate(Trigger)-1,$C3:$C122)</f>
        <v>Z3</v>
      </c>
      <c r="E3" s="147" t="str">
        <f t="shared" ref="E3:E34" si="0">Currency&amp;$D$1&amp;$E$1&amp;$D3&amp;QuoteSuffix</f>
        <v>EURFUT3MZ3_Quote</v>
      </c>
      <c r="F3" s="152" t="str">
        <f>_xll.qlSimpleQuote(E3,,PriceTickValue,Permanent,Trigger,ObjectOverwrite)</f>
        <v>EURFUT3MZ3_Quote#0017</v>
      </c>
      <c r="G3" s="151" t="str">
        <f>_xll.ohRangeRetrieveError(F3)</f>
        <v/>
      </c>
      <c r="H3" s="145"/>
    </row>
    <row r="4" spans="1:8" x14ac:dyDescent="0.2">
      <c r="A4" s="150"/>
      <c r="B4" s="111">
        <v>2</v>
      </c>
      <c r="C4" s="149" t="b">
        <v>0</v>
      </c>
      <c r="D4" s="148" t="str">
        <v>F4</v>
      </c>
      <c r="E4" s="147" t="str">
        <f t="shared" si="0"/>
        <v>EURFUT3MF4_Quote</v>
      </c>
      <c r="F4" s="146" t="str">
        <f>_xll.qlSimpleQuote(E4,,PriceTickValue,Permanent,Trigger,ObjectOverwrite)</f>
        <v>EURFUT3MF4_Quote#0017</v>
      </c>
      <c r="G4" s="109" t="str">
        <f>_xll.ohRangeRetrieveError(F4)</f>
        <v/>
      </c>
      <c r="H4" s="145"/>
    </row>
    <row r="5" spans="1:8" x14ac:dyDescent="0.2">
      <c r="A5" s="150"/>
      <c r="B5" s="111">
        <v>3</v>
      </c>
      <c r="C5" s="149" t="b">
        <v>0</v>
      </c>
      <c r="D5" s="148" t="str">
        <v>G4</v>
      </c>
      <c r="E5" s="147" t="str">
        <f t="shared" si="0"/>
        <v>EURFUT3MG4_Quote</v>
      </c>
      <c r="F5" s="146" t="str">
        <f>_xll.qlSimpleQuote(E5,,PriceTickValue,Permanent,Trigger,ObjectOverwrite)</f>
        <v>EURFUT3MG4_Quote#0017</v>
      </c>
      <c r="G5" s="109" t="str">
        <f>_xll.ohRangeRetrieveError(F5)</f>
        <v/>
      </c>
      <c r="H5" s="145"/>
    </row>
    <row r="6" spans="1:8" x14ac:dyDescent="0.2">
      <c r="A6" s="150"/>
      <c r="B6" s="111">
        <v>4</v>
      </c>
      <c r="C6" s="149" t="b">
        <v>0</v>
      </c>
      <c r="D6" s="148" t="str">
        <v>H4</v>
      </c>
      <c r="E6" s="147" t="str">
        <f t="shared" si="0"/>
        <v>EURFUT3MH4_Quote</v>
      </c>
      <c r="F6" s="146" t="str">
        <f>_xll.qlSimpleQuote(E6,,PriceTickValue,Permanent,Trigger,ObjectOverwrite)</f>
        <v>EURFUT3MH4_Quote#0017</v>
      </c>
      <c r="G6" s="109" t="str">
        <f>_xll.ohRangeRetrieveError(F6)</f>
        <v/>
      </c>
      <c r="H6" s="145"/>
    </row>
    <row r="7" spans="1:8" x14ac:dyDescent="0.2">
      <c r="A7" s="150"/>
      <c r="B7" s="111">
        <v>5</v>
      </c>
      <c r="C7" s="149" t="b">
        <v>0</v>
      </c>
      <c r="D7" s="148" t="str">
        <v>J4</v>
      </c>
      <c r="E7" s="147" t="str">
        <f t="shared" si="0"/>
        <v>EURFUT3MJ4_Quote</v>
      </c>
      <c r="F7" s="146" t="str">
        <f>_xll.qlSimpleQuote(E7,,PriceTickValue,Permanent,Trigger,ObjectOverwrite)</f>
        <v>EURFUT3MJ4_Quote#0017</v>
      </c>
      <c r="G7" s="109" t="str">
        <f>_xll.ohRangeRetrieveError(F7)</f>
        <v/>
      </c>
      <c r="H7" s="145"/>
    </row>
    <row r="8" spans="1:8" x14ac:dyDescent="0.2">
      <c r="A8" s="150"/>
      <c r="B8" s="111">
        <v>6</v>
      </c>
      <c r="C8" s="149" t="b">
        <v>0</v>
      </c>
      <c r="D8" s="148" t="str">
        <v>K4</v>
      </c>
      <c r="E8" s="147" t="str">
        <f t="shared" si="0"/>
        <v>EURFUT3MK4_Quote</v>
      </c>
      <c r="F8" s="146" t="str">
        <f>_xll.qlSimpleQuote(E8,,PriceTickValue,Permanent,Trigger,ObjectOverwrite)</f>
        <v>EURFUT3MK4_Quote#0017</v>
      </c>
      <c r="G8" s="109" t="str">
        <f>_xll.ohRangeRetrieveError(F8)</f>
        <v/>
      </c>
      <c r="H8" s="145"/>
    </row>
    <row r="9" spans="1:8" x14ac:dyDescent="0.2">
      <c r="A9" s="150"/>
      <c r="B9" s="111">
        <v>7</v>
      </c>
      <c r="C9" s="149" t="b">
        <v>0</v>
      </c>
      <c r="D9" s="148" t="str">
        <v>M4</v>
      </c>
      <c r="E9" s="147" t="str">
        <f t="shared" si="0"/>
        <v>EURFUT3MM4_Quote</v>
      </c>
      <c r="F9" s="146" t="str">
        <f>_xll.qlSimpleQuote(E9,,PriceTickValue,Permanent,Trigger,ObjectOverwrite)</f>
        <v>EURFUT3MM4_Quote#0017</v>
      </c>
      <c r="G9" s="109" t="str">
        <f>_xll.ohRangeRetrieveError(F9)</f>
        <v/>
      </c>
      <c r="H9" s="145"/>
    </row>
    <row r="10" spans="1:8" x14ac:dyDescent="0.2">
      <c r="A10" s="150"/>
      <c r="B10" s="111">
        <v>8</v>
      </c>
      <c r="C10" s="149" t="b">
        <v>0</v>
      </c>
      <c r="D10" s="148" t="str">
        <v>N4</v>
      </c>
      <c r="E10" s="147" t="str">
        <f t="shared" si="0"/>
        <v>EURFUT3MN4_Quote</v>
      </c>
      <c r="F10" s="146" t="str">
        <f>_xll.qlSimpleQuote(E10,,PriceTickValue,Permanent,Trigger,ObjectOverwrite)</f>
        <v>EURFUT3MN4_Quote#0017</v>
      </c>
      <c r="G10" s="109" t="str">
        <f>_xll.ohRangeRetrieveError(F10)</f>
        <v/>
      </c>
      <c r="H10" s="145"/>
    </row>
    <row r="11" spans="1:8" x14ac:dyDescent="0.2">
      <c r="A11" s="150"/>
      <c r="B11" s="111">
        <v>9</v>
      </c>
      <c r="C11" s="149" t="b">
        <v>0</v>
      </c>
      <c r="D11" s="148" t="str">
        <v>Q4</v>
      </c>
      <c r="E11" s="147" t="str">
        <f t="shared" si="0"/>
        <v>EURFUT3MQ4_Quote</v>
      </c>
      <c r="F11" s="146" t="str">
        <f>_xll.qlSimpleQuote(E11,,PriceTickValue,Permanent,Trigger,ObjectOverwrite)</f>
        <v>EURFUT3MQ4_Quote#0017</v>
      </c>
      <c r="G11" s="109" t="str">
        <f>_xll.ohRangeRetrieveError(F11)</f>
        <v/>
      </c>
      <c r="H11" s="145"/>
    </row>
    <row r="12" spans="1:8" x14ac:dyDescent="0.2">
      <c r="A12" s="150"/>
      <c r="B12" s="111">
        <v>10</v>
      </c>
      <c r="C12" s="149" t="b">
        <v>0</v>
      </c>
      <c r="D12" s="148" t="str">
        <v>U4</v>
      </c>
      <c r="E12" s="147" t="str">
        <f t="shared" si="0"/>
        <v>EURFUT3MU4_Quote</v>
      </c>
      <c r="F12" s="146" t="str">
        <f>_xll.qlSimpleQuote(E12,,PriceTickValue,Permanent,Trigger,ObjectOverwrite)</f>
        <v>EURFUT3MU4_Quote#0017</v>
      </c>
      <c r="G12" s="109" t="str">
        <f>_xll.ohRangeRetrieveError(F12)</f>
        <v/>
      </c>
      <c r="H12" s="145"/>
    </row>
    <row r="13" spans="1:8" x14ac:dyDescent="0.2">
      <c r="A13" s="150"/>
      <c r="B13" s="111">
        <v>11</v>
      </c>
      <c r="C13" s="149" t="b">
        <v>0</v>
      </c>
      <c r="D13" s="148" t="str">
        <v>V4</v>
      </c>
      <c r="E13" s="147" t="str">
        <f t="shared" si="0"/>
        <v>EURFUT3MV4_Quote</v>
      </c>
      <c r="F13" s="146" t="str">
        <f>_xll.qlSimpleQuote(E13,,PriceTickValue,Permanent,Trigger,ObjectOverwrite)</f>
        <v>EURFUT3MV4_Quote#0017</v>
      </c>
      <c r="G13" s="109" t="str">
        <f>_xll.ohRangeRetrieveError(F13)</f>
        <v/>
      </c>
      <c r="H13" s="145"/>
    </row>
    <row r="14" spans="1:8" x14ac:dyDescent="0.2">
      <c r="A14" s="150"/>
      <c r="B14" s="111">
        <v>12</v>
      </c>
      <c r="C14" s="149" t="b">
        <v>0</v>
      </c>
      <c r="D14" s="148" t="str">
        <v>X4</v>
      </c>
      <c r="E14" s="147" t="str">
        <f t="shared" si="0"/>
        <v>EURFUT3MX4_Quote</v>
      </c>
      <c r="F14" s="146" t="str">
        <f>_xll.qlSimpleQuote(E14,,PriceTickValue,Permanent,Trigger,ObjectOverwrite)</f>
        <v>EURFUT3MX4_Quote#0017</v>
      </c>
      <c r="G14" s="109" t="str">
        <f>_xll.ohRangeRetrieveError(F14)</f>
        <v/>
      </c>
      <c r="H14" s="145"/>
    </row>
    <row r="15" spans="1:8" x14ac:dyDescent="0.2">
      <c r="A15" s="150"/>
      <c r="B15" s="111">
        <v>13</v>
      </c>
      <c r="C15" s="149" t="b">
        <v>0</v>
      </c>
      <c r="D15" s="148" t="str">
        <v>Z4</v>
      </c>
      <c r="E15" s="147" t="str">
        <f t="shared" si="0"/>
        <v>EURFUT3MZ4_Quote</v>
      </c>
      <c r="F15" s="146" t="str">
        <f>_xll.qlSimpleQuote(E15,,PriceTickValue,Permanent,Trigger,ObjectOverwrite)</f>
        <v>EURFUT3MZ4_Quote#0017</v>
      </c>
      <c r="G15" s="109" t="str">
        <f>_xll.ohRangeRetrieveError(F15)</f>
        <v/>
      </c>
      <c r="H15" s="145"/>
    </row>
    <row r="16" spans="1:8" x14ac:dyDescent="0.2">
      <c r="A16" s="150"/>
      <c r="B16" s="111">
        <v>14</v>
      </c>
      <c r="C16" s="149" t="b">
        <v>0</v>
      </c>
      <c r="D16" s="148" t="str">
        <v>F5</v>
      </c>
      <c r="E16" s="147" t="str">
        <f t="shared" si="0"/>
        <v>EURFUT3MF5_Quote</v>
      </c>
      <c r="F16" s="146" t="str">
        <f>_xll.qlSimpleQuote(E16,,PriceTickValue,Permanent,Trigger,ObjectOverwrite)</f>
        <v>EURFUT3MF5_Quote#0017</v>
      </c>
      <c r="G16" s="109" t="str">
        <f>_xll.ohRangeRetrieveError(F16)</f>
        <v/>
      </c>
      <c r="H16" s="145"/>
    </row>
    <row r="17" spans="1:8" x14ac:dyDescent="0.2">
      <c r="A17" s="150"/>
      <c r="B17" s="111">
        <v>15</v>
      </c>
      <c r="C17" s="149" t="b">
        <v>0</v>
      </c>
      <c r="D17" s="148" t="str">
        <v>G5</v>
      </c>
      <c r="E17" s="147" t="str">
        <f t="shared" si="0"/>
        <v>EURFUT3MG5_Quote</v>
      </c>
      <c r="F17" s="146" t="str">
        <f>_xll.qlSimpleQuote(E17,,PriceTickValue,Permanent,Trigger,ObjectOverwrite)</f>
        <v>EURFUT3MG5_Quote#0017</v>
      </c>
      <c r="G17" s="109" t="str">
        <f>_xll.ohRangeRetrieveError(F17)</f>
        <v/>
      </c>
      <c r="H17" s="145"/>
    </row>
    <row r="18" spans="1:8" x14ac:dyDescent="0.2">
      <c r="A18" s="150"/>
      <c r="B18" s="111">
        <v>16</v>
      </c>
      <c r="C18" s="149" t="b">
        <v>0</v>
      </c>
      <c r="D18" s="148" t="str">
        <v>H5</v>
      </c>
      <c r="E18" s="147" t="str">
        <f t="shared" si="0"/>
        <v>EURFUT3MH5_Quote</v>
      </c>
      <c r="F18" s="146" t="str">
        <f>_xll.qlSimpleQuote(E18,,PriceTickValue,Permanent,Trigger,ObjectOverwrite)</f>
        <v>EURFUT3MH5_Quote#0017</v>
      </c>
      <c r="G18" s="109" t="str">
        <f>_xll.ohRangeRetrieveError(F18)</f>
        <v/>
      </c>
      <c r="H18" s="145"/>
    </row>
    <row r="19" spans="1:8" x14ac:dyDescent="0.2">
      <c r="A19" s="150"/>
      <c r="B19" s="111">
        <v>17</v>
      </c>
      <c r="C19" s="149" t="b">
        <v>0</v>
      </c>
      <c r="D19" s="148" t="str">
        <v>J5</v>
      </c>
      <c r="E19" s="147" t="str">
        <f t="shared" si="0"/>
        <v>EURFUT3MJ5_Quote</v>
      </c>
      <c r="F19" s="146" t="str">
        <f>_xll.qlSimpleQuote(E19,,PriceTickValue,Permanent,Trigger,ObjectOverwrite)</f>
        <v>EURFUT3MJ5_Quote#0017</v>
      </c>
      <c r="G19" s="109" t="str">
        <f>_xll.ohRangeRetrieveError(F19)</f>
        <v/>
      </c>
      <c r="H19" s="145"/>
    </row>
    <row r="20" spans="1:8" x14ac:dyDescent="0.2">
      <c r="A20" s="150"/>
      <c r="B20" s="111">
        <v>18</v>
      </c>
      <c r="C20" s="149" t="b">
        <v>0</v>
      </c>
      <c r="D20" s="148" t="str">
        <v>K5</v>
      </c>
      <c r="E20" s="147" t="str">
        <f t="shared" si="0"/>
        <v>EURFUT3MK5_Quote</v>
      </c>
      <c r="F20" s="146" t="str">
        <f>_xll.qlSimpleQuote(E20,,PriceTickValue,Permanent,Trigger,ObjectOverwrite)</f>
        <v>EURFUT3MK5_Quote#0017</v>
      </c>
      <c r="G20" s="109" t="str">
        <f>_xll.ohRangeRetrieveError(F20)</f>
        <v/>
      </c>
      <c r="H20" s="145"/>
    </row>
    <row r="21" spans="1:8" x14ac:dyDescent="0.2">
      <c r="A21" s="150"/>
      <c r="B21" s="111">
        <v>19</v>
      </c>
      <c r="C21" s="149" t="b">
        <v>0</v>
      </c>
      <c r="D21" s="148" t="str">
        <v>M5</v>
      </c>
      <c r="E21" s="147" t="str">
        <f t="shared" si="0"/>
        <v>EURFUT3MM5_Quote</v>
      </c>
      <c r="F21" s="146" t="str">
        <f>_xll.qlSimpleQuote(E21,,PriceTickValue,Permanent,Trigger,ObjectOverwrite)</f>
        <v>EURFUT3MM5_Quote#0017</v>
      </c>
      <c r="G21" s="109" t="str">
        <f>_xll.ohRangeRetrieveError(F21)</f>
        <v/>
      </c>
      <c r="H21" s="145"/>
    </row>
    <row r="22" spans="1:8" x14ac:dyDescent="0.2">
      <c r="A22" s="150"/>
      <c r="B22" s="111">
        <v>20</v>
      </c>
      <c r="C22" s="149" t="b">
        <v>0</v>
      </c>
      <c r="D22" s="148" t="str">
        <v>N5</v>
      </c>
      <c r="E22" s="147" t="str">
        <f t="shared" si="0"/>
        <v>EURFUT3MN5_Quote</v>
      </c>
      <c r="F22" s="146" t="str">
        <f>_xll.qlSimpleQuote(E22,,PriceTickValue,Permanent,Trigger,ObjectOverwrite)</f>
        <v>EURFUT3MN5_Quote#0017</v>
      </c>
      <c r="G22" s="109" t="str">
        <f>_xll.ohRangeRetrieveError(F22)</f>
        <v/>
      </c>
      <c r="H22" s="145"/>
    </row>
    <row r="23" spans="1:8" x14ac:dyDescent="0.2">
      <c r="A23" s="150"/>
      <c r="B23" s="111">
        <v>21</v>
      </c>
      <c r="C23" s="149" t="b">
        <v>0</v>
      </c>
      <c r="D23" s="148" t="str">
        <v>Q5</v>
      </c>
      <c r="E23" s="147" t="str">
        <f t="shared" si="0"/>
        <v>EURFUT3MQ5_Quote</v>
      </c>
      <c r="F23" s="146" t="str">
        <f>_xll.qlSimpleQuote(E23,,PriceTickValue,Permanent,Trigger,ObjectOverwrite)</f>
        <v>EURFUT3MQ5_Quote#0017</v>
      </c>
      <c r="G23" s="109" t="str">
        <f>_xll.ohRangeRetrieveError(F23)</f>
        <v/>
      </c>
      <c r="H23" s="145"/>
    </row>
    <row r="24" spans="1:8" x14ac:dyDescent="0.2">
      <c r="A24" s="150"/>
      <c r="B24" s="111">
        <v>22</v>
      </c>
      <c r="C24" s="149" t="b">
        <v>0</v>
      </c>
      <c r="D24" s="148" t="str">
        <v>U5</v>
      </c>
      <c r="E24" s="147" t="str">
        <f t="shared" si="0"/>
        <v>EURFUT3MU5_Quote</v>
      </c>
      <c r="F24" s="146" t="str">
        <f>_xll.qlSimpleQuote(E24,,PriceTickValue,Permanent,Trigger,ObjectOverwrite)</f>
        <v>EURFUT3MU5_Quote#0017</v>
      </c>
      <c r="G24" s="109" t="str">
        <f>_xll.ohRangeRetrieveError(F24)</f>
        <v/>
      </c>
      <c r="H24" s="145"/>
    </row>
    <row r="25" spans="1:8" x14ac:dyDescent="0.2">
      <c r="A25" s="150"/>
      <c r="B25" s="111">
        <v>23</v>
      </c>
      <c r="C25" s="149" t="b">
        <v>0</v>
      </c>
      <c r="D25" s="148" t="str">
        <v>V5</v>
      </c>
      <c r="E25" s="147" t="str">
        <f t="shared" si="0"/>
        <v>EURFUT3MV5_Quote</v>
      </c>
      <c r="F25" s="146" t="str">
        <f>_xll.qlSimpleQuote(E25,,PriceTickValue,Permanent,Trigger,ObjectOverwrite)</f>
        <v>EURFUT3MV5_Quote#0017</v>
      </c>
      <c r="G25" s="109" t="str">
        <f>_xll.ohRangeRetrieveError(F25)</f>
        <v/>
      </c>
      <c r="H25" s="145"/>
    </row>
    <row r="26" spans="1:8" x14ac:dyDescent="0.2">
      <c r="A26" s="150"/>
      <c r="B26" s="111">
        <v>24</v>
      </c>
      <c r="C26" s="149" t="b">
        <v>0</v>
      </c>
      <c r="D26" s="148" t="str">
        <v>X5</v>
      </c>
      <c r="E26" s="147" t="str">
        <f t="shared" si="0"/>
        <v>EURFUT3MX5_Quote</v>
      </c>
      <c r="F26" s="146" t="str">
        <f>_xll.qlSimpleQuote(E26,,PriceTickValue,Permanent,Trigger,ObjectOverwrite)</f>
        <v>EURFUT3MX5_Quote#0017</v>
      </c>
      <c r="G26" s="109" t="str">
        <f>_xll.ohRangeRetrieveError(F26)</f>
        <v/>
      </c>
      <c r="H26" s="145"/>
    </row>
    <row r="27" spans="1:8" x14ac:dyDescent="0.2">
      <c r="A27" s="150"/>
      <c r="B27" s="111">
        <v>25</v>
      </c>
      <c r="C27" s="149" t="b">
        <v>0</v>
      </c>
      <c r="D27" s="148" t="str">
        <v>Z5</v>
      </c>
      <c r="E27" s="147" t="str">
        <f t="shared" si="0"/>
        <v>EURFUT3MZ5_Quote</v>
      </c>
      <c r="F27" s="146" t="str">
        <f>_xll.qlSimpleQuote(E27,,PriceTickValue,Permanent,Trigger,ObjectOverwrite)</f>
        <v>EURFUT3MZ5_Quote#0017</v>
      </c>
      <c r="G27" s="109" t="str">
        <f>_xll.ohRangeRetrieveError(F27)</f>
        <v/>
      </c>
      <c r="H27" s="145"/>
    </row>
    <row r="28" spans="1:8" x14ac:dyDescent="0.2">
      <c r="A28" s="150"/>
      <c r="B28" s="111">
        <v>26</v>
      </c>
      <c r="C28" s="149" t="b">
        <v>0</v>
      </c>
      <c r="D28" s="148" t="str">
        <v>F6</v>
      </c>
      <c r="E28" s="147" t="str">
        <f t="shared" si="0"/>
        <v>EURFUT3MF6_Quote</v>
      </c>
      <c r="F28" s="146" t="str">
        <f>_xll.qlSimpleQuote(E28,,PriceTickValue,Permanent,Trigger,ObjectOverwrite)</f>
        <v>EURFUT3MF6_Quote#0017</v>
      </c>
      <c r="G28" s="109" t="str">
        <f>_xll.ohRangeRetrieveError(F28)</f>
        <v/>
      </c>
      <c r="H28" s="145"/>
    </row>
    <row r="29" spans="1:8" x14ac:dyDescent="0.2">
      <c r="A29" s="150"/>
      <c r="B29" s="111">
        <v>27</v>
      </c>
      <c r="C29" s="149" t="b">
        <v>0</v>
      </c>
      <c r="D29" s="148" t="str">
        <v>G6</v>
      </c>
      <c r="E29" s="147" t="str">
        <f t="shared" si="0"/>
        <v>EURFUT3MG6_Quote</v>
      </c>
      <c r="F29" s="146" t="str">
        <f>_xll.qlSimpleQuote(E29,,PriceTickValue,Permanent,Trigger,ObjectOverwrite)</f>
        <v>EURFUT3MG6_Quote#0017</v>
      </c>
      <c r="G29" s="109" t="str">
        <f>_xll.ohRangeRetrieveError(F29)</f>
        <v/>
      </c>
      <c r="H29" s="145"/>
    </row>
    <row r="30" spans="1:8" x14ac:dyDescent="0.2">
      <c r="A30" s="150"/>
      <c r="B30" s="111">
        <v>28</v>
      </c>
      <c r="C30" s="149" t="b">
        <v>0</v>
      </c>
      <c r="D30" s="148" t="str">
        <v>H6</v>
      </c>
      <c r="E30" s="147" t="str">
        <f t="shared" si="0"/>
        <v>EURFUT3MH6_Quote</v>
      </c>
      <c r="F30" s="146" t="str">
        <f>_xll.qlSimpleQuote(E30,,PriceTickValue,Permanent,Trigger,ObjectOverwrite)</f>
        <v>EURFUT3MH6_Quote#0017</v>
      </c>
      <c r="G30" s="109" t="str">
        <f>_xll.ohRangeRetrieveError(F30)</f>
        <v/>
      </c>
      <c r="H30" s="145"/>
    </row>
    <row r="31" spans="1:8" x14ac:dyDescent="0.2">
      <c r="A31" s="150"/>
      <c r="B31" s="111">
        <v>29</v>
      </c>
      <c r="C31" s="149" t="b">
        <v>0</v>
      </c>
      <c r="D31" s="148" t="str">
        <v>J6</v>
      </c>
      <c r="E31" s="147" t="str">
        <f t="shared" si="0"/>
        <v>EURFUT3MJ6_Quote</v>
      </c>
      <c r="F31" s="146" t="str">
        <f>_xll.qlSimpleQuote(E31,,PriceTickValue,Permanent,Trigger,ObjectOverwrite)</f>
        <v>EURFUT3MJ6_Quote#0017</v>
      </c>
      <c r="G31" s="109" t="str">
        <f>_xll.ohRangeRetrieveError(F31)</f>
        <v/>
      </c>
      <c r="H31" s="145"/>
    </row>
    <row r="32" spans="1:8" x14ac:dyDescent="0.2">
      <c r="A32" s="150"/>
      <c r="B32" s="111">
        <v>30</v>
      </c>
      <c r="C32" s="149" t="b">
        <v>0</v>
      </c>
      <c r="D32" s="148" t="str">
        <v>K6</v>
      </c>
      <c r="E32" s="147" t="str">
        <f t="shared" si="0"/>
        <v>EURFUT3MK6_Quote</v>
      </c>
      <c r="F32" s="146" t="str">
        <f>_xll.qlSimpleQuote(E32,,PriceTickValue,Permanent,Trigger,ObjectOverwrite)</f>
        <v>EURFUT3MK6_Quote#0017</v>
      </c>
      <c r="G32" s="109" t="str">
        <f>_xll.ohRangeRetrieveError(F32)</f>
        <v/>
      </c>
      <c r="H32" s="145"/>
    </row>
    <row r="33" spans="1:8" x14ac:dyDescent="0.2">
      <c r="A33" s="150"/>
      <c r="B33" s="111">
        <v>31</v>
      </c>
      <c r="C33" s="149" t="b">
        <v>0</v>
      </c>
      <c r="D33" s="148" t="str">
        <v>M6</v>
      </c>
      <c r="E33" s="147" t="str">
        <f t="shared" si="0"/>
        <v>EURFUT3MM6_Quote</v>
      </c>
      <c r="F33" s="146" t="str">
        <f>_xll.qlSimpleQuote(E33,,PriceTickValue,Permanent,Trigger,ObjectOverwrite)</f>
        <v>EURFUT3MM6_Quote#0017</v>
      </c>
      <c r="G33" s="109" t="str">
        <f>_xll.ohRangeRetrieveError(F33)</f>
        <v/>
      </c>
      <c r="H33" s="145"/>
    </row>
    <row r="34" spans="1:8" x14ac:dyDescent="0.2">
      <c r="A34" s="150"/>
      <c r="B34" s="111">
        <v>32</v>
      </c>
      <c r="C34" s="149" t="b">
        <v>0</v>
      </c>
      <c r="D34" s="148" t="str">
        <v>N6</v>
      </c>
      <c r="E34" s="147" t="str">
        <f t="shared" si="0"/>
        <v>EURFUT3MN6_Quote</v>
      </c>
      <c r="F34" s="146" t="str">
        <f>_xll.qlSimpleQuote(E34,,PriceTickValue,Permanent,Trigger,ObjectOverwrite)</f>
        <v>EURFUT3MN6_Quote#0017</v>
      </c>
      <c r="G34" s="109" t="str">
        <f>_xll.ohRangeRetrieveError(F34)</f>
        <v/>
      </c>
      <c r="H34" s="145"/>
    </row>
    <row r="35" spans="1:8" x14ac:dyDescent="0.2">
      <c r="A35" s="150"/>
      <c r="B35" s="111">
        <v>33</v>
      </c>
      <c r="C35" s="149" t="b">
        <v>0</v>
      </c>
      <c r="D35" s="148" t="str">
        <v>Q6</v>
      </c>
      <c r="E35" s="147" t="str">
        <f t="shared" ref="E35:E66" si="1">Currency&amp;$D$1&amp;$E$1&amp;$D35&amp;QuoteSuffix</f>
        <v>EURFUT3MQ6_Quote</v>
      </c>
      <c r="F35" s="146" t="str">
        <f>_xll.qlSimpleQuote(E35,,PriceTickValue,Permanent,Trigger,ObjectOverwrite)</f>
        <v>EURFUT3MQ6_Quote#0017</v>
      </c>
      <c r="G35" s="109" t="str">
        <f>_xll.ohRangeRetrieveError(F35)</f>
        <v/>
      </c>
      <c r="H35" s="145"/>
    </row>
    <row r="36" spans="1:8" x14ac:dyDescent="0.2">
      <c r="A36" s="150"/>
      <c r="B36" s="111">
        <v>34</v>
      </c>
      <c r="C36" s="149" t="b">
        <v>0</v>
      </c>
      <c r="D36" s="148" t="str">
        <v>U6</v>
      </c>
      <c r="E36" s="147" t="str">
        <f t="shared" si="1"/>
        <v>EURFUT3MU6_Quote</v>
      </c>
      <c r="F36" s="146" t="str">
        <f>_xll.qlSimpleQuote(E36,,PriceTickValue,Permanent,Trigger,ObjectOverwrite)</f>
        <v>EURFUT3MU6_Quote#0017</v>
      </c>
      <c r="G36" s="109" t="str">
        <f>_xll.ohRangeRetrieveError(F36)</f>
        <v/>
      </c>
      <c r="H36" s="145"/>
    </row>
    <row r="37" spans="1:8" x14ac:dyDescent="0.2">
      <c r="A37" s="150"/>
      <c r="B37" s="111">
        <v>35</v>
      </c>
      <c r="C37" s="149" t="b">
        <v>0</v>
      </c>
      <c r="D37" s="148" t="str">
        <v>V6</v>
      </c>
      <c r="E37" s="147" t="str">
        <f t="shared" si="1"/>
        <v>EURFUT3MV6_Quote</v>
      </c>
      <c r="F37" s="146" t="str">
        <f>_xll.qlSimpleQuote(E37,,PriceTickValue,Permanent,Trigger,ObjectOverwrite)</f>
        <v>EURFUT3MV6_Quote#0017</v>
      </c>
      <c r="G37" s="109" t="str">
        <f>_xll.ohRangeRetrieveError(F37)</f>
        <v/>
      </c>
      <c r="H37" s="145"/>
    </row>
    <row r="38" spans="1:8" x14ac:dyDescent="0.2">
      <c r="A38" s="150"/>
      <c r="B38" s="111">
        <v>36</v>
      </c>
      <c r="C38" s="149" t="b">
        <v>0</v>
      </c>
      <c r="D38" s="148" t="str">
        <v>X6</v>
      </c>
      <c r="E38" s="147" t="str">
        <f t="shared" si="1"/>
        <v>EURFUT3MX6_Quote</v>
      </c>
      <c r="F38" s="146" t="str">
        <f>_xll.qlSimpleQuote(E38,,PriceTickValue,Permanent,Trigger,ObjectOverwrite)</f>
        <v>EURFUT3MX6_Quote#0017</v>
      </c>
      <c r="G38" s="109" t="str">
        <f>_xll.ohRangeRetrieveError(F38)</f>
        <v/>
      </c>
      <c r="H38" s="145"/>
    </row>
    <row r="39" spans="1:8" x14ac:dyDescent="0.2">
      <c r="A39" s="150"/>
      <c r="B39" s="111">
        <v>37</v>
      </c>
      <c r="C39" s="149" t="b">
        <v>0</v>
      </c>
      <c r="D39" s="148" t="str">
        <v>Z6</v>
      </c>
      <c r="E39" s="147" t="str">
        <f t="shared" si="1"/>
        <v>EURFUT3MZ6_Quote</v>
      </c>
      <c r="F39" s="146" t="str">
        <f>_xll.qlSimpleQuote(E39,,PriceTickValue,Permanent,Trigger,ObjectOverwrite)</f>
        <v>EURFUT3MZ6_Quote#0017</v>
      </c>
      <c r="G39" s="109" t="str">
        <f>_xll.ohRangeRetrieveError(F39)</f>
        <v/>
      </c>
      <c r="H39" s="145"/>
    </row>
    <row r="40" spans="1:8" x14ac:dyDescent="0.2">
      <c r="A40" s="150"/>
      <c r="B40" s="111">
        <v>38</v>
      </c>
      <c r="C40" s="149" t="b">
        <v>0</v>
      </c>
      <c r="D40" s="148" t="str">
        <v>F7</v>
      </c>
      <c r="E40" s="147" t="str">
        <f t="shared" si="1"/>
        <v>EURFUT3MF7_Quote</v>
      </c>
      <c r="F40" s="146" t="str">
        <f>_xll.qlSimpleQuote(E40,,PriceTickValue,Permanent,Trigger,ObjectOverwrite)</f>
        <v>EURFUT3MF7_Quote#0017</v>
      </c>
      <c r="G40" s="109" t="str">
        <f>_xll.ohRangeRetrieveError(F40)</f>
        <v/>
      </c>
      <c r="H40" s="145"/>
    </row>
    <row r="41" spans="1:8" x14ac:dyDescent="0.2">
      <c r="A41" s="150"/>
      <c r="B41" s="111">
        <v>39</v>
      </c>
      <c r="C41" s="149" t="b">
        <v>0</v>
      </c>
      <c r="D41" s="148" t="str">
        <v>G7</v>
      </c>
      <c r="E41" s="147" t="str">
        <f t="shared" si="1"/>
        <v>EURFUT3MG7_Quote</v>
      </c>
      <c r="F41" s="146" t="str">
        <f>_xll.qlSimpleQuote(E41,,PriceTickValue,Permanent,Trigger,ObjectOverwrite)</f>
        <v>EURFUT3MG7_Quote#0017</v>
      </c>
      <c r="G41" s="109" t="str">
        <f>_xll.ohRangeRetrieveError(F41)</f>
        <v/>
      </c>
      <c r="H41" s="145"/>
    </row>
    <row r="42" spans="1:8" x14ac:dyDescent="0.2">
      <c r="A42" s="150"/>
      <c r="B42" s="111">
        <v>40</v>
      </c>
      <c r="C42" s="149" t="b">
        <v>0</v>
      </c>
      <c r="D42" s="148" t="str">
        <v>H7</v>
      </c>
      <c r="E42" s="147" t="str">
        <f t="shared" si="1"/>
        <v>EURFUT3MH7_Quote</v>
      </c>
      <c r="F42" s="146" t="str">
        <f>_xll.qlSimpleQuote(E42,,PriceTickValue,Permanent,Trigger,ObjectOverwrite)</f>
        <v>EURFUT3MH7_Quote#0017</v>
      </c>
      <c r="G42" s="109" t="str">
        <f>_xll.ohRangeRetrieveError(F42)</f>
        <v/>
      </c>
      <c r="H42" s="145"/>
    </row>
    <row r="43" spans="1:8" x14ac:dyDescent="0.2">
      <c r="A43" s="150"/>
      <c r="B43" s="111">
        <v>41</v>
      </c>
      <c r="C43" s="149" t="b">
        <v>0</v>
      </c>
      <c r="D43" s="148" t="str">
        <v>J7</v>
      </c>
      <c r="E43" s="147" t="str">
        <f t="shared" si="1"/>
        <v>EURFUT3MJ7_Quote</v>
      </c>
      <c r="F43" s="146" t="str">
        <f>_xll.qlSimpleQuote(E43,,PriceTickValue,Permanent,Trigger,ObjectOverwrite)</f>
        <v>EURFUT3MJ7_Quote#0017</v>
      </c>
      <c r="G43" s="109" t="str">
        <f>_xll.ohRangeRetrieveError(F43)</f>
        <v/>
      </c>
      <c r="H43" s="145"/>
    </row>
    <row r="44" spans="1:8" x14ac:dyDescent="0.2">
      <c r="A44" s="150"/>
      <c r="B44" s="111">
        <v>42</v>
      </c>
      <c r="C44" s="149" t="b">
        <v>0</v>
      </c>
      <c r="D44" s="148" t="str">
        <v>K7</v>
      </c>
      <c r="E44" s="147" t="str">
        <f t="shared" si="1"/>
        <v>EURFUT3MK7_Quote</v>
      </c>
      <c r="F44" s="146" t="str">
        <f>_xll.qlSimpleQuote(E44,,PriceTickValue,Permanent,Trigger,ObjectOverwrite)</f>
        <v>EURFUT3MK7_Quote#0017</v>
      </c>
      <c r="G44" s="109" t="str">
        <f>_xll.ohRangeRetrieveError(F44)</f>
        <v/>
      </c>
      <c r="H44" s="145"/>
    </row>
    <row r="45" spans="1:8" x14ac:dyDescent="0.2">
      <c r="A45" s="150"/>
      <c r="B45" s="111">
        <v>43</v>
      </c>
      <c r="C45" s="149" t="b">
        <v>0</v>
      </c>
      <c r="D45" s="148" t="str">
        <v>M7</v>
      </c>
      <c r="E45" s="147" t="str">
        <f t="shared" si="1"/>
        <v>EURFUT3MM7_Quote</v>
      </c>
      <c r="F45" s="146" t="str">
        <f>_xll.qlSimpleQuote(E45,,PriceTickValue,Permanent,Trigger,ObjectOverwrite)</f>
        <v>EURFUT3MM7_Quote#0017</v>
      </c>
      <c r="G45" s="109" t="str">
        <f>_xll.ohRangeRetrieveError(F45)</f>
        <v/>
      </c>
      <c r="H45" s="145"/>
    </row>
    <row r="46" spans="1:8" x14ac:dyDescent="0.2">
      <c r="A46" s="150"/>
      <c r="B46" s="111">
        <v>44</v>
      </c>
      <c r="C46" s="149" t="b">
        <v>0</v>
      </c>
      <c r="D46" s="148" t="str">
        <v>N7</v>
      </c>
      <c r="E46" s="147" t="str">
        <f t="shared" si="1"/>
        <v>EURFUT3MN7_Quote</v>
      </c>
      <c r="F46" s="146" t="str">
        <f>_xll.qlSimpleQuote(E46,,PriceTickValue,Permanent,Trigger,ObjectOverwrite)</f>
        <v>EURFUT3MN7_Quote#0017</v>
      </c>
      <c r="G46" s="109" t="str">
        <f>_xll.ohRangeRetrieveError(F46)</f>
        <v/>
      </c>
      <c r="H46" s="145"/>
    </row>
    <row r="47" spans="1:8" x14ac:dyDescent="0.2">
      <c r="A47" s="150"/>
      <c r="B47" s="111">
        <v>45</v>
      </c>
      <c r="C47" s="149" t="b">
        <v>0</v>
      </c>
      <c r="D47" s="148" t="str">
        <v>Q7</v>
      </c>
      <c r="E47" s="147" t="str">
        <f t="shared" si="1"/>
        <v>EURFUT3MQ7_Quote</v>
      </c>
      <c r="F47" s="146" t="str">
        <f>_xll.qlSimpleQuote(E47,,PriceTickValue,Permanent,Trigger,ObjectOverwrite)</f>
        <v>EURFUT3MQ7_Quote#0017</v>
      </c>
      <c r="G47" s="109" t="str">
        <f>_xll.ohRangeRetrieveError(F47)</f>
        <v/>
      </c>
      <c r="H47" s="145"/>
    </row>
    <row r="48" spans="1:8" x14ac:dyDescent="0.2">
      <c r="A48" s="150"/>
      <c r="B48" s="111">
        <v>46</v>
      </c>
      <c r="C48" s="149" t="b">
        <v>0</v>
      </c>
      <c r="D48" s="148" t="str">
        <v>U7</v>
      </c>
      <c r="E48" s="147" t="str">
        <f t="shared" si="1"/>
        <v>EURFUT3MU7_Quote</v>
      </c>
      <c r="F48" s="146" t="str">
        <f>_xll.qlSimpleQuote(E48,,PriceTickValue,Permanent,Trigger,ObjectOverwrite)</f>
        <v>EURFUT3MU7_Quote#0017</v>
      </c>
      <c r="G48" s="109" t="str">
        <f>_xll.ohRangeRetrieveError(F48)</f>
        <v/>
      </c>
      <c r="H48" s="145"/>
    </row>
    <row r="49" spans="1:8" x14ac:dyDescent="0.2">
      <c r="A49" s="150"/>
      <c r="B49" s="111">
        <v>47</v>
      </c>
      <c r="C49" s="149" t="b">
        <v>0</v>
      </c>
      <c r="D49" s="148" t="str">
        <v>V7</v>
      </c>
      <c r="E49" s="147" t="str">
        <f t="shared" si="1"/>
        <v>EURFUT3MV7_Quote</v>
      </c>
      <c r="F49" s="146" t="str">
        <f>_xll.qlSimpleQuote(E49,,PriceTickValue,Permanent,Trigger,ObjectOverwrite)</f>
        <v>EURFUT3MV7_Quote#0017</v>
      </c>
      <c r="G49" s="109" t="str">
        <f>_xll.ohRangeRetrieveError(F49)</f>
        <v/>
      </c>
      <c r="H49" s="145"/>
    </row>
    <row r="50" spans="1:8" x14ac:dyDescent="0.2">
      <c r="A50" s="150"/>
      <c r="B50" s="111">
        <v>48</v>
      </c>
      <c r="C50" s="149" t="b">
        <v>0</v>
      </c>
      <c r="D50" s="148" t="str">
        <v>X7</v>
      </c>
      <c r="E50" s="147" t="str">
        <f t="shared" si="1"/>
        <v>EURFUT3MX7_Quote</v>
      </c>
      <c r="F50" s="146" t="str">
        <f>_xll.qlSimpleQuote(E50,,PriceTickValue,Permanent,Trigger,ObjectOverwrite)</f>
        <v>EURFUT3MX7_Quote#0017</v>
      </c>
      <c r="G50" s="109" t="str">
        <f>_xll.ohRangeRetrieveError(F50)</f>
        <v/>
      </c>
      <c r="H50" s="145"/>
    </row>
    <row r="51" spans="1:8" x14ac:dyDescent="0.2">
      <c r="A51" s="150"/>
      <c r="B51" s="111">
        <v>49</v>
      </c>
      <c r="C51" s="149" t="b">
        <v>0</v>
      </c>
      <c r="D51" s="148" t="str">
        <v>Z7</v>
      </c>
      <c r="E51" s="147" t="str">
        <f t="shared" si="1"/>
        <v>EURFUT3MZ7_Quote</v>
      </c>
      <c r="F51" s="146" t="str">
        <f>_xll.qlSimpleQuote(E51,,PriceTickValue,Permanent,Trigger,ObjectOverwrite)</f>
        <v>EURFUT3MZ7_Quote#0017</v>
      </c>
      <c r="G51" s="109" t="str">
        <f>_xll.ohRangeRetrieveError(F51)</f>
        <v/>
      </c>
      <c r="H51" s="145"/>
    </row>
    <row r="52" spans="1:8" x14ac:dyDescent="0.2">
      <c r="A52" s="150"/>
      <c r="B52" s="111">
        <v>50</v>
      </c>
      <c r="C52" s="149" t="b">
        <v>0</v>
      </c>
      <c r="D52" s="148" t="str">
        <v>F8</v>
      </c>
      <c r="E52" s="147" t="str">
        <f t="shared" si="1"/>
        <v>EURFUT3MF8_Quote</v>
      </c>
      <c r="F52" s="146" t="str">
        <f>_xll.qlSimpleQuote(E52,,PriceTickValue,Permanent,Trigger,ObjectOverwrite)</f>
        <v>EURFUT3MF8_Quote#0017</v>
      </c>
      <c r="G52" s="109" t="str">
        <f>_xll.ohRangeRetrieveError(F52)</f>
        <v/>
      </c>
      <c r="H52" s="145"/>
    </row>
    <row r="53" spans="1:8" x14ac:dyDescent="0.2">
      <c r="A53" s="150"/>
      <c r="B53" s="111">
        <v>51</v>
      </c>
      <c r="C53" s="149" t="b">
        <v>0</v>
      </c>
      <c r="D53" s="148" t="str">
        <v>G8</v>
      </c>
      <c r="E53" s="147" t="str">
        <f t="shared" si="1"/>
        <v>EURFUT3MG8_Quote</v>
      </c>
      <c r="F53" s="146" t="str">
        <f>_xll.qlSimpleQuote(E53,,PriceTickValue,Permanent,Trigger,ObjectOverwrite)</f>
        <v>EURFUT3MG8_Quote#0017</v>
      </c>
      <c r="G53" s="109" t="str">
        <f>_xll.ohRangeRetrieveError(F53)</f>
        <v/>
      </c>
      <c r="H53" s="145"/>
    </row>
    <row r="54" spans="1:8" x14ac:dyDescent="0.2">
      <c r="A54" s="150"/>
      <c r="B54" s="111">
        <v>52</v>
      </c>
      <c r="C54" s="149" t="b">
        <v>0</v>
      </c>
      <c r="D54" s="148" t="str">
        <v>H8</v>
      </c>
      <c r="E54" s="147" t="str">
        <f t="shared" si="1"/>
        <v>EURFUT3MH8_Quote</v>
      </c>
      <c r="F54" s="146" t="str">
        <f>_xll.qlSimpleQuote(E54,,PriceTickValue,Permanent,Trigger,ObjectOverwrite)</f>
        <v>EURFUT3MH8_Quote#0017</v>
      </c>
      <c r="G54" s="109" t="str">
        <f>_xll.ohRangeRetrieveError(F54)</f>
        <v/>
      </c>
      <c r="H54" s="145"/>
    </row>
    <row r="55" spans="1:8" x14ac:dyDescent="0.2">
      <c r="A55" s="150"/>
      <c r="B55" s="111">
        <v>53</v>
      </c>
      <c r="C55" s="149" t="b">
        <v>0</v>
      </c>
      <c r="D55" s="148" t="str">
        <v>J8</v>
      </c>
      <c r="E55" s="147" t="str">
        <f t="shared" si="1"/>
        <v>EURFUT3MJ8_Quote</v>
      </c>
      <c r="F55" s="146" t="str">
        <f>_xll.qlSimpleQuote(E55,,PriceTickValue,Permanent,Trigger,ObjectOverwrite)</f>
        <v>EURFUT3MJ8_Quote#0017</v>
      </c>
      <c r="G55" s="109" t="str">
        <f>_xll.ohRangeRetrieveError(F55)</f>
        <v/>
      </c>
      <c r="H55" s="145"/>
    </row>
    <row r="56" spans="1:8" x14ac:dyDescent="0.2">
      <c r="A56" s="150"/>
      <c r="B56" s="111">
        <v>54</v>
      </c>
      <c r="C56" s="149" t="b">
        <v>0</v>
      </c>
      <c r="D56" s="148" t="str">
        <v>K8</v>
      </c>
      <c r="E56" s="147" t="str">
        <f t="shared" si="1"/>
        <v>EURFUT3MK8_Quote</v>
      </c>
      <c r="F56" s="146" t="str">
        <f>_xll.qlSimpleQuote(E56,,PriceTickValue,Permanent,Trigger,ObjectOverwrite)</f>
        <v>EURFUT3MK8_Quote#0017</v>
      </c>
      <c r="G56" s="109" t="str">
        <f>_xll.ohRangeRetrieveError(F56)</f>
        <v/>
      </c>
      <c r="H56" s="145"/>
    </row>
    <row r="57" spans="1:8" x14ac:dyDescent="0.2">
      <c r="A57" s="150"/>
      <c r="B57" s="111">
        <v>55</v>
      </c>
      <c r="C57" s="149" t="b">
        <v>0</v>
      </c>
      <c r="D57" s="148" t="str">
        <v>M8</v>
      </c>
      <c r="E57" s="147" t="str">
        <f t="shared" si="1"/>
        <v>EURFUT3MM8_Quote</v>
      </c>
      <c r="F57" s="146" t="str">
        <f>_xll.qlSimpleQuote(E57,,PriceTickValue,Permanent,Trigger,ObjectOverwrite)</f>
        <v>EURFUT3MM8_Quote#0017</v>
      </c>
      <c r="G57" s="109" t="str">
        <f>_xll.ohRangeRetrieveError(F57)</f>
        <v/>
      </c>
      <c r="H57" s="145"/>
    </row>
    <row r="58" spans="1:8" x14ac:dyDescent="0.2">
      <c r="A58" s="150"/>
      <c r="B58" s="111">
        <v>56</v>
      </c>
      <c r="C58" s="149" t="b">
        <v>0</v>
      </c>
      <c r="D58" s="148" t="str">
        <v>N8</v>
      </c>
      <c r="E58" s="147" t="str">
        <f t="shared" si="1"/>
        <v>EURFUT3MN8_Quote</v>
      </c>
      <c r="F58" s="146" t="str">
        <f>_xll.qlSimpleQuote(E58,,PriceTickValue,Permanent,Trigger,ObjectOverwrite)</f>
        <v>EURFUT3MN8_Quote#0017</v>
      </c>
      <c r="G58" s="109" t="str">
        <f>_xll.ohRangeRetrieveError(F58)</f>
        <v/>
      </c>
      <c r="H58" s="145"/>
    </row>
    <row r="59" spans="1:8" x14ac:dyDescent="0.2">
      <c r="A59" s="150"/>
      <c r="B59" s="111">
        <v>57</v>
      </c>
      <c r="C59" s="149" t="b">
        <v>0</v>
      </c>
      <c r="D59" s="148" t="str">
        <v>Q8</v>
      </c>
      <c r="E59" s="147" t="str">
        <f t="shared" si="1"/>
        <v>EURFUT3MQ8_Quote</v>
      </c>
      <c r="F59" s="146" t="str">
        <f>_xll.qlSimpleQuote(E59,,PriceTickValue,Permanent,Trigger,ObjectOverwrite)</f>
        <v>EURFUT3MQ8_Quote#0017</v>
      </c>
      <c r="G59" s="109" t="str">
        <f>_xll.ohRangeRetrieveError(F59)</f>
        <v/>
      </c>
      <c r="H59" s="145"/>
    </row>
    <row r="60" spans="1:8" x14ac:dyDescent="0.2">
      <c r="A60" s="150"/>
      <c r="B60" s="111">
        <v>58</v>
      </c>
      <c r="C60" s="149" t="b">
        <v>0</v>
      </c>
      <c r="D60" s="148" t="str">
        <v>U8</v>
      </c>
      <c r="E60" s="147" t="str">
        <f t="shared" si="1"/>
        <v>EURFUT3MU8_Quote</v>
      </c>
      <c r="F60" s="146" t="str">
        <f>_xll.qlSimpleQuote(E60,,PriceTickValue,Permanent,Trigger,ObjectOverwrite)</f>
        <v>EURFUT3MU8_Quote#0017</v>
      </c>
      <c r="G60" s="109" t="str">
        <f>_xll.ohRangeRetrieveError(F60)</f>
        <v/>
      </c>
      <c r="H60" s="145"/>
    </row>
    <row r="61" spans="1:8" x14ac:dyDescent="0.2">
      <c r="A61" s="150"/>
      <c r="B61" s="111">
        <v>59</v>
      </c>
      <c r="C61" s="149" t="b">
        <v>0</v>
      </c>
      <c r="D61" s="148" t="str">
        <v>V8</v>
      </c>
      <c r="E61" s="147" t="str">
        <f t="shared" si="1"/>
        <v>EURFUT3MV8_Quote</v>
      </c>
      <c r="F61" s="146" t="str">
        <f>_xll.qlSimpleQuote(E61,,PriceTickValue,Permanent,Trigger,ObjectOverwrite)</f>
        <v>EURFUT3MV8_Quote#0017</v>
      </c>
      <c r="G61" s="109" t="str">
        <f>_xll.ohRangeRetrieveError(F61)</f>
        <v/>
      </c>
      <c r="H61" s="145"/>
    </row>
    <row r="62" spans="1:8" x14ac:dyDescent="0.2">
      <c r="A62" s="150"/>
      <c r="B62" s="111">
        <v>60</v>
      </c>
      <c r="C62" s="149" t="b">
        <v>0</v>
      </c>
      <c r="D62" s="148" t="str">
        <v>X8</v>
      </c>
      <c r="E62" s="147" t="str">
        <f t="shared" si="1"/>
        <v>EURFUT3MX8_Quote</v>
      </c>
      <c r="F62" s="146" t="str">
        <f>_xll.qlSimpleQuote(E62,,PriceTickValue,Permanent,Trigger,ObjectOverwrite)</f>
        <v>EURFUT3MX8_Quote#0017</v>
      </c>
      <c r="G62" s="109" t="str">
        <f>_xll.ohRangeRetrieveError(F62)</f>
        <v/>
      </c>
      <c r="H62" s="145"/>
    </row>
    <row r="63" spans="1:8" x14ac:dyDescent="0.2">
      <c r="A63" s="150"/>
      <c r="B63" s="111">
        <v>61</v>
      </c>
      <c r="C63" s="149" t="b">
        <v>0</v>
      </c>
      <c r="D63" s="148" t="str">
        <v>Z8</v>
      </c>
      <c r="E63" s="147" t="str">
        <f t="shared" si="1"/>
        <v>EURFUT3MZ8_Quote</v>
      </c>
      <c r="F63" s="146" t="str">
        <f>_xll.qlSimpleQuote(E63,,PriceTickValue,Permanent,Trigger,ObjectOverwrite)</f>
        <v>EURFUT3MZ8_Quote#0017</v>
      </c>
      <c r="G63" s="109" t="str">
        <f>_xll.ohRangeRetrieveError(F63)</f>
        <v/>
      </c>
      <c r="H63" s="145"/>
    </row>
    <row r="64" spans="1:8" x14ac:dyDescent="0.2">
      <c r="A64" s="150"/>
      <c r="B64" s="111">
        <v>62</v>
      </c>
      <c r="C64" s="149" t="b">
        <v>0</v>
      </c>
      <c r="D64" s="148" t="str">
        <v>F9</v>
      </c>
      <c r="E64" s="147" t="str">
        <f t="shared" si="1"/>
        <v>EURFUT3MF9_Quote</v>
      </c>
      <c r="F64" s="146" t="str">
        <f>_xll.qlSimpleQuote(E64,,PriceTickValue,Permanent,Trigger,ObjectOverwrite)</f>
        <v>EURFUT3MF9_Quote#0017</v>
      </c>
      <c r="G64" s="109" t="str">
        <f>_xll.ohRangeRetrieveError(F64)</f>
        <v/>
      </c>
      <c r="H64" s="145"/>
    </row>
    <row r="65" spans="1:8" x14ac:dyDescent="0.2">
      <c r="A65" s="150"/>
      <c r="B65" s="111">
        <v>63</v>
      </c>
      <c r="C65" s="149" t="b">
        <v>0</v>
      </c>
      <c r="D65" s="148" t="str">
        <v>G9</v>
      </c>
      <c r="E65" s="147" t="str">
        <f t="shared" si="1"/>
        <v>EURFUT3MG9_Quote</v>
      </c>
      <c r="F65" s="146" t="str">
        <f>_xll.qlSimpleQuote(E65,,PriceTickValue,Permanent,Trigger,ObjectOverwrite)</f>
        <v>EURFUT3MG9_Quote#0017</v>
      </c>
      <c r="G65" s="109" t="str">
        <f>_xll.ohRangeRetrieveError(F65)</f>
        <v/>
      </c>
      <c r="H65" s="145"/>
    </row>
    <row r="66" spans="1:8" x14ac:dyDescent="0.2">
      <c r="A66" s="150"/>
      <c r="B66" s="111">
        <v>64</v>
      </c>
      <c r="C66" s="149" t="b">
        <v>0</v>
      </c>
      <c r="D66" s="148" t="str">
        <v>H9</v>
      </c>
      <c r="E66" s="147" t="str">
        <f t="shared" si="1"/>
        <v>EURFUT3MH9_Quote</v>
      </c>
      <c r="F66" s="146" t="str">
        <f>_xll.qlSimpleQuote(E66,,PriceTickValue,Permanent,Trigger,ObjectOverwrite)</f>
        <v>EURFUT3MH9_Quote#0017</v>
      </c>
      <c r="G66" s="109" t="str">
        <f>_xll.ohRangeRetrieveError(F66)</f>
        <v/>
      </c>
      <c r="H66" s="145"/>
    </row>
    <row r="67" spans="1:8" x14ac:dyDescent="0.2">
      <c r="A67" s="150"/>
      <c r="B67" s="111">
        <v>65</v>
      </c>
      <c r="C67" s="149" t="b">
        <v>0</v>
      </c>
      <c r="D67" s="148" t="str">
        <v>J9</v>
      </c>
      <c r="E67" s="147" t="str">
        <f t="shared" ref="E67:E98" si="2">Currency&amp;$D$1&amp;$E$1&amp;$D67&amp;QuoteSuffix</f>
        <v>EURFUT3MJ9_Quote</v>
      </c>
      <c r="F67" s="146" t="str">
        <f>_xll.qlSimpleQuote(E67,,PriceTickValue,Permanent,Trigger,ObjectOverwrite)</f>
        <v>EURFUT3MJ9_Quote#0017</v>
      </c>
      <c r="G67" s="109" t="str">
        <f>_xll.ohRangeRetrieveError(F67)</f>
        <v/>
      </c>
      <c r="H67" s="145"/>
    </row>
    <row r="68" spans="1:8" x14ac:dyDescent="0.2">
      <c r="A68" s="150"/>
      <c r="B68" s="111">
        <v>66</v>
      </c>
      <c r="C68" s="149" t="b">
        <v>0</v>
      </c>
      <c r="D68" s="148" t="str">
        <v>K9</v>
      </c>
      <c r="E68" s="147" t="str">
        <f t="shared" si="2"/>
        <v>EURFUT3MK9_Quote</v>
      </c>
      <c r="F68" s="146" t="str">
        <f>_xll.qlSimpleQuote(E68,,PriceTickValue,Permanent,Trigger,ObjectOverwrite)</f>
        <v>EURFUT3MK9_Quote#0017</v>
      </c>
      <c r="G68" s="109" t="str">
        <f>_xll.ohRangeRetrieveError(F68)</f>
        <v/>
      </c>
      <c r="H68" s="145"/>
    </row>
    <row r="69" spans="1:8" x14ac:dyDescent="0.2">
      <c r="A69" s="150"/>
      <c r="B69" s="111">
        <v>67</v>
      </c>
      <c r="C69" s="149" t="b">
        <v>0</v>
      </c>
      <c r="D69" s="148" t="str">
        <v>M9</v>
      </c>
      <c r="E69" s="147" t="str">
        <f t="shared" si="2"/>
        <v>EURFUT3MM9_Quote</v>
      </c>
      <c r="F69" s="146" t="str">
        <f>_xll.qlSimpleQuote(E69,,PriceTickValue,Permanent,Trigger,ObjectOverwrite)</f>
        <v>EURFUT3MM9_Quote#0017</v>
      </c>
      <c r="G69" s="109" t="str">
        <f>_xll.ohRangeRetrieveError(F69)</f>
        <v/>
      </c>
      <c r="H69" s="145"/>
    </row>
    <row r="70" spans="1:8" x14ac:dyDescent="0.2">
      <c r="A70" s="150"/>
      <c r="B70" s="111">
        <v>68</v>
      </c>
      <c r="C70" s="149" t="b">
        <v>0</v>
      </c>
      <c r="D70" s="148" t="str">
        <v>N9</v>
      </c>
      <c r="E70" s="147" t="str">
        <f t="shared" si="2"/>
        <v>EURFUT3MN9_Quote</v>
      </c>
      <c r="F70" s="146" t="str">
        <f>_xll.qlSimpleQuote(E70,,PriceTickValue,Permanent,Trigger,ObjectOverwrite)</f>
        <v>EURFUT3MN9_Quote#0017</v>
      </c>
      <c r="G70" s="109" t="str">
        <f>_xll.ohRangeRetrieveError(F70)</f>
        <v/>
      </c>
      <c r="H70" s="145"/>
    </row>
    <row r="71" spans="1:8" x14ac:dyDescent="0.2">
      <c r="A71" s="150"/>
      <c r="B71" s="111">
        <v>69</v>
      </c>
      <c r="C71" s="149" t="b">
        <v>0</v>
      </c>
      <c r="D71" s="148" t="str">
        <v>Q9</v>
      </c>
      <c r="E71" s="147" t="str">
        <f t="shared" si="2"/>
        <v>EURFUT3MQ9_Quote</v>
      </c>
      <c r="F71" s="146" t="str">
        <f>_xll.qlSimpleQuote(E71,,PriceTickValue,Permanent,Trigger,ObjectOverwrite)</f>
        <v>EURFUT3MQ9_Quote#0017</v>
      </c>
      <c r="G71" s="109" t="str">
        <f>_xll.ohRangeRetrieveError(F71)</f>
        <v/>
      </c>
      <c r="H71" s="145"/>
    </row>
    <row r="72" spans="1:8" x14ac:dyDescent="0.2">
      <c r="A72" s="150"/>
      <c r="B72" s="111">
        <v>70</v>
      </c>
      <c r="C72" s="149" t="b">
        <v>0</v>
      </c>
      <c r="D72" s="148" t="str">
        <v>U9</v>
      </c>
      <c r="E72" s="147" t="str">
        <f t="shared" si="2"/>
        <v>EURFUT3MU9_Quote</v>
      </c>
      <c r="F72" s="146" t="str">
        <f>_xll.qlSimpleQuote(E72,,PriceTickValue,Permanent,Trigger,ObjectOverwrite)</f>
        <v>EURFUT3MU9_Quote#0017</v>
      </c>
      <c r="G72" s="109" t="str">
        <f>_xll.ohRangeRetrieveError(F72)</f>
        <v/>
      </c>
      <c r="H72" s="145"/>
    </row>
    <row r="73" spans="1:8" x14ac:dyDescent="0.2">
      <c r="A73" s="150"/>
      <c r="B73" s="111">
        <v>71</v>
      </c>
      <c r="C73" s="149" t="b">
        <v>0</v>
      </c>
      <c r="D73" s="148" t="str">
        <v>V9</v>
      </c>
      <c r="E73" s="147" t="str">
        <f t="shared" si="2"/>
        <v>EURFUT3MV9_Quote</v>
      </c>
      <c r="F73" s="146" t="str">
        <f>_xll.qlSimpleQuote(E73,,PriceTickValue,Permanent,Trigger,ObjectOverwrite)</f>
        <v>EURFUT3MV9_Quote#0017</v>
      </c>
      <c r="G73" s="109" t="str">
        <f>_xll.ohRangeRetrieveError(F73)</f>
        <v/>
      </c>
      <c r="H73" s="145"/>
    </row>
    <row r="74" spans="1:8" x14ac:dyDescent="0.2">
      <c r="A74" s="150"/>
      <c r="B74" s="111">
        <v>72</v>
      </c>
      <c r="C74" s="149" t="b">
        <v>0</v>
      </c>
      <c r="D74" s="148" t="str">
        <v>X9</v>
      </c>
      <c r="E74" s="147" t="str">
        <f t="shared" si="2"/>
        <v>EURFUT3MX9_Quote</v>
      </c>
      <c r="F74" s="146" t="str">
        <f>_xll.qlSimpleQuote(E74,,PriceTickValue,Permanent,Trigger,ObjectOverwrite)</f>
        <v>EURFUT3MX9_Quote#0017</v>
      </c>
      <c r="G74" s="109" t="str">
        <f>_xll.ohRangeRetrieveError(F74)</f>
        <v/>
      </c>
      <c r="H74" s="145"/>
    </row>
    <row r="75" spans="1:8" x14ac:dyDescent="0.2">
      <c r="A75" s="150"/>
      <c r="B75" s="111">
        <v>73</v>
      </c>
      <c r="C75" s="149" t="b">
        <v>0</v>
      </c>
      <c r="D75" s="148" t="str">
        <v>Z9</v>
      </c>
      <c r="E75" s="147" t="str">
        <f t="shared" si="2"/>
        <v>EURFUT3MZ9_Quote</v>
      </c>
      <c r="F75" s="146" t="str">
        <f>_xll.qlSimpleQuote(E75,,PriceTickValue,Permanent,Trigger,ObjectOverwrite)</f>
        <v>EURFUT3MZ9_Quote#0017</v>
      </c>
      <c r="G75" s="109" t="str">
        <f>_xll.ohRangeRetrieveError(F75)</f>
        <v/>
      </c>
      <c r="H75" s="145"/>
    </row>
    <row r="76" spans="1:8" x14ac:dyDescent="0.2">
      <c r="A76" s="150"/>
      <c r="B76" s="111">
        <v>74</v>
      </c>
      <c r="C76" s="149" t="b">
        <v>0</v>
      </c>
      <c r="D76" s="148" t="str">
        <v>F0</v>
      </c>
      <c r="E76" s="147" t="str">
        <f t="shared" si="2"/>
        <v>EURFUT3MF0_Quote</v>
      </c>
      <c r="F76" s="146" t="str">
        <f>_xll.qlSimpleQuote(E76,,PriceTickValue,Permanent,Trigger,ObjectOverwrite)</f>
        <v>EURFUT3MF0_Quote#0017</v>
      </c>
      <c r="G76" s="109" t="str">
        <f>_xll.ohRangeRetrieveError(F76)</f>
        <v/>
      </c>
      <c r="H76" s="145"/>
    </row>
    <row r="77" spans="1:8" x14ac:dyDescent="0.2">
      <c r="A77" s="150"/>
      <c r="B77" s="111">
        <v>75</v>
      </c>
      <c r="C77" s="149" t="b">
        <v>0</v>
      </c>
      <c r="D77" s="148" t="str">
        <v>G0</v>
      </c>
      <c r="E77" s="147" t="str">
        <f t="shared" si="2"/>
        <v>EURFUT3MG0_Quote</v>
      </c>
      <c r="F77" s="146" t="str">
        <f>_xll.qlSimpleQuote(E77,,PriceTickValue,Permanent,Trigger,ObjectOverwrite)</f>
        <v>EURFUT3MG0_Quote#0017</v>
      </c>
      <c r="G77" s="109" t="str">
        <f>_xll.ohRangeRetrieveError(F77)</f>
        <v/>
      </c>
      <c r="H77" s="145"/>
    </row>
    <row r="78" spans="1:8" x14ac:dyDescent="0.2">
      <c r="A78" s="150"/>
      <c r="B78" s="111">
        <v>76</v>
      </c>
      <c r="C78" s="149" t="b">
        <v>0</v>
      </c>
      <c r="D78" s="148" t="str">
        <v>H0</v>
      </c>
      <c r="E78" s="147" t="str">
        <f t="shared" si="2"/>
        <v>EURFUT3MH0_Quote</v>
      </c>
      <c r="F78" s="146" t="str">
        <f>_xll.qlSimpleQuote(E78,,PriceTickValue,Permanent,Trigger,ObjectOverwrite)</f>
        <v>EURFUT3MH0_Quote#0017</v>
      </c>
      <c r="G78" s="109" t="str">
        <f>_xll.ohRangeRetrieveError(F78)</f>
        <v/>
      </c>
      <c r="H78" s="145"/>
    </row>
    <row r="79" spans="1:8" x14ac:dyDescent="0.2">
      <c r="A79" s="150"/>
      <c r="B79" s="111">
        <v>77</v>
      </c>
      <c r="C79" s="149" t="b">
        <v>0</v>
      </c>
      <c r="D79" s="148" t="str">
        <v>J0</v>
      </c>
      <c r="E79" s="147" t="str">
        <f t="shared" si="2"/>
        <v>EURFUT3MJ0_Quote</v>
      </c>
      <c r="F79" s="146" t="str">
        <f>_xll.qlSimpleQuote(E79,,PriceTickValue,Permanent,Trigger,ObjectOverwrite)</f>
        <v>EURFUT3MJ0_Quote#0017</v>
      </c>
      <c r="G79" s="109" t="str">
        <f>_xll.ohRangeRetrieveError(F79)</f>
        <v/>
      </c>
      <c r="H79" s="145"/>
    </row>
    <row r="80" spans="1:8" x14ac:dyDescent="0.2">
      <c r="A80" s="150"/>
      <c r="B80" s="111">
        <v>78</v>
      </c>
      <c r="C80" s="149" t="b">
        <v>0</v>
      </c>
      <c r="D80" s="148" t="str">
        <v>K0</v>
      </c>
      <c r="E80" s="147" t="str">
        <f t="shared" si="2"/>
        <v>EURFUT3MK0_Quote</v>
      </c>
      <c r="F80" s="146" t="str">
        <f>_xll.qlSimpleQuote(E80,,PriceTickValue,Permanent,Trigger,ObjectOverwrite)</f>
        <v>EURFUT3MK0_Quote#0017</v>
      </c>
      <c r="G80" s="109" t="str">
        <f>_xll.ohRangeRetrieveError(F80)</f>
        <v/>
      </c>
      <c r="H80" s="145"/>
    </row>
    <row r="81" spans="1:8" x14ac:dyDescent="0.2">
      <c r="A81" s="150"/>
      <c r="B81" s="111">
        <v>79</v>
      </c>
      <c r="C81" s="149" t="b">
        <v>0</v>
      </c>
      <c r="D81" s="148" t="str">
        <v>M0</v>
      </c>
      <c r="E81" s="147" t="str">
        <f t="shared" si="2"/>
        <v>EURFUT3MM0_Quote</v>
      </c>
      <c r="F81" s="146" t="str">
        <f>_xll.qlSimpleQuote(E81,,PriceTickValue,Permanent,Trigger,ObjectOverwrite)</f>
        <v>EURFUT3MM0_Quote#0017</v>
      </c>
      <c r="G81" s="109" t="str">
        <f>_xll.ohRangeRetrieveError(F81)</f>
        <v/>
      </c>
      <c r="H81" s="145"/>
    </row>
    <row r="82" spans="1:8" x14ac:dyDescent="0.2">
      <c r="A82" s="150"/>
      <c r="B82" s="111">
        <v>80</v>
      </c>
      <c r="C82" s="149" t="b">
        <v>0</v>
      </c>
      <c r="D82" s="148" t="str">
        <v>N0</v>
      </c>
      <c r="E82" s="147" t="str">
        <f t="shared" si="2"/>
        <v>EURFUT3MN0_Quote</v>
      </c>
      <c r="F82" s="146" t="str">
        <f>_xll.qlSimpleQuote(E82,,PriceTickValue,Permanent,Trigger,ObjectOverwrite)</f>
        <v>EURFUT3MN0_Quote#0017</v>
      </c>
      <c r="G82" s="109" t="str">
        <f>_xll.ohRangeRetrieveError(F82)</f>
        <v/>
      </c>
      <c r="H82" s="145"/>
    </row>
    <row r="83" spans="1:8" x14ac:dyDescent="0.2">
      <c r="A83" s="150"/>
      <c r="B83" s="111">
        <v>81</v>
      </c>
      <c r="C83" s="149" t="b">
        <v>0</v>
      </c>
      <c r="D83" s="148" t="str">
        <v>Q0</v>
      </c>
      <c r="E83" s="147" t="str">
        <f t="shared" si="2"/>
        <v>EURFUT3MQ0_Quote</v>
      </c>
      <c r="F83" s="146" t="str">
        <f>_xll.qlSimpleQuote(E83,,PriceTickValue,Permanent,Trigger,ObjectOverwrite)</f>
        <v>EURFUT3MQ0_Quote#0017</v>
      </c>
      <c r="G83" s="109" t="str">
        <f>_xll.ohRangeRetrieveError(F83)</f>
        <v/>
      </c>
      <c r="H83" s="145"/>
    </row>
    <row r="84" spans="1:8" x14ac:dyDescent="0.2">
      <c r="A84" s="150"/>
      <c r="B84" s="111">
        <v>82</v>
      </c>
      <c r="C84" s="149" t="b">
        <v>0</v>
      </c>
      <c r="D84" s="148" t="str">
        <v>U0</v>
      </c>
      <c r="E84" s="147" t="str">
        <f t="shared" si="2"/>
        <v>EURFUT3MU0_Quote</v>
      </c>
      <c r="F84" s="146" t="str">
        <f>_xll.qlSimpleQuote(E84,,PriceTickValue,Permanent,Trigger,ObjectOverwrite)</f>
        <v>EURFUT3MU0_Quote#0017</v>
      </c>
      <c r="G84" s="109" t="str">
        <f>_xll.ohRangeRetrieveError(F84)</f>
        <v/>
      </c>
      <c r="H84" s="145"/>
    </row>
    <row r="85" spans="1:8" x14ac:dyDescent="0.2">
      <c r="A85" s="150"/>
      <c r="B85" s="111">
        <v>83</v>
      </c>
      <c r="C85" s="149" t="b">
        <v>0</v>
      </c>
      <c r="D85" s="148" t="str">
        <v>V0</v>
      </c>
      <c r="E85" s="147" t="str">
        <f t="shared" si="2"/>
        <v>EURFUT3MV0_Quote</v>
      </c>
      <c r="F85" s="146" t="str">
        <f>_xll.qlSimpleQuote(E85,,PriceTickValue,Permanent,Trigger,ObjectOverwrite)</f>
        <v>EURFUT3MV0_Quote#0017</v>
      </c>
      <c r="G85" s="109" t="str">
        <f>_xll.ohRangeRetrieveError(F85)</f>
        <v/>
      </c>
      <c r="H85" s="145"/>
    </row>
    <row r="86" spans="1:8" x14ac:dyDescent="0.2">
      <c r="A86" s="150"/>
      <c r="B86" s="111">
        <v>84</v>
      </c>
      <c r="C86" s="149" t="b">
        <v>0</v>
      </c>
      <c r="D86" s="148" t="str">
        <v>X0</v>
      </c>
      <c r="E86" s="147" t="str">
        <f t="shared" si="2"/>
        <v>EURFUT3MX0_Quote</v>
      </c>
      <c r="F86" s="146" t="str">
        <f>_xll.qlSimpleQuote(E86,,PriceTickValue,Permanent,Trigger,ObjectOverwrite)</f>
        <v>EURFUT3MX0_Quote#0017</v>
      </c>
      <c r="G86" s="109" t="str">
        <f>_xll.ohRangeRetrieveError(F86)</f>
        <v/>
      </c>
      <c r="H86" s="145"/>
    </row>
    <row r="87" spans="1:8" x14ac:dyDescent="0.2">
      <c r="A87" s="150"/>
      <c r="B87" s="111">
        <v>85</v>
      </c>
      <c r="C87" s="149" t="b">
        <v>0</v>
      </c>
      <c r="D87" s="148" t="str">
        <v>Z0</v>
      </c>
      <c r="E87" s="147" t="str">
        <f t="shared" si="2"/>
        <v>EURFUT3MZ0_Quote</v>
      </c>
      <c r="F87" s="146" t="str">
        <f>_xll.qlSimpleQuote(E87,,PriceTickValue,Permanent,Trigger,ObjectOverwrite)</f>
        <v>EURFUT3MZ0_Quote#0017</v>
      </c>
      <c r="G87" s="109" t="str">
        <f>_xll.ohRangeRetrieveError(F87)</f>
        <v/>
      </c>
      <c r="H87" s="145"/>
    </row>
    <row r="88" spans="1:8" x14ac:dyDescent="0.2">
      <c r="A88" s="150"/>
      <c r="B88" s="111">
        <v>86</v>
      </c>
      <c r="C88" s="149" t="b">
        <v>0</v>
      </c>
      <c r="D88" s="148" t="str">
        <v>F1</v>
      </c>
      <c r="E88" s="147" t="str">
        <f t="shared" si="2"/>
        <v>EURFUT3MF1_Quote</v>
      </c>
      <c r="F88" s="146" t="str">
        <f>_xll.qlSimpleQuote(E88,,PriceTickValue,Permanent,Trigger,ObjectOverwrite)</f>
        <v>EURFUT3MF1_Quote#0017</v>
      </c>
      <c r="G88" s="109" t="str">
        <f>_xll.ohRangeRetrieveError(F88)</f>
        <v/>
      </c>
      <c r="H88" s="145"/>
    </row>
    <row r="89" spans="1:8" x14ac:dyDescent="0.2">
      <c r="A89" s="150"/>
      <c r="B89" s="111">
        <v>87</v>
      </c>
      <c r="C89" s="149" t="b">
        <v>0</v>
      </c>
      <c r="D89" s="148" t="str">
        <v>G1</v>
      </c>
      <c r="E89" s="147" t="str">
        <f t="shared" si="2"/>
        <v>EURFUT3MG1_Quote</v>
      </c>
      <c r="F89" s="146" t="str">
        <f>_xll.qlSimpleQuote(E89,,PriceTickValue,Permanent,Trigger,ObjectOverwrite)</f>
        <v>EURFUT3MG1_Quote#0017</v>
      </c>
      <c r="G89" s="109" t="str">
        <f>_xll.ohRangeRetrieveError(F89)</f>
        <v/>
      </c>
      <c r="H89" s="145"/>
    </row>
    <row r="90" spans="1:8" x14ac:dyDescent="0.2">
      <c r="A90" s="150"/>
      <c r="B90" s="111">
        <v>88</v>
      </c>
      <c r="C90" s="149" t="b">
        <v>0</v>
      </c>
      <c r="D90" s="148" t="str">
        <v>H1</v>
      </c>
      <c r="E90" s="147" t="str">
        <f t="shared" si="2"/>
        <v>EURFUT3MH1_Quote</v>
      </c>
      <c r="F90" s="146" t="str">
        <f>_xll.qlSimpleQuote(E90,,PriceTickValue,Permanent,Trigger,ObjectOverwrite)</f>
        <v>EURFUT3MH1_Quote#0017</v>
      </c>
      <c r="G90" s="109" t="str">
        <f>_xll.ohRangeRetrieveError(F90)</f>
        <v/>
      </c>
      <c r="H90" s="145"/>
    </row>
    <row r="91" spans="1:8" x14ac:dyDescent="0.2">
      <c r="A91" s="150"/>
      <c r="B91" s="111">
        <v>89</v>
      </c>
      <c r="C91" s="149" t="b">
        <v>0</v>
      </c>
      <c r="D91" s="148" t="str">
        <v>J1</v>
      </c>
      <c r="E91" s="147" t="str">
        <f t="shared" si="2"/>
        <v>EURFUT3MJ1_Quote</v>
      </c>
      <c r="F91" s="146" t="str">
        <f>_xll.qlSimpleQuote(E91,,PriceTickValue,Permanent,Trigger,ObjectOverwrite)</f>
        <v>EURFUT3MJ1_Quote#0017</v>
      </c>
      <c r="G91" s="109" t="str">
        <f>_xll.ohRangeRetrieveError(F91)</f>
        <v/>
      </c>
      <c r="H91" s="145"/>
    </row>
    <row r="92" spans="1:8" x14ac:dyDescent="0.2">
      <c r="A92" s="150"/>
      <c r="B92" s="111">
        <v>90</v>
      </c>
      <c r="C92" s="149" t="b">
        <v>0</v>
      </c>
      <c r="D92" s="148" t="str">
        <v>K1</v>
      </c>
      <c r="E92" s="147" t="str">
        <f t="shared" si="2"/>
        <v>EURFUT3MK1_Quote</v>
      </c>
      <c r="F92" s="146" t="str">
        <f>_xll.qlSimpleQuote(E92,,PriceTickValue,Permanent,Trigger,ObjectOverwrite)</f>
        <v>EURFUT3MK1_Quote#0017</v>
      </c>
      <c r="G92" s="109" t="str">
        <f>_xll.ohRangeRetrieveError(F92)</f>
        <v/>
      </c>
      <c r="H92" s="145"/>
    </row>
    <row r="93" spans="1:8" x14ac:dyDescent="0.2">
      <c r="A93" s="150"/>
      <c r="B93" s="111">
        <v>91</v>
      </c>
      <c r="C93" s="149" t="b">
        <v>0</v>
      </c>
      <c r="D93" s="148" t="str">
        <v>M1</v>
      </c>
      <c r="E93" s="147" t="str">
        <f t="shared" si="2"/>
        <v>EURFUT3MM1_Quote</v>
      </c>
      <c r="F93" s="146" t="str">
        <f>_xll.qlSimpleQuote(E93,,PriceTickValue,Permanent,Trigger,ObjectOverwrite)</f>
        <v>EURFUT3MM1_Quote#0017</v>
      </c>
      <c r="G93" s="109" t="str">
        <f>_xll.ohRangeRetrieveError(F93)</f>
        <v/>
      </c>
      <c r="H93" s="145"/>
    </row>
    <row r="94" spans="1:8" x14ac:dyDescent="0.2">
      <c r="A94" s="150"/>
      <c r="B94" s="111">
        <v>92</v>
      </c>
      <c r="C94" s="149" t="b">
        <v>0</v>
      </c>
      <c r="D94" s="148" t="str">
        <v>N1</v>
      </c>
      <c r="E94" s="147" t="str">
        <f t="shared" si="2"/>
        <v>EURFUT3MN1_Quote</v>
      </c>
      <c r="F94" s="146" t="str">
        <f>_xll.qlSimpleQuote(E94,,PriceTickValue,Permanent,Trigger,ObjectOverwrite)</f>
        <v>EURFUT3MN1_Quote#0017</v>
      </c>
      <c r="G94" s="109" t="str">
        <f>_xll.ohRangeRetrieveError(F94)</f>
        <v/>
      </c>
      <c r="H94" s="145"/>
    </row>
    <row r="95" spans="1:8" x14ac:dyDescent="0.2">
      <c r="A95" s="150"/>
      <c r="B95" s="111">
        <v>93</v>
      </c>
      <c r="C95" s="149" t="b">
        <v>0</v>
      </c>
      <c r="D95" s="148" t="str">
        <v>Q1</v>
      </c>
      <c r="E95" s="147" t="str">
        <f t="shared" si="2"/>
        <v>EURFUT3MQ1_Quote</v>
      </c>
      <c r="F95" s="146" t="str">
        <f>_xll.qlSimpleQuote(E95,,PriceTickValue,Permanent,Trigger,ObjectOverwrite)</f>
        <v>EURFUT3MQ1_Quote#0017</v>
      </c>
      <c r="G95" s="109" t="str">
        <f>_xll.ohRangeRetrieveError(F95)</f>
        <v/>
      </c>
      <c r="H95" s="145"/>
    </row>
    <row r="96" spans="1:8" x14ac:dyDescent="0.2">
      <c r="A96" s="150"/>
      <c r="B96" s="111">
        <v>94</v>
      </c>
      <c r="C96" s="149" t="b">
        <v>0</v>
      </c>
      <c r="D96" s="148" t="str">
        <v>U1</v>
      </c>
      <c r="E96" s="147" t="str">
        <f t="shared" si="2"/>
        <v>EURFUT3MU1_Quote</v>
      </c>
      <c r="F96" s="146" t="str">
        <f>_xll.qlSimpleQuote(E96,,PriceTickValue,Permanent,Trigger,ObjectOverwrite)</f>
        <v>EURFUT3MU1_Quote#0017</v>
      </c>
      <c r="G96" s="109" t="str">
        <f>_xll.ohRangeRetrieveError(F96)</f>
        <v/>
      </c>
      <c r="H96" s="145"/>
    </row>
    <row r="97" spans="1:8" x14ac:dyDescent="0.2">
      <c r="A97" s="150"/>
      <c r="B97" s="111">
        <v>95</v>
      </c>
      <c r="C97" s="149" t="b">
        <v>0</v>
      </c>
      <c r="D97" s="148" t="str">
        <v>V1</v>
      </c>
      <c r="E97" s="147" t="str">
        <f t="shared" si="2"/>
        <v>EURFUT3MV1_Quote</v>
      </c>
      <c r="F97" s="146" t="str">
        <f>_xll.qlSimpleQuote(E97,,PriceTickValue,Permanent,Trigger,ObjectOverwrite)</f>
        <v>EURFUT3MV1_Quote#0017</v>
      </c>
      <c r="G97" s="109" t="str">
        <f>_xll.ohRangeRetrieveError(F97)</f>
        <v/>
      </c>
      <c r="H97" s="145"/>
    </row>
    <row r="98" spans="1:8" x14ac:dyDescent="0.2">
      <c r="A98" s="150"/>
      <c r="B98" s="111">
        <v>96</v>
      </c>
      <c r="C98" s="149" t="b">
        <v>0</v>
      </c>
      <c r="D98" s="148" t="str">
        <v>X1</v>
      </c>
      <c r="E98" s="147" t="str">
        <f t="shared" si="2"/>
        <v>EURFUT3MX1_Quote</v>
      </c>
      <c r="F98" s="146" t="str">
        <f>_xll.qlSimpleQuote(E98,,PriceTickValue,Permanent,Trigger,ObjectOverwrite)</f>
        <v>EURFUT3MX1_Quote#0017</v>
      </c>
      <c r="G98" s="109" t="str">
        <f>_xll.ohRangeRetrieveError(F98)</f>
        <v/>
      </c>
      <c r="H98" s="145"/>
    </row>
    <row r="99" spans="1:8" x14ac:dyDescent="0.2">
      <c r="A99" s="150"/>
      <c r="B99" s="111">
        <v>97</v>
      </c>
      <c r="C99" s="149" t="b">
        <v>0</v>
      </c>
      <c r="D99" s="148" t="str">
        <v>Z1</v>
      </c>
      <c r="E99" s="147" t="str">
        <f t="shared" ref="E99:E122" si="3">Currency&amp;$D$1&amp;$E$1&amp;$D99&amp;QuoteSuffix</f>
        <v>EURFUT3MZ1_Quote</v>
      </c>
      <c r="F99" s="146" t="str">
        <f>_xll.qlSimpleQuote(E99,,PriceTickValue,Permanent,Trigger,ObjectOverwrite)</f>
        <v>EURFUT3MZ1_Quote#0017</v>
      </c>
      <c r="G99" s="109" t="str">
        <f>_xll.ohRangeRetrieveError(F99)</f>
        <v/>
      </c>
      <c r="H99" s="145"/>
    </row>
    <row r="100" spans="1:8" x14ac:dyDescent="0.2">
      <c r="A100" s="150"/>
      <c r="B100" s="111">
        <v>98</v>
      </c>
      <c r="C100" s="149" t="b">
        <v>0</v>
      </c>
      <c r="D100" s="148" t="str">
        <v>F2</v>
      </c>
      <c r="E100" s="147" t="str">
        <f t="shared" si="3"/>
        <v>EURFUT3MF2_Quote</v>
      </c>
      <c r="F100" s="146" t="str">
        <f>_xll.qlSimpleQuote(E100,,PriceTickValue,Permanent,Trigger,ObjectOverwrite)</f>
        <v>EURFUT3MF2_Quote#0017</v>
      </c>
      <c r="G100" s="109" t="str">
        <f>_xll.ohRangeRetrieveError(F100)</f>
        <v/>
      </c>
      <c r="H100" s="145"/>
    </row>
    <row r="101" spans="1:8" x14ac:dyDescent="0.2">
      <c r="A101" s="150"/>
      <c r="B101" s="111">
        <v>99</v>
      </c>
      <c r="C101" s="149" t="b">
        <v>0</v>
      </c>
      <c r="D101" s="148" t="str">
        <v>G2</v>
      </c>
      <c r="E101" s="147" t="str">
        <f t="shared" si="3"/>
        <v>EURFUT3MG2_Quote</v>
      </c>
      <c r="F101" s="146" t="str">
        <f>_xll.qlSimpleQuote(E101,,PriceTickValue,Permanent,Trigger,ObjectOverwrite)</f>
        <v>EURFUT3MG2_Quote#0017</v>
      </c>
      <c r="G101" s="109" t="str">
        <f>_xll.ohRangeRetrieveError(F101)</f>
        <v/>
      </c>
      <c r="H101" s="145"/>
    </row>
    <row r="102" spans="1:8" x14ac:dyDescent="0.2">
      <c r="A102" s="150"/>
      <c r="B102" s="111">
        <v>100</v>
      </c>
      <c r="C102" s="149" t="b">
        <v>0</v>
      </c>
      <c r="D102" s="148" t="str">
        <v>H2</v>
      </c>
      <c r="E102" s="147" t="str">
        <f t="shared" si="3"/>
        <v>EURFUT3MH2_Quote</v>
      </c>
      <c r="F102" s="146" t="str">
        <f>_xll.qlSimpleQuote(E102,,PriceTickValue,Permanent,Trigger,ObjectOverwrite)</f>
        <v>EURFUT3MH2_Quote#0017</v>
      </c>
      <c r="G102" s="109" t="str">
        <f>_xll.ohRangeRetrieveError(F102)</f>
        <v/>
      </c>
      <c r="H102" s="145"/>
    </row>
    <row r="103" spans="1:8" x14ac:dyDescent="0.2">
      <c r="A103" s="150"/>
      <c r="B103" s="111">
        <v>101</v>
      </c>
      <c r="C103" s="149" t="b">
        <v>0</v>
      </c>
      <c r="D103" s="148" t="str">
        <v>J2</v>
      </c>
      <c r="E103" s="147" t="str">
        <f t="shared" si="3"/>
        <v>EURFUT3MJ2_Quote</v>
      </c>
      <c r="F103" s="146" t="str">
        <f>_xll.qlSimpleQuote(E103,,PriceTickValue,Permanent,Trigger,ObjectOverwrite)</f>
        <v>EURFUT3MJ2_Quote#0017</v>
      </c>
      <c r="G103" s="109" t="str">
        <f>_xll.ohRangeRetrieveError(F103)</f>
        <v/>
      </c>
      <c r="H103" s="145"/>
    </row>
    <row r="104" spans="1:8" x14ac:dyDescent="0.2">
      <c r="A104" s="150"/>
      <c r="B104" s="111">
        <v>102</v>
      </c>
      <c r="C104" s="149" t="b">
        <v>0</v>
      </c>
      <c r="D104" s="148" t="str">
        <v>K2</v>
      </c>
      <c r="E104" s="147" t="str">
        <f t="shared" si="3"/>
        <v>EURFUT3MK2_Quote</v>
      </c>
      <c r="F104" s="146" t="str">
        <f>_xll.qlSimpleQuote(E104,,PriceTickValue,Permanent,Trigger,ObjectOverwrite)</f>
        <v>EURFUT3MK2_Quote#0017</v>
      </c>
      <c r="G104" s="109" t="str">
        <f>_xll.ohRangeRetrieveError(F104)</f>
        <v/>
      </c>
      <c r="H104" s="145"/>
    </row>
    <row r="105" spans="1:8" x14ac:dyDescent="0.2">
      <c r="A105" s="150"/>
      <c r="B105" s="111">
        <v>103</v>
      </c>
      <c r="C105" s="149" t="b">
        <v>0</v>
      </c>
      <c r="D105" s="148" t="str">
        <v>M2</v>
      </c>
      <c r="E105" s="147" t="str">
        <f t="shared" si="3"/>
        <v>EURFUT3MM2_Quote</v>
      </c>
      <c r="F105" s="146" t="str">
        <f>_xll.qlSimpleQuote(E105,,PriceTickValue,Permanent,Trigger,ObjectOverwrite)</f>
        <v>EURFUT3MM2_Quote#0017</v>
      </c>
      <c r="G105" s="109" t="str">
        <f>_xll.ohRangeRetrieveError(F105)</f>
        <v/>
      </c>
      <c r="H105" s="145"/>
    </row>
    <row r="106" spans="1:8" x14ac:dyDescent="0.2">
      <c r="A106" s="150"/>
      <c r="B106" s="111">
        <v>104</v>
      </c>
      <c r="C106" s="149" t="b">
        <v>0</v>
      </c>
      <c r="D106" s="148" t="str">
        <v>N2</v>
      </c>
      <c r="E106" s="147" t="str">
        <f t="shared" si="3"/>
        <v>EURFUT3MN2_Quote</v>
      </c>
      <c r="F106" s="146" t="str">
        <f>_xll.qlSimpleQuote(E106,,PriceTickValue,Permanent,Trigger,ObjectOverwrite)</f>
        <v>EURFUT3MN2_Quote#0017</v>
      </c>
      <c r="G106" s="109" t="str">
        <f>_xll.ohRangeRetrieveError(F106)</f>
        <v/>
      </c>
      <c r="H106" s="145"/>
    </row>
    <row r="107" spans="1:8" x14ac:dyDescent="0.2">
      <c r="A107" s="150"/>
      <c r="B107" s="111">
        <v>105</v>
      </c>
      <c r="C107" s="149" t="b">
        <v>0</v>
      </c>
      <c r="D107" s="148" t="str">
        <v>Q2</v>
      </c>
      <c r="E107" s="147" t="str">
        <f t="shared" si="3"/>
        <v>EURFUT3MQ2_Quote</v>
      </c>
      <c r="F107" s="146" t="str">
        <f>_xll.qlSimpleQuote(E107,,PriceTickValue,Permanent,Trigger,ObjectOverwrite)</f>
        <v>EURFUT3MQ2_Quote#0017</v>
      </c>
      <c r="G107" s="109" t="str">
        <f>_xll.ohRangeRetrieveError(F107)</f>
        <v/>
      </c>
      <c r="H107" s="145"/>
    </row>
    <row r="108" spans="1:8" x14ac:dyDescent="0.2">
      <c r="A108" s="150"/>
      <c r="B108" s="111">
        <v>106</v>
      </c>
      <c r="C108" s="149" t="b">
        <v>0</v>
      </c>
      <c r="D108" s="148" t="str">
        <v>U2</v>
      </c>
      <c r="E108" s="147" t="str">
        <f t="shared" si="3"/>
        <v>EURFUT3MU2_Quote</v>
      </c>
      <c r="F108" s="146" t="str">
        <f>_xll.qlSimpleQuote(E108,,PriceTickValue,Permanent,Trigger,ObjectOverwrite)</f>
        <v>EURFUT3MU2_Quote#0017</v>
      </c>
      <c r="G108" s="109" t="str">
        <f>_xll.ohRangeRetrieveError(F108)</f>
        <v/>
      </c>
      <c r="H108" s="145"/>
    </row>
    <row r="109" spans="1:8" x14ac:dyDescent="0.2">
      <c r="A109" s="150"/>
      <c r="B109" s="111">
        <v>107</v>
      </c>
      <c r="C109" s="149" t="b">
        <v>0</v>
      </c>
      <c r="D109" s="148" t="str">
        <v>V2</v>
      </c>
      <c r="E109" s="147" t="str">
        <f t="shared" si="3"/>
        <v>EURFUT3MV2_Quote</v>
      </c>
      <c r="F109" s="146" t="str">
        <f>_xll.qlSimpleQuote(E109,,PriceTickValue,Permanent,Trigger,ObjectOverwrite)</f>
        <v>EURFUT3MV2_Quote#0017</v>
      </c>
      <c r="G109" s="109" t="str">
        <f>_xll.ohRangeRetrieveError(F109)</f>
        <v/>
      </c>
      <c r="H109" s="145"/>
    </row>
    <row r="110" spans="1:8" x14ac:dyDescent="0.2">
      <c r="A110" s="150"/>
      <c r="B110" s="111">
        <v>108</v>
      </c>
      <c r="C110" s="149" t="b">
        <v>0</v>
      </c>
      <c r="D110" s="148" t="str">
        <v>X2</v>
      </c>
      <c r="E110" s="147" t="str">
        <f t="shared" si="3"/>
        <v>EURFUT3MX2_Quote</v>
      </c>
      <c r="F110" s="146" t="str">
        <f>_xll.qlSimpleQuote(E110,,PriceTickValue,Permanent,Trigger,ObjectOverwrite)</f>
        <v>EURFUT3MX2_Quote#0017</v>
      </c>
      <c r="G110" s="109" t="str">
        <f>_xll.ohRangeRetrieveError(F110)</f>
        <v/>
      </c>
      <c r="H110" s="145"/>
    </row>
    <row r="111" spans="1:8" x14ac:dyDescent="0.2">
      <c r="A111" s="150"/>
      <c r="B111" s="111">
        <v>109</v>
      </c>
      <c r="C111" s="149" t="b">
        <v>0</v>
      </c>
      <c r="D111" s="148" t="str">
        <v>Z2</v>
      </c>
      <c r="E111" s="147" t="str">
        <f t="shared" si="3"/>
        <v>EURFUT3MZ2_Quote</v>
      </c>
      <c r="F111" s="146" t="str">
        <f>_xll.qlSimpleQuote(E111,,PriceTickValue,Permanent,Trigger,ObjectOverwrite)</f>
        <v>EURFUT3MZ2_Quote#0017</v>
      </c>
      <c r="G111" s="109" t="str">
        <f>_xll.ohRangeRetrieveError(F111)</f>
        <v/>
      </c>
      <c r="H111" s="145"/>
    </row>
    <row r="112" spans="1:8" x14ac:dyDescent="0.2">
      <c r="A112" s="150"/>
      <c r="B112" s="111">
        <v>110</v>
      </c>
      <c r="C112" s="149" t="b">
        <v>0</v>
      </c>
      <c r="D112" s="148" t="str">
        <v>F3</v>
      </c>
      <c r="E112" s="147" t="str">
        <f t="shared" si="3"/>
        <v>EURFUT3MF3_Quote</v>
      </c>
      <c r="F112" s="146" t="str">
        <f>_xll.qlSimpleQuote(E112,,PriceTickValue,Permanent,Trigger,ObjectOverwrite)</f>
        <v>EURFUT3MF3_Quote#0017</v>
      </c>
      <c r="G112" s="109" t="str">
        <f>_xll.ohRangeRetrieveError(F112)</f>
        <v/>
      </c>
      <c r="H112" s="145"/>
    </row>
    <row r="113" spans="1:8" x14ac:dyDescent="0.2">
      <c r="A113" s="150"/>
      <c r="B113" s="111">
        <v>111</v>
      </c>
      <c r="C113" s="149" t="b">
        <v>0</v>
      </c>
      <c r="D113" s="148" t="str">
        <v>G3</v>
      </c>
      <c r="E113" s="147" t="str">
        <f t="shared" si="3"/>
        <v>EURFUT3MG3_Quote</v>
      </c>
      <c r="F113" s="146" t="str">
        <f>_xll.qlSimpleQuote(E113,,PriceTickValue,Permanent,Trigger,ObjectOverwrite)</f>
        <v>EURFUT3MG3_Quote#0017</v>
      </c>
      <c r="G113" s="109" t="str">
        <f>_xll.ohRangeRetrieveError(F113)</f>
        <v/>
      </c>
      <c r="H113" s="145"/>
    </row>
    <row r="114" spans="1:8" x14ac:dyDescent="0.2">
      <c r="A114" s="150"/>
      <c r="B114" s="111">
        <v>112</v>
      </c>
      <c r="C114" s="149" t="b">
        <v>0</v>
      </c>
      <c r="D114" s="148" t="str">
        <v>H3</v>
      </c>
      <c r="E114" s="147" t="str">
        <f t="shared" si="3"/>
        <v>EURFUT3MH3_Quote</v>
      </c>
      <c r="F114" s="146" t="str">
        <f>_xll.qlSimpleQuote(E114,,PriceTickValue,Permanent,Trigger,ObjectOverwrite)</f>
        <v>EURFUT3MH3_Quote#0017</v>
      </c>
      <c r="G114" s="109" t="str">
        <f>_xll.ohRangeRetrieveError(F114)</f>
        <v/>
      </c>
      <c r="H114" s="145"/>
    </row>
    <row r="115" spans="1:8" x14ac:dyDescent="0.2">
      <c r="A115" s="150"/>
      <c r="B115" s="111">
        <v>113</v>
      </c>
      <c r="C115" s="149" t="b">
        <v>0</v>
      </c>
      <c r="D115" s="148" t="str">
        <v>J3</v>
      </c>
      <c r="E115" s="147" t="str">
        <f t="shared" si="3"/>
        <v>EURFUT3MJ3_Quote</v>
      </c>
      <c r="F115" s="146" t="str">
        <f>_xll.qlSimpleQuote(E115,,PriceTickValue,Permanent,Trigger,ObjectOverwrite)</f>
        <v>EURFUT3MJ3_Quote#0017</v>
      </c>
      <c r="G115" s="109" t="str">
        <f>_xll.ohRangeRetrieveError(F115)</f>
        <v/>
      </c>
      <c r="H115" s="145"/>
    </row>
    <row r="116" spans="1:8" x14ac:dyDescent="0.2">
      <c r="A116" s="150"/>
      <c r="B116" s="111">
        <v>114</v>
      </c>
      <c r="C116" s="149" t="b">
        <v>0</v>
      </c>
      <c r="D116" s="148" t="str">
        <v>K3</v>
      </c>
      <c r="E116" s="147" t="str">
        <f t="shared" si="3"/>
        <v>EURFUT3MK3_Quote</v>
      </c>
      <c r="F116" s="146" t="str">
        <f>_xll.qlSimpleQuote(E116,,PriceTickValue,Permanent,Trigger,ObjectOverwrite)</f>
        <v>EURFUT3MK3_Quote#0017</v>
      </c>
      <c r="G116" s="109" t="str">
        <f>_xll.ohRangeRetrieveError(F116)</f>
        <v/>
      </c>
      <c r="H116" s="145"/>
    </row>
    <row r="117" spans="1:8" x14ac:dyDescent="0.2">
      <c r="A117" s="150"/>
      <c r="B117" s="111">
        <v>115</v>
      </c>
      <c r="C117" s="149" t="b">
        <v>0</v>
      </c>
      <c r="D117" s="148" t="str">
        <v>M3</v>
      </c>
      <c r="E117" s="147" t="str">
        <f t="shared" si="3"/>
        <v>EURFUT3MM3_Quote</v>
      </c>
      <c r="F117" s="146" t="str">
        <f>_xll.qlSimpleQuote(E117,,PriceTickValue,Permanent,Trigger,ObjectOverwrite)</f>
        <v>EURFUT3MM3_Quote#0017</v>
      </c>
      <c r="G117" s="109" t="str">
        <f>_xll.ohRangeRetrieveError(F117)</f>
        <v/>
      </c>
      <c r="H117" s="145"/>
    </row>
    <row r="118" spans="1:8" x14ac:dyDescent="0.2">
      <c r="A118" s="150"/>
      <c r="B118" s="111">
        <v>116</v>
      </c>
      <c r="C118" s="149" t="b">
        <v>0</v>
      </c>
      <c r="D118" s="148" t="str">
        <v>N3</v>
      </c>
      <c r="E118" s="147" t="str">
        <f t="shared" si="3"/>
        <v>EURFUT3MN3_Quote</v>
      </c>
      <c r="F118" s="146" t="str">
        <f>_xll.qlSimpleQuote(E118,,PriceTickValue,Permanent,Trigger,ObjectOverwrite)</f>
        <v>EURFUT3MN3_Quote#0017</v>
      </c>
      <c r="G118" s="109" t="str">
        <f>_xll.ohRangeRetrieveError(F118)</f>
        <v/>
      </c>
      <c r="H118" s="145"/>
    </row>
    <row r="119" spans="1:8" x14ac:dyDescent="0.2">
      <c r="A119" s="150"/>
      <c r="B119" s="111">
        <v>117</v>
      </c>
      <c r="C119" s="149" t="b">
        <v>0</v>
      </c>
      <c r="D119" s="148" t="str">
        <v>Q3</v>
      </c>
      <c r="E119" s="147" t="str">
        <f t="shared" si="3"/>
        <v>EURFUT3MQ3_Quote</v>
      </c>
      <c r="F119" s="146" t="str">
        <f>_xll.qlSimpleQuote(E119,,PriceTickValue,Permanent,Trigger,ObjectOverwrite)</f>
        <v>EURFUT3MQ3_Quote#0017</v>
      </c>
      <c r="G119" s="109" t="str">
        <f>_xll.ohRangeRetrieveError(F119)</f>
        <v/>
      </c>
      <c r="H119" s="145"/>
    </row>
    <row r="120" spans="1:8" x14ac:dyDescent="0.2">
      <c r="A120" s="150"/>
      <c r="B120" s="111">
        <v>118</v>
      </c>
      <c r="C120" s="149" t="b">
        <v>0</v>
      </c>
      <c r="D120" s="148" t="str">
        <v>U3</v>
      </c>
      <c r="E120" s="147" t="str">
        <f t="shared" si="3"/>
        <v>EURFUT3MU3_Quote</v>
      </c>
      <c r="F120" s="146" t="str">
        <f>_xll.qlSimpleQuote(E120,,PriceTickValue,Permanent,Trigger,ObjectOverwrite)</f>
        <v>EURFUT3MU3_Quote#0017</v>
      </c>
      <c r="G120" s="109" t="str">
        <f>_xll.ohRangeRetrieveError(F120)</f>
        <v/>
      </c>
      <c r="H120" s="145"/>
    </row>
    <row r="121" spans="1:8" x14ac:dyDescent="0.2">
      <c r="A121" s="150"/>
      <c r="B121" s="111">
        <v>119</v>
      </c>
      <c r="C121" s="149" t="b">
        <v>0</v>
      </c>
      <c r="D121" s="148" t="str">
        <v>V3</v>
      </c>
      <c r="E121" s="147" t="str">
        <f t="shared" si="3"/>
        <v>EURFUT3MV3_Quote</v>
      </c>
      <c r="F121" s="146" t="str">
        <f>_xll.qlSimpleQuote(E121,,PriceTickValue,Permanent,Trigger,ObjectOverwrite)</f>
        <v>EURFUT3MV3_Quote#0017</v>
      </c>
      <c r="G121" s="109" t="str">
        <f>_xll.ohRangeRetrieveError(F121)</f>
        <v/>
      </c>
      <c r="H121" s="145"/>
    </row>
    <row r="122" spans="1:8" x14ac:dyDescent="0.2">
      <c r="A122" s="150"/>
      <c r="B122" s="111">
        <v>120</v>
      </c>
      <c r="C122" s="149" t="b">
        <v>0</v>
      </c>
      <c r="D122" s="148" t="str">
        <v>X3</v>
      </c>
      <c r="E122" s="147" t="str">
        <f t="shared" si="3"/>
        <v>EURFUT3MX3_Quote</v>
      </c>
      <c r="F122" s="146" t="str">
        <f>_xll.qlSimpleQuote(E122,,PriceTickValue,Permanent,Trigger,ObjectOverwrite)</f>
        <v>EURFUT3MX3_Quote#0017</v>
      </c>
      <c r="G122" s="109" t="str">
        <f>_xll.ohRangeRetrieveError(F122)</f>
        <v/>
      </c>
      <c r="H122" s="145"/>
    </row>
    <row r="123" spans="1:8" ht="12" thickBot="1" x14ac:dyDescent="0.25">
      <c r="A123" s="144"/>
      <c r="B123" s="143"/>
      <c r="C123" s="143"/>
      <c r="D123" s="143"/>
      <c r="E123" s="143"/>
      <c r="F123" s="143"/>
      <c r="G123" s="143"/>
      <c r="H123"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123"/>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8" width="4.5703125" style="72" customWidth="1"/>
    <col min="9" max="16384" width="9.140625" style="72"/>
  </cols>
  <sheetData>
    <row r="1" spans="1:8" x14ac:dyDescent="0.2">
      <c r="A1" s="161" t="s">
        <v>190</v>
      </c>
      <c r="B1" s="160"/>
      <c r="C1" s="160"/>
      <c r="D1" s="159" t="s">
        <v>189</v>
      </c>
      <c r="E1" s="159" t="s">
        <v>40</v>
      </c>
      <c r="F1" s="158"/>
      <c r="G1" s="158"/>
      <c r="H1" s="157"/>
    </row>
    <row r="2" spans="1:8" ht="22.5" x14ac:dyDescent="0.2">
      <c r="A2" s="156"/>
      <c r="B2" s="97" t="s">
        <v>187</v>
      </c>
      <c r="C2" s="98" t="s">
        <v>186</v>
      </c>
      <c r="D2" s="98" t="s">
        <v>185</v>
      </c>
      <c r="E2" s="96" t="str">
        <f>Currency&amp;"_010_"&amp;$D$1&amp;$E$1&amp;".xml"</f>
        <v>EUR_010_IMMFRA6M.xml</v>
      </c>
      <c r="F2" s="95">
        <f ca="1">IF(Serialize,_xll.ohObjectSave(F3:F122,SerializationPath&amp;E2,FileOverwrite,Serialize),"---")</f>
        <v>120</v>
      </c>
      <c r="G2" s="112" t="str">
        <f ca="1">_xll.ohRangeRetrieveError(F2)</f>
        <v/>
      </c>
      <c r="H2" s="145"/>
    </row>
    <row r="3" spans="1:8" x14ac:dyDescent="0.2">
      <c r="A3" s="150"/>
      <c r="B3" s="155">
        <v>1</v>
      </c>
      <c r="C3" s="154" t="b">
        <v>0</v>
      </c>
      <c r="D3" s="153" t="str">
        <f t="array" ref="D3:D122">_xll.qlIMMNextCodes(_xll.qlSettingsEvaluationDate(Trigger)-1,$C3:$C122)</f>
        <v>Z3</v>
      </c>
      <c r="E3" s="147" t="str">
        <f t="shared" ref="E3:E34" si="0">Currency&amp;$D$1&amp;$E$1&amp;$D3&amp;QuoteSuffix</f>
        <v>EURIMMFRA6MZ3_Quote</v>
      </c>
      <c r="F3" s="152" t="str">
        <f>_xll.qlSimpleQuote(E3,,PriceTickValue,Permanent,Trigger,ObjectOverwrite)</f>
        <v>EURIMMFRA6MZ3_Quote#0017</v>
      </c>
      <c r="G3" s="151" t="str">
        <f>_xll.ohRangeRetrieveError(F3)</f>
        <v/>
      </c>
      <c r="H3" s="145"/>
    </row>
    <row r="4" spans="1:8" x14ac:dyDescent="0.2">
      <c r="A4" s="150"/>
      <c r="B4" s="111">
        <v>2</v>
      </c>
      <c r="C4" s="149" t="b">
        <v>0</v>
      </c>
      <c r="D4" s="148" t="str">
        <v>F4</v>
      </c>
      <c r="E4" s="147" t="str">
        <f t="shared" si="0"/>
        <v>EURIMMFRA6MF4_Quote</v>
      </c>
      <c r="F4" s="146" t="str">
        <f>_xll.qlSimpleQuote(E4,,PriceTickValue,Permanent,Trigger,ObjectOverwrite)</f>
        <v>EURIMMFRA6MF4_Quote#0017</v>
      </c>
      <c r="G4" s="109" t="str">
        <f>_xll.ohRangeRetrieveError(F4)</f>
        <v/>
      </c>
      <c r="H4" s="145"/>
    </row>
    <row r="5" spans="1:8" x14ac:dyDescent="0.2">
      <c r="A5" s="150"/>
      <c r="B5" s="111">
        <v>3</v>
      </c>
      <c r="C5" s="149" t="b">
        <v>0</v>
      </c>
      <c r="D5" s="148" t="str">
        <v>G4</v>
      </c>
      <c r="E5" s="147" t="str">
        <f t="shared" si="0"/>
        <v>EURIMMFRA6MG4_Quote</v>
      </c>
      <c r="F5" s="146" t="str">
        <f>_xll.qlSimpleQuote(E5,,PriceTickValue,Permanent,Trigger,ObjectOverwrite)</f>
        <v>EURIMMFRA6MG4_Quote#0017</v>
      </c>
      <c r="G5" s="109" t="str">
        <f>_xll.ohRangeRetrieveError(F5)</f>
        <v/>
      </c>
      <c r="H5" s="145"/>
    </row>
    <row r="6" spans="1:8" x14ac:dyDescent="0.2">
      <c r="A6" s="150"/>
      <c r="B6" s="111">
        <v>4</v>
      </c>
      <c r="C6" s="149" t="b">
        <v>0</v>
      </c>
      <c r="D6" s="148" t="str">
        <v>H4</v>
      </c>
      <c r="E6" s="147" t="str">
        <f t="shared" si="0"/>
        <v>EURIMMFRA6MH4_Quote</v>
      </c>
      <c r="F6" s="146" t="str">
        <f>_xll.qlSimpleQuote(E6,,PriceTickValue,Permanent,Trigger,ObjectOverwrite)</f>
        <v>EURIMMFRA6MH4_Quote#0017</v>
      </c>
      <c r="G6" s="109" t="str">
        <f>_xll.ohRangeRetrieveError(F6)</f>
        <v/>
      </c>
      <c r="H6" s="145"/>
    </row>
    <row r="7" spans="1:8" x14ac:dyDescent="0.2">
      <c r="A7" s="150"/>
      <c r="B7" s="111">
        <v>5</v>
      </c>
      <c r="C7" s="149" t="b">
        <v>0</v>
      </c>
      <c r="D7" s="148" t="str">
        <v>J4</v>
      </c>
      <c r="E7" s="147" t="str">
        <f t="shared" si="0"/>
        <v>EURIMMFRA6MJ4_Quote</v>
      </c>
      <c r="F7" s="146" t="str">
        <f>_xll.qlSimpleQuote(E7,,PriceTickValue,Permanent,Trigger,ObjectOverwrite)</f>
        <v>EURIMMFRA6MJ4_Quote#0017</v>
      </c>
      <c r="G7" s="109" t="str">
        <f>_xll.ohRangeRetrieveError(F7)</f>
        <v/>
      </c>
      <c r="H7" s="145"/>
    </row>
    <row r="8" spans="1:8" x14ac:dyDescent="0.2">
      <c r="A8" s="150"/>
      <c r="B8" s="111">
        <v>6</v>
      </c>
      <c r="C8" s="149" t="b">
        <v>0</v>
      </c>
      <c r="D8" s="148" t="str">
        <v>K4</v>
      </c>
      <c r="E8" s="147" t="str">
        <f t="shared" si="0"/>
        <v>EURIMMFRA6MK4_Quote</v>
      </c>
      <c r="F8" s="146" t="str">
        <f>_xll.qlSimpleQuote(E8,,PriceTickValue,Permanent,Trigger,ObjectOverwrite)</f>
        <v>EURIMMFRA6MK4_Quote#0017</v>
      </c>
      <c r="G8" s="109" t="str">
        <f>_xll.ohRangeRetrieveError(F8)</f>
        <v/>
      </c>
      <c r="H8" s="145"/>
    </row>
    <row r="9" spans="1:8" x14ac:dyDescent="0.2">
      <c r="A9" s="150"/>
      <c r="B9" s="111">
        <v>7</v>
      </c>
      <c r="C9" s="149" t="b">
        <v>0</v>
      </c>
      <c r="D9" s="148" t="str">
        <v>M4</v>
      </c>
      <c r="E9" s="147" t="str">
        <f t="shared" si="0"/>
        <v>EURIMMFRA6MM4_Quote</v>
      </c>
      <c r="F9" s="146" t="str">
        <f>_xll.qlSimpleQuote(E9,,PriceTickValue,Permanent,Trigger,ObjectOverwrite)</f>
        <v>EURIMMFRA6MM4_Quote#0017</v>
      </c>
      <c r="G9" s="109" t="str">
        <f>_xll.ohRangeRetrieveError(F9)</f>
        <v/>
      </c>
      <c r="H9" s="145"/>
    </row>
    <row r="10" spans="1:8" x14ac:dyDescent="0.2">
      <c r="A10" s="150"/>
      <c r="B10" s="111">
        <v>8</v>
      </c>
      <c r="C10" s="149" t="b">
        <v>0</v>
      </c>
      <c r="D10" s="148" t="str">
        <v>N4</v>
      </c>
      <c r="E10" s="147" t="str">
        <f t="shared" si="0"/>
        <v>EURIMMFRA6MN4_Quote</v>
      </c>
      <c r="F10" s="146" t="str">
        <f>_xll.qlSimpleQuote(E10,,PriceTickValue,Permanent,Trigger,ObjectOverwrite)</f>
        <v>EURIMMFRA6MN4_Quote#0017</v>
      </c>
      <c r="G10" s="109" t="str">
        <f>_xll.ohRangeRetrieveError(F10)</f>
        <v/>
      </c>
      <c r="H10" s="145"/>
    </row>
    <row r="11" spans="1:8" x14ac:dyDescent="0.2">
      <c r="A11" s="150"/>
      <c r="B11" s="111">
        <v>9</v>
      </c>
      <c r="C11" s="149" t="b">
        <v>0</v>
      </c>
      <c r="D11" s="148" t="str">
        <v>Q4</v>
      </c>
      <c r="E11" s="147" t="str">
        <f t="shared" si="0"/>
        <v>EURIMMFRA6MQ4_Quote</v>
      </c>
      <c r="F11" s="146" t="str">
        <f>_xll.qlSimpleQuote(E11,,PriceTickValue,Permanent,Trigger,ObjectOverwrite)</f>
        <v>EURIMMFRA6MQ4_Quote#0017</v>
      </c>
      <c r="G11" s="109" t="str">
        <f>_xll.ohRangeRetrieveError(F11)</f>
        <v/>
      </c>
      <c r="H11" s="145"/>
    </row>
    <row r="12" spans="1:8" x14ac:dyDescent="0.2">
      <c r="A12" s="150"/>
      <c r="B12" s="111">
        <v>10</v>
      </c>
      <c r="C12" s="149" t="b">
        <v>0</v>
      </c>
      <c r="D12" s="148" t="str">
        <v>U4</v>
      </c>
      <c r="E12" s="147" t="str">
        <f t="shared" si="0"/>
        <v>EURIMMFRA6MU4_Quote</v>
      </c>
      <c r="F12" s="146" t="str">
        <f>_xll.qlSimpleQuote(E12,,PriceTickValue,Permanent,Trigger,ObjectOverwrite)</f>
        <v>EURIMMFRA6MU4_Quote#0017</v>
      </c>
      <c r="G12" s="109" t="str">
        <f>_xll.ohRangeRetrieveError(F12)</f>
        <v/>
      </c>
      <c r="H12" s="145"/>
    </row>
    <row r="13" spans="1:8" x14ac:dyDescent="0.2">
      <c r="A13" s="150"/>
      <c r="B13" s="111">
        <v>11</v>
      </c>
      <c r="C13" s="149" t="b">
        <v>0</v>
      </c>
      <c r="D13" s="148" t="str">
        <v>V4</v>
      </c>
      <c r="E13" s="147" t="str">
        <f t="shared" si="0"/>
        <v>EURIMMFRA6MV4_Quote</v>
      </c>
      <c r="F13" s="146" t="str">
        <f>_xll.qlSimpleQuote(E13,,PriceTickValue,Permanent,Trigger,ObjectOverwrite)</f>
        <v>EURIMMFRA6MV4_Quote#0017</v>
      </c>
      <c r="G13" s="109" t="str">
        <f>_xll.ohRangeRetrieveError(F13)</f>
        <v/>
      </c>
      <c r="H13" s="145"/>
    </row>
    <row r="14" spans="1:8" x14ac:dyDescent="0.2">
      <c r="A14" s="150"/>
      <c r="B14" s="111">
        <v>12</v>
      </c>
      <c r="C14" s="149" t="b">
        <v>0</v>
      </c>
      <c r="D14" s="148" t="str">
        <v>X4</v>
      </c>
      <c r="E14" s="147" t="str">
        <f t="shared" si="0"/>
        <v>EURIMMFRA6MX4_Quote</v>
      </c>
      <c r="F14" s="146" t="str">
        <f>_xll.qlSimpleQuote(E14,,PriceTickValue,Permanent,Trigger,ObjectOverwrite)</f>
        <v>EURIMMFRA6MX4_Quote#0017</v>
      </c>
      <c r="G14" s="109" t="str">
        <f>_xll.ohRangeRetrieveError(F14)</f>
        <v/>
      </c>
      <c r="H14" s="145"/>
    </row>
    <row r="15" spans="1:8" x14ac:dyDescent="0.2">
      <c r="A15" s="150"/>
      <c r="B15" s="111">
        <v>13</v>
      </c>
      <c r="C15" s="149" t="b">
        <v>0</v>
      </c>
      <c r="D15" s="148" t="str">
        <v>Z4</v>
      </c>
      <c r="E15" s="147" t="str">
        <f t="shared" si="0"/>
        <v>EURIMMFRA6MZ4_Quote</v>
      </c>
      <c r="F15" s="146" t="str">
        <f>_xll.qlSimpleQuote(E15,,PriceTickValue,Permanent,Trigger,ObjectOverwrite)</f>
        <v>EURIMMFRA6MZ4_Quote#0017</v>
      </c>
      <c r="G15" s="109" t="str">
        <f>_xll.ohRangeRetrieveError(F15)</f>
        <v/>
      </c>
      <c r="H15" s="145"/>
    </row>
    <row r="16" spans="1:8" x14ac:dyDescent="0.2">
      <c r="A16" s="150"/>
      <c r="B16" s="111">
        <v>14</v>
      </c>
      <c r="C16" s="149" t="b">
        <v>0</v>
      </c>
      <c r="D16" s="148" t="str">
        <v>F5</v>
      </c>
      <c r="E16" s="147" t="str">
        <f t="shared" si="0"/>
        <v>EURIMMFRA6MF5_Quote</v>
      </c>
      <c r="F16" s="146" t="str">
        <f>_xll.qlSimpleQuote(E16,,PriceTickValue,Permanent,Trigger,ObjectOverwrite)</f>
        <v>EURIMMFRA6MF5_Quote#0017</v>
      </c>
      <c r="G16" s="109" t="str">
        <f>_xll.ohRangeRetrieveError(F16)</f>
        <v/>
      </c>
      <c r="H16" s="145"/>
    </row>
    <row r="17" spans="1:8" x14ac:dyDescent="0.2">
      <c r="A17" s="150"/>
      <c r="B17" s="111">
        <v>15</v>
      </c>
      <c r="C17" s="149" t="b">
        <v>0</v>
      </c>
      <c r="D17" s="148" t="str">
        <v>G5</v>
      </c>
      <c r="E17" s="147" t="str">
        <f t="shared" si="0"/>
        <v>EURIMMFRA6MG5_Quote</v>
      </c>
      <c r="F17" s="146" t="str">
        <f>_xll.qlSimpleQuote(E17,,PriceTickValue,Permanent,Trigger,ObjectOverwrite)</f>
        <v>EURIMMFRA6MG5_Quote#0017</v>
      </c>
      <c r="G17" s="109" t="str">
        <f>_xll.ohRangeRetrieveError(F17)</f>
        <v/>
      </c>
      <c r="H17" s="145"/>
    </row>
    <row r="18" spans="1:8" x14ac:dyDescent="0.2">
      <c r="A18" s="150"/>
      <c r="B18" s="111">
        <v>16</v>
      </c>
      <c r="C18" s="149" t="b">
        <v>0</v>
      </c>
      <c r="D18" s="148" t="str">
        <v>H5</v>
      </c>
      <c r="E18" s="147" t="str">
        <f t="shared" si="0"/>
        <v>EURIMMFRA6MH5_Quote</v>
      </c>
      <c r="F18" s="146" t="str">
        <f>_xll.qlSimpleQuote(E18,,PriceTickValue,Permanent,Trigger,ObjectOverwrite)</f>
        <v>EURIMMFRA6MH5_Quote#0017</v>
      </c>
      <c r="G18" s="109" t="str">
        <f>_xll.ohRangeRetrieveError(F18)</f>
        <v/>
      </c>
      <c r="H18" s="145"/>
    </row>
    <row r="19" spans="1:8" x14ac:dyDescent="0.2">
      <c r="A19" s="150"/>
      <c r="B19" s="111">
        <v>17</v>
      </c>
      <c r="C19" s="149" t="b">
        <v>0</v>
      </c>
      <c r="D19" s="148" t="str">
        <v>J5</v>
      </c>
      <c r="E19" s="147" t="str">
        <f t="shared" si="0"/>
        <v>EURIMMFRA6MJ5_Quote</v>
      </c>
      <c r="F19" s="146" t="str">
        <f>_xll.qlSimpleQuote(E19,,PriceTickValue,Permanent,Trigger,ObjectOverwrite)</f>
        <v>EURIMMFRA6MJ5_Quote#0017</v>
      </c>
      <c r="G19" s="109" t="str">
        <f>_xll.ohRangeRetrieveError(F19)</f>
        <v/>
      </c>
      <c r="H19" s="145"/>
    </row>
    <row r="20" spans="1:8" x14ac:dyDescent="0.2">
      <c r="A20" s="150"/>
      <c r="B20" s="111">
        <v>18</v>
      </c>
      <c r="C20" s="149" t="b">
        <v>0</v>
      </c>
      <c r="D20" s="148" t="str">
        <v>K5</v>
      </c>
      <c r="E20" s="147" t="str">
        <f t="shared" si="0"/>
        <v>EURIMMFRA6MK5_Quote</v>
      </c>
      <c r="F20" s="146" t="str">
        <f>_xll.qlSimpleQuote(E20,,PriceTickValue,Permanent,Trigger,ObjectOverwrite)</f>
        <v>EURIMMFRA6MK5_Quote#0017</v>
      </c>
      <c r="G20" s="109" t="str">
        <f>_xll.ohRangeRetrieveError(F20)</f>
        <v/>
      </c>
      <c r="H20" s="145"/>
    </row>
    <row r="21" spans="1:8" x14ac:dyDescent="0.2">
      <c r="A21" s="150"/>
      <c r="B21" s="111">
        <v>19</v>
      </c>
      <c r="C21" s="149" t="b">
        <v>0</v>
      </c>
      <c r="D21" s="148" t="str">
        <v>M5</v>
      </c>
      <c r="E21" s="147" t="str">
        <f t="shared" si="0"/>
        <v>EURIMMFRA6MM5_Quote</v>
      </c>
      <c r="F21" s="146" t="str">
        <f>_xll.qlSimpleQuote(E21,,PriceTickValue,Permanent,Trigger,ObjectOverwrite)</f>
        <v>EURIMMFRA6MM5_Quote#0017</v>
      </c>
      <c r="G21" s="109" t="str">
        <f>_xll.ohRangeRetrieveError(F21)</f>
        <v/>
      </c>
      <c r="H21" s="145"/>
    </row>
    <row r="22" spans="1:8" x14ac:dyDescent="0.2">
      <c r="A22" s="150"/>
      <c r="B22" s="111">
        <v>20</v>
      </c>
      <c r="C22" s="149" t="b">
        <v>0</v>
      </c>
      <c r="D22" s="148" t="str">
        <v>N5</v>
      </c>
      <c r="E22" s="147" t="str">
        <f t="shared" si="0"/>
        <v>EURIMMFRA6MN5_Quote</v>
      </c>
      <c r="F22" s="146" t="str">
        <f>_xll.qlSimpleQuote(E22,,PriceTickValue,Permanent,Trigger,ObjectOverwrite)</f>
        <v>EURIMMFRA6MN5_Quote#0017</v>
      </c>
      <c r="G22" s="109" t="str">
        <f>_xll.ohRangeRetrieveError(F22)</f>
        <v/>
      </c>
      <c r="H22" s="145"/>
    </row>
    <row r="23" spans="1:8" x14ac:dyDescent="0.2">
      <c r="A23" s="150"/>
      <c r="B23" s="111">
        <v>21</v>
      </c>
      <c r="C23" s="149" t="b">
        <v>0</v>
      </c>
      <c r="D23" s="148" t="str">
        <v>Q5</v>
      </c>
      <c r="E23" s="147" t="str">
        <f t="shared" si="0"/>
        <v>EURIMMFRA6MQ5_Quote</v>
      </c>
      <c r="F23" s="146" t="str">
        <f>_xll.qlSimpleQuote(E23,,PriceTickValue,Permanent,Trigger,ObjectOverwrite)</f>
        <v>EURIMMFRA6MQ5_Quote#0017</v>
      </c>
      <c r="G23" s="109" t="str">
        <f>_xll.ohRangeRetrieveError(F23)</f>
        <v/>
      </c>
      <c r="H23" s="145"/>
    </row>
    <row r="24" spans="1:8" x14ac:dyDescent="0.2">
      <c r="A24" s="150"/>
      <c r="B24" s="111">
        <v>22</v>
      </c>
      <c r="C24" s="149" t="b">
        <v>0</v>
      </c>
      <c r="D24" s="148" t="str">
        <v>U5</v>
      </c>
      <c r="E24" s="147" t="str">
        <f t="shared" si="0"/>
        <v>EURIMMFRA6MU5_Quote</v>
      </c>
      <c r="F24" s="146" t="str">
        <f>_xll.qlSimpleQuote(E24,,PriceTickValue,Permanent,Trigger,ObjectOverwrite)</f>
        <v>EURIMMFRA6MU5_Quote#0017</v>
      </c>
      <c r="G24" s="109" t="str">
        <f>_xll.ohRangeRetrieveError(F24)</f>
        <v/>
      </c>
      <c r="H24" s="145"/>
    </row>
    <row r="25" spans="1:8" x14ac:dyDescent="0.2">
      <c r="A25" s="150"/>
      <c r="B25" s="111">
        <v>23</v>
      </c>
      <c r="C25" s="149" t="b">
        <v>0</v>
      </c>
      <c r="D25" s="148" t="str">
        <v>V5</v>
      </c>
      <c r="E25" s="147" t="str">
        <f t="shared" si="0"/>
        <v>EURIMMFRA6MV5_Quote</v>
      </c>
      <c r="F25" s="146" t="str">
        <f>_xll.qlSimpleQuote(E25,,PriceTickValue,Permanent,Trigger,ObjectOverwrite)</f>
        <v>EURIMMFRA6MV5_Quote#0017</v>
      </c>
      <c r="G25" s="109" t="str">
        <f>_xll.ohRangeRetrieveError(F25)</f>
        <v/>
      </c>
      <c r="H25" s="145"/>
    </row>
    <row r="26" spans="1:8" x14ac:dyDescent="0.2">
      <c r="A26" s="150"/>
      <c r="B26" s="111">
        <v>24</v>
      </c>
      <c r="C26" s="149" t="b">
        <v>0</v>
      </c>
      <c r="D26" s="148" t="str">
        <v>X5</v>
      </c>
      <c r="E26" s="147" t="str">
        <f t="shared" si="0"/>
        <v>EURIMMFRA6MX5_Quote</v>
      </c>
      <c r="F26" s="146" t="str">
        <f>_xll.qlSimpleQuote(E26,,PriceTickValue,Permanent,Trigger,ObjectOverwrite)</f>
        <v>EURIMMFRA6MX5_Quote#0017</v>
      </c>
      <c r="G26" s="109" t="str">
        <f>_xll.ohRangeRetrieveError(F26)</f>
        <v/>
      </c>
      <c r="H26" s="145"/>
    </row>
    <row r="27" spans="1:8" x14ac:dyDescent="0.2">
      <c r="A27" s="150"/>
      <c r="B27" s="111">
        <v>25</v>
      </c>
      <c r="C27" s="149" t="b">
        <v>0</v>
      </c>
      <c r="D27" s="148" t="str">
        <v>Z5</v>
      </c>
      <c r="E27" s="147" t="str">
        <f t="shared" si="0"/>
        <v>EURIMMFRA6MZ5_Quote</v>
      </c>
      <c r="F27" s="146" t="str">
        <f>_xll.qlSimpleQuote(E27,,PriceTickValue,Permanent,Trigger,ObjectOverwrite)</f>
        <v>EURIMMFRA6MZ5_Quote#0017</v>
      </c>
      <c r="G27" s="109" t="str">
        <f>_xll.ohRangeRetrieveError(F27)</f>
        <v/>
      </c>
      <c r="H27" s="145"/>
    </row>
    <row r="28" spans="1:8" x14ac:dyDescent="0.2">
      <c r="A28" s="150"/>
      <c r="B28" s="111">
        <v>26</v>
      </c>
      <c r="C28" s="149" t="b">
        <v>0</v>
      </c>
      <c r="D28" s="148" t="str">
        <v>F6</v>
      </c>
      <c r="E28" s="147" t="str">
        <f t="shared" si="0"/>
        <v>EURIMMFRA6MF6_Quote</v>
      </c>
      <c r="F28" s="146" t="str">
        <f>_xll.qlSimpleQuote(E28,,PriceTickValue,Permanent,Trigger,ObjectOverwrite)</f>
        <v>EURIMMFRA6MF6_Quote#0017</v>
      </c>
      <c r="G28" s="109" t="str">
        <f>_xll.ohRangeRetrieveError(F28)</f>
        <v/>
      </c>
      <c r="H28" s="145"/>
    </row>
    <row r="29" spans="1:8" x14ac:dyDescent="0.2">
      <c r="A29" s="150"/>
      <c r="B29" s="111">
        <v>27</v>
      </c>
      <c r="C29" s="149" t="b">
        <v>0</v>
      </c>
      <c r="D29" s="148" t="str">
        <v>G6</v>
      </c>
      <c r="E29" s="147" t="str">
        <f t="shared" si="0"/>
        <v>EURIMMFRA6MG6_Quote</v>
      </c>
      <c r="F29" s="146" t="str">
        <f>_xll.qlSimpleQuote(E29,,PriceTickValue,Permanent,Trigger,ObjectOverwrite)</f>
        <v>EURIMMFRA6MG6_Quote#0017</v>
      </c>
      <c r="G29" s="109" t="str">
        <f>_xll.ohRangeRetrieveError(F29)</f>
        <v/>
      </c>
      <c r="H29" s="145"/>
    </row>
    <row r="30" spans="1:8" x14ac:dyDescent="0.2">
      <c r="A30" s="150"/>
      <c r="B30" s="111">
        <v>28</v>
      </c>
      <c r="C30" s="149" t="b">
        <v>0</v>
      </c>
      <c r="D30" s="148" t="str">
        <v>H6</v>
      </c>
      <c r="E30" s="147" t="str">
        <f t="shared" si="0"/>
        <v>EURIMMFRA6MH6_Quote</v>
      </c>
      <c r="F30" s="146" t="str">
        <f>_xll.qlSimpleQuote(E30,,PriceTickValue,Permanent,Trigger,ObjectOverwrite)</f>
        <v>EURIMMFRA6MH6_Quote#0017</v>
      </c>
      <c r="G30" s="109" t="str">
        <f>_xll.ohRangeRetrieveError(F30)</f>
        <v/>
      </c>
      <c r="H30" s="145"/>
    </row>
    <row r="31" spans="1:8" x14ac:dyDescent="0.2">
      <c r="A31" s="150"/>
      <c r="B31" s="111">
        <v>29</v>
      </c>
      <c r="C31" s="149" t="b">
        <v>0</v>
      </c>
      <c r="D31" s="148" t="str">
        <v>J6</v>
      </c>
      <c r="E31" s="147" t="str">
        <f t="shared" si="0"/>
        <v>EURIMMFRA6MJ6_Quote</v>
      </c>
      <c r="F31" s="146" t="str">
        <f>_xll.qlSimpleQuote(E31,,PriceTickValue,Permanent,Trigger,ObjectOverwrite)</f>
        <v>EURIMMFRA6MJ6_Quote#0017</v>
      </c>
      <c r="G31" s="109" t="str">
        <f>_xll.ohRangeRetrieveError(F31)</f>
        <v/>
      </c>
      <c r="H31" s="145"/>
    </row>
    <row r="32" spans="1:8" x14ac:dyDescent="0.2">
      <c r="A32" s="150"/>
      <c r="B32" s="111">
        <v>30</v>
      </c>
      <c r="C32" s="149" t="b">
        <v>0</v>
      </c>
      <c r="D32" s="148" t="str">
        <v>K6</v>
      </c>
      <c r="E32" s="147" t="str">
        <f t="shared" si="0"/>
        <v>EURIMMFRA6MK6_Quote</v>
      </c>
      <c r="F32" s="146" t="str">
        <f>_xll.qlSimpleQuote(E32,,PriceTickValue,Permanent,Trigger,ObjectOverwrite)</f>
        <v>EURIMMFRA6MK6_Quote#0017</v>
      </c>
      <c r="G32" s="109" t="str">
        <f>_xll.ohRangeRetrieveError(F32)</f>
        <v/>
      </c>
      <c r="H32" s="145"/>
    </row>
    <row r="33" spans="1:8" x14ac:dyDescent="0.2">
      <c r="A33" s="150"/>
      <c r="B33" s="111">
        <v>31</v>
      </c>
      <c r="C33" s="149" t="b">
        <v>0</v>
      </c>
      <c r="D33" s="148" t="str">
        <v>M6</v>
      </c>
      <c r="E33" s="147" t="str">
        <f t="shared" si="0"/>
        <v>EURIMMFRA6MM6_Quote</v>
      </c>
      <c r="F33" s="146" t="str">
        <f>_xll.qlSimpleQuote(E33,,PriceTickValue,Permanent,Trigger,ObjectOverwrite)</f>
        <v>EURIMMFRA6MM6_Quote#0017</v>
      </c>
      <c r="G33" s="109" t="str">
        <f>_xll.ohRangeRetrieveError(F33)</f>
        <v/>
      </c>
      <c r="H33" s="145"/>
    </row>
    <row r="34" spans="1:8" x14ac:dyDescent="0.2">
      <c r="A34" s="150"/>
      <c r="B34" s="111">
        <v>32</v>
      </c>
      <c r="C34" s="149" t="b">
        <v>0</v>
      </c>
      <c r="D34" s="148" t="str">
        <v>N6</v>
      </c>
      <c r="E34" s="147" t="str">
        <f t="shared" si="0"/>
        <v>EURIMMFRA6MN6_Quote</v>
      </c>
      <c r="F34" s="146" t="str">
        <f>_xll.qlSimpleQuote(E34,,PriceTickValue,Permanent,Trigger,ObjectOverwrite)</f>
        <v>EURIMMFRA6MN6_Quote#0017</v>
      </c>
      <c r="G34" s="109" t="str">
        <f>_xll.ohRangeRetrieveError(F34)</f>
        <v/>
      </c>
      <c r="H34" s="145"/>
    </row>
    <row r="35" spans="1:8" x14ac:dyDescent="0.2">
      <c r="A35" s="150"/>
      <c r="B35" s="111">
        <v>33</v>
      </c>
      <c r="C35" s="149" t="b">
        <v>0</v>
      </c>
      <c r="D35" s="148" t="str">
        <v>Q6</v>
      </c>
      <c r="E35" s="147" t="str">
        <f t="shared" ref="E35:E66" si="1">Currency&amp;$D$1&amp;$E$1&amp;$D35&amp;QuoteSuffix</f>
        <v>EURIMMFRA6MQ6_Quote</v>
      </c>
      <c r="F35" s="146" t="str">
        <f>_xll.qlSimpleQuote(E35,,PriceTickValue,Permanent,Trigger,ObjectOverwrite)</f>
        <v>EURIMMFRA6MQ6_Quote#0017</v>
      </c>
      <c r="G35" s="109" t="str">
        <f>_xll.ohRangeRetrieveError(F35)</f>
        <v/>
      </c>
      <c r="H35" s="145"/>
    </row>
    <row r="36" spans="1:8" x14ac:dyDescent="0.2">
      <c r="A36" s="150"/>
      <c r="B36" s="111">
        <v>34</v>
      </c>
      <c r="C36" s="149" t="b">
        <v>0</v>
      </c>
      <c r="D36" s="148" t="str">
        <v>U6</v>
      </c>
      <c r="E36" s="147" t="str">
        <f t="shared" si="1"/>
        <v>EURIMMFRA6MU6_Quote</v>
      </c>
      <c r="F36" s="146" t="str">
        <f>_xll.qlSimpleQuote(E36,,PriceTickValue,Permanent,Trigger,ObjectOverwrite)</f>
        <v>EURIMMFRA6MU6_Quote#0017</v>
      </c>
      <c r="G36" s="109" t="str">
        <f>_xll.ohRangeRetrieveError(F36)</f>
        <v/>
      </c>
      <c r="H36" s="145"/>
    </row>
    <row r="37" spans="1:8" x14ac:dyDescent="0.2">
      <c r="A37" s="150"/>
      <c r="B37" s="111">
        <v>35</v>
      </c>
      <c r="C37" s="149" t="b">
        <v>0</v>
      </c>
      <c r="D37" s="148" t="str">
        <v>V6</v>
      </c>
      <c r="E37" s="147" t="str">
        <f t="shared" si="1"/>
        <v>EURIMMFRA6MV6_Quote</v>
      </c>
      <c r="F37" s="146" t="str">
        <f>_xll.qlSimpleQuote(E37,,PriceTickValue,Permanent,Trigger,ObjectOverwrite)</f>
        <v>EURIMMFRA6MV6_Quote#0017</v>
      </c>
      <c r="G37" s="109" t="str">
        <f>_xll.ohRangeRetrieveError(F37)</f>
        <v/>
      </c>
      <c r="H37" s="145"/>
    </row>
    <row r="38" spans="1:8" x14ac:dyDescent="0.2">
      <c r="A38" s="150"/>
      <c r="B38" s="111">
        <v>36</v>
      </c>
      <c r="C38" s="149" t="b">
        <v>0</v>
      </c>
      <c r="D38" s="148" t="str">
        <v>X6</v>
      </c>
      <c r="E38" s="147" t="str">
        <f t="shared" si="1"/>
        <v>EURIMMFRA6MX6_Quote</v>
      </c>
      <c r="F38" s="146" t="str">
        <f>_xll.qlSimpleQuote(E38,,PriceTickValue,Permanent,Trigger,ObjectOverwrite)</f>
        <v>EURIMMFRA6MX6_Quote#0017</v>
      </c>
      <c r="G38" s="109" t="str">
        <f>_xll.ohRangeRetrieveError(F38)</f>
        <v/>
      </c>
      <c r="H38" s="145"/>
    </row>
    <row r="39" spans="1:8" x14ac:dyDescent="0.2">
      <c r="A39" s="150"/>
      <c r="B39" s="111">
        <v>37</v>
      </c>
      <c r="C39" s="149" t="b">
        <v>0</v>
      </c>
      <c r="D39" s="148" t="str">
        <v>Z6</v>
      </c>
      <c r="E39" s="147" t="str">
        <f t="shared" si="1"/>
        <v>EURIMMFRA6MZ6_Quote</v>
      </c>
      <c r="F39" s="146" t="str">
        <f>_xll.qlSimpleQuote(E39,,PriceTickValue,Permanent,Trigger,ObjectOverwrite)</f>
        <v>EURIMMFRA6MZ6_Quote#0017</v>
      </c>
      <c r="G39" s="109" t="str">
        <f>_xll.ohRangeRetrieveError(F39)</f>
        <v/>
      </c>
      <c r="H39" s="145"/>
    </row>
    <row r="40" spans="1:8" x14ac:dyDescent="0.2">
      <c r="A40" s="150"/>
      <c r="B40" s="111">
        <v>38</v>
      </c>
      <c r="C40" s="149" t="b">
        <v>0</v>
      </c>
      <c r="D40" s="148" t="str">
        <v>F7</v>
      </c>
      <c r="E40" s="147" t="str">
        <f t="shared" si="1"/>
        <v>EURIMMFRA6MF7_Quote</v>
      </c>
      <c r="F40" s="146" t="str">
        <f>_xll.qlSimpleQuote(E40,,PriceTickValue,Permanent,Trigger,ObjectOverwrite)</f>
        <v>EURIMMFRA6MF7_Quote#0017</v>
      </c>
      <c r="G40" s="109" t="str">
        <f>_xll.ohRangeRetrieveError(F40)</f>
        <v/>
      </c>
      <c r="H40" s="145"/>
    </row>
    <row r="41" spans="1:8" x14ac:dyDescent="0.2">
      <c r="A41" s="150"/>
      <c r="B41" s="111">
        <v>39</v>
      </c>
      <c r="C41" s="149" t="b">
        <v>0</v>
      </c>
      <c r="D41" s="148" t="str">
        <v>G7</v>
      </c>
      <c r="E41" s="147" t="str">
        <f t="shared" si="1"/>
        <v>EURIMMFRA6MG7_Quote</v>
      </c>
      <c r="F41" s="146" t="str">
        <f>_xll.qlSimpleQuote(E41,,PriceTickValue,Permanent,Trigger,ObjectOverwrite)</f>
        <v>EURIMMFRA6MG7_Quote#0017</v>
      </c>
      <c r="G41" s="109" t="str">
        <f>_xll.ohRangeRetrieveError(F41)</f>
        <v/>
      </c>
      <c r="H41" s="145"/>
    </row>
    <row r="42" spans="1:8" x14ac:dyDescent="0.2">
      <c r="A42" s="150"/>
      <c r="B42" s="111">
        <v>40</v>
      </c>
      <c r="C42" s="149" t="b">
        <v>0</v>
      </c>
      <c r="D42" s="148" t="str">
        <v>H7</v>
      </c>
      <c r="E42" s="147" t="str">
        <f t="shared" si="1"/>
        <v>EURIMMFRA6MH7_Quote</v>
      </c>
      <c r="F42" s="146" t="str">
        <f>_xll.qlSimpleQuote(E42,,PriceTickValue,Permanent,Trigger,ObjectOverwrite)</f>
        <v>EURIMMFRA6MH7_Quote#0017</v>
      </c>
      <c r="G42" s="109" t="str">
        <f>_xll.ohRangeRetrieveError(F42)</f>
        <v/>
      </c>
      <c r="H42" s="145"/>
    </row>
    <row r="43" spans="1:8" x14ac:dyDescent="0.2">
      <c r="A43" s="150"/>
      <c r="B43" s="111">
        <v>41</v>
      </c>
      <c r="C43" s="149" t="b">
        <v>0</v>
      </c>
      <c r="D43" s="148" t="str">
        <v>J7</v>
      </c>
      <c r="E43" s="147" t="str">
        <f t="shared" si="1"/>
        <v>EURIMMFRA6MJ7_Quote</v>
      </c>
      <c r="F43" s="146" t="str">
        <f>_xll.qlSimpleQuote(E43,,PriceTickValue,Permanent,Trigger,ObjectOverwrite)</f>
        <v>EURIMMFRA6MJ7_Quote#0017</v>
      </c>
      <c r="G43" s="109" t="str">
        <f>_xll.ohRangeRetrieveError(F43)</f>
        <v/>
      </c>
      <c r="H43" s="145"/>
    </row>
    <row r="44" spans="1:8" x14ac:dyDescent="0.2">
      <c r="A44" s="150"/>
      <c r="B44" s="111">
        <v>42</v>
      </c>
      <c r="C44" s="149" t="b">
        <v>0</v>
      </c>
      <c r="D44" s="148" t="str">
        <v>K7</v>
      </c>
      <c r="E44" s="147" t="str">
        <f t="shared" si="1"/>
        <v>EURIMMFRA6MK7_Quote</v>
      </c>
      <c r="F44" s="146" t="str">
        <f>_xll.qlSimpleQuote(E44,,PriceTickValue,Permanent,Trigger,ObjectOverwrite)</f>
        <v>EURIMMFRA6MK7_Quote#0017</v>
      </c>
      <c r="G44" s="109" t="str">
        <f>_xll.ohRangeRetrieveError(F44)</f>
        <v/>
      </c>
      <c r="H44" s="145"/>
    </row>
    <row r="45" spans="1:8" x14ac:dyDescent="0.2">
      <c r="A45" s="150"/>
      <c r="B45" s="111">
        <v>43</v>
      </c>
      <c r="C45" s="149" t="b">
        <v>0</v>
      </c>
      <c r="D45" s="148" t="str">
        <v>M7</v>
      </c>
      <c r="E45" s="147" t="str">
        <f t="shared" si="1"/>
        <v>EURIMMFRA6MM7_Quote</v>
      </c>
      <c r="F45" s="146" t="str">
        <f>_xll.qlSimpleQuote(E45,,PriceTickValue,Permanent,Trigger,ObjectOverwrite)</f>
        <v>EURIMMFRA6MM7_Quote#0017</v>
      </c>
      <c r="G45" s="109" t="str">
        <f>_xll.ohRangeRetrieveError(F45)</f>
        <v/>
      </c>
      <c r="H45" s="145"/>
    </row>
    <row r="46" spans="1:8" x14ac:dyDescent="0.2">
      <c r="A46" s="150"/>
      <c r="B46" s="111">
        <v>44</v>
      </c>
      <c r="C46" s="149" t="b">
        <v>0</v>
      </c>
      <c r="D46" s="148" t="str">
        <v>N7</v>
      </c>
      <c r="E46" s="147" t="str">
        <f t="shared" si="1"/>
        <v>EURIMMFRA6MN7_Quote</v>
      </c>
      <c r="F46" s="146" t="str">
        <f>_xll.qlSimpleQuote(E46,,PriceTickValue,Permanent,Trigger,ObjectOverwrite)</f>
        <v>EURIMMFRA6MN7_Quote#0017</v>
      </c>
      <c r="G46" s="109" t="str">
        <f>_xll.ohRangeRetrieveError(F46)</f>
        <v/>
      </c>
      <c r="H46" s="145"/>
    </row>
    <row r="47" spans="1:8" x14ac:dyDescent="0.2">
      <c r="A47" s="150"/>
      <c r="B47" s="111">
        <v>45</v>
      </c>
      <c r="C47" s="149" t="b">
        <v>0</v>
      </c>
      <c r="D47" s="148" t="str">
        <v>Q7</v>
      </c>
      <c r="E47" s="147" t="str">
        <f t="shared" si="1"/>
        <v>EURIMMFRA6MQ7_Quote</v>
      </c>
      <c r="F47" s="146" t="str">
        <f>_xll.qlSimpleQuote(E47,,PriceTickValue,Permanent,Trigger,ObjectOverwrite)</f>
        <v>EURIMMFRA6MQ7_Quote#0017</v>
      </c>
      <c r="G47" s="109" t="str">
        <f>_xll.ohRangeRetrieveError(F47)</f>
        <v/>
      </c>
      <c r="H47" s="145"/>
    </row>
    <row r="48" spans="1:8" x14ac:dyDescent="0.2">
      <c r="A48" s="150"/>
      <c r="B48" s="111">
        <v>46</v>
      </c>
      <c r="C48" s="149" t="b">
        <v>0</v>
      </c>
      <c r="D48" s="148" t="str">
        <v>U7</v>
      </c>
      <c r="E48" s="147" t="str">
        <f t="shared" si="1"/>
        <v>EURIMMFRA6MU7_Quote</v>
      </c>
      <c r="F48" s="146" t="str">
        <f>_xll.qlSimpleQuote(E48,,PriceTickValue,Permanent,Trigger,ObjectOverwrite)</f>
        <v>EURIMMFRA6MU7_Quote#0017</v>
      </c>
      <c r="G48" s="109" t="str">
        <f>_xll.ohRangeRetrieveError(F48)</f>
        <v/>
      </c>
      <c r="H48" s="145"/>
    </row>
    <row r="49" spans="1:8" x14ac:dyDescent="0.2">
      <c r="A49" s="150"/>
      <c r="B49" s="111">
        <v>47</v>
      </c>
      <c r="C49" s="149" t="b">
        <v>0</v>
      </c>
      <c r="D49" s="148" t="str">
        <v>V7</v>
      </c>
      <c r="E49" s="147" t="str">
        <f t="shared" si="1"/>
        <v>EURIMMFRA6MV7_Quote</v>
      </c>
      <c r="F49" s="146" t="str">
        <f>_xll.qlSimpleQuote(E49,,PriceTickValue,Permanent,Trigger,ObjectOverwrite)</f>
        <v>EURIMMFRA6MV7_Quote#0017</v>
      </c>
      <c r="G49" s="109" t="str">
        <f>_xll.ohRangeRetrieveError(F49)</f>
        <v/>
      </c>
      <c r="H49" s="145"/>
    </row>
    <row r="50" spans="1:8" x14ac:dyDescent="0.2">
      <c r="A50" s="150"/>
      <c r="B50" s="111">
        <v>48</v>
      </c>
      <c r="C50" s="149" t="b">
        <v>0</v>
      </c>
      <c r="D50" s="148" t="str">
        <v>X7</v>
      </c>
      <c r="E50" s="147" t="str">
        <f t="shared" si="1"/>
        <v>EURIMMFRA6MX7_Quote</v>
      </c>
      <c r="F50" s="146" t="str">
        <f>_xll.qlSimpleQuote(E50,,PriceTickValue,Permanent,Trigger,ObjectOverwrite)</f>
        <v>EURIMMFRA6MX7_Quote#0017</v>
      </c>
      <c r="G50" s="109" t="str">
        <f>_xll.ohRangeRetrieveError(F50)</f>
        <v/>
      </c>
      <c r="H50" s="145"/>
    </row>
    <row r="51" spans="1:8" x14ac:dyDescent="0.2">
      <c r="A51" s="150"/>
      <c r="B51" s="111">
        <v>49</v>
      </c>
      <c r="C51" s="149" t="b">
        <v>0</v>
      </c>
      <c r="D51" s="148" t="str">
        <v>Z7</v>
      </c>
      <c r="E51" s="147" t="str">
        <f t="shared" si="1"/>
        <v>EURIMMFRA6MZ7_Quote</v>
      </c>
      <c r="F51" s="146" t="str">
        <f>_xll.qlSimpleQuote(E51,,PriceTickValue,Permanent,Trigger,ObjectOverwrite)</f>
        <v>EURIMMFRA6MZ7_Quote#0017</v>
      </c>
      <c r="G51" s="109" t="str">
        <f>_xll.ohRangeRetrieveError(F51)</f>
        <v/>
      </c>
      <c r="H51" s="145"/>
    </row>
    <row r="52" spans="1:8" x14ac:dyDescent="0.2">
      <c r="A52" s="150"/>
      <c r="B52" s="111">
        <v>50</v>
      </c>
      <c r="C52" s="149" t="b">
        <v>0</v>
      </c>
      <c r="D52" s="148" t="str">
        <v>F8</v>
      </c>
      <c r="E52" s="147" t="str">
        <f t="shared" si="1"/>
        <v>EURIMMFRA6MF8_Quote</v>
      </c>
      <c r="F52" s="146" t="str">
        <f>_xll.qlSimpleQuote(E52,,PriceTickValue,Permanent,Trigger,ObjectOverwrite)</f>
        <v>EURIMMFRA6MF8_Quote#0017</v>
      </c>
      <c r="G52" s="109" t="str">
        <f>_xll.ohRangeRetrieveError(F52)</f>
        <v/>
      </c>
      <c r="H52" s="145"/>
    </row>
    <row r="53" spans="1:8" x14ac:dyDescent="0.2">
      <c r="A53" s="150"/>
      <c r="B53" s="111">
        <v>51</v>
      </c>
      <c r="C53" s="149" t="b">
        <v>0</v>
      </c>
      <c r="D53" s="148" t="str">
        <v>G8</v>
      </c>
      <c r="E53" s="147" t="str">
        <f t="shared" si="1"/>
        <v>EURIMMFRA6MG8_Quote</v>
      </c>
      <c r="F53" s="146" t="str">
        <f>_xll.qlSimpleQuote(E53,,PriceTickValue,Permanent,Trigger,ObjectOverwrite)</f>
        <v>EURIMMFRA6MG8_Quote#0017</v>
      </c>
      <c r="G53" s="109" t="str">
        <f>_xll.ohRangeRetrieveError(F53)</f>
        <v/>
      </c>
      <c r="H53" s="145"/>
    </row>
    <row r="54" spans="1:8" x14ac:dyDescent="0.2">
      <c r="A54" s="150"/>
      <c r="B54" s="111">
        <v>52</v>
      </c>
      <c r="C54" s="149" t="b">
        <v>0</v>
      </c>
      <c r="D54" s="148" t="str">
        <v>H8</v>
      </c>
      <c r="E54" s="147" t="str">
        <f t="shared" si="1"/>
        <v>EURIMMFRA6MH8_Quote</v>
      </c>
      <c r="F54" s="146" t="str">
        <f>_xll.qlSimpleQuote(E54,,PriceTickValue,Permanent,Trigger,ObjectOverwrite)</f>
        <v>EURIMMFRA6MH8_Quote#0017</v>
      </c>
      <c r="G54" s="109" t="str">
        <f>_xll.ohRangeRetrieveError(F54)</f>
        <v/>
      </c>
      <c r="H54" s="145"/>
    </row>
    <row r="55" spans="1:8" x14ac:dyDescent="0.2">
      <c r="A55" s="150"/>
      <c r="B55" s="111">
        <v>53</v>
      </c>
      <c r="C55" s="149" t="b">
        <v>0</v>
      </c>
      <c r="D55" s="148" t="str">
        <v>J8</v>
      </c>
      <c r="E55" s="147" t="str">
        <f t="shared" si="1"/>
        <v>EURIMMFRA6MJ8_Quote</v>
      </c>
      <c r="F55" s="146" t="str">
        <f>_xll.qlSimpleQuote(E55,,PriceTickValue,Permanent,Trigger,ObjectOverwrite)</f>
        <v>EURIMMFRA6MJ8_Quote#0017</v>
      </c>
      <c r="G55" s="109" t="str">
        <f>_xll.ohRangeRetrieveError(F55)</f>
        <v/>
      </c>
      <c r="H55" s="145"/>
    </row>
    <row r="56" spans="1:8" x14ac:dyDescent="0.2">
      <c r="A56" s="150"/>
      <c r="B56" s="111">
        <v>54</v>
      </c>
      <c r="C56" s="149" t="b">
        <v>0</v>
      </c>
      <c r="D56" s="148" t="str">
        <v>K8</v>
      </c>
      <c r="E56" s="147" t="str">
        <f t="shared" si="1"/>
        <v>EURIMMFRA6MK8_Quote</v>
      </c>
      <c r="F56" s="146" t="str">
        <f>_xll.qlSimpleQuote(E56,,PriceTickValue,Permanent,Trigger,ObjectOverwrite)</f>
        <v>EURIMMFRA6MK8_Quote#0017</v>
      </c>
      <c r="G56" s="109" t="str">
        <f>_xll.ohRangeRetrieveError(F56)</f>
        <v/>
      </c>
      <c r="H56" s="145"/>
    </row>
    <row r="57" spans="1:8" x14ac:dyDescent="0.2">
      <c r="A57" s="150"/>
      <c r="B57" s="111">
        <v>55</v>
      </c>
      <c r="C57" s="149" t="b">
        <v>0</v>
      </c>
      <c r="D57" s="148" t="str">
        <v>M8</v>
      </c>
      <c r="E57" s="147" t="str">
        <f t="shared" si="1"/>
        <v>EURIMMFRA6MM8_Quote</v>
      </c>
      <c r="F57" s="146" t="str">
        <f>_xll.qlSimpleQuote(E57,,PriceTickValue,Permanent,Trigger,ObjectOverwrite)</f>
        <v>EURIMMFRA6MM8_Quote#0017</v>
      </c>
      <c r="G57" s="109" t="str">
        <f>_xll.ohRangeRetrieveError(F57)</f>
        <v/>
      </c>
      <c r="H57" s="145"/>
    </row>
    <row r="58" spans="1:8" x14ac:dyDescent="0.2">
      <c r="A58" s="150"/>
      <c r="B58" s="111">
        <v>56</v>
      </c>
      <c r="C58" s="149" t="b">
        <v>0</v>
      </c>
      <c r="D58" s="148" t="str">
        <v>N8</v>
      </c>
      <c r="E58" s="147" t="str">
        <f t="shared" si="1"/>
        <v>EURIMMFRA6MN8_Quote</v>
      </c>
      <c r="F58" s="146" t="str">
        <f>_xll.qlSimpleQuote(E58,,PriceTickValue,Permanent,Trigger,ObjectOverwrite)</f>
        <v>EURIMMFRA6MN8_Quote#0017</v>
      </c>
      <c r="G58" s="109" t="str">
        <f>_xll.ohRangeRetrieveError(F58)</f>
        <v/>
      </c>
      <c r="H58" s="145"/>
    </row>
    <row r="59" spans="1:8" x14ac:dyDescent="0.2">
      <c r="A59" s="150"/>
      <c r="B59" s="111">
        <v>57</v>
      </c>
      <c r="C59" s="149" t="b">
        <v>0</v>
      </c>
      <c r="D59" s="148" t="str">
        <v>Q8</v>
      </c>
      <c r="E59" s="147" t="str">
        <f t="shared" si="1"/>
        <v>EURIMMFRA6MQ8_Quote</v>
      </c>
      <c r="F59" s="146" t="str">
        <f>_xll.qlSimpleQuote(E59,,PriceTickValue,Permanent,Trigger,ObjectOverwrite)</f>
        <v>EURIMMFRA6MQ8_Quote#0017</v>
      </c>
      <c r="G59" s="109" t="str">
        <f>_xll.ohRangeRetrieveError(F59)</f>
        <v/>
      </c>
      <c r="H59" s="145"/>
    </row>
    <row r="60" spans="1:8" x14ac:dyDescent="0.2">
      <c r="A60" s="150"/>
      <c r="B60" s="111">
        <v>58</v>
      </c>
      <c r="C60" s="149" t="b">
        <v>0</v>
      </c>
      <c r="D60" s="148" t="str">
        <v>U8</v>
      </c>
      <c r="E60" s="147" t="str">
        <f t="shared" si="1"/>
        <v>EURIMMFRA6MU8_Quote</v>
      </c>
      <c r="F60" s="146" t="str">
        <f>_xll.qlSimpleQuote(E60,,PriceTickValue,Permanent,Trigger,ObjectOverwrite)</f>
        <v>EURIMMFRA6MU8_Quote#0017</v>
      </c>
      <c r="G60" s="109" t="str">
        <f>_xll.ohRangeRetrieveError(F60)</f>
        <v/>
      </c>
      <c r="H60" s="145"/>
    </row>
    <row r="61" spans="1:8" x14ac:dyDescent="0.2">
      <c r="A61" s="150"/>
      <c r="B61" s="111">
        <v>59</v>
      </c>
      <c r="C61" s="149" t="b">
        <v>0</v>
      </c>
      <c r="D61" s="148" t="str">
        <v>V8</v>
      </c>
      <c r="E61" s="147" t="str">
        <f t="shared" si="1"/>
        <v>EURIMMFRA6MV8_Quote</v>
      </c>
      <c r="F61" s="146" t="str">
        <f>_xll.qlSimpleQuote(E61,,PriceTickValue,Permanent,Trigger,ObjectOverwrite)</f>
        <v>EURIMMFRA6MV8_Quote#0017</v>
      </c>
      <c r="G61" s="109" t="str">
        <f>_xll.ohRangeRetrieveError(F61)</f>
        <v/>
      </c>
      <c r="H61" s="145"/>
    </row>
    <row r="62" spans="1:8" x14ac:dyDescent="0.2">
      <c r="A62" s="150"/>
      <c r="B62" s="111">
        <v>60</v>
      </c>
      <c r="C62" s="149" t="b">
        <v>0</v>
      </c>
      <c r="D62" s="148" t="str">
        <v>X8</v>
      </c>
      <c r="E62" s="147" t="str">
        <f t="shared" si="1"/>
        <v>EURIMMFRA6MX8_Quote</v>
      </c>
      <c r="F62" s="146" t="str">
        <f>_xll.qlSimpleQuote(E62,,PriceTickValue,Permanent,Trigger,ObjectOverwrite)</f>
        <v>EURIMMFRA6MX8_Quote#0017</v>
      </c>
      <c r="G62" s="109" t="str">
        <f>_xll.ohRangeRetrieveError(F62)</f>
        <v/>
      </c>
      <c r="H62" s="145"/>
    </row>
    <row r="63" spans="1:8" x14ac:dyDescent="0.2">
      <c r="A63" s="150"/>
      <c r="B63" s="111">
        <v>61</v>
      </c>
      <c r="C63" s="149" t="b">
        <v>0</v>
      </c>
      <c r="D63" s="148" t="str">
        <v>Z8</v>
      </c>
      <c r="E63" s="147" t="str">
        <f t="shared" si="1"/>
        <v>EURIMMFRA6MZ8_Quote</v>
      </c>
      <c r="F63" s="146" t="str">
        <f>_xll.qlSimpleQuote(E63,,PriceTickValue,Permanent,Trigger,ObjectOverwrite)</f>
        <v>EURIMMFRA6MZ8_Quote#0017</v>
      </c>
      <c r="G63" s="109" t="str">
        <f>_xll.ohRangeRetrieveError(F63)</f>
        <v/>
      </c>
      <c r="H63" s="145"/>
    </row>
    <row r="64" spans="1:8" x14ac:dyDescent="0.2">
      <c r="A64" s="150"/>
      <c r="B64" s="111">
        <v>62</v>
      </c>
      <c r="C64" s="149" t="b">
        <v>0</v>
      </c>
      <c r="D64" s="148" t="str">
        <v>F9</v>
      </c>
      <c r="E64" s="147" t="str">
        <f t="shared" si="1"/>
        <v>EURIMMFRA6MF9_Quote</v>
      </c>
      <c r="F64" s="146" t="str">
        <f>_xll.qlSimpleQuote(E64,,PriceTickValue,Permanent,Trigger,ObjectOverwrite)</f>
        <v>EURIMMFRA6MF9_Quote#0017</v>
      </c>
      <c r="G64" s="109" t="str">
        <f>_xll.ohRangeRetrieveError(F64)</f>
        <v/>
      </c>
      <c r="H64" s="145"/>
    </row>
    <row r="65" spans="1:8" x14ac:dyDescent="0.2">
      <c r="A65" s="150"/>
      <c r="B65" s="111">
        <v>63</v>
      </c>
      <c r="C65" s="149" t="b">
        <v>0</v>
      </c>
      <c r="D65" s="148" t="str">
        <v>G9</v>
      </c>
      <c r="E65" s="147" t="str">
        <f t="shared" si="1"/>
        <v>EURIMMFRA6MG9_Quote</v>
      </c>
      <c r="F65" s="146" t="str">
        <f>_xll.qlSimpleQuote(E65,,PriceTickValue,Permanent,Trigger,ObjectOverwrite)</f>
        <v>EURIMMFRA6MG9_Quote#0017</v>
      </c>
      <c r="G65" s="109" t="str">
        <f>_xll.ohRangeRetrieveError(F65)</f>
        <v/>
      </c>
      <c r="H65" s="145"/>
    </row>
    <row r="66" spans="1:8" x14ac:dyDescent="0.2">
      <c r="A66" s="150"/>
      <c r="B66" s="111">
        <v>64</v>
      </c>
      <c r="C66" s="149" t="b">
        <v>0</v>
      </c>
      <c r="D66" s="148" t="str">
        <v>H9</v>
      </c>
      <c r="E66" s="147" t="str">
        <f t="shared" si="1"/>
        <v>EURIMMFRA6MH9_Quote</v>
      </c>
      <c r="F66" s="146" t="str">
        <f>_xll.qlSimpleQuote(E66,,PriceTickValue,Permanent,Trigger,ObjectOverwrite)</f>
        <v>EURIMMFRA6MH9_Quote#0017</v>
      </c>
      <c r="G66" s="109" t="str">
        <f>_xll.ohRangeRetrieveError(F66)</f>
        <v/>
      </c>
      <c r="H66" s="145"/>
    </row>
    <row r="67" spans="1:8" x14ac:dyDescent="0.2">
      <c r="A67" s="150"/>
      <c r="B67" s="111">
        <v>65</v>
      </c>
      <c r="C67" s="149" t="b">
        <v>0</v>
      </c>
      <c r="D67" s="148" t="str">
        <v>J9</v>
      </c>
      <c r="E67" s="147" t="str">
        <f t="shared" ref="E67:E98" si="2">Currency&amp;$D$1&amp;$E$1&amp;$D67&amp;QuoteSuffix</f>
        <v>EURIMMFRA6MJ9_Quote</v>
      </c>
      <c r="F67" s="146" t="str">
        <f>_xll.qlSimpleQuote(E67,,PriceTickValue,Permanent,Trigger,ObjectOverwrite)</f>
        <v>EURIMMFRA6MJ9_Quote#0017</v>
      </c>
      <c r="G67" s="109" t="str">
        <f>_xll.ohRangeRetrieveError(F67)</f>
        <v/>
      </c>
      <c r="H67" s="145"/>
    </row>
    <row r="68" spans="1:8" x14ac:dyDescent="0.2">
      <c r="A68" s="150"/>
      <c r="B68" s="111">
        <v>66</v>
      </c>
      <c r="C68" s="149" t="b">
        <v>0</v>
      </c>
      <c r="D68" s="148" t="str">
        <v>K9</v>
      </c>
      <c r="E68" s="147" t="str">
        <f t="shared" si="2"/>
        <v>EURIMMFRA6MK9_Quote</v>
      </c>
      <c r="F68" s="146" t="str">
        <f>_xll.qlSimpleQuote(E68,,PriceTickValue,Permanent,Trigger,ObjectOverwrite)</f>
        <v>EURIMMFRA6MK9_Quote#0017</v>
      </c>
      <c r="G68" s="109" t="str">
        <f>_xll.ohRangeRetrieveError(F68)</f>
        <v/>
      </c>
      <c r="H68" s="145"/>
    </row>
    <row r="69" spans="1:8" x14ac:dyDescent="0.2">
      <c r="A69" s="150"/>
      <c r="B69" s="111">
        <v>67</v>
      </c>
      <c r="C69" s="149" t="b">
        <v>0</v>
      </c>
      <c r="D69" s="148" t="str">
        <v>M9</v>
      </c>
      <c r="E69" s="147" t="str">
        <f t="shared" si="2"/>
        <v>EURIMMFRA6MM9_Quote</v>
      </c>
      <c r="F69" s="146" t="str">
        <f>_xll.qlSimpleQuote(E69,,PriceTickValue,Permanent,Trigger,ObjectOverwrite)</f>
        <v>EURIMMFRA6MM9_Quote#0017</v>
      </c>
      <c r="G69" s="109" t="str">
        <f>_xll.ohRangeRetrieveError(F69)</f>
        <v/>
      </c>
      <c r="H69" s="145"/>
    </row>
    <row r="70" spans="1:8" x14ac:dyDescent="0.2">
      <c r="A70" s="150"/>
      <c r="B70" s="111">
        <v>68</v>
      </c>
      <c r="C70" s="149" t="b">
        <v>0</v>
      </c>
      <c r="D70" s="148" t="str">
        <v>N9</v>
      </c>
      <c r="E70" s="147" t="str">
        <f t="shared" si="2"/>
        <v>EURIMMFRA6MN9_Quote</v>
      </c>
      <c r="F70" s="146" t="str">
        <f>_xll.qlSimpleQuote(E70,,PriceTickValue,Permanent,Trigger,ObjectOverwrite)</f>
        <v>EURIMMFRA6MN9_Quote#0017</v>
      </c>
      <c r="G70" s="109" t="str">
        <f>_xll.ohRangeRetrieveError(F70)</f>
        <v/>
      </c>
      <c r="H70" s="145"/>
    </row>
    <row r="71" spans="1:8" x14ac:dyDescent="0.2">
      <c r="A71" s="150"/>
      <c r="B71" s="111">
        <v>69</v>
      </c>
      <c r="C71" s="149" t="b">
        <v>0</v>
      </c>
      <c r="D71" s="148" t="str">
        <v>Q9</v>
      </c>
      <c r="E71" s="147" t="str">
        <f t="shared" si="2"/>
        <v>EURIMMFRA6MQ9_Quote</v>
      </c>
      <c r="F71" s="146" t="str">
        <f>_xll.qlSimpleQuote(E71,,PriceTickValue,Permanent,Trigger,ObjectOverwrite)</f>
        <v>EURIMMFRA6MQ9_Quote#0017</v>
      </c>
      <c r="G71" s="109" t="str">
        <f>_xll.ohRangeRetrieveError(F71)</f>
        <v/>
      </c>
      <c r="H71" s="145"/>
    </row>
    <row r="72" spans="1:8" x14ac:dyDescent="0.2">
      <c r="A72" s="150"/>
      <c r="B72" s="111">
        <v>70</v>
      </c>
      <c r="C72" s="149" t="b">
        <v>0</v>
      </c>
      <c r="D72" s="148" t="str">
        <v>U9</v>
      </c>
      <c r="E72" s="147" t="str">
        <f t="shared" si="2"/>
        <v>EURIMMFRA6MU9_Quote</v>
      </c>
      <c r="F72" s="146" t="str">
        <f>_xll.qlSimpleQuote(E72,,PriceTickValue,Permanent,Trigger,ObjectOverwrite)</f>
        <v>EURIMMFRA6MU9_Quote#0017</v>
      </c>
      <c r="G72" s="109" t="str">
        <f>_xll.ohRangeRetrieveError(F72)</f>
        <v/>
      </c>
      <c r="H72" s="145"/>
    </row>
    <row r="73" spans="1:8" x14ac:dyDescent="0.2">
      <c r="A73" s="150"/>
      <c r="B73" s="111">
        <v>71</v>
      </c>
      <c r="C73" s="149" t="b">
        <v>0</v>
      </c>
      <c r="D73" s="148" t="str">
        <v>V9</v>
      </c>
      <c r="E73" s="147" t="str">
        <f t="shared" si="2"/>
        <v>EURIMMFRA6MV9_Quote</v>
      </c>
      <c r="F73" s="146" t="str">
        <f>_xll.qlSimpleQuote(E73,,PriceTickValue,Permanent,Trigger,ObjectOverwrite)</f>
        <v>EURIMMFRA6MV9_Quote#0017</v>
      </c>
      <c r="G73" s="109" t="str">
        <f>_xll.ohRangeRetrieveError(F73)</f>
        <v/>
      </c>
      <c r="H73" s="145"/>
    </row>
    <row r="74" spans="1:8" x14ac:dyDescent="0.2">
      <c r="A74" s="150"/>
      <c r="B74" s="111">
        <v>72</v>
      </c>
      <c r="C74" s="149" t="b">
        <v>0</v>
      </c>
      <c r="D74" s="148" t="str">
        <v>X9</v>
      </c>
      <c r="E74" s="147" t="str">
        <f t="shared" si="2"/>
        <v>EURIMMFRA6MX9_Quote</v>
      </c>
      <c r="F74" s="146" t="str">
        <f>_xll.qlSimpleQuote(E74,,PriceTickValue,Permanent,Trigger,ObjectOverwrite)</f>
        <v>EURIMMFRA6MX9_Quote#0017</v>
      </c>
      <c r="G74" s="109" t="str">
        <f>_xll.ohRangeRetrieveError(F74)</f>
        <v/>
      </c>
      <c r="H74" s="145"/>
    </row>
    <row r="75" spans="1:8" x14ac:dyDescent="0.2">
      <c r="A75" s="150"/>
      <c r="B75" s="111">
        <v>73</v>
      </c>
      <c r="C75" s="149" t="b">
        <v>0</v>
      </c>
      <c r="D75" s="148" t="str">
        <v>Z9</v>
      </c>
      <c r="E75" s="147" t="str">
        <f t="shared" si="2"/>
        <v>EURIMMFRA6MZ9_Quote</v>
      </c>
      <c r="F75" s="146" t="str">
        <f>_xll.qlSimpleQuote(E75,,PriceTickValue,Permanent,Trigger,ObjectOverwrite)</f>
        <v>EURIMMFRA6MZ9_Quote#0017</v>
      </c>
      <c r="G75" s="109" t="str">
        <f>_xll.ohRangeRetrieveError(F75)</f>
        <v/>
      </c>
      <c r="H75" s="145"/>
    </row>
    <row r="76" spans="1:8" x14ac:dyDescent="0.2">
      <c r="A76" s="150"/>
      <c r="B76" s="111">
        <v>74</v>
      </c>
      <c r="C76" s="149" t="b">
        <v>0</v>
      </c>
      <c r="D76" s="148" t="str">
        <v>F0</v>
      </c>
      <c r="E76" s="147" t="str">
        <f t="shared" si="2"/>
        <v>EURIMMFRA6MF0_Quote</v>
      </c>
      <c r="F76" s="146" t="str">
        <f>_xll.qlSimpleQuote(E76,,PriceTickValue,Permanent,Trigger,ObjectOverwrite)</f>
        <v>EURIMMFRA6MF0_Quote#0017</v>
      </c>
      <c r="G76" s="109" t="str">
        <f>_xll.ohRangeRetrieveError(F76)</f>
        <v/>
      </c>
      <c r="H76" s="145"/>
    </row>
    <row r="77" spans="1:8" x14ac:dyDescent="0.2">
      <c r="A77" s="150"/>
      <c r="B77" s="111">
        <v>75</v>
      </c>
      <c r="C77" s="149" t="b">
        <v>0</v>
      </c>
      <c r="D77" s="148" t="str">
        <v>G0</v>
      </c>
      <c r="E77" s="147" t="str">
        <f t="shared" si="2"/>
        <v>EURIMMFRA6MG0_Quote</v>
      </c>
      <c r="F77" s="146" t="str">
        <f>_xll.qlSimpleQuote(E77,,PriceTickValue,Permanent,Trigger,ObjectOverwrite)</f>
        <v>EURIMMFRA6MG0_Quote#0017</v>
      </c>
      <c r="G77" s="109" t="str">
        <f>_xll.ohRangeRetrieveError(F77)</f>
        <v/>
      </c>
      <c r="H77" s="145"/>
    </row>
    <row r="78" spans="1:8" x14ac:dyDescent="0.2">
      <c r="A78" s="150"/>
      <c r="B78" s="111">
        <v>76</v>
      </c>
      <c r="C78" s="149" t="b">
        <v>0</v>
      </c>
      <c r="D78" s="148" t="str">
        <v>H0</v>
      </c>
      <c r="E78" s="147" t="str">
        <f t="shared" si="2"/>
        <v>EURIMMFRA6MH0_Quote</v>
      </c>
      <c r="F78" s="146" t="str">
        <f>_xll.qlSimpleQuote(E78,,PriceTickValue,Permanent,Trigger,ObjectOverwrite)</f>
        <v>EURIMMFRA6MH0_Quote#0017</v>
      </c>
      <c r="G78" s="109" t="str">
        <f>_xll.ohRangeRetrieveError(F78)</f>
        <v/>
      </c>
      <c r="H78" s="145"/>
    </row>
    <row r="79" spans="1:8" x14ac:dyDescent="0.2">
      <c r="A79" s="150"/>
      <c r="B79" s="111">
        <v>77</v>
      </c>
      <c r="C79" s="149" t="b">
        <v>0</v>
      </c>
      <c r="D79" s="148" t="str">
        <v>J0</v>
      </c>
      <c r="E79" s="147" t="str">
        <f t="shared" si="2"/>
        <v>EURIMMFRA6MJ0_Quote</v>
      </c>
      <c r="F79" s="146" t="str">
        <f>_xll.qlSimpleQuote(E79,,PriceTickValue,Permanent,Trigger,ObjectOverwrite)</f>
        <v>EURIMMFRA6MJ0_Quote#0017</v>
      </c>
      <c r="G79" s="109" t="str">
        <f>_xll.ohRangeRetrieveError(F79)</f>
        <v/>
      </c>
      <c r="H79" s="145"/>
    </row>
    <row r="80" spans="1:8" x14ac:dyDescent="0.2">
      <c r="A80" s="150"/>
      <c r="B80" s="111">
        <v>78</v>
      </c>
      <c r="C80" s="149" t="b">
        <v>0</v>
      </c>
      <c r="D80" s="148" t="str">
        <v>K0</v>
      </c>
      <c r="E80" s="147" t="str">
        <f t="shared" si="2"/>
        <v>EURIMMFRA6MK0_Quote</v>
      </c>
      <c r="F80" s="146" t="str">
        <f>_xll.qlSimpleQuote(E80,,PriceTickValue,Permanent,Trigger,ObjectOverwrite)</f>
        <v>EURIMMFRA6MK0_Quote#0017</v>
      </c>
      <c r="G80" s="109" t="str">
        <f>_xll.ohRangeRetrieveError(F80)</f>
        <v/>
      </c>
      <c r="H80" s="145"/>
    </row>
    <row r="81" spans="1:8" x14ac:dyDescent="0.2">
      <c r="A81" s="150"/>
      <c r="B81" s="111">
        <v>79</v>
      </c>
      <c r="C81" s="149" t="b">
        <v>0</v>
      </c>
      <c r="D81" s="148" t="str">
        <v>M0</v>
      </c>
      <c r="E81" s="147" t="str">
        <f t="shared" si="2"/>
        <v>EURIMMFRA6MM0_Quote</v>
      </c>
      <c r="F81" s="146" t="str">
        <f>_xll.qlSimpleQuote(E81,,PriceTickValue,Permanent,Trigger,ObjectOverwrite)</f>
        <v>EURIMMFRA6MM0_Quote#0017</v>
      </c>
      <c r="G81" s="109" t="str">
        <f>_xll.ohRangeRetrieveError(F81)</f>
        <v/>
      </c>
      <c r="H81" s="145"/>
    </row>
    <row r="82" spans="1:8" x14ac:dyDescent="0.2">
      <c r="A82" s="150"/>
      <c r="B82" s="111">
        <v>80</v>
      </c>
      <c r="C82" s="149" t="b">
        <v>0</v>
      </c>
      <c r="D82" s="148" t="str">
        <v>N0</v>
      </c>
      <c r="E82" s="147" t="str">
        <f t="shared" si="2"/>
        <v>EURIMMFRA6MN0_Quote</v>
      </c>
      <c r="F82" s="146" t="str">
        <f>_xll.qlSimpleQuote(E82,,PriceTickValue,Permanent,Trigger,ObjectOverwrite)</f>
        <v>EURIMMFRA6MN0_Quote#0017</v>
      </c>
      <c r="G82" s="109" t="str">
        <f>_xll.ohRangeRetrieveError(F82)</f>
        <v/>
      </c>
      <c r="H82" s="145"/>
    </row>
    <row r="83" spans="1:8" x14ac:dyDescent="0.2">
      <c r="A83" s="150"/>
      <c r="B83" s="111">
        <v>81</v>
      </c>
      <c r="C83" s="149" t="b">
        <v>0</v>
      </c>
      <c r="D83" s="148" t="str">
        <v>Q0</v>
      </c>
      <c r="E83" s="147" t="str">
        <f t="shared" si="2"/>
        <v>EURIMMFRA6MQ0_Quote</v>
      </c>
      <c r="F83" s="146" t="str">
        <f>_xll.qlSimpleQuote(E83,,PriceTickValue,Permanent,Trigger,ObjectOverwrite)</f>
        <v>EURIMMFRA6MQ0_Quote#0017</v>
      </c>
      <c r="G83" s="109" t="str">
        <f>_xll.ohRangeRetrieveError(F83)</f>
        <v/>
      </c>
      <c r="H83" s="145"/>
    </row>
    <row r="84" spans="1:8" x14ac:dyDescent="0.2">
      <c r="A84" s="150"/>
      <c r="B84" s="111">
        <v>82</v>
      </c>
      <c r="C84" s="149" t="b">
        <v>0</v>
      </c>
      <c r="D84" s="148" t="str">
        <v>U0</v>
      </c>
      <c r="E84" s="147" t="str">
        <f t="shared" si="2"/>
        <v>EURIMMFRA6MU0_Quote</v>
      </c>
      <c r="F84" s="146" t="str">
        <f>_xll.qlSimpleQuote(E84,,PriceTickValue,Permanent,Trigger,ObjectOverwrite)</f>
        <v>EURIMMFRA6MU0_Quote#0017</v>
      </c>
      <c r="G84" s="109" t="str">
        <f>_xll.ohRangeRetrieveError(F84)</f>
        <v/>
      </c>
      <c r="H84" s="145"/>
    </row>
    <row r="85" spans="1:8" x14ac:dyDescent="0.2">
      <c r="A85" s="150"/>
      <c r="B85" s="111">
        <v>83</v>
      </c>
      <c r="C85" s="149" t="b">
        <v>0</v>
      </c>
      <c r="D85" s="148" t="str">
        <v>V0</v>
      </c>
      <c r="E85" s="147" t="str">
        <f t="shared" si="2"/>
        <v>EURIMMFRA6MV0_Quote</v>
      </c>
      <c r="F85" s="146" t="str">
        <f>_xll.qlSimpleQuote(E85,,PriceTickValue,Permanent,Trigger,ObjectOverwrite)</f>
        <v>EURIMMFRA6MV0_Quote#0017</v>
      </c>
      <c r="G85" s="109" t="str">
        <f>_xll.ohRangeRetrieveError(F85)</f>
        <v/>
      </c>
      <c r="H85" s="145"/>
    </row>
    <row r="86" spans="1:8" x14ac:dyDescent="0.2">
      <c r="A86" s="150"/>
      <c r="B86" s="111">
        <v>84</v>
      </c>
      <c r="C86" s="149" t="b">
        <v>0</v>
      </c>
      <c r="D86" s="148" t="str">
        <v>X0</v>
      </c>
      <c r="E86" s="147" t="str">
        <f t="shared" si="2"/>
        <v>EURIMMFRA6MX0_Quote</v>
      </c>
      <c r="F86" s="146" t="str">
        <f>_xll.qlSimpleQuote(E86,,PriceTickValue,Permanent,Trigger,ObjectOverwrite)</f>
        <v>EURIMMFRA6MX0_Quote#0017</v>
      </c>
      <c r="G86" s="109" t="str">
        <f>_xll.ohRangeRetrieveError(F86)</f>
        <v/>
      </c>
      <c r="H86" s="145"/>
    </row>
    <row r="87" spans="1:8" x14ac:dyDescent="0.2">
      <c r="A87" s="150"/>
      <c r="B87" s="111">
        <v>85</v>
      </c>
      <c r="C87" s="149" t="b">
        <v>0</v>
      </c>
      <c r="D87" s="148" t="str">
        <v>Z0</v>
      </c>
      <c r="E87" s="147" t="str">
        <f t="shared" si="2"/>
        <v>EURIMMFRA6MZ0_Quote</v>
      </c>
      <c r="F87" s="146" t="str">
        <f>_xll.qlSimpleQuote(E87,,PriceTickValue,Permanent,Trigger,ObjectOverwrite)</f>
        <v>EURIMMFRA6MZ0_Quote#0017</v>
      </c>
      <c r="G87" s="109" t="str">
        <f>_xll.ohRangeRetrieveError(F87)</f>
        <v/>
      </c>
      <c r="H87" s="145"/>
    </row>
    <row r="88" spans="1:8" x14ac:dyDescent="0.2">
      <c r="A88" s="150"/>
      <c r="B88" s="111">
        <v>86</v>
      </c>
      <c r="C88" s="149" t="b">
        <v>0</v>
      </c>
      <c r="D88" s="148" t="str">
        <v>F1</v>
      </c>
      <c r="E88" s="147" t="str">
        <f t="shared" si="2"/>
        <v>EURIMMFRA6MF1_Quote</v>
      </c>
      <c r="F88" s="146" t="str">
        <f>_xll.qlSimpleQuote(E88,,PriceTickValue,Permanent,Trigger,ObjectOverwrite)</f>
        <v>EURIMMFRA6MF1_Quote#0017</v>
      </c>
      <c r="G88" s="109" t="str">
        <f>_xll.ohRangeRetrieveError(F88)</f>
        <v/>
      </c>
      <c r="H88" s="145"/>
    </row>
    <row r="89" spans="1:8" x14ac:dyDescent="0.2">
      <c r="A89" s="150"/>
      <c r="B89" s="111">
        <v>87</v>
      </c>
      <c r="C89" s="149" t="b">
        <v>0</v>
      </c>
      <c r="D89" s="148" t="str">
        <v>G1</v>
      </c>
      <c r="E89" s="147" t="str">
        <f t="shared" si="2"/>
        <v>EURIMMFRA6MG1_Quote</v>
      </c>
      <c r="F89" s="146" t="str">
        <f>_xll.qlSimpleQuote(E89,,PriceTickValue,Permanent,Trigger,ObjectOverwrite)</f>
        <v>EURIMMFRA6MG1_Quote#0017</v>
      </c>
      <c r="G89" s="109" t="str">
        <f>_xll.ohRangeRetrieveError(F89)</f>
        <v/>
      </c>
      <c r="H89" s="145"/>
    </row>
    <row r="90" spans="1:8" x14ac:dyDescent="0.2">
      <c r="A90" s="150"/>
      <c r="B90" s="111">
        <v>88</v>
      </c>
      <c r="C90" s="149" t="b">
        <v>0</v>
      </c>
      <c r="D90" s="148" t="str">
        <v>H1</v>
      </c>
      <c r="E90" s="147" t="str">
        <f t="shared" si="2"/>
        <v>EURIMMFRA6MH1_Quote</v>
      </c>
      <c r="F90" s="146" t="str">
        <f>_xll.qlSimpleQuote(E90,,PriceTickValue,Permanent,Trigger,ObjectOverwrite)</f>
        <v>EURIMMFRA6MH1_Quote#0017</v>
      </c>
      <c r="G90" s="109" t="str">
        <f>_xll.ohRangeRetrieveError(F90)</f>
        <v/>
      </c>
      <c r="H90" s="145"/>
    </row>
    <row r="91" spans="1:8" x14ac:dyDescent="0.2">
      <c r="A91" s="150"/>
      <c r="B91" s="111">
        <v>89</v>
      </c>
      <c r="C91" s="149" t="b">
        <v>0</v>
      </c>
      <c r="D91" s="148" t="str">
        <v>J1</v>
      </c>
      <c r="E91" s="147" t="str">
        <f t="shared" si="2"/>
        <v>EURIMMFRA6MJ1_Quote</v>
      </c>
      <c r="F91" s="146" t="str">
        <f>_xll.qlSimpleQuote(E91,,PriceTickValue,Permanent,Trigger,ObjectOverwrite)</f>
        <v>EURIMMFRA6MJ1_Quote#0017</v>
      </c>
      <c r="G91" s="109" t="str">
        <f>_xll.ohRangeRetrieveError(F91)</f>
        <v/>
      </c>
      <c r="H91" s="145"/>
    </row>
    <row r="92" spans="1:8" x14ac:dyDescent="0.2">
      <c r="A92" s="150"/>
      <c r="B92" s="111">
        <v>90</v>
      </c>
      <c r="C92" s="149" t="b">
        <v>0</v>
      </c>
      <c r="D92" s="148" t="str">
        <v>K1</v>
      </c>
      <c r="E92" s="147" t="str">
        <f t="shared" si="2"/>
        <v>EURIMMFRA6MK1_Quote</v>
      </c>
      <c r="F92" s="146" t="str">
        <f>_xll.qlSimpleQuote(E92,,PriceTickValue,Permanent,Trigger,ObjectOverwrite)</f>
        <v>EURIMMFRA6MK1_Quote#0017</v>
      </c>
      <c r="G92" s="109" t="str">
        <f>_xll.ohRangeRetrieveError(F92)</f>
        <v/>
      </c>
      <c r="H92" s="145"/>
    </row>
    <row r="93" spans="1:8" x14ac:dyDescent="0.2">
      <c r="A93" s="150"/>
      <c r="B93" s="111">
        <v>91</v>
      </c>
      <c r="C93" s="149" t="b">
        <v>0</v>
      </c>
      <c r="D93" s="148" t="str">
        <v>M1</v>
      </c>
      <c r="E93" s="147" t="str">
        <f t="shared" si="2"/>
        <v>EURIMMFRA6MM1_Quote</v>
      </c>
      <c r="F93" s="146" t="str">
        <f>_xll.qlSimpleQuote(E93,,PriceTickValue,Permanent,Trigger,ObjectOverwrite)</f>
        <v>EURIMMFRA6MM1_Quote#0017</v>
      </c>
      <c r="G93" s="109" t="str">
        <f>_xll.ohRangeRetrieveError(F93)</f>
        <v/>
      </c>
      <c r="H93" s="145"/>
    </row>
    <row r="94" spans="1:8" x14ac:dyDescent="0.2">
      <c r="A94" s="150"/>
      <c r="B94" s="111">
        <v>92</v>
      </c>
      <c r="C94" s="149" t="b">
        <v>0</v>
      </c>
      <c r="D94" s="148" t="str">
        <v>N1</v>
      </c>
      <c r="E94" s="147" t="str">
        <f t="shared" si="2"/>
        <v>EURIMMFRA6MN1_Quote</v>
      </c>
      <c r="F94" s="146" t="str">
        <f>_xll.qlSimpleQuote(E94,,PriceTickValue,Permanent,Trigger,ObjectOverwrite)</f>
        <v>EURIMMFRA6MN1_Quote#0017</v>
      </c>
      <c r="G94" s="109" t="str">
        <f>_xll.ohRangeRetrieveError(F94)</f>
        <v/>
      </c>
      <c r="H94" s="145"/>
    </row>
    <row r="95" spans="1:8" x14ac:dyDescent="0.2">
      <c r="A95" s="150"/>
      <c r="B95" s="111">
        <v>93</v>
      </c>
      <c r="C95" s="149" t="b">
        <v>0</v>
      </c>
      <c r="D95" s="148" t="str">
        <v>Q1</v>
      </c>
      <c r="E95" s="147" t="str">
        <f t="shared" si="2"/>
        <v>EURIMMFRA6MQ1_Quote</v>
      </c>
      <c r="F95" s="146" t="str">
        <f>_xll.qlSimpleQuote(E95,,PriceTickValue,Permanent,Trigger,ObjectOverwrite)</f>
        <v>EURIMMFRA6MQ1_Quote#0017</v>
      </c>
      <c r="G95" s="109" t="str">
        <f>_xll.ohRangeRetrieveError(F95)</f>
        <v/>
      </c>
      <c r="H95" s="145"/>
    </row>
    <row r="96" spans="1:8" x14ac:dyDescent="0.2">
      <c r="A96" s="150"/>
      <c r="B96" s="111">
        <v>94</v>
      </c>
      <c r="C96" s="149" t="b">
        <v>0</v>
      </c>
      <c r="D96" s="148" t="str">
        <v>U1</v>
      </c>
      <c r="E96" s="147" t="str">
        <f t="shared" si="2"/>
        <v>EURIMMFRA6MU1_Quote</v>
      </c>
      <c r="F96" s="146" t="str">
        <f>_xll.qlSimpleQuote(E96,,PriceTickValue,Permanent,Trigger,ObjectOverwrite)</f>
        <v>EURIMMFRA6MU1_Quote#0017</v>
      </c>
      <c r="G96" s="109" t="str">
        <f>_xll.ohRangeRetrieveError(F96)</f>
        <v/>
      </c>
      <c r="H96" s="145"/>
    </row>
    <row r="97" spans="1:8" x14ac:dyDescent="0.2">
      <c r="A97" s="150"/>
      <c r="B97" s="111">
        <v>95</v>
      </c>
      <c r="C97" s="149" t="b">
        <v>0</v>
      </c>
      <c r="D97" s="148" t="str">
        <v>V1</v>
      </c>
      <c r="E97" s="147" t="str">
        <f t="shared" si="2"/>
        <v>EURIMMFRA6MV1_Quote</v>
      </c>
      <c r="F97" s="146" t="str">
        <f>_xll.qlSimpleQuote(E97,,PriceTickValue,Permanent,Trigger,ObjectOverwrite)</f>
        <v>EURIMMFRA6MV1_Quote#0017</v>
      </c>
      <c r="G97" s="109" t="str">
        <f>_xll.ohRangeRetrieveError(F97)</f>
        <v/>
      </c>
      <c r="H97" s="145"/>
    </row>
    <row r="98" spans="1:8" x14ac:dyDescent="0.2">
      <c r="A98" s="150"/>
      <c r="B98" s="111">
        <v>96</v>
      </c>
      <c r="C98" s="149" t="b">
        <v>0</v>
      </c>
      <c r="D98" s="148" t="str">
        <v>X1</v>
      </c>
      <c r="E98" s="147" t="str">
        <f t="shared" si="2"/>
        <v>EURIMMFRA6MX1_Quote</v>
      </c>
      <c r="F98" s="146" t="str">
        <f>_xll.qlSimpleQuote(E98,,PriceTickValue,Permanent,Trigger,ObjectOverwrite)</f>
        <v>EURIMMFRA6MX1_Quote#0017</v>
      </c>
      <c r="G98" s="109" t="str">
        <f>_xll.ohRangeRetrieveError(F98)</f>
        <v/>
      </c>
      <c r="H98" s="145"/>
    </row>
    <row r="99" spans="1:8" x14ac:dyDescent="0.2">
      <c r="A99" s="150"/>
      <c r="B99" s="111">
        <v>97</v>
      </c>
      <c r="C99" s="149" t="b">
        <v>0</v>
      </c>
      <c r="D99" s="148" t="str">
        <v>Z1</v>
      </c>
      <c r="E99" s="147" t="str">
        <f t="shared" ref="E99:E122" si="3">Currency&amp;$D$1&amp;$E$1&amp;$D99&amp;QuoteSuffix</f>
        <v>EURIMMFRA6MZ1_Quote</v>
      </c>
      <c r="F99" s="146" t="str">
        <f>_xll.qlSimpleQuote(E99,,PriceTickValue,Permanent,Trigger,ObjectOverwrite)</f>
        <v>EURIMMFRA6MZ1_Quote#0017</v>
      </c>
      <c r="G99" s="109" t="str">
        <f>_xll.ohRangeRetrieveError(F99)</f>
        <v/>
      </c>
      <c r="H99" s="145"/>
    </row>
    <row r="100" spans="1:8" x14ac:dyDescent="0.2">
      <c r="A100" s="150"/>
      <c r="B100" s="111">
        <v>98</v>
      </c>
      <c r="C100" s="149" t="b">
        <v>0</v>
      </c>
      <c r="D100" s="148" t="str">
        <v>F2</v>
      </c>
      <c r="E100" s="147" t="str">
        <f t="shared" si="3"/>
        <v>EURIMMFRA6MF2_Quote</v>
      </c>
      <c r="F100" s="146" t="str">
        <f>_xll.qlSimpleQuote(E100,,PriceTickValue,Permanent,Trigger,ObjectOverwrite)</f>
        <v>EURIMMFRA6MF2_Quote#0017</v>
      </c>
      <c r="G100" s="109" t="str">
        <f>_xll.ohRangeRetrieveError(F100)</f>
        <v/>
      </c>
      <c r="H100" s="145"/>
    </row>
    <row r="101" spans="1:8" x14ac:dyDescent="0.2">
      <c r="A101" s="150"/>
      <c r="B101" s="111">
        <v>99</v>
      </c>
      <c r="C101" s="149" t="b">
        <v>0</v>
      </c>
      <c r="D101" s="148" t="str">
        <v>G2</v>
      </c>
      <c r="E101" s="147" t="str">
        <f t="shared" si="3"/>
        <v>EURIMMFRA6MG2_Quote</v>
      </c>
      <c r="F101" s="146" t="str">
        <f>_xll.qlSimpleQuote(E101,,PriceTickValue,Permanent,Trigger,ObjectOverwrite)</f>
        <v>EURIMMFRA6MG2_Quote#0017</v>
      </c>
      <c r="G101" s="109" t="str">
        <f>_xll.ohRangeRetrieveError(F101)</f>
        <v/>
      </c>
      <c r="H101" s="145"/>
    </row>
    <row r="102" spans="1:8" x14ac:dyDescent="0.2">
      <c r="A102" s="150"/>
      <c r="B102" s="111">
        <v>100</v>
      </c>
      <c r="C102" s="149" t="b">
        <v>0</v>
      </c>
      <c r="D102" s="148" t="str">
        <v>H2</v>
      </c>
      <c r="E102" s="147" t="str">
        <f t="shared" si="3"/>
        <v>EURIMMFRA6MH2_Quote</v>
      </c>
      <c r="F102" s="146" t="str">
        <f>_xll.qlSimpleQuote(E102,,PriceTickValue,Permanent,Trigger,ObjectOverwrite)</f>
        <v>EURIMMFRA6MH2_Quote#0017</v>
      </c>
      <c r="G102" s="109" t="str">
        <f>_xll.ohRangeRetrieveError(F102)</f>
        <v/>
      </c>
      <c r="H102" s="145"/>
    </row>
    <row r="103" spans="1:8" x14ac:dyDescent="0.2">
      <c r="A103" s="150"/>
      <c r="B103" s="111">
        <v>101</v>
      </c>
      <c r="C103" s="149" t="b">
        <v>0</v>
      </c>
      <c r="D103" s="148" t="str">
        <v>J2</v>
      </c>
      <c r="E103" s="147" t="str">
        <f t="shared" si="3"/>
        <v>EURIMMFRA6MJ2_Quote</v>
      </c>
      <c r="F103" s="146" t="str">
        <f>_xll.qlSimpleQuote(E103,,PriceTickValue,Permanent,Trigger,ObjectOverwrite)</f>
        <v>EURIMMFRA6MJ2_Quote#0017</v>
      </c>
      <c r="G103" s="109" t="str">
        <f>_xll.ohRangeRetrieveError(F103)</f>
        <v/>
      </c>
      <c r="H103" s="145"/>
    </row>
    <row r="104" spans="1:8" x14ac:dyDescent="0.2">
      <c r="A104" s="150"/>
      <c r="B104" s="111">
        <v>102</v>
      </c>
      <c r="C104" s="149" t="b">
        <v>0</v>
      </c>
      <c r="D104" s="148" t="str">
        <v>K2</v>
      </c>
      <c r="E104" s="147" t="str">
        <f t="shared" si="3"/>
        <v>EURIMMFRA6MK2_Quote</v>
      </c>
      <c r="F104" s="146" t="str">
        <f>_xll.qlSimpleQuote(E104,,PriceTickValue,Permanent,Trigger,ObjectOverwrite)</f>
        <v>EURIMMFRA6MK2_Quote#0017</v>
      </c>
      <c r="G104" s="109" t="str">
        <f>_xll.ohRangeRetrieveError(F104)</f>
        <v/>
      </c>
      <c r="H104" s="145"/>
    </row>
    <row r="105" spans="1:8" x14ac:dyDescent="0.2">
      <c r="A105" s="150"/>
      <c r="B105" s="111">
        <v>103</v>
      </c>
      <c r="C105" s="149" t="b">
        <v>0</v>
      </c>
      <c r="D105" s="148" t="str">
        <v>M2</v>
      </c>
      <c r="E105" s="147" t="str">
        <f t="shared" si="3"/>
        <v>EURIMMFRA6MM2_Quote</v>
      </c>
      <c r="F105" s="146" t="str">
        <f>_xll.qlSimpleQuote(E105,,PriceTickValue,Permanent,Trigger,ObjectOverwrite)</f>
        <v>EURIMMFRA6MM2_Quote#0017</v>
      </c>
      <c r="G105" s="109" t="str">
        <f>_xll.ohRangeRetrieveError(F105)</f>
        <v/>
      </c>
      <c r="H105" s="145"/>
    </row>
    <row r="106" spans="1:8" x14ac:dyDescent="0.2">
      <c r="A106" s="150"/>
      <c r="B106" s="111">
        <v>104</v>
      </c>
      <c r="C106" s="149" t="b">
        <v>0</v>
      </c>
      <c r="D106" s="148" t="str">
        <v>N2</v>
      </c>
      <c r="E106" s="147" t="str">
        <f t="shared" si="3"/>
        <v>EURIMMFRA6MN2_Quote</v>
      </c>
      <c r="F106" s="146" t="str">
        <f>_xll.qlSimpleQuote(E106,,PriceTickValue,Permanent,Trigger,ObjectOverwrite)</f>
        <v>EURIMMFRA6MN2_Quote#0017</v>
      </c>
      <c r="G106" s="109" t="str">
        <f>_xll.ohRangeRetrieveError(F106)</f>
        <v/>
      </c>
      <c r="H106" s="145"/>
    </row>
    <row r="107" spans="1:8" x14ac:dyDescent="0.2">
      <c r="A107" s="150"/>
      <c r="B107" s="111">
        <v>105</v>
      </c>
      <c r="C107" s="149" t="b">
        <v>0</v>
      </c>
      <c r="D107" s="148" t="str">
        <v>Q2</v>
      </c>
      <c r="E107" s="147" t="str">
        <f t="shared" si="3"/>
        <v>EURIMMFRA6MQ2_Quote</v>
      </c>
      <c r="F107" s="146" t="str">
        <f>_xll.qlSimpleQuote(E107,,PriceTickValue,Permanent,Trigger,ObjectOverwrite)</f>
        <v>EURIMMFRA6MQ2_Quote#0017</v>
      </c>
      <c r="G107" s="109" t="str">
        <f>_xll.ohRangeRetrieveError(F107)</f>
        <v/>
      </c>
      <c r="H107" s="145"/>
    </row>
    <row r="108" spans="1:8" x14ac:dyDescent="0.2">
      <c r="A108" s="150"/>
      <c r="B108" s="111">
        <v>106</v>
      </c>
      <c r="C108" s="149" t="b">
        <v>0</v>
      </c>
      <c r="D108" s="148" t="str">
        <v>U2</v>
      </c>
      <c r="E108" s="147" t="str">
        <f t="shared" si="3"/>
        <v>EURIMMFRA6MU2_Quote</v>
      </c>
      <c r="F108" s="146" t="str">
        <f>_xll.qlSimpleQuote(E108,,PriceTickValue,Permanent,Trigger,ObjectOverwrite)</f>
        <v>EURIMMFRA6MU2_Quote#0017</v>
      </c>
      <c r="G108" s="109" t="str">
        <f>_xll.ohRangeRetrieveError(F108)</f>
        <v/>
      </c>
      <c r="H108" s="145"/>
    </row>
    <row r="109" spans="1:8" x14ac:dyDescent="0.2">
      <c r="A109" s="150"/>
      <c r="B109" s="111">
        <v>107</v>
      </c>
      <c r="C109" s="149" t="b">
        <v>0</v>
      </c>
      <c r="D109" s="148" t="str">
        <v>V2</v>
      </c>
      <c r="E109" s="147" t="str">
        <f t="shared" si="3"/>
        <v>EURIMMFRA6MV2_Quote</v>
      </c>
      <c r="F109" s="146" t="str">
        <f>_xll.qlSimpleQuote(E109,,PriceTickValue,Permanent,Trigger,ObjectOverwrite)</f>
        <v>EURIMMFRA6MV2_Quote#0017</v>
      </c>
      <c r="G109" s="109" t="str">
        <f>_xll.ohRangeRetrieveError(F109)</f>
        <v/>
      </c>
      <c r="H109" s="145"/>
    </row>
    <row r="110" spans="1:8" x14ac:dyDescent="0.2">
      <c r="A110" s="150"/>
      <c r="B110" s="111">
        <v>108</v>
      </c>
      <c r="C110" s="149" t="b">
        <v>0</v>
      </c>
      <c r="D110" s="148" t="str">
        <v>X2</v>
      </c>
      <c r="E110" s="147" t="str">
        <f t="shared" si="3"/>
        <v>EURIMMFRA6MX2_Quote</v>
      </c>
      <c r="F110" s="146" t="str">
        <f>_xll.qlSimpleQuote(E110,,PriceTickValue,Permanent,Trigger,ObjectOverwrite)</f>
        <v>EURIMMFRA6MX2_Quote#0017</v>
      </c>
      <c r="G110" s="109" t="str">
        <f>_xll.ohRangeRetrieveError(F110)</f>
        <v/>
      </c>
      <c r="H110" s="145"/>
    </row>
    <row r="111" spans="1:8" x14ac:dyDescent="0.2">
      <c r="A111" s="150"/>
      <c r="B111" s="111">
        <v>109</v>
      </c>
      <c r="C111" s="149" t="b">
        <v>0</v>
      </c>
      <c r="D111" s="148" t="str">
        <v>Z2</v>
      </c>
      <c r="E111" s="147" t="str">
        <f t="shared" si="3"/>
        <v>EURIMMFRA6MZ2_Quote</v>
      </c>
      <c r="F111" s="146" t="str">
        <f>_xll.qlSimpleQuote(E111,,PriceTickValue,Permanent,Trigger,ObjectOverwrite)</f>
        <v>EURIMMFRA6MZ2_Quote#0017</v>
      </c>
      <c r="G111" s="109" t="str">
        <f>_xll.ohRangeRetrieveError(F111)</f>
        <v/>
      </c>
      <c r="H111" s="145"/>
    </row>
    <row r="112" spans="1:8" x14ac:dyDescent="0.2">
      <c r="A112" s="150"/>
      <c r="B112" s="111">
        <v>110</v>
      </c>
      <c r="C112" s="149" t="b">
        <v>0</v>
      </c>
      <c r="D112" s="148" t="str">
        <v>F3</v>
      </c>
      <c r="E112" s="147" t="str">
        <f t="shared" si="3"/>
        <v>EURIMMFRA6MF3_Quote</v>
      </c>
      <c r="F112" s="146" t="str">
        <f>_xll.qlSimpleQuote(E112,,PriceTickValue,Permanent,Trigger,ObjectOverwrite)</f>
        <v>EURIMMFRA6MF3_Quote#0017</v>
      </c>
      <c r="G112" s="109" t="str">
        <f>_xll.ohRangeRetrieveError(F112)</f>
        <v/>
      </c>
      <c r="H112" s="145"/>
    </row>
    <row r="113" spans="1:8" x14ac:dyDescent="0.2">
      <c r="A113" s="150"/>
      <c r="B113" s="111">
        <v>111</v>
      </c>
      <c r="C113" s="149" t="b">
        <v>0</v>
      </c>
      <c r="D113" s="148" t="str">
        <v>G3</v>
      </c>
      <c r="E113" s="147" t="str">
        <f t="shared" si="3"/>
        <v>EURIMMFRA6MG3_Quote</v>
      </c>
      <c r="F113" s="146" t="str">
        <f>_xll.qlSimpleQuote(E113,,PriceTickValue,Permanent,Trigger,ObjectOverwrite)</f>
        <v>EURIMMFRA6MG3_Quote#0017</v>
      </c>
      <c r="G113" s="109" t="str">
        <f>_xll.ohRangeRetrieveError(F113)</f>
        <v/>
      </c>
      <c r="H113" s="145"/>
    </row>
    <row r="114" spans="1:8" x14ac:dyDescent="0.2">
      <c r="A114" s="150"/>
      <c r="B114" s="111">
        <v>112</v>
      </c>
      <c r="C114" s="149" t="b">
        <v>0</v>
      </c>
      <c r="D114" s="148" t="str">
        <v>H3</v>
      </c>
      <c r="E114" s="147" t="str">
        <f t="shared" si="3"/>
        <v>EURIMMFRA6MH3_Quote</v>
      </c>
      <c r="F114" s="146" t="str">
        <f>_xll.qlSimpleQuote(E114,,PriceTickValue,Permanent,Trigger,ObjectOverwrite)</f>
        <v>EURIMMFRA6MH3_Quote#0017</v>
      </c>
      <c r="G114" s="109" t="str">
        <f>_xll.ohRangeRetrieveError(F114)</f>
        <v/>
      </c>
      <c r="H114" s="145"/>
    </row>
    <row r="115" spans="1:8" x14ac:dyDescent="0.2">
      <c r="A115" s="150"/>
      <c r="B115" s="111">
        <v>113</v>
      </c>
      <c r="C115" s="149" t="b">
        <v>0</v>
      </c>
      <c r="D115" s="148" t="str">
        <v>J3</v>
      </c>
      <c r="E115" s="147" t="str">
        <f t="shared" si="3"/>
        <v>EURIMMFRA6MJ3_Quote</v>
      </c>
      <c r="F115" s="146" t="str">
        <f>_xll.qlSimpleQuote(E115,,PriceTickValue,Permanent,Trigger,ObjectOverwrite)</f>
        <v>EURIMMFRA6MJ3_Quote#0017</v>
      </c>
      <c r="G115" s="109" t="str">
        <f>_xll.ohRangeRetrieveError(F115)</f>
        <v/>
      </c>
      <c r="H115" s="145"/>
    </row>
    <row r="116" spans="1:8" x14ac:dyDescent="0.2">
      <c r="A116" s="150"/>
      <c r="B116" s="111">
        <v>114</v>
      </c>
      <c r="C116" s="149" t="b">
        <v>0</v>
      </c>
      <c r="D116" s="148" t="str">
        <v>K3</v>
      </c>
      <c r="E116" s="147" t="str">
        <f t="shared" si="3"/>
        <v>EURIMMFRA6MK3_Quote</v>
      </c>
      <c r="F116" s="146" t="str">
        <f>_xll.qlSimpleQuote(E116,,PriceTickValue,Permanent,Trigger,ObjectOverwrite)</f>
        <v>EURIMMFRA6MK3_Quote#0017</v>
      </c>
      <c r="G116" s="109" t="str">
        <f>_xll.ohRangeRetrieveError(F116)</f>
        <v/>
      </c>
      <c r="H116" s="145"/>
    </row>
    <row r="117" spans="1:8" x14ac:dyDescent="0.2">
      <c r="A117" s="150"/>
      <c r="B117" s="111">
        <v>115</v>
      </c>
      <c r="C117" s="149" t="b">
        <v>0</v>
      </c>
      <c r="D117" s="148" t="str">
        <v>M3</v>
      </c>
      <c r="E117" s="147" t="str">
        <f t="shared" si="3"/>
        <v>EURIMMFRA6MM3_Quote</v>
      </c>
      <c r="F117" s="146" t="str">
        <f>_xll.qlSimpleQuote(E117,,PriceTickValue,Permanent,Trigger,ObjectOverwrite)</f>
        <v>EURIMMFRA6MM3_Quote#0017</v>
      </c>
      <c r="G117" s="109" t="str">
        <f>_xll.ohRangeRetrieveError(F117)</f>
        <v/>
      </c>
      <c r="H117" s="145"/>
    </row>
    <row r="118" spans="1:8" x14ac:dyDescent="0.2">
      <c r="A118" s="150"/>
      <c r="B118" s="111">
        <v>116</v>
      </c>
      <c r="C118" s="149" t="b">
        <v>0</v>
      </c>
      <c r="D118" s="148" t="str">
        <v>N3</v>
      </c>
      <c r="E118" s="147" t="str">
        <f t="shared" si="3"/>
        <v>EURIMMFRA6MN3_Quote</v>
      </c>
      <c r="F118" s="146" t="str">
        <f>_xll.qlSimpleQuote(E118,,PriceTickValue,Permanent,Trigger,ObjectOverwrite)</f>
        <v>EURIMMFRA6MN3_Quote#0017</v>
      </c>
      <c r="G118" s="109" t="str">
        <f>_xll.ohRangeRetrieveError(F118)</f>
        <v/>
      </c>
      <c r="H118" s="145"/>
    </row>
    <row r="119" spans="1:8" x14ac:dyDescent="0.2">
      <c r="A119" s="150"/>
      <c r="B119" s="111">
        <v>117</v>
      </c>
      <c r="C119" s="149" t="b">
        <v>0</v>
      </c>
      <c r="D119" s="148" t="str">
        <v>Q3</v>
      </c>
      <c r="E119" s="147" t="str">
        <f t="shared" si="3"/>
        <v>EURIMMFRA6MQ3_Quote</v>
      </c>
      <c r="F119" s="146" t="str">
        <f>_xll.qlSimpleQuote(E119,,PriceTickValue,Permanent,Trigger,ObjectOverwrite)</f>
        <v>EURIMMFRA6MQ3_Quote#0017</v>
      </c>
      <c r="G119" s="109" t="str">
        <f>_xll.ohRangeRetrieveError(F119)</f>
        <v/>
      </c>
      <c r="H119" s="145"/>
    </row>
    <row r="120" spans="1:8" x14ac:dyDescent="0.2">
      <c r="A120" s="150"/>
      <c r="B120" s="111">
        <v>118</v>
      </c>
      <c r="C120" s="149" t="b">
        <v>0</v>
      </c>
      <c r="D120" s="148" t="str">
        <v>U3</v>
      </c>
      <c r="E120" s="147" t="str">
        <f t="shared" si="3"/>
        <v>EURIMMFRA6MU3_Quote</v>
      </c>
      <c r="F120" s="146" t="str">
        <f>_xll.qlSimpleQuote(E120,,PriceTickValue,Permanent,Trigger,ObjectOverwrite)</f>
        <v>EURIMMFRA6MU3_Quote#0017</v>
      </c>
      <c r="G120" s="109" t="str">
        <f>_xll.ohRangeRetrieveError(F120)</f>
        <v/>
      </c>
      <c r="H120" s="145"/>
    </row>
    <row r="121" spans="1:8" x14ac:dyDescent="0.2">
      <c r="A121" s="150"/>
      <c r="B121" s="111">
        <v>119</v>
      </c>
      <c r="C121" s="149" t="b">
        <v>0</v>
      </c>
      <c r="D121" s="148" t="str">
        <v>V3</v>
      </c>
      <c r="E121" s="147" t="str">
        <f t="shared" si="3"/>
        <v>EURIMMFRA6MV3_Quote</v>
      </c>
      <c r="F121" s="146" t="str">
        <f>_xll.qlSimpleQuote(E121,,PriceTickValue,Permanent,Trigger,ObjectOverwrite)</f>
        <v>EURIMMFRA6MV3_Quote#0017</v>
      </c>
      <c r="G121" s="109" t="str">
        <f>_xll.ohRangeRetrieveError(F121)</f>
        <v/>
      </c>
      <c r="H121" s="145"/>
    </row>
    <row r="122" spans="1:8" x14ac:dyDescent="0.2">
      <c r="A122" s="150"/>
      <c r="B122" s="111">
        <v>120</v>
      </c>
      <c r="C122" s="149" t="b">
        <v>0</v>
      </c>
      <c r="D122" s="148" t="str">
        <v>X3</v>
      </c>
      <c r="E122" s="147" t="str">
        <f t="shared" si="3"/>
        <v>EURIMMFRA6MX3_Quote</v>
      </c>
      <c r="F122" s="146" t="str">
        <f>_xll.qlSimpleQuote(E122,,PriceTickValue,Permanent,Trigger,ObjectOverwrite)</f>
        <v>EURIMMFRA6MX3_Quote#0017</v>
      </c>
      <c r="G122" s="109" t="str">
        <f>_xll.ohRangeRetrieveError(F122)</f>
        <v/>
      </c>
      <c r="H122" s="145"/>
    </row>
    <row r="123" spans="1:8" ht="12" thickBot="1" x14ac:dyDescent="0.25">
      <c r="A123" s="144"/>
      <c r="B123" s="143"/>
      <c r="C123" s="143"/>
      <c r="D123" s="143"/>
      <c r="E123" s="143"/>
      <c r="F123" s="143"/>
      <c r="G123" s="143"/>
      <c r="H123" s="142"/>
    </row>
  </sheetData>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5"/>
  <sheetViews>
    <sheetView workbookViewId="0"/>
  </sheetViews>
  <sheetFormatPr defaultRowHeight="11.25" x14ac:dyDescent="0.2"/>
  <cols>
    <col min="1" max="1" width="3.85546875" style="72" customWidth="1"/>
    <col min="2" max="2" width="25.5703125" style="72" bestFit="1" customWidth="1"/>
    <col min="3" max="3" width="27.7109375" style="72" bestFit="1" customWidth="1"/>
    <col min="4" max="4" width="23.28515625" style="72" customWidth="1"/>
    <col min="5" max="5" width="4.85546875" style="72" customWidth="1"/>
    <col min="6" max="16384" width="9.140625" style="72"/>
  </cols>
  <sheetData>
    <row r="1" spans="1:5" x14ac:dyDescent="0.2">
      <c r="A1" s="117" t="s">
        <v>190</v>
      </c>
      <c r="B1" s="116"/>
      <c r="C1" s="116"/>
      <c r="D1" s="116"/>
      <c r="E1" s="115"/>
    </row>
    <row r="2" spans="1:5" x14ac:dyDescent="0.2">
      <c r="A2" s="167"/>
      <c r="B2" s="36" t="str">
        <f>Currency&amp;"_010_"&amp;"FuturesHWConvAdj.xml"</f>
        <v>EUR_010_FuturesHWConvAdj.xml</v>
      </c>
      <c r="C2" s="10">
        <f ca="1">IF(Serialize,_xll.ohObjectSave(C3:C4,SerializationPath&amp;B2,FileOverwrite,Serialize),"---")</f>
        <v>2</v>
      </c>
      <c r="D2" s="109" t="str">
        <f ca="1">_xll.ohRangeRetrieveError(C2)</f>
        <v/>
      </c>
      <c r="E2" s="165"/>
    </row>
    <row r="3" spans="1:5" x14ac:dyDescent="0.2">
      <c r="A3" s="167"/>
      <c r="B3" s="166" t="str">
        <f>Currency&amp;"HW_Volatility"&amp;QuoteSuffix</f>
        <v>EURHW_Volatility_Quote</v>
      </c>
      <c r="C3" s="166" t="str">
        <f>_xll.qlSimpleQuote(B3,,,Permanent,Trigger,ObjectOverwrite)</f>
        <v>EURHW_Volatility_Quote#0017</v>
      </c>
      <c r="D3" s="109" t="str">
        <f>_xll.ohRangeRetrieveError(C3)</f>
        <v/>
      </c>
      <c r="E3" s="165"/>
    </row>
    <row r="4" spans="1:5" x14ac:dyDescent="0.2">
      <c r="A4" s="167"/>
      <c r="B4" s="166" t="str">
        <f>Currency&amp;"HW_MeanReversion"&amp;QuoteSuffix</f>
        <v>EURHW_MeanReversion_Quote</v>
      </c>
      <c r="C4" s="166" t="str">
        <f>_xll.qlSimpleQuote(B4,,,Permanent,Trigger,ObjectOverwrite)</f>
        <v>EURHW_MeanReversion_Quote#0017</v>
      </c>
      <c r="D4" s="109" t="str">
        <f>_xll.ohRangeRetrieveError(C4)</f>
        <v/>
      </c>
      <c r="E4" s="165"/>
    </row>
    <row r="5" spans="1:5" x14ac:dyDescent="0.2">
      <c r="A5" s="164"/>
      <c r="B5" s="163"/>
      <c r="C5" s="163"/>
      <c r="D5" s="163"/>
      <c r="E5" s="162"/>
    </row>
  </sheetData>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76"/>
  <sheetViews>
    <sheetView workbookViewId="0"/>
  </sheetViews>
  <sheetFormatPr defaultRowHeight="13.5" x14ac:dyDescent="0.25"/>
  <cols>
    <col min="1" max="1" width="3.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8" width="4.42578125" style="169" customWidth="1"/>
    <col min="9" max="16384" width="9.140625" style="169"/>
  </cols>
  <sheetData>
    <row r="1" spans="1:8" x14ac:dyDescent="0.25">
      <c r="A1" s="220" t="s">
        <v>206</v>
      </c>
      <c r="B1" s="194"/>
      <c r="C1" s="194"/>
      <c r="D1" s="194"/>
      <c r="E1" s="192"/>
      <c r="F1" s="193"/>
      <c r="G1" s="192"/>
      <c r="H1" s="191"/>
    </row>
    <row r="2" spans="1:8" x14ac:dyDescent="0.25">
      <c r="A2" s="180"/>
      <c r="B2" s="190"/>
      <c r="C2" s="190"/>
      <c r="D2" s="189"/>
      <c r="E2" s="188" t="str">
        <f>Currency&amp;"_010_"&amp;"OIS.xml"</f>
        <v>EUR_010_OIS.xml</v>
      </c>
      <c r="F2" s="187">
        <f ca="1">IF(Serialize,_xll.ohObjectSave(_xll.ohPack(F3:F75),SerializationPath&amp;E2,FileOverwrite,Serialize),"---")</f>
        <v>49</v>
      </c>
      <c r="G2" s="186" t="str">
        <f ca="1">_xll.ohRangeRetrieveError(F2)</f>
        <v/>
      </c>
      <c r="H2" s="175"/>
    </row>
    <row r="3" spans="1:8" x14ac:dyDescent="0.25">
      <c r="A3" s="180"/>
      <c r="B3" s="179"/>
      <c r="C3" s="179" t="s">
        <v>193</v>
      </c>
      <c r="D3" s="185" t="s">
        <v>48</v>
      </c>
      <c r="E3" s="177" t="str">
        <f t="shared" ref="E3:E38" si="0">Currency&amp;$B3&amp;$C3&amp;$D3&amp;QuoteSuffix</f>
        <v>EUREONSW_Quote</v>
      </c>
      <c r="F3" s="177" t="str">
        <f>_xll.qlSimpleQuote(Currency&amp;$B3&amp;$C3&amp;$D3&amp;QuoteSuffix,,RateTickValue,Permanent,Trigger,ObjectOverwrite)</f>
        <v>EUREONSW_Quote#0016</v>
      </c>
      <c r="G3" s="176" t="str">
        <f>_xll.ohRangeRetrieveError(F3)</f>
        <v/>
      </c>
      <c r="H3" s="175"/>
    </row>
    <row r="4" spans="1:8" x14ac:dyDescent="0.25">
      <c r="A4" s="180"/>
      <c r="B4" s="179"/>
      <c r="C4" s="179" t="s">
        <v>193</v>
      </c>
      <c r="D4" s="185" t="s">
        <v>47</v>
      </c>
      <c r="E4" s="177" t="str">
        <f t="shared" si="0"/>
        <v>EUREON2W_Quote</v>
      </c>
      <c r="F4" s="177" t="str">
        <f>_xll.qlSimpleQuote(Currency&amp;$B4&amp;$C4&amp;$D4&amp;QuoteSuffix,,RateTickValue,Permanent,Trigger,ObjectOverwrite)</f>
        <v>EUREON2W_Quote#0016</v>
      </c>
      <c r="G4" s="176" t="str">
        <f>_xll.ohRangeRetrieveError(F4)</f>
        <v/>
      </c>
      <c r="H4" s="175"/>
    </row>
    <row r="5" spans="1:8" x14ac:dyDescent="0.25">
      <c r="A5" s="180"/>
      <c r="B5" s="179"/>
      <c r="C5" s="179" t="s">
        <v>193</v>
      </c>
      <c r="D5" s="185" t="s">
        <v>46</v>
      </c>
      <c r="E5" s="177" t="str">
        <f t="shared" si="0"/>
        <v>EUREON3W_Quote</v>
      </c>
      <c r="F5" s="177" t="str">
        <f>_xll.qlSimpleQuote(Currency&amp;$B5&amp;$C5&amp;$D5&amp;QuoteSuffix,,RateTickValue,Permanent,Trigger,ObjectOverwrite)</f>
        <v>EUREON3W_Quote#0016</v>
      </c>
      <c r="G5" s="176" t="str">
        <f>_xll.ohRangeRetrieveError(F5)</f>
        <v/>
      </c>
      <c r="H5" s="175"/>
    </row>
    <row r="6" spans="1:8" x14ac:dyDescent="0.25">
      <c r="A6" s="180"/>
      <c r="B6" s="179"/>
      <c r="C6" s="179" t="s">
        <v>193</v>
      </c>
      <c r="D6" s="185" t="s">
        <v>45</v>
      </c>
      <c r="E6" s="177" t="str">
        <f t="shared" si="0"/>
        <v>EUREON1M_Quote</v>
      </c>
      <c r="F6" s="177" t="str">
        <f>_xll.qlSimpleQuote(Currency&amp;$B6&amp;$C6&amp;$D6&amp;QuoteSuffix,,RateTickValue,Permanent,Trigger,ObjectOverwrite)</f>
        <v>EUREON1M_Quote#0016</v>
      </c>
      <c r="G6" s="176" t="str">
        <f>_xll.ohRangeRetrieveError(F6)</f>
        <v/>
      </c>
      <c r="H6" s="175"/>
    </row>
    <row r="7" spans="1:8" x14ac:dyDescent="0.25">
      <c r="A7" s="180"/>
      <c r="B7" s="179"/>
      <c r="C7" s="179" t="s">
        <v>193</v>
      </c>
      <c r="D7" s="185" t="s">
        <v>44</v>
      </c>
      <c r="E7" s="177" t="str">
        <f t="shared" si="0"/>
        <v>EUREON2M_Quote</v>
      </c>
      <c r="F7" s="177" t="str">
        <f>_xll.qlSimpleQuote(Currency&amp;$B7&amp;$C7&amp;$D7&amp;QuoteSuffix,,RateTickValue,Permanent,Trigger,ObjectOverwrite)</f>
        <v>EUREON2M_Quote#0016</v>
      </c>
      <c r="G7" s="176" t="str">
        <f>_xll.ohRangeRetrieveError(F7)</f>
        <v/>
      </c>
      <c r="H7" s="175"/>
    </row>
    <row r="8" spans="1:8" x14ac:dyDescent="0.25">
      <c r="A8" s="180"/>
      <c r="B8" s="179"/>
      <c r="C8" s="179" t="s">
        <v>193</v>
      </c>
      <c r="D8" s="185" t="s">
        <v>43</v>
      </c>
      <c r="E8" s="177" t="str">
        <f t="shared" si="0"/>
        <v>EUREON3M_Quote</v>
      </c>
      <c r="F8" s="177" t="str">
        <f>_xll.qlSimpleQuote(Currency&amp;$B8&amp;$C8&amp;$D8&amp;QuoteSuffix,,RateTickValue,Permanent,Trigger,ObjectOverwrite)</f>
        <v>EUREON3M_Quote#0016</v>
      </c>
      <c r="G8" s="176" t="str">
        <f>_xll.ohRangeRetrieveError(F8)</f>
        <v/>
      </c>
      <c r="H8" s="175"/>
    </row>
    <row r="9" spans="1:8" x14ac:dyDescent="0.25">
      <c r="A9" s="180"/>
      <c r="B9" s="179"/>
      <c r="C9" s="179" t="s">
        <v>193</v>
      </c>
      <c r="D9" s="185" t="s">
        <v>42</v>
      </c>
      <c r="E9" s="177" t="str">
        <f t="shared" si="0"/>
        <v>EUREON4M_Quote</v>
      </c>
      <c r="F9" s="177" t="str">
        <f>_xll.qlSimpleQuote(Currency&amp;$B9&amp;$C9&amp;$D9&amp;QuoteSuffix,,RateTickValue,Permanent,Trigger,ObjectOverwrite)</f>
        <v>EUREON4M_Quote#0016</v>
      </c>
      <c r="G9" s="176" t="str">
        <f>_xll.ohRangeRetrieveError(F9)</f>
        <v/>
      </c>
      <c r="H9" s="175"/>
    </row>
    <row r="10" spans="1:8" x14ac:dyDescent="0.25">
      <c r="A10" s="180"/>
      <c r="B10" s="179"/>
      <c r="C10" s="179" t="s">
        <v>193</v>
      </c>
      <c r="D10" s="185" t="s">
        <v>41</v>
      </c>
      <c r="E10" s="177" t="str">
        <f t="shared" si="0"/>
        <v>EUREON5M_Quote</v>
      </c>
      <c r="F10" s="177" t="str">
        <f>_xll.qlSimpleQuote(Currency&amp;$B10&amp;$C10&amp;$D10&amp;QuoteSuffix,,RateTickValue,Permanent,Trigger,ObjectOverwrite)</f>
        <v>EUREON5M_Quote#0016</v>
      </c>
      <c r="G10" s="176" t="str">
        <f>_xll.ohRangeRetrieveError(F10)</f>
        <v/>
      </c>
      <c r="H10" s="175"/>
    </row>
    <row r="11" spans="1:8" x14ac:dyDescent="0.25">
      <c r="A11" s="180"/>
      <c r="B11" s="179"/>
      <c r="C11" s="179" t="s">
        <v>193</v>
      </c>
      <c r="D11" s="185" t="s">
        <v>40</v>
      </c>
      <c r="E11" s="177" t="str">
        <f t="shared" si="0"/>
        <v>EUREON6M_Quote</v>
      </c>
      <c r="F11" s="177" t="str">
        <f>_xll.qlSimpleQuote(Currency&amp;$B11&amp;$C11&amp;$D11&amp;QuoteSuffix,,RateTickValue,Permanent,Trigger,ObjectOverwrite)</f>
        <v>EUREON6M_Quote#0016</v>
      </c>
      <c r="G11" s="176" t="str">
        <f>_xll.ohRangeRetrieveError(F11)</f>
        <v/>
      </c>
      <c r="H11" s="175"/>
    </row>
    <row r="12" spans="1:8" x14ac:dyDescent="0.25">
      <c r="A12" s="180"/>
      <c r="B12" s="179"/>
      <c r="C12" s="179" t="s">
        <v>193</v>
      </c>
      <c r="D12" s="185" t="s">
        <v>39</v>
      </c>
      <c r="E12" s="177" t="str">
        <f t="shared" si="0"/>
        <v>EUREON7M_Quote</v>
      </c>
      <c r="F12" s="177" t="str">
        <f>_xll.qlSimpleQuote(Currency&amp;$B12&amp;$C12&amp;$D12&amp;QuoteSuffix,,RateTickValue,Permanent,Trigger,ObjectOverwrite)</f>
        <v>EUREON7M_Quote#0016</v>
      </c>
      <c r="G12" s="176" t="str">
        <f>_xll.ohRangeRetrieveError(F12)</f>
        <v/>
      </c>
      <c r="H12" s="175"/>
    </row>
    <row r="13" spans="1:8" x14ac:dyDescent="0.25">
      <c r="A13" s="180"/>
      <c r="B13" s="179"/>
      <c r="C13" s="179" t="s">
        <v>193</v>
      </c>
      <c r="D13" s="185" t="s">
        <v>38</v>
      </c>
      <c r="E13" s="177" t="str">
        <f t="shared" si="0"/>
        <v>EUREON8M_Quote</v>
      </c>
      <c r="F13" s="177" t="str">
        <f>_xll.qlSimpleQuote(Currency&amp;$B13&amp;$C13&amp;$D13&amp;QuoteSuffix,,RateTickValue,Permanent,Trigger,ObjectOverwrite)</f>
        <v>EUREON8M_Quote#0016</v>
      </c>
      <c r="G13" s="176" t="str">
        <f>_xll.ohRangeRetrieveError(F13)</f>
        <v/>
      </c>
      <c r="H13" s="175"/>
    </row>
    <row r="14" spans="1:8" x14ac:dyDescent="0.25">
      <c r="A14" s="180"/>
      <c r="B14" s="179"/>
      <c r="C14" s="179" t="s">
        <v>193</v>
      </c>
      <c r="D14" s="185" t="s">
        <v>37</v>
      </c>
      <c r="E14" s="177" t="str">
        <f t="shared" si="0"/>
        <v>EUREON9M_Quote</v>
      </c>
      <c r="F14" s="177" t="str">
        <f>_xll.qlSimpleQuote(Currency&amp;$B14&amp;$C14&amp;$D14&amp;QuoteSuffix,,RateTickValue,Permanent,Trigger,ObjectOverwrite)</f>
        <v>EUREON9M_Quote#0016</v>
      </c>
      <c r="G14" s="176" t="str">
        <f>_xll.ohRangeRetrieveError(F14)</f>
        <v/>
      </c>
      <c r="H14" s="175"/>
    </row>
    <row r="15" spans="1:8" x14ac:dyDescent="0.25">
      <c r="A15" s="180"/>
      <c r="B15" s="179"/>
      <c r="C15" s="179" t="s">
        <v>193</v>
      </c>
      <c r="D15" s="185" t="s">
        <v>36</v>
      </c>
      <c r="E15" s="177" t="str">
        <f t="shared" si="0"/>
        <v>EUREON10M_Quote</v>
      </c>
      <c r="F15" s="177" t="str">
        <f>_xll.qlSimpleQuote(Currency&amp;$B15&amp;$C15&amp;$D15&amp;QuoteSuffix,,RateTickValue,Permanent,Trigger,ObjectOverwrite)</f>
        <v>EUREON10M_Quote#0016</v>
      </c>
      <c r="G15" s="176" t="str">
        <f>_xll.ohRangeRetrieveError(F15)</f>
        <v/>
      </c>
      <c r="H15" s="175"/>
    </row>
    <row r="16" spans="1:8" x14ac:dyDescent="0.25">
      <c r="A16" s="180"/>
      <c r="B16" s="179"/>
      <c r="C16" s="179" t="s">
        <v>193</v>
      </c>
      <c r="D16" s="185" t="s">
        <v>35</v>
      </c>
      <c r="E16" s="177" t="str">
        <f t="shared" si="0"/>
        <v>EUREON11M_Quote</v>
      </c>
      <c r="F16" s="177" t="str">
        <f>_xll.qlSimpleQuote(Currency&amp;$B16&amp;$C16&amp;$D16&amp;QuoteSuffix,,RateTickValue,Permanent,Trigger,ObjectOverwrite)</f>
        <v>EUREON11M_Quote#0016</v>
      </c>
      <c r="G16" s="176" t="str">
        <f>_xll.ohRangeRetrieveError(F16)</f>
        <v/>
      </c>
      <c r="H16" s="175"/>
    </row>
    <row r="17" spans="1:8" x14ac:dyDescent="0.25">
      <c r="A17" s="180"/>
      <c r="B17" s="179"/>
      <c r="C17" s="179" t="s">
        <v>193</v>
      </c>
      <c r="D17" s="185" t="s">
        <v>34</v>
      </c>
      <c r="E17" s="177" t="str">
        <f t="shared" si="0"/>
        <v>EUREON1Y_Quote</v>
      </c>
      <c r="F17" s="177" t="str">
        <f>_xll.qlSimpleQuote(Currency&amp;$B17&amp;$C17&amp;$D17&amp;QuoteSuffix,,RateTickValue,Permanent,Trigger,ObjectOverwrite)</f>
        <v>EUREON1Y_Quote#0016</v>
      </c>
      <c r="G17" s="176" t="str">
        <f>_xll.ohRangeRetrieveError(F17)</f>
        <v/>
      </c>
      <c r="H17" s="175"/>
    </row>
    <row r="18" spans="1:8" x14ac:dyDescent="0.25">
      <c r="A18" s="180"/>
      <c r="B18" s="179"/>
      <c r="C18" s="179" t="s">
        <v>193</v>
      </c>
      <c r="D18" s="185" t="s">
        <v>140</v>
      </c>
      <c r="E18" s="177" t="str">
        <f t="shared" si="0"/>
        <v>EUREON15M_Quote</v>
      </c>
      <c r="F18" s="177" t="str">
        <f>_xll.qlSimpleQuote(Currency&amp;$B18&amp;$C18&amp;$D18&amp;QuoteSuffix,,RateTickValue,Permanent,Trigger,ObjectOverwrite)</f>
        <v>EUREON15M_Quote#0016</v>
      </c>
      <c r="G18" s="176" t="str">
        <f>_xll.ohRangeRetrieveError(F18)</f>
        <v/>
      </c>
      <c r="H18" s="175"/>
    </row>
    <row r="19" spans="1:8" x14ac:dyDescent="0.25">
      <c r="A19" s="180"/>
      <c r="B19" s="179"/>
      <c r="C19" s="179" t="s">
        <v>193</v>
      </c>
      <c r="D19" s="185" t="s">
        <v>139</v>
      </c>
      <c r="E19" s="177" t="str">
        <f t="shared" si="0"/>
        <v>EUREON18M_Quote</v>
      </c>
      <c r="F19" s="177" t="str">
        <f>_xll.qlSimpleQuote(Currency&amp;$B19&amp;$C19&amp;$D19&amp;QuoteSuffix,,RateTickValue,Permanent,Trigger,ObjectOverwrite)</f>
        <v>EUREON18M_Quote#0016</v>
      </c>
      <c r="G19" s="176" t="str">
        <f>_xll.ohRangeRetrieveError(F19)</f>
        <v/>
      </c>
      <c r="H19" s="175"/>
    </row>
    <row r="20" spans="1:8" x14ac:dyDescent="0.25">
      <c r="A20" s="180"/>
      <c r="B20" s="179"/>
      <c r="C20" s="179" t="s">
        <v>193</v>
      </c>
      <c r="D20" s="185" t="s">
        <v>138</v>
      </c>
      <c r="E20" s="177" t="str">
        <f t="shared" si="0"/>
        <v>EUREON21M_Quote</v>
      </c>
      <c r="F20" s="177" t="str">
        <f>_xll.qlSimpleQuote(Currency&amp;$B20&amp;$C20&amp;$D20&amp;QuoteSuffix,,RateTickValue,Permanent,Trigger,ObjectOverwrite)</f>
        <v>EUREON21M_Quote#0016</v>
      </c>
      <c r="G20" s="176" t="str">
        <f>_xll.ohRangeRetrieveError(F20)</f>
        <v/>
      </c>
      <c r="H20" s="175"/>
    </row>
    <row r="21" spans="1:8" x14ac:dyDescent="0.25">
      <c r="A21" s="180"/>
      <c r="B21" s="179"/>
      <c r="C21" s="179" t="s">
        <v>193</v>
      </c>
      <c r="D21" s="185" t="s">
        <v>115</v>
      </c>
      <c r="E21" s="177" t="str">
        <f t="shared" si="0"/>
        <v>EUREON2Y_Quote</v>
      </c>
      <c r="F21" s="177" t="str">
        <f>_xll.qlSimpleQuote(Currency&amp;$B21&amp;$C21&amp;$D21&amp;QuoteSuffix,,RateTickValue,Permanent,Trigger,ObjectOverwrite)</f>
        <v>EUREON2Y_Quote#0016</v>
      </c>
      <c r="G21" s="176" t="str">
        <f>_xll.ohRangeRetrieveError(F21)</f>
        <v/>
      </c>
      <c r="H21" s="175"/>
    </row>
    <row r="22" spans="1:8" x14ac:dyDescent="0.25">
      <c r="A22" s="180"/>
      <c r="B22" s="179"/>
      <c r="C22" s="179" t="s">
        <v>193</v>
      </c>
      <c r="D22" s="185" t="s">
        <v>114</v>
      </c>
      <c r="E22" s="177" t="str">
        <f t="shared" si="0"/>
        <v>EUREON3Y_Quote</v>
      </c>
      <c r="F22" s="177" t="str">
        <f>_xll.qlSimpleQuote(Currency&amp;$B22&amp;$C22&amp;$D22&amp;QuoteSuffix,,RateTickValue,Permanent,Trigger,ObjectOverwrite)</f>
        <v>EUREON3Y_Quote#0016</v>
      </c>
      <c r="G22" s="176" t="str">
        <f>_xll.ohRangeRetrieveError(F22)</f>
        <v/>
      </c>
      <c r="H22" s="175"/>
    </row>
    <row r="23" spans="1:8" x14ac:dyDescent="0.25">
      <c r="A23" s="180"/>
      <c r="B23" s="179"/>
      <c r="C23" s="179" t="s">
        <v>193</v>
      </c>
      <c r="D23" s="185" t="s">
        <v>113</v>
      </c>
      <c r="E23" s="177" t="str">
        <f t="shared" si="0"/>
        <v>EUREON4Y_Quote</v>
      </c>
      <c r="F23" s="177" t="str">
        <f>_xll.qlSimpleQuote(Currency&amp;$B23&amp;$C23&amp;$D23&amp;QuoteSuffix,,RateTickValue,Permanent,Trigger,ObjectOverwrite)</f>
        <v>EUREON4Y_Quote#0016</v>
      </c>
      <c r="G23" s="176" t="str">
        <f>_xll.ohRangeRetrieveError(F23)</f>
        <v/>
      </c>
      <c r="H23" s="175"/>
    </row>
    <row r="24" spans="1:8" x14ac:dyDescent="0.25">
      <c r="A24" s="180"/>
      <c r="B24" s="179"/>
      <c r="C24" s="179" t="s">
        <v>193</v>
      </c>
      <c r="D24" s="185" t="s">
        <v>112</v>
      </c>
      <c r="E24" s="177" t="str">
        <f t="shared" si="0"/>
        <v>EUREON5Y_Quote</v>
      </c>
      <c r="F24" s="177" t="str">
        <f>_xll.qlSimpleQuote(Currency&amp;$B24&amp;$C24&amp;$D24&amp;QuoteSuffix,,RateTickValue,Permanent,Trigger,ObjectOverwrite)</f>
        <v>EUREON5Y_Quote#0016</v>
      </c>
      <c r="G24" s="176" t="str">
        <f>_xll.ohRangeRetrieveError(F24)</f>
        <v/>
      </c>
      <c r="H24" s="175"/>
    </row>
    <row r="25" spans="1:8" x14ac:dyDescent="0.25">
      <c r="A25" s="180"/>
      <c r="B25" s="179"/>
      <c r="C25" s="179" t="s">
        <v>193</v>
      </c>
      <c r="D25" s="185" t="s">
        <v>111</v>
      </c>
      <c r="E25" s="177" t="str">
        <f t="shared" si="0"/>
        <v>EUREON6Y_Quote</v>
      </c>
      <c r="F25" s="177" t="str">
        <f>_xll.qlSimpleQuote(Currency&amp;$B25&amp;$C25&amp;$D25&amp;QuoteSuffix,,RateTickValue,Permanent,Trigger,ObjectOverwrite)</f>
        <v>EUREON6Y_Quote#0016</v>
      </c>
      <c r="G25" s="176" t="str">
        <f>_xll.ohRangeRetrieveError(F25)</f>
        <v/>
      </c>
      <c r="H25" s="175"/>
    </row>
    <row r="26" spans="1:8" x14ac:dyDescent="0.25">
      <c r="A26" s="180"/>
      <c r="B26" s="179"/>
      <c r="C26" s="179" t="s">
        <v>193</v>
      </c>
      <c r="D26" s="185" t="s">
        <v>110</v>
      </c>
      <c r="E26" s="177" t="str">
        <f t="shared" si="0"/>
        <v>EUREON7Y_Quote</v>
      </c>
      <c r="F26" s="177" t="str">
        <f>_xll.qlSimpleQuote(Currency&amp;$B26&amp;$C26&amp;$D26&amp;QuoteSuffix,,RateTickValue,Permanent,Trigger,ObjectOverwrite)</f>
        <v>EUREON7Y_Quote#0016</v>
      </c>
      <c r="G26" s="176" t="str">
        <f>_xll.ohRangeRetrieveError(F26)</f>
        <v/>
      </c>
      <c r="H26" s="175"/>
    </row>
    <row r="27" spans="1:8" x14ac:dyDescent="0.25">
      <c r="A27" s="180"/>
      <c r="B27" s="179"/>
      <c r="C27" s="179" t="s">
        <v>193</v>
      </c>
      <c r="D27" s="185" t="s">
        <v>109</v>
      </c>
      <c r="E27" s="177" t="str">
        <f t="shared" si="0"/>
        <v>EUREON8Y_Quote</v>
      </c>
      <c r="F27" s="177" t="str">
        <f>_xll.qlSimpleQuote(Currency&amp;$B27&amp;$C27&amp;$D27&amp;QuoteSuffix,,RateTickValue,Permanent,Trigger,ObjectOverwrite)</f>
        <v>EUREON8Y_Quote#0016</v>
      </c>
      <c r="G27" s="176" t="str">
        <f>_xll.ohRangeRetrieveError(F27)</f>
        <v/>
      </c>
      <c r="H27" s="175"/>
    </row>
    <row r="28" spans="1:8" x14ac:dyDescent="0.25">
      <c r="A28" s="180"/>
      <c r="B28" s="179"/>
      <c r="C28" s="179" t="s">
        <v>193</v>
      </c>
      <c r="D28" s="185" t="s">
        <v>108</v>
      </c>
      <c r="E28" s="177" t="str">
        <f t="shared" si="0"/>
        <v>EUREON9Y_Quote</v>
      </c>
      <c r="F28" s="177" t="str">
        <f>_xll.qlSimpleQuote(Currency&amp;$B28&amp;$C28&amp;$D28&amp;QuoteSuffix,,RateTickValue,Permanent,Trigger,ObjectOverwrite)</f>
        <v>EUREON9Y_Quote#0016</v>
      </c>
      <c r="G28" s="176" t="str">
        <f>_xll.ohRangeRetrieveError(F28)</f>
        <v/>
      </c>
      <c r="H28" s="175"/>
    </row>
    <row r="29" spans="1:8" x14ac:dyDescent="0.25">
      <c r="A29" s="180"/>
      <c r="B29" s="179"/>
      <c r="C29" s="179" t="s">
        <v>193</v>
      </c>
      <c r="D29" s="185" t="s">
        <v>107</v>
      </c>
      <c r="E29" s="177" t="str">
        <f t="shared" si="0"/>
        <v>EUREON10Y_Quote</v>
      </c>
      <c r="F29" s="177" t="str">
        <f>_xll.qlSimpleQuote(Currency&amp;$B29&amp;$C29&amp;$D29&amp;QuoteSuffix,,RateTickValue,Permanent,Trigger,ObjectOverwrite)</f>
        <v>EUREON10Y_Quote#0016</v>
      </c>
      <c r="G29" s="176" t="str">
        <f>_xll.ohRangeRetrieveError(F29)</f>
        <v/>
      </c>
      <c r="H29" s="175"/>
    </row>
    <row r="30" spans="1:8" x14ac:dyDescent="0.25">
      <c r="A30" s="180"/>
      <c r="B30" s="179"/>
      <c r="C30" s="179" t="s">
        <v>193</v>
      </c>
      <c r="D30" s="185" t="s">
        <v>106</v>
      </c>
      <c r="E30" s="177" t="str">
        <f t="shared" si="0"/>
        <v>EUREON11Y_Quote</v>
      </c>
      <c r="F30" s="177" t="str">
        <f>_xll.qlSimpleQuote(Currency&amp;$B30&amp;$C30&amp;$D30&amp;QuoteSuffix,,RateTickValue,Permanent,Trigger,ObjectOverwrite)</f>
        <v>EUREON11Y_Quote#0016</v>
      </c>
      <c r="G30" s="176" t="str">
        <f>_xll.ohRangeRetrieveError(F30)</f>
        <v/>
      </c>
      <c r="H30" s="175"/>
    </row>
    <row r="31" spans="1:8" x14ac:dyDescent="0.25">
      <c r="A31" s="180"/>
      <c r="B31" s="179"/>
      <c r="C31" s="179" t="s">
        <v>193</v>
      </c>
      <c r="D31" s="185" t="s">
        <v>105</v>
      </c>
      <c r="E31" s="177" t="str">
        <f t="shared" si="0"/>
        <v>EUREON12Y_Quote</v>
      </c>
      <c r="F31" s="177" t="str">
        <f>_xll.qlSimpleQuote(Currency&amp;$B31&amp;$C31&amp;$D31&amp;QuoteSuffix,,RateTickValue,Permanent,Trigger,ObjectOverwrite)</f>
        <v>EUREON12Y_Quote#0016</v>
      </c>
      <c r="G31" s="176" t="str">
        <f>_xll.ohRangeRetrieveError(F31)</f>
        <v/>
      </c>
      <c r="H31" s="175"/>
    </row>
    <row r="32" spans="1:8" x14ac:dyDescent="0.25">
      <c r="A32" s="180"/>
      <c r="B32" s="179"/>
      <c r="C32" s="179" t="s">
        <v>193</v>
      </c>
      <c r="D32" s="185" t="s">
        <v>102</v>
      </c>
      <c r="E32" s="177" t="str">
        <f t="shared" si="0"/>
        <v>EUREON15Y_Quote</v>
      </c>
      <c r="F32" s="177" t="str">
        <f>_xll.qlSimpleQuote(Currency&amp;$B32&amp;$C32&amp;$D32&amp;QuoteSuffix,,RateTickValue,Permanent,Trigger,ObjectOverwrite)</f>
        <v>EUREON15Y_Quote#0016</v>
      </c>
      <c r="G32" s="176" t="str">
        <f>_xll.ohRangeRetrieveError(F32)</f>
        <v/>
      </c>
      <c r="H32" s="175"/>
    </row>
    <row r="33" spans="1:8" x14ac:dyDescent="0.25">
      <c r="A33" s="180"/>
      <c r="B33" s="179"/>
      <c r="C33" s="179" t="s">
        <v>193</v>
      </c>
      <c r="D33" s="185" t="s">
        <v>97</v>
      </c>
      <c r="E33" s="177" t="str">
        <f t="shared" si="0"/>
        <v>EUREON20Y_Quote</v>
      </c>
      <c r="F33" s="177" t="str">
        <f>_xll.qlSimpleQuote(Currency&amp;$B33&amp;$C33&amp;$D33&amp;QuoteSuffix,,RateTickValue,Permanent,Trigger,ObjectOverwrite)</f>
        <v>EUREON20Y_Quote#0016</v>
      </c>
      <c r="G33" s="176" t="str">
        <f>_xll.ohRangeRetrieveError(F33)</f>
        <v/>
      </c>
      <c r="H33" s="175"/>
    </row>
    <row r="34" spans="1:8" x14ac:dyDescent="0.25">
      <c r="A34" s="180"/>
      <c r="B34" s="179"/>
      <c r="C34" s="179" t="s">
        <v>193</v>
      </c>
      <c r="D34" s="185" t="s">
        <v>92</v>
      </c>
      <c r="E34" s="177" t="str">
        <f t="shared" si="0"/>
        <v>EUREON25Y_Quote</v>
      </c>
      <c r="F34" s="177" t="str">
        <f>_xll.qlSimpleQuote(Currency&amp;$B34&amp;$C34&amp;$D34&amp;QuoteSuffix,,RateTickValue,Permanent,Trigger,ObjectOverwrite)</f>
        <v>EUREON25Y_Quote#0016</v>
      </c>
      <c r="G34" s="176" t="str">
        <f>_xll.ohRangeRetrieveError(F34)</f>
        <v/>
      </c>
      <c r="H34" s="175"/>
    </row>
    <row r="35" spans="1:8" x14ac:dyDescent="0.25">
      <c r="A35" s="180"/>
      <c r="B35" s="179"/>
      <c r="C35" s="179" t="s">
        <v>193</v>
      </c>
      <c r="D35" s="185" t="s">
        <v>87</v>
      </c>
      <c r="E35" s="177" t="str">
        <f t="shared" si="0"/>
        <v>EUREON30Y_Quote</v>
      </c>
      <c r="F35" s="177" t="str">
        <f>_xll.qlSimpleQuote(Currency&amp;$B35&amp;$C35&amp;$D35&amp;QuoteSuffix,,RateTickValue,Permanent,Trigger,ObjectOverwrite)</f>
        <v>EUREON30Y_Quote#0016</v>
      </c>
      <c r="G35" s="176" t="str">
        <f>_xll.ohRangeRetrieveError(F35)</f>
        <v/>
      </c>
      <c r="H35" s="175"/>
    </row>
    <row r="36" spans="1:8" x14ac:dyDescent="0.25">
      <c r="A36" s="180"/>
      <c r="B36" s="179"/>
      <c r="C36" s="179" t="s">
        <v>193</v>
      </c>
      <c r="D36" s="185" t="s">
        <v>77</v>
      </c>
      <c r="E36" s="177" t="str">
        <f t="shared" si="0"/>
        <v>EUREON40Y_Quote</v>
      </c>
      <c r="F36" s="177" t="str">
        <f>_xll.qlSimpleQuote(Currency&amp;$B36&amp;$C36&amp;$D36&amp;QuoteSuffix,,RateTickValue,Permanent,Trigger,ObjectOverwrite)</f>
        <v>EUREON40Y_Quote#0016</v>
      </c>
      <c r="G36" s="176" t="str">
        <f>_xll.ohRangeRetrieveError(F36)</f>
        <v/>
      </c>
      <c r="H36" s="175"/>
    </row>
    <row r="37" spans="1:8" x14ac:dyDescent="0.25">
      <c r="A37" s="180"/>
      <c r="B37" s="179"/>
      <c r="C37" s="179" t="s">
        <v>193</v>
      </c>
      <c r="D37" s="185" t="s">
        <v>67</v>
      </c>
      <c r="E37" s="177" t="str">
        <f t="shared" si="0"/>
        <v>EUREON50Y_Quote</v>
      </c>
      <c r="F37" s="177" t="str">
        <f>_xll.qlSimpleQuote(Currency&amp;$B37&amp;$C37&amp;$D37&amp;QuoteSuffix,,RateTickValue,Permanent,Trigger,ObjectOverwrite)</f>
        <v>EUREON50Y_Quote#0016</v>
      </c>
      <c r="G37" s="176" t="str">
        <f>_xll.ohRangeRetrieveError(F37)</f>
        <v/>
      </c>
      <c r="H37" s="175"/>
    </row>
    <row r="38" spans="1:8" x14ac:dyDescent="0.25">
      <c r="A38" s="180"/>
      <c r="B38" s="179"/>
      <c r="C38" s="179" t="s">
        <v>193</v>
      </c>
      <c r="D38" s="185" t="s">
        <v>57</v>
      </c>
      <c r="E38" s="177" t="str">
        <f t="shared" si="0"/>
        <v>EUREON60Y_Quote</v>
      </c>
      <c r="F38" s="177" t="str">
        <f>_xll.qlSimpleQuote(Currency&amp;$B38&amp;$C38&amp;$D38&amp;QuoteSuffix,,RateTickValue,Permanent,Trigger,ObjectOverwrite)</f>
        <v>EUREON60Y_Quote#0016</v>
      </c>
      <c r="G38" s="176" t="str">
        <f>_xll.ohRangeRetrieveError(F38)</f>
        <v/>
      </c>
      <c r="H38" s="175"/>
    </row>
    <row r="39" spans="1:8" x14ac:dyDescent="0.25">
      <c r="A39" s="180"/>
      <c r="B39" s="184"/>
      <c r="C39" s="184"/>
      <c r="D39" s="183"/>
      <c r="E39" s="182"/>
      <c r="F39" s="182"/>
      <c r="G39" s="181"/>
      <c r="H39" s="175"/>
    </row>
    <row r="40" spans="1:8" x14ac:dyDescent="0.25">
      <c r="A40" s="180"/>
      <c r="B40" s="179" t="s">
        <v>192</v>
      </c>
      <c r="C40" s="179" t="s">
        <v>191</v>
      </c>
      <c r="D40" s="178" t="str">
        <f>_xll.qlECBNextCode(_xll.qlSettingsEvaluationDate(Trigger)-365)</f>
        <v>DEC12</v>
      </c>
      <c r="E40" s="177" t="str">
        <f t="shared" ref="E40:E75" si="1">Currency&amp;$B40&amp;$C40&amp;$D40&amp;QuoteSuffix</f>
        <v>EURECBOISDEC12_Quote</v>
      </c>
      <c r="F40" s="177" t="str">
        <f>_xll.qlSimpleQuote(Currency&amp;$B40&amp;$C40&amp;$D40&amp;QuoteSuffix,,RateTickValue,Permanent,Trigger,ObjectOverwrite)</f>
        <v>EURECBOISDEC12_Quote#0016</v>
      </c>
      <c r="G40" s="176" t="str">
        <f>_xll.ohRangeRetrieveError(F40)</f>
        <v/>
      </c>
      <c r="H40" s="175"/>
    </row>
    <row r="41" spans="1:8" x14ac:dyDescent="0.25">
      <c r="A41" s="180"/>
      <c r="B41" s="179" t="s">
        <v>192</v>
      </c>
      <c r="C41" s="179" t="s">
        <v>191</v>
      </c>
      <c r="D41" s="178" t="str">
        <f>_xll.qlECBNextCode(_xll.qlECBdate(D40))</f>
        <v>JAN13</v>
      </c>
      <c r="E41" s="177" t="str">
        <f t="shared" si="1"/>
        <v>EURECBOISJAN13_Quote</v>
      </c>
      <c r="F41" s="177" t="str">
        <f>_xll.qlSimpleQuote(Currency&amp;$B41&amp;$C41&amp;$D41&amp;QuoteSuffix,,RateTickValue,Permanent,Trigger,ObjectOverwrite)</f>
        <v>EURECBOISJAN13_Quote#0016</v>
      </c>
      <c r="G41" s="176" t="str">
        <f>_xll.ohRangeRetrieveError(F41)</f>
        <v/>
      </c>
      <c r="H41" s="175"/>
    </row>
    <row r="42" spans="1:8" x14ac:dyDescent="0.25">
      <c r="A42" s="180"/>
      <c r="B42" s="179" t="s">
        <v>192</v>
      </c>
      <c r="C42" s="179" t="s">
        <v>191</v>
      </c>
      <c r="D42" s="178" t="str">
        <f>_xll.qlECBNextCode(_xll.qlECBdate(D41))</f>
        <v>FEB13</v>
      </c>
      <c r="E42" s="177" t="str">
        <f t="shared" si="1"/>
        <v>EURECBOISFEB13_Quote</v>
      </c>
      <c r="F42" s="177" t="str">
        <f>_xll.qlSimpleQuote(Currency&amp;$B42&amp;$C42&amp;$D42&amp;QuoteSuffix,,RateTickValue,Permanent,Trigger,ObjectOverwrite)</f>
        <v>EURECBOISFEB13_Quote#0016</v>
      </c>
      <c r="G42" s="176" t="str">
        <f>_xll.ohRangeRetrieveError(F42)</f>
        <v/>
      </c>
      <c r="H42" s="175"/>
    </row>
    <row r="43" spans="1:8" x14ac:dyDescent="0.25">
      <c r="A43" s="180"/>
      <c r="B43" s="179" t="s">
        <v>192</v>
      </c>
      <c r="C43" s="179" t="s">
        <v>191</v>
      </c>
      <c r="D43" s="178" t="str">
        <f>_xll.qlECBNextCode(_xll.qlECBdate(D42))</f>
        <v>MAR13</v>
      </c>
      <c r="E43" s="177" t="str">
        <f t="shared" si="1"/>
        <v>EURECBOISMAR13_Quote</v>
      </c>
      <c r="F43" s="177" t="str">
        <f>_xll.qlSimpleQuote(Currency&amp;$B43&amp;$C43&amp;$D43&amp;QuoteSuffix,,RateTickValue,Permanent,Trigger,ObjectOverwrite)</f>
        <v>EURECBOISMAR13_Quote#0016</v>
      </c>
      <c r="G43" s="176" t="str">
        <f>_xll.ohRangeRetrieveError(F43)</f>
        <v/>
      </c>
      <c r="H43" s="175"/>
    </row>
    <row r="44" spans="1:8" x14ac:dyDescent="0.25">
      <c r="A44" s="180"/>
      <c r="B44" s="179" t="s">
        <v>192</v>
      </c>
      <c r="C44" s="179" t="s">
        <v>191</v>
      </c>
      <c r="D44" s="178" t="str">
        <f>_xll.qlECBNextCode(_xll.qlECBdate(D43))</f>
        <v>APR13</v>
      </c>
      <c r="E44" s="177" t="str">
        <f t="shared" si="1"/>
        <v>EURECBOISAPR13_Quote</v>
      </c>
      <c r="F44" s="177" t="str">
        <f>_xll.qlSimpleQuote(Currency&amp;$B44&amp;$C44&amp;$D44&amp;QuoteSuffix,,RateTickValue,Permanent,Trigger,ObjectOverwrite)</f>
        <v>EURECBOISAPR13_Quote#0016</v>
      </c>
      <c r="G44" s="176" t="str">
        <f>_xll.ohRangeRetrieveError(F44)</f>
        <v/>
      </c>
      <c r="H44" s="175"/>
    </row>
    <row r="45" spans="1:8" x14ac:dyDescent="0.25">
      <c r="A45" s="180"/>
      <c r="B45" s="179" t="s">
        <v>192</v>
      </c>
      <c r="C45" s="179" t="s">
        <v>191</v>
      </c>
      <c r="D45" s="178" t="str">
        <f>_xll.qlECBNextCode(_xll.qlECBdate(D44))</f>
        <v>MAY13</v>
      </c>
      <c r="E45" s="177" t="str">
        <f t="shared" si="1"/>
        <v>EURECBOISMAY13_Quote</v>
      </c>
      <c r="F45" s="177" t="str">
        <f>_xll.qlSimpleQuote(Currency&amp;$B45&amp;$C45&amp;$D45&amp;QuoteSuffix,,RateTickValue,Permanent,Trigger,ObjectOverwrite)</f>
        <v>EURECBOISMAY13_Quote#0016</v>
      </c>
      <c r="G45" s="176" t="str">
        <f>_xll.ohRangeRetrieveError(F45)</f>
        <v/>
      </c>
      <c r="H45" s="175"/>
    </row>
    <row r="46" spans="1:8" x14ac:dyDescent="0.25">
      <c r="A46" s="180"/>
      <c r="B46" s="179" t="s">
        <v>192</v>
      </c>
      <c r="C46" s="179" t="s">
        <v>191</v>
      </c>
      <c r="D46" s="178" t="str">
        <f>_xll.qlECBNextCode(_xll.qlECBdate(D45))</f>
        <v>JUN13</v>
      </c>
      <c r="E46" s="177" t="str">
        <f t="shared" si="1"/>
        <v>EURECBOISJUN13_Quote</v>
      </c>
      <c r="F46" s="177" t="str">
        <f>_xll.qlSimpleQuote(Currency&amp;$B46&amp;$C46&amp;$D46&amp;QuoteSuffix,,RateTickValue,Permanent,Trigger,ObjectOverwrite)</f>
        <v>EURECBOISJUN13_Quote#0016</v>
      </c>
      <c r="G46" s="176" t="str">
        <f>_xll.ohRangeRetrieveError(F46)</f>
        <v/>
      </c>
      <c r="H46" s="175"/>
    </row>
    <row r="47" spans="1:8" x14ac:dyDescent="0.25">
      <c r="A47" s="180"/>
      <c r="B47" s="179" t="s">
        <v>192</v>
      </c>
      <c r="C47" s="179" t="s">
        <v>191</v>
      </c>
      <c r="D47" s="178" t="str">
        <f>_xll.qlECBNextCode(_xll.qlECBdate(D46))</f>
        <v>JUL13</v>
      </c>
      <c r="E47" s="177" t="str">
        <f t="shared" si="1"/>
        <v>EURECBOISJUL13_Quote</v>
      </c>
      <c r="F47" s="177" t="str">
        <f>_xll.qlSimpleQuote(Currency&amp;$B47&amp;$C47&amp;$D47&amp;QuoteSuffix,,RateTickValue,Permanent,Trigger,ObjectOverwrite)</f>
        <v>EURECBOISJUL13_Quote#0016</v>
      </c>
      <c r="G47" s="176" t="str">
        <f>_xll.ohRangeRetrieveError(F47)</f>
        <v/>
      </c>
      <c r="H47" s="175"/>
    </row>
    <row r="48" spans="1:8" x14ac:dyDescent="0.25">
      <c r="A48" s="180"/>
      <c r="B48" s="179" t="s">
        <v>192</v>
      </c>
      <c r="C48" s="179" t="s">
        <v>191</v>
      </c>
      <c r="D48" s="178" t="str">
        <f>_xll.qlECBNextCode(_xll.qlECBdate(D47))</f>
        <v>AUG13</v>
      </c>
      <c r="E48" s="177" t="str">
        <f t="shared" si="1"/>
        <v>EURECBOISAUG13_Quote</v>
      </c>
      <c r="F48" s="177" t="str">
        <f>_xll.qlSimpleQuote(Currency&amp;$B48&amp;$C48&amp;$D48&amp;QuoteSuffix,,RateTickValue,Permanent,Trigger,ObjectOverwrite)</f>
        <v>EURECBOISAUG13_Quote#0016</v>
      </c>
      <c r="G48" s="176" t="str">
        <f>_xll.ohRangeRetrieveError(F48)</f>
        <v/>
      </c>
      <c r="H48" s="175"/>
    </row>
    <row r="49" spans="1:8" x14ac:dyDescent="0.25">
      <c r="A49" s="180"/>
      <c r="B49" s="179" t="s">
        <v>192</v>
      </c>
      <c r="C49" s="179" t="s">
        <v>191</v>
      </c>
      <c r="D49" s="178" t="str">
        <f>_xll.qlECBNextCode(_xll.qlECBdate(D48))</f>
        <v>SEP13</v>
      </c>
      <c r="E49" s="177" t="str">
        <f t="shared" si="1"/>
        <v>EURECBOISSEP13_Quote</v>
      </c>
      <c r="F49" s="177" t="str">
        <f>_xll.qlSimpleQuote(Currency&amp;$B49&amp;$C49&amp;$D49&amp;QuoteSuffix,,RateTickValue,Permanent,Trigger,ObjectOverwrite)</f>
        <v>EURECBOISSEP13_Quote#0016</v>
      </c>
      <c r="G49" s="176" t="str">
        <f>_xll.ohRangeRetrieveError(F49)</f>
        <v/>
      </c>
      <c r="H49" s="175"/>
    </row>
    <row r="50" spans="1:8" x14ac:dyDescent="0.25">
      <c r="A50" s="180"/>
      <c r="B50" s="179" t="s">
        <v>192</v>
      </c>
      <c r="C50" s="179" t="s">
        <v>191</v>
      </c>
      <c r="D50" s="178" t="str">
        <f>_xll.qlECBNextCode(_xll.qlECBdate(D49))</f>
        <v>OCT13</v>
      </c>
      <c r="E50" s="177" t="str">
        <f t="shared" si="1"/>
        <v>EURECBOISOCT13_Quote</v>
      </c>
      <c r="F50" s="177" t="str">
        <f>_xll.qlSimpleQuote(Currency&amp;$B50&amp;$C50&amp;$D50&amp;QuoteSuffix,,RateTickValue,Permanent,Trigger,ObjectOverwrite)</f>
        <v>EURECBOISOCT13_Quote#0016</v>
      </c>
      <c r="G50" s="176" t="str">
        <f>_xll.ohRangeRetrieveError(F50)</f>
        <v/>
      </c>
      <c r="H50" s="175"/>
    </row>
    <row r="51" spans="1:8" x14ac:dyDescent="0.25">
      <c r="A51" s="180"/>
      <c r="B51" s="179" t="s">
        <v>192</v>
      </c>
      <c r="C51" s="179" t="s">
        <v>191</v>
      </c>
      <c r="D51" s="178" t="str">
        <f>_xll.qlECBNextCode(_xll.qlECBdate(D50))</f>
        <v>NOV13</v>
      </c>
      <c r="E51" s="177" t="str">
        <f t="shared" si="1"/>
        <v>EURECBOISNOV13_Quote</v>
      </c>
      <c r="F51" s="177" t="str">
        <f>_xll.qlSimpleQuote(Currency&amp;$B51&amp;$C51&amp;$D51&amp;QuoteSuffix,,RateTickValue,Permanent,Trigger,ObjectOverwrite)</f>
        <v>EURECBOISNOV13_Quote#0016</v>
      </c>
      <c r="G51" s="176" t="str">
        <f>_xll.ohRangeRetrieveError(F51)</f>
        <v/>
      </c>
      <c r="H51" s="175"/>
    </row>
    <row r="52" spans="1:8" x14ac:dyDescent="0.25">
      <c r="A52" s="180"/>
      <c r="B52" s="179" t="s">
        <v>192</v>
      </c>
      <c r="C52" s="179" t="s">
        <v>191</v>
      </c>
      <c r="D52" s="178" t="str">
        <f>_xll.qlECBNextCode(_xll.qlECBdate(D51))</f>
        <v>DEC13</v>
      </c>
      <c r="E52" s="177" t="str">
        <f t="shared" si="1"/>
        <v>EURECBOISDEC13_Quote</v>
      </c>
      <c r="F52" s="177" t="str">
        <f>_xll.qlSimpleQuote(Currency&amp;$B52&amp;$C52&amp;$D52&amp;QuoteSuffix,,RateTickValue,Permanent,Trigger,ObjectOverwrite)</f>
        <v>EURECBOISDEC13_Quote#0016</v>
      </c>
      <c r="G52" s="176" t="str">
        <f>_xll.ohRangeRetrieveError(F52)</f>
        <v/>
      </c>
      <c r="H52" s="175"/>
    </row>
    <row r="53" spans="1:8" x14ac:dyDescent="0.25">
      <c r="A53" s="180"/>
      <c r="B53" s="179" t="s">
        <v>192</v>
      </c>
      <c r="C53" s="179" t="s">
        <v>191</v>
      </c>
      <c r="D53" s="178" t="e">
        <f>_xll.qlECBNextCode(_xll.qlECBdate(D52))</f>
        <v>#NUM!</v>
      </c>
      <c r="E53" s="177" t="e">
        <f t="shared" si="1"/>
        <v>#NUM!</v>
      </c>
      <c r="F53" s="177" t="e">
        <f>_xll.qlSimpleQuote(Currency&amp;$B53&amp;$C53&amp;$D53&amp;QuoteSuffix,,RateTickValue,Permanent,Trigger,ObjectOverwrite)</f>
        <v>#VALUE!</v>
      </c>
      <c r="G53" s="176" t="str">
        <f ca="1">_xll.ohRangeRetrieveError(F53)</f>
        <v/>
      </c>
      <c r="H53" s="175"/>
    </row>
    <row r="54" spans="1:8" x14ac:dyDescent="0.25">
      <c r="A54" s="180"/>
      <c r="B54" s="179" t="s">
        <v>192</v>
      </c>
      <c r="C54" s="179" t="s">
        <v>191</v>
      </c>
      <c r="D54" s="178" t="e">
        <f>_xll.qlECBNextCode(_xll.qlECBdate(D53))</f>
        <v>#NUM!</v>
      </c>
      <c r="E54" s="177" t="e">
        <f t="shared" si="1"/>
        <v>#NUM!</v>
      </c>
      <c r="F54" s="177" t="e">
        <f>_xll.qlSimpleQuote(Currency&amp;$B54&amp;$C54&amp;$D54&amp;QuoteSuffix,,RateTickValue,Permanent,Trigger,ObjectOverwrite)</f>
        <v>#VALUE!</v>
      </c>
      <c r="G54" s="176" t="str">
        <f ca="1">_xll.ohRangeRetrieveError(F54)</f>
        <v/>
      </c>
      <c r="H54" s="175"/>
    </row>
    <row r="55" spans="1:8" x14ac:dyDescent="0.25">
      <c r="A55" s="180"/>
      <c r="B55" s="179" t="s">
        <v>192</v>
      </c>
      <c r="C55" s="179" t="s">
        <v>191</v>
      </c>
      <c r="D55" s="178" t="e">
        <f>_xll.qlECBNextCode(_xll.qlECBdate(D54))</f>
        <v>#NUM!</v>
      </c>
      <c r="E55" s="177" t="e">
        <f t="shared" si="1"/>
        <v>#NUM!</v>
      </c>
      <c r="F55" s="177" t="e">
        <f>_xll.qlSimpleQuote(Currency&amp;$B55&amp;$C55&amp;$D55&amp;QuoteSuffix,,RateTickValue,Permanent,Trigger,ObjectOverwrite)</f>
        <v>#VALUE!</v>
      </c>
      <c r="G55" s="176" t="str">
        <f ca="1">_xll.ohRangeRetrieveError(F55)</f>
        <v/>
      </c>
      <c r="H55" s="175"/>
    </row>
    <row r="56" spans="1:8" x14ac:dyDescent="0.25">
      <c r="A56" s="180"/>
      <c r="B56" s="179" t="s">
        <v>192</v>
      </c>
      <c r="C56" s="179" t="s">
        <v>191</v>
      </c>
      <c r="D56" s="178" t="e">
        <f>_xll.qlECBNextCode(_xll.qlECBdate(D55))</f>
        <v>#NUM!</v>
      </c>
      <c r="E56" s="177" t="e">
        <f t="shared" si="1"/>
        <v>#NUM!</v>
      </c>
      <c r="F56" s="177" t="e">
        <f>_xll.qlSimpleQuote(Currency&amp;$B56&amp;$C56&amp;$D56&amp;QuoteSuffix,,RateTickValue,Permanent,Trigger,ObjectOverwrite)</f>
        <v>#VALUE!</v>
      </c>
      <c r="G56" s="176" t="str">
        <f ca="1">_xll.ohRangeRetrieveError(F56)</f>
        <v/>
      </c>
      <c r="H56" s="175"/>
    </row>
    <row r="57" spans="1:8" x14ac:dyDescent="0.25">
      <c r="A57" s="180"/>
      <c r="B57" s="179" t="s">
        <v>192</v>
      </c>
      <c r="C57" s="179" t="s">
        <v>191</v>
      </c>
      <c r="D57" s="178" t="e">
        <f>_xll.qlECBNextCode(_xll.qlECBdate(D56))</f>
        <v>#NUM!</v>
      </c>
      <c r="E57" s="177" t="e">
        <f t="shared" si="1"/>
        <v>#NUM!</v>
      </c>
      <c r="F57" s="177" t="e">
        <f>_xll.qlSimpleQuote(Currency&amp;$B57&amp;$C57&amp;$D57&amp;QuoteSuffix,,RateTickValue,Permanent,Trigger,ObjectOverwrite)</f>
        <v>#VALUE!</v>
      </c>
      <c r="G57" s="176" t="str">
        <f ca="1">_xll.ohRangeRetrieveError(F57)</f>
        <v/>
      </c>
      <c r="H57" s="175"/>
    </row>
    <row r="58" spans="1:8" x14ac:dyDescent="0.25">
      <c r="A58" s="180"/>
      <c r="B58" s="179" t="s">
        <v>192</v>
      </c>
      <c r="C58" s="179" t="s">
        <v>191</v>
      </c>
      <c r="D58" s="178" t="e">
        <f>_xll.qlECBNextCode(_xll.qlECBdate(D57))</f>
        <v>#NUM!</v>
      </c>
      <c r="E58" s="177" t="e">
        <f t="shared" si="1"/>
        <v>#NUM!</v>
      </c>
      <c r="F58" s="177" t="e">
        <f>_xll.qlSimpleQuote(Currency&amp;$B58&amp;$C58&amp;$D58&amp;QuoteSuffix,,RateTickValue,Permanent,Trigger,ObjectOverwrite)</f>
        <v>#VALUE!</v>
      </c>
      <c r="G58" s="176" t="str">
        <f ca="1">_xll.ohRangeRetrieveError(F58)</f>
        <v/>
      </c>
      <c r="H58" s="175"/>
    </row>
    <row r="59" spans="1:8" x14ac:dyDescent="0.25">
      <c r="A59" s="180"/>
      <c r="B59" s="179" t="s">
        <v>192</v>
      </c>
      <c r="C59" s="179" t="s">
        <v>191</v>
      </c>
      <c r="D59" s="178" t="e">
        <f>_xll.qlECBNextCode(_xll.qlECBdate(D58))</f>
        <v>#NUM!</v>
      </c>
      <c r="E59" s="177" t="e">
        <f t="shared" si="1"/>
        <v>#NUM!</v>
      </c>
      <c r="F59" s="177" t="e">
        <f>_xll.qlSimpleQuote(Currency&amp;$B59&amp;$C59&amp;$D59&amp;QuoteSuffix,,RateTickValue,Permanent,Trigger,ObjectOverwrite)</f>
        <v>#VALUE!</v>
      </c>
      <c r="G59" s="176" t="str">
        <f ca="1">_xll.ohRangeRetrieveError(F59)</f>
        <v/>
      </c>
      <c r="H59" s="175"/>
    </row>
    <row r="60" spans="1:8" x14ac:dyDescent="0.25">
      <c r="A60" s="180"/>
      <c r="B60" s="179" t="s">
        <v>192</v>
      </c>
      <c r="C60" s="179" t="s">
        <v>191</v>
      </c>
      <c r="D60" s="178" t="e">
        <f>_xll.qlECBNextCode(_xll.qlECBdate(D59))</f>
        <v>#NUM!</v>
      </c>
      <c r="E60" s="177" t="e">
        <f t="shared" si="1"/>
        <v>#NUM!</v>
      </c>
      <c r="F60" s="177" t="e">
        <f>_xll.qlSimpleQuote(Currency&amp;$B60&amp;$C60&amp;$D60&amp;QuoteSuffix,,RateTickValue,Permanent,Trigger,ObjectOverwrite)</f>
        <v>#VALUE!</v>
      </c>
      <c r="G60" s="176" t="str">
        <f ca="1">_xll.ohRangeRetrieveError(F60)</f>
        <v/>
      </c>
      <c r="H60" s="175"/>
    </row>
    <row r="61" spans="1:8" x14ac:dyDescent="0.25">
      <c r="A61" s="180"/>
      <c r="B61" s="179" t="s">
        <v>192</v>
      </c>
      <c r="C61" s="179" t="s">
        <v>191</v>
      </c>
      <c r="D61" s="178" t="e">
        <f>_xll.qlECBNextCode(_xll.qlECBdate(D60))</f>
        <v>#NUM!</v>
      </c>
      <c r="E61" s="177" t="e">
        <f t="shared" si="1"/>
        <v>#NUM!</v>
      </c>
      <c r="F61" s="177" t="e">
        <f>_xll.qlSimpleQuote(Currency&amp;$B61&amp;$C61&amp;$D61&amp;QuoteSuffix,,RateTickValue,Permanent,Trigger,ObjectOverwrite)</f>
        <v>#VALUE!</v>
      </c>
      <c r="G61" s="176" t="str">
        <f ca="1">_xll.ohRangeRetrieveError(F61)</f>
        <v/>
      </c>
      <c r="H61" s="175"/>
    </row>
    <row r="62" spans="1:8" x14ac:dyDescent="0.25">
      <c r="A62" s="180"/>
      <c r="B62" s="179" t="s">
        <v>192</v>
      </c>
      <c r="C62" s="179" t="s">
        <v>191</v>
      </c>
      <c r="D62" s="178" t="e">
        <f>_xll.qlECBNextCode(_xll.qlECBdate(D61))</f>
        <v>#NUM!</v>
      </c>
      <c r="E62" s="177" t="e">
        <f t="shared" si="1"/>
        <v>#NUM!</v>
      </c>
      <c r="F62" s="177" t="e">
        <f>_xll.qlSimpleQuote(Currency&amp;$B62&amp;$C62&amp;$D62&amp;QuoteSuffix,,RateTickValue,Permanent,Trigger,ObjectOverwrite)</f>
        <v>#VALUE!</v>
      </c>
      <c r="G62" s="176" t="str">
        <f ca="1">_xll.ohRangeRetrieveError(F62)</f>
        <v/>
      </c>
      <c r="H62" s="175"/>
    </row>
    <row r="63" spans="1:8" x14ac:dyDescent="0.25">
      <c r="A63" s="180"/>
      <c r="B63" s="179" t="s">
        <v>192</v>
      </c>
      <c r="C63" s="179" t="s">
        <v>191</v>
      </c>
      <c r="D63" s="178" t="e">
        <f>_xll.qlECBNextCode(_xll.qlECBdate(D62))</f>
        <v>#NUM!</v>
      </c>
      <c r="E63" s="177" t="e">
        <f t="shared" si="1"/>
        <v>#NUM!</v>
      </c>
      <c r="F63" s="177" t="e">
        <f>_xll.qlSimpleQuote(Currency&amp;$B63&amp;$C63&amp;$D63&amp;QuoteSuffix,,RateTickValue,Permanent,Trigger,ObjectOverwrite)</f>
        <v>#VALUE!</v>
      </c>
      <c r="G63" s="176" t="str">
        <f ca="1">_xll.ohRangeRetrieveError(F63)</f>
        <v/>
      </c>
      <c r="H63" s="175"/>
    </row>
    <row r="64" spans="1:8" x14ac:dyDescent="0.25">
      <c r="A64" s="180"/>
      <c r="B64" s="179" t="s">
        <v>192</v>
      </c>
      <c r="C64" s="179" t="s">
        <v>191</v>
      </c>
      <c r="D64" s="178" t="e">
        <f>_xll.qlECBNextCode(_xll.qlECBdate(D63))</f>
        <v>#NUM!</v>
      </c>
      <c r="E64" s="177" t="e">
        <f t="shared" si="1"/>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1"/>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1"/>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1"/>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1"/>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1"/>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1"/>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1"/>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1"/>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1"/>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1"/>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1"/>
        <v>#NUM!</v>
      </c>
      <c r="F75" s="177" t="e">
        <f>_xll.qlSimpleQuote(Currency&amp;$B75&amp;$C75&amp;$D75&amp;QuoteSuffix,,RateTickValue,Permanent,Trigger,ObjectOverwrite)</f>
        <v>#VALUE!</v>
      </c>
      <c r="G75" s="176" t="str">
        <f ca="1">_xll.ohRangeRetrieveError(F75)</f>
        <v/>
      </c>
      <c r="H75" s="175"/>
    </row>
    <row r="76" spans="1:8" ht="14.25" thickBot="1" x14ac:dyDescent="0.3">
      <c r="A76" s="174"/>
      <c r="B76" s="173"/>
      <c r="C76" s="173"/>
      <c r="D76" s="173"/>
      <c r="E76" s="173"/>
      <c r="F76" s="172"/>
      <c r="G76" s="172"/>
      <c r="H76" s="171"/>
    </row>
  </sheetData>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14"/>
  <sheetViews>
    <sheetView workbookViewId="0"/>
  </sheetViews>
  <sheetFormatPr defaultRowHeight="12.75" x14ac:dyDescent="0.2"/>
  <cols>
    <col min="1" max="1" width="3.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8" width="4.42578125" style="20" customWidth="1"/>
    <col min="9" max="16384" width="9.140625" style="20"/>
  </cols>
  <sheetData>
    <row r="1" spans="1:8" x14ac:dyDescent="0.2">
      <c r="A1" s="220" t="s">
        <v>206</v>
      </c>
      <c r="B1" s="203"/>
      <c r="C1" s="203"/>
      <c r="D1" s="203"/>
      <c r="E1" s="201"/>
      <c r="F1" s="202"/>
      <c r="G1" s="201"/>
      <c r="H1" s="200"/>
    </row>
    <row r="2" spans="1:8" x14ac:dyDescent="0.2">
      <c r="A2" s="126"/>
      <c r="B2" s="199"/>
      <c r="C2" s="198"/>
      <c r="D2" s="97"/>
      <c r="E2" s="96" t="str">
        <f>Currency&amp;"_010_Sw"&amp;"1M.xml"</f>
        <v>EUR_010_Sw1M.xml</v>
      </c>
      <c r="F2" s="95">
        <f ca="1">IF(Serialize,_xll.ohObjectSave(F3:F13,SerializationPath&amp;E2,FileOverwrite,Serialize),"---")</f>
        <v>11</v>
      </c>
      <c r="G2" s="79" t="str">
        <f ca="1">_xll.ohRangeRetrieveError(F2)</f>
        <v/>
      </c>
      <c r="H2" s="53"/>
    </row>
    <row r="3" spans="1:8" x14ac:dyDescent="0.2">
      <c r="A3" s="126"/>
      <c r="B3" s="197"/>
      <c r="C3" s="82">
        <v>2</v>
      </c>
      <c r="D3" s="81" t="s">
        <v>194</v>
      </c>
      <c r="E3" s="80" t="str">
        <f t="shared" ref="E3:E13" si="0">Currency&amp;$C3&amp;$D3&amp;$B3&amp;QuoteSuffix</f>
        <v>EUR2X1S_Quote</v>
      </c>
      <c r="F3" s="80" t="str">
        <f>_xll.qlSimpleQuote(Currency&amp;$C3&amp;$D3&amp;$B3&amp;QuoteSuffix,,RateTickValue,Permanent,Trigger,ObjectOverwrite)</f>
        <v>EUR2X1S_Quote#0016</v>
      </c>
      <c r="G3" s="26" t="str">
        <f>_xll.ohRangeRetrieveError(F3)</f>
        <v/>
      </c>
      <c r="H3" s="53"/>
    </row>
    <row r="4" spans="1:8" x14ac:dyDescent="0.2">
      <c r="A4" s="126"/>
      <c r="B4" s="196"/>
      <c r="C4" s="195">
        <v>3</v>
      </c>
      <c r="D4" s="110" t="s">
        <v>194</v>
      </c>
      <c r="E4" s="80" t="str">
        <f t="shared" si="0"/>
        <v>EUR3X1S_Quote</v>
      </c>
      <c r="F4" s="80" t="str">
        <f>_xll.qlSimpleQuote(Currency&amp;$C4&amp;$D4&amp;$B4&amp;QuoteSuffix,,RateTickValue,Permanent,Trigger,ObjectOverwrite)</f>
        <v>EUR3X1S_Quote#0016</v>
      </c>
      <c r="G4" s="34" t="str">
        <f>_xll.ohRangeRetrieveError(F4)</f>
        <v/>
      </c>
      <c r="H4" s="53"/>
    </row>
    <row r="5" spans="1:8" x14ac:dyDescent="0.2">
      <c r="A5" s="126"/>
      <c r="B5" s="196"/>
      <c r="C5" s="195">
        <v>4</v>
      </c>
      <c r="D5" s="110" t="s">
        <v>194</v>
      </c>
      <c r="E5" s="80" t="str">
        <f t="shared" si="0"/>
        <v>EUR4X1S_Quote</v>
      </c>
      <c r="F5" s="80" t="str">
        <f>_xll.qlSimpleQuote(Currency&amp;$C5&amp;$D5&amp;$B5&amp;QuoteSuffix,,RateTickValue,Permanent,Trigger,ObjectOverwrite)</f>
        <v>EUR4X1S_Quote#0016</v>
      </c>
      <c r="G5" s="34" t="str">
        <f>_xll.ohRangeRetrieveError(F5)</f>
        <v/>
      </c>
      <c r="H5" s="53"/>
    </row>
    <row r="6" spans="1:8" x14ac:dyDescent="0.2">
      <c r="A6" s="126"/>
      <c r="B6" s="196"/>
      <c r="C6" s="195">
        <v>5</v>
      </c>
      <c r="D6" s="110" t="s">
        <v>194</v>
      </c>
      <c r="E6" s="80" t="str">
        <f t="shared" si="0"/>
        <v>EUR5X1S_Quote</v>
      </c>
      <c r="F6" s="80" t="str">
        <f>_xll.qlSimpleQuote(Currency&amp;$C6&amp;$D6&amp;$B6&amp;QuoteSuffix,,RateTickValue,Permanent,Trigger,ObjectOverwrite)</f>
        <v>EUR5X1S_Quote#0016</v>
      </c>
      <c r="G6" s="34" t="str">
        <f>_xll.ohRangeRetrieveError(F6)</f>
        <v/>
      </c>
      <c r="H6" s="53"/>
    </row>
    <row r="7" spans="1:8" x14ac:dyDescent="0.2">
      <c r="A7" s="126"/>
      <c r="B7" s="196"/>
      <c r="C7" s="195">
        <v>6</v>
      </c>
      <c r="D7" s="110" t="s">
        <v>194</v>
      </c>
      <c r="E7" s="80" t="str">
        <f t="shared" si="0"/>
        <v>EUR6X1S_Quote</v>
      </c>
      <c r="F7" s="80" t="str">
        <f>_xll.qlSimpleQuote(Currency&amp;$C7&amp;$D7&amp;$B7&amp;QuoteSuffix,,RateTickValue,Permanent,Trigger,ObjectOverwrite)</f>
        <v>EUR6X1S_Quote#0016</v>
      </c>
      <c r="G7" s="34" t="str">
        <f>_xll.ohRangeRetrieveError(F7)</f>
        <v/>
      </c>
      <c r="H7" s="53"/>
    </row>
    <row r="8" spans="1:8" x14ac:dyDescent="0.2">
      <c r="A8" s="126"/>
      <c r="B8" s="196"/>
      <c r="C8" s="195">
        <v>7</v>
      </c>
      <c r="D8" s="110" t="s">
        <v>194</v>
      </c>
      <c r="E8" s="80" t="str">
        <f t="shared" si="0"/>
        <v>EUR7X1S_Quote</v>
      </c>
      <c r="F8" s="80" t="str">
        <f>_xll.qlSimpleQuote(Currency&amp;$C8&amp;$D8&amp;$B8&amp;QuoteSuffix,,RateTickValue,Permanent,Trigger,ObjectOverwrite)</f>
        <v>EUR7X1S_Quote#0016</v>
      </c>
      <c r="G8" s="34" t="str">
        <f>_xll.ohRangeRetrieveError(F8)</f>
        <v/>
      </c>
      <c r="H8" s="53"/>
    </row>
    <row r="9" spans="1:8" x14ac:dyDescent="0.2">
      <c r="A9" s="126"/>
      <c r="B9" s="196"/>
      <c r="C9" s="195">
        <v>8</v>
      </c>
      <c r="D9" s="110" t="s">
        <v>194</v>
      </c>
      <c r="E9" s="80" t="str">
        <f t="shared" si="0"/>
        <v>EUR8X1S_Quote</v>
      </c>
      <c r="F9" s="80" t="str">
        <f>_xll.qlSimpleQuote(Currency&amp;$C9&amp;$D9&amp;$B9&amp;QuoteSuffix,,RateTickValue,Permanent,Trigger,ObjectOverwrite)</f>
        <v>EUR8X1S_Quote#0016</v>
      </c>
      <c r="G9" s="34" t="str">
        <f>_xll.ohRangeRetrieveError(F9)</f>
        <v/>
      </c>
      <c r="H9" s="53"/>
    </row>
    <row r="10" spans="1:8" x14ac:dyDescent="0.2">
      <c r="A10" s="126"/>
      <c r="B10" s="196"/>
      <c r="C10" s="195">
        <v>9</v>
      </c>
      <c r="D10" s="110" t="s">
        <v>194</v>
      </c>
      <c r="E10" s="80" t="str">
        <f t="shared" si="0"/>
        <v>EUR9X1S_Quote</v>
      </c>
      <c r="F10" s="80" t="str">
        <f>_xll.qlSimpleQuote(Currency&amp;$C10&amp;$D10&amp;$B10&amp;QuoteSuffix,,RateTickValue,Permanent,Trigger,ObjectOverwrite)</f>
        <v>EUR9X1S_Quote#0016</v>
      </c>
      <c r="G10" s="34" t="str">
        <f>_xll.ohRangeRetrieveError(F10)</f>
        <v/>
      </c>
      <c r="H10" s="53"/>
    </row>
    <row r="11" spans="1:8" x14ac:dyDescent="0.2">
      <c r="A11" s="126"/>
      <c r="B11" s="196"/>
      <c r="C11" s="195">
        <v>10</v>
      </c>
      <c r="D11" s="110" t="s">
        <v>194</v>
      </c>
      <c r="E11" s="80" t="str">
        <f t="shared" si="0"/>
        <v>EUR10X1S_Quote</v>
      </c>
      <c r="F11" s="80" t="str">
        <f>_xll.qlSimpleQuote(Currency&amp;$C11&amp;$D11&amp;$B11&amp;QuoteSuffix,,RateTickValue,Permanent,Trigger,ObjectOverwrite)</f>
        <v>EUR10X1S_Quote#0016</v>
      </c>
      <c r="G11" s="34" t="str">
        <f>_xll.ohRangeRetrieveError(F11)</f>
        <v/>
      </c>
      <c r="H11" s="53"/>
    </row>
    <row r="12" spans="1:8" x14ac:dyDescent="0.2">
      <c r="A12" s="126"/>
      <c r="B12" s="196"/>
      <c r="C12" s="195">
        <v>11</v>
      </c>
      <c r="D12" s="110" t="s">
        <v>194</v>
      </c>
      <c r="E12" s="80" t="str">
        <f t="shared" si="0"/>
        <v>EUR11X1S_Quote</v>
      </c>
      <c r="F12" s="80" t="str">
        <f>_xll.qlSimpleQuote(Currency&amp;$C12&amp;$D12&amp;$B12&amp;QuoteSuffix,,RateTickValue,Permanent,Trigger,ObjectOverwrite)</f>
        <v>EUR11X1S_Quote#0016</v>
      </c>
      <c r="G12" s="34" t="str">
        <f>_xll.ohRangeRetrieveError(F12)</f>
        <v/>
      </c>
      <c r="H12" s="53"/>
    </row>
    <row r="13" spans="1:8" x14ac:dyDescent="0.2">
      <c r="A13" s="126"/>
      <c r="B13" s="196"/>
      <c r="C13" s="195">
        <v>12</v>
      </c>
      <c r="D13" s="110" t="s">
        <v>194</v>
      </c>
      <c r="E13" s="80" t="str">
        <f t="shared" si="0"/>
        <v>EUR12X1S_Quote</v>
      </c>
      <c r="F13" s="80" t="str">
        <f>_xll.qlSimpleQuote(Currency&amp;$C13&amp;$D13&amp;$B13&amp;QuoteSuffix,,RateTickValue,Permanent,Trigger,ObjectOverwrite)</f>
        <v>EUR12X1S_Quote#0016</v>
      </c>
      <c r="G13" s="34" t="str">
        <f>_xll.ohRangeRetrieveError(F13)</f>
        <v/>
      </c>
      <c r="H13" s="53"/>
    </row>
    <row r="14" spans="1:8" ht="13.5" thickBot="1" x14ac:dyDescent="0.25">
      <c r="A14" s="52"/>
      <c r="B14" s="51"/>
      <c r="C14" s="51"/>
      <c r="D14" s="51"/>
      <c r="E14" s="51"/>
      <c r="F14" s="120"/>
      <c r="G14" s="120"/>
      <c r="H14" s="50"/>
    </row>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H10"/>
  <sheetViews>
    <sheetView workbookViewId="0"/>
  </sheetViews>
  <sheetFormatPr defaultRowHeight="12.75" x14ac:dyDescent="0.2"/>
  <cols>
    <col min="1" max="1" width="3.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8" width="4.42578125" style="20" customWidth="1"/>
    <col min="9" max="16384" width="9.140625" style="20"/>
  </cols>
  <sheetData>
    <row r="1" spans="1:8" x14ac:dyDescent="0.2">
      <c r="A1" s="220" t="s">
        <v>206</v>
      </c>
      <c r="B1" s="203"/>
      <c r="C1" s="203"/>
      <c r="D1" s="203"/>
      <c r="E1" s="201"/>
      <c r="F1" s="202"/>
      <c r="G1" s="201"/>
      <c r="H1" s="200"/>
    </row>
    <row r="2" spans="1:8" x14ac:dyDescent="0.2">
      <c r="A2" s="126"/>
      <c r="B2" s="207"/>
      <c r="C2" s="206"/>
      <c r="D2" s="97"/>
      <c r="E2" s="96" t="str">
        <f>Currency&amp;"_010_Sw"&amp;"IMM.xml"</f>
        <v>EUR_010_SwIMM.xml</v>
      </c>
      <c r="F2" s="95">
        <f ca="1">IF(Serialize,_xll.ohObjectSave(F3:F9,SerializationPath&amp;E2,FileOverwrite,Serialize),"---")</f>
        <v>7</v>
      </c>
      <c r="G2" s="79" t="str">
        <f ca="1">_xll.ohRangeRetrieveError(F2)</f>
        <v/>
      </c>
      <c r="H2" s="53"/>
    </row>
    <row r="3" spans="1:8" x14ac:dyDescent="0.2">
      <c r="A3" s="126"/>
      <c r="B3" s="205"/>
      <c r="C3" s="81" t="s">
        <v>195</v>
      </c>
      <c r="D3" s="81">
        <v>12</v>
      </c>
      <c r="E3" s="80" t="str">
        <f t="shared" ref="E3:E9" si="0">Currency&amp;$C3&amp;$D3&amp;$B3&amp;QuoteSuffix</f>
        <v>EUR1S12_Quote</v>
      </c>
      <c r="F3" s="80" t="str">
        <f>_xll.qlSimpleQuote(Currency&amp;$C3&amp;$D3&amp;$B3&amp;QuoteSuffix,,RateTickValue,Permanent,Trigger,ObjectOverwrite)</f>
        <v>EUR1S12_Quote#0016</v>
      </c>
      <c r="G3" s="26" t="str">
        <f>_xll.ohRangeRetrieveError(F3)</f>
        <v/>
      </c>
      <c r="H3" s="53"/>
    </row>
    <row r="4" spans="1:8" x14ac:dyDescent="0.2">
      <c r="A4" s="126"/>
      <c r="B4" s="204"/>
      <c r="C4" s="110" t="s">
        <v>196</v>
      </c>
      <c r="D4" s="110">
        <v>12</v>
      </c>
      <c r="E4" s="80" t="str">
        <f t="shared" si="0"/>
        <v>EUR2S12_Quote</v>
      </c>
      <c r="F4" s="80" t="str">
        <f>_xll.qlSimpleQuote(Currency&amp;$C4&amp;$D4&amp;$B4&amp;QuoteSuffix,,RateTickValue,Permanent,Trigger,ObjectOverwrite)</f>
        <v>EUR2S12_Quote#0016</v>
      </c>
      <c r="G4" s="34" t="str">
        <f>_xll.ohRangeRetrieveError(F4)</f>
        <v/>
      </c>
      <c r="H4" s="53"/>
    </row>
    <row r="5" spans="1:8" x14ac:dyDescent="0.2">
      <c r="A5" s="126"/>
      <c r="B5" s="204"/>
      <c r="C5" s="110" t="s">
        <v>198</v>
      </c>
      <c r="D5" s="110">
        <v>12</v>
      </c>
      <c r="E5" s="80" t="str">
        <f t="shared" si="0"/>
        <v>EUR3S12_Quote</v>
      </c>
      <c r="F5" s="80" t="str">
        <f>_xll.qlSimpleQuote(Currency&amp;$C5&amp;$D5&amp;$B5&amp;QuoteSuffix,,RateTickValue,Permanent,Trigger,ObjectOverwrite)</f>
        <v>EUR3S12_Quote#0016</v>
      </c>
      <c r="G5" s="34" t="str">
        <f>_xll.ohRangeRetrieveError(F5)</f>
        <v/>
      </c>
      <c r="H5" s="53"/>
    </row>
    <row r="6" spans="1:8" x14ac:dyDescent="0.2">
      <c r="A6" s="126"/>
      <c r="B6" s="204"/>
      <c r="C6" s="110" t="s">
        <v>197</v>
      </c>
      <c r="D6" s="110">
        <v>12</v>
      </c>
      <c r="E6" s="80" t="str">
        <f t="shared" si="0"/>
        <v>EUR4S12_Quote</v>
      </c>
      <c r="F6" s="80" t="str">
        <f>_xll.qlSimpleQuote(Currency&amp;$C6&amp;$D6&amp;$B6&amp;QuoteSuffix,,RateTickValue,Permanent,Trigger,ObjectOverwrite)</f>
        <v>EUR4S12_Quote#0016</v>
      </c>
      <c r="G6" s="34" t="str">
        <f>_xll.ohRangeRetrieveError(F6)</f>
        <v/>
      </c>
      <c r="H6" s="53"/>
    </row>
    <row r="7" spans="1:8" x14ac:dyDescent="0.2">
      <c r="A7" s="126"/>
      <c r="B7" s="204"/>
      <c r="C7" s="110" t="s">
        <v>195</v>
      </c>
      <c r="D7" s="110">
        <v>24</v>
      </c>
      <c r="E7" s="80" t="str">
        <f t="shared" si="0"/>
        <v>EUR1S24_Quote</v>
      </c>
      <c r="F7" s="80" t="str">
        <f>_xll.qlSimpleQuote(Currency&amp;$C7&amp;$D7&amp;$B7&amp;QuoteSuffix,,RateTickValue,Permanent,Trigger,ObjectOverwrite)</f>
        <v>EUR1S24_Quote#0016</v>
      </c>
      <c r="G7" s="34" t="str">
        <f>_xll.ohRangeRetrieveError(F7)</f>
        <v/>
      </c>
      <c r="H7" s="53"/>
    </row>
    <row r="8" spans="1:8" x14ac:dyDescent="0.2">
      <c r="A8" s="126"/>
      <c r="B8" s="204"/>
      <c r="C8" s="110" t="s">
        <v>196</v>
      </c>
      <c r="D8" s="110">
        <v>24</v>
      </c>
      <c r="E8" s="80" t="str">
        <f t="shared" si="0"/>
        <v>EUR2S24_Quote</v>
      </c>
      <c r="F8" s="80" t="str">
        <f>_xll.qlSimpleQuote(Currency&amp;$C8&amp;$D8&amp;$B8&amp;QuoteSuffix,,RateTickValue,Permanent,Trigger,ObjectOverwrite)</f>
        <v>EUR2S24_Quote#0016</v>
      </c>
      <c r="G8" s="34" t="str">
        <f>_xll.ohRangeRetrieveError(F8)</f>
        <v/>
      </c>
      <c r="H8" s="53"/>
    </row>
    <row r="9" spans="1:8" x14ac:dyDescent="0.2">
      <c r="A9" s="126"/>
      <c r="B9" s="204"/>
      <c r="C9" s="110" t="s">
        <v>195</v>
      </c>
      <c r="D9" s="110">
        <v>36</v>
      </c>
      <c r="E9" s="80" t="str">
        <f t="shared" si="0"/>
        <v>EUR1S36_Quote</v>
      </c>
      <c r="F9" s="80" t="str">
        <f>_xll.qlSimpleQuote(Currency&amp;$C9&amp;$D9&amp;$B9&amp;QuoteSuffix,,RateTickValue,Permanent,Trigger,ObjectOverwrite)</f>
        <v>EUR1S36_Quote#0016</v>
      </c>
      <c r="G9" s="34" t="str">
        <f>_xll.ohRangeRetrieveError(F9)</f>
        <v/>
      </c>
      <c r="H9" s="53"/>
    </row>
    <row r="10" spans="1:8" ht="13.5" thickBot="1" x14ac:dyDescent="0.25">
      <c r="A10" s="52"/>
      <c r="B10" s="51"/>
      <c r="C10" s="51"/>
      <c r="D10" s="51"/>
      <c r="E10" s="51"/>
      <c r="F10" s="120"/>
      <c r="G10" s="120"/>
      <c r="H10" s="5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L40"/>
  <sheetViews>
    <sheetView workbookViewId="0"/>
  </sheetViews>
  <sheetFormatPr defaultRowHeight="12.75" x14ac:dyDescent="0.2"/>
  <cols>
    <col min="1" max="1" width="3.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4.42578125" style="20" customWidth="1"/>
    <col min="10" max="10" width="4.140625" style="20" bestFit="1" customWidth="1"/>
    <col min="11" max="11" width="3.28515625" style="20" bestFit="1" customWidth="1"/>
    <col min="12" max="12" width="9.5703125" style="20" bestFit="1" customWidth="1"/>
    <col min="13" max="16384" width="9.140625" style="20"/>
  </cols>
  <sheetData>
    <row r="1" spans="1:12" ht="13.5" thickBot="1" x14ac:dyDescent="0.25">
      <c r="A1" s="220" t="s">
        <v>206</v>
      </c>
      <c r="B1" s="203"/>
      <c r="C1" s="203"/>
      <c r="D1" s="203"/>
      <c r="E1" s="201"/>
      <c r="F1" s="202"/>
      <c r="G1" s="201"/>
      <c r="H1" s="200"/>
    </row>
    <row r="2" spans="1:12" x14ac:dyDescent="0.2">
      <c r="A2" s="126"/>
      <c r="B2" s="97" t="s">
        <v>141</v>
      </c>
      <c r="C2" s="97"/>
      <c r="D2" s="97"/>
      <c r="E2" s="96" t="str">
        <f>Currency&amp;"_010_Sw"&amp;$C$3&amp;$D$3&amp;".xml"</f>
        <v>EUR_010_SwAB3E.xml</v>
      </c>
      <c r="F2" s="95">
        <f ca="1">IF(Serialize,_xll.ohObjectSave(F3:F39,SerializationPath&amp;E2,FileOverwrite,Serialize),"---")</f>
        <v>37</v>
      </c>
      <c r="G2" s="79" t="str">
        <f ca="1">_xll.ohRangeRetrieveError(F2)</f>
        <v/>
      </c>
      <c r="H2" s="53"/>
      <c r="J2" s="212" t="s">
        <v>204</v>
      </c>
      <c r="K2" s="211" t="s">
        <v>203</v>
      </c>
      <c r="L2" s="210" t="s">
        <v>202</v>
      </c>
    </row>
    <row r="3" spans="1:12" x14ac:dyDescent="0.2">
      <c r="A3" s="126"/>
      <c r="B3" s="197" t="s">
        <v>34</v>
      </c>
      <c r="C3" s="82" t="str">
        <f t="array" ref="C3:C39">VLOOKUP(Currency,SwapMainSetConventions,2)</f>
        <v>AB</v>
      </c>
      <c r="D3" s="82" t="str">
        <f t="array" ref="D3:D39">VLOOKUP(Currency,SwapMainSetConventions,3)</f>
        <v>3E</v>
      </c>
      <c r="E3" s="80" t="str">
        <f t="shared" ref="E3:E39" si="0">Currency&amp;$C3&amp;$D3&amp;$B3&amp;QuoteSuffix</f>
        <v>EURAB3E1Y_Quote</v>
      </c>
      <c r="F3" s="80" t="str">
        <f>_xll.qlSimpleQuote(Currency&amp;$C3&amp;$D3&amp;$B3&amp;QuoteSuffix,,RateTickValue,Permanent,Trigger,ObjectOverwrite)</f>
        <v>EURAB3E1Y_Quote#0016</v>
      </c>
      <c r="G3" s="26" t="str">
        <f>_xll.ohRangeRetrieveError(F3)</f>
        <v/>
      </c>
      <c r="H3" s="53"/>
      <c r="J3" s="209" t="s">
        <v>137</v>
      </c>
      <c r="K3" s="89" t="s">
        <v>201</v>
      </c>
      <c r="L3" s="88" t="s">
        <v>130</v>
      </c>
    </row>
    <row r="4" spans="1:12" x14ac:dyDescent="0.2">
      <c r="A4" s="126"/>
      <c r="B4" s="196" t="s">
        <v>140</v>
      </c>
      <c r="C4" s="82" t="str">
        <v>AB</v>
      </c>
      <c r="D4" s="82" t="str">
        <v>3E</v>
      </c>
      <c r="E4" s="80" t="str">
        <f t="shared" si="0"/>
        <v>EURAB3E15M_Quote</v>
      </c>
      <c r="F4" s="80" t="str">
        <f>_xll.qlSimpleQuote(Currency&amp;$C4&amp;$D4&amp;$B4&amp;QuoteSuffix,,RateTickValue,Permanent,Trigger,ObjectOverwrite)</f>
        <v>EURAB3E15M_Quote#0016</v>
      </c>
      <c r="G4" s="34" t="str">
        <f>_xll.ohRangeRetrieveError(F4)</f>
        <v/>
      </c>
      <c r="H4" s="53"/>
      <c r="J4" s="209" t="s">
        <v>123</v>
      </c>
      <c r="K4" s="89" t="s">
        <v>201</v>
      </c>
      <c r="L4" s="88" t="s">
        <v>142</v>
      </c>
    </row>
    <row r="5" spans="1:12" x14ac:dyDescent="0.2">
      <c r="A5" s="126"/>
      <c r="B5" s="196" t="s">
        <v>139</v>
      </c>
      <c r="C5" s="82" t="str">
        <v>AB</v>
      </c>
      <c r="D5" s="82" t="str">
        <v>3E</v>
      </c>
      <c r="E5" s="80" t="str">
        <f t="shared" si="0"/>
        <v>EURAB3E18M_Quote</v>
      </c>
      <c r="F5" s="80" t="str">
        <f>_xll.qlSimpleQuote(Currency&amp;$C5&amp;$D5&amp;$B5&amp;QuoteSuffix,,RateTickValue,Permanent,Trigger,ObjectOverwrite)</f>
        <v>EURAB3E18M_Quote#0016</v>
      </c>
      <c r="G5" s="34" t="str">
        <f>_xll.ohRangeRetrieveError(F5)</f>
        <v/>
      </c>
      <c r="H5" s="53"/>
      <c r="J5" s="209" t="s">
        <v>134</v>
      </c>
      <c r="K5" s="89" t="s">
        <v>199</v>
      </c>
      <c r="L5" s="88" t="s">
        <v>130</v>
      </c>
    </row>
    <row r="6" spans="1:12" x14ac:dyDescent="0.2">
      <c r="A6" s="126"/>
      <c r="B6" s="196" t="s">
        <v>138</v>
      </c>
      <c r="C6" s="82" t="str">
        <v>AB</v>
      </c>
      <c r="D6" s="82" t="str">
        <v>3E</v>
      </c>
      <c r="E6" s="80" t="str">
        <f t="shared" si="0"/>
        <v>EURAB3E21M_Quote</v>
      </c>
      <c r="F6" s="80" t="str">
        <f>_xll.qlSimpleQuote(Currency&amp;$C6&amp;$D6&amp;$B6&amp;QuoteSuffix,,RateTickValue,Permanent,Trigger,ObjectOverwrite)</f>
        <v>EURAB3E21M_Quote#0016</v>
      </c>
      <c r="G6" s="34" t="str">
        <f>_xll.ohRangeRetrieveError(F6)</f>
        <v/>
      </c>
      <c r="H6" s="53"/>
      <c r="J6" s="209" t="s">
        <v>133</v>
      </c>
      <c r="K6" s="89" t="s">
        <v>200</v>
      </c>
      <c r="L6" s="88" t="s">
        <v>130</v>
      </c>
    </row>
    <row r="7" spans="1:12" ht="13.5" thickBot="1" x14ac:dyDescent="0.25">
      <c r="A7" s="126"/>
      <c r="B7" s="196" t="s">
        <v>115</v>
      </c>
      <c r="C7" s="82" t="str">
        <v>AB</v>
      </c>
      <c r="D7" s="82" t="str">
        <v>3E</v>
      </c>
      <c r="E7" s="80" t="str">
        <f t="shared" si="0"/>
        <v>EURAB3E2Y_Quote</v>
      </c>
      <c r="F7" s="80" t="str">
        <f>_xll.qlSimpleQuote(Currency&amp;$C7&amp;$D7&amp;$B7&amp;QuoteSuffix,,RateTickValue,Permanent,Trigger,ObjectOverwrite)</f>
        <v>EURAB3E2Y_Quote#0016</v>
      </c>
      <c r="G7" s="34" t="str">
        <f>_xll.ohRangeRetrieveError(F7)</f>
        <v/>
      </c>
      <c r="H7" s="53"/>
      <c r="J7" s="208" t="s">
        <v>131</v>
      </c>
      <c r="K7" s="86" t="s">
        <v>199</v>
      </c>
      <c r="L7" s="85" t="s">
        <v>130</v>
      </c>
    </row>
    <row r="8" spans="1:12" x14ac:dyDescent="0.2">
      <c r="A8" s="126"/>
      <c r="B8" s="196" t="s">
        <v>114</v>
      </c>
      <c r="C8" s="82" t="str">
        <v>AB</v>
      </c>
      <c r="D8" s="82" t="str">
        <v>3E</v>
      </c>
      <c r="E8" s="80" t="str">
        <f t="shared" si="0"/>
        <v>EURAB3E3Y_Quote</v>
      </c>
      <c r="F8" s="80" t="str">
        <f>_xll.qlSimpleQuote(Currency&amp;$C8&amp;$D8&amp;$B8&amp;QuoteSuffix,,RateTickValue,Permanent,Trigger,ObjectOverwrite)</f>
        <v>EURAB3E3Y_Quote#0016</v>
      </c>
      <c r="G8" s="34" t="str">
        <f>_xll.ohRangeRetrieveError(F8)</f>
        <v/>
      </c>
      <c r="H8" s="53"/>
    </row>
    <row r="9" spans="1:12" x14ac:dyDescent="0.2">
      <c r="A9" s="126"/>
      <c r="B9" s="196" t="s">
        <v>113</v>
      </c>
      <c r="C9" s="82" t="str">
        <v>AB</v>
      </c>
      <c r="D9" s="82" t="str">
        <v>3E</v>
      </c>
      <c r="E9" s="80" t="str">
        <f t="shared" si="0"/>
        <v>EURAB3E4Y_Quote</v>
      </c>
      <c r="F9" s="80" t="str">
        <f>_xll.qlSimpleQuote(Currency&amp;$C9&amp;$D9&amp;$B9&amp;QuoteSuffix,,RateTickValue,Permanent,Trigger,ObjectOverwrite)</f>
        <v>EURAB3E4Y_Quote#0016</v>
      </c>
      <c r="G9" s="34" t="str">
        <f>_xll.ohRangeRetrieveError(F9)</f>
        <v/>
      </c>
      <c r="H9" s="53"/>
    </row>
    <row r="10" spans="1:12" x14ac:dyDescent="0.2">
      <c r="A10" s="126"/>
      <c r="B10" s="196" t="s">
        <v>112</v>
      </c>
      <c r="C10" s="82" t="str">
        <v>AB</v>
      </c>
      <c r="D10" s="82" t="str">
        <v>3E</v>
      </c>
      <c r="E10" s="80" t="str">
        <f t="shared" si="0"/>
        <v>EURAB3E5Y_Quote</v>
      </c>
      <c r="F10" s="80" t="str">
        <f>_xll.qlSimpleQuote(Currency&amp;$C10&amp;$D10&amp;$B10&amp;QuoteSuffix,,RateTickValue,Permanent,Trigger,ObjectOverwrite)</f>
        <v>EURAB3E5Y_Quote#0016</v>
      </c>
      <c r="G10" s="34" t="str">
        <f>_xll.ohRangeRetrieveError(F10)</f>
        <v/>
      </c>
      <c r="H10" s="53"/>
    </row>
    <row r="11" spans="1:12" x14ac:dyDescent="0.2">
      <c r="A11" s="126"/>
      <c r="B11" s="196" t="s">
        <v>111</v>
      </c>
      <c r="C11" s="82" t="str">
        <v>AB</v>
      </c>
      <c r="D11" s="82" t="str">
        <v>3E</v>
      </c>
      <c r="E11" s="80" t="str">
        <f t="shared" si="0"/>
        <v>EURAB3E6Y_Quote</v>
      </c>
      <c r="F11" s="80" t="str">
        <f>_xll.qlSimpleQuote(Currency&amp;$C11&amp;$D11&amp;$B11&amp;QuoteSuffix,,RateTickValue,Permanent,Trigger,ObjectOverwrite)</f>
        <v>EURAB3E6Y_Quote#0016</v>
      </c>
      <c r="G11" s="34" t="str">
        <f>_xll.ohRangeRetrieveError(F11)</f>
        <v/>
      </c>
      <c r="H11" s="53"/>
    </row>
    <row r="12" spans="1:12" x14ac:dyDescent="0.2">
      <c r="A12" s="126"/>
      <c r="B12" s="196" t="s">
        <v>110</v>
      </c>
      <c r="C12" s="82" t="str">
        <v>AB</v>
      </c>
      <c r="D12" s="82" t="str">
        <v>3E</v>
      </c>
      <c r="E12" s="80" t="str">
        <f t="shared" si="0"/>
        <v>EURAB3E7Y_Quote</v>
      </c>
      <c r="F12" s="80" t="str">
        <f>_xll.qlSimpleQuote(Currency&amp;$C12&amp;$D12&amp;$B12&amp;QuoteSuffix,,RateTickValue,Permanent,Trigger,ObjectOverwrite)</f>
        <v>EURAB3E7Y_Quote#0016</v>
      </c>
      <c r="G12" s="34" t="str">
        <f>_xll.ohRangeRetrieveError(F12)</f>
        <v/>
      </c>
      <c r="H12" s="53"/>
    </row>
    <row r="13" spans="1:12" x14ac:dyDescent="0.2">
      <c r="A13" s="126"/>
      <c r="B13" s="196" t="s">
        <v>109</v>
      </c>
      <c r="C13" s="82" t="str">
        <v>AB</v>
      </c>
      <c r="D13" s="82" t="str">
        <v>3E</v>
      </c>
      <c r="E13" s="80" t="str">
        <f t="shared" si="0"/>
        <v>EURAB3E8Y_Quote</v>
      </c>
      <c r="F13" s="80" t="str">
        <f>_xll.qlSimpleQuote(Currency&amp;$C13&amp;$D13&amp;$B13&amp;QuoteSuffix,,RateTickValue,Permanent,Trigger,ObjectOverwrite)</f>
        <v>EURAB3E8Y_Quote#0016</v>
      </c>
      <c r="G13" s="34" t="str">
        <f>_xll.ohRangeRetrieveError(F13)</f>
        <v/>
      </c>
      <c r="H13" s="53"/>
    </row>
    <row r="14" spans="1:12" x14ac:dyDescent="0.2">
      <c r="A14" s="126"/>
      <c r="B14" s="196" t="s">
        <v>108</v>
      </c>
      <c r="C14" s="82" t="str">
        <v>AB</v>
      </c>
      <c r="D14" s="82" t="str">
        <v>3E</v>
      </c>
      <c r="E14" s="80" t="str">
        <f t="shared" si="0"/>
        <v>EURAB3E9Y_Quote</v>
      </c>
      <c r="F14" s="80" t="str">
        <f>_xll.qlSimpleQuote(Currency&amp;$C14&amp;$D14&amp;$B14&amp;QuoteSuffix,,RateTickValue,Permanent,Trigger,ObjectOverwrite)</f>
        <v>EURAB3E9Y_Quote#0016</v>
      </c>
      <c r="G14" s="34" t="str">
        <f>_xll.ohRangeRetrieveError(F14)</f>
        <v/>
      </c>
      <c r="H14" s="53"/>
    </row>
    <row r="15" spans="1:12" x14ac:dyDescent="0.2">
      <c r="A15" s="126"/>
      <c r="B15" s="196" t="s">
        <v>107</v>
      </c>
      <c r="C15" s="82" t="str">
        <v>AB</v>
      </c>
      <c r="D15" s="82" t="str">
        <v>3E</v>
      </c>
      <c r="E15" s="80" t="str">
        <f t="shared" si="0"/>
        <v>EURAB3E10Y_Quote</v>
      </c>
      <c r="F15" s="80" t="str">
        <f>_xll.qlSimpleQuote(Currency&amp;$C15&amp;$D15&amp;$B15&amp;QuoteSuffix,,RateTickValue,Permanent,Trigger,ObjectOverwrite)</f>
        <v>EURAB3E10Y_Quote#0016</v>
      </c>
      <c r="G15" s="34" t="str">
        <f>_xll.ohRangeRetrieveError(F15)</f>
        <v/>
      </c>
      <c r="H15" s="53"/>
    </row>
    <row r="16" spans="1:12" x14ac:dyDescent="0.2">
      <c r="A16" s="126"/>
      <c r="B16" s="196" t="s">
        <v>106</v>
      </c>
      <c r="C16" s="82" t="str">
        <v>AB</v>
      </c>
      <c r="D16" s="82" t="str">
        <v>3E</v>
      </c>
      <c r="E16" s="80" t="str">
        <f t="shared" si="0"/>
        <v>EURAB3E11Y_Quote</v>
      </c>
      <c r="F16" s="80" t="str">
        <f>_xll.qlSimpleQuote(Currency&amp;$C16&amp;$D16&amp;$B16&amp;QuoteSuffix,,RateTickValue,Permanent,Trigger,ObjectOverwrite)</f>
        <v>EURAB3E11Y_Quote#0016</v>
      </c>
      <c r="G16" s="34" t="str">
        <f>_xll.ohRangeRetrieveError(F16)</f>
        <v/>
      </c>
      <c r="H16" s="53"/>
    </row>
    <row r="17" spans="1:8" x14ac:dyDescent="0.2">
      <c r="A17" s="126"/>
      <c r="B17" s="196" t="s">
        <v>105</v>
      </c>
      <c r="C17" s="82" t="str">
        <v>AB</v>
      </c>
      <c r="D17" s="82" t="str">
        <v>3E</v>
      </c>
      <c r="E17" s="80" t="str">
        <f t="shared" si="0"/>
        <v>EURAB3E12Y_Quote</v>
      </c>
      <c r="F17" s="80" t="str">
        <f>_xll.qlSimpleQuote(Currency&amp;$C17&amp;$D17&amp;$B17&amp;QuoteSuffix,,RateTickValue,Permanent,Trigger,ObjectOverwrite)</f>
        <v>EURAB3E12Y_Quote#0016</v>
      </c>
      <c r="G17" s="34" t="str">
        <f>_xll.ohRangeRetrieveError(F17)</f>
        <v/>
      </c>
      <c r="H17" s="53"/>
    </row>
    <row r="18" spans="1:8" x14ac:dyDescent="0.2">
      <c r="A18" s="126"/>
      <c r="B18" s="196" t="s">
        <v>104</v>
      </c>
      <c r="C18" s="82" t="str">
        <v>AB</v>
      </c>
      <c r="D18" s="82" t="str">
        <v>3E</v>
      </c>
      <c r="E18" s="80" t="str">
        <f t="shared" si="0"/>
        <v>EURAB3E13Y_Quote</v>
      </c>
      <c r="F18" s="80" t="str">
        <f>_xll.qlSimpleQuote(Currency&amp;$C18&amp;$D18&amp;$B18&amp;QuoteSuffix,,RateTickValue,Permanent,Trigger,ObjectOverwrite)</f>
        <v>EURAB3E13Y_Quote#0016</v>
      </c>
      <c r="G18" s="34" t="str">
        <f>_xll.ohRangeRetrieveError(F18)</f>
        <v/>
      </c>
      <c r="H18" s="53"/>
    </row>
    <row r="19" spans="1:8" x14ac:dyDescent="0.2">
      <c r="A19" s="126"/>
      <c r="B19" s="196" t="s">
        <v>103</v>
      </c>
      <c r="C19" s="82" t="str">
        <v>AB</v>
      </c>
      <c r="D19" s="82" t="str">
        <v>3E</v>
      </c>
      <c r="E19" s="80" t="str">
        <f t="shared" si="0"/>
        <v>EURAB3E14Y_Quote</v>
      </c>
      <c r="F19" s="80" t="str">
        <f>_xll.qlSimpleQuote(Currency&amp;$C19&amp;$D19&amp;$B19&amp;QuoteSuffix,,RateTickValue,Permanent,Trigger,ObjectOverwrite)</f>
        <v>EURAB3E14Y_Quote#0016</v>
      </c>
      <c r="G19" s="34" t="str">
        <f>_xll.ohRangeRetrieveError(F19)</f>
        <v/>
      </c>
      <c r="H19" s="53"/>
    </row>
    <row r="20" spans="1:8" x14ac:dyDescent="0.2">
      <c r="A20" s="126"/>
      <c r="B20" s="196" t="s">
        <v>102</v>
      </c>
      <c r="C20" s="82" t="str">
        <v>AB</v>
      </c>
      <c r="D20" s="82" t="str">
        <v>3E</v>
      </c>
      <c r="E20" s="80" t="str">
        <f t="shared" si="0"/>
        <v>EURAB3E15Y_Quote</v>
      </c>
      <c r="F20" s="80" t="str">
        <f>_xll.qlSimpleQuote(Currency&amp;$C20&amp;$D20&amp;$B20&amp;QuoteSuffix,,RateTickValue,Permanent,Trigger,ObjectOverwrite)</f>
        <v>EURAB3E15Y_Quote#0016</v>
      </c>
      <c r="G20" s="34" t="str">
        <f>_xll.ohRangeRetrieveError(F20)</f>
        <v/>
      </c>
      <c r="H20" s="53"/>
    </row>
    <row r="21" spans="1:8" x14ac:dyDescent="0.2">
      <c r="A21" s="126"/>
      <c r="B21" s="196" t="s">
        <v>101</v>
      </c>
      <c r="C21" s="82" t="str">
        <v>AB</v>
      </c>
      <c r="D21" s="82" t="str">
        <v>3E</v>
      </c>
      <c r="E21" s="80" t="str">
        <f t="shared" si="0"/>
        <v>EURAB3E16Y_Quote</v>
      </c>
      <c r="F21" s="80" t="str">
        <f>_xll.qlSimpleQuote(Currency&amp;$C21&amp;$D21&amp;$B21&amp;QuoteSuffix,,RateTickValue,Permanent,Trigger,ObjectOverwrite)</f>
        <v>EURAB3E16Y_Quote#0016</v>
      </c>
      <c r="G21" s="34" t="str">
        <f>_xll.ohRangeRetrieveError(F21)</f>
        <v/>
      </c>
      <c r="H21" s="53"/>
    </row>
    <row r="22" spans="1:8" x14ac:dyDescent="0.2">
      <c r="A22" s="126"/>
      <c r="B22" s="196" t="s">
        <v>100</v>
      </c>
      <c r="C22" s="82" t="str">
        <v>AB</v>
      </c>
      <c r="D22" s="82" t="str">
        <v>3E</v>
      </c>
      <c r="E22" s="80" t="str">
        <f t="shared" si="0"/>
        <v>EURAB3E17Y_Quote</v>
      </c>
      <c r="F22" s="80" t="str">
        <f>_xll.qlSimpleQuote(Currency&amp;$C22&amp;$D22&amp;$B22&amp;QuoteSuffix,,RateTickValue,Permanent,Trigger,ObjectOverwrite)</f>
        <v>EURAB3E17Y_Quote#0016</v>
      </c>
      <c r="G22" s="34" t="str">
        <f>_xll.ohRangeRetrieveError(F22)</f>
        <v/>
      </c>
      <c r="H22" s="53"/>
    </row>
    <row r="23" spans="1:8" x14ac:dyDescent="0.2">
      <c r="A23" s="126"/>
      <c r="B23" s="196" t="s">
        <v>99</v>
      </c>
      <c r="C23" s="82" t="str">
        <v>AB</v>
      </c>
      <c r="D23" s="82" t="str">
        <v>3E</v>
      </c>
      <c r="E23" s="80" t="str">
        <f t="shared" si="0"/>
        <v>EURAB3E18Y_Quote</v>
      </c>
      <c r="F23" s="80" t="str">
        <f>_xll.qlSimpleQuote(Currency&amp;$C23&amp;$D23&amp;$B23&amp;QuoteSuffix,,RateTickValue,Permanent,Trigger,ObjectOverwrite)</f>
        <v>EURAB3E18Y_Quote#0016</v>
      </c>
      <c r="G23" s="34" t="str">
        <f>_xll.ohRangeRetrieveError(F23)</f>
        <v/>
      </c>
      <c r="H23" s="53"/>
    </row>
    <row r="24" spans="1:8" x14ac:dyDescent="0.2">
      <c r="A24" s="126"/>
      <c r="B24" s="196" t="s">
        <v>98</v>
      </c>
      <c r="C24" s="82" t="str">
        <v>AB</v>
      </c>
      <c r="D24" s="82" t="str">
        <v>3E</v>
      </c>
      <c r="E24" s="80" t="str">
        <f t="shared" si="0"/>
        <v>EURAB3E19Y_Quote</v>
      </c>
      <c r="F24" s="80" t="str">
        <f>_xll.qlSimpleQuote(Currency&amp;$C24&amp;$D24&amp;$B24&amp;QuoteSuffix,,RateTickValue,Permanent,Trigger,ObjectOverwrite)</f>
        <v>EURAB3E19Y_Quote#0016</v>
      </c>
      <c r="G24" s="34" t="str">
        <f>_xll.ohRangeRetrieveError(F24)</f>
        <v/>
      </c>
      <c r="H24" s="53"/>
    </row>
    <row r="25" spans="1:8" x14ac:dyDescent="0.2">
      <c r="A25" s="126"/>
      <c r="B25" s="196" t="s">
        <v>97</v>
      </c>
      <c r="C25" s="82" t="str">
        <v>AB</v>
      </c>
      <c r="D25" s="82" t="str">
        <v>3E</v>
      </c>
      <c r="E25" s="80" t="str">
        <f t="shared" si="0"/>
        <v>EURAB3E20Y_Quote</v>
      </c>
      <c r="F25" s="80" t="str">
        <f>_xll.qlSimpleQuote(Currency&amp;$C25&amp;$D25&amp;$B25&amp;QuoteSuffix,,RateTickValue,Permanent,Trigger,ObjectOverwrite)</f>
        <v>EURAB3E20Y_Quote#0016</v>
      </c>
      <c r="G25" s="34" t="str">
        <f>_xll.ohRangeRetrieveError(F25)</f>
        <v/>
      </c>
      <c r="H25" s="53"/>
    </row>
    <row r="26" spans="1:8" x14ac:dyDescent="0.2">
      <c r="A26" s="126"/>
      <c r="B26" s="196" t="s">
        <v>96</v>
      </c>
      <c r="C26" s="82" t="str">
        <v>AB</v>
      </c>
      <c r="D26" s="82" t="str">
        <v>3E</v>
      </c>
      <c r="E26" s="80" t="str">
        <f t="shared" si="0"/>
        <v>EURAB3E21Y_Quote</v>
      </c>
      <c r="F26" s="80" t="str">
        <f>_xll.qlSimpleQuote(Currency&amp;$C26&amp;$D26&amp;$B26&amp;QuoteSuffix,,RateTickValue,Permanent,Trigger,ObjectOverwrite)</f>
        <v>EURAB3E21Y_Quote#0016</v>
      </c>
      <c r="G26" s="34" t="str">
        <f>_xll.ohRangeRetrieveError(F26)</f>
        <v/>
      </c>
      <c r="H26" s="53"/>
    </row>
    <row r="27" spans="1:8" x14ac:dyDescent="0.2">
      <c r="A27" s="126"/>
      <c r="B27" s="196" t="s">
        <v>95</v>
      </c>
      <c r="C27" s="82" t="str">
        <v>AB</v>
      </c>
      <c r="D27" s="82" t="str">
        <v>3E</v>
      </c>
      <c r="E27" s="80" t="str">
        <f t="shared" si="0"/>
        <v>EURAB3E22Y_Quote</v>
      </c>
      <c r="F27" s="80" t="str">
        <f>_xll.qlSimpleQuote(Currency&amp;$C27&amp;$D27&amp;$B27&amp;QuoteSuffix,,RateTickValue,Permanent,Trigger,ObjectOverwrite)</f>
        <v>EURAB3E22Y_Quote#0016</v>
      </c>
      <c r="G27" s="34" t="str">
        <f>_xll.ohRangeRetrieveError(F27)</f>
        <v/>
      </c>
      <c r="H27" s="53"/>
    </row>
    <row r="28" spans="1:8" x14ac:dyDescent="0.2">
      <c r="A28" s="126"/>
      <c r="B28" s="196" t="s">
        <v>94</v>
      </c>
      <c r="C28" s="82" t="str">
        <v>AB</v>
      </c>
      <c r="D28" s="82" t="str">
        <v>3E</v>
      </c>
      <c r="E28" s="80" t="str">
        <f t="shared" si="0"/>
        <v>EURAB3E23Y_Quote</v>
      </c>
      <c r="F28" s="80" t="str">
        <f>_xll.qlSimpleQuote(Currency&amp;$C28&amp;$D28&amp;$B28&amp;QuoteSuffix,,RateTickValue,Permanent,Trigger,ObjectOverwrite)</f>
        <v>EURAB3E23Y_Quote#0016</v>
      </c>
      <c r="G28" s="34" t="str">
        <f>_xll.ohRangeRetrieveError(F28)</f>
        <v/>
      </c>
      <c r="H28" s="53"/>
    </row>
    <row r="29" spans="1:8" x14ac:dyDescent="0.2">
      <c r="A29" s="126"/>
      <c r="B29" s="196" t="s">
        <v>93</v>
      </c>
      <c r="C29" s="82" t="str">
        <v>AB</v>
      </c>
      <c r="D29" s="82" t="str">
        <v>3E</v>
      </c>
      <c r="E29" s="80" t="str">
        <f t="shared" si="0"/>
        <v>EURAB3E24Y_Quote</v>
      </c>
      <c r="F29" s="80" t="str">
        <f>_xll.qlSimpleQuote(Currency&amp;$C29&amp;$D29&amp;$B29&amp;QuoteSuffix,,RateTickValue,Permanent,Trigger,ObjectOverwrite)</f>
        <v>EURAB3E24Y_Quote#0016</v>
      </c>
      <c r="G29" s="34" t="str">
        <f>_xll.ohRangeRetrieveError(F29)</f>
        <v/>
      </c>
      <c r="H29" s="53"/>
    </row>
    <row r="30" spans="1:8" x14ac:dyDescent="0.2">
      <c r="A30" s="126"/>
      <c r="B30" s="196" t="s">
        <v>92</v>
      </c>
      <c r="C30" s="82" t="str">
        <v>AB</v>
      </c>
      <c r="D30" s="82" t="str">
        <v>3E</v>
      </c>
      <c r="E30" s="80" t="str">
        <f t="shared" si="0"/>
        <v>EURAB3E25Y_Quote</v>
      </c>
      <c r="F30" s="80" t="str">
        <f>_xll.qlSimpleQuote(Currency&amp;$C30&amp;$D30&amp;$B30&amp;QuoteSuffix,,RateTickValue,Permanent,Trigger,ObjectOverwrite)</f>
        <v>EURAB3E25Y_Quote#0016</v>
      </c>
      <c r="G30" s="34" t="str">
        <f>_xll.ohRangeRetrieveError(F30)</f>
        <v/>
      </c>
      <c r="H30" s="53"/>
    </row>
    <row r="31" spans="1:8" x14ac:dyDescent="0.2">
      <c r="A31" s="126"/>
      <c r="B31" s="196" t="s">
        <v>91</v>
      </c>
      <c r="C31" s="82" t="str">
        <v>AB</v>
      </c>
      <c r="D31" s="82" t="str">
        <v>3E</v>
      </c>
      <c r="E31" s="80" t="str">
        <f t="shared" si="0"/>
        <v>EURAB3E26Y_Quote</v>
      </c>
      <c r="F31" s="80" t="str">
        <f>_xll.qlSimpleQuote(Currency&amp;$C31&amp;$D31&amp;$B31&amp;QuoteSuffix,,RateTickValue,Permanent,Trigger,ObjectOverwrite)</f>
        <v>EURAB3E26Y_Quote#0016</v>
      </c>
      <c r="G31" s="34" t="str">
        <f>_xll.ohRangeRetrieveError(F31)</f>
        <v/>
      </c>
      <c r="H31" s="53"/>
    </row>
    <row r="32" spans="1:8" x14ac:dyDescent="0.2">
      <c r="A32" s="126"/>
      <c r="B32" s="196" t="s">
        <v>90</v>
      </c>
      <c r="C32" s="82" t="str">
        <v>AB</v>
      </c>
      <c r="D32" s="82" t="str">
        <v>3E</v>
      </c>
      <c r="E32" s="80" t="str">
        <f t="shared" si="0"/>
        <v>EURAB3E27Y_Quote</v>
      </c>
      <c r="F32" s="80" t="str">
        <f>_xll.qlSimpleQuote(Currency&amp;$C32&amp;$D32&amp;$B32&amp;QuoteSuffix,,RateTickValue,Permanent,Trigger,ObjectOverwrite)</f>
        <v>EURAB3E27Y_Quote#0016</v>
      </c>
      <c r="G32" s="34" t="str">
        <f>_xll.ohRangeRetrieveError(F32)</f>
        <v/>
      </c>
      <c r="H32" s="53"/>
    </row>
    <row r="33" spans="1:8" x14ac:dyDescent="0.2">
      <c r="A33" s="126"/>
      <c r="B33" s="196" t="s">
        <v>89</v>
      </c>
      <c r="C33" s="82" t="str">
        <v>AB</v>
      </c>
      <c r="D33" s="82" t="str">
        <v>3E</v>
      </c>
      <c r="E33" s="80" t="str">
        <f t="shared" si="0"/>
        <v>EURAB3E28Y_Quote</v>
      </c>
      <c r="F33" s="80" t="str">
        <f>_xll.qlSimpleQuote(Currency&amp;$C33&amp;$D33&amp;$B33&amp;QuoteSuffix,,RateTickValue,Permanent,Trigger,ObjectOverwrite)</f>
        <v>EURAB3E28Y_Quote#0016</v>
      </c>
      <c r="G33" s="34" t="str">
        <f>_xll.ohRangeRetrieveError(F33)</f>
        <v/>
      </c>
      <c r="H33" s="53"/>
    </row>
    <row r="34" spans="1:8" x14ac:dyDescent="0.2">
      <c r="A34" s="126"/>
      <c r="B34" s="196" t="s">
        <v>88</v>
      </c>
      <c r="C34" s="82" t="str">
        <v>AB</v>
      </c>
      <c r="D34" s="82" t="str">
        <v>3E</v>
      </c>
      <c r="E34" s="80" t="str">
        <f t="shared" si="0"/>
        <v>EURAB3E29Y_Quote</v>
      </c>
      <c r="F34" s="80" t="str">
        <f>_xll.qlSimpleQuote(Currency&amp;$C34&amp;$D34&amp;$B34&amp;QuoteSuffix,,RateTickValue,Permanent,Trigger,ObjectOverwrite)</f>
        <v>EURAB3E29Y_Quote#0016</v>
      </c>
      <c r="G34" s="34" t="str">
        <f>_xll.ohRangeRetrieveError(F34)</f>
        <v/>
      </c>
      <c r="H34" s="53"/>
    </row>
    <row r="35" spans="1:8" x14ac:dyDescent="0.2">
      <c r="A35" s="126"/>
      <c r="B35" s="196" t="s">
        <v>87</v>
      </c>
      <c r="C35" s="82" t="str">
        <v>AB</v>
      </c>
      <c r="D35" s="82" t="str">
        <v>3E</v>
      </c>
      <c r="E35" s="80" t="str">
        <f t="shared" si="0"/>
        <v>EURAB3E30Y_Quote</v>
      </c>
      <c r="F35" s="80" t="str">
        <f>_xll.qlSimpleQuote(Currency&amp;$C35&amp;$D35&amp;$B35&amp;QuoteSuffix,,RateTickValue,Permanent,Trigger,ObjectOverwrite)</f>
        <v>EURAB3E30Y_Quote#0016</v>
      </c>
      <c r="G35" s="34" t="str">
        <f>_xll.ohRangeRetrieveError(F35)</f>
        <v/>
      </c>
      <c r="H35" s="53"/>
    </row>
    <row r="36" spans="1:8" x14ac:dyDescent="0.2">
      <c r="A36" s="126"/>
      <c r="B36" s="196" t="s">
        <v>82</v>
      </c>
      <c r="C36" s="82" t="str">
        <v>AB</v>
      </c>
      <c r="D36" s="82" t="str">
        <v>3E</v>
      </c>
      <c r="E36" s="80" t="str">
        <f t="shared" si="0"/>
        <v>EURAB3E35Y_Quote</v>
      </c>
      <c r="F36" s="80" t="str">
        <f>_xll.qlSimpleQuote(Currency&amp;$C36&amp;$D36&amp;$B36&amp;QuoteSuffix,,RateTickValue,Permanent,Trigger,ObjectOverwrite)</f>
        <v>EURAB3E35Y_Quote#0016</v>
      </c>
      <c r="G36" s="34" t="str">
        <f>_xll.ohRangeRetrieveError(F36)</f>
        <v/>
      </c>
      <c r="H36" s="53"/>
    </row>
    <row r="37" spans="1:8" x14ac:dyDescent="0.2">
      <c r="A37" s="126"/>
      <c r="B37" s="196" t="s">
        <v>77</v>
      </c>
      <c r="C37" s="82" t="str">
        <v>AB</v>
      </c>
      <c r="D37" s="82" t="str">
        <v>3E</v>
      </c>
      <c r="E37" s="80" t="str">
        <f t="shared" si="0"/>
        <v>EURAB3E40Y_Quote</v>
      </c>
      <c r="F37" s="80" t="str">
        <f>_xll.qlSimpleQuote(Currency&amp;$C37&amp;$D37&amp;$B37&amp;QuoteSuffix,,RateTickValue,Permanent,Trigger,ObjectOverwrite)</f>
        <v>EURAB3E40Y_Quote#0016</v>
      </c>
      <c r="G37" s="34" t="str">
        <f>_xll.ohRangeRetrieveError(F37)</f>
        <v/>
      </c>
      <c r="H37" s="53"/>
    </row>
    <row r="38" spans="1:8" x14ac:dyDescent="0.2">
      <c r="A38" s="126"/>
      <c r="B38" s="196" t="s">
        <v>67</v>
      </c>
      <c r="C38" s="82" t="str">
        <v>AB</v>
      </c>
      <c r="D38" s="82" t="str">
        <v>3E</v>
      </c>
      <c r="E38" s="80" t="str">
        <f t="shared" si="0"/>
        <v>EURAB3E50Y_Quote</v>
      </c>
      <c r="F38" s="80" t="str">
        <f>_xll.qlSimpleQuote(Currency&amp;$C38&amp;$D38&amp;$B38&amp;QuoteSuffix,,RateTickValue,Permanent,Trigger,ObjectOverwrite)</f>
        <v>EURAB3E50Y_Quote#0016</v>
      </c>
      <c r="G38" s="34" t="str">
        <f>_xll.ohRangeRetrieveError(F38)</f>
        <v/>
      </c>
      <c r="H38" s="53"/>
    </row>
    <row r="39" spans="1:8" x14ac:dyDescent="0.2">
      <c r="A39" s="126"/>
      <c r="B39" s="196" t="s">
        <v>57</v>
      </c>
      <c r="C39" s="82" t="str">
        <v>AB</v>
      </c>
      <c r="D39" s="82" t="str">
        <v>3E</v>
      </c>
      <c r="E39" s="80" t="str">
        <f t="shared" si="0"/>
        <v>EURAB3E60Y_Quote</v>
      </c>
      <c r="F39" s="80" t="str">
        <f>_xll.qlSimpleQuote(Currency&amp;$C39&amp;$D39&amp;$B39&amp;QuoteSuffix,,RateTickValue,Permanent,Trigger,ObjectOverwrite)</f>
        <v>EURAB3E60Y_Quote#0016</v>
      </c>
      <c r="G39" s="34" t="str">
        <f>_xll.ohRangeRetrieveError(F39)</f>
        <v/>
      </c>
      <c r="H39" s="53"/>
    </row>
    <row r="40" spans="1:8" ht="13.5" thickBot="1" x14ac:dyDescent="0.25">
      <c r="A40" s="52"/>
      <c r="B40" s="51"/>
      <c r="C40" s="51"/>
      <c r="D40" s="51"/>
      <c r="E40" s="51"/>
      <c r="F40" s="120"/>
      <c r="G40" s="120"/>
      <c r="H40" s="5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8" width="4.42578125" style="72" customWidth="1"/>
    <col min="9" max="9" width="2.42578125" style="72" customWidth="1"/>
    <col min="10" max="10" width="8.5703125" style="72" bestFit="1" customWidth="1"/>
    <col min="11" max="11" width="3.28515625" style="72" bestFit="1" customWidth="1"/>
    <col min="12" max="12" width="9.5703125" style="72" bestFit="1" customWidth="1"/>
    <col min="13" max="16384" width="9.140625" style="72"/>
  </cols>
  <sheetData>
    <row r="1" spans="1:12" ht="12" thickBot="1" x14ac:dyDescent="0.25">
      <c r="A1" s="220" t="s">
        <v>206</v>
      </c>
      <c r="B1" s="203"/>
      <c r="C1" s="203"/>
      <c r="D1" s="203"/>
      <c r="E1" s="158"/>
      <c r="F1" s="219"/>
      <c r="G1" s="158"/>
      <c r="H1" s="200"/>
    </row>
    <row r="2" spans="1:12" x14ac:dyDescent="0.2">
      <c r="A2" s="126"/>
      <c r="B2" s="97" t="s">
        <v>141</v>
      </c>
      <c r="C2" s="97"/>
      <c r="D2" s="97"/>
      <c r="E2" s="96" t="str">
        <f>Currency&amp;"_010_Sw"&amp;$C$3&amp;$D$3&amp;".xml"</f>
        <v>EUR_010_SwAB6E.xml</v>
      </c>
      <c r="F2" s="95">
        <f ca="1">IF(Serialize,_xll.ohObjectSave(F3:F39,SerializationPath&amp;E2,FileOverwrite,Serialize),"---")</f>
        <v>37</v>
      </c>
      <c r="G2" s="79" t="str">
        <f ca="1">_xll.ohRangeRetrieveError(F2)</f>
        <v/>
      </c>
      <c r="H2" s="53"/>
      <c r="J2" s="212" t="s">
        <v>205</v>
      </c>
      <c r="K2" s="211" t="s">
        <v>203</v>
      </c>
      <c r="L2" s="210" t="s">
        <v>202</v>
      </c>
    </row>
    <row r="3" spans="1:12" x14ac:dyDescent="0.2">
      <c r="A3" s="126"/>
      <c r="B3" s="215" t="s">
        <v>34</v>
      </c>
      <c r="C3" s="82" t="str">
        <f t="array" ref="C3:C39">VLOOKUP(Currency,SwapSecondarySetConventions,2)</f>
        <v>AB</v>
      </c>
      <c r="D3" s="82" t="str">
        <f t="array" ref="D3:D39">VLOOKUP(Currency,SwapSecondarySetConventions,3)</f>
        <v>6E</v>
      </c>
      <c r="E3" s="80" t="str">
        <f t="shared" ref="E3:E39" si="0">Currency&amp;$C3&amp;$D3&amp;$B3&amp;QuoteSuffix</f>
        <v>EURAB6E1Y_Quote</v>
      </c>
      <c r="F3" s="80" t="str">
        <f>_xll.qlSimpleQuote(Currency&amp;$C3&amp;$D3&amp;$B3&amp;QuoteSuffix,,RateTickValue,Permanent,Trigger,ObjectOverwrite)</f>
        <v>EURAB6E1Y_Quote#0016</v>
      </c>
      <c r="G3" s="79" t="str">
        <f>_xll.ohRangeRetrieveError(F3)</f>
        <v/>
      </c>
      <c r="H3" s="53"/>
      <c r="J3" s="209" t="s">
        <v>137</v>
      </c>
      <c r="K3" s="217" t="s">
        <v>201</v>
      </c>
      <c r="L3" s="216" t="s">
        <v>132</v>
      </c>
    </row>
    <row r="4" spans="1:12" x14ac:dyDescent="0.2">
      <c r="A4" s="126"/>
      <c r="B4" s="218" t="s">
        <v>140</v>
      </c>
      <c r="C4" s="82" t="str">
        <v>AB</v>
      </c>
      <c r="D4" s="82" t="str">
        <v>6E</v>
      </c>
      <c r="E4" s="80" t="str">
        <f t="shared" si="0"/>
        <v>EURAB6E15M_Quote</v>
      </c>
      <c r="F4" s="80" t="str">
        <f>_xll.qlSimpleQuote(Currency&amp;$C4&amp;$D4&amp;$B4&amp;QuoteSuffix,,RateTickValue,Permanent,Trigger,ObjectOverwrite)</f>
        <v>EURAB6E15M_Quote#0016</v>
      </c>
      <c r="G4" s="79" t="str">
        <f>_xll.ohRangeRetrieveError(F4)</f>
        <v/>
      </c>
      <c r="H4" s="53"/>
      <c r="J4" s="209" t="s">
        <v>123</v>
      </c>
      <c r="K4" s="89" t="s">
        <v>201</v>
      </c>
      <c r="L4" s="88" t="s">
        <v>135</v>
      </c>
    </row>
    <row r="5" spans="1:12" x14ac:dyDescent="0.2">
      <c r="A5" s="126"/>
      <c r="B5" s="218" t="s">
        <v>139</v>
      </c>
      <c r="C5" s="82" t="str">
        <v>AB</v>
      </c>
      <c r="D5" s="82" t="str">
        <v>6E</v>
      </c>
      <c r="E5" s="80" t="str">
        <f t="shared" si="0"/>
        <v>EURAB6E18M_Quote</v>
      </c>
      <c r="F5" s="80" t="str">
        <f>_xll.qlSimpleQuote(Currency&amp;$C5&amp;$D5&amp;$B5&amp;QuoteSuffix,,RateTickValue,Permanent,Trigger,ObjectOverwrite)</f>
        <v>EURAB6E18M_Quote#0016</v>
      </c>
      <c r="G5" s="79" t="str">
        <f>_xll.ohRangeRetrieveError(F5)</f>
        <v/>
      </c>
      <c r="H5" s="53"/>
      <c r="J5" s="209" t="s">
        <v>134</v>
      </c>
      <c r="K5" s="89" t="s">
        <v>200</v>
      </c>
      <c r="L5" s="88" t="s">
        <v>132</v>
      </c>
    </row>
    <row r="6" spans="1:12" x14ac:dyDescent="0.2">
      <c r="A6" s="126"/>
      <c r="B6" s="218" t="s">
        <v>138</v>
      </c>
      <c r="C6" s="82" t="str">
        <v>AB</v>
      </c>
      <c r="D6" s="82" t="str">
        <v>6E</v>
      </c>
      <c r="E6" s="80" t="str">
        <f t="shared" si="0"/>
        <v>EURAB6E21M_Quote</v>
      </c>
      <c r="F6" s="80" t="str">
        <f>_xll.qlSimpleQuote(Currency&amp;$C6&amp;$D6&amp;$B6&amp;QuoteSuffix,,RateTickValue,Permanent,Trigger,ObjectOverwrite)</f>
        <v>EURAB6E21M_Quote#0016</v>
      </c>
      <c r="G6" s="79" t="str">
        <f>_xll.ohRangeRetrieveError(F6)</f>
        <v/>
      </c>
      <c r="H6" s="53"/>
      <c r="J6" s="209" t="s">
        <v>133</v>
      </c>
      <c r="K6" s="217" t="s">
        <v>200</v>
      </c>
      <c r="L6" s="216" t="s">
        <v>132</v>
      </c>
    </row>
    <row r="7" spans="1:12" ht="12" thickBot="1" x14ac:dyDescent="0.25">
      <c r="A7" s="126"/>
      <c r="B7" s="215" t="s">
        <v>115</v>
      </c>
      <c r="C7" s="82" t="str">
        <v>AB</v>
      </c>
      <c r="D7" s="82" t="str">
        <v>6E</v>
      </c>
      <c r="E7" s="80" t="str">
        <f t="shared" si="0"/>
        <v>EURAB6E2Y_Quote</v>
      </c>
      <c r="F7" s="80" t="str">
        <f>_xll.qlSimpleQuote(Currency&amp;$C7&amp;$D7&amp;$B7&amp;QuoteSuffix,,RateTickValue,Permanent,Trigger,ObjectOverwrite)</f>
        <v>EURAB6E2Y_Quote#0016</v>
      </c>
      <c r="G7" s="79" t="str">
        <f>_xll.ohRangeRetrieveError(F7)</f>
        <v/>
      </c>
      <c r="H7" s="53"/>
      <c r="J7" s="208" t="s">
        <v>131</v>
      </c>
      <c r="K7" s="86" t="s">
        <v>199</v>
      </c>
      <c r="L7" s="85" t="s">
        <v>132</v>
      </c>
    </row>
    <row r="8" spans="1:12" x14ac:dyDescent="0.2">
      <c r="A8" s="126"/>
      <c r="B8" s="215" t="s">
        <v>114</v>
      </c>
      <c r="C8" s="82" t="str">
        <v>AB</v>
      </c>
      <c r="D8" s="82" t="str">
        <v>6E</v>
      </c>
      <c r="E8" s="80" t="str">
        <f t="shared" si="0"/>
        <v>EURAB6E3Y_Quote</v>
      </c>
      <c r="F8" s="80" t="str">
        <f>_xll.qlSimpleQuote(Currency&amp;$C8&amp;$D8&amp;$B8&amp;QuoteSuffix,,RateTickValue,Permanent,Trigger,ObjectOverwrite)</f>
        <v>EURAB6E3Y_Quote#0016</v>
      </c>
      <c r="G8" s="79" t="str">
        <f>_xll.ohRangeRetrieveError(F8)</f>
        <v/>
      </c>
      <c r="H8" s="53"/>
    </row>
    <row r="9" spans="1:12" x14ac:dyDescent="0.2">
      <c r="A9" s="126"/>
      <c r="B9" s="215" t="s">
        <v>113</v>
      </c>
      <c r="C9" s="82" t="str">
        <v>AB</v>
      </c>
      <c r="D9" s="82" t="str">
        <v>6E</v>
      </c>
      <c r="E9" s="80" t="str">
        <f t="shared" si="0"/>
        <v>EURAB6E4Y_Quote</v>
      </c>
      <c r="F9" s="80" t="str">
        <f>_xll.qlSimpleQuote(Currency&amp;$C9&amp;$D9&amp;$B9&amp;QuoteSuffix,,RateTickValue,Permanent,Trigger,ObjectOverwrite)</f>
        <v>EURAB6E4Y_Quote#0016</v>
      </c>
      <c r="G9" s="79" t="str">
        <f>_xll.ohRangeRetrieveError(F9)</f>
        <v/>
      </c>
      <c r="H9" s="53"/>
    </row>
    <row r="10" spans="1:12" x14ac:dyDescent="0.2">
      <c r="A10" s="126"/>
      <c r="B10" s="215" t="s">
        <v>112</v>
      </c>
      <c r="C10" s="82" t="str">
        <v>AB</v>
      </c>
      <c r="D10" s="82" t="str">
        <v>6E</v>
      </c>
      <c r="E10" s="80" t="str">
        <f t="shared" si="0"/>
        <v>EURAB6E5Y_Quote</v>
      </c>
      <c r="F10" s="80" t="str">
        <f>_xll.qlSimpleQuote(Currency&amp;$C10&amp;$D10&amp;$B10&amp;QuoteSuffix,,RateTickValue,Permanent,Trigger,ObjectOverwrite)</f>
        <v>EURAB6E5Y_Quote#0016</v>
      </c>
      <c r="G10" s="79" t="str">
        <f>_xll.ohRangeRetrieveError(F10)</f>
        <v/>
      </c>
      <c r="H10" s="53"/>
    </row>
    <row r="11" spans="1:12" x14ac:dyDescent="0.2">
      <c r="A11" s="126"/>
      <c r="B11" s="215" t="s">
        <v>111</v>
      </c>
      <c r="C11" s="82" t="str">
        <v>AB</v>
      </c>
      <c r="D11" s="82" t="str">
        <v>6E</v>
      </c>
      <c r="E11" s="80" t="str">
        <f t="shared" si="0"/>
        <v>EURAB6E6Y_Quote</v>
      </c>
      <c r="F11" s="80" t="str">
        <f>_xll.qlSimpleQuote(Currency&amp;$C11&amp;$D11&amp;$B11&amp;QuoteSuffix,,RateTickValue,Permanent,Trigger,ObjectOverwrite)</f>
        <v>EURAB6E6Y_Quote#0016</v>
      </c>
      <c r="G11" s="79" t="str">
        <f>_xll.ohRangeRetrieveError(F11)</f>
        <v/>
      </c>
      <c r="H11" s="53"/>
    </row>
    <row r="12" spans="1:12" x14ac:dyDescent="0.2">
      <c r="A12" s="126"/>
      <c r="B12" s="215" t="s">
        <v>110</v>
      </c>
      <c r="C12" s="82" t="str">
        <v>AB</v>
      </c>
      <c r="D12" s="82" t="str">
        <v>6E</v>
      </c>
      <c r="E12" s="80" t="str">
        <f t="shared" si="0"/>
        <v>EURAB6E7Y_Quote</v>
      </c>
      <c r="F12" s="80" t="str">
        <f>_xll.qlSimpleQuote(Currency&amp;$C12&amp;$D12&amp;$B12&amp;QuoteSuffix,,RateTickValue,Permanent,Trigger,ObjectOverwrite)</f>
        <v>EURAB6E7Y_Quote#0016</v>
      </c>
      <c r="G12" s="79" t="str">
        <f>_xll.ohRangeRetrieveError(F12)</f>
        <v/>
      </c>
      <c r="H12" s="53"/>
    </row>
    <row r="13" spans="1:12" x14ac:dyDescent="0.2">
      <c r="A13" s="126"/>
      <c r="B13" s="215" t="s">
        <v>109</v>
      </c>
      <c r="C13" s="82" t="str">
        <v>AB</v>
      </c>
      <c r="D13" s="82" t="str">
        <v>6E</v>
      </c>
      <c r="E13" s="80" t="str">
        <f t="shared" si="0"/>
        <v>EURAB6E8Y_Quote</v>
      </c>
      <c r="F13" s="80" t="str">
        <f>_xll.qlSimpleQuote(Currency&amp;$C13&amp;$D13&amp;$B13&amp;QuoteSuffix,,RateTickValue,Permanent,Trigger,ObjectOverwrite)</f>
        <v>EURAB6E8Y_Quote#0016</v>
      </c>
      <c r="G13" s="79" t="str">
        <f>_xll.ohRangeRetrieveError(F13)</f>
        <v/>
      </c>
      <c r="H13" s="53"/>
    </row>
    <row r="14" spans="1:12" x14ac:dyDescent="0.2">
      <c r="A14" s="126"/>
      <c r="B14" s="215" t="s">
        <v>108</v>
      </c>
      <c r="C14" s="82" t="str">
        <v>AB</v>
      </c>
      <c r="D14" s="82" t="str">
        <v>6E</v>
      </c>
      <c r="E14" s="80" t="str">
        <f t="shared" si="0"/>
        <v>EURAB6E9Y_Quote</v>
      </c>
      <c r="F14" s="80" t="str">
        <f>_xll.qlSimpleQuote(Currency&amp;$C14&amp;$D14&amp;$B14&amp;QuoteSuffix,,RateTickValue,Permanent,Trigger,ObjectOverwrite)</f>
        <v>EURAB6E9Y_Quote#0016</v>
      </c>
      <c r="G14" s="79" t="str">
        <f>_xll.ohRangeRetrieveError(F14)</f>
        <v/>
      </c>
      <c r="H14" s="53"/>
    </row>
    <row r="15" spans="1:12" x14ac:dyDescent="0.2">
      <c r="A15" s="126"/>
      <c r="B15" s="215" t="s">
        <v>107</v>
      </c>
      <c r="C15" s="82" t="str">
        <v>AB</v>
      </c>
      <c r="D15" s="82" t="str">
        <v>6E</v>
      </c>
      <c r="E15" s="80" t="str">
        <f t="shared" si="0"/>
        <v>EURAB6E10Y_Quote</v>
      </c>
      <c r="F15" s="80" t="str">
        <f>_xll.qlSimpleQuote(Currency&amp;$C15&amp;$D15&amp;$B15&amp;QuoteSuffix,,RateTickValue,Permanent,Trigger,ObjectOverwrite)</f>
        <v>EURAB6E10Y_Quote#0016</v>
      </c>
      <c r="G15" s="79" t="str">
        <f>_xll.ohRangeRetrieveError(F15)</f>
        <v/>
      </c>
      <c r="H15" s="53"/>
    </row>
    <row r="16" spans="1:12" x14ac:dyDescent="0.2">
      <c r="A16" s="126"/>
      <c r="B16" s="215" t="s">
        <v>106</v>
      </c>
      <c r="C16" s="82" t="str">
        <v>AB</v>
      </c>
      <c r="D16" s="82" t="str">
        <v>6E</v>
      </c>
      <c r="E16" s="80" t="str">
        <f t="shared" si="0"/>
        <v>EURAB6E11Y_Quote</v>
      </c>
      <c r="F16" s="80" t="str">
        <f>_xll.qlSimpleQuote(Currency&amp;$C16&amp;$D16&amp;$B16&amp;QuoteSuffix,,RateTickValue,Permanent,Trigger,ObjectOverwrite)</f>
        <v>EURAB6E11Y_Quote#0016</v>
      </c>
      <c r="G16" s="79" t="str">
        <f>_xll.ohRangeRetrieveError(F16)</f>
        <v/>
      </c>
      <c r="H16" s="53"/>
    </row>
    <row r="17" spans="1:8" x14ac:dyDescent="0.2">
      <c r="A17" s="126"/>
      <c r="B17" s="215" t="s">
        <v>105</v>
      </c>
      <c r="C17" s="82" t="str">
        <v>AB</v>
      </c>
      <c r="D17" s="82" t="str">
        <v>6E</v>
      </c>
      <c r="E17" s="80" t="str">
        <f t="shared" si="0"/>
        <v>EURAB6E12Y_Quote</v>
      </c>
      <c r="F17" s="80" t="str">
        <f>_xll.qlSimpleQuote(Currency&amp;$C17&amp;$D17&amp;$B17&amp;QuoteSuffix,,RateTickValue,Permanent,Trigger,ObjectOverwrite)</f>
        <v>EURAB6E12Y_Quote#0016</v>
      </c>
      <c r="G17" s="79" t="str">
        <f>_xll.ohRangeRetrieveError(F17)</f>
        <v/>
      </c>
      <c r="H17" s="53"/>
    </row>
    <row r="18" spans="1:8" x14ac:dyDescent="0.2">
      <c r="A18" s="126"/>
      <c r="B18" s="215" t="s">
        <v>104</v>
      </c>
      <c r="C18" s="82" t="str">
        <v>AB</v>
      </c>
      <c r="D18" s="82" t="str">
        <v>6E</v>
      </c>
      <c r="E18" s="80" t="str">
        <f t="shared" si="0"/>
        <v>EURAB6E13Y_Quote</v>
      </c>
      <c r="F18" s="80" t="str">
        <f>_xll.qlSimpleQuote(Currency&amp;$C18&amp;$D18&amp;$B18&amp;QuoteSuffix,,RateTickValue,Permanent,Trigger,ObjectOverwrite)</f>
        <v>EURAB6E13Y_Quote#0016</v>
      </c>
      <c r="G18" s="79" t="str">
        <f>_xll.ohRangeRetrieveError(F18)</f>
        <v/>
      </c>
      <c r="H18" s="53"/>
    </row>
    <row r="19" spans="1:8" x14ac:dyDescent="0.2">
      <c r="A19" s="126"/>
      <c r="B19" s="215" t="s">
        <v>103</v>
      </c>
      <c r="C19" s="82" t="str">
        <v>AB</v>
      </c>
      <c r="D19" s="82" t="str">
        <v>6E</v>
      </c>
      <c r="E19" s="80" t="str">
        <f t="shared" si="0"/>
        <v>EURAB6E14Y_Quote</v>
      </c>
      <c r="F19" s="80" t="str">
        <f>_xll.qlSimpleQuote(Currency&amp;$C19&amp;$D19&amp;$B19&amp;QuoteSuffix,,RateTickValue,Permanent,Trigger,ObjectOverwrite)</f>
        <v>EURAB6E14Y_Quote#0016</v>
      </c>
      <c r="G19" s="79" t="str">
        <f>_xll.ohRangeRetrieveError(F19)</f>
        <v/>
      </c>
      <c r="H19" s="53"/>
    </row>
    <row r="20" spans="1:8" x14ac:dyDescent="0.2">
      <c r="A20" s="126"/>
      <c r="B20" s="215" t="s">
        <v>102</v>
      </c>
      <c r="C20" s="82" t="str">
        <v>AB</v>
      </c>
      <c r="D20" s="82" t="str">
        <v>6E</v>
      </c>
      <c r="E20" s="80" t="str">
        <f t="shared" si="0"/>
        <v>EURAB6E15Y_Quote</v>
      </c>
      <c r="F20" s="80" t="str">
        <f>_xll.qlSimpleQuote(Currency&amp;$C20&amp;$D20&amp;$B20&amp;QuoteSuffix,,RateTickValue,Permanent,Trigger,ObjectOverwrite)</f>
        <v>EURAB6E15Y_Quote#0016</v>
      </c>
      <c r="G20" s="79" t="str">
        <f>_xll.ohRangeRetrieveError(F20)</f>
        <v/>
      </c>
      <c r="H20" s="53"/>
    </row>
    <row r="21" spans="1:8" x14ac:dyDescent="0.2">
      <c r="A21" s="126"/>
      <c r="B21" s="215" t="s">
        <v>101</v>
      </c>
      <c r="C21" s="82" t="str">
        <v>AB</v>
      </c>
      <c r="D21" s="82" t="str">
        <v>6E</v>
      </c>
      <c r="E21" s="80" t="str">
        <f t="shared" si="0"/>
        <v>EURAB6E16Y_Quote</v>
      </c>
      <c r="F21" s="80" t="str">
        <f>_xll.qlSimpleQuote(Currency&amp;$C21&amp;$D21&amp;$B21&amp;QuoteSuffix,,RateTickValue,Permanent,Trigger,ObjectOverwrite)</f>
        <v>EURAB6E16Y_Quote#0016</v>
      </c>
      <c r="G21" s="79" t="str">
        <f>_xll.ohRangeRetrieveError(F21)</f>
        <v/>
      </c>
      <c r="H21" s="53"/>
    </row>
    <row r="22" spans="1:8" x14ac:dyDescent="0.2">
      <c r="A22" s="126"/>
      <c r="B22" s="215" t="s">
        <v>100</v>
      </c>
      <c r="C22" s="82" t="str">
        <v>AB</v>
      </c>
      <c r="D22" s="82" t="str">
        <v>6E</v>
      </c>
      <c r="E22" s="80" t="str">
        <f t="shared" si="0"/>
        <v>EURAB6E17Y_Quote</v>
      </c>
      <c r="F22" s="80" t="str">
        <f>_xll.qlSimpleQuote(Currency&amp;$C22&amp;$D22&amp;$B22&amp;QuoteSuffix,,RateTickValue,Permanent,Trigger,ObjectOverwrite)</f>
        <v>EURAB6E17Y_Quote#0016</v>
      </c>
      <c r="G22" s="79" t="str">
        <f>_xll.ohRangeRetrieveError(F22)</f>
        <v/>
      </c>
      <c r="H22" s="53"/>
    </row>
    <row r="23" spans="1:8" x14ac:dyDescent="0.2">
      <c r="A23" s="126"/>
      <c r="B23" s="215" t="s">
        <v>99</v>
      </c>
      <c r="C23" s="82" t="str">
        <v>AB</v>
      </c>
      <c r="D23" s="82" t="str">
        <v>6E</v>
      </c>
      <c r="E23" s="80" t="str">
        <f t="shared" si="0"/>
        <v>EURAB6E18Y_Quote</v>
      </c>
      <c r="F23" s="80" t="str">
        <f>_xll.qlSimpleQuote(Currency&amp;$C23&amp;$D23&amp;$B23&amp;QuoteSuffix,,RateTickValue,Permanent,Trigger,ObjectOverwrite)</f>
        <v>EURAB6E18Y_Quote#0016</v>
      </c>
      <c r="G23" s="79" t="str">
        <f>_xll.ohRangeRetrieveError(F23)</f>
        <v/>
      </c>
      <c r="H23" s="53"/>
    </row>
    <row r="24" spans="1:8" x14ac:dyDescent="0.2">
      <c r="A24" s="126"/>
      <c r="B24" s="215" t="s">
        <v>98</v>
      </c>
      <c r="C24" s="82" t="str">
        <v>AB</v>
      </c>
      <c r="D24" s="82" t="str">
        <v>6E</v>
      </c>
      <c r="E24" s="80" t="str">
        <f t="shared" si="0"/>
        <v>EURAB6E19Y_Quote</v>
      </c>
      <c r="F24" s="80" t="str">
        <f>_xll.qlSimpleQuote(Currency&amp;$C24&amp;$D24&amp;$B24&amp;QuoteSuffix,,RateTickValue,Permanent,Trigger,ObjectOverwrite)</f>
        <v>EURAB6E19Y_Quote#0016</v>
      </c>
      <c r="G24" s="79" t="str">
        <f>_xll.ohRangeRetrieveError(F24)</f>
        <v/>
      </c>
      <c r="H24" s="53"/>
    </row>
    <row r="25" spans="1:8" x14ac:dyDescent="0.2">
      <c r="A25" s="126"/>
      <c r="B25" s="215" t="s">
        <v>97</v>
      </c>
      <c r="C25" s="82" t="str">
        <v>AB</v>
      </c>
      <c r="D25" s="82" t="str">
        <v>6E</v>
      </c>
      <c r="E25" s="80" t="str">
        <f t="shared" si="0"/>
        <v>EURAB6E20Y_Quote</v>
      </c>
      <c r="F25" s="80" t="str">
        <f>_xll.qlSimpleQuote(Currency&amp;$C25&amp;$D25&amp;$B25&amp;QuoteSuffix,,RateTickValue,Permanent,Trigger,ObjectOverwrite)</f>
        <v>EURAB6E20Y_Quote#0016</v>
      </c>
      <c r="G25" s="79" t="str">
        <f>_xll.ohRangeRetrieveError(F25)</f>
        <v/>
      </c>
      <c r="H25" s="53"/>
    </row>
    <row r="26" spans="1:8" x14ac:dyDescent="0.2">
      <c r="A26" s="126"/>
      <c r="B26" s="215" t="s">
        <v>96</v>
      </c>
      <c r="C26" s="82" t="str">
        <v>AB</v>
      </c>
      <c r="D26" s="82" t="str">
        <v>6E</v>
      </c>
      <c r="E26" s="80" t="str">
        <f t="shared" si="0"/>
        <v>EURAB6E21Y_Quote</v>
      </c>
      <c r="F26" s="80" t="str">
        <f>_xll.qlSimpleQuote(Currency&amp;$C26&amp;$D26&amp;$B26&amp;QuoteSuffix,,RateTickValue,Permanent,Trigger,ObjectOverwrite)</f>
        <v>EURAB6E21Y_Quote#0016</v>
      </c>
      <c r="G26" s="79" t="str">
        <f>_xll.ohRangeRetrieveError(F26)</f>
        <v/>
      </c>
      <c r="H26" s="53"/>
    </row>
    <row r="27" spans="1:8" x14ac:dyDescent="0.2">
      <c r="A27" s="126"/>
      <c r="B27" s="215" t="s">
        <v>95</v>
      </c>
      <c r="C27" s="82" t="str">
        <v>AB</v>
      </c>
      <c r="D27" s="82" t="str">
        <v>6E</v>
      </c>
      <c r="E27" s="80" t="str">
        <f t="shared" si="0"/>
        <v>EURAB6E22Y_Quote</v>
      </c>
      <c r="F27" s="80" t="str">
        <f>_xll.qlSimpleQuote(Currency&amp;$C27&amp;$D27&amp;$B27&amp;QuoteSuffix,,RateTickValue,Permanent,Trigger,ObjectOverwrite)</f>
        <v>EURAB6E22Y_Quote#0016</v>
      </c>
      <c r="G27" s="79" t="str">
        <f>_xll.ohRangeRetrieveError(F27)</f>
        <v/>
      </c>
      <c r="H27" s="53"/>
    </row>
    <row r="28" spans="1:8" x14ac:dyDescent="0.2">
      <c r="A28" s="126"/>
      <c r="B28" s="215" t="s">
        <v>94</v>
      </c>
      <c r="C28" s="82" t="str">
        <v>AB</v>
      </c>
      <c r="D28" s="82" t="str">
        <v>6E</v>
      </c>
      <c r="E28" s="80" t="str">
        <f t="shared" si="0"/>
        <v>EURAB6E23Y_Quote</v>
      </c>
      <c r="F28" s="80" t="str">
        <f>_xll.qlSimpleQuote(Currency&amp;$C28&amp;$D28&amp;$B28&amp;QuoteSuffix,,RateTickValue,Permanent,Trigger,ObjectOverwrite)</f>
        <v>EURAB6E23Y_Quote#0016</v>
      </c>
      <c r="G28" s="79" t="str">
        <f>_xll.ohRangeRetrieveError(F28)</f>
        <v/>
      </c>
      <c r="H28" s="53"/>
    </row>
    <row r="29" spans="1:8" x14ac:dyDescent="0.2">
      <c r="A29" s="126"/>
      <c r="B29" s="215" t="s">
        <v>93</v>
      </c>
      <c r="C29" s="82" t="str">
        <v>AB</v>
      </c>
      <c r="D29" s="82" t="str">
        <v>6E</v>
      </c>
      <c r="E29" s="80" t="str">
        <f t="shared" si="0"/>
        <v>EURAB6E24Y_Quote</v>
      </c>
      <c r="F29" s="80" t="str">
        <f>_xll.qlSimpleQuote(Currency&amp;$C29&amp;$D29&amp;$B29&amp;QuoteSuffix,,RateTickValue,Permanent,Trigger,ObjectOverwrite)</f>
        <v>EURAB6E24Y_Quote#0016</v>
      </c>
      <c r="G29" s="79" t="str">
        <f>_xll.ohRangeRetrieveError(F29)</f>
        <v/>
      </c>
      <c r="H29" s="53"/>
    </row>
    <row r="30" spans="1:8" x14ac:dyDescent="0.2">
      <c r="A30" s="126"/>
      <c r="B30" s="215" t="s">
        <v>92</v>
      </c>
      <c r="C30" s="82" t="str">
        <v>AB</v>
      </c>
      <c r="D30" s="82" t="str">
        <v>6E</v>
      </c>
      <c r="E30" s="80" t="str">
        <f t="shared" si="0"/>
        <v>EURAB6E25Y_Quote</v>
      </c>
      <c r="F30" s="80" t="str">
        <f>_xll.qlSimpleQuote(Currency&amp;$C30&amp;$D30&amp;$B30&amp;QuoteSuffix,,RateTickValue,Permanent,Trigger,ObjectOverwrite)</f>
        <v>EURAB6E25Y_Quote#0016</v>
      </c>
      <c r="G30" s="79" t="str">
        <f>_xll.ohRangeRetrieveError(F30)</f>
        <v/>
      </c>
      <c r="H30" s="53"/>
    </row>
    <row r="31" spans="1:8" x14ac:dyDescent="0.2">
      <c r="A31" s="126"/>
      <c r="B31" s="215" t="s">
        <v>91</v>
      </c>
      <c r="C31" s="82" t="str">
        <v>AB</v>
      </c>
      <c r="D31" s="82" t="str">
        <v>6E</v>
      </c>
      <c r="E31" s="80" t="str">
        <f t="shared" si="0"/>
        <v>EURAB6E26Y_Quote</v>
      </c>
      <c r="F31" s="80" t="str">
        <f>_xll.qlSimpleQuote(Currency&amp;$C31&amp;$D31&amp;$B31&amp;QuoteSuffix,,RateTickValue,Permanent,Trigger,ObjectOverwrite)</f>
        <v>EURAB6E26Y_Quote#0016</v>
      </c>
      <c r="G31" s="79" t="str">
        <f>_xll.ohRangeRetrieveError(F31)</f>
        <v/>
      </c>
      <c r="H31" s="53"/>
    </row>
    <row r="32" spans="1:8" x14ac:dyDescent="0.2">
      <c r="A32" s="126"/>
      <c r="B32" s="215" t="s">
        <v>90</v>
      </c>
      <c r="C32" s="82" t="str">
        <v>AB</v>
      </c>
      <c r="D32" s="82" t="str">
        <v>6E</v>
      </c>
      <c r="E32" s="80" t="str">
        <f t="shared" si="0"/>
        <v>EURAB6E27Y_Quote</v>
      </c>
      <c r="F32" s="80" t="str">
        <f>_xll.qlSimpleQuote(Currency&amp;$C32&amp;$D32&amp;$B32&amp;QuoteSuffix,,RateTickValue,Permanent,Trigger,ObjectOverwrite)</f>
        <v>EURAB6E27Y_Quote#0016</v>
      </c>
      <c r="G32" s="79" t="str">
        <f>_xll.ohRangeRetrieveError(F32)</f>
        <v/>
      </c>
      <c r="H32" s="53"/>
    </row>
    <row r="33" spans="1:8" x14ac:dyDescent="0.2">
      <c r="A33" s="126"/>
      <c r="B33" s="215" t="s">
        <v>89</v>
      </c>
      <c r="C33" s="82" t="str">
        <v>AB</v>
      </c>
      <c r="D33" s="82" t="str">
        <v>6E</v>
      </c>
      <c r="E33" s="80" t="str">
        <f t="shared" si="0"/>
        <v>EURAB6E28Y_Quote</v>
      </c>
      <c r="F33" s="80" t="str">
        <f>_xll.qlSimpleQuote(Currency&amp;$C33&amp;$D33&amp;$B33&amp;QuoteSuffix,,RateTickValue,Permanent,Trigger,ObjectOverwrite)</f>
        <v>EURAB6E28Y_Quote#0016</v>
      </c>
      <c r="G33" s="79" t="str">
        <f>_xll.ohRangeRetrieveError(F33)</f>
        <v/>
      </c>
      <c r="H33" s="53"/>
    </row>
    <row r="34" spans="1:8" x14ac:dyDescent="0.2">
      <c r="A34" s="126"/>
      <c r="B34" s="215" t="s">
        <v>88</v>
      </c>
      <c r="C34" s="82" t="str">
        <v>AB</v>
      </c>
      <c r="D34" s="82" t="str">
        <v>6E</v>
      </c>
      <c r="E34" s="80" t="str">
        <f t="shared" si="0"/>
        <v>EURAB6E29Y_Quote</v>
      </c>
      <c r="F34" s="80" t="str">
        <f>_xll.qlSimpleQuote(Currency&amp;$C34&amp;$D34&amp;$B34&amp;QuoteSuffix,,RateTickValue,Permanent,Trigger,ObjectOverwrite)</f>
        <v>EURAB6E29Y_Quote#0016</v>
      </c>
      <c r="G34" s="79" t="str">
        <f>_xll.ohRangeRetrieveError(F34)</f>
        <v/>
      </c>
      <c r="H34" s="53"/>
    </row>
    <row r="35" spans="1:8" x14ac:dyDescent="0.2">
      <c r="A35" s="126"/>
      <c r="B35" s="215" t="s">
        <v>87</v>
      </c>
      <c r="C35" s="82" t="str">
        <v>AB</v>
      </c>
      <c r="D35" s="82" t="str">
        <v>6E</v>
      </c>
      <c r="E35" s="80" t="str">
        <f t="shared" si="0"/>
        <v>EURAB6E30Y_Quote</v>
      </c>
      <c r="F35" s="80" t="str">
        <f>_xll.qlSimpleQuote(Currency&amp;$C35&amp;$D35&amp;$B35&amp;QuoteSuffix,,RateTickValue,Permanent,Trigger,ObjectOverwrite)</f>
        <v>EURAB6E30Y_Quote#0016</v>
      </c>
      <c r="G35" s="79" t="str">
        <f>_xll.ohRangeRetrieveError(F35)</f>
        <v/>
      </c>
      <c r="H35" s="53"/>
    </row>
    <row r="36" spans="1:8" x14ac:dyDescent="0.2">
      <c r="A36" s="126"/>
      <c r="B36" s="215" t="s">
        <v>82</v>
      </c>
      <c r="C36" s="82" t="str">
        <v>AB</v>
      </c>
      <c r="D36" s="82" t="str">
        <v>6E</v>
      </c>
      <c r="E36" s="80" t="str">
        <f t="shared" si="0"/>
        <v>EURAB6E35Y_Quote</v>
      </c>
      <c r="F36" s="80" t="str">
        <f>_xll.qlSimpleQuote(Currency&amp;$C36&amp;$D36&amp;$B36&amp;QuoteSuffix,,RateTickValue,Permanent,Trigger,ObjectOverwrite)</f>
        <v>EURAB6E35Y_Quote#0016</v>
      </c>
      <c r="G36" s="79" t="str">
        <f>_xll.ohRangeRetrieveError(F36)</f>
        <v/>
      </c>
      <c r="H36" s="53"/>
    </row>
    <row r="37" spans="1:8" x14ac:dyDescent="0.2">
      <c r="A37" s="126"/>
      <c r="B37" s="215" t="s">
        <v>77</v>
      </c>
      <c r="C37" s="82" t="str">
        <v>AB</v>
      </c>
      <c r="D37" s="82" t="str">
        <v>6E</v>
      </c>
      <c r="E37" s="80" t="str">
        <f t="shared" si="0"/>
        <v>EURAB6E40Y_Quote</v>
      </c>
      <c r="F37" s="80" t="str">
        <f>_xll.qlSimpleQuote(Currency&amp;$C37&amp;$D37&amp;$B37&amp;QuoteSuffix,,RateTickValue,Permanent,Trigger,ObjectOverwrite)</f>
        <v>EURAB6E40Y_Quote#0016</v>
      </c>
      <c r="G37" s="79" t="str">
        <f>_xll.ohRangeRetrieveError(F37)</f>
        <v/>
      </c>
      <c r="H37" s="53"/>
    </row>
    <row r="38" spans="1:8" x14ac:dyDescent="0.2">
      <c r="A38" s="126"/>
      <c r="B38" s="215" t="s">
        <v>67</v>
      </c>
      <c r="C38" s="82" t="str">
        <v>AB</v>
      </c>
      <c r="D38" s="82" t="str">
        <v>6E</v>
      </c>
      <c r="E38" s="80" t="str">
        <f t="shared" si="0"/>
        <v>EURAB6E50Y_Quote</v>
      </c>
      <c r="F38" s="80" t="str">
        <f>_xll.qlSimpleQuote(Currency&amp;$C38&amp;$D38&amp;$B38&amp;QuoteSuffix,,RateTickValue,Permanent,Trigger,ObjectOverwrite)</f>
        <v>EURAB6E50Y_Quote#0016</v>
      </c>
      <c r="G38" s="79" t="str">
        <f>_xll.ohRangeRetrieveError(F38)</f>
        <v/>
      </c>
      <c r="H38" s="53"/>
    </row>
    <row r="39" spans="1:8" x14ac:dyDescent="0.2">
      <c r="A39" s="126"/>
      <c r="B39" s="215" t="s">
        <v>57</v>
      </c>
      <c r="C39" s="82" t="str">
        <v>AB</v>
      </c>
      <c r="D39" s="82" t="str">
        <v>6E</v>
      </c>
      <c r="E39" s="80" t="str">
        <f t="shared" si="0"/>
        <v>EURAB6E60Y_Quote</v>
      </c>
      <c r="F39" s="80" t="str">
        <f>_xll.qlSimpleQuote(Currency&amp;$C39&amp;$D39&amp;$B39&amp;QuoteSuffix,,RateTickValue,Permanent,Trigger,ObjectOverwrite)</f>
        <v>EURAB6E60Y_Quote#0016</v>
      </c>
      <c r="G39" s="79" t="str">
        <f>_xll.ohRangeRetrieveError(F39)</f>
        <v/>
      </c>
      <c r="H39" s="53"/>
    </row>
    <row r="40" spans="1:8" ht="12" thickBot="1" x14ac:dyDescent="0.25">
      <c r="A40" s="214"/>
      <c r="B40" s="213"/>
      <c r="C40" s="213"/>
      <c r="D40" s="213"/>
      <c r="E40" s="213"/>
      <c r="F40" s="213"/>
      <c r="G40" s="213"/>
      <c r="H40" s="5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EURTOY_SYNTHON_Quote#0015</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EURTOY2_SYNTHON_Quote#0015</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EUROND_SYNTH1M_Quote#0015</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EURTND_SYNTH1M_Quote#0015</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EURSND_SYNTH1M_Quote#0015</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EURSWD_SYNTH1M_Quote#0015</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EUR2WD_SYNTH1M_Quote#0015</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EUR3WD_SYNTH1M_Quote#0015</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EUR1MD_SYNTH1M_Quote#0015</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EURTOY_SYNTH1M_Quote#0015</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EURTOY2_SYNTH1M_Quote#0015</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EUROND_SYNTH3M_Quote#0015</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EURTND_SYNTH3M_Quote#0015</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EURSND_SYNTH3M_Quote#0015</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EURSWD_SYNTH3M_Quote#0015</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EUR2WD_SYNTH3M_Quote#0015</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EUR3WD_SYNTH3M_Quote#0015</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EUR1MD_SYNTH3M_Quote#0015</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EUR2MD_SYNTH3M_Quote#0015</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EUR3MD_SYNTH3M_Quote#0015</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EURTOY_SYNTH3M_Quote#0015</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EURTOY2_SYNTH3M_Quote#0015</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EUROND_SYNTH6M_Quote#0015</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EURTND_SYNTH6M_Quote#0015</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EURSND_SYNTH6M_Quote#0015</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EURSWD_SYNTH6M_Quote#0015</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EUR2WD_SYNTH6M_Quote#0015</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EUR3WD_SYNTH6M_Quote#0015</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EUR1MD_SYNTH6M_Quote#0015</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EUR2MD_SYNTH6M_Quote#0015</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EUR3MD_SYNTH6M_Quote#0015</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EUR4MD_SYNTH6M_Quote#0015</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EUR5MD_SYNTH6M_Quote#0015</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EUR6MD_SYNTH6M_Quote#0015</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EURTOY_SYNTH6M_Quote#0015</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EURTOY2_SYNTH6M_Quote#0015</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EUROND_SYNTH1Y_Quote#0015</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EURTND_SYNTH1Y_Quote#0015</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EURSND_SYNTH1Y_Quote#0015</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EURSWD_SYNTH1Y_Quote#0015</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EUR2WD_SYNTH1Y_Quote#0015</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EUR3WD_SYNTH1Y_Quote#0015</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EUR1MD_SYNTH1Y_Quote#0015</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EUR2MD_SYNTH1Y_Quote#0015</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EUR3MD_SYNTH1Y_Quote#0015</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EUR4MD_SYNTH1Y_Quote#0015</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EUR5MD_SYNTH1Y_Quote#0015</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EUR6MD_SYNTH1Y_Quote#0015</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EUR7MD_SYNTH1Y_Quote#0015</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EUR8MD_SYNTH1Y_Quote#0015</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EUR9MD_SYNTH1Y_Quote#0015</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EUR10MD_SYNTH1Y_Quote#0015</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EUR11MD_SYNTH1Y_Quote#0015</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EUR1YD_SYNTH1Y_Quote#0015</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EUR1x13F_SYNTH1Y_Quote#0015</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EUR2x14F_SYNTH1Y_Quote#0015</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EUR3x15F_SYNTH1Y_Quote#0015</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EUR4x16F_SYNTH1Y_Quote#0015</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EUR5x17F_SYNTH1Y_Quote#0015</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EUR6x18F_SYNTH1Y_Quote#0015</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EUR7x19F_SYNTH1Y_Quote#0015</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EUR8x20F_SYNTH1Y_Quote#0015</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EUR9x21F_SYNTH1Y_Quote#0015</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EUR10x22F_SYNTH1Y_Quote#0015</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EUR11x23F_SYNTH1Y_Quote#0015</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EUR13x25F_SYNTH1Y_Quote#0015</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EUR14x26F_SYNTH1Y_Quote#0015</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EUR15x27F_SYNTH1Y_Quote#0015</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EUR16x28F_SYNTH1Y_Quote#0015</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EUR17x29F_SYNTH1Y_Quote#0015</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EUR18x30F_SYNTH1Y_Quote#0015</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EUR19x31F_SYNTH1Y_Quote#0015</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EUR20x32F_SYNTH1Y_Quote#0015</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EUR21x33F_SYNTH1Y_Quote#0015</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EUR22x34F_SYNTH1Y_Quote#0015</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EUR23x35F_SYNTH1Y_Quote#0015</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EUR25x37F_SYNTH1Y_Quote#0015</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EUR26x38F_SYNTH1Y_Quote#0015</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EUR27x39F_SYNTH1Y_Quote#0015</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EUR28x40F_SYNTH1Y_Quote#0015</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EUR29x41F_SYNTH1Y_Quote#0015</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EUR30x42F_SYNTH1Y_Quote#0015</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EUR31x43F_SYNTH1Y_Quote#0015</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EUR32x44F_SYNTH1Y_Quote#0015</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EUR33x45F_SYNTH1Y_Quote#0015</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EUR34x46F_SYNTH1Y_Quote#0015</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EUR35x47F_SYNTH1Y_Quote#0015</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EUR37x49F_SYNTH1Y_Quote#0015</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EUR38x50F_SYNTH1Y_Quote#0015</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EUR39x51F_SYNTH1Y_Quote#0015</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EUR40x52F_SYNTH1Y_Quote#0015</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EUR41x53F_SYNTH1Y_Quote#0015</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EUR42x54F_SYNTH1Y_Quote#0015</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EUR43x55F_SYNTH1Y_Quote#0015</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EUR44x56F_SYNTH1Y_Quote#0015</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EUR45x57F_SYNTH1Y_Quote#0015</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EUR46x58F_SYNTH1Y_Quote#0015</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EUR47x59F_SYNTH1Y_Quote#0015</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3.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3" width="4.42578125" style="72" customWidth="1"/>
    <col min="14" max="14" width="3.855468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EURAB6E2Y_Fwd1w_Quote#0013</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EURAB6E3Y_Fwd1w_Quote#0013</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EURAB6E4Y_Fwd1w_Quote#0013</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EURAB6E5Y_Fwd1w_Quote#0013</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EURAB6E6Y_Fwd1w_Quote#0013</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EURAB6E7Y_Fwd1w_Quote#0013</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EURAB6E8Y_Fwd1w_Quote#0013</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EURAB6E9Y_Fwd1w_Quote#0013</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EURAB6E10Y_Fwd1w_Quote#0013</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EURAB6E11Y_Fwd1w_Quote#0013</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EURAB6E12Y_Fwd1w_Quote#0013</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EURAB6E13Y_Fwd1w_Quote#0013</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EURAB6E14Y_Fwd1w_Quote#0013</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EURAB6E15Y_Fwd1w_Quote#0013</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EURAB6E16Y_Fwd1w_Quote#0013</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EURAB6E17Y_Fwd1w_Quote#0013</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EURAB6E18Y_Fwd1w_Quote#0013</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EURAB6E19Y_Fwd1w_Quote#0013</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EURAB6E20Y_Fwd1w_Quote#0013</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EURAB6E21Y_Fwd1w_Quote#0013</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EURAB6E22Y_Fwd1w_Quote#0013</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EURAB6E23Y_Fwd1w_Quote#0013</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EURAB6E24Y_Fwd1w_Quote#0013</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EURAB6E25Y_Fwd1w_Quote#0013</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EURAB6E26Y_Fwd1w_Quote#0013</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EURAB6E27Y_Fwd1w_Quote#0013</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EURAB6E28Y_Fwd1w_Quote#0013</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EURAB6E29Y_Fwd1w_Quote#0013</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EURAB6E30Y_Fwd1w_Quote#0013</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EURAB6E35Y_Fwd1w_Quote#0013</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EURAB6E40Y_Fwd1w_Quote#0013</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EURAB6E50Y_Fwd1w_Quote#0013</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EURAB6E60Y_Fwd1w_Quote#0013</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855468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EURAB6E2Y_Fwd1w_S6E12E_Quote#0013</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EURAB6E3Y_Fwd1w_S6E12E_Quote#0013</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EURAB6E4Y_Fwd1w_S6E12E_Quote#0013</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EURAB6E5Y_Fwd1w_S6E12E_Quote#0013</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EURAB6E6Y_Fwd1w_S6E12E_Quote#0013</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EURAB6E7Y_Fwd1w_S6E12E_Quote#0013</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EURAB6E8Y_Fwd1w_S6E12E_Quote#0013</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EURAB6E9Y_Fwd1w_S6E12E_Quote#0013</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EURAB6E10Y_Fwd1w_S6E12E_Quote#0013</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EURAB6E11Y_Fwd1w_S6E12E_Quote#0013</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EURAB6E12Y_Fwd1w_S6E12E_Quote#0013</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EURAB6E13Y_Fwd1w_S6E12E_Quote#0013</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EURAB6E14Y_Fwd1w_S6E12E_Quote#0013</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EURAB6E15Y_Fwd1w_S6E12E_Quote#0013</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EURAB6E16Y_Fwd1w_S6E12E_Quote#0013</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EURAB6E17Y_Fwd1w_S6E12E_Quote#0013</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EURAB6E18Y_Fwd1w_S6E12E_Quote#0013</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EURAB6E19Y_Fwd1w_S6E12E_Quote#0013</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EURAB6E20Y_Fwd1w_S6E12E_Quote#0013</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EURAB6E21Y_Fwd1w_S6E12E_Quote#0013</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EURAB6E22Y_Fwd1w_S6E12E_Quote#0013</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EURAB6E23Y_Fwd1w_S6E12E_Quote#0013</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EURAB6E24Y_Fwd1w_S6E12E_Quote#0013</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EURAB6E25Y_Fwd1w_S6E12E_Quote#0013</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EURAB6E26Y_Fwd1w_S6E12E_Quote#0013</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EURAB6E27Y_Fwd1w_S6E12E_Quote#0013</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EURAB6E28Y_Fwd1w_S6E12E_Quote#0013</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EURAB6E29Y_Fwd1w_S6E12E_Quote#0013</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EURAB6E30Y_Fwd1w_S6E12E_Quote#0013</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EURAB6E35Y_Fwd1w_S6E12E_Quote#0013</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EURAB6E40Y_Fwd1w_S6E12E_Quote#0013</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EURAB6E50Y_Fwd1w_S6E12E_Quote#0013</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EURAB6E60Y_Fwd1w_S6E12E_Quote#0013</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f ca="1">IF(Serialize,_xll.ohObjectSave(G7:G126,SerializationPath&amp;F6,FileOverwrite,Serialize),"---")</f>
        <v>120</v>
      </c>
      <c r="H6" s="79" t="str">
        <f ca="1">_xll.ohRangeRetrieveError(G6)</f>
        <v/>
      </c>
    </row>
    <row r="7" spans="1:8" x14ac:dyDescent="0.2">
      <c r="A7" s="150"/>
      <c r="B7" s="155">
        <v>1</v>
      </c>
      <c r="C7" s="153" t="b">
        <v>0</v>
      </c>
      <c r="D7" s="153" t="str">
        <f t="array" ref="D7:D126">_xll.qlIMMNextCodes(_xll.qlSettingsEvaluationDate(Trigger)-1,$C7:$C126)</f>
        <v>Z3</v>
      </c>
      <c r="E7" s="252" t="str">
        <f t="shared" ref="E7:E38" si="0">Currency&amp;"FUT"&amp;$G$4&amp;$D7&amp;QuoteSuffix</f>
        <v>EURFUT3MZ3_Quote</v>
      </c>
      <c r="F7" s="253" t="str">
        <f t="shared" ref="F7:F38" si="1">Currency&amp;"FUT"&amp;$G$4&amp;$D7&amp;"ConvAdj"&amp;QuoteSuffix</f>
        <v>EURFUT3MZ3ConvAdj_Quote</v>
      </c>
      <c r="G7" s="252" t="str">
        <f>_xll.qlFuturesConvAdjustmentQuote($F7,IborIndex,$D7,$E7,Volatility,MeanReversion,Permanent,Trigger,ObjectOverwrite)</f>
        <v>EURFUT3MZ3ConvAdj_Quote#0012</v>
      </c>
      <c r="H7" s="79" t="str">
        <f>_xll.ohRangeRetrieveError(G7)</f>
        <v/>
      </c>
    </row>
    <row r="8" spans="1:8" x14ac:dyDescent="0.2">
      <c r="A8" s="150"/>
      <c r="B8" s="111">
        <v>2</v>
      </c>
      <c r="C8" s="148" t="b">
        <v>0</v>
      </c>
      <c r="D8" s="148" t="str">
        <v>F4</v>
      </c>
      <c r="E8" s="252" t="str">
        <f t="shared" si="0"/>
        <v>EURFUT3MF4_Quote</v>
      </c>
      <c r="F8" s="253" t="str">
        <f t="shared" si="1"/>
        <v>EURFUT3MF4ConvAdj_Quote</v>
      </c>
      <c r="G8" s="252" t="str">
        <f>_xll.qlFuturesConvAdjustmentQuote($F8,IborIndex,$D8,$E8,Volatility,MeanReversion,Permanent,Trigger,ObjectOverwrite)</f>
        <v>EURFUT3MF4ConvAdj_Quote#0012</v>
      </c>
      <c r="H8" s="79" t="str">
        <f>_xll.ohRangeRetrieveError(G8)</f>
        <v/>
      </c>
    </row>
    <row r="9" spans="1:8" x14ac:dyDescent="0.2">
      <c r="A9" s="150"/>
      <c r="B9" s="111">
        <v>3</v>
      </c>
      <c r="C9" s="148" t="b">
        <v>0</v>
      </c>
      <c r="D9" s="148" t="str">
        <v>G4</v>
      </c>
      <c r="E9" s="252" t="str">
        <f t="shared" si="0"/>
        <v>EURFUT3MG4_Quote</v>
      </c>
      <c r="F9" s="253" t="str">
        <f t="shared" si="1"/>
        <v>EURFUT3MG4ConvAdj_Quote</v>
      </c>
      <c r="G9" s="252" t="str">
        <f>_xll.qlFuturesConvAdjustmentQuote($F9,IborIndex,$D9,$E9,Volatility,MeanReversion,Permanent,Trigger,ObjectOverwrite)</f>
        <v>EURFUT3MG4ConvAdj_Quote#0012</v>
      </c>
      <c r="H9" s="79" t="str">
        <f>_xll.ohRangeRetrieveError(G9)</f>
        <v/>
      </c>
    </row>
    <row r="10" spans="1:8" x14ac:dyDescent="0.2">
      <c r="A10" s="150"/>
      <c r="B10" s="111">
        <v>4</v>
      </c>
      <c r="C10" s="148" t="b">
        <v>0</v>
      </c>
      <c r="D10" s="148" t="str">
        <v>H4</v>
      </c>
      <c r="E10" s="252" t="str">
        <f t="shared" si="0"/>
        <v>EURFUT3MH4_Quote</v>
      </c>
      <c r="F10" s="253" t="str">
        <f t="shared" si="1"/>
        <v>EURFUT3MH4ConvAdj_Quote</v>
      </c>
      <c r="G10" s="252" t="str">
        <f>_xll.qlFuturesConvAdjustmentQuote($F10,IborIndex,$D10,$E10,Volatility,MeanReversion,Permanent,Trigger,ObjectOverwrite)</f>
        <v>EURFUT3MH4ConvAdj_Quote#0012</v>
      </c>
      <c r="H10" s="79" t="str">
        <f>_xll.ohRangeRetrieveError(G10)</f>
        <v/>
      </c>
    </row>
    <row r="11" spans="1:8" x14ac:dyDescent="0.2">
      <c r="A11" s="150"/>
      <c r="B11" s="111">
        <v>5</v>
      </c>
      <c r="C11" s="148" t="b">
        <v>0</v>
      </c>
      <c r="D11" s="148" t="str">
        <v>J4</v>
      </c>
      <c r="E11" s="252" t="str">
        <f t="shared" si="0"/>
        <v>EURFUT3MJ4_Quote</v>
      </c>
      <c r="F11" s="253" t="str">
        <f t="shared" si="1"/>
        <v>EURFUT3MJ4ConvAdj_Quote</v>
      </c>
      <c r="G11" s="252" t="str">
        <f>_xll.qlFuturesConvAdjustmentQuote($F11,IborIndex,$D11,$E11,Volatility,MeanReversion,Permanent,Trigger,ObjectOverwrite)</f>
        <v>EURFUT3MJ4ConvAdj_Quote#0012</v>
      </c>
      <c r="H11" s="79" t="str">
        <f>_xll.ohRangeRetrieveError(G11)</f>
        <v/>
      </c>
    </row>
    <row r="12" spans="1:8" x14ac:dyDescent="0.2">
      <c r="A12" s="150"/>
      <c r="B12" s="111">
        <v>6</v>
      </c>
      <c r="C12" s="148" t="b">
        <v>0</v>
      </c>
      <c r="D12" s="148" t="str">
        <v>K4</v>
      </c>
      <c r="E12" s="252" t="str">
        <f t="shared" si="0"/>
        <v>EURFUT3MK4_Quote</v>
      </c>
      <c r="F12" s="253" t="str">
        <f t="shared" si="1"/>
        <v>EURFUT3MK4ConvAdj_Quote</v>
      </c>
      <c r="G12" s="252" t="str">
        <f>_xll.qlFuturesConvAdjustmentQuote($F12,IborIndex,$D12,$E12,Volatility,MeanReversion,Permanent,Trigger,ObjectOverwrite)</f>
        <v>EURFUT3MK4ConvAdj_Quote#0012</v>
      </c>
      <c r="H12" s="79" t="str">
        <f>_xll.ohRangeRetrieveError(G12)</f>
        <v/>
      </c>
    </row>
    <row r="13" spans="1:8" x14ac:dyDescent="0.2">
      <c r="A13" s="150"/>
      <c r="B13" s="111">
        <v>7</v>
      </c>
      <c r="C13" s="148" t="b">
        <v>0</v>
      </c>
      <c r="D13" s="148" t="str">
        <v>M4</v>
      </c>
      <c r="E13" s="252" t="str">
        <f t="shared" si="0"/>
        <v>EURFUT3MM4_Quote</v>
      </c>
      <c r="F13" s="253" t="str">
        <f t="shared" si="1"/>
        <v>EURFUT3MM4ConvAdj_Quote</v>
      </c>
      <c r="G13" s="252" t="str">
        <f>_xll.qlFuturesConvAdjustmentQuote($F13,IborIndex,$D13,$E13,Volatility,MeanReversion,Permanent,Trigger,ObjectOverwrite)</f>
        <v>EURFUT3MM4ConvAdj_Quote#0012</v>
      </c>
      <c r="H13" s="79" t="str">
        <f>_xll.ohRangeRetrieveError(G13)</f>
        <v/>
      </c>
    </row>
    <row r="14" spans="1:8" x14ac:dyDescent="0.2">
      <c r="A14" s="150"/>
      <c r="B14" s="111">
        <v>8</v>
      </c>
      <c r="C14" s="148" t="b">
        <v>0</v>
      </c>
      <c r="D14" s="148" t="str">
        <v>N4</v>
      </c>
      <c r="E14" s="252" t="str">
        <f t="shared" si="0"/>
        <v>EURFUT3MN4_Quote</v>
      </c>
      <c r="F14" s="253" t="str">
        <f t="shared" si="1"/>
        <v>EURFUT3MN4ConvAdj_Quote</v>
      </c>
      <c r="G14" s="252" t="str">
        <f>_xll.qlFuturesConvAdjustmentQuote($F14,IborIndex,$D14,$E14,Volatility,MeanReversion,Permanent,Trigger,ObjectOverwrite)</f>
        <v>EURFUT3MN4ConvAdj_Quote#0012</v>
      </c>
      <c r="H14" s="79" t="str">
        <f>_xll.ohRangeRetrieveError(G14)</f>
        <v/>
      </c>
    </row>
    <row r="15" spans="1:8" x14ac:dyDescent="0.2">
      <c r="A15" s="150"/>
      <c r="B15" s="111">
        <v>9</v>
      </c>
      <c r="C15" s="148" t="b">
        <v>0</v>
      </c>
      <c r="D15" s="148" t="str">
        <v>Q4</v>
      </c>
      <c r="E15" s="252" t="str">
        <f t="shared" si="0"/>
        <v>EURFUT3MQ4_Quote</v>
      </c>
      <c r="F15" s="253" t="str">
        <f t="shared" si="1"/>
        <v>EURFUT3MQ4ConvAdj_Quote</v>
      </c>
      <c r="G15" s="252" t="str">
        <f>_xll.qlFuturesConvAdjustmentQuote($F15,IborIndex,$D15,$E15,Volatility,MeanReversion,Permanent,Trigger,ObjectOverwrite)</f>
        <v>EURFUT3MQ4ConvAdj_Quote#0012</v>
      </c>
      <c r="H15" s="79" t="str">
        <f>_xll.ohRangeRetrieveError(G15)</f>
        <v/>
      </c>
    </row>
    <row r="16" spans="1:8" x14ac:dyDescent="0.2">
      <c r="A16" s="150"/>
      <c r="B16" s="111">
        <v>10</v>
      </c>
      <c r="C16" s="148" t="b">
        <v>0</v>
      </c>
      <c r="D16" s="148" t="str">
        <v>U4</v>
      </c>
      <c r="E16" s="252" t="str">
        <f t="shared" si="0"/>
        <v>EURFUT3MU4_Quote</v>
      </c>
      <c r="F16" s="253" t="str">
        <f t="shared" si="1"/>
        <v>EURFUT3MU4ConvAdj_Quote</v>
      </c>
      <c r="G16" s="252" t="str">
        <f>_xll.qlFuturesConvAdjustmentQuote($F16,IborIndex,$D16,$E16,Volatility,MeanReversion,Permanent,Trigger,ObjectOverwrite)</f>
        <v>EURFUT3MU4ConvAdj_Quote#0012</v>
      </c>
      <c r="H16" s="79" t="str">
        <f>_xll.ohRangeRetrieveError(G16)</f>
        <v/>
      </c>
    </row>
    <row r="17" spans="1:8" x14ac:dyDescent="0.2">
      <c r="A17" s="150"/>
      <c r="B17" s="111">
        <v>11</v>
      </c>
      <c r="C17" s="148" t="b">
        <v>0</v>
      </c>
      <c r="D17" s="148" t="str">
        <v>V4</v>
      </c>
      <c r="E17" s="252" t="str">
        <f t="shared" si="0"/>
        <v>EURFUT3MV4_Quote</v>
      </c>
      <c r="F17" s="253" t="str">
        <f t="shared" si="1"/>
        <v>EURFUT3MV4ConvAdj_Quote</v>
      </c>
      <c r="G17" s="252" t="str">
        <f>_xll.qlFuturesConvAdjustmentQuote($F17,IborIndex,$D17,$E17,Volatility,MeanReversion,Permanent,Trigger,ObjectOverwrite)</f>
        <v>EURFUT3MV4ConvAdj_Quote#0012</v>
      </c>
      <c r="H17" s="79" t="str">
        <f>_xll.ohRangeRetrieveError(G17)</f>
        <v/>
      </c>
    </row>
    <row r="18" spans="1:8" x14ac:dyDescent="0.2">
      <c r="A18" s="150"/>
      <c r="B18" s="111">
        <v>12</v>
      </c>
      <c r="C18" s="148" t="b">
        <v>0</v>
      </c>
      <c r="D18" s="148" t="str">
        <v>X4</v>
      </c>
      <c r="E18" s="252" t="str">
        <f t="shared" si="0"/>
        <v>EURFUT3MX4_Quote</v>
      </c>
      <c r="F18" s="253" t="str">
        <f t="shared" si="1"/>
        <v>EURFUT3MX4ConvAdj_Quote</v>
      </c>
      <c r="G18" s="252" t="str">
        <f>_xll.qlFuturesConvAdjustmentQuote($F18,IborIndex,$D18,$E18,Volatility,MeanReversion,Permanent,Trigger,ObjectOverwrite)</f>
        <v>EURFUT3MX4ConvAdj_Quote#0012</v>
      </c>
      <c r="H18" s="79" t="str">
        <f>_xll.ohRangeRetrieveError(G18)</f>
        <v/>
      </c>
    </row>
    <row r="19" spans="1:8" x14ac:dyDescent="0.2">
      <c r="A19" s="150"/>
      <c r="B19" s="111">
        <v>13</v>
      </c>
      <c r="C19" s="148" t="b">
        <v>0</v>
      </c>
      <c r="D19" s="148" t="str">
        <v>Z4</v>
      </c>
      <c r="E19" s="252" t="str">
        <f t="shared" si="0"/>
        <v>EURFUT3MZ4_Quote</v>
      </c>
      <c r="F19" s="253" t="str">
        <f t="shared" si="1"/>
        <v>EURFUT3MZ4ConvAdj_Quote</v>
      </c>
      <c r="G19" s="252" t="str">
        <f>_xll.qlFuturesConvAdjustmentQuote($F19,IborIndex,$D19,$E19,Volatility,MeanReversion,Permanent,Trigger,ObjectOverwrite)</f>
        <v>EURFUT3MZ4ConvAdj_Quote#0012</v>
      </c>
      <c r="H19" s="79" t="str">
        <f>_xll.ohRangeRetrieveError(G19)</f>
        <v/>
      </c>
    </row>
    <row r="20" spans="1:8" x14ac:dyDescent="0.2">
      <c r="A20" s="150"/>
      <c r="B20" s="111">
        <v>14</v>
      </c>
      <c r="C20" s="148" t="b">
        <v>0</v>
      </c>
      <c r="D20" s="148" t="str">
        <v>F5</v>
      </c>
      <c r="E20" s="252" t="str">
        <f t="shared" si="0"/>
        <v>EURFUT3MF5_Quote</v>
      </c>
      <c r="F20" s="253" t="str">
        <f t="shared" si="1"/>
        <v>EURFUT3MF5ConvAdj_Quote</v>
      </c>
      <c r="G20" s="252" t="str">
        <f>_xll.qlFuturesConvAdjustmentQuote($F20,IborIndex,$D20,$E20,Volatility,MeanReversion,Permanent,Trigger,ObjectOverwrite)</f>
        <v>EURFUT3MF5ConvAdj_Quote#0012</v>
      </c>
      <c r="H20" s="79" t="str">
        <f>_xll.ohRangeRetrieveError(G20)</f>
        <v/>
      </c>
    </row>
    <row r="21" spans="1:8" x14ac:dyDescent="0.2">
      <c r="A21" s="150"/>
      <c r="B21" s="111">
        <v>15</v>
      </c>
      <c r="C21" s="148" t="b">
        <v>0</v>
      </c>
      <c r="D21" s="148" t="str">
        <v>G5</v>
      </c>
      <c r="E21" s="252" t="str">
        <f t="shared" si="0"/>
        <v>EURFUT3MG5_Quote</v>
      </c>
      <c r="F21" s="253" t="str">
        <f t="shared" si="1"/>
        <v>EURFUT3MG5ConvAdj_Quote</v>
      </c>
      <c r="G21" s="252" t="str">
        <f>_xll.qlFuturesConvAdjustmentQuote($F21,IborIndex,$D21,$E21,Volatility,MeanReversion,Permanent,Trigger,ObjectOverwrite)</f>
        <v>EURFUT3MG5ConvAdj_Quote#0012</v>
      </c>
      <c r="H21" s="79" t="str">
        <f>_xll.ohRangeRetrieveError(G21)</f>
        <v/>
      </c>
    </row>
    <row r="22" spans="1:8" x14ac:dyDescent="0.2">
      <c r="A22" s="150"/>
      <c r="B22" s="111">
        <v>16</v>
      </c>
      <c r="C22" s="148" t="b">
        <v>0</v>
      </c>
      <c r="D22" s="148" t="str">
        <v>H5</v>
      </c>
      <c r="E22" s="252" t="str">
        <f t="shared" si="0"/>
        <v>EURFUT3MH5_Quote</v>
      </c>
      <c r="F22" s="253" t="str">
        <f t="shared" si="1"/>
        <v>EURFUT3MH5ConvAdj_Quote</v>
      </c>
      <c r="G22" s="252" t="str">
        <f>_xll.qlFuturesConvAdjustmentQuote($F22,IborIndex,$D22,$E22,Volatility,MeanReversion,Permanent,Trigger,ObjectOverwrite)</f>
        <v>EURFUT3MH5ConvAdj_Quote#0012</v>
      </c>
      <c r="H22" s="79" t="str">
        <f>_xll.ohRangeRetrieveError(G22)</f>
        <v/>
      </c>
    </row>
    <row r="23" spans="1:8" x14ac:dyDescent="0.2">
      <c r="A23" s="150"/>
      <c r="B23" s="111">
        <v>17</v>
      </c>
      <c r="C23" s="148" t="b">
        <v>0</v>
      </c>
      <c r="D23" s="148" t="str">
        <v>J5</v>
      </c>
      <c r="E23" s="252" t="str">
        <f t="shared" si="0"/>
        <v>EURFUT3MJ5_Quote</v>
      </c>
      <c r="F23" s="253" t="str">
        <f t="shared" si="1"/>
        <v>EURFUT3MJ5ConvAdj_Quote</v>
      </c>
      <c r="G23" s="252" t="str">
        <f>_xll.qlFuturesConvAdjustmentQuote($F23,IborIndex,$D23,$E23,Volatility,MeanReversion,Permanent,Trigger,ObjectOverwrite)</f>
        <v>EURFUT3MJ5ConvAdj_Quote#0012</v>
      </c>
      <c r="H23" s="79" t="str">
        <f>_xll.ohRangeRetrieveError(G23)</f>
        <v/>
      </c>
    </row>
    <row r="24" spans="1:8" x14ac:dyDescent="0.2">
      <c r="A24" s="150"/>
      <c r="B24" s="111">
        <v>18</v>
      </c>
      <c r="C24" s="148" t="b">
        <v>0</v>
      </c>
      <c r="D24" s="148" t="str">
        <v>K5</v>
      </c>
      <c r="E24" s="252" t="str">
        <f t="shared" si="0"/>
        <v>EURFUT3MK5_Quote</v>
      </c>
      <c r="F24" s="253" t="str">
        <f t="shared" si="1"/>
        <v>EURFUT3MK5ConvAdj_Quote</v>
      </c>
      <c r="G24" s="252" t="str">
        <f>_xll.qlFuturesConvAdjustmentQuote($F24,IborIndex,$D24,$E24,Volatility,MeanReversion,Permanent,Trigger,ObjectOverwrite)</f>
        <v>EURFUT3MK5ConvAdj_Quote#0012</v>
      </c>
      <c r="H24" s="79" t="str">
        <f>_xll.ohRangeRetrieveError(G24)</f>
        <v/>
      </c>
    </row>
    <row r="25" spans="1:8" x14ac:dyDescent="0.2">
      <c r="A25" s="150"/>
      <c r="B25" s="111">
        <v>19</v>
      </c>
      <c r="C25" s="148" t="b">
        <v>0</v>
      </c>
      <c r="D25" s="148" t="str">
        <v>M5</v>
      </c>
      <c r="E25" s="252" t="str">
        <f t="shared" si="0"/>
        <v>EURFUT3MM5_Quote</v>
      </c>
      <c r="F25" s="253" t="str">
        <f t="shared" si="1"/>
        <v>EURFUT3MM5ConvAdj_Quote</v>
      </c>
      <c r="G25" s="252" t="str">
        <f>_xll.qlFuturesConvAdjustmentQuote($F25,IborIndex,$D25,$E25,Volatility,MeanReversion,Permanent,Trigger,ObjectOverwrite)</f>
        <v>EURFUT3MM5ConvAdj_Quote#0012</v>
      </c>
      <c r="H25" s="79" t="str">
        <f>_xll.ohRangeRetrieveError(G25)</f>
        <v/>
      </c>
    </row>
    <row r="26" spans="1:8" x14ac:dyDescent="0.2">
      <c r="A26" s="150"/>
      <c r="B26" s="111">
        <v>20</v>
      </c>
      <c r="C26" s="148" t="b">
        <v>0</v>
      </c>
      <c r="D26" s="148" t="str">
        <v>N5</v>
      </c>
      <c r="E26" s="252" t="str">
        <f t="shared" si="0"/>
        <v>EURFUT3MN5_Quote</v>
      </c>
      <c r="F26" s="253" t="str">
        <f t="shared" si="1"/>
        <v>EURFUT3MN5ConvAdj_Quote</v>
      </c>
      <c r="G26" s="252" t="str">
        <f>_xll.qlFuturesConvAdjustmentQuote($F26,IborIndex,$D26,$E26,Volatility,MeanReversion,Permanent,Trigger,ObjectOverwrite)</f>
        <v>EURFUT3MN5ConvAdj_Quote#0012</v>
      </c>
      <c r="H26" s="79" t="str">
        <f>_xll.ohRangeRetrieveError(G26)</f>
        <v/>
      </c>
    </row>
    <row r="27" spans="1:8" x14ac:dyDescent="0.2">
      <c r="A27" s="150"/>
      <c r="B27" s="111">
        <v>21</v>
      </c>
      <c r="C27" s="148" t="b">
        <v>0</v>
      </c>
      <c r="D27" s="148" t="str">
        <v>Q5</v>
      </c>
      <c r="E27" s="252" t="str">
        <f t="shared" si="0"/>
        <v>EURFUT3MQ5_Quote</v>
      </c>
      <c r="F27" s="253" t="str">
        <f t="shared" si="1"/>
        <v>EURFUT3MQ5ConvAdj_Quote</v>
      </c>
      <c r="G27" s="252" t="str">
        <f>_xll.qlFuturesConvAdjustmentQuote($F27,IborIndex,$D27,$E27,Volatility,MeanReversion,Permanent,Trigger,ObjectOverwrite)</f>
        <v>EURFUT3MQ5ConvAdj_Quote#0012</v>
      </c>
      <c r="H27" s="79" t="str">
        <f>_xll.ohRangeRetrieveError(G27)</f>
        <v/>
      </c>
    </row>
    <row r="28" spans="1:8" x14ac:dyDescent="0.2">
      <c r="A28" s="150"/>
      <c r="B28" s="111">
        <v>22</v>
      </c>
      <c r="C28" s="148" t="b">
        <v>0</v>
      </c>
      <c r="D28" s="148" t="str">
        <v>U5</v>
      </c>
      <c r="E28" s="252" t="str">
        <f t="shared" si="0"/>
        <v>EURFUT3MU5_Quote</v>
      </c>
      <c r="F28" s="253" t="str">
        <f t="shared" si="1"/>
        <v>EURFUT3MU5ConvAdj_Quote</v>
      </c>
      <c r="G28" s="252" t="str">
        <f>_xll.qlFuturesConvAdjustmentQuote($F28,IborIndex,$D28,$E28,Volatility,MeanReversion,Permanent,Trigger,ObjectOverwrite)</f>
        <v>EURFUT3MU5ConvAdj_Quote#0012</v>
      </c>
      <c r="H28" s="79" t="str">
        <f>_xll.ohRangeRetrieveError(G28)</f>
        <v/>
      </c>
    </row>
    <row r="29" spans="1:8" x14ac:dyDescent="0.2">
      <c r="A29" s="150"/>
      <c r="B29" s="111">
        <v>23</v>
      </c>
      <c r="C29" s="148" t="b">
        <v>0</v>
      </c>
      <c r="D29" s="148" t="str">
        <v>V5</v>
      </c>
      <c r="E29" s="252" t="str">
        <f t="shared" si="0"/>
        <v>EURFUT3MV5_Quote</v>
      </c>
      <c r="F29" s="253" t="str">
        <f t="shared" si="1"/>
        <v>EURFUT3MV5ConvAdj_Quote</v>
      </c>
      <c r="G29" s="252" t="str">
        <f>_xll.qlFuturesConvAdjustmentQuote($F29,IborIndex,$D29,$E29,Volatility,MeanReversion,Permanent,Trigger,ObjectOverwrite)</f>
        <v>EURFUT3MV5ConvAdj_Quote#0012</v>
      </c>
      <c r="H29" s="79" t="str">
        <f>_xll.ohRangeRetrieveError(G29)</f>
        <v/>
      </c>
    </row>
    <row r="30" spans="1:8" x14ac:dyDescent="0.2">
      <c r="A30" s="150"/>
      <c r="B30" s="111">
        <v>24</v>
      </c>
      <c r="C30" s="148" t="b">
        <v>0</v>
      </c>
      <c r="D30" s="148" t="str">
        <v>X5</v>
      </c>
      <c r="E30" s="252" t="str">
        <f t="shared" si="0"/>
        <v>EURFUT3MX5_Quote</v>
      </c>
      <c r="F30" s="253" t="str">
        <f t="shared" si="1"/>
        <v>EURFUT3MX5ConvAdj_Quote</v>
      </c>
      <c r="G30" s="252" t="str">
        <f>_xll.qlFuturesConvAdjustmentQuote($F30,IborIndex,$D30,$E30,Volatility,MeanReversion,Permanent,Trigger,ObjectOverwrite)</f>
        <v>EURFUT3MX5ConvAdj_Quote#0012</v>
      </c>
      <c r="H30" s="79" t="str">
        <f>_xll.ohRangeRetrieveError(G30)</f>
        <v/>
      </c>
    </row>
    <row r="31" spans="1:8" x14ac:dyDescent="0.2">
      <c r="A31" s="150"/>
      <c r="B31" s="111">
        <v>25</v>
      </c>
      <c r="C31" s="148" t="b">
        <v>0</v>
      </c>
      <c r="D31" s="148" t="str">
        <v>Z5</v>
      </c>
      <c r="E31" s="252" t="str">
        <f t="shared" si="0"/>
        <v>EURFUT3MZ5_Quote</v>
      </c>
      <c r="F31" s="253" t="str">
        <f t="shared" si="1"/>
        <v>EURFUT3MZ5ConvAdj_Quote</v>
      </c>
      <c r="G31" s="252" t="str">
        <f>_xll.qlFuturesConvAdjustmentQuote($F31,IborIndex,$D31,$E31,Volatility,MeanReversion,Permanent,Trigger,ObjectOverwrite)</f>
        <v>EURFUT3MZ5ConvAdj_Quote#0012</v>
      </c>
      <c r="H31" s="79" t="str">
        <f>_xll.ohRangeRetrieveError(G31)</f>
        <v/>
      </c>
    </row>
    <row r="32" spans="1:8" x14ac:dyDescent="0.2">
      <c r="A32" s="150"/>
      <c r="B32" s="111">
        <v>26</v>
      </c>
      <c r="C32" s="148" t="b">
        <v>0</v>
      </c>
      <c r="D32" s="148" t="str">
        <v>F6</v>
      </c>
      <c r="E32" s="252" t="str">
        <f t="shared" si="0"/>
        <v>EURFUT3MF6_Quote</v>
      </c>
      <c r="F32" s="253" t="str">
        <f t="shared" si="1"/>
        <v>EURFUT3MF6ConvAdj_Quote</v>
      </c>
      <c r="G32" s="252" t="str">
        <f>_xll.qlFuturesConvAdjustmentQuote($F32,IborIndex,$D32,$E32,Volatility,MeanReversion,Permanent,Trigger,ObjectOverwrite)</f>
        <v>EURFUT3MF6ConvAdj_Quote#0012</v>
      </c>
      <c r="H32" s="79" t="str">
        <f>_xll.ohRangeRetrieveError(G32)</f>
        <v/>
      </c>
    </row>
    <row r="33" spans="1:8" x14ac:dyDescent="0.2">
      <c r="A33" s="150"/>
      <c r="B33" s="111">
        <v>27</v>
      </c>
      <c r="C33" s="148" t="b">
        <v>0</v>
      </c>
      <c r="D33" s="148" t="str">
        <v>G6</v>
      </c>
      <c r="E33" s="252" t="str">
        <f t="shared" si="0"/>
        <v>EURFUT3MG6_Quote</v>
      </c>
      <c r="F33" s="253" t="str">
        <f t="shared" si="1"/>
        <v>EURFUT3MG6ConvAdj_Quote</v>
      </c>
      <c r="G33" s="252" t="str">
        <f>_xll.qlFuturesConvAdjustmentQuote($F33,IborIndex,$D33,$E33,Volatility,MeanReversion,Permanent,Trigger,ObjectOverwrite)</f>
        <v>EURFUT3MG6ConvAdj_Quote#0012</v>
      </c>
      <c r="H33" s="79" t="str">
        <f>_xll.ohRangeRetrieveError(G33)</f>
        <v/>
      </c>
    </row>
    <row r="34" spans="1:8" x14ac:dyDescent="0.2">
      <c r="A34" s="150"/>
      <c r="B34" s="111">
        <v>28</v>
      </c>
      <c r="C34" s="148" t="b">
        <v>0</v>
      </c>
      <c r="D34" s="148" t="str">
        <v>H6</v>
      </c>
      <c r="E34" s="252" t="str">
        <f t="shared" si="0"/>
        <v>EURFUT3MH6_Quote</v>
      </c>
      <c r="F34" s="253" t="str">
        <f t="shared" si="1"/>
        <v>EURFUT3MH6ConvAdj_Quote</v>
      </c>
      <c r="G34" s="252" t="str">
        <f>_xll.qlFuturesConvAdjustmentQuote($F34,IborIndex,$D34,$E34,Volatility,MeanReversion,Permanent,Trigger,ObjectOverwrite)</f>
        <v>EURFUT3MH6ConvAdj_Quote#0012</v>
      </c>
      <c r="H34" s="79" t="str">
        <f>_xll.ohRangeRetrieveError(G34)</f>
        <v/>
      </c>
    </row>
    <row r="35" spans="1:8" x14ac:dyDescent="0.2">
      <c r="A35" s="150"/>
      <c r="B35" s="111">
        <v>29</v>
      </c>
      <c r="C35" s="148" t="b">
        <v>0</v>
      </c>
      <c r="D35" s="148" t="str">
        <v>J6</v>
      </c>
      <c r="E35" s="252" t="str">
        <f t="shared" si="0"/>
        <v>EURFUT3MJ6_Quote</v>
      </c>
      <c r="F35" s="253" t="str">
        <f t="shared" si="1"/>
        <v>EURFUT3MJ6ConvAdj_Quote</v>
      </c>
      <c r="G35" s="252" t="str">
        <f>_xll.qlFuturesConvAdjustmentQuote($F35,IborIndex,$D35,$E35,Volatility,MeanReversion,Permanent,Trigger,ObjectOverwrite)</f>
        <v>EURFUT3MJ6ConvAdj_Quote#0012</v>
      </c>
      <c r="H35" s="79" t="str">
        <f>_xll.ohRangeRetrieveError(G35)</f>
        <v/>
      </c>
    </row>
    <row r="36" spans="1:8" x14ac:dyDescent="0.2">
      <c r="A36" s="150"/>
      <c r="B36" s="111">
        <v>30</v>
      </c>
      <c r="C36" s="148" t="b">
        <v>0</v>
      </c>
      <c r="D36" s="148" t="str">
        <v>K6</v>
      </c>
      <c r="E36" s="252" t="str">
        <f t="shared" si="0"/>
        <v>EURFUT3MK6_Quote</v>
      </c>
      <c r="F36" s="253" t="str">
        <f t="shared" si="1"/>
        <v>EURFUT3MK6ConvAdj_Quote</v>
      </c>
      <c r="G36" s="252" t="str">
        <f>_xll.qlFuturesConvAdjustmentQuote($F36,IborIndex,$D36,$E36,Volatility,MeanReversion,Permanent,Trigger,ObjectOverwrite)</f>
        <v>EURFUT3MK6ConvAdj_Quote#0012</v>
      </c>
      <c r="H36" s="79" t="str">
        <f>_xll.ohRangeRetrieveError(G36)</f>
        <v/>
      </c>
    </row>
    <row r="37" spans="1:8" x14ac:dyDescent="0.2">
      <c r="A37" s="150"/>
      <c r="B37" s="111">
        <v>31</v>
      </c>
      <c r="C37" s="148" t="b">
        <v>0</v>
      </c>
      <c r="D37" s="148" t="str">
        <v>M6</v>
      </c>
      <c r="E37" s="252" t="str">
        <f t="shared" si="0"/>
        <v>EURFUT3MM6_Quote</v>
      </c>
      <c r="F37" s="253" t="str">
        <f t="shared" si="1"/>
        <v>EURFUT3MM6ConvAdj_Quote</v>
      </c>
      <c r="G37" s="252" t="str">
        <f>_xll.qlFuturesConvAdjustmentQuote($F37,IborIndex,$D37,$E37,Volatility,MeanReversion,Permanent,Trigger,ObjectOverwrite)</f>
        <v>EURFUT3MM6ConvAdj_Quote#0012</v>
      </c>
      <c r="H37" s="79" t="str">
        <f>_xll.ohRangeRetrieveError(G37)</f>
        <v/>
      </c>
    </row>
    <row r="38" spans="1:8" x14ac:dyDescent="0.2">
      <c r="A38" s="150"/>
      <c r="B38" s="111">
        <v>32</v>
      </c>
      <c r="C38" s="148" t="b">
        <v>0</v>
      </c>
      <c r="D38" s="148" t="str">
        <v>N6</v>
      </c>
      <c r="E38" s="252" t="str">
        <f t="shared" si="0"/>
        <v>EURFUT3MN6_Quote</v>
      </c>
      <c r="F38" s="253" t="str">
        <f t="shared" si="1"/>
        <v>EURFUT3MN6ConvAdj_Quote</v>
      </c>
      <c r="G38" s="252" t="str">
        <f>_xll.qlFuturesConvAdjustmentQuote($F38,IborIndex,$D38,$E38,Volatility,MeanReversion,Permanent,Trigger,ObjectOverwrite)</f>
        <v>EURFUT3MN6ConvAdj_Quote#0012</v>
      </c>
      <c r="H38" s="79" t="str">
        <f>_xll.ohRangeRetrieveError(G38)</f>
        <v/>
      </c>
    </row>
    <row r="39" spans="1:8" x14ac:dyDescent="0.2">
      <c r="A39" s="150"/>
      <c r="B39" s="111">
        <v>33</v>
      </c>
      <c r="C39" s="148" t="b">
        <v>0</v>
      </c>
      <c r="D39" s="148" t="str">
        <v>Q6</v>
      </c>
      <c r="E39" s="252" t="str">
        <f t="shared" ref="E39:E70" si="2">Currency&amp;"FUT"&amp;$G$4&amp;$D39&amp;QuoteSuffix</f>
        <v>EURFUT3MQ6_Quote</v>
      </c>
      <c r="F39" s="253" t="str">
        <f t="shared" ref="F39:F70" si="3">Currency&amp;"FUT"&amp;$G$4&amp;$D39&amp;"ConvAdj"&amp;QuoteSuffix</f>
        <v>EURFUT3MQ6ConvAdj_Quote</v>
      </c>
      <c r="G39" s="252" t="str">
        <f>_xll.qlFuturesConvAdjustmentQuote($F39,IborIndex,$D39,$E39,Volatility,MeanReversion,Permanent,Trigger,ObjectOverwrite)</f>
        <v>EURFUT3MQ6ConvAdj_Quote#0012</v>
      </c>
      <c r="H39" s="79" t="str">
        <f>_xll.ohRangeRetrieveError(G39)</f>
        <v/>
      </c>
    </row>
    <row r="40" spans="1:8" x14ac:dyDescent="0.2">
      <c r="A40" s="150"/>
      <c r="B40" s="111">
        <v>34</v>
      </c>
      <c r="C40" s="148" t="b">
        <v>0</v>
      </c>
      <c r="D40" s="148" t="str">
        <v>U6</v>
      </c>
      <c r="E40" s="252" t="str">
        <f t="shared" si="2"/>
        <v>EURFUT3MU6_Quote</v>
      </c>
      <c r="F40" s="253" t="str">
        <f t="shared" si="3"/>
        <v>EURFUT3MU6ConvAdj_Quote</v>
      </c>
      <c r="G40" s="252" t="str">
        <f>_xll.qlFuturesConvAdjustmentQuote($F40,IborIndex,$D40,$E40,Volatility,MeanReversion,Permanent,Trigger,ObjectOverwrite)</f>
        <v>EURFUT3MU6ConvAdj_Quote#0012</v>
      </c>
      <c r="H40" s="79" t="str">
        <f>_xll.ohRangeRetrieveError(G40)</f>
        <v/>
      </c>
    </row>
    <row r="41" spans="1:8" x14ac:dyDescent="0.2">
      <c r="A41" s="150"/>
      <c r="B41" s="111">
        <v>35</v>
      </c>
      <c r="C41" s="148" t="b">
        <v>0</v>
      </c>
      <c r="D41" s="148" t="str">
        <v>V6</v>
      </c>
      <c r="E41" s="252" t="str">
        <f t="shared" si="2"/>
        <v>EURFUT3MV6_Quote</v>
      </c>
      <c r="F41" s="253" t="str">
        <f t="shared" si="3"/>
        <v>EURFUT3MV6ConvAdj_Quote</v>
      </c>
      <c r="G41" s="252" t="str">
        <f>_xll.qlFuturesConvAdjustmentQuote($F41,IborIndex,$D41,$E41,Volatility,MeanReversion,Permanent,Trigger,ObjectOverwrite)</f>
        <v>EURFUT3MV6ConvAdj_Quote#0012</v>
      </c>
      <c r="H41" s="79" t="str">
        <f>_xll.ohRangeRetrieveError(G41)</f>
        <v/>
      </c>
    </row>
    <row r="42" spans="1:8" x14ac:dyDescent="0.2">
      <c r="A42" s="150"/>
      <c r="B42" s="111">
        <v>36</v>
      </c>
      <c r="C42" s="148" t="b">
        <v>0</v>
      </c>
      <c r="D42" s="148" t="str">
        <v>X6</v>
      </c>
      <c r="E42" s="252" t="str">
        <f t="shared" si="2"/>
        <v>EURFUT3MX6_Quote</v>
      </c>
      <c r="F42" s="253" t="str">
        <f t="shared" si="3"/>
        <v>EURFUT3MX6ConvAdj_Quote</v>
      </c>
      <c r="G42" s="252" t="str">
        <f>_xll.qlFuturesConvAdjustmentQuote($F42,IborIndex,$D42,$E42,Volatility,MeanReversion,Permanent,Trigger,ObjectOverwrite)</f>
        <v>EURFUT3MX6ConvAdj_Quote#0012</v>
      </c>
      <c r="H42" s="79" t="str">
        <f>_xll.ohRangeRetrieveError(G42)</f>
        <v/>
      </c>
    </row>
    <row r="43" spans="1:8" x14ac:dyDescent="0.2">
      <c r="A43" s="150"/>
      <c r="B43" s="111">
        <v>37</v>
      </c>
      <c r="C43" s="148" t="b">
        <v>0</v>
      </c>
      <c r="D43" s="148" t="str">
        <v>Z6</v>
      </c>
      <c r="E43" s="252" t="str">
        <f t="shared" si="2"/>
        <v>EURFUT3MZ6_Quote</v>
      </c>
      <c r="F43" s="253" t="str">
        <f t="shared" si="3"/>
        <v>EURFUT3MZ6ConvAdj_Quote</v>
      </c>
      <c r="G43" s="252" t="str">
        <f>_xll.qlFuturesConvAdjustmentQuote($F43,IborIndex,$D43,$E43,Volatility,MeanReversion,Permanent,Trigger,ObjectOverwrite)</f>
        <v>EURFUT3MZ6ConvAdj_Quote#0012</v>
      </c>
      <c r="H43" s="79" t="str">
        <f>_xll.ohRangeRetrieveError(G43)</f>
        <v/>
      </c>
    </row>
    <row r="44" spans="1:8" x14ac:dyDescent="0.2">
      <c r="A44" s="150"/>
      <c r="B44" s="111">
        <v>38</v>
      </c>
      <c r="C44" s="148" t="b">
        <v>0</v>
      </c>
      <c r="D44" s="148" t="str">
        <v>F7</v>
      </c>
      <c r="E44" s="252" t="str">
        <f t="shared" si="2"/>
        <v>EURFUT3MF7_Quote</v>
      </c>
      <c r="F44" s="253" t="str">
        <f t="shared" si="3"/>
        <v>EURFUT3MF7ConvAdj_Quote</v>
      </c>
      <c r="G44" s="252" t="str">
        <f>_xll.qlFuturesConvAdjustmentQuote($F44,IborIndex,$D44,$E44,Volatility,MeanReversion,Permanent,Trigger,ObjectOverwrite)</f>
        <v>EURFUT3MF7ConvAdj_Quote#0012</v>
      </c>
      <c r="H44" s="79" t="str">
        <f>_xll.ohRangeRetrieveError(G44)</f>
        <v/>
      </c>
    </row>
    <row r="45" spans="1:8" x14ac:dyDescent="0.2">
      <c r="A45" s="150"/>
      <c r="B45" s="111">
        <v>39</v>
      </c>
      <c r="C45" s="148" t="b">
        <v>0</v>
      </c>
      <c r="D45" s="148" t="str">
        <v>G7</v>
      </c>
      <c r="E45" s="252" t="str">
        <f t="shared" si="2"/>
        <v>EURFUT3MG7_Quote</v>
      </c>
      <c r="F45" s="253" t="str">
        <f t="shared" si="3"/>
        <v>EURFUT3MG7ConvAdj_Quote</v>
      </c>
      <c r="G45" s="252" t="str">
        <f>_xll.qlFuturesConvAdjustmentQuote($F45,IborIndex,$D45,$E45,Volatility,MeanReversion,Permanent,Trigger,ObjectOverwrite)</f>
        <v>EURFUT3MG7ConvAdj_Quote#0012</v>
      </c>
      <c r="H45" s="79" t="str">
        <f>_xll.ohRangeRetrieveError(G45)</f>
        <v/>
      </c>
    </row>
    <row r="46" spans="1:8" x14ac:dyDescent="0.2">
      <c r="A46" s="150"/>
      <c r="B46" s="111">
        <v>40</v>
      </c>
      <c r="C46" s="148" t="b">
        <v>0</v>
      </c>
      <c r="D46" s="148" t="str">
        <v>H7</v>
      </c>
      <c r="E46" s="252" t="str">
        <f t="shared" si="2"/>
        <v>EURFUT3MH7_Quote</v>
      </c>
      <c r="F46" s="253" t="str">
        <f t="shared" si="3"/>
        <v>EURFUT3MH7ConvAdj_Quote</v>
      </c>
      <c r="G46" s="252" t="str">
        <f>_xll.qlFuturesConvAdjustmentQuote($F46,IborIndex,$D46,$E46,Volatility,MeanReversion,Permanent,Trigger,ObjectOverwrite)</f>
        <v>EURFUT3MH7ConvAdj_Quote#0012</v>
      </c>
      <c r="H46" s="79" t="str">
        <f>_xll.ohRangeRetrieveError(G46)</f>
        <v/>
      </c>
    </row>
    <row r="47" spans="1:8" x14ac:dyDescent="0.2">
      <c r="A47" s="150"/>
      <c r="B47" s="111">
        <v>41</v>
      </c>
      <c r="C47" s="148" t="b">
        <v>0</v>
      </c>
      <c r="D47" s="148" t="str">
        <v>J7</v>
      </c>
      <c r="E47" s="252" t="str">
        <f t="shared" si="2"/>
        <v>EURFUT3MJ7_Quote</v>
      </c>
      <c r="F47" s="253" t="str">
        <f t="shared" si="3"/>
        <v>EURFUT3MJ7ConvAdj_Quote</v>
      </c>
      <c r="G47" s="252" t="str">
        <f>_xll.qlFuturesConvAdjustmentQuote($F47,IborIndex,$D47,$E47,Volatility,MeanReversion,Permanent,Trigger,ObjectOverwrite)</f>
        <v>EURFUT3MJ7ConvAdj_Quote#0012</v>
      </c>
      <c r="H47" s="79" t="str">
        <f>_xll.ohRangeRetrieveError(G47)</f>
        <v/>
      </c>
    </row>
    <row r="48" spans="1:8" x14ac:dyDescent="0.2">
      <c r="A48" s="150"/>
      <c r="B48" s="111">
        <v>42</v>
      </c>
      <c r="C48" s="148" t="b">
        <v>0</v>
      </c>
      <c r="D48" s="148" t="str">
        <v>K7</v>
      </c>
      <c r="E48" s="252" t="str">
        <f t="shared" si="2"/>
        <v>EURFUT3MK7_Quote</v>
      </c>
      <c r="F48" s="253" t="str">
        <f t="shared" si="3"/>
        <v>EURFUT3MK7ConvAdj_Quote</v>
      </c>
      <c r="G48" s="252" t="str">
        <f>_xll.qlFuturesConvAdjustmentQuote($F48,IborIndex,$D48,$E48,Volatility,MeanReversion,Permanent,Trigger,ObjectOverwrite)</f>
        <v>EURFUT3MK7ConvAdj_Quote#0012</v>
      </c>
      <c r="H48" s="79" t="str">
        <f>_xll.ohRangeRetrieveError(G48)</f>
        <v/>
      </c>
    </row>
    <row r="49" spans="1:8" x14ac:dyDescent="0.2">
      <c r="A49" s="150"/>
      <c r="B49" s="111">
        <v>43</v>
      </c>
      <c r="C49" s="148" t="b">
        <v>0</v>
      </c>
      <c r="D49" s="148" t="str">
        <v>M7</v>
      </c>
      <c r="E49" s="252" t="str">
        <f t="shared" si="2"/>
        <v>EURFUT3MM7_Quote</v>
      </c>
      <c r="F49" s="253" t="str">
        <f t="shared" si="3"/>
        <v>EURFUT3MM7ConvAdj_Quote</v>
      </c>
      <c r="G49" s="252" t="str">
        <f>_xll.qlFuturesConvAdjustmentQuote($F49,IborIndex,$D49,$E49,Volatility,MeanReversion,Permanent,Trigger,ObjectOverwrite)</f>
        <v>EURFUT3MM7ConvAdj_Quote#0012</v>
      </c>
      <c r="H49" s="79" t="str">
        <f>_xll.ohRangeRetrieveError(G49)</f>
        <v/>
      </c>
    </row>
    <row r="50" spans="1:8" x14ac:dyDescent="0.2">
      <c r="A50" s="150"/>
      <c r="B50" s="111">
        <v>44</v>
      </c>
      <c r="C50" s="148" t="b">
        <v>0</v>
      </c>
      <c r="D50" s="148" t="str">
        <v>N7</v>
      </c>
      <c r="E50" s="252" t="str">
        <f t="shared" si="2"/>
        <v>EURFUT3MN7_Quote</v>
      </c>
      <c r="F50" s="253" t="str">
        <f t="shared" si="3"/>
        <v>EURFUT3MN7ConvAdj_Quote</v>
      </c>
      <c r="G50" s="252" t="str">
        <f>_xll.qlFuturesConvAdjustmentQuote($F50,IborIndex,$D50,$E50,Volatility,MeanReversion,Permanent,Trigger,ObjectOverwrite)</f>
        <v>EURFUT3MN7ConvAdj_Quote#0012</v>
      </c>
      <c r="H50" s="79" t="str">
        <f>_xll.ohRangeRetrieveError(G50)</f>
        <v/>
      </c>
    </row>
    <row r="51" spans="1:8" x14ac:dyDescent="0.2">
      <c r="A51" s="150"/>
      <c r="B51" s="111">
        <v>45</v>
      </c>
      <c r="C51" s="148" t="b">
        <v>0</v>
      </c>
      <c r="D51" s="148" t="str">
        <v>Q7</v>
      </c>
      <c r="E51" s="252" t="str">
        <f t="shared" si="2"/>
        <v>EURFUT3MQ7_Quote</v>
      </c>
      <c r="F51" s="253" t="str">
        <f t="shared" si="3"/>
        <v>EURFUT3MQ7ConvAdj_Quote</v>
      </c>
      <c r="G51" s="252" t="str">
        <f>_xll.qlFuturesConvAdjustmentQuote($F51,IborIndex,$D51,$E51,Volatility,MeanReversion,Permanent,Trigger,ObjectOverwrite)</f>
        <v>EURFUT3MQ7ConvAdj_Quote#0012</v>
      </c>
      <c r="H51" s="79" t="str">
        <f>_xll.ohRangeRetrieveError(G51)</f>
        <v/>
      </c>
    </row>
    <row r="52" spans="1:8" x14ac:dyDescent="0.2">
      <c r="A52" s="150"/>
      <c r="B52" s="111">
        <v>46</v>
      </c>
      <c r="C52" s="148" t="b">
        <v>0</v>
      </c>
      <c r="D52" s="148" t="str">
        <v>U7</v>
      </c>
      <c r="E52" s="252" t="str">
        <f t="shared" si="2"/>
        <v>EURFUT3MU7_Quote</v>
      </c>
      <c r="F52" s="253" t="str">
        <f t="shared" si="3"/>
        <v>EURFUT3MU7ConvAdj_Quote</v>
      </c>
      <c r="G52" s="252" t="str">
        <f>_xll.qlFuturesConvAdjustmentQuote($F52,IborIndex,$D52,$E52,Volatility,MeanReversion,Permanent,Trigger,ObjectOverwrite)</f>
        <v>EURFUT3MU7ConvAdj_Quote#0012</v>
      </c>
      <c r="H52" s="79" t="str">
        <f>_xll.ohRangeRetrieveError(G52)</f>
        <v/>
      </c>
    </row>
    <row r="53" spans="1:8" x14ac:dyDescent="0.2">
      <c r="A53" s="150"/>
      <c r="B53" s="111">
        <v>47</v>
      </c>
      <c r="C53" s="148" t="b">
        <v>0</v>
      </c>
      <c r="D53" s="148" t="str">
        <v>V7</v>
      </c>
      <c r="E53" s="252" t="str">
        <f t="shared" si="2"/>
        <v>EURFUT3MV7_Quote</v>
      </c>
      <c r="F53" s="253" t="str">
        <f t="shared" si="3"/>
        <v>EURFUT3MV7ConvAdj_Quote</v>
      </c>
      <c r="G53" s="252" t="str">
        <f>_xll.qlFuturesConvAdjustmentQuote($F53,IborIndex,$D53,$E53,Volatility,MeanReversion,Permanent,Trigger,ObjectOverwrite)</f>
        <v>EURFUT3MV7ConvAdj_Quote#0012</v>
      </c>
      <c r="H53" s="79" t="str">
        <f>_xll.ohRangeRetrieveError(G53)</f>
        <v/>
      </c>
    </row>
    <row r="54" spans="1:8" x14ac:dyDescent="0.2">
      <c r="A54" s="150"/>
      <c r="B54" s="111">
        <v>48</v>
      </c>
      <c r="C54" s="148" t="b">
        <v>0</v>
      </c>
      <c r="D54" s="148" t="str">
        <v>X7</v>
      </c>
      <c r="E54" s="252" t="str">
        <f t="shared" si="2"/>
        <v>EURFUT3MX7_Quote</v>
      </c>
      <c r="F54" s="253" t="str">
        <f t="shared" si="3"/>
        <v>EURFUT3MX7ConvAdj_Quote</v>
      </c>
      <c r="G54" s="252" t="str">
        <f>_xll.qlFuturesConvAdjustmentQuote($F54,IborIndex,$D54,$E54,Volatility,MeanReversion,Permanent,Trigger,ObjectOverwrite)</f>
        <v>EURFUT3MX7ConvAdj_Quote#0012</v>
      </c>
      <c r="H54" s="79" t="str">
        <f>_xll.ohRangeRetrieveError(G54)</f>
        <v/>
      </c>
    </row>
    <row r="55" spans="1:8" x14ac:dyDescent="0.2">
      <c r="A55" s="150"/>
      <c r="B55" s="111">
        <v>49</v>
      </c>
      <c r="C55" s="148" t="b">
        <v>0</v>
      </c>
      <c r="D55" s="148" t="str">
        <v>Z7</v>
      </c>
      <c r="E55" s="252" t="str">
        <f t="shared" si="2"/>
        <v>EURFUT3MZ7_Quote</v>
      </c>
      <c r="F55" s="253" t="str">
        <f t="shared" si="3"/>
        <v>EURFUT3MZ7ConvAdj_Quote</v>
      </c>
      <c r="G55" s="252" t="str">
        <f>_xll.qlFuturesConvAdjustmentQuote($F55,IborIndex,$D55,$E55,Volatility,MeanReversion,Permanent,Trigger,ObjectOverwrite)</f>
        <v>EURFUT3MZ7ConvAdj_Quote#0012</v>
      </c>
      <c r="H55" s="79" t="str">
        <f>_xll.ohRangeRetrieveError(G55)</f>
        <v/>
      </c>
    </row>
    <row r="56" spans="1:8" x14ac:dyDescent="0.2">
      <c r="A56" s="150"/>
      <c r="B56" s="111">
        <v>50</v>
      </c>
      <c r="C56" s="148" t="b">
        <v>0</v>
      </c>
      <c r="D56" s="148" t="str">
        <v>F8</v>
      </c>
      <c r="E56" s="252" t="str">
        <f t="shared" si="2"/>
        <v>EURFUT3MF8_Quote</v>
      </c>
      <c r="F56" s="253" t="str">
        <f t="shared" si="3"/>
        <v>EURFUT3MF8ConvAdj_Quote</v>
      </c>
      <c r="G56" s="252" t="str">
        <f>_xll.qlFuturesConvAdjustmentQuote($F56,IborIndex,$D56,$E56,Volatility,MeanReversion,Permanent,Trigger,ObjectOverwrite)</f>
        <v>EURFUT3MF8ConvAdj_Quote#0012</v>
      </c>
      <c r="H56" s="79" t="str">
        <f>_xll.ohRangeRetrieveError(G56)</f>
        <v/>
      </c>
    </row>
    <row r="57" spans="1:8" x14ac:dyDescent="0.2">
      <c r="A57" s="150"/>
      <c r="B57" s="111">
        <v>51</v>
      </c>
      <c r="C57" s="148" t="b">
        <v>0</v>
      </c>
      <c r="D57" s="148" t="str">
        <v>G8</v>
      </c>
      <c r="E57" s="252" t="str">
        <f t="shared" si="2"/>
        <v>EURFUT3MG8_Quote</v>
      </c>
      <c r="F57" s="253" t="str">
        <f t="shared" si="3"/>
        <v>EURFUT3MG8ConvAdj_Quote</v>
      </c>
      <c r="G57" s="252" t="str">
        <f>_xll.qlFuturesConvAdjustmentQuote($F57,IborIndex,$D57,$E57,Volatility,MeanReversion,Permanent,Trigger,ObjectOverwrite)</f>
        <v>EURFUT3MG8ConvAdj_Quote#0012</v>
      </c>
      <c r="H57" s="79" t="str">
        <f>_xll.ohRangeRetrieveError(G57)</f>
        <v/>
      </c>
    </row>
    <row r="58" spans="1:8" x14ac:dyDescent="0.2">
      <c r="A58" s="150"/>
      <c r="B58" s="111">
        <v>52</v>
      </c>
      <c r="C58" s="148" t="b">
        <v>0</v>
      </c>
      <c r="D58" s="148" t="str">
        <v>H8</v>
      </c>
      <c r="E58" s="252" t="str">
        <f t="shared" si="2"/>
        <v>EURFUT3MH8_Quote</v>
      </c>
      <c r="F58" s="253" t="str">
        <f t="shared" si="3"/>
        <v>EURFUT3MH8ConvAdj_Quote</v>
      </c>
      <c r="G58" s="252" t="str">
        <f>_xll.qlFuturesConvAdjustmentQuote($F58,IborIndex,$D58,$E58,Volatility,MeanReversion,Permanent,Trigger,ObjectOverwrite)</f>
        <v>EURFUT3MH8ConvAdj_Quote#0012</v>
      </c>
      <c r="H58" s="79" t="str">
        <f>_xll.ohRangeRetrieveError(G58)</f>
        <v/>
      </c>
    </row>
    <row r="59" spans="1:8" x14ac:dyDescent="0.2">
      <c r="A59" s="150"/>
      <c r="B59" s="111">
        <v>53</v>
      </c>
      <c r="C59" s="148" t="b">
        <v>0</v>
      </c>
      <c r="D59" s="148" t="str">
        <v>J8</v>
      </c>
      <c r="E59" s="252" t="str">
        <f t="shared" si="2"/>
        <v>EURFUT3MJ8_Quote</v>
      </c>
      <c r="F59" s="253" t="str">
        <f t="shared" si="3"/>
        <v>EURFUT3MJ8ConvAdj_Quote</v>
      </c>
      <c r="G59" s="252" t="str">
        <f>_xll.qlFuturesConvAdjustmentQuote($F59,IborIndex,$D59,$E59,Volatility,MeanReversion,Permanent,Trigger,ObjectOverwrite)</f>
        <v>EURFUT3MJ8ConvAdj_Quote#0012</v>
      </c>
      <c r="H59" s="79" t="str">
        <f>_xll.ohRangeRetrieveError(G59)</f>
        <v/>
      </c>
    </row>
    <row r="60" spans="1:8" x14ac:dyDescent="0.2">
      <c r="A60" s="150"/>
      <c r="B60" s="111">
        <v>54</v>
      </c>
      <c r="C60" s="148" t="b">
        <v>0</v>
      </c>
      <c r="D60" s="148" t="str">
        <v>K8</v>
      </c>
      <c r="E60" s="252" t="str">
        <f t="shared" si="2"/>
        <v>EURFUT3MK8_Quote</v>
      </c>
      <c r="F60" s="253" t="str">
        <f t="shared" si="3"/>
        <v>EURFUT3MK8ConvAdj_Quote</v>
      </c>
      <c r="G60" s="252" t="str">
        <f>_xll.qlFuturesConvAdjustmentQuote($F60,IborIndex,$D60,$E60,Volatility,MeanReversion,Permanent,Trigger,ObjectOverwrite)</f>
        <v>EURFUT3MK8ConvAdj_Quote#0012</v>
      </c>
      <c r="H60" s="79" t="str">
        <f>_xll.ohRangeRetrieveError(G60)</f>
        <v/>
      </c>
    </row>
    <row r="61" spans="1:8" x14ac:dyDescent="0.2">
      <c r="A61" s="150"/>
      <c r="B61" s="111">
        <v>55</v>
      </c>
      <c r="C61" s="148" t="b">
        <v>0</v>
      </c>
      <c r="D61" s="148" t="str">
        <v>M8</v>
      </c>
      <c r="E61" s="252" t="str">
        <f t="shared" si="2"/>
        <v>EURFUT3MM8_Quote</v>
      </c>
      <c r="F61" s="253" t="str">
        <f t="shared" si="3"/>
        <v>EURFUT3MM8ConvAdj_Quote</v>
      </c>
      <c r="G61" s="252" t="str">
        <f>_xll.qlFuturesConvAdjustmentQuote($F61,IborIndex,$D61,$E61,Volatility,MeanReversion,Permanent,Trigger,ObjectOverwrite)</f>
        <v>EURFUT3MM8ConvAdj_Quote#0012</v>
      </c>
      <c r="H61" s="79" t="str">
        <f>_xll.ohRangeRetrieveError(G61)</f>
        <v/>
      </c>
    </row>
    <row r="62" spans="1:8" x14ac:dyDescent="0.2">
      <c r="A62" s="150"/>
      <c r="B62" s="111">
        <v>56</v>
      </c>
      <c r="C62" s="148" t="b">
        <v>0</v>
      </c>
      <c r="D62" s="148" t="str">
        <v>N8</v>
      </c>
      <c r="E62" s="252" t="str">
        <f t="shared" si="2"/>
        <v>EURFUT3MN8_Quote</v>
      </c>
      <c r="F62" s="253" t="str">
        <f t="shared" si="3"/>
        <v>EURFUT3MN8ConvAdj_Quote</v>
      </c>
      <c r="G62" s="252" t="str">
        <f>_xll.qlFuturesConvAdjustmentQuote($F62,IborIndex,$D62,$E62,Volatility,MeanReversion,Permanent,Trigger,ObjectOverwrite)</f>
        <v>EURFUT3MN8ConvAdj_Quote#0012</v>
      </c>
      <c r="H62" s="79" t="str">
        <f>_xll.ohRangeRetrieveError(G62)</f>
        <v/>
      </c>
    </row>
    <row r="63" spans="1:8" x14ac:dyDescent="0.2">
      <c r="A63" s="150"/>
      <c r="B63" s="111">
        <v>57</v>
      </c>
      <c r="C63" s="148" t="b">
        <v>0</v>
      </c>
      <c r="D63" s="148" t="str">
        <v>Q8</v>
      </c>
      <c r="E63" s="252" t="str">
        <f t="shared" si="2"/>
        <v>EURFUT3MQ8_Quote</v>
      </c>
      <c r="F63" s="253" t="str">
        <f t="shared" si="3"/>
        <v>EURFUT3MQ8ConvAdj_Quote</v>
      </c>
      <c r="G63" s="252" t="str">
        <f>_xll.qlFuturesConvAdjustmentQuote($F63,IborIndex,$D63,$E63,Volatility,MeanReversion,Permanent,Trigger,ObjectOverwrite)</f>
        <v>EURFUT3MQ8ConvAdj_Quote#0012</v>
      </c>
      <c r="H63" s="79" t="str">
        <f>_xll.ohRangeRetrieveError(G63)</f>
        <v/>
      </c>
    </row>
    <row r="64" spans="1:8" x14ac:dyDescent="0.2">
      <c r="A64" s="150"/>
      <c r="B64" s="111">
        <v>58</v>
      </c>
      <c r="C64" s="148" t="b">
        <v>0</v>
      </c>
      <c r="D64" s="148" t="str">
        <v>U8</v>
      </c>
      <c r="E64" s="252" t="str">
        <f t="shared" si="2"/>
        <v>EURFUT3MU8_Quote</v>
      </c>
      <c r="F64" s="253" t="str">
        <f t="shared" si="3"/>
        <v>EURFUT3MU8ConvAdj_Quote</v>
      </c>
      <c r="G64" s="252" t="str">
        <f>_xll.qlFuturesConvAdjustmentQuote($F64,IborIndex,$D64,$E64,Volatility,MeanReversion,Permanent,Trigger,ObjectOverwrite)</f>
        <v>EURFUT3MU8ConvAdj_Quote#0012</v>
      </c>
      <c r="H64" s="79" t="str">
        <f>_xll.ohRangeRetrieveError(G64)</f>
        <v/>
      </c>
    </row>
    <row r="65" spans="1:8" x14ac:dyDescent="0.2">
      <c r="A65" s="150"/>
      <c r="B65" s="111">
        <v>59</v>
      </c>
      <c r="C65" s="148" t="b">
        <v>0</v>
      </c>
      <c r="D65" s="148" t="str">
        <v>V8</v>
      </c>
      <c r="E65" s="252" t="str">
        <f t="shared" si="2"/>
        <v>EURFUT3MV8_Quote</v>
      </c>
      <c r="F65" s="253" t="str">
        <f t="shared" si="3"/>
        <v>EURFUT3MV8ConvAdj_Quote</v>
      </c>
      <c r="G65" s="252" t="str">
        <f>_xll.qlFuturesConvAdjustmentQuote($F65,IborIndex,$D65,$E65,Volatility,MeanReversion,Permanent,Trigger,ObjectOverwrite)</f>
        <v>EURFUT3MV8ConvAdj_Quote#0012</v>
      </c>
      <c r="H65" s="79" t="str">
        <f>_xll.ohRangeRetrieveError(G65)</f>
        <v/>
      </c>
    </row>
    <row r="66" spans="1:8" x14ac:dyDescent="0.2">
      <c r="A66" s="150"/>
      <c r="B66" s="111">
        <v>60</v>
      </c>
      <c r="C66" s="148" t="b">
        <v>0</v>
      </c>
      <c r="D66" s="148" t="str">
        <v>X8</v>
      </c>
      <c r="E66" s="252" t="str">
        <f t="shared" si="2"/>
        <v>EURFUT3MX8_Quote</v>
      </c>
      <c r="F66" s="253" t="str">
        <f t="shared" si="3"/>
        <v>EURFUT3MX8ConvAdj_Quote</v>
      </c>
      <c r="G66" s="252" t="str">
        <f>_xll.qlFuturesConvAdjustmentQuote($F66,IborIndex,$D66,$E66,Volatility,MeanReversion,Permanent,Trigger,ObjectOverwrite)</f>
        <v>EURFUT3MX8ConvAdj_Quote#0012</v>
      </c>
      <c r="H66" s="79" t="str">
        <f>_xll.ohRangeRetrieveError(G66)</f>
        <v/>
      </c>
    </row>
    <row r="67" spans="1:8" x14ac:dyDescent="0.2">
      <c r="A67" s="150"/>
      <c r="B67" s="111">
        <v>61</v>
      </c>
      <c r="C67" s="148" t="b">
        <v>0</v>
      </c>
      <c r="D67" s="148" t="str">
        <v>Z8</v>
      </c>
      <c r="E67" s="252" t="str">
        <f t="shared" si="2"/>
        <v>EURFUT3MZ8_Quote</v>
      </c>
      <c r="F67" s="253" t="str">
        <f t="shared" si="3"/>
        <v>EURFUT3MZ8ConvAdj_Quote</v>
      </c>
      <c r="G67" s="252" t="str">
        <f>_xll.qlFuturesConvAdjustmentQuote($F67,IborIndex,$D67,$E67,Volatility,MeanReversion,Permanent,Trigger,ObjectOverwrite)</f>
        <v>EURFUT3MZ8ConvAdj_Quote#0012</v>
      </c>
      <c r="H67" s="79" t="str">
        <f>_xll.ohRangeRetrieveError(G67)</f>
        <v/>
      </c>
    </row>
    <row r="68" spans="1:8" x14ac:dyDescent="0.2">
      <c r="A68" s="150"/>
      <c r="B68" s="111">
        <v>62</v>
      </c>
      <c r="C68" s="148" t="b">
        <v>0</v>
      </c>
      <c r="D68" s="148" t="str">
        <v>F9</v>
      </c>
      <c r="E68" s="252" t="str">
        <f t="shared" si="2"/>
        <v>EURFUT3MF9_Quote</v>
      </c>
      <c r="F68" s="253" t="str">
        <f t="shared" si="3"/>
        <v>EURFUT3MF9ConvAdj_Quote</v>
      </c>
      <c r="G68" s="252" t="str">
        <f>_xll.qlFuturesConvAdjustmentQuote($F68,IborIndex,$D68,$E68,Volatility,MeanReversion,Permanent,Trigger,ObjectOverwrite)</f>
        <v>EURFUT3MF9ConvAdj_Quote#0012</v>
      </c>
      <c r="H68" s="79" t="str">
        <f>_xll.ohRangeRetrieveError(G68)</f>
        <v/>
      </c>
    </row>
    <row r="69" spans="1:8" x14ac:dyDescent="0.2">
      <c r="A69" s="150"/>
      <c r="B69" s="111">
        <v>63</v>
      </c>
      <c r="C69" s="148" t="b">
        <v>0</v>
      </c>
      <c r="D69" s="148" t="str">
        <v>G9</v>
      </c>
      <c r="E69" s="252" t="str">
        <f t="shared" si="2"/>
        <v>EURFUT3MG9_Quote</v>
      </c>
      <c r="F69" s="253" t="str">
        <f t="shared" si="3"/>
        <v>EURFUT3MG9ConvAdj_Quote</v>
      </c>
      <c r="G69" s="252" t="str">
        <f>_xll.qlFuturesConvAdjustmentQuote($F69,IborIndex,$D69,$E69,Volatility,MeanReversion,Permanent,Trigger,ObjectOverwrite)</f>
        <v>EURFUT3MG9ConvAdj_Quote#0012</v>
      </c>
      <c r="H69" s="79" t="str">
        <f>_xll.ohRangeRetrieveError(G69)</f>
        <v/>
      </c>
    </row>
    <row r="70" spans="1:8" x14ac:dyDescent="0.2">
      <c r="A70" s="150"/>
      <c r="B70" s="111">
        <v>64</v>
      </c>
      <c r="C70" s="148" t="b">
        <v>0</v>
      </c>
      <c r="D70" s="148" t="str">
        <v>H9</v>
      </c>
      <c r="E70" s="252" t="str">
        <f t="shared" si="2"/>
        <v>EURFUT3MH9_Quote</v>
      </c>
      <c r="F70" s="253" t="str">
        <f t="shared" si="3"/>
        <v>EURFUT3MH9ConvAdj_Quote</v>
      </c>
      <c r="G70" s="252" t="str">
        <f>_xll.qlFuturesConvAdjustmentQuote($F70,IborIndex,$D70,$E70,Volatility,MeanReversion,Permanent,Trigger,ObjectOverwrite)</f>
        <v>EURFUT3MH9ConvAdj_Quote#0012</v>
      </c>
      <c r="H70" s="79" t="str">
        <f>_xll.ohRangeRetrieveError(G70)</f>
        <v/>
      </c>
    </row>
    <row r="71" spans="1:8" x14ac:dyDescent="0.2">
      <c r="A71" s="150"/>
      <c r="B71" s="111">
        <v>65</v>
      </c>
      <c r="C71" s="148" t="b">
        <v>0</v>
      </c>
      <c r="D71" s="148" t="str">
        <v>J9</v>
      </c>
      <c r="E71" s="252" t="str">
        <f t="shared" ref="E71:E102" si="4">Currency&amp;"FUT"&amp;$G$4&amp;$D71&amp;QuoteSuffix</f>
        <v>EURFUT3MJ9_Quote</v>
      </c>
      <c r="F71" s="253" t="str">
        <f t="shared" ref="F71:F102" si="5">Currency&amp;"FUT"&amp;$G$4&amp;$D71&amp;"ConvAdj"&amp;QuoteSuffix</f>
        <v>EURFUT3MJ9ConvAdj_Quote</v>
      </c>
      <c r="G71" s="252" t="str">
        <f>_xll.qlFuturesConvAdjustmentQuote($F71,IborIndex,$D71,$E71,Volatility,MeanReversion,Permanent,Trigger,ObjectOverwrite)</f>
        <v>EURFUT3MJ9ConvAdj_Quote#0012</v>
      </c>
      <c r="H71" s="79" t="str">
        <f>_xll.ohRangeRetrieveError(G71)</f>
        <v/>
      </c>
    </row>
    <row r="72" spans="1:8" x14ac:dyDescent="0.2">
      <c r="A72" s="150"/>
      <c r="B72" s="111">
        <v>66</v>
      </c>
      <c r="C72" s="148" t="b">
        <v>0</v>
      </c>
      <c r="D72" s="148" t="str">
        <v>K9</v>
      </c>
      <c r="E72" s="252" t="str">
        <f t="shared" si="4"/>
        <v>EURFUT3MK9_Quote</v>
      </c>
      <c r="F72" s="253" t="str">
        <f t="shared" si="5"/>
        <v>EURFUT3MK9ConvAdj_Quote</v>
      </c>
      <c r="G72" s="252" t="str">
        <f>_xll.qlFuturesConvAdjustmentQuote($F72,IborIndex,$D72,$E72,Volatility,MeanReversion,Permanent,Trigger,ObjectOverwrite)</f>
        <v>EURFUT3MK9ConvAdj_Quote#0012</v>
      </c>
      <c r="H72" s="79" t="str">
        <f>_xll.ohRangeRetrieveError(G72)</f>
        <v/>
      </c>
    </row>
    <row r="73" spans="1:8" x14ac:dyDescent="0.2">
      <c r="A73" s="150"/>
      <c r="B73" s="111">
        <v>67</v>
      </c>
      <c r="C73" s="148" t="b">
        <v>0</v>
      </c>
      <c r="D73" s="148" t="str">
        <v>M9</v>
      </c>
      <c r="E73" s="252" t="str">
        <f t="shared" si="4"/>
        <v>EURFUT3MM9_Quote</v>
      </c>
      <c r="F73" s="253" t="str">
        <f t="shared" si="5"/>
        <v>EURFUT3MM9ConvAdj_Quote</v>
      </c>
      <c r="G73" s="252" t="str">
        <f>_xll.qlFuturesConvAdjustmentQuote($F73,IborIndex,$D73,$E73,Volatility,MeanReversion,Permanent,Trigger,ObjectOverwrite)</f>
        <v>EURFUT3MM9ConvAdj_Quote#0012</v>
      </c>
      <c r="H73" s="79" t="str">
        <f>_xll.ohRangeRetrieveError(G73)</f>
        <v/>
      </c>
    </row>
    <row r="74" spans="1:8" x14ac:dyDescent="0.2">
      <c r="A74" s="150"/>
      <c r="B74" s="111">
        <v>68</v>
      </c>
      <c r="C74" s="148" t="b">
        <v>0</v>
      </c>
      <c r="D74" s="148" t="str">
        <v>N9</v>
      </c>
      <c r="E74" s="252" t="str">
        <f t="shared" si="4"/>
        <v>EURFUT3MN9_Quote</v>
      </c>
      <c r="F74" s="253" t="str">
        <f t="shared" si="5"/>
        <v>EURFUT3MN9ConvAdj_Quote</v>
      </c>
      <c r="G74" s="252" t="str">
        <f>_xll.qlFuturesConvAdjustmentQuote($F74,IborIndex,$D74,$E74,Volatility,MeanReversion,Permanent,Trigger,ObjectOverwrite)</f>
        <v>EURFUT3MN9ConvAdj_Quote#0012</v>
      </c>
      <c r="H74" s="79" t="str">
        <f>_xll.ohRangeRetrieveError(G74)</f>
        <v/>
      </c>
    </row>
    <row r="75" spans="1:8" x14ac:dyDescent="0.2">
      <c r="A75" s="150"/>
      <c r="B75" s="111">
        <v>69</v>
      </c>
      <c r="C75" s="148" t="b">
        <v>0</v>
      </c>
      <c r="D75" s="148" t="str">
        <v>Q9</v>
      </c>
      <c r="E75" s="252" t="str">
        <f t="shared" si="4"/>
        <v>EURFUT3MQ9_Quote</v>
      </c>
      <c r="F75" s="253" t="str">
        <f t="shared" si="5"/>
        <v>EURFUT3MQ9ConvAdj_Quote</v>
      </c>
      <c r="G75" s="252" t="str">
        <f>_xll.qlFuturesConvAdjustmentQuote($F75,IborIndex,$D75,$E75,Volatility,MeanReversion,Permanent,Trigger,ObjectOverwrite)</f>
        <v>EURFUT3MQ9ConvAdj_Quote#0012</v>
      </c>
      <c r="H75" s="79" t="str">
        <f>_xll.ohRangeRetrieveError(G75)</f>
        <v/>
      </c>
    </row>
    <row r="76" spans="1:8" x14ac:dyDescent="0.2">
      <c r="A76" s="150"/>
      <c r="B76" s="111">
        <v>70</v>
      </c>
      <c r="C76" s="148" t="b">
        <v>0</v>
      </c>
      <c r="D76" s="148" t="str">
        <v>U9</v>
      </c>
      <c r="E76" s="252" t="str">
        <f t="shared" si="4"/>
        <v>EURFUT3MU9_Quote</v>
      </c>
      <c r="F76" s="253" t="str">
        <f t="shared" si="5"/>
        <v>EURFUT3MU9ConvAdj_Quote</v>
      </c>
      <c r="G76" s="252" t="str">
        <f>_xll.qlFuturesConvAdjustmentQuote($F76,IborIndex,$D76,$E76,Volatility,MeanReversion,Permanent,Trigger,ObjectOverwrite)</f>
        <v>EURFUT3MU9ConvAdj_Quote#0012</v>
      </c>
      <c r="H76" s="79" t="str">
        <f>_xll.ohRangeRetrieveError(G76)</f>
        <v/>
      </c>
    </row>
    <row r="77" spans="1:8" x14ac:dyDescent="0.2">
      <c r="A77" s="150"/>
      <c r="B77" s="111">
        <v>71</v>
      </c>
      <c r="C77" s="148" t="b">
        <v>0</v>
      </c>
      <c r="D77" s="148" t="str">
        <v>V9</v>
      </c>
      <c r="E77" s="252" t="str">
        <f t="shared" si="4"/>
        <v>EURFUT3MV9_Quote</v>
      </c>
      <c r="F77" s="253" t="str">
        <f t="shared" si="5"/>
        <v>EURFUT3MV9ConvAdj_Quote</v>
      </c>
      <c r="G77" s="252" t="str">
        <f>_xll.qlFuturesConvAdjustmentQuote($F77,IborIndex,$D77,$E77,Volatility,MeanReversion,Permanent,Trigger,ObjectOverwrite)</f>
        <v>EURFUT3MV9ConvAdj_Quote#0012</v>
      </c>
      <c r="H77" s="79" t="str">
        <f>_xll.ohRangeRetrieveError(G77)</f>
        <v/>
      </c>
    </row>
    <row r="78" spans="1:8" x14ac:dyDescent="0.2">
      <c r="A78" s="150"/>
      <c r="B78" s="111">
        <v>72</v>
      </c>
      <c r="C78" s="148" t="b">
        <v>0</v>
      </c>
      <c r="D78" s="148" t="str">
        <v>X9</v>
      </c>
      <c r="E78" s="252" t="str">
        <f t="shared" si="4"/>
        <v>EURFUT3MX9_Quote</v>
      </c>
      <c r="F78" s="253" t="str">
        <f t="shared" si="5"/>
        <v>EURFUT3MX9ConvAdj_Quote</v>
      </c>
      <c r="G78" s="252" t="str">
        <f>_xll.qlFuturesConvAdjustmentQuote($F78,IborIndex,$D78,$E78,Volatility,MeanReversion,Permanent,Trigger,ObjectOverwrite)</f>
        <v>EURFUT3MX9ConvAdj_Quote#0012</v>
      </c>
      <c r="H78" s="79" t="str">
        <f>_xll.ohRangeRetrieveError(G78)</f>
        <v/>
      </c>
    </row>
    <row r="79" spans="1:8" x14ac:dyDescent="0.2">
      <c r="A79" s="150"/>
      <c r="B79" s="111">
        <v>73</v>
      </c>
      <c r="C79" s="148" t="b">
        <v>0</v>
      </c>
      <c r="D79" s="148" t="str">
        <v>Z9</v>
      </c>
      <c r="E79" s="252" t="str">
        <f t="shared" si="4"/>
        <v>EURFUT3MZ9_Quote</v>
      </c>
      <c r="F79" s="253" t="str">
        <f t="shared" si="5"/>
        <v>EURFUT3MZ9ConvAdj_Quote</v>
      </c>
      <c r="G79" s="252" t="str">
        <f>_xll.qlFuturesConvAdjustmentQuote($F79,IborIndex,$D79,$E79,Volatility,MeanReversion,Permanent,Trigger,ObjectOverwrite)</f>
        <v>EURFUT3MZ9ConvAdj_Quote#0012</v>
      </c>
      <c r="H79" s="79" t="str">
        <f>_xll.ohRangeRetrieveError(G79)</f>
        <v/>
      </c>
    </row>
    <row r="80" spans="1:8" x14ac:dyDescent="0.2">
      <c r="A80" s="150"/>
      <c r="B80" s="111">
        <v>74</v>
      </c>
      <c r="C80" s="148" t="b">
        <v>0</v>
      </c>
      <c r="D80" s="148" t="str">
        <v>F0</v>
      </c>
      <c r="E80" s="252" t="str">
        <f t="shared" si="4"/>
        <v>EURFUT3MF0_Quote</v>
      </c>
      <c r="F80" s="253" t="str">
        <f t="shared" si="5"/>
        <v>EURFUT3MF0ConvAdj_Quote</v>
      </c>
      <c r="G80" s="252" t="str">
        <f>_xll.qlFuturesConvAdjustmentQuote($F80,IborIndex,$D80,$E80,Volatility,MeanReversion,Permanent,Trigger,ObjectOverwrite)</f>
        <v>EURFUT3MF0ConvAdj_Quote#0012</v>
      </c>
      <c r="H80" s="79" t="str">
        <f>_xll.ohRangeRetrieveError(G80)</f>
        <v/>
      </c>
    </row>
    <row r="81" spans="1:8" x14ac:dyDescent="0.2">
      <c r="A81" s="150"/>
      <c r="B81" s="111">
        <v>75</v>
      </c>
      <c r="C81" s="148" t="b">
        <v>0</v>
      </c>
      <c r="D81" s="148" t="str">
        <v>G0</v>
      </c>
      <c r="E81" s="252" t="str">
        <f t="shared" si="4"/>
        <v>EURFUT3MG0_Quote</v>
      </c>
      <c r="F81" s="253" t="str">
        <f t="shared" si="5"/>
        <v>EURFUT3MG0ConvAdj_Quote</v>
      </c>
      <c r="G81" s="252" t="str">
        <f>_xll.qlFuturesConvAdjustmentQuote($F81,IborIndex,$D81,$E81,Volatility,MeanReversion,Permanent,Trigger,ObjectOverwrite)</f>
        <v>EURFUT3MG0ConvAdj_Quote#0012</v>
      </c>
      <c r="H81" s="79" t="str">
        <f>_xll.ohRangeRetrieveError(G81)</f>
        <v/>
      </c>
    </row>
    <row r="82" spans="1:8" x14ac:dyDescent="0.2">
      <c r="A82" s="150"/>
      <c r="B82" s="111">
        <v>76</v>
      </c>
      <c r="C82" s="148" t="b">
        <v>0</v>
      </c>
      <c r="D82" s="148" t="str">
        <v>H0</v>
      </c>
      <c r="E82" s="252" t="str">
        <f t="shared" si="4"/>
        <v>EURFUT3MH0_Quote</v>
      </c>
      <c r="F82" s="253" t="str">
        <f t="shared" si="5"/>
        <v>EURFUT3MH0ConvAdj_Quote</v>
      </c>
      <c r="G82" s="252" t="str">
        <f>_xll.qlFuturesConvAdjustmentQuote($F82,IborIndex,$D82,$E82,Volatility,MeanReversion,Permanent,Trigger,ObjectOverwrite)</f>
        <v>EURFUT3MH0ConvAdj_Quote#0012</v>
      </c>
      <c r="H82" s="79" t="str">
        <f>_xll.ohRangeRetrieveError(G82)</f>
        <v/>
      </c>
    </row>
    <row r="83" spans="1:8" x14ac:dyDescent="0.2">
      <c r="A83" s="150"/>
      <c r="B83" s="111">
        <v>77</v>
      </c>
      <c r="C83" s="148" t="b">
        <v>0</v>
      </c>
      <c r="D83" s="148" t="str">
        <v>J0</v>
      </c>
      <c r="E83" s="252" t="str">
        <f t="shared" si="4"/>
        <v>EURFUT3MJ0_Quote</v>
      </c>
      <c r="F83" s="253" t="str">
        <f t="shared" si="5"/>
        <v>EURFUT3MJ0ConvAdj_Quote</v>
      </c>
      <c r="G83" s="252" t="str">
        <f>_xll.qlFuturesConvAdjustmentQuote($F83,IborIndex,$D83,$E83,Volatility,MeanReversion,Permanent,Trigger,ObjectOverwrite)</f>
        <v>EURFUT3MJ0ConvAdj_Quote#0012</v>
      </c>
      <c r="H83" s="79" t="str">
        <f>_xll.ohRangeRetrieveError(G83)</f>
        <v/>
      </c>
    </row>
    <row r="84" spans="1:8" x14ac:dyDescent="0.2">
      <c r="A84" s="150"/>
      <c r="B84" s="111">
        <v>78</v>
      </c>
      <c r="C84" s="148" t="b">
        <v>0</v>
      </c>
      <c r="D84" s="148" t="str">
        <v>K0</v>
      </c>
      <c r="E84" s="252" t="str">
        <f t="shared" si="4"/>
        <v>EURFUT3MK0_Quote</v>
      </c>
      <c r="F84" s="253" t="str">
        <f t="shared" si="5"/>
        <v>EURFUT3MK0ConvAdj_Quote</v>
      </c>
      <c r="G84" s="252" t="str">
        <f>_xll.qlFuturesConvAdjustmentQuote($F84,IborIndex,$D84,$E84,Volatility,MeanReversion,Permanent,Trigger,ObjectOverwrite)</f>
        <v>EURFUT3MK0ConvAdj_Quote#0012</v>
      </c>
      <c r="H84" s="79" t="str">
        <f>_xll.ohRangeRetrieveError(G84)</f>
        <v/>
      </c>
    </row>
    <row r="85" spans="1:8" x14ac:dyDescent="0.2">
      <c r="A85" s="150"/>
      <c r="B85" s="111">
        <v>79</v>
      </c>
      <c r="C85" s="148" t="b">
        <v>0</v>
      </c>
      <c r="D85" s="148" t="str">
        <v>M0</v>
      </c>
      <c r="E85" s="252" t="str">
        <f t="shared" si="4"/>
        <v>EURFUT3MM0_Quote</v>
      </c>
      <c r="F85" s="253" t="str">
        <f t="shared" si="5"/>
        <v>EURFUT3MM0ConvAdj_Quote</v>
      </c>
      <c r="G85" s="252" t="str">
        <f>_xll.qlFuturesConvAdjustmentQuote($F85,IborIndex,$D85,$E85,Volatility,MeanReversion,Permanent,Trigger,ObjectOverwrite)</f>
        <v>EURFUT3MM0ConvAdj_Quote#0012</v>
      </c>
      <c r="H85" s="79" t="str">
        <f>_xll.ohRangeRetrieveError(G85)</f>
        <v/>
      </c>
    </row>
    <row r="86" spans="1:8" x14ac:dyDescent="0.2">
      <c r="A86" s="150"/>
      <c r="B86" s="111">
        <v>80</v>
      </c>
      <c r="C86" s="148" t="b">
        <v>0</v>
      </c>
      <c r="D86" s="148" t="str">
        <v>N0</v>
      </c>
      <c r="E86" s="252" t="str">
        <f t="shared" si="4"/>
        <v>EURFUT3MN0_Quote</v>
      </c>
      <c r="F86" s="253" t="str">
        <f t="shared" si="5"/>
        <v>EURFUT3MN0ConvAdj_Quote</v>
      </c>
      <c r="G86" s="252" t="str">
        <f>_xll.qlFuturesConvAdjustmentQuote($F86,IborIndex,$D86,$E86,Volatility,MeanReversion,Permanent,Trigger,ObjectOverwrite)</f>
        <v>EURFUT3MN0ConvAdj_Quote#0012</v>
      </c>
      <c r="H86" s="79" t="str">
        <f>_xll.ohRangeRetrieveError(G86)</f>
        <v/>
      </c>
    </row>
    <row r="87" spans="1:8" x14ac:dyDescent="0.2">
      <c r="A87" s="150"/>
      <c r="B87" s="111">
        <v>81</v>
      </c>
      <c r="C87" s="148" t="b">
        <v>0</v>
      </c>
      <c r="D87" s="148" t="str">
        <v>Q0</v>
      </c>
      <c r="E87" s="252" t="str">
        <f t="shared" si="4"/>
        <v>EURFUT3MQ0_Quote</v>
      </c>
      <c r="F87" s="253" t="str">
        <f t="shared" si="5"/>
        <v>EURFUT3MQ0ConvAdj_Quote</v>
      </c>
      <c r="G87" s="252" t="str">
        <f>_xll.qlFuturesConvAdjustmentQuote($F87,IborIndex,$D87,$E87,Volatility,MeanReversion,Permanent,Trigger,ObjectOverwrite)</f>
        <v>EURFUT3MQ0ConvAdj_Quote#0012</v>
      </c>
      <c r="H87" s="79" t="str">
        <f>_xll.ohRangeRetrieveError(G87)</f>
        <v/>
      </c>
    </row>
    <row r="88" spans="1:8" x14ac:dyDescent="0.2">
      <c r="A88" s="150"/>
      <c r="B88" s="111">
        <v>82</v>
      </c>
      <c r="C88" s="148" t="b">
        <v>0</v>
      </c>
      <c r="D88" s="148" t="str">
        <v>U0</v>
      </c>
      <c r="E88" s="252" t="str">
        <f t="shared" si="4"/>
        <v>EURFUT3MU0_Quote</v>
      </c>
      <c r="F88" s="253" t="str">
        <f t="shared" si="5"/>
        <v>EURFUT3MU0ConvAdj_Quote</v>
      </c>
      <c r="G88" s="252" t="str">
        <f>_xll.qlFuturesConvAdjustmentQuote($F88,IborIndex,$D88,$E88,Volatility,MeanReversion,Permanent,Trigger,ObjectOverwrite)</f>
        <v>EURFUT3MU0ConvAdj_Quote#0012</v>
      </c>
      <c r="H88" s="79" t="str">
        <f>_xll.ohRangeRetrieveError(G88)</f>
        <v/>
      </c>
    </row>
    <row r="89" spans="1:8" x14ac:dyDescent="0.2">
      <c r="A89" s="150"/>
      <c r="B89" s="111">
        <v>83</v>
      </c>
      <c r="C89" s="148" t="b">
        <v>0</v>
      </c>
      <c r="D89" s="148" t="str">
        <v>V0</v>
      </c>
      <c r="E89" s="252" t="str">
        <f t="shared" si="4"/>
        <v>EURFUT3MV0_Quote</v>
      </c>
      <c r="F89" s="253" t="str">
        <f t="shared" si="5"/>
        <v>EURFUT3MV0ConvAdj_Quote</v>
      </c>
      <c r="G89" s="252" t="str">
        <f>_xll.qlFuturesConvAdjustmentQuote($F89,IborIndex,$D89,$E89,Volatility,MeanReversion,Permanent,Trigger,ObjectOverwrite)</f>
        <v>EURFUT3MV0ConvAdj_Quote#0012</v>
      </c>
      <c r="H89" s="79" t="str">
        <f>_xll.ohRangeRetrieveError(G89)</f>
        <v/>
      </c>
    </row>
    <row r="90" spans="1:8" x14ac:dyDescent="0.2">
      <c r="A90" s="150"/>
      <c r="B90" s="111">
        <v>84</v>
      </c>
      <c r="C90" s="148" t="b">
        <v>0</v>
      </c>
      <c r="D90" s="148" t="str">
        <v>X0</v>
      </c>
      <c r="E90" s="252" t="str">
        <f t="shared" si="4"/>
        <v>EURFUT3MX0_Quote</v>
      </c>
      <c r="F90" s="253" t="str">
        <f t="shared" si="5"/>
        <v>EURFUT3MX0ConvAdj_Quote</v>
      </c>
      <c r="G90" s="252" t="str">
        <f>_xll.qlFuturesConvAdjustmentQuote($F90,IborIndex,$D90,$E90,Volatility,MeanReversion,Permanent,Trigger,ObjectOverwrite)</f>
        <v>EURFUT3MX0ConvAdj_Quote#0012</v>
      </c>
      <c r="H90" s="79" t="str">
        <f>_xll.ohRangeRetrieveError(G90)</f>
        <v/>
      </c>
    </row>
    <row r="91" spans="1:8" x14ac:dyDescent="0.2">
      <c r="A91" s="150"/>
      <c r="B91" s="111">
        <v>85</v>
      </c>
      <c r="C91" s="148" t="b">
        <v>0</v>
      </c>
      <c r="D91" s="148" t="str">
        <v>Z0</v>
      </c>
      <c r="E91" s="252" t="str">
        <f t="shared" si="4"/>
        <v>EURFUT3MZ0_Quote</v>
      </c>
      <c r="F91" s="253" t="str">
        <f t="shared" si="5"/>
        <v>EURFUT3MZ0ConvAdj_Quote</v>
      </c>
      <c r="G91" s="252" t="str">
        <f>_xll.qlFuturesConvAdjustmentQuote($F91,IborIndex,$D91,$E91,Volatility,MeanReversion,Permanent,Trigger,ObjectOverwrite)</f>
        <v>EURFUT3MZ0ConvAdj_Quote#0012</v>
      </c>
      <c r="H91" s="79" t="str">
        <f>_xll.ohRangeRetrieveError(G91)</f>
        <v/>
      </c>
    </row>
    <row r="92" spans="1:8" x14ac:dyDescent="0.2">
      <c r="A92" s="150"/>
      <c r="B92" s="111">
        <v>86</v>
      </c>
      <c r="C92" s="148" t="b">
        <v>0</v>
      </c>
      <c r="D92" s="148" t="str">
        <v>F1</v>
      </c>
      <c r="E92" s="252" t="str">
        <f t="shared" si="4"/>
        <v>EURFUT3MF1_Quote</v>
      </c>
      <c r="F92" s="253" t="str">
        <f t="shared" si="5"/>
        <v>EURFUT3MF1ConvAdj_Quote</v>
      </c>
      <c r="G92" s="252" t="str">
        <f>_xll.qlFuturesConvAdjustmentQuote($F92,IborIndex,$D92,$E92,Volatility,MeanReversion,Permanent,Trigger,ObjectOverwrite)</f>
        <v>EURFUT3MF1ConvAdj_Quote#0012</v>
      </c>
      <c r="H92" s="79" t="str">
        <f>_xll.ohRangeRetrieveError(G92)</f>
        <v/>
      </c>
    </row>
    <row r="93" spans="1:8" x14ac:dyDescent="0.2">
      <c r="A93" s="150"/>
      <c r="B93" s="111">
        <v>87</v>
      </c>
      <c r="C93" s="148" t="b">
        <v>0</v>
      </c>
      <c r="D93" s="148" t="str">
        <v>G1</v>
      </c>
      <c r="E93" s="252" t="str">
        <f t="shared" si="4"/>
        <v>EURFUT3MG1_Quote</v>
      </c>
      <c r="F93" s="253" t="str">
        <f t="shared" si="5"/>
        <v>EURFUT3MG1ConvAdj_Quote</v>
      </c>
      <c r="G93" s="252" t="str">
        <f>_xll.qlFuturesConvAdjustmentQuote($F93,IborIndex,$D93,$E93,Volatility,MeanReversion,Permanent,Trigger,ObjectOverwrite)</f>
        <v>EURFUT3MG1ConvAdj_Quote#0012</v>
      </c>
      <c r="H93" s="79" t="str">
        <f>_xll.ohRangeRetrieveError(G93)</f>
        <v/>
      </c>
    </row>
    <row r="94" spans="1:8" x14ac:dyDescent="0.2">
      <c r="A94" s="150"/>
      <c r="B94" s="111">
        <v>88</v>
      </c>
      <c r="C94" s="148" t="b">
        <v>0</v>
      </c>
      <c r="D94" s="148" t="str">
        <v>H1</v>
      </c>
      <c r="E94" s="252" t="str">
        <f t="shared" si="4"/>
        <v>EURFUT3MH1_Quote</v>
      </c>
      <c r="F94" s="253" t="str">
        <f t="shared" si="5"/>
        <v>EURFUT3MH1ConvAdj_Quote</v>
      </c>
      <c r="G94" s="252" t="str">
        <f>_xll.qlFuturesConvAdjustmentQuote($F94,IborIndex,$D94,$E94,Volatility,MeanReversion,Permanent,Trigger,ObjectOverwrite)</f>
        <v>EURFUT3MH1ConvAdj_Quote#0012</v>
      </c>
      <c r="H94" s="79" t="str">
        <f>_xll.ohRangeRetrieveError(G94)</f>
        <v/>
      </c>
    </row>
    <row r="95" spans="1:8" x14ac:dyDescent="0.2">
      <c r="A95" s="150"/>
      <c r="B95" s="111">
        <v>89</v>
      </c>
      <c r="C95" s="148" t="b">
        <v>0</v>
      </c>
      <c r="D95" s="148" t="str">
        <v>J1</v>
      </c>
      <c r="E95" s="252" t="str">
        <f t="shared" si="4"/>
        <v>EURFUT3MJ1_Quote</v>
      </c>
      <c r="F95" s="253" t="str">
        <f t="shared" si="5"/>
        <v>EURFUT3MJ1ConvAdj_Quote</v>
      </c>
      <c r="G95" s="252" t="str">
        <f>_xll.qlFuturesConvAdjustmentQuote($F95,IborIndex,$D95,$E95,Volatility,MeanReversion,Permanent,Trigger,ObjectOverwrite)</f>
        <v>EURFUT3MJ1ConvAdj_Quote#0012</v>
      </c>
      <c r="H95" s="79" t="str">
        <f>_xll.ohRangeRetrieveError(G95)</f>
        <v/>
      </c>
    </row>
    <row r="96" spans="1:8" x14ac:dyDescent="0.2">
      <c r="A96" s="150"/>
      <c r="B96" s="111">
        <v>90</v>
      </c>
      <c r="C96" s="148" t="b">
        <v>0</v>
      </c>
      <c r="D96" s="148" t="str">
        <v>K1</v>
      </c>
      <c r="E96" s="252" t="str">
        <f t="shared" si="4"/>
        <v>EURFUT3MK1_Quote</v>
      </c>
      <c r="F96" s="253" t="str">
        <f t="shared" si="5"/>
        <v>EURFUT3MK1ConvAdj_Quote</v>
      </c>
      <c r="G96" s="252" t="str">
        <f>_xll.qlFuturesConvAdjustmentQuote($F96,IborIndex,$D96,$E96,Volatility,MeanReversion,Permanent,Trigger,ObjectOverwrite)</f>
        <v>EURFUT3MK1ConvAdj_Quote#0012</v>
      </c>
      <c r="H96" s="79" t="str">
        <f>_xll.ohRangeRetrieveError(G96)</f>
        <v/>
      </c>
    </row>
    <row r="97" spans="1:8" x14ac:dyDescent="0.2">
      <c r="A97" s="150"/>
      <c r="B97" s="111">
        <v>91</v>
      </c>
      <c r="C97" s="148" t="b">
        <v>0</v>
      </c>
      <c r="D97" s="148" t="str">
        <v>M1</v>
      </c>
      <c r="E97" s="252" t="str">
        <f t="shared" si="4"/>
        <v>EURFUT3MM1_Quote</v>
      </c>
      <c r="F97" s="253" t="str">
        <f t="shared" si="5"/>
        <v>EURFUT3MM1ConvAdj_Quote</v>
      </c>
      <c r="G97" s="252" t="str">
        <f>_xll.qlFuturesConvAdjustmentQuote($F97,IborIndex,$D97,$E97,Volatility,MeanReversion,Permanent,Trigger,ObjectOverwrite)</f>
        <v>EURFUT3MM1ConvAdj_Quote#0012</v>
      </c>
      <c r="H97" s="79" t="str">
        <f>_xll.ohRangeRetrieveError(G97)</f>
        <v/>
      </c>
    </row>
    <row r="98" spans="1:8" x14ac:dyDescent="0.2">
      <c r="A98" s="150"/>
      <c r="B98" s="111">
        <v>92</v>
      </c>
      <c r="C98" s="148" t="b">
        <v>0</v>
      </c>
      <c r="D98" s="148" t="str">
        <v>N1</v>
      </c>
      <c r="E98" s="252" t="str">
        <f t="shared" si="4"/>
        <v>EURFUT3MN1_Quote</v>
      </c>
      <c r="F98" s="253" t="str">
        <f t="shared" si="5"/>
        <v>EURFUT3MN1ConvAdj_Quote</v>
      </c>
      <c r="G98" s="252" t="str">
        <f>_xll.qlFuturesConvAdjustmentQuote($F98,IborIndex,$D98,$E98,Volatility,MeanReversion,Permanent,Trigger,ObjectOverwrite)</f>
        <v>EURFUT3MN1ConvAdj_Quote#0012</v>
      </c>
      <c r="H98" s="79" t="str">
        <f>_xll.ohRangeRetrieveError(G98)</f>
        <v/>
      </c>
    </row>
    <row r="99" spans="1:8" x14ac:dyDescent="0.2">
      <c r="A99" s="150"/>
      <c r="B99" s="111">
        <v>93</v>
      </c>
      <c r="C99" s="148" t="b">
        <v>0</v>
      </c>
      <c r="D99" s="148" t="str">
        <v>Q1</v>
      </c>
      <c r="E99" s="252" t="str">
        <f t="shared" si="4"/>
        <v>EURFUT3MQ1_Quote</v>
      </c>
      <c r="F99" s="253" t="str">
        <f t="shared" si="5"/>
        <v>EURFUT3MQ1ConvAdj_Quote</v>
      </c>
      <c r="G99" s="252" t="str">
        <f>_xll.qlFuturesConvAdjustmentQuote($F99,IborIndex,$D99,$E99,Volatility,MeanReversion,Permanent,Trigger,ObjectOverwrite)</f>
        <v>EURFUT3MQ1ConvAdj_Quote#0012</v>
      </c>
      <c r="H99" s="79" t="str">
        <f>_xll.ohRangeRetrieveError(G99)</f>
        <v/>
      </c>
    </row>
    <row r="100" spans="1:8" x14ac:dyDescent="0.2">
      <c r="A100" s="150"/>
      <c r="B100" s="111">
        <v>94</v>
      </c>
      <c r="C100" s="148" t="b">
        <v>0</v>
      </c>
      <c r="D100" s="148" t="str">
        <v>U1</v>
      </c>
      <c r="E100" s="252" t="str">
        <f t="shared" si="4"/>
        <v>EURFUT3MU1_Quote</v>
      </c>
      <c r="F100" s="253" t="str">
        <f t="shared" si="5"/>
        <v>EURFUT3MU1ConvAdj_Quote</v>
      </c>
      <c r="G100" s="252" t="str">
        <f>_xll.qlFuturesConvAdjustmentQuote($F100,IborIndex,$D100,$E100,Volatility,MeanReversion,Permanent,Trigger,ObjectOverwrite)</f>
        <v>EURFUT3MU1ConvAdj_Quote#0012</v>
      </c>
      <c r="H100" s="79" t="str">
        <f>_xll.ohRangeRetrieveError(G100)</f>
        <v/>
      </c>
    </row>
    <row r="101" spans="1:8" x14ac:dyDescent="0.2">
      <c r="A101" s="150"/>
      <c r="B101" s="111">
        <v>95</v>
      </c>
      <c r="C101" s="148" t="b">
        <v>0</v>
      </c>
      <c r="D101" s="148" t="str">
        <v>V1</v>
      </c>
      <c r="E101" s="252" t="str">
        <f t="shared" si="4"/>
        <v>EURFUT3MV1_Quote</v>
      </c>
      <c r="F101" s="253" t="str">
        <f t="shared" si="5"/>
        <v>EURFUT3MV1ConvAdj_Quote</v>
      </c>
      <c r="G101" s="252" t="str">
        <f>_xll.qlFuturesConvAdjustmentQuote($F101,IborIndex,$D101,$E101,Volatility,MeanReversion,Permanent,Trigger,ObjectOverwrite)</f>
        <v>EURFUT3MV1ConvAdj_Quote#0012</v>
      </c>
      <c r="H101" s="79" t="str">
        <f>_xll.ohRangeRetrieveError(G101)</f>
        <v/>
      </c>
    </row>
    <row r="102" spans="1:8" x14ac:dyDescent="0.2">
      <c r="A102" s="150"/>
      <c r="B102" s="111">
        <v>96</v>
      </c>
      <c r="C102" s="148" t="b">
        <v>0</v>
      </c>
      <c r="D102" s="148" t="str">
        <v>X1</v>
      </c>
      <c r="E102" s="252" t="str">
        <f t="shared" si="4"/>
        <v>EURFUT3MX1_Quote</v>
      </c>
      <c r="F102" s="253" t="str">
        <f t="shared" si="5"/>
        <v>EURFUT3MX1ConvAdj_Quote</v>
      </c>
      <c r="G102" s="252" t="str">
        <f>_xll.qlFuturesConvAdjustmentQuote($F102,IborIndex,$D102,$E102,Volatility,MeanReversion,Permanent,Trigger,ObjectOverwrite)</f>
        <v>EURFUT3MX1ConvAdj_Quote#0012</v>
      </c>
      <c r="H102" s="79" t="str">
        <f>_xll.ohRangeRetrieveError(G102)</f>
        <v/>
      </c>
    </row>
    <row r="103" spans="1:8" x14ac:dyDescent="0.2">
      <c r="A103" s="150"/>
      <c r="B103" s="111">
        <v>97</v>
      </c>
      <c r="C103" s="148" t="b">
        <v>0</v>
      </c>
      <c r="D103" s="148" t="str">
        <v>Z1</v>
      </c>
      <c r="E103" s="252" t="str">
        <f t="shared" ref="E103:E126" si="6">Currency&amp;"FUT"&amp;$G$4&amp;$D103&amp;QuoteSuffix</f>
        <v>EURFUT3MZ1_Quote</v>
      </c>
      <c r="F103" s="253" t="str">
        <f t="shared" ref="F103:F126" si="7">Currency&amp;"FUT"&amp;$G$4&amp;$D103&amp;"ConvAdj"&amp;QuoteSuffix</f>
        <v>EURFUT3MZ1ConvAdj_Quote</v>
      </c>
      <c r="G103" s="252" t="str">
        <f>_xll.qlFuturesConvAdjustmentQuote($F103,IborIndex,$D103,$E103,Volatility,MeanReversion,Permanent,Trigger,ObjectOverwrite)</f>
        <v>EURFUT3MZ1ConvAdj_Quote#0012</v>
      </c>
      <c r="H103" s="79" t="str">
        <f>_xll.ohRangeRetrieveError(G103)</f>
        <v/>
      </c>
    </row>
    <row r="104" spans="1:8" x14ac:dyDescent="0.2">
      <c r="A104" s="150"/>
      <c r="B104" s="111">
        <v>98</v>
      </c>
      <c r="C104" s="148" t="b">
        <v>0</v>
      </c>
      <c r="D104" s="148" t="str">
        <v>F2</v>
      </c>
      <c r="E104" s="252" t="str">
        <f t="shared" si="6"/>
        <v>EURFUT3MF2_Quote</v>
      </c>
      <c r="F104" s="253" t="str">
        <f t="shared" si="7"/>
        <v>EURFUT3MF2ConvAdj_Quote</v>
      </c>
      <c r="G104" s="252" t="str">
        <f>_xll.qlFuturesConvAdjustmentQuote($F104,IborIndex,$D104,$E104,Volatility,MeanReversion,Permanent,Trigger,ObjectOverwrite)</f>
        <v>EURFUT3MF2ConvAdj_Quote#0012</v>
      </c>
      <c r="H104" s="79" t="str">
        <f>_xll.ohRangeRetrieveError(G104)</f>
        <v/>
      </c>
    </row>
    <row r="105" spans="1:8" x14ac:dyDescent="0.2">
      <c r="A105" s="150"/>
      <c r="B105" s="111">
        <v>99</v>
      </c>
      <c r="C105" s="148" t="b">
        <v>0</v>
      </c>
      <c r="D105" s="148" t="str">
        <v>G2</v>
      </c>
      <c r="E105" s="252" t="str">
        <f t="shared" si="6"/>
        <v>EURFUT3MG2_Quote</v>
      </c>
      <c r="F105" s="253" t="str">
        <f t="shared" si="7"/>
        <v>EURFUT3MG2ConvAdj_Quote</v>
      </c>
      <c r="G105" s="252" t="str">
        <f>_xll.qlFuturesConvAdjustmentQuote($F105,IborIndex,$D105,$E105,Volatility,MeanReversion,Permanent,Trigger,ObjectOverwrite)</f>
        <v>EURFUT3MG2ConvAdj_Quote#0012</v>
      </c>
      <c r="H105" s="79" t="str">
        <f>_xll.ohRangeRetrieveError(G105)</f>
        <v/>
      </c>
    </row>
    <row r="106" spans="1:8" x14ac:dyDescent="0.2">
      <c r="A106" s="150"/>
      <c r="B106" s="111">
        <v>100</v>
      </c>
      <c r="C106" s="148" t="b">
        <v>0</v>
      </c>
      <c r="D106" s="148" t="str">
        <v>H2</v>
      </c>
      <c r="E106" s="252" t="str">
        <f t="shared" si="6"/>
        <v>EURFUT3MH2_Quote</v>
      </c>
      <c r="F106" s="253" t="str">
        <f t="shared" si="7"/>
        <v>EURFUT3MH2ConvAdj_Quote</v>
      </c>
      <c r="G106" s="252" t="str">
        <f>_xll.qlFuturesConvAdjustmentQuote($F106,IborIndex,$D106,$E106,Volatility,MeanReversion,Permanent,Trigger,ObjectOverwrite)</f>
        <v>EURFUT3MH2ConvAdj_Quote#0012</v>
      </c>
      <c r="H106" s="79" t="str">
        <f>_xll.ohRangeRetrieveError(G106)</f>
        <v/>
      </c>
    </row>
    <row r="107" spans="1:8" x14ac:dyDescent="0.2">
      <c r="A107" s="150"/>
      <c r="B107" s="111">
        <v>101</v>
      </c>
      <c r="C107" s="148" t="b">
        <v>0</v>
      </c>
      <c r="D107" s="148" t="str">
        <v>J2</v>
      </c>
      <c r="E107" s="252" t="str">
        <f t="shared" si="6"/>
        <v>EURFUT3MJ2_Quote</v>
      </c>
      <c r="F107" s="253" t="str">
        <f t="shared" si="7"/>
        <v>EURFUT3MJ2ConvAdj_Quote</v>
      </c>
      <c r="G107" s="252" t="str">
        <f>_xll.qlFuturesConvAdjustmentQuote($F107,IborIndex,$D107,$E107,Volatility,MeanReversion,Permanent,Trigger,ObjectOverwrite)</f>
        <v>EURFUT3MJ2ConvAdj_Quote#0012</v>
      </c>
      <c r="H107" s="79" t="str">
        <f>_xll.ohRangeRetrieveError(G107)</f>
        <v/>
      </c>
    </row>
    <row r="108" spans="1:8" x14ac:dyDescent="0.2">
      <c r="A108" s="150"/>
      <c r="B108" s="111">
        <v>102</v>
      </c>
      <c r="C108" s="148" t="b">
        <v>0</v>
      </c>
      <c r="D108" s="148" t="str">
        <v>K2</v>
      </c>
      <c r="E108" s="252" t="str">
        <f t="shared" si="6"/>
        <v>EURFUT3MK2_Quote</v>
      </c>
      <c r="F108" s="253" t="str">
        <f t="shared" si="7"/>
        <v>EURFUT3MK2ConvAdj_Quote</v>
      </c>
      <c r="G108" s="252" t="str">
        <f>_xll.qlFuturesConvAdjustmentQuote($F108,IborIndex,$D108,$E108,Volatility,MeanReversion,Permanent,Trigger,ObjectOverwrite)</f>
        <v>EURFUT3MK2ConvAdj_Quote#0012</v>
      </c>
      <c r="H108" s="79" t="str">
        <f>_xll.ohRangeRetrieveError(G108)</f>
        <v/>
      </c>
    </row>
    <row r="109" spans="1:8" x14ac:dyDescent="0.2">
      <c r="A109" s="150"/>
      <c r="B109" s="111">
        <v>103</v>
      </c>
      <c r="C109" s="148" t="b">
        <v>0</v>
      </c>
      <c r="D109" s="148" t="str">
        <v>M2</v>
      </c>
      <c r="E109" s="252" t="str">
        <f t="shared" si="6"/>
        <v>EURFUT3MM2_Quote</v>
      </c>
      <c r="F109" s="253" t="str">
        <f t="shared" si="7"/>
        <v>EURFUT3MM2ConvAdj_Quote</v>
      </c>
      <c r="G109" s="252" t="str">
        <f>_xll.qlFuturesConvAdjustmentQuote($F109,IborIndex,$D109,$E109,Volatility,MeanReversion,Permanent,Trigger,ObjectOverwrite)</f>
        <v>EURFUT3MM2ConvAdj_Quote#0012</v>
      </c>
      <c r="H109" s="79" t="str">
        <f>_xll.ohRangeRetrieveError(G109)</f>
        <v/>
      </c>
    </row>
    <row r="110" spans="1:8" x14ac:dyDescent="0.2">
      <c r="A110" s="150"/>
      <c r="B110" s="111">
        <v>104</v>
      </c>
      <c r="C110" s="148" t="b">
        <v>0</v>
      </c>
      <c r="D110" s="148" t="str">
        <v>N2</v>
      </c>
      <c r="E110" s="252" t="str">
        <f t="shared" si="6"/>
        <v>EURFUT3MN2_Quote</v>
      </c>
      <c r="F110" s="253" t="str">
        <f t="shared" si="7"/>
        <v>EURFUT3MN2ConvAdj_Quote</v>
      </c>
      <c r="G110" s="252" t="str">
        <f>_xll.qlFuturesConvAdjustmentQuote($F110,IborIndex,$D110,$E110,Volatility,MeanReversion,Permanent,Trigger,ObjectOverwrite)</f>
        <v>EURFUT3MN2ConvAdj_Quote#0012</v>
      </c>
      <c r="H110" s="79" t="str">
        <f>_xll.ohRangeRetrieveError(G110)</f>
        <v/>
      </c>
    </row>
    <row r="111" spans="1:8" x14ac:dyDescent="0.2">
      <c r="A111" s="150"/>
      <c r="B111" s="111">
        <v>105</v>
      </c>
      <c r="C111" s="148" t="b">
        <v>0</v>
      </c>
      <c r="D111" s="148" t="str">
        <v>Q2</v>
      </c>
      <c r="E111" s="252" t="str">
        <f t="shared" si="6"/>
        <v>EURFUT3MQ2_Quote</v>
      </c>
      <c r="F111" s="253" t="str">
        <f t="shared" si="7"/>
        <v>EURFUT3MQ2ConvAdj_Quote</v>
      </c>
      <c r="G111" s="252" t="str">
        <f>_xll.qlFuturesConvAdjustmentQuote($F111,IborIndex,$D111,$E111,Volatility,MeanReversion,Permanent,Trigger,ObjectOverwrite)</f>
        <v>EURFUT3MQ2ConvAdj_Quote#0012</v>
      </c>
      <c r="H111" s="79" t="str">
        <f>_xll.ohRangeRetrieveError(G111)</f>
        <v/>
      </c>
    </row>
    <row r="112" spans="1:8" x14ac:dyDescent="0.2">
      <c r="A112" s="150"/>
      <c r="B112" s="111">
        <v>106</v>
      </c>
      <c r="C112" s="148" t="b">
        <v>0</v>
      </c>
      <c r="D112" s="148" t="str">
        <v>U2</v>
      </c>
      <c r="E112" s="252" t="str">
        <f t="shared" si="6"/>
        <v>EURFUT3MU2_Quote</v>
      </c>
      <c r="F112" s="253" t="str">
        <f t="shared" si="7"/>
        <v>EURFUT3MU2ConvAdj_Quote</v>
      </c>
      <c r="G112" s="252" t="str">
        <f>_xll.qlFuturesConvAdjustmentQuote($F112,IborIndex,$D112,$E112,Volatility,MeanReversion,Permanent,Trigger,ObjectOverwrite)</f>
        <v>EURFUT3MU2ConvAdj_Quote#0012</v>
      </c>
      <c r="H112" s="79" t="str">
        <f>_xll.ohRangeRetrieveError(G112)</f>
        <v/>
      </c>
    </row>
    <row r="113" spans="1:8" x14ac:dyDescent="0.2">
      <c r="A113" s="150"/>
      <c r="B113" s="111">
        <v>107</v>
      </c>
      <c r="C113" s="148" t="b">
        <v>0</v>
      </c>
      <c r="D113" s="148" t="str">
        <v>V2</v>
      </c>
      <c r="E113" s="252" t="str">
        <f t="shared" si="6"/>
        <v>EURFUT3MV2_Quote</v>
      </c>
      <c r="F113" s="253" t="str">
        <f t="shared" si="7"/>
        <v>EURFUT3MV2ConvAdj_Quote</v>
      </c>
      <c r="G113" s="252" t="str">
        <f>_xll.qlFuturesConvAdjustmentQuote($F113,IborIndex,$D113,$E113,Volatility,MeanReversion,Permanent,Trigger,ObjectOverwrite)</f>
        <v>EURFUT3MV2ConvAdj_Quote#0012</v>
      </c>
      <c r="H113" s="79" t="str">
        <f>_xll.ohRangeRetrieveError(G113)</f>
        <v/>
      </c>
    </row>
    <row r="114" spans="1:8" x14ac:dyDescent="0.2">
      <c r="A114" s="150"/>
      <c r="B114" s="111">
        <v>108</v>
      </c>
      <c r="C114" s="148" t="b">
        <v>0</v>
      </c>
      <c r="D114" s="148" t="str">
        <v>X2</v>
      </c>
      <c r="E114" s="252" t="str">
        <f t="shared" si="6"/>
        <v>EURFUT3MX2_Quote</v>
      </c>
      <c r="F114" s="253" t="str">
        <f t="shared" si="7"/>
        <v>EURFUT3MX2ConvAdj_Quote</v>
      </c>
      <c r="G114" s="252" t="str">
        <f>_xll.qlFuturesConvAdjustmentQuote($F114,IborIndex,$D114,$E114,Volatility,MeanReversion,Permanent,Trigger,ObjectOverwrite)</f>
        <v>EURFUT3MX2ConvAdj_Quote#0012</v>
      </c>
      <c r="H114" s="79" t="str">
        <f>_xll.ohRangeRetrieveError(G114)</f>
        <v/>
      </c>
    </row>
    <row r="115" spans="1:8" x14ac:dyDescent="0.2">
      <c r="A115" s="150"/>
      <c r="B115" s="111">
        <v>109</v>
      </c>
      <c r="C115" s="148" t="b">
        <v>0</v>
      </c>
      <c r="D115" s="148" t="str">
        <v>Z2</v>
      </c>
      <c r="E115" s="252" t="str">
        <f t="shared" si="6"/>
        <v>EURFUT3MZ2_Quote</v>
      </c>
      <c r="F115" s="253" t="str">
        <f t="shared" si="7"/>
        <v>EURFUT3MZ2ConvAdj_Quote</v>
      </c>
      <c r="G115" s="252" t="str">
        <f>_xll.qlFuturesConvAdjustmentQuote($F115,IborIndex,$D115,$E115,Volatility,MeanReversion,Permanent,Trigger,ObjectOverwrite)</f>
        <v>EURFUT3MZ2ConvAdj_Quote#0012</v>
      </c>
      <c r="H115" s="79" t="str">
        <f>_xll.ohRangeRetrieveError(G115)</f>
        <v/>
      </c>
    </row>
    <row r="116" spans="1:8" x14ac:dyDescent="0.2">
      <c r="A116" s="150"/>
      <c r="B116" s="111">
        <v>110</v>
      </c>
      <c r="C116" s="148" t="b">
        <v>0</v>
      </c>
      <c r="D116" s="148" t="str">
        <v>F3</v>
      </c>
      <c r="E116" s="252" t="str">
        <f t="shared" si="6"/>
        <v>EURFUT3MF3_Quote</v>
      </c>
      <c r="F116" s="253" t="str">
        <f t="shared" si="7"/>
        <v>EURFUT3MF3ConvAdj_Quote</v>
      </c>
      <c r="G116" s="252" t="str">
        <f>_xll.qlFuturesConvAdjustmentQuote($F116,IborIndex,$D116,$E116,Volatility,MeanReversion,Permanent,Trigger,ObjectOverwrite)</f>
        <v>EURFUT3MF3ConvAdj_Quote#0012</v>
      </c>
      <c r="H116" s="79" t="str">
        <f>_xll.ohRangeRetrieveError(G116)</f>
        <v/>
      </c>
    </row>
    <row r="117" spans="1:8" x14ac:dyDescent="0.2">
      <c r="A117" s="150"/>
      <c r="B117" s="111">
        <v>111</v>
      </c>
      <c r="C117" s="148" t="b">
        <v>0</v>
      </c>
      <c r="D117" s="148" t="str">
        <v>G3</v>
      </c>
      <c r="E117" s="252" t="str">
        <f t="shared" si="6"/>
        <v>EURFUT3MG3_Quote</v>
      </c>
      <c r="F117" s="253" t="str">
        <f t="shared" si="7"/>
        <v>EURFUT3MG3ConvAdj_Quote</v>
      </c>
      <c r="G117" s="252" t="str">
        <f>_xll.qlFuturesConvAdjustmentQuote($F117,IborIndex,$D117,$E117,Volatility,MeanReversion,Permanent,Trigger,ObjectOverwrite)</f>
        <v>EURFUT3MG3ConvAdj_Quote#0012</v>
      </c>
      <c r="H117" s="79" t="str">
        <f>_xll.ohRangeRetrieveError(G117)</f>
        <v/>
      </c>
    </row>
    <row r="118" spans="1:8" x14ac:dyDescent="0.2">
      <c r="A118" s="150"/>
      <c r="B118" s="111">
        <v>112</v>
      </c>
      <c r="C118" s="148" t="b">
        <v>0</v>
      </c>
      <c r="D118" s="148" t="str">
        <v>H3</v>
      </c>
      <c r="E118" s="252" t="str">
        <f t="shared" si="6"/>
        <v>EURFUT3MH3_Quote</v>
      </c>
      <c r="F118" s="253" t="str">
        <f t="shared" si="7"/>
        <v>EURFUT3MH3ConvAdj_Quote</v>
      </c>
      <c r="G118" s="252" t="str">
        <f>_xll.qlFuturesConvAdjustmentQuote($F118,IborIndex,$D118,$E118,Volatility,MeanReversion,Permanent,Trigger,ObjectOverwrite)</f>
        <v>EURFUT3MH3ConvAdj_Quote#0012</v>
      </c>
      <c r="H118" s="79" t="str">
        <f>_xll.ohRangeRetrieveError(G118)</f>
        <v/>
      </c>
    </row>
    <row r="119" spans="1:8" x14ac:dyDescent="0.2">
      <c r="A119" s="150"/>
      <c r="B119" s="111">
        <v>113</v>
      </c>
      <c r="C119" s="148" t="b">
        <v>0</v>
      </c>
      <c r="D119" s="148" t="str">
        <v>J3</v>
      </c>
      <c r="E119" s="252" t="str">
        <f t="shared" si="6"/>
        <v>EURFUT3MJ3_Quote</v>
      </c>
      <c r="F119" s="253" t="str">
        <f t="shared" si="7"/>
        <v>EURFUT3MJ3ConvAdj_Quote</v>
      </c>
      <c r="G119" s="252" t="str">
        <f>_xll.qlFuturesConvAdjustmentQuote($F119,IborIndex,$D119,$E119,Volatility,MeanReversion,Permanent,Trigger,ObjectOverwrite)</f>
        <v>EURFUT3MJ3ConvAdj_Quote#0012</v>
      </c>
      <c r="H119" s="79" t="str">
        <f>_xll.ohRangeRetrieveError(G119)</f>
        <v/>
      </c>
    </row>
    <row r="120" spans="1:8" x14ac:dyDescent="0.2">
      <c r="A120" s="150"/>
      <c r="B120" s="111">
        <v>114</v>
      </c>
      <c r="C120" s="148" t="b">
        <v>0</v>
      </c>
      <c r="D120" s="148" t="str">
        <v>K3</v>
      </c>
      <c r="E120" s="252" t="str">
        <f t="shared" si="6"/>
        <v>EURFUT3MK3_Quote</v>
      </c>
      <c r="F120" s="253" t="str">
        <f t="shared" si="7"/>
        <v>EURFUT3MK3ConvAdj_Quote</v>
      </c>
      <c r="G120" s="252" t="str">
        <f>_xll.qlFuturesConvAdjustmentQuote($F120,IborIndex,$D120,$E120,Volatility,MeanReversion,Permanent,Trigger,ObjectOverwrite)</f>
        <v>EURFUT3MK3ConvAdj_Quote#0012</v>
      </c>
      <c r="H120" s="79" t="str">
        <f>_xll.ohRangeRetrieveError(G120)</f>
        <v/>
      </c>
    </row>
    <row r="121" spans="1:8" x14ac:dyDescent="0.2">
      <c r="A121" s="150"/>
      <c r="B121" s="111">
        <v>115</v>
      </c>
      <c r="C121" s="148" t="b">
        <v>0</v>
      </c>
      <c r="D121" s="148" t="str">
        <v>M3</v>
      </c>
      <c r="E121" s="252" t="str">
        <f t="shared" si="6"/>
        <v>EURFUT3MM3_Quote</v>
      </c>
      <c r="F121" s="253" t="str">
        <f t="shared" si="7"/>
        <v>EURFUT3MM3ConvAdj_Quote</v>
      </c>
      <c r="G121" s="252" t="str">
        <f>_xll.qlFuturesConvAdjustmentQuote($F121,IborIndex,$D121,$E121,Volatility,MeanReversion,Permanent,Trigger,ObjectOverwrite)</f>
        <v>EURFUT3MM3ConvAdj_Quote#0012</v>
      </c>
      <c r="H121" s="79" t="str">
        <f>_xll.ohRangeRetrieveError(G121)</f>
        <v/>
      </c>
    </row>
    <row r="122" spans="1:8" x14ac:dyDescent="0.2">
      <c r="A122" s="150"/>
      <c r="B122" s="111">
        <v>116</v>
      </c>
      <c r="C122" s="148" t="b">
        <v>0</v>
      </c>
      <c r="D122" s="148" t="str">
        <v>N3</v>
      </c>
      <c r="E122" s="252" t="str">
        <f t="shared" si="6"/>
        <v>EURFUT3MN3_Quote</v>
      </c>
      <c r="F122" s="253" t="str">
        <f t="shared" si="7"/>
        <v>EURFUT3MN3ConvAdj_Quote</v>
      </c>
      <c r="G122" s="252" t="str">
        <f>_xll.qlFuturesConvAdjustmentQuote($F122,IborIndex,$D122,$E122,Volatility,MeanReversion,Permanent,Trigger,ObjectOverwrite)</f>
        <v>EURFUT3MN3ConvAdj_Quote#0012</v>
      </c>
      <c r="H122" s="79" t="str">
        <f>_xll.ohRangeRetrieveError(G122)</f>
        <v/>
      </c>
    </row>
    <row r="123" spans="1:8" x14ac:dyDescent="0.2">
      <c r="A123" s="150"/>
      <c r="B123" s="111">
        <v>117</v>
      </c>
      <c r="C123" s="148" t="b">
        <v>0</v>
      </c>
      <c r="D123" s="148" t="str">
        <v>Q3</v>
      </c>
      <c r="E123" s="252" t="str">
        <f t="shared" si="6"/>
        <v>EURFUT3MQ3_Quote</v>
      </c>
      <c r="F123" s="253" t="str">
        <f t="shared" si="7"/>
        <v>EURFUT3MQ3ConvAdj_Quote</v>
      </c>
      <c r="G123" s="252" t="str">
        <f>_xll.qlFuturesConvAdjustmentQuote($F123,IborIndex,$D123,$E123,Volatility,MeanReversion,Permanent,Trigger,ObjectOverwrite)</f>
        <v>EURFUT3MQ3ConvAdj_Quote#0012</v>
      </c>
      <c r="H123" s="79" t="str">
        <f>_xll.ohRangeRetrieveError(G123)</f>
        <v/>
      </c>
    </row>
    <row r="124" spans="1:8" x14ac:dyDescent="0.2">
      <c r="A124" s="150"/>
      <c r="B124" s="111">
        <v>118</v>
      </c>
      <c r="C124" s="148" t="b">
        <v>0</v>
      </c>
      <c r="D124" s="148" t="str">
        <v>U3</v>
      </c>
      <c r="E124" s="252" t="str">
        <f t="shared" si="6"/>
        <v>EURFUT3MU3_Quote</v>
      </c>
      <c r="F124" s="253" t="str">
        <f t="shared" si="7"/>
        <v>EURFUT3MU3ConvAdj_Quote</v>
      </c>
      <c r="G124" s="252" t="str">
        <f>_xll.qlFuturesConvAdjustmentQuote($F124,IborIndex,$D124,$E124,Volatility,MeanReversion,Permanent,Trigger,ObjectOverwrite)</f>
        <v>EURFUT3MU3ConvAdj_Quote#0012</v>
      </c>
      <c r="H124" s="79" t="str">
        <f>_xll.ohRangeRetrieveError(G124)</f>
        <v/>
      </c>
    </row>
    <row r="125" spans="1:8" x14ac:dyDescent="0.2">
      <c r="A125" s="150"/>
      <c r="B125" s="111">
        <v>119</v>
      </c>
      <c r="C125" s="148" t="b">
        <v>0</v>
      </c>
      <c r="D125" s="148" t="str">
        <v>V3</v>
      </c>
      <c r="E125" s="252" t="str">
        <f t="shared" si="6"/>
        <v>EURFUT3MV3_Quote</v>
      </c>
      <c r="F125" s="253" t="str">
        <f t="shared" si="7"/>
        <v>EURFUT3MV3ConvAdj_Quote</v>
      </c>
      <c r="G125" s="252" t="str">
        <f>_xll.qlFuturesConvAdjustmentQuote($F125,IborIndex,$D125,$E125,Volatility,MeanReversion,Permanent,Trigger,ObjectOverwrite)</f>
        <v>EURFUT3MV3ConvAdj_Quote#0012</v>
      </c>
      <c r="H125" s="79" t="str">
        <f>_xll.ohRangeRetrieveError(G125)</f>
        <v/>
      </c>
    </row>
    <row r="126" spans="1:8" ht="12" thickBot="1" x14ac:dyDescent="0.25">
      <c r="A126" s="144"/>
      <c r="B126" s="111">
        <v>120</v>
      </c>
      <c r="C126" s="148" t="b">
        <v>0</v>
      </c>
      <c r="D126" s="148" t="str">
        <v>X3</v>
      </c>
      <c r="E126" s="252" t="str">
        <f t="shared" si="6"/>
        <v>EURFUT3MX3_Quote</v>
      </c>
      <c r="F126" s="253" t="str">
        <f t="shared" si="7"/>
        <v>EURFUT3MX3ConvAdj_Quote</v>
      </c>
      <c r="G126" s="252" t="str">
        <f>_xll.qlFuturesConvAdjustmentQuote($F126,IborIndex,$D126,$E126,Volatility,MeanReversion,Permanent,Trigger,ObjectOverwrite)</f>
        <v>EURFUT3MX3ConvAdj_Quote#0012</v>
      </c>
      <c r="H126" s="79" t="str">
        <f>_xll.ohRangeRetrieveError(G126)</f>
        <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EURAB1EBASIS1Y_Quote#0011</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EURAB1EBASIS15M_Quote#0011</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EURAB1EBASIS18M_Quote#0011</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EURAB1EBASIS21M_Quote#0011</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EURAB1EBASIS2Y_Quote#0011</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EURAB1EBASIS3Y_Quote#0011</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EURAB1EBASIS4Y_Quote#0011</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EURAB1EBASIS5Y_Quote#0011</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EURAB1EBASIS6Y_Quote#0011</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EURAB1EBASIS7Y_Quote#0011</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EURAB1EBASIS8Y_Quote#0011</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EURAB1EBASIS9Y_Quote#0011</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EURAB1EBASIS10Y_Quote#0011</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EURAB1EBASIS11Y_Quote#0011</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EURAB1EBASIS12Y_Quote#0011</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EURAB1EBASIS13Y_Quote#0011</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EURAB1EBASIS14Y_Quote#0011</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EURAB1EBASIS15Y_Quote#0011</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EURAB1EBASIS16Y_Quote#0011</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EURAB1EBASIS17Y_Quote#0011</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EURAB1EBASIS18Y_Quote#0011</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EURAB1EBASIS19Y_Quote#0011</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EURAB1EBASIS20Y_Quote#0011</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EURAB1EBASIS21Y_Quote#0011</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EURAB1EBASIS22Y_Quote#0011</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EURAB1EBASIS23Y_Quote#0011</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EURAB1EBASIS24Y_Quote#0011</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EURAB1EBASIS25Y_Quote#0011</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EURAB1EBASIS26Y_Quote#0011</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EURAB1EBASIS27Y_Quote#0011</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EURAB1EBASIS28Y_Quote#0011</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EURAB1EBASIS29Y_Quote#0011</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EURAB1EBASIS30Y_Quote#0011</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EURAB1EBASIS35Y_Quote#0011</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EURAB1EBASIS40Y_Quote#0011</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EURAB1EBASIS50Y_Quote#0011</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EURAB1EBASIS60Y_Quote#0011</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EURAB3EBASIS1Y_Quote#0011</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EURAB3EBASIS15M_Quote#0011</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EURAB3EBASIS18M_Quote#0011</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EURAB3EBASIS21M_Quote#0011</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EURAB3EBASIS2Y_Quote#0011</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EURAB3EBASIS3Y_Quote#0011</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EURAB3EBASIS4Y_Quote#0011</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EURAB3EBASIS5Y_Quote#0011</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EURAB3EBASIS6Y_Quote#0011</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EURAB3EBASIS7Y_Quote#0011</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EURAB3EBASIS8Y_Quote#0011</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EURAB3EBASIS9Y_Quote#0011</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EURAB3EBASIS10Y_Quote#0011</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EURAB3EBASIS11Y_Quote#0011</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EURAB3EBASIS12Y_Quote#0011</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EURAB3EBASIS13Y_Quote#0011</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EURAB3EBASIS14Y_Quote#0011</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EURAB3EBASIS15Y_Quote#0011</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EURAB3EBASIS16Y_Quote#0011</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EURAB3EBASIS17Y_Quote#0011</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EURAB3EBASIS18Y_Quote#0011</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EURAB3EBASIS19Y_Quote#0011</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EURAB3EBASIS20Y_Quote#0011</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EURAB3EBASIS21Y_Quote#0011</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EURAB3EBASIS22Y_Quote#0011</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EURAB3EBASIS23Y_Quote#0011</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EURAB3EBASIS24Y_Quote#0011</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EURAB3EBASIS25Y_Quote#0011</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EURAB3EBASIS26Y_Quote#0011</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EURAB3EBASIS27Y_Quote#0011</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EURAB3EBASIS28Y_Quote#0011</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EURAB3EBASIS29Y_Quote#0011</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EURAB3EBASIS30Y_Quote#0011</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EURAB3EBASIS35Y_Quote#0011</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EURAB3EBASIS40Y_Quote#0011</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EURAB3EBASIS50Y_Quote#0011</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EURAB3EBASIS60Y_Quote#0011</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EURAB6EBASIS1Y_Quote#0011</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EURAB6EBASIS15M_Quote#0011</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EURAB6EBASIS18M_Quote#0011</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EURAB6EBASIS21M_Quote#0011</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EURAB6EBASIS2Y_Quote#0011</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EURAB6EBASIS3Y_Quote#0011</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EURAB6EBASIS4Y_Quote#0011</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EURAB6EBASIS5Y_Quote#0011</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EURAB6EBASIS6Y_Quote#0011</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EURAB6EBASIS7Y_Quote#0011</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EURAB6EBASIS8Y_Quote#0011</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EURAB6EBASIS9Y_Quote#0011</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EURAB6EBASIS10Y_Quote#0011</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EURAB6EBASIS11Y_Quote#0011</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EURAB6EBASIS12Y_Quote#0011</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EURAB6EBASIS13Y_Quote#0011</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EURAB6EBASIS14Y_Quote#0011</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EURAB6EBASIS15Y_Quote#0011</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EURAB6EBASIS16Y_Quote#0011</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EURAB6EBASIS17Y_Quote#0011</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EURAB6EBASIS18Y_Quote#0011</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EURAB6EBASIS19Y_Quote#0011</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EURAB6EBASIS20Y_Quote#0011</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EURAB6EBASIS21Y_Quote#0011</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EURAB6EBASIS22Y_Quote#0011</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EURAB6EBASIS23Y_Quote#0011</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EURAB6EBASIS24Y_Quote#0011</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EURAB6EBASIS25Y_Quote#0011</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EURAB6EBASIS26Y_Quote#0011</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EURAB6EBASIS27Y_Quote#0011</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EURAB6EBASIS28Y_Quote#0011</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EURAB6EBASIS29Y_Quote#0011</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EURAB6EBASIS30Y_Quote#0011</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EURAB6EBASIS35Y_Quote#0011</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EURAB6EBASIS40Y_Quote#0011</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EURAB6EBASIS50Y_Quote#0011</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EURAB6EBASIS60Y_Quote#0011</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EURAB12EBASIS1Y_Quote#0011</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EURAB12EBASIS15M_Quote#0011</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EURAB12EBASIS18M_Quote#0011</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EURAB12EBASIS21M_Quote#0011</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EURAB12EBASIS2Y_Quote#0011</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EURAB12EBASIS3Y_Quote#0011</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EURAB12EBASIS4Y_Quote#0011</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EURAB12EBASIS5Y_Quote#0011</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EURAB12EBASIS6Y_Quote#0011</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EURAB12EBASIS7Y_Quote#0011</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EURAB12EBASIS8Y_Quote#0011</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EURAB12EBASIS9Y_Quote#0011</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EURAB12EBASIS10Y_Quote#0011</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EURAB12EBASIS11Y_Quote#0011</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EURAB12EBASIS12Y_Quote#0011</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EURAB12EBASIS13Y_Quote#0011</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EURAB12EBASIS14Y_Quote#0011</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EURAB12EBASIS15Y_Quote#0011</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EURAB12EBASIS16Y_Quote#0011</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EURAB12EBASIS17Y_Quote#0011</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EURAB12EBASIS18Y_Quote#0011</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EURAB12EBASIS19Y_Quote#0011</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EURAB12EBASIS20Y_Quote#0011</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EURAB12EBASIS21Y_Quote#0011</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EURAB12EBASIS22Y_Quote#0011</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EURAB12EBASIS23Y_Quote#0011</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EURAB12EBASIS24Y_Quote#0011</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EURAB12EBASIS25Y_Quote#0011</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EURAB12EBASIS26Y_Quote#0011</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EURAB12EBASIS27Y_Quote#0011</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EURAB12EBASIS28Y_Quote#0011</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EURAB12EBASIS29Y_Quote#0011</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EURAB12EBASIS30Y_Quote#0011</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EURAB12EBASIS35Y_Quote#0011</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EURAB12EBASIS40Y_Quote#0011</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EURAB12EBASIS50Y_Quote#0011</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EURAB12EBASIS60Y_Quote#0011</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B25"/>
  <sheetViews>
    <sheetView workbookViewId="0">
      <selection activeCell="J5" sqref="J5:J22"/>
    </sheetView>
  </sheetViews>
  <sheetFormatPr defaultRowHeight="11.25" x14ac:dyDescent="0.2"/>
  <cols>
    <col min="1" max="1" width="4.28515625" style="21" customWidth="1"/>
    <col min="2" max="2" width="3.85546875" style="21" bestFit="1" customWidth="1"/>
    <col min="3" max="3" width="12.5703125" style="21" bestFit="1" customWidth="1"/>
    <col min="4" max="4" width="5.7109375" style="21" bestFit="1" customWidth="1"/>
    <col min="5" max="5" width="4.28515625" style="21" customWidth="1"/>
    <col min="6" max="6" width="5.7109375" style="21" bestFit="1" customWidth="1"/>
    <col min="7" max="7" width="4.28515625" style="21" customWidth="1"/>
    <col min="8" max="8" width="12.42578125" style="21" bestFit="1" customWidth="1"/>
    <col min="9" max="10" width="7.7109375" style="21" bestFit="1" customWidth="1"/>
    <col min="11" max="11" width="4.28515625" style="21" customWidth="1"/>
    <col min="12" max="12" width="2.140625" style="21" customWidth="1"/>
    <col min="13" max="13" width="9.42578125" style="21" bestFit="1" customWidth="1"/>
    <col min="14" max="15" width="7.140625" style="21" bestFit="1" customWidth="1"/>
    <col min="16" max="16" width="5.140625" style="21" bestFit="1" customWidth="1"/>
    <col min="17" max="17" width="4.85546875" style="21" bestFit="1" customWidth="1"/>
    <col min="18" max="16384" width="9.140625" style="21"/>
  </cols>
  <sheetData>
    <row r="1" spans="1:28" x14ac:dyDescent="0.2">
      <c r="A1" s="298" t="s">
        <v>311</v>
      </c>
      <c r="B1" s="203"/>
      <c r="C1" s="203"/>
      <c r="D1" s="203"/>
      <c r="E1" s="203"/>
      <c r="F1" s="203"/>
      <c r="G1" s="203"/>
      <c r="H1" s="203"/>
      <c r="I1" s="203"/>
      <c r="J1" s="203"/>
      <c r="K1" s="200"/>
    </row>
    <row r="2" spans="1:28" x14ac:dyDescent="0.2">
      <c r="A2" s="297"/>
      <c r="B2" s="296"/>
      <c r="C2" s="148" t="s">
        <v>238</v>
      </c>
      <c r="D2" s="260"/>
      <c r="E2" s="260"/>
      <c r="F2" s="260"/>
      <c r="G2" s="260"/>
      <c r="H2" s="295" t="s">
        <v>255</v>
      </c>
      <c r="I2" s="294" t="s">
        <v>254</v>
      </c>
      <c r="J2" s="293"/>
      <c r="K2" s="53"/>
      <c r="Y2" s="21">
        <v>0</v>
      </c>
      <c r="AB2" s="21">
        <v>1</v>
      </c>
    </row>
    <row r="3" spans="1:28" x14ac:dyDescent="0.2">
      <c r="A3" s="126"/>
      <c r="B3" s="293"/>
      <c r="C3" s="293"/>
      <c r="D3" s="293"/>
      <c r="E3" s="260"/>
      <c r="F3" s="260"/>
      <c r="G3" s="260"/>
      <c r="H3" s="293"/>
      <c r="I3" s="293"/>
      <c r="J3" s="292">
        <f>_xll.ohTrigger(J5:J22)</f>
        <v>21</v>
      </c>
      <c r="K3" s="221"/>
    </row>
    <row r="4" spans="1:28" ht="22.5" x14ac:dyDescent="0.2">
      <c r="A4" s="126"/>
      <c r="B4" s="288"/>
      <c r="C4" s="291" t="e">
        <f ca="1">_xll.RData(C5:C22,D4:D4,,ReutersRtMode,,D5)</f>
        <v>#NAME?</v>
      </c>
      <c r="D4" s="290" t="str">
        <f>VLOOKUP(Contributor,ContributorTable,5,FALSE)</f>
        <v>ASK</v>
      </c>
      <c r="E4" s="260"/>
      <c r="F4" s="289" t="s">
        <v>253</v>
      </c>
      <c r="G4" s="260"/>
      <c r="H4" s="288" t="s">
        <v>252</v>
      </c>
      <c r="I4" s="287" t="s">
        <v>251</v>
      </c>
      <c r="J4" s="286" t="s">
        <v>250</v>
      </c>
      <c r="K4" s="221"/>
      <c r="M4" s="285" t="s">
        <v>249</v>
      </c>
      <c r="N4" s="284" t="s">
        <v>248</v>
      </c>
      <c r="O4" s="284" t="s">
        <v>247</v>
      </c>
      <c r="P4" s="284" t="s">
        <v>246</v>
      </c>
      <c r="Q4" s="283" t="s">
        <v>245</v>
      </c>
    </row>
    <row r="5" spans="1:28" x14ac:dyDescent="0.2">
      <c r="A5" s="126"/>
      <c r="B5" s="282" t="s">
        <v>125</v>
      </c>
      <c r="C5" s="270" t="str">
        <f t="shared" ref="C5:C22" si="0">Currency&amp;VLOOKUP(Contributor,ContributorTable,2,FALSE)&amp;B5&amp;VLOOKUP(Contributor,ContributorTable,3,FALSE)&amp;"="&amp;VLOOKUP(Contributor,ContributorTable,4,FALSE)</f>
        <v>EUROND=CKCC</v>
      </c>
      <c r="D5" s="281">
        <v>0.1</v>
      </c>
      <c r="E5" s="260"/>
      <c r="F5" s="280">
        <v>0.1</v>
      </c>
      <c r="G5" s="260"/>
      <c r="H5" s="279" t="str">
        <f t="shared" ref="H5:H22" si="1">Currency&amp;B5&amp;$I$2</f>
        <v>EUROND_Quote</v>
      </c>
      <c r="I5" s="278">
        <f t="array" ref="I5:I22">QuoteLive</f>
        <v>0.1</v>
      </c>
      <c r="J5" s="277" t="e">
        <f>_xll.qlSimpleQuoteSetValue($H5,$I5/100,Trigger)</f>
        <v>#N/A</v>
      </c>
      <c r="K5" s="221"/>
      <c r="M5" s="276" t="s">
        <v>53</v>
      </c>
      <c r="N5" s="89" t="s">
        <v>244</v>
      </c>
      <c r="O5" s="89" t="s">
        <v>228</v>
      </c>
      <c r="P5" s="89" t="str">
        <f>""</f>
        <v/>
      </c>
      <c r="Q5" s="275" t="s">
        <v>241</v>
      </c>
    </row>
    <row r="6" spans="1:28" x14ac:dyDescent="0.2">
      <c r="A6" s="126"/>
      <c r="B6" s="271" t="s">
        <v>243</v>
      </c>
      <c r="C6" s="270" t="str">
        <f t="shared" si="0"/>
        <v>EURTND=CKCC</v>
      </c>
      <c r="D6" s="269">
        <v>0.1</v>
      </c>
      <c r="E6" s="260"/>
      <c r="F6" s="268">
        <v>0.1</v>
      </c>
      <c r="G6" s="260"/>
      <c r="H6" s="267" t="str">
        <f t="shared" si="1"/>
        <v>EURTND_Quote</v>
      </c>
      <c r="I6" s="266">
        <v>0.1</v>
      </c>
      <c r="J6" s="265" t="e">
        <f>_xll.qlSimpleQuoteSetValue($H6,$I6/100,Trigger)</f>
        <v>#N/A</v>
      </c>
      <c r="K6" s="221"/>
      <c r="M6" s="276" t="s">
        <v>126</v>
      </c>
      <c r="N6" s="89"/>
      <c r="O6" s="89" t="s">
        <v>242</v>
      </c>
      <c r="P6" s="89"/>
      <c r="Q6" s="275" t="s">
        <v>241</v>
      </c>
    </row>
    <row r="7" spans="1:28" x14ac:dyDescent="0.2">
      <c r="A7" s="126"/>
      <c r="B7" s="271" t="s">
        <v>240</v>
      </c>
      <c r="C7" s="270" t="str">
        <f t="shared" si="0"/>
        <v>EURSND=CKCC</v>
      </c>
      <c r="D7" s="269">
        <v>0.1</v>
      </c>
      <c r="E7" s="260"/>
      <c r="F7" s="268">
        <v>0.1</v>
      </c>
      <c r="G7" s="260"/>
      <c r="H7" s="267" t="str">
        <f t="shared" si="1"/>
        <v>EURSND_Quote</v>
      </c>
      <c r="I7" s="266">
        <v>0.1</v>
      </c>
      <c r="J7" s="265" t="e">
        <f>_xll.qlSimpleQuoteSetValue($H7,$I7/100,Trigger)</f>
        <v>#N/A</v>
      </c>
      <c r="K7" s="221"/>
      <c r="M7" s="276" t="s">
        <v>239</v>
      </c>
      <c r="N7" s="89"/>
      <c r="O7" s="89" t="s">
        <v>228</v>
      </c>
      <c r="P7" s="89"/>
      <c r="Q7" s="275" t="s">
        <v>226</v>
      </c>
    </row>
    <row r="8" spans="1:28" x14ac:dyDescent="0.2">
      <c r="A8" s="126"/>
      <c r="B8" s="271" t="s">
        <v>48</v>
      </c>
      <c r="C8" s="270" t="str">
        <f t="shared" si="0"/>
        <v>EURSWD=CKCC</v>
      </c>
      <c r="D8" s="269">
        <v>0.11</v>
      </c>
      <c r="E8" s="260"/>
      <c r="F8" s="268">
        <v>0.11</v>
      </c>
      <c r="G8" s="260"/>
      <c r="H8" s="267" t="str">
        <f t="shared" si="1"/>
        <v>EURSWD_Quote</v>
      </c>
      <c r="I8" s="266">
        <v>0.11</v>
      </c>
      <c r="J8" s="265" t="e">
        <f>_xll.qlSimpleQuoteSetValue($H8,$I8/100,Trigger)</f>
        <v>#N/A</v>
      </c>
      <c r="K8" s="221"/>
      <c r="M8" s="276" t="s">
        <v>238</v>
      </c>
      <c r="N8" s="89"/>
      <c r="O8" s="89" t="s">
        <v>228</v>
      </c>
      <c r="P8" s="89" t="s">
        <v>237</v>
      </c>
      <c r="Q8" s="275" t="s">
        <v>226</v>
      </c>
    </row>
    <row r="9" spans="1:28" x14ac:dyDescent="0.2">
      <c r="A9" s="126"/>
      <c r="B9" s="271" t="s">
        <v>47</v>
      </c>
      <c r="C9" s="270" t="str">
        <f t="shared" si="0"/>
        <v>EUR2WD=CKCC</v>
      </c>
      <c r="D9" s="269">
        <v>0.12</v>
      </c>
      <c r="E9" s="260"/>
      <c r="F9" s="268">
        <v>0.12</v>
      </c>
      <c r="G9" s="260"/>
      <c r="H9" s="267" t="str">
        <f t="shared" si="1"/>
        <v>EUR2WD_Quote</v>
      </c>
      <c r="I9" s="266">
        <v>0.12</v>
      </c>
      <c r="J9" s="265" t="e">
        <f>_xll.qlSimpleQuoteSetValue($H9,$I9/100,Trigger)</f>
        <v>#N/A</v>
      </c>
      <c r="K9" s="221"/>
      <c r="M9" s="276" t="s">
        <v>236</v>
      </c>
      <c r="N9" s="89"/>
      <c r="O9" s="89" t="s">
        <v>228</v>
      </c>
      <c r="P9" s="89" t="s">
        <v>236</v>
      </c>
      <c r="Q9" s="275" t="s">
        <v>226</v>
      </c>
    </row>
    <row r="10" spans="1:28" x14ac:dyDescent="0.2">
      <c r="A10" s="126"/>
      <c r="B10" s="271" t="s">
        <v>46</v>
      </c>
      <c r="C10" s="270" t="str">
        <f t="shared" si="0"/>
        <v>EUR3WD=CKCC</v>
      </c>
      <c r="D10" s="269">
        <v>0.13</v>
      </c>
      <c r="E10" s="260"/>
      <c r="F10" s="268">
        <v>0.13</v>
      </c>
      <c r="G10" s="260"/>
      <c r="H10" s="267" t="str">
        <f t="shared" si="1"/>
        <v>EUR3WD_Quote</v>
      </c>
      <c r="I10" s="266">
        <v>0.13</v>
      </c>
      <c r="J10" s="265" t="e">
        <f>_xll.qlSimpleQuoteSetValue($H10,$I10/100,Trigger)</f>
        <v>#N/A</v>
      </c>
      <c r="K10" s="221"/>
      <c r="M10" s="276" t="s">
        <v>235</v>
      </c>
      <c r="N10" s="89"/>
      <c r="O10" s="89" t="s">
        <v>228</v>
      </c>
      <c r="P10" s="89" t="s">
        <v>234</v>
      </c>
      <c r="Q10" s="275" t="s">
        <v>226</v>
      </c>
    </row>
    <row r="11" spans="1:28" x14ac:dyDescent="0.2">
      <c r="A11" s="126"/>
      <c r="B11" s="271" t="s">
        <v>45</v>
      </c>
      <c r="C11" s="270" t="str">
        <f t="shared" si="0"/>
        <v>EUR1MD=CKCC</v>
      </c>
      <c r="D11" s="269">
        <v>0.14000000000000001</v>
      </c>
      <c r="E11" s="260"/>
      <c r="F11" s="268">
        <v>0.14000000000000001</v>
      </c>
      <c r="G11" s="260"/>
      <c r="H11" s="267" t="str">
        <f t="shared" si="1"/>
        <v>EUR1MD_Quote</v>
      </c>
      <c r="I11" s="266">
        <v>0.14000000000000001</v>
      </c>
      <c r="J11" s="265" t="e">
        <f>_xll.qlSimpleQuoteSetValue($H11,$I11/100,Trigger)</f>
        <v>#N/A</v>
      </c>
      <c r="K11" s="221"/>
      <c r="M11" s="276" t="s">
        <v>233</v>
      </c>
      <c r="N11" s="89"/>
      <c r="O11" s="89" t="s">
        <v>228</v>
      </c>
      <c r="P11" s="89" t="s">
        <v>232</v>
      </c>
      <c r="Q11" s="275" t="s">
        <v>226</v>
      </c>
    </row>
    <row r="12" spans="1:28" x14ac:dyDescent="0.2">
      <c r="A12" s="126"/>
      <c r="B12" s="271" t="s">
        <v>44</v>
      </c>
      <c r="C12" s="270" t="str">
        <f t="shared" si="0"/>
        <v>EUR2MD=CKCC</v>
      </c>
      <c r="D12" s="269">
        <v>0.18</v>
      </c>
      <c r="E12" s="260"/>
      <c r="F12" s="268">
        <v>0.18</v>
      </c>
      <c r="G12" s="260"/>
      <c r="H12" s="267" t="str">
        <f t="shared" si="1"/>
        <v>EUR2MD_Quote</v>
      </c>
      <c r="I12" s="266">
        <v>0.18</v>
      </c>
      <c r="J12" s="265" t="e">
        <f>_xll.qlSimpleQuoteSetValue($H12,$I12/100,Trigger)</f>
        <v>#N/A</v>
      </c>
      <c r="K12" s="221"/>
      <c r="M12" s="276" t="s">
        <v>231</v>
      </c>
      <c r="N12" s="89"/>
      <c r="O12" s="89" t="s">
        <v>228</v>
      </c>
      <c r="P12" s="89" t="s">
        <v>230</v>
      </c>
      <c r="Q12" s="275" t="s">
        <v>226</v>
      </c>
    </row>
    <row r="13" spans="1:28" x14ac:dyDescent="0.2">
      <c r="A13" s="126"/>
      <c r="B13" s="271" t="s">
        <v>43</v>
      </c>
      <c r="C13" s="270" t="str">
        <f t="shared" si="0"/>
        <v>EUR3MD=CKCC</v>
      </c>
      <c r="D13" s="269">
        <v>0.22</v>
      </c>
      <c r="E13" s="260"/>
      <c r="F13" s="268">
        <v>0.22</v>
      </c>
      <c r="G13" s="260"/>
      <c r="H13" s="267" t="str">
        <f t="shared" si="1"/>
        <v>EUR3MD_Quote</v>
      </c>
      <c r="I13" s="266">
        <v>0.22</v>
      </c>
      <c r="J13" s="265" t="e">
        <f>_xll.qlSimpleQuoteSetValue($H13,$I13/100,Trigger)</f>
        <v>#N/A</v>
      </c>
      <c r="K13" s="221"/>
      <c r="M13" s="274" t="s">
        <v>229</v>
      </c>
      <c r="N13" s="273"/>
      <c r="O13" s="273" t="s">
        <v>228</v>
      </c>
      <c r="P13" s="273" t="s">
        <v>227</v>
      </c>
      <c r="Q13" s="272" t="s">
        <v>226</v>
      </c>
    </row>
    <row r="14" spans="1:28" x14ac:dyDescent="0.2">
      <c r="A14" s="126"/>
      <c r="B14" s="271" t="s">
        <v>42</v>
      </c>
      <c r="C14" s="270" t="str">
        <f t="shared" si="0"/>
        <v>EUR4MD=CKCC</v>
      </c>
      <c r="D14" s="269">
        <v>0.26</v>
      </c>
      <c r="E14" s="260"/>
      <c r="F14" s="268">
        <v>0.26</v>
      </c>
      <c r="G14" s="260"/>
      <c r="H14" s="267" t="str">
        <f t="shared" si="1"/>
        <v>EUR4MD_Quote</v>
      </c>
      <c r="I14" s="266">
        <v>0.26</v>
      </c>
      <c r="J14" s="265" t="e">
        <f>_xll.qlSimpleQuoteSetValue($H14,$I14/100,Trigger)</f>
        <v>#N/A</v>
      </c>
      <c r="K14" s="221"/>
    </row>
    <row r="15" spans="1:28" x14ac:dyDescent="0.2">
      <c r="A15" s="126"/>
      <c r="B15" s="271" t="s">
        <v>41</v>
      </c>
      <c r="C15" s="270" t="str">
        <f t="shared" si="0"/>
        <v>EUR5MD=CKCC</v>
      </c>
      <c r="D15" s="269">
        <v>0.3</v>
      </c>
      <c r="E15" s="260"/>
      <c r="F15" s="268">
        <v>0.3</v>
      </c>
      <c r="G15" s="260"/>
      <c r="H15" s="267" t="str">
        <f t="shared" si="1"/>
        <v>EUR5MD_Quote</v>
      </c>
      <c r="I15" s="266">
        <v>0.3</v>
      </c>
      <c r="J15" s="265" t="e">
        <f>_xll.qlSimpleQuoteSetValue($H15,$I15/100,Trigger)</f>
        <v>#N/A</v>
      </c>
      <c r="K15" s="221"/>
    </row>
    <row r="16" spans="1:28" x14ac:dyDescent="0.2">
      <c r="A16" s="126"/>
      <c r="B16" s="271" t="s">
        <v>40</v>
      </c>
      <c r="C16" s="270" t="str">
        <f t="shared" si="0"/>
        <v>EUR6MD=CKCC</v>
      </c>
      <c r="D16" s="269">
        <v>0.34</v>
      </c>
      <c r="E16" s="260"/>
      <c r="F16" s="268">
        <v>0.34</v>
      </c>
      <c r="G16" s="260"/>
      <c r="H16" s="267" t="str">
        <f t="shared" si="1"/>
        <v>EUR6MD_Quote</v>
      </c>
      <c r="I16" s="266">
        <v>0.34</v>
      </c>
      <c r="J16" s="265" t="e">
        <f>_xll.qlSimpleQuoteSetValue($H16,$I16/100,Trigger)</f>
        <v>#N/A</v>
      </c>
      <c r="K16" s="221"/>
    </row>
    <row r="17" spans="1:11" x14ac:dyDescent="0.2">
      <c r="A17" s="126"/>
      <c r="B17" s="271" t="s">
        <v>39</v>
      </c>
      <c r="C17" s="270" t="str">
        <f t="shared" si="0"/>
        <v>EUR7MD=CKCC</v>
      </c>
      <c r="D17" s="269">
        <v>0.37</v>
      </c>
      <c r="E17" s="260"/>
      <c r="F17" s="268">
        <v>0.37</v>
      </c>
      <c r="G17" s="260"/>
      <c r="H17" s="267" t="str">
        <f t="shared" si="1"/>
        <v>EUR7MD_Quote</v>
      </c>
      <c r="I17" s="266">
        <v>0.37</v>
      </c>
      <c r="J17" s="265" t="e">
        <f>_xll.qlSimpleQuoteSetValue($H17,$I17/100,Trigger)</f>
        <v>#N/A</v>
      </c>
      <c r="K17" s="221"/>
    </row>
    <row r="18" spans="1:11" x14ac:dyDescent="0.2">
      <c r="A18" s="126"/>
      <c r="B18" s="271" t="s">
        <v>38</v>
      </c>
      <c r="C18" s="270" t="str">
        <f t="shared" si="0"/>
        <v>EUR8MD=CKCC</v>
      </c>
      <c r="D18" s="269">
        <v>0.41</v>
      </c>
      <c r="E18" s="260"/>
      <c r="F18" s="268">
        <v>0.41</v>
      </c>
      <c r="G18" s="260"/>
      <c r="H18" s="267" t="str">
        <f t="shared" si="1"/>
        <v>EUR8MD_Quote</v>
      </c>
      <c r="I18" s="266">
        <v>0.41</v>
      </c>
      <c r="J18" s="265" t="e">
        <f>_xll.qlSimpleQuoteSetValue($H18,$I18/100,Trigger)</f>
        <v>#N/A</v>
      </c>
      <c r="K18" s="221"/>
    </row>
    <row r="19" spans="1:11" x14ac:dyDescent="0.2">
      <c r="A19" s="126"/>
      <c r="B19" s="271" t="s">
        <v>37</v>
      </c>
      <c r="C19" s="270" t="str">
        <f t="shared" si="0"/>
        <v>EUR9MD=CKCC</v>
      </c>
      <c r="D19" s="269">
        <v>0.44</v>
      </c>
      <c r="E19" s="260"/>
      <c r="F19" s="268">
        <v>0.44</v>
      </c>
      <c r="G19" s="260"/>
      <c r="H19" s="267" t="str">
        <f t="shared" si="1"/>
        <v>EUR9MD_Quote</v>
      </c>
      <c r="I19" s="266">
        <v>0.44</v>
      </c>
      <c r="J19" s="265" t="e">
        <f>_xll.qlSimpleQuoteSetValue($H19,$I19/100,Trigger)</f>
        <v>#N/A</v>
      </c>
      <c r="K19" s="221"/>
    </row>
    <row r="20" spans="1:11" x14ac:dyDescent="0.2">
      <c r="A20" s="126"/>
      <c r="B20" s="271" t="s">
        <v>36</v>
      </c>
      <c r="C20" s="270" t="str">
        <f t="shared" si="0"/>
        <v>EUR10MD=CKCC</v>
      </c>
      <c r="D20" s="269">
        <v>0.47</v>
      </c>
      <c r="E20" s="260"/>
      <c r="F20" s="268">
        <v>0.47</v>
      </c>
      <c r="G20" s="260"/>
      <c r="H20" s="267" t="str">
        <f t="shared" si="1"/>
        <v>EUR10MD_Quote</v>
      </c>
      <c r="I20" s="266">
        <v>0.47</v>
      </c>
      <c r="J20" s="265" t="e">
        <f>_xll.qlSimpleQuoteSetValue($H20,$I20/100,Trigger)</f>
        <v>#N/A</v>
      </c>
      <c r="K20" s="221"/>
    </row>
    <row r="21" spans="1:11" x14ac:dyDescent="0.2">
      <c r="A21" s="126"/>
      <c r="B21" s="271" t="s">
        <v>35</v>
      </c>
      <c r="C21" s="270" t="str">
        <f t="shared" si="0"/>
        <v>EUR11MD=CKCC</v>
      </c>
      <c r="D21" s="269">
        <v>0.5</v>
      </c>
      <c r="E21" s="260"/>
      <c r="F21" s="268">
        <v>0.5</v>
      </c>
      <c r="G21" s="260"/>
      <c r="H21" s="267" t="str">
        <f t="shared" si="1"/>
        <v>EUR11MD_Quote</v>
      </c>
      <c r="I21" s="266">
        <v>0.5</v>
      </c>
      <c r="J21" s="265" t="e">
        <f>_xll.qlSimpleQuoteSetValue($H21,$I21/100,Trigger)</f>
        <v>#N/A</v>
      </c>
      <c r="K21" s="221"/>
    </row>
    <row r="22" spans="1:11" x14ac:dyDescent="0.2">
      <c r="A22" s="126"/>
      <c r="B22" s="264" t="s">
        <v>34</v>
      </c>
      <c r="C22" s="263" t="str">
        <f t="shared" si="0"/>
        <v>EUR1YD=CKCC</v>
      </c>
      <c r="D22" s="262">
        <v>0.53</v>
      </c>
      <c r="E22" s="260"/>
      <c r="F22" s="261">
        <v>0.53</v>
      </c>
      <c r="G22" s="260"/>
      <c r="H22" s="259" t="str">
        <f t="shared" si="1"/>
        <v>EUR1YD_Quote</v>
      </c>
      <c r="I22" s="258">
        <v>0.53</v>
      </c>
      <c r="J22" s="257" t="e">
        <f>_xll.qlSimpleQuoteSetValue($H22,$I22/100,Trigger)</f>
        <v>#N/A</v>
      </c>
      <c r="K22" s="221"/>
    </row>
    <row r="23" spans="1:11" ht="12" thickBot="1" x14ac:dyDescent="0.25">
      <c r="A23" s="52"/>
      <c r="B23" s="51"/>
      <c r="C23" s="51"/>
      <c r="D23" s="51"/>
      <c r="E23" s="51"/>
      <c r="F23" s="51"/>
      <c r="G23" s="51"/>
      <c r="H23" s="51"/>
      <c r="I23" s="51"/>
      <c r="J23" s="51"/>
      <c r="K23" s="50"/>
    </row>
    <row r="25" spans="1:11" hidden="1" x14ac:dyDescent="0.2">
      <c r="A25" s="21" t="s">
        <v>225</v>
      </c>
    </row>
  </sheetData>
  <dataValidations count="1">
    <dataValidation type="list"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Contributors</formula1>
    </dataValidation>
  </dataValidations>
  <pageMargins left="0.75" right="0.75" top="1" bottom="1" header="0.5" footer="0.5"/>
  <pageSetup orientation="portrait" r:id="rId1"/>
  <headerFooter alignWithMargins="0"/>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W34"/>
  <sheetViews>
    <sheetView workbookViewId="0"/>
  </sheetViews>
  <sheetFormatPr defaultRowHeight="11.25" x14ac:dyDescent="0.2"/>
  <cols>
    <col min="1" max="1" width="5" style="21" customWidth="1"/>
    <col min="2" max="2" width="5" style="21" bestFit="1" customWidth="1"/>
    <col min="3" max="3" width="4.5703125" style="21" bestFit="1" customWidth="1"/>
    <col min="4" max="4" width="9.5703125" style="21" bestFit="1" customWidth="1"/>
    <col min="5" max="5" width="13.42578125" style="21" bestFit="1" customWidth="1"/>
    <col min="6" max="7" width="5.7109375" style="21" bestFit="1" customWidth="1"/>
    <col min="8" max="8" width="5.140625" style="21" bestFit="1" customWidth="1"/>
    <col min="9" max="9" width="10.28515625" style="21" customWidth="1"/>
    <col min="10" max="10" width="5.7109375" style="21" bestFit="1" customWidth="1"/>
    <col min="11" max="11" width="7.5703125" style="21" customWidth="1"/>
    <col min="12" max="12" width="5.7109375" style="21" bestFit="1" customWidth="1"/>
    <col min="13" max="13" width="7.5703125" style="21" customWidth="1"/>
    <col min="14" max="14" width="14.28515625" style="21" bestFit="1" customWidth="1"/>
    <col min="15" max="16" width="7.7109375" style="21" bestFit="1" customWidth="1"/>
    <col min="17" max="17" width="5" style="21" customWidth="1"/>
    <col min="18" max="22" width="4.28515625" style="21" customWidth="1"/>
    <col min="23" max="23" width="7" style="21" bestFit="1" customWidth="1"/>
    <col min="24" max="16384" width="9.140625" style="21"/>
  </cols>
  <sheetData>
    <row r="1" spans="1:23" x14ac:dyDescent="0.2">
      <c r="A1" s="332" t="s">
        <v>311</v>
      </c>
      <c r="B1" s="203"/>
      <c r="C1" s="203"/>
      <c r="D1" s="203"/>
      <c r="E1" s="203"/>
      <c r="F1" s="203"/>
      <c r="G1" s="203"/>
      <c r="H1" s="203"/>
      <c r="I1" s="203"/>
      <c r="J1" s="203"/>
      <c r="K1" s="203"/>
      <c r="L1" s="203"/>
      <c r="M1" s="203"/>
      <c r="N1" s="203"/>
      <c r="O1" s="203"/>
      <c r="P1" s="203"/>
      <c r="Q1" s="200"/>
    </row>
    <row r="2" spans="1:23" x14ac:dyDescent="0.2">
      <c r="A2" s="297"/>
      <c r="B2" s="331"/>
      <c r="C2" s="141"/>
      <c r="D2" s="141"/>
      <c r="E2" s="148" t="s">
        <v>236</v>
      </c>
      <c r="F2" s="141"/>
      <c r="G2" s="141"/>
      <c r="H2" s="141"/>
      <c r="I2" s="141"/>
      <c r="J2" s="260"/>
      <c r="K2" s="260"/>
      <c r="L2" s="260"/>
      <c r="M2" s="260"/>
      <c r="N2" s="330" t="s">
        <v>255</v>
      </c>
      <c r="O2" s="148" t="s">
        <v>147</v>
      </c>
      <c r="P2" s="141"/>
      <c r="Q2" s="53"/>
    </row>
    <row r="3" spans="1:23" x14ac:dyDescent="0.2">
      <c r="A3" s="126"/>
      <c r="B3" s="141"/>
      <c r="C3" s="260"/>
      <c r="D3" s="141"/>
      <c r="E3" s="141"/>
      <c r="F3" s="141"/>
      <c r="G3" s="141"/>
      <c r="H3" s="141"/>
      <c r="I3" s="141"/>
      <c r="J3" s="141"/>
      <c r="K3" s="260"/>
      <c r="L3" s="260"/>
      <c r="M3" s="260"/>
      <c r="N3" s="141"/>
      <c r="O3" s="141"/>
      <c r="P3" s="292">
        <f>_xll.ohTrigger(P5:P23)</f>
        <v>21</v>
      </c>
      <c r="Q3" s="221"/>
    </row>
    <row r="4" spans="1:23" ht="22.5" x14ac:dyDescent="0.2">
      <c r="A4" s="126"/>
      <c r="B4" s="206"/>
      <c r="C4" s="149"/>
      <c r="D4" s="198"/>
      <c r="E4" s="291" t="e">
        <f ca="1">_xll.RData(E5:E33,F4:I4,,ReutersRtMode,,F5)</f>
        <v>#NAME?</v>
      </c>
      <c r="F4" s="329" t="s">
        <v>259</v>
      </c>
      <c r="G4" s="329" t="s">
        <v>226</v>
      </c>
      <c r="H4" s="329" t="s">
        <v>241</v>
      </c>
      <c r="I4" s="329" t="s">
        <v>258</v>
      </c>
      <c r="J4" s="286" t="s">
        <v>257</v>
      </c>
      <c r="K4" s="260"/>
      <c r="L4" s="289" t="s">
        <v>253</v>
      </c>
      <c r="M4" s="260"/>
      <c r="N4" s="328" t="s">
        <v>252</v>
      </c>
      <c r="O4" s="327" t="s">
        <v>251</v>
      </c>
      <c r="P4" s="248" t="s">
        <v>250</v>
      </c>
      <c r="Q4" s="221"/>
      <c r="W4" s="326" t="s">
        <v>256</v>
      </c>
    </row>
    <row r="5" spans="1:23" x14ac:dyDescent="0.2">
      <c r="A5" s="126"/>
      <c r="B5" s="325" t="s">
        <v>182</v>
      </c>
      <c r="C5" s="324" t="s">
        <v>170</v>
      </c>
      <c r="D5" s="322" t="str">
        <f t="shared" ref="D5:D33" si="0">Currency&amp;$B5&amp;$C5</f>
        <v>EURT3F1</v>
      </c>
      <c r="E5" s="322" t="str">
        <f t="array" ref="E5:E33">UPPER(Instruments)&amp;"="&amp;VLOOKUP(Contributor,ContributorTable,2,FALSE)</f>
        <v>EURT3F1=ICAP</v>
      </c>
      <c r="F5" s="323">
        <v>0.2</v>
      </c>
      <c r="G5" s="323">
        <v>0.25</v>
      </c>
      <c r="H5" s="322">
        <v>0</v>
      </c>
      <c r="I5" s="322">
        <v>0</v>
      </c>
      <c r="J5" s="281">
        <f>_xll.qlMidSafe($F5,$G5)</f>
        <v>0.22500000000000001</v>
      </c>
      <c r="K5" s="260"/>
      <c r="L5" s="321">
        <v>0.22500000000000001</v>
      </c>
      <c r="M5" s="260"/>
      <c r="N5" s="279" t="str">
        <f t="shared" ref="N5:N33" si="1">$D5&amp;$O$2</f>
        <v>EURT3F1_Quote</v>
      </c>
      <c r="O5" s="278">
        <f t="array" ref="O5:O33">QuoteLive</f>
        <v>0.22500000000000001</v>
      </c>
      <c r="P5" s="277" t="e">
        <f>_xll.qlSimpleQuoteSetValue($N5,$O5/100,Trigger)</f>
        <v>#N/A</v>
      </c>
      <c r="Q5" s="221"/>
      <c r="S5" s="315"/>
      <c r="W5" s="300">
        <f t="shared" ref="W5:W33" si="2">(G5-J5)/50</f>
        <v>4.999999999999999E-4</v>
      </c>
    </row>
    <row r="6" spans="1:23" x14ac:dyDescent="0.2">
      <c r="A6" s="126"/>
      <c r="B6" s="320" t="s">
        <v>181</v>
      </c>
      <c r="C6" s="319" t="s">
        <v>170</v>
      </c>
      <c r="D6" s="317" t="str">
        <f t="shared" si="0"/>
        <v>EURTOM3F1</v>
      </c>
      <c r="E6" s="317" t="str">
        <v>EURTOM3F1=ICAP</v>
      </c>
      <c r="F6" s="318">
        <v>0.2</v>
      </c>
      <c r="G6" s="318">
        <v>0.25</v>
      </c>
      <c r="H6" s="317">
        <v>0</v>
      </c>
      <c r="I6" s="317">
        <v>0</v>
      </c>
      <c r="J6" s="262">
        <f>_xll.qlMidSafe($F6,$G6)</f>
        <v>0.22500000000000001</v>
      </c>
      <c r="K6" s="260"/>
      <c r="L6" s="316">
        <v>0.22500000000000001</v>
      </c>
      <c r="M6" s="260"/>
      <c r="N6" s="259" t="str">
        <f t="shared" si="1"/>
        <v>EURTOM3F1_Quote</v>
      </c>
      <c r="O6" s="258">
        <v>0.22500000000000001</v>
      </c>
      <c r="P6" s="257" t="e">
        <f>_xll.qlSimpleQuoteSetValue($N6,$O6/100,Trigger)</f>
        <v>#N/A</v>
      </c>
      <c r="Q6" s="221"/>
      <c r="S6" s="315"/>
      <c r="W6" s="300">
        <f t="shared" si="2"/>
        <v>4.999999999999999E-4</v>
      </c>
    </row>
    <row r="7" spans="1:23" x14ac:dyDescent="0.2">
      <c r="A7" s="126"/>
      <c r="B7" s="325">
        <v>1</v>
      </c>
      <c r="C7" s="324" t="s">
        <v>180</v>
      </c>
      <c r="D7" s="322" t="str">
        <f t="shared" si="0"/>
        <v>EUR1x4F</v>
      </c>
      <c r="E7" s="322" t="str">
        <v>EUR1X4F=ICAP</v>
      </c>
      <c r="F7" s="323">
        <v>0.22</v>
      </c>
      <c r="G7" s="323">
        <v>0.27</v>
      </c>
      <c r="H7" s="322">
        <v>0</v>
      </c>
      <c r="I7" s="322">
        <v>0</v>
      </c>
      <c r="J7" s="281">
        <f>_xll.qlMidSafe($F7,$G7)</f>
        <v>0.245</v>
      </c>
      <c r="K7" s="260"/>
      <c r="L7" s="310">
        <v>0.245</v>
      </c>
      <c r="M7" s="260"/>
      <c r="N7" s="267" t="str">
        <f t="shared" si="1"/>
        <v>EUR1x4F_Quote</v>
      </c>
      <c r="O7" s="266">
        <v>0.245</v>
      </c>
      <c r="P7" s="265" t="e">
        <f>_xll.qlSimpleQuoteSetValue($N7,$O7/100,Trigger)</f>
        <v>#N/A</v>
      </c>
      <c r="Q7" s="221"/>
      <c r="S7" s="315"/>
      <c r="W7" s="300">
        <f t="shared" si="2"/>
        <v>5.0000000000000044E-4</v>
      </c>
    </row>
    <row r="8" spans="1:23" x14ac:dyDescent="0.2">
      <c r="A8" s="126"/>
      <c r="B8" s="314">
        <v>2</v>
      </c>
      <c r="C8" s="313" t="s">
        <v>179</v>
      </c>
      <c r="D8" s="311" t="str">
        <f t="shared" si="0"/>
        <v>EUR2x5F</v>
      </c>
      <c r="E8" s="311" t="str">
        <v>EUR2X5F=ICAP</v>
      </c>
      <c r="F8" s="312">
        <v>0.24299999999999999</v>
      </c>
      <c r="G8" s="312">
        <v>0.29299999999999998</v>
      </c>
      <c r="H8" s="311">
        <v>0</v>
      </c>
      <c r="I8" s="311">
        <v>0</v>
      </c>
      <c r="J8" s="269">
        <f>_xll.qlMidSafe($F8,$G8)</f>
        <v>0.26800000000000002</v>
      </c>
      <c r="K8" s="260"/>
      <c r="L8" s="310">
        <v>0.26800000000000002</v>
      </c>
      <c r="M8" s="260"/>
      <c r="N8" s="267" t="str">
        <f t="shared" si="1"/>
        <v>EUR2x5F_Quote</v>
      </c>
      <c r="O8" s="266">
        <v>0.26800000000000002</v>
      </c>
      <c r="P8" s="265" t="e">
        <f>_xll.qlSimpleQuoteSetValue($N8,$O8/100,Trigger)</f>
        <v>#N/A</v>
      </c>
      <c r="Q8" s="221"/>
      <c r="S8" s="315"/>
      <c r="W8" s="300">
        <f t="shared" si="2"/>
        <v>4.9999999999999936E-4</v>
      </c>
    </row>
    <row r="9" spans="1:23" x14ac:dyDescent="0.2">
      <c r="A9" s="126"/>
      <c r="B9" s="314">
        <v>3</v>
      </c>
      <c r="C9" s="313" t="s">
        <v>178</v>
      </c>
      <c r="D9" s="311" t="str">
        <f t="shared" si="0"/>
        <v>EUR3x6F</v>
      </c>
      <c r="E9" s="311" t="str">
        <v>EUR3X6F=ICAP</v>
      </c>
      <c r="F9" s="312">
        <v>0.26900000000000002</v>
      </c>
      <c r="G9" s="312">
        <v>0.31900000000000001</v>
      </c>
      <c r="H9" s="311">
        <v>0</v>
      </c>
      <c r="I9" s="311">
        <v>0</v>
      </c>
      <c r="J9" s="269">
        <f>_xll.qlMidSafe($F9,$G9)</f>
        <v>0.29400000000000004</v>
      </c>
      <c r="K9" s="260"/>
      <c r="L9" s="310">
        <v>0.29400000000000004</v>
      </c>
      <c r="M9" s="260"/>
      <c r="N9" s="267" t="str">
        <f t="shared" si="1"/>
        <v>EUR3x6F_Quote</v>
      </c>
      <c r="O9" s="266">
        <v>0.29400000000000004</v>
      </c>
      <c r="P9" s="265" t="e">
        <f>_xll.qlSimpleQuoteSetValue($N9,$O9/100,Trigger)</f>
        <v>#N/A</v>
      </c>
      <c r="Q9" s="221"/>
      <c r="S9" s="315"/>
      <c r="W9" s="300">
        <f t="shared" si="2"/>
        <v>4.9999999999999936E-4</v>
      </c>
    </row>
    <row r="10" spans="1:23" x14ac:dyDescent="0.2">
      <c r="A10" s="126"/>
      <c r="B10" s="314">
        <v>4</v>
      </c>
      <c r="C10" s="313" t="s">
        <v>177</v>
      </c>
      <c r="D10" s="311" t="str">
        <f t="shared" si="0"/>
        <v>EUR4x7F</v>
      </c>
      <c r="E10" s="311" t="str">
        <v>EUR4X7F=ICAP</v>
      </c>
      <c r="F10" s="312">
        <v>0.28599999999999998</v>
      </c>
      <c r="G10" s="312">
        <v>0.33600000000000002</v>
      </c>
      <c r="H10" s="311">
        <v>0</v>
      </c>
      <c r="I10" s="311">
        <v>0</v>
      </c>
      <c r="J10" s="269">
        <f>_xll.qlMidSafe($F10,$G10)</f>
        <v>0.311</v>
      </c>
      <c r="K10" s="260"/>
      <c r="L10" s="310">
        <v>0.311</v>
      </c>
      <c r="M10" s="260"/>
      <c r="N10" s="267" t="str">
        <f t="shared" si="1"/>
        <v>EUR4x7F_Quote</v>
      </c>
      <c r="O10" s="266">
        <v>0.311</v>
      </c>
      <c r="P10" s="265" t="e">
        <f>_xll.qlSimpleQuoteSetValue($N10,$O10/100,Trigger)</f>
        <v>#N/A</v>
      </c>
      <c r="Q10" s="221"/>
      <c r="S10" s="315"/>
      <c r="W10" s="300">
        <f t="shared" si="2"/>
        <v>5.0000000000000044E-4</v>
      </c>
    </row>
    <row r="11" spans="1:23" x14ac:dyDescent="0.2">
      <c r="A11" s="126"/>
      <c r="B11" s="314">
        <v>5</v>
      </c>
      <c r="C11" s="313" t="s">
        <v>176</v>
      </c>
      <c r="D11" s="311" t="str">
        <f t="shared" si="0"/>
        <v>EUR5x8F</v>
      </c>
      <c r="E11" s="311" t="str">
        <v>EUR5X8F=ICAP</v>
      </c>
      <c r="F11" s="312">
        <v>0.307</v>
      </c>
      <c r="G11" s="312">
        <v>0.35699999999999998</v>
      </c>
      <c r="H11" s="311">
        <v>0</v>
      </c>
      <c r="I11" s="311">
        <v>0</v>
      </c>
      <c r="J11" s="269">
        <f>_xll.qlMidSafe($F11,$G11)</f>
        <v>0.33199999999999996</v>
      </c>
      <c r="K11" s="260"/>
      <c r="L11" s="310">
        <v>0.33199999999999996</v>
      </c>
      <c r="M11" s="260"/>
      <c r="N11" s="267" t="str">
        <f t="shared" si="1"/>
        <v>EUR5x8F_Quote</v>
      </c>
      <c r="O11" s="266">
        <v>0.33199999999999996</v>
      </c>
      <c r="P11" s="265" t="e">
        <f>_xll.qlSimpleQuoteSetValue($N11,$O11/100,Trigger)</f>
        <v>#N/A</v>
      </c>
      <c r="Q11" s="221"/>
      <c r="S11" s="315"/>
      <c r="W11" s="300">
        <f t="shared" si="2"/>
        <v>5.0000000000000044E-4</v>
      </c>
    </row>
    <row r="12" spans="1:23" x14ac:dyDescent="0.2">
      <c r="A12" s="126"/>
      <c r="B12" s="320">
        <v>6</v>
      </c>
      <c r="C12" s="319" t="s">
        <v>175</v>
      </c>
      <c r="D12" s="317" t="str">
        <f t="shared" si="0"/>
        <v>EUR6x9F</v>
      </c>
      <c r="E12" s="317" t="str">
        <v>EUR6X9F=ICAP</v>
      </c>
      <c r="F12" s="318">
        <v>0.32700000000000001</v>
      </c>
      <c r="G12" s="318">
        <v>0.377</v>
      </c>
      <c r="H12" s="317">
        <v>0</v>
      </c>
      <c r="I12" s="317">
        <v>0</v>
      </c>
      <c r="J12" s="262">
        <f>_xll.qlMidSafe($F12,$G12)</f>
        <v>0.35199999999999998</v>
      </c>
      <c r="K12" s="260"/>
      <c r="L12" s="316">
        <v>0.35199999999999998</v>
      </c>
      <c r="M12" s="260"/>
      <c r="N12" s="267" t="str">
        <f t="shared" si="1"/>
        <v>EUR6x9F_Quote</v>
      </c>
      <c r="O12" s="266">
        <v>0.35199999999999998</v>
      </c>
      <c r="P12" s="265" t="e">
        <f>_xll.qlSimpleQuoteSetValue($N12,$O12/100,Trigger)</f>
        <v>#N/A</v>
      </c>
      <c r="Q12" s="221"/>
      <c r="S12" s="315"/>
      <c r="W12" s="300">
        <f t="shared" si="2"/>
        <v>5.0000000000000044E-4</v>
      </c>
    </row>
    <row r="13" spans="1:23" x14ac:dyDescent="0.2">
      <c r="A13" s="126"/>
      <c r="B13" s="325" t="s">
        <v>174</v>
      </c>
      <c r="C13" s="324" t="s">
        <v>170</v>
      </c>
      <c r="D13" s="322" t="str">
        <f t="shared" si="0"/>
        <v>EURT6F1</v>
      </c>
      <c r="E13" s="322" t="str">
        <v>EURT6F1=ICAP</v>
      </c>
      <c r="F13" s="323">
        <v>0.318</v>
      </c>
      <c r="G13" s="323">
        <v>0.36799999999999999</v>
      </c>
      <c r="H13" s="322">
        <v>0</v>
      </c>
      <c r="I13" s="322">
        <v>0</v>
      </c>
      <c r="J13" s="281">
        <f>_xll.qlMidSafe($F13,$G13)</f>
        <v>0.34299999999999997</v>
      </c>
      <c r="K13" s="260"/>
      <c r="L13" s="321">
        <v>0.34299999999999997</v>
      </c>
      <c r="M13" s="260"/>
      <c r="N13" s="279" t="str">
        <f t="shared" si="1"/>
        <v>EURT6F1_Quote</v>
      </c>
      <c r="O13" s="278">
        <v>0.34299999999999997</v>
      </c>
      <c r="P13" s="277" t="e">
        <f>_xll.qlSimpleQuoteSetValue($N13,$O13/100,Trigger)</f>
        <v>#N/A</v>
      </c>
      <c r="Q13" s="221"/>
      <c r="S13" s="315"/>
      <c r="W13" s="300">
        <f t="shared" si="2"/>
        <v>5.0000000000000044E-4</v>
      </c>
    </row>
    <row r="14" spans="1:23" x14ac:dyDescent="0.2">
      <c r="A14" s="126"/>
      <c r="B14" s="320" t="s">
        <v>173</v>
      </c>
      <c r="C14" s="319" t="s">
        <v>170</v>
      </c>
      <c r="D14" s="317" t="str">
        <f t="shared" si="0"/>
        <v>EURTOM6F1</v>
      </c>
      <c r="E14" s="317" t="str">
        <v>EURTOM6F1=ICAP</v>
      </c>
      <c r="F14" s="318">
        <v>0.31900000000000001</v>
      </c>
      <c r="G14" s="318">
        <v>0.36899999999999999</v>
      </c>
      <c r="H14" s="317">
        <v>0</v>
      </c>
      <c r="I14" s="317">
        <v>0</v>
      </c>
      <c r="J14" s="262">
        <f>_xll.qlMidSafe($F14,$G14)</f>
        <v>0.34399999999999997</v>
      </c>
      <c r="K14" s="260"/>
      <c r="L14" s="316">
        <v>0.34399999999999997</v>
      </c>
      <c r="M14" s="260"/>
      <c r="N14" s="259" t="str">
        <f t="shared" si="1"/>
        <v>EURTOM6F1_Quote</v>
      </c>
      <c r="O14" s="258">
        <v>0.34399999999999997</v>
      </c>
      <c r="P14" s="257" t="e">
        <f>_xll.qlSimpleQuoteSetValue($N14,$O14/100,Trigger)</f>
        <v>#N/A</v>
      </c>
      <c r="Q14" s="221"/>
      <c r="S14" s="315"/>
      <c r="W14" s="300">
        <f t="shared" si="2"/>
        <v>5.0000000000000044E-4</v>
      </c>
    </row>
    <row r="15" spans="1:23" x14ac:dyDescent="0.2">
      <c r="A15" s="126"/>
      <c r="B15" s="314">
        <v>1</v>
      </c>
      <c r="C15" s="313" t="str">
        <f t="shared" ref="C15:C32" si="3">"x"&amp;B15+6&amp;"F"</f>
        <v>x7F</v>
      </c>
      <c r="D15" s="311" t="str">
        <f t="shared" si="0"/>
        <v>EUR1x7F</v>
      </c>
      <c r="E15" s="311" t="str">
        <v>EUR1X7F=ICAP</v>
      </c>
      <c r="F15" s="312">
        <v>0.34699999999999998</v>
      </c>
      <c r="G15" s="312">
        <v>0.39700000000000002</v>
      </c>
      <c r="H15" s="311">
        <v>0</v>
      </c>
      <c r="I15" s="311">
        <v>0</v>
      </c>
      <c r="J15" s="269">
        <f>_xll.qlMidSafe($F15,$G15)</f>
        <v>0.372</v>
      </c>
      <c r="K15" s="260"/>
      <c r="L15" s="310">
        <v>0.372</v>
      </c>
      <c r="M15" s="260"/>
      <c r="N15" s="267" t="str">
        <f t="shared" si="1"/>
        <v>EUR1x7F_Quote</v>
      </c>
      <c r="O15" s="266">
        <v>0.372</v>
      </c>
      <c r="P15" s="265" t="e">
        <f>_xll.qlSimpleQuoteSetValue($N15,$O15/100,Trigger)</f>
        <v>#N/A</v>
      </c>
      <c r="Q15" s="221"/>
      <c r="S15" s="315"/>
      <c r="W15" s="300">
        <f t="shared" si="2"/>
        <v>5.0000000000000044E-4</v>
      </c>
    </row>
    <row r="16" spans="1:23" x14ac:dyDescent="0.2">
      <c r="A16" s="126"/>
      <c r="B16" s="314">
        <v>2</v>
      </c>
      <c r="C16" s="313" t="str">
        <f t="shared" si="3"/>
        <v>x8F</v>
      </c>
      <c r="D16" s="311" t="str">
        <f t="shared" si="0"/>
        <v>EUR2x8F</v>
      </c>
      <c r="E16" s="311" t="str">
        <v>EUR2X8F=ICAP</v>
      </c>
      <c r="F16" s="312">
        <v>0.371</v>
      </c>
      <c r="G16" s="312">
        <v>0.42099999999999999</v>
      </c>
      <c r="H16" s="311">
        <v>0</v>
      </c>
      <c r="I16" s="311">
        <v>0</v>
      </c>
      <c r="J16" s="269">
        <f>_xll.qlMidSafe($F16,$G16)</f>
        <v>0.39600000000000002</v>
      </c>
      <c r="K16" s="260"/>
      <c r="L16" s="310">
        <v>0.39600000000000002</v>
      </c>
      <c r="M16" s="260"/>
      <c r="N16" s="267" t="str">
        <f t="shared" si="1"/>
        <v>EUR2x8F_Quote</v>
      </c>
      <c r="O16" s="266">
        <v>0.39600000000000002</v>
      </c>
      <c r="P16" s="265" t="e">
        <f>_xll.qlSimpleQuoteSetValue($N16,$O16/100,Trigger)</f>
        <v>#N/A</v>
      </c>
      <c r="Q16" s="221"/>
      <c r="S16" s="315"/>
      <c r="W16" s="300">
        <f t="shared" si="2"/>
        <v>4.9999999999999936E-4</v>
      </c>
    </row>
    <row r="17" spans="1:23" x14ac:dyDescent="0.2">
      <c r="A17" s="126"/>
      <c r="B17" s="314">
        <v>3</v>
      </c>
      <c r="C17" s="313" t="str">
        <f t="shared" si="3"/>
        <v>x9F</v>
      </c>
      <c r="D17" s="311" t="str">
        <f t="shared" si="0"/>
        <v>EUR3x9F</v>
      </c>
      <c r="E17" s="311" t="str">
        <v>EUR3X9F=ICAP</v>
      </c>
      <c r="F17" s="312">
        <v>0.40300000000000002</v>
      </c>
      <c r="G17" s="312">
        <v>0.45300000000000001</v>
      </c>
      <c r="H17" s="311">
        <v>0</v>
      </c>
      <c r="I17" s="311">
        <v>0</v>
      </c>
      <c r="J17" s="269">
        <f>_xll.qlMidSafe($F17,$G17)</f>
        <v>0.42800000000000005</v>
      </c>
      <c r="K17" s="260"/>
      <c r="L17" s="310">
        <v>0.42800000000000005</v>
      </c>
      <c r="M17" s="260"/>
      <c r="N17" s="267" t="str">
        <f t="shared" si="1"/>
        <v>EUR3x9F_Quote</v>
      </c>
      <c r="O17" s="266">
        <v>0.42800000000000005</v>
      </c>
      <c r="P17" s="265" t="e">
        <f>_xll.qlSimpleQuoteSetValue($N17,$O17/100,Trigger)</f>
        <v>#N/A</v>
      </c>
      <c r="Q17" s="221"/>
      <c r="S17" s="315"/>
      <c r="W17" s="300">
        <f t="shared" si="2"/>
        <v>4.9999999999999936E-4</v>
      </c>
    </row>
    <row r="18" spans="1:23" x14ac:dyDescent="0.2">
      <c r="A18" s="126"/>
      <c r="B18" s="314">
        <v>4</v>
      </c>
      <c r="C18" s="313" t="str">
        <f t="shared" si="3"/>
        <v>x10F</v>
      </c>
      <c r="D18" s="311" t="str">
        <f t="shared" si="0"/>
        <v>EUR4x10F</v>
      </c>
      <c r="E18" s="311" t="str">
        <v>EUR4X10F=ICAP</v>
      </c>
      <c r="F18" s="312">
        <v>0.42599999999999999</v>
      </c>
      <c r="G18" s="312">
        <v>0.47599999999999998</v>
      </c>
      <c r="H18" s="311">
        <v>0</v>
      </c>
      <c r="I18" s="311">
        <v>0</v>
      </c>
      <c r="J18" s="269">
        <f>_xll.qlMidSafe($F18,$G18)</f>
        <v>0.45099999999999996</v>
      </c>
      <c r="K18" s="260"/>
      <c r="L18" s="310">
        <v>0.45099999999999996</v>
      </c>
      <c r="M18" s="260"/>
      <c r="N18" s="267" t="str">
        <f t="shared" si="1"/>
        <v>EUR4x10F_Quote</v>
      </c>
      <c r="O18" s="266">
        <v>0.45099999999999996</v>
      </c>
      <c r="P18" s="265" t="e">
        <f>_xll.qlSimpleQuoteSetValue($N18,$O18/100,Trigger)</f>
        <v>#N/A</v>
      </c>
      <c r="Q18" s="221"/>
      <c r="S18" s="315"/>
      <c r="W18" s="300">
        <f t="shared" si="2"/>
        <v>5.0000000000000044E-4</v>
      </c>
    </row>
    <row r="19" spans="1:23" x14ac:dyDescent="0.2">
      <c r="A19" s="126"/>
      <c r="B19" s="314">
        <v>5</v>
      </c>
      <c r="C19" s="313" t="str">
        <f t="shared" si="3"/>
        <v>x11F</v>
      </c>
      <c r="D19" s="311" t="str">
        <f t="shared" si="0"/>
        <v>EUR5x11F</v>
      </c>
      <c r="E19" s="311" t="str">
        <v>EUR5X11F=ICAP</v>
      </c>
      <c r="F19" s="312">
        <v>0.45200000000000001</v>
      </c>
      <c r="G19" s="312">
        <v>0.502</v>
      </c>
      <c r="H19" s="311">
        <v>0</v>
      </c>
      <c r="I19" s="311">
        <v>0</v>
      </c>
      <c r="J19" s="269">
        <f>_xll.qlMidSafe($F19,$G19)</f>
        <v>0.47699999999999998</v>
      </c>
      <c r="K19" s="260"/>
      <c r="L19" s="310">
        <v>0.47599999999999998</v>
      </c>
      <c r="M19" s="260"/>
      <c r="N19" s="267" t="str">
        <f t="shared" si="1"/>
        <v>EUR5x11F_Quote</v>
      </c>
      <c r="O19" s="266">
        <v>0.47699999999999998</v>
      </c>
      <c r="P19" s="265" t="e">
        <f>_xll.qlSimpleQuoteSetValue($N19,$O19/100,Trigger)</f>
        <v>#N/A</v>
      </c>
      <c r="Q19" s="221"/>
      <c r="S19" s="315"/>
      <c r="W19" s="300">
        <f t="shared" si="2"/>
        <v>5.0000000000000044E-4</v>
      </c>
    </row>
    <row r="20" spans="1:23" x14ac:dyDescent="0.2">
      <c r="A20" s="126"/>
      <c r="B20" s="314">
        <v>6</v>
      </c>
      <c r="C20" s="313" t="str">
        <f t="shared" si="3"/>
        <v>x12F</v>
      </c>
      <c r="D20" s="311" t="str">
        <f t="shared" si="0"/>
        <v>EUR6x12F</v>
      </c>
      <c r="E20" s="311" t="str">
        <v>EUR6X12F=ICAP</v>
      </c>
      <c r="F20" s="312">
        <v>0.47499999999999998</v>
      </c>
      <c r="G20" s="312">
        <v>0.52500000000000002</v>
      </c>
      <c r="H20" s="311">
        <v>0</v>
      </c>
      <c r="I20" s="311">
        <v>0</v>
      </c>
      <c r="J20" s="269">
        <f>_xll.qlMidSafe($F20,$G20)</f>
        <v>0.5</v>
      </c>
      <c r="K20" s="260"/>
      <c r="L20" s="310">
        <v>0.499</v>
      </c>
      <c r="M20" s="260"/>
      <c r="N20" s="267" t="str">
        <f t="shared" si="1"/>
        <v>EUR6x12F_Quote</v>
      </c>
      <c r="O20" s="266">
        <v>0.5</v>
      </c>
      <c r="P20" s="265" t="e">
        <f>_xll.qlSimpleQuoteSetValue($N20,$O20/100,Trigger)</f>
        <v>#N/A</v>
      </c>
      <c r="Q20" s="221"/>
      <c r="S20" s="315"/>
      <c r="W20" s="300">
        <f t="shared" si="2"/>
        <v>5.0000000000000044E-4</v>
      </c>
    </row>
    <row r="21" spans="1:23" x14ac:dyDescent="0.2">
      <c r="A21" s="126"/>
      <c r="B21" s="314">
        <v>7</v>
      </c>
      <c r="C21" s="313" t="str">
        <f t="shared" si="3"/>
        <v>x13F</v>
      </c>
      <c r="D21" s="311" t="str">
        <f t="shared" si="0"/>
        <v>EUR7x13F</v>
      </c>
      <c r="E21" s="311" t="str">
        <v>EUR7X13F=ICAP</v>
      </c>
      <c r="F21" s="312">
        <v>0.501</v>
      </c>
      <c r="G21" s="312">
        <v>0.55100000000000005</v>
      </c>
      <c r="H21" s="311">
        <v>0</v>
      </c>
      <c r="I21" s="311">
        <v>0</v>
      </c>
      <c r="J21" s="269">
        <f>_xll.qlMidSafe($F21,$G21)</f>
        <v>0.52600000000000002</v>
      </c>
      <c r="K21" s="260"/>
      <c r="L21" s="310">
        <v>0.52400000000000002</v>
      </c>
      <c r="M21" s="260"/>
      <c r="N21" s="267" t="str">
        <f t="shared" si="1"/>
        <v>EUR7x13F_Quote</v>
      </c>
      <c r="O21" s="266">
        <v>0.52600000000000002</v>
      </c>
      <c r="P21" s="265" t="e">
        <f>_xll.qlSimpleQuoteSetValue($N21,$O21/100,Trigger)</f>
        <v>#N/A</v>
      </c>
      <c r="Q21" s="221"/>
      <c r="S21" s="315"/>
      <c r="W21" s="300">
        <f t="shared" si="2"/>
        <v>5.0000000000000044E-4</v>
      </c>
    </row>
    <row r="22" spans="1:23" x14ac:dyDescent="0.2">
      <c r="A22" s="126"/>
      <c r="B22" s="314">
        <v>8</v>
      </c>
      <c r="C22" s="313" t="str">
        <f t="shared" si="3"/>
        <v>x14F</v>
      </c>
      <c r="D22" s="311" t="str">
        <f t="shared" si="0"/>
        <v>EUR8x14F</v>
      </c>
      <c r="E22" s="311" t="str">
        <v>EUR8X14F=ICAP</v>
      </c>
      <c r="F22" s="312">
        <v>0.52500000000000002</v>
      </c>
      <c r="G22" s="312">
        <v>0.57499999999999996</v>
      </c>
      <c r="H22" s="311">
        <v>0</v>
      </c>
      <c r="I22" s="311">
        <v>0</v>
      </c>
      <c r="J22" s="269">
        <f>_xll.qlMidSafe($F22,$G22)</f>
        <v>0.55000000000000004</v>
      </c>
      <c r="K22" s="260"/>
      <c r="L22" s="310">
        <v>0.54800000000000004</v>
      </c>
      <c r="M22" s="260"/>
      <c r="N22" s="267" t="str">
        <f t="shared" si="1"/>
        <v>EUR8x14F_Quote</v>
      </c>
      <c r="O22" s="266">
        <v>0.55000000000000004</v>
      </c>
      <c r="P22" s="265" t="e">
        <f>_xll.qlSimpleQuoteSetValue($N22,$O22/100,Trigger)</f>
        <v>#N/A</v>
      </c>
      <c r="Q22" s="221"/>
      <c r="S22" s="315"/>
      <c r="W22" s="300">
        <f t="shared" si="2"/>
        <v>4.9999999999999828E-4</v>
      </c>
    </row>
    <row r="23" spans="1:23" x14ac:dyDescent="0.2">
      <c r="A23" s="126"/>
      <c r="B23" s="314">
        <v>9</v>
      </c>
      <c r="C23" s="313" t="str">
        <f t="shared" si="3"/>
        <v>x15F</v>
      </c>
      <c r="D23" s="311" t="str">
        <f t="shared" si="0"/>
        <v>EUR9x15F</v>
      </c>
      <c r="E23" s="311" t="str">
        <v>EUR9X15F=ICAP</v>
      </c>
      <c r="F23" s="312">
        <v>0.55000000000000004</v>
      </c>
      <c r="G23" s="312">
        <v>0.6</v>
      </c>
      <c r="H23" s="311">
        <v>0</v>
      </c>
      <c r="I23" s="311">
        <v>0</v>
      </c>
      <c r="J23" s="269">
        <f>_xll.qlMidSafe($F23,$G23)</f>
        <v>0.57499999999999996</v>
      </c>
      <c r="K23" s="260"/>
      <c r="L23" s="310">
        <v>0.57299999999999995</v>
      </c>
      <c r="M23" s="260"/>
      <c r="N23" s="267" t="str">
        <f t="shared" si="1"/>
        <v>EUR9x15F_Quote</v>
      </c>
      <c r="O23" s="266">
        <v>0.57499999999999996</v>
      </c>
      <c r="P23" s="265" t="e">
        <f>_xll.qlSimpleQuoteSetValue($N23,$O23/100,Trigger)</f>
        <v>#N/A</v>
      </c>
      <c r="Q23" s="221"/>
      <c r="S23" s="315"/>
      <c r="W23" s="300">
        <f t="shared" si="2"/>
        <v>5.0000000000000044E-4</v>
      </c>
    </row>
    <row r="24" spans="1:23" x14ac:dyDescent="0.2">
      <c r="A24" s="126"/>
      <c r="B24" s="314">
        <v>10</v>
      </c>
      <c r="C24" s="313" t="str">
        <f t="shared" si="3"/>
        <v>x16F</v>
      </c>
      <c r="D24" s="311" t="str">
        <f t="shared" si="0"/>
        <v>EUR10x16F</v>
      </c>
      <c r="E24" s="311" t="str">
        <v>EUR10X16F=ICAP</v>
      </c>
      <c r="F24" s="312">
        <v>0.57199999999999995</v>
      </c>
      <c r="G24" s="312">
        <v>0.622</v>
      </c>
      <c r="H24" s="311">
        <v>0</v>
      </c>
      <c r="I24" s="311">
        <v>0</v>
      </c>
      <c r="J24" s="269">
        <f>_xll.qlMidSafe($F24,$G24)</f>
        <v>0.59699999999999998</v>
      </c>
      <c r="K24" s="260"/>
      <c r="L24" s="310">
        <v>0.59499999999999997</v>
      </c>
      <c r="M24" s="260"/>
      <c r="N24" s="267" t="str">
        <f t="shared" si="1"/>
        <v>EUR10x16F_Quote</v>
      </c>
      <c r="O24" s="266">
        <v>0.59699999999999998</v>
      </c>
      <c r="P24" s="265" t="e">
        <f>_xll.qlSimpleQuoteSetValue($N24,$O24/100,Trigger)</f>
        <v>#N/A</v>
      </c>
      <c r="Q24" s="221"/>
      <c r="S24" s="315"/>
      <c r="W24" s="300">
        <f t="shared" si="2"/>
        <v>5.0000000000000044E-4</v>
      </c>
    </row>
    <row r="25" spans="1:23" x14ac:dyDescent="0.2">
      <c r="A25" s="126"/>
      <c r="B25" s="314">
        <v>11</v>
      </c>
      <c r="C25" s="313" t="str">
        <f t="shared" si="3"/>
        <v>x17F</v>
      </c>
      <c r="D25" s="311" t="str">
        <f t="shared" si="0"/>
        <v>EUR11x17F</v>
      </c>
      <c r="E25" s="311" t="str">
        <v>EUR11X17F=ICAP</v>
      </c>
      <c r="F25" s="312">
        <v>0.59799999999999998</v>
      </c>
      <c r="G25" s="312">
        <v>0.64800000000000002</v>
      </c>
      <c r="H25" s="311">
        <v>0</v>
      </c>
      <c r="I25" s="311">
        <v>0</v>
      </c>
      <c r="J25" s="269">
        <f>_xll.qlMidSafe($F25,$G25)</f>
        <v>0.623</v>
      </c>
      <c r="K25" s="260"/>
      <c r="L25" s="310">
        <v>0.62</v>
      </c>
      <c r="M25" s="260"/>
      <c r="N25" s="267" t="str">
        <f t="shared" si="1"/>
        <v>EUR11x17F_Quote</v>
      </c>
      <c r="O25" s="266">
        <v>0.623</v>
      </c>
      <c r="P25" s="265" t="e">
        <f>_xll.qlSimpleQuoteSetValue($N25,$O25/100,Trigger)</f>
        <v>#N/A</v>
      </c>
      <c r="Q25" s="221"/>
      <c r="W25" s="300">
        <f t="shared" si="2"/>
        <v>5.0000000000000044E-4</v>
      </c>
    </row>
    <row r="26" spans="1:23" x14ac:dyDescent="0.2">
      <c r="A26" s="126"/>
      <c r="B26" s="314">
        <v>12</v>
      </c>
      <c r="C26" s="313" t="str">
        <f t="shared" si="3"/>
        <v>x18F</v>
      </c>
      <c r="D26" s="311" t="str">
        <f t="shared" si="0"/>
        <v>EUR12x18F</v>
      </c>
      <c r="E26" s="311" t="str">
        <v>EUR12X18F=ICAP</v>
      </c>
      <c r="F26" s="312">
        <v>0.622</v>
      </c>
      <c r="G26" s="312">
        <v>0.67200000000000004</v>
      </c>
      <c r="H26" s="311">
        <v>0</v>
      </c>
      <c r="I26" s="311">
        <v>0</v>
      </c>
      <c r="J26" s="269">
        <f>_xll.qlMidSafe($F26,$G26)</f>
        <v>0.64700000000000002</v>
      </c>
      <c r="K26" s="260"/>
      <c r="L26" s="310">
        <v>0.64400000000000002</v>
      </c>
      <c r="M26" s="260"/>
      <c r="N26" s="267" t="str">
        <f t="shared" si="1"/>
        <v>EUR12x18F_Quote</v>
      </c>
      <c r="O26" s="266">
        <v>0.64700000000000002</v>
      </c>
      <c r="P26" s="265" t="e">
        <f>_xll.qlSimpleQuoteSetValue($N26,$O26/100,Trigger)</f>
        <v>#N/A</v>
      </c>
      <c r="Q26" s="221"/>
      <c r="W26" s="300">
        <f t="shared" si="2"/>
        <v>5.0000000000000044E-4</v>
      </c>
    </row>
    <row r="27" spans="1:23" x14ac:dyDescent="0.2">
      <c r="A27" s="126"/>
      <c r="B27" s="314">
        <v>13</v>
      </c>
      <c r="C27" s="313" t="str">
        <f t="shared" si="3"/>
        <v>x19F</v>
      </c>
      <c r="D27" s="311" t="str">
        <f t="shared" si="0"/>
        <v>EUR13x19F</v>
      </c>
      <c r="E27" s="311" t="str">
        <v>EUR13X19F=ICAP</v>
      </c>
      <c r="F27" s="312">
        <v>0.64200000000000002</v>
      </c>
      <c r="G27" s="312">
        <v>0.69199999999999995</v>
      </c>
      <c r="H27" s="311">
        <v>0</v>
      </c>
      <c r="I27" s="311">
        <v>0</v>
      </c>
      <c r="J27" s="269">
        <f>_xll.qlMidSafe($F27,$G27)</f>
        <v>0.66700000000000004</v>
      </c>
      <c r="K27" s="260"/>
      <c r="L27" s="310">
        <v>0.66399999999999992</v>
      </c>
      <c r="M27" s="260"/>
      <c r="N27" s="267" t="str">
        <f t="shared" si="1"/>
        <v>EUR13x19F_Quote</v>
      </c>
      <c r="O27" s="266">
        <v>0.66700000000000004</v>
      </c>
      <c r="P27" s="265" t="e">
        <f>_xll.qlSimpleQuoteSetValue($N27,$O27/100,Trigger)</f>
        <v>#N/A</v>
      </c>
      <c r="Q27" s="221"/>
      <c r="W27" s="300">
        <f t="shared" si="2"/>
        <v>4.9999999999999828E-4</v>
      </c>
    </row>
    <row r="28" spans="1:23" x14ac:dyDescent="0.2">
      <c r="A28" s="126"/>
      <c r="B28" s="314">
        <v>14</v>
      </c>
      <c r="C28" s="313" t="str">
        <f t="shared" si="3"/>
        <v>x20F</v>
      </c>
      <c r="D28" s="311" t="str">
        <f t="shared" si="0"/>
        <v>EUR14x20F</v>
      </c>
      <c r="E28" s="311" t="str">
        <v>EUR14X20F=ICAP</v>
      </c>
      <c r="F28" s="312">
        <v>0.66500000000000004</v>
      </c>
      <c r="G28" s="312">
        <v>0.71499999999999997</v>
      </c>
      <c r="H28" s="311">
        <v>0</v>
      </c>
      <c r="I28" s="311">
        <v>0</v>
      </c>
      <c r="J28" s="269">
        <f>_xll.qlMidSafe($F28,$G28)</f>
        <v>0.69</v>
      </c>
      <c r="K28" s="260"/>
      <c r="L28" s="310">
        <v>0.68700000000000006</v>
      </c>
      <c r="M28" s="260"/>
      <c r="N28" s="267" t="str">
        <f t="shared" si="1"/>
        <v>EUR14x20F_Quote</v>
      </c>
      <c r="O28" s="266">
        <v>0.69</v>
      </c>
      <c r="P28" s="265" t="e">
        <f>_xll.qlSimpleQuoteSetValue($N28,$O28/100,Trigger)</f>
        <v>#N/A</v>
      </c>
      <c r="Q28" s="221"/>
      <c r="W28" s="300">
        <f t="shared" si="2"/>
        <v>5.0000000000000044E-4</v>
      </c>
    </row>
    <row r="29" spans="1:23" x14ac:dyDescent="0.2">
      <c r="A29" s="126"/>
      <c r="B29" s="314">
        <v>15</v>
      </c>
      <c r="C29" s="313" t="str">
        <f t="shared" si="3"/>
        <v>x21F</v>
      </c>
      <c r="D29" s="311" t="str">
        <f t="shared" si="0"/>
        <v>EUR15x21F</v>
      </c>
      <c r="E29" s="311" t="str">
        <v>EUR15X21F=ICAP</v>
      </c>
      <c r="F29" s="312">
        <v>0.68799999999999994</v>
      </c>
      <c r="G29" s="312">
        <v>0.73799999999999999</v>
      </c>
      <c r="H29" s="311">
        <v>0</v>
      </c>
      <c r="I29" s="311">
        <v>0</v>
      </c>
      <c r="J29" s="269">
        <f>_xll.qlMidSafe($F29,$G29)</f>
        <v>0.71299999999999997</v>
      </c>
      <c r="K29" s="260"/>
      <c r="L29" s="310">
        <v>0.71100000000000008</v>
      </c>
      <c r="M29" s="260"/>
      <c r="N29" s="267" t="str">
        <f t="shared" si="1"/>
        <v>EUR15x21F_Quote</v>
      </c>
      <c r="O29" s="266">
        <v>0.71299999999999997</v>
      </c>
      <c r="P29" s="265" t="e">
        <f>_xll.qlSimpleQuoteSetValue($N29,$O29/100,Trigger)</f>
        <v>#N/A</v>
      </c>
      <c r="Q29" s="221"/>
      <c r="W29" s="300">
        <f t="shared" si="2"/>
        <v>5.0000000000000044E-4</v>
      </c>
    </row>
    <row r="30" spans="1:23" x14ac:dyDescent="0.2">
      <c r="A30" s="126"/>
      <c r="B30" s="314">
        <v>16</v>
      </c>
      <c r="C30" s="313" t="str">
        <f t="shared" si="3"/>
        <v>x22F</v>
      </c>
      <c r="D30" s="311" t="str">
        <f t="shared" si="0"/>
        <v>EUR16x22F</v>
      </c>
      <c r="E30" s="311" t="str">
        <v>EUR16X22F=ICAP</v>
      </c>
      <c r="F30" s="312">
        <v>0.71</v>
      </c>
      <c r="G30" s="312">
        <v>0.76</v>
      </c>
      <c r="H30" s="311">
        <v>0</v>
      </c>
      <c r="I30" s="311">
        <v>0</v>
      </c>
      <c r="J30" s="269">
        <f>_xll.qlMidSafe($F30,$G30)</f>
        <v>0.73499999999999999</v>
      </c>
      <c r="K30" s="260"/>
      <c r="L30" s="310">
        <v>0.73299999999999998</v>
      </c>
      <c r="M30" s="260"/>
      <c r="N30" s="267" t="str">
        <f t="shared" si="1"/>
        <v>EUR16x22F_Quote</v>
      </c>
      <c r="O30" s="266">
        <v>0.73499999999999999</v>
      </c>
      <c r="P30" s="265" t="e">
        <f>_xll.qlSimpleQuoteSetValue($N30,$O30/100,Trigger)</f>
        <v>#N/A</v>
      </c>
      <c r="Q30" s="221"/>
      <c r="W30" s="300">
        <f t="shared" si="2"/>
        <v>5.0000000000000044E-4</v>
      </c>
    </row>
    <row r="31" spans="1:23" x14ac:dyDescent="0.2">
      <c r="A31" s="126"/>
      <c r="B31" s="314">
        <v>17</v>
      </c>
      <c r="C31" s="313" t="str">
        <f t="shared" si="3"/>
        <v>x23F</v>
      </c>
      <c r="D31" s="311" t="str">
        <f t="shared" si="0"/>
        <v>EUR17x23F</v>
      </c>
      <c r="E31" s="311" t="str">
        <v>EUR17X23F=ICAP</v>
      </c>
      <c r="F31" s="312">
        <v>0.73599999999999999</v>
      </c>
      <c r="G31" s="312">
        <v>0.78600000000000003</v>
      </c>
      <c r="H31" s="311">
        <v>0</v>
      </c>
      <c r="I31" s="311">
        <v>0</v>
      </c>
      <c r="J31" s="269">
        <f>_xll.qlMidSafe($F31,$G31)</f>
        <v>0.76100000000000001</v>
      </c>
      <c r="K31" s="260"/>
      <c r="L31" s="310">
        <v>0.76</v>
      </c>
      <c r="M31" s="260"/>
      <c r="N31" s="267" t="str">
        <f t="shared" si="1"/>
        <v>EUR17x23F_Quote</v>
      </c>
      <c r="O31" s="266">
        <v>0.76100000000000001</v>
      </c>
      <c r="P31" s="265" t="e">
        <f>_xll.qlSimpleQuoteSetValue($N31,$O31/100,Trigger)</f>
        <v>#N/A</v>
      </c>
      <c r="Q31" s="221"/>
      <c r="W31" s="300">
        <f t="shared" si="2"/>
        <v>5.0000000000000044E-4</v>
      </c>
    </row>
    <row r="32" spans="1:23" x14ac:dyDescent="0.2">
      <c r="A32" s="126"/>
      <c r="B32" s="314">
        <v>18</v>
      </c>
      <c r="C32" s="313" t="str">
        <f t="shared" si="3"/>
        <v>x24F</v>
      </c>
      <c r="D32" s="311" t="str">
        <f t="shared" si="0"/>
        <v>EUR18x24F</v>
      </c>
      <c r="E32" s="311" t="str">
        <v>EUR18X24F=ICAP</v>
      </c>
      <c r="F32" s="312">
        <v>0.75900000000000001</v>
      </c>
      <c r="G32" s="312">
        <v>0.80900000000000005</v>
      </c>
      <c r="H32" s="311">
        <v>0</v>
      </c>
      <c r="I32" s="311">
        <v>0</v>
      </c>
      <c r="J32" s="269">
        <f>_xll.qlMidSafe($F32,$G32)</f>
        <v>0.78400000000000003</v>
      </c>
      <c r="K32" s="260"/>
      <c r="L32" s="310">
        <v>0.78300000000000003</v>
      </c>
      <c r="M32" s="260"/>
      <c r="N32" s="267" t="str">
        <f t="shared" si="1"/>
        <v>EUR18x24F_Quote</v>
      </c>
      <c r="O32" s="266">
        <v>0.78400000000000003</v>
      </c>
      <c r="P32" s="265" t="e">
        <f>_xll.qlSimpleQuoteSetValue($N32,$O32/100,Trigger)</f>
        <v>#N/A</v>
      </c>
      <c r="Q32" s="221"/>
      <c r="W32" s="300">
        <f t="shared" si="2"/>
        <v>5.0000000000000044E-4</v>
      </c>
    </row>
    <row r="33" spans="1:23" x14ac:dyDescent="0.2">
      <c r="A33" s="126"/>
      <c r="B33" s="309">
        <v>12</v>
      </c>
      <c r="C33" s="308" t="str">
        <f>"x"&amp;B33+12&amp;"F"</f>
        <v>x24F</v>
      </c>
      <c r="D33" s="306" t="str">
        <f t="shared" si="0"/>
        <v>EUR12x24F</v>
      </c>
      <c r="E33" s="306" t="str">
        <v>EUR12X24F=ICAP</v>
      </c>
      <c r="F33" s="307">
        <v>0.83899999999999997</v>
      </c>
      <c r="G33" s="307">
        <v>0.88900000000000001</v>
      </c>
      <c r="H33" s="306">
        <v>0</v>
      </c>
      <c r="I33" s="306">
        <v>0</v>
      </c>
      <c r="J33" s="305">
        <f>_xll.qlMidSafe($F33,$G33)</f>
        <v>0.86399999999999999</v>
      </c>
      <c r="K33" s="260"/>
      <c r="L33" s="304">
        <v>0.86199999999999999</v>
      </c>
      <c r="M33" s="260"/>
      <c r="N33" s="303" t="str">
        <f t="shared" si="1"/>
        <v>EUR12x24F_Quote</v>
      </c>
      <c r="O33" s="302">
        <v>0.86399999999999999</v>
      </c>
      <c r="P33" s="301" t="e">
        <f>_xll.qlSimpleQuoteSetValue($N33,$O33/100,Trigger)</f>
        <v>#N/A</v>
      </c>
      <c r="Q33" s="221"/>
      <c r="W33" s="300">
        <f t="shared" si="2"/>
        <v>5.0000000000000044E-4</v>
      </c>
    </row>
    <row r="34" spans="1:23" ht="12" thickBot="1" x14ac:dyDescent="0.25">
      <c r="A34" s="52"/>
      <c r="B34" s="299"/>
      <c r="C34" s="299"/>
      <c r="D34" s="299"/>
      <c r="E34" s="299"/>
      <c r="F34" s="299"/>
      <c r="G34" s="299"/>
      <c r="H34" s="299"/>
      <c r="I34" s="299"/>
      <c r="J34" s="299"/>
      <c r="K34" s="51"/>
      <c r="L34" s="299"/>
      <c r="M34" s="51"/>
      <c r="N34" s="299"/>
      <c r="O34" s="299"/>
      <c r="P34" s="299"/>
      <c r="Q34" s="50"/>
    </row>
  </sheetData>
  <dataValidations count="1">
    <dataValidation type="list" showInputMessage="1" showErrorMessage="1" sqref="E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WVM983042">
      <formula1>Contributors</formula1>
    </dataValidation>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X18"/>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8.85546875" style="21" bestFit="1" customWidth="1"/>
    <col min="7" max="7" width="10.5703125" style="21" bestFit="1" customWidth="1"/>
    <col min="8" max="10" width="6.5703125" style="21" bestFit="1" customWidth="1"/>
    <col min="11" max="11" width="9.7109375" style="21" customWidth="1"/>
    <col min="12" max="12" width="6.5703125" style="21" bestFit="1" customWidth="1"/>
    <col min="13" max="13" width="2.85546875" style="21" customWidth="1"/>
    <col min="14" max="14" width="6.5703125" style="21" customWidth="1"/>
    <col min="15" max="15" width="2.85546875" style="21" customWidth="1"/>
    <col min="16" max="16" width="15.855468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16384" width="9.140625" style="21"/>
  </cols>
  <sheetData>
    <row r="1" spans="1:24" ht="12.75" customHeight="1" x14ac:dyDescent="0.2">
      <c r="A1" s="298" t="s">
        <v>311</v>
      </c>
      <c r="B1" s="203"/>
      <c r="C1" s="203"/>
      <c r="D1" s="203"/>
      <c r="E1" s="203"/>
      <c r="F1" s="203"/>
      <c r="G1" s="203"/>
      <c r="H1" s="203"/>
      <c r="I1" s="203"/>
      <c r="J1" s="203"/>
      <c r="K1" s="203"/>
      <c r="L1" s="203"/>
      <c r="M1" s="358"/>
      <c r="N1" s="358"/>
      <c r="O1" s="203"/>
      <c r="P1" s="203"/>
      <c r="Q1" s="203"/>
      <c r="R1" s="203"/>
      <c r="S1" s="357"/>
    </row>
    <row r="2" spans="1:24" ht="12.75" customHeight="1" x14ac:dyDescent="0.2">
      <c r="A2" s="297"/>
      <c r="B2" s="141"/>
      <c r="C2" s="296"/>
      <c r="D2" s="296"/>
      <c r="E2" s="141"/>
      <c r="F2" s="141"/>
      <c r="G2" s="141"/>
      <c r="H2" s="141"/>
      <c r="I2" s="141"/>
      <c r="J2" s="141"/>
      <c r="K2" s="141"/>
      <c r="L2" s="141"/>
      <c r="M2" s="260"/>
      <c r="N2" s="260"/>
      <c r="O2" s="141"/>
      <c r="P2" s="97" t="s">
        <v>255</v>
      </c>
      <c r="Q2" s="356" t="s">
        <v>147</v>
      </c>
      <c r="R2" s="141"/>
      <c r="S2" s="355"/>
    </row>
    <row r="3" spans="1:24" ht="12.75" customHeight="1" x14ac:dyDescent="0.2">
      <c r="A3" s="297"/>
      <c r="B3" s="141"/>
      <c r="C3" s="141"/>
      <c r="D3" s="141"/>
      <c r="E3" s="141"/>
      <c r="F3" s="141"/>
      <c r="G3" s="141"/>
      <c r="H3" s="141"/>
      <c r="I3" s="141"/>
      <c r="J3" s="141"/>
      <c r="K3" s="141"/>
      <c r="L3" s="141"/>
      <c r="M3" s="260"/>
      <c r="N3" s="260"/>
      <c r="O3" s="141"/>
      <c r="Q3" s="141"/>
      <c r="R3" s="141"/>
      <c r="S3" s="355"/>
    </row>
    <row r="4" spans="1:24" ht="12.75" customHeight="1" thickBot="1" x14ac:dyDescent="0.25">
      <c r="A4" s="297"/>
      <c r="B4" s="141"/>
      <c r="C4" s="141"/>
      <c r="D4" s="141"/>
      <c r="E4" s="141"/>
      <c r="F4" s="141"/>
      <c r="G4" s="141"/>
      <c r="H4" s="141"/>
      <c r="I4" s="141"/>
      <c r="J4" s="141"/>
      <c r="K4" s="141"/>
      <c r="L4" s="141"/>
      <c r="M4" s="260"/>
      <c r="N4" s="260"/>
      <c r="O4" s="141"/>
      <c r="P4" s="260" t="s">
        <v>266</v>
      </c>
      <c r="Q4" s="141"/>
      <c r="R4" s="292">
        <f>_xll.ohTrigger(R6:R17)</f>
        <v>21</v>
      </c>
      <c r="S4" s="355"/>
    </row>
    <row r="5" spans="1:24" ht="22.5" x14ac:dyDescent="0.2">
      <c r="A5" s="297"/>
      <c r="B5" s="354" t="s">
        <v>187</v>
      </c>
      <c r="C5" s="329" t="s">
        <v>186</v>
      </c>
      <c r="D5" s="329" t="s">
        <v>185</v>
      </c>
      <c r="E5" s="329" t="s">
        <v>265</v>
      </c>
      <c r="F5" s="291" t="e">
        <f ca="1">_xll.RData(F6:F17,G5:K5,,ReutersRtMode,,G6)</f>
        <v>#NAME?</v>
      </c>
      <c r="G5" s="329" t="s">
        <v>264</v>
      </c>
      <c r="H5" s="329" t="s">
        <v>259</v>
      </c>
      <c r="I5" s="329" t="s">
        <v>226</v>
      </c>
      <c r="J5" s="329" t="s">
        <v>241</v>
      </c>
      <c r="K5" s="329" t="s">
        <v>258</v>
      </c>
      <c r="L5" s="286" t="s">
        <v>257</v>
      </c>
      <c r="M5" s="260"/>
      <c r="N5" s="289" t="s">
        <v>253</v>
      </c>
      <c r="O5" s="260"/>
      <c r="P5" s="288" t="s">
        <v>252</v>
      </c>
      <c r="Q5" s="329" t="s">
        <v>251</v>
      </c>
      <c r="R5" s="290" t="s">
        <v>250</v>
      </c>
      <c r="S5" s="53"/>
      <c r="U5" s="212" t="s">
        <v>263</v>
      </c>
      <c r="V5" s="210" t="s">
        <v>262</v>
      </c>
      <c r="X5" s="326" t="s">
        <v>256</v>
      </c>
    </row>
    <row r="6" spans="1:24" ht="12.75" customHeight="1" x14ac:dyDescent="0.2">
      <c r="A6" s="340"/>
      <c r="B6" s="353">
        <v>1</v>
      </c>
      <c r="C6" s="352" t="b">
        <v>0</v>
      </c>
      <c r="D6" s="278" t="str">
        <f t="array" ref="D6:D17">_xll.qlIMMcode(FuturesDates)</f>
        <v>Z3</v>
      </c>
      <c r="E6" s="351">
        <f t="array" ref="E6:E17">_xll.qlIMMNextDates(_xll.qlSettingsEvaluationDate(Trigger)-1,$C6:$C17)</f>
        <v>41626</v>
      </c>
      <c r="F6" s="278" t="str">
        <f t="array" ref="F6:F17">VLOOKUP(Currency,LiffeCodes,2)&amp;FuturesCodes</f>
        <v>Z3</v>
      </c>
      <c r="G6" s="350" t="s">
        <v>260</v>
      </c>
      <c r="H6" s="278" t="s">
        <v>260</v>
      </c>
      <c r="I6" s="278" t="s">
        <v>260</v>
      </c>
      <c r="J6" s="278" t="s">
        <v>260</v>
      </c>
      <c r="K6" s="278" t="s">
        <v>260</v>
      </c>
      <c r="L6" s="281" t="e">
        <f>_xll.qlMidSafe($H6,$I6)</f>
        <v>#NUM!</v>
      </c>
      <c r="M6" s="260"/>
      <c r="N6" s="349" t="e">
        <v>#NUM!</v>
      </c>
      <c r="O6" s="260"/>
      <c r="P6" s="348" t="str">
        <f t="array" ref="P6:P17">Currency&amp;$P$4&amp;FuturesCodes&amp;$Q$2</f>
        <v>EURFUT1MZ3_Quote</v>
      </c>
      <c r="Q6" s="278" t="e">
        <f t="array" ref="Q6:Q17">QuoteLive</f>
        <v>#NUM!</v>
      </c>
      <c r="R6" s="281" t="e">
        <f>_xll.qlSimpleQuoteSetValue($P6,$Q6,Trigger)</f>
        <v>#NUM!</v>
      </c>
      <c r="S6" s="53"/>
      <c r="U6" s="90" t="s">
        <v>137</v>
      </c>
      <c r="V6" s="88"/>
      <c r="X6" s="300" t="e">
        <f t="shared" ref="X6:X17" si="0">(I6-L6)/50</f>
        <v>#VALUE!</v>
      </c>
    </row>
    <row r="7" spans="1:24" x14ac:dyDescent="0.2">
      <c r="A7" s="340"/>
      <c r="B7" s="346">
        <v>2</v>
      </c>
      <c r="C7" s="345" t="b">
        <v>0</v>
      </c>
      <c r="D7" s="266" t="str">
        <v>F4</v>
      </c>
      <c r="E7" s="344">
        <v>41654</v>
      </c>
      <c r="F7" s="266" t="str">
        <v>F4</v>
      </c>
      <c r="G7" s="343" t="s">
        <v>260</v>
      </c>
      <c r="H7" s="266" t="s">
        <v>260</v>
      </c>
      <c r="I7" s="266" t="s">
        <v>260</v>
      </c>
      <c r="J7" s="266" t="s">
        <v>260</v>
      </c>
      <c r="K7" s="266" t="s">
        <v>260</v>
      </c>
      <c r="L7" s="269" t="e">
        <f>_xll.qlMidSafe($H7,$I7)</f>
        <v>#NUM!</v>
      </c>
      <c r="M7" s="260"/>
      <c r="N7" s="347" t="e">
        <v>#NUM!</v>
      </c>
      <c r="O7" s="260"/>
      <c r="P7" s="341" t="str">
        <v>EURFUT1MF4_Quote</v>
      </c>
      <c r="Q7" s="266" t="e">
        <v>#NUM!</v>
      </c>
      <c r="R7" s="269" t="e">
        <f>_xll.qlSimpleQuoteSetValue($P7,$Q7,Trigger)</f>
        <v>#NUM!</v>
      </c>
      <c r="S7" s="53"/>
      <c r="U7" s="90" t="s">
        <v>123</v>
      </c>
      <c r="V7" s="88"/>
      <c r="X7" s="300" t="e">
        <f t="shared" si="0"/>
        <v>#VALUE!</v>
      </c>
    </row>
    <row r="8" spans="1:24" x14ac:dyDescent="0.2">
      <c r="A8" s="340"/>
      <c r="B8" s="346">
        <v>3</v>
      </c>
      <c r="C8" s="345" t="b">
        <v>0</v>
      </c>
      <c r="D8" s="266" t="str">
        <v>G4</v>
      </c>
      <c r="E8" s="344">
        <v>41689</v>
      </c>
      <c r="F8" s="266" t="str">
        <v>G4</v>
      </c>
      <c r="G8" s="343" t="s">
        <v>260</v>
      </c>
      <c r="H8" s="266" t="s">
        <v>260</v>
      </c>
      <c r="I8" s="266" t="s">
        <v>260</v>
      </c>
      <c r="J8" s="266" t="s">
        <v>260</v>
      </c>
      <c r="K8" s="266" t="s">
        <v>260</v>
      </c>
      <c r="L8" s="269" t="e">
        <f>_xll.qlMidSafe($H8,$I8)</f>
        <v>#NUM!</v>
      </c>
      <c r="M8" s="260"/>
      <c r="N8" s="347" t="e">
        <v>#NUM!</v>
      </c>
      <c r="O8" s="260"/>
      <c r="P8" s="341" t="str">
        <v>EURFUT1MG4_Quote</v>
      </c>
      <c r="Q8" s="266" t="e">
        <v>#NUM!</v>
      </c>
      <c r="R8" s="269" t="e">
        <f>_xll.qlSimpleQuoteSetValue($P8,$Q8,Trigger)</f>
        <v>#NUM!</v>
      </c>
      <c r="S8" s="53"/>
      <c r="U8" s="90" t="s">
        <v>134</v>
      </c>
      <c r="V8" s="88"/>
      <c r="X8" s="300" t="e">
        <f t="shared" si="0"/>
        <v>#VALUE!</v>
      </c>
    </row>
    <row r="9" spans="1:24" x14ac:dyDescent="0.2">
      <c r="A9" s="340"/>
      <c r="B9" s="346">
        <v>4</v>
      </c>
      <c r="C9" s="345" t="b">
        <v>0</v>
      </c>
      <c r="D9" s="266" t="str">
        <v>H4</v>
      </c>
      <c r="E9" s="344">
        <v>41717</v>
      </c>
      <c r="F9" s="266" t="str">
        <v>H4</v>
      </c>
      <c r="G9" s="343" t="s">
        <v>260</v>
      </c>
      <c r="H9" s="266" t="s">
        <v>260</v>
      </c>
      <c r="I9" s="266" t="s">
        <v>260</v>
      </c>
      <c r="J9" s="266" t="s">
        <v>260</v>
      </c>
      <c r="K9" s="266" t="s">
        <v>260</v>
      </c>
      <c r="L9" s="269" t="e">
        <f>_xll.qlMidSafe($H9,$I9)</f>
        <v>#NUM!</v>
      </c>
      <c r="M9" s="260"/>
      <c r="N9" s="347" t="e">
        <v>#NUM!</v>
      </c>
      <c r="O9" s="260"/>
      <c r="P9" s="341" t="str">
        <v>EURFUT1MH4_Quote</v>
      </c>
      <c r="Q9" s="266" t="e">
        <v>#NUM!</v>
      </c>
      <c r="R9" s="269" t="e">
        <f>_xll.qlSimpleQuoteSetValue($P9,$Q9,Trigger)</f>
        <v>#NUM!</v>
      </c>
      <c r="S9" s="53"/>
      <c r="U9" s="90" t="s">
        <v>133</v>
      </c>
      <c r="V9" s="88"/>
      <c r="X9" s="300" t="e">
        <f t="shared" si="0"/>
        <v>#VALUE!</v>
      </c>
    </row>
    <row r="10" spans="1:24" ht="12" thickBot="1" x14ac:dyDescent="0.25">
      <c r="A10" s="340"/>
      <c r="B10" s="346">
        <v>5</v>
      </c>
      <c r="C10" s="345" t="b">
        <v>0</v>
      </c>
      <c r="D10" s="266" t="str">
        <v>J4</v>
      </c>
      <c r="E10" s="344">
        <v>41745</v>
      </c>
      <c r="F10" s="266" t="str">
        <v>J4</v>
      </c>
      <c r="G10" s="343" t="s">
        <v>260</v>
      </c>
      <c r="H10" s="266" t="s">
        <v>260</v>
      </c>
      <c r="I10" s="266" t="s">
        <v>260</v>
      </c>
      <c r="J10" s="266" t="s">
        <v>260</v>
      </c>
      <c r="K10" s="266" t="s">
        <v>260</v>
      </c>
      <c r="L10" s="269" t="e">
        <f>_xll.qlMidSafe($H10,$I10)</f>
        <v>#NUM!</v>
      </c>
      <c r="M10" s="260"/>
      <c r="N10" s="342" t="e">
        <v>#NUM!</v>
      </c>
      <c r="O10" s="260"/>
      <c r="P10" s="341" t="str">
        <v>EURFUT1MJ4_Quote</v>
      </c>
      <c r="Q10" s="266" t="e">
        <v>#NUM!</v>
      </c>
      <c r="R10" s="269" t="e">
        <f>_xll.qlSimpleQuoteSetValue($P10,$Q10,Trigger)</f>
        <v>#NUM!</v>
      </c>
      <c r="S10" s="53"/>
      <c r="U10" s="87" t="s">
        <v>131</v>
      </c>
      <c r="V10" s="85" t="s">
        <v>261</v>
      </c>
      <c r="X10" s="300" t="e">
        <f t="shared" si="0"/>
        <v>#VALUE!</v>
      </c>
    </row>
    <row r="11" spans="1:24" x14ac:dyDescent="0.2">
      <c r="A11" s="340"/>
      <c r="B11" s="346">
        <v>6</v>
      </c>
      <c r="C11" s="345" t="b">
        <v>0</v>
      </c>
      <c r="D11" s="266" t="str">
        <v>K4</v>
      </c>
      <c r="E11" s="344">
        <v>41780</v>
      </c>
      <c r="F11" s="266" t="str">
        <v>K4</v>
      </c>
      <c r="G11" s="343" t="s">
        <v>260</v>
      </c>
      <c r="H11" s="266" t="s">
        <v>260</v>
      </c>
      <c r="I11" s="266" t="s">
        <v>260</v>
      </c>
      <c r="J11" s="266" t="s">
        <v>260</v>
      </c>
      <c r="K11" s="266" t="s">
        <v>260</v>
      </c>
      <c r="L11" s="269" t="e">
        <f>_xll.qlMidSafe($H11,$I11)</f>
        <v>#NUM!</v>
      </c>
      <c r="M11" s="260"/>
      <c r="N11" s="342" t="e">
        <v>#NUM!</v>
      </c>
      <c r="O11" s="260"/>
      <c r="P11" s="341" t="str">
        <v>EURFUT1MK4_Quote</v>
      </c>
      <c r="Q11" s="266" t="e">
        <v>#NUM!</v>
      </c>
      <c r="R11" s="269" t="e">
        <f>_xll.qlSimpleQuoteSetValue($P11,$Q11,Trigger)</f>
        <v>#NUM!</v>
      </c>
      <c r="S11" s="53"/>
      <c r="X11" s="300" t="e">
        <f t="shared" si="0"/>
        <v>#VALUE!</v>
      </c>
    </row>
    <row r="12" spans="1:24" x14ac:dyDescent="0.2">
      <c r="A12" s="340"/>
      <c r="B12" s="346">
        <v>7</v>
      </c>
      <c r="C12" s="345" t="b">
        <v>0</v>
      </c>
      <c r="D12" s="266" t="str">
        <v>M4</v>
      </c>
      <c r="E12" s="344">
        <v>41808</v>
      </c>
      <c r="F12" s="266" t="str">
        <v>M4</v>
      </c>
      <c r="G12" s="343" t="s">
        <v>260</v>
      </c>
      <c r="H12" s="266" t="s">
        <v>260</v>
      </c>
      <c r="I12" s="266" t="s">
        <v>260</v>
      </c>
      <c r="J12" s="266" t="s">
        <v>260</v>
      </c>
      <c r="K12" s="266" t="s">
        <v>260</v>
      </c>
      <c r="L12" s="269" t="e">
        <f>_xll.qlMidSafe($H12,$I12)</f>
        <v>#NUM!</v>
      </c>
      <c r="M12" s="260"/>
      <c r="N12" s="342" t="e">
        <v>#NUM!</v>
      </c>
      <c r="O12" s="260"/>
      <c r="P12" s="341" t="str">
        <v>EURFUT1MM4_Quote</v>
      </c>
      <c r="Q12" s="266" t="e">
        <v>#NUM!</v>
      </c>
      <c r="R12" s="269" t="e">
        <f>_xll.qlSimpleQuoteSetValue($P12,$Q12,Trigger)</f>
        <v>#NUM!</v>
      </c>
      <c r="S12" s="53"/>
      <c r="X12" s="300" t="e">
        <f t="shared" si="0"/>
        <v>#VALUE!</v>
      </c>
    </row>
    <row r="13" spans="1:24" x14ac:dyDescent="0.2">
      <c r="A13" s="340"/>
      <c r="B13" s="346">
        <v>8</v>
      </c>
      <c r="C13" s="345" t="b">
        <v>0</v>
      </c>
      <c r="D13" s="266" t="str">
        <v>N4</v>
      </c>
      <c r="E13" s="344">
        <v>41836</v>
      </c>
      <c r="F13" s="266" t="str">
        <v>N4</v>
      </c>
      <c r="G13" s="343" t="s">
        <v>260</v>
      </c>
      <c r="H13" s="266" t="s">
        <v>260</v>
      </c>
      <c r="I13" s="266" t="s">
        <v>260</v>
      </c>
      <c r="J13" s="266" t="s">
        <v>260</v>
      </c>
      <c r="K13" s="266" t="s">
        <v>260</v>
      </c>
      <c r="L13" s="269" t="e">
        <f>_xll.qlMidSafe($H13,$I13)</f>
        <v>#NUM!</v>
      </c>
      <c r="M13" s="260"/>
      <c r="N13" s="342" t="e">
        <v>#NUM!</v>
      </c>
      <c r="O13" s="260"/>
      <c r="P13" s="341" t="str">
        <v>EURFUT1MN4_Quote</v>
      </c>
      <c r="Q13" s="266" t="e">
        <v>#NUM!</v>
      </c>
      <c r="R13" s="269" t="e">
        <f>_xll.qlSimpleQuoteSetValue($P13,$Q13,Trigger)</f>
        <v>#NUM!</v>
      </c>
      <c r="S13" s="53"/>
      <c r="X13" s="300" t="e">
        <f t="shared" si="0"/>
        <v>#VALUE!</v>
      </c>
    </row>
    <row r="14" spans="1:24" x14ac:dyDescent="0.2">
      <c r="A14" s="340"/>
      <c r="B14" s="346">
        <v>9</v>
      </c>
      <c r="C14" s="345" t="b">
        <v>0</v>
      </c>
      <c r="D14" s="266" t="str">
        <v>Q4</v>
      </c>
      <c r="E14" s="344">
        <v>41871</v>
      </c>
      <c r="F14" s="266" t="str">
        <v>Q4</v>
      </c>
      <c r="G14" s="343" t="s">
        <v>260</v>
      </c>
      <c r="H14" s="266" t="s">
        <v>260</v>
      </c>
      <c r="I14" s="266" t="s">
        <v>260</v>
      </c>
      <c r="J14" s="266" t="s">
        <v>260</v>
      </c>
      <c r="K14" s="266" t="s">
        <v>260</v>
      </c>
      <c r="L14" s="269" t="e">
        <f>_xll.qlMidSafe($H14,$I14)</f>
        <v>#NUM!</v>
      </c>
      <c r="M14" s="260"/>
      <c r="N14" s="342" t="e">
        <v>#NUM!</v>
      </c>
      <c r="O14" s="260"/>
      <c r="P14" s="341" t="str">
        <v>EURFUT1MQ4_Quote</v>
      </c>
      <c r="Q14" s="266" t="e">
        <v>#NUM!</v>
      </c>
      <c r="R14" s="269" t="e">
        <f>_xll.qlSimpleQuoteSetValue($P14,$Q14,Trigger)</f>
        <v>#NUM!</v>
      </c>
      <c r="S14" s="53"/>
      <c r="X14" s="300" t="e">
        <f t="shared" si="0"/>
        <v>#VALUE!</v>
      </c>
    </row>
    <row r="15" spans="1:24" x14ac:dyDescent="0.2">
      <c r="A15" s="340"/>
      <c r="B15" s="346">
        <v>10</v>
      </c>
      <c r="C15" s="345" t="b">
        <v>0</v>
      </c>
      <c r="D15" s="266" t="str">
        <v>U4</v>
      </c>
      <c r="E15" s="344">
        <v>41899</v>
      </c>
      <c r="F15" s="266" t="str">
        <v>U4</v>
      </c>
      <c r="G15" s="343" t="s">
        <v>260</v>
      </c>
      <c r="H15" s="266" t="s">
        <v>260</v>
      </c>
      <c r="I15" s="266" t="s">
        <v>260</v>
      </c>
      <c r="J15" s="266" t="s">
        <v>260</v>
      </c>
      <c r="K15" s="266" t="s">
        <v>260</v>
      </c>
      <c r="L15" s="269" t="e">
        <f>_xll.qlMidSafe($H15,$I15)</f>
        <v>#NUM!</v>
      </c>
      <c r="M15" s="260"/>
      <c r="N15" s="342" t="e">
        <v>#NUM!</v>
      </c>
      <c r="O15" s="260"/>
      <c r="P15" s="341" t="str">
        <v>EURFUT1MU4_Quote</v>
      </c>
      <c r="Q15" s="266" t="e">
        <v>#NUM!</v>
      </c>
      <c r="R15" s="269" t="e">
        <f>_xll.qlSimpleQuoteSetValue($P15,$Q15,Trigger)</f>
        <v>#NUM!</v>
      </c>
      <c r="S15" s="53"/>
      <c r="X15" s="300" t="e">
        <f t="shared" si="0"/>
        <v>#VALUE!</v>
      </c>
    </row>
    <row r="16" spans="1:24" x14ac:dyDescent="0.2">
      <c r="A16" s="340"/>
      <c r="B16" s="346">
        <v>11</v>
      </c>
      <c r="C16" s="345" t="b">
        <v>0</v>
      </c>
      <c r="D16" s="266" t="str">
        <v>V4</v>
      </c>
      <c r="E16" s="344">
        <v>41927</v>
      </c>
      <c r="F16" s="266" t="str">
        <v>V4</v>
      </c>
      <c r="G16" s="343" t="s">
        <v>260</v>
      </c>
      <c r="H16" s="266" t="s">
        <v>260</v>
      </c>
      <c r="I16" s="266" t="s">
        <v>260</v>
      </c>
      <c r="J16" s="266" t="s">
        <v>260</v>
      </c>
      <c r="K16" s="266" t="s">
        <v>260</v>
      </c>
      <c r="L16" s="269" t="e">
        <f>_xll.qlMidSafe($H16,$I16)</f>
        <v>#NUM!</v>
      </c>
      <c r="M16" s="260"/>
      <c r="N16" s="342" t="e">
        <v>#NUM!</v>
      </c>
      <c r="O16" s="260"/>
      <c r="P16" s="341" t="str">
        <v>EURFUT1MV4_Quote</v>
      </c>
      <c r="Q16" s="266" t="e">
        <v>#NUM!</v>
      </c>
      <c r="R16" s="269" t="e">
        <f>_xll.qlSimpleQuoteSetValue($P16,$Q16,Trigger)</f>
        <v>#NUM!</v>
      </c>
      <c r="S16" s="53"/>
      <c r="X16" s="300" t="e">
        <f t="shared" si="0"/>
        <v>#VALUE!</v>
      </c>
    </row>
    <row r="17" spans="1:24" x14ac:dyDescent="0.2">
      <c r="A17" s="340"/>
      <c r="B17" s="339">
        <v>12</v>
      </c>
      <c r="C17" s="338" t="b">
        <v>0</v>
      </c>
      <c r="D17" s="258" t="str">
        <v>X4</v>
      </c>
      <c r="E17" s="337">
        <v>41962</v>
      </c>
      <c r="F17" s="258" t="str">
        <v>X4</v>
      </c>
      <c r="G17" s="336" t="s">
        <v>260</v>
      </c>
      <c r="H17" s="258" t="s">
        <v>260</v>
      </c>
      <c r="I17" s="258" t="s">
        <v>260</v>
      </c>
      <c r="J17" s="258" t="s">
        <v>260</v>
      </c>
      <c r="K17" s="258" t="s">
        <v>260</v>
      </c>
      <c r="L17" s="262" t="e">
        <f>_xll.qlMidSafe($H17,$I17)</f>
        <v>#NUM!</v>
      </c>
      <c r="M17" s="260"/>
      <c r="N17" s="335" t="e">
        <v>#NUM!</v>
      </c>
      <c r="O17" s="260"/>
      <c r="P17" s="334" t="str">
        <v>EURFUT1MX4_Quote</v>
      </c>
      <c r="Q17" s="258" t="e">
        <v>#NUM!</v>
      </c>
      <c r="R17" s="262" t="e">
        <f>_xll.qlSimpleQuoteSetValue($P17,$Q17,Trigger)</f>
        <v>#NUM!</v>
      </c>
      <c r="S17" s="53"/>
      <c r="X17" s="300" t="e">
        <f t="shared" si="0"/>
        <v>#VALUE!</v>
      </c>
    </row>
    <row r="18" spans="1:24" ht="12" thickBot="1" x14ac:dyDescent="0.25">
      <c r="A18" s="333"/>
      <c r="B18" s="51"/>
      <c r="C18" s="51"/>
      <c r="D18" s="51"/>
      <c r="E18" s="51"/>
      <c r="F18" s="51"/>
      <c r="G18" s="51"/>
      <c r="H18" s="51"/>
      <c r="I18" s="51"/>
      <c r="J18" s="51"/>
      <c r="K18" s="51"/>
      <c r="L18" s="51"/>
      <c r="M18" s="51"/>
      <c r="N18" s="51"/>
      <c r="O18" s="51"/>
      <c r="P18" s="51"/>
      <c r="Q18" s="51"/>
      <c r="R18" s="51"/>
      <c r="S18" s="50"/>
    </row>
  </sheetData>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X48"/>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8.85546875" style="21" bestFit="1" customWidth="1"/>
    <col min="7" max="7" width="9" style="21" customWidth="1"/>
    <col min="8" max="10" width="6.5703125" style="21" bestFit="1" customWidth="1"/>
    <col min="11" max="11" width="9.85546875" style="21" customWidth="1"/>
    <col min="12" max="12" width="6.5703125" style="21" bestFit="1" customWidth="1"/>
    <col min="13" max="13" width="2.85546875" style="21" customWidth="1"/>
    <col min="14" max="14" width="6.5703125" style="21" customWidth="1"/>
    <col min="15" max="15" width="2.85546875" style="21" customWidth="1"/>
    <col min="16" max="16" width="15.855468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16384" width="9.140625" style="21"/>
  </cols>
  <sheetData>
    <row r="1" spans="1:24" ht="12.75" customHeight="1" x14ac:dyDescent="0.2">
      <c r="A1" s="298" t="s">
        <v>311</v>
      </c>
      <c r="B1" s="203"/>
      <c r="C1" s="203"/>
      <c r="D1" s="203"/>
      <c r="E1" s="203"/>
      <c r="F1" s="203"/>
      <c r="G1" s="203"/>
      <c r="H1" s="203"/>
      <c r="I1" s="203"/>
      <c r="J1" s="203"/>
      <c r="K1" s="203"/>
      <c r="L1" s="203"/>
      <c r="M1" s="358"/>
      <c r="N1" s="358"/>
      <c r="O1" s="203"/>
      <c r="P1" s="203"/>
      <c r="Q1" s="203"/>
      <c r="R1" s="203"/>
      <c r="S1" s="357"/>
    </row>
    <row r="2" spans="1:24" ht="12.75" customHeight="1" x14ac:dyDescent="0.2">
      <c r="A2" s="297"/>
      <c r="B2" s="141"/>
      <c r="C2" s="296"/>
      <c r="D2" s="296"/>
      <c r="E2" s="141"/>
      <c r="F2" s="141"/>
      <c r="G2" s="141"/>
      <c r="H2" s="141"/>
      <c r="I2" s="141"/>
      <c r="J2" s="141"/>
      <c r="K2" s="141"/>
      <c r="L2" s="141"/>
      <c r="M2" s="260"/>
      <c r="N2" s="260"/>
      <c r="O2" s="141"/>
      <c r="P2" s="97" t="s">
        <v>255</v>
      </c>
      <c r="Q2" s="356" t="s">
        <v>147</v>
      </c>
      <c r="R2" s="141"/>
      <c r="S2" s="355"/>
    </row>
    <row r="3" spans="1:24" ht="12.75" customHeight="1" x14ac:dyDescent="0.2">
      <c r="A3" s="297"/>
      <c r="B3" s="141"/>
      <c r="C3" s="141"/>
      <c r="D3" s="141"/>
      <c r="E3" s="141"/>
      <c r="F3" s="141"/>
      <c r="G3" s="141"/>
      <c r="H3" s="141"/>
      <c r="I3" s="141"/>
      <c r="J3" s="141"/>
      <c r="K3" s="141"/>
      <c r="L3" s="141"/>
      <c r="M3" s="260"/>
      <c r="N3" s="260"/>
      <c r="O3" s="141"/>
      <c r="Q3" s="141"/>
      <c r="R3" s="141"/>
      <c r="S3" s="355"/>
    </row>
    <row r="4" spans="1:24" ht="12.75" customHeight="1" thickBot="1" x14ac:dyDescent="0.25">
      <c r="A4" s="297"/>
      <c r="B4" s="141"/>
      <c r="C4" s="141"/>
      <c r="D4" s="141"/>
      <c r="E4" s="141"/>
      <c r="F4" s="141"/>
      <c r="G4" s="141"/>
      <c r="H4" s="141"/>
      <c r="I4" s="141"/>
      <c r="J4" s="141"/>
      <c r="K4" s="141"/>
      <c r="L4" s="141"/>
      <c r="M4" s="260"/>
      <c r="N4" s="260"/>
      <c r="O4" s="141"/>
      <c r="P4" s="260" t="s">
        <v>271</v>
      </c>
      <c r="Q4" s="141"/>
      <c r="R4" s="292">
        <f>_xll.ohTrigger(R6:R47)</f>
        <v>21</v>
      </c>
      <c r="S4" s="355"/>
    </row>
    <row r="5" spans="1:24" ht="22.5" x14ac:dyDescent="0.2">
      <c r="A5" s="297"/>
      <c r="B5" s="364" t="s">
        <v>187</v>
      </c>
      <c r="C5" s="360" t="s">
        <v>186</v>
      </c>
      <c r="D5" s="360" t="s">
        <v>185</v>
      </c>
      <c r="E5" s="360" t="s">
        <v>265</v>
      </c>
      <c r="F5" s="363" t="e">
        <f ca="1">_xll.RData(F6:F47,G5:K5,,ReutersRtMode,,G6)</f>
        <v>#NAME?</v>
      </c>
      <c r="G5" s="360" t="s">
        <v>264</v>
      </c>
      <c r="H5" s="360" t="s">
        <v>259</v>
      </c>
      <c r="I5" s="360" t="s">
        <v>226</v>
      </c>
      <c r="J5" s="360" t="s">
        <v>241</v>
      </c>
      <c r="K5" s="360" t="s">
        <v>258</v>
      </c>
      <c r="L5" s="362" t="s">
        <v>257</v>
      </c>
      <c r="M5" s="260"/>
      <c r="N5" s="361" t="s">
        <v>253</v>
      </c>
      <c r="O5" s="260"/>
      <c r="P5" s="328" t="s">
        <v>252</v>
      </c>
      <c r="Q5" s="360" t="s">
        <v>251</v>
      </c>
      <c r="R5" s="359" t="s">
        <v>250</v>
      </c>
      <c r="S5" s="53"/>
      <c r="U5" s="212" t="s">
        <v>263</v>
      </c>
      <c r="V5" s="210" t="s">
        <v>262</v>
      </c>
      <c r="X5" s="326" t="s">
        <v>256</v>
      </c>
    </row>
    <row r="6" spans="1:24" ht="12.75" customHeight="1" x14ac:dyDescent="0.2">
      <c r="A6" s="340"/>
      <c r="B6" s="353">
        <v>1</v>
      </c>
      <c r="C6" s="352" t="b">
        <v>0</v>
      </c>
      <c r="D6" s="278" t="str">
        <f t="array" ref="D6:D47">_xll.qlIMMcode(FuturesDates)</f>
        <v>Z3</v>
      </c>
      <c r="E6" s="351">
        <f t="array" ref="E6:E47">_xll.qlIMMNextDates(_xll.qlSettingsEvaluationDate(Trigger)-1,$C6:$C47)</f>
        <v>41626</v>
      </c>
      <c r="F6" s="278" t="str">
        <f t="array" ref="F6:F47">VLOOKUP(Currency,LiffeCodes,2)&amp;FuturesCodes</f>
        <v>FEIZ3</v>
      </c>
      <c r="G6" s="350">
        <v>41505</v>
      </c>
      <c r="H6" s="278">
        <v>99.765000000000001</v>
      </c>
      <c r="I6" s="278">
        <v>99.77</v>
      </c>
      <c r="J6" s="278">
        <v>99.765000000000001</v>
      </c>
      <c r="K6" s="278">
        <v>99.765000000000001</v>
      </c>
      <c r="L6" s="281">
        <f>_xll.qlMidSafe($H6,$I6)</f>
        <v>99.767499999999998</v>
      </c>
      <c r="M6" s="260"/>
      <c r="N6" s="349">
        <v>99.767499999999998</v>
      </c>
      <c r="O6" s="260"/>
      <c r="P6" s="348" t="str">
        <f t="array" ref="P6:P47">Currency&amp;$P$4&amp;FuturesCodes&amp;$Q$2</f>
        <v>EURFUT3MZ3_Quote</v>
      </c>
      <c r="Q6" s="278">
        <f t="array" ref="Q6:Q47">QuoteLive</f>
        <v>99.767499999999998</v>
      </c>
      <c r="R6" s="281" t="e">
        <f>_xll.qlSimpleQuoteSetValue($P6,$Q6,Trigger)</f>
        <v>#N/A</v>
      </c>
      <c r="S6" s="53"/>
      <c r="U6" s="90" t="s">
        <v>137</v>
      </c>
      <c r="V6" s="88" t="s">
        <v>270</v>
      </c>
      <c r="X6" s="300">
        <f t="shared" ref="X6:X47" si="0">(I6-L6)/50</f>
        <v>4.9999999999954527E-5</v>
      </c>
    </row>
    <row r="7" spans="1:24" x14ac:dyDescent="0.2">
      <c r="A7" s="340"/>
      <c r="B7" s="346">
        <v>2</v>
      </c>
      <c r="C7" s="345" t="b">
        <v>0</v>
      </c>
      <c r="D7" s="266" t="str">
        <v>F4</v>
      </c>
      <c r="E7" s="344">
        <v>41654</v>
      </c>
      <c r="F7" s="266" t="str">
        <v>FEIF4</v>
      </c>
      <c r="G7" s="343">
        <v>41533</v>
      </c>
      <c r="H7" s="266">
        <v>99.734999999999999</v>
      </c>
      <c r="I7" s="266">
        <v>99.74</v>
      </c>
      <c r="J7" s="266">
        <v>99.74</v>
      </c>
      <c r="K7" s="266">
        <v>99.734999999999999</v>
      </c>
      <c r="L7" s="269">
        <f>_xll.qlMidSafe($H7,$I7)</f>
        <v>99.737499999999997</v>
      </c>
      <c r="M7" s="260"/>
      <c r="N7" s="347">
        <v>99.737499999999997</v>
      </c>
      <c r="O7" s="260"/>
      <c r="P7" s="341" t="str">
        <v>EURFUT3MF4_Quote</v>
      </c>
      <c r="Q7" s="266">
        <v>99.737499999999997</v>
      </c>
      <c r="R7" s="269" t="e">
        <f>_xll.qlSimpleQuoteSetValue($P7,$Q7,Trigger)</f>
        <v>#N/A</v>
      </c>
      <c r="S7" s="53"/>
      <c r="U7" s="90" t="s">
        <v>123</v>
      </c>
      <c r="V7" s="88" t="s">
        <v>269</v>
      </c>
      <c r="X7" s="300">
        <f t="shared" si="0"/>
        <v>4.9999999999954527E-5</v>
      </c>
    </row>
    <row r="8" spans="1:24" x14ac:dyDescent="0.2">
      <c r="A8" s="340"/>
      <c r="B8" s="346">
        <v>3</v>
      </c>
      <c r="C8" s="345" t="b">
        <v>0</v>
      </c>
      <c r="D8" s="266" t="str">
        <v>G4</v>
      </c>
      <c r="E8" s="344">
        <v>41689</v>
      </c>
      <c r="F8" s="266" t="str">
        <v>FEIG4</v>
      </c>
      <c r="G8" s="343">
        <v>41561</v>
      </c>
      <c r="H8" s="266">
        <v>99.71</v>
      </c>
      <c r="I8" s="266">
        <v>99.72</v>
      </c>
      <c r="J8" s="266">
        <v>0</v>
      </c>
      <c r="K8" s="266">
        <v>99.715000000000003</v>
      </c>
      <c r="L8" s="269">
        <f>_xll.qlMidSafe($H8,$I8)</f>
        <v>99.715000000000003</v>
      </c>
      <c r="M8" s="260"/>
      <c r="N8" s="347">
        <v>99.715000000000003</v>
      </c>
      <c r="O8" s="260"/>
      <c r="P8" s="341" t="str">
        <v>EURFUT3MG4_Quote</v>
      </c>
      <c r="Q8" s="266">
        <v>99.715000000000003</v>
      </c>
      <c r="R8" s="269" t="e">
        <f>_xll.qlSimpleQuoteSetValue($P8,$Q8,Trigger)</f>
        <v>#N/A</v>
      </c>
      <c r="S8" s="53"/>
      <c r="U8" s="90" t="s">
        <v>134</v>
      </c>
      <c r="V8" s="88" t="s">
        <v>268</v>
      </c>
      <c r="X8" s="300">
        <f t="shared" si="0"/>
        <v>9.9999999999909054E-5</v>
      </c>
    </row>
    <row r="9" spans="1:24" x14ac:dyDescent="0.2">
      <c r="A9" s="340"/>
      <c r="B9" s="346">
        <v>4</v>
      </c>
      <c r="C9" s="345" t="b">
        <v>0</v>
      </c>
      <c r="D9" s="266" t="str">
        <v>H4</v>
      </c>
      <c r="E9" s="344">
        <v>41717</v>
      </c>
      <c r="F9" s="266" t="str">
        <v>FEIH4</v>
      </c>
      <c r="G9" s="343">
        <v>41596</v>
      </c>
      <c r="H9" s="266">
        <v>0</v>
      </c>
      <c r="I9" s="266">
        <v>0</v>
      </c>
      <c r="J9" s="266">
        <v>0</v>
      </c>
      <c r="K9" s="266">
        <v>99.7</v>
      </c>
      <c r="L9" s="269" t="e">
        <f>_xll.qlMidSafe($H9,$I9)</f>
        <v>#NUM!</v>
      </c>
      <c r="M9" s="260"/>
      <c r="N9" s="347" t="e">
        <v>#NUM!</v>
      </c>
      <c r="O9" s="260"/>
      <c r="P9" s="341" t="str">
        <v>EURFUT3MH4_Quote</v>
      </c>
      <c r="Q9" s="266" t="e">
        <v>#NUM!</v>
      </c>
      <c r="R9" s="269" t="e">
        <f>_xll.qlSimpleQuoteSetValue($P9,$Q9,Trigger)</f>
        <v>#NUM!</v>
      </c>
      <c r="S9" s="53"/>
      <c r="U9" s="90" t="s">
        <v>133</v>
      </c>
      <c r="V9" s="88"/>
      <c r="X9" s="300" t="e">
        <f t="shared" si="0"/>
        <v>#NUM!</v>
      </c>
    </row>
    <row r="10" spans="1:24" ht="12" thickBot="1" x14ac:dyDescent="0.25">
      <c r="A10" s="340"/>
      <c r="B10" s="346">
        <v>5</v>
      </c>
      <c r="C10" s="345" t="b">
        <v>0</v>
      </c>
      <c r="D10" s="266" t="str">
        <v>J4</v>
      </c>
      <c r="E10" s="344">
        <v>41745</v>
      </c>
      <c r="F10" s="266" t="str">
        <v>FEIJ4</v>
      </c>
      <c r="G10" s="343">
        <v>41624</v>
      </c>
      <c r="H10" s="266">
        <v>99.674999999999997</v>
      </c>
      <c r="I10" s="266">
        <v>99.68</v>
      </c>
      <c r="J10" s="266">
        <v>99.674999999999997</v>
      </c>
      <c r="K10" s="266">
        <v>99.674999999999997</v>
      </c>
      <c r="L10" s="269">
        <f>_xll.qlMidSafe($H10,$I10)</f>
        <v>99.677500000000009</v>
      </c>
      <c r="M10" s="260"/>
      <c r="N10" s="342">
        <v>99.677500000000009</v>
      </c>
      <c r="O10" s="260"/>
      <c r="P10" s="341" t="str">
        <v>EURFUT3MJ4_Quote</v>
      </c>
      <c r="Q10" s="266">
        <v>99.677500000000009</v>
      </c>
      <c r="R10" s="269" t="e">
        <f>_xll.qlSimpleQuoteSetValue($P10,$Q10,Trigger)</f>
        <v>#N/A</v>
      </c>
      <c r="S10" s="53"/>
      <c r="U10" s="87" t="s">
        <v>131</v>
      </c>
      <c r="V10" s="85" t="s">
        <v>267</v>
      </c>
      <c r="X10" s="300">
        <f t="shared" si="0"/>
        <v>4.9999999999954527E-5</v>
      </c>
    </row>
    <row r="11" spans="1:24" x14ac:dyDescent="0.2">
      <c r="A11" s="340"/>
      <c r="B11" s="346">
        <v>6</v>
      </c>
      <c r="C11" s="345" t="b">
        <v>0</v>
      </c>
      <c r="D11" s="266" t="str">
        <v>K4</v>
      </c>
      <c r="E11" s="344">
        <v>41780</v>
      </c>
      <c r="F11" s="266" t="str">
        <v>FEIK4</v>
      </c>
      <c r="G11" s="343">
        <v>41652</v>
      </c>
      <c r="H11" s="266">
        <v>0</v>
      </c>
      <c r="I11" s="266">
        <v>0</v>
      </c>
      <c r="J11" s="266">
        <v>0</v>
      </c>
      <c r="K11" s="266">
        <v>99.68</v>
      </c>
      <c r="L11" s="269" t="e">
        <f>_xll.qlMidSafe($H11,$I11)</f>
        <v>#NUM!</v>
      </c>
      <c r="M11" s="260"/>
      <c r="N11" s="342" t="e">
        <v>#NUM!</v>
      </c>
      <c r="O11" s="260"/>
      <c r="P11" s="341" t="str">
        <v>EURFUT3MK4_Quote</v>
      </c>
      <c r="Q11" s="266" t="e">
        <v>#NUM!</v>
      </c>
      <c r="R11" s="269" t="e">
        <f>_xll.qlSimpleQuoteSetValue($P11,$Q11,Trigger)</f>
        <v>#NUM!</v>
      </c>
      <c r="S11" s="53"/>
      <c r="X11" s="300" t="e">
        <f t="shared" si="0"/>
        <v>#NUM!</v>
      </c>
    </row>
    <row r="12" spans="1:24" x14ac:dyDescent="0.2">
      <c r="A12" s="340"/>
      <c r="B12" s="346">
        <v>7</v>
      </c>
      <c r="C12" s="345" t="b">
        <v>0</v>
      </c>
      <c r="D12" s="266" t="str">
        <v>M4</v>
      </c>
      <c r="E12" s="344">
        <v>41808</v>
      </c>
      <c r="F12" s="266" t="str">
        <v>FEIM4</v>
      </c>
      <c r="G12" s="343" t="s">
        <v>260</v>
      </c>
      <c r="H12" s="266" t="s">
        <v>260</v>
      </c>
      <c r="I12" s="266" t="s">
        <v>260</v>
      </c>
      <c r="J12" s="266" t="s">
        <v>260</v>
      </c>
      <c r="K12" s="266" t="s">
        <v>260</v>
      </c>
      <c r="L12" s="269" t="e">
        <f>_xll.qlMidSafe($H12,$I12)</f>
        <v>#NUM!</v>
      </c>
      <c r="M12" s="260"/>
      <c r="N12" s="342" t="e">
        <v>#NUM!</v>
      </c>
      <c r="O12" s="260"/>
      <c r="P12" s="341" t="str">
        <v>EURFUT3MM4_Quote</v>
      </c>
      <c r="Q12" s="266" t="e">
        <v>#NUM!</v>
      </c>
      <c r="R12" s="269" t="e">
        <f>_xll.qlSimpleQuoteSetValue($P12,$Q12,Trigger)</f>
        <v>#NUM!</v>
      </c>
      <c r="S12" s="53"/>
      <c r="X12" s="300" t="e">
        <f t="shared" si="0"/>
        <v>#VALUE!</v>
      </c>
    </row>
    <row r="13" spans="1:24" x14ac:dyDescent="0.2">
      <c r="A13" s="340"/>
      <c r="B13" s="346">
        <v>8</v>
      </c>
      <c r="C13" s="345" t="b">
        <v>0</v>
      </c>
      <c r="D13" s="266" t="str">
        <v>N4</v>
      </c>
      <c r="E13" s="344">
        <v>41836</v>
      </c>
      <c r="F13" s="266" t="str">
        <v>FEIN4</v>
      </c>
      <c r="G13" s="343">
        <v>41715</v>
      </c>
      <c r="H13" s="266">
        <v>99.605000000000004</v>
      </c>
      <c r="I13" s="266">
        <v>99.61</v>
      </c>
      <c r="J13" s="266">
        <v>99.61</v>
      </c>
      <c r="K13" s="266">
        <v>99.61</v>
      </c>
      <c r="L13" s="269">
        <f>_xll.qlMidSafe($H13,$I13)</f>
        <v>99.607500000000002</v>
      </c>
      <c r="M13" s="260"/>
      <c r="N13" s="342">
        <v>99.607500000000002</v>
      </c>
      <c r="O13" s="260"/>
      <c r="P13" s="341" t="str">
        <v>EURFUT3MN4_Quote</v>
      </c>
      <c r="Q13" s="266">
        <v>99.607500000000002</v>
      </c>
      <c r="R13" s="269" t="e">
        <f>_xll.qlSimpleQuoteSetValue($P13,$Q13,Trigger)</f>
        <v>#N/A</v>
      </c>
      <c r="S13" s="53"/>
      <c r="X13" s="300">
        <f t="shared" si="0"/>
        <v>4.9999999999954527E-5</v>
      </c>
    </row>
    <row r="14" spans="1:24" x14ac:dyDescent="0.2">
      <c r="A14" s="340"/>
      <c r="B14" s="346">
        <v>9</v>
      </c>
      <c r="C14" s="345" t="b">
        <v>0</v>
      </c>
      <c r="D14" s="266" t="str">
        <v>Q4</v>
      </c>
      <c r="E14" s="344">
        <v>41871</v>
      </c>
      <c r="F14" s="266" t="str">
        <v>FEIQ4</v>
      </c>
      <c r="G14" s="343" t="s">
        <v>260</v>
      </c>
      <c r="H14" s="266" t="s">
        <v>260</v>
      </c>
      <c r="I14" s="266" t="s">
        <v>260</v>
      </c>
      <c r="J14" s="266" t="s">
        <v>260</v>
      </c>
      <c r="K14" s="266" t="s">
        <v>260</v>
      </c>
      <c r="L14" s="269" t="e">
        <f>_xll.qlMidSafe($H14,$I14)</f>
        <v>#NUM!</v>
      </c>
      <c r="M14" s="260"/>
      <c r="N14" s="342" t="e">
        <v>#NUM!</v>
      </c>
      <c r="O14" s="260"/>
      <c r="P14" s="341" t="str">
        <v>EURFUT3MQ4_Quote</v>
      </c>
      <c r="Q14" s="266" t="e">
        <v>#NUM!</v>
      </c>
      <c r="R14" s="269" t="e">
        <f>_xll.qlSimpleQuoteSetValue($P14,$Q14,Trigger)</f>
        <v>#NUM!</v>
      </c>
      <c r="S14" s="53"/>
      <c r="X14" s="300" t="e">
        <f t="shared" si="0"/>
        <v>#VALUE!</v>
      </c>
    </row>
    <row r="15" spans="1:24" x14ac:dyDescent="0.2">
      <c r="A15" s="340"/>
      <c r="B15" s="346">
        <v>10</v>
      </c>
      <c r="C15" s="345" t="b">
        <v>0</v>
      </c>
      <c r="D15" s="266" t="str">
        <v>U4</v>
      </c>
      <c r="E15" s="344">
        <v>41899</v>
      </c>
      <c r="F15" s="266" t="str">
        <v>FEIU4</v>
      </c>
      <c r="G15" s="343" t="s">
        <v>260</v>
      </c>
      <c r="H15" s="266" t="s">
        <v>260</v>
      </c>
      <c r="I15" s="266" t="s">
        <v>260</v>
      </c>
      <c r="J15" s="266" t="s">
        <v>260</v>
      </c>
      <c r="K15" s="266" t="s">
        <v>260</v>
      </c>
      <c r="L15" s="269" t="e">
        <f>_xll.qlMidSafe($H15,$I15)</f>
        <v>#NUM!</v>
      </c>
      <c r="M15" s="260"/>
      <c r="N15" s="342" t="e">
        <v>#NUM!</v>
      </c>
      <c r="O15" s="260"/>
      <c r="P15" s="341" t="str">
        <v>EURFUT3MU4_Quote</v>
      </c>
      <c r="Q15" s="266" t="e">
        <v>#NUM!</v>
      </c>
      <c r="R15" s="269" t="e">
        <f>_xll.qlSimpleQuoteSetValue($P15,$Q15,Trigger)</f>
        <v>#NUM!</v>
      </c>
      <c r="S15" s="53"/>
      <c r="X15" s="300" t="e">
        <f t="shared" si="0"/>
        <v>#VALUE!</v>
      </c>
    </row>
    <row r="16" spans="1:24" x14ac:dyDescent="0.2">
      <c r="A16" s="340"/>
      <c r="B16" s="346">
        <v>11</v>
      </c>
      <c r="C16" s="345" t="b">
        <v>0</v>
      </c>
      <c r="D16" s="266" t="str">
        <v>V4</v>
      </c>
      <c r="E16" s="344">
        <v>41927</v>
      </c>
      <c r="F16" s="266" t="str">
        <v>FEIV4</v>
      </c>
      <c r="G16" s="343">
        <v>41806</v>
      </c>
      <c r="H16" s="266">
        <v>99.545000000000002</v>
      </c>
      <c r="I16" s="266">
        <v>99.55</v>
      </c>
      <c r="J16" s="266">
        <v>99.55</v>
      </c>
      <c r="K16" s="266">
        <v>99.56</v>
      </c>
      <c r="L16" s="269">
        <f>_xll.qlMidSafe($H16,$I16)</f>
        <v>99.547499999999999</v>
      </c>
      <c r="M16" s="260"/>
      <c r="N16" s="342">
        <v>99.547499999999999</v>
      </c>
      <c r="O16" s="260"/>
      <c r="P16" s="341" t="str">
        <v>EURFUT3MV4_Quote</v>
      </c>
      <c r="Q16" s="266">
        <v>99.547499999999999</v>
      </c>
      <c r="R16" s="269" t="e">
        <f>_xll.qlSimpleQuoteSetValue($P16,$Q16,Trigger)</f>
        <v>#N/A</v>
      </c>
      <c r="S16" s="53"/>
      <c r="X16" s="300">
        <f t="shared" si="0"/>
        <v>4.9999999999954527E-5</v>
      </c>
    </row>
    <row r="17" spans="1:24" x14ac:dyDescent="0.2">
      <c r="A17" s="340"/>
      <c r="B17" s="346">
        <v>12</v>
      </c>
      <c r="C17" s="345" t="b">
        <v>0</v>
      </c>
      <c r="D17" s="266" t="str">
        <v>X4</v>
      </c>
      <c r="E17" s="344">
        <v>41962</v>
      </c>
      <c r="F17" s="266" t="str">
        <v>FEIX4</v>
      </c>
      <c r="G17" s="343" t="s">
        <v>260</v>
      </c>
      <c r="H17" s="266" t="s">
        <v>260</v>
      </c>
      <c r="I17" s="266" t="s">
        <v>260</v>
      </c>
      <c r="J17" s="266" t="s">
        <v>260</v>
      </c>
      <c r="K17" s="266" t="s">
        <v>260</v>
      </c>
      <c r="L17" s="269" t="e">
        <f>_xll.qlMidSafe($H17,$I17)</f>
        <v>#NUM!</v>
      </c>
      <c r="M17" s="260"/>
      <c r="N17" s="342" t="e">
        <v>#NUM!</v>
      </c>
      <c r="O17" s="260"/>
      <c r="P17" s="341" t="str">
        <v>EURFUT3MX4_Quote</v>
      </c>
      <c r="Q17" s="266" t="e">
        <v>#NUM!</v>
      </c>
      <c r="R17" s="269" t="e">
        <f>_xll.qlSimpleQuoteSetValue($P17,$Q17,Trigger)</f>
        <v>#NUM!</v>
      </c>
      <c r="S17" s="53"/>
      <c r="X17" s="300" t="e">
        <f t="shared" si="0"/>
        <v>#VALUE!</v>
      </c>
    </row>
    <row r="18" spans="1:24" x14ac:dyDescent="0.2">
      <c r="A18" s="340"/>
      <c r="B18" s="346">
        <v>13</v>
      </c>
      <c r="C18" s="345" t="b">
        <v>1</v>
      </c>
      <c r="D18" s="266" t="str">
        <v>Z4</v>
      </c>
      <c r="E18" s="344">
        <v>41990</v>
      </c>
      <c r="F18" s="266" t="str">
        <v>FEIZ4</v>
      </c>
      <c r="G18" s="343">
        <v>41897</v>
      </c>
      <c r="H18" s="266">
        <v>99.484999999999999</v>
      </c>
      <c r="I18" s="266">
        <v>99.49</v>
      </c>
      <c r="J18" s="266">
        <v>99.484999999999999</v>
      </c>
      <c r="K18" s="266">
        <v>99.51</v>
      </c>
      <c r="L18" s="269">
        <f>_xll.qlMidSafe($H18,$I18)</f>
        <v>99.487499999999997</v>
      </c>
      <c r="M18" s="260"/>
      <c r="N18" s="342">
        <v>99.487499999999997</v>
      </c>
      <c r="O18" s="260"/>
      <c r="P18" s="341" t="str">
        <v>EURFUT3MZ4_Quote</v>
      </c>
      <c r="Q18" s="266">
        <v>99.487499999999997</v>
      </c>
      <c r="R18" s="269" t="e">
        <f>_xll.qlSimpleQuoteSetValue($P18,$Q18,Trigger)</f>
        <v>#N/A</v>
      </c>
      <c r="S18" s="53"/>
      <c r="X18" s="300">
        <f t="shared" si="0"/>
        <v>4.9999999999954527E-5</v>
      </c>
    </row>
    <row r="19" spans="1:24" x14ac:dyDescent="0.2">
      <c r="A19" s="340"/>
      <c r="B19" s="346">
        <v>14</v>
      </c>
      <c r="C19" s="345" t="b">
        <v>1</v>
      </c>
      <c r="D19" s="266" t="str">
        <v>H5</v>
      </c>
      <c r="E19" s="344">
        <v>42081</v>
      </c>
      <c r="F19" s="266" t="str">
        <v>FEIH5</v>
      </c>
      <c r="G19" s="343">
        <v>41988</v>
      </c>
      <c r="H19" s="266">
        <v>99.415000000000006</v>
      </c>
      <c r="I19" s="266">
        <v>99.42</v>
      </c>
      <c r="J19" s="266">
        <v>99.42</v>
      </c>
      <c r="K19" s="266">
        <v>99.454999999999998</v>
      </c>
      <c r="L19" s="269">
        <f>_xll.qlMidSafe($H19,$I19)</f>
        <v>99.417500000000004</v>
      </c>
      <c r="M19" s="260"/>
      <c r="N19" s="342">
        <v>99.417500000000004</v>
      </c>
      <c r="O19" s="260"/>
      <c r="P19" s="341" t="str">
        <v>EURFUT3MH5_Quote</v>
      </c>
      <c r="Q19" s="266">
        <v>99.417500000000004</v>
      </c>
      <c r="R19" s="269" t="e">
        <f>_xll.qlSimpleQuoteSetValue($P19,$Q19,Trigger)</f>
        <v>#N/A</v>
      </c>
      <c r="S19" s="53"/>
      <c r="X19" s="300">
        <f t="shared" si="0"/>
        <v>4.9999999999954527E-5</v>
      </c>
    </row>
    <row r="20" spans="1:24" x14ac:dyDescent="0.2">
      <c r="A20" s="340"/>
      <c r="B20" s="346">
        <v>15</v>
      </c>
      <c r="C20" s="345" t="b">
        <v>1</v>
      </c>
      <c r="D20" s="266" t="str">
        <v>M5</v>
      </c>
      <c r="E20" s="344">
        <v>42172</v>
      </c>
      <c r="F20" s="266" t="str">
        <v>FEIM5</v>
      </c>
      <c r="G20" s="343">
        <v>42079</v>
      </c>
      <c r="H20" s="266">
        <v>99.344999999999999</v>
      </c>
      <c r="I20" s="266">
        <v>99.35</v>
      </c>
      <c r="J20" s="266">
        <v>99.35</v>
      </c>
      <c r="K20" s="266">
        <v>99.394999999999996</v>
      </c>
      <c r="L20" s="269">
        <f>_xll.qlMidSafe($H20,$I20)</f>
        <v>99.347499999999997</v>
      </c>
      <c r="M20" s="260"/>
      <c r="N20" s="342">
        <v>99.347499999999997</v>
      </c>
      <c r="O20" s="260"/>
      <c r="P20" s="341" t="str">
        <v>EURFUT3MM5_Quote</v>
      </c>
      <c r="Q20" s="266">
        <v>99.347499999999997</v>
      </c>
      <c r="R20" s="269" t="e">
        <f>_xll.qlSimpleQuoteSetValue($P20,$Q20,Trigger)</f>
        <v>#N/A</v>
      </c>
      <c r="S20" s="53"/>
      <c r="X20" s="300">
        <f t="shared" si="0"/>
        <v>4.9999999999954527E-5</v>
      </c>
    </row>
    <row r="21" spans="1:24" x14ac:dyDescent="0.2">
      <c r="A21" s="340"/>
      <c r="B21" s="346">
        <v>16</v>
      </c>
      <c r="C21" s="345" t="b">
        <v>1</v>
      </c>
      <c r="D21" s="266" t="str">
        <v>U5</v>
      </c>
      <c r="E21" s="344">
        <v>42263</v>
      </c>
      <c r="F21" s="266" t="str">
        <v>FEIU5</v>
      </c>
      <c r="G21" s="343">
        <v>42170</v>
      </c>
      <c r="H21" s="266">
        <v>99.265000000000001</v>
      </c>
      <c r="I21" s="266">
        <v>99.27</v>
      </c>
      <c r="J21" s="266">
        <v>99.27</v>
      </c>
      <c r="K21" s="266">
        <v>99.325000000000003</v>
      </c>
      <c r="L21" s="269">
        <f>_xll.qlMidSafe($H21,$I21)</f>
        <v>99.267499999999998</v>
      </c>
      <c r="M21" s="260"/>
      <c r="N21" s="342">
        <v>99.267499999999998</v>
      </c>
      <c r="O21" s="260"/>
      <c r="P21" s="341" t="str">
        <v>EURFUT3MU5_Quote</v>
      </c>
      <c r="Q21" s="266">
        <v>99.267499999999998</v>
      </c>
      <c r="R21" s="269" t="e">
        <f>_xll.qlSimpleQuoteSetValue($P21,$Q21,Trigger)</f>
        <v>#N/A</v>
      </c>
      <c r="S21" s="53"/>
      <c r="X21" s="300">
        <f t="shared" si="0"/>
        <v>4.9999999999954527E-5</v>
      </c>
    </row>
    <row r="22" spans="1:24" x14ac:dyDescent="0.2">
      <c r="A22" s="340"/>
      <c r="B22" s="346">
        <v>17</v>
      </c>
      <c r="C22" s="345" t="b">
        <v>1</v>
      </c>
      <c r="D22" s="266" t="str">
        <v>Z5</v>
      </c>
      <c r="E22" s="344">
        <v>42354</v>
      </c>
      <c r="F22" s="266" t="str">
        <v>FEIZ5</v>
      </c>
      <c r="G22" s="343">
        <v>42261</v>
      </c>
      <c r="H22" s="266">
        <v>99.18</v>
      </c>
      <c r="I22" s="266">
        <v>99.185000000000002</v>
      </c>
      <c r="J22" s="266">
        <v>99.185000000000002</v>
      </c>
      <c r="K22" s="266">
        <v>99.245000000000005</v>
      </c>
      <c r="L22" s="269">
        <f>_xll.qlMidSafe($H22,$I22)</f>
        <v>99.182500000000005</v>
      </c>
      <c r="M22" s="260"/>
      <c r="N22" s="342">
        <v>99.182500000000005</v>
      </c>
      <c r="O22" s="260"/>
      <c r="P22" s="341" t="str">
        <v>EURFUT3MZ5_Quote</v>
      </c>
      <c r="Q22" s="266">
        <v>99.182500000000005</v>
      </c>
      <c r="R22" s="269" t="e">
        <f>_xll.qlSimpleQuoteSetValue($P22,$Q22,Trigger)</f>
        <v>#N/A</v>
      </c>
      <c r="S22" s="53"/>
      <c r="X22" s="300">
        <f t="shared" si="0"/>
        <v>4.9999999999954527E-5</v>
      </c>
    </row>
    <row r="23" spans="1:24" x14ac:dyDescent="0.2">
      <c r="A23" s="340"/>
      <c r="B23" s="346">
        <v>18</v>
      </c>
      <c r="C23" s="345" t="b">
        <v>1</v>
      </c>
      <c r="D23" s="266" t="str">
        <v>H6</v>
      </c>
      <c r="E23" s="344">
        <v>42445</v>
      </c>
      <c r="F23" s="266" t="str">
        <v>FEIH6</v>
      </c>
      <c r="G23" s="343">
        <v>42352</v>
      </c>
      <c r="H23" s="266">
        <v>99.07</v>
      </c>
      <c r="I23" s="266">
        <v>99.08</v>
      </c>
      <c r="J23" s="266">
        <v>99.075000000000003</v>
      </c>
      <c r="K23" s="266">
        <v>99.15</v>
      </c>
      <c r="L23" s="269">
        <f>_xll.qlMidSafe($H23,$I23)</f>
        <v>99.074999999999989</v>
      </c>
      <c r="M23" s="260"/>
      <c r="N23" s="342">
        <v>99.074999999999989</v>
      </c>
      <c r="O23" s="260"/>
      <c r="P23" s="341" t="str">
        <v>EURFUT3MH6_Quote</v>
      </c>
      <c r="Q23" s="266">
        <v>99.074999999999989</v>
      </c>
      <c r="R23" s="269" t="e">
        <f>_xll.qlSimpleQuoteSetValue($P23,$Q23,Trigger)</f>
        <v>#N/A</v>
      </c>
      <c r="S23" s="53"/>
      <c r="X23" s="300">
        <f t="shared" si="0"/>
        <v>1.0000000000019326E-4</v>
      </c>
    </row>
    <row r="24" spans="1:24" x14ac:dyDescent="0.2">
      <c r="A24" s="340"/>
      <c r="B24" s="346">
        <v>19</v>
      </c>
      <c r="C24" s="345" t="b">
        <v>1</v>
      </c>
      <c r="D24" s="266" t="str">
        <v>M6</v>
      </c>
      <c r="E24" s="344">
        <v>42536</v>
      </c>
      <c r="F24" s="266" t="str">
        <v>FEIM6</v>
      </c>
      <c r="G24" s="343">
        <v>42443</v>
      </c>
      <c r="H24" s="266">
        <v>98.944999999999993</v>
      </c>
      <c r="I24" s="266">
        <v>98.954999999999998</v>
      </c>
      <c r="J24" s="266">
        <v>98.95</v>
      </c>
      <c r="K24" s="266">
        <v>99.034999999999997</v>
      </c>
      <c r="L24" s="269">
        <f>_xll.qlMidSafe($H24,$I24)</f>
        <v>98.949999999999989</v>
      </c>
      <c r="M24" s="260"/>
      <c r="N24" s="342">
        <v>98.949999999999989</v>
      </c>
      <c r="O24" s="260"/>
      <c r="P24" s="341" t="str">
        <v>EURFUT3MM6_Quote</v>
      </c>
      <c r="Q24" s="266">
        <v>98.949999999999989</v>
      </c>
      <c r="R24" s="269" t="e">
        <f>_xll.qlSimpleQuoteSetValue($P24,$Q24,Trigger)</f>
        <v>#N/A</v>
      </c>
      <c r="S24" s="53"/>
      <c r="X24" s="300">
        <f t="shared" si="0"/>
        <v>1.0000000000019326E-4</v>
      </c>
    </row>
    <row r="25" spans="1:24" x14ac:dyDescent="0.2">
      <c r="A25" s="340"/>
      <c r="B25" s="346">
        <v>20</v>
      </c>
      <c r="C25" s="345" t="b">
        <v>1</v>
      </c>
      <c r="D25" s="266" t="str">
        <v>U6</v>
      </c>
      <c r="E25" s="344">
        <v>42634</v>
      </c>
      <c r="F25" s="266" t="str">
        <v>FEIU6</v>
      </c>
      <c r="G25" s="343">
        <v>42534</v>
      </c>
      <c r="H25" s="266">
        <v>98.8</v>
      </c>
      <c r="I25" s="266">
        <v>98.805000000000007</v>
      </c>
      <c r="J25" s="266">
        <v>98.81</v>
      </c>
      <c r="K25" s="266">
        <v>98.9</v>
      </c>
      <c r="L25" s="269">
        <f>_xll.qlMidSafe($H25,$I25)</f>
        <v>98.802500000000009</v>
      </c>
      <c r="M25" s="260"/>
      <c r="N25" s="342">
        <v>98.802500000000009</v>
      </c>
      <c r="O25" s="260"/>
      <c r="P25" s="341" t="str">
        <v>EURFUT3MU6_Quote</v>
      </c>
      <c r="Q25" s="266">
        <v>98.802500000000009</v>
      </c>
      <c r="R25" s="269" t="e">
        <f>_xll.qlSimpleQuoteSetValue($P25,$Q25,Trigger)</f>
        <v>#N/A</v>
      </c>
      <c r="S25" s="53"/>
      <c r="X25" s="300">
        <f t="shared" si="0"/>
        <v>4.9999999999954527E-5</v>
      </c>
    </row>
    <row r="26" spans="1:24" x14ac:dyDescent="0.2">
      <c r="A26" s="340"/>
      <c r="B26" s="346">
        <v>21</v>
      </c>
      <c r="C26" s="345" t="b">
        <v>1</v>
      </c>
      <c r="D26" s="266" t="str">
        <v>Z6</v>
      </c>
      <c r="E26" s="344">
        <v>42725</v>
      </c>
      <c r="F26" s="266" t="str">
        <v>FEIZ6</v>
      </c>
      <c r="G26" s="343">
        <v>42632</v>
      </c>
      <c r="H26" s="266">
        <v>98.65</v>
      </c>
      <c r="I26" s="266">
        <v>98.66</v>
      </c>
      <c r="J26" s="266">
        <v>98.66</v>
      </c>
      <c r="K26" s="266">
        <v>98.765000000000001</v>
      </c>
      <c r="L26" s="269">
        <f>_xll.qlMidSafe($H26,$I26)</f>
        <v>98.655000000000001</v>
      </c>
      <c r="M26" s="260"/>
      <c r="N26" s="342">
        <v>98.655000000000001</v>
      </c>
      <c r="O26" s="260"/>
      <c r="P26" s="341" t="str">
        <v>EURFUT3MZ6_Quote</v>
      </c>
      <c r="Q26" s="266">
        <v>98.655000000000001</v>
      </c>
      <c r="R26" s="269" t="e">
        <f>_xll.qlSimpleQuoteSetValue($P26,$Q26,Trigger)</f>
        <v>#N/A</v>
      </c>
      <c r="S26" s="53"/>
      <c r="X26" s="300">
        <f t="shared" si="0"/>
        <v>9.9999999999909054E-5</v>
      </c>
    </row>
    <row r="27" spans="1:24" x14ac:dyDescent="0.2">
      <c r="A27" s="340"/>
      <c r="B27" s="346">
        <v>22</v>
      </c>
      <c r="C27" s="345" t="b">
        <v>1</v>
      </c>
      <c r="D27" s="266" t="str">
        <v>H7</v>
      </c>
      <c r="E27" s="344">
        <v>42809</v>
      </c>
      <c r="F27" s="266" t="str">
        <v>FEIH7</v>
      </c>
      <c r="G27" s="343">
        <v>42723</v>
      </c>
      <c r="H27" s="266">
        <v>98.51</v>
      </c>
      <c r="I27" s="266">
        <v>98.52</v>
      </c>
      <c r="J27" s="266">
        <v>98.525000000000006</v>
      </c>
      <c r="K27" s="266">
        <v>98.63</v>
      </c>
      <c r="L27" s="269">
        <f>_xll.qlMidSafe($H27,$I27)</f>
        <v>98.515000000000001</v>
      </c>
      <c r="M27" s="260"/>
      <c r="N27" s="342">
        <v>98.515000000000001</v>
      </c>
      <c r="O27" s="260"/>
      <c r="P27" s="341" t="str">
        <v>EURFUT3MH7_Quote</v>
      </c>
      <c r="Q27" s="266">
        <v>98.515000000000001</v>
      </c>
      <c r="R27" s="269" t="e">
        <f>_xll.qlSimpleQuoteSetValue($P27,$Q27,Trigger)</f>
        <v>#N/A</v>
      </c>
      <c r="S27" s="53"/>
      <c r="X27" s="300">
        <f t="shared" si="0"/>
        <v>9.9999999999909054E-5</v>
      </c>
    </row>
    <row r="28" spans="1:24" x14ac:dyDescent="0.2">
      <c r="A28" s="340"/>
      <c r="B28" s="346">
        <v>23</v>
      </c>
      <c r="C28" s="345" t="b">
        <v>1</v>
      </c>
      <c r="D28" s="266" t="str">
        <v>M7</v>
      </c>
      <c r="E28" s="344">
        <v>42907</v>
      </c>
      <c r="F28" s="266" t="str">
        <v>FEIM7</v>
      </c>
      <c r="G28" s="343">
        <v>42807</v>
      </c>
      <c r="H28" s="266">
        <v>98.375</v>
      </c>
      <c r="I28" s="266">
        <v>98.385000000000005</v>
      </c>
      <c r="J28" s="266">
        <v>98.385000000000005</v>
      </c>
      <c r="K28" s="266">
        <v>98.5</v>
      </c>
      <c r="L28" s="269">
        <f>_xll.qlMidSafe($H28,$I28)</f>
        <v>98.38</v>
      </c>
      <c r="M28" s="260"/>
      <c r="N28" s="342">
        <v>98.384999999999991</v>
      </c>
      <c r="O28" s="260"/>
      <c r="P28" s="341" t="str">
        <v>EURFUT3MM7_Quote</v>
      </c>
      <c r="Q28" s="266">
        <v>98.38</v>
      </c>
      <c r="R28" s="269" t="e">
        <f>_xll.qlSimpleQuoteSetValue($P28,$Q28,Trigger)</f>
        <v>#N/A</v>
      </c>
      <c r="S28" s="53"/>
      <c r="X28" s="300">
        <f t="shared" si="0"/>
        <v>1.0000000000019326E-4</v>
      </c>
    </row>
    <row r="29" spans="1:24" x14ac:dyDescent="0.2">
      <c r="A29" s="340"/>
      <c r="B29" s="346">
        <v>24</v>
      </c>
      <c r="C29" s="345" t="b">
        <v>1</v>
      </c>
      <c r="D29" s="266" t="str">
        <v>U7</v>
      </c>
      <c r="E29" s="344">
        <v>42998</v>
      </c>
      <c r="F29" s="266" t="str">
        <v>FEIU7</v>
      </c>
      <c r="G29" s="343">
        <v>42905</v>
      </c>
      <c r="H29" s="266">
        <v>98.24</v>
      </c>
      <c r="I29" s="266">
        <v>98.25</v>
      </c>
      <c r="J29" s="266">
        <v>98.254999999999995</v>
      </c>
      <c r="K29" s="266">
        <v>98.37</v>
      </c>
      <c r="L29" s="269">
        <f>_xll.qlMidSafe($H29,$I29)</f>
        <v>98.245000000000005</v>
      </c>
      <c r="M29" s="260"/>
      <c r="N29" s="342">
        <v>98.25</v>
      </c>
      <c r="O29" s="260"/>
      <c r="P29" s="341" t="str">
        <v>EURFUT3MU7_Quote</v>
      </c>
      <c r="Q29" s="266">
        <v>98.245000000000005</v>
      </c>
      <c r="R29" s="269" t="e">
        <f>_xll.qlSimpleQuoteSetValue($P29,$Q29,Trigger)</f>
        <v>#N/A</v>
      </c>
      <c r="S29" s="53"/>
      <c r="X29" s="300">
        <f t="shared" si="0"/>
        <v>9.9999999999909054E-5</v>
      </c>
    </row>
    <row r="30" spans="1:24" x14ac:dyDescent="0.2">
      <c r="A30" s="340"/>
      <c r="B30" s="346">
        <v>25</v>
      </c>
      <c r="C30" s="345" t="b">
        <v>1</v>
      </c>
      <c r="D30" s="266" t="str">
        <v>Z7</v>
      </c>
      <c r="E30" s="344">
        <v>43089</v>
      </c>
      <c r="F30" s="266" t="str">
        <v>FEIZ7</v>
      </c>
      <c r="G30" s="343">
        <v>42996</v>
      </c>
      <c r="H30" s="266">
        <v>98.114999999999995</v>
      </c>
      <c r="I30" s="266">
        <v>98.13</v>
      </c>
      <c r="J30" s="266">
        <v>98.125</v>
      </c>
      <c r="K30" s="266">
        <v>98.245000000000005</v>
      </c>
      <c r="L30" s="269">
        <f>_xll.qlMidSafe($H30,$I30)</f>
        <v>98.122500000000002</v>
      </c>
      <c r="M30" s="260"/>
      <c r="N30" s="342">
        <v>98.125</v>
      </c>
      <c r="O30" s="260"/>
      <c r="P30" s="341" t="str">
        <v>EURFUT3MZ7_Quote</v>
      </c>
      <c r="Q30" s="266">
        <v>98.122500000000002</v>
      </c>
      <c r="R30" s="269" t="e">
        <f>_xll.qlSimpleQuoteSetValue($P30,$Q30,Trigger)</f>
        <v>#N/A</v>
      </c>
      <c r="S30" s="53"/>
      <c r="X30" s="300">
        <f t="shared" si="0"/>
        <v>1.4999999999986357E-4</v>
      </c>
    </row>
    <row r="31" spans="1:24" x14ac:dyDescent="0.2">
      <c r="A31" s="340"/>
      <c r="B31" s="346">
        <v>26</v>
      </c>
      <c r="C31" s="345" t="b">
        <v>1</v>
      </c>
      <c r="D31" s="266" t="str">
        <v>H8</v>
      </c>
      <c r="E31" s="344">
        <v>43180</v>
      </c>
      <c r="F31" s="266" t="str">
        <v>FEIH8</v>
      </c>
      <c r="G31" s="343">
        <v>43087</v>
      </c>
      <c r="H31" s="266">
        <v>97.995000000000005</v>
      </c>
      <c r="I31" s="266">
        <v>98.015000000000001</v>
      </c>
      <c r="J31" s="266">
        <v>98.045000000000002</v>
      </c>
      <c r="K31" s="266">
        <v>98.135000000000005</v>
      </c>
      <c r="L31" s="269">
        <f>_xll.qlMidSafe($H31,$I31)</f>
        <v>98.004999999999995</v>
      </c>
      <c r="M31" s="260"/>
      <c r="N31" s="342">
        <v>98.009999999999991</v>
      </c>
      <c r="O31" s="260"/>
      <c r="P31" s="341" t="str">
        <v>EURFUT3MH8_Quote</v>
      </c>
      <c r="Q31" s="266">
        <v>98.004999999999995</v>
      </c>
      <c r="R31" s="269" t="e">
        <f>_xll.qlSimpleQuoteSetValue($P31,$Q31,Trigger)</f>
        <v>#N/A</v>
      </c>
      <c r="S31" s="53"/>
      <c r="X31" s="300">
        <f t="shared" si="0"/>
        <v>2.0000000000010233E-4</v>
      </c>
    </row>
    <row r="32" spans="1:24" x14ac:dyDescent="0.2">
      <c r="A32" s="340"/>
      <c r="B32" s="346">
        <v>27</v>
      </c>
      <c r="C32" s="345" t="b">
        <v>1</v>
      </c>
      <c r="D32" s="266" t="str">
        <v>M8</v>
      </c>
      <c r="E32" s="344">
        <v>43271</v>
      </c>
      <c r="F32" s="266" t="str">
        <v>FEIM8</v>
      </c>
      <c r="G32" s="343">
        <v>43178</v>
      </c>
      <c r="H32" s="266">
        <v>97.91</v>
      </c>
      <c r="I32" s="266">
        <v>97.924999999999997</v>
      </c>
      <c r="J32" s="266">
        <v>97.96</v>
      </c>
      <c r="K32" s="266">
        <v>98.045000000000002</v>
      </c>
      <c r="L32" s="269">
        <f>_xll.qlMidSafe($H32,$I32)</f>
        <v>97.91749999999999</v>
      </c>
      <c r="M32" s="260"/>
      <c r="N32" s="342">
        <v>97.922499999999999</v>
      </c>
      <c r="O32" s="260"/>
      <c r="P32" s="341" t="str">
        <v>EURFUT3MM8_Quote</v>
      </c>
      <c r="Q32" s="266">
        <v>97.91749999999999</v>
      </c>
      <c r="R32" s="269" t="e">
        <f>_xll.qlSimpleQuoteSetValue($P32,$Q32,Trigger)</f>
        <v>#N/A</v>
      </c>
      <c r="S32" s="53"/>
      <c r="X32" s="300">
        <f t="shared" si="0"/>
        <v>1.5000000000014779E-4</v>
      </c>
    </row>
    <row r="33" spans="1:24" x14ac:dyDescent="0.2">
      <c r="A33" s="340"/>
      <c r="B33" s="346">
        <v>28</v>
      </c>
      <c r="C33" s="345" t="b">
        <v>1</v>
      </c>
      <c r="D33" s="266" t="str">
        <v>U8</v>
      </c>
      <c r="E33" s="344">
        <v>43362</v>
      </c>
      <c r="F33" s="266" t="str">
        <v>FEIU8</v>
      </c>
      <c r="G33" s="343">
        <v>43269</v>
      </c>
      <c r="H33" s="266">
        <v>97.825000000000003</v>
      </c>
      <c r="I33" s="266">
        <v>97.84</v>
      </c>
      <c r="J33" s="266">
        <v>97.825000000000003</v>
      </c>
      <c r="K33" s="266">
        <v>97.954999999999998</v>
      </c>
      <c r="L33" s="269">
        <f>_xll.qlMidSafe($H33,$I33)</f>
        <v>97.83250000000001</v>
      </c>
      <c r="M33" s="260"/>
      <c r="N33" s="342">
        <v>97.835000000000008</v>
      </c>
      <c r="O33" s="260"/>
      <c r="P33" s="341" t="str">
        <v>EURFUT3MU8_Quote</v>
      </c>
      <c r="Q33" s="266">
        <v>97.83250000000001</v>
      </c>
      <c r="R33" s="269" t="e">
        <f>_xll.qlSimpleQuoteSetValue($P33,$Q33,Trigger)</f>
        <v>#N/A</v>
      </c>
      <c r="S33" s="53"/>
      <c r="X33" s="300">
        <f t="shared" si="0"/>
        <v>1.4999999999986357E-4</v>
      </c>
    </row>
    <row r="34" spans="1:24" x14ac:dyDescent="0.2">
      <c r="A34" s="340"/>
      <c r="B34" s="346">
        <v>29</v>
      </c>
      <c r="C34" s="345" t="b">
        <v>1</v>
      </c>
      <c r="D34" s="266" t="str">
        <v>Z8</v>
      </c>
      <c r="E34" s="344">
        <v>43453</v>
      </c>
      <c r="F34" s="266" t="str">
        <v>FEIZ8</v>
      </c>
      <c r="G34" s="343">
        <v>43360</v>
      </c>
      <c r="H34" s="266">
        <v>97.734999999999999</v>
      </c>
      <c r="I34" s="266">
        <v>97.78</v>
      </c>
      <c r="J34" s="266">
        <v>97.81</v>
      </c>
      <c r="K34" s="266">
        <v>97.875</v>
      </c>
      <c r="L34" s="269">
        <f>_xll.qlMidSafe($H34,$I34)</f>
        <v>97.757499999999993</v>
      </c>
      <c r="M34" s="260"/>
      <c r="N34" s="342">
        <v>97.759999999999991</v>
      </c>
      <c r="O34" s="260"/>
      <c r="P34" s="341" t="str">
        <v>EURFUT3MZ8_Quote</v>
      </c>
      <c r="Q34" s="266">
        <v>97.757499999999993</v>
      </c>
      <c r="R34" s="269" t="e">
        <f>_xll.qlSimpleQuoteSetValue($P34,$Q34,Trigger)</f>
        <v>#N/A</v>
      </c>
      <c r="S34" s="53"/>
      <c r="X34" s="300">
        <f t="shared" si="0"/>
        <v>4.5000000000015915E-4</v>
      </c>
    </row>
    <row r="35" spans="1:24" x14ac:dyDescent="0.2">
      <c r="A35" s="340"/>
      <c r="B35" s="346">
        <v>30</v>
      </c>
      <c r="C35" s="345" t="b">
        <v>1</v>
      </c>
      <c r="D35" s="266" t="str">
        <v>H9</v>
      </c>
      <c r="E35" s="344">
        <v>43544</v>
      </c>
      <c r="F35" s="266" t="str">
        <v>FEIH9</v>
      </c>
      <c r="G35" s="343">
        <v>43451</v>
      </c>
      <c r="H35" s="266">
        <v>97.65</v>
      </c>
      <c r="I35" s="266">
        <v>97.69</v>
      </c>
      <c r="J35" s="266">
        <v>0</v>
      </c>
      <c r="K35" s="266">
        <v>97.795000000000002</v>
      </c>
      <c r="L35" s="269">
        <f>_xll.qlMidSafe($H35,$I35)</f>
        <v>97.67</v>
      </c>
      <c r="M35" s="260"/>
      <c r="N35" s="342">
        <v>97.672499999999999</v>
      </c>
      <c r="O35" s="260"/>
      <c r="P35" s="341" t="str">
        <v>EURFUT3MH9_Quote</v>
      </c>
      <c r="Q35" s="266">
        <v>97.67</v>
      </c>
      <c r="R35" s="269" t="e">
        <f>_xll.qlSimpleQuoteSetValue($P35,$Q35,Trigger)</f>
        <v>#N/A</v>
      </c>
      <c r="S35" s="53"/>
      <c r="X35" s="300">
        <f t="shared" si="0"/>
        <v>3.9999999999992044E-4</v>
      </c>
    </row>
    <row r="36" spans="1:24" x14ac:dyDescent="0.2">
      <c r="A36" s="340"/>
      <c r="B36" s="346">
        <v>31</v>
      </c>
      <c r="C36" s="345" t="b">
        <v>1</v>
      </c>
      <c r="D36" s="266" t="str">
        <v>M9</v>
      </c>
      <c r="E36" s="344">
        <v>43635</v>
      </c>
      <c r="F36" s="266" t="str">
        <v>FEIM9</v>
      </c>
      <c r="G36" s="343">
        <v>43542</v>
      </c>
      <c r="H36" s="266">
        <v>0</v>
      </c>
      <c r="I36" s="266">
        <v>0</v>
      </c>
      <c r="J36" s="266">
        <v>0</v>
      </c>
      <c r="K36" s="266">
        <v>97.715000000000003</v>
      </c>
      <c r="L36" s="269" t="e">
        <f>_xll.qlMidSafe($H36,$I36)</f>
        <v>#NUM!</v>
      </c>
      <c r="M36" s="260"/>
      <c r="N36" s="342" t="e">
        <v>#NUM!</v>
      </c>
      <c r="O36" s="260"/>
      <c r="P36" s="341" t="str">
        <v>EURFUT3MM9_Quote</v>
      </c>
      <c r="Q36" s="266" t="e">
        <v>#NUM!</v>
      </c>
      <c r="R36" s="269" t="e">
        <f>_xll.qlSimpleQuoteSetValue($P36,$Q36,Trigger)</f>
        <v>#NUM!</v>
      </c>
      <c r="S36" s="53"/>
      <c r="X36" s="300" t="e">
        <f t="shared" si="0"/>
        <v>#NUM!</v>
      </c>
    </row>
    <row r="37" spans="1:24" x14ac:dyDescent="0.2">
      <c r="A37" s="340"/>
      <c r="B37" s="346">
        <v>32</v>
      </c>
      <c r="C37" s="345" t="b">
        <v>1</v>
      </c>
      <c r="D37" s="266" t="str">
        <v>U9</v>
      </c>
      <c r="E37" s="344">
        <v>43726</v>
      </c>
      <c r="F37" s="266" t="str">
        <v>FEIU9</v>
      </c>
      <c r="G37" s="343">
        <v>43633</v>
      </c>
      <c r="H37" s="266">
        <v>0</v>
      </c>
      <c r="I37" s="266">
        <v>0</v>
      </c>
      <c r="J37" s="266">
        <v>0</v>
      </c>
      <c r="K37" s="266">
        <v>97.605000000000004</v>
      </c>
      <c r="L37" s="269" t="e">
        <f>_xll.qlMidSafe($H37,$I37)</f>
        <v>#NUM!</v>
      </c>
      <c r="M37" s="260"/>
      <c r="N37" s="342" t="e">
        <v>#NUM!</v>
      </c>
      <c r="O37" s="260"/>
      <c r="P37" s="341" t="str">
        <v>EURFUT3MU9_Quote</v>
      </c>
      <c r="Q37" s="266" t="e">
        <v>#NUM!</v>
      </c>
      <c r="R37" s="269" t="e">
        <f>_xll.qlSimpleQuoteSetValue($P37,$Q37,Trigger)</f>
        <v>#NUM!</v>
      </c>
      <c r="S37" s="53"/>
      <c r="X37" s="300" t="e">
        <f t="shared" si="0"/>
        <v>#NUM!</v>
      </c>
    </row>
    <row r="38" spans="1:24" x14ac:dyDescent="0.2">
      <c r="A38" s="340"/>
      <c r="B38" s="346">
        <v>33</v>
      </c>
      <c r="C38" s="345" t="b">
        <v>1</v>
      </c>
      <c r="D38" s="266" t="str">
        <v>Z9</v>
      </c>
      <c r="E38" s="344">
        <v>43817</v>
      </c>
      <c r="F38" s="266" t="str">
        <v>FEIZ9</v>
      </c>
      <c r="G38" s="343" t="s">
        <v>260</v>
      </c>
      <c r="H38" s="266" t="s">
        <v>260</v>
      </c>
      <c r="I38" s="266" t="s">
        <v>260</v>
      </c>
      <c r="J38" s="266" t="s">
        <v>260</v>
      </c>
      <c r="K38" s="266" t="s">
        <v>260</v>
      </c>
      <c r="L38" s="269" t="e">
        <f>_xll.qlMidSafe($H38,$I38)</f>
        <v>#NUM!</v>
      </c>
      <c r="M38" s="260"/>
      <c r="N38" s="342" t="e">
        <v>#NUM!</v>
      </c>
      <c r="O38" s="260"/>
      <c r="P38" s="341" t="str">
        <v>EURFUT3MZ9_Quote</v>
      </c>
      <c r="Q38" s="266" t="e">
        <v>#NUM!</v>
      </c>
      <c r="R38" s="269" t="e">
        <f>_xll.qlSimpleQuoteSetValue($P38,$Q38,Trigger)</f>
        <v>#NUM!</v>
      </c>
      <c r="S38" s="53"/>
      <c r="X38" s="300" t="e">
        <f t="shared" si="0"/>
        <v>#VALUE!</v>
      </c>
    </row>
    <row r="39" spans="1:24" x14ac:dyDescent="0.2">
      <c r="A39" s="340"/>
      <c r="B39" s="346">
        <v>34</v>
      </c>
      <c r="C39" s="345" t="b">
        <v>1</v>
      </c>
      <c r="D39" s="266" t="str">
        <v>H0</v>
      </c>
      <c r="E39" s="344">
        <v>43908</v>
      </c>
      <c r="F39" s="266" t="str">
        <v>FEIH0</v>
      </c>
      <c r="G39" s="343" t="s">
        <v>260</v>
      </c>
      <c r="H39" s="266" t="s">
        <v>260</v>
      </c>
      <c r="I39" s="266" t="s">
        <v>260</v>
      </c>
      <c r="J39" s="266" t="s">
        <v>260</v>
      </c>
      <c r="K39" s="266" t="s">
        <v>260</v>
      </c>
      <c r="L39" s="269" t="e">
        <f>_xll.qlMidSafe($H39,$I39)</f>
        <v>#NUM!</v>
      </c>
      <c r="M39" s="260"/>
      <c r="N39" s="342" t="e">
        <v>#NUM!</v>
      </c>
      <c r="O39" s="260"/>
      <c r="P39" s="341" t="str">
        <v>EURFUT3MH0_Quote</v>
      </c>
      <c r="Q39" s="266" t="e">
        <v>#NUM!</v>
      </c>
      <c r="R39" s="269" t="e">
        <f>_xll.qlSimpleQuoteSetValue($P39,$Q39,Trigger)</f>
        <v>#NUM!</v>
      </c>
      <c r="S39" s="53"/>
      <c r="X39" s="300" t="e">
        <f t="shared" si="0"/>
        <v>#VALUE!</v>
      </c>
    </row>
    <row r="40" spans="1:24" x14ac:dyDescent="0.2">
      <c r="A40" s="340"/>
      <c r="B40" s="346">
        <v>35</v>
      </c>
      <c r="C40" s="345" t="b">
        <v>1</v>
      </c>
      <c r="D40" s="266" t="str">
        <v>M0</v>
      </c>
      <c r="E40" s="344">
        <v>43999</v>
      </c>
      <c r="F40" s="266" t="str">
        <v>FEIM0</v>
      </c>
      <c r="G40" s="343" t="s">
        <v>260</v>
      </c>
      <c r="H40" s="266" t="s">
        <v>260</v>
      </c>
      <c r="I40" s="266" t="s">
        <v>260</v>
      </c>
      <c r="J40" s="266" t="s">
        <v>260</v>
      </c>
      <c r="K40" s="266" t="s">
        <v>260</v>
      </c>
      <c r="L40" s="269" t="e">
        <f>_xll.qlMidSafe($H40,$I40)</f>
        <v>#NUM!</v>
      </c>
      <c r="M40" s="260"/>
      <c r="N40" s="342" t="e">
        <v>#NUM!</v>
      </c>
      <c r="O40" s="260"/>
      <c r="P40" s="341" t="str">
        <v>EURFUT3MM0_Quote</v>
      </c>
      <c r="Q40" s="266" t="e">
        <v>#NUM!</v>
      </c>
      <c r="R40" s="269" t="e">
        <f>_xll.qlSimpleQuoteSetValue($P40,$Q40,Trigger)</f>
        <v>#NUM!</v>
      </c>
      <c r="S40" s="53"/>
      <c r="X40" s="300" t="e">
        <f t="shared" si="0"/>
        <v>#VALUE!</v>
      </c>
    </row>
    <row r="41" spans="1:24" x14ac:dyDescent="0.2">
      <c r="A41" s="340"/>
      <c r="B41" s="346">
        <v>36</v>
      </c>
      <c r="C41" s="345" t="b">
        <v>1</v>
      </c>
      <c r="D41" s="266" t="str">
        <v>U0</v>
      </c>
      <c r="E41" s="344">
        <v>44090</v>
      </c>
      <c r="F41" s="266" t="str">
        <v>FEIU0</v>
      </c>
      <c r="G41" s="343" t="s">
        <v>260</v>
      </c>
      <c r="H41" s="266" t="s">
        <v>260</v>
      </c>
      <c r="I41" s="266" t="s">
        <v>260</v>
      </c>
      <c r="J41" s="266" t="s">
        <v>260</v>
      </c>
      <c r="K41" s="266" t="s">
        <v>260</v>
      </c>
      <c r="L41" s="269" t="e">
        <f>_xll.qlMidSafe($H41,$I41)</f>
        <v>#NUM!</v>
      </c>
      <c r="M41" s="260"/>
      <c r="N41" s="342" t="e">
        <v>#NUM!</v>
      </c>
      <c r="O41" s="260"/>
      <c r="P41" s="341" t="str">
        <v>EURFUT3MU0_Quote</v>
      </c>
      <c r="Q41" s="266" t="e">
        <v>#NUM!</v>
      </c>
      <c r="R41" s="269" t="e">
        <f>_xll.qlSimpleQuoteSetValue($P41,$Q41,Trigger)</f>
        <v>#NUM!</v>
      </c>
      <c r="S41" s="53"/>
      <c r="X41" s="300" t="e">
        <f t="shared" si="0"/>
        <v>#VALUE!</v>
      </c>
    </row>
    <row r="42" spans="1:24" x14ac:dyDescent="0.2">
      <c r="A42" s="340"/>
      <c r="B42" s="346">
        <v>37</v>
      </c>
      <c r="C42" s="345" t="b">
        <v>1</v>
      </c>
      <c r="D42" s="266" t="str">
        <v>Z0</v>
      </c>
      <c r="E42" s="344">
        <v>44181</v>
      </c>
      <c r="F42" s="266" t="str">
        <v>FEIZ0</v>
      </c>
      <c r="G42" s="343" t="s">
        <v>260</v>
      </c>
      <c r="H42" s="266" t="s">
        <v>260</v>
      </c>
      <c r="I42" s="266" t="s">
        <v>260</v>
      </c>
      <c r="J42" s="266" t="s">
        <v>260</v>
      </c>
      <c r="K42" s="266" t="s">
        <v>260</v>
      </c>
      <c r="L42" s="269" t="e">
        <f>_xll.qlMidSafe($H42,$I42)</f>
        <v>#NUM!</v>
      </c>
      <c r="M42" s="260"/>
      <c r="N42" s="342" t="e">
        <v>#NUM!</v>
      </c>
      <c r="O42" s="260"/>
      <c r="P42" s="341" t="str">
        <v>EURFUT3MZ0_Quote</v>
      </c>
      <c r="Q42" s="266" t="e">
        <v>#NUM!</v>
      </c>
      <c r="R42" s="269" t="e">
        <f>_xll.qlSimpleQuoteSetValue($P42,$Q42,Trigger)</f>
        <v>#NUM!</v>
      </c>
      <c r="S42" s="53"/>
      <c r="X42" s="300" t="e">
        <f t="shared" si="0"/>
        <v>#VALUE!</v>
      </c>
    </row>
    <row r="43" spans="1:24" x14ac:dyDescent="0.2">
      <c r="A43" s="340"/>
      <c r="B43" s="346">
        <v>38</v>
      </c>
      <c r="C43" s="345" t="b">
        <v>1</v>
      </c>
      <c r="D43" s="266" t="str">
        <v>H1</v>
      </c>
      <c r="E43" s="344">
        <v>44272</v>
      </c>
      <c r="F43" s="266" t="str">
        <v>FEIH1</v>
      </c>
      <c r="G43" s="343" t="s">
        <v>260</v>
      </c>
      <c r="H43" s="266" t="s">
        <v>260</v>
      </c>
      <c r="I43" s="266" t="s">
        <v>260</v>
      </c>
      <c r="J43" s="266" t="s">
        <v>260</v>
      </c>
      <c r="K43" s="266" t="s">
        <v>260</v>
      </c>
      <c r="L43" s="269" t="e">
        <f>_xll.qlMidSafe($H43,$I43)</f>
        <v>#NUM!</v>
      </c>
      <c r="M43" s="260"/>
      <c r="N43" s="342" t="e">
        <v>#NUM!</v>
      </c>
      <c r="O43" s="260"/>
      <c r="P43" s="341" t="str">
        <v>EURFUT3MH1_Quote</v>
      </c>
      <c r="Q43" s="266" t="e">
        <v>#NUM!</v>
      </c>
      <c r="R43" s="269" t="e">
        <f>_xll.qlSimpleQuoteSetValue($P43,$Q43,Trigger)</f>
        <v>#NUM!</v>
      </c>
      <c r="S43" s="53"/>
      <c r="X43" s="300" t="e">
        <f t="shared" si="0"/>
        <v>#VALUE!</v>
      </c>
    </row>
    <row r="44" spans="1:24" x14ac:dyDescent="0.2">
      <c r="A44" s="340"/>
      <c r="B44" s="346">
        <v>39</v>
      </c>
      <c r="C44" s="345" t="b">
        <v>1</v>
      </c>
      <c r="D44" s="266" t="str">
        <v>M1</v>
      </c>
      <c r="E44" s="344">
        <v>44363</v>
      </c>
      <c r="F44" s="266" t="str">
        <v>FEIM1</v>
      </c>
      <c r="G44" s="343" t="s">
        <v>260</v>
      </c>
      <c r="H44" s="266" t="s">
        <v>260</v>
      </c>
      <c r="I44" s="266" t="s">
        <v>260</v>
      </c>
      <c r="J44" s="266" t="s">
        <v>260</v>
      </c>
      <c r="K44" s="266" t="s">
        <v>260</v>
      </c>
      <c r="L44" s="269" t="e">
        <f>_xll.qlMidSafe($H44,$I44)</f>
        <v>#NUM!</v>
      </c>
      <c r="M44" s="260"/>
      <c r="N44" s="342" t="e">
        <v>#NUM!</v>
      </c>
      <c r="O44" s="260"/>
      <c r="P44" s="341" t="str">
        <v>EURFUT3MM1_Quote</v>
      </c>
      <c r="Q44" s="266" t="e">
        <v>#NUM!</v>
      </c>
      <c r="R44" s="269" t="e">
        <f>_xll.qlSimpleQuoteSetValue($P44,$Q44,Trigger)</f>
        <v>#NUM!</v>
      </c>
      <c r="S44" s="53"/>
      <c r="X44" s="300" t="e">
        <f t="shared" si="0"/>
        <v>#VALUE!</v>
      </c>
    </row>
    <row r="45" spans="1:24" x14ac:dyDescent="0.2">
      <c r="A45" s="340"/>
      <c r="B45" s="346">
        <v>40</v>
      </c>
      <c r="C45" s="345" t="b">
        <v>1</v>
      </c>
      <c r="D45" s="266" t="str">
        <v>U1</v>
      </c>
      <c r="E45" s="344">
        <v>44454</v>
      </c>
      <c r="F45" s="266" t="str">
        <v>FEIU1</v>
      </c>
      <c r="G45" s="343" t="s">
        <v>260</v>
      </c>
      <c r="H45" s="266" t="s">
        <v>260</v>
      </c>
      <c r="I45" s="266" t="s">
        <v>260</v>
      </c>
      <c r="J45" s="266" t="s">
        <v>260</v>
      </c>
      <c r="K45" s="266" t="s">
        <v>260</v>
      </c>
      <c r="L45" s="269" t="e">
        <f>_xll.qlMidSafe($H45,$I45)</f>
        <v>#NUM!</v>
      </c>
      <c r="M45" s="260"/>
      <c r="N45" s="342" t="e">
        <v>#NUM!</v>
      </c>
      <c r="O45" s="260"/>
      <c r="P45" s="341" t="str">
        <v>EURFUT3MU1_Quote</v>
      </c>
      <c r="Q45" s="266" t="e">
        <v>#NUM!</v>
      </c>
      <c r="R45" s="269" t="e">
        <f>_xll.qlSimpleQuoteSetValue($P45,$Q45,Trigger)</f>
        <v>#NUM!</v>
      </c>
      <c r="S45" s="53"/>
      <c r="X45" s="300" t="e">
        <f t="shared" si="0"/>
        <v>#VALUE!</v>
      </c>
    </row>
    <row r="46" spans="1:24" x14ac:dyDescent="0.2">
      <c r="A46" s="340"/>
      <c r="B46" s="346">
        <v>41</v>
      </c>
      <c r="C46" s="345" t="b">
        <v>1</v>
      </c>
      <c r="D46" s="266" t="str">
        <v>Z1</v>
      </c>
      <c r="E46" s="344">
        <v>44545</v>
      </c>
      <c r="F46" s="266" t="str">
        <v>FEIZ1</v>
      </c>
      <c r="G46" s="343" t="s">
        <v>260</v>
      </c>
      <c r="H46" s="266" t="s">
        <v>260</v>
      </c>
      <c r="I46" s="266" t="s">
        <v>260</v>
      </c>
      <c r="J46" s="266" t="s">
        <v>260</v>
      </c>
      <c r="K46" s="266" t="s">
        <v>260</v>
      </c>
      <c r="L46" s="269" t="e">
        <f>_xll.qlMidSafe($H46,$I46)</f>
        <v>#NUM!</v>
      </c>
      <c r="M46" s="260"/>
      <c r="N46" s="342" t="e">
        <v>#NUM!</v>
      </c>
      <c r="O46" s="260"/>
      <c r="P46" s="341" t="str">
        <v>EURFUT3MZ1_Quote</v>
      </c>
      <c r="Q46" s="266" t="e">
        <v>#NUM!</v>
      </c>
      <c r="R46" s="269" t="e">
        <f>_xll.qlSimpleQuoteSetValue($P46,$Q46,Trigger)</f>
        <v>#NUM!</v>
      </c>
      <c r="S46" s="53"/>
      <c r="X46" s="300" t="e">
        <f t="shared" si="0"/>
        <v>#VALUE!</v>
      </c>
    </row>
    <row r="47" spans="1:24" x14ac:dyDescent="0.2">
      <c r="A47" s="340"/>
      <c r="B47" s="339">
        <v>42</v>
      </c>
      <c r="C47" s="338" t="b">
        <v>1</v>
      </c>
      <c r="D47" s="258" t="str">
        <v>H2</v>
      </c>
      <c r="E47" s="337">
        <v>44636</v>
      </c>
      <c r="F47" s="258" t="str">
        <v>FEIH2</v>
      </c>
      <c r="G47" s="336" t="s">
        <v>260</v>
      </c>
      <c r="H47" s="258" t="s">
        <v>260</v>
      </c>
      <c r="I47" s="258" t="s">
        <v>260</v>
      </c>
      <c r="J47" s="258" t="s">
        <v>260</v>
      </c>
      <c r="K47" s="258" t="s">
        <v>260</v>
      </c>
      <c r="L47" s="262" t="e">
        <f>_xll.qlMidSafe($H47,$I47)</f>
        <v>#NUM!</v>
      </c>
      <c r="M47" s="260"/>
      <c r="N47" s="335" t="e">
        <v>#NUM!</v>
      </c>
      <c r="O47" s="260"/>
      <c r="P47" s="334" t="str">
        <v>EURFUT3MH2_Quote</v>
      </c>
      <c r="Q47" s="258" t="e">
        <v>#NUM!</v>
      </c>
      <c r="R47" s="262" t="e">
        <f>_xll.qlSimpleQuoteSetValue($P47,$Q47,Trigger)</f>
        <v>#NUM!</v>
      </c>
      <c r="S47" s="53"/>
      <c r="X47" s="300" t="e">
        <f t="shared" si="0"/>
        <v>#VALUE!</v>
      </c>
    </row>
    <row r="48" spans="1:24" ht="12" thickBot="1" x14ac:dyDescent="0.25">
      <c r="A48" s="333"/>
      <c r="B48" s="51"/>
      <c r="C48" s="51"/>
      <c r="D48" s="51"/>
      <c r="E48" s="51"/>
      <c r="F48" s="51"/>
      <c r="G48" s="51"/>
      <c r="H48" s="51"/>
      <c r="I48" s="51"/>
      <c r="J48" s="51"/>
      <c r="K48" s="51"/>
      <c r="L48" s="51"/>
      <c r="M48" s="51"/>
      <c r="N48" s="51"/>
      <c r="O48" s="51"/>
      <c r="P48" s="51"/>
      <c r="Q48" s="51"/>
      <c r="R48" s="51"/>
      <c r="S48" s="50"/>
    </row>
  </sheetData>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X10"/>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11.42578125" style="21" bestFit="1" customWidth="1"/>
    <col min="7" max="7" width="9" style="21" customWidth="1"/>
    <col min="8" max="10" width="6.5703125" style="21" bestFit="1" customWidth="1"/>
    <col min="11" max="11" width="9.85546875" style="21" customWidth="1"/>
    <col min="12" max="12" width="8" style="21" bestFit="1" customWidth="1"/>
    <col min="13" max="13" width="2.85546875" style="21" customWidth="1"/>
    <col min="14" max="14" width="6.5703125" style="21" customWidth="1"/>
    <col min="15" max="15" width="2.85546875" style="21" customWidth="1"/>
    <col min="16" max="16" width="18.71093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23" width="9.140625" style="21"/>
    <col min="24" max="24" width="7" style="21" bestFit="1" customWidth="1"/>
    <col min="25" max="16384" width="9.140625" style="21"/>
  </cols>
  <sheetData>
    <row r="1" spans="1:24" ht="12.75" customHeight="1" x14ac:dyDescent="0.2">
      <c r="A1" s="298" t="s">
        <v>311</v>
      </c>
      <c r="B1" s="203"/>
      <c r="C1" s="203"/>
      <c r="D1" s="203"/>
      <c r="E1" s="203"/>
      <c r="F1" s="203"/>
      <c r="G1" s="203"/>
      <c r="H1" s="203"/>
      <c r="I1" s="203"/>
      <c r="J1" s="203"/>
      <c r="K1" s="203"/>
      <c r="L1" s="203"/>
      <c r="M1" s="358"/>
      <c r="N1" s="358"/>
      <c r="O1" s="203"/>
      <c r="P1" s="203"/>
      <c r="Q1" s="203"/>
      <c r="R1" s="203"/>
      <c r="S1" s="357"/>
    </row>
    <row r="2" spans="1:24" ht="12.75" customHeight="1" x14ac:dyDescent="0.2">
      <c r="A2" s="297"/>
      <c r="B2" s="141"/>
      <c r="C2" s="296"/>
      <c r="D2" s="296"/>
      <c r="F2" s="148" t="s">
        <v>236</v>
      </c>
      <c r="G2" s="141"/>
      <c r="H2" s="141"/>
      <c r="I2" s="141"/>
      <c r="J2" s="141"/>
      <c r="K2" s="141"/>
      <c r="L2" s="141"/>
      <c r="M2" s="260"/>
      <c r="N2" s="260"/>
      <c r="O2" s="141"/>
      <c r="P2" s="97" t="s">
        <v>255</v>
      </c>
      <c r="Q2" s="356" t="s">
        <v>147</v>
      </c>
      <c r="R2" s="141"/>
      <c r="S2" s="355"/>
    </row>
    <row r="3" spans="1:24" ht="12.75" customHeight="1" x14ac:dyDescent="0.2">
      <c r="A3" s="297"/>
      <c r="B3" s="141"/>
      <c r="C3" s="141"/>
      <c r="D3" s="141"/>
      <c r="E3" s="141"/>
      <c r="F3" s="141"/>
      <c r="G3" s="141"/>
      <c r="H3" s="141"/>
      <c r="I3" s="141"/>
      <c r="J3" s="141"/>
      <c r="K3" s="141"/>
      <c r="L3" s="141"/>
      <c r="M3" s="260"/>
      <c r="N3" s="260"/>
      <c r="O3" s="141"/>
      <c r="Q3" s="141"/>
      <c r="R3" s="141"/>
      <c r="S3" s="355"/>
    </row>
    <row r="4" spans="1:24" ht="12.75" customHeight="1" x14ac:dyDescent="0.2">
      <c r="A4" s="297"/>
      <c r="B4" s="141"/>
      <c r="C4" s="141"/>
      <c r="D4" s="141"/>
      <c r="E4" s="366">
        <f>_xll.qlCalendarEndOfMonth("TARGET",_xll.qlCalendarAdvance("TARGET",_xll.qlSettingsEvaluationDate(Trigger),"2d"))</f>
        <v>41639</v>
      </c>
      <c r="F4" s="141"/>
      <c r="G4" s="141"/>
      <c r="H4" s="141"/>
      <c r="I4" s="141"/>
      <c r="J4" s="141"/>
      <c r="K4" s="141"/>
      <c r="L4" s="141"/>
      <c r="M4" s="260"/>
      <c r="N4" s="260"/>
      <c r="O4" s="141"/>
      <c r="P4" s="260" t="s">
        <v>273</v>
      </c>
      <c r="Q4" s="141"/>
      <c r="R4" s="292">
        <f>_xll.ohTrigger(R6:R9)</f>
        <v>21</v>
      </c>
      <c r="S4" s="355"/>
    </row>
    <row r="5" spans="1:24" ht="22.5" x14ac:dyDescent="0.2">
      <c r="A5" s="297"/>
      <c r="B5" s="364" t="s">
        <v>187</v>
      </c>
      <c r="C5" s="360" t="s">
        <v>186</v>
      </c>
      <c r="D5" s="360" t="s">
        <v>185</v>
      </c>
      <c r="E5" s="360" t="s">
        <v>265</v>
      </c>
      <c r="F5" s="363" t="e">
        <f ca="1">_xll.RData(F6:F9,G5:K5,,ReutersRtMode,,G6)</f>
        <v>#NAME?</v>
      </c>
      <c r="G5" s="360" t="s">
        <v>264</v>
      </c>
      <c r="H5" s="360" t="s">
        <v>259</v>
      </c>
      <c r="I5" s="360" t="s">
        <v>226</v>
      </c>
      <c r="J5" s="360" t="s">
        <v>241</v>
      </c>
      <c r="K5" s="360" t="s">
        <v>258</v>
      </c>
      <c r="L5" s="362" t="s">
        <v>257</v>
      </c>
      <c r="M5" s="260"/>
      <c r="N5" s="361" t="s">
        <v>253</v>
      </c>
      <c r="O5" s="260"/>
      <c r="P5" s="328" t="s">
        <v>252</v>
      </c>
      <c r="Q5" s="360" t="s">
        <v>251</v>
      </c>
      <c r="R5" s="359" t="s">
        <v>250</v>
      </c>
      <c r="S5" s="53"/>
      <c r="X5" s="326" t="s">
        <v>256</v>
      </c>
    </row>
    <row r="6" spans="1:24" ht="12.75" customHeight="1" x14ac:dyDescent="0.2">
      <c r="A6" s="340"/>
      <c r="B6" s="353">
        <v>1</v>
      </c>
      <c r="C6" s="352" t="b">
        <v>0</v>
      </c>
      <c r="D6" s="278" t="str">
        <f t="array" ref="D6:D9">_xll.qlIMMcode(FuturesDates)</f>
        <v>F4</v>
      </c>
      <c r="E6" s="351">
        <f t="array" ref="E6:E9">_xll.qlIMMNextDates(E4,$C6:$C9)</f>
        <v>41654</v>
      </c>
      <c r="F6" s="278" t="str">
        <f t="array" ref="F6:F9">Currency&amp;"6F"&amp;B6:B9&amp;"="&amp;VLOOKUP(Contributor,ContributorTable,2,FALSE)</f>
        <v>EUR6F1=ICAP</v>
      </c>
      <c r="G6" s="350" t="s">
        <v>272</v>
      </c>
      <c r="H6" s="278">
        <v>0.34300000000000003</v>
      </c>
      <c r="I6" s="278">
        <v>0.39300000000000002</v>
      </c>
      <c r="J6" s="278">
        <v>0</v>
      </c>
      <c r="K6" s="278">
        <v>0</v>
      </c>
      <c r="L6" s="281">
        <f>100-_xll.qlMidSafe($H6,$I6)</f>
        <v>99.632000000000005</v>
      </c>
      <c r="M6" s="260"/>
      <c r="N6" s="349">
        <v>99.632000000000005</v>
      </c>
      <c r="O6" s="260"/>
      <c r="P6" s="348" t="str">
        <f t="array" ref="P6:P9">Currency&amp;P4&amp;FuturesCodes&amp;$Q$2</f>
        <v>EURIMMFRA6MF4_Quote</v>
      </c>
      <c r="Q6" s="278">
        <f t="array" ref="Q6:Q9">QuoteLive</f>
        <v>99.632000000000005</v>
      </c>
      <c r="R6" s="281" t="e">
        <f>_xll.qlSimpleQuoteSetValue($P6,$Q6,Trigger)</f>
        <v>#N/A</v>
      </c>
      <c r="S6" s="53"/>
      <c r="X6" s="300">
        <f>(I6-H6)/100</f>
        <v>4.999999999999999E-4</v>
      </c>
    </row>
    <row r="7" spans="1:24" x14ac:dyDescent="0.2">
      <c r="A7" s="340"/>
      <c r="B7" s="346">
        <v>2</v>
      </c>
      <c r="C7" s="345" t="b">
        <v>0</v>
      </c>
      <c r="D7" s="266" t="str">
        <v>G4</v>
      </c>
      <c r="E7" s="344">
        <v>41689</v>
      </c>
      <c r="F7" s="266" t="str">
        <v>EUR6F2=ICAP</v>
      </c>
      <c r="G7" s="343" t="s">
        <v>272</v>
      </c>
      <c r="H7" s="266">
        <v>0.36199999999999999</v>
      </c>
      <c r="I7" s="266">
        <v>0.41199999999999998</v>
      </c>
      <c r="J7" s="266">
        <v>0</v>
      </c>
      <c r="K7" s="266">
        <v>0</v>
      </c>
      <c r="L7" s="269">
        <f>100-_xll.qlMidSafe($H7,$I7)</f>
        <v>99.613</v>
      </c>
      <c r="M7" s="260"/>
      <c r="N7" s="347">
        <v>99.613</v>
      </c>
      <c r="O7" s="260"/>
      <c r="P7" s="341" t="str">
        <v>EURIMMFRA6MG4_Quote</v>
      </c>
      <c r="Q7" s="266">
        <v>99.613</v>
      </c>
      <c r="R7" s="269" t="e">
        <f>_xll.qlSimpleQuoteSetValue($P7,$Q7,Trigger)</f>
        <v>#N/A</v>
      </c>
      <c r="S7" s="53"/>
      <c r="X7" s="300">
        <f>(I7-H7)/100</f>
        <v>4.999999999999999E-4</v>
      </c>
    </row>
    <row r="8" spans="1:24" x14ac:dyDescent="0.2">
      <c r="A8" s="340"/>
      <c r="B8" s="346">
        <v>3</v>
      </c>
      <c r="C8" s="345" t="b">
        <v>0</v>
      </c>
      <c r="D8" s="266" t="str">
        <v>H4</v>
      </c>
      <c r="E8" s="344">
        <v>41717</v>
      </c>
      <c r="F8" s="266" t="str">
        <v>EUR6F3=ICAP</v>
      </c>
      <c r="G8" s="343" t="s">
        <v>272</v>
      </c>
      <c r="H8" s="266">
        <v>0.39300000000000002</v>
      </c>
      <c r="I8" s="266">
        <v>0.443</v>
      </c>
      <c r="J8" s="266">
        <v>0</v>
      </c>
      <c r="K8" s="266">
        <v>0</v>
      </c>
      <c r="L8" s="269">
        <f>100-_xll.qlMidSafe($H8,$I8)</f>
        <v>99.581999999999994</v>
      </c>
      <c r="M8" s="260"/>
      <c r="N8" s="347">
        <v>99.581999999999994</v>
      </c>
      <c r="O8" s="260"/>
      <c r="P8" s="341" t="str">
        <v>EURIMMFRA6MH4_Quote</v>
      </c>
      <c r="Q8" s="266">
        <v>99.581999999999994</v>
      </c>
      <c r="R8" s="269" t="e">
        <f>_xll.qlSimpleQuoteSetValue($P8,$Q8,Trigger)</f>
        <v>#N/A</v>
      </c>
      <c r="S8" s="53"/>
      <c r="X8" s="300">
        <f>(I8-H8)/100</f>
        <v>4.999999999999999E-4</v>
      </c>
    </row>
    <row r="9" spans="1:24" x14ac:dyDescent="0.2">
      <c r="A9" s="340"/>
      <c r="B9" s="339">
        <v>4</v>
      </c>
      <c r="C9" s="338" t="b">
        <v>0</v>
      </c>
      <c r="D9" s="258" t="str">
        <v>J4</v>
      </c>
      <c r="E9" s="337">
        <v>41745</v>
      </c>
      <c r="F9" s="258" t="str">
        <v>EUR6F4=ICAP</v>
      </c>
      <c r="G9" s="336" t="s">
        <v>272</v>
      </c>
      <c r="H9" s="258">
        <v>0.42099999999999999</v>
      </c>
      <c r="I9" s="258">
        <v>0.47099999999999997</v>
      </c>
      <c r="J9" s="258">
        <v>0</v>
      </c>
      <c r="K9" s="258">
        <v>0</v>
      </c>
      <c r="L9" s="262">
        <f>100-_xll.qlMidSafe($H9,$I9)</f>
        <v>99.554000000000002</v>
      </c>
      <c r="M9" s="260"/>
      <c r="N9" s="365">
        <v>99.554000000000002</v>
      </c>
      <c r="O9" s="260"/>
      <c r="P9" s="334" t="str">
        <v>EURIMMFRA6MJ4_Quote</v>
      </c>
      <c r="Q9" s="258">
        <v>99.554000000000002</v>
      </c>
      <c r="R9" s="262" t="e">
        <f>_xll.qlSimpleQuoteSetValue($P9,$Q9,Trigger)</f>
        <v>#N/A</v>
      </c>
      <c r="S9" s="53"/>
      <c r="X9" s="300">
        <f>(I9-H9)/100</f>
        <v>4.999999999999999E-4</v>
      </c>
    </row>
    <row r="10" spans="1:24" ht="12" thickBot="1" x14ac:dyDescent="0.25">
      <c r="A10" s="333"/>
      <c r="B10" s="51"/>
      <c r="C10" s="51"/>
      <c r="D10" s="51"/>
      <c r="E10" s="51"/>
      <c r="F10" s="51"/>
      <c r="G10" s="51"/>
      <c r="H10" s="51"/>
      <c r="I10" s="51"/>
      <c r="J10" s="51"/>
      <c r="K10" s="51"/>
      <c r="L10" s="51"/>
      <c r="M10" s="51"/>
      <c r="N10" s="51"/>
      <c r="O10" s="51"/>
      <c r="P10" s="51"/>
      <c r="Q10" s="51"/>
      <c r="R10" s="51"/>
      <c r="S10" s="50"/>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Q9"/>
  <sheetViews>
    <sheetView workbookViewId="0"/>
  </sheetViews>
  <sheetFormatPr defaultRowHeight="11.25" x14ac:dyDescent="0.2"/>
  <cols>
    <col min="1" max="1" width="4.28515625" style="21" customWidth="1"/>
    <col min="2" max="2" width="14.140625" style="21" customWidth="1"/>
    <col min="3" max="3" width="4.85546875" style="21" bestFit="1" customWidth="1"/>
    <col min="4" max="4" width="4.28515625" style="21" customWidth="1"/>
    <col min="5" max="5" width="11.7109375" style="21" bestFit="1" customWidth="1"/>
    <col min="6" max="6" width="7.42578125" style="21" bestFit="1" customWidth="1"/>
    <col min="7" max="7" width="4.28515625" style="21" customWidth="1"/>
    <col min="8" max="8" width="7.42578125" style="21" bestFit="1" customWidth="1"/>
    <col min="9" max="9" width="4.28515625" style="21" customWidth="1"/>
    <col min="10" max="10" width="23.42578125" style="21" bestFit="1" customWidth="1"/>
    <col min="11" max="11" width="7.85546875" style="21" bestFit="1" customWidth="1"/>
    <col min="12" max="12" width="7.42578125" style="21" bestFit="1" customWidth="1"/>
    <col min="13" max="13" width="4.28515625" style="21" customWidth="1"/>
    <col min="14" max="14" width="2.28515625" style="21" customWidth="1"/>
    <col min="15" max="15" width="4" style="21" bestFit="1" customWidth="1"/>
    <col min="16" max="16" width="3.140625" style="21" bestFit="1" customWidth="1"/>
    <col min="17" max="17" width="2.7109375" style="21" bestFit="1" customWidth="1"/>
    <col min="18" max="16384" width="9.140625" style="21"/>
  </cols>
  <sheetData>
    <row r="1" spans="1:17" x14ac:dyDescent="0.2">
      <c r="A1" s="298" t="s">
        <v>311</v>
      </c>
      <c r="B1" s="203"/>
      <c r="C1" s="203"/>
      <c r="D1" s="203"/>
      <c r="E1" s="203"/>
      <c r="F1" s="203"/>
      <c r="G1" s="203"/>
      <c r="H1" s="203"/>
      <c r="I1" s="203"/>
      <c r="J1" s="203"/>
      <c r="K1" s="203"/>
      <c r="L1" s="203"/>
      <c r="M1" s="200"/>
    </row>
    <row r="2" spans="1:17" x14ac:dyDescent="0.2">
      <c r="A2" s="297"/>
      <c r="B2" s="148" t="s">
        <v>236</v>
      </c>
      <c r="C2" s="141"/>
      <c r="D2" s="141"/>
      <c r="E2" s="141"/>
      <c r="F2" s="141"/>
      <c r="G2" s="141"/>
      <c r="H2" s="141"/>
      <c r="I2" s="141"/>
      <c r="J2" s="141"/>
      <c r="K2" s="141"/>
      <c r="L2" s="141"/>
      <c r="M2" s="53"/>
    </row>
    <row r="3" spans="1:17" x14ac:dyDescent="0.2">
      <c r="A3" s="297"/>
      <c r="B3" s="141"/>
      <c r="C3" s="141"/>
      <c r="D3" s="141"/>
      <c r="E3" s="141"/>
      <c r="F3" s="141"/>
      <c r="G3" s="141"/>
      <c r="H3" s="141"/>
      <c r="I3" s="141"/>
      <c r="J3" s="141"/>
      <c r="K3" s="141"/>
      <c r="L3" s="292">
        <f>_xll.ohTrigger(L5:L46)</f>
        <v>23</v>
      </c>
      <c r="M3" s="53"/>
      <c r="P3" s="21" t="s">
        <v>113</v>
      </c>
    </row>
    <row r="4" spans="1:17" ht="13.5" thickBot="1" x14ac:dyDescent="0.25">
      <c r="A4" s="297"/>
      <c r="B4" s="354" t="e">
        <f ca="1">_xll.RData(B5,C4,,ReutersRtMode,,C5)</f>
        <v>#NAME?</v>
      </c>
      <c r="C4" s="386" t="s">
        <v>259</v>
      </c>
      <c r="D4" s="375"/>
      <c r="E4" s="445" t="s">
        <v>281</v>
      </c>
      <c r="F4" s="446"/>
      <c r="G4" s="375"/>
      <c r="H4" s="289" t="s">
        <v>253</v>
      </c>
      <c r="I4" s="373"/>
      <c r="J4" s="354" t="s">
        <v>252</v>
      </c>
      <c r="K4" s="329" t="s">
        <v>251</v>
      </c>
      <c r="L4" s="290" t="s">
        <v>250</v>
      </c>
      <c r="M4" s="53"/>
    </row>
    <row r="5" spans="1:17" x14ac:dyDescent="0.2">
      <c r="A5" s="297"/>
      <c r="B5" s="385" t="str">
        <f>VLOOKUP(Currency,$O$5:$Q$9,2)&amp;P3&amp;VLOOKUP(Currency,$O$5:$Q$9,3)&amp;"ATM="&amp;VLOOKUP(Contributor,ContributorTable,2,FALSE)</f>
        <v>EU4Y6LATM=ICAP</v>
      </c>
      <c r="C5" s="384">
        <v>65.53</v>
      </c>
      <c r="D5" s="375"/>
      <c r="E5" s="282" t="s">
        <v>280</v>
      </c>
      <c r="F5" s="380">
        <f>C5/100*IF(ISNUMBER(Swap3M4Y),Swap3M4Y/100,Swap6M4Y/100)*0</f>
        <v>0</v>
      </c>
      <c r="G5" s="375"/>
      <c r="H5" s="383">
        <v>0</v>
      </c>
      <c r="I5" s="373"/>
      <c r="J5" s="382" t="str">
        <f>Currency&amp;"HW_Volatility_Quote"</f>
        <v>EURHW_Volatility_Quote</v>
      </c>
      <c r="K5" s="381">
        <f t="array" ref="K5:K6">QuoteLive</f>
        <v>0</v>
      </c>
      <c r="L5" s="380" t="e">
        <f>_xll.qlSimpleQuoteSetValue(J5,ROUND(K5,6),Trigger)</f>
        <v>#N/A</v>
      </c>
      <c r="M5" s="53"/>
      <c r="O5" s="93" t="s">
        <v>137</v>
      </c>
      <c r="P5" s="379" t="s">
        <v>279</v>
      </c>
      <c r="Q5" s="378" t="s">
        <v>132</v>
      </c>
    </row>
    <row r="6" spans="1:17" x14ac:dyDescent="0.2">
      <c r="A6" s="297"/>
      <c r="B6" s="372"/>
      <c r="C6" s="377"/>
      <c r="D6" s="375"/>
      <c r="E6" s="376" t="s">
        <v>278</v>
      </c>
      <c r="F6" s="370">
        <v>0.03</v>
      </c>
      <c r="G6" s="375"/>
      <c r="H6" s="374">
        <v>0.03</v>
      </c>
      <c r="I6" s="373"/>
      <c r="J6" s="372" t="str">
        <f>Currency&amp;"HW_MeanReversion_Quote"</f>
        <v>EURHW_MeanReversion_Quote</v>
      </c>
      <c r="K6" s="371">
        <v>0.03</v>
      </c>
      <c r="L6" s="370" t="e">
        <f>_xll.qlSimpleQuoteSetValue(J6,ROUND(K6,6),Trigger)</f>
        <v>#N/A</v>
      </c>
      <c r="M6" s="53"/>
      <c r="O6" s="90" t="s">
        <v>123</v>
      </c>
      <c r="P6" s="331" t="s">
        <v>277</v>
      </c>
      <c r="Q6" s="369" t="s">
        <v>132</v>
      </c>
    </row>
    <row r="7" spans="1:17" ht="12" thickBot="1" x14ac:dyDescent="0.25">
      <c r="A7" s="52"/>
      <c r="B7" s="51"/>
      <c r="C7" s="51"/>
      <c r="D7" s="51"/>
      <c r="E7" s="51"/>
      <c r="F7" s="51"/>
      <c r="G7" s="51"/>
      <c r="H7" s="51"/>
      <c r="I7" s="51"/>
      <c r="J7" s="51"/>
      <c r="K7" s="51"/>
      <c r="L7" s="51"/>
      <c r="M7" s="50"/>
      <c r="O7" s="90" t="s">
        <v>134</v>
      </c>
      <c r="P7" s="331" t="s">
        <v>276</v>
      </c>
      <c r="Q7" s="369" t="s">
        <v>130</v>
      </c>
    </row>
    <row r="8" spans="1:17" x14ac:dyDescent="0.2">
      <c r="O8" s="90" t="s">
        <v>133</v>
      </c>
      <c r="P8" s="331" t="s">
        <v>275</v>
      </c>
      <c r="Q8" s="369" t="s">
        <v>132</v>
      </c>
    </row>
    <row r="9" spans="1:17" ht="12" thickBot="1" x14ac:dyDescent="0.25">
      <c r="O9" s="87" t="s">
        <v>131</v>
      </c>
      <c r="P9" s="368" t="s">
        <v>274</v>
      </c>
      <c r="Q9" s="367" t="s">
        <v>130</v>
      </c>
    </row>
  </sheetData>
  <mergeCells count="1">
    <mergeCell ref="E4:F4"/>
  </mergeCells>
  <dataValidations count="1">
    <dataValidation type="list"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Contributors</formula1>
    </dataValidation>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X16"/>
  <sheetViews>
    <sheetView workbookViewId="0"/>
  </sheetViews>
  <sheetFormatPr defaultRowHeight="12.75" x14ac:dyDescent="0.2"/>
  <cols>
    <col min="1" max="1" width="5" style="20" customWidth="1"/>
    <col min="2" max="2" width="2.28515625" style="20" customWidth="1"/>
    <col min="3" max="3" width="2.7109375" style="20" bestFit="1" customWidth="1"/>
    <col min="4" max="4" width="3.85546875" style="20" bestFit="1" customWidth="1"/>
    <col min="5" max="5" width="8.5703125" style="20" bestFit="1" customWidth="1"/>
    <col min="6" max="6" width="12.7109375" style="20" bestFit="1" customWidth="1"/>
    <col min="7" max="9" width="5.7109375" style="20" bestFit="1" customWidth="1"/>
    <col min="10" max="10" width="10" style="20" bestFit="1" customWidth="1"/>
    <col min="11" max="11" width="5.7109375" style="20" bestFit="1" customWidth="1"/>
    <col min="12" max="12" width="5" style="20" customWidth="1"/>
    <col min="13" max="13" width="5.7109375" style="20" bestFit="1" customWidth="1"/>
    <col min="14" max="14" width="5" style="20" customWidth="1"/>
    <col min="15" max="15" width="13.7109375" style="20" bestFit="1" customWidth="1"/>
    <col min="16" max="17" width="7.7109375" style="20" bestFit="1" customWidth="1"/>
    <col min="18" max="18" width="5" style="20" customWidth="1"/>
    <col min="19" max="19" width="5.140625" style="20" customWidth="1"/>
    <col min="20" max="23" width="9.140625" style="20"/>
    <col min="24" max="24" width="7" style="20" bestFit="1" customWidth="1"/>
    <col min="25" max="16384" width="9.140625" style="20"/>
  </cols>
  <sheetData>
    <row r="1" spans="1:24" ht="13.5" thickBot="1" x14ac:dyDescent="0.25">
      <c r="A1" s="332" t="s">
        <v>311</v>
      </c>
      <c r="B1" s="203"/>
      <c r="C1" s="203"/>
      <c r="D1" s="203"/>
      <c r="E1" s="203"/>
      <c r="F1" s="203"/>
      <c r="G1" s="203"/>
      <c r="H1" s="203"/>
      <c r="I1" s="203"/>
      <c r="J1" s="203"/>
      <c r="K1" s="203"/>
      <c r="L1" s="203"/>
      <c r="M1" s="203"/>
      <c r="N1" s="203"/>
      <c r="O1" s="203"/>
      <c r="P1" s="203"/>
      <c r="Q1" s="203"/>
      <c r="R1" s="200"/>
    </row>
    <row r="2" spans="1:24" ht="13.5" thickBot="1" x14ac:dyDescent="0.25">
      <c r="A2" s="297"/>
      <c r="B2" s="260"/>
      <c r="C2" s="260"/>
      <c r="D2" s="260"/>
      <c r="E2" s="260"/>
      <c r="F2" s="148" t="s">
        <v>236</v>
      </c>
      <c r="G2" s="260"/>
      <c r="H2" s="260"/>
      <c r="I2" s="260"/>
      <c r="J2" s="260"/>
      <c r="K2" s="141"/>
      <c r="L2" s="260"/>
      <c r="M2" s="260"/>
      <c r="N2" s="260"/>
      <c r="O2" s="394" t="s">
        <v>255</v>
      </c>
      <c r="P2" s="393" t="s">
        <v>147</v>
      </c>
      <c r="Q2" s="141"/>
      <c r="R2" s="53"/>
    </row>
    <row r="3" spans="1:24" x14ac:dyDescent="0.2">
      <c r="A3" s="126"/>
      <c r="B3" s="260"/>
      <c r="C3" s="141"/>
      <c r="D3" s="141"/>
      <c r="E3" s="141"/>
      <c r="F3" s="141"/>
      <c r="G3" s="141"/>
      <c r="H3" s="141"/>
      <c r="I3" s="141"/>
      <c r="J3" s="141"/>
      <c r="K3" s="141"/>
      <c r="L3" s="260"/>
      <c r="M3" s="260"/>
      <c r="N3" s="260"/>
      <c r="O3" s="141"/>
      <c r="P3" s="141"/>
      <c r="Q3" s="292">
        <f>_xll.ohTrigger(Q5:Q15)</f>
        <v>21</v>
      </c>
      <c r="R3" s="221"/>
    </row>
    <row r="4" spans="1:24" ht="22.5" x14ac:dyDescent="0.2">
      <c r="A4" s="126"/>
      <c r="B4" s="392"/>
      <c r="C4" s="198"/>
      <c r="D4" s="198"/>
      <c r="E4" s="198"/>
      <c r="F4" s="291" t="e">
        <f ca="1">_xll.RData(F5:F15,G4:J4,,ReutersRtMode,,G5)</f>
        <v>#NAME?</v>
      </c>
      <c r="G4" s="329" t="s">
        <v>259</v>
      </c>
      <c r="H4" s="329" t="s">
        <v>226</v>
      </c>
      <c r="I4" s="329" t="s">
        <v>241</v>
      </c>
      <c r="J4" s="329" t="s">
        <v>258</v>
      </c>
      <c r="K4" s="286" t="s">
        <v>257</v>
      </c>
      <c r="L4" s="260"/>
      <c r="M4" s="289" t="s">
        <v>253</v>
      </c>
      <c r="N4" s="260"/>
      <c r="O4" s="288" t="s">
        <v>252</v>
      </c>
      <c r="P4" s="391" t="s">
        <v>251</v>
      </c>
      <c r="Q4" s="98" t="s">
        <v>250</v>
      </c>
      <c r="R4" s="221"/>
      <c r="X4" s="326" t="s">
        <v>256</v>
      </c>
    </row>
    <row r="5" spans="1:24" x14ac:dyDescent="0.2">
      <c r="A5" s="126"/>
      <c r="B5" s="267"/>
      <c r="C5" s="311">
        <v>2</v>
      </c>
      <c r="D5" s="311" t="s">
        <v>194</v>
      </c>
      <c r="E5" s="270" t="str">
        <f t="shared" ref="E5:E15" si="0">Currency&amp;$C5&amp;$D5&amp;$B5</f>
        <v>EUR2X1S</v>
      </c>
      <c r="F5" s="270" t="str">
        <f t="array" ref="F5:F15">Instruments&amp;"="&amp;VLOOKUP(Contributor,ContributorTable,2,FALSE)</f>
        <v>EUR2X1S=ICAP</v>
      </c>
      <c r="G5" s="312">
        <v>0.111</v>
      </c>
      <c r="H5" s="312">
        <v>0.161</v>
      </c>
      <c r="I5" s="312">
        <v>0</v>
      </c>
      <c r="J5" s="312">
        <v>0</v>
      </c>
      <c r="K5" s="390">
        <f>_xll.qlMidSafe($G5,$H5)</f>
        <v>0.13600000000000001</v>
      </c>
      <c r="L5" s="260"/>
      <c r="M5" s="268">
        <v>0.13600000000000001</v>
      </c>
      <c r="N5" s="260"/>
      <c r="O5" s="267" t="str">
        <f t="shared" ref="O5:O15" si="1">$E5&amp;$P$2</f>
        <v>EUR2X1S_Quote</v>
      </c>
      <c r="P5" s="266">
        <f t="array" ref="P5:P15">QuoteLive</f>
        <v>0.13600000000000001</v>
      </c>
      <c r="Q5" s="265" t="e">
        <f>_xll.qlSimpleQuoteSetValue($O5,$P5/100,Trigger)</f>
        <v>#N/A</v>
      </c>
      <c r="R5" s="221"/>
      <c r="T5" s="388"/>
      <c r="X5" s="300">
        <f t="shared" ref="X5:X15" si="2">(H5-K5)/50</f>
        <v>4.999999999999999E-4</v>
      </c>
    </row>
    <row r="6" spans="1:24" x14ac:dyDescent="0.2">
      <c r="A6" s="126"/>
      <c r="B6" s="267"/>
      <c r="C6" s="311">
        <v>3</v>
      </c>
      <c r="D6" s="311" t="s">
        <v>194</v>
      </c>
      <c r="E6" s="270" t="str">
        <f t="shared" si="0"/>
        <v>EUR3X1S</v>
      </c>
      <c r="F6" s="270" t="str">
        <v>EUR3X1S=ICAP</v>
      </c>
      <c r="G6" s="312">
        <v>0.11700000000000001</v>
      </c>
      <c r="H6" s="312">
        <v>0.16700000000000001</v>
      </c>
      <c r="I6" s="312">
        <v>0</v>
      </c>
      <c r="J6" s="312">
        <v>0</v>
      </c>
      <c r="K6" s="390">
        <f>_xll.qlMidSafe($G6,$H6)</f>
        <v>0.14200000000000002</v>
      </c>
      <c r="L6" s="260"/>
      <c r="M6" s="268">
        <v>0.14200000000000002</v>
      </c>
      <c r="N6" s="260"/>
      <c r="O6" s="267" t="str">
        <f t="shared" si="1"/>
        <v>EUR3X1S_Quote</v>
      </c>
      <c r="P6" s="266">
        <v>0.14200000000000002</v>
      </c>
      <c r="Q6" s="265" t="e">
        <f>_xll.qlSimpleQuoteSetValue($O6,$P6/100,Trigger)</f>
        <v>#N/A</v>
      </c>
      <c r="R6" s="221"/>
      <c r="T6" s="388"/>
      <c r="X6" s="300">
        <f t="shared" si="2"/>
        <v>4.999999999999999E-4</v>
      </c>
    </row>
    <row r="7" spans="1:24" x14ac:dyDescent="0.2">
      <c r="A7" s="126"/>
      <c r="B7" s="267"/>
      <c r="C7" s="311">
        <v>4</v>
      </c>
      <c r="D7" s="311" t="s">
        <v>194</v>
      </c>
      <c r="E7" s="270" t="str">
        <f t="shared" si="0"/>
        <v>EUR4X1S</v>
      </c>
      <c r="F7" s="270" t="str">
        <v>EUR4X1S=ICAP</v>
      </c>
      <c r="G7" s="312">
        <v>0.121</v>
      </c>
      <c r="H7" s="312">
        <v>0.17100000000000001</v>
      </c>
      <c r="I7" s="312">
        <v>0</v>
      </c>
      <c r="J7" s="312">
        <v>0</v>
      </c>
      <c r="K7" s="390">
        <f>_xll.qlMidSafe($G7,$H7)</f>
        <v>0.14600000000000002</v>
      </c>
      <c r="L7" s="260"/>
      <c r="M7" s="268">
        <v>0.14600000000000002</v>
      </c>
      <c r="N7" s="260"/>
      <c r="O7" s="267" t="str">
        <f t="shared" si="1"/>
        <v>EUR4X1S_Quote</v>
      </c>
      <c r="P7" s="266">
        <v>0.14600000000000002</v>
      </c>
      <c r="Q7" s="265" t="e">
        <f>_xll.qlSimpleQuoteSetValue($O7,$P7/100,Trigger)</f>
        <v>#N/A</v>
      </c>
      <c r="R7" s="221"/>
      <c r="T7" s="388"/>
      <c r="X7" s="300">
        <f t="shared" si="2"/>
        <v>4.999999999999999E-4</v>
      </c>
    </row>
    <row r="8" spans="1:24" x14ac:dyDescent="0.2">
      <c r="A8" s="126"/>
      <c r="B8" s="267"/>
      <c r="C8" s="311">
        <v>5</v>
      </c>
      <c r="D8" s="311" t="s">
        <v>194</v>
      </c>
      <c r="E8" s="270" t="str">
        <f t="shared" si="0"/>
        <v>EUR5X1S</v>
      </c>
      <c r="F8" s="270" t="str">
        <v>EUR5X1S=ICAP</v>
      </c>
      <c r="G8" s="312">
        <v>0.126</v>
      </c>
      <c r="H8" s="312">
        <v>0.17599999999999999</v>
      </c>
      <c r="I8" s="312">
        <v>0</v>
      </c>
      <c r="J8" s="312">
        <v>0</v>
      </c>
      <c r="K8" s="390">
        <f>_xll.qlMidSafe($G8,$H8)</f>
        <v>0.151</v>
      </c>
      <c r="L8" s="260"/>
      <c r="M8" s="268">
        <v>0.151</v>
      </c>
      <c r="N8" s="260"/>
      <c r="O8" s="267" t="str">
        <f t="shared" si="1"/>
        <v>EUR5X1S_Quote</v>
      </c>
      <c r="P8" s="266">
        <v>0.151</v>
      </c>
      <c r="Q8" s="265" t="e">
        <f>_xll.qlSimpleQuoteSetValue($O8,$P8/100,Trigger)</f>
        <v>#N/A</v>
      </c>
      <c r="R8" s="221"/>
      <c r="T8" s="388"/>
      <c r="X8" s="300">
        <f t="shared" si="2"/>
        <v>4.999999999999999E-4</v>
      </c>
    </row>
    <row r="9" spans="1:24" x14ac:dyDescent="0.2">
      <c r="A9" s="126"/>
      <c r="B9" s="267"/>
      <c r="C9" s="311">
        <v>6</v>
      </c>
      <c r="D9" s="311" t="s">
        <v>194</v>
      </c>
      <c r="E9" s="270" t="str">
        <f t="shared" si="0"/>
        <v>EUR6X1S</v>
      </c>
      <c r="F9" s="270" t="str">
        <v>EUR6X1S=ICAP</v>
      </c>
      <c r="G9" s="312">
        <v>0.13300000000000001</v>
      </c>
      <c r="H9" s="312">
        <v>0.183</v>
      </c>
      <c r="I9" s="312">
        <v>0</v>
      </c>
      <c r="J9" s="312">
        <v>0</v>
      </c>
      <c r="K9" s="390">
        <f>_xll.qlMidSafe($G9,$H9)</f>
        <v>0.158</v>
      </c>
      <c r="L9" s="260"/>
      <c r="M9" s="268">
        <v>0.158</v>
      </c>
      <c r="N9" s="260"/>
      <c r="O9" s="267" t="str">
        <f t="shared" si="1"/>
        <v>EUR6X1S_Quote</v>
      </c>
      <c r="P9" s="266">
        <v>0.158</v>
      </c>
      <c r="Q9" s="265" t="e">
        <f>_xll.qlSimpleQuoteSetValue($O9,$P9/100,Trigger)</f>
        <v>#N/A</v>
      </c>
      <c r="R9" s="221"/>
      <c r="T9" s="388"/>
      <c r="X9" s="300">
        <f t="shared" si="2"/>
        <v>4.999999999999999E-4</v>
      </c>
    </row>
    <row r="10" spans="1:24" x14ac:dyDescent="0.2">
      <c r="A10" s="126"/>
      <c r="B10" s="267"/>
      <c r="C10" s="311">
        <v>7</v>
      </c>
      <c r="D10" s="311" t="s">
        <v>194</v>
      </c>
      <c r="E10" s="270" t="str">
        <f t="shared" si="0"/>
        <v>EUR7X1S</v>
      </c>
      <c r="F10" s="270" t="str">
        <v>EUR7X1S=ICAP</v>
      </c>
      <c r="G10" s="312">
        <v>0.13800000000000001</v>
      </c>
      <c r="H10" s="312">
        <v>0.188</v>
      </c>
      <c r="I10" s="312">
        <v>0</v>
      </c>
      <c r="J10" s="312">
        <v>0</v>
      </c>
      <c r="K10" s="390">
        <f>_xll.qlMidSafe($G10,$H10)</f>
        <v>0.16300000000000001</v>
      </c>
      <c r="L10" s="260"/>
      <c r="M10" s="268">
        <v>0.16300000000000001</v>
      </c>
      <c r="N10" s="260"/>
      <c r="O10" s="267" t="str">
        <f t="shared" si="1"/>
        <v>EUR7X1S_Quote</v>
      </c>
      <c r="P10" s="266">
        <v>0.16300000000000001</v>
      </c>
      <c r="Q10" s="265" t="e">
        <f>_xll.qlSimpleQuoteSetValue($O10,$P10/100,Trigger)</f>
        <v>#N/A</v>
      </c>
      <c r="R10" s="221"/>
      <c r="T10" s="388"/>
      <c r="X10" s="300">
        <f t="shared" si="2"/>
        <v>4.999999999999999E-4</v>
      </c>
    </row>
    <row r="11" spans="1:24" x14ac:dyDescent="0.2">
      <c r="A11" s="126"/>
      <c r="B11" s="267"/>
      <c r="C11" s="311">
        <v>8</v>
      </c>
      <c r="D11" s="311" t="s">
        <v>194</v>
      </c>
      <c r="E11" s="270" t="str">
        <f t="shared" si="0"/>
        <v>EUR8X1S</v>
      </c>
      <c r="F11" s="270" t="str">
        <v>EUR8X1S=ICAP</v>
      </c>
      <c r="G11" s="312">
        <v>0.14399999999999999</v>
      </c>
      <c r="H11" s="312">
        <v>0.19400000000000001</v>
      </c>
      <c r="I11" s="312">
        <v>0</v>
      </c>
      <c r="J11" s="312">
        <v>0</v>
      </c>
      <c r="K11" s="390">
        <f>_xll.qlMidSafe($G11,$H11)</f>
        <v>0.16899999999999998</v>
      </c>
      <c r="L11" s="260"/>
      <c r="M11" s="268">
        <v>0.16999999999999998</v>
      </c>
      <c r="N11" s="260"/>
      <c r="O11" s="267" t="str">
        <f t="shared" si="1"/>
        <v>EUR8X1S_Quote</v>
      </c>
      <c r="P11" s="266">
        <v>0.16899999999999998</v>
      </c>
      <c r="Q11" s="265" t="e">
        <f>_xll.qlSimpleQuoteSetValue($O11,$P11/100,Trigger)</f>
        <v>#N/A</v>
      </c>
      <c r="R11" s="221"/>
      <c r="T11" s="388"/>
      <c r="X11" s="300">
        <f t="shared" si="2"/>
        <v>5.0000000000000044E-4</v>
      </c>
    </row>
    <row r="12" spans="1:24" x14ac:dyDescent="0.2">
      <c r="A12" s="126"/>
      <c r="B12" s="267"/>
      <c r="C12" s="311">
        <v>9</v>
      </c>
      <c r="D12" s="311" t="s">
        <v>194</v>
      </c>
      <c r="E12" s="270" t="str">
        <f t="shared" si="0"/>
        <v>EUR9X1S</v>
      </c>
      <c r="F12" s="270" t="str">
        <v>EUR9X1S=ICAP</v>
      </c>
      <c r="G12" s="312">
        <v>0.154</v>
      </c>
      <c r="H12" s="312">
        <v>0.20399999999999999</v>
      </c>
      <c r="I12" s="312">
        <v>0</v>
      </c>
      <c r="J12" s="312">
        <v>0</v>
      </c>
      <c r="K12" s="390">
        <f>_xll.qlMidSafe($G12,$H12)</f>
        <v>0.17899999999999999</v>
      </c>
      <c r="L12" s="260"/>
      <c r="M12" s="268">
        <v>0.17899999999999999</v>
      </c>
      <c r="N12" s="260"/>
      <c r="O12" s="267" t="str">
        <f t="shared" si="1"/>
        <v>EUR9X1S_Quote</v>
      </c>
      <c r="P12" s="266">
        <v>0.17899999999999999</v>
      </c>
      <c r="Q12" s="265" t="e">
        <f>_xll.qlSimpleQuoteSetValue($O12,$P12/100,Trigger)</f>
        <v>#N/A</v>
      </c>
      <c r="R12" s="221"/>
      <c r="T12" s="388"/>
      <c r="X12" s="300">
        <f t="shared" si="2"/>
        <v>4.999999999999999E-4</v>
      </c>
    </row>
    <row r="13" spans="1:24" x14ac:dyDescent="0.2">
      <c r="A13" s="126"/>
      <c r="B13" s="267"/>
      <c r="C13" s="311">
        <v>10</v>
      </c>
      <c r="D13" s="311" t="s">
        <v>194</v>
      </c>
      <c r="E13" s="270" t="str">
        <f t="shared" si="0"/>
        <v>EUR10X1S</v>
      </c>
      <c r="F13" s="270" t="str">
        <v>EUR10X1S=ICAP</v>
      </c>
      <c r="G13" s="312">
        <v>0.161</v>
      </c>
      <c r="H13" s="312">
        <v>0.21099999999999999</v>
      </c>
      <c r="I13" s="312">
        <v>0</v>
      </c>
      <c r="J13" s="312">
        <v>0</v>
      </c>
      <c r="K13" s="390">
        <f>_xll.qlMidSafe($G13,$H13)</f>
        <v>0.186</v>
      </c>
      <c r="L13" s="260"/>
      <c r="M13" s="268">
        <v>0.186</v>
      </c>
      <c r="N13" s="260"/>
      <c r="O13" s="267" t="str">
        <f t="shared" si="1"/>
        <v>EUR10X1S_Quote</v>
      </c>
      <c r="P13" s="266">
        <v>0.186</v>
      </c>
      <c r="Q13" s="265" t="e">
        <f>_xll.qlSimpleQuoteSetValue($O13,$P13/100,Trigger)</f>
        <v>#N/A</v>
      </c>
      <c r="R13" s="221"/>
      <c r="T13" s="388"/>
      <c r="X13" s="300">
        <f t="shared" si="2"/>
        <v>4.999999999999999E-4</v>
      </c>
    </row>
    <row r="14" spans="1:24" x14ac:dyDescent="0.2">
      <c r="A14" s="126"/>
      <c r="B14" s="267"/>
      <c r="C14" s="311">
        <v>11</v>
      </c>
      <c r="D14" s="311" t="s">
        <v>194</v>
      </c>
      <c r="E14" s="270" t="str">
        <f t="shared" si="0"/>
        <v>EUR11X1S</v>
      </c>
      <c r="F14" s="270" t="str">
        <v>EUR11X1S=ICAP</v>
      </c>
      <c r="G14" s="312">
        <v>0.17</v>
      </c>
      <c r="H14" s="312">
        <v>0.22</v>
      </c>
      <c r="I14" s="312">
        <v>0</v>
      </c>
      <c r="J14" s="312">
        <v>0</v>
      </c>
      <c r="K14" s="390">
        <f>_xll.qlMidSafe($G14,$H14)</f>
        <v>0.19500000000000001</v>
      </c>
      <c r="L14" s="260"/>
      <c r="M14" s="268">
        <v>0.19500000000000001</v>
      </c>
      <c r="N14" s="260"/>
      <c r="O14" s="267" t="str">
        <f t="shared" si="1"/>
        <v>EUR11X1S_Quote</v>
      </c>
      <c r="P14" s="266">
        <v>0.19500000000000001</v>
      </c>
      <c r="Q14" s="265" t="e">
        <f>_xll.qlSimpleQuoteSetValue($O14,$P14/100,Trigger)</f>
        <v>#N/A</v>
      </c>
      <c r="R14" s="221"/>
      <c r="T14" s="388"/>
      <c r="X14" s="300">
        <f t="shared" si="2"/>
        <v>4.999999999999999E-4</v>
      </c>
    </row>
    <row r="15" spans="1:24" x14ac:dyDescent="0.2">
      <c r="A15" s="126"/>
      <c r="B15" s="259"/>
      <c r="C15" s="317">
        <v>12</v>
      </c>
      <c r="D15" s="317" t="s">
        <v>194</v>
      </c>
      <c r="E15" s="263" t="str">
        <f t="shared" si="0"/>
        <v>EUR12X1S</v>
      </c>
      <c r="F15" s="263" t="str">
        <v>EUR12X1S=ICAP</v>
      </c>
      <c r="G15" s="318">
        <v>0.17899999999999999</v>
      </c>
      <c r="H15" s="318">
        <v>0.22900000000000001</v>
      </c>
      <c r="I15" s="318">
        <v>0</v>
      </c>
      <c r="J15" s="318">
        <v>0</v>
      </c>
      <c r="K15" s="389">
        <f>_xll.qlMidSafe($G15,$H15)</f>
        <v>0.20400000000000001</v>
      </c>
      <c r="L15" s="260"/>
      <c r="M15" s="261">
        <v>0.20400000000000001</v>
      </c>
      <c r="N15" s="260"/>
      <c r="O15" s="259" t="str">
        <f t="shared" si="1"/>
        <v>EUR12X1S_Quote</v>
      </c>
      <c r="P15" s="258">
        <v>0.20400000000000001</v>
      </c>
      <c r="Q15" s="257" t="e">
        <f>_xll.qlSimpleQuoteSetValue($O15,$P15/100,Trigger)</f>
        <v>#N/A</v>
      </c>
      <c r="R15" s="221"/>
      <c r="T15" s="388"/>
      <c r="X15" s="300">
        <f t="shared" si="2"/>
        <v>4.999999999999999E-4</v>
      </c>
    </row>
    <row r="16" spans="1:24" ht="13.5" thickBot="1" x14ac:dyDescent="0.25">
      <c r="A16" s="52"/>
      <c r="B16" s="51"/>
      <c r="C16" s="51"/>
      <c r="D16" s="51"/>
      <c r="E16" s="51"/>
      <c r="F16" s="51"/>
      <c r="G16" s="51"/>
      <c r="H16" s="51"/>
      <c r="I16" s="51"/>
      <c r="J16" s="51"/>
      <c r="K16" s="51"/>
      <c r="L16" s="51"/>
      <c r="M16" s="51"/>
      <c r="N16" s="51"/>
      <c r="O16" s="51"/>
      <c r="P16" s="51"/>
      <c r="Q16" s="51"/>
      <c r="R16"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X12"/>
  <sheetViews>
    <sheetView workbookViewId="0"/>
  </sheetViews>
  <sheetFormatPr defaultRowHeight="12.75" x14ac:dyDescent="0.2"/>
  <cols>
    <col min="1" max="1" width="5" style="20" customWidth="1"/>
    <col min="2" max="2" width="3.85546875" style="20" bestFit="1" customWidth="1"/>
    <col min="3" max="3" width="2.85546875" style="20" bestFit="1" customWidth="1"/>
    <col min="4" max="4" width="2.7109375" style="20" bestFit="1" customWidth="1"/>
    <col min="5" max="5" width="7.5703125" style="20" bestFit="1" customWidth="1"/>
    <col min="6" max="6" width="11.7109375" style="20" bestFit="1" customWidth="1"/>
    <col min="7" max="9" width="5.7109375" style="20" bestFit="1" customWidth="1"/>
    <col min="10" max="10" width="10" style="20" bestFit="1" customWidth="1"/>
    <col min="11" max="11" width="5.7109375" style="20" bestFit="1" customWidth="1"/>
    <col min="12" max="12" width="5" style="20" customWidth="1"/>
    <col min="13" max="13" width="5.7109375" style="20" bestFit="1" customWidth="1"/>
    <col min="14" max="14" width="5" style="20" customWidth="1"/>
    <col min="15" max="15" width="12.5703125" style="20" bestFit="1" customWidth="1"/>
    <col min="16" max="17" width="7.7109375" style="20" bestFit="1" customWidth="1"/>
    <col min="18" max="18" width="5" style="20" customWidth="1"/>
    <col min="19" max="19" width="5.140625" style="20" customWidth="1"/>
    <col min="20" max="23" width="9.140625" style="20"/>
    <col min="24" max="24" width="7" style="20" bestFit="1" customWidth="1"/>
    <col min="25" max="16384" width="9.140625" style="20"/>
  </cols>
  <sheetData>
    <row r="1" spans="1:24" ht="13.5" thickBot="1" x14ac:dyDescent="0.25">
      <c r="A1" s="332" t="s">
        <v>311</v>
      </c>
      <c r="B1" s="203"/>
      <c r="C1" s="203"/>
      <c r="D1" s="203"/>
      <c r="E1" s="203"/>
      <c r="F1" s="203"/>
      <c r="G1" s="203"/>
      <c r="H1" s="203"/>
      <c r="I1" s="203"/>
      <c r="J1" s="203"/>
      <c r="K1" s="203"/>
      <c r="L1" s="203"/>
      <c r="M1" s="203"/>
      <c r="N1" s="203"/>
      <c r="O1" s="203"/>
      <c r="P1" s="203"/>
      <c r="Q1" s="203"/>
      <c r="R1" s="200"/>
    </row>
    <row r="2" spans="1:24" ht="13.5" thickBot="1" x14ac:dyDescent="0.25">
      <c r="A2" s="297"/>
      <c r="B2" s="141"/>
      <c r="C2" s="260"/>
      <c r="D2" s="260"/>
      <c r="E2" s="260"/>
      <c r="F2" s="148" t="s">
        <v>236</v>
      </c>
      <c r="G2" s="260"/>
      <c r="H2" s="260"/>
      <c r="I2" s="260"/>
      <c r="J2" s="260"/>
      <c r="K2" s="141"/>
      <c r="L2" s="260"/>
      <c r="M2" s="260"/>
      <c r="N2" s="260"/>
      <c r="O2" s="394" t="s">
        <v>255</v>
      </c>
      <c r="P2" s="393" t="s">
        <v>147</v>
      </c>
      <c r="Q2" s="141"/>
      <c r="R2" s="53"/>
    </row>
    <row r="3" spans="1:24" x14ac:dyDescent="0.2">
      <c r="A3" s="126"/>
      <c r="B3" s="260"/>
      <c r="C3" s="141"/>
      <c r="D3" s="141"/>
      <c r="E3" s="141"/>
      <c r="F3" s="141"/>
      <c r="G3" s="141"/>
      <c r="H3" s="141"/>
      <c r="I3" s="141"/>
      <c r="J3" s="141"/>
      <c r="K3" s="141"/>
      <c r="L3" s="260"/>
      <c r="M3" s="260"/>
      <c r="N3" s="260"/>
      <c r="O3" s="141"/>
      <c r="P3" s="141"/>
      <c r="Q3" s="292">
        <f>_xll.ohTrigger(Q5:Q11)</f>
        <v>21</v>
      </c>
      <c r="R3" s="221"/>
    </row>
    <row r="4" spans="1:24" ht="22.5" x14ac:dyDescent="0.2">
      <c r="A4" s="126"/>
      <c r="B4" s="392"/>
      <c r="C4" s="198"/>
      <c r="D4" s="198"/>
      <c r="E4" s="198"/>
      <c r="F4" s="291" t="e">
        <f ca="1">_xll.RData(F5:F11,G4:J4,,ReutersRtMode,,G5)</f>
        <v>#NAME?</v>
      </c>
      <c r="G4" s="329" t="s">
        <v>259</v>
      </c>
      <c r="H4" s="329" t="s">
        <v>226</v>
      </c>
      <c r="I4" s="329" t="s">
        <v>241</v>
      </c>
      <c r="J4" s="329" t="s">
        <v>258</v>
      </c>
      <c r="K4" s="286" t="s">
        <v>257</v>
      </c>
      <c r="L4" s="260"/>
      <c r="M4" s="289" t="s">
        <v>253</v>
      </c>
      <c r="N4" s="260"/>
      <c r="O4" s="288" t="s">
        <v>252</v>
      </c>
      <c r="P4" s="391" t="s">
        <v>251</v>
      </c>
      <c r="Q4" s="98" t="s">
        <v>250</v>
      </c>
      <c r="R4" s="221"/>
      <c r="X4" s="326" t="s">
        <v>256</v>
      </c>
    </row>
    <row r="5" spans="1:24" x14ac:dyDescent="0.2">
      <c r="A5" s="126"/>
      <c r="B5" s="267"/>
      <c r="C5" s="311" t="s">
        <v>195</v>
      </c>
      <c r="D5" s="311">
        <v>12</v>
      </c>
      <c r="E5" s="270" t="str">
        <f t="shared" ref="E5:E11" si="0">Currency&amp;$C5&amp;$D5&amp;$B5</f>
        <v>EUR1S12</v>
      </c>
      <c r="F5" s="270" t="str">
        <f t="array" ref="F5:F11">Instruments&amp;"="&amp;VLOOKUP(Contributor,ContributorTable,2,FALSE)</f>
        <v>EUR1S12=ICAP</v>
      </c>
      <c r="G5" s="312">
        <v>0.33500000000000002</v>
      </c>
      <c r="H5" s="312">
        <v>0.38500000000000001</v>
      </c>
      <c r="I5" s="312">
        <v>0</v>
      </c>
      <c r="J5" s="312">
        <v>0</v>
      </c>
      <c r="K5" s="390">
        <f>_xll.qlMidSafe($G5,$H5)</f>
        <v>0.36</v>
      </c>
      <c r="L5" s="260"/>
      <c r="M5" s="268">
        <v>0.36</v>
      </c>
      <c r="N5" s="260"/>
      <c r="O5" s="267" t="str">
        <f t="shared" ref="O5:O11" si="1">$E5&amp;$P$2</f>
        <v>EUR1S12_Quote</v>
      </c>
      <c r="P5" s="266">
        <f t="array" ref="P5:P11">QuoteLive</f>
        <v>0.36</v>
      </c>
      <c r="Q5" s="265" t="e">
        <f>_xll.qlSimpleQuoteSetValue($O5,$P5/100,Trigger)</f>
        <v>#N/A</v>
      </c>
      <c r="R5" s="221"/>
      <c r="X5" s="300">
        <f t="shared" ref="X5:X11" si="2">(H5-K5)/50</f>
        <v>5.0000000000000044E-4</v>
      </c>
    </row>
    <row r="6" spans="1:24" x14ac:dyDescent="0.2">
      <c r="A6" s="126"/>
      <c r="B6" s="267"/>
      <c r="C6" s="311" t="s">
        <v>196</v>
      </c>
      <c r="D6" s="311">
        <v>12</v>
      </c>
      <c r="E6" s="270" t="str">
        <f t="shared" si="0"/>
        <v>EUR2S12</v>
      </c>
      <c r="F6" s="270" t="str">
        <v>EUR2S12=ICAP</v>
      </c>
      <c r="G6" s="312">
        <v>0.39700000000000002</v>
      </c>
      <c r="H6" s="312">
        <v>0.44700000000000001</v>
      </c>
      <c r="I6" s="312">
        <v>0</v>
      </c>
      <c r="J6" s="312">
        <v>0</v>
      </c>
      <c r="K6" s="390">
        <f>_xll.qlMidSafe($G6,$H6)</f>
        <v>0.42200000000000004</v>
      </c>
      <c r="L6" s="260"/>
      <c r="M6" s="268">
        <v>0.42200000000000004</v>
      </c>
      <c r="N6" s="260"/>
      <c r="O6" s="267" t="str">
        <f t="shared" si="1"/>
        <v>EUR2S12_Quote</v>
      </c>
      <c r="P6" s="266">
        <v>0.42200000000000004</v>
      </c>
      <c r="Q6" s="265" t="e">
        <f>_xll.qlSimpleQuoteSetValue($O6,$P6/100,Trigger)</f>
        <v>#N/A</v>
      </c>
      <c r="R6" s="221"/>
      <c r="X6" s="300">
        <f t="shared" si="2"/>
        <v>4.9999999999999936E-4</v>
      </c>
    </row>
    <row r="7" spans="1:24" x14ac:dyDescent="0.2">
      <c r="A7" s="126"/>
      <c r="B7" s="267"/>
      <c r="C7" s="311" t="s">
        <v>198</v>
      </c>
      <c r="D7" s="311">
        <v>12</v>
      </c>
      <c r="E7" s="270" t="str">
        <f t="shared" si="0"/>
        <v>EUR3S12</v>
      </c>
      <c r="F7" s="270" t="str">
        <v>EUR3S12=ICAP</v>
      </c>
      <c r="G7" s="312">
        <v>0.46100000000000002</v>
      </c>
      <c r="H7" s="312">
        <v>0.51100000000000001</v>
      </c>
      <c r="I7" s="312">
        <v>0</v>
      </c>
      <c r="J7" s="312">
        <v>0</v>
      </c>
      <c r="K7" s="390">
        <f>_xll.qlMidSafe($G7,$H7)</f>
        <v>0.48599999999999999</v>
      </c>
      <c r="L7" s="260"/>
      <c r="M7" s="268">
        <v>0.48599999999999999</v>
      </c>
      <c r="N7" s="260"/>
      <c r="O7" s="267" t="str">
        <f t="shared" si="1"/>
        <v>EUR3S12_Quote</v>
      </c>
      <c r="P7" s="266">
        <v>0.48599999999999999</v>
      </c>
      <c r="Q7" s="265" t="e">
        <f>_xll.qlSimpleQuoteSetValue($O7,$P7/100,Trigger)</f>
        <v>#N/A</v>
      </c>
      <c r="R7" s="221"/>
      <c r="X7" s="300">
        <f t="shared" si="2"/>
        <v>5.0000000000000044E-4</v>
      </c>
    </row>
    <row r="8" spans="1:24" x14ac:dyDescent="0.2">
      <c r="A8" s="126"/>
      <c r="B8" s="267"/>
      <c r="C8" s="311" t="s">
        <v>197</v>
      </c>
      <c r="D8" s="311">
        <v>12</v>
      </c>
      <c r="E8" s="270" t="str">
        <f t="shared" si="0"/>
        <v>EUR4S12</v>
      </c>
      <c r="F8" s="270" t="str">
        <v>EUR4S12=ICAP</v>
      </c>
      <c r="G8" s="312">
        <v>0.52500000000000002</v>
      </c>
      <c r="H8" s="312">
        <v>0.57499999999999996</v>
      </c>
      <c r="I8" s="312">
        <v>0</v>
      </c>
      <c r="J8" s="312">
        <v>0</v>
      </c>
      <c r="K8" s="390">
        <f>_xll.qlMidSafe($G8,$H8)</f>
        <v>0.55000000000000004</v>
      </c>
      <c r="L8" s="260"/>
      <c r="M8" s="268">
        <v>0.55000000000000004</v>
      </c>
      <c r="N8" s="260"/>
      <c r="O8" s="267" t="str">
        <f t="shared" si="1"/>
        <v>EUR4S12_Quote</v>
      </c>
      <c r="P8" s="266">
        <v>0.55000000000000004</v>
      </c>
      <c r="Q8" s="265" t="e">
        <f>_xll.qlSimpleQuoteSetValue($O8,$P8/100,Trigger)</f>
        <v>#N/A</v>
      </c>
      <c r="R8" s="221"/>
      <c r="X8" s="300">
        <f t="shared" si="2"/>
        <v>4.9999999999999828E-4</v>
      </c>
    </row>
    <row r="9" spans="1:24" x14ac:dyDescent="0.2">
      <c r="A9" s="126"/>
      <c r="B9" s="267"/>
      <c r="C9" s="311" t="s">
        <v>195</v>
      </c>
      <c r="D9" s="311">
        <v>24</v>
      </c>
      <c r="E9" s="270" t="str">
        <f t="shared" si="0"/>
        <v>EUR1S24</v>
      </c>
      <c r="F9" s="270" t="str">
        <v>EUR1S24=ICAP</v>
      </c>
      <c r="G9" s="312">
        <v>0.46400000000000002</v>
      </c>
      <c r="H9" s="312">
        <v>0.51400000000000001</v>
      </c>
      <c r="I9" s="312">
        <v>0</v>
      </c>
      <c r="J9" s="312">
        <v>0</v>
      </c>
      <c r="K9" s="390">
        <f>_xll.qlMidSafe($G9,$H9)</f>
        <v>0.48899999999999999</v>
      </c>
      <c r="L9" s="260"/>
      <c r="M9" s="268">
        <v>0.48899999999999999</v>
      </c>
      <c r="N9" s="260"/>
      <c r="O9" s="267" t="str">
        <f t="shared" si="1"/>
        <v>EUR1S24_Quote</v>
      </c>
      <c r="P9" s="266">
        <v>0.48899999999999999</v>
      </c>
      <c r="Q9" s="265" t="e">
        <f>_xll.qlSimpleQuoteSetValue($O9,$P9/100,Trigger)</f>
        <v>#N/A</v>
      </c>
      <c r="R9" s="221"/>
      <c r="X9" s="300">
        <f t="shared" si="2"/>
        <v>5.0000000000000044E-4</v>
      </c>
    </row>
    <row r="10" spans="1:24" x14ac:dyDescent="0.2">
      <c r="A10" s="126"/>
      <c r="B10" s="267"/>
      <c r="C10" s="311" t="s">
        <v>196</v>
      </c>
      <c r="D10" s="311">
        <v>24</v>
      </c>
      <c r="E10" s="270" t="str">
        <f t="shared" si="0"/>
        <v>EUR2S24</v>
      </c>
      <c r="F10" s="270" t="str">
        <v>EUR2S24=ICAP</v>
      </c>
      <c r="G10" s="312">
        <v>0.53300000000000003</v>
      </c>
      <c r="H10" s="312">
        <v>0.58299999999999996</v>
      </c>
      <c r="I10" s="312">
        <v>0</v>
      </c>
      <c r="J10" s="312">
        <v>0</v>
      </c>
      <c r="K10" s="390">
        <f>_xll.qlMidSafe($G10,$H10)</f>
        <v>0.55800000000000005</v>
      </c>
      <c r="L10" s="260"/>
      <c r="M10" s="268">
        <v>0.55899999999999994</v>
      </c>
      <c r="N10" s="260"/>
      <c r="O10" s="267" t="str">
        <f t="shared" si="1"/>
        <v>EUR2S24_Quote</v>
      </c>
      <c r="P10" s="266">
        <v>0.55800000000000005</v>
      </c>
      <c r="Q10" s="265" t="e">
        <f>_xll.qlSimpleQuoteSetValue($O10,$P10/100,Trigger)</f>
        <v>#N/A</v>
      </c>
      <c r="R10" s="221"/>
      <c r="X10" s="300">
        <f t="shared" si="2"/>
        <v>4.9999999999999828E-4</v>
      </c>
    </row>
    <row r="11" spans="1:24" x14ac:dyDescent="0.2">
      <c r="A11" s="126"/>
      <c r="B11" s="259"/>
      <c r="C11" s="317" t="s">
        <v>195</v>
      </c>
      <c r="D11" s="317">
        <v>36</v>
      </c>
      <c r="E11" s="263" t="str">
        <f t="shared" si="0"/>
        <v>EUR1S36</v>
      </c>
      <c r="F11" s="263" t="str">
        <v>EUR1S36=ICAP</v>
      </c>
      <c r="G11" s="318">
        <v>0.63600000000000001</v>
      </c>
      <c r="H11" s="318">
        <v>0.68600000000000005</v>
      </c>
      <c r="I11" s="318">
        <v>0</v>
      </c>
      <c r="J11" s="318">
        <v>0</v>
      </c>
      <c r="K11" s="389">
        <f>_xll.qlMidSafe($G11,$H11)</f>
        <v>0.66100000000000003</v>
      </c>
      <c r="L11" s="260"/>
      <c r="M11" s="261">
        <v>0.66100000000000003</v>
      </c>
      <c r="N11" s="260"/>
      <c r="O11" s="259" t="str">
        <f t="shared" si="1"/>
        <v>EUR1S36_Quote</v>
      </c>
      <c r="P11" s="258">
        <v>0.66100000000000003</v>
      </c>
      <c r="Q11" s="257" t="e">
        <f>_xll.qlSimpleQuoteSetValue($O11,$P11/100,Trigger)</f>
        <v>#N/A</v>
      </c>
      <c r="R11" s="221"/>
      <c r="X11" s="300">
        <f t="shared" si="2"/>
        <v>5.0000000000000044E-4</v>
      </c>
    </row>
    <row r="12" spans="1:24" ht="13.5" thickBot="1" x14ac:dyDescent="0.25">
      <c r="A12" s="52"/>
      <c r="B12" s="51"/>
      <c r="C12" s="51"/>
      <c r="D12" s="51"/>
      <c r="E12" s="51"/>
      <c r="F12" s="51"/>
      <c r="G12" s="51"/>
      <c r="H12" s="51"/>
      <c r="I12" s="51"/>
      <c r="J12" s="51"/>
      <c r="K12" s="51"/>
      <c r="L12" s="51"/>
      <c r="M12" s="51"/>
      <c r="N12" s="51"/>
      <c r="O12" s="51"/>
      <c r="P12" s="51"/>
      <c r="Q12" s="51"/>
      <c r="R12"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X43"/>
  <sheetViews>
    <sheetView workbookViewId="0"/>
  </sheetViews>
  <sheetFormatPr defaultRowHeight="11.25" x14ac:dyDescent="0.2"/>
  <cols>
    <col min="1" max="1" width="5" style="21" customWidth="1"/>
    <col min="2" max="2" width="3.85546875" style="21" bestFit="1" customWidth="1"/>
    <col min="3" max="3" width="3.28515625" style="21" bestFit="1" customWidth="1"/>
    <col min="4" max="4" width="2.7109375" style="21" bestFit="1" customWidth="1"/>
    <col min="5" max="5" width="10.85546875" style="21" bestFit="1" customWidth="1"/>
    <col min="6" max="6" width="15.140625" style="21" bestFit="1" customWidth="1"/>
    <col min="7" max="9" width="5.7109375" style="21" bestFit="1" customWidth="1"/>
    <col min="10" max="10" width="10" style="21" bestFit="1" customWidth="1"/>
    <col min="11" max="11" width="5.7109375" style="21" bestFit="1" customWidth="1"/>
    <col min="12" max="12" width="5" style="21" customWidth="1"/>
    <col min="13" max="13" width="5.7109375" style="21" bestFit="1" customWidth="1"/>
    <col min="14" max="14" width="5" style="21" customWidth="1"/>
    <col min="15" max="15" width="16" style="21" bestFit="1" customWidth="1"/>
    <col min="16" max="17" width="7.7109375" style="21" bestFit="1" customWidth="1"/>
    <col min="18" max="18" width="5" style="21" customWidth="1"/>
    <col min="19" max="19" width="5.140625" style="21" customWidth="1"/>
    <col min="20" max="20" width="4" style="21" bestFit="1" customWidth="1"/>
    <col min="21" max="21" width="3.28515625" style="21" bestFit="1" customWidth="1"/>
    <col min="22" max="22" width="2.7109375" style="21" bestFit="1" customWidth="1"/>
    <col min="23" max="23" width="9.140625" style="21"/>
    <col min="24" max="24" width="7.140625" style="21" bestFit="1" customWidth="1"/>
    <col min="25" max="16384" width="9.140625" style="21"/>
  </cols>
  <sheetData>
    <row r="1" spans="1:24" ht="12" thickBot="1" x14ac:dyDescent="0.25">
      <c r="A1" s="332" t="s">
        <v>311</v>
      </c>
      <c r="B1" s="203"/>
      <c r="C1" s="203"/>
      <c r="D1" s="203"/>
      <c r="E1" s="203"/>
      <c r="F1" s="203"/>
      <c r="G1" s="203"/>
      <c r="H1" s="203"/>
      <c r="I1" s="203"/>
      <c r="J1" s="203"/>
      <c r="K1" s="203"/>
      <c r="L1" s="203"/>
      <c r="M1" s="203"/>
      <c r="N1" s="203"/>
      <c r="O1" s="203"/>
      <c r="P1" s="203"/>
      <c r="Q1" s="203"/>
      <c r="R1" s="200"/>
    </row>
    <row r="2" spans="1:24" ht="15" customHeight="1" thickBot="1" x14ac:dyDescent="0.25">
      <c r="A2" s="297"/>
      <c r="B2" s="141"/>
      <c r="C2" s="260"/>
      <c r="D2" s="260"/>
      <c r="E2" s="260"/>
      <c r="F2" s="148" t="s">
        <v>236</v>
      </c>
      <c r="G2" s="260"/>
      <c r="H2" s="260"/>
      <c r="I2" s="260"/>
      <c r="J2" s="260"/>
      <c r="K2" s="141"/>
      <c r="L2" s="260"/>
      <c r="M2" s="260"/>
      <c r="N2" s="260"/>
      <c r="O2" s="394" t="s">
        <v>255</v>
      </c>
      <c r="P2" s="393" t="s">
        <v>147</v>
      </c>
      <c r="Q2" s="141"/>
      <c r="R2" s="53"/>
    </row>
    <row r="3" spans="1:24" x14ac:dyDescent="0.2">
      <c r="A3" s="126"/>
      <c r="B3" s="260"/>
      <c r="C3" s="141"/>
      <c r="D3" s="141"/>
      <c r="E3" s="141"/>
      <c r="F3" s="141"/>
      <c r="G3" s="141"/>
      <c r="H3" s="141"/>
      <c r="I3" s="141"/>
      <c r="J3" s="141"/>
      <c r="K3" s="141"/>
      <c r="L3" s="260"/>
      <c r="M3" s="260"/>
      <c r="N3" s="260"/>
      <c r="O3" s="141"/>
      <c r="P3" s="141"/>
      <c r="Q3" s="292">
        <f>_xll.ohTrigger(Q5:Q42)</f>
        <v>21</v>
      </c>
      <c r="R3" s="221"/>
    </row>
    <row r="4" spans="1:24" ht="23.25" thickBot="1" x14ac:dyDescent="0.25">
      <c r="A4" s="126"/>
      <c r="B4" s="392"/>
      <c r="C4" s="198"/>
      <c r="D4" s="198"/>
      <c r="E4" s="198"/>
      <c r="F4" s="291" t="e">
        <f ca="1">_xll.RData(F5:F42,G4:J4,,ReutersRtMode,,G5)</f>
        <v>#NAME?</v>
      </c>
      <c r="G4" s="329" t="s">
        <v>259</v>
      </c>
      <c r="H4" s="329" t="s">
        <v>226</v>
      </c>
      <c r="I4" s="329" t="s">
        <v>241</v>
      </c>
      <c r="J4" s="329" t="s">
        <v>258</v>
      </c>
      <c r="K4" s="286" t="s">
        <v>257</v>
      </c>
      <c r="L4" s="260"/>
      <c r="M4" s="289" t="s">
        <v>253</v>
      </c>
      <c r="N4" s="260"/>
      <c r="O4" s="288" t="s">
        <v>252</v>
      </c>
      <c r="P4" s="391" t="s">
        <v>251</v>
      </c>
      <c r="Q4" s="98" t="s">
        <v>250</v>
      </c>
      <c r="R4" s="221"/>
      <c r="X4" s="326" t="s">
        <v>256</v>
      </c>
    </row>
    <row r="5" spans="1:24" x14ac:dyDescent="0.2">
      <c r="A5" s="126"/>
      <c r="B5" s="271" t="s">
        <v>40</v>
      </c>
      <c r="C5" s="311" t="str">
        <f t="array" ref="C5:C42">VLOOKUP(Currency,Conventions,2)</f>
        <v>AB</v>
      </c>
      <c r="D5" s="311" t="str">
        <f t="array" ref="D5:D42">VLOOKUP(Currency,Conventions,3)</f>
        <v>3E</v>
      </c>
      <c r="E5" s="311" t="str">
        <f t="shared" ref="E5:E42" si="0">Currency&amp;$C5&amp;$D5&amp;$B5</f>
        <v>EURAB3E6M</v>
      </c>
      <c r="F5" s="311" t="str">
        <f t="array" ref="F5:F42">Instruments&amp;"="&amp;VLOOKUP(Contributor,ContributorTable,2,FALSE)</f>
        <v>EURAB3E6M=ICAP</v>
      </c>
      <c r="G5" s="312" t="s">
        <v>260</v>
      </c>
      <c r="H5" s="312" t="s">
        <v>260</v>
      </c>
      <c r="I5" s="312" t="s">
        <v>260</v>
      </c>
      <c r="J5" s="312" t="s">
        <v>260</v>
      </c>
      <c r="K5" s="269" t="e">
        <f>_xll.qlMidSafe($G5,$H5)</f>
        <v>#NUM!</v>
      </c>
      <c r="L5" s="260"/>
      <c r="M5" s="268" t="e">
        <v>#NUM!</v>
      </c>
      <c r="N5" s="260"/>
      <c r="O5" s="267" t="str">
        <f t="shared" ref="O5:O42" si="1">$E5&amp;$P$2</f>
        <v>EURAB3E6M_Quote</v>
      </c>
      <c r="P5" s="266" t="e">
        <f t="array" ref="P5:P42">QuoteLive</f>
        <v>#NUM!</v>
      </c>
      <c r="Q5" s="265" t="e">
        <f>_xll.qlSimpleQuoteSetValue($O5,$P5/100,Trigger)</f>
        <v>#NUM!</v>
      </c>
      <c r="R5" s="221"/>
      <c r="T5" s="398" t="s">
        <v>137</v>
      </c>
      <c r="U5" s="92" t="s">
        <v>201</v>
      </c>
      <c r="V5" s="91" t="s">
        <v>130</v>
      </c>
      <c r="X5" s="300" t="e">
        <f t="shared" ref="X5:X42" si="2">(H5-K5)/50</f>
        <v>#VALUE!</v>
      </c>
    </row>
    <row r="6" spans="1:24" x14ac:dyDescent="0.2">
      <c r="A6" s="126"/>
      <c r="B6" s="271" t="s">
        <v>34</v>
      </c>
      <c r="C6" s="311" t="str">
        <v>AB</v>
      </c>
      <c r="D6" s="311" t="str">
        <v>3E</v>
      </c>
      <c r="E6" s="311" t="str">
        <f t="shared" si="0"/>
        <v>EURAB3E1Y</v>
      </c>
      <c r="F6" s="311" t="str">
        <v>EURAB3E1Y=ICAP</v>
      </c>
      <c r="G6" s="312">
        <v>0.30199999999999999</v>
      </c>
      <c r="H6" s="312">
        <v>0.35199999999999998</v>
      </c>
      <c r="I6" s="312">
        <v>0</v>
      </c>
      <c r="J6" s="312">
        <v>0</v>
      </c>
      <c r="K6" s="269">
        <f>_xll.qlMidSafe($G6,$H6)</f>
        <v>0.32699999999999996</v>
      </c>
      <c r="L6" s="260"/>
      <c r="M6" s="268">
        <v>0.32699999999999996</v>
      </c>
      <c r="N6" s="260"/>
      <c r="O6" s="267" t="str">
        <f t="shared" si="1"/>
        <v>EURAB3E1Y_Quote</v>
      </c>
      <c r="P6" s="266">
        <v>0.32699999999999996</v>
      </c>
      <c r="Q6" s="265" t="e">
        <f>_xll.qlSimpleQuoteSetValue($O6,$P6/100,Trigger)</f>
        <v>#N/A</v>
      </c>
      <c r="R6" s="221"/>
      <c r="T6" s="209" t="s">
        <v>123</v>
      </c>
      <c r="U6" s="89" t="s">
        <v>201</v>
      </c>
      <c r="V6" s="88" t="s">
        <v>142</v>
      </c>
      <c r="X6" s="300">
        <f t="shared" si="2"/>
        <v>5.0000000000000044E-4</v>
      </c>
    </row>
    <row r="7" spans="1:24" x14ac:dyDescent="0.2">
      <c r="A7" s="126"/>
      <c r="B7" s="271" t="s">
        <v>140</v>
      </c>
      <c r="C7" s="311" t="str">
        <v>AB</v>
      </c>
      <c r="D7" s="311" t="str">
        <v>3E</v>
      </c>
      <c r="E7" s="311" t="str">
        <f t="shared" si="0"/>
        <v>EURAB3E15M</v>
      </c>
      <c r="F7" s="311" t="str">
        <v>EURAB3E15M=ICAP</v>
      </c>
      <c r="G7" s="312">
        <v>0.33400000000000002</v>
      </c>
      <c r="H7" s="312">
        <v>0.38400000000000001</v>
      </c>
      <c r="I7" s="312">
        <v>0</v>
      </c>
      <c r="J7" s="312">
        <v>0</v>
      </c>
      <c r="K7" s="269">
        <f>_xll.qlMidSafe($G7,$H7)</f>
        <v>0.35899999999999999</v>
      </c>
      <c r="L7" s="260"/>
      <c r="M7" s="268">
        <v>0.35799999999999998</v>
      </c>
      <c r="N7" s="260"/>
      <c r="O7" s="267" t="str">
        <f t="shared" si="1"/>
        <v>EURAB3E15M_Quote</v>
      </c>
      <c r="P7" s="266">
        <v>0.35899999999999999</v>
      </c>
      <c r="Q7" s="265" t="e">
        <f>_xll.qlSimpleQuoteSetValue($O7,$P7/100,Trigger)</f>
        <v>#N/A</v>
      </c>
      <c r="R7" s="221"/>
      <c r="T7" s="209" t="s">
        <v>134</v>
      </c>
      <c r="U7" s="89" t="s">
        <v>199</v>
      </c>
      <c r="V7" s="88" t="s">
        <v>130</v>
      </c>
      <c r="X7" s="300">
        <f t="shared" si="2"/>
        <v>5.0000000000000044E-4</v>
      </c>
    </row>
    <row r="8" spans="1:24" x14ac:dyDescent="0.2">
      <c r="A8" s="126"/>
      <c r="B8" s="271" t="s">
        <v>139</v>
      </c>
      <c r="C8" s="311" t="str">
        <v>AB</v>
      </c>
      <c r="D8" s="311" t="str">
        <v>3E</v>
      </c>
      <c r="E8" s="311" t="str">
        <f t="shared" si="0"/>
        <v>EURAB3E18M</v>
      </c>
      <c r="F8" s="311" t="str">
        <v>EURAB3E18M=ICAP</v>
      </c>
      <c r="G8" s="312">
        <v>0.36699999999999999</v>
      </c>
      <c r="H8" s="312">
        <v>0.41699999999999998</v>
      </c>
      <c r="I8" s="312">
        <v>0</v>
      </c>
      <c r="J8" s="312">
        <v>0</v>
      </c>
      <c r="K8" s="269">
        <f>_xll.qlMidSafe($G8,$H8)</f>
        <v>0.39200000000000002</v>
      </c>
      <c r="L8" s="260"/>
      <c r="M8" s="268">
        <v>0.39</v>
      </c>
      <c r="N8" s="260"/>
      <c r="O8" s="267" t="str">
        <f t="shared" si="1"/>
        <v>EURAB3E18M_Quote</v>
      </c>
      <c r="P8" s="266">
        <v>0.39200000000000002</v>
      </c>
      <c r="Q8" s="265" t="e">
        <f>_xll.qlSimpleQuoteSetValue($O8,$P8/100,Trigger)</f>
        <v>#N/A</v>
      </c>
      <c r="R8" s="221"/>
      <c r="T8" s="209" t="s">
        <v>284</v>
      </c>
      <c r="U8" s="89" t="s">
        <v>283</v>
      </c>
      <c r="V8" s="88" t="s">
        <v>282</v>
      </c>
      <c r="X8" s="300">
        <f t="shared" si="2"/>
        <v>4.9999999999999936E-4</v>
      </c>
    </row>
    <row r="9" spans="1:24" x14ac:dyDescent="0.2">
      <c r="A9" s="126"/>
      <c r="B9" s="271" t="s">
        <v>138</v>
      </c>
      <c r="C9" s="311" t="str">
        <v>AB</v>
      </c>
      <c r="D9" s="311" t="str">
        <v>3E</v>
      </c>
      <c r="E9" s="311" t="str">
        <f t="shared" si="0"/>
        <v>EURAB3E21M</v>
      </c>
      <c r="F9" s="311" t="str">
        <v>EURAB3E21M=ICAP</v>
      </c>
      <c r="G9" s="312">
        <v>0.39800000000000002</v>
      </c>
      <c r="H9" s="312">
        <v>0.44800000000000001</v>
      </c>
      <c r="I9" s="312">
        <v>0</v>
      </c>
      <c r="J9" s="312">
        <v>0</v>
      </c>
      <c r="K9" s="269">
        <f>_xll.qlMidSafe($G9,$H9)</f>
        <v>0.42300000000000004</v>
      </c>
      <c r="L9" s="260"/>
      <c r="M9" s="268">
        <v>0.42200000000000004</v>
      </c>
      <c r="N9" s="260"/>
      <c r="O9" s="267" t="str">
        <f t="shared" si="1"/>
        <v>EURAB3E21M_Quote</v>
      </c>
      <c r="P9" s="266">
        <v>0.42300000000000004</v>
      </c>
      <c r="Q9" s="265" t="e">
        <f>_xll.qlSimpleQuoteSetValue($O9,$P9/100,Trigger)</f>
        <v>#N/A</v>
      </c>
      <c r="R9" s="221"/>
      <c r="T9" s="209" t="s">
        <v>133</v>
      </c>
      <c r="U9" s="89" t="s">
        <v>200</v>
      </c>
      <c r="V9" s="88" t="s">
        <v>130</v>
      </c>
      <c r="X9" s="300">
        <f t="shared" si="2"/>
        <v>4.9999999999999936E-4</v>
      </c>
    </row>
    <row r="10" spans="1:24" ht="12" thickBot="1" x14ac:dyDescent="0.25">
      <c r="A10" s="126"/>
      <c r="B10" s="271" t="s">
        <v>115</v>
      </c>
      <c r="C10" s="311" t="str">
        <v>AB</v>
      </c>
      <c r="D10" s="311" t="str">
        <v>3E</v>
      </c>
      <c r="E10" s="311" t="str">
        <f t="shared" si="0"/>
        <v>EURAB3E2Y</v>
      </c>
      <c r="F10" s="311" t="str">
        <v>EURAB3E2Y=ICAP</v>
      </c>
      <c r="G10" s="312">
        <v>0.432</v>
      </c>
      <c r="H10" s="312">
        <v>0.48199999999999998</v>
      </c>
      <c r="I10" s="312">
        <v>0</v>
      </c>
      <c r="J10" s="312">
        <v>0</v>
      </c>
      <c r="K10" s="269">
        <f>_xll.qlMidSafe($G10,$H10)</f>
        <v>0.45699999999999996</v>
      </c>
      <c r="L10" s="260"/>
      <c r="M10" s="268">
        <v>0.45499999999999996</v>
      </c>
      <c r="N10" s="260"/>
      <c r="O10" s="267" t="str">
        <f t="shared" si="1"/>
        <v>EURAB3E2Y_Quote</v>
      </c>
      <c r="P10" s="266">
        <v>0.45699999999999996</v>
      </c>
      <c r="Q10" s="265" t="e">
        <f>_xll.qlSimpleQuoteSetValue($O10,$P10/100,Trigger)</f>
        <v>#N/A</v>
      </c>
      <c r="R10" s="221"/>
      <c r="T10" s="208" t="s">
        <v>131</v>
      </c>
      <c r="U10" s="86" t="s">
        <v>199</v>
      </c>
      <c r="V10" s="85" t="s">
        <v>130</v>
      </c>
      <c r="X10" s="300">
        <f t="shared" si="2"/>
        <v>5.0000000000000044E-4</v>
      </c>
    </row>
    <row r="11" spans="1:24" x14ac:dyDescent="0.2">
      <c r="A11" s="126"/>
      <c r="B11" s="271" t="s">
        <v>114</v>
      </c>
      <c r="C11" s="396" t="str">
        <v>AB</v>
      </c>
      <c r="D11" s="396" t="str">
        <v>3E</v>
      </c>
      <c r="E11" s="311" t="str">
        <f t="shared" si="0"/>
        <v>EURAB3E3Y</v>
      </c>
      <c r="F11" s="311" t="str">
        <v>EURAB3E3Y=ICAP</v>
      </c>
      <c r="G11" s="312">
        <v>0.59599999999999997</v>
      </c>
      <c r="H11" s="312">
        <v>0.64600000000000002</v>
      </c>
      <c r="I11" s="312">
        <v>0</v>
      </c>
      <c r="J11" s="312">
        <v>0</v>
      </c>
      <c r="K11" s="269">
        <f>_xll.qlMidSafe($G11,$H11)</f>
        <v>0.621</v>
      </c>
      <c r="L11" s="260"/>
      <c r="M11" s="268">
        <v>0.61899999999999999</v>
      </c>
      <c r="N11" s="260"/>
      <c r="O11" s="267" t="str">
        <f t="shared" si="1"/>
        <v>EURAB3E3Y_Quote</v>
      </c>
      <c r="P11" s="266">
        <v>0.621</v>
      </c>
      <c r="Q11" s="265" t="e">
        <f>_xll.qlSimpleQuoteSetValue($O11,$P11/100,Trigger)</f>
        <v>#N/A</v>
      </c>
      <c r="R11" s="221"/>
      <c r="X11" s="300">
        <f t="shared" si="2"/>
        <v>5.0000000000000044E-4</v>
      </c>
    </row>
    <row r="12" spans="1:24" x14ac:dyDescent="0.2">
      <c r="A12" s="126"/>
      <c r="B12" s="271" t="s">
        <v>113</v>
      </c>
      <c r="C12" s="396" t="str">
        <v>AB</v>
      </c>
      <c r="D12" s="396" t="str">
        <v>3E</v>
      </c>
      <c r="E12" s="311" t="str">
        <f t="shared" si="0"/>
        <v>EURAB3E4Y</v>
      </c>
      <c r="F12" s="311" t="str">
        <v>EURAB3E4Y=ICAP</v>
      </c>
      <c r="G12" s="312">
        <v>0.81299999999999994</v>
      </c>
      <c r="H12" s="312">
        <v>0.86299999999999999</v>
      </c>
      <c r="I12" s="312">
        <v>0</v>
      </c>
      <c r="J12" s="312">
        <v>0</v>
      </c>
      <c r="K12" s="269">
        <f>_xll.qlMidSafe($G12,$H12)</f>
        <v>0.83799999999999997</v>
      </c>
      <c r="L12" s="260"/>
      <c r="M12" s="268">
        <v>0.83600000000000008</v>
      </c>
      <c r="N12" s="260"/>
      <c r="O12" s="267" t="str">
        <f t="shared" si="1"/>
        <v>EURAB3E4Y_Quote</v>
      </c>
      <c r="P12" s="266">
        <v>0.83799999999999997</v>
      </c>
      <c r="Q12" s="265" t="e">
        <f>_xll.qlSimpleQuoteSetValue($O12,$P12/100,Trigger)</f>
        <v>#N/A</v>
      </c>
      <c r="R12" s="221"/>
      <c r="X12" s="300">
        <f t="shared" si="2"/>
        <v>5.0000000000000044E-4</v>
      </c>
    </row>
    <row r="13" spans="1:24" x14ac:dyDescent="0.2">
      <c r="A13" s="126"/>
      <c r="B13" s="271" t="s">
        <v>112</v>
      </c>
      <c r="C13" s="396" t="str">
        <v>AB</v>
      </c>
      <c r="D13" s="396" t="str">
        <v>3E</v>
      </c>
      <c r="E13" s="311" t="str">
        <f t="shared" si="0"/>
        <v>EURAB3E5Y</v>
      </c>
      <c r="F13" s="311" t="str">
        <v>EURAB3E5Y=ICAP</v>
      </c>
      <c r="G13" s="312">
        <v>1.04</v>
      </c>
      <c r="H13" s="312">
        <v>1.0900000000000001</v>
      </c>
      <c r="I13" s="312">
        <v>0</v>
      </c>
      <c r="J13" s="312">
        <v>0</v>
      </c>
      <c r="K13" s="269">
        <f>_xll.qlMidSafe($G13,$H13)</f>
        <v>1.0649999999999999</v>
      </c>
      <c r="L13" s="260"/>
      <c r="M13" s="268">
        <v>1.0630000000000002</v>
      </c>
      <c r="N13" s="260"/>
      <c r="O13" s="267" t="str">
        <f t="shared" si="1"/>
        <v>EURAB3E5Y_Quote</v>
      </c>
      <c r="P13" s="266">
        <v>1.0649999999999999</v>
      </c>
      <c r="Q13" s="265" t="e">
        <f>_xll.qlSimpleQuoteSetValue($O13,$P13/100,Trigger)</f>
        <v>#N/A</v>
      </c>
      <c r="R13" s="221"/>
      <c r="X13" s="300">
        <f t="shared" si="2"/>
        <v>5.0000000000000261E-4</v>
      </c>
    </row>
    <row r="14" spans="1:24" x14ac:dyDescent="0.2">
      <c r="A14" s="126"/>
      <c r="B14" s="271" t="s">
        <v>111</v>
      </c>
      <c r="C14" s="396" t="str">
        <v>AB</v>
      </c>
      <c r="D14" s="396" t="str">
        <v>3E</v>
      </c>
      <c r="E14" s="311" t="str">
        <f t="shared" si="0"/>
        <v>EURAB3E6Y</v>
      </c>
      <c r="F14" s="311" t="str">
        <v>EURAB3E6Y=ICAP</v>
      </c>
      <c r="G14" s="312">
        <v>1.238</v>
      </c>
      <c r="H14" s="312">
        <v>1.288</v>
      </c>
      <c r="I14" s="312">
        <v>0</v>
      </c>
      <c r="J14" s="312">
        <v>0</v>
      </c>
      <c r="K14" s="269">
        <f>_xll.qlMidSafe($G14,$H14)</f>
        <v>1.2629999999999999</v>
      </c>
      <c r="L14" s="260"/>
      <c r="M14" s="268">
        <v>1.2629999999999999</v>
      </c>
      <c r="N14" s="260"/>
      <c r="O14" s="267" t="str">
        <f t="shared" si="1"/>
        <v>EURAB3E6Y_Quote</v>
      </c>
      <c r="P14" s="266">
        <v>1.2629999999999999</v>
      </c>
      <c r="Q14" s="265" t="e">
        <f>_xll.qlSimpleQuoteSetValue($O14,$P14/100,Trigger)</f>
        <v>#N/A</v>
      </c>
      <c r="R14" s="221"/>
      <c r="X14" s="300">
        <f t="shared" si="2"/>
        <v>5.0000000000000261E-4</v>
      </c>
    </row>
    <row r="15" spans="1:24" x14ac:dyDescent="0.2">
      <c r="A15" s="126"/>
      <c r="B15" s="271" t="s">
        <v>110</v>
      </c>
      <c r="C15" s="396" t="str">
        <v>AB</v>
      </c>
      <c r="D15" s="396" t="str">
        <v>3E</v>
      </c>
      <c r="E15" s="311" t="str">
        <f t="shared" si="0"/>
        <v>EURAB3E7Y</v>
      </c>
      <c r="F15" s="311" t="str">
        <v>EURAB3E7Y=ICAP</v>
      </c>
      <c r="G15" s="312">
        <v>1.4139999999999999</v>
      </c>
      <c r="H15" s="312">
        <v>1.464</v>
      </c>
      <c r="I15" s="312">
        <v>0</v>
      </c>
      <c r="J15" s="312">
        <v>0</v>
      </c>
      <c r="K15" s="269">
        <f>_xll.qlMidSafe($G15,$H15)</f>
        <v>1.4390000000000001</v>
      </c>
      <c r="L15" s="260"/>
      <c r="M15" s="268">
        <v>1.4390000000000001</v>
      </c>
      <c r="N15" s="260"/>
      <c r="O15" s="267" t="str">
        <f t="shared" si="1"/>
        <v>EURAB3E7Y_Quote</v>
      </c>
      <c r="P15" s="266">
        <v>1.4390000000000001</v>
      </c>
      <c r="Q15" s="265" t="e">
        <f>_xll.qlSimpleQuoteSetValue($O15,$P15/100,Trigger)</f>
        <v>#N/A</v>
      </c>
      <c r="R15" s="221"/>
      <c r="X15" s="300">
        <f t="shared" si="2"/>
        <v>4.9999999999999828E-4</v>
      </c>
    </row>
    <row r="16" spans="1:24" x14ac:dyDescent="0.2">
      <c r="A16" s="126"/>
      <c r="B16" s="271" t="s">
        <v>109</v>
      </c>
      <c r="C16" s="396" t="str">
        <v>AB</v>
      </c>
      <c r="D16" s="396" t="str">
        <v>3E</v>
      </c>
      <c r="E16" s="311" t="str">
        <f t="shared" si="0"/>
        <v>EURAB3E8Y</v>
      </c>
      <c r="F16" s="311" t="str">
        <v>EURAB3E8Y=ICAP</v>
      </c>
      <c r="G16" s="312">
        <v>1.57</v>
      </c>
      <c r="H16" s="312">
        <v>1.62</v>
      </c>
      <c r="I16" s="312">
        <v>0</v>
      </c>
      <c r="J16" s="312">
        <v>0</v>
      </c>
      <c r="K16" s="269">
        <f>_xll.qlMidSafe($G16,$H16)</f>
        <v>1.5950000000000002</v>
      </c>
      <c r="L16" s="260"/>
      <c r="M16" s="268">
        <v>1.5950000000000002</v>
      </c>
      <c r="N16" s="260"/>
      <c r="O16" s="267" t="str">
        <f t="shared" si="1"/>
        <v>EURAB3E8Y_Quote</v>
      </c>
      <c r="P16" s="266">
        <v>1.5950000000000002</v>
      </c>
      <c r="Q16" s="265" t="e">
        <f>_xll.qlSimpleQuoteSetValue($O16,$P16/100,Trigger)</f>
        <v>#N/A</v>
      </c>
      <c r="R16" s="221"/>
      <c r="X16" s="300">
        <f t="shared" si="2"/>
        <v>4.9999999999999828E-4</v>
      </c>
    </row>
    <row r="17" spans="1:24" x14ac:dyDescent="0.2">
      <c r="A17" s="126"/>
      <c r="B17" s="271" t="s">
        <v>108</v>
      </c>
      <c r="C17" s="396" t="str">
        <v>AB</v>
      </c>
      <c r="D17" s="396" t="str">
        <v>3E</v>
      </c>
      <c r="E17" s="311" t="str">
        <f t="shared" si="0"/>
        <v>EURAB3E9Y</v>
      </c>
      <c r="F17" s="311" t="str">
        <v>EURAB3E9Y=ICAP</v>
      </c>
      <c r="G17" s="312">
        <v>1.7150000000000001</v>
      </c>
      <c r="H17" s="312">
        <v>1.7649999999999999</v>
      </c>
      <c r="I17" s="312">
        <v>0</v>
      </c>
      <c r="J17" s="312">
        <v>0</v>
      </c>
      <c r="K17" s="269">
        <f>_xll.qlMidSafe($G17,$H17)</f>
        <v>1.74</v>
      </c>
      <c r="L17" s="260"/>
      <c r="M17" s="268">
        <v>1.74</v>
      </c>
      <c r="N17" s="260"/>
      <c r="O17" s="267" t="str">
        <f t="shared" si="1"/>
        <v>EURAB3E9Y_Quote</v>
      </c>
      <c r="P17" s="266">
        <v>1.74</v>
      </c>
      <c r="Q17" s="265" t="e">
        <f>_xll.qlSimpleQuoteSetValue($O17,$P17/100,Trigger)</f>
        <v>#N/A</v>
      </c>
      <c r="R17" s="221"/>
      <c r="X17" s="300">
        <f t="shared" si="2"/>
        <v>4.9999999999999828E-4</v>
      </c>
    </row>
    <row r="18" spans="1:24" x14ac:dyDescent="0.2">
      <c r="A18" s="126"/>
      <c r="B18" s="271" t="s">
        <v>107</v>
      </c>
      <c r="C18" s="396" t="str">
        <v>AB</v>
      </c>
      <c r="D18" s="396" t="str">
        <v>3E</v>
      </c>
      <c r="E18" s="311" t="str">
        <f t="shared" si="0"/>
        <v>EURAB3E10Y</v>
      </c>
      <c r="F18" s="311" t="str">
        <v>EURAB3E10Y=ICAP</v>
      </c>
      <c r="G18" s="312">
        <v>1.8460000000000001</v>
      </c>
      <c r="H18" s="312">
        <v>1.8959999999999999</v>
      </c>
      <c r="I18" s="312">
        <v>0</v>
      </c>
      <c r="J18" s="312">
        <v>0</v>
      </c>
      <c r="K18" s="269">
        <f>_xll.qlMidSafe($G18,$H18)</f>
        <v>1.871</v>
      </c>
      <c r="L18" s="260"/>
      <c r="M18" s="268">
        <v>1.871</v>
      </c>
      <c r="N18" s="260"/>
      <c r="O18" s="267" t="str">
        <f t="shared" si="1"/>
        <v>EURAB3E10Y_Quote</v>
      </c>
      <c r="P18" s="266">
        <v>1.871</v>
      </c>
      <c r="Q18" s="265" t="e">
        <f>_xll.qlSimpleQuoteSetValue($O18,$P18/100,Trigger)</f>
        <v>#N/A</v>
      </c>
      <c r="R18" s="221"/>
      <c r="X18" s="300">
        <f t="shared" si="2"/>
        <v>4.9999999999999828E-4</v>
      </c>
    </row>
    <row r="19" spans="1:24" x14ac:dyDescent="0.2">
      <c r="A19" s="126"/>
      <c r="B19" s="271" t="s">
        <v>106</v>
      </c>
      <c r="C19" s="396" t="str">
        <v>AB</v>
      </c>
      <c r="D19" s="396" t="str">
        <v>3E</v>
      </c>
      <c r="E19" s="311" t="str">
        <f t="shared" si="0"/>
        <v>EURAB3E11Y</v>
      </c>
      <c r="F19" s="311" t="str">
        <v>EURAB3E11Y=ICAP</v>
      </c>
      <c r="G19" s="312">
        <v>1.9610000000000001</v>
      </c>
      <c r="H19" s="312">
        <v>2.0110000000000001</v>
      </c>
      <c r="I19" s="312">
        <v>0</v>
      </c>
      <c r="J19" s="312">
        <v>0</v>
      </c>
      <c r="K19" s="269">
        <f>_xll.qlMidSafe($G19,$H19)</f>
        <v>1.9860000000000002</v>
      </c>
      <c r="L19" s="260"/>
      <c r="M19" s="268">
        <v>1.9860000000000002</v>
      </c>
      <c r="N19" s="260"/>
      <c r="O19" s="267" t="str">
        <f t="shared" si="1"/>
        <v>EURAB3E11Y_Quote</v>
      </c>
      <c r="P19" s="266">
        <v>1.9860000000000002</v>
      </c>
      <c r="Q19" s="265" t="e">
        <f>_xll.qlSimpleQuoteSetValue($O19,$P19/100,Trigger)</f>
        <v>#N/A</v>
      </c>
      <c r="R19" s="221"/>
      <c r="X19" s="300">
        <f t="shared" si="2"/>
        <v>4.9999999999999828E-4</v>
      </c>
    </row>
    <row r="20" spans="1:24" x14ac:dyDescent="0.2">
      <c r="A20" s="126"/>
      <c r="B20" s="271" t="s">
        <v>105</v>
      </c>
      <c r="C20" s="396" t="str">
        <v>AB</v>
      </c>
      <c r="D20" s="396" t="str">
        <v>3E</v>
      </c>
      <c r="E20" s="311" t="str">
        <f t="shared" si="0"/>
        <v>EURAB3E12Y</v>
      </c>
      <c r="F20" s="311" t="str">
        <v>EURAB3E12Y=ICAP</v>
      </c>
      <c r="G20" s="312">
        <v>2.0590000000000002</v>
      </c>
      <c r="H20" s="312">
        <v>2.109</v>
      </c>
      <c r="I20" s="312">
        <v>0</v>
      </c>
      <c r="J20" s="312">
        <v>0</v>
      </c>
      <c r="K20" s="269">
        <f>_xll.qlMidSafe($G20,$H20)</f>
        <v>2.0840000000000001</v>
      </c>
      <c r="L20" s="260"/>
      <c r="M20" s="268">
        <v>2.0840000000000001</v>
      </c>
      <c r="N20" s="260"/>
      <c r="O20" s="267" t="str">
        <f t="shared" si="1"/>
        <v>EURAB3E12Y_Quote</v>
      </c>
      <c r="P20" s="266">
        <v>2.0840000000000001</v>
      </c>
      <c r="Q20" s="265" t="e">
        <f>_xll.qlSimpleQuoteSetValue($O20,$P20/100,Trigger)</f>
        <v>#N/A</v>
      </c>
      <c r="R20" s="221"/>
      <c r="X20" s="300">
        <f t="shared" si="2"/>
        <v>4.9999999999999828E-4</v>
      </c>
    </row>
    <row r="21" spans="1:24" x14ac:dyDescent="0.2">
      <c r="A21" s="126"/>
      <c r="B21" s="271" t="s">
        <v>104</v>
      </c>
      <c r="C21" s="396" t="str">
        <v>AB</v>
      </c>
      <c r="D21" s="396" t="str">
        <v>3E</v>
      </c>
      <c r="E21" s="311" t="str">
        <f t="shared" si="0"/>
        <v>EURAB3E13Y</v>
      </c>
      <c r="F21" s="311" t="str">
        <v>EURAB3E13Y=ICAP</v>
      </c>
      <c r="G21" s="312" t="s">
        <v>260</v>
      </c>
      <c r="H21" s="312" t="s">
        <v>260</v>
      </c>
      <c r="I21" s="312" t="s">
        <v>260</v>
      </c>
      <c r="J21" s="312" t="s">
        <v>260</v>
      </c>
      <c r="K21" s="269" t="e">
        <f>_xll.qlMidSafe($G21,$H21)</f>
        <v>#NUM!</v>
      </c>
      <c r="L21" s="260"/>
      <c r="M21" s="268" t="e">
        <v>#NUM!</v>
      </c>
      <c r="N21" s="260"/>
      <c r="O21" s="267" t="str">
        <f t="shared" si="1"/>
        <v>EURAB3E13Y_Quote</v>
      </c>
      <c r="P21" s="266" t="e">
        <v>#NUM!</v>
      </c>
      <c r="Q21" s="265" t="e">
        <f>_xll.qlSimpleQuoteSetValue($O21,$P21/100,Trigger)</f>
        <v>#NUM!</v>
      </c>
      <c r="R21" s="221"/>
      <c r="X21" s="300" t="e">
        <f t="shared" si="2"/>
        <v>#VALUE!</v>
      </c>
    </row>
    <row r="22" spans="1:24" x14ac:dyDescent="0.2">
      <c r="A22" s="126"/>
      <c r="B22" s="271" t="s">
        <v>103</v>
      </c>
      <c r="C22" s="396" t="str">
        <v>AB</v>
      </c>
      <c r="D22" s="396" t="str">
        <v>3E</v>
      </c>
      <c r="E22" s="311" t="str">
        <f t="shared" si="0"/>
        <v>EURAB3E14Y</v>
      </c>
      <c r="F22" s="311" t="str">
        <v>EURAB3E14Y=ICAP</v>
      </c>
      <c r="G22" s="312" t="s">
        <v>260</v>
      </c>
      <c r="H22" s="312" t="s">
        <v>260</v>
      </c>
      <c r="I22" s="312" t="s">
        <v>260</v>
      </c>
      <c r="J22" s="312" t="s">
        <v>260</v>
      </c>
      <c r="K22" s="269" t="e">
        <f>_xll.qlMidSafe($G22,$H22)</f>
        <v>#NUM!</v>
      </c>
      <c r="L22" s="260"/>
      <c r="M22" s="268" t="e">
        <v>#NUM!</v>
      </c>
      <c r="N22" s="260"/>
      <c r="O22" s="267" t="str">
        <f t="shared" si="1"/>
        <v>EURAB3E14Y_Quote</v>
      </c>
      <c r="P22" s="266" t="e">
        <v>#NUM!</v>
      </c>
      <c r="Q22" s="265" t="e">
        <f>_xll.qlSimpleQuoteSetValue($O22,$P22/100,Trigger)</f>
        <v>#NUM!</v>
      </c>
      <c r="R22" s="221"/>
      <c r="X22" s="300" t="e">
        <f t="shared" si="2"/>
        <v>#VALUE!</v>
      </c>
    </row>
    <row r="23" spans="1:24" x14ac:dyDescent="0.2">
      <c r="A23" s="126"/>
      <c r="B23" s="271" t="s">
        <v>102</v>
      </c>
      <c r="C23" s="396" t="str">
        <v>AB</v>
      </c>
      <c r="D23" s="396" t="str">
        <v>3E</v>
      </c>
      <c r="E23" s="311" t="str">
        <f t="shared" si="0"/>
        <v>EURAB3E15Y</v>
      </c>
      <c r="F23" s="311" t="str">
        <v>EURAB3E15Y=ICAP</v>
      </c>
      <c r="G23" s="312">
        <v>2.2639999999999998</v>
      </c>
      <c r="H23" s="312">
        <v>2.3140000000000001</v>
      </c>
      <c r="I23" s="312">
        <v>0</v>
      </c>
      <c r="J23" s="312">
        <v>0</v>
      </c>
      <c r="K23" s="269">
        <f>_xll.qlMidSafe($G23,$H23)</f>
        <v>2.2889999999999997</v>
      </c>
      <c r="L23" s="260"/>
      <c r="M23" s="268">
        <v>2.2889999999999997</v>
      </c>
      <c r="N23" s="260"/>
      <c r="O23" s="267" t="str">
        <f t="shared" si="1"/>
        <v>EURAB3E15Y_Quote</v>
      </c>
      <c r="P23" s="266">
        <v>2.2889999999999997</v>
      </c>
      <c r="Q23" s="265" t="e">
        <f>_xll.qlSimpleQuoteSetValue($O23,$P23/100,Trigger)</f>
        <v>#N/A</v>
      </c>
      <c r="R23" s="221"/>
      <c r="X23" s="300">
        <f t="shared" si="2"/>
        <v>5.0000000000000706E-4</v>
      </c>
    </row>
    <row r="24" spans="1:24" x14ac:dyDescent="0.2">
      <c r="A24" s="126"/>
      <c r="B24" s="271" t="s">
        <v>101</v>
      </c>
      <c r="C24" s="396" t="str">
        <v>AB</v>
      </c>
      <c r="D24" s="396" t="str">
        <v>3E</v>
      </c>
      <c r="E24" s="311" t="str">
        <f t="shared" si="0"/>
        <v>EURAB3E16Y</v>
      </c>
      <c r="F24" s="311" t="str">
        <v>EURAB3E16Y=ICAP</v>
      </c>
      <c r="G24" s="312" t="s">
        <v>260</v>
      </c>
      <c r="H24" s="312" t="s">
        <v>260</v>
      </c>
      <c r="I24" s="312" t="s">
        <v>260</v>
      </c>
      <c r="J24" s="312" t="s">
        <v>260</v>
      </c>
      <c r="K24" s="269" t="e">
        <f>_xll.qlMidSafe($G24,$H24)</f>
        <v>#NUM!</v>
      </c>
      <c r="L24" s="260"/>
      <c r="M24" s="268" t="e">
        <v>#NUM!</v>
      </c>
      <c r="N24" s="260"/>
      <c r="O24" s="267" t="str">
        <f t="shared" si="1"/>
        <v>EURAB3E16Y_Quote</v>
      </c>
      <c r="P24" s="266" t="e">
        <v>#NUM!</v>
      </c>
      <c r="Q24" s="265" t="e">
        <f>_xll.qlSimpleQuoteSetValue($O24,$P24/100,Trigger)</f>
        <v>#NUM!</v>
      </c>
      <c r="R24" s="221"/>
      <c r="X24" s="300" t="e">
        <f t="shared" si="2"/>
        <v>#VALUE!</v>
      </c>
    </row>
    <row r="25" spans="1:24" x14ac:dyDescent="0.2">
      <c r="A25" s="126"/>
      <c r="B25" s="271" t="s">
        <v>100</v>
      </c>
      <c r="C25" s="396" t="str">
        <v>AB</v>
      </c>
      <c r="D25" s="396" t="str">
        <v>3E</v>
      </c>
      <c r="E25" s="311" t="str">
        <f t="shared" si="0"/>
        <v>EURAB3E17Y</v>
      </c>
      <c r="F25" s="311" t="str">
        <v>EURAB3E17Y=ICAP</v>
      </c>
      <c r="G25" s="312" t="s">
        <v>260</v>
      </c>
      <c r="H25" s="312" t="s">
        <v>260</v>
      </c>
      <c r="I25" s="312" t="s">
        <v>260</v>
      </c>
      <c r="J25" s="312" t="s">
        <v>260</v>
      </c>
      <c r="K25" s="269" t="e">
        <f>_xll.qlMidSafe($G25,$H25)</f>
        <v>#NUM!</v>
      </c>
      <c r="L25" s="260"/>
      <c r="M25" s="268" t="e">
        <v>#NUM!</v>
      </c>
      <c r="N25" s="260"/>
      <c r="O25" s="267" t="str">
        <f t="shared" si="1"/>
        <v>EURAB3E17Y_Quote</v>
      </c>
      <c r="P25" s="266" t="e">
        <v>#NUM!</v>
      </c>
      <c r="Q25" s="265" t="e">
        <f>_xll.qlSimpleQuoteSetValue($O25,$P25/100,Trigger)</f>
        <v>#NUM!</v>
      </c>
      <c r="R25" s="221"/>
      <c r="X25" s="300" t="e">
        <f t="shared" si="2"/>
        <v>#VALUE!</v>
      </c>
    </row>
    <row r="26" spans="1:24" x14ac:dyDescent="0.2">
      <c r="A26" s="126"/>
      <c r="B26" s="271" t="s">
        <v>99</v>
      </c>
      <c r="C26" s="396" t="str">
        <v>AB</v>
      </c>
      <c r="D26" s="396" t="str">
        <v>3E</v>
      </c>
      <c r="E26" s="311" t="str">
        <f t="shared" si="0"/>
        <v>EURAB3E18Y</v>
      </c>
      <c r="F26" s="311" t="str">
        <v>EURAB3E18Y=ICAP</v>
      </c>
      <c r="G26" s="312" t="s">
        <v>260</v>
      </c>
      <c r="H26" s="312" t="s">
        <v>260</v>
      </c>
      <c r="I26" s="312" t="s">
        <v>260</v>
      </c>
      <c r="J26" s="312" t="s">
        <v>260</v>
      </c>
      <c r="K26" s="269" t="e">
        <f>_xll.qlMidSafe($G26,$H26)</f>
        <v>#NUM!</v>
      </c>
      <c r="L26" s="260"/>
      <c r="M26" s="268" t="e">
        <v>#NUM!</v>
      </c>
      <c r="N26" s="260"/>
      <c r="O26" s="267" t="str">
        <f t="shared" si="1"/>
        <v>EURAB3E18Y_Quote</v>
      </c>
      <c r="P26" s="266" t="e">
        <v>#NUM!</v>
      </c>
      <c r="Q26" s="265" t="e">
        <f>_xll.qlSimpleQuoteSetValue($O26,$P26/100,Trigger)</f>
        <v>#NUM!</v>
      </c>
      <c r="R26" s="221"/>
      <c r="X26" s="300" t="e">
        <f t="shared" si="2"/>
        <v>#VALUE!</v>
      </c>
    </row>
    <row r="27" spans="1:24" x14ac:dyDescent="0.2">
      <c r="A27" s="126"/>
      <c r="B27" s="271" t="s">
        <v>98</v>
      </c>
      <c r="C27" s="396" t="str">
        <v>AB</v>
      </c>
      <c r="D27" s="396" t="str">
        <v>3E</v>
      </c>
      <c r="E27" s="311" t="str">
        <f t="shared" si="0"/>
        <v>EURAB3E19Y</v>
      </c>
      <c r="F27" s="311" t="str">
        <v>EURAB3E19Y=ICAP</v>
      </c>
      <c r="G27" s="312" t="s">
        <v>260</v>
      </c>
      <c r="H27" s="312" t="s">
        <v>260</v>
      </c>
      <c r="I27" s="312" t="s">
        <v>260</v>
      </c>
      <c r="J27" s="312" t="s">
        <v>260</v>
      </c>
      <c r="K27" s="269" t="e">
        <f>_xll.qlMidSafe($G27,$H27)</f>
        <v>#NUM!</v>
      </c>
      <c r="L27" s="260"/>
      <c r="M27" s="268" t="e">
        <v>#NUM!</v>
      </c>
      <c r="N27" s="260"/>
      <c r="O27" s="267" t="str">
        <f t="shared" si="1"/>
        <v>EURAB3E19Y_Quote</v>
      </c>
      <c r="P27" s="266" t="e">
        <v>#NUM!</v>
      </c>
      <c r="Q27" s="265" t="e">
        <f>_xll.qlSimpleQuoteSetValue($O27,$P27/100,Trigger)</f>
        <v>#NUM!</v>
      </c>
      <c r="R27" s="221"/>
      <c r="X27" s="300" t="e">
        <f t="shared" si="2"/>
        <v>#VALUE!</v>
      </c>
    </row>
    <row r="28" spans="1:24" x14ac:dyDescent="0.2">
      <c r="A28" s="126"/>
      <c r="B28" s="271" t="s">
        <v>97</v>
      </c>
      <c r="C28" s="396" t="str">
        <v>AB</v>
      </c>
      <c r="D28" s="396" t="str">
        <v>3E</v>
      </c>
      <c r="E28" s="311" t="str">
        <f t="shared" si="0"/>
        <v>EURAB3E20Y</v>
      </c>
      <c r="F28" s="311" t="str">
        <v>EURAB3E20Y=ICAP</v>
      </c>
      <c r="G28" s="312">
        <v>2.387</v>
      </c>
      <c r="H28" s="312">
        <v>2.4369999999999998</v>
      </c>
      <c r="I28" s="312">
        <v>0</v>
      </c>
      <c r="J28" s="312">
        <v>0</v>
      </c>
      <c r="K28" s="269">
        <f>_xll.qlMidSafe($G28,$H28)</f>
        <v>2.4119999999999999</v>
      </c>
      <c r="L28" s="260"/>
      <c r="M28" s="268">
        <v>2.4119999999999999</v>
      </c>
      <c r="N28" s="260"/>
      <c r="O28" s="267" t="str">
        <f t="shared" si="1"/>
        <v>EURAB3E20Y_Quote</v>
      </c>
      <c r="P28" s="266">
        <v>2.4119999999999999</v>
      </c>
      <c r="Q28" s="265" t="e">
        <f>_xll.qlSimpleQuoteSetValue($O28,$P28/100,Trigger)</f>
        <v>#N/A</v>
      </c>
      <c r="R28" s="221"/>
      <c r="X28" s="300">
        <f t="shared" si="2"/>
        <v>4.9999999999999828E-4</v>
      </c>
    </row>
    <row r="29" spans="1:24" x14ac:dyDescent="0.2">
      <c r="A29" s="126"/>
      <c r="B29" s="271" t="s">
        <v>96</v>
      </c>
      <c r="C29" s="397" t="str">
        <v>AB</v>
      </c>
      <c r="D29" s="397" t="str">
        <v>3E</v>
      </c>
      <c r="E29" s="311" t="str">
        <f t="shared" si="0"/>
        <v>EURAB3E21Y</v>
      </c>
      <c r="F29" s="311" t="str">
        <v>EURAB3E21Y=ICAP</v>
      </c>
      <c r="G29" s="312" t="s">
        <v>260</v>
      </c>
      <c r="H29" s="312" t="s">
        <v>260</v>
      </c>
      <c r="I29" s="312" t="s">
        <v>260</v>
      </c>
      <c r="J29" s="312" t="s">
        <v>260</v>
      </c>
      <c r="K29" s="269" t="e">
        <f>_xll.qlMidSafe($G29,$H29)</f>
        <v>#NUM!</v>
      </c>
      <c r="L29" s="260"/>
      <c r="M29" s="268" t="e">
        <v>#NUM!</v>
      </c>
      <c r="N29" s="260"/>
      <c r="O29" s="267" t="str">
        <f t="shared" si="1"/>
        <v>EURAB3E21Y_Quote</v>
      </c>
      <c r="P29" s="266" t="e">
        <v>#NUM!</v>
      </c>
      <c r="Q29" s="265" t="e">
        <f>_xll.qlSimpleQuoteSetValue($O29,$P29/100,Trigger)</f>
        <v>#NUM!</v>
      </c>
      <c r="R29" s="221"/>
      <c r="X29" s="300" t="e">
        <f t="shared" si="2"/>
        <v>#VALUE!</v>
      </c>
    </row>
    <row r="30" spans="1:24" x14ac:dyDescent="0.2">
      <c r="A30" s="126"/>
      <c r="B30" s="271" t="s">
        <v>95</v>
      </c>
      <c r="C30" s="396" t="str">
        <v>AB</v>
      </c>
      <c r="D30" s="396" t="str">
        <v>3E</v>
      </c>
      <c r="E30" s="311" t="str">
        <f t="shared" si="0"/>
        <v>EURAB3E22Y</v>
      </c>
      <c r="F30" s="311" t="str">
        <v>EURAB3E22Y=ICAP</v>
      </c>
      <c r="G30" s="312" t="s">
        <v>260</v>
      </c>
      <c r="H30" s="312" t="s">
        <v>260</v>
      </c>
      <c r="I30" s="312" t="s">
        <v>260</v>
      </c>
      <c r="J30" s="312" t="s">
        <v>260</v>
      </c>
      <c r="K30" s="269" t="e">
        <f>_xll.qlMidSafe($G30,$H30)</f>
        <v>#NUM!</v>
      </c>
      <c r="L30" s="260"/>
      <c r="M30" s="268" t="e">
        <v>#NUM!</v>
      </c>
      <c r="N30" s="260"/>
      <c r="O30" s="267" t="str">
        <f t="shared" si="1"/>
        <v>EURAB3E22Y_Quote</v>
      </c>
      <c r="P30" s="266" t="e">
        <v>#NUM!</v>
      </c>
      <c r="Q30" s="265" t="e">
        <f>_xll.qlSimpleQuoteSetValue($O30,$P30/100,Trigger)</f>
        <v>#NUM!</v>
      </c>
      <c r="R30" s="221"/>
      <c r="X30" s="300" t="e">
        <f t="shared" si="2"/>
        <v>#VALUE!</v>
      </c>
    </row>
    <row r="31" spans="1:24" x14ac:dyDescent="0.2">
      <c r="A31" s="126"/>
      <c r="B31" s="271" t="s">
        <v>94</v>
      </c>
      <c r="C31" s="396" t="str">
        <v>AB</v>
      </c>
      <c r="D31" s="396" t="str">
        <v>3E</v>
      </c>
      <c r="E31" s="311" t="str">
        <f t="shared" si="0"/>
        <v>EURAB3E23Y</v>
      </c>
      <c r="F31" s="311" t="str">
        <v>EURAB3E23Y=ICAP</v>
      </c>
      <c r="G31" s="312" t="s">
        <v>260</v>
      </c>
      <c r="H31" s="312" t="s">
        <v>260</v>
      </c>
      <c r="I31" s="312" t="s">
        <v>260</v>
      </c>
      <c r="J31" s="312" t="s">
        <v>260</v>
      </c>
      <c r="K31" s="269" t="e">
        <f>_xll.qlMidSafe($G31,$H31)</f>
        <v>#NUM!</v>
      </c>
      <c r="L31" s="260"/>
      <c r="M31" s="268" t="e">
        <v>#NUM!</v>
      </c>
      <c r="N31" s="260"/>
      <c r="O31" s="267" t="str">
        <f t="shared" si="1"/>
        <v>EURAB3E23Y_Quote</v>
      </c>
      <c r="P31" s="266" t="e">
        <v>#NUM!</v>
      </c>
      <c r="Q31" s="265" t="e">
        <f>_xll.qlSimpleQuoteSetValue($O31,$P31/100,Trigger)</f>
        <v>#NUM!</v>
      </c>
      <c r="R31" s="221"/>
      <c r="X31" s="300" t="e">
        <f t="shared" si="2"/>
        <v>#VALUE!</v>
      </c>
    </row>
    <row r="32" spans="1:24" x14ac:dyDescent="0.2">
      <c r="A32" s="126"/>
      <c r="B32" s="271" t="s">
        <v>93</v>
      </c>
      <c r="C32" s="396" t="str">
        <v>AB</v>
      </c>
      <c r="D32" s="396" t="str">
        <v>3E</v>
      </c>
      <c r="E32" s="311" t="str">
        <f t="shared" si="0"/>
        <v>EURAB3E24Y</v>
      </c>
      <c r="F32" s="311" t="str">
        <v>EURAB3E24Y=ICAP</v>
      </c>
      <c r="G32" s="312" t="s">
        <v>260</v>
      </c>
      <c r="H32" s="312" t="s">
        <v>260</v>
      </c>
      <c r="I32" s="312" t="s">
        <v>260</v>
      </c>
      <c r="J32" s="312" t="s">
        <v>260</v>
      </c>
      <c r="K32" s="269" t="e">
        <f>_xll.qlMidSafe($G32,$H32)</f>
        <v>#NUM!</v>
      </c>
      <c r="L32" s="260"/>
      <c r="M32" s="268" t="e">
        <v>#NUM!</v>
      </c>
      <c r="N32" s="260"/>
      <c r="O32" s="267" t="str">
        <f t="shared" si="1"/>
        <v>EURAB3E24Y_Quote</v>
      </c>
      <c r="P32" s="266" t="e">
        <v>#NUM!</v>
      </c>
      <c r="Q32" s="265" t="e">
        <f>_xll.qlSimpleQuoteSetValue($O32,$P32/100,Trigger)</f>
        <v>#NUM!</v>
      </c>
      <c r="R32" s="221"/>
      <c r="X32" s="300" t="e">
        <f t="shared" si="2"/>
        <v>#VALUE!</v>
      </c>
    </row>
    <row r="33" spans="1:24" x14ac:dyDescent="0.2">
      <c r="A33" s="126"/>
      <c r="B33" s="271" t="s">
        <v>92</v>
      </c>
      <c r="C33" s="396" t="str">
        <v>AB</v>
      </c>
      <c r="D33" s="396" t="str">
        <v>3E</v>
      </c>
      <c r="E33" s="311" t="str">
        <f t="shared" si="0"/>
        <v>EURAB3E25Y</v>
      </c>
      <c r="F33" s="311" t="str">
        <v>EURAB3E25Y=ICAP</v>
      </c>
      <c r="G33" s="312">
        <v>2.4089999999999998</v>
      </c>
      <c r="H33" s="312">
        <v>2.4590000000000001</v>
      </c>
      <c r="I33" s="312">
        <v>0</v>
      </c>
      <c r="J33" s="312">
        <v>0</v>
      </c>
      <c r="K33" s="269">
        <f>_xll.qlMidSafe($G33,$H33)</f>
        <v>2.4340000000000002</v>
      </c>
      <c r="L33" s="260"/>
      <c r="M33" s="268">
        <v>2.4340000000000002</v>
      </c>
      <c r="N33" s="260"/>
      <c r="O33" s="267" t="str">
        <f t="shared" si="1"/>
        <v>EURAB3E25Y_Quote</v>
      </c>
      <c r="P33" s="266">
        <v>2.4340000000000002</v>
      </c>
      <c r="Q33" s="265" t="e">
        <f>_xll.qlSimpleQuoteSetValue($O33,$P33/100,Trigger)</f>
        <v>#N/A</v>
      </c>
      <c r="R33" s="221"/>
      <c r="X33" s="300">
        <f t="shared" si="2"/>
        <v>4.9999999999999828E-4</v>
      </c>
    </row>
    <row r="34" spans="1:24" x14ac:dyDescent="0.2">
      <c r="A34" s="126"/>
      <c r="B34" s="271" t="s">
        <v>91</v>
      </c>
      <c r="C34" s="396" t="str">
        <v>AB</v>
      </c>
      <c r="D34" s="396" t="str">
        <v>3E</v>
      </c>
      <c r="E34" s="311" t="str">
        <f t="shared" si="0"/>
        <v>EURAB3E26Y</v>
      </c>
      <c r="F34" s="311" t="str">
        <v>EURAB3E26Y=ICAP</v>
      </c>
      <c r="G34" s="312" t="s">
        <v>260</v>
      </c>
      <c r="H34" s="312" t="s">
        <v>260</v>
      </c>
      <c r="I34" s="312" t="s">
        <v>260</v>
      </c>
      <c r="J34" s="312" t="s">
        <v>260</v>
      </c>
      <c r="K34" s="269" t="e">
        <f>_xll.qlMidSafe($G34,$H34)</f>
        <v>#NUM!</v>
      </c>
      <c r="L34" s="260"/>
      <c r="M34" s="268" t="e">
        <v>#NUM!</v>
      </c>
      <c r="N34" s="260"/>
      <c r="O34" s="267" t="str">
        <f t="shared" si="1"/>
        <v>EURAB3E26Y_Quote</v>
      </c>
      <c r="P34" s="266" t="e">
        <v>#NUM!</v>
      </c>
      <c r="Q34" s="265" t="e">
        <f>_xll.qlSimpleQuoteSetValue($O34,$P34/100,Trigger)</f>
        <v>#NUM!</v>
      </c>
      <c r="R34" s="221"/>
      <c r="X34" s="300" t="e">
        <f t="shared" si="2"/>
        <v>#VALUE!</v>
      </c>
    </row>
    <row r="35" spans="1:24" x14ac:dyDescent="0.2">
      <c r="A35" s="126"/>
      <c r="B35" s="271" t="s">
        <v>90</v>
      </c>
      <c r="C35" s="396" t="str">
        <v>AB</v>
      </c>
      <c r="D35" s="396" t="str">
        <v>3E</v>
      </c>
      <c r="E35" s="311" t="str">
        <f t="shared" si="0"/>
        <v>EURAB3E27Y</v>
      </c>
      <c r="F35" s="311" t="str">
        <v>EURAB3E27Y=ICAP</v>
      </c>
      <c r="G35" s="312" t="s">
        <v>260</v>
      </c>
      <c r="H35" s="312" t="s">
        <v>260</v>
      </c>
      <c r="I35" s="312" t="s">
        <v>260</v>
      </c>
      <c r="J35" s="312" t="s">
        <v>260</v>
      </c>
      <c r="K35" s="269" t="e">
        <f>_xll.qlMidSafe($G35,$H35)</f>
        <v>#NUM!</v>
      </c>
      <c r="L35" s="260"/>
      <c r="M35" s="268" t="e">
        <v>#NUM!</v>
      </c>
      <c r="N35" s="260"/>
      <c r="O35" s="267" t="str">
        <f t="shared" si="1"/>
        <v>EURAB3E27Y_Quote</v>
      </c>
      <c r="P35" s="266" t="e">
        <v>#NUM!</v>
      </c>
      <c r="Q35" s="265" t="e">
        <f>_xll.qlSimpleQuoteSetValue($O35,$P35/100,Trigger)</f>
        <v>#NUM!</v>
      </c>
      <c r="R35" s="221"/>
      <c r="X35" s="300" t="e">
        <f t="shared" si="2"/>
        <v>#VALUE!</v>
      </c>
    </row>
    <row r="36" spans="1:24" x14ac:dyDescent="0.2">
      <c r="A36" s="126"/>
      <c r="B36" s="271" t="s">
        <v>89</v>
      </c>
      <c r="C36" s="396" t="str">
        <v>AB</v>
      </c>
      <c r="D36" s="396" t="str">
        <v>3E</v>
      </c>
      <c r="E36" s="311" t="str">
        <f t="shared" si="0"/>
        <v>EURAB3E28Y</v>
      </c>
      <c r="F36" s="311" t="str">
        <v>EURAB3E28Y=ICAP</v>
      </c>
      <c r="G36" s="312" t="s">
        <v>260</v>
      </c>
      <c r="H36" s="312" t="s">
        <v>260</v>
      </c>
      <c r="I36" s="312" t="s">
        <v>260</v>
      </c>
      <c r="J36" s="312" t="s">
        <v>260</v>
      </c>
      <c r="K36" s="269" t="e">
        <f>_xll.qlMidSafe($G36,$H36)</f>
        <v>#NUM!</v>
      </c>
      <c r="L36" s="260"/>
      <c r="M36" s="268" t="e">
        <v>#NUM!</v>
      </c>
      <c r="N36" s="260"/>
      <c r="O36" s="267" t="str">
        <f t="shared" si="1"/>
        <v>EURAB3E28Y_Quote</v>
      </c>
      <c r="P36" s="266" t="e">
        <v>#NUM!</v>
      </c>
      <c r="Q36" s="265" t="e">
        <f>_xll.qlSimpleQuoteSetValue($O36,$P36/100,Trigger)</f>
        <v>#NUM!</v>
      </c>
      <c r="R36" s="221"/>
      <c r="X36" s="300" t="e">
        <f t="shared" si="2"/>
        <v>#VALUE!</v>
      </c>
    </row>
    <row r="37" spans="1:24" x14ac:dyDescent="0.2">
      <c r="A37" s="126"/>
      <c r="B37" s="271" t="s">
        <v>88</v>
      </c>
      <c r="C37" s="396" t="str">
        <v>AB</v>
      </c>
      <c r="D37" s="396" t="str">
        <v>3E</v>
      </c>
      <c r="E37" s="311" t="str">
        <f t="shared" si="0"/>
        <v>EURAB3E29Y</v>
      </c>
      <c r="F37" s="311" t="str">
        <v>EURAB3E29Y=ICAP</v>
      </c>
      <c r="G37" s="312" t="s">
        <v>260</v>
      </c>
      <c r="H37" s="312" t="s">
        <v>260</v>
      </c>
      <c r="I37" s="312" t="s">
        <v>260</v>
      </c>
      <c r="J37" s="312" t="s">
        <v>260</v>
      </c>
      <c r="K37" s="269" t="e">
        <f>_xll.qlMidSafe($G37,$H37)</f>
        <v>#NUM!</v>
      </c>
      <c r="L37" s="260"/>
      <c r="M37" s="268" t="e">
        <v>#NUM!</v>
      </c>
      <c r="N37" s="260"/>
      <c r="O37" s="267" t="str">
        <f t="shared" si="1"/>
        <v>EURAB3E29Y_Quote</v>
      </c>
      <c r="P37" s="266" t="e">
        <v>#NUM!</v>
      </c>
      <c r="Q37" s="265" t="e">
        <f>_xll.qlSimpleQuoteSetValue($O37,$P37/100,Trigger)</f>
        <v>#NUM!</v>
      </c>
      <c r="R37" s="221"/>
      <c r="X37" s="300" t="e">
        <f t="shared" si="2"/>
        <v>#VALUE!</v>
      </c>
    </row>
    <row r="38" spans="1:24" x14ac:dyDescent="0.2">
      <c r="A38" s="126"/>
      <c r="B38" s="271" t="s">
        <v>87</v>
      </c>
      <c r="C38" s="396" t="str">
        <v>AB</v>
      </c>
      <c r="D38" s="396" t="str">
        <v>3E</v>
      </c>
      <c r="E38" s="311" t="str">
        <f t="shared" si="0"/>
        <v>EURAB3E30Y</v>
      </c>
      <c r="F38" s="311" t="str">
        <v>EURAB3E30Y=ICAP</v>
      </c>
      <c r="G38" s="312">
        <v>2.4060000000000001</v>
      </c>
      <c r="H38" s="312">
        <v>2.456</v>
      </c>
      <c r="I38" s="312">
        <v>0</v>
      </c>
      <c r="J38" s="312">
        <v>0</v>
      </c>
      <c r="K38" s="269">
        <f>_xll.qlMidSafe($G38,$H38)</f>
        <v>2.431</v>
      </c>
      <c r="L38" s="260"/>
      <c r="M38" s="268">
        <v>2.431</v>
      </c>
      <c r="N38" s="260"/>
      <c r="O38" s="267" t="str">
        <f t="shared" si="1"/>
        <v>EURAB3E30Y_Quote</v>
      </c>
      <c r="P38" s="266">
        <v>2.431</v>
      </c>
      <c r="Q38" s="265" t="e">
        <f>_xll.qlSimpleQuoteSetValue($O38,$P38/100,Trigger)</f>
        <v>#N/A</v>
      </c>
      <c r="R38" s="221"/>
      <c r="X38" s="300">
        <f t="shared" si="2"/>
        <v>4.9999999999999828E-4</v>
      </c>
    </row>
    <row r="39" spans="1:24" x14ac:dyDescent="0.2">
      <c r="A39" s="126"/>
      <c r="B39" s="271" t="s">
        <v>82</v>
      </c>
      <c r="C39" s="396" t="str">
        <v>AB</v>
      </c>
      <c r="D39" s="396" t="str">
        <v>3E</v>
      </c>
      <c r="E39" s="311" t="str">
        <f t="shared" si="0"/>
        <v>EURAB3E35Y</v>
      </c>
      <c r="F39" s="311" t="str">
        <v>EURAB3E35Y=ICAP</v>
      </c>
      <c r="G39" s="312" t="s">
        <v>260</v>
      </c>
      <c r="H39" s="312" t="s">
        <v>260</v>
      </c>
      <c r="I39" s="312" t="s">
        <v>260</v>
      </c>
      <c r="J39" s="312" t="s">
        <v>260</v>
      </c>
      <c r="K39" s="269" t="e">
        <f>_xll.qlMidSafe($G39,$H39)</f>
        <v>#NUM!</v>
      </c>
      <c r="L39" s="260"/>
      <c r="M39" s="268" t="e">
        <v>#NUM!</v>
      </c>
      <c r="N39" s="260"/>
      <c r="O39" s="267" t="str">
        <f t="shared" si="1"/>
        <v>EURAB3E35Y_Quote</v>
      </c>
      <c r="P39" s="266" t="e">
        <v>#NUM!</v>
      </c>
      <c r="Q39" s="265" t="e">
        <f>_xll.qlSimpleQuoteSetValue($O39,$P39/100,Trigger)</f>
        <v>#NUM!</v>
      </c>
      <c r="R39" s="221"/>
      <c r="X39" s="300" t="e">
        <f t="shared" si="2"/>
        <v>#VALUE!</v>
      </c>
    </row>
    <row r="40" spans="1:24" x14ac:dyDescent="0.2">
      <c r="A40" s="126"/>
      <c r="B40" s="271" t="s">
        <v>77</v>
      </c>
      <c r="C40" s="396" t="str">
        <v>AB</v>
      </c>
      <c r="D40" s="396" t="str">
        <v>3E</v>
      </c>
      <c r="E40" s="311" t="str">
        <f t="shared" si="0"/>
        <v>EURAB3E40Y</v>
      </c>
      <c r="F40" s="311" t="str">
        <v>EURAB3E40Y=ICAP</v>
      </c>
      <c r="G40" s="312">
        <v>2.456</v>
      </c>
      <c r="H40" s="312">
        <v>2.5059999999999998</v>
      </c>
      <c r="I40" s="312">
        <v>0</v>
      </c>
      <c r="J40" s="312">
        <v>0</v>
      </c>
      <c r="K40" s="269">
        <f>_xll.qlMidSafe($G40,$H40)</f>
        <v>2.4809999999999999</v>
      </c>
      <c r="L40" s="260"/>
      <c r="M40" s="268">
        <v>2.4809999999999999</v>
      </c>
      <c r="N40" s="260"/>
      <c r="O40" s="267" t="str">
        <f t="shared" si="1"/>
        <v>EURAB3E40Y_Quote</v>
      </c>
      <c r="P40" s="266">
        <v>2.4809999999999999</v>
      </c>
      <c r="Q40" s="265" t="e">
        <f>_xll.qlSimpleQuoteSetValue($O40,$P40/100,Trigger)</f>
        <v>#N/A</v>
      </c>
      <c r="R40" s="221"/>
      <c r="X40" s="300">
        <f t="shared" si="2"/>
        <v>4.9999999999999828E-4</v>
      </c>
    </row>
    <row r="41" spans="1:24" x14ac:dyDescent="0.2">
      <c r="A41" s="126"/>
      <c r="B41" s="271" t="s">
        <v>67</v>
      </c>
      <c r="C41" s="396" t="str">
        <v>AB</v>
      </c>
      <c r="D41" s="396" t="str">
        <v>3E</v>
      </c>
      <c r="E41" s="311" t="str">
        <f t="shared" si="0"/>
        <v>EURAB3E50Y</v>
      </c>
      <c r="F41" s="311" t="str">
        <v>EURAB3E50Y=ICAP</v>
      </c>
      <c r="G41" s="312">
        <v>2.5049999999999999</v>
      </c>
      <c r="H41" s="312">
        <v>2.5550000000000002</v>
      </c>
      <c r="I41" s="312">
        <v>0</v>
      </c>
      <c r="J41" s="312">
        <v>0</v>
      </c>
      <c r="K41" s="269">
        <f>_xll.qlMidSafe($G41,$H41)</f>
        <v>2.5300000000000002</v>
      </c>
      <c r="L41" s="260"/>
      <c r="M41" s="268">
        <v>2.5300000000000002</v>
      </c>
      <c r="N41" s="260"/>
      <c r="O41" s="267" t="str">
        <f t="shared" si="1"/>
        <v>EURAB3E50Y_Quote</v>
      </c>
      <c r="P41" s="266">
        <v>2.5300000000000002</v>
      </c>
      <c r="Q41" s="265" t="e">
        <f>_xll.qlSimpleQuoteSetValue($O41,$P41/100,Trigger)</f>
        <v>#N/A</v>
      </c>
      <c r="R41" s="221"/>
      <c r="X41" s="300">
        <f t="shared" si="2"/>
        <v>4.9999999999999828E-4</v>
      </c>
    </row>
    <row r="42" spans="1:24" x14ac:dyDescent="0.2">
      <c r="A42" s="126"/>
      <c r="B42" s="264" t="s">
        <v>57</v>
      </c>
      <c r="C42" s="395" t="str">
        <v>AB</v>
      </c>
      <c r="D42" s="395" t="str">
        <v>3E</v>
      </c>
      <c r="E42" s="317" t="str">
        <f t="shared" si="0"/>
        <v>EURAB3E60Y</v>
      </c>
      <c r="F42" s="317" t="str">
        <v>EURAB3E60Y=ICAP</v>
      </c>
      <c r="G42" s="318">
        <v>2.5390000000000001</v>
      </c>
      <c r="H42" s="318">
        <v>2.589</v>
      </c>
      <c r="I42" s="318">
        <v>0</v>
      </c>
      <c r="J42" s="318">
        <v>0</v>
      </c>
      <c r="K42" s="262">
        <f>_xll.qlMidSafe($G42,$H42)</f>
        <v>2.5640000000000001</v>
      </c>
      <c r="L42" s="260"/>
      <c r="M42" s="261">
        <v>2.5640000000000001</v>
      </c>
      <c r="N42" s="260"/>
      <c r="O42" s="259" t="str">
        <f t="shared" si="1"/>
        <v>EURAB3E60Y_Quote</v>
      </c>
      <c r="P42" s="258">
        <v>2.5640000000000001</v>
      </c>
      <c r="Q42" s="257" t="e">
        <f>_xll.qlSimpleQuoteSetValue($O42,$P42/100,Trigger)</f>
        <v>#N/A</v>
      </c>
      <c r="R42" s="221"/>
      <c r="X42" s="300">
        <f t="shared" si="2"/>
        <v>4.9999999999999828E-4</v>
      </c>
    </row>
    <row r="43" spans="1:24" ht="12" thickBot="1" x14ac:dyDescent="0.25">
      <c r="A43" s="214"/>
      <c r="B43" s="213"/>
      <c r="C43" s="51"/>
      <c r="D43" s="51"/>
      <c r="E43" s="51"/>
      <c r="F43" s="51"/>
      <c r="G43" s="51"/>
      <c r="H43" s="51"/>
      <c r="I43" s="51"/>
      <c r="J43" s="51"/>
      <c r="K43" s="51"/>
      <c r="L43" s="213"/>
      <c r="M43" s="213"/>
      <c r="N43" s="213"/>
      <c r="O43" s="213"/>
      <c r="P43" s="213"/>
      <c r="Q43" s="213"/>
      <c r="R43"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43"/>
  <sheetViews>
    <sheetView workbookViewId="0"/>
  </sheetViews>
  <sheetFormatPr defaultRowHeight="11.25" x14ac:dyDescent="0.2"/>
  <cols>
    <col min="1" max="1" width="2.85546875" style="21" customWidth="1"/>
    <col min="2" max="2" width="3.85546875" style="21" bestFit="1" customWidth="1"/>
    <col min="3" max="3" width="3.140625" style="21" bestFit="1" customWidth="1"/>
    <col min="4" max="4" width="2.7109375" style="21" bestFit="1" customWidth="1"/>
    <col min="5" max="5" width="10.5703125" style="21" bestFit="1" customWidth="1"/>
    <col min="6" max="6" width="14.85546875" style="21" bestFit="1" customWidth="1"/>
    <col min="7" max="8" width="7.42578125" style="21" customWidth="1"/>
    <col min="9" max="9" width="5.7109375" style="21" bestFit="1" customWidth="1"/>
    <col min="10" max="10" width="10" style="21" bestFit="1" customWidth="1"/>
    <col min="11" max="11" width="5.7109375" style="21" bestFit="1" customWidth="1"/>
    <col min="12" max="12" width="5" style="21" customWidth="1"/>
    <col min="13" max="13" width="5.7109375" style="21" bestFit="1" customWidth="1"/>
    <col min="14" max="14" width="5" style="21" customWidth="1"/>
    <col min="15" max="15" width="16" style="21" bestFit="1" customWidth="1"/>
    <col min="16" max="17" width="7.7109375" style="21" bestFit="1" customWidth="1"/>
    <col min="18" max="18" width="5" style="21" customWidth="1"/>
    <col min="19" max="19" width="5.140625" style="21" customWidth="1"/>
    <col min="20" max="20" width="4" style="21" bestFit="1" customWidth="1"/>
    <col min="21" max="21" width="3.28515625" style="21" bestFit="1" customWidth="1"/>
    <col min="22" max="22" width="2.7109375" style="21" bestFit="1" customWidth="1"/>
    <col min="23" max="23" width="9.140625" style="21"/>
    <col min="24" max="24" width="7.140625" style="21" bestFit="1" customWidth="1"/>
    <col min="25" max="16384" width="9.140625" style="21"/>
  </cols>
  <sheetData>
    <row r="1" spans="1:24" ht="12" thickBot="1" x14ac:dyDescent="0.25">
      <c r="A1" s="332" t="s">
        <v>311</v>
      </c>
      <c r="B1" s="203"/>
      <c r="C1" s="203"/>
      <c r="D1" s="203"/>
      <c r="E1" s="203"/>
      <c r="F1" s="203"/>
      <c r="G1" s="203"/>
      <c r="H1" s="203"/>
      <c r="I1" s="203"/>
      <c r="J1" s="203"/>
      <c r="K1" s="203"/>
      <c r="L1" s="203"/>
      <c r="M1" s="203"/>
      <c r="N1" s="203"/>
      <c r="O1" s="203"/>
      <c r="P1" s="203"/>
      <c r="Q1" s="203"/>
      <c r="R1" s="200"/>
    </row>
    <row r="2" spans="1:24" ht="12" thickBot="1" x14ac:dyDescent="0.25">
      <c r="A2" s="297"/>
      <c r="B2" s="141"/>
      <c r="C2" s="296"/>
      <c r="D2" s="296"/>
      <c r="E2" s="296"/>
      <c r="F2" s="148" t="s">
        <v>236</v>
      </c>
      <c r="G2" s="260"/>
      <c r="H2" s="260"/>
      <c r="I2" s="260"/>
      <c r="J2" s="260"/>
      <c r="K2" s="141"/>
      <c r="L2" s="260"/>
      <c r="M2" s="260"/>
      <c r="N2" s="260"/>
      <c r="O2" s="394" t="s">
        <v>255</v>
      </c>
      <c r="P2" s="393" t="s">
        <v>147</v>
      </c>
      <c r="Q2" s="141"/>
      <c r="R2" s="53"/>
    </row>
    <row r="3" spans="1:24" x14ac:dyDescent="0.2">
      <c r="A3" s="126"/>
      <c r="B3" s="260"/>
      <c r="C3" s="141"/>
      <c r="D3" s="141"/>
      <c r="E3" s="141"/>
      <c r="F3" s="141"/>
      <c r="G3" s="141"/>
      <c r="H3" s="141"/>
      <c r="I3" s="141"/>
      <c r="J3" s="141"/>
      <c r="K3" s="141"/>
      <c r="L3" s="260"/>
      <c r="M3" s="260"/>
      <c r="N3" s="260"/>
      <c r="O3" s="141"/>
      <c r="P3" s="141"/>
      <c r="Q3" s="292">
        <f>_xll.ohTrigger(Q5:Q42)</f>
        <v>21</v>
      </c>
      <c r="R3" s="221"/>
    </row>
    <row r="4" spans="1:24" ht="23.25" thickBot="1" x14ac:dyDescent="0.25">
      <c r="A4" s="126"/>
      <c r="B4" s="400"/>
      <c r="C4" s="198"/>
      <c r="D4" s="198"/>
      <c r="E4" s="198"/>
      <c r="F4" s="291" t="e">
        <f ca="1">_xll.RData(F5:F42,G4:J4,,ReutersRtMode,,G5)</f>
        <v>#NAME?</v>
      </c>
      <c r="G4" s="329" t="s">
        <v>259</v>
      </c>
      <c r="H4" s="329" t="s">
        <v>226</v>
      </c>
      <c r="I4" s="329" t="s">
        <v>241</v>
      </c>
      <c r="J4" s="329" t="s">
        <v>258</v>
      </c>
      <c r="K4" s="286" t="s">
        <v>257</v>
      </c>
      <c r="L4" s="260"/>
      <c r="M4" s="289" t="s">
        <v>253</v>
      </c>
      <c r="N4" s="260"/>
      <c r="O4" s="288" t="s">
        <v>252</v>
      </c>
      <c r="P4" s="391" t="s">
        <v>251</v>
      </c>
      <c r="Q4" s="98" t="s">
        <v>250</v>
      </c>
      <c r="R4" s="221"/>
      <c r="X4" s="326" t="s">
        <v>256</v>
      </c>
    </row>
    <row r="5" spans="1:24" x14ac:dyDescent="0.2">
      <c r="A5" s="126"/>
      <c r="B5" s="271" t="s">
        <v>40</v>
      </c>
      <c r="C5" s="311" t="str">
        <f t="array" ref="C5:C42">VLOOKUP(Currency,Conventions,2)</f>
        <v>AB</v>
      </c>
      <c r="D5" s="311" t="str">
        <f t="array" ref="D5:D42">VLOOKUP(Currency,Conventions,3)</f>
        <v>6E</v>
      </c>
      <c r="E5" s="270" t="str">
        <f t="shared" ref="E5:E42" si="0">Currency&amp;$C5&amp;$D5&amp;$B5</f>
        <v>EURAB6E6M</v>
      </c>
      <c r="F5" s="270" t="str">
        <f t="array" ref="F5:F42">Instruments&amp;"="&amp;VLOOKUP(Contributor,ContributorTable,2,FALSE)</f>
        <v>EURAB6E6M=ICAP</v>
      </c>
      <c r="G5" s="312" t="s">
        <v>260</v>
      </c>
      <c r="H5" s="312" t="s">
        <v>260</v>
      </c>
      <c r="I5" s="312" t="s">
        <v>260</v>
      </c>
      <c r="J5" s="312" t="s">
        <v>260</v>
      </c>
      <c r="K5" s="390" t="e">
        <f>_xll.qlMidSafe($G5,$H5)</f>
        <v>#NUM!</v>
      </c>
      <c r="L5" s="260"/>
      <c r="M5" s="268" t="e">
        <v>#NUM!</v>
      </c>
      <c r="N5" s="260"/>
      <c r="O5" s="267" t="str">
        <f t="shared" ref="O5:O42" si="1">$E5&amp;$P$2</f>
        <v>EURAB6E6M_Quote</v>
      </c>
      <c r="P5" s="266" t="e">
        <f t="array" ref="P5:P42">QuoteLive</f>
        <v>#NUM!</v>
      </c>
      <c r="Q5" s="265" t="e">
        <f>_xll.qlSimpleQuoteSetValue($O5,$P5/100,Trigger)</f>
        <v>#NUM!</v>
      </c>
      <c r="R5" s="221"/>
      <c r="T5" s="398" t="s">
        <v>137</v>
      </c>
      <c r="U5" s="92" t="s">
        <v>201</v>
      </c>
      <c r="V5" s="91" t="s">
        <v>132</v>
      </c>
      <c r="X5" s="300" t="e">
        <f t="shared" ref="X5:X42" si="2">(H5-K5)/50</f>
        <v>#VALUE!</v>
      </c>
    </row>
    <row r="6" spans="1:24" x14ac:dyDescent="0.2">
      <c r="A6" s="126"/>
      <c r="B6" s="271" t="s">
        <v>34</v>
      </c>
      <c r="C6" s="311" t="str">
        <v>AB</v>
      </c>
      <c r="D6" s="311" t="str">
        <v>6E</v>
      </c>
      <c r="E6" s="270" t="str">
        <f t="shared" si="0"/>
        <v>EURAB6E1Y</v>
      </c>
      <c r="F6" s="270" t="str">
        <v>EURAB6E1Y=ICAP</v>
      </c>
      <c r="G6" s="312">
        <v>0.40699999999999997</v>
      </c>
      <c r="H6" s="312">
        <v>0.44700000000000001</v>
      </c>
      <c r="I6" s="312">
        <v>0</v>
      </c>
      <c r="J6" s="312">
        <v>0</v>
      </c>
      <c r="K6" s="390">
        <f>_xll.qlMidSafe($G6,$H6)</f>
        <v>0.42699999999999999</v>
      </c>
      <c r="L6" s="260"/>
      <c r="M6" s="268">
        <v>0.42699999999999999</v>
      </c>
      <c r="N6" s="260"/>
      <c r="O6" s="267" t="str">
        <f t="shared" si="1"/>
        <v>EURAB6E1Y_Quote</v>
      </c>
      <c r="P6" s="266">
        <v>0.42699999999999999</v>
      </c>
      <c r="Q6" s="265" t="e">
        <f>_xll.qlSimpleQuoteSetValue($O6,$P6/100,Trigger)</f>
        <v>#N/A</v>
      </c>
      <c r="R6" s="221"/>
      <c r="T6" s="209" t="s">
        <v>123</v>
      </c>
      <c r="U6" s="89" t="s">
        <v>201</v>
      </c>
      <c r="V6" s="88" t="s">
        <v>135</v>
      </c>
      <c r="X6" s="300">
        <f t="shared" si="2"/>
        <v>4.0000000000000034E-4</v>
      </c>
    </row>
    <row r="7" spans="1:24" x14ac:dyDescent="0.2">
      <c r="A7" s="126"/>
      <c r="B7" s="271" t="s">
        <v>140</v>
      </c>
      <c r="C7" s="311" t="str">
        <v>AB</v>
      </c>
      <c r="D7" s="311" t="str">
        <v>6E</v>
      </c>
      <c r="E7" s="270" t="str">
        <f t="shared" si="0"/>
        <v>EURAB6E15M</v>
      </c>
      <c r="F7" s="270" t="str">
        <v>EURAB6E15M=ICAP</v>
      </c>
      <c r="G7" s="312">
        <v>0.42699999999999999</v>
      </c>
      <c r="H7" s="312">
        <v>0.47699999999999998</v>
      </c>
      <c r="I7" s="312">
        <v>0</v>
      </c>
      <c r="J7" s="312">
        <v>0</v>
      </c>
      <c r="K7" s="390">
        <f>_xll.qlMidEquivalent($G7,$H7,$I7,$J7)</f>
        <v>0.45199999999999996</v>
      </c>
      <c r="L7" s="260"/>
      <c r="M7" s="268">
        <v>0.45099999999999996</v>
      </c>
      <c r="N7" s="260"/>
      <c r="O7" s="267" t="str">
        <f t="shared" si="1"/>
        <v>EURAB6E15M_Quote</v>
      </c>
      <c r="P7" s="266">
        <v>0.45199999999999996</v>
      </c>
      <c r="Q7" s="265" t="e">
        <f>_xll.qlSimpleQuoteSetValue($O7,$P7/100,Trigger)</f>
        <v>#N/A</v>
      </c>
      <c r="R7" s="221"/>
      <c r="T7" s="209" t="s">
        <v>134</v>
      </c>
      <c r="U7" s="89" t="s">
        <v>200</v>
      </c>
      <c r="V7" s="88" t="s">
        <v>132</v>
      </c>
      <c r="W7" s="399"/>
      <c r="X7" s="300">
        <f t="shared" si="2"/>
        <v>5.0000000000000044E-4</v>
      </c>
    </row>
    <row r="8" spans="1:24" x14ac:dyDescent="0.2">
      <c r="A8" s="126"/>
      <c r="B8" s="271" t="s">
        <v>139</v>
      </c>
      <c r="C8" s="311" t="str">
        <v>AB</v>
      </c>
      <c r="D8" s="311" t="str">
        <v>6E</v>
      </c>
      <c r="E8" s="270" t="str">
        <f t="shared" si="0"/>
        <v>EURAB6E18M</v>
      </c>
      <c r="F8" s="270" t="str">
        <v>EURAB6E18M=ICAP</v>
      </c>
      <c r="G8" s="312">
        <v>0.47899999999999998</v>
      </c>
      <c r="H8" s="312">
        <v>0.52900000000000003</v>
      </c>
      <c r="I8" s="312">
        <v>0</v>
      </c>
      <c r="J8" s="312">
        <v>0</v>
      </c>
      <c r="K8" s="390">
        <f>_xll.qlMidEquivalent($G8,$H8,$I8,$J8)</f>
        <v>0.504</v>
      </c>
      <c r="L8" s="260"/>
      <c r="M8" s="268">
        <v>0.503</v>
      </c>
      <c r="N8" s="260"/>
      <c r="O8" s="267" t="str">
        <f t="shared" si="1"/>
        <v>EURAB6E18M_Quote</v>
      </c>
      <c r="P8" s="266">
        <v>0.504</v>
      </c>
      <c r="Q8" s="265" t="e">
        <f>_xll.qlSimpleQuoteSetValue($O8,$P8/100,Trigger)</f>
        <v>#N/A</v>
      </c>
      <c r="R8" s="221"/>
      <c r="T8" s="209" t="s">
        <v>133</v>
      </c>
      <c r="U8" s="89" t="s">
        <v>200</v>
      </c>
      <c r="V8" s="88" t="s">
        <v>132</v>
      </c>
      <c r="W8" s="399"/>
      <c r="X8" s="300">
        <f t="shared" si="2"/>
        <v>5.0000000000000044E-4</v>
      </c>
    </row>
    <row r="9" spans="1:24" ht="12" thickBot="1" x14ac:dyDescent="0.25">
      <c r="A9" s="126"/>
      <c r="B9" s="271" t="s">
        <v>138</v>
      </c>
      <c r="C9" s="311" t="str">
        <v>AB</v>
      </c>
      <c r="D9" s="311" t="str">
        <v>6E</v>
      </c>
      <c r="E9" s="270" t="str">
        <f t="shared" si="0"/>
        <v>EURAB6E21M</v>
      </c>
      <c r="F9" s="270" t="str">
        <v>EURAB6E21M=ICAP</v>
      </c>
      <c r="G9" s="312">
        <v>0.504</v>
      </c>
      <c r="H9" s="312">
        <v>0.55400000000000005</v>
      </c>
      <c r="I9" s="312">
        <v>0</v>
      </c>
      <c r="J9" s="312">
        <v>0</v>
      </c>
      <c r="K9" s="390">
        <f>_xll.qlMidEquivalent($G9,$H9,$I9,$J9)</f>
        <v>0.52900000000000003</v>
      </c>
      <c r="L9" s="260"/>
      <c r="M9" s="268">
        <v>0.52700000000000002</v>
      </c>
      <c r="N9" s="260"/>
      <c r="O9" s="267" t="str">
        <f t="shared" si="1"/>
        <v>EURAB6E21M_Quote</v>
      </c>
      <c r="P9" s="266">
        <v>0.52900000000000003</v>
      </c>
      <c r="Q9" s="265" t="e">
        <f>_xll.qlSimpleQuoteSetValue($O9,$P9/100,Trigger)</f>
        <v>#N/A</v>
      </c>
      <c r="R9" s="221"/>
      <c r="T9" s="208" t="s">
        <v>131</v>
      </c>
      <c r="U9" s="86" t="s">
        <v>199</v>
      </c>
      <c r="V9" s="85" t="s">
        <v>132</v>
      </c>
      <c r="X9" s="300">
        <f t="shared" si="2"/>
        <v>5.0000000000000044E-4</v>
      </c>
    </row>
    <row r="10" spans="1:24" x14ac:dyDescent="0.2">
      <c r="A10" s="126"/>
      <c r="B10" s="271" t="s">
        <v>115</v>
      </c>
      <c r="C10" s="311" t="str">
        <v>AB</v>
      </c>
      <c r="D10" s="311" t="str">
        <v>6E</v>
      </c>
      <c r="E10" s="270" t="str">
        <f t="shared" si="0"/>
        <v>EURAB6E2Y</v>
      </c>
      <c r="F10" s="270" t="str">
        <v>EURAB6E2Y=ICAP</v>
      </c>
      <c r="G10" s="312">
        <v>0.55600000000000005</v>
      </c>
      <c r="H10" s="312">
        <v>0.59599999999999997</v>
      </c>
      <c r="I10" s="312">
        <v>0</v>
      </c>
      <c r="J10" s="312">
        <v>0</v>
      </c>
      <c r="K10" s="390">
        <f>_xll.qlMidEquivalent($G10,$H10,$I10,$J10)</f>
        <v>0.57600000000000007</v>
      </c>
      <c r="L10" s="260"/>
      <c r="M10" s="268">
        <v>0.57600000000000007</v>
      </c>
      <c r="N10" s="260"/>
      <c r="O10" s="267" t="str">
        <f t="shared" si="1"/>
        <v>EURAB6E2Y_Quote</v>
      </c>
      <c r="P10" s="266">
        <v>0.57600000000000007</v>
      </c>
      <c r="Q10" s="265" t="e">
        <f>_xll.qlSimpleQuoteSetValue($O10,$P10/100,Trigger)</f>
        <v>#N/A</v>
      </c>
      <c r="R10" s="221"/>
      <c r="X10" s="300">
        <f t="shared" si="2"/>
        <v>3.9999999999999812E-4</v>
      </c>
    </row>
    <row r="11" spans="1:24" x14ac:dyDescent="0.2">
      <c r="A11" s="126"/>
      <c r="B11" s="271" t="s">
        <v>114</v>
      </c>
      <c r="C11" s="311" t="str">
        <v>AB</v>
      </c>
      <c r="D11" s="311" t="str">
        <v>6E</v>
      </c>
      <c r="E11" s="270" t="str">
        <f t="shared" si="0"/>
        <v>EURAB6E3Y</v>
      </c>
      <c r="F11" s="270" t="str">
        <v>EURAB6E3Y=ICAP</v>
      </c>
      <c r="G11" s="312">
        <v>0.72499999999999998</v>
      </c>
      <c r="H11" s="312">
        <v>0.76500000000000001</v>
      </c>
      <c r="I11" s="312">
        <v>0</v>
      </c>
      <c r="J11" s="312">
        <v>0</v>
      </c>
      <c r="K11" s="390">
        <f>_xll.qlMidEquivalent($G11,$H11,$I11,$J11)</f>
        <v>0.745</v>
      </c>
      <c r="L11" s="260"/>
      <c r="M11" s="268">
        <v>0.745</v>
      </c>
      <c r="N11" s="260"/>
      <c r="O11" s="267" t="str">
        <f t="shared" si="1"/>
        <v>EURAB6E3Y_Quote</v>
      </c>
      <c r="P11" s="266">
        <v>0.745</v>
      </c>
      <c r="Q11" s="265" t="e">
        <f>_xll.qlSimpleQuoteSetValue($O11,$P11/100,Trigger)</f>
        <v>#N/A</v>
      </c>
      <c r="R11" s="221"/>
      <c r="X11" s="300">
        <f t="shared" si="2"/>
        <v>4.0000000000000034E-4</v>
      </c>
    </row>
    <row r="12" spans="1:24" x14ac:dyDescent="0.2">
      <c r="A12" s="126"/>
      <c r="B12" s="271" t="s">
        <v>113</v>
      </c>
      <c r="C12" s="311" t="str">
        <v>AB</v>
      </c>
      <c r="D12" s="311" t="str">
        <v>6E</v>
      </c>
      <c r="E12" s="270" t="str">
        <f t="shared" si="0"/>
        <v>EURAB6E4Y</v>
      </c>
      <c r="F12" s="270" t="str">
        <v>EURAB6E4Y=ICAP</v>
      </c>
      <c r="G12" s="312">
        <v>0.94099999999999995</v>
      </c>
      <c r="H12" s="312">
        <v>0.98099999999999998</v>
      </c>
      <c r="I12" s="312">
        <v>0</v>
      </c>
      <c r="J12" s="312">
        <v>0</v>
      </c>
      <c r="K12" s="390">
        <f>_xll.qlMidEquivalent($G12,$H12,$I12,$J12)</f>
        <v>0.96099999999999997</v>
      </c>
      <c r="L12" s="260"/>
      <c r="M12" s="268">
        <v>0.96099999999999997</v>
      </c>
      <c r="N12" s="260"/>
      <c r="O12" s="267" t="str">
        <f t="shared" si="1"/>
        <v>EURAB6E4Y_Quote</v>
      </c>
      <c r="P12" s="266">
        <v>0.96099999999999997</v>
      </c>
      <c r="Q12" s="265" t="e">
        <f>_xll.qlSimpleQuoteSetValue($O12,$P12/100,Trigger)</f>
        <v>#N/A</v>
      </c>
      <c r="R12" s="221"/>
      <c r="X12" s="300">
        <f t="shared" si="2"/>
        <v>4.0000000000000034E-4</v>
      </c>
    </row>
    <row r="13" spans="1:24" x14ac:dyDescent="0.2">
      <c r="A13" s="126"/>
      <c r="B13" s="271" t="s">
        <v>112</v>
      </c>
      <c r="C13" s="311" t="str">
        <v>AB</v>
      </c>
      <c r="D13" s="311" t="str">
        <v>6E</v>
      </c>
      <c r="E13" s="270" t="str">
        <f t="shared" si="0"/>
        <v>EURAB6E5Y</v>
      </c>
      <c r="F13" s="270" t="str">
        <v>EURAB6E5Y=ICAP</v>
      </c>
      <c r="G13" s="312">
        <v>1.165</v>
      </c>
      <c r="H13" s="312">
        <v>1.2050000000000001</v>
      </c>
      <c r="I13" s="312">
        <v>0</v>
      </c>
      <c r="J13" s="312">
        <v>0</v>
      </c>
      <c r="K13" s="390">
        <f>_xll.qlMidEquivalent($G13,$H13,$I13,$J13)</f>
        <v>1.1850000000000001</v>
      </c>
      <c r="L13" s="260"/>
      <c r="M13" s="268">
        <v>1.1850000000000001</v>
      </c>
      <c r="N13" s="260"/>
      <c r="O13" s="267" t="str">
        <f t="shared" si="1"/>
        <v>EURAB6E5Y_Quote</v>
      </c>
      <c r="P13" s="266">
        <v>1.1850000000000001</v>
      </c>
      <c r="Q13" s="265" t="e">
        <f>_xll.qlSimpleQuoteSetValue($O13,$P13/100,Trigger)</f>
        <v>#N/A</v>
      </c>
      <c r="R13" s="221"/>
      <c r="X13" s="300">
        <f t="shared" si="2"/>
        <v>4.0000000000000034E-4</v>
      </c>
    </row>
    <row r="14" spans="1:24" x14ac:dyDescent="0.2">
      <c r="A14" s="126"/>
      <c r="B14" s="271" t="s">
        <v>111</v>
      </c>
      <c r="C14" s="311" t="str">
        <v>AB</v>
      </c>
      <c r="D14" s="311" t="str">
        <v>6E</v>
      </c>
      <c r="E14" s="270" t="str">
        <f t="shared" si="0"/>
        <v>EURAB6E6Y</v>
      </c>
      <c r="F14" s="270" t="str">
        <v>EURAB6E6Y=ICAP</v>
      </c>
      <c r="G14" s="312">
        <v>1.36</v>
      </c>
      <c r="H14" s="312">
        <v>1.4</v>
      </c>
      <c r="I14" s="312">
        <v>0</v>
      </c>
      <c r="J14" s="312">
        <v>0</v>
      </c>
      <c r="K14" s="390">
        <f>_xll.qlMidEquivalent($G14,$H14,$I14,$J14)</f>
        <v>1.38</v>
      </c>
      <c r="L14" s="260"/>
      <c r="M14" s="268">
        <v>1.38</v>
      </c>
      <c r="N14" s="260"/>
      <c r="O14" s="267" t="str">
        <f t="shared" si="1"/>
        <v>EURAB6E6Y_Quote</v>
      </c>
      <c r="P14" s="266">
        <v>1.38</v>
      </c>
      <c r="Q14" s="265" t="e">
        <f>_xll.qlSimpleQuoteSetValue($O14,$P14/100,Trigger)</f>
        <v>#N/A</v>
      </c>
      <c r="R14" s="221"/>
      <c r="X14" s="300">
        <f t="shared" si="2"/>
        <v>4.0000000000000034E-4</v>
      </c>
    </row>
    <row r="15" spans="1:24" x14ac:dyDescent="0.2">
      <c r="A15" s="126"/>
      <c r="B15" s="271" t="s">
        <v>110</v>
      </c>
      <c r="C15" s="311" t="str">
        <v>AB</v>
      </c>
      <c r="D15" s="311" t="str">
        <v>6E</v>
      </c>
      <c r="E15" s="270" t="str">
        <f t="shared" si="0"/>
        <v>EURAB6E7Y</v>
      </c>
      <c r="F15" s="270" t="str">
        <v>EURAB6E7Y=ICAP</v>
      </c>
      <c r="G15" s="312">
        <v>1.5329999999999999</v>
      </c>
      <c r="H15" s="312">
        <v>1.573</v>
      </c>
      <c r="I15" s="312">
        <v>0</v>
      </c>
      <c r="J15" s="312">
        <v>0</v>
      </c>
      <c r="K15" s="390">
        <f>_xll.qlMidEquivalent($G15,$H15,$I15,$J15)</f>
        <v>1.5529999999999999</v>
      </c>
      <c r="L15" s="260"/>
      <c r="M15" s="268">
        <v>1.5529999999999999</v>
      </c>
      <c r="N15" s="260"/>
      <c r="O15" s="267" t="str">
        <f t="shared" si="1"/>
        <v>EURAB6E7Y_Quote</v>
      </c>
      <c r="P15" s="266">
        <v>1.5529999999999999</v>
      </c>
      <c r="Q15" s="265" t="e">
        <f>_xll.qlSimpleQuoteSetValue($O15,$P15/100,Trigger)</f>
        <v>#N/A</v>
      </c>
      <c r="R15" s="221"/>
      <c r="X15" s="300">
        <f t="shared" si="2"/>
        <v>4.0000000000000034E-4</v>
      </c>
    </row>
    <row r="16" spans="1:24" x14ac:dyDescent="0.2">
      <c r="A16" s="126"/>
      <c r="B16" s="271" t="s">
        <v>109</v>
      </c>
      <c r="C16" s="311" t="str">
        <v>AB</v>
      </c>
      <c r="D16" s="311" t="str">
        <v>6E</v>
      </c>
      <c r="E16" s="270" t="str">
        <f t="shared" si="0"/>
        <v>EURAB6E8Y</v>
      </c>
      <c r="F16" s="270" t="str">
        <v>EURAB6E8Y=ICAP</v>
      </c>
      <c r="G16" s="312">
        <v>1.6859999999999999</v>
      </c>
      <c r="H16" s="312">
        <v>1.726</v>
      </c>
      <c r="I16" s="312">
        <v>0</v>
      </c>
      <c r="J16" s="312">
        <v>0</v>
      </c>
      <c r="K16" s="390">
        <f>_xll.qlMidEquivalent($G16,$H16,$I16,$J16)</f>
        <v>1.706</v>
      </c>
      <c r="L16" s="260"/>
      <c r="M16" s="268">
        <v>1.706</v>
      </c>
      <c r="N16" s="260"/>
      <c r="O16" s="267" t="str">
        <f t="shared" si="1"/>
        <v>EURAB6E8Y_Quote</v>
      </c>
      <c r="P16" s="266">
        <v>1.706</v>
      </c>
      <c r="Q16" s="265" t="e">
        <f>_xll.qlSimpleQuoteSetValue($O16,$P16/100,Trigger)</f>
        <v>#N/A</v>
      </c>
      <c r="R16" s="221"/>
      <c r="X16" s="300">
        <f t="shared" si="2"/>
        <v>4.0000000000000034E-4</v>
      </c>
    </row>
    <row r="17" spans="1:24" x14ac:dyDescent="0.2">
      <c r="A17" s="126"/>
      <c r="B17" s="271" t="s">
        <v>108</v>
      </c>
      <c r="C17" s="311" t="str">
        <v>AB</v>
      </c>
      <c r="D17" s="311" t="str">
        <v>6E</v>
      </c>
      <c r="E17" s="270" t="str">
        <f t="shared" si="0"/>
        <v>EURAB6E9Y</v>
      </c>
      <c r="F17" s="270" t="str">
        <v>EURAB6E9Y=ICAP</v>
      </c>
      <c r="G17" s="312">
        <v>1.8260000000000001</v>
      </c>
      <c r="H17" s="312">
        <v>1.8660000000000001</v>
      </c>
      <c r="I17" s="312">
        <v>0</v>
      </c>
      <c r="J17" s="312">
        <v>0</v>
      </c>
      <c r="K17" s="390">
        <f>_xll.qlMidEquivalent($G17,$H17,$I17,$J17)</f>
        <v>1.8460000000000001</v>
      </c>
      <c r="L17" s="260"/>
      <c r="M17" s="268">
        <v>1.8460000000000001</v>
      </c>
      <c r="N17" s="260"/>
      <c r="O17" s="267" t="str">
        <f t="shared" si="1"/>
        <v>EURAB6E9Y_Quote</v>
      </c>
      <c r="P17" s="266">
        <v>1.8460000000000001</v>
      </c>
      <c r="Q17" s="265" t="e">
        <f>_xll.qlSimpleQuoteSetValue($O17,$P17/100,Trigger)</f>
        <v>#N/A</v>
      </c>
      <c r="R17" s="221"/>
      <c r="X17" s="300">
        <f t="shared" si="2"/>
        <v>4.0000000000000034E-4</v>
      </c>
    </row>
    <row r="18" spans="1:24" x14ac:dyDescent="0.2">
      <c r="A18" s="126"/>
      <c r="B18" s="271" t="s">
        <v>107</v>
      </c>
      <c r="C18" s="311" t="str">
        <v>AB</v>
      </c>
      <c r="D18" s="311" t="str">
        <v>6E</v>
      </c>
      <c r="E18" s="270" t="str">
        <f t="shared" si="0"/>
        <v>EURAB6E10Y</v>
      </c>
      <c r="F18" s="270" t="str">
        <v>EURAB6E10Y=ICAP</v>
      </c>
      <c r="G18" s="312">
        <v>1.954</v>
      </c>
      <c r="H18" s="312">
        <v>1.994</v>
      </c>
      <c r="I18" s="312">
        <v>0</v>
      </c>
      <c r="J18" s="312">
        <v>0</v>
      </c>
      <c r="K18" s="390">
        <f>_xll.qlMidEquivalent($G18,$H18,$I18,$J18)</f>
        <v>1.974</v>
      </c>
      <c r="L18" s="260"/>
      <c r="M18" s="268">
        <v>1.974</v>
      </c>
      <c r="N18" s="260"/>
      <c r="O18" s="267" t="str">
        <f t="shared" si="1"/>
        <v>EURAB6E10Y_Quote</v>
      </c>
      <c r="P18" s="266">
        <v>1.974</v>
      </c>
      <c r="Q18" s="265" t="e">
        <f>_xll.qlSimpleQuoteSetValue($O18,$P18/100,Trigger)</f>
        <v>#N/A</v>
      </c>
      <c r="R18" s="221"/>
      <c r="X18" s="300">
        <f t="shared" si="2"/>
        <v>4.0000000000000034E-4</v>
      </c>
    </row>
    <row r="19" spans="1:24" x14ac:dyDescent="0.2">
      <c r="A19" s="126"/>
      <c r="B19" s="271" t="s">
        <v>106</v>
      </c>
      <c r="C19" s="311" t="str">
        <v>AB</v>
      </c>
      <c r="D19" s="311" t="str">
        <v>6E</v>
      </c>
      <c r="E19" s="270" t="str">
        <f t="shared" si="0"/>
        <v>EURAB6E11Y</v>
      </c>
      <c r="F19" s="270" t="str">
        <v>EURAB6E11Y=ICAP</v>
      </c>
      <c r="G19" s="312">
        <v>2.0649999999999999</v>
      </c>
      <c r="H19" s="312">
        <v>2.105</v>
      </c>
      <c r="I19" s="312">
        <v>0</v>
      </c>
      <c r="J19" s="312">
        <v>0</v>
      </c>
      <c r="K19" s="390">
        <f>_xll.qlMidEquivalent($G19,$H19,$I19,$J19)</f>
        <v>2.085</v>
      </c>
      <c r="L19" s="260"/>
      <c r="M19" s="268">
        <v>2.085</v>
      </c>
      <c r="N19" s="260"/>
      <c r="O19" s="267" t="str">
        <f t="shared" si="1"/>
        <v>EURAB6E11Y_Quote</v>
      </c>
      <c r="P19" s="266">
        <v>2.085</v>
      </c>
      <c r="Q19" s="265" t="e">
        <f>_xll.qlSimpleQuoteSetValue($O19,$P19/100,Trigger)</f>
        <v>#N/A</v>
      </c>
      <c r="R19" s="221"/>
      <c r="X19" s="300">
        <f t="shared" si="2"/>
        <v>4.0000000000000034E-4</v>
      </c>
    </row>
    <row r="20" spans="1:24" x14ac:dyDescent="0.2">
      <c r="A20" s="126"/>
      <c r="B20" s="271" t="s">
        <v>105</v>
      </c>
      <c r="C20" s="311" t="str">
        <v>AB</v>
      </c>
      <c r="D20" s="311" t="str">
        <v>6E</v>
      </c>
      <c r="E20" s="270" t="str">
        <f t="shared" si="0"/>
        <v>EURAB6E12Y</v>
      </c>
      <c r="F20" s="270" t="str">
        <v>EURAB6E12Y=ICAP</v>
      </c>
      <c r="G20" s="312">
        <v>2.16</v>
      </c>
      <c r="H20" s="312">
        <v>2.2000000000000002</v>
      </c>
      <c r="I20" s="312">
        <v>0</v>
      </c>
      <c r="J20" s="312">
        <v>0</v>
      </c>
      <c r="K20" s="390">
        <f>_xll.qlMidEquivalent($G20,$H20,$I20,$J20)</f>
        <v>2.1800000000000002</v>
      </c>
      <c r="L20" s="260"/>
      <c r="M20" s="268">
        <v>2.1800000000000002</v>
      </c>
      <c r="N20" s="260"/>
      <c r="O20" s="267" t="str">
        <f t="shared" si="1"/>
        <v>EURAB6E12Y_Quote</v>
      </c>
      <c r="P20" s="266">
        <v>2.1800000000000002</v>
      </c>
      <c r="Q20" s="265" t="e">
        <f>_xll.qlSimpleQuoteSetValue($O20,$P20/100,Trigger)</f>
        <v>#N/A</v>
      </c>
      <c r="R20" s="221"/>
      <c r="X20" s="300">
        <f t="shared" si="2"/>
        <v>4.0000000000000034E-4</v>
      </c>
    </row>
    <row r="21" spans="1:24" x14ac:dyDescent="0.2">
      <c r="A21" s="126"/>
      <c r="B21" s="271" t="s">
        <v>104</v>
      </c>
      <c r="C21" s="311" t="str">
        <v>AB</v>
      </c>
      <c r="D21" s="311" t="str">
        <v>6E</v>
      </c>
      <c r="E21" s="270" t="str">
        <f t="shared" si="0"/>
        <v>EURAB6E13Y</v>
      </c>
      <c r="F21" s="270" t="str">
        <v>EURAB6E13Y=ICAP</v>
      </c>
      <c r="G21" s="312">
        <v>2.2400000000000002</v>
      </c>
      <c r="H21" s="312">
        <v>2.2799999999999998</v>
      </c>
      <c r="I21" s="312">
        <v>0</v>
      </c>
      <c r="J21" s="312">
        <v>0</v>
      </c>
      <c r="K21" s="390">
        <f>_xll.qlMidEquivalent($G21,$H21,$I21,$J21)</f>
        <v>2.2599999999999998</v>
      </c>
      <c r="L21" s="260"/>
      <c r="M21" s="268">
        <v>2.2599999999999998</v>
      </c>
      <c r="N21" s="260"/>
      <c r="O21" s="267" t="str">
        <f t="shared" si="1"/>
        <v>EURAB6E13Y_Quote</v>
      </c>
      <c r="P21" s="266">
        <v>2.2599999999999998</v>
      </c>
      <c r="Q21" s="265" t="e">
        <f>_xll.qlSimpleQuoteSetValue($O21,$P21/100,Trigger)</f>
        <v>#N/A</v>
      </c>
      <c r="R21" s="221"/>
      <c r="X21" s="300">
        <f t="shared" si="2"/>
        <v>4.0000000000000034E-4</v>
      </c>
    </row>
    <row r="22" spans="1:24" x14ac:dyDescent="0.2">
      <c r="A22" s="126"/>
      <c r="B22" s="271" t="s">
        <v>103</v>
      </c>
      <c r="C22" s="311" t="str">
        <v>AB</v>
      </c>
      <c r="D22" s="311" t="str">
        <v>6E</v>
      </c>
      <c r="E22" s="270" t="str">
        <f t="shared" si="0"/>
        <v>EURAB6E14Y</v>
      </c>
      <c r="F22" s="270" t="str">
        <v>EURAB6E14Y=ICAP</v>
      </c>
      <c r="G22" s="312">
        <v>2.3050000000000002</v>
      </c>
      <c r="H22" s="312">
        <v>2.3450000000000002</v>
      </c>
      <c r="I22" s="312">
        <v>0</v>
      </c>
      <c r="J22" s="312">
        <v>0</v>
      </c>
      <c r="K22" s="390">
        <f>_xll.qlMidEquivalent($G22,$H22,$I22,$J22)</f>
        <v>2.3250000000000002</v>
      </c>
      <c r="L22" s="260"/>
      <c r="M22" s="268">
        <v>2.3250000000000002</v>
      </c>
      <c r="N22" s="260"/>
      <c r="O22" s="267" t="str">
        <f t="shared" si="1"/>
        <v>EURAB6E14Y_Quote</v>
      </c>
      <c r="P22" s="266">
        <v>2.3250000000000002</v>
      </c>
      <c r="Q22" s="265" t="e">
        <f>_xll.qlSimpleQuoteSetValue($O22,$P22/100,Trigger)</f>
        <v>#N/A</v>
      </c>
      <c r="R22" s="221"/>
      <c r="X22" s="300">
        <f t="shared" si="2"/>
        <v>4.0000000000000034E-4</v>
      </c>
    </row>
    <row r="23" spans="1:24" x14ac:dyDescent="0.2">
      <c r="A23" s="126"/>
      <c r="B23" s="271" t="s">
        <v>102</v>
      </c>
      <c r="C23" s="311" t="str">
        <v>AB</v>
      </c>
      <c r="D23" s="311" t="str">
        <v>6E</v>
      </c>
      <c r="E23" s="270" t="str">
        <f t="shared" si="0"/>
        <v>EURAB6E15Y</v>
      </c>
      <c r="F23" s="270" t="str">
        <v>EURAB6E15Y=ICAP</v>
      </c>
      <c r="G23" s="312">
        <v>2.3559999999999999</v>
      </c>
      <c r="H23" s="312">
        <v>2.3959999999999999</v>
      </c>
      <c r="I23" s="312">
        <v>0</v>
      </c>
      <c r="J23" s="312">
        <v>0</v>
      </c>
      <c r="K23" s="390">
        <f>_xll.qlMidEquivalent($G23,$H23,$I23,$J23)</f>
        <v>2.3759999999999999</v>
      </c>
      <c r="L23" s="260"/>
      <c r="M23" s="268">
        <v>2.3759999999999999</v>
      </c>
      <c r="N23" s="260"/>
      <c r="O23" s="267" t="str">
        <f t="shared" si="1"/>
        <v>EURAB6E15Y_Quote</v>
      </c>
      <c r="P23" s="266">
        <v>2.3759999999999999</v>
      </c>
      <c r="Q23" s="265" t="e">
        <f>_xll.qlSimpleQuoteSetValue($O23,$P23/100,Trigger)</f>
        <v>#N/A</v>
      </c>
      <c r="R23" s="221"/>
      <c r="X23" s="300">
        <f t="shared" si="2"/>
        <v>4.0000000000000034E-4</v>
      </c>
    </row>
    <row r="24" spans="1:24" x14ac:dyDescent="0.2">
      <c r="A24" s="126"/>
      <c r="B24" s="271" t="s">
        <v>101</v>
      </c>
      <c r="C24" s="311" t="str">
        <v>AB</v>
      </c>
      <c r="D24" s="311" t="str">
        <v>6E</v>
      </c>
      <c r="E24" s="270" t="str">
        <f t="shared" si="0"/>
        <v>EURAB6E16Y</v>
      </c>
      <c r="F24" s="270" t="str">
        <v>EURAB6E16Y=ICAP</v>
      </c>
      <c r="G24" s="312">
        <v>2.395</v>
      </c>
      <c r="H24" s="312">
        <v>2.4350000000000001</v>
      </c>
      <c r="I24" s="312">
        <v>0</v>
      </c>
      <c r="J24" s="312">
        <v>0</v>
      </c>
      <c r="K24" s="390">
        <f>_xll.qlMidEquivalent($G24,$H24,$I24,$J24)</f>
        <v>2.415</v>
      </c>
      <c r="L24" s="260"/>
      <c r="M24" s="268">
        <v>2.415</v>
      </c>
      <c r="N24" s="260"/>
      <c r="O24" s="267" t="str">
        <f t="shared" si="1"/>
        <v>EURAB6E16Y_Quote</v>
      </c>
      <c r="P24" s="266">
        <v>2.415</v>
      </c>
      <c r="Q24" s="265" t="e">
        <f>_xll.qlSimpleQuoteSetValue($O24,$P24/100,Trigger)</f>
        <v>#N/A</v>
      </c>
      <c r="R24" s="221"/>
      <c r="X24" s="300">
        <f t="shared" si="2"/>
        <v>4.0000000000000034E-4</v>
      </c>
    </row>
    <row r="25" spans="1:24" x14ac:dyDescent="0.2">
      <c r="A25" s="126"/>
      <c r="B25" s="271" t="s">
        <v>100</v>
      </c>
      <c r="C25" s="311" t="str">
        <v>AB</v>
      </c>
      <c r="D25" s="311" t="str">
        <v>6E</v>
      </c>
      <c r="E25" s="270" t="str">
        <f t="shared" si="0"/>
        <v>EURAB6E17Y</v>
      </c>
      <c r="F25" s="270" t="str">
        <v>EURAB6E17Y=ICAP</v>
      </c>
      <c r="G25" s="312">
        <v>2.4239999999999999</v>
      </c>
      <c r="H25" s="312">
        <v>2.464</v>
      </c>
      <c r="I25" s="312">
        <v>0</v>
      </c>
      <c r="J25" s="312">
        <v>0</v>
      </c>
      <c r="K25" s="390">
        <f>_xll.qlMidEquivalent($G25,$H25,$I25,$J25)</f>
        <v>2.444</v>
      </c>
      <c r="L25" s="260"/>
      <c r="M25" s="268">
        <v>2.444</v>
      </c>
      <c r="N25" s="260"/>
      <c r="O25" s="267" t="str">
        <f t="shared" si="1"/>
        <v>EURAB6E17Y_Quote</v>
      </c>
      <c r="P25" s="266">
        <v>2.444</v>
      </c>
      <c r="Q25" s="265" t="e">
        <f>_xll.qlSimpleQuoteSetValue($O25,$P25/100,Trigger)</f>
        <v>#N/A</v>
      </c>
      <c r="R25" s="221"/>
      <c r="X25" s="300">
        <f t="shared" si="2"/>
        <v>4.0000000000000034E-4</v>
      </c>
    </row>
    <row r="26" spans="1:24" x14ac:dyDescent="0.2">
      <c r="A26" s="126"/>
      <c r="B26" s="271" t="s">
        <v>99</v>
      </c>
      <c r="C26" s="311" t="str">
        <v>AB</v>
      </c>
      <c r="D26" s="311" t="str">
        <v>6E</v>
      </c>
      <c r="E26" s="270" t="str">
        <f t="shared" si="0"/>
        <v>EURAB6E18Y</v>
      </c>
      <c r="F26" s="270" t="str">
        <v>EURAB6E18Y=ICAP</v>
      </c>
      <c r="G26" s="312">
        <v>2.444</v>
      </c>
      <c r="H26" s="312">
        <v>2.484</v>
      </c>
      <c r="I26" s="312">
        <v>0</v>
      </c>
      <c r="J26" s="312">
        <v>0</v>
      </c>
      <c r="K26" s="390">
        <f>_xll.qlMidEquivalent($G26,$H26,$I26,$J26)</f>
        <v>2.464</v>
      </c>
      <c r="L26" s="260"/>
      <c r="M26" s="268">
        <v>2.464</v>
      </c>
      <c r="N26" s="260"/>
      <c r="O26" s="267" t="str">
        <f t="shared" si="1"/>
        <v>EURAB6E18Y_Quote</v>
      </c>
      <c r="P26" s="266">
        <v>2.464</v>
      </c>
      <c r="Q26" s="265" t="e">
        <f>_xll.qlSimpleQuoteSetValue($O26,$P26/100,Trigger)</f>
        <v>#N/A</v>
      </c>
      <c r="R26" s="221"/>
      <c r="X26" s="300">
        <f t="shared" si="2"/>
        <v>4.0000000000000034E-4</v>
      </c>
    </row>
    <row r="27" spans="1:24" x14ac:dyDescent="0.2">
      <c r="A27" s="126"/>
      <c r="B27" s="271" t="s">
        <v>98</v>
      </c>
      <c r="C27" s="311" t="str">
        <v>AB</v>
      </c>
      <c r="D27" s="311" t="str">
        <v>6E</v>
      </c>
      <c r="E27" s="270" t="str">
        <f t="shared" si="0"/>
        <v>EURAB6E19Y</v>
      </c>
      <c r="F27" s="270" t="str">
        <v>EURAB6E19Y=ICAP</v>
      </c>
      <c r="G27" s="312">
        <v>2.4580000000000002</v>
      </c>
      <c r="H27" s="312">
        <v>2.4980000000000002</v>
      </c>
      <c r="I27" s="312">
        <v>0</v>
      </c>
      <c r="J27" s="312">
        <v>0</v>
      </c>
      <c r="K27" s="390">
        <f>_xll.qlMidEquivalent($G27,$H27,$I27,$J27)</f>
        <v>2.4780000000000002</v>
      </c>
      <c r="L27" s="260"/>
      <c r="M27" s="268">
        <v>2.4780000000000002</v>
      </c>
      <c r="N27" s="260"/>
      <c r="O27" s="267" t="str">
        <f t="shared" si="1"/>
        <v>EURAB6E19Y_Quote</v>
      </c>
      <c r="P27" s="266">
        <v>2.4780000000000002</v>
      </c>
      <c r="Q27" s="265" t="e">
        <f>_xll.qlSimpleQuoteSetValue($O27,$P27/100,Trigger)</f>
        <v>#N/A</v>
      </c>
      <c r="R27" s="221"/>
      <c r="X27" s="300">
        <f t="shared" si="2"/>
        <v>4.0000000000000034E-4</v>
      </c>
    </row>
    <row r="28" spans="1:24" x14ac:dyDescent="0.2">
      <c r="A28" s="126"/>
      <c r="B28" s="271" t="s">
        <v>97</v>
      </c>
      <c r="C28" s="311" t="str">
        <v>AB</v>
      </c>
      <c r="D28" s="311" t="str">
        <v>6E</v>
      </c>
      <c r="E28" s="270" t="str">
        <f t="shared" si="0"/>
        <v>EURAB6E20Y</v>
      </c>
      <c r="F28" s="270" t="str">
        <v>EURAB6E20Y=ICAP</v>
      </c>
      <c r="G28" s="312">
        <v>2.4670000000000001</v>
      </c>
      <c r="H28" s="312">
        <v>2.5070000000000001</v>
      </c>
      <c r="I28" s="312">
        <v>0</v>
      </c>
      <c r="J28" s="312">
        <v>0</v>
      </c>
      <c r="K28" s="390">
        <f>_xll.qlMidEquivalent($G28,$H28,$I28,$J28)</f>
        <v>2.4870000000000001</v>
      </c>
      <c r="L28" s="260"/>
      <c r="M28" s="268">
        <v>2.4870000000000001</v>
      </c>
      <c r="N28" s="260"/>
      <c r="O28" s="267" t="str">
        <f t="shared" si="1"/>
        <v>EURAB6E20Y_Quote</v>
      </c>
      <c r="P28" s="266">
        <v>2.4870000000000001</v>
      </c>
      <c r="Q28" s="265" t="e">
        <f>_xll.qlSimpleQuoteSetValue($O28,$P28/100,Trigger)</f>
        <v>#N/A</v>
      </c>
      <c r="R28" s="221"/>
      <c r="X28" s="300">
        <f t="shared" si="2"/>
        <v>4.0000000000000034E-4</v>
      </c>
    </row>
    <row r="29" spans="1:24" x14ac:dyDescent="0.2">
      <c r="A29" s="126"/>
      <c r="B29" s="271" t="s">
        <v>96</v>
      </c>
      <c r="C29" s="311" t="str">
        <v>AB</v>
      </c>
      <c r="D29" s="311" t="str">
        <v>6E</v>
      </c>
      <c r="E29" s="270" t="str">
        <f t="shared" si="0"/>
        <v>EURAB6E21Y</v>
      </c>
      <c r="F29" s="270" t="str">
        <v>EURAB6E21Y=ICAP</v>
      </c>
      <c r="G29" s="312">
        <v>2.4729999999999999</v>
      </c>
      <c r="H29" s="312">
        <v>2.5129999999999999</v>
      </c>
      <c r="I29" s="312">
        <v>0</v>
      </c>
      <c r="J29" s="312">
        <v>0</v>
      </c>
      <c r="K29" s="390">
        <f>_xll.qlMidEquivalent($G29,$H29,$I29,$J29)</f>
        <v>2.4929999999999999</v>
      </c>
      <c r="L29" s="260"/>
      <c r="M29" s="268">
        <v>2.4929999999999999</v>
      </c>
      <c r="N29" s="260"/>
      <c r="O29" s="267" t="str">
        <f t="shared" si="1"/>
        <v>EURAB6E21Y_Quote</v>
      </c>
      <c r="P29" s="266">
        <v>2.4929999999999999</v>
      </c>
      <c r="Q29" s="265" t="e">
        <f>_xll.qlSimpleQuoteSetValue($O29,$P29/100,Trigger)</f>
        <v>#N/A</v>
      </c>
      <c r="R29" s="221"/>
      <c r="X29" s="300">
        <f t="shared" si="2"/>
        <v>4.0000000000000034E-4</v>
      </c>
    </row>
    <row r="30" spans="1:24" x14ac:dyDescent="0.2">
      <c r="A30" s="126"/>
      <c r="B30" s="271" t="s">
        <v>95</v>
      </c>
      <c r="C30" s="311" t="str">
        <v>AB</v>
      </c>
      <c r="D30" s="311" t="str">
        <v>6E</v>
      </c>
      <c r="E30" s="270" t="str">
        <f t="shared" si="0"/>
        <v>EURAB6E22Y</v>
      </c>
      <c r="F30" s="270" t="str">
        <v>EURAB6E22Y=ICAP</v>
      </c>
      <c r="G30" s="312">
        <v>2.4780000000000002</v>
      </c>
      <c r="H30" s="312">
        <v>2.5179999999999998</v>
      </c>
      <c r="I30" s="312">
        <v>0</v>
      </c>
      <c r="J30" s="312">
        <v>0</v>
      </c>
      <c r="K30" s="390">
        <f>_xll.qlMidEquivalent($G30,$H30,$I30,$J30)</f>
        <v>2.4980000000000002</v>
      </c>
      <c r="L30" s="260"/>
      <c r="M30" s="268">
        <v>2.4980000000000002</v>
      </c>
      <c r="N30" s="260"/>
      <c r="O30" s="267" t="str">
        <f t="shared" si="1"/>
        <v>EURAB6E22Y_Quote</v>
      </c>
      <c r="P30" s="266">
        <v>2.4980000000000002</v>
      </c>
      <c r="Q30" s="265" t="e">
        <f>_xll.qlSimpleQuoteSetValue($O30,$P30/100,Trigger)</f>
        <v>#N/A</v>
      </c>
      <c r="R30" s="221"/>
      <c r="X30" s="300">
        <f t="shared" si="2"/>
        <v>3.9999999999999145E-4</v>
      </c>
    </row>
    <row r="31" spans="1:24" x14ac:dyDescent="0.2">
      <c r="A31" s="126"/>
      <c r="B31" s="271" t="s">
        <v>94</v>
      </c>
      <c r="C31" s="311" t="str">
        <v>AB</v>
      </c>
      <c r="D31" s="311" t="str">
        <v>6E</v>
      </c>
      <c r="E31" s="270" t="str">
        <f t="shared" si="0"/>
        <v>EURAB6E23Y</v>
      </c>
      <c r="F31" s="270" t="str">
        <v>EURAB6E23Y=ICAP</v>
      </c>
      <c r="G31" s="312">
        <v>2.4809999999999999</v>
      </c>
      <c r="H31" s="312">
        <v>2.5209999999999999</v>
      </c>
      <c r="I31" s="312">
        <v>0</v>
      </c>
      <c r="J31" s="312">
        <v>0</v>
      </c>
      <c r="K31" s="390">
        <f>_xll.qlMidEquivalent($G31,$H31,$I31,$J31)</f>
        <v>2.5009999999999999</v>
      </c>
      <c r="L31" s="260"/>
      <c r="M31" s="268">
        <v>2.5009999999999999</v>
      </c>
      <c r="N31" s="260"/>
      <c r="O31" s="267" t="str">
        <f t="shared" si="1"/>
        <v>EURAB6E23Y_Quote</v>
      </c>
      <c r="P31" s="266">
        <v>2.5009999999999999</v>
      </c>
      <c r="Q31" s="265" t="e">
        <f>_xll.qlSimpleQuoteSetValue($O31,$P31/100,Trigger)</f>
        <v>#N/A</v>
      </c>
      <c r="R31" s="221"/>
      <c r="X31" s="300">
        <f t="shared" si="2"/>
        <v>4.0000000000000034E-4</v>
      </c>
    </row>
    <row r="32" spans="1:24" x14ac:dyDescent="0.2">
      <c r="A32" s="126"/>
      <c r="B32" s="271" t="s">
        <v>93</v>
      </c>
      <c r="C32" s="311" t="str">
        <v>AB</v>
      </c>
      <c r="D32" s="311" t="str">
        <v>6E</v>
      </c>
      <c r="E32" s="270" t="str">
        <f t="shared" si="0"/>
        <v>EURAB6E24Y</v>
      </c>
      <c r="F32" s="270" t="str">
        <v>EURAB6E24Y=ICAP</v>
      </c>
      <c r="G32" s="312">
        <v>2.4809999999999999</v>
      </c>
      <c r="H32" s="312">
        <v>2.5209999999999999</v>
      </c>
      <c r="I32" s="312">
        <v>0</v>
      </c>
      <c r="J32" s="312">
        <v>0</v>
      </c>
      <c r="K32" s="390">
        <f>_xll.qlMidEquivalent($G32,$H32,$I32,$J32)</f>
        <v>2.5009999999999999</v>
      </c>
      <c r="L32" s="260"/>
      <c r="M32" s="268">
        <v>2.5009999999999999</v>
      </c>
      <c r="N32" s="260"/>
      <c r="O32" s="267" t="str">
        <f t="shared" si="1"/>
        <v>EURAB6E24Y_Quote</v>
      </c>
      <c r="P32" s="266">
        <v>2.5009999999999999</v>
      </c>
      <c r="Q32" s="265" t="e">
        <f>_xll.qlSimpleQuoteSetValue($O32,$P32/100,Trigger)</f>
        <v>#N/A</v>
      </c>
      <c r="R32" s="221"/>
      <c r="X32" s="300">
        <f t="shared" si="2"/>
        <v>4.0000000000000034E-4</v>
      </c>
    </row>
    <row r="33" spans="1:24" x14ac:dyDescent="0.2">
      <c r="A33" s="126"/>
      <c r="B33" s="271" t="s">
        <v>92</v>
      </c>
      <c r="C33" s="311" t="str">
        <v>AB</v>
      </c>
      <c r="D33" s="311" t="str">
        <v>6E</v>
      </c>
      <c r="E33" s="270" t="str">
        <f t="shared" si="0"/>
        <v>EURAB6E25Y</v>
      </c>
      <c r="F33" s="270" t="str">
        <v>EURAB6E25Y=ICAP</v>
      </c>
      <c r="G33" s="312">
        <v>2.4809999999999999</v>
      </c>
      <c r="H33" s="312">
        <v>2.5209999999999999</v>
      </c>
      <c r="I33" s="312">
        <v>0</v>
      </c>
      <c r="J33" s="312">
        <v>0</v>
      </c>
      <c r="K33" s="390">
        <f>_xll.qlMidEquivalent($G33,$H33,$I33,$J33)</f>
        <v>2.5009999999999999</v>
      </c>
      <c r="L33" s="260"/>
      <c r="M33" s="268">
        <v>2.5009999999999999</v>
      </c>
      <c r="N33" s="260"/>
      <c r="O33" s="267" t="str">
        <f t="shared" si="1"/>
        <v>EURAB6E25Y_Quote</v>
      </c>
      <c r="P33" s="266">
        <v>2.5009999999999999</v>
      </c>
      <c r="Q33" s="265" t="e">
        <f>_xll.qlSimpleQuoteSetValue($O33,$P33/100,Trigger)</f>
        <v>#N/A</v>
      </c>
      <c r="R33" s="221"/>
      <c r="X33" s="300">
        <f t="shared" si="2"/>
        <v>4.0000000000000034E-4</v>
      </c>
    </row>
    <row r="34" spans="1:24" x14ac:dyDescent="0.2">
      <c r="A34" s="126"/>
      <c r="B34" s="271" t="s">
        <v>91</v>
      </c>
      <c r="C34" s="311" t="str">
        <v>AB</v>
      </c>
      <c r="D34" s="311" t="str">
        <v>6E</v>
      </c>
      <c r="E34" s="270" t="str">
        <f t="shared" si="0"/>
        <v>EURAB6E26Y</v>
      </c>
      <c r="F34" s="270" t="str">
        <v>EURAB6E26Y=ICAP</v>
      </c>
      <c r="G34" s="312">
        <v>2.48</v>
      </c>
      <c r="H34" s="312">
        <v>2.52</v>
      </c>
      <c r="I34" s="312">
        <v>0</v>
      </c>
      <c r="J34" s="312">
        <v>0</v>
      </c>
      <c r="K34" s="390">
        <f>_xll.qlMidEquivalent($G34,$H34,$I34,$J34)</f>
        <v>2.5</v>
      </c>
      <c r="L34" s="260"/>
      <c r="M34" s="268">
        <v>2.5</v>
      </c>
      <c r="N34" s="260"/>
      <c r="O34" s="267" t="str">
        <f t="shared" si="1"/>
        <v>EURAB6E26Y_Quote</v>
      </c>
      <c r="P34" s="266">
        <v>2.5</v>
      </c>
      <c r="Q34" s="265" t="e">
        <f>_xll.qlSimpleQuoteSetValue($O34,$P34/100,Trigger)</f>
        <v>#N/A</v>
      </c>
      <c r="R34" s="221"/>
      <c r="X34" s="300">
        <f t="shared" si="2"/>
        <v>4.0000000000000034E-4</v>
      </c>
    </row>
    <row r="35" spans="1:24" x14ac:dyDescent="0.2">
      <c r="A35" s="126"/>
      <c r="B35" s="271" t="s">
        <v>90</v>
      </c>
      <c r="C35" s="311" t="str">
        <v>AB</v>
      </c>
      <c r="D35" s="311" t="str">
        <v>6E</v>
      </c>
      <c r="E35" s="270" t="str">
        <f t="shared" si="0"/>
        <v>EURAB6E27Y</v>
      </c>
      <c r="F35" s="270" t="str">
        <v>EURAB6E27Y=ICAP</v>
      </c>
      <c r="G35" s="312">
        <v>2.4780000000000002</v>
      </c>
      <c r="H35" s="312">
        <v>2.5179999999999998</v>
      </c>
      <c r="I35" s="312">
        <v>0</v>
      </c>
      <c r="J35" s="312">
        <v>0</v>
      </c>
      <c r="K35" s="390">
        <f>_xll.qlMidEquivalent($G35,$H35,$I35,$J35)</f>
        <v>2.4980000000000002</v>
      </c>
      <c r="L35" s="260"/>
      <c r="M35" s="268">
        <v>2.4980000000000002</v>
      </c>
      <c r="N35" s="260"/>
      <c r="O35" s="267" t="str">
        <f t="shared" si="1"/>
        <v>EURAB6E27Y_Quote</v>
      </c>
      <c r="P35" s="266">
        <v>2.4980000000000002</v>
      </c>
      <c r="Q35" s="265" t="e">
        <f>_xll.qlSimpleQuoteSetValue($O35,$P35/100,Trigger)</f>
        <v>#N/A</v>
      </c>
      <c r="R35" s="221"/>
      <c r="X35" s="300">
        <f t="shared" si="2"/>
        <v>3.9999999999999145E-4</v>
      </c>
    </row>
    <row r="36" spans="1:24" x14ac:dyDescent="0.2">
      <c r="A36" s="126"/>
      <c r="B36" s="271" t="s">
        <v>89</v>
      </c>
      <c r="C36" s="311" t="str">
        <v>AB</v>
      </c>
      <c r="D36" s="311" t="str">
        <v>6E</v>
      </c>
      <c r="E36" s="270" t="str">
        <f t="shared" si="0"/>
        <v>EURAB6E28Y</v>
      </c>
      <c r="F36" s="270" t="str">
        <v>EURAB6E28Y=ICAP</v>
      </c>
      <c r="G36" s="312">
        <v>2.4750000000000001</v>
      </c>
      <c r="H36" s="312">
        <v>2.5150000000000001</v>
      </c>
      <c r="I36" s="312">
        <v>0</v>
      </c>
      <c r="J36" s="312">
        <v>0</v>
      </c>
      <c r="K36" s="390">
        <f>_xll.qlMidEquivalent($G36,$H36,$I36,$J36)</f>
        <v>2.4950000000000001</v>
      </c>
      <c r="L36" s="260"/>
      <c r="M36" s="268">
        <v>2.4950000000000001</v>
      </c>
      <c r="N36" s="260"/>
      <c r="O36" s="267" t="str">
        <f t="shared" si="1"/>
        <v>EURAB6E28Y_Quote</v>
      </c>
      <c r="P36" s="266">
        <v>2.4950000000000001</v>
      </c>
      <c r="Q36" s="265" t="e">
        <f>_xll.qlSimpleQuoteSetValue($O36,$P36/100,Trigger)</f>
        <v>#N/A</v>
      </c>
      <c r="R36" s="221"/>
      <c r="X36" s="300">
        <f t="shared" si="2"/>
        <v>4.0000000000000034E-4</v>
      </c>
    </row>
    <row r="37" spans="1:24" x14ac:dyDescent="0.2">
      <c r="A37" s="126"/>
      <c r="B37" s="271" t="s">
        <v>88</v>
      </c>
      <c r="C37" s="311" t="str">
        <v>AB</v>
      </c>
      <c r="D37" s="311" t="str">
        <v>6E</v>
      </c>
      <c r="E37" s="270" t="str">
        <f t="shared" si="0"/>
        <v>EURAB6E29Y</v>
      </c>
      <c r="F37" s="270" t="str">
        <v>EURAB6E29Y=ICAP</v>
      </c>
      <c r="G37" s="312">
        <v>2.4740000000000002</v>
      </c>
      <c r="H37" s="312">
        <v>2.5139999999999998</v>
      </c>
      <c r="I37" s="312">
        <v>0</v>
      </c>
      <c r="J37" s="312">
        <v>0</v>
      </c>
      <c r="K37" s="390">
        <f>_xll.qlMidEquivalent($G37,$H37,$I37,$J37)</f>
        <v>2.4939999999999998</v>
      </c>
      <c r="L37" s="260"/>
      <c r="M37" s="268">
        <v>2.4939999999999998</v>
      </c>
      <c r="N37" s="260"/>
      <c r="O37" s="267" t="str">
        <f t="shared" si="1"/>
        <v>EURAB6E29Y_Quote</v>
      </c>
      <c r="P37" s="266">
        <v>2.4939999999999998</v>
      </c>
      <c r="Q37" s="265" t="e">
        <f>_xll.qlSimpleQuoteSetValue($O37,$P37/100,Trigger)</f>
        <v>#N/A</v>
      </c>
      <c r="R37" s="221"/>
      <c r="X37" s="300">
        <f t="shared" si="2"/>
        <v>4.0000000000000034E-4</v>
      </c>
    </row>
    <row r="38" spans="1:24" x14ac:dyDescent="0.2">
      <c r="A38" s="126"/>
      <c r="B38" s="271" t="s">
        <v>87</v>
      </c>
      <c r="C38" s="311" t="str">
        <v>AB</v>
      </c>
      <c r="D38" s="311" t="str">
        <v>6E</v>
      </c>
      <c r="E38" s="270" t="str">
        <f t="shared" si="0"/>
        <v>EURAB6E30Y</v>
      </c>
      <c r="F38" s="270" t="str">
        <v>EURAB6E30Y=ICAP</v>
      </c>
      <c r="G38" s="312">
        <v>2.4729999999999999</v>
      </c>
      <c r="H38" s="312">
        <v>2.5129999999999999</v>
      </c>
      <c r="I38" s="312">
        <v>0</v>
      </c>
      <c r="J38" s="312">
        <v>0</v>
      </c>
      <c r="K38" s="390">
        <f>_xll.qlMidEquivalent($G38,$H38,$I38,$J38)</f>
        <v>2.4929999999999999</v>
      </c>
      <c r="L38" s="260"/>
      <c r="M38" s="268">
        <v>2.4929999999999999</v>
      </c>
      <c r="N38" s="260"/>
      <c r="O38" s="267" t="str">
        <f t="shared" si="1"/>
        <v>EURAB6E30Y_Quote</v>
      </c>
      <c r="P38" s="266">
        <v>2.4929999999999999</v>
      </c>
      <c r="Q38" s="265" t="e">
        <f>_xll.qlSimpleQuoteSetValue($O38,$P38/100,Trigger)</f>
        <v>#N/A</v>
      </c>
      <c r="R38" s="221"/>
      <c r="X38" s="300">
        <f t="shared" si="2"/>
        <v>4.0000000000000034E-4</v>
      </c>
    </row>
    <row r="39" spans="1:24" x14ac:dyDescent="0.2">
      <c r="A39" s="126"/>
      <c r="B39" s="271" t="s">
        <v>82</v>
      </c>
      <c r="C39" s="311" t="str">
        <v>AB</v>
      </c>
      <c r="D39" s="311" t="str">
        <v>6E</v>
      </c>
      <c r="E39" s="270" t="str">
        <f t="shared" si="0"/>
        <v>EURAB6E35Y</v>
      </c>
      <c r="F39" s="270" t="str">
        <v>EURAB6E35Y=ICAP</v>
      </c>
      <c r="G39" s="312">
        <v>2.4870000000000001</v>
      </c>
      <c r="H39" s="312">
        <v>2.5270000000000001</v>
      </c>
      <c r="I39" s="312">
        <v>0</v>
      </c>
      <c r="J39" s="312">
        <v>0</v>
      </c>
      <c r="K39" s="390">
        <f>_xll.qlMidEquivalent($G39,$H39,$I39,$J39)</f>
        <v>2.5070000000000001</v>
      </c>
      <c r="L39" s="260"/>
      <c r="M39" s="268">
        <v>2.5070000000000001</v>
      </c>
      <c r="N39" s="260"/>
      <c r="O39" s="267" t="str">
        <f t="shared" si="1"/>
        <v>EURAB6E35Y_Quote</v>
      </c>
      <c r="P39" s="266">
        <v>2.5070000000000001</v>
      </c>
      <c r="Q39" s="265" t="e">
        <f>_xll.qlSimpleQuoteSetValue($O39,$P39/100,Trigger)</f>
        <v>#N/A</v>
      </c>
      <c r="R39" s="221"/>
      <c r="X39" s="300">
        <f t="shared" si="2"/>
        <v>4.0000000000000034E-4</v>
      </c>
    </row>
    <row r="40" spans="1:24" x14ac:dyDescent="0.2">
      <c r="A40" s="126"/>
      <c r="B40" s="271" t="s">
        <v>77</v>
      </c>
      <c r="C40" s="311" t="str">
        <v>AB</v>
      </c>
      <c r="D40" s="311" t="str">
        <v>6E</v>
      </c>
      <c r="E40" s="270" t="str">
        <f t="shared" si="0"/>
        <v>EURAB6E40Y</v>
      </c>
      <c r="F40" s="270" t="str">
        <v>EURAB6E40Y=ICAP</v>
      </c>
      <c r="G40" s="312">
        <v>2.5150000000000001</v>
      </c>
      <c r="H40" s="312">
        <v>2.5550000000000002</v>
      </c>
      <c r="I40" s="312">
        <v>0</v>
      </c>
      <c r="J40" s="312">
        <v>0</v>
      </c>
      <c r="K40" s="390">
        <f>_xll.qlMidEquivalent($G40,$H40,$I40,$J40)</f>
        <v>2.5350000000000001</v>
      </c>
      <c r="L40" s="260"/>
      <c r="M40" s="268">
        <v>2.5350000000000001</v>
      </c>
      <c r="N40" s="260"/>
      <c r="O40" s="267" t="str">
        <f t="shared" si="1"/>
        <v>EURAB6E40Y_Quote</v>
      </c>
      <c r="P40" s="266">
        <v>2.5350000000000001</v>
      </c>
      <c r="Q40" s="265" t="e">
        <f>_xll.qlSimpleQuoteSetValue($O40,$P40/100,Trigger)</f>
        <v>#N/A</v>
      </c>
      <c r="R40" s="221"/>
      <c r="X40" s="300">
        <f t="shared" si="2"/>
        <v>4.0000000000000034E-4</v>
      </c>
    </row>
    <row r="41" spans="1:24" x14ac:dyDescent="0.2">
      <c r="A41" s="126"/>
      <c r="B41" s="271" t="s">
        <v>67</v>
      </c>
      <c r="C41" s="311" t="str">
        <v>AB</v>
      </c>
      <c r="D41" s="311" t="str">
        <v>6E</v>
      </c>
      <c r="E41" s="270" t="str">
        <f t="shared" si="0"/>
        <v>EURAB6E50Y</v>
      </c>
      <c r="F41" s="270" t="str">
        <v>EURAB6E50Y=ICAP</v>
      </c>
      <c r="G41" s="312">
        <v>2.5590000000000002</v>
      </c>
      <c r="H41" s="312">
        <v>2.5990000000000002</v>
      </c>
      <c r="I41" s="312">
        <v>0</v>
      </c>
      <c r="J41" s="312">
        <v>0</v>
      </c>
      <c r="K41" s="390">
        <f>_xll.qlMidEquivalent($G41,$H41,$I41,$J41)</f>
        <v>2.5790000000000002</v>
      </c>
      <c r="L41" s="260"/>
      <c r="M41" s="268">
        <v>2.5790000000000002</v>
      </c>
      <c r="N41" s="260"/>
      <c r="O41" s="267" t="str">
        <f t="shared" si="1"/>
        <v>EURAB6E50Y_Quote</v>
      </c>
      <c r="P41" s="266">
        <v>2.5790000000000002</v>
      </c>
      <c r="Q41" s="265" t="e">
        <f>_xll.qlSimpleQuoteSetValue($O41,$P41/100,Trigger)</f>
        <v>#N/A</v>
      </c>
      <c r="R41" s="221"/>
      <c r="X41" s="300">
        <f t="shared" si="2"/>
        <v>4.0000000000000034E-4</v>
      </c>
    </row>
    <row r="42" spans="1:24" x14ac:dyDescent="0.2">
      <c r="A42" s="126"/>
      <c r="B42" s="264" t="s">
        <v>57</v>
      </c>
      <c r="C42" s="317" t="str">
        <v>AB</v>
      </c>
      <c r="D42" s="317" t="str">
        <v>6E</v>
      </c>
      <c r="E42" s="263" t="str">
        <f t="shared" si="0"/>
        <v>EURAB6E60Y</v>
      </c>
      <c r="F42" s="263" t="str">
        <v>EURAB6E60Y=ICAP</v>
      </c>
      <c r="G42" s="318">
        <v>2.59</v>
      </c>
      <c r="H42" s="318">
        <v>2.63</v>
      </c>
      <c r="I42" s="318">
        <v>0</v>
      </c>
      <c r="J42" s="318">
        <v>0</v>
      </c>
      <c r="K42" s="389">
        <f>_xll.qlMidEquivalent($G42,$H42,$I42,$J42)</f>
        <v>2.61</v>
      </c>
      <c r="L42" s="260"/>
      <c r="M42" s="261">
        <v>2.61</v>
      </c>
      <c r="N42" s="260"/>
      <c r="O42" s="259" t="str">
        <f t="shared" si="1"/>
        <v>EURAB6E60Y_Quote</v>
      </c>
      <c r="P42" s="258">
        <v>2.61</v>
      </c>
      <c r="Q42" s="257" t="e">
        <f>_xll.qlSimpleQuoteSetValue($O42,$P42/100,Trigger)</f>
        <v>#N/A</v>
      </c>
      <c r="R42" s="221"/>
      <c r="X42" s="300">
        <f t="shared" si="2"/>
        <v>4.0000000000000034E-4</v>
      </c>
    </row>
    <row r="43" spans="1:24" ht="12" thickBot="1" x14ac:dyDescent="0.25">
      <c r="A43" s="52"/>
      <c r="B43" s="51"/>
      <c r="C43" s="51"/>
      <c r="D43" s="51"/>
      <c r="E43" s="51"/>
      <c r="F43" s="51"/>
      <c r="G43" s="51"/>
      <c r="H43" s="51"/>
      <c r="I43" s="51"/>
      <c r="J43" s="51"/>
      <c r="K43" s="51"/>
      <c r="L43" s="51"/>
      <c r="M43" s="51"/>
      <c r="N43" s="51"/>
      <c r="O43" s="51"/>
      <c r="P43" s="51"/>
      <c r="Q43" s="51"/>
      <c r="R43"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V65"/>
  <sheetViews>
    <sheetView workbookViewId="0"/>
  </sheetViews>
  <sheetFormatPr defaultRowHeight="11.25" x14ac:dyDescent="0.2"/>
  <cols>
    <col min="1" max="1" width="5" style="21" customWidth="1"/>
    <col min="2" max="2" width="3.85546875" style="21" bestFit="1" customWidth="1"/>
    <col min="3" max="4" width="2.7109375" style="21" bestFit="1" customWidth="1"/>
    <col min="5" max="5" width="10.28515625" style="21" bestFit="1" customWidth="1"/>
    <col min="6" max="6" width="14.5703125" style="21" bestFit="1" customWidth="1"/>
    <col min="7" max="7" width="4.85546875" style="21" bestFit="1" customWidth="1"/>
    <col min="8" max="8" width="4.140625" style="21" bestFit="1" customWidth="1"/>
    <col min="9" max="9" width="9" style="21" bestFit="1" customWidth="1"/>
    <col min="10" max="11" width="5.7109375" style="21" bestFit="1" customWidth="1"/>
    <col min="12" max="12" width="4" style="21" customWidth="1"/>
    <col min="13" max="13" width="5.28515625" style="21" bestFit="1" customWidth="1"/>
    <col min="14" max="14" width="4.140625" style="21" customWidth="1"/>
    <col min="15" max="15" width="15.425781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16384" width="9.140625" style="21"/>
  </cols>
  <sheetData>
    <row r="1" spans="1:22" x14ac:dyDescent="0.2">
      <c r="A1" s="332" t="s">
        <v>311</v>
      </c>
      <c r="B1" s="203"/>
      <c r="C1" s="203"/>
      <c r="D1" s="203"/>
      <c r="E1" s="203"/>
      <c r="F1" s="203"/>
      <c r="G1" s="203"/>
      <c r="H1" s="203"/>
      <c r="I1" s="203"/>
      <c r="J1" s="203"/>
      <c r="K1" s="203"/>
      <c r="L1" s="203"/>
      <c r="M1" s="203"/>
      <c r="N1" s="203"/>
      <c r="O1" s="203"/>
      <c r="P1" s="203"/>
      <c r="Q1" s="203"/>
      <c r="R1" s="200"/>
    </row>
    <row r="2" spans="1:22" x14ac:dyDescent="0.2">
      <c r="A2" s="297"/>
      <c r="B2" s="260"/>
      <c r="C2" s="260"/>
      <c r="D2" s="260"/>
      <c r="E2" s="260"/>
      <c r="F2" s="148" t="s">
        <v>236</v>
      </c>
      <c r="G2" s="260"/>
      <c r="H2" s="260"/>
      <c r="I2" s="260"/>
      <c r="J2" s="260"/>
      <c r="K2" s="141"/>
      <c r="L2" s="260"/>
      <c r="M2" s="260"/>
      <c r="N2" s="260"/>
      <c r="O2" s="408" t="s">
        <v>255</v>
      </c>
      <c r="P2" s="148" t="s">
        <v>147</v>
      </c>
      <c r="Q2" s="141"/>
      <c r="R2" s="53"/>
    </row>
    <row r="3" spans="1:22" x14ac:dyDescent="0.2">
      <c r="A3" s="126"/>
      <c r="B3" s="260"/>
      <c r="C3" s="141"/>
      <c r="D3" s="141"/>
      <c r="E3" s="141"/>
      <c r="F3" s="141" t="str">
        <f>_xll.qlInterpolation(,InterpolationType,_xll.ohFilter(A5:A42,J5:J42),_xll.ohFilter(I5:I42,J5:J42))</f>
        <v>obj_004c8#0019</v>
      </c>
      <c r="G3" s="141"/>
      <c r="H3" s="141"/>
      <c r="I3" s="141"/>
      <c r="J3" s="141"/>
      <c r="K3" s="141"/>
      <c r="L3" s="260"/>
      <c r="M3" s="260"/>
      <c r="N3" s="260"/>
      <c r="O3" s="141"/>
      <c r="P3" s="141"/>
      <c r="Q3" s="292">
        <f>_xll.ohTrigger(Q5:Q42)</f>
        <v>22</v>
      </c>
      <c r="R3" s="221"/>
    </row>
    <row r="4" spans="1:22" ht="23.25" thickBot="1" x14ac:dyDescent="0.25">
      <c r="A4" s="126"/>
      <c r="B4" s="392"/>
      <c r="C4" s="198"/>
      <c r="D4" s="198"/>
      <c r="E4" s="198"/>
      <c r="F4" s="291" t="e">
        <f ca="1">_xll.RData(F5:F42,G4:H4,,ReutersRtMode,,G5)</f>
        <v>#NAME?</v>
      </c>
      <c r="G4" s="329" t="s">
        <v>259</v>
      </c>
      <c r="H4" s="329" t="s">
        <v>226</v>
      </c>
      <c r="I4" s="329" t="s">
        <v>286</v>
      </c>
      <c r="J4" s="329"/>
      <c r="K4" s="286" t="s">
        <v>285</v>
      </c>
      <c r="L4" s="260"/>
      <c r="M4" s="289" t="s">
        <v>253</v>
      </c>
      <c r="N4" s="260"/>
      <c r="O4" s="288" t="s">
        <v>252</v>
      </c>
      <c r="P4" s="391" t="s">
        <v>251</v>
      </c>
      <c r="Q4" s="98" t="s">
        <v>250</v>
      </c>
      <c r="R4" s="221"/>
    </row>
    <row r="5" spans="1:22" x14ac:dyDescent="0.2">
      <c r="A5" s="407">
        <v>0.5</v>
      </c>
      <c r="B5" s="314" t="s">
        <v>40</v>
      </c>
      <c r="C5" s="313" t="str">
        <f t="array" ref="C5:C42">VLOOKUP(Currency,Conventions,2)</f>
        <v>1E</v>
      </c>
      <c r="D5" s="313" t="str">
        <f t="array" ref="D5:D42">VLOOKUP(Currency,Conventions,3)</f>
        <v>6E</v>
      </c>
      <c r="E5" s="311" t="str">
        <f t="shared" ref="E5:E42" si="0">Currency&amp;$C5&amp;$D5&amp;$B5</f>
        <v>EUR1E6E6M</v>
      </c>
      <c r="F5" s="270" t="str">
        <f t="array" ref="F5:F42">Instruments&amp;"="&amp;VLOOKUP(Contributor,ContributorTable,2,FALSE)</f>
        <v>EUR1E6E6M=ICAP</v>
      </c>
      <c r="G5" s="406" t="s">
        <v>260</v>
      </c>
      <c r="H5" s="406" t="s">
        <v>260</v>
      </c>
      <c r="I5" s="406" t="e">
        <f>_xll.qlMidEquivalent(G5,H5)</f>
        <v>#NUM!</v>
      </c>
      <c r="J5" s="266" t="b">
        <f t="shared" ref="J5:J42" si="1">IF(ISNUMBER(I5),TRUE,FALSE)</f>
        <v>0</v>
      </c>
      <c r="K5" s="405" t="e">
        <f t="array" ref="K5:K42">_xll.qlInterpolationInterpolate(F3,A5:A42)</f>
        <v>#NUM!</v>
      </c>
      <c r="L5" s="260"/>
      <c r="M5" s="404" t="e">
        <v>#NUM!</v>
      </c>
      <c r="N5" s="260"/>
      <c r="O5" s="267" t="str">
        <f t="shared" ref="O5:O42" si="2">$E5&amp;$P$2</f>
        <v>EUR1E6E6M_Quote</v>
      </c>
      <c r="P5" s="403" t="e">
        <f t="array" ref="P5:P42">QuoteLive</f>
        <v>#NUM!</v>
      </c>
      <c r="Q5" s="265" t="e">
        <f>_xll.qlSimpleQuoteSetValue($O5,ROUND($P5/10000,6),Trigger)</f>
        <v>#NUM!</v>
      </c>
      <c r="R5" s="221"/>
      <c r="T5" s="93" t="s">
        <v>137</v>
      </c>
      <c r="U5" s="92" t="s">
        <v>129</v>
      </c>
      <c r="V5" s="91" t="s">
        <v>132</v>
      </c>
    </row>
    <row r="6" spans="1:22" x14ac:dyDescent="0.2">
      <c r="A6" s="407">
        <v>1</v>
      </c>
      <c r="B6" s="314" t="s">
        <v>34</v>
      </c>
      <c r="C6" s="313" t="str">
        <v>1E</v>
      </c>
      <c r="D6" s="313" t="str">
        <v>6E</v>
      </c>
      <c r="E6" s="311" t="str">
        <f t="shared" si="0"/>
        <v>EUR1E6E1Y</v>
      </c>
      <c r="F6" s="270" t="str">
        <v>EUR1E6E1Y=ICAP</v>
      </c>
      <c r="G6" s="406">
        <v>22</v>
      </c>
      <c r="H6" s="406">
        <v>0</v>
      </c>
      <c r="I6" s="406">
        <f>_xll.qlMidEquivalent(G6,H6)</f>
        <v>22</v>
      </c>
      <c r="J6" s="266" t="b">
        <f t="shared" si="1"/>
        <v>1</v>
      </c>
      <c r="K6" s="405">
        <v>22</v>
      </c>
      <c r="L6" s="260"/>
      <c r="M6" s="404">
        <v>22</v>
      </c>
      <c r="N6" s="260"/>
      <c r="O6" s="267" t="str">
        <f t="shared" si="2"/>
        <v>EUR1E6E1Y_Quote</v>
      </c>
      <c r="P6" s="403">
        <v>22</v>
      </c>
      <c r="Q6" s="265" t="e">
        <f>_xll.qlSimpleQuoteSetValue($O6,ROUND($P6/10000,6),Trigger)</f>
        <v>#N/A</v>
      </c>
      <c r="R6" s="221"/>
      <c r="T6" s="90" t="s">
        <v>123</v>
      </c>
      <c r="U6" s="89" t="s">
        <v>136</v>
      </c>
      <c r="V6" s="88" t="s">
        <v>135</v>
      </c>
    </row>
    <row r="7" spans="1:22" x14ac:dyDescent="0.2">
      <c r="A7" s="407">
        <v>1.25</v>
      </c>
      <c r="B7" s="314" t="s">
        <v>140</v>
      </c>
      <c r="C7" s="313" t="str">
        <v>1E</v>
      </c>
      <c r="D7" s="313" t="str">
        <v>6E</v>
      </c>
      <c r="E7" s="311" t="str">
        <f t="shared" si="0"/>
        <v>EUR1E6E15M</v>
      </c>
      <c r="F7" s="270" t="str">
        <v>EUR1E6E15M=ICAP</v>
      </c>
      <c r="G7" s="406" t="s">
        <v>260</v>
      </c>
      <c r="H7" s="406" t="s">
        <v>260</v>
      </c>
      <c r="I7" s="406" t="e">
        <f>_xll.qlMidEquivalent(G7,H7)</f>
        <v>#NUM!</v>
      </c>
      <c r="J7" s="266" t="b">
        <f t="shared" si="1"/>
        <v>0</v>
      </c>
      <c r="K7" s="405">
        <v>22.978821515415554</v>
      </c>
      <c r="L7" s="260"/>
      <c r="M7" s="404">
        <v>22.978630018969486</v>
      </c>
      <c r="N7" s="260"/>
      <c r="O7" s="267" t="str">
        <f t="shared" si="2"/>
        <v>EUR1E6E15M_Quote</v>
      </c>
      <c r="P7" s="403">
        <v>22.978821515415554</v>
      </c>
      <c r="Q7" s="265" t="e">
        <f>_xll.qlSimpleQuoteSetValue($O7,ROUND($P7/10000,6),Trigger)</f>
        <v>#N/A</v>
      </c>
      <c r="R7" s="221"/>
      <c r="T7" s="90" t="s">
        <v>134</v>
      </c>
      <c r="U7" s="89" t="s">
        <v>129</v>
      </c>
      <c r="V7" s="88" t="s">
        <v>132</v>
      </c>
    </row>
    <row r="8" spans="1:22" x14ac:dyDescent="0.2">
      <c r="A8" s="407">
        <v>1.5</v>
      </c>
      <c r="B8" s="314" t="s">
        <v>139</v>
      </c>
      <c r="C8" s="313" t="str">
        <v>1E</v>
      </c>
      <c r="D8" s="313" t="str">
        <v>6E</v>
      </c>
      <c r="E8" s="311" t="str">
        <f t="shared" si="0"/>
        <v>EUR1E6E18M</v>
      </c>
      <c r="F8" s="270" t="str">
        <v>EUR1E6E18M=ICAP</v>
      </c>
      <c r="G8" s="406" t="s">
        <v>260</v>
      </c>
      <c r="H8" s="406" t="s">
        <v>260</v>
      </c>
      <c r="I8" s="406" t="e">
        <f>_xll.qlMidEquivalent(G8,H8)</f>
        <v>#NUM!</v>
      </c>
      <c r="J8" s="266" t="b">
        <f t="shared" si="1"/>
        <v>0</v>
      </c>
      <c r="K8" s="405">
        <v>23.906114424664885</v>
      </c>
      <c r="L8" s="260"/>
      <c r="M8" s="404">
        <v>23.905808030351182</v>
      </c>
      <c r="N8" s="260"/>
      <c r="O8" s="267" t="str">
        <f t="shared" si="2"/>
        <v>EUR1E6E18M_Quote</v>
      </c>
      <c r="P8" s="403">
        <v>23.906114424664885</v>
      </c>
      <c r="Q8" s="265" t="e">
        <f>_xll.qlSimpleQuoteSetValue($O8,ROUND($P8/10000,6),Trigger)</f>
        <v>#N/A</v>
      </c>
      <c r="R8" s="221"/>
      <c r="T8" s="90" t="s">
        <v>133</v>
      </c>
      <c r="U8" s="89" t="s">
        <v>129</v>
      </c>
      <c r="V8" s="88" t="s">
        <v>132</v>
      </c>
    </row>
    <row r="9" spans="1:22" ht="12" thickBot="1" x14ac:dyDescent="0.25">
      <c r="A9" s="407">
        <v>1.75</v>
      </c>
      <c r="B9" s="314" t="s">
        <v>138</v>
      </c>
      <c r="C9" s="313" t="str">
        <v>1E</v>
      </c>
      <c r="D9" s="313" t="str">
        <v>6E</v>
      </c>
      <c r="E9" s="311" t="str">
        <f t="shared" si="0"/>
        <v>EUR1E6E21M</v>
      </c>
      <c r="F9" s="270" t="str">
        <v>EUR1E6E21M=ICAP</v>
      </c>
      <c r="G9" s="406" t="s">
        <v>260</v>
      </c>
      <c r="H9" s="406" t="s">
        <v>260</v>
      </c>
      <c r="I9" s="406" t="e">
        <f>_xll.qlMidEquivalent(G9,H9)</f>
        <v>#NUM!</v>
      </c>
      <c r="J9" s="266" t="b">
        <f t="shared" si="1"/>
        <v>0</v>
      </c>
      <c r="K9" s="405">
        <v>24.730350121581775</v>
      </c>
      <c r="L9" s="260"/>
      <c r="M9" s="404">
        <v>24.730082026557284</v>
      </c>
      <c r="N9" s="260"/>
      <c r="O9" s="267" t="str">
        <f t="shared" si="2"/>
        <v>EUR1E6E21M_Quote</v>
      </c>
      <c r="P9" s="403">
        <v>24.730350121581775</v>
      </c>
      <c r="Q9" s="265" t="e">
        <f>_xll.qlSimpleQuoteSetValue($O9,ROUND($P9/10000,6),Trigger)</f>
        <v>#N/A</v>
      </c>
      <c r="R9" s="221"/>
      <c r="T9" s="87" t="s">
        <v>131</v>
      </c>
      <c r="U9" s="86" t="s">
        <v>130</v>
      </c>
      <c r="V9" s="85" t="s">
        <v>129</v>
      </c>
    </row>
    <row r="10" spans="1:22" x14ac:dyDescent="0.2">
      <c r="A10" s="126">
        <v>2</v>
      </c>
      <c r="B10" s="314" t="s">
        <v>115</v>
      </c>
      <c r="C10" s="313" t="str">
        <v>1E</v>
      </c>
      <c r="D10" s="313" t="str">
        <v>6E</v>
      </c>
      <c r="E10" s="311" t="str">
        <f t="shared" si="0"/>
        <v>EUR1E6E2Y</v>
      </c>
      <c r="F10" s="270" t="str">
        <v>EUR1E6E2Y=ICAP</v>
      </c>
      <c r="G10" s="406">
        <v>25.4</v>
      </c>
      <c r="H10" s="406">
        <v>0</v>
      </c>
      <c r="I10" s="406">
        <f>_xll.qlMidEquivalent(G10,H10)</f>
        <v>25.4</v>
      </c>
      <c r="J10" s="266" t="b">
        <f t="shared" si="1"/>
        <v>1</v>
      </c>
      <c r="K10" s="405">
        <v>25.4</v>
      </c>
      <c r="L10" s="260"/>
      <c r="M10" s="404">
        <v>25.4</v>
      </c>
      <c r="N10" s="260"/>
      <c r="O10" s="267" t="str">
        <f t="shared" si="2"/>
        <v>EUR1E6E2Y_Quote</v>
      </c>
      <c r="P10" s="403">
        <v>25.4</v>
      </c>
      <c r="Q10" s="265" t="e">
        <f>_xll.qlSimpleQuoteSetValue($O10,ROUND($P10/10000,6),Trigger)</f>
        <v>#N/A</v>
      </c>
      <c r="R10" s="221"/>
    </row>
    <row r="11" spans="1:22" x14ac:dyDescent="0.2">
      <c r="A11" s="126">
        <v>3</v>
      </c>
      <c r="B11" s="314" t="s">
        <v>114</v>
      </c>
      <c r="C11" s="313" t="str">
        <v>1E</v>
      </c>
      <c r="D11" s="313" t="str">
        <v>6E</v>
      </c>
      <c r="E11" s="311" t="str">
        <f t="shared" si="0"/>
        <v>EUR1E6E3Y</v>
      </c>
      <c r="F11" s="270" t="str">
        <v>EUR1E6E3Y=ICAP</v>
      </c>
      <c r="G11" s="406">
        <v>26.5</v>
      </c>
      <c r="H11" s="406">
        <v>0</v>
      </c>
      <c r="I11" s="406">
        <f>_xll.qlMidEquivalent(G11,H11)</f>
        <v>26.5</v>
      </c>
      <c r="J11" s="266" t="b">
        <f t="shared" si="1"/>
        <v>1</v>
      </c>
      <c r="K11" s="405">
        <v>26.5</v>
      </c>
      <c r="L11" s="260"/>
      <c r="M11" s="404">
        <v>26.5</v>
      </c>
      <c r="N11" s="260"/>
      <c r="O11" s="267" t="str">
        <f t="shared" si="2"/>
        <v>EUR1E6E3Y_Quote</v>
      </c>
      <c r="P11" s="403">
        <v>26.5</v>
      </c>
      <c r="Q11" s="265" t="e">
        <f>_xll.qlSimpleQuoteSetValue($O11,ROUND($P11/10000,6),Trigger)</f>
        <v>#N/A</v>
      </c>
      <c r="R11" s="221"/>
    </row>
    <row r="12" spans="1:22" x14ac:dyDescent="0.2">
      <c r="A12" s="126">
        <v>4</v>
      </c>
      <c r="B12" s="314" t="s">
        <v>113</v>
      </c>
      <c r="C12" s="313" t="str">
        <v>1E</v>
      </c>
      <c r="D12" s="313" t="str">
        <v>6E</v>
      </c>
      <c r="E12" s="311" t="str">
        <f t="shared" si="0"/>
        <v>EUR1E6E4Y</v>
      </c>
      <c r="F12" s="270" t="str">
        <v>EUR1E6E4Y=ICAP</v>
      </c>
      <c r="G12" s="406">
        <v>26.6</v>
      </c>
      <c r="H12" s="406">
        <v>0</v>
      </c>
      <c r="I12" s="406">
        <f>_xll.qlMidEquivalent(G12,H12)</f>
        <v>26.6</v>
      </c>
      <c r="J12" s="266" t="b">
        <f t="shared" si="1"/>
        <v>1</v>
      </c>
      <c r="K12" s="405">
        <v>26.6</v>
      </c>
      <c r="L12" s="260"/>
      <c r="M12" s="404">
        <v>26.6</v>
      </c>
      <c r="N12" s="260"/>
      <c r="O12" s="267" t="str">
        <f t="shared" si="2"/>
        <v>EUR1E6E4Y_Quote</v>
      </c>
      <c r="P12" s="403">
        <v>26.6</v>
      </c>
      <c r="Q12" s="265" t="e">
        <f>_xll.qlSimpleQuoteSetValue($O12,ROUND($P12/10000,6),Trigger)</f>
        <v>#N/A</v>
      </c>
      <c r="R12" s="221"/>
    </row>
    <row r="13" spans="1:22" x14ac:dyDescent="0.2">
      <c r="A13" s="126">
        <v>5</v>
      </c>
      <c r="B13" s="314" t="s">
        <v>112</v>
      </c>
      <c r="C13" s="313" t="str">
        <v>1E</v>
      </c>
      <c r="D13" s="313" t="str">
        <v>6E</v>
      </c>
      <c r="E13" s="311" t="str">
        <f t="shared" si="0"/>
        <v>EUR1E6E5Y</v>
      </c>
      <c r="F13" s="270" t="str">
        <v>EUR1E6E5Y=ICAP</v>
      </c>
      <c r="G13" s="406">
        <v>26.4</v>
      </c>
      <c r="H13" s="406">
        <v>0</v>
      </c>
      <c r="I13" s="406">
        <f>_xll.qlMidEquivalent(G13,H13)</f>
        <v>26.4</v>
      </c>
      <c r="J13" s="266" t="b">
        <f t="shared" si="1"/>
        <v>1</v>
      </c>
      <c r="K13" s="405">
        <v>26.4</v>
      </c>
      <c r="L13" s="260"/>
      <c r="M13" s="404">
        <v>26.4</v>
      </c>
      <c r="N13" s="260"/>
      <c r="O13" s="267" t="str">
        <f t="shared" si="2"/>
        <v>EUR1E6E5Y_Quote</v>
      </c>
      <c r="P13" s="403">
        <v>26.4</v>
      </c>
      <c r="Q13" s="265" t="e">
        <f>_xll.qlSimpleQuoteSetValue($O13,ROUND($P13/10000,6),Trigger)</f>
        <v>#N/A</v>
      </c>
      <c r="R13" s="221"/>
    </row>
    <row r="14" spans="1:22" x14ac:dyDescent="0.2">
      <c r="A14" s="126">
        <v>6</v>
      </c>
      <c r="B14" s="314" t="s">
        <v>111</v>
      </c>
      <c r="C14" s="313" t="str">
        <v>1E</v>
      </c>
      <c r="D14" s="313" t="str">
        <v>6E</v>
      </c>
      <c r="E14" s="311" t="str">
        <f t="shared" si="0"/>
        <v>EUR1E6E6Y</v>
      </c>
      <c r="F14" s="270" t="str">
        <v>EUR1E6E6Y=ICAP</v>
      </c>
      <c r="G14" s="406">
        <v>26</v>
      </c>
      <c r="H14" s="406">
        <v>0</v>
      </c>
      <c r="I14" s="406">
        <f>_xll.qlMidEquivalent(G14,H14)</f>
        <v>26</v>
      </c>
      <c r="J14" s="266" t="b">
        <f t="shared" si="1"/>
        <v>1</v>
      </c>
      <c r="K14" s="405">
        <v>26</v>
      </c>
      <c r="L14" s="260"/>
      <c r="M14" s="404">
        <v>25.9</v>
      </c>
      <c r="N14" s="260"/>
      <c r="O14" s="267" t="str">
        <f t="shared" si="2"/>
        <v>EUR1E6E6Y_Quote</v>
      </c>
      <c r="P14" s="403">
        <v>26</v>
      </c>
      <c r="Q14" s="265" t="e">
        <f>_xll.qlSimpleQuoteSetValue($O14,ROUND($P14/10000,6),Trigger)</f>
        <v>#N/A</v>
      </c>
      <c r="R14" s="221"/>
    </row>
    <row r="15" spans="1:22" x14ac:dyDescent="0.2">
      <c r="A15" s="126">
        <v>7</v>
      </c>
      <c r="B15" s="314" t="s">
        <v>110</v>
      </c>
      <c r="C15" s="313" t="str">
        <v>1E</v>
      </c>
      <c r="D15" s="313" t="str">
        <v>6E</v>
      </c>
      <c r="E15" s="311" t="str">
        <f t="shared" si="0"/>
        <v>EUR1E6E7Y</v>
      </c>
      <c r="F15" s="270" t="str">
        <v>EUR1E6E7Y=ICAP</v>
      </c>
      <c r="G15" s="406">
        <v>25.3</v>
      </c>
      <c r="H15" s="406">
        <v>0</v>
      </c>
      <c r="I15" s="406">
        <f>_xll.qlMidEquivalent(G15,H15)</f>
        <v>25.3</v>
      </c>
      <c r="J15" s="266" t="b">
        <f t="shared" si="1"/>
        <v>1</v>
      </c>
      <c r="K15" s="405">
        <v>25.3</v>
      </c>
      <c r="L15" s="260"/>
      <c r="M15" s="404">
        <v>25.3</v>
      </c>
      <c r="N15" s="260"/>
      <c r="O15" s="267" t="str">
        <f t="shared" si="2"/>
        <v>EUR1E6E7Y_Quote</v>
      </c>
      <c r="P15" s="403">
        <v>25.3</v>
      </c>
      <c r="Q15" s="265" t="e">
        <f>_xll.qlSimpleQuoteSetValue($O15,ROUND($P15/10000,6),Trigger)</f>
        <v>#N/A</v>
      </c>
      <c r="R15" s="221"/>
    </row>
    <row r="16" spans="1:22" x14ac:dyDescent="0.2">
      <c r="A16" s="126">
        <v>8</v>
      </c>
      <c r="B16" s="314" t="s">
        <v>109</v>
      </c>
      <c r="C16" s="313" t="str">
        <v>1E</v>
      </c>
      <c r="D16" s="313" t="str">
        <v>6E</v>
      </c>
      <c r="E16" s="311" t="str">
        <f t="shared" si="0"/>
        <v>EUR1E6E8Y</v>
      </c>
      <c r="F16" s="270" t="str">
        <v>EUR1E6E8Y=ICAP</v>
      </c>
      <c r="G16" s="406">
        <v>24.6</v>
      </c>
      <c r="H16" s="406">
        <v>0</v>
      </c>
      <c r="I16" s="406">
        <f>_xll.qlMidEquivalent(G16,H16)</f>
        <v>24.6</v>
      </c>
      <c r="J16" s="266" t="b">
        <f t="shared" si="1"/>
        <v>1</v>
      </c>
      <c r="K16" s="405">
        <v>24.6</v>
      </c>
      <c r="L16" s="260"/>
      <c r="M16" s="404">
        <v>24.6</v>
      </c>
      <c r="N16" s="260"/>
      <c r="O16" s="267" t="str">
        <f t="shared" si="2"/>
        <v>EUR1E6E8Y_Quote</v>
      </c>
      <c r="P16" s="403">
        <v>24.6</v>
      </c>
      <c r="Q16" s="265" t="e">
        <f>_xll.qlSimpleQuoteSetValue($O16,ROUND($P16/10000,6),Trigger)</f>
        <v>#N/A</v>
      </c>
      <c r="R16" s="221"/>
    </row>
    <row r="17" spans="1:18" x14ac:dyDescent="0.2">
      <c r="A17" s="126">
        <v>9</v>
      </c>
      <c r="B17" s="314" t="s">
        <v>108</v>
      </c>
      <c r="C17" s="313" t="str">
        <v>1E</v>
      </c>
      <c r="D17" s="313" t="str">
        <v>6E</v>
      </c>
      <c r="E17" s="311" t="str">
        <f t="shared" si="0"/>
        <v>EUR1E6E9Y</v>
      </c>
      <c r="F17" s="270" t="str">
        <v>EUR1E6E9Y=ICAP</v>
      </c>
      <c r="G17" s="406">
        <v>23.9</v>
      </c>
      <c r="H17" s="406">
        <v>0</v>
      </c>
      <c r="I17" s="406">
        <f>_xll.qlMidEquivalent(G17,H17)</f>
        <v>23.9</v>
      </c>
      <c r="J17" s="266" t="b">
        <f t="shared" si="1"/>
        <v>1</v>
      </c>
      <c r="K17" s="405">
        <v>23.9</v>
      </c>
      <c r="L17" s="260"/>
      <c r="M17" s="404">
        <v>23.8</v>
      </c>
      <c r="N17" s="260"/>
      <c r="O17" s="267" t="str">
        <f t="shared" si="2"/>
        <v>EUR1E6E9Y_Quote</v>
      </c>
      <c r="P17" s="403">
        <v>23.9</v>
      </c>
      <c r="Q17" s="265" t="e">
        <f>_xll.qlSimpleQuoteSetValue($O17,ROUND($P17/10000,6),Trigger)</f>
        <v>#N/A</v>
      </c>
      <c r="R17" s="221"/>
    </row>
    <row r="18" spans="1:18" x14ac:dyDescent="0.2">
      <c r="A18" s="126">
        <v>10</v>
      </c>
      <c r="B18" s="314" t="s">
        <v>107</v>
      </c>
      <c r="C18" s="313" t="str">
        <v>1E</v>
      </c>
      <c r="D18" s="313" t="str">
        <v>6E</v>
      </c>
      <c r="E18" s="311" t="str">
        <f t="shared" si="0"/>
        <v>EUR1E6E10Y</v>
      </c>
      <c r="F18" s="270" t="str">
        <v>EUR1E6E10Y=ICAP</v>
      </c>
      <c r="G18" s="406">
        <v>23.1</v>
      </c>
      <c r="H18" s="406">
        <v>0</v>
      </c>
      <c r="I18" s="406">
        <f>_xll.qlMidEquivalent(G18,H18)</f>
        <v>23.1</v>
      </c>
      <c r="J18" s="266" t="b">
        <f t="shared" si="1"/>
        <v>1</v>
      </c>
      <c r="K18" s="405">
        <v>23.1</v>
      </c>
      <c r="L18" s="260"/>
      <c r="M18" s="404">
        <v>23</v>
      </c>
      <c r="N18" s="260"/>
      <c r="O18" s="267" t="str">
        <f t="shared" si="2"/>
        <v>EUR1E6E10Y_Quote</v>
      </c>
      <c r="P18" s="403">
        <v>23.1</v>
      </c>
      <c r="Q18" s="265" t="e">
        <f>_xll.qlSimpleQuoteSetValue($O18,ROUND($P18/10000,6),Trigger)</f>
        <v>#N/A</v>
      </c>
      <c r="R18" s="221"/>
    </row>
    <row r="19" spans="1:18" x14ac:dyDescent="0.2">
      <c r="A19" s="126">
        <v>11</v>
      </c>
      <c r="B19" s="314" t="s">
        <v>106</v>
      </c>
      <c r="C19" s="313" t="str">
        <v>1E</v>
      </c>
      <c r="D19" s="313" t="str">
        <v>6E</v>
      </c>
      <c r="E19" s="311" t="str">
        <f t="shared" si="0"/>
        <v>EUR1E6E11Y</v>
      </c>
      <c r="F19" s="270" t="str">
        <v>EUR1E6E11Y=ICAP</v>
      </c>
      <c r="G19" s="406">
        <v>22.3</v>
      </c>
      <c r="H19" s="406">
        <v>0</v>
      </c>
      <c r="I19" s="406">
        <f>_xll.qlMidEquivalent(G19,H19)</f>
        <v>22.3</v>
      </c>
      <c r="J19" s="266" t="b">
        <f t="shared" si="1"/>
        <v>1</v>
      </c>
      <c r="K19" s="405">
        <v>22.3</v>
      </c>
      <c r="L19" s="260"/>
      <c r="M19" s="404">
        <v>22.3</v>
      </c>
      <c r="N19" s="260"/>
      <c r="O19" s="267" t="str">
        <f t="shared" si="2"/>
        <v>EUR1E6E11Y_Quote</v>
      </c>
      <c r="P19" s="403">
        <v>22.3</v>
      </c>
      <c r="Q19" s="265" t="e">
        <f>_xll.qlSimpleQuoteSetValue($O19,ROUND($P19/10000,6),Trigger)</f>
        <v>#N/A</v>
      </c>
      <c r="R19" s="221"/>
    </row>
    <row r="20" spans="1:18" x14ac:dyDescent="0.2">
      <c r="A20" s="126">
        <v>12</v>
      </c>
      <c r="B20" s="314" t="s">
        <v>105</v>
      </c>
      <c r="C20" s="313" t="str">
        <v>1E</v>
      </c>
      <c r="D20" s="313" t="str">
        <v>6E</v>
      </c>
      <c r="E20" s="311" t="str">
        <f t="shared" si="0"/>
        <v>EUR1E6E12Y</v>
      </c>
      <c r="F20" s="270" t="str">
        <v>EUR1E6E12Y=ICAP</v>
      </c>
      <c r="G20" s="406">
        <v>21.5</v>
      </c>
      <c r="H20" s="406">
        <v>0</v>
      </c>
      <c r="I20" s="406">
        <f>_xll.qlMidEquivalent(G20,H20)</f>
        <v>21.5</v>
      </c>
      <c r="J20" s="266" t="b">
        <f t="shared" si="1"/>
        <v>1</v>
      </c>
      <c r="K20" s="405">
        <v>21.5</v>
      </c>
      <c r="L20" s="260"/>
      <c r="M20" s="404">
        <v>21.5</v>
      </c>
      <c r="N20" s="260"/>
      <c r="O20" s="267" t="str">
        <f t="shared" si="2"/>
        <v>EUR1E6E12Y_Quote</v>
      </c>
      <c r="P20" s="403">
        <v>21.5</v>
      </c>
      <c r="Q20" s="265" t="e">
        <f>_xll.qlSimpleQuoteSetValue($O20,ROUND($P20/10000,6),Trigger)</f>
        <v>#N/A</v>
      </c>
      <c r="R20" s="221"/>
    </row>
    <row r="21" spans="1:18" x14ac:dyDescent="0.2">
      <c r="A21" s="126">
        <v>13</v>
      </c>
      <c r="B21" s="314" t="s">
        <v>104</v>
      </c>
      <c r="C21" s="313" t="str">
        <v>1E</v>
      </c>
      <c r="D21" s="313" t="str">
        <v>6E</v>
      </c>
      <c r="E21" s="311" t="str">
        <f t="shared" si="0"/>
        <v>EUR1E6E13Y</v>
      </c>
      <c r="F21" s="270" t="str">
        <v>EUR1E6E13Y=ICAP</v>
      </c>
      <c r="G21" s="406" t="s">
        <v>260</v>
      </c>
      <c r="H21" s="406" t="s">
        <v>260</v>
      </c>
      <c r="I21" s="406" t="e">
        <f>_xll.qlMidEquivalent(G21,H21)</f>
        <v>#NUM!</v>
      </c>
      <c r="J21" s="266" t="b">
        <f t="shared" si="1"/>
        <v>0</v>
      </c>
      <c r="K21" s="405">
        <v>20.767158961360217</v>
      </c>
      <c r="L21" s="260"/>
      <c r="M21" s="404">
        <v>20.754886144272987</v>
      </c>
      <c r="N21" s="260"/>
      <c r="O21" s="267" t="str">
        <f t="shared" si="2"/>
        <v>EUR1E6E13Y_Quote</v>
      </c>
      <c r="P21" s="403">
        <v>20.767158961360217</v>
      </c>
      <c r="Q21" s="265" t="e">
        <f>_xll.qlSimpleQuoteSetValue($O21,ROUND($P21/10000,6),Trigger)</f>
        <v>#N/A</v>
      </c>
      <c r="R21" s="221"/>
    </row>
    <row r="22" spans="1:18" x14ac:dyDescent="0.2">
      <c r="A22" s="126">
        <v>14</v>
      </c>
      <c r="B22" s="314" t="s">
        <v>103</v>
      </c>
      <c r="C22" s="313" t="str">
        <v>1E</v>
      </c>
      <c r="D22" s="313" t="str">
        <v>6E</v>
      </c>
      <c r="E22" s="311" t="str">
        <f t="shared" si="0"/>
        <v>EUR1E6E14Y</v>
      </c>
      <c r="F22" s="270" t="str">
        <v>EUR1E6E14Y=ICAP</v>
      </c>
      <c r="G22" s="406" t="s">
        <v>260</v>
      </c>
      <c r="H22" s="406" t="s">
        <v>260</v>
      </c>
      <c r="I22" s="406" t="e">
        <f>_xll.qlMidEquivalent(G22,H22)</f>
        <v>#NUM!</v>
      </c>
      <c r="J22" s="266" t="b">
        <f t="shared" si="1"/>
        <v>0</v>
      </c>
      <c r="K22" s="405">
        <v>20.106819379057171</v>
      </c>
      <c r="L22" s="260"/>
      <c r="M22" s="404">
        <v>20.098240125294787</v>
      </c>
      <c r="N22" s="260"/>
      <c r="O22" s="267" t="str">
        <f t="shared" si="2"/>
        <v>EUR1E6E14Y_Quote</v>
      </c>
      <c r="P22" s="403">
        <v>20.106819379057171</v>
      </c>
      <c r="Q22" s="265" t="e">
        <f>_xll.qlSimpleQuoteSetValue($O22,ROUND($P22/10000,6),Trigger)</f>
        <v>#N/A</v>
      </c>
      <c r="R22" s="221"/>
    </row>
    <row r="23" spans="1:18" x14ac:dyDescent="0.2">
      <c r="A23" s="126">
        <v>15</v>
      </c>
      <c r="B23" s="314" t="s">
        <v>102</v>
      </c>
      <c r="C23" s="313" t="str">
        <v>1E</v>
      </c>
      <c r="D23" s="313" t="str">
        <v>6E</v>
      </c>
      <c r="E23" s="311" t="str">
        <f t="shared" si="0"/>
        <v>EUR1E6E15Y</v>
      </c>
      <c r="F23" s="270" t="str">
        <v>EUR1E6E15Y=ICAP</v>
      </c>
      <c r="G23" s="406">
        <v>19.5</v>
      </c>
      <c r="H23" s="406">
        <v>0</v>
      </c>
      <c r="I23" s="406">
        <f>_xll.qlMidEquivalent(G23,H23)</f>
        <v>19.5</v>
      </c>
      <c r="J23" s="266" t="b">
        <f t="shared" si="1"/>
        <v>1</v>
      </c>
      <c r="K23" s="405">
        <v>19.5</v>
      </c>
      <c r="L23" s="260"/>
      <c r="M23" s="404">
        <v>19.5</v>
      </c>
      <c r="N23" s="260"/>
      <c r="O23" s="267" t="str">
        <f t="shared" si="2"/>
        <v>EUR1E6E15Y_Quote</v>
      </c>
      <c r="P23" s="403">
        <v>19.5</v>
      </c>
      <c r="Q23" s="265" t="e">
        <f>_xll.qlSimpleQuoteSetValue($O23,ROUND($P23/10000,6),Trigger)</f>
        <v>#N/A</v>
      </c>
      <c r="R23" s="221"/>
    </row>
    <row r="24" spans="1:18" x14ac:dyDescent="0.2">
      <c r="A24" s="126">
        <v>16</v>
      </c>
      <c r="B24" s="314" t="s">
        <v>101</v>
      </c>
      <c r="C24" s="313" t="str">
        <v>1E</v>
      </c>
      <c r="D24" s="313" t="str">
        <v>6E</v>
      </c>
      <c r="E24" s="311" t="str">
        <f t="shared" si="0"/>
        <v>EUR1E6E16Y</v>
      </c>
      <c r="F24" s="270" t="str">
        <v>EUR1E6E16Y=ICAP</v>
      </c>
      <c r="G24" s="406" t="s">
        <v>260</v>
      </c>
      <c r="H24" s="406" t="s">
        <v>260</v>
      </c>
      <c r="I24" s="406" t="e">
        <f>_xll.qlMidEquivalent(G24,H24)</f>
        <v>#NUM!</v>
      </c>
      <c r="J24" s="266" t="b">
        <f t="shared" si="1"/>
        <v>0</v>
      </c>
      <c r="K24" s="405">
        <v>18.930884672736056</v>
      </c>
      <c r="L24" s="260"/>
      <c r="M24" s="404">
        <v>18.935442067151328</v>
      </c>
      <c r="N24" s="260"/>
      <c r="O24" s="267" t="str">
        <f t="shared" si="2"/>
        <v>EUR1E6E16Y_Quote</v>
      </c>
      <c r="P24" s="403">
        <v>18.930884672736056</v>
      </c>
      <c r="Q24" s="265" t="e">
        <f>_xll.qlSimpleQuoteSetValue($O24,ROUND($P24/10000,6),Trigger)</f>
        <v>#N/A</v>
      </c>
      <c r="R24" s="221"/>
    </row>
    <row r="25" spans="1:18" x14ac:dyDescent="0.2">
      <c r="A25" s="126">
        <v>17</v>
      </c>
      <c r="B25" s="314" t="s">
        <v>100</v>
      </c>
      <c r="C25" s="313" t="str">
        <v>1E</v>
      </c>
      <c r="D25" s="313" t="str">
        <v>6E</v>
      </c>
      <c r="E25" s="311" t="str">
        <f t="shared" si="0"/>
        <v>EUR1E6E17Y</v>
      </c>
      <c r="F25" s="270" t="str">
        <v>EUR1E6E17Y=ICAP</v>
      </c>
      <c r="G25" s="406" t="s">
        <v>260</v>
      </c>
      <c r="H25" s="406" t="s">
        <v>260</v>
      </c>
      <c r="I25" s="406" t="e">
        <f>_xll.qlMidEquivalent(G25,H25)</f>
        <v>#NUM!</v>
      </c>
      <c r="J25" s="266" t="b">
        <f t="shared" si="1"/>
        <v>0</v>
      </c>
      <c r="K25" s="405">
        <v>18.396317652365603</v>
      </c>
      <c r="L25" s="260"/>
      <c r="M25" s="404">
        <v>18.401195592823832</v>
      </c>
      <c r="N25" s="260"/>
      <c r="O25" s="267" t="str">
        <f t="shared" si="2"/>
        <v>EUR1E6E17Y_Quote</v>
      </c>
      <c r="P25" s="403">
        <v>18.396317652365603</v>
      </c>
      <c r="Q25" s="265" t="e">
        <f>_xll.qlSimpleQuoteSetValue($O25,ROUND($P25/10000,6),Trigger)</f>
        <v>#N/A</v>
      </c>
      <c r="R25" s="221"/>
    </row>
    <row r="26" spans="1:18" x14ac:dyDescent="0.2">
      <c r="A26" s="126">
        <v>18</v>
      </c>
      <c r="B26" s="314" t="s">
        <v>99</v>
      </c>
      <c r="C26" s="313" t="str">
        <v>1E</v>
      </c>
      <c r="D26" s="313" t="str">
        <v>6E</v>
      </c>
      <c r="E26" s="311" t="str">
        <f t="shared" si="0"/>
        <v>EUR1E6E18Y</v>
      </c>
      <c r="F26" s="270" t="str">
        <v>EUR1E6E18Y=ICAP</v>
      </c>
      <c r="G26" s="406" t="s">
        <v>260</v>
      </c>
      <c r="H26" s="406" t="s">
        <v>260</v>
      </c>
      <c r="I26" s="406" t="e">
        <f>_xll.qlMidEquivalent(G26,H26)</f>
        <v>#NUM!</v>
      </c>
      <c r="J26" s="266" t="b">
        <f t="shared" si="1"/>
        <v>0</v>
      </c>
      <c r="K26" s="405">
        <v>17.896308295627119</v>
      </c>
      <c r="L26" s="260"/>
      <c r="M26" s="404">
        <v>17.899228084920672</v>
      </c>
      <c r="N26" s="260"/>
      <c r="O26" s="267" t="str">
        <f t="shared" si="2"/>
        <v>EUR1E6E18Y_Quote</v>
      </c>
      <c r="P26" s="403">
        <v>17.896308295627119</v>
      </c>
      <c r="Q26" s="265" t="e">
        <f>_xll.qlSimpleQuoteSetValue($O26,ROUND($P26/10000,6),Trigger)</f>
        <v>#N/A</v>
      </c>
      <c r="R26" s="221"/>
    </row>
    <row r="27" spans="1:18" x14ac:dyDescent="0.2">
      <c r="A27" s="126">
        <v>19</v>
      </c>
      <c r="B27" s="314" t="s">
        <v>98</v>
      </c>
      <c r="C27" s="313" t="str">
        <v>1E</v>
      </c>
      <c r="D27" s="313" t="str">
        <v>6E</v>
      </c>
      <c r="E27" s="311" t="str">
        <f t="shared" si="0"/>
        <v>EUR1E6E19Y</v>
      </c>
      <c r="F27" s="270" t="str">
        <v>EUR1E6E19Y=ICAP</v>
      </c>
      <c r="G27" s="406" t="s">
        <v>260</v>
      </c>
      <c r="H27" s="406" t="s">
        <v>260</v>
      </c>
      <c r="I27" s="406" t="e">
        <f>_xll.qlMidEquivalent(G27,H27)</f>
        <v>#NUM!</v>
      </c>
      <c r="J27" s="266" t="b">
        <f t="shared" si="1"/>
        <v>0</v>
      </c>
      <c r="K27" s="405">
        <v>17.430865959259091</v>
      </c>
      <c r="L27" s="260"/>
      <c r="M27" s="404">
        <v>17.431507051345008</v>
      </c>
      <c r="N27" s="260"/>
      <c r="O27" s="267" t="str">
        <f t="shared" si="2"/>
        <v>EUR1E6E19Y_Quote</v>
      </c>
      <c r="P27" s="403">
        <v>17.430865959259091</v>
      </c>
      <c r="Q27" s="265" t="e">
        <f>_xll.qlSimpleQuoteSetValue($O27,ROUND($P27/10000,6),Trigger)</f>
        <v>#N/A</v>
      </c>
      <c r="R27" s="221"/>
    </row>
    <row r="28" spans="1:18" x14ac:dyDescent="0.2">
      <c r="A28" s="126">
        <v>20</v>
      </c>
      <c r="B28" s="314" t="s">
        <v>97</v>
      </c>
      <c r="C28" s="313" t="str">
        <v>1E</v>
      </c>
      <c r="D28" s="313" t="str">
        <v>6E</v>
      </c>
      <c r="E28" s="311" t="str">
        <f t="shared" si="0"/>
        <v>EUR1E6E20Y</v>
      </c>
      <c r="F28" s="270" t="str">
        <v>EUR1E6E20Y=ICAP</v>
      </c>
      <c r="G28" s="406">
        <v>17</v>
      </c>
      <c r="H28" s="406">
        <v>0</v>
      </c>
      <c r="I28" s="406">
        <f>_xll.qlMidEquivalent(G28,H28)</f>
        <v>17</v>
      </c>
      <c r="J28" s="266" t="b">
        <f t="shared" si="1"/>
        <v>1</v>
      </c>
      <c r="K28" s="405">
        <v>17</v>
      </c>
      <c r="L28" s="260"/>
      <c r="M28" s="404">
        <v>17</v>
      </c>
      <c r="N28" s="260"/>
      <c r="O28" s="267" t="str">
        <f t="shared" si="2"/>
        <v>EUR1E6E20Y_Quote</v>
      </c>
      <c r="P28" s="403">
        <v>17</v>
      </c>
      <c r="Q28" s="265" t="e">
        <f>_xll.qlSimpleQuoteSetValue($O28,ROUND($P28/10000,6),Trigger)</f>
        <v>#N/A</v>
      </c>
      <c r="R28" s="221"/>
    </row>
    <row r="29" spans="1:18" x14ac:dyDescent="0.2">
      <c r="A29" s="126">
        <v>21</v>
      </c>
      <c r="B29" s="314" t="s">
        <v>96</v>
      </c>
      <c r="C29" s="313" t="str">
        <v>1E</v>
      </c>
      <c r="D29" s="313" t="str">
        <v>6E</v>
      </c>
      <c r="E29" s="311" t="str">
        <f t="shared" si="0"/>
        <v>EUR1E6E21Y</v>
      </c>
      <c r="F29" s="270" t="str">
        <v>EUR1E6E21Y=ICAP</v>
      </c>
      <c r="G29" s="406" t="s">
        <v>260</v>
      </c>
      <c r="H29" s="406" t="s">
        <v>260</v>
      </c>
      <c r="I29" s="406" t="e">
        <f>_xll.qlMidEquivalent(G29,H29)</f>
        <v>#NUM!</v>
      </c>
      <c r="J29" s="266" t="b">
        <f t="shared" si="1"/>
        <v>0</v>
      </c>
      <c r="K29" s="405">
        <v>16.603202627818849</v>
      </c>
      <c r="L29" s="260"/>
      <c r="M29" s="404">
        <v>16.60543814076204</v>
      </c>
      <c r="N29" s="260"/>
      <c r="O29" s="267" t="str">
        <f t="shared" si="2"/>
        <v>EUR1E6E21Y_Quote</v>
      </c>
      <c r="P29" s="403">
        <v>16.603202627818849</v>
      </c>
      <c r="Q29" s="265" t="e">
        <f>_xll.qlSimpleQuoteSetValue($O29,ROUND($P29/10000,6),Trigger)</f>
        <v>#N/A</v>
      </c>
      <c r="R29" s="221"/>
    </row>
    <row r="30" spans="1:18" x14ac:dyDescent="0.2">
      <c r="A30" s="126">
        <v>22</v>
      </c>
      <c r="B30" s="314" t="s">
        <v>95</v>
      </c>
      <c r="C30" s="313" t="str">
        <v>1E</v>
      </c>
      <c r="D30" s="313" t="str">
        <v>6E</v>
      </c>
      <c r="E30" s="311" t="str">
        <f t="shared" si="0"/>
        <v>EUR1E6E22Y</v>
      </c>
      <c r="F30" s="270" t="str">
        <v>EUR1E6E22Y=ICAP</v>
      </c>
      <c r="G30" s="406" t="s">
        <v>260</v>
      </c>
      <c r="H30" s="406" t="s">
        <v>260</v>
      </c>
      <c r="I30" s="406" t="e">
        <f>_xll.qlMidEquivalent(G30,H30)</f>
        <v>#NUM!</v>
      </c>
      <c r="J30" s="266" t="b">
        <f t="shared" si="1"/>
        <v>0</v>
      </c>
      <c r="K30" s="405">
        <v>16.237897465606693</v>
      </c>
      <c r="L30" s="260"/>
      <c r="M30" s="404">
        <v>16.243607491400475</v>
      </c>
      <c r="N30" s="260"/>
      <c r="O30" s="267" t="str">
        <f t="shared" si="2"/>
        <v>EUR1E6E22Y_Quote</v>
      </c>
      <c r="P30" s="403">
        <v>16.237897465606693</v>
      </c>
      <c r="Q30" s="265" t="e">
        <f>_xll.qlSimpleQuoteSetValue($O30,ROUND($P30/10000,6),Trigger)</f>
        <v>#N/A</v>
      </c>
      <c r="R30" s="221"/>
    </row>
    <row r="31" spans="1:18" x14ac:dyDescent="0.2">
      <c r="A31" s="126">
        <v>23</v>
      </c>
      <c r="B31" s="314" t="s">
        <v>94</v>
      </c>
      <c r="C31" s="313" t="str">
        <v>1E</v>
      </c>
      <c r="D31" s="313" t="str">
        <v>6E</v>
      </c>
      <c r="E31" s="311" t="str">
        <f t="shared" si="0"/>
        <v>EUR1E6E23Y</v>
      </c>
      <c r="F31" s="270" t="str">
        <v>EUR1E6E23Y=ICAP</v>
      </c>
      <c r="G31" s="406" t="s">
        <v>260</v>
      </c>
      <c r="H31" s="406" t="s">
        <v>260</v>
      </c>
      <c r="I31" s="406" t="e">
        <f>_xll.qlMidEquivalent(G31,H31)</f>
        <v>#NUM!</v>
      </c>
      <c r="J31" s="266" t="b">
        <f t="shared" si="1"/>
        <v>0</v>
      </c>
      <c r="K31" s="405">
        <v>15.900990989485116</v>
      </c>
      <c r="L31" s="260"/>
      <c r="M31" s="404">
        <v>15.909057771657892</v>
      </c>
      <c r="N31" s="260"/>
      <c r="O31" s="267" t="str">
        <f t="shared" si="2"/>
        <v>EUR1E6E23Y_Quote</v>
      </c>
      <c r="P31" s="403">
        <v>15.900990989485116</v>
      </c>
      <c r="Q31" s="265" t="e">
        <f>_xll.qlSimpleQuoteSetValue($O31,ROUND($P31/10000,6),Trigger)</f>
        <v>#N/A</v>
      </c>
      <c r="R31" s="221"/>
    </row>
    <row r="32" spans="1:18" x14ac:dyDescent="0.2">
      <c r="A32" s="126">
        <v>24</v>
      </c>
      <c r="B32" s="314" t="s">
        <v>93</v>
      </c>
      <c r="C32" s="313" t="str">
        <v>1E</v>
      </c>
      <c r="D32" s="313" t="str">
        <v>6E</v>
      </c>
      <c r="E32" s="311" t="str">
        <f t="shared" si="0"/>
        <v>EUR1E6E24Y</v>
      </c>
      <c r="F32" s="270" t="str">
        <v>EUR1E6E24Y=ICAP</v>
      </c>
      <c r="G32" s="406" t="s">
        <v>260</v>
      </c>
      <c r="H32" s="406" t="s">
        <v>260</v>
      </c>
      <c r="I32" s="406" t="e">
        <f>_xll.qlMidEquivalent(G32,H32)</f>
        <v>#NUM!</v>
      </c>
      <c r="J32" s="266" t="b">
        <f t="shared" si="1"/>
        <v>0</v>
      </c>
      <c r="K32" s="405">
        <v>15.589389675575694</v>
      </c>
      <c r="L32" s="260"/>
      <c r="M32" s="404">
        <v>15.596338701276871</v>
      </c>
      <c r="N32" s="260"/>
      <c r="O32" s="267" t="str">
        <f t="shared" si="2"/>
        <v>EUR1E6E24Y_Quote</v>
      </c>
      <c r="P32" s="403">
        <v>15.589389675575694</v>
      </c>
      <c r="Q32" s="265" t="e">
        <f>_xll.qlSimpleQuoteSetValue($O32,ROUND($P32/10000,6),Trigger)</f>
        <v>#N/A</v>
      </c>
      <c r="R32" s="221"/>
    </row>
    <row r="33" spans="1:18" x14ac:dyDescent="0.2">
      <c r="A33" s="126">
        <v>25</v>
      </c>
      <c r="B33" s="314" t="s">
        <v>92</v>
      </c>
      <c r="C33" s="313" t="str">
        <v>1E</v>
      </c>
      <c r="D33" s="313" t="str">
        <v>6E</v>
      </c>
      <c r="E33" s="311" t="str">
        <f t="shared" si="0"/>
        <v>EUR1E6E25Y</v>
      </c>
      <c r="F33" s="270" t="str">
        <v>EUR1E6E25Y=ICAP</v>
      </c>
      <c r="G33" s="406">
        <v>15.3</v>
      </c>
      <c r="H33" s="406">
        <v>0</v>
      </c>
      <c r="I33" s="406">
        <f>_xll.qlMidEquivalent(G33,H33)</f>
        <v>15.3</v>
      </c>
      <c r="J33" s="266" t="b">
        <f t="shared" si="1"/>
        <v>1</v>
      </c>
      <c r="K33" s="405">
        <v>15.3</v>
      </c>
      <c r="L33" s="260"/>
      <c r="M33" s="404">
        <v>15.3</v>
      </c>
      <c r="N33" s="260"/>
      <c r="O33" s="267" t="str">
        <f t="shared" si="2"/>
        <v>EUR1E6E25Y_Quote</v>
      </c>
      <c r="P33" s="403">
        <v>15.3</v>
      </c>
      <c r="Q33" s="265" t="e">
        <f>_xll.qlSimpleQuoteSetValue($O33,ROUND($P33/10000,6),Trigger)</f>
        <v>#N/A</v>
      </c>
      <c r="R33" s="221"/>
    </row>
    <row r="34" spans="1:18" x14ac:dyDescent="0.2">
      <c r="A34" s="126">
        <v>26</v>
      </c>
      <c r="B34" s="314" t="s">
        <v>91</v>
      </c>
      <c r="C34" s="313" t="str">
        <v>1E</v>
      </c>
      <c r="D34" s="313" t="str">
        <v>6E</v>
      </c>
      <c r="E34" s="311" t="str">
        <f t="shared" si="0"/>
        <v>EUR1E6E26Y</v>
      </c>
      <c r="F34" s="270" t="str">
        <v>EUR1E6E26Y=ICAP</v>
      </c>
      <c r="G34" s="406" t="s">
        <v>260</v>
      </c>
      <c r="H34" s="406" t="s">
        <v>260</v>
      </c>
      <c r="I34" s="406" t="e">
        <f>_xll.qlMidEquivalent(G34,H34)</f>
        <v>#NUM!</v>
      </c>
      <c r="J34" s="266" t="b">
        <f t="shared" si="1"/>
        <v>0</v>
      </c>
      <c r="K34" s="405">
        <v>15.029904815988555</v>
      </c>
      <c r="L34" s="260"/>
      <c r="M34" s="404">
        <v>15.015605369800516</v>
      </c>
      <c r="N34" s="260"/>
      <c r="O34" s="267" t="str">
        <f t="shared" si="2"/>
        <v>EUR1E6E26Y_Quote</v>
      </c>
      <c r="P34" s="403">
        <v>15.029904815988555</v>
      </c>
      <c r="Q34" s="265" t="e">
        <f>_xll.qlSimpleQuoteSetValue($O34,ROUND($P34/10000,6),Trigger)</f>
        <v>#N/A</v>
      </c>
      <c r="R34" s="221"/>
    </row>
    <row r="35" spans="1:18" x14ac:dyDescent="0.2">
      <c r="A35" s="126">
        <v>27</v>
      </c>
      <c r="B35" s="314" t="s">
        <v>90</v>
      </c>
      <c r="C35" s="313" t="str">
        <v>1E</v>
      </c>
      <c r="D35" s="313" t="str">
        <v>6E</v>
      </c>
      <c r="E35" s="311" t="str">
        <f t="shared" si="0"/>
        <v>EUR1E6E27Y</v>
      </c>
      <c r="F35" s="270" t="str">
        <v>EUR1E6E27Y=ICAP</v>
      </c>
      <c r="G35" s="406" t="s">
        <v>260</v>
      </c>
      <c r="H35" s="406" t="s">
        <v>260</v>
      </c>
      <c r="I35" s="406" t="e">
        <f>_xll.qlMidEquivalent(G35,H35)</f>
        <v>#NUM!</v>
      </c>
      <c r="J35" s="266" t="b">
        <f t="shared" si="1"/>
        <v>0</v>
      </c>
      <c r="K35" s="405">
        <v>14.776892485207624</v>
      </c>
      <c r="L35" s="260"/>
      <c r="M35" s="404">
        <v>14.742774441574269</v>
      </c>
      <c r="N35" s="260"/>
      <c r="O35" s="267" t="str">
        <f t="shared" si="2"/>
        <v>EUR1E6E27Y_Quote</v>
      </c>
      <c r="P35" s="403">
        <v>14.776892485207624</v>
      </c>
      <c r="Q35" s="265" t="e">
        <f>_xll.qlSimpleQuoteSetValue($O35,ROUND($P35/10000,6),Trigger)</f>
        <v>#N/A</v>
      </c>
      <c r="R35" s="221"/>
    </row>
    <row r="36" spans="1:18" x14ac:dyDescent="0.2">
      <c r="A36" s="126">
        <v>28</v>
      </c>
      <c r="B36" s="314" t="s">
        <v>89</v>
      </c>
      <c r="C36" s="313" t="str">
        <v>1E</v>
      </c>
      <c r="D36" s="313" t="str">
        <v>6E</v>
      </c>
      <c r="E36" s="311" t="str">
        <f t="shared" si="0"/>
        <v>EUR1E6E28Y</v>
      </c>
      <c r="F36" s="270" t="str">
        <v>EUR1E6E28Y=ICAP</v>
      </c>
      <c r="G36" s="406" t="s">
        <v>260</v>
      </c>
      <c r="H36" s="406" t="s">
        <v>260</v>
      </c>
      <c r="I36" s="406" t="e">
        <f>_xll.qlMidEquivalent(G36,H36)</f>
        <v>#NUM!</v>
      </c>
      <c r="J36" s="266" t="b">
        <f t="shared" si="1"/>
        <v>0</v>
      </c>
      <c r="K36" s="405">
        <v>14.538927746432416</v>
      </c>
      <c r="L36" s="260"/>
      <c r="M36" s="404">
        <v>14.482140828447765</v>
      </c>
      <c r="N36" s="260"/>
      <c r="O36" s="267" t="str">
        <f t="shared" si="2"/>
        <v>EUR1E6E28Y_Quote</v>
      </c>
      <c r="P36" s="403">
        <v>14.538927746432416</v>
      </c>
      <c r="Q36" s="265" t="e">
        <f>_xll.qlSimpleQuoteSetValue($O36,ROUND($P36/10000,6),Trigger)</f>
        <v>#N/A</v>
      </c>
      <c r="R36" s="221"/>
    </row>
    <row r="37" spans="1:18" x14ac:dyDescent="0.2">
      <c r="A37" s="126">
        <v>29</v>
      </c>
      <c r="B37" s="314" t="s">
        <v>88</v>
      </c>
      <c r="C37" s="313" t="str">
        <v>1E</v>
      </c>
      <c r="D37" s="313" t="str">
        <v>6E</v>
      </c>
      <c r="E37" s="311" t="str">
        <f t="shared" si="0"/>
        <v>EUR1E6E29Y</v>
      </c>
      <c r="F37" s="270" t="str">
        <v>EUR1E6E29Y=ICAP</v>
      </c>
      <c r="G37" s="406" t="s">
        <v>260</v>
      </c>
      <c r="H37" s="406" t="s">
        <v>260</v>
      </c>
      <c r="I37" s="406" t="e">
        <f>_xll.qlMidEquivalent(G37,H37)</f>
        <v>#NUM!</v>
      </c>
      <c r="J37" s="266" t="b">
        <f t="shared" si="1"/>
        <v>0</v>
      </c>
      <c r="K37" s="405">
        <v>14.313975338438139</v>
      </c>
      <c r="L37" s="260"/>
      <c r="M37" s="404">
        <v>14.234338143547507</v>
      </c>
      <c r="N37" s="260"/>
      <c r="O37" s="267" t="str">
        <f t="shared" si="2"/>
        <v>EUR1E6E29Y_Quote</v>
      </c>
      <c r="P37" s="403">
        <v>14.313975338438139</v>
      </c>
      <c r="Q37" s="265" t="e">
        <f>_xll.qlSimpleQuoteSetValue($O37,ROUND($P37/10000,6),Trigger)</f>
        <v>#N/A</v>
      </c>
      <c r="R37" s="221"/>
    </row>
    <row r="38" spans="1:18" x14ac:dyDescent="0.2">
      <c r="A38" s="126">
        <v>30</v>
      </c>
      <c r="B38" s="314" t="s">
        <v>87</v>
      </c>
      <c r="C38" s="313" t="str">
        <v>1E</v>
      </c>
      <c r="D38" s="313" t="str">
        <v>6E</v>
      </c>
      <c r="E38" s="311" t="str">
        <f t="shared" si="0"/>
        <v>EUR1E6E30Y</v>
      </c>
      <c r="F38" s="270" t="str">
        <v>EUR1E6E30Y=ICAP</v>
      </c>
      <c r="G38" s="406">
        <v>14.1</v>
      </c>
      <c r="H38" s="406">
        <v>0</v>
      </c>
      <c r="I38" s="406">
        <f>_xll.qlMidEquivalent(G38,H38)</f>
        <v>14.1</v>
      </c>
      <c r="J38" s="266" t="b">
        <f t="shared" si="1"/>
        <v>1</v>
      </c>
      <c r="K38" s="405">
        <v>14.1</v>
      </c>
      <c r="L38" s="260"/>
      <c r="M38" s="404">
        <v>14</v>
      </c>
      <c r="N38" s="260"/>
      <c r="O38" s="267" t="str">
        <f t="shared" si="2"/>
        <v>EUR1E6E30Y_Quote</v>
      </c>
      <c r="P38" s="403">
        <v>14.1</v>
      </c>
      <c r="Q38" s="265" t="e">
        <f>_xll.qlSimpleQuoteSetValue($O38,ROUND($P38/10000,6),Trigger)</f>
        <v>#N/A</v>
      </c>
      <c r="R38" s="221"/>
    </row>
    <row r="39" spans="1:18" x14ac:dyDescent="0.2">
      <c r="A39" s="126">
        <v>35</v>
      </c>
      <c r="B39" s="314" t="s">
        <v>82</v>
      </c>
      <c r="C39" s="313" t="str">
        <v>1E</v>
      </c>
      <c r="D39" s="313" t="str">
        <v>6E</v>
      </c>
      <c r="E39" s="311" t="str">
        <f t="shared" si="0"/>
        <v>EUR1E6E35Y</v>
      </c>
      <c r="F39" s="270" t="str">
        <v>EUR1E6E35Y=ICAP</v>
      </c>
      <c r="G39" s="406" t="s">
        <v>260</v>
      </c>
      <c r="H39" s="406" t="s">
        <v>260</v>
      </c>
      <c r="I39" s="406" t="e">
        <f>_xll.qlMidEquivalent(G39,H39)</f>
        <v>#NUM!</v>
      </c>
      <c r="J39" s="266" t="b">
        <f t="shared" si="1"/>
        <v>0</v>
      </c>
      <c r="K39" s="405">
        <v>13.159016711814663</v>
      </c>
      <c r="L39" s="260"/>
      <c r="M39" s="404">
        <v>13.022883458636743</v>
      </c>
      <c r="N39" s="260"/>
      <c r="O39" s="267" t="str">
        <f t="shared" si="2"/>
        <v>EUR1E6E35Y_Quote</v>
      </c>
      <c r="P39" s="403">
        <v>13.159016711814663</v>
      </c>
      <c r="Q39" s="265" t="e">
        <f>_xll.qlSimpleQuoteSetValue($O39,ROUND($P39/10000,6),Trigger)</f>
        <v>#N/A</v>
      </c>
      <c r="R39" s="221"/>
    </row>
    <row r="40" spans="1:18" x14ac:dyDescent="0.2">
      <c r="A40" s="126">
        <v>40</v>
      </c>
      <c r="B40" s="314" t="s">
        <v>77</v>
      </c>
      <c r="C40" s="313" t="str">
        <v>1E</v>
      </c>
      <c r="D40" s="313" t="str">
        <v>6E</v>
      </c>
      <c r="E40" s="311" t="str">
        <f t="shared" si="0"/>
        <v>EUR1E6E40Y</v>
      </c>
      <c r="F40" s="270" t="str">
        <v>EUR1E6E40Y=ICAP</v>
      </c>
      <c r="G40" s="406">
        <v>12.4</v>
      </c>
      <c r="H40" s="406">
        <v>0</v>
      </c>
      <c r="I40" s="406">
        <f>_xll.qlMidEquivalent(G40,H40)</f>
        <v>12.4</v>
      </c>
      <c r="J40" s="266" t="b">
        <f t="shared" si="1"/>
        <v>1</v>
      </c>
      <c r="K40" s="405">
        <v>12.4</v>
      </c>
      <c r="L40" s="260"/>
      <c r="M40" s="404">
        <v>12.3</v>
      </c>
      <c r="N40" s="260"/>
      <c r="O40" s="267" t="str">
        <f t="shared" si="2"/>
        <v>EUR1E6E40Y_Quote</v>
      </c>
      <c r="P40" s="403">
        <v>12.4</v>
      </c>
      <c r="Q40" s="265" t="e">
        <f>_xll.qlSimpleQuoteSetValue($O40,ROUND($P40/10000,6),Trigger)</f>
        <v>#N/A</v>
      </c>
      <c r="R40" s="221"/>
    </row>
    <row r="41" spans="1:18" x14ac:dyDescent="0.2">
      <c r="A41" s="126">
        <v>50</v>
      </c>
      <c r="B41" s="314" t="s">
        <v>67</v>
      </c>
      <c r="C41" s="313" t="str">
        <v>1E</v>
      </c>
      <c r="D41" s="313" t="str">
        <v>6E</v>
      </c>
      <c r="E41" s="311" t="str">
        <f t="shared" si="0"/>
        <v>EUR1E6E50Y</v>
      </c>
      <c r="F41" s="270" t="str">
        <v>EUR1E6E50Y=ICAP</v>
      </c>
      <c r="G41" s="406">
        <v>11.3</v>
      </c>
      <c r="H41" s="406">
        <v>0</v>
      </c>
      <c r="I41" s="406">
        <f>_xll.qlMidEquivalent(G41,H41)</f>
        <v>11.3</v>
      </c>
      <c r="J41" s="266" t="b">
        <f t="shared" si="1"/>
        <v>1</v>
      </c>
      <c r="K41" s="405">
        <v>11.3</v>
      </c>
      <c r="L41" s="260"/>
      <c r="M41" s="404">
        <v>11.3</v>
      </c>
      <c r="N41" s="260"/>
      <c r="O41" s="267" t="str">
        <f t="shared" si="2"/>
        <v>EUR1E6E50Y_Quote</v>
      </c>
      <c r="P41" s="403">
        <v>11.3</v>
      </c>
      <c r="Q41" s="265" t="e">
        <f>_xll.qlSimpleQuoteSetValue($O41,ROUND($P41/10000,6),Trigger)</f>
        <v>#N/A</v>
      </c>
      <c r="R41" s="221"/>
    </row>
    <row r="42" spans="1:18" x14ac:dyDescent="0.2">
      <c r="A42" s="126">
        <v>60</v>
      </c>
      <c r="B42" s="314" t="s">
        <v>57</v>
      </c>
      <c r="C42" s="313" t="str">
        <v>1E</v>
      </c>
      <c r="D42" s="313" t="str">
        <v>6E</v>
      </c>
      <c r="E42" s="311" t="str">
        <f t="shared" si="0"/>
        <v>EUR1E6E60Y</v>
      </c>
      <c r="F42" s="270" t="str">
        <v>EUR1E6E60Y=ICAP</v>
      </c>
      <c r="G42" s="406">
        <v>10.6</v>
      </c>
      <c r="H42" s="406">
        <v>0</v>
      </c>
      <c r="I42" s="406">
        <f>_xll.qlMidEquivalent(G42,H42)</f>
        <v>10.6</v>
      </c>
      <c r="J42" s="266" t="b">
        <f t="shared" si="1"/>
        <v>1</v>
      </c>
      <c r="K42" s="405">
        <v>10.6</v>
      </c>
      <c r="L42" s="260"/>
      <c r="M42" s="404">
        <v>10.6</v>
      </c>
      <c r="N42" s="260"/>
      <c r="O42" s="267" t="str">
        <f t="shared" si="2"/>
        <v>EUR1E6E60Y_Quote</v>
      </c>
      <c r="P42" s="403">
        <v>10.6</v>
      </c>
      <c r="Q42" s="265" t="e">
        <f>_xll.qlSimpleQuoteSetValue($O42,ROUND($P42/10000,6),Trigger)</f>
        <v>#N/A</v>
      </c>
      <c r="R42" s="221"/>
    </row>
    <row r="43" spans="1:18" ht="12" thickBot="1" x14ac:dyDescent="0.25">
      <c r="A43" s="52"/>
      <c r="B43" s="299"/>
      <c r="C43" s="299"/>
      <c r="D43" s="299"/>
      <c r="E43" s="299"/>
      <c r="F43" s="299"/>
      <c r="G43" s="299"/>
      <c r="H43" s="299"/>
      <c r="I43" s="299"/>
      <c r="J43" s="299"/>
      <c r="K43" s="299"/>
      <c r="L43" s="51"/>
      <c r="M43" s="299"/>
      <c r="N43" s="51"/>
      <c r="O43" s="299"/>
      <c r="P43" s="299"/>
      <c r="Q43" s="299"/>
      <c r="R43" s="387"/>
    </row>
    <row r="53" spans="6:6" x14ac:dyDescent="0.2">
      <c r="F53" s="402"/>
    </row>
    <row r="54" spans="6:6" x14ac:dyDescent="0.2">
      <c r="F54" s="402"/>
    </row>
    <row r="55" spans="6:6" x14ac:dyDescent="0.2">
      <c r="F55" s="402"/>
    </row>
    <row r="56" spans="6:6" x14ac:dyDescent="0.2">
      <c r="F56" s="402"/>
    </row>
    <row r="57" spans="6:6" x14ac:dyDescent="0.2">
      <c r="F57" s="402"/>
    </row>
    <row r="58" spans="6:6" x14ac:dyDescent="0.2">
      <c r="F58" s="402"/>
    </row>
    <row r="59" spans="6:6" x14ac:dyDescent="0.2">
      <c r="F59" s="402"/>
    </row>
    <row r="60" spans="6:6" x14ac:dyDescent="0.2">
      <c r="F60" s="402"/>
    </row>
    <row r="61" spans="6:6" x14ac:dyDescent="0.2">
      <c r="F61" s="402"/>
    </row>
    <row r="62" spans="6:6" x14ac:dyDescent="0.2">
      <c r="F62" s="401"/>
    </row>
    <row r="63" spans="6:6" x14ac:dyDescent="0.2">
      <c r="F63" s="401"/>
    </row>
    <row r="64" spans="6:6" x14ac:dyDescent="0.2">
      <c r="F64" s="401"/>
    </row>
    <row r="65" spans="6:6" x14ac:dyDescent="0.2">
      <c r="F65" s="401"/>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5:F52 JB45:JB52 SX45:SX52 ACT45:ACT52 AMP45:AMP52 AWL45:AWL52 BGH45:BGH52 BQD45:BQD52 BZZ45:BZZ52 CJV45:CJV52 CTR45:CTR52 DDN45:DDN52 DNJ45:DNJ52 DXF45:DXF52 EHB45:EHB52 EQX45:EQX52 FAT45:FAT52 FKP45:FKP52 FUL45:FUL52 GEH45:GEH52 GOD45:GOD52 GXZ45:GXZ52 HHV45:HHV52 HRR45:HRR52 IBN45:IBN52 ILJ45:ILJ52 IVF45:IVF52 JFB45:JFB52 JOX45:JOX52 JYT45:JYT52 KIP45:KIP52 KSL45:KSL52 LCH45:LCH52 LMD45:LMD52 LVZ45:LVZ52 MFV45:MFV52 MPR45:MPR52 MZN45:MZN52 NJJ45:NJJ52 NTF45:NTF52 ODB45:ODB52 OMX45:OMX52 OWT45:OWT52 PGP45:PGP52 PQL45:PQL52 QAH45:QAH52 QKD45:QKD52 QTZ45:QTZ52 RDV45:RDV52 RNR45:RNR52 RXN45:RXN52 SHJ45:SHJ52 SRF45:SRF52 TBB45:TBB52 TKX45:TKX52 TUT45:TUT52 UEP45:UEP52 UOL45:UOL52 UYH45:UYH52 VID45:VID52 VRZ45:VRZ52 WBV45:WBV52 WLR45:WLR52 WVN45:WVN52 F65581:F65588 JB65581:JB65588 SX65581:SX65588 ACT65581:ACT65588 AMP65581:AMP65588 AWL65581:AWL65588 BGH65581:BGH65588 BQD65581:BQD65588 BZZ65581:BZZ65588 CJV65581:CJV65588 CTR65581:CTR65588 DDN65581:DDN65588 DNJ65581:DNJ65588 DXF65581:DXF65588 EHB65581:EHB65588 EQX65581:EQX65588 FAT65581:FAT65588 FKP65581:FKP65588 FUL65581:FUL65588 GEH65581:GEH65588 GOD65581:GOD65588 GXZ65581:GXZ65588 HHV65581:HHV65588 HRR65581:HRR65588 IBN65581:IBN65588 ILJ65581:ILJ65588 IVF65581:IVF65588 JFB65581:JFB65588 JOX65581:JOX65588 JYT65581:JYT65588 KIP65581:KIP65588 KSL65581:KSL65588 LCH65581:LCH65588 LMD65581:LMD65588 LVZ65581:LVZ65588 MFV65581:MFV65588 MPR65581:MPR65588 MZN65581:MZN65588 NJJ65581:NJJ65588 NTF65581:NTF65588 ODB65581:ODB65588 OMX65581:OMX65588 OWT65581:OWT65588 PGP65581:PGP65588 PQL65581:PQL65588 QAH65581:QAH65588 QKD65581:QKD65588 QTZ65581:QTZ65588 RDV65581:RDV65588 RNR65581:RNR65588 RXN65581:RXN65588 SHJ65581:SHJ65588 SRF65581:SRF65588 TBB65581:TBB65588 TKX65581:TKX65588 TUT65581:TUT65588 UEP65581:UEP65588 UOL65581:UOL65588 UYH65581:UYH65588 VID65581:VID65588 VRZ65581:VRZ65588 WBV65581:WBV65588 WLR65581:WLR65588 WVN65581:WVN65588 F131117:F131124 JB131117:JB131124 SX131117:SX131124 ACT131117:ACT131124 AMP131117:AMP131124 AWL131117:AWL131124 BGH131117:BGH131124 BQD131117:BQD131124 BZZ131117:BZZ131124 CJV131117:CJV131124 CTR131117:CTR131124 DDN131117:DDN131124 DNJ131117:DNJ131124 DXF131117:DXF131124 EHB131117:EHB131124 EQX131117:EQX131124 FAT131117:FAT131124 FKP131117:FKP131124 FUL131117:FUL131124 GEH131117:GEH131124 GOD131117:GOD131124 GXZ131117:GXZ131124 HHV131117:HHV131124 HRR131117:HRR131124 IBN131117:IBN131124 ILJ131117:ILJ131124 IVF131117:IVF131124 JFB131117:JFB131124 JOX131117:JOX131124 JYT131117:JYT131124 KIP131117:KIP131124 KSL131117:KSL131124 LCH131117:LCH131124 LMD131117:LMD131124 LVZ131117:LVZ131124 MFV131117:MFV131124 MPR131117:MPR131124 MZN131117:MZN131124 NJJ131117:NJJ131124 NTF131117:NTF131124 ODB131117:ODB131124 OMX131117:OMX131124 OWT131117:OWT131124 PGP131117:PGP131124 PQL131117:PQL131124 QAH131117:QAH131124 QKD131117:QKD131124 QTZ131117:QTZ131124 RDV131117:RDV131124 RNR131117:RNR131124 RXN131117:RXN131124 SHJ131117:SHJ131124 SRF131117:SRF131124 TBB131117:TBB131124 TKX131117:TKX131124 TUT131117:TUT131124 UEP131117:UEP131124 UOL131117:UOL131124 UYH131117:UYH131124 VID131117:VID131124 VRZ131117:VRZ131124 WBV131117:WBV131124 WLR131117:WLR131124 WVN131117:WVN131124 F196653:F196660 JB196653:JB196660 SX196653:SX196660 ACT196653:ACT196660 AMP196653:AMP196660 AWL196653:AWL196660 BGH196653:BGH196660 BQD196653:BQD196660 BZZ196653:BZZ196660 CJV196653:CJV196660 CTR196653:CTR196660 DDN196653:DDN196660 DNJ196653:DNJ196660 DXF196653:DXF196660 EHB196653:EHB196660 EQX196653:EQX196660 FAT196653:FAT196660 FKP196653:FKP196660 FUL196653:FUL196660 GEH196653:GEH196660 GOD196653:GOD196660 GXZ196653:GXZ196660 HHV196653:HHV196660 HRR196653:HRR196660 IBN196653:IBN196660 ILJ196653:ILJ196660 IVF196653:IVF196660 JFB196653:JFB196660 JOX196653:JOX196660 JYT196653:JYT196660 KIP196653:KIP196660 KSL196653:KSL196660 LCH196653:LCH196660 LMD196653:LMD196660 LVZ196653:LVZ196660 MFV196653:MFV196660 MPR196653:MPR196660 MZN196653:MZN196660 NJJ196653:NJJ196660 NTF196653:NTF196660 ODB196653:ODB196660 OMX196653:OMX196660 OWT196653:OWT196660 PGP196653:PGP196660 PQL196653:PQL196660 QAH196653:QAH196660 QKD196653:QKD196660 QTZ196653:QTZ196660 RDV196653:RDV196660 RNR196653:RNR196660 RXN196653:RXN196660 SHJ196653:SHJ196660 SRF196653:SRF196660 TBB196653:TBB196660 TKX196653:TKX196660 TUT196653:TUT196660 UEP196653:UEP196660 UOL196653:UOL196660 UYH196653:UYH196660 VID196653:VID196660 VRZ196653:VRZ196660 WBV196653:WBV196660 WLR196653:WLR196660 WVN196653:WVN196660 F262189:F262196 JB262189:JB262196 SX262189:SX262196 ACT262189:ACT262196 AMP262189:AMP262196 AWL262189:AWL262196 BGH262189:BGH262196 BQD262189:BQD262196 BZZ262189:BZZ262196 CJV262189:CJV262196 CTR262189:CTR262196 DDN262189:DDN262196 DNJ262189:DNJ262196 DXF262189:DXF262196 EHB262189:EHB262196 EQX262189:EQX262196 FAT262189:FAT262196 FKP262189:FKP262196 FUL262189:FUL262196 GEH262189:GEH262196 GOD262189:GOD262196 GXZ262189:GXZ262196 HHV262189:HHV262196 HRR262189:HRR262196 IBN262189:IBN262196 ILJ262189:ILJ262196 IVF262189:IVF262196 JFB262189:JFB262196 JOX262189:JOX262196 JYT262189:JYT262196 KIP262189:KIP262196 KSL262189:KSL262196 LCH262189:LCH262196 LMD262189:LMD262196 LVZ262189:LVZ262196 MFV262189:MFV262196 MPR262189:MPR262196 MZN262189:MZN262196 NJJ262189:NJJ262196 NTF262189:NTF262196 ODB262189:ODB262196 OMX262189:OMX262196 OWT262189:OWT262196 PGP262189:PGP262196 PQL262189:PQL262196 QAH262189:QAH262196 QKD262189:QKD262196 QTZ262189:QTZ262196 RDV262189:RDV262196 RNR262189:RNR262196 RXN262189:RXN262196 SHJ262189:SHJ262196 SRF262189:SRF262196 TBB262189:TBB262196 TKX262189:TKX262196 TUT262189:TUT262196 UEP262189:UEP262196 UOL262189:UOL262196 UYH262189:UYH262196 VID262189:VID262196 VRZ262189:VRZ262196 WBV262189:WBV262196 WLR262189:WLR262196 WVN262189:WVN262196 F327725:F327732 JB327725:JB327732 SX327725:SX327732 ACT327725:ACT327732 AMP327725:AMP327732 AWL327725:AWL327732 BGH327725:BGH327732 BQD327725:BQD327732 BZZ327725:BZZ327732 CJV327725:CJV327732 CTR327725:CTR327732 DDN327725:DDN327732 DNJ327725:DNJ327732 DXF327725:DXF327732 EHB327725:EHB327732 EQX327725:EQX327732 FAT327725:FAT327732 FKP327725:FKP327732 FUL327725:FUL327732 GEH327725:GEH327732 GOD327725:GOD327732 GXZ327725:GXZ327732 HHV327725:HHV327732 HRR327725:HRR327732 IBN327725:IBN327732 ILJ327725:ILJ327732 IVF327725:IVF327732 JFB327725:JFB327732 JOX327725:JOX327732 JYT327725:JYT327732 KIP327725:KIP327732 KSL327725:KSL327732 LCH327725:LCH327732 LMD327725:LMD327732 LVZ327725:LVZ327732 MFV327725:MFV327732 MPR327725:MPR327732 MZN327725:MZN327732 NJJ327725:NJJ327732 NTF327725:NTF327732 ODB327725:ODB327732 OMX327725:OMX327732 OWT327725:OWT327732 PGP327725:PGP327732 PQL327725:PQL327732 QAH327725:QAH327732 QKD327725:QKD327732 QTZ327725:QTZ327732 RDV327725:RDV327732 RNR327725:RNR327732 RXN327725:RXN327732 SHJ327725:SHJ327732 SRF327725:SRF327732 TBB327725:TBB327732 TKX327725:TKX327732 TUT327725:TUT327732 UEP327725:UEP327732 UOL327725:UOL327732 UYH327725:UYH327732 VID327725:VID327732 VRZ327725:VRZ327732 WBV327725:WBV327732 WLR327725:WLR327732 WVN327725:WVN327732 F393261:F393268 JB393261:JB393268 SX393261:SX393268 ACT393261:ACT393268 AMP393261:AMP393268 AWL393261:AWL393268 BGH393261:BGH393268 BQD393261:BQD393268 BZZ393261:BZZ393268 CJV393261:CJV393268 CTR393261:CTR393268 DDN393261:DDN393268 DNJ393261:DNJ393268 DXF393261:DXF393268 EHB393261:EHB393268 EQX393261:EQX393268 FAT393261:FAT393268 FKP393261:FKP393268 FUL393261:FUL393268 GEH393261:GEH393268 GOD393261:GOD393268 GXZ393261:GXZ393268 HHV393261:HHV393268 HRR393261:HRR393268 IBN393261:IBN393268 ILJ393261:ILJ393268 IVF393261:IVF393268 JFB393261:JFB393268 JOX393261:JOX393268 JYT393261:JYT393268 KIP393261:KIP393268 KSL393261:KSL393268 LCH393261:LCH393268 LMD393261:LMD393268 LVZ393261:LVZ393268 MFV393261:MFV393268 MPR393261:MPR393268 MZN393261:MZN393268 NJJ393261:NJJ393268 NTF393261:NTF393268 ODB393261:ODB393268 OMX393261:OMX393268 OWT393261:OWT393268 PGP393261:PGP393268 PQL393261:PQL393268 QAH393261:QAH393268 QKD393261:QKD393268 QTZ393261:QTZ393268 RDV393261:RDV393268 RNR393261:RNR393268 RXN393261:RXN393268 SHJ393261:SHJ393268 SRF393261:SRF393268 TBB393261:TBB393268 TKX393261:TKX393268 TUT393261:TUT393268 UEP393261:UEP393268 UOL393261:UOL393268 UYH393261:UYH393268 VID393261:VID393268 VRZ393261:VRZ393268 WBV393261:WBV393268 WLR393261:WLR393268 WVN393261:WVN393268 F458797:F458804 JB458797:JB458804 SX458797:SX458804 ACT458797:ACT458804 AMP458797:AMP458804 AWL458797:AWL458804 BGH458797:BGH458804 BQD458797:BQD458804 BZZ458797:BZZ458804 CJV458797:CJV458804 CTR458797:CTR458804 DDN458797:DDN458804 DNJ458797:DNJ458804 DXF458797:DXF458804 EHB458797:EHB458804 EQX458797:EQX458804 FAT458797:FAT458804 FKP458797:FKP458804 FUL458797:FUL458804 GEH458797:GEH458804 GOD458797:GOD458804 GXZ458797:GXZ458804 HHV458797:HHV458804 HRR458797:HRR458804 IBN458797:IBN458804 ILJ458797:ILJ458804 IVF458797:IVF458804 JFB458797:JFB458804 JOX458797:JOX458804 JYT458797:JYT458804 KIP458797:KIP458804 KSL458797:KSL458804 LCH458797:LCH458804 LMD458797:LMD458804 LVZ458797:LVZ458804 MFV458797:MFV458804 MPR458797:MPR458804 MZN458797:MZN458804 NJJ458797:NJJ458804 NTF458797:NTF458804 ODB458797:ODB458804 OMX458797:OMX458804 OWT458797:OWT458804 PGP458797:PGP458804 PQL458797:PQL458804 QAH458797:QAH458804 QKD458797:QKD458804 QTZ458797:QTZ458804 RDV458797:RDV458804 RNR458797:RNR458804 RXN458797:RXN458804 SHJ458797:SHJ458804 SRF458797:SRF458804 TBB458797:TBB458804 TKX458797:TKX458804 TUT458797:TUT458804 UEP458797:UEP458804 UOL458797:UOL458804 UYH458797:UYH458804 VID458797:VID458804 VRZ458797:VRZ458804 WBV458797:WBV458804 WLR458797:WLR458804 WVN458797:WVN458804 F524333:F524340 JB524333:JB524340 SX524333:SX524340 ACT524333:ACT524340 AMP524333:AMP524340 AWL524333:AWL524340 BGH524333:BGH524340 BQD524333:BQD524340 BZZ524333:BZZ524340 CJV524333:CJV524340 CTR524333:CTR524340 DDN524333:DDN524340 DNJ524333:DNJ524340 DXF524333:DXF524340 EHB524333:EHB524340 EQX524333:EQX524340 FAT524333:FAT524340 FKP524333:FKP524340 FUL524333:FUL524340 GEH524333:GEH524340 GOD524333:GOD524340 GXZ524333:GXZ524340 HHV524333:HHV524340 HRR524333:HRR524340 IBN524333:IBN524340 ILJ524333:ILJ524340 IVF524333:IVF524340 JFB524333:JFB524340 JOX524333:JOX524340 JYT524333:JYT524340 KIP524333:KIP524340 KSL524333:KSL524340 LCH524333:LCH524340 LMD524333:LMD524340 LVZ524333:LVZ524340 MFV524333:MFV524340 MPR524333:MPR524340 MZN524333:MZN524340 NJJ524333:NJJ524340 NTF524333:NTF524340 ODB524333:ODB524340 OMX524333:OMX524340 OWT524333:OWT524340 PGP524333:PGP524340 PQL524333:PQL524340 QAH524333:QAH524340 QKD524333:QKD524340 QTZ524333:QTZ524340 RDV524333:RDV524340 RNR524333:RNR524340 RXN524333:RXN524340 SHJ524333:SHJ524340 SRF524333:SRF524340 TBB524333:TBB524340 TKX524333:TKX524340 TUT524333:TUT524340 UEP524333:UEP524340 UOL524333:UOL524340 UYH524333:UYH524340 VID524333:VID524340 VRZ524333:VRZ524340 WBV524333:WBV524340 WLR524333:WLR524340 WVN524333:WVN524340 F589869:F589876 JB589869:JB589876 SX589869:SX589876 ACT589869:ACT589876 AMP589869:AMP589876 AWL589869:AWL589876 BGH589869:BGH589876 BQD589869:BQD589876 BZZ589869:BZZ589876 CJV589869:CJV589876 CTR589869:CTR589876 DDN589869:DDN589876 DNJ589869:DNJ589876 DXF589869:DXF589876 EHB589869:EHB589876 EQX589869:EQX589876 FAT589869:FAT589876 FKP589869:FKP589876 FUL589869:FUL589876 GEH589869:GEH589876 GOD589869:GOD589876 GXZ589869:GXZ589876 HHV589869:HHV589876 HRR589869:HRR589876 IBN589869:IBN589876 ILJ589869:ILJ589876 IVF589869:IVF589876 JFB589869:JFB589876 JOX589869:JOX589876 JYT589869:JYT589876 KIP589869:KIP589876 KSL589869:KSL589876 LCH589869:LCH589876 LMD589869:LMD589876 LVZ589869:LVZ589876 MFV589869:MFV589876 MPR589869:MPR589876 MZN589869:MZN589876 NJJ589869:NJJ589876 NTF589869:NTF589876 ODB589869:ODB589876 OMX589869:OMX589876 OWT589869:OWT589876 PGP589869:PGP589876 PQL589869:PQL589876 QAH589869:QAH589876 QKD589869:QKD589876 QTZ589869:QTZ589876 RDV589869:RDV589876 RNR589869:RNR589876 RXN589869:RXN589876 SHJ589869:SHJ589876 SRF589869:SRF589876 TBB589869:TBB589876 TKX589869:TKX589876 TUT589869:TUT589876 UEP589869:UEP589876 UOL589869:UOL589876 UYH589869:UYH589876 VID589869:VID589876 VRZ589869:VRZ589876 WBV589869:WBV589876 WLR589869:WLR589876 WVN589869:WVN589876 F655405:F655412 JB655405:JB655412 SX655405:SX655412 ACT655405:ACT655412 AMP655405:AMP655412 AWL655405:AWL655412 BGH655405:BGH655412 BQD655405:BQD655412 BZZ655405:BZZ655412 CJV655405:CJV655412 CTR655405:CTR655412 DDN655405:DDN655412 DNJ655405:DNJ655412 DXF655405:DXF655412 EHB655405:EHB655412 EQX655405:EQX655412 FAT655405:FAT655412 FKP655405:FKP655412 FUL655405:FUL655412 GEH655405:GEH655412 GOD655405:GOD655412 GXZ655405:GXZ655412 HHV655405:HHV655412 HRR655405:HRR655412 IBN655405:IBN655412 ILJ655405:ILJ655412 IVF655405:IVF655412 JFB655405:JFB655412 JOX655405:JOX655412 JYT655405:JYT655412 KIP655405:KIP655412 KSL655405:KSL655412 LCH655405:LCH655412 LMD655405:LMD655412 LVZ655405:LVZ655412 MFV655405:MFV655412 MPR655405:MPR655412 MZN655405:MZN655412 NJJ655405:NJJ655412 NTF655405:NTF655412 ODB655405:ODB655412 OMX655405:OMX655412 OWT655405:OWT655412 PGP655405:PGP655412 PQL655405:PQL655412 QAH655405:QAH655412 QKD655405:QKD655412 QTZ655405:QTZ655412 RDV655405:RDV655412 RNR655405:RNR655412 RXN655405:RXN655412 SHJ655405:SHJ655412 SRF655405:SRF655412 TBB655405:TBB655412 TKX655405:TKX655412 TUT655405:TUT655412 UEP655405:UEP655412 UOL655405:UOL655412 UYH655405:UYH655412 VID655405:VID655412 VRZ655405:VRZ655412 WBV655405:WBV655412 WLR655405:WLR655412 WVN655405:WVN655412 F720941:F720948 JB720941:JB720948 SX720941:SX720948 ACT720941:ACT720948 AMP720941:AMP720948 AWL720941:AWL720948 BGH720941:BGH720948 BQD720941:BQD720948 BZZ720941:BZZ720948 CJV720941:CJV720948 CTR720941:CTR720948 DDN720941:DDN720948 DNJ720941:DNJ720948 DXF720941:DXF720948 EHB720941:EHB720948 EQX720941:EQX720948 FAT720941:FAT720948 FKP720941:FKP720948 FUL720941:FUL720948 GEH720941:GEH720948 GOD720941:GOD720948 GXZ720941:GXZ720948 HHV720941:HHV720948 HRR720941:HRR720948 IBN720941:IBN720948 ILJ720941:ILJ720948 IVF720941:IVF720948 JFB720941:JFB720948 JOX720941:JOX720948 JYT720941:JYT720948 KIP720941:KIP720948 KSL720941:KSL720948 LCH720941:LCH720948 LMD720941:LMD720948 LVZ720941:LVZ720948 MFV720941:MFV720948 MPR720941:MPR720948 MZN720941:MZN720948 NJJ720941:NJJ720948 NTF720941:NTF720948 ODB720941:ODB720948 OMX720941:OMX720948 OWT720941:OWT720948 PGP720941:PGP720948 PQL720941:PQL720948 QAH720941:QAH720948 QKD720941:QKD720948 QTZ720941:QTZ720948 RDV720941:RDV720948 RNR720941:RNR720948 RXN720941:RXN720948 SHJ720941:SHJ720948 SRF720941:SRF720948 TBB720941:TBB720948 TKX720941:TKX720948 TUT720941:TUT720948 UEP720941:UEP720948 UOL720941:UOL720948 UYH720941:UYH720948 VID720941:VID720948 VRZ720941:VRZ720948 WBV720941:WBV720948 WLR720941:WLR720948 WVN720941:WVN720948 F786477:F786484 JB786477:JB786484 SX786477:SX786484 ACT786477:ACT786484 AMP786477:AMP786484 AWL786477:AWL786484 BGH786477:BGH786484 BQD786477:BQD786484 BZZ786477:BZZ786484 CJV786477:CJV786484 CTR786477:CTR786484 DDN786477:DDN786484 DNJ786477:DNJ786484 DXF786477:DXF786484 EHB786477:EHB786484 EQX786477:EQX786484 FAT786477:FAT786484 FKP786477:FKP786484 FUL786477:FUL786484 GEH786477:GEH786484 GOD786477:GOD786484 GXZ786477:GXZ786484 HHV786477:HHV786484 HRR786477:HRR786484 IBN786477:IBN786484 ILJ786477:ILJ786484 IVF786477:IVF786484 JFB786477:JFB786484 JOX786477:JOX786484 JYT786477:JYT786484 KIP786477:KIP786484 KSL786477:KSL786484 LCH786477:LCH786484 LMD786477:LMD786484 LVZ786477:LVZ786484 MFV786477:MFV786484 MPR786477:MPR786484 MZN786477:MZN786484 NJJ786477:NJJ786484 NTF786477:NTF786484 ODB786477:ODB786484 OMX786477:OMX786484 OWT786477:OWT786484 PGP786477:PGP786484 PQL786477:PQL786484 QAH786477:QAH786484 QKD786477:QKD786484 QTZ786477:QTZ786484 RDV786477:RDV786484 RNR786477:RNR786484 RXN786477:RXN786484 SHJ786477:SHJ786484 SRF786477:SRF786484 TBB786477:TBB786484 TKX786477:TKX786484 TUT786477:TUT786484 UEP786477:UEP786484 UOL786477:UOL786484 UYH786477:UYH786484 VID786477:VID786484 VRZ786477:VRZ786484 WBV786477:WBV786484 WLR786477:WLR786484 WVN786477:WVN786484 F852013:F852020 JB852013:JB852020 SX852013:SX852020 ACT852013:ACT852020 AMP852013:AMP852020 AWL852013:AWL852020 BGH852013:BGH852020 BQD852013:BQD852020 BZZ852013:BZZ852020 CJV852013:CJV852020 CTR852013:CTR852020 DDN852013:DDN852020 DNJ852013:DNJ852020 DXF852013:DXF852020 EHB852013:EHB852020 EQX852013:EQX852020 FAT852013:FAT852020 FKP852013:FKP852020 FUL852013:FUL852020 GEH852013:GEH852020 GOD852013:GOD852020 GXZ852013:GXZ852020 HHV852013:HHV852020 HRR852013:HRR852020 IBN852013:IBN852020 ILJ852013:ILJ852020 IVF852013:IVF852020 JFB852013:JFB852020 JOX852013:JOX852020 JYT852013:JYT852020 KIP852013:KIP852020 KSL852013:KSL852020 LCH852013:LCH852020 LMD852013:LMD852020 LVZ852013:LVZ852020 MFV852013:MFV852020 MPR852013:MPR852020 MZN852013:MZN852020 NJJ852013:NJJ852020 NTF852013:NTF852020 ODB852013:ODB852020 OMX852013:OMX852020 OWT852013:OWT852020 PGP852013:PGP852020 PQL852013:PQL852020 QAH852013:QAH852020 QKD852013:QKD852020 QTZ852013:QTZ852020 RDV852013:RDV852020 RNR852013:RNR852020 RXN852013:RXN852020 SHJ852013:SHJ852020 SRF852013:SRF852020 TBB852013:TBB852020 TKX852013:TKX852020 TUT852013:TUT852020 UEP852013:UEP852020 UOL852013:UOL852020 UYH852013:UYH852020 VID852013:VID852020 VRZ852013:VRZ852020 WBV852013:WBV852020 WLR852013:WLR852020 WVN852013:WVN852020 F917549:F917556 JB917549:JB917556 SX917549:SX917556 ACT917549:ACT917556 AMP917549:AMP917556 AWL917549:AWL917556 BGH917549:BGH917556 BQD917549:BQD917556 BZZ917549:BZZ917556 CJV917549:CJV917556 CTR917549:CTR917556 DDN917549:DDN917556 DNJ917549:DNJ917556 DXF917549:DXF917556 EHB917549:EHB917556 EQX917549:EQX917556 FAT917549:FAT917556 FKP917549:FKP917556 FUL917549:FUL917556 GEH917549:GEH917556 GOD917549:GOD917556 GXZ917549:GXZ917556 HHV917549:HHV917556 HRR917549:HRR917556 IBN917549:IBN917556 ILJ917549:ILJ917556 IVF917549:IVF917556 JFB917549:JFB917556 JOX917549:JOX917556 JYT917549:JYT917556 KIP917549:KIP917556 KSL917549:KSL917556 LCH917549:LCH917556 LMD917549:LMD917556 LVZ917549:LVZ917556 MFV917549:MFV917556 MPR917549:MPR917556 MZN917549:MZN917556 NJJ917549:NJJ917556 NTF917549:NTF917556 ODB917549:ODB917556 OMX917549:OMX917556 OWT917549:OWT917556 PGP917549:PGP917556 PQL917549:PQL917556 QAH917549:QAH917556 QKD917549:QKD917556 QTZ917549:QTZ917556 RDV917549:RDV917556 RNR917549:RNR917556 RXN917549:RXN917556 SHJ917549:SHJ917556 SRF917549:SRF917556 TBB917549:TBB917556 TKX917549:TKX917556 TUT917549:TUT917556 UEP917549:UEP917556 UOL917549:UOL917556 UYH917549:UYH917556 VID917549:VID917556 VRZ917549:VRZ917556 WBV917549:WBV917556 WLR917549:WLR917556 WVN917549:WVN917556 F983085:F983092 JB983085:JB983092 SX983085:SX983092 ACT983085:ACT983092 AMP983085:AMP983092 AWL983085:AWL983092 BGH983085:BGH983092 BQD983085:BQD983092 BZZ983085:BZZ983092 CJV983085:CJV983092 CTR983085:CTR983092 DDN983085:DDN983092 DNJ983085:DNJ983092 DXF983085:DXF983092 EHB983085:EHB983092 EQX983085:EQX983092 FAT983085:FAT983092 FKP983085:FKP983092 FUL983085:FUL983092 GEH983085:GEH983092 GOD983085:GOD983092 GXZ983085:GXZ983092 HHV983085:HHV983092 HRR983085:HRR983092 IBN983085:IBN983092 ILJ983085:ILJ983092 IVF983085:IVF983092 JFB983085:JFB983092 JOX983085:JOX983092 JYT983085:JYT983092 KIP983085:KIP983092 KSL983085:KSL983092 LCH983085:LCH983092 LMD983085:LMD983092 LVZ983085:LVZ983092 MFV983085:MFV983092 MPR983085:MPR983092 MZN983085:MZN983092 NJJ983085:NJJ983092 NTF983085:NTF983092 ODB983085:ODB983092 OMX983085:OMX983092 OWT983085:OWT983092 PGP983085:PGP983092 PQL983085:PQL983092 QAH983085:QAH983092 QKD983085:QKD983092 QTZ983085:QTZ983092 RDV983085:RDV983092 RNR983085:RNR983092 RXN983085:RXN983092 SHJ983085:SHJ983092 SRF983085:SRF983092 TBB983085:TBB983092 TKX983085:TKX983092 TUT983085:TUT983092 UEP983085:UEP983092 UOL983085:UOL983092 UYH983085:UYH983092 VID983085:VID983092 VRZ983085:VRZ983092 WBV983085:WBV983092 WLR983085:WLR983092 WVN983085:WVN983092">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X63"/>
  <sheetViews>
    <sheetView workbookViewId="0"/>
  </sheetViews>
  <sheetFormatPr defaultRowHeight="11.25" x14ac:dyDescent="0.2"/>
  <cols>
    <col min="1" max="1" width="4" style="21" bestFit="1" customWidth="1"/>
    <col min="2" max="2" width="3.85546875" style="21" bestFit="1" customWidth="1"/>
    <col min="3" max="4" width="2.7109375" style="21" bestFit="1" customWidth="1"/>
    <col min="5" max="5" width="10.28515625" style="21" bestFit="1" customWidth="1"/>
    <col min="6" max="6" width="14.5703125" style="21" bestFit="1" customWidth="1"/>
    <col min="7" max="8" width="5.28515625" style="21" customWidth="1"/>
    <col min="9" max="9" width="9" style="21" bestFit="1" customWidth="1"/>
    <col min="10" max="10" width="5.7109375" style="21" bestFit="1" customWidth="1"/>
    <col min="11" max="11" width="5.28515625" style="21" bestFit="1" customWidth="1"/>
    <col min="12" max="12" width="5" style="21" customWidth="1"/>
    <col min="13" max="13" width="5.28515625" style="21" bestFit="1" customWidth="1"/>
    <col min="14" max="14" width="5" style="21" customWidth="1"/>
    <col min="15" max="15" width="15.425781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23" width="3.85546875" style="21" bestFit="1" customWidth="1"/>
    <col min="24" max="24" width="7.7109375" style="21" bestFit="1" customWidth="1"/>
    <col min="25" max="16384" width="9.140625" style="21"/>
  </cols>
  <sheetData>
    <row r="1" spans="1:24" x14ac:dyDescent="0.2">
      <c r="A1" s="332" t="s">
        <v>311</v>
      </c>
      <c r="B1" s="203"/>
      <c r="C1" s="203"/>
      <c r="D1" s="203"/>
      <c r="E1" s="203"/>
      <c r="F1" s="203"/>
      <c r="G1" s="203"/>
      <c r="H1" s="203"/>
      <c r="I1" s="203"/>
      <c r="J1" s="203"/>
      <c r="K1" s="203"/>
      <c r="L1" s="203"/>
      <c r="M1" s="203"/>
      <c r="N1" s="203"/>
      <c r="O1" s="203"/>
      <c r="P1" s="203"/>
      <c r="Q1" s="203"/>
      <c r="R1" s="200"/>
    </row>
    <row r="2" spans="1:24" x14ac:dyDescent="0.2">
      <c r="A2" s="297"/>
      <c r="B2" s="141"/>
      <c r="C2" s="260"/>
      <c r="D2" s="260"/>
      <c r="E2" s="260"/>
      <c r="F2" s="148" t="s">
        <v>236</v>
      </c>
      <c r="G2" s="260"/>
      <c r="H2" s="260"/>
      <c r="I2" s="260"/>
      <c r="J2" s="260"/>
      <c r="K2" s="141"/>
      <c r="L2" s="260"/>
      <c r="M2" s="260"/>
      <c r="N2" s="260"/>
      <c r="O2" s="408" t="s">
        <v>255</v>
      </c>
      <c r="P2" s="148" t="s">
        <v>147</v>
      </c>
      <c r="Q2" s="141"/>
      <c r="R2" s="53"/>
    </row>
    <row r="3" spans="1:24" x14ac:dyDescent="0.2">
      <c r="A3" s="126"/>
      <c r="B3" s="260"/>
      <c r="C3" s="141"/>
      <c r="D3" s="141"/>
      <c r="E3" s="141"/>
      <c r="F3" s="141" t="str">
        <f>_xll.qlInterpolation(,InterpolationType,_xll.ohFilter(A5:A42,J5:J42),_xll.ohFilter(I5:I42,J5:J42))</f>
        <v>obj_004c9#0019</v>
      </c>
      <c r="G3" s="141"/>
      <c r="H3" s="141"/>
      <c r="I3" s="141"/>
      <c r="J3" s="141"/>
      <c r="K3" s="141"/>
      <c r="L3" s="260"/>
      <c r="M3" s="260"/>
      <c r="N3" s="260"/>
      <c r="O3" s="141"/>
      <c r="P3" s="141"/>
      <c r="Q3" s="292">
        <f>_xll.ohTrigger(Q5:Q42)</f>
        <v>22</v>
      </c>
      <c r="R3" s="221"/>
    </row>
    <row r="4" spans="1:24" ht="23.25" thickBot="1" x14ac:dyDescent="0.25">
      <c r="A4" s="126"/>
      <c r="B4" s="392"/>
      <c r="C4" s="198"/>
      <c r="D4" s="198"/>
      <c r="E4" s="198"/>
      <c r="F4" s="291" t="e">
        <f ca="1">_xll.RData(F5:F42,G4:H4,,ReutersRtMode,,G5)</f>
        <v>#NAME?</v>
      </c>
      <c r="G4" s="329" t="s">
        <v>259</v>
      </c>
      <c r="H4" s="329" t="s">
        <v>226</v>
      </c>
      <c r="I4" s="329" t="s">
        <v>286</v>
      </c>
      <c r="J4" s="329"/>
      <c r="K4" s="286" t="s">
        <v>285</v>
      </c>
      <c r="L4" s="260"/>
      <c r="M4" s="289" t="s">
        <v>253</v>
      </c>
      <c r="N4" s="260"/>
      <c r="O4" s="288" t="s">
        <v>252</v>
      </c>
      <c r="P4" s="391" t="s">
        <v>251</v>
      </c>
      <c r="Q4" s="98" t="s">
        <v>250</v>
      </c>
      <c r="R4" s="221"/>
      <c r="X4" s="326" t="s">
        <v>287</v>
      </c>
    </row>
    <row r="5" spans="1:24" x14ac:dyDescent="0.2">
      <c r="A5" s="407">
        <v>0.5</v>
      </c>
      <c r="B5" s="314" t="s">
        <v>40</v>
      </c>
      <c r="C5" s="313" t="str">
        <f t="array" ref="C5:C42">VLOOKUP(Currency,Conventions,2)</f>
        <v>3E</v>
      </c>
      <c r="D5" s="313" t="str">
        <f t="array" ref="D5:D42">VLOOKUP(Currency,Conventions,3)</f>
        <v>6E</v>
      </c>
      <c r="E5" s="311" t="str">
        <f t="shared" ref="E5:E42" si="0">Currency&amp;$C5&amp;$D5&amp;$B5</f>
        <v>EUR3E6E6M</v>
      </c>
      <c r="F5" s="270" t="str">
        <f t="array" ref="F5:F42">Instruments&amp;"="&amp;VLOOKUP(Contributor,ContributorTable,2,FALSE)</f>
        <v>EUR3E6E6M=ICAP</v>
      </c>
      <c r="G5" s="406" t="s">
        <v>260</v>
      </c>
      <c r="H5" s="406" t="s">
        <v>260</v>
      </c>
      <c r="I5" s="406" t="e">
        <f>_xll.qlMidEquivalent(G5,H5)</f>
        <v>#NUM!</v>
      </c>
      <c r="J5" s="266" t="b">
        <f t="shared" ref="J5:J42" si="1">IF(ISNUMBER(I5),TRUE,FALSE)</f>
        <v>0</v>
      </c>
      <c r="K5" s="411" t="e">
        <f t="array" ref="K5:K41">_xll.qlInterpolationInterpolate(F3,A5:A42)</f>
        <v>#NUM!</v>
      </c>
      <c r="L5" s="260"/>
      <c r="M5" s="404" t="e">
        <v>#NUM!</v>
      </c>
      <c r="N5" s="260"/>
      <c r="O5" s="267" t="str">
        <f t="shared" ref="O5:O42" si="2">$E5&amp;$P$2</f>
        <v>EUR3E6E6M_Quote</v>
      </c>
      <c r="P5" s="403" t="e">
        <f t="array" ref="P5:P42">QuoteLive</f>
        <v>#NUM!</v>
      </c>
      <c r="Q5" s="265" t="e">
        <f>_xll.qlSimpleQuoteSetValue($O5,ROUND($P5/10000,6),Trigger)</f>
        <v>#NUM!</v>
      </c>
      <c r="R5" s="221"/>
      <c r="T5" s="93" t="s">
        <v>137</v>
      </c>
      <c r="U5" s="92" t="s">
        <v>130</v>
      </c>
      <c r="V5" s="91" t="s">
        <v>132</v>
      </c>
      <c r="W5" s="21" t="str">
        <f t="shared" ref="W5:W42" si="3">B5</f>
        <v>6M</v>
      </c>
      <c r="X5" s="401" t="e">
        <f>(('Swap6M (2)'!P5-'Swap3M (2)'!P5)*100-P5)/10000</f>
        <v>#NUM!</v>
      </c>
    </row>
    <row r="6" spans="1:24" x14ac:dyDescent="0.2">
      <c r="A6" s="407">
        <v>1</v>
      </c>
      <c r="B6" s="314" t="s">
        <v>34</v>
      </c>
      <c r="C6" s="313" t="str">
        <v>3E</v>
      </c>
      <c r="D6" s="313" t="str">
        <v>6E</v>
      </c>
      <c r="E6" s="311" t="str">
        <f t="shared" si="0"/>
        <v>EUR3E6E1Y</v>
      </c>
      <c r="F6" s="270" t="str">
        <v>EUR3E6E1Y=ICAP</v>
      </c>
      <c r="G6" s="406">
        <v>9.5</v>
      </c>
      <c r="H6" s="406">
        <v>10.5</v>
      </c>
      <c r="I6" s="406">
        <f>_xll.qlMidEquivalent(G6,H6)</f>
        <v>10</v>
      </c>
      <c r="J6" s="266" t="b">
        <f t="shared" si="1"/>
        <v>1</v>
      </c>
      <c r="K6" s="411">
        <v>10</v>
      </c>
      <c r="L6" s="260"/>
      <c r="M6" s="404">
        <v>10</v>
      </c>
      <c r="N6" s="260"/>
      <c r="O6" s="267" t="str">
        <f t="shared" si="2"/>
        <v>EUR3E6E1Y_Quote</v>
      </c>
      <c r="P6" s="403">
        <v>10</v>
      </c>
      <c r="Q6" s="265" t="e">
        <f>_xll.qlSimpleQuoteSetValue($O6,ROUND($P6/10000,6),Trigger)</f>
        <v>#N/A</v>
      </c>
      <c r="R6" s="221"/>
      <c r="T6" s="90" t="s">
        <v>123</v>
      </c>
      <c r="U6" s="89" t="s">
        <v>142</v>
      </c>
      <c r="V6" s="88" t="s">
        <v>135</v>
      </c>
      <c r="W6" s="21" t="str">
        <f t="shared" si="3"/>
        <v>1Y</v>
      </c>
      <c r="X6" s="401">
        <f>(('Swap6M (2)'!P6-'Swap3M (2)'!P6)*100-P6)/10000</f>
        <v>3.5527136788005011E-19</v>
      </c>
    </row>
    <row r="7" spans="1:24" x14ac:dyDescent="0.2">
      <c r="A7" s="407">
        <v>1.25</v>
      </c>
      <c r="B7" s="314" t="s">
        <v>140</v>
      </c>
      <c r="C7" s="313" t="str">
        <v>3E</v>
      </c>
      <c r="D7" s="313" t="str">
        <v>6E</v>
      </c>
      <c r="E7" s="311" t="str">
        <f t="shared" si="0"/>
        <v>EUR3E6E15M</v>
      </c>
      <c r="F7" s="270" t="str">
        <v>EUR3E6E15M=ICAP</v>
      </c>
      <c r="G7" s="406" t="s">
        <v>260</v>
      </c>
      <c r="H7" s="406" t="s">
        <v>260</v>
      </c>
      <c r="I7" s="406" t="e">
        <f>_xll.qlMidEquivalent(G7,H7)</f>
        <v>#NUM!</v>
      </c>
      <c r="J7" s="266" t="b">
        <f t="shared" si="1"/>
        <v>0</v>
      </c>
      <c r="K7" s="411">
        <v>10.707205499281535</v>
      </c>
      <c r="L7" s="260"/>
      <c r="M7" s="404">
        <v>10.707205499281535</v>
      </c>
      <c r="N7" s="260"/>
      <c r="O7" s="267" t="str">
        <f t="shared" si="2"/>
        <v>EUR3E6E15M_Quote</v>
      </c>
      <c r="P7" s="403">
        <v>10.707205499281535</v>
      </c>
      <c r="Q7" s="265" t="e">
        <f>_xll.qlSimpleQuoteSetValue($O7,ROUND($P7/10000,6),Trigger)</f>
        <v>#N/A</v>
      </c>
      <c r="R7" s="221"/>
      <c r="T7" s="90" t="s">
        <v>134</v>
      </c>
      <c r="U7" s="89" t="s">
        <v>130</v>
      </c>
      <c r="V7" s="88" t="s">
        <v>132</v>
      </c>
      <c r="W7" s="21" t="str">
        <f t="shared" si="3"/>
        <v>15M</v>
      </c>
      <c r="X7" s="401">
        <f>(('Swap6M (2)'!P7-'Swap3M (2)'!P7)*100-P7)/10000</f>
        <v>-1.4072054992815382E-4</v>
      </c>
    </row>
    <row r="8" spans="1:24" x14ac:dyDescent="0.2">
      <c r="A8" s="407">
        <v>1.5</v>
      </c>
      <c r="B8" s="314" t="s">
        <v>139</v>
      </c>
      <c r="C8" s="313" t="str">
        <v>3E</v>
      </c>
      <c r="D8" s="313" t="str">
        <v>6E</v>
      </c>
      <c r="E8" s="311" t="str">
        <f t="shared" si="0"/>
        <v>EUR3E6E18M</v>
      </c>
      <c r="F8" s="270" t="str">
        <v>EUR3E6E18M=ICAP</v>
      </c>
      <c r="G8" s="406">
        <v>10.8</v>
      </c>
      <c r="H8" s="406">
        <v>11.8</v>
      </c>
      <c r="I8" s="406">
        <f>_xll.qlMidEquivalent(G8,H8)</f>
        <v>11.3</v>
      </c>
      <c r="J8" s="266" t="b">
        <f t="shared" si="1"/>
        <v>1</v>
      </c>
      <c r="K8" s="411">
        <v>11.3</v>
      </c>
      <c r="L8" s="260"/>
      <c r="M8" s="404">
        <v>11.3</v>
      </c>
      <c r="N8" s="260"/>
      <c r="O8" s="267" t="str">
        <f t="shared" si="2"/>
        <v>EUR3E6E18M_Quote</v>
      </c>
      <c r="P8" s="403">
        <v>11.3</v>
      </c>
      <c r="Q8" s="265" t="e">
        <f>_xll.qlSimpleQuoteSetValue($O8,ROUND($P8/10000,6),Trigger)</f>
        <v>#N/A</v>
      </c>
      <c r="R8" s="221"/>
      <c r="T8" s="90" t="s">
        <v>133</v>
      </c>
      <c r="U8" s="89" t="s">
        <v>130</v>
      </c>
      <c r="V8" s="88" t="s">
        <v>132</v>
      </c>
      <c r="W8" s="21" t="str">
        <f t="shared" si="3"/>
        <v>18M</v>
      </c>
      <c r="X8" s="401">
        <f>(('Swap6M (2)'!P8-'Swap3M (2)'!P8)*100-P8)/10000</f>
        <v>-1.0000000000000141E-5</v>
      </c>
    </row>
    <row r="9" spans="1:24" ht="12" thickBot="1" x14ac:dyDescent="0.25">
      <c r="A9" s="407">
        <v>1.75</v>
      </c>
      <c r="B9" s="314" t="s">
        <v>138</v>
      </c>
      <c r="C9" s="313" t="str">
        <v>3E</v>
      </c>
      <c r="D9" s="313" t="str">
        <v>6E</v>
      </c>
      <c r="E9" s="311" t="str">
        <f t="shared" si="0"/>
        <v>EUR3E6E21M</v>
      </c>
      <c r="F9" s="270" t="str">
        <v>EUR3E6E21M=ICAP</v>
      </c>
      <c r="G9" s="406" t="s">
        <v>260</v>
      </c>
      <c r="H9" s="406" t="s">
        <v>260</v>
      </c>
      <c r="I9" s="406" t="e">
        <f>_xll.qlMidEquivalent(G9,H9)</f>
        <v>#NUM!</v>
      </c>
      <c r="J9" s="266" t="b">
        <f t="shared" si="1"/>
        <v>0</v>
      </c>
      <c r="K9" s="411">
        <v>11.697133502155394</v>
      </c>
      <c r="L9" s="260"/>
      <c r="M9" s="404">
        <v>11.697133502155394</v>
      </c>
      <c r="N9" s="260"/>
      <c r="O9" s="267" t="str">
        <f t="shared" si="2"/>
        <v>EUR3E6E21M_Quote</v>
      </c>
      <c r="P9" s="403">
        <v>11.697133502155394</v>
      </c>
      <c r="Q9" s="265" t="e">
        <f>_xll.qlSimpleQuoteSetValue($O9,ROUND($P9/10000,6),Trigger)</f>
        <v>#N/A</v>
      </c>
      <c r="R9" s="221"/>
      <c r="T9" s="87" t="s">
        <v>131</v>
      </c>
      <c r="U9" s="86" t="s">
        <v>132</v>
      </c>
      <c r="V9" s="85" t="s">
        <v>130</v>
      </c>
      <c r="W9" s="21" t="str">
        <f t="shared" si="3"/>
        <v>21M</v>
      </c>
      <c r="X9" s="401">
        <f>(('Swap6M (2)'!P9-'Swap3M (2)'!P9)*100-P9)/10000</f>
        <v>-1.0971335021553959E-4</v>
      </c>
    </row>
    <row r="10" spans="1:24" x14ac:dyDescent="0.2">
      <c r="A10" s="126">
        <v>2</v>
      </c>
      <c r="B10" s="314" t="s">
        <v>115</v>
      </c>
      <c r="C10" s="313" t="str">
        <v>3E</v>
      </c>
      <c r="D10" s="313" t="str">
        <v>6E</v>
      </c>
      <c r="E10" s="311" t="str">
        <f t="shared" si="0"/>
        <v>EUR3E6E2Y</v>
      </c>
      <c r="F10" s="270" t="str">
        <v>EUR3E6E2Y=ICAP</v>
      </c>
      <c r="G10" s="406">
        <v>11.45</v>
      </c>
      <c r="H10" s="406">
        <v>12.45</v>
      </c>
      <c r="I10" s="406">
        <f>_xll.qlMidEquivalent(G10,H10)</f>
        <v>11.95</v>
      </c>
      <c r="J10" s="266" t="b">
        <f t="shared" si="1"/>
        <v>1</v>
      </c>
      <c r="K10" s="411">
        <v>11.95</v>
      </c>
      <c r="L10" s="260"/>
      <c r="M10" s="404">
        <v>11.95</v>
      </c>
      <c r="N10" s="260"/>
      <c r="O10" s="267" t="str">
        <f t="shared" si="2"/>
        <v>EUR3E6E2Y_Quote</v>
      </c>
      <c r="P10" s="403">
        <v>11.95</v>
      </c>
      <c r="Q10" s="265" t="e">
        <f>_xll.qlSimpleQuoteSetValue($O10,ROUND($P10/10000,6),Trigger)</f>
        <v>#N/A</v>
      </c>
      <c r="R10" s="221"/>
      <c r="W10" s="21" t="str">
        <f t="shared" si="3"/>
        <v>2Y</v>
      </c>
      <c r="X10" s="401">
        <f>(('Swap6M (2)'!P10-'Swap3M (2)'!P10)*100-P10)/10000</f>
        <v>-4.9999999999988273E-6</v>
      </c>
    </row>
    <row r="11" spans="1:24" x14ac:dyDescent="0.2">
      <c r="A11" s="126">
        <v>3</v>
      </c>
      <c r="B11" s="314" t="s">
        <v>114</v>
      </c>
      <c r="C11" s="313" t="str">
        <v>3E</v>
      </c>
      <c r="D11" s="313" t="str">
        <v>6E</v>
      </c>
      <c r="E11" s="311" t="str">
        <f t="shared" si="0"/>
        <v>EUR3E6E3Y</v>
      </c>
      <c r="F11" s="270" t="str">
        <v>EUR3E6E3Y=ICAP</v>
      </c>
      <c r="G11" s="406">
        <v>11.9</v>
      </c>
      <c r="H11" s="406">
        <v>12.9</v>
      </c>
      <c r="I11" s="406">
        <f>_xll.qlMidEquivalent(G11,H11)</f>
        <v>12.4</v>
      </c>
      <c r="J11" s="266" t="b">
        <f t="shared" si="1"/>
        <v>1</v>
      </c>
      <c r="K11" s="411">
        <v>12.4</v>
      </c>
      <c r="L11" s="260"/>
      <c r="M11" s="404">
        <v>12.4</v>
      </c>
      <c r="N11" s="260"/>
      <c r="O11" s="267" t="str">
        <f t="shared" si="2"/>
        <v>EUR3E6E3Y_Quote</v>
      </c>
      <c r="P11" s="403">
        <v>12.4</v>
      </c>
      <c r="Q11" s="265" t="e">
        <f>_xll.qlSimpleQuoteSetValue($O11,ROUND($P11/10000,6),Trigger)</f>
        <v>#N/A</v>
      </c>
      <c r="R11" s="221"/>
      <c r="W11" s="21" t="str">
        <f t="shared" si="3"/>
        <v>3Y</v>
      </c>
      <c r="X11" s="401">
        <f>(('Swap6M (2)'!P11-'Swap3M (2)'!P11)*100-P11)/10000</f>
        <v>0</v>
      </c>
    </row>
    <row r="12" spans="1:24" x14ac:dyDescent="0.2">
      <c r="A12" s="126">
        <v>4</v>
      </c>
      <c r="B12" s="314" t="s">
        <v>113</v>
      </c>
      <c r="C12" s="313" t="str">
        <v>3E</v>
      </c>
      <c r="D12" s="313" t="str">
        <v>6E</v>
      </c>
      <c r="E12" s="311" t="str">
        <f t="shared" si="0"/>
        <v>EUR3E6E4Y</v>
      </c>
      <c r="F12" s="270" t="str">
        <v>EUR3E6E4Y=ICAP</v>
      </c>
      <c r="G12" s="406">
        <v>11.85</v>
      </c>
      <c r="H12" s="406">
        <v>12.85</v>
      </c>
      <c r="I12" s="406">
        <f>_xll.qlMidEquivalent(G12,H12)</f>
        <v>12.35</v>
      </c>
      <c r="J12" s="266" t="b">
        <f t="shared" si="1"/>
        <v>1</v>
      </c>
      <c r="K12" s="411">
        <v>12.35</v>
      </c>
      <c r="L12" s="260"/>
      <c r="M12" s="404">
        <v>12.35</v>
      </c>
      <c r="N12" s="260"/>
      <c r="O12" s="267" t="str">
        <f t="shared" si="2"/>
        <v>EUR3E6E4Y_Quote</v>
      </c>
      <c r="P12" s="403">
        <v>12.35</v>
      </c>
      <c r="Q12" s="265" t="e">
        <f>_xll.qlSimpleQuoteSetValue($O12,ROUND($P12/10000,6),Trigger)</f>
        <v>#N/A</v>
      </c>
      <c r="R12" s="221"/>
      <c r="W12" s="21" t="str">
        <f t="shared" si="3"/>
        <v>4Y</v>
      </c>
      <c r="X12" s="401">
        <f>(('Swap6M (2)'!P12-'Swap3M (2)'!P12)*100-P12)/10000</f>
        <v>-4.9999999999998937E-6</v>
      </c>
    </row>
    <row r="13" spans="1:24" x14ac:dyDescent="0.2">
      <c r="A13" s="126">
        <v>5</v>
      </c>
      <c r="B13" s="314" t="s">
        <v>112</v>
      </c>
      <c r="C13" s="313" t="str">
        <v>3E</v>
      </c>
      <c r="D13" s="313" t="str">
        <v>6E</v>
      </c>
      <c r="E13" s="311" t="str">
        <f t="shared" si="0"/>
        <v>EUR3E6E5Y</v>
      </c>
      <c r="F13" s="270" t="str">
        <v>EUR3E6E5Y=ICAP</v>
      </c>
      <c r="G13" s="406">
        <v>11.5</v>
      </c>
      <c r="H13" s="406">
        <v>12.5</v>
      </c>
      <c r="I13" s="406">
        <f>_xll.qlMidEquivalent(G13,H13)</f>
        <v>12</v>
      </c>
      <c r="J13" s="266" t="b">
        <f t="shared" si="1"/>
        <v>1</v>
      </c>
      <c r="K13" s="411">
        <v>12</v>
      </c>
      <c r="L13" s="260"/>
      <c r="M13" s="404">
        <v>12</v>
      </c>
      <c r="N13" s="260"/>
      <c r="O13" s="267" t="str">
        <f t="shared" si="2"/>
        <v>EUR3E6E5Y_Quote</v>
      </c>
      <c r="P13" s="403">
        <v>12</v>
      </c>
      <c r="Q13" s="265" t="e">
        <f>_xll.qlSimpleQuoteSetValue($O13,ROUND($P13/10000,6),Trigger)</f>
        <v>#N/A</v>
      </c>
      <c r="R13" s="221"/>
      <c r="W13" s="21" t="str">
        <f t="shared" si="3"/>
        <v>5Y</v>
      </c>
      <c r="X13" s="401">
        <f>(('Swap6M (2)'!P13-'Swap3M (2)'!P13)*100-P13)/10000</f>
        <v>1.0658141036401502E-18</v>
      </c>
    </row>
    <row r="14" spans="1:24" x14ac:dyDescent="0.2">
      <c r="A14" s="126">
        <v>6</v>
      </c>
      <c r="B14" s="314" t="s">
        <v>111</v>
      </c>
      <c r="C14" s="313" t="str">
        <v>3E</v>
      </c>
      <c r="D14" s="313" t="str">
        <v>6E</v>
      </c>
      <c r="E14" s="311" t="str">
        <f t="shared" si="0"/>
        <v>EUR3E6E6Y</v>
      </c>
      <c r="F14" s="270" t="str">
        <v>EUR3E6E6Y=ICAP</v>
      </c>
      <c r="G14" s="406">
        <v>11.25</v>
      </c>
      <c r="H14" s="406">
        <v>12.25</v>
      </c>
      <c r="I14" s="406">
        <f>_xll.qlMidEquivalent(G14,H14)</f>
        <v>11.75</v>
      </c>
      <c r="J14" s="266" t="b">
        <f t="shared" si="1"/>
        <v>1</v>
      </c>
      <c r="K14" s="411">
        <v>11.75</v>
      </c>
      <c r="L14" s="260"/>
      <c r="M14" s="404">
        <v>11.75</v>
      </c>
      <c r="N14" s="260"/>
      <c r="O14" s="267" t="str">
        <f t="shared" si="2"/>
        <v>EUR3E6E6Y_Quote</v>
      </c>
      <c r="P14" s="403">
        <v>11.75</v>
      </c>
      <c r="Q14" s="265" t="e">
        <f>_xll.qlSimpleQuoteSetValue($O14,ROUND($P14/10000,6),Trigger)</f>
        <v>#N/A</v>
      </c>
      <c r="R14" s="221"/>
      <c r="W14" s="21" t="str">
        <f t="shared" si="3"/>
        <v>6Y</v>
      </c>
      <c r="X14" s="401">
        <f>(('Swap6M (2)'!P14-'Swap3M (2)'!P14)*100-P14)/10000</f>
        <v>-5.0000000000000707E-6</v>
      </c>
    </row>
    <row r="15" spans="1:24" x14ac:dyDescent="0.2">
      <c r="A15" s="126">
        <v>7</v>
      </c>
      <c r="B15" s="314" t="s">
        <v>110</v>
      </c>
      <c r="C15" s="313" t="str">
        <v>3E</v>
      </c>
      <c r="D15" s="313" t="str">
        <v>6E</v>
      </c>
      <c r="E15" s="311" t="str">
        <f t="shared" si="0"/>
        <v>EUR3E6E7Y</v>
      </c>
      <c r="F15" s="270" t="str">
        <v>EUR3E6E7Y=ICAP</v>
      </c>
      <c r="G15" s="406">
        <v>10.9</v>
      </c>
      <c r="H15" s="406">
        <v>11.9</v>
      </c>
      <c r="I15" s="406">
        <f>_xll.qlMidEquivalent(G15,H15)</f>
        <v>11.4</v>
      </c>
      <c r="J15" s="266" t="b">
        <f t="shared" si="1"/>
        <v>1</v>
      </c>
      <c r="K15" s="411">
        <v>11.4</v>
      </c>
      <c r="L15" s="260"/>
      <c r="M15" s="404">
        <v>11.4</v>
      </c>
      <c r="N15" s="260"/>
      <c r="O15" s="267" t="str">
        <f t="shared" si="2"/>
        <v>EUR3E6E7Y_Quote</v>
      </c>
      <c r="P15" s="403">
        <v>11.4</v>
      </c>
      <c r="Q15" s="265" t="e">
        <f>_xll.qlSimpleQuoteSetValue($O15,ROUND($P15/10000,6),Trigger)</f>
        <v>#N/A</v>
      </c>
      <c r="R15" s="221"/>
      <c r="W15" s="21" t="str">
        <f t="shared" si="3"/>
        <v>7Y</v>
      </c>
      <c r="X15" s="401">
        <f>(('Swap6M (2)'!P15-'Swap3M (2)'!P15)*100-P15)/10000</f>
        <v>-1.2434497875801753E-18</v>
      </c>
    </row>
    <row r="16" spans="1:24" x14ac:dyDescent="0.2">
      <c r="A16" s="126">
        <v>8</v>
      </c>
      <c r="B16" s="314" t="s">
        <v>109</v>
      </c>
      <c r="C16" s="313" t="str">
        <v>3E</v>
      </c>
      <c r="D16" s="313" t="str">
        <v>6E</v>
      </c>
      <c r="E16" s="311" t="str">
        <f t="shared" si="0"/>
        <v>EUR3E6E8Y</v>
      </c>
      <c r="F16" s="270" t="str">
        <v>EUR3E6E8Y=ICAP</v>
      </c>
      <c r="G16" s="406">
        <v>10.6</v>
      </c>
      <c r="H16" s="406">
        <v>11.6</v>
      </c>
      <c r="I16" s="406">
        <f>_xll.qlMidEquivalent(G16,H16)</f>
        <v>11.1</v>
      </c>
      <c r="J16" s="266" t="b">
        <f t="shared" si="1"/>
        <v>1</v>
      </c>
      <c r="K16" s="411">
        <v>11.1</v>
      </c>
      <c r="L16" s="260"/>
      <c r="M16" s="404">
        <v>11.1</v>
      </c>
      <c r="N16" s="260"/>
      <c r="O16" s="267" t="str">
        <f t="shared" si="2"/>
        <v>EUR3E6E8Y_Quote</v>
      </c>
      <c r="P16" s="403">
        <v>11.1</v>
      </c>
      <c r="Q16" s="265" t="e">
        <f>_xll.qlSimpleQuoteSetValue($O16,ROUND($P16/10000,6),Trigger)</f>
        <v>#N/A</v>
      </c>
      <c r="R16" s="221"/>
      <c r="W16" s="21" t="str">
        <f t="shared" si="3"/>
        <v>8Y</v>
      </c>
      <c r="X16" s="401">
        <f>(('Swap6M (2)'!P16-'Swap3M (2)'!P16)*100-P16)/10000</f>
        <v>-2.3092638912203255E-18</v>
      </c>
    </row>
    <row r="17" spans="1:24" x14ac:dyDescent="0.2">
      <c r="A17" s="126">
        <v>9</v>
      </c>
      <c r="B17" s="314" t="s">
        <v>108</v>
      </c>
      <c r="C17" s="313" t="str">
        <v>3E</v>
      </c>
      <c r="D17" s="313" t="str">
        <v>6E</v>
      </c>
      <c r="E17" s="311" t="str">
        <f t="shared" si="0"/>
        <v>EUR3E6E9Y</v>
      </c>
      <c r="F17" s="270" t="str">
        <v>EUR3E6E9Y=ICAP</v>
      </c>
      <c r="G17" s="406">
        <v>10.15</v>
      </c>
      <c r="H17" s="406">
        <v>11.15</v>
      </c>
      <c r="I17" s="406">
        <f>_xll.qlMidEquivalent(G17,H17)</f>
        <v>10.65</v>
      </c>
      <c r="J17" s="266" t="b">
        <f t="shared" si="1"/>
        <v>1</v>
      </c>
      <c r="K17" s="411">
        <v>10.65</v>
      </c>
      <c r="L17" s="260"/>
      <c r="M17" s="404">
        <v>10.65</v>
      </c>
      <c r="N17" s="260"/>
      <c r="O17" s="267" t="str">
        <f t="shared" si="2"/>
        <v>EUR3E6E9Y_Quote</v>
      </c>
      <c r="P17" s="403">
        <v>10.65</v>
      </c>
      <c r="Q17" s="265" t="e">
        <f>_xll.qlSimpleQuoteSetValue($O17,ROUND($P17/10000,6),Trigger)</f>
        <v>#N/A</v>
      </c>
      <c r="R17" s="221"/>
      <c r="W17" s="21" t="str">
        <f t="shared" si="3"/>
        <v>9Y</v>
      </c>
      <c r="X17" s="401">
        <f>(('Swap6M (2)'!P17-'Swap3M (2)'!P17)*100-P17)/10000</f>
        <v>-4.999999999999183E-6</v>
      </c>
    </row>
    <row r="18" spans="1:24" x14ac:dyDescent="0.2">
      <c r="A18" s="126">
        <v>10</v>
      </c>
      <c r="B18" s="314" t="s">
        <v>107</v>
      </c>
      <c r="C18" s="313" t="str">
        <v>3E</v>
      </c>
      <c r="D18" s="313" t="str">
        <v>6E</v>
      </c>
      <c r="E18" s="311" t="str">
        <f t="shared" si="0"/>
        <v>EUR3E6E10Y</v>
      </c>
      <c r="F18" s="270" t="str">
        <v>EUR3E6E10Y=ICAP</v>
      </c>
      <c r="G18" s="406">
        <v>9.6999999999999993</v>
      </c>
      <c r="H18" s="406">
        <v>10.7</v>
      </c>
      <c r="I18" s="406">
        <f>_xll.qlMidEquivalent(G18,H18)</f>
        <v>10.199999999999999</v>
      </c>
      <c r="J18" s="266" t="b">
        <f t="shared" si="1"/>
        <v>1</v>
      </c>
      <c r="K18" s="411">
        <v>10.199999999999999</v>
      </c>
      <c r="L18" s="260"/>
      <c r="M18" s="404">
        <v>10.199999999999999</v>
      </c>
      <c r="N18" s="260"/>
      <c r="O18" s="267" t="str">
        <f t="shared" si="2"/>
        <v>EUR3E6E10Y_Quote</v>
      </c>
      <c r="P18" s="403">
        <v>10.199999999999999</v>
      </c>
      <c r="Q18" s="265" t="e">
        <f>_xll.qlSimpleQuoteSetValue($O18,ROUND($P18/10000,6),Trigger)</f>
        <v>#N/A</v>
      </c>
      <c r="R18" s="221"/>
      <c r="W18" s="21" t="str">
        <f t="shared" si="3"/>
        <v>10Y</v>
      </c>
      <c r="X18" s="401">
        <f>(('Swap6M (2)'!P18-'Swap3M (2)'!P18)*100-P18)/10000</f>
        <v>9.9999999999997874E-6</v>
      </c>
    </row>
    <row r="19" spans="1:24" x14ac:dyDescent="0.2">
      <c r="A19" s="126">
        <v>11</v>
      </c>
      <c r="B19" s="314" t="s">
        <v>106</v>
      </c>
      <c r="C19" s="313" t="str">
        <v>3E</v>
      </c>
      <c r="D19" s="313" t="str">
        <v>6E</v>
      </c>
      <c r="E19" s="311" t="str">
        <f t="shared" si="0"/>
        <v>EUR3E6E11Y</v>
      </c>
      <c r="F19" s="270" t="str">
        <v>EUR3E6E11Y=ICAP</v>
      </c>
      <c r="G19" s="406">
        <v>9.35</v>
      </c>
      <c r="H19" s="406">
        <v>10.35</v>
      </c>
      <c r="I19" s="406">
        <f>_xll.qlMidEquivalent(G19,H19)</f>
        <v>9.85</v>
      </c>
      <c r="J19" s="266" t="b">
        <f t="shared" si="1"/>
        <v>1</v>
      </c>
      <c r="K19" s="411">
        <v>9.85</v>
      </c>
      <c r="L19" s="260"/>
      <c r="M19" s="404">
        <v>9.85</v>
      </c>
      <c r="N19" s="260"/>
      <c r="O19" s="267" t="str">
        <f t="shared" si="2"/>
        <v>EUR3E6E11Y_Quote</v>
      </c>
      <c r="P19" s="403">
        <v>9.85</v>
      </c>
      <c r="Q19" s="265" t="e">
        <f>_xll.qlSimpleQuoteSetValue($O19,ROUND($P19/10000,6),Trigger)</f>
        <v>#N/A</v>
      </c>
      <c r="R19" s="221"/>
      <c r="W19" s="21" t="str">
        <f t="shared" si="3"/>
        <v>11Y</v>
      </c>
      <c r="X19" s="401">
        <f>(('Swap6M (2)'!P19-'Swap3M (2)'!P19)*100-P19)/10000</f>
        <v>4.9999999999975838E-6</v>
      </c>
    </row>
    <row r="20" spans="1:24" x14ac:dyDescent="0.2">
      <c r="A20" s="126">
        <v>12</v>
      </c>
      <c r="B20" s="314" t="s">
        <v>105</v>
      </c>
      <c r="C20" s="313" t="str">
        <v>3E</v>
      </c>
      <c r="D20" s="313" t="str">
        <v>6E</v>
      </c>
      <c r="E20" s="311" t="str">
        <f t="shared" si="0"/>
        <v>EUR3E6E12Y</v>
      </c>
      <c r="F20" s="270" t="str">
        <v>EUR3E6E12Y=ICAP</v>
      </c>
      <c r="G20" s="406">
        <v>9.0500000000000007</v>
      </c>
      <c r="H20" s="406">
        <v>10.050000000000001</v>
      </c>
      <c r="I20" s="406">
        <f>_xll.qlMidEquivalent(G20,H20)</f>
        <v>9.5500000000000007</v>
      </c>
      <c r="J20" s="266" t="b">
        <f t="shared" si="1"/>
        <v>1</v>
      </c>
      <c r="K20" s="411">
        <v>9.5500000000000007</v>
      </c>
      <c r="L20" s="260"/>
      <c r="M20" s="404">
        <v>9.5500000000000007</v>
      </c>
      <c r="N20" s="260"/>
      <c r="O20" s="267" t="str">
        <f t="shared" si="2"/>
        <v>EUR3E6E12Y_Quote</v>
      </c>
      <c r="P20" s="403">
        <v>9.5500000000000007</v>
      </c>
      <c r="Q20" s="265" t="e">
        <f>_xll.qlSimpleQuoteSetValue($O20,ROUND($P20/10000,6),Trigger)</f>
        <v>#N/A</v>
      </c>
      <c r="R20" s="221"/>
      <c r="W20" s="21" t="str">
        <f t="shared" si="3"/>
        <v>12Y</v>
      </c>
      <c r="X20" s="401">
        <f>(('Swap6M (2)'!P20-'Swap3M (2)'!P20)*100-P20)/10000</f>
        <v>5.0000000000007814E-6</v>
      </c>
    </row>
    <row r="21" spans="1:24" x14ac:dyDescent="0.2">
      <c r="A21" s="126">
        <v>13</v>
      </c>
      <c r="B21" s="314" t="s">
        <v>104</v>
      </c>
      <c r="C21" s="313" t="str">
        <v>3E</v>
      </c>
      <c r="D21" s="313" t="str">
        <v>6E</v>
      </c>
      <c r="E21" s="311" t="str">
        <f t="shared" si="0"/>
        <v>EUR3E6E13Y</v>
      </c>
      <c r="F21" s="270" t="str">
        <v>EUR3E6E13Y=ICAP</v>
      </c>
      <c r="G21" s="406" t="s">
        <v>260</v>
      </c>
      <c r="H21" s="406" t="s">
        <v>260</v>
      </c>
      <c r="I21" s="406" t="e">
        <f>_xll.qlMidEquivalent(G21,H21)</f>
        <v>#NUM!</v>
      </c>
      <c r="J21" s="266" t="b">
        <f t="shared" si="1"/>
        <v>0</v>
      </c>
      <c r="K21" s="411">
        <v>9.2370385241899786</v>
      </c>
      <c r="L21" s="260"/>
      <c r="M21" s="404">
        <v>9.2370385241899786</v>
      </c>
      <c r="N21" s="260"/>
      <c r="O21" s="267" t="str">
        <f t="shared" si="2"/>
        <v>EUR3E6E13Y_Quote</v>
      </c>
      <c r="P21" s="403">
        <v>9.2370385241899786</v>
      </c>
      <c r="Q21" s="265" t="e">
        <f>_xll.qlSimpleQuoteSetValue($O21,ROUND($P21/10000,6),Trigger)</f>
        <v>#N/A</v>
      </c>
      <c r="R21" s="221"/>
      <c r="W21" s="21" t="str">
        <f t="shared" si="3"/>
        <v>13Y</v>
      </c>
      <c r="X21" s="401" t="e">
        <f>(('Swap6M (2)'!P21-'Swap3M (2)'!P21)*100-P21)/10000</f>
        <v>#NUM!</v>
      </c>
    </row>
    <row r="22" spans="1:24" x14ac:dyDescent="0.2">
      <c r="A22" s="126">
        <v>14</v>
      </c>
      <c r="B22" s="314" t="s">
        <v>103</v>
      </c>
      <c r="C22" s="313" t="str">
        <v>3E</v>
      </c>
      <c r="D22" s="313" t="str">
        <v>6E</v>
      </c>
      <c r="E22" s="311" t="str">
        <f t="shared" si="0"/>
        <v>EUR3E6E14Y</v>
      </c>
      <c r="F22" s="270" t="str">
        <v>EUR3E6E14Y=ICAP</v>
      </c>
      <c r="G22" s="406" t="s">
        <v>260</v>
      </c>
      <c r="H22" s="406" t="s">
        <v>260</v>
      </c>
      <c r="I22" s="406" t="e">
        <f>_xll.qlMidEquivalent(G22,H22)</f>
        <v>#NUM!</v>
      </c>
      <c r="J22" s="266" t="b">
        <f t="shared" si="1"/>
        <v>0</v>
      </c>
      <c r="K22" s="411">
        <v>8.9139108863230252</v>
      </c>
      <c r="L22" s="260"/>
      <c r="M22" s="404">
        <v>8.9139108863230252</v>
      </c>
      <c r="N22" s="260"/>
      <c r="O22" s="267" t="str">
        <f t="shared" si="2"/>
        <v>EUR3E6E14Y_Quote</v>
      </c>
      <c r="P22" s="403">
        <v>8.9139108863230252</v>
      </c>
      <c r="Q22" s="265" t="e">
        <f>_xll.qlSimpleQuoteSetValue($O22,ROUND($P22/10000,6),Trigger)</f>
        <v>#N/A</v>
      </c>
      <c r="R22" s="221"/>
      <c r="W22" s="21" t="str">
        <f t="shared" si="3"/>
        <v>14Y</v>
      </c>
      <c r="X22" s="401" t="e">
        <f>(('Swap6M (2)'!P22-'Swap3M (2)'!P22)*100-P22)/10000</f>
        <v>#NUM!</v>
      </c>
    </row>
    <row r="23" spans="1:24" x14ac:dyDescent="0.2">
      <c r="A23" s="126">
        <v>15</v>
      </c>
      <c r="B23" s="314" t="s">
        <v>102</v>
      </c>
      <c r="C23" s="313" t="str">
        <v>3E</v>
      </c>
      <c r="D23" s="313" t="str">
        <v>6E</v>
      </c>
      <c r="E23" s="311" t="str">
        <f t="shared" si="0"/>
        <v>EUR3E6E15Y</v>
      </c>
      <c r="F23" s="270" t="str">
        <v>EUR3E6E15Y=ICAP</v>
      </c>
      <c r="G23" s="406">
        <v>8.1</v>
      </c>
      <c r="H23" s="406">
        <v>9.1</v>
      </c>
      <c r="I23" s="406">
        <f>_xll.qlMidEquivalent(G23,H23)</f>
        <v>8.6</v>
      </c>
      <c r="J23" s="266" t="b">
        <f t="shared" si="1"/>
        <v>1</v>
      </c>
      <c r="K23" s="411">
        <v>8.6</v>
      </c>
      <c r="L23" s="260"/>
      <c r="M23" s="404">
        <v>8.6</v>
      </c>
      <c r="N23" s="260"/>
      <c r="O23" s="267" t="str">
        <f t="shared" si="2"/>
        <v>EUR3E6E15Y_Quote</v>
      </c>
      <c r="P23" s="403">
        <v>8.6</v>
      </c>
      <c r="Q23" s="265" t="e">
        <f>_xll.qlSimpleQuoteSetValue($O23,ROUND($P23/10000,6),Trigger)</f>
        <v>#N/A</v>
      </c>
      <c r="R23" s="221"/>
      <c r="W23" s="21" t="str">
        <f t="shared" si="3"/>
        <v>15Y</v>
      </c>
      <c r="X23" s="401">
        <f>(('Swap6M (2)'!P23-'Swap3M (2)'!P23)*100-P23)/10000</f>
        <v>1.0000000000001919E-5</v>
      </c>
    </row>
    <row r="24" spans="1:24" x14ac:dyDescent="0.2">
      <c r="A24" s="126">
        <v>16</v>
      </c>
      <c r="B24" s="314" t="s">
        <v>101</v>
      </c>
      <c r="C24" s="313" t="str">
        <v>3E</v>
      </c>
      <c r="D24" s="313" t="str">
        <v>6E</v>
      </c>
      <c r="E24" s="311" t="str">
        <f t="shared" si="0"/>
        <v>EUR3E6E16Y</v>
      </c>
      <c r="F24" s="270" t="str">
        <v>EUR3E6E16Y=ICAP</v>
      </c>
      <c r="G24" s="406" t="s">
        <v>260</v>
      </c>
      <c r="H24" s="406" t="s">
        <v>260</v>
      </c>
      <c r="I24" s="406" t="e">
        <f>_xll.qlMidEquivalent(G24,H24)</f>
        <v>#NUM!</v>
      </c>
      <c r="J24" s="266" t="b">
        <f t="shared" si="1"/>
        <v>0</v>
      </c>
      <c r="K24" s="411">
        <v>8.311111988281171</v>
      </c>
      <c r="L24" s="260"/>
      <c r="M24" s="404">
        <v>8.311111988281171</v>
      </c>
      <c r="N24" s="260"/>
      <c r="O24" s="267" t="str">
        <f t="shared" si="2"/>
        <v>EUR3E6E16Y_Quote</v>
      </c>
      <c r="P24" s="403">
        <v>8.311111988281171</v>
      </c>
      <c r="Q24" s="265" t="e">
        <f>_xll.qlSimpleQuoteSetValue($O24,ROUND($P24/10000,6),Trigger)</f>
        <v>#N/A</v>
      </c>
      <c r="R24" s="221"/>
      <c r="W24" s="21" t="str">
        <f t="shared" si="3"/>
        <v>16Y</v>
      </c>
      <c r="X24" s="401" t="e">
        <f>(('Swap6M (2)'!P24-'Swap3M (2)'!P24)*100-P24)/10000</f>
        <v>#NUM!</v>
      </c>
    </row>
    <row r="25" spans="1:24" x14ac:dyDescent="0.2">
      <c r="A25" s="126">
        <v>17</v>
      </c>
      <c r="B25" s="314" t="s">
        <v>100</v>
      </c>
      <c r="C25" s="313" t="str">
        <v>3E</v>
      </c>
      <c r="D25" s="313" t="str">
        <v>6E</v>
      </c>
      <c r="E25" s="311" t="str">
        <f t="shared" si="0"/>
        <v>EUR3E6E17Y</v>
      </c>
      <c r="F25" s="270" t="str">
        <v>EUR3E6E17Y=ICAP</v>
      </c>
      <c r="G25" s="406" t="s">
        <v>260</v>
      </c>
      <c r="H25" s="406" t="s">
        <v>260</v>
      </c>
      <c r="I25" s="406" t="e">
        <f>_xll.qlMidEquivalent(G25,H25)</f>
        <v>#NUM!</v>
      </c>
      <c r="J25" s="266" t="b">
        <f t="shared" si="1"/>
        <v>0</v>
      </c>
      <c r="K25" s="411">
        <v>8.0487458120644462</v>
      </c>
      <c r="L25" s="260"/>
      <c r="M25" s="404">
        <v>8.0487458120644462</v>
      </c>
      <c r="N25" s="260"/>
      <c r="O25" s="267" t="str">
        <f t="shared" si="2"/>
        <v>EUR3E6E17Y_Quote</v>
      </c>
      <c r="P25" s="403">
        <v>8.0487458120644462</v>
      </c>
      <c r="Q25" s="265" t="e">
        <f>_xll.qlSimpleQuoteSetValue($O25,ROUND($P25/10000,6),Trigger)</f>
        <v>#N/A</v>
      </c>
      <c r="R25" s="221"/>
      <c r="W25" s="21" t="str">
        <f t="shared" si="3"/>
        <v>17Y</v>
      </c>
      <c r="X25" s="401" t="e">
        <f>(('Swap6M (2)'!P25-'Swap3M (2)'!P25)*100-P25)/10000</f>
        <v>#NUM!</v>
      </c>
    </row>
    <row r="26" spans="1:24" x14ac:dyDescent="0.2">
      <c r="A26" s="126">
        <v>18</v>
      </c>
      <c r="B26" s="314" t="s">
        <v>99</v>
      </c>
      <c r="C26" s="313" t="str">
        <v>3E</v>
      </c>
      <c r="D26" s="313" t="str">
        <v>6E</v>
      </c>
      <c r="E26" s="311" t="str">
        <f t="shared" si="0"/>
        <v>EUR3E6E18Y</v>
      </c>
      <c r="F26" s="270" t="str">
        <v>EUR3E6E18Y=ICAP</v>
      </c>
      <c r="G26" s="406" t="s">
        <v>260</v>
      </c>
      <c r="H26" s="406" t="s">
        <v>260</v>
      </c>
      <c r="I26" s="406" t="e">
        <f>_xll.qlMidEquivalent(G26,H26)</f>
        <v>#NUM!</v>
      </c>
      <c r="J26" s="266" t="b">
        <f t="shared" si="1"/>
        <v>0</v>
      </c>
      <c r="K26" s="411">
        <v>7.8108236417071328</v>
      </c>
      <c r="L26" s="260"/>
      <c r="M26" s="404">
        <v>7.8108236417071328</v>
      </c>
      <c r="N26" s="260"/>
      <c r="O26" s="267" t="str">
        <f t="shared" si="2"/>
        <v>EUR3E6E18Y_Quote</v>
      </c>
      <c r="P26" s="403">
        <v>7.8108236417071328</v>
      </c>
      <c r="Q26" s="265" t="e">
        <f>_xll.qlSimpleQuoteSetValue($O26,ROUND($P26/10000,6),Trigger)</f>
        <v>#N/A</v>
      </c>
      <c r="R26" s="221"/>
      <c r="W26" s="21" t="str">
        <f t="shared" si="3"/>
        <v>18Y</v>
      </c>
      <c r="X26" s="401" t="e">
        <f>(('Swap6M (2)'!P26-'Swap3M (2)'!P26)*100-P26)/10000</f>
        <v>#NUM!</v>
      </c>
    </row>
    <row r="27" spans="1:24" x14ac:dyDescent="0.2">
      <c r="A27" s="126">
        <v>19</v>
      </c>
      <c r="B27" s="314" t="s">
        <v>98</v>
      </c>
      <c r="C27" s="313" t="str">
        <v>3E</v>
      </c>
      <c r="D27" s="313" t="str">
        <v>6E</v>
      </c>
      <c r="E27" s="311" t="str">
        <f t="shared" si="0"/>
        <v>EUR3E6E19Y</v>
      </c>
      <c r="F27" s="270" t="str">
        <v>EUR3E6E19Y=ICAP</v>
      </c>
      <c r="G27" s="406" t="s">
        <v>260</v>
      </c>
      <c r="H27" s="406" t="s">
        <v>260</v>
      </c>
      <c r="I27" s="406" t="e">
        <f>_xll.qlMidEquivalent(G27,H27)</f>
        <v>#NUM!</v>
      </c>
      <c r="J27" s="266" t="b">
        <f t="shared" si="1"/>
        <v>0</v>
      </c>
      <c r="K27" s="411">
        <v>7.5952676475665477</v>
      </c>
      <c r="L27" s="260"/>
      <c r="M27" s="404">
        <v>7.5952676475665477</v>
      </c>
      <c r="N27" s="260"/>
      <c r="O27" s="267" t="str">
        <f t="shared" si="2"/>
        <v>EUR3E6E19Y_Quote</v>
      </c>
      <c r="P27" s="403">
        <v>7.5952676475665477</v>
      </c>
      <c r="Q27" s="265" t="e">
        <f>_xll.qlSimpleQuoteSetValue($O27,ROUND($P27/10000,6),Trigger)</f>
        <v>#N/A</v>
      </c>
      <c r="R27" s="221"/>
      <c r="W27" s="21" t="str">
        <f t="shared" si="3"/>
        <v>19Y</v>
      </c>
      <c r="X27" s="401" t="e">
        <f>(('Swap6M (2)'!P27-'Swap3M (2)'!P27)*100-P27)/10000</f>
        <v>#NUM!</v>
      </c>
    </row>
    <row r="28" spans="1:24" x14ac:dyDescent="0.2">
      <c r="A28" s="126">
        <v>20</v>
      </c>
      <c r="B28" s="314" t="s">
        <v>97</v>
      </c>
      <c r="C28" s="313" t="str">
        <v>3E</v>
      </c>
      <c r="D28" s="313" t="str">
        <v>6E</v>
      </c>
      <c r="E28" s="311" t="str">
        <f t="shared" si="0"/>
        <v>EUR3E6E20Y</v>
      </c>
      <c r="F28" s="270" t="str">
        <v>EUR3E6E20Y=ICAP</v>
      </c>
      <c r="G28" s="406">
        <v>6.9</v>
      </c>
      <c r="H28" s="406">
        <v>7.9</v>
      </c>
      <c r="I28" s="406">
        <f>_xll.qlMidEquivalent(G28,H28)</f>
        <v>7.4</v>
      </c>
      <c r="J28" s="266" t="b">
        <f t="shared" si="1"/>
        <v>1</v>
      </c>
      <c r="K28" s="411">
        <v>7.4</v>
      </c>
      <c r="L28" s="260"/>
      <c r="M28" s="404">
        <v>7.4</v>
      </c>
      <c r="N28" s="260"/>
      <c r="O28" s="267" t="str">
        <f t="shared" si="2"/>
        <v>EUR3E6E20Y_Quote</v>
      </c>
      <c r="P28" s="403">
        <v>7.4</v>
      </c>
      <c r="Q28" s="265" t="e">
        <f>_xll.qlSimpleQuoteSetValue($O28,ROUND($P28/10000,6),Trigger)</f>
        <v>#N/A</v>
      </c>
      <c r="R28" s="221"/>
      <c r="W28" s="21" t="str">
        <f t="shared" si="3"/>
        <v>20Y</v>
      </c>
      <c r="X28" s="401">
        <f>(('Swap6M (2)'!P28-'Swap3M (2)'!P28)*100-P28)/10000</f>
        <v>1.0000000000001741E-5</v>
      </c>
    </row>
    <row r="29" spans="1:24" x14ac:dyDescent="0.2">
      <c r="A29" s="126">
        <v>21</v>
      </c>
      <c r="B29" s="314" t="s">
        <v>96</v>
      </c>
      <c r="C29" s="313" t="str">
        <v>3E</v>
      </c>
      <c r="D29" s="313" t="str">
        <v>6E</v>
      </c>
      <c r="E29" s="311" t="str">
        <f t="shared" si="0"/>
        <v>EUR3E6E21Y</v>
      </c>
      <c r="F29" s="270" t="str">
        <v>EUR3E6E21Y=ICAP</v>
      </c>
      <c r="G29" s="406" t="s">
        <v>260</v>
      </c>
      <c r="H29" s="406" t="s">
        <v>260</v>
      </c>
      <c r="I29" s="406" t="e">
        <f>_xll.qlMidEquivalent(G29,H29)</f>
        <v>#NUM!</v>
      </c>
      <c r="J29" s="266" t="b">
        <f t="shared" si="1"/>
        <v>0</v>
      </c>
      <c r="K29" s="411">
        <v>7.222900765978534</v>
      </c>
      <c r="L29" s="260"/>
      <c r="M29" s="404">
        <v>7.222900765978534</v>
      </c>
      <c r="N29" s="260"/>
      <c r="O29" s="267" t="str">
        <f t="shared" si="2"/>
        <v>EUR3E6E21Y_Quote</v>
      </c>
      <c r="P29" s="403">
        <v>7.222900765978534</v>
      </c>
      <c r="Q29" s="265" t="e">
        <f>_xll.qlSimpleQuoteSetValue($O29,ROUND($P29/10000,6),Trigger)</f>
        <v>#N/A</v>
      </c>
      <c r="R29" s="221"/>
      <c r="W29" s="21" t="str">
        <f t="shared" si="3"/>
        <v>21Y</v>
      </c>
      <c r="X29" s="401" t="e">
        <f>(('Swap6M (2)'!P29-'Swap3M (2)'!P29)*100-P29)/10000</f>
        <v>#NUM!</v>
      </c>
    </row>
    <row r="30" spans="1:24" x14ac:dyDescent="0.2">
      <c r="A30" s="126">
        <v>22</v>
      </c>
      <c r="B30" s="314" t="s">
        <v>95</v>
      </c>
      <c r="C30" s="313" t="str">
        <v>3E</v>
      </c>
      <c r="D30" s="313" t="str">
        <v>6E</v>
      </c>
      <c r="E30" s="311" t="str">
        <f t="shared" si="0"/>
        <v>EUR3E6E22Y</v>
      </c>
      <c r="F30" s="270" t="str">
        <v>EUR3E6E22Y=ICAP</v>
      </c>
      <c r="G30" s="406" t="s">
        <v>260</v>
      </c>
      <c r="H30" s="406" t="s">
        <v>260</v>
      </c>
      <c r="I30" s="406" t="e">
        <f>_xll.qlMidEquivalent(G30,H30)</f>
        <v>#NUM!</v>
      </c>
      <c r="J30" s="266" t="b">
        <f t="shared" si="1"/>
        <v>0</v>
      </c>
      <c r="K30" s="411">
        <v>7.0616815989281108</v>
      </c>
      <c r="L30" s="260"/>
      <c r="M30" s="404">
        <v>7.0616815989281108</v>
      </c>
      <c r="N30" s="260"/>
      <c r="O30" s="267" t="str">
        <f t="shared" si="2"/>
        <v>EUR3E6E22Y_Quote</v>
      </c>
      <c r="P30" s="403">
        <v>7.0616815989281108</v>
      </c>
      <c r="Q30" s="265" t="e">
        <f>_xll.qlSimpleQuoteSetValue($O30,ROUND($P30/10000,6),Trigger)</f>
        <v>#N/A</v>
      </c>
      <c r="R30" s="221"/>
      <c r="W30" s="21" t="str">
        <f t="shared" si="3"/>
        <v>22Y</v>
      </c>
      <c r="X30" s="401" t="e">
        <f>(('Swap6M (2)'!P30-'Swap3M (2)'!P30)*100-P30)/10000</f>
        <v>#NUM!</v>
      </c>
    </row>
    <row r="31" spans="1:24" x14ac:dyDescent="0.2">
      <c r="A31" s="126">
        <v>23</v>
      </c>
      <c r="B31" s="314" t="s">
        <v>94</v>
      </c>
      <c r="C31" s="313" t="str">
        <v>3E</v>
      </c>
      <c r="D31" s="313" t="str">
        <v>6E</v>
      </c>
      <c r="E31" s="311" t="str">
        <f t="shared" si="0"/>
        <v>EUR3E6E23Y</v>
      </c>
      <c r="F31" s="270" t="str">
        <v>EUR3E6E23Y=ICAP</v>
      </c>
      <c r="G31" s="406" t="s">
        <v>260</v>
      </c>
      <c r="H31" s="406" t="s">
        <v>260</v>
      </c>
      <c r="I31" s="406" t="e">
        <f>_xll.qlMidEquivalent(G31,H31)</f>
        <v>#NUM!</v>
      </c>
      <c r="J31" s="266" t="b">
        <f t="shared" si="1"/>
        <v>0</v>
      </c>
      <c r="K31" s="411">
        <v>6.91401204888842</v>
      </c>
      <c r="L31" s="260"/>
      <c r="M31" s="404">
        <v>6.91401204888842</v>
      </c>
      <c r="N31" s="260"/>
      <c r="O31" s="267" t="str">
        <f t="shared" si="2"/>
        <v>EUR3E6E23Y_Quote</v>
      </c>
      <c r="P31" s="403">
        <v>6.91401204888842</v>
      </c>
      <c r="Q31" s="265" t="e">
        <f>_xll.qlSimpleQuoteSetValue($O31,ROUND($P31/10000,6),Trigger)</f>
        <v>#N/A</v>
      </c>
      <c r="R31" s="221"/>
      <c r="W31" s="21" t="str">
        <f t="shared" si="3"/>
        <v>23Y</v>
      </c>
      <c r="X31" s="401" t="e">
        <f>(('Swap6M (2)'!P31-'Swap3M (2)'!P31)*100-P31)/10000</f>
        <v>#NUM!</v>
      </c>
    </row>
    <row r="32" spans="1:24" x14ac:dyDescent="0.2">
      <c r="A32" s="126">
        <v>24</v>
      </c>
      <c r="B32" s="314" t="s">
        <v>93</v>
      </c>
      <c r="C32" s="313" t="str">
        <v>3E</v>
      </c>
      <c r="D32" s="313" t="str">
        <v>6E</v>
      </c>
      <c r="E32" s="311" t="str">
        <f t="shared" si="0"/>
        <v>EUR3E6E24Y</v>
      </c>
      <c r="F32" s="270" t="str">
        <v>EUR3E6E24Y=ICAP</v>
      </c>
      <c r="G32" s="406" t="s">
        <v>260</v>
      </c>
      <c r="H32" s="406" t="s">
        <v>260</v>
      </c>
      <c r="I32" s="406" t="e">
        <f>_xll.qlMidEquivalent(G32,H32)</f>
        <v>#NUM!</v>
      </c>
      <c r="J32" s="266" t="b">
        <f t="shared" si="1"/>
        <v>0</v>
      </c>
      <c r="K32" s="411">
        <v>6.7775616658991531</v>
      </c>
      <c r="L32" s="260"/>
      <c r="M32" s="404">
        <v>6.7775616658991531</v>
      </c>
      <c r="N32" s="260"/>
      <c r="O32" s="267" t="str">
        <f t="shared" si="2"/>
        <v>EUR3E6E24Y_Quote</v>
      </c>
      <c r="P32" s="403">
        <v>6.7775616658991531</v>
      </c>
      <c r="Q32" s="265" t="e">
        <f>_xll.qlSimpleQuoteSetValue($O32,ROUND($P32/10000,6),Trigger)</f>
        <v>#N/A</v>
      </c>
      <c r="R32" s="221"/>
      <c r="W32" s="21" t="str">
        <f t="shared" si="3"/>
        <v>24Y</v>
      </c>
      <c r="X32" s="401" t="e">
        <f>(('Swap6M (2)'!P32-'Swap3M (2)'!P32)*100-P32)/10000</f>
        <v>#NUM!</v>
      </c>
    </row>
    <row r="33" spans="1:24" x14ac:dyDescent="0.2">
      <c r="A33" s="126">
        <v>25</v>
      </c>
      <c r="B33" s="314" t="s">
        <v>92</v>
      </c>
      <c r="C33" s="313" t="str">
        <v>3E</v>
      </c>
      <c r="D33" s="313" t="str">
        <v>6E</v>
      </c>
      <c r="E33" s="311" t="str">
        <f t="shared" si="0"/>
        <v>EUR3E6E25Y</v>
      </c>
      <c r="F33" s="270" t="str">
        <v>EUR3E6E25Y=ICAP</v>
      </c>
      <c r="G33" s="406">
        <v>6.15</v>
      </c>
      <c r="H33" s="406">
        <v>7.15</v>
      </c>
      <c r="I33" s="406">
        <f>_xll.qlMidEquivalent(G33,H33)</f>
        <v>6.65</v>
      </c>
      <c r="J33" s="266" t="b">
        <f t="shared" si="1"/>
        <v>1</v>
      </c>
      <c r="K33" s="411">
        <v>6.65</v>
      </c>
      <c r="L33" s="260"/>
      <c r="M33" s="404">
        <v>6.65</v>
      </c>
      <c r="N33" s="260"/>
      <c r="O33" s="267" t="str">
        <f t="shared" si="2"/>
        <v>EUR3E6E25Y_Quote</v>
      </c>
      <c r="P33" s="403">
        <v>6.65</v>
      </c>
      <c r="Q33" s="265" t="e">
        <f>_xll.qlSimpleQuoteSetValue($O33,ROUND($P33/10000,6),Trigger)</f>
        <v>#N/A</v>
      </c>
      <c r="R33" s="221"/>
      <c r="W33" s="21" t="str">
        <f t="shared" si="3"/>
        <v>25Y</v>
      </c>
      <c r="X33" s="401">
        <f>(('Swap6M (2)'!P33-'Swap3M (2)'!P33)*100-P33)/10000</f>
        <v>4.9999999999972289E-6</v>
      </c>
    </row>
    <row r="34" spans="1:24" x14ac:dyDescent="0.2">
      <c r="A34" s="126">
        <v>26</v>
      </c>
      <c r="B34" s="314" t="s">
        <v>91</v>
      </c>
      <c r="C34" s="313" t="str">
        <v>3E</v>
      </c>
      <c r="D34" s="313" t="str">
        <v>6E</v>
      </c>
      <c r="E34" s="311" t="str">
        <f t="shared" si="0"/>
        <v>EUR3E6E26Y</v>
      </c>
      <c r="F34" s="270" t="str">
        <v>EUR3E6E26Y=ICAP</v>
      </c>
      <c r="G34" s="406" t="s">
        <v>260</v>
      </c>
      <c r="H34" s="406" t="s">
        <v>260</v>
      </c>
      <c r="I34" s="406" t="e">
        <f>_xll.qlMidEquivalent(G34,H34)</f>
        <v>#NUM!</v>
      </c>
      <c r="J34" s="266" t="b">
        <f t="shared" si="1"/>
        <v>0</v>
      </c>
      <c r="K34" s="411">
        <v>6.529284947804693</v>
      </c>
      <c r="L34" s="260"/>
      <c r="M34" s="404">
        <v>6.529284947804693</v>
      </c>
      <c r="N34" s="260"/>
      <c r="O34" s="267" t="str">
        <f t="shared" si="2"/>
        <v>EUR3E6E26Y_Quote</v>
      </c>
      <c r="P34" s="403">
        <v>6.529284947804693</v>
      </c>
      <c r="Q34" s="265" t="e">
        <f>_xll.qlSimpleQuoteSetValue($O34,ROUND($P34/10000,6),Trigger)</f>
        <v>#N/A</v>
      </c>
      <c r="R34" s="221"/>
      <c r="W34" s="21" t="str">
        <f t="shared" si="3"/>
        <v>26Y</v>
      </c>
      <c r="X34" s="401" t="e">
        <f>(('Swap6M (2)'!P34-'Swap3M (2)'!P34)*100-P34)/10000</f>
        <v>#NUM!</v>
      </c>
    </row>
    <row r="35" spans="1:24" x14ac:dyDescent="0.2">
      <c r="A35" s="126">
        <v>27</v>
      </c>
      <c r="B35" s="314" t="s">
        <v>90</v>
      </c>
      <c r="C35" s="313" t="str">
        <v>3E</v>
      </c>
      <c r="D35" s="313" t="str">
        <v>6E</v>
      </c>
      <c r="E35" s="311" t="str">
        <f t="shared" si="0"/>
        <v>EUR3E6E27Y</v>
      </c>
      <c r="F35" s="270" t="str">
        <v>EUR3E6E27Y=ICAP</v>
      </c>
      <c r="G35" s="406" t="s">
        <v>260</v>
      </c>
      <c r="H35" s="406" t="s">
        <v>260</v>
      </c>
      <c r="I35" s="406" t="e">
        <f>_xll.qlMidEquivalent(G35,H35)</f>
        <v>#NUM!</v>
      </c>
      <c r="J35" s="266" t="b">
        <f t="shared" si="1"/>
        <v>0</v>
      </c>
      <c r="K35" s="411">
        <v>6.4145277922231152</v>
      </c>
      <c r="L35" s="260"/>
      <c r="M35" s="404">
        <v>6.4145277922231152</v>
      </c>
      <c r="N35" s="260"/>
      <c r="O35" s="267" t="str">
        <f t="shared" si="2"/>
        <v>EUR3E6E27Y_Quote</v>
      </c>
      <c r="P35" s="403">
        <v>6.4145277922231152</v>
      </c>
      <c r="Q35" s="265" t="e">
        <f>_xll.qlSimpleQuoteSetValue($O35,ROUND($P35/10000,6),Trigger)</f>
        <v>#N/A</v>
      </c>
      <c r="R35" s="221"/>
      <c r="W35" s="21" t="str">
        <f t="shared" si="3"/>
        <v>27Y</v>
      </c>
      <c r="X35" s="401" t="e">
        <f>(('Swap6M (2)'!P35-'Swap3M (2)'!P35)*100-P35)/10000</f>
        <v>#NUM!</v>
      </c>
    </row>
    <row r="36" spans="1:24" x14ac:dyDescent="0.2">
      <c r="A36" s="126">
        <v>28</v>
      </c>
      <c r="B36" s="314" t="s">
        <v>89</v>
      </c>
      <c r="C36" s="313" t="str">
        <v>3E</v>
      </c>
      <c r="D36" s="313" t="str">
        <v>6E</v>
      </c>
      <c r="E36" s="311" t="str">
        <f t="shared" si="0"/>
        <v>EUR3E6E28Y</v>
      </c>
      <c r="F36" s="270" t="str">
        <v>EUR3E6E28Y=ICAP</v>
      </c>
      <c r="G36" s="406" t="s">
        <v>260</v>
      </c>
      <c r="H36" s="406" t="s">
        <v>260</v>
      </c>
      <c r="I36" s="406" t="e">
        <f>_xll.qlMidEquivalent(G36,H36)</f>
        <v>#NUM!</v>
      </c>
      <c r="J36" s="266" t="b">
        <f t="shared" si="1"/>
        <v>0</v>
      </c>
      <c r="K36" s="411">
        <v>6.3051281627391909</v>
      </c>
      <c r="L36" s="260"/>
      <c r="M36" s="404">
        <v>6.3051281627391909</v>
      </c>
      <c r="N36" s="260"/>
      <c r="O36" s="267" t="str">
        <f t="shared" si="2"/>
        <v>EUR3E6E28Y_Quote</v>
      </c>
      <c r="P36" s="403">
        <v>6.3051281627391909</v>
      </c>
      <c r="Q36" s="265" t="e">
        <f>_xll.qlSimpleQuoteSetValue($O36,ROUND($P36/10000,6),Trigger)</f>
        <v>#N/A</v>
      </c>
      <c r="R36" s="221"/>
      <c r="W36" s="21" t="str">
        <f t="shared" si="3"/>
        <v>28Y</v>
      </c>
      <c r="X36" s="401" t="e">
        <f>(('Swap6M (2)'!P36-'Swap3M (2)'!P36)*100-P36)/10000</f>
        <v>#NUM!</v>
      </c>
    </row>
    <row r="37" spans="1:24" x14ac:dyDescent="0.2">
      <c r="A37" s="126">
        <v>29</v>
      </c>
      <c r="B37" s="314" t="s">
        <v>88</v>
      </c>
      <c r="C37" s="313" t="str">
        <v>3E</v>
      </c>
      <c r="D37" s="313" t="str">
        <v>6E</v>
      </c>
      <c r="E37" s="311" t="str">
        <f t="shared" si="0"/>
        <v>EUR3E6E29Y</v>
      </c>
      <c r="F37" s="270" t="str">
        <v>EUR3E6E29Y=ICAP</v>
      </c>
      <c r="G37" s="406" t="s">
        <v>260</v>
      </c>
      <c r="H37" s="406" t="s">
        <v>260</v>
      </c>
      <c r="I37" s="406" t="e">
        <f>_xll.qlMidEquivalent(G37,H37)</f>
        <v>#NUM!</v>
      </c>
      <c r="J37" s="266" t="b">
        <f t="shared" si="1"/>
        <v>0</v>
      </c>
      <c r="K37" s="411">
        <v>6.200485688836844</v>
      </c>
      <c r="L37" s="260"/>
      <c r="M37" s="404">
        <v>6.200485688836844</v>
      </c>
      <c r="N37" s="260"/>
      <c r="O37" s="267" t="str">
        <f t="shared" si="2"/>
        <v>EUR3E6E29Y_Quote</v>
      </c>
      <c r="P37" s="403">
        <v>6.200485688836844</v>
      </c>
      <c r="Q37" s="265" t="e">
        <f>_xll.qlSimpleQuoteSetValue($O37,ROUND($P37/10000,6),Trigger)</f>
        <v>#N/A</v>
      </c>
      <c r="R37" s="221"/>
      <c r="W37" s="21" t="str">
        <f t="shared" si="3"/>
        <v>29Y</v>
      </c>
      <c r="X37" s="401" t="e">
        <f>(('Swap6M (2)'!P37-'Swap3M (2)'!P37)*100-P37)/10000</f>
        <v>#NUM!</v>
      </c>
    </row>
    <row r="38" spans="1:24" x14ac:dyDescent="0.2">
      <c r="A38" s="126">
        <v>30</v>
      </c>
      <c r="B38" s="314" t="s">
        <v>87</v>
      </c>
      <c r="C38" s="313" t="str">
        <v>3E</v>
      </c>
      <c r="D38" s="313" t="str">
        <v>6E</v>
      </c>
      <c r="E38" s="311" t="str">
        <f t="shared" si="0"/>
        <v>EUR3E6E30Y</v>
      </c>
      <c r="F38" s="270" t="str">
        <v>EUR3E6E30Y=ICAP</v>
      </c>
      <c r="G38" s="406">
        <v>5.6</v>
      </c>
      <c r="H38" s="406">
        <v>6.6</v>
      </c>
      <c r="I38" s="406">
        <f>_xll.qlMidEquivalent(G38,H38)</f>
        <v>6.1</v>
      </c>
      <c r="J38" s="266" t="b">
        <f t="shared" si="1"/>
        <v>1</v>
      </c>
      <c r="K38" s="411">
        <v>6.1</v>
      </c>
      <c r="L38" s="260"/>
      <c r="M38" s="404">
        <v>6.1</v>
      </c>
      <c r="N38" s="260"/>
      <c r="O38" s="267" t="str">
        <f t="shared" si="2"/>
        <v>EUR3E6E30Y_Quote</v>
      </c>
      <c r="P38" s="403">
        <v>6.1</v>
      </c>
      <c r="Q38" s="265" t="e">
        <f>_xll.qlSimpleQuoteSetValue($O38,ROUND($P38/10000,6),Trigger)</f>
        <v>#N/A</v>
      </c>
      <c r="R38" s="221"/>
      <c r="W38" s="21" t="str">
        <f t="shared" si="3"/>
        <v>30Y</v>
      </c>
      <c r="X38" s="401">
        <f>(('Swap6M (2)'!P38-'Swap3M (2)'!P38)*100-P38)/10000</f>
        <v>9.999999999998366E-6</v>
      </c>
    </row>
    <row r="39" spans="1:24" x14ac:dyDescent="0.2">
      <c r="A39" s="126">
        <v>35</v>
      </c>
      <c r="B39" s="314" t="s">
        <v>82</v>
      </c>
      <c r="C39" s="313" t="str">
        <v>3E</v>
      </c>
      <c r="D39" s="313" t="str">
        <v>6E</v>
      </c>
      <c r="E39" s="311" t="str">
        <f t="shared" si="0"/>
        <v>EUR3E6E35Y</v>
      </c>
      <c r="F39" s="270" t="str">
        <v>EUR3E6E35Y=ICAP</v>
      </c>
      <c r="G39" s="406" t="s">
        <v>260</v>
      </c>
      <c r="H39" s="406" t="s">
        <v>260</v>
      </c>
      <c r="I39" s="406" t="e">
        <f>_xll.qlMidEquivalent(G39,H39)</f>
        <v>#NUM!</v>
      </c>
      <c r="J39" s="266" t="b">
        <f t="shared" si="1"/>
        <v>0</v>
      </c>
      <c r="K39" s="411">
        <v>5.6524497666484645</v>
      </c>
      <c r="L39" s="260"/>
      <c r="M39" s="404">
        <v>5.6524497666484645</v>
      </c>
      <c r="N39" s="260"/>
      <c r="O39" s="267" t="str">
        <f t="shared" si="2"/>
        <v>EUR3E6E35Y_Quote</v>
      </c>
      <c r="P39" s="403">
        <v>5.6524497666484645</v>
      </c>
      <c r="Q39" s="265" t="e">
        <f>_xll.qlSimpleQuoteSetValue($O39,ROUND($P39/10000,6),Trigger)</f>
        <v>#N/A</v>
      </c>
      <c r="R39" s="221"/>
      <c r="W39" s="21" t="str">
        <f t="shared" si="3"/>
        <v>35Y</v>
      </c>
      <c r="X39" s="401" t="e">
        <f>(('Swap6M (2)'!P39-'Swap3M (2)'!P39)*100-P39)/10000</f>
        <v>#NUM!</v>
      </c>
    </row>
    <row r="40" spans="1:24" x14ac:dyDescent="0.2">
      <c r="A40" s="126">
        <v>40</v>
      </c>
      <c r="B40" s="314" t="s">
        <v>77</v>
      </c>
      <c r="C40" s="313" t="str">
        <v>3E</v>
      </c>
      <c r="D40" s="313" t="str">
        <v>6E</v>
      </c>
      <c r="E40" s="311" t="str">
        <f t="shared" si="0"/>
        <v>EUR3E6E40Y</v>
      </c>
      <c r="F40" s="270" t="str">
        <v>EUR3E6E40Y=ICAP</v>
      </c>
      <c r="G40" s="406">
        <v>4.8</v>
      </c>
      <c r="H40" s="406">
        <v>5.8</v>
      </c>
      <c r="I40" s="406">
        <f>_xll.qlMidEquivalent(G40,H40)</f>
        <v>5.3</v>
      </c>
      <c r="J40" s="266" t="b">
        <f t="shared" si="1"/>
        <v>1</v>
      </c>
      <c r="K40" s="411">
        <v>5.3</v>
      </c>
      <c r="L40" s="409">
        <f>K38-K40</f>
        <v>0.79999999999999982</v>
      </c>
      <c r="M40" s="404">
        <v>5.3</v>
      </c>
      <c r="N40" s="260"/>
      <c r="O40" s="267" t="str">
        <f t="shared" si="2"/>
        <v>EUR3E6E40Y_Quote</v>
      </c>
      <c r="P40" s="403">
        <v>5.3</v>
      </c>
      <c r="Q40" s="265" t="e">
        <f>_xll.qlSimpleQuoteSetValue($O40,ROUND($P40/10000,6),Trigger)</f>
        <v>#N/A</v>
      </c>
      <c r="R40" s="221"/>
      <c r="W40" s="21" t="str">
        <f t="shared" si="3"/>
        <v>40Y</v>
      </c>
      <c r="X40" s="401">
        <f>(('Swap6M (2)'!P40-'Swap3M (2)'!P40)*100-P40)/10000</f>
        <v>1.0000000000002718E-5</v>
      </c>
    </row>
    <row r="41" spans="1:24" x14ac:dyDescent="0.2">
      <c r="A41" s="126">
        <v>50</v>
      </c>
      <c r="B41" s="314" t="s">
        <v>67</v>
      </c>
      <c r="C41" s="313" t="str">
        <v>3E</v>
      </c>
      <c r="D41" s="313" t="str">
        <v>6E</v>
      </c>
      <c r="E41" s="311" t="str">
        <f t="shared" si="0"/>
        <v>EUR3E6E50Y</v>
      </c>
      <c r="F41" s="270" t="str">
        <v>EUR3E6E50Y=ICAP</v>
      </c>
      <c r="G41" s="406">
        <v>4.3499999999999996</v>
      </c>
      <c r="H41" s="406">
        <v>5.35</v>
      </c>
      <c r="I41" s="406">
        <f>_xll.qlMidEquivalent(G41,H41)</f>
        <v>4.8499999999999996</v>
      </c>
      <c r="J41" s="266" t="b">
        <f t="shared" si="1"/>
        <v>1</v>
      </c>
      <c r="K41" s="411">
        <v>4.8499999999999996</v>
      </c>
      <c r="L41" s="409">
        <f>K40-K41</f>
        <v>0.45000000000000018</v>
      </c>
      <c r="M41" s="404">
        <v>4.8499999999999996</v>
      </c>
      <c r="N41" s="260"/>
      <c r="O41" s="267" t="str">
        <f t="shared" si="2"/>
        <v>EUR3E6E50Y_Quote</v>
      </c>
      <c r="P41" s="403">
        <v>4.8499999999999996</v>
      </c>
      <c r="Q41" s="265" t="e">
        <f>_xll.qlSimpleQuoteSetValue($O41,ROUND($P41/10000,6),Trigger)</f>
        <v>#N/A</v>
      </c>
      <c r="R41" s="221"/>
      <c r="W41" s="21" t="str">
        <f t="shared" si="3"/>
        <v>50Y</v>
      </c>
      <c r="X41" s="401">
        <f>(('Swap6M (2)'!P41-'Swap3M (2)'!P41)*100-P41)/10000</f>
        <v>4.9999999999993609E-6</v>
      </c>
    </row>
    <row r="42" spans="1:24" x14ac:dyDescent="0.2">
      <c r="A42" s="126">
        <v>60</v>
      </c>
      <c r="B42" s="314" t="s">
        <v>57</v>
      </c>
      <c r="C42" s="313" t="str">
        <v>3E</v>
      </c>
      <c r="D42" s="313" t="str">
        <v>6E</v>
      </c>
      <c r="E42" s="311" t="str">
        <f t="shared" si="0"/>
        <v>EUR3E6E60Y</v>
      </c>
      <c r="F42" s="270" t="str">
        <v>EUR3E6E60Y=ICAP</v>
      </c>
      <c r="G42" s="406">
        <v>4.05</v>
      </c>
      <c r="H42" s="406">
        <v>5.05</v>
      </c>
      <c r="I42" s="406">
        <f>_xll.qlMidEquivalent(G42,H42)</f>
        <v>4.55</v>
      </c>
      <c r="J42" s="266" t="b">
        <f t="shared" si="1"/>
        <v>1</v>
      </c>
      <c r="K42" s="410">
        <f>K41-L42</f>
        <v>4.5968749999999989</v>
      </c>
      <c r="L42" s="409">
        <f>L41/L40*L41</f>
        <v>0.25312500000000027</v>
      </c>
      <c r="M42" s="404">
        <v>4.5968749999999989</v>
      </c>
      <c r="N42" s="260"/>
      <c r="O42" s="267" t="str">
        <f t="shared" si="2"/>
        <v>EUR3E6E60Y_Quote</v>
      </c>
      <c r="P42" s="403">
        <v>4.5968749999999989</v>
      </c>
      <c r="Q42" s="265" t="e">
        <f>_xll.qlSimpleQuoteSetValue($O42,ROUND($P42/10000,6),Trigger)</f>
        <v>#N/A</v>
      </c>
      <c r="R42" s="221"/>
      <c r="W42" s="21" t="str">
        <f t="shared" si="3"/>
        <v>60Y</v>
      </c>
      <c r="X42" s="401">
        <f>(('Swap6M (2)'!P42-'Swap3M (2)'!P42)*100-P42)/10000</f>
        <v>3.1249999999829468E-7</v>
      </c>
    </row>
    <row r="43" spans="1:24" ht="12" thickBot="1" x14ac:dyDescent="0.25">
      <c r="A43" s="52"/>
      <c r="B43" s="299"/>
      <c r="C43" s="299"/>
      <c r="D43" s="299"/>
      <c r="E43" s="299"/>
      <c r="F43" s="299"/>
      <c r="G43" s="299"/>
      <c r="H43" s="299"/>
      <c r="I43" s="299"/>
      <c r="J43" s="299"/>
      <c r="K43" s="299"/>
      <c r="L43" s="51"/>
      <c r="M43" s="299"/>
      <c r="N43" s="51"/>
      <c r="O43" s="299"/>
      <c r="P43" s="299"/>
      <c r="Q43" s="299"/>
      <c r="R43" s="387"/>
    </row>
    <row r="47" spans="1:24" x14ac:dyDescent="0.2">
      <c r="F47" s="402"/>
    </row>
    <row r="48" spans="1:24" x14ac:dyDescent="0.2">
      <c r="F48" s="402"/>
    </row>
    <row r="49" spans="6:6" x14ac:dyDescent="0.2">
      <c r="F49" s="402"/>
    </row>
    <row r="50" spans="6:6" x14ac:dyDescent="0.2">
      <c r="F50" s="402"/>
    </row>
    <row r="51" spans="6:6" x14ac:dyDescent="0.2">
      <c r="F51" s="402"/>
    </row>
    <row r="52" spans="6:6" x14ac:dyDescent="0.2">
      <c r="F52" s="402"/>
    </row>
    <row r="53" spans="6:6" x14ac:dyDescent="0.2">
      <c r="F53" s="402"/>
    </row>
    <row r="54" spans="6:6" x14ac:dyDescent="0.2">
      <c r="F54" s="402"/>
    </row>
    <row r="55" spans="6:6" x14ac:dyDescent="0.2">
      <c r="F55" s="402"/>
    </row>
    <row r="56" spans="6:6" x14ac:dyDescent="0.2">
      <c r="F56" s="402"/>
    </row>
    <row r="57" spans="6:6" x14ac:dyDescent="0.2">
      <c r="F57" s="402"/>
    </row>
    <row r="58" spans="6:6" x14ac:dyDescent="0.2">
      <c r="F58" s="402"/>
    </row>
    <row r="59" spans="6:6" x14ac:dyDescent="0.2">
      <c r="F59" s="402"/>
    </row>
    <row r="60" spans="6:6" x14ac:dyDescent="0.2">
      <c r="F60" s="401"/>
    </row>
    <row r="61" spans="6:6" x14ac:dyDescent="0.2">
      <c r="F61" s="401"/>
    </row>
    <row r="62" spans="6:6" x14ac:dyDescent="0.2">
      <c r="F62" s="401"/>
    </row>
    <row r="63" spans="6:6" x14ac:dyDescent="0.2">
      <c r="F63" s="401"/>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X63"/>
  <sheetViews>
    <sheetView workbookViewId="0"/>
  </sheetViews>
  <sheetFormatPr defaultRowHeight="11.25" x14ac:dyDescent="0.2"/>
  <cols>
    <col min="1" max="1" width="5" style="21" customWidth="1"/>
    <col min="2" max="2" width="3.85546875" style="21" bestFit="1" customWidth="1"/>
    <col min="3" max="3" width="3.5703125" style="21" bestFit="1" customWidth="1"/>
    <col min="4" max="4" width="2.7109375" style="21" bestFit="1" customWidth="1"/>
    <col min="5" max="5" width="11.140625" style="21" bestFit="1" customWidth="1"/>
    <col min="6" max="6" width="15.42578125" style="21" bestFit="1" customWidth="1"/>
    <col min="7" max="7" width="4.85546875" style="21" bestFit="1" customWidth="1"/>
    <col min="8" max="8" width="4.140625" style="21" bestFit="1" customWidth="1"/>
    <col min="9" max="9" width="9" style="21" bestFit="1" customWidth="1"/>
    <col min="10" max="10" width="5.7109375" style="21" bestFit="1" customWidth="1"/>
    <col min="11" max="11" width="7.140625" style="21" bestFit="1" customWidth="1"/>
    <col min="12" max="12" width="5" style="21" customWidth="1"/>
    <col min="13" max="13" width="7.140625" style="21" bestFit="1" customWidth="1"/>
    <col min="14" max="14" width="5" style="21" customWidth="1"/>
    <col min="15" max="15" width="16.285156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16384" width="9.140625" style="21"/>
  </cols>
  <sheetData>
    <row r="1" spans="1:24" x14ac:dyDescent="0.2">
      <c r="A1" s="332" t="s">
        <v>311</v>
      </c>
      <c r="B1" s="203"/>
      <c r="C1" s="203"/>
      <c r="D1" s="203"/>
      <c r="E1" s="203"/>
      <c r="F1" s="203"/>
      <c r="G1" s="203"/>
      <c r="H1" s="203"/>
      <c r="I1" s="203"/>
      <c r="J1" s="203"/>
      <c r="K1" s="203"/>
      <c r="L1" s="203"/>
      <c r="M1" s="203"/>
      <c r="N1" s="203"/>
      <c r="O1" s="203"/>
      <c r="P1" s="203"/>
      <c r="Q1" s="203"/>
      <c r="R1" s="200"/>
    </row>
    <row r="2" spans="1:24" x14ac:dyDescent="0.2">
      <c r="A2" s="297"/>
      <c r="B2" s="141"/>
      <c r="C2" s="260"/>
      <c r="D2" s="260"/>
      <c r="E2" s="260"/>
      <c r="F2" s="148" t="s">
        <v>236</v>
      </c>
      <c r="G2" s="260"/>
      <c r="H2" s="260"/>
      <c r="I2" s="260"/>
      <c r="J2" s="260"/>
      <c r="K2" s="141"/>
      <c r="L2" s="260"/>
      <c r="M2" s="260"/>
      <c r="N2" s="260"/>
      <c r="O2" s="408" t="s">
        <v>255</v>
      </c>
      <c r="P2" s="148" t="s">
        <v>147</v>
      </c>
      <c r="Q2" s="141"/>
      <c r="R2" s="53"/>
    </row>
    <row r="3" spans="1:24" x14ac:dyDescent="0.2">
      <c r="A3" s="126"/>
      <c r="B3" s="260"/>
      <c r="C3" s="141"/>
      <c r="D3" s="141"/>
      <c r="E3" s="141"/>
      <c r="F3" s="141" t="str">
        <f>_xll.qlInterpolation(,InterpolationType,_xll.ohFilter(A5:A42,J5:J42),_xll.ohFilter(I5:I42,J5:J42))</f>
        <v>obj_004c7#0019</v>
      </c>
      <c r="G3" s="141"/>
      <c r="H3" s="141"/>
      <c r="I3" s="141"/>
      <c r="J3" s="141"/>
      <c r="K3" s="141"/>
      <c r="L3" s="260"/>
      <c r="M3" s="260"/>
      <c r="N3" s="260"/>
      <c r="O3" s="141"/>
      <c r="P3" s="141"/>
      <c r="Q3" s="292">
        <f>_xll.ohTrigger(Q5:Q42)</f>
        <v>22</v>
      </c>
      <c r="R3" s="221"/>
    </row>
    <row r="4" spans="1:24" ht="23.25" thickBot="1" x14ac:dyDescent="0.25">
      <c r="A4" s="126"/>
      <c r="B4" s="392"/>
      <c r="C4" s="198"/>
      <c r="D4" s="198"/>
      <c r="E4" s="198"/>
      <c r="F4" s="291" t="e">
        <f ca="1">_xll.RData(F5:F42,G4:H4,,ReutersRtMode,,G5)</f>
        <v>#NAME?</v>
      </c>
      <c r="G4" s="329" t="s">
        <v>259</v>
      </c>
      <c r="H4" s="329" t="s">
        <v>226</v>
      </c>
      <c r="I4" s="329" t="s">
        <v>286</v>
      </c>
      <c r="J4" s="329"/>
      <c r="K4" s="286" t="s">
        <v>285</v>
      </c>
      <c r="L4" s="260"/>
      <c r="M4" s="289" t="s">
        <v>253</v>
      </c>
      <c r="N4" s="260"/>
      <c r="O4" s="288" t="s">
        <v>252</v>
      </c>
      <c r="P4" s="391" t="s">
        <v>251</v>
      </c>
      <c r="Q4" s="98" t="s">
        <v>250</v>
      </c>
      <c r="R4" s="221"/>
    </row>
    <row r="5" spans="1:24" x14ac:dyDescent="0.2">
      <c r="A5" s="407">
        <v>0.5</v>
      </c>
      <c r="B5" s="314" t="s">
        <v>40</v>
      </c>
      <c r="C5" s="313" t="str">
        <f t="array" ref="C5:C42">VLOOKUP(Currency,Conventions,2)</f>
        <v>6E</v>
      </c>
      <c r="D5" s="313" t="str">
        <f t="array" ref="D5:D42">VLOOKUP(Currency,Conventions,3)</f>
        <v>12E</v>
      </c>
      <c r="E5" s="311" t="str">
        <f t="shared" ref="E5:E42" si="0">Currency&amp;$C5&amp;$D5&amp;$B5</f>
        <v>EUR6E12E6M</v>
      </c>
      <c r="F5" s="270" t="str">
        <f t="array" ref="F5:F42">Instruments&amp;"="&amp;VLOOKUP(Contributor,ContributorTable,2,FALSE)</f>
        <v>EUR6E12E6M=ICAP</v>
      </c>
      <c r="G5" s="406" t="s">
        <v>260</v>
      </c>
      <c r="H5" s="406" t="s">
        <v>260</v>
      </c>
      <c r="I5" s="406" t="e">
        <f>_xll.qlMidEquivalent(G5,H5)</f>
        <v>#NUM!</v>
      </c>
      <c r="J5" s="266" t="b">
        <f t="shared" ref="J5:J42" si="1">IF(ISNUMBER(I5),TRUE,FALSE)</f>
        <v>0</v>
      </c>
      <c r="K5" s="411" t="e">
        <f t="array" ref="K5:K38">_xll.qlInterpolationInterpolate(F3,A5:A42)</f>
        <v>#NUM!</v>
      </c>
      <c r="L5" s="260"/>
      <c r="M5" s="404" t="e">
        <v>#NUM!</v>
      </c>
      <c r="N5" s="260"/>
      <c r="O5" s="267" t="str">
        <f t="shared" ref="O5:O42" si="2">$E5&amp;$P$2</f>
        <v>EUR6E12E6M_Quote</v>
      </c>
      <c r="P5" s="403" t="e">
        <f t="array" ref="P5:P42">QuoteLive</f>
        <v>#NUM!</v>
      </c>
      <c r="Q5" s="265" t="e">
        <f>_xll.qlSimpleQuoteSetValue($O5,ROUND($P5/10000,6),Trigger)</f>
        <v>#NUM!</v>
      </c>
      <c r="R5" s="221"/>
      <c r="T5" s="93" t="s">
        <v>137</v>
      </c>
      <c r="U5" s="92" t="s">
        <v>132</v>
      </c>
      <c r="V5" s="91" t="s">
        <v>143</v>
      </c>
      <c r="X5" s="326"/>
    </row>
    <row r="6" spans="1:24" x14ac:dyDescent="0.2">
      <c r="A6" s="407">
        <v>1</v>
      </c>
      <c r="B6" s="314" t="s">
        <v>34</v>
      </c>
      <c r="C6" s="313" t="str">
        <v>6E</v>
      </c>
      <c r="D6" s="313" t="str">
        <v>12E</v>
      </c>
      <c r="E6" s="311" t="str">
        <f t="shared" si="0"/>
        <v>EUR6E12E1Y</v>
      </c>
      <c r="F6" s="270" t="str">
        <v>EUR6E12E1Y=ICAP</v>
      </c>
      <c r="G6" s="406">
        <v>11.5</v>
      </c>
      <c r="H6" s="406">
        <v>0</v>
      </c>
      <c r="I6" s="406">
        <f>_xll.qlMidEquivalent(G6,H6)</f>
        <v>11.5</v>
      </c>
      <c r="J6" s="266" t="b">
        <f t="shared" si="1"/>
        <v>1</v>
      </c>
      <c r="K6" s="411">
        <v>11.5</v>
      </c>
      <c r="L6" s="260"/>
      <c r="M6" s="404">
        <v>11.5</v>
      </c>
      <c r="N6" s="260"/>
      <c r="O6" s="267" t="str">
        <f t="shared" si="2"/>
        <v>EUR6E12E1Y_Quote</v>
      </c>
      <c r="P6" s="403">
        <v>11.5</v>
      </c>
      <c r="Q6" s="265" t="e">
        <f>_xll.qlSimpleQuoteSetValue($O6,ROUND($P6/10000,6),Trigger)</f>
        <v>#N/A</v>
      </c>
      <c r="R6" s="221"/>
      <c r="T6" s="90" t="s">
        <v>123</v>
      </c>
      <c r="U6" s="89" t="s">
        <v>135</v>
      </c>
      <c r="V6" s="88" t="s">
        <v>144</v>
      </c>
      <c r="X6" s="326"/>
    </row>
    <row r="7" spans="1:24" x14ac:dyDescent="0.2">
      <c r="A7" s="407">
        <v>1.25</v>
      </c>
      <c r="B7" s="314" t="s">
        <v>140</v>
      </c>
      <c r="C7" s="313" t="str">
        <v>6E</v>
      </c>
      <c r="D7" s="313" t="str">
        <v>12E</v>
      </c>
      <c r="E7" s="311" t="str">
        <f t="shared" si="0"/>
        <v>EUR6E12E15M</v>
      </c>
      <c r="F7" s="270" t="str">
        <v>EUR6E12E15M=ICAP</v>
      </c>
      <c r="G7" s="406" t="s">
        <v>260</v>
      </c>
      <c r="H7" s="406" t="s">
        <v>260</v>
      </c>
      <c r="I7" s="406" t="e">
        <f>_xll.qlMidEquivalent(G7,H7)</f>
        <v>#NUM!</v>
      </c>
      <c r="J7" s="266" t="b">
        <f t="shared" si="1"/>
        <v>0</v>
      </c>
      <c r="K7" s="411">
        <v>12.050187007852388</v>
      </c>
      <c r="L7" s="260"/>
      <c r="M7" s="404">
        <v>12.048566052745013</v>
      </c>
      <c r="N7" s="260"/>
      <c r="O7" s="267" t="str">
        <f t="shared" si="2"/>
        <v>EUR6E12E15M_Quote</v>
      </c>
      <c r="P7" s="403">
        <v>12.050187007852388</v>
      </c>
      <c r="Q7" s="265" t="e">
        <f>_xll.qlSimpleQuoteSetValue($O7,ROUND($P7/10000,6),Trigger)</f>
        <v>#N/A</v>
      </c>
      <c r="R7" s="221"/>
      <c r="T7" s="90" t="s">
        <v>134</v>
      </c>
      <c r="U7" s="89" t="s">
        <v>132</v>
      </c>
      <c r="V7" s="88" t="s">
        <v>143</v>
      </c>
      <c r="X7" s="326"/>
    </row>
    <row r="8" spans="1:24" x14ac:dyDescent="0.2">
      <c r="A8" s="407">
        <v>1.5</v>
      </c>
      <c r="B8" s="314" t="s">
        <v>139</v>
      </c>
      <c r="C8" s="313" t="str">
        <v>6E</v>
      </c>
      <c r="D8" s="313" t="str">
        <v>12E</v>
      </c>
      <c r="E8" s="311" t="str">
        <f t="shared" si="0"/>
        <v>EUR6E12E18M</v>
      </c>
      <c r="F8" s="270" t="str">
        <v>EUR6E12E18M=ICAP</v>
      </c>
      <c r="G8" s="406" t="s">
        <v>260</v>
      </c>
      <c r="H8" s="406" t="s">
        <v>260</v>
      </c>
      <c r="I8" s="406" t="e">
        <f>_xll.qlMidEquivalent(G8,H8)</f>
        <v>#NUM!</v>
      </c>
      <c r="J8" s="266" t="b">
        <f t="shared" si="1"/>
        <v>0</v>
      </c>
      <c r="K8" s="411">
        <v>12.5779440069799</v>
      </c>
      <c r="L8" s="260"/>
      <c r="M8" s="404">
        <v>12.576503157995568</v>
      </c>
      <c r="N8" s="260"/>
      <c r="O8" s="267" t="str">
        <f t="shared" si="2"/>
        <v>EUR6E12E18M_Quote</v>
      </c>
      <c r="P8" s="403">
        <v>12.5779440069799</v>
      </c>
      <c r="Q8" s="265" t="e">
        <f>_xll.qlSimpleQuoteSetValue($O8,ROUND($P8/10000,6),Trigger)</f>
        <v>#N/A</v>
      </c>
      <c r="R8" s="221"/>
      <c r="T8" s="90" t="s">
        <v>133</v>
      </c>
      <c r="U8" s="89" t="s">
        <v>132</v>
      </c>
      <c r="V8" s="88" t="s">
        <v>143</v>
      </c>
    </row>
    <row r="9" spans="1:24" ht="12" thickBot="1" x14ac:dyDescent="0.25">
      <c r="A9" s="407">
        <v>1.75</v>
      </c>
      <c r="B9" s="314" t="s">
        <v>138</v>
      </c>
      <c r="C9" s="313" t="str">
        <v>6E</v>
      </c>
      <c r="D9" s="313" t="str">
        <v>12E</v>
      </c>
      <c r="E9" s="311" t="str">
        <f t="shared" si="0"/>
        <v>EUR6E12E21M</v>
      </c>
      <c r="F9" s="270" t="str">
        <v>EUR6E12E21M=ICAP</v>
      </c>
      <c r="G9" s="406" t="s">
        <v>260</v>
      </c>
      <c r="H9" s="406" t="s">
        <v>260</v>
      </c>
      <c r="I9" s="406" t="e">
        <f>_xll.qlMidEquivalent(G9,H9)</f>
        <v>#NUM!</v>
      </c>
      <c r="J9" s="266" t="b">
        <f t="shared" si="1"/>
        <v>0</v>
      </c>
      <c r="K9" s="411">
        <v>12.991729002617461</v>
      </c>
      <c r="L9" s="260"/>
      <c r="M9" s="404">
        <v>12.991188684248337</v>
      </c>
      <c r="N9" s="260"/>
      <c r="O9" s="267" t="str">
        <f t="shared" si="2"/>
        <v>EUR6E12E21M_Quote</v>
      </c>
      <c r="P9" s="403">
        <v>12.991729002617461</v>
      </c>
      <c r="Q9" s="265" t="e">
        <f>_xll.qlSimpleQuoteSetValue($O9,ROUND($P9/10000,6),Trigger)</f>
        <v>#N/A</v>
      </c>
      <c r="R9" s="221"/>
      <c r="T9" s="87" t="s">
        <v>131</v>
      </c>
      <c r="U9" s="86" t="s">
        <v>143</v>
      </c>
      <c r="V9" s="85" t="s">
        <v>130</v>
      </c>
    </row>
    <row r="10" spans="1:24" x14ac:dyDescent="0.2">
      <c r="A10" s="126">
        <v>2</v>
      </c>
      <c r="B10" s="314" t="s">
        <v>115</v>
      </c>
      <c r="C10" s="313" t="str">
        <v>6E</v>
      </c>
      <c r="D10" s="313" t="str">
        <v>12E</v>
      </c>
      <c r="E10" s="311" t="str">
        <f t="shared" si="0"/>
        <v>EUR6E12E2Y</v>
      </c>
      <c r="F10" s="270" t="str">
        <v>EUR6E12E2Y=ICAP</v>
      </c>
      <c r="G10" s="406">
        <v>13.2</v>
      </c>
      <c r="H10" s="406">
        <v>0</v>
      </c>
      <c r="I10" s="406">
        <f>_xll.qlMidEquivalent(G10,H10)</f>
        <v>13.2</v>
      </c>
      <c r="J10" s="266" t="b">
        <f t="shared" si="1"/>
        <v>1</v>
      </c>
      <c r="K10" s="411">
        <v>13.2</v>
      </c>
      <c r="L10" s="260"/>
      <c r="M10" s="404">
        <v>13.2</v>
      </c>
      <c r="N10" s="260"/>
      <c r="O10" s="267" t="str">
        <f t="shared" si="2"/>
        <v>EUR6E12E2Y_Quote</v>
      </c>
      <c r="P10" s="403">
        <v>13.2</v>
      </c>
      <c r="Q10" s="265" t="e">
        <f>_xll.qlSimpleQuoteSetValue($O10,ROUND($P10/10000,6),Trigger)</f>
        <v>#N/A</v>
      </c>
      <c r="R10" s="221"/>
    </row>
    <row r="11" spans="1:24" x14ac:dyDescent="0.2">
      <c r="A11" s="126">
        <v>3</v>
      </c>
      <c r="B11" s="314" t="s">
        <v>114</v>
      </c>
      <c r="C11" s="313" t="str">
        <v>6E</v>
      </c>
      <c r="D11" s="313" t="str">
        <v>12E</v>
      </c>
      <c r="E11" s="311" t="str">
        <f t="shared" si="0"/>
        <v>EUR6E12E3Y</v>
      </c>
      <c r="F11" s="270" t="str">
        <v>EUR6E12E3Y=ICAP</v>
      </c>
      <c r="G11" s="406">
        <v>13.3</v>
      </c>
      <c r="H11" s="406">
        <v>0</v>
      </c>
      <c r="I11" s="406">
        <f>_xll.qlMidEquivalent(G11,H11)</f>
        <v>13.3</v>
      </c>
      <c r="J11" s="266" t="b">
        <f t="shared" si="1"/>
        <v>1</v>
      </c>
      <c r="K11" s="411">
        <v>13.3</v>
      </c>
      <c r="L11" s="260"/>
      <c r="M11" s="404">
        <v>13.3</v>
      </c>
      <c r="N11" s="260"/>
      <c r="O11" s="267" t="str">
        <f t="shared" si="2"/>
        <v>EUR6E12E3Y_Quote</v>
      </c>
      <c r="P11" s="403">
        <v>13.3</v>
      </c>
      <c r="Q11" s="265" t="e">
        <f>_xll.qlSimpleQuoteSetValue($O11,ROUND($P11/10000,6),Trigger)</f>
        <v>#N/A</v>
      </c>
      <c r="R11" s="221"/>
    </row>
    <row r="12" spans="1:24" x14ac:dyDescent="0.2">
      <c r="A12" s="126">
        <v>4</v>
      </c>
      <c r="B12" s="314" t="s">
        <v>113</v>
      </c>
      <c r="C12" s="313" t="str">
        <v>6E</v>
      </c>
      <c r="D12" s="313" t="str">
        <v>12E</v>
      </c>
      <c r="E12" s="311" t="str">
        <f t="shared" si="0"/>
        <v>EUR6E12E4Y</v>
      </c>
      <c r="F12" s="270" t="str">
        <v>EUR6E12E4Y=ICAP</v>
      </c>
      <c r="G12" s="406">
        <v>13.3</v>
      </c>
      <c r="H12" s="406">
        <v>0</v>
      </c>
      <c r="I12" s="406">
        <f>_xll.qlMidEquivalent(G12,H12)</f>
        <v>13.3</v>
      </c>
      <c r="J12" s="266" t="b">
        <f t="shared" si="1"/>
        <v>1</v>
      </c>
      <c r="K12" s="411">
        <v>13.3</v>
      </c>
      <c r="L12" s="260"/>
      <c r="M12" s="404">
        <v>13.2</v>
      </c>
      <c r="N12" s="260"/>
      <c r="O12" s="267" t="str">
        <f t="shared" si="2"/>
        <v>EUR6E12E4Y_Quote</v>
      </c>
      <c r="P12" s="403">
        <v>13.3</v>
      </c>
      <c r="Q12" s="265" t="e">
        <f>_xll.qlSimpleQuoteSetValue($O12,ROUND($P12/10000,6),Trigger)</f>
        <v>#N/A</v>
      </c>
      <c r="R12" s="221"/>
    </row>
    <row r="13" spans="1:24" x14ac:dyDescent="0.2">
      <c r="A13" s="126">
        <v>5</v>
      </c>
      <c r="B13" s="314" t="s">
        <v>112</v>
      </c>
      <c r="C13" s="313" t="str">
        <v>6E</v>
      </c>
      <c r="D13" s="313" t="str">
        <v>12E</v>
      </c>
      <c r="E13" s="311" t="str">
        <f t="shared" si="0"/>
        <v>EUR6E12E5Y</v>
      </c>
      <c r="F13" s="270" t="str">
        <v>EUR6E12E5Y=ICAP</v>
      </c>
      <c r="G13" s="406">
        <v>13.2</v>
      </c>
      <c r="H13" s="406">
        <v>0</v>
      </c>
      <c r="I13" s="406">
        <f>_xll.qlMidEquivalent(G13,H13)</f>
        <v>13.2</v>
      </c>
      <c r="J13" s="266" t="b">
        <f t="shared" si="1"/>
        <v>1</v>
      </c>
      <c r="K13" s="411">
        <v>13.2</v>
      </c>
      <c r="L13" s="260"/>
      <c r="M13" s="404">
        <v>13.2</v>
      </c>
      <c r="N13" s="260"/>
      <c r="O13" s="267" t="str">
        <f t="shared" si="2"/>
        <v>EUR6E12E5Y_Quote</v>
      </c>
      <c r="P13" s="403">
        <v>13.2</v>
      </c>
      <c r="Q13" s="265" t="e">
        <f>_xll.qlSimpleQuoteSetValue($O13,ROUND($P13/10000,6),Trigger)</f>
        <v>#N/A</v>
      </c>
      <c r="R13" s="221"/>
    </row>
    <row r="14" spans="1:24" x14ac:dyDescent="0.2">
      <c r="A14" s="126">
        <v>6</v>
      </c>
      <c r="B14" s="314" t="s">
        <v>111</v>
      </c>
      <c r="C14" s="313" t="str">
        <v>6E</v>
      </c>
      <c r="D14" s="313" t="str">
        <v>12E</v>
      </c>
      <c r="E14" s="311" t="str">
        <f t="shared" si="0"/>
        <v>EUR6E12E6Y</v>
      </c>
      <c r="F14" s="270" t="str">
        <v>EUR6E12E6Y=ICAP</v>
      </c>
      <c r="G14" s="406">
        <v>13.1</v>
      </c>
      <c r="H14" s="406">
        <v>0</v>
      </c>
      <c r="I14" s="406">
        <f>_xll.qlMidEquivalent(G14,H14)</f>
        <v>13.1</v>
      </c>
      <c r="J14" s="266" t="b">
        <f t="shared" si="1"/>
        <v>1</v>
      </c>
      <c r="K14" s="411">
        <v>13.1</v>
      </c>
      <c r="L14" s="260"/>
      <c r="M14" s="404">
        <v>13.1</v>
      </c>
      <c r="N14" s="260"/>
      <c r="O14" s="267" t="str">
        <f t="shared" si="2"/>
        <v>EUR6E12E6Y_Quote</v>
      </c>
      <c r="P14" s="403">
        <v>13.1</v>
      </c>
      <c r="Q14" s="265" t="e">
        <f>_xll.qlSimpleQuoteSetValue($O14,ROUND($P14/10000,6),Trigger)</f>
        <v>#N/A</v>
      </c>
      <c r="R14" s="221"/>
    </row>
    <row r="15" spans="1:24" x14ac:dyDescent="0.2">
      <c r="A15" s="126">
        <v>7</v>
      </c>
      <c r="B15" s="314" t="s">
        <v>110</v>
      </c>
      <c r="C15" s="313" t="str">
        <v>6E</v>
      </c>
      <c r="D15" s="313" t="str">
        <v>12E</v>
      </c>
      <c r="E15" s="311" t="str">
        <f t="shared" si="0"/>
        <v>EUR6E12E7Y</v>
      </c>
      <c r="F15" s="270" t="str">
        <v>EUR6E12E7Y=ICAP</v>
      </c>
      <c r="G15" s="406">
        <v>12.9</v>
      </c>
      <c r="H15" s="406">
        <v>0</v>
      </c>
      <c r="I15" s="406">
        <f>_xll.qlMidEquivalent(G15,H15)</f>
        <v>12.9</v>
      </c>
      <c r="J15" s="266" t="b">
        <f t="shared" si="1"/>
        <v>1</v>
      </c>
      <c r="K15" s="411">
        <v>12.9</v>
      </c>
      <c r="L15" s="260"/>
      <c r="M15" s="404">
        <v>12.9</v>
      </c>
      <c r="N15" s="260"/>
      <c r="O15" s="267" t="str">
        <f t="shared" si="2"/>
        <v>EUR6E12E7Y_Quote</v>
      </c>
      <c r="P15" s="403">
        <v>12.9</v>
      </c>
      <c r="Q15" s="265" t="e">
        <f>_xll.qlSimpleQuoteSetValue($O15,ROUND($P15/10000,6),Trigger)</f>
        <v>#N/A</v>
      </c>
      <c r="R15" s="221"/>
    </row>
    <row r="16" spans="1:24" x14ac:dyDescent="0.2">
      <c r="A16" s="126">
        <v>8</v>
      </c>
      <c r="B16" s="314" t="s">
        <v>109</v>
      </c>
      <c r="C16" s="313" t="str">
        <v>6E</v>
      </c>
      <c r="D16" s="313" t="str">
        <v>12E</v>
      </c>
      <c r="E16" s="311" t="str">
        <f t="shared" si="0"/>
        <v>EUR6E12E8Y</v>
      </c>
      <c r="F16" s="270" t="str">
        <v>EUR6E12E8Y=ICAP</v>
      </c>
      <c r="G16" s="406">
        <v>12.6</v>
      </c>
      <c r="H16" s="406">
        <v>0</v>
      </c>
      <c r="I16" s="406">
        <f>_xll.qlMidEquivalent(G16,H16)</f>
        <v>12.6</v>
      </c>
      <c r="J16" s="266" t="b">
        <f t="shared" si="1"/>
        <v>1</v>
      </c>
      <c r="K16" s="411">
        <v>12.6</v>
      </c>
      <c r="L16" s="260"/>
      <c r="M16" s="404">
        <v>12.6</v>
      </c>
      <c r="N16" s="260"/>
      <c r="O16" s="267" t="str">
        <f t="shared" si="2"/>
        <v>EUR6E12E8Y_Quote</v>
      </c>
      <c r="P16" s="403">
        <v>12.6</v>
      </c>
      <c r="Q16" s="265" t="e">
        <f>_xll.qlSimpleQuoteSetValue($O16,ROUND($P16/10000,6),Trigger)</f>
        <v>#N/A</v>
      </c>
      <c r="R16" s="221"/>
    </row>
    <row r="17" spans="1:18" x14ac:dyDescent="0.2">
      <c r="A17" s="126">
        <v>9</v>
      </c>
      <c r="B17" s="314" t="s">
        <v>108</v>
      </c>
      <c r="C17" s="313" t="str">
        <v>6E</v>
      </c>
      <c r="D17" s="313" t="str">
        <v>12E</v>
      </c>
      <c r="E17" s="311" t="str">
        <f t="shared" si="0"/>
        <v>EUR6E12E9Y</v>
      </c>
      <c r="F17" s="270" t="str">
        <v>EUR6E12E9Y=ICAP</v>
      </c>
      <c r="G17" s="406">
        <v>12.4</v>
      </c>
      <c r="H17" s="406">
        <v>0</v>
      </c>
      <c r="I17" s="406">
        <f>_xll.qlMidEquivalent(G17,H17)</f>
        <v>12.4</v>
      </c>
      <c r="J17" s="266" t="b">
        <f t="shared" si="1"/>
        <v>1</v>
      </c>
      <c r="K17" s="411">
        <v>12.4</v>
      </c>
      <c r="L17" s="260"/>
      <c r="M17" s="404">
        <v>12.3</v>
      </c>
      <c r="N17" s="260"/>
      <c r="O17" s="267" t="str">
        <f t="shared" si="2"/>
        <v>EUR6E12E9Y_Quote</v>
      </c>
      <c r="P17" s="403">
        <v>12.4</v>
      </c>
      <c r="Q17" s="265" t="e">
        <f>_xll.qlSimpleQuoteSetValue($O17,ROUND($P17/10000,6),Trigger)</f>
        <v>#N/A</v>
      </c>
      <c r="R17" s="221"/>
    </row>
    <row r="18" spans="1:18" x14ac:dyDescent="0.2">
      <c r="A18" s="126">
        <v>10</v>
      </c>
      <c r="B18" s="314" t="s">
        <v>107</v>
      </c>
      <c r="C18" s="313" t="str">
        <v>6E</v>
      </c>
      <c r="D18" s="313" t="str">
        <v>12E</v>
      </c>
      <c r="E18" s="311" t="str">
        <f t="shared" si="0"/>
        <v>EUR6E12E10Y</v>
      </c>
      <c r="F18" s="270" t="str">
        <v>EUR6E12E10Y=ICAP</v>
      </c>
      <c r="G18" s="406">
        <v>12.1</v>
      </c>
      <c r="H18" s="406">
        <v>0</v>
      </c>
      <c r="I18" s="406">
        <f>_xll.qlMidEquivalent(G18,H18)</f>
        <v>12.1</v>
      </c>
      <c r="J18" s="266" t="b">
        <f t="shared" si="1"/>
        <v>1</v>
      </c>
      <c r="K18" s="411">
        <v>12.1</v>
      </c>
      <c r="L18" s="260"/>
      <c r="M18" s="404">
        <v>12.1</v>
      </c>
      <c r="N18" s="260"/>
      <c r="O18" s="267" t="str">
        <f t="shared" si="2"/>
        <v>EUR6E12E10Y_Quote</v>
      </c>
      <c r="P18" s="403">
        <v>12.1</v>
      </c>
      <c r="Q18" s="265" t="e">
        <f>_xll.qlSimpleQuoteSetValue($O18,ROUND($P18/10000,6),Trigger)</f>
        <v>#N/A</v>
      </c>
      <c r="R18" s="221"/>
    </row>
    <row r="19" spans="1:18" x14ac:dyDescent="0.2">
      <c r="A19" s="126">
        <v>11</v>
      </c>
      <c r="B19" s="314" t="s">
        <v>106</v>
      </c>
      <c r="C19" s="313" t="str">
        <v>6E</v>
      </c>
      <c r="D19" s="313" t="str">
        <v>12E</v>
      </c>
      <c r="E19" s="311" t="str">
        <f t="shared" si="0"/>
        <v>EUR6E12E11Y</v>
      </c>
      <c r="F19" s="270" t="str">
        <v>EUR6E12E11Y=ICAP</v>
      </c>
      <c r="G19" s="406">
        <v>11.7</v>
      </c>
      <c r="H19" s="406">
        <v>0</v>
      </c>
      <c r="I19" s="406">
        <f>_xll.qlMidEquivalent(G19,H19)</f>
        <v>11.7</v>
      </c>
      <c r="J19" s="266" t="b">
        <f t="shared" si="1"/>
        <v>1</v>
      </c>
      <c r="K19" s="411">
        <v>11.7</v>
      </c>
      <c r="L19" s="260"/>
      <c r="M19" s="404">
        <v>11.7</v>
      </c>
      <c r="N19" s="260"/>
      <c r="O19" s="267" t="str">
        <f t="shared" si="2"/>
        <v>EUR6E12E11Y_Quote</v>
      </c>
      <c r="P19" s="403">
        <v>11.7</v>
      </c>
      <c r="Q19" s="265" t="e">
        <f>_xll.qlSimpleQuoteSetValue($O19,ROUND($P19/10000,6),Trigger)</f>
        <v>#N/A</v>
      </c>
      <c r="R19" s="221"/>
    </row>
    <row r="20" spans="1:18" x14ac:dyDescent="0.2">
      <c r="A20" s="126">
        <v>12</v>
      </c>
      <c r="B20" s="314" t="s">
        <v>105</v>
      </c>
      <c r="C20" s="313" t="str">
        <v>6E</v>
      </c>
      <c r="D20" s="313" t="str">
        <v>12E</v>
      </c>
      <c r="E20" s="311" t="str">
        <f t="shared" si="0"/>
        <v>EUR6E12E12Y</v>
      </c>
      <c r="F20" s="270" t="str">
        <v>EUR6E12E12Y=ICAP</v>
      </c>
      <c r="G20" s="406">
        <v>11.3</v>
      </c>
      <c r="H20" s="406">
        <v>0</v>
      </c>
      <c r="I20" s="406">
        <f>_xll.qlMidEquivalent(G20,H20)</f>
        <v>11.3</v>
      </c>
      <c r="J20" s="266" t="b">
        <f t="shared" si="1"/>
        <v>1</v>
      </c>
      <c r="K20" s="411">
        <v>11.3</v>
      </c>
      <c r="L20" s="260"/>
      <c r="M20" s="404">
        <v>11.3</v>
      </c>
      <c r="N20" s="260"/>
      <c r="O20" s="267" t="str">
        <f t="shared" si="2"/>
        <v>EUR6E12E12Y_Quote</v>
      </c>
      <c r="P20" s="403">
        <v>11.3</v>
      </c>
      <c r="Q20" s="265" t="e">
        <f>_xll.qlSimpleQuoteSetValue($O20,ROUND($P20/10000,6),Trigger)</f>
        <v>#N/A</v>
      </c>
      <c r="R20" s="221"/>
    </row>
    <row r="21" spans="1:18" x14ac:dyDescent="0.2">
      <c r="A21" s="126">
        <v>13</v>
      </c>
      <c r="B21" s="314" t="s">
        <v>104</v>
      </c>
      <c r="C21" s="313" t="str">
        <v>6E</v>
      </c>
      <c r="D21" s="313" t="str">
        <v>12E</v>
      </c>
      <c r="E21" s="311" t="str">
        <f t="shared" si="0"/>
        <v>EUR6E12E13Y</v>
      </c>
      <c r="F21" s="270" t="str">
        <v>EUR6E12E13Y=ICAP</v>
      </c>
      <c r="G21" s="406" t="s">
        <v>260</v>
      </c>
      <c r="H21" s="406" t="s">
        <v>260</v>
      </c>
      <c r="I21" s="406" t="e">
        <f>_xll.qlMidEquivalent(G21,H21)</f>
        <v>#NUM!</v>
      </c>
      <c r="J21" s="266" t="b">
        <f t="shared" si="1"/>
        <v>0</v>
      </c>
      <c r="K21" s="411">
        <v>10.934820884371806</v>
      </c>
      <c r="L21" s="260"/>
      <c r="M21" s="404">
        <v>10.939335131423944</v>
      </c>
      <c r="N21" s="260"/>
      <c r="O21" s="267" t="str">
        <f t="shared" si="2"/>
        <v>EUR6E12E13Y_Quote</v>
      </c>
      <c r="P21" s="403">
        <v>10.934820884371806</v>
      </c>
      <c r="Q21" s="265" t="e">
        <f>_xll.qlSimpleQuoteSetValue($O21,ROUND($P21/10000,6),Trigger)</f>
        <v>#N/A</v>
      </c>
      <c r="R21" s="221"/>
    </row>
    <row r="22" spans="1:18" x14ac:dyDescent="0.2">
      <c r="A22" s="126">
        <v>14</v>
      </c>
      <c r="B22" s="314" t="s">
        <v>103</v>
      </c>
      <c r="C22" s="313" t="str">
        <v>6E</v>
      </c>
      <c r="D22" s="313" t="str">
        <v>12E</v>
      </c>
      <c r="E22" s="311" t="str">
        <f t="shared" si="0"/>
        <v>EUR6E12E14Y</v>
      </c>
      <c r="F22" s="270" t="str">
        <v>EUR6E12E14Y=ICAP</v>
      </c>
      <c r="G22" s="406" t="s">
        <v>260</v>
      </c>
      <c r="H22" s="406" t="s">
        <v>260</v>
      </c>
      <c r="I22" s="406" t="e">
        <f>_xll.qlMidEquivalent(G22,H22)</f>
        <v>#NUM!</v>
      </c>
      <c r="J22" s="266" t="b">
        <f t="shared" si="1"/>
        <v>0</v>
      </c>
      <c r="K22" s="411">
        <v>10.603393916008477</v>
      </c>
      <c r="L22" s="260"/>
      <c r="M22" s="404">
        <v>10.606607725124706</v>
      </c>
      <c r="N22" s="260"/>
      <c r="O22" s="267" t="str">
        <f t="shared" si="2"/>
        <v>EUR6E12E14Y_Quote</v>
      </c>
      <c r="P22" s="403">
        <v>10.603393916008477</v>
      </c>
      <c r="Q22" s="265" t="e">
        <f>_xll.qlSimpleQuoteSetValue($O22,ROUND($P22/10000,6),Trigger)</f>
        <v>#N/A</v>
      </c>
      <c r="R22" s="221"/>
    </row>
    <row r="23" spans="1:18" x14ac:dyDescent="0.2">
      <c r="A23" s="126">
        <v>15</v>
      </c>
      <c r="B23" s="314" t="s">
        <v>102</v>
      </c>
      <c r="C23" s="313" t="str">
        <v>6E</v>
      </c>
      <c r="D23" s="313" t="str">
        <v>12E</v>
      </c>
      <c r="E23" s="311" t="str">
        <f t="shared" si="0"/>
        <v>EUR6E12E15Y</v>
      </c>
      <c r="F23" s="270" t="str">
        <v>EUR6E12E15Y=ICAP</v>
      </c>
      <c r="G23" s="406">
        <v>10.3</v>
      </c>
      <c r="H23" s="406">
        <v>0</v>
      </c>
      <c r="I23" s="406">
        <f>_xll.qlMidEquivalent(G23,H23)</f>
        <v>10.3</v>
      </c>
      <c r="J23" s="266" t="b">
        <f t="shared" si="1"/>
        <v>1</v>
      </c>
      <c r="K23" s="411">
        <v>10.3</v>
      </c>
      <c r="L23" s="260"/>
      <c r="M23" s="404">
        <v>10.3</v>
      </c>
      <c r="N23" s="260"/>
      <c r="O23" s="267" t="str">
        <f t="shared" si="2"/>
        <v>EUR6E12E15Y_Quote</v>
      </c>
      <c r="P23" s="403">
        <v>10.3</v>
      </c>
      <c r="Q23" s="265" t="e">
        <f>_xll.qlSimpleQuoteSetValue($O23,ROUND($P23/10000,6),Trigger)</f>
        <v>#N/A</v>
      </c>
      <c r="R23" s="221"/>
    </row>
    <row r="24" spans="1:18" x14ac:dyDescent="0.2">
      <c r="A24" s="126">
        <v>16</v>
      </c>
      <c r="B24" s="314" t="s">
        <v>101</v>
      </c>
      <c r="C24" s="313" t="str">
        <v>6E</v>
      </c>
      <c r="D24" s="313" t="str">
        <v>12E</v>
      </c>
      <c r="E24" s="311" t="str">
        <f t="shared" si="0"/>
        <v>EUR6E12E16Y</v>
      </c>
      <c r="F24" s="270" t="str">
        <v>EUR6E12E16Y=ICAP</v>
      </c>
      <c r="G24" s="406" t="s">
        <v>260</v>
      </c>
      <c r="H24" s="406" t="s">
        <v>260</v>
      </c>
      <c r="I24" s="406" t="e">
        <f>_xll.qlMidEquivalent(G24,H24)</f>
        <v>#NUM!</v>
      </c>
      <c r="J24" s="266" t="b">
        <f t="shared" si="1"/>
        <v>0</v>
      </c>
      <c r="K24" s="411">
        <v>10.019693178368922</v>
      </c>
      <c r="L24" s="260"/>
      <c r="M24" s="404">
        <v>10.017733100920223</v>
      </c>
      <c r="N24" s="260"/>
      <c r="O24" s="267" t="str">
        <f t="shared" si="2"/>
        <v>EUR6E12E16Y_Quote</v>
      </c>
      <c r="P24" s="403">
        <v>10.019693178368922</v>
      </c>
      <c r="Q24" s="265" t="e">
        <f>_xll.qlSimpleQuoteSetValue($O24,ROUND($P24/10000,6),Trigger)</f>
        <v>#N/A</v>
      </c>
      <c r="R24" s="221"/>
    </row>
    <row r="25" spans="1:18" x14ac:dyDescent="0.2">
      <c r="A25" s="126">
        <v>17</v>
      </c>
      <c r="B25" s="314" t="s">
        <v>100</v>
      </c>
      <c r="C25" s="313" t="str">
        <v>6E</v>
      </c>
      <c r="D25" s="313" t="str">
        <v>12E</v>
      </c>
      <c r="E25" s="311" t="str">
        <f t="shared" si="0"/>
        <v>EUR6E12E17Y</v>
      </c>
      <c r="F25" s="270" t="str">
        <v>EUR6E12E17Y=ICAP</v>
      </c>
      <c r="G25" s="406" t="s">
        <v>260</v>
      </c>
      <c r="H25" s="406" t="s">
        <v>260</v>
      </c>
      <c r="I25" s="406" t="e">
        <f>_xll.qlMidEquivalent(G25,H25)</f>
        <v>#NUM!</v>
      </c>
      <c r="J25" s="266" t="b">
        <f t="shared" si="1"/>
        <v>0</v>
      </c>
      <c r="K25" s="411">
        <v>9.7606200408680301</v>
      </c>
      <c r="L25" s="260"/>
      <c r="M25" s="404">
        <v>9.7581838766465108</v>
      </c>
      <c r="N25" s="260"/>
      <c r="O25" s="267" t="str">
        <f t="shared" si="2"/>
        <v>EUR6E12E17Y_Quote</v>
      </c>
      <c r="P25" s="403">
        <v>9.7606200408680301</v>
      </c>
      <c r="Q25" s="265" t="e">
        <f>_xll.qlSimpleQuoteSetValue($O25,ROUND($P25/10000,6),Trigger)</f>
        <v>#N/A</v>
      </c>
      <c r="R25" s="221"/>
    </row>
    <row r="26" spans="1:18" x14ac:dyDescent="0.2">
      <c r="A26" s="126">
        <v>18</v>
      </c>
      <c r="B26" s="314" t="s">
        <v>99</v>
      </c>
      <c r="C26" s="313" t="str">
        <v>6E</v>
      </c>
      <c r="D26" s="313" t="str">
        <v>12E</v>
      </c>
      <c r="E26" s="311" t="str">
        <f t="shared" si="0"/>
        <v>EUR6E12E18Y</v>
      </c>
      <c r="F26" s="270" t="str">
        <v>EUR6E12E18Y=ICAP</v>
      </c>
      <c r="G26" s="406" t="s">
        <v>260</v>
      </c>
      <c r="H26" s="406" t="s">
        <v>260</v>
      </c>
      <c r="I26" s="406" t="e">
        <f>_xll.qlMidEquivalent(G26,H26)</f>
        <v>#NUM!</v>
      </c>
      <c r="J26" s="266" t="b">
        <f t="shared" si="1"/>
        <v>0</v>
      </c>
      <c r="K26" s="411">
        <v>9.5217003141826773</v>
      </c>
      <c r="L26" s="260"/>
      <c r="M26" s="404">
        <v>9.519768101912689</v>
      </c>
      <c r="N26" s="260"/>
      <c r="O26" s="267" t="str">
        <f t="shared" si="2"/>
        <v>EUR6E12E18Y_Quote</v>
      </c>
      <c r="P26" s="403">
        <v>9.5217003141826773</v>
      </c>
      <c r="Q26" s="265" t="e">
        <f>_xll.qlSimpleQuoteSetValue($O26,ROUND($P26/10000,6),Trigger)</f>
        <v>#N/A</v>
      </c>
      <c r="R26" s="221"/>
    </row>
    <row r="27" spans="1:18" x14ac:dyDescent="0.2">
      <c r="A27" s="126">
        <v>19</v>
      </c>
      <c r="B27" s="314" t="s">
        <v>98</v>
      </c>
      <c r="C27" s="313" t="str">
        <v>6E</v>
      </c>
      <c r="D27" s="313" t="str">
        <v>12E</v>
      </c>
      <c r="E27" s="311" t="str">
        <f t="shared" si="0"/>
        <v>EUR6E12E19Y</v>
      </c>
      <c r="F27" s="270" t="str">
        <v>EUR6E12E19Y=ICAP</v>
      </c>
      <c r="G27" s="406" t="s">
        <v>260</v>
      </c>
      <c r="H27" s="406" t="s">
        <v>260</v>
      </c>
      <c r="I27" s="406" t="e">
        <f>_xll.qlMidEquivalent(G27,H27)</f>
        <v>#NUM!</v>
      </c>
      <c r="J27" s="266" t="b">
        <f t="shared" si="1"/>
        <v>0</v>
      </c>
      <c r="K27" s="411">
        <v>9.3018537249982174</v>
      </c>
      <c r="L27" s="260"/>
      <c r="M27" s="404">
        <v>9.3009015514525775</v>
      </c>
      <c r="N27" s="260"/>
      <c r="O27" s="267" t="str">
        <f t="shared" si="2"/>
        <v>EUR6E12E19Y_Quote</v>
      </c>
      <c r="P27" s="403">
        <v>9.3018537249982174</v>
      </c>
      <c r="Q27" s="265" t="e">
        <f>_xll.qlSimpleQuoteSetValue($O27,ROUND($P27/10000,6),Trigger)</f>
        <v>#N/A</v>
      </c>
      <c r="R27" s="221"/>
    </row>
    <row r="28" spans="1:18" x14ac:dyDescent="0.2">
      <c r="A28" s="126">
        <v>20</v>
      </c>
      <c r="B28" s="314" t="s">
        <v>97</v>
      </c>
      <c r="C28" s="313" t="str">
        <v>6E</v>
      </c>
      <c r="D28" s="313" t="str">
        <v>12E</v>
      </c>
      <c r="E28" s="311" t="str">
        <f t="shared" si="0"/>
        <v>EUR6E12E20Y</v>
      </c>
      <c r="F28" s="270" t="str">
        <v>EUR6E12E20Y=ICAP</v>
      </c>
      <c r="G28" s="406">
        <v>9.1</v>
      </c>
      <c r="H28" s="406">
        <v>0</v>
      </c>
      <c r="I28" s="406">
        <f>_xll.qlMidEquivalent(G28,H28)</f>
        <v>9.1</v>
      </c>
      <c r="J28" s="266" t="b">
        <f t="shared" si="1"/>
        <v>1</v>
      </c>
      <c r="K28" s="411">
        <v>9.1</v>
      </c>
      <c r="L28" s="260"/>
      <c r="M28" s="404">
        <v>9.1</v>
      </c>
      <c r="N28" s="260"/>
      <c r="O28" s="267" t="str">
        <f t="shared" si="2"/>
        <v>EUR6E12E20Y_Quote</v>
      </c>
      <c r="P28" s="403">
        <v>9.1</v>
      </c>
      <c r="Q28" s="265" t="e">
        <f>_xll.qlSimpleQuoteSetValue($O28,ROUND($P28/10000,6),Trigger)</f>
        <v>#N/A</v>
      </c>
      <c r="R28" s="221"/>
    </row>
    <row r="29" spans="1:18" x14ac:dyDescent="0.2">
      <c r="A29" s="126">
        <v>21</v>
      </c>
      <c r="B29" s="314" t="s">
        <v>96</v>
      </c>
      <c r="C29" s="313" t="str">
        <v>6E</v>
      </c>
      <c r="D29" s="313" t="str">
        <v>12E</v>
      </c>
      <c r="E29" s="311" t="str">
        <f t="shared" si="0"/>
        <v>EUR6E12E21Y</v>
      </c>
      <c r="F29" s="270" t="str">
        <v>EUR6E12E21Y=ICAP</v>
      </c>
      <c r="G29" s="406" t="s">
        <v>260</v>
      </c>
      <c r="H29" s="406" t="s">
        <v>260</v>
      </c>
      <c r="I29" s="406" t="e">
        <f>_xll.qlMidEquivalent(G29,H29)</f>
        <v>#NUM!</v>
      </c>
      <c r="J29" s="266" t="b">
        <f t="shared" si="1"/>
        <v>0</v>
      </c>
      <c r="K29" s="411">
        <v>8.9148763476990585</v>
      </c>
      <c r="L29" s="260"/>
      <c r="M29" s="404">
        <v>8.9154030675405078</v>
      </c>
      <c r="N29" s="260"/>
      <c r="O29" s="267" t="str">
        <f t="shared" si="2"/>
        <v>EUR6E12E21Y_Quote</v>
      </c>
      <c r="P29" s="403">
        <v>8.9148763476990585</v>
      </c>
      <c r="Q29" s="265" t="e">
        <f>_xll.qlSimpleQuoteSetValue($O29,ROUND($P29/10000,6),Trigger)</f>
        <v>#N/A</v>
      </c>
      <c r="R29" s="221"/>
    </row>
    <row r="30" spans="1:18" x14ac:dyDescent="0.2">
      <c r="A30" s="126">
        <v>22</v>
      </c>
      <c r="B30" s="314" t="s">
        <v>95</v>
      </c>
      <c r="C30" s="313" t="str">
        <v>6E</v>
      </c>
      <c r="D30" s="313" t="str">
        <v>12E</v>
      </c>
      <c r="E30" s="311" t="str">
        <f t="shared" si="0"/>
        <v>EUR6E12E22Y</v>
      </c>
      <c r="F30" s="270" t="str">
        <v>EUR6E12E22Y=ICAP</v>
      </c>
      <c r="G30" s="406" t="s">
        <v>260</v>
      </c>
      <c r="H30" s="406" t="s">
        <v>260</v>
      </c>
      <c r="I30" s="406" t="e">
        <f>_xll.qlMidEquivalent(G30,H30)</f>
        <v>#NUM!</v>
      </c>
      <c r="J30" s="266" t="b">
        <f t="shared" si="1"/>
        <v>0</v>
      </c>
      <c r="K30" s="411">
        <v>8.7444899039091517</v>
      </c>
      <c r="L30" s="260"/>
      <c r="M30" s="404">
        <v>8.7451457550665683</v>
      </c>
      <c r="N30" s="260"/>
      <c r="O30" s="267" t="str">
        <f t="shared" si="2"/>
        <v>EUR6E12E22Y_Quote</v>
      </c>
      <c r="P30" s="403">
        <v>8.7444899039091517</v>
      </c>
      <c r="Q30" s="265" t="e">
        <f>_xll.qlSimpleQuoteSetValue($O30,ROUND($P30/10000,6),Trigger)</f>
        <v>#N/A</v>
      </c>
      <c r="R30" s="221"/>
    </row>
    <row r="31" spans="1:18" x14ac:dyDescent="0.2">
      <c r="A31" s="126">
        <v>23</v>
      </c>
      <c r="B31" s="314" t="s">
        <v>94</v>
      </c>
      <c r="C31" s="313" t="str">
        <v>6E</v>
      </c>
      <c r="D31" s="313" t="str">
        <v>12E</v>
      </c>
      <c r="E31" s="311" t="str">
        <f t="shared" si="0"/>
        <v>EUR6E12E23Y</v>
      </c>
      <c r="F31" s="270" t="str">
        <v>EUR6E12E23Y=ICAP</v>
      </c>
      <c r="G31" s="406" t="s">
        <v>260</v>
      </c>
      <c r="H31" s="406" t="s">
        <v>260</v>
      </c>
      <c r="I31" s="406" t="e">
        <f>_xll.qlMidEquivalent(G31,H31)</f>
        <v>#NUM!</v>
      </c>
      <c r="J31" s="266" t="b">
        <f t="shared" si="1"/>
        <v>0</v>
      </c>
      <c r="K31" s="411">
        <v>8.5866652862697137</v>
      </c>
      <c r="L31" s="260"/>
      <c r="M31" s="404">
        <v>8.5871869088223747</v>
      </c>
      <c r="N31" s="260"/>
      <c r="O31" s="267" t="str">
        <f t="shared" si="2"/>
        <v>EUR6E12E23Y_Quote</v>
      </c>
      <c r="P31" s="403">
        <v>8.5866652862697137</v>
      </c>
      <c r="Q31" s="265" t="e">
        <f>_xll.qlSimpleQuoteSetValue($O31,ROUND($P31/10000,6),Trigger)</f>
        <v>#N/A</v>
      </c>
      <c r="R31" s="221"/>
    </row>
    <row r="32" spans="1:18" x14ac:dyDescent="0.2">
      <c r="A32" s="126">
        <v>24</v>
      </c>
      <c r="B32" s="314" t="s">
        <v>93</v>
      </c>
      <c r="C32" s="313" t="str">
        <v>6E</v>
      </c>
      <c r="D32" s="313" t="str">
        <v>12E</v>
      </c>
      <c r="E32" s="311" t="str">
        <f t="shared" si="0"/>
        <v>EUR6E12E24Y</v>
      </c>
      <c r="F32" s="270" t="str">
        <v>EUR6E12E24Y=ICAP</v>
      </c>
      <c r="G32" s="406" t="s">
        <v>260</v>
      </c>
      <c r="H32" s="406" t="s">
        <v>260</v>
      </c>
      <c r="I32" s="406" t="e">
        <f>_xll.qlMidEquivalent(G32,H32)</f>
        <v>#NUM!</v>
      </c>
      <c r="J32" s="266" t="b">
        <f t="shared" si="1"/>
        <v>0</v>
      </c>
      <c r="K32" s="411">
        <v>8.4392271124201841</v>
      </c>
      <c r="L32" s="260"/>
      <c r="M32" s="404">
        <v>8.4394853750521204</v>
      </c>
      <c r="N32" s="260"/>
      <c r="O32" s="267" t="str">
        <f t="shared" si="2"/>
        <v>EUR6E12E24Y_Quote</v>
      </c>
      <c r="P32" s="403">
        <v>8.4392271124201841</v>
      </c>
      <c r="Q32" s="265" t="e">
        <f>_xll.qlSimpleQuoteSetValue($O32,ROUND($P32/10000,6),Trigger)</f>
        <v>#N/A</v>
      </c>
      <c r="R32" s="221"/>
    </row>
    <row r="33" spans="1:18" x14ac:dyDescent="0.2">
      <c r="A33" s="126">
        <v>25</v>
      </c>
      <c r="B33" s="314" t="s">
        <v>92</v>
      </c>
      <c r="C33" s="313" t="str">
        <v>6E</v>
      </c>
      <c r="D33" s="313" t="str">
        <v>12E</v>
      </c>
      <c r="E33" s="311" t="str">
        <f t="shared" si="0"/>
        <v>EUR6E12E25Y</v>
      </c>
      <c r="F33" s="270" t="str">
        <v>EUR6E12E25Y=ICAP</v>
      </c>
      <c r="G33" s="406">
        <v>8.3000000000000007</v>
      </c>
      <c r="H33" s="406">
        <v>0</v>
      </c>
      <c r="I33" s="406">
        <f>_xll.qlMidEquivalent(G33,H33)</f>
        <v>8.3000000000000007</v>
      </c>
      <c r="J33" s="266" t="b">
        <f t="shared" si="1"/>
        <v>1</v>
      </c>
      <c r="K33" s="411">
        <v>8.3000000000000007</v>
      </c>
      <c r="L33" s="260"/>
      <c r="M33" s="404">
        <v>8.3000000000000007</v>
      </c>
      <c r="N33" s="260"/>
      <c r="O33" s="267" t="str">
        <f t="shared" si="2"/>
        <v>EUR6E12E25Y_Quote</v>
      </c>
      <c r="P33" s="403">
        <v>8.3000000000000007</v>
      </c>
      <c r="Q33" s="265" t="e">
        <f>_xll.qlSimpleQuoteSetValue($O33,ROUND($P33/10000,6),Trigger)</f>
        <v>#N/A</v>
      </c>
      <c r="R33" s="221"/>
    </row>
    <row r="34" spans="1:18" x14ac:dyDescent="0.2">
      <c r="A34" s="126">
        <v>26</v>
      </c>
      <c r="B34" s="314" t="s">
        <v>91</v>
      </c>
      <c r="C34" s="313" t="str">
        <v>6E</v>
      </c>
      <c r="D34" s="313" t="str">
        <v>12E</v>
      </c>
      <c r="E34" s="311" t="str">
        <f t="shared" si="0"/>
        <v>EUR6E12E26Y</v>
      </c>
      <c r="F34" s="270" t="str">
        <v>EUR6E12E26Y=ICAP</v>
      </c>
      <c r="G34" s="406" t="s">
        <v>260</v>
      </c>
      <c r="H34" s="406" t="s">
        <v>260</v>
      </c>
      <c r="I34" s="406" t="e">
        <f>_xll.qlMidEquivalent(G34,H34)</f>
        <v>#NUM!</v>
      </c>
      <c r="J34" s="266" t="b">
        <f t="shared" si="1"/>
        <v>0</v>
      </c>
      <c r="K34" s="411">
        <v>8.1672014308348437</v>
      </c>
      <c r="L34" s="260"/>
      <c r="M34" s="404">
        <v>8.167054628917743</v>
      </c>
      <c r="N34" s="260"/>
      <c r="O34" s="267" t="str">
        <f t="shared" si="2"/>
        <v>EUR6E12E26Y_Quote</v>
      </c>
      <c r="P34" s="403">
        <v>8.1672014308348437</v>
      </c>
      <c r="Q34" s="265" t="e">
        <f>_xll.qlSimpleQuoteSetValue($O34,ROUND($P34/10000,6),Trigger)</f>
        <v>#N/A</v>
      </c>
      <c r="R34" s="221"/>
    </row>
    <row r="35" spans="1:18" x14ac:dyDescent="0.2">
      <c r="A35" s="126">
        <v>27</v>
      </c>
      <c r="B35" s="314" t="s">
        <v>90</v>
      </c>
      <c r="C35" s="313" t="str">
        <v>6E</v>
      </c>
      <c r="D35" s="313" t="str">
        <v>12E</v>
      </c>
      <c r="E35" s="311" t="str">
        <f t="shared" si="0"/>
        <v>EUR6E12E27Y</v>
      </c>
      <c r="F35" s="270" t="str">
        <v>EUR6E12E27Y=ICAP</v>
      </c>
      <c r="G35" s="406" t="s">
        <v>260</v>
      </c>
      <c r="H35" s="406" t="s">
        <v>260</v>
      </c>
      <c r="I35" s="406" t="e">
        <f>_xll.qlMidEquivalent(G35,H35)</f>
        <v>#NUM!</v>
      </c>
      <c r="J35" s="266" t="b">
        <f t="shared" si="1"/>
        <v>0</v>
      </c>
      <c r="K35" s="411">
        <v>8.0406203434953678</v>
      </c>
      <c r="L35" s="260"/>
      <c r="M35" s="404">
        <v>8.0404331030872136</v>
      </c>
      <c r="N35" s="260"/>
      <c r="O35" s="267" t="str">
        <f t="shared" si="2"/>
        <v>EUR6E12E27Y_Quote</v>
      </c>
      <c r="P35" s="403">
        <v>8.0406203434953678</v>
      </c>
      <c r="Q35" s="265" t="e">
        <f>_xll.qlSimpleQuoteSetValue($O35,ROUND($P35/10000,6),Trigger)</f>
        <v>#N/A</v>
      </c>
      <c r="R35" s="221"/>
    </row>
    <row r="36" spans="1:18" x14ac:dyDescent="0.2">
      <c r="A36" s="126">
        <v>28</v>
      </c>
      <c r="B36" s="314" t="s">
        <v>89</v>
      </c>
      <c r="C36" s="313" t="str">
        <v>6E</v>
      </c>
      <c r="D36" s="313" t="str">
        <v>12E</v>
      </c>
      <c r="E36" s="311" t="str">
        <f t="shared" si="0"/>
        <v>EUR6E12E28Y</v>
      </c>
      <c r="F36" s="270" t="str">
        <v>EUR6E12E28Y=ICAP</v>
      </c>
      <c r="G36" s="406" t="s">
        <v>260</v>
      </c>
      <c r="H36" s="406" t="s">
        <v>260</v>
      </c>
      <c r="I36" s="406" t="e">
        <f>_xll.qlMidEquivalent(G36,H36)</f>
        <v>#NUM!</v>
      </c>
      <c r="J36" s="266" t="b">
        <f t="shared" si="1"/>
        <v>0</v>
      </c>
      <c r="K36" s="411">
        <v>7.9204385407384699</v>
      </c>
      <c r="L36" s="260"/>
      <c r="M36" s="404">
        <v>7.9202842627978125</v>
      </c>
      <c r="N36" s="260"/>
      <c r="O36" s="267" t="str">
        <f t="shared" si="2"/>
        <v>EUR6E12E28Y_Quote</v>
      </c>
      <c r="P36" s="403">
        <v>7.9204385407384699</v>
      </c>
      <c r="Q36" s="265" t="e">
        <f>_xll.qlSimpleQuoteSetValue($O36,ROUND($P36/10000,6),Trigger)</f>
        <v>#N/A</v>
      </c>
      <c r="R36" s="221"/>
    </row>
    <row r="37" spans="1:18" x14ac:dyDescent="0.2">
      <c r="A37" s="126">
        <v>29</v>
      </c>
      <c r="B37" s="314" t="s">
        <v>88</v>
      </c>
      <c r="C37" s="313" t="str">
        <v>6E</v>
      </c>
      <c r="D37" s="313" t="str">
        <v>12E</v>
      </c>
      <c r="E37" s="311" t="str">
        <f t="shared" si="0"/>
        <v>EUR6E12E29Y</v>
      </c>
      <c r="F37" s="270" t="str">
        <v>EUR6E12E29Y=ICAP</v>
      </c>
      <c r="G37" s="406" t="s">
        <v>260</v>
      </c>
      <c r="H37" s="406" t="s">
        <v>260</v>
      </c>
      <c r="I37" s="406" t="e">
        <f>_xll.qlMidEquivalent(G37,H37)</f>
        <v>#NUM!</v>
      </c>
      <c r="J37" s="266" t="b">
        <f t="shared" si="1"/>
        <v>0</v>
      </c>
      <c r="K37" s="411">
        <v>7.8068378253210478</v>
      </c>
      <c r="L37" s="260"/>
      <c r="M37" s="404">
        <v>7.8067569483389416</v>
      </c>
      <c r="N37" s="260"/>
      <c r="O37" s="267" t="str">
        <f t="shared" si="2"/>
        <v>EUR6E12E29Y_Quote</v>
      </c>
      <c r="P37" s="403">
        <v>7.8068378253210478</v>
      </c>
      <c r="Q37" s="265" t="e">
        <f>_xll.qlSimpleQuoteSetValue($O37,ROUND($P37/10000,6),Trigger)</f>
        <v>#N/A</v>
      </c>
      <c r="R37" s="221"/>
    </row>
    <row r="38" spans="1:18" x14ac:dyDescent="0.2">
      <c r="A38" s="126">
        <v>30</v>
      </c>
      <c r="B38" s="314" t="s">
        <v>87</v>
      </c>
      <c r="C38" s="313" t="str">
        <v>6E</v>
      </c>
      <c r="D38" s="313" t="str">
        <v>12E</v>
      </c>
      <c r="E38" s="311" t="str">
        <f t="shared" si="0"/>
        <v>EUR6E12E30Y</v>
      </c>
      <c r="F38" s="270" t="str">
        <v>EUR6E12E30Y=ICAP</v>
      </c>
      <c r="G38" s="406">
        <v>7.7</v>
      </c>
      <c r="H38" s="406">
        <v>0</v>
      </c>
      <c r="I38" s="406">
        <f>_xll.qlMidEquivalent(G38,H38)</f>
        <v>7.7</v>
      </c>
      <c r="J38" s="266" t="b">
        <f t="shared" si="1"/>
        <v>1</v>
      </c>
      <c r="K38" s="411">
        <v>7.7</v>
      </c>
      <c r="L38" s="409">
        <f>K28-K38</f>
        <v>1.3999999999999995</v>
      </c>
      <c r="M38" s="404">
        <v>7.7</v>
      </c>
      <c r="N38" s="260"/>
      <c r="O38" s="267" t="str">
        <f t="shared" si="2"/>
        <v>EUR6E12E30Y_Quote</v>
      </c>
      <c r="P38" s="403">
        <v>7.7</v>
      </c>
      <c r="Q38" s="265" t="e">
        <f>_xll.qlSimpleQuoteSetValue($O38,ROUND($P38/10000,6),Trigger)</f>
        <v>#N/A</v>
      </c>
      <c r="R38" s="221"/>
    </row>
    <row r="39" spans="1:18" x14ac:dyDescent="0.2">
      <c r="A39" s="126">
        <v>35</v>
      </c>
      <c r="B39" s="314" t="s">
        <v>82</v>
      </c>
      <c r="C39" s="313" t="str">
        <v>6E</v>
      </c>
      <c r="D39" s="313" t="str">
        <v>12E</v>
      </c>
      <c r="E39" s="311" t="str">
        <f t="shared" si="0"/>
        <v>EUR6E12E35Y</v>
      </c>
      <c r="F39" s="270" t="str">
        <v>EUR6E12E35Y=ICAP</v>
      </c>
      <c r="G39" s="406" t="s">
        <v>260</v>
      </c>
      <c r="H39" s="406" t="s">
        <v>260</v>
      </c>
      <c r="I39" s="406" t="e">
        <f>_xll.qlMidEquivalent(G39,H39)</f>
        <v>#NUM!</v>
      </c>
      <c r="J39" s="266" t="b">
        <f t="shared" si="1"/>
        <v>0</v>
      </c>
      <c r="K39" s="410">
        <f>K38</f>
        <v>7.7</v>
      </c>
      <c r="L39" s="260"/>
      <c r="M39" s="404">
        <v>7.7</v>
      </c>
      <c r="N39" s="260"/>
      <c r="O39" s="267" t="str">
        <f t="shared" si="2"/>
        <v>EUR6E12E35Y_Quote</v>
      </c>
      <c r="P39" s="403">
        <v>7.7</v>
      </c>
      <c r="Q39" s="265" t="e">
        <f>_xll.qlSimpleQuoteSetValue($O39,ROUND($P39/10000,6),Trigger)</f>
        <v>#N/A</v>
      </c>
      <c r="R39" s="221"/>
    </row>
    <row r="40" spans="1:18" x14ac:dyDescent="0.2">
      <c r="A40" s="126">
        <v>40</v>
      </c>
      <c r="B40" s="314" t="s">
        <v>77</v>
      </c>
      <c r="C40" s="313" t="str">
        <v>6E</v>
      </c>
      <c r="D40" s="313" t="str">
        <v>12E</v>
      </c>
      <c r="E40" s="311" t="str">
        <f t="shared" si="0"/>
        <v>EUR6E12E40Y</v>
      </c>
      <c r="F40" s="270" t="str">
        <v>EUR6E12E40Y=ICAP</v>
      </c>
      <c r="G40" s="406">
        <v>6.9</v>
      </c>
      <c r="H40" s="406">
        <v>0</v>
      </c>
      <c r="I40" s="406">
        <f>_xll.qlMidEquivalent(G40,H40)</f>
        <v>6.9</v>
      </c>
      <c r="J40" s="266" t="b">
        <f t="shared" si="1"/>
        <v>1</v>
      </c>
      <c r="K40" s="410">
        <f>K39</f>
        <v>7.7</v>
      </c>
      <c r="L40" s="260"/>
      <c r="M40" s="404">
        <v>7.7</v>
      </c>
      <c r="N40" s="260"/>
      <c r="O40" s="267" t="str">
        <f t="shared" si="2"/>
        <v>EUR6E12E40Y_Quote</v>
      </c>
      <c r="P40" s="403">
        <v>7.7</v>
      </c>
      <c r="Q40" s="265" t="e">
        <f>_xll.qlSimpleQuoteSetValue($O40,ROUND($P40/10000,6),Trigger)</f>
        <v>#N/A</v>
      </c>
      <c r="R40" s="221"/>
    </row>
    <row r="41" spans="1:18" x14ac:dyDescent="0.2">
      <c r="A41" s="126">
        <v>50</v>
      </c>
      <c r="B41" s="314" t="s">
        <v>67</v>
      </c>
      <c r="C41" s="313" t="str">
        <v>6E</v>
      </c>
      <c r="D41" s="313" t="str">
        <v>12E</v>
      </c>
      <c r="E41" s="311" t="str">
        <f t="shared" si="0"/>
        <v>EUR6E12E50Y</v>
      </c>
      <c r="F41" s="270" t="str">
        <v>EUR6E12E50Y=ICAP</v>
      </c>
      <c r="G41" s="406">
        <v>6.3</v>
      </c>
      <c r="H41" s="406">
        <v>0</v>
      </c>
      <c r="I41" s="406">
        <f>_xll.qlMidEquivalent(G41,H41)</f>
        <v>6.3</v>
      </c>
      <c r="J41" s="266" t="b">
        <f t="shared" si="1"/>
        <v>1</v>
      </c>
      <c r="K41" s="410">
        <f>K40</f>
        <v>7.7</v>
      </c>
      <c r="L41" s="260"/>
      <c r="M41" s="404">
        <v>7.7</v>
      </c>
      <c r="N41" s="260"/>
      <c r="O41" s="267" t="str">
        <f t="shared" si="2"/>
        <v>EUR6E12E50Y_Quote</v>
      </c>
      <c r="P41" s="403">
        <v>7.7</v>
      </c>
      <c r="Q41" s="265" t="e">
        <f>_xll.qlSimpleQuoteSetValue($O41,ROUND($P41/10000,6),Trigger)</f>
        <v>#N/A</v>
      </c>
      <c r="R41" s="221"/>
    </row>
    <row r="42" spans="1:18" x14ac:dyDescent="0.2">
      <c r="A42" s="126">
        <v>60</v>
      </c>
      <c r="B42" s="314" t="s">
        <v>57</v>
      </c>
      <c r="C42" s="313" t="str">
        <v>6E</v>
      </c>
      <c r="D42" s="313" t="str">
        <v>12E</v>
      </c>
      <c r="E42" s="311" t="str">
        <f t="shared" si="0"/>
        <v>EUR6E12E60Y</v>
      </c>
      <c r="F42" s="270" t="str">
        <v>EUR6E12E60Y=ICAP</v>
      </c>
      <c r="G42" s="406">
        <v>6</v>
      </c>
      <c r="H42" s="406">
        <v>0</v>
      </c>
      <c r="I42" s="406">
        <f>_xll.qlMidEquivalent(G42,H42)</f>
        <v>6</v>
      </c>
      <c r="J42" s="266" t="b">
        <f t="shared" si="1"/>
        <v>1</v>
      </c>
      <c r="K42" s="410">
        <f>K41</f>
        <v>7.7</v>
      </c>
      <c r="L42" s="260"/>
      <c r="M42" s="404">
        <v>7.7</v>
      </c>
      <c r="N42" s="260"/>
      <c r="O42" s="267" t="str">
        <f t="shared" si="2"/>
        <v>EUR6E12E60Y_Quote</v>
      </c>
      <c r="P42" s="403">
        <v>7.7</v>
      </c>
      <c r="Q42" s="265" t="e">
        <f>_xll.qlSimpleQuoteSetValue($O42,ROUND($P42/10000,6),Trigger)</f>
        <v>#N/A</v>
      </c>
      <c r="R42" s="221"/>
    </row>
    <row r="43" spans="1:18" ht="12" thickBot="1" x14ac:dyDescent="0.25">
      <c r="A43" s="52"/>
      <c r="B43" s="299"/>
      <c r="C43" s="299"/>
      <c r="D43" s="299"/>
      <c r="E43" s="299"/>
      <c r="F43" s="299"/>
      <c r="G43" s="299"/>
      <c r="H43" s="299"/>
      <c r="I43" s="299"/>
      <c r="J43" s="299"/>
      <c r="K43" s="299"/>
      <c r="L43" s="51"/>
      <c r="M43" s="299"/>
      <c r="N43" s="51"/>
      <c r="O43" s="299"/>
      <c r="P43" s="299"/>
      <c r="Q43" s="299"/>
      <c r="R43" s="387"/>
    </row>
    <row r="47" spans="1:18" x14ac:dyDescent="0.2">
      <c r="F47" s="402"/>
    </row>
    <row r="48" spans="1:18" x14ac:dyDescent="0.2">
      <c r="F48" s="402"/>
    </row>
    <row r="49" spans="6:6" x14ac:dyDescent="0.2">
      <c r="F49" s="402"/>
    </row>
    <row r="50" spans="6:6" x14ac:dyDescent="0.2">
      <c r="F50" s="402"/>
    </row>
    <row r="51" spans="6:6" x14ac:dyDescent="0.2">
      <c r="F51" s="402"/>
    </row>
    <row r="52" spans="6:6" x14ac:dyDescent="0.2">
      <c r="F52" s="402"/>
    </row>
    <row r="53" spans="6:6" x14ac:dyDescent="0.2">
      <c r="F53" s="402"/>
    </row>
    <row r="54" spans="6:6" x14ac:dyDescent="0.2">
      <c r="F54" s="402"/>
    </row>
    <row r="55" spans="6:6" x14ac:dyDescent="0.2">
      <c r="F55" s="402"/>
    </row>
    <row r="56" spans="6:6" x14ac:dyDescent="0.2">
      <c r="F56" s="402"/>
    </row>
    <row r="57" spans="6:6" x14ac:dyDescent="0.2">
      <c r="F57" s="402"/>
    </row>
    <row r="58" spans="6:6" x14ac:dyDescent="0.2">
      <c r="F58" s="402"/>
    </row>
    <row r="59" spans="6:6" x14ac:dyDescent="0.2">
      <c r="F59" s="402"/>
    </row>
    <row r="60" spans="6:6" x14ac:dyDescent="0.2">
      <c r="F60" s="401"/>
    </row>
    <row r="61" spans="6:6" x14ac:dyDescent="0.2">
      <c r="F61" s="401"/>
    </row>
    <row r="62" spans="6:6" x14ac:dyDescent="0.2">
      <c r="F62" s="401"/>
    </row>
    <row r="63" spans="6:6" x14ac:dyDescent="0.2">
      <c r="F63" s="401"/>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R41"/>
  <sheetViews>
    <sheetView workbookViewId="0">
      <selection activeCell="Q5" sqref="Q5:Q40"/>
    </sheetView>
  </sheetViews>
  <sheetFormatPr defaultRowHeight="12.75" x14ac:dyDescent="0.2"/>
  <cols>
    <col min="1" max="1" width="5" style="20" customWidth="1"/>
    <col min="2" max="2" width="3.85546875" style="20" bestFit="1" customWidth="1"/>
    <col min="3" max="4" width="4" style="20" bestFit="1" customWidth="1"/>
    <col min="5" max="5" width="9.85546875" style="20" bestFit="1" customWidth="1"/>
    <col min="6" max="6" width="14.140625" style="20" bestFit="1" customWidth="1"/>
    <col min="7" max="7" width="6.28515625" style="20" bestFit="1" customWidth="1"/>
    <col min="8" max="9" width="5.7109375" style="20" bestFit="1" customWidth="1"/>
    <col min="10" max="10" width="10" style="20" bestFit="1" customWidth="1"/>
    <col min="11" max="11" width="5.7109375" style="20" customWidth="1"/>
    <col min="12" max="12" width="5" style="20" customWidth="1"/>
    <col min="13" max="13" width="5.7109375" style="20" bestFit="1" customWidth="1"/>
    <col min="14" max="14" width="5" style="20" customWidth="1"/>
    <col min="15" max="15" width="15" style="20" bestFit="1" customWidth="1"/>
    <col min="16" max="17" width="7.7109375" style="20" bestFit="1" customWidth="1"/>
    <col min="18" max="18" width="5" style="20" customWidth="1"/>
    <col min="19" max="19" width="5.140625" style="20" customWidth="1"/>
    <col min="20" max="16384" width="9.140625" style="20"/>
  </cols>
  <sheetData>
    <row r="1" spans="1:18" x14ac:dyDescent="0.2">
      <c r="A1" s="332" t="s">
        <v>311</v>
      </c>
      <c r="B1" s="203"/>
      <c r="C1" s="203"/>
      <c r="D1" s="203"/>
      <c r="E1" s="203"/>
      <c r="F1" s="203"/>
      <c r="G1" s="203"/>
      <c r="H1" s="203"/>
      <c r="I1" s="203"/>
      <c r="J1" s="203"/>
      <c r="K1" s="203"/>
      <c r="L1" s="203"/>
      <c r="M1" s="203"/>
      <c r="N1" s="203"/>
      <c r="O1" s="203"/>
      <c r="P1" s="203"/>
      <c r="Q1" s="203"/>
      <c r="R1" s="200"/>
    </row>
    <row r="2" spans="1:18" x14ac:dyDescent="0.2">
      <c r="A2" s="297"/>
      <c r="B2" s="141"/>
      <c r="C2" s="141"/>
      <c r="D2" s="141"/>
      <c r="E2" s="141"/>
      <c r="F2" s="148" t="s">
        <v>236</v>
      </c>
      <c r="G2" s="141"/>
      <c r="H2" s="141"/>
      <c r="I2" s="141"/>
      <c r="J2" s="141"/>
      <c r="K2" s="141"/>
      <c r="L2" s="260"/>
      <c r="M2" s="260"/>
      <c r="N2" s="260"/>
      <c r="O2" s="330" t="s">
        <v>255</v>
      </c>
      <c r="P2" s="148" t="s">
        <v>147</v>
      </c>
      <c r="Q2" s="141"/>
      <c r="R2" s="53"/>
    </row>
    <row r="3" spans="1:18" x14ac:dyDescent="0.2">
      <c r="A3" s="126"/>
      <c r="B3" s="260"/>
      <c r="C3" s="141"/>
      <c r="D3" s="141"/>
      <c r="E3" s="141"/>
      <c r="F3" s="141"/>
      <c r="G3" s="141"/>
      <c r="H3" s="141"/>
      <c r="I3" s="141"/>
      <c r="J3" s="141"/>
      <c r="K3" s="141"/>
      <c r="L3" s="260"/>
      <c r="M3" s="260"/>
      <c r="N3" s="260"/>
      <c r="O3" s="141"/>
      <c r="P3" s="141"/>
      <c r="Q3" s="292">
        <f>_xll.ohTrigger(Q5:Q37)</f>
        <v>21</v>
      </c>
      <c r="R3" s="221"/>
    </row>
    <row r="4" spans="1:18" ht="22.5" x14ac:dyDescent="0.2">
      <c r="A4" s="126"/>
      <c r="B4" s="392"/>
      <c r="C4" s="198"/>
      <c r="D4" s="198"/>
      <c r="E4" s="198"/>
      <c r="F4" s="291" t="e">
        <f ca="1">_xll.RData(F5:F40,G4:J4,,ReutersRtMode,,G5)</f>
        <v>#NAME?</v>
      </c>
      <c r="G4" s="329" t="s">
        <v>259</v>
      </c>
      <c r="H4" s="329" t="s">
        <v>226</v>
      </c>
      <c r="I4" s="329" t="s">
        <v>241</v>
      </c>
      <c r="J4" s="329" t="s">
        <v>258</v>
      </c>
      <c r="K4" s="286" t="s">
        <v>257</v>
      </c>
      <c r="L4" s="260"/>
      <c r="M4" s="289" t="s">
        <v>253</v>
      </c>
      <c r="N4" s="260"/>
      <c r="O4" s="288" t="s">
        <v>252</v>
      </c>
      <c r="P4" s="391" t="s">
        <v>251</v>
      </c>
      <c r="Q4" s="98" t="s">
        <v>250</v>
      </c>
      <c r="R4" s="221"/>
    </row>
    <row r="5" spans="1:18" x14ac:dyDescent="0.2">
      <c r="A5" s="126"/>
      <c r="B5" s="412" t="s">
        <v>48</v>
      </c>
      <c r="C5" s="313" t="s">
        <v>193</v>
      </c>
      <c r="D5" s="313"/>
      <c r="E5" s="311" t="str">
        <f>Currency&amp;$C5&amp;$B5&amp;$D5</f>
        <v>EUREONSW</v>
      </c>
      <c r="F5" s="311" t="str">
        <f t="shared" ref="F5:F40" si="0">E5&amp;"="&amp;VLOOKUP(Contributor,ContributorTable,2,FALSE)</f>
        <v>EUREONSW=ICAP</v>
      </c>
      <c r="G5" s="266">
        <v>5.8000000000000003E-2</v>
      </c>
      <c r="H5" s="266">
        <v>0.158</v>
      </c>
      <c r="I5" s="266">
        <v>0</v>
      </c>
      <c r="J5" s="266">
        <v>0</v>
      </c>
      <c r="K5" s="269">
        <f t="shared" ref="K5:K40" si="1">AVERAGE($G5,$H5)</f>
        <v>0.108</v>
      </c>
      <c r="L5" s="260"/>
      <c r="M5" s="280">
        <v>0.108</v>
      </c>
      <c r="N5" s="260"/>
      <c r="O5" s="279" t="str">
        <f t="shared" ref="O5:O40" si="2">$E5&amp;$P$2</f>
        <v>EUREONSW_Quote</v>
      </c>
      <c r="P5" s="278">
        <f t="array" ref="P5:P40">QuoteLive</f>
        <v>0.108</v>
      </c>
      <c r="Q5" s="277" t="e">
        <f>_xll.qlSimpleQuoteSetValue($O5,$P5/100,Trigger)</f>
        <v>#N/A</v>
      </c>
      <c r="R5" s="221"/>
    </row>
    <row r="6" spans="1:18" x14ac:dyDescent="0.2">
      <c r="A6" s="126"/>
      <c r="B6" s="412" t="s">
        <v>47</v>
      </c>
      <c r="C6" s="313" t="s">
        <v>193</v>
      </c>
      <c r="D6" s="313"/>
      <c r="E6" s="311" t="str">
        <f t="shared" ref="E6:E40" si="3">Currency&amp;$C6&amp;$D6&amp;$B6</f>
        <v>EUREON2W</v>
      </c>
      <c r="F6" s="311" t="str">
        <f t="shared" si="0"/>
        <v>EUREON2W=ICAP</v>
      </c>
      <c r="G6" s="266">
        <v>5.6000000000000001E-2</v>
      </c>
      <c r="H6" s="266">
        <v>0.156</v>
      </c>
      <c r="I6" s="266">
        <v>0</v>
      </c>
      <c r="J6" s="266">
        <v>0</v>
      </c>
      <c r="K6" s="269">
        <f t="shared" si="1"/>
        <v>0.106</v>
      </c>
      <c r="L6" s="260"/>
      <c r="M6" s="268">
        <v>0.106</v>
      </c>
      <c r="N6" s="260"/>
      <c r="O6" s="267" t="str">
        <f t="shared" si="2"/>
        <v>EUREON2W_Quote</v>
      </c>
      <c r="P6" s="266">
        <v>0.106</v>
      </c>
      <c r="Q6" s="265" t="e">
        <f>_xll.qlSimpleQuoteSetValue($O6,$P6/100,Trigger)</f>
        <v>#N/A</v>
      </c>
      <c r="R6" s="221"/>
    </row>
    <row r="7" spans="1:18" x14ac:dyDescent="0.2">
      <c r="A7" s="126"/>
      <c r="B7" s="412" t="s">
        <v>46</v>
      </c>
      <c r="C7" s="313" t="s">
        <v>193</v>
      </c>
      <c r="D7" s="313"/>
      <c r="E7" s="311" t="str">
        <f t="shared" si="3"/>
        <v>EUREON3W</v>
      </c>
      <c r="F7" s="311" t="str">
        <f t="shared" si="0"/>
        <v>EUREON3W=ICAP</v>
      </c>
      <c r="G7" s="266">
        <v>5.6000000000000001E-2</v>
      </c>
      <c r="H7" s="266">
        <v>0.156</v>
      </c>
      <c r="I7" s="266">
        <v>0</v>
      </c>
      <c r="J7" s="266">
        <v>0</v>
      </c>
      <c r="K7" s="269">
        <f t="shared" si="1"/>
        <v>0.106</v>
      </c>
      <c r="L7" s="260"/>
      <c r="M7" s="268">
        <v>0.106</v>
      </c>
      <c r="N7" s="260"/>
      <c r="O7" s="267" t="str">
        <f t="shared" si="2"/>
        <v>EUREON3W_Quote</v>
      </c>
      <c r="P7" s="266">
        <v>0.106</v>
      </c>
      <c r="Q7" s="265" t="e">
        <f>_xll.qlSimpleQuoteSetValue($O7,$P7/100,Trigger)</f>
        <v>#N/A</v>
      </c>
      <c r="R7" s="221"/>
    </row>
    <row r="8" spans="1:18" x14ac:dyDescent="0.2">
      <c r="A8" s="126"/>
      <c r="B8" s="412" t="s">
        <v>45</v>
      </c>
      <c r="C8" s="313" t="s">
        <v>193</v>
      </c>
      <c r="D8" s="313"/>
      <c r="E8" s="311" t="str">
        <f t="shared" si="3"/>
        <v>EUREON1M</v>
      </c>
      <c r="F8" s="311" t="str">
        <f t="shared" si="0"/>
        <v>EUREON1M=ICAP</v>
      </c>
      <c r="G8" s="266">
        <v>8.1000000000000003E-2</v>
      </c>
      <c r="H8" s="266">
        <v>0.13100000000000001</v>
      </c>
      <c r="I8" s="266">
        <v>0</v>
      </c>
      <c r="J8" s="266">
        <v>0</v>
      </c>
      <c r="K8" s="269">
        <f t="shared" si="1"/>
        <v>0.10600000000000001</v>
      </c>
      <c r="L8" s="260"/>
      <c r="M8" s="268">
        <v>0.10600000000000001</v>
      </c>
      <c r="N8" s="260"/>
      <c r="O8" s="267" t="str">
        <f t="shared" si="2"/>
        <v>EUREON1M_Quote</v>
      </c>
      <c r="P8" s="266">
        <v>0.10600000000000001</v>
      </c>
      <c r="Q8" s="265" t="e">
        <f>_xll.qlSimpleQuoteSetValue($O8,$P8/100,Trigger)</f>
        <v>#N/A</v>
      </c>
      <c r="R8" s="221"/>
    </row>
    <row r="9" spans="1:18" x14ac:dyDescent="0.2">
      <c r="A9" s="126"/>
      <c r="B9" s="412" t="s">
        <v>44</v>
      </c>
      <c r="C9" s="313" t="s">
        <v>193</v>
      </c>
      <c r="D9" s="313"/>
      <c r="E9" s="311" t="str">
        <f t="shared" si="3"/>
        <v>EUREON2M</v>
      </c>
      <c r="F9" s="311" t="str">
        <f t="shared" si="0"/>
        <v>EUREON2M=ICAP</v>
      </c>
      <c r="G9" s="266">
        <v>8.5999999999999993E-2</v>
      </c>
      <c r="H9" s="266">
        <v>0.13600000000000001</v>
      </c>
      <c r="I9" s="266">
        <v>0</v>
      </c>
      <c r="J9" s="266">
        <v>0</v>
      </c>
      <c r="K9" s="269">
        <f t="shared" si="1"/>
        <v>0.111</v>
      </c>
      <c r="L9" s="260"/>
      <c r="M9" s="268">
        <v>0.111</v>
      </c>
      <c r="N9" s="260"/>
      <c r="O9" s="267" t="str">
        <f t="shared" si="2"/>
        <v>EUREON2M_Quote</v>
      </c>
      <c r="P9" s="266">
        <v>0.111</v>
      </c>
      <c r="Q9" s="265" t="e">
        <f>_xll.qlSimpleQuoteSetValue($O9,$P9/100,Trigger)</f>
        <v>#N/A</v>
      </c>
      <c r="R9" s="221"/>
    </row>
    <row r="10" spans="1:18" x14ac:dyDescent="0.2">
      <c r="A10" s="126"/>
      <c r="B10" s="412" t="s">
        <v>43</v>
      </c>
      <c r="C10" s="313" t="s">
        <v>193</v>
      </c>
      <c r="D10" s="313"/>
      <c r="E10" s="311" t="str">
        <f t="shared" si="3"/>
        <v>EUREON3M</v>
      </c>
      <c r="F10" s="311" t="str">
        <f t="shared" si="0"/>
        <v>EUREON3M=ICAP</v>
      </c>
      <c r="G10" s="266">
        <v>0.09</v>
      </c>
      <c r="H10" s="266">
        <v>0.14000000000000001</v>
      </c>
      <c r="I10" s="266">
        <v>0</v>
      </c>
      <c r="J10" s="266">
        <v>0</v>
      </c>
      <c r="K10" s="269">
        <f t="shared" si="1"/>
        <v>0.115</v>
      </c>
      <c r="L10" s="260"/>
      <c r="M10" s="268">
        <v>0.115</v>
      </c>
      <c r="N10" s="260"/>
      <c r="O10" s="267" t="str">
        <f t="shared" si="2"/>
        <v>EUREON3M_Quote</v>
      </c>
      <c r="P10" s="266">
        <v>0.115</v>
      </c>
      <c r="Q10" s="265" t="e">
        <f>_xll.qlSimpleQuoteSetValue($O10,$P10/100,Trigger)</f>
        <v>#N/A</v>
      </c>
      <c r="R10" s="221"/>
    </row>
    <row r="11" spans="1:18" x14ac:dyDescent="0.2">
      <c r="A11" s="126"/>
      <c r="B11" s="412" t="s">
        <v>42</v>
      </c>
      <c r="C11" s="313" t="s">
        <v>193</v>
      </c>
      <c r="D11" s="313"/>
      <c r="E11" s="311" t="str">
        <f t="shared" si="3"/>
        <v>EUREON4M</v>
      </c>
      <c r="F11" s="311" t="str">
        <f t="shared" si="0"/>
        <v>EUREON4M=ICAP</v>
      </c>
      <c r="G11" s="266">
        <v>9.1999999999999998E-2</v>
      </c>
      <c r="H11" s="266">
        <v>0.14199999999999999</v>
      </c>
      <c r="I11" s="266">
        <v>0</v>
      </c>
      <c r="J11" s="266">
        <v>0</v>
      </c>
      <c r="K11" s="269">
        <f t="shared" si="1"/>
        <v>0.11699999999999999</v>
      </c>
      <c r="L11" s="260"/>
      <c r="M11" s="268">
        <v>0.11699999999999999</v>
      </c>
      <c r="N11" s="260"/>
      <c r="O11" s="267" t="str">
        <f t="shared" si="2"/>
        <v>EUREON4M_Quote</v>
      </c>
      <c r="P11" s="266">
        <v>0.11699999999999999</v>
      </c>
      <c r="Q11" s="265" t="e">
        <f>_xll.qlSimpleQuoteSetValue($O11,$P11/100,Trigger)</f>
        <v>#N/A</v>
      </c>
      <c r="R11" s="221"/>
    </row>
    <row r="12" spans="1:18" x14ac:dyDescent="0.2">
      <c r="A12" s="126"/>
      <c r="B12" s="412" t="s">
        <v>41</v>
      </c>
      <c r="C12" s="313" t="s">
        <v>193</v>
      </c>
      <c r="D12" s="313"/>
      <c r="E12" s="311" t="str">
        <f t="shared" si="3"/>
        <v>EUREON5M</v>
      </c>
      <c r="F12" s="311" t="str">
        <f t="shared" si="0"/>
        <v>EUREON5M=ICAP</v>
      </c>
      <c r="G12" s="266">
        <v>9.4E-2</v>
      </c>
      <c r="H12" s="266">
        <v>0.14399999999999999</v>
      </c>
      <c r="I12" s="266">
        <v>0</v>
      </c>
      <c r="J12" s="266">
        <v>0</v>
      </c>
      <c r="K12" s="269">
        <f t="shared" si="1"/>
        <v>0.11899999999999999</v>
      </c>
      <c r="L12" s="260"/>
      <c r="M12" s="268">
        <v>0.11899999999999999</v>
      </c>
      <c r="N12" s="260"/>
      <c r="O12" s="267" t="str">
        <f t="shared" si="2"/>
        <v>EUREON5M_Quote</v>
      </c>
      <c r="P12" s="266">
        <v>0.11899999999999999</v>
      </c>
      <c r="Q12" s="265" t="e">
        <f>_xll.qlSimpleQuoteSetValue($O12,$P12/100,Trigger)</f>
        <v>#N/A</v>
      </c>
      <c r="R12" s="221"/>
    </row>
    <row r="13" spans="1:18" x14ac:dyDescent="0.2">
      <c r="A13" s="126"/>
      <c r="B13" s="412" t="s">
        <v>40</v>
      </c>
      <c r="C13" s="313" t="s">
        <v>193</v>
      </c>
      <c r="D13" s="313"/>
      <c r="E13" s="311" t="str">
        <f t="shared" si="3"/>
        <v>EUREON6M</v>
      </c>
      <c r="F13" s="311" t="str">
        <f t="shared" si="0"/>
        <v>EUREON6M=ICAP</v>
      </c>
      <c r="G13" s="266">
        <v>9.9000000000000005E-2</v>
      </c>
      <c r="H13" s="266">
        <v>0.14899999999999999</v>
      </c>
      <c r="I13" s="266">
        <v>0</v>
      </c>
      <c r="J13" s="266">
        <v>0</v>
      </c>
      <c r="K13" s="269">
        <f t="shared" si="1"/>
        <v>0.124</v>
      </c>
      <c r="L13" s="260"/>
      <c r="M13" s="268">
        <v>0.124</v>
      </c>
      <c r="N13" s="260"/>
      <c r="O13" s="267" t="str">
        <f t="shared" si="2"/>
        <v>EUREON6M_Quote</v>
      </c>
      <c r="P13" s="266">
        <v>0.124</v>
      </c>
      <c r="Q13" s="265" t="e">
        <f>_xll.qlSimpleQuoteSetValue($O13,$P13/100,Trigger)</f>
        <v>#N/A</v>
      </c>
      <c r="R13" s="221"/>
    </row>
    <row r="14" spans="1:18" x14ac:dyDescent="0.2">
      <c r="A14" s="126"/>
      <c r="B14" s="412" t="s">
        <v>39</v>
      </c>
      <c r="C14" s="313" t="s">
        <v>193</v>
      </c>
      <c r="D14" s="313"/>
      <c r="E14" s="311" t="str">
        <f t="shared" si="3"/>
        <v>EUREON7M</v>
      </c>
      <c r="F14" s="311" t="str">
        <f t="shared" si="0"/>
        <v>EUREON7M=ICAP</v>
      </c>
      <c r="G14" s="266">
        <v>0.10299999999999999</v>
      </c>
      <c r="H14" s="266">
        <v>0.153</v>
      </c>
      <c r="I14" s="266">
        <v>0</v>
      </c>
      <c r="J14" s="266">
        <v>0</v>
      </c>
      <c r="K14" s="269">
        <f t="shared" si="1"/>
        <v>0.128</v>
      </c>
      <c r="L14" s="260"/>
      <c r="M14" s="268">
        <v>0.128</v>
      </c>
      <c r="N14" s="260"/>
      <c r="O14" s="267" t="str">
        <f t="shared" si="2"/>
        <v>EUREON7M_Quote</v>
      </c>
      <c r="P14" s="266">
        <v>0.128</v>
      </c>
      <c r="Q14" s="265" t="e">
        <f>_xll.qlSimpleQuoteSetValue($O14,$P14/100,Trigger)</f>
        <v>#N/A</v>
      </c>
      <c r="R14" s="221"/>
    </row>
    <row r="15" spans="1:18" x14ac:dyDescent="0.2">
      <c r="A15" s="126"/>
      <c r="B15" s="412" t="s">
        <v>38</v>
      </c>
      <c r="C15" s="313" t="s">
        <v>193</v>
      </c>
      <c r="D15" s="313"/>
      <c r="E15" s="311" t="str">
        <f t="shared" si="3"/>
        <v>EUREON8M</v>
      </c>
      <c r="F15" s="311" t="str">
        <f t="shared" si="0"/>
        <v>EUREON8M=ICAP</v>
      </c>
      <c r="G15" s="266">
        <v>0.108</v>
      </c>
      <c r="H15" s="266">
        <v>0.158</v>
      </c>
      <c r="I15" s="266">
        <v>0</v>
      </c>
      <c r="J15" s="266">
        <v>0</v>
      </c>
      <c r="K15" s="269">
        <f t="shared" si="1"/>
        <v>0.13300000000000001</v>
      </c>
      <c r="L15" s="260"/>
      <c r="M15" s="268">
        <v>0.13300000000000001</v>
      </c>
      <c r="N15" s="260"/>
      <c r="O15" s="267" t="str">
        <f t="shared" si="2"/>
        <v>EUREON8M_Quote</v>
      </c>
      <c r="P15" s="266">
        <v>0.13300000000000001</v>
      </c>
      <c r="Q15" s="265" t="e">
        <f>_xll.qlSimpleQuoteSetValue($O15,$P15/100,Trigger)</f>
        <v>#N/A</v>
      </c>
      <c r="R15" s="221"/>
    </row>
    <row r="16" spans="1:18" x14ac:dyDescent="0.2">
      <c r="A16" s="126"/>
      <c r="B16" s="412" t="s">
        <v>37</v>
      </c>
      <c r="C16" s="313" t="s">
        <v>193</v>
      </c>
      <c r="D16" s="313"/>
      <c r="E16" s="311" t="str">
        <f t="shared" si="3"/>
        <v>EUREON9M</v>
      </c>
      <c r="F16" s="311" t="str">
        <f t="shared" si="0"/>
        <v>EUREON9M=ICAP</v>
      </c>
      <c r="G16" s="266">
        <v>0.11600000000000001</v>
      </c>
      <c r="H16" s="266">
        <v>0.16600000000000001</v>
      </c>
      <c r="I16" s="266">
        <v>0</v>
      </c>
      <c r="J16" s="266">
        <v>0</v>
      </c>
      <c r="K16" s="269">
        <f t="shared" si="1"/>
        <v>0.14100000000000001</v>
      </c>
      <c r="L16" s="260"/>
      <c r="M16" s="268">
        <v>0.14100000000000001</v>
      </c>
      <c r="N16" s="260"/>
      <c r="O16" s="267" t="str">
        <f t="shared" si="2"/>
        <v>EUREON9M_Quote</v>
      </c>
      <c r="P16" s="266">
        <v>0.14100000000000001</v>
      </c>
      <c r="Q16" s="265" t="e">
        <f>_xll.qlSimpleQuoteSetValue($O16,$P16/100,Trigger)</f>
        <v>#N/A</v>
      </c>
      <c r="R16" s="221"/>
    </row>
    <row r="17" spans="1:18" x14ac:dyDescent="0.2">
      <c r="A17" s="126"/>
      <c r="B17" s="412" t="s">
        <v>36</v>
      </c>
      <c r="C17" s="313" t="s">
        <v>193</v>
      </c>
      <c r="D17" s="313"/>
      <c r="E17" s="311" t="str">
        <f t="shared" si="3"/>
        <v>EUREON10M</v>
      </c>
      <c r="F17" s="311" t="str">
        <f t="shared" si="0"/>
        <v>EUREON10M=ICAP</v>
      </c>
      <c r="G17" s="266">
        <v>0.122</v>
      </c>
      <c r="H17" s="266">
        <v>0.17199999999999999</v>
      </c>
      <c r="I17" s="266">
        <v>0</v>
      </c>
      <c r="J17" s="266">
        <v>0</v>
      </c>
      <c r="K17" s="269">
        <f t="shared" si="1"/>
        <v>0.14699999999999999</v>
      </c>
      <c r="L17" s="260"/>
      <c r="M17" s="268">
        <v>0.14799999999999999</v>
      </c>
      <c r="N17" s="260"/>
      <c r="O17" s="267" t="str">
        <f t="shared" si="2"/>
        <v>EUREON10M_Quote</v>
      </c>
      <c r="P17" s="266">
        <v>0.14699999999999999</v>
      </c>
      <c r="Q17" s="265" t="e">
        <f>_xll.qlSimpleQuoteSetValue($O17,$P17/100,Trigger)</f>
        <v>#N/A</v>
      </c>
      <c r="R17" s="221"/>
    </row>
    <row r="18" spans="1:18" x14ac:dyDescent="0.2">
      <c r="A18" s="126"/>
      <c r="B18" s="412" t="s">
        <v>35</v>
      </c>
      <c r="C18" s="313" t="s">
        <v>193</v>
      </c>
      <c r="D18" s="313"/>
      <c r="E18" s="311" t="str">
        <f t="shared" si="3"/>
        <v>EUREON11M</v>
      </c>
      <c r="F18" s="311" t="str">
        <f t="shared" si="0"/>
        <v>EUREON11M=ICAP</v>
      </c>
      <c r="G18" s="266">
        <v>0.13</v>
      </c>
      <c r="H18" s="266">
        <v>0.18</v>
      </c>
      <c r="I18" s="266">
        <v>0</v>
      </c>
      <c r="J18" s="266">
        <v>0</v>
      </c>
      <c r="K18" s="269">
        <f t="shared" si="1"/>
        <v>0.155</v>
      </c>
      <c r="L18" s="260"/>
      <c r="M18" s="268">
        <v>0.155</v>
      </c>
      <c r="N18" s="260"/>
      <c r="O18" s="267" t="str">
        <f t="shared" si="2"/>
        <v>EUREON11M_Quote</v>
      </c>
      <c r="P18" s="266">
        <v>0.155</v>
      </c>
      <c r="Q18" s="265" t="e">
        <f>_xll.qlSimpleQuoteSetValue($O18,$P18/100,Trigger)</f>
        <v>#N/A</v>
      </c>
      <c r="R18" s="221"/>
    </row>
    <row r="19" spans="1:18" x14ac:dyDescent="0.2">
      <c r="A19" s="126"/>
      <c r="B19" s="412" t="s">
        <v>34</v>
      </c>
      <c r="C19" s="313" t="s">
        <v>193</v>
      </c>
      <c r="D19" s="313"/>
      <c r="E19" s="311" t="str">
        <f t="shared" si="3"/>
        <v>EUREON1Y</v>
      </c>
      <c r="F19" s="311" t="str">
        <f t="shared" si="0"/>
        <v>EUREON1Y=ICAP</v>
      </c>
      <c r="G19" s="266">
        <v>0.127</v>
      </c>
      <c r="H19" s="266">
        <v>0.19700000000000001</v>
      </c>
      <c r="I19" s="266">
        <v>0</v>
      </c>
      <c r="J19" s="266">
        <v>0</v>
      </c>
      <c r="K19" s="269">
        <f t="shared" si="1"/>
        <v>0.16200000000000001</v>
      </c>
      <c r="L19" s="260"/>
      <c r="M19" s="268">
        <v>0.16200000000000001</v>
      </c>
      <c r="N19" s="260"/>
      <c r="O19" s="267" t="str">
        <f t="shared" si="2"/>
        <v>EUREON1Y_Quote</v>
      </c>
      <c r="P19" s="266">
        <v>0.16200000000000001</v>
      </c>
      <c r="Q19" s="265" t="e">
        <f>_xll.qlSimpleQuoteSetValue($O19,$P19/100,Trigger)</f>
        <v>#N/A</v>
      </c>
      <c r="R19" s="221"/>
    </row>
    <row r="20" spans="1:18" x14ac:dyDescent="0.2">
      <c r="A20" s="126"/>
      <c r="B20" s="412" t="s">
        <v>140</v>
      </c>
      <c r="C20" s="313" t="s">
        <v>193</v>
      </c>
      <c r="D20" s="313"/>
      <c r="E20" s="311" t="str">
        <f t="shared" si="3"/>
        <v>EUREON15M</v>
      </c>
      <c r="F20" s="311" t="str">
        <f t="shared" si="0"/>
        <v>EUREON15M=ICAP</v>
      </c>
      <c r="G20" s="266">
        <v>0.16</v>
      </c>
      <c r="H20" s="266">
        <v>0.21</v>
      </c>
      <c r="I20" s="266">
        <v>0</v>
      </c>
      <c r="J20" s="266">
        <v>0</v>
      </c>
      <c r="K20" s="269">
        <f t="shared" si="1"/>
        <v>0.185</v>
      </c>
      <c r="L20" s="260"/>
      <c r="M20" s="268">
        <v>0.184</v>
      </c>
      <c r="N20" s="260"/>
      <c r="O20" s="267" t="str">
        <f t="shared" si="2"/>
        <v>EUREON15M_Quote</v>
      </c>
      <c r="P20" s="266">
        <v>0.185</v>
      </c>
      <c r="Q20" s="265" t="e">
        <f>_xll.qlSimpleQuoteSetValue($O20,$P20/100,Trigger)</f>
        <v>#N/A</v>
      </c>
      <c r="R20" s="221"/>
    </row>
    <row r="21" spans="1:18" x14ac:dyDescent="0.2">
      <c r="A21" s="126"/>
      <c r="B21" s="412" t="s">
        <v>139</v>
      </c>
      <c r="C21" s="313" t="s">
        <v>193</v>
      </c>
      <c r="D21" s="313"/>
      <c r="E21" s="311" t="str">
        <f t="shared" si="3"/>
        <v>EUREON18M</v>
      </c>
      <c r="F21" s="311" t="str">
        <f t="shared" si="0"/>
        <v>EUREON18M=ICAP</v>
      </c>
      <c r="G21" s="266">
        <v>0.184</v>
      </c>
      <c r="H21" s="266">
        <v>0.23400000000000001</v>
      </c>
      <c r="I21" s="266">
        <v>0</v>
      </c>
      <c r="J21" s="266">
        <v>0</v>
      </c>
      <c r="K21" s="269">
        <f t="shared" si="1"/>
        <v>0.20900000000000002</v>
      </c>
      <c r="L21" s="260"/>
      <c r="M21" s="268">
        <v>0.20700000000000002</v>
      </c>
      <c r="N21" s="260"/>
      <c r="O21" s="267" t="str">
        <f t="shared" si="2"/>
        <v>EUREON18M_Quote</v>
      </c>
      <c r="P21" s="266">
        <v>0.20900000000000002</v>
      </c>
      <c r="Q21" s="265" t="e">
        <f>_xll.qlSimpleQuoteSetValue($O21,$P21/100,Trigger)</f>
        <v>#N/A</v>
      </c>
      <c r="R21" s="221"/>
    </row>
    <row r="22" spans="1:18" x14ac:dyDescent="0.2">
      <c r="A22" s="126"/>
      <c r="B22" s="412" t="s">
        <v>138</v>
      </c>
      <c r="C22" s="313" t="s">
        <v>193</v>
      </c>
      <c r="D22" s="313"/>
      <c r="E22" s="311" t="str">
        <f t="shared" si="3"/>
        <v>EUREON21M</v>
      </c>
      <c r="F22" s="311" t="str">
        <f t="shared" si="0"/>
        <v>EUREON21M=ICAP</v>
      </c>
      <c r="G22" s="266">
        <v>0.21</v>
      </c>
      <c r="H22" s="266">
        <v>0.26</v>
      </c>
      <c r="I22" s="266">
        <v>0</v>
      </c>
      <c r="J22" s="266">
        <v>0</v>
      </c>
      <c r="K22" s="269">
        <f t="shared" si="1"/>
        <v>0.23499999999999999</v>
      </c>
      <c r="L22" s="260"/>
      <c r="M22" s="268">
        <v>0.23299999999999998</v>
      </c>
      <c r="N22" s="260"/>
      <c r="O22" s="267" t="str">
        <f t="shared" si="2"/>
        <v>EUREON21M_Quote</v>
      </c>
      <c r="P22" s="266">
        <v>0.23499999999999999</v>
      </c>
      <c r="Q22" s="265" t="e">
        <f>_xll.qlSimpleQuoteSetValue($O22,$P22/100,Trigger)</f>
        <v>#N/A</v>
      </c>
      <c r="R22" s="221"/>
    </row>
    <row r="23" spans="1:18" x14ac:dyDescent="0.2">
      <c r="A23" s="126"/>
      <c r="B23" s="412" t="s">
        <v>115</v>
      </c>
      <c r="C23" s="313" t="s">
        <v>193</v>
      </c>
      <c r="D23" s="313"/>
      <c r="E23" s="311" t="str">
        <f t="shared" si="3"/>
        <v>EUREON2Y</v>
      </c>
      <c r="F23" s="311" t="str">
        <f t="shared" si="0"/>
        <v>EUREON2Y=ICAP</v>
      </c>
      <c r="G23" s="266">
        <v>0.22800000000000001</v>
      </c>
      <c r="H23" s="266">
        <v>0.29799999999999999</v>
      </c>
      <c r="I23" s="266">
        <v>0</v>
      </c>
      <c r="J23" s="266">
        <v>0</v>
      </c>
      <c r="K23" s="269">
        <f t="shared" si="1"/>
        <v>0.26300000000000001</v>
      </c>
      <c r="L23" s="260"/>
      <c r="M23" s="268">
        <v>0.26100000000000001</v>
      </c>
      <c r="N23" s="260"/>
      <c r="O23" s="267" t="str">
        <f t="shared" si="2"/>
        <v>EUREON2Y_Quote</v>
      </c>
      <c r="P23" s="266">
        <v>0.26300000000000001</v>
      </c>
      <c r="Q23" s="265" t="e">
        <f>_xll.qlSimpleQuoteSetValue($O23,$P23/100,Trigger)</f>
        <v>#N/A</v>
      </c>
      <c r="R23" s="221"/>
    </row>
    <row r="24" spans="1:18" x14ac:dyDescent="0.2">
      <c r="A24" s="126"/>
      <c r="B24" s="412" t="s">
        <v>114</v>
      </c>
      <c r="C24" s="313" t="s">
        <v>193</v>
      </c>
      <c r="D24" s="313"/>
      <c r="E24" s="311" t="str">
        <f t="shared" si="3"/>
        <v>EUREON3Y</v>
      </c>
      <c r="F24" s="311" t="str">
        <f t="shared" si="0"/>
        <v>EUREON3Y=ICAP</v>
      </c>
      <c r="G24" s="266">
        <v>0.38</v>
      </c>
      <c r="H24" s="266">
        <v>0.45</v>
      </c>
      <c r="I24" s="266">
        <v>0</v>
      </c>
      <c r="J24" s="266">
        <v>0</v>
      </c>
      <c r="K24" s="269">
        <f t="shared" si="1"/>
        <v>0.41500000000000004</v>
      </c>
      <c r="L24" s="260"/>
      <c r="M24" s="268">
        <v>0.41300000000000003</v>
      </c>
      <c r="N24" s="260"/>
      <c r="O24" s="267" t="str">
        <f t="shared" si="2"/>
        <v>EUREON3Y_Quote</v>
      </c>
      <c r="P24" s="266">
        <v>0.41500000000000004</v>
      </c>
      <c r="Q24" s="265" t="e">
        <f>_xll.qlSimpleQuoteSetValue($O24,$P24/100,Trigger)</f>
        <v>#N/A</v>
      </c>
      <c r="R24" s="221"/>
    </row>
    <row r="25" spans="1:18" x14ac:dyDescent="0.2">
      <c r="A25" s="126"/>
      <c r="B25" s="412" t="s">
        <v>113</v>
      </c>
      <c r="C25" s="313" t="s">
        <v>193</v>
      </c>
      <c r="D25" s="313"/>
      <c r="E25" s="311" t="str">
        <f t="shared" si="3"/>
        <v>EUREON4Y</v>
      </c>
      <c r="F25" s="311" t="str">
        <f t="shared" si="0"/>
        <v>EUREON4Y=ICAP</v>
      </c>
      <c r="G25" s="266">
        <v>0.58899999999999997</v>
      </c>
      <c r="H25" s="266">
        <v>0.65900000000000003</v>
      </c>
      <c r="I25" s="266">
        <v>0</v>
      </c>
      <c r="J25" s="266">
        <v>0</v>
      </c>
      <c r="K25" s="269">
        <f t="shared" si="1"/>
        <v>0.624</v>
      </c>
      <c r="L25" s="260"/>
      <c r="M25" s="268">
        <v>0.622</v>
      </c>
      <c r="N25" s="260"/>
      <c r="O25" s="267" t="str">
        <f t="shared" si="2"/>
        <v>EUREON4Y_Quote</v>
      </c>
      <c r="P25" s="266">
        <v>0.624</v>
      </c>
      <c r="Q25" s="265" t="e">
        <f>_xll.qlSimpleQuoteSetValue($O25,$P25/100,Trigger)</f>
        <v>#N/A</v>
      </c>
      <c r="R25" s="221"/>
    </row>
    <row r="26" spans="1:18" x14ac:dyDescent="0.2">
      <c r="A26" s="126"/>
      <c r="B26" s="412" t="s">
        <v>112</v>
      </c>
      <c r="C26" s="313" t="s">
        <v>193</v>
      </c>
      <c r="D26" s="313"/>
      <c r="E26" s="311" t="str">
        <f t="shared" si="3"/>
        <v>EUREON5Y</v>
      </c>
      <c r="F26" s="311" t="str">
        <f t="shared" si="0"/>
        <v>EUREON5Y=ICAP</v>
      </c>
      <c r="G26" s="266">
        <v>0.81399999999999995</v>
      </c>
      <c r="H26" s="266">
        <v>0.88400000000000001</v>
      </c>
      <c r="I26" s="266">
        <v>0</v>
      </c>
      <c r="J26" s="266">
        <v>0</v>
      </c>
      <c r="K26" s="269">
        <f t="shared" si="1"/>
        <v>0.84899999999999998</v>
      </c>
      <c r="L26" s="260"/>
      <c r="M26" s="268">
        <v>0.84899999999999998</v>
      </c>
      <c r="N26" s="260"/>
      <c r="O26" s="267" t="str">
        <f t="shared" si="2"/>
        <v>EUREON5Y_Quote</v>
      </c>
      <c r="P26" s="266">
        <v>0.84899999999999998</v>
      </c>
      <c r="Q26" s="265" t="e">
        <f>_xll.qlSimpleQuoteSetValue($O26,$P26/100,Trigger)</f>
        <v>#N/A</v>
      </c>
      <c r="R26" s="221"/>
    </row>
    <row r="27" spans="1:18" x14ac:dyDescent="0.2">
      <c r="A27" s="126"/>
      <c r="B27" s="412" t="s">
        <v>111</v>
      </c>
      <c r="C27" s="313" t="s">
        <v>193</v>
      </c>
      <c r="D27" s="313"/>
      <c r="E27" s="311" t="str">
        <f t="shared" si="3"/>
        <v>EUREON6Y</v>
      </c>
      <c r="F27" s="311" t="str">
        <f t="shared" si="0"/>
        <v>EUREON6Y=ICAP</v>
      </c>
      <c r="G27" s="266">
        <v>1.0109999999999999</v>
      </c>
      <c r="H27" s="266">
        <v>1.081</v>
      </c>
      <c r="I27" s="266">
        <v>0</v>
      </c>
      <c r="J27" s="266">
        <v>0</v>
      </c>
      <c r="K27" s="269">
        <f t="shared" si="1"/>
        <v>1.0459999999999998</v>
      </c>
      <c r="L27" s="260"/>
      <c r="M27" s="268">
        <v>1.0459999999999998</v>
      </c>
      <c r="N27" s="260"/>
      <c r="O27" s="267" t="str">
        <f t="shared" si="2"/>
        <v>EUREON6Y_Quote</v>
      </c>
      <c r="P27" s="266">
        <v>1.0459999999999998</v>
      </c>
      <c r="Q27" s="265" t="e">
        <f>_xll.qlSimpleQuoteSetValue($O27,$P27/100,Trigger)</f>
        <v>#N/A</v>
      </c>
      <c r="R27" s="221"/>
    </row>
    <row r="28" spans="1:18" x14ac:dyDescent="0.2">
      <c r="A28" s="126"/>
      <c r="B28" s="412" t="s">
        <v>110</v>
      </c>
      <c r="C28" s="313" t="s">
        <v>193</v>
      </c>
      <c r="D28" s="313"/>
      <c r="E28" s="311" t="str">
        <f t="shared" si="3"/>
        <v>EUREON7Y</v>
      </c>
      <c r="F28" s="311" t="str">
        <f t="shared" si="0"/>
        <v>EUREON7Y=ICAP</v>
      </c>
      <c r="G28" s="266">
        <v>1.1879999999999999</v>
      </c>
      <c r="H28" s="266">
        <v>1.258</v>
      </c>
      <c r="I28" s="266">
        <v>0</v>
      </c>
      <c r="J28" s="266">
        <v>0</v>
      </c>
      <c r="K28" s="269">
        <f t="shared" si="1"/>
        <v>1.2229999999999999</v>
      </c>
      <c r="L28" s="260"/>
      <c r="M28" s="268">
        <v>1.2229999999999999</v>
      </c>
      <c r="N28" s="260"/>
      <c r="O28" s="267" t="str">
        <f t="shared" si="2"/>
        <v>EUREON7Y_Quote</v>
      </c>
      <c r="P28" s="266">
        <v>1.2229999999999999</v>
      </c>
      <c r="Q28" s="265" t="e">
        <f>_xll.qlSimpleQuoteSetValue($O28,$P28/100,Trigger)</f>
        <v>#N/A</v>
      </c>
      <c r="R28" s="221"/>
    </row>
    <row r="29" spans="1:18" x14ac:dyDescent="0.2">
      <c r="A29" s="126"/>
      <c r="B29" s="412" t="s">
        <v>109</v>
      </c>
      <c r="C29" s="313" t="s">
        <v>193</v>
      </c>
      <c r="D29" s="313"/>
      <c r="E29" s="311" t="str">
        <f t="shared" si="3"/>
        <v>EUREON8Y</v>
      </c>
      <c r="F29" s="311" t="str">
        <f t="shared" si="0"/>
        <v>EUREON8Y=ICAP</v>
      </c>
      <c r="G29" s="266">
        <v>1.3460000000000001</v>
      </c>
      <c r="H29" s="266">
        <v>1.4159999999999999</v>
      </c>
      <c r="I29" s="266">
        <v>0</v>
      </c>
      <c r="J29" s="266">
        <v>0</v>
      </c>
      <c r="K29" s="269">
        <f t="shared" si="1"/>
        <v>1.381</v>
      </c>
      <c r="L29" s="260"/>
      <c r="M29" s="268">
        <v>1.381</v>
      </c>
      <c r="N29" s="260"/>
      <c r="O29" s="267" t="str">
        <f t="shared" si="2"/>
        <v>EUREON8Y_Quote</v>
      </c>
      <c r="P29" s="266">
        <v>1.381</v>
      </c>
      <c r="Q29" s="265" t="e">
        <f>_xll.qlSimpleQuoteSetValue($O29,$P29/100,Trigger)</f>
        <v>#N/A</v>
      </c>
      <c r="R29" s="221"/>
    </row>
    <row r="30" spans="1:18" x14ac:dyDescent="0.2">
      <c r="A30" s="126"/>
      <c r="B30" s="412" t="s">
        <v>108</v>
      </c>
      <c r="C30" s="313" t="s">
        <v>193</v>
      </c>
      <c r="D30" s="313"/>
      <c r="E30" s="311" t="str">
        <f t="shared" si="3"/>
        <v>EUREON9Y</v>
      </c>
      <c r="F30" s="311" t="str">
        <f t="shared" si="0"/>
        <v>EUREON9Y=ICAP</v>
      </c>
      <c r="G30" s="266">
        <v>1.494</v>
      </c>
      <c r="H30" s="266">
        <v>1.5640000000000001</v>
      </c>
      <c r="I30" s="266">
        <v>0</v>
      </c>
      <c r="J30" s="266">
        <v>0</v>
      </c>
      <c r="K30" s="269">
        <f t="shared" si="1"/>
        <v>1.5289999999999999</v>
      </c>
      <c r="L30" s="260"/>
      <c r="M30" s="268">
        <v>1.5289999999999999</v>
      </c>
      <c r="N30" s="260"/>
      <c r="O30" s="267" t="str">
        <f t="shared" si="2"/>
        <v>EUREON9Y_Quote</v>
      </c>
      <c r="P30" s="266">
        <v>1.5289999999999999</v>
      </c>
      <c r="Q30" s="265" t="e">
        <f>_xll.qlSimpleQuoteSetValue($O30,$P30/100,Trigger)</f>
        <v>#N/A</v>
      </c>
      <c r="R30" s="221"/>
    </row>
    <row r="31" spans="1:18" x14ac:dyDescent="0.2">
      <c r="A31" s="126"/>
      <c r="B31" s="412" t="s">
        <v>107</v>
      </c>
      <c r="C31" s="313" t="s">
        <v>193</v>
      </c>
      <c r="D31" s="313"/>
      <c r="E31" s="311" t="str">
        <f t="shared" si="3"/>
        <v>EUREON10Y</v>
      </c>
      <c r="F31" s="311" t="str">
        <f t="shared" si="0"/>
        <v>EUREON10Y=ICAP</v>
      </c>
      <c r="G31" s="266">
        <v>1.629</v>
      </c>
      <c r="H31" s="266">
        <v>1.6990000000000001</v>
      </c>
      <c r="I31" s="266">
        <v>0</v>
      </c>
      <c r="J31" s="266">
        <v>0</v>
      </c>
      <c r="K31" s="269">
        <f t="shared" si="1"/>
        <v>1.6640000000000001</v>
      </c>
      <c r="L31" s="260"/>
      <c r="M31" s="268">
        <v>1.6640000000000001</v>
      </c>
      <c r="N31" s="260"/>
      <c r="O31" s="267" t="str">
        <f t="shared" si="2"/>
        <v>EUREON10Y_Quote</v>
      </c>
      <c r="P31" s="266">
        <v>1.6640000000000001</v>
      </c>
      <c r="Q31" s="265" t="e">
        <f>_xll.qlSimpleQuoteSetValue($O31,$P31/100,Trigger)</f>
        <v>#N/A</v>
      </c>
      <c r="R31" s="221"/>
    </row>
    <row r="32" spans="1:18" x14ac:dyDescent="0.2">
      <c r="A32" s="126"/>
      <c r="B32" s="412" t="s">
        <v>106</v>
      </c>
      <c r="C32" s="313" t="s">
        <v>193</v>
      </c>
      <c r="D32" s="313"/>
      <c r="E32" s="311" t="str">
        <f t="shared" si="3"/>
        <v>EUREON11Y</v>
      </c>
      <c r="F32" s="311" t="str">
        <f t="shared" si="0"/>
        <v>EUREON11Y=ICAP</v>
      </c>
      <c r="G32" s="266">
        <v>1.7470000000000001</v>
      </c>
      <c r="H32" s="266">
        <v>1.8169999999999999</v>
      </c>
      <c r="I32" s="266">
        <v>0</v>
      </c>
      <c r="J32" s="266">
        <v>0</v>
      </c>
      <c r="K32" s="269">
        <f t="shared" si="1"/>
        <v>1.782</v>
      </c>
      <c r="L32" s="260"/>
      <c r="M32" s="268">
        <v>1.782</v>
      </c>
      <c r="N32" s="260"/>
      <c r="O32" s="267" t="str">
        <f t="shared" si="2"/>
        <v>EUREON11Y_Quote</v>
      </c>
      <c r="P32" s="266">
        <v>1.782</v>
      </c>
      <c r="Q32" s="265" t="e">
        <f>_xll.qlSimpleQuoteSetValue($O32,$P32/100,Trigger)</f>
        <v>#N/A</v>
      </c>
      <c r="R32" s="221"/>
    </row>
    <row r="33" spans="1:18" x14ac:dyDescent="0.2">
      <c r="A33" s="126"/>
      <c r="B33" s="412" t="s">
        <v>105</v>
      </c>
      <c r="C33" s="313" t="s">
        <v>193</v>
      </c>
      <c r="D33" s="313"/>
      <c r="E33" s="311" t="str">
        <f t="shared" si="3"/>
        <v>EUREON12Y</v>
      </c>
      <c r="F33" s="311" t="str">
        <f t="shared" si="0"/>
        <v>EUREON12Y=ICAP</v>
      </c>
      <c r="G33" s="266">
        <v>1.849</v>
      </c>
      <c r="H33" s="266">
        <v>1.919</v>
      </c>
      <c r="I33" s="266">
        <v>0</v>
      </c>
      <c r="J33" s="266">
        <v>0</v>
      </c>
      <c r="K33" s="269">
        <f t="shared" si="1"/>
        <v>1.8839999999999999</v>
      </c>
      <c r="L33" s="260"/>
      <c r="M33" s="268">
        <v>1.8839999999999999</v>
      </c>
      <c r="N33" s="260"/>
      <c r="O33" s="267" t="str">
        <f t="shared" si="2"/>
        <v>EUREON12Y_Quote</v>
      </c>
      <c r="P33" s="266">
        <v>1.8839999999999999</v>
      </c>
      <c r="Q33" s="265" t="e">
        <f>_xll.qlSimpleQuoteSetValue($O33,$P33/100,Trigger)</f>
        <v>#N/A</v>
      </c>
      <c r="R33" s="221"/>
    </row>
    <row r="34" spans="1:18" x14ac:dyDescent="0.2">
      <c r="A34" s="126"/>
      <c r="B34" s="412" t="s">
        <v>102</v>
      </c>
      <c r="C34" s="313" t="s">
        <v>193</v>
      </c>
      <c r="D34" s="313"/>
      <c r="E34" s="311" t="str">
        <f t="shared" si="3"/>
        <v>EUREON15Y</v>
      </c>
      <c r="F34" s="311" t="str">
        <f t="shared" si="0"/>
        <v>EUREON15Y=ICAP</v>
      </c>
      <c r="G34" s="266">
        <v>2.0699999999999998</v>
      </c>
      <c r="H34" s="266">
        <v>2.14</v>
      </c>
      <c r="I34" s="266">
        <v>0</v>
      </c>
      <c r="J34" s="266">
        <v>0</v>
      </c>
      <c r="K34" s="269">
        <f t="shared" si="1"/>
        <v>2.105</v>
      </c>
      <c r="L34" s="260"/>
      <c r="M34" s="268">
        <v>2.105</v>
      </c>
      <c r="N34" s="260"/>
      <c r="O34" s="267" t="str">
        <f t="shared" si="2"/>
        <v>EUREON15Y_Quote</v>
      </c>
      <c r="P34" s="266">
        <v>2.105</v>
      </c>
      <c r="Q34" s="265" t="e">
        <f>_xll.qlSimpleQuoteSetValue($O34,$P34/100,Trigger)</f>
        <v>#N/A</v>
      </c>
      <c r="R34" s="221"/>
    </row>
    <row r="35" spans="1:18" x14ac:dyDescent="0.2">
      <c r="A35" s="126"/>
      <c r="B35" s="412" t="s">
        <v>97</v>
      </c>
      <c r="C35" s="313" t="s">
        <v>193</v>
      </c>
      <c r="D35" s="313"/>
      <c r="E35" s="311" t="str">
        <f t="shared" si="3"/>
        <v>EUREON20Y</v>
      </c>
      <c r="F35" s="311" t="str">
        <f t="shared" si="0"/>
        <v>EUREON20Y=ICAP</v>
      </c>
      <c r="G35" s="266">
        <v>2.21</v>
      </c>
      <c r="H35" s="266">
        <v>2.2799999999999998</v>
      </c>
      <c r="I35" s="266">
        <v>0</v>
      </c>
      <c r="J35" s="266">
        <v>0</v>
      </c>
      <c r="K35" s="269">
        <f t="shared" si="1"/>
        <v>2.2450000000000001</v>
      </c>
      <c r="L35" s="260"/>
      <c r="M35" s="268">
        <v>2.2450000000000001</v>
      </c>
      <c r="N35" s="260"/>
      <c r="O35" s="267" t="str">
        <f t="shared" si="2"/>
        <v>EUREON20Y_Quote</v>
      </c>
      <c r="P35" s="266">
        <v>2.2450000000000001</v>
      </c>
      <c r="Q35" s="265" t="e">
        <f>_xll.qlSimpleQuoteSetValue($O35,$P35/100,Trigger)</f>
        <v>#N/A</v>
      </c>
      <c r="R35" s="221"/>
    </row>
    <row r="36" spans="1:18" x14ac:dyDescent="0.2">
      <c r="A36" s="126"/>
      <c r="B36" s="412" t="s">
        <v>92</v>
      </c>
      <c r="C36" s="313" t="s">
        <v>193</v>
      </c>
      <c r="D36" s="313"/>
      <c r="E36" s="311" t="str">
        <f t="shared" si="3"/>
        <v>EUREON25Y</v>
      </c>
      <c r="F36" s="311" t="str">
        <f t="shared" si="0"/>
        <v>EUREON25Y=ICAP</v>
      </c>
      <c r="G36" s="266">
        <v>2.246</v>
      </c>
      <c r="H36" s="266">
        <v>2.3159999999999998</v>
      </c>
      <c r="I36" s="266">
        <v>0</v>
      </c>
      <c r="J36" s="266">
        <v>0</v>
      </c>
      <c r="K36" s="269">
        <f t="shared" si="1"/>
        <v>2.2809999999999997</v>
      </c>
      <c r="L36" s="260"/>
      <c r="M36" s="268">
        <v>2.2809999999999997</v>
      </c>
      <c r="N36" s="260"/>
      <c r="O36" s="267" t="str">
        <f t="shared" si="2"/>
        <v>EUREON25Y_Quote</v>
      </c>
      <c r="P36" s="266">
        <v>2.2809999999999997</v>
      </c>
      <c r="Q36" s="265" t="e">
        <f>_xll.qlSimpleQuoteSetValue($O36,$P36/100,Trigger)</f>
        <v>#N/A</v>
      </c>
      <c r="R36" s="221"/>
    </row>
    <row r="37" spans="1:18" x14ac:dyDescent="0.2">
      <c r="A37" s="126"/>
      <c r="B37" s="412" t="s">
        <v>87</v>
      </c>
      <c r="C37" s="313" t="s">
        <v>193</v>
      </c>
      <c r="D37" s="313"/>
      <c r="E37" s="311" t="str">
        <f t="shared" si="3"/>
        <v>EUREON30Y</v>
      </c>
      <c r="F37" s="311" t="str">
        <f t="shared" si="0"/>
        <v>EUREON30Y=ICAP</v>
      </c>
      <c r="G37" s="266">
        <v>2.254</v>
      </c>
      <c r="H37" s="266">
        <v>2.3239999999999998</v>
      </c>
      <c r="I37" s="266">
        <v>0</v>
      </c>
      <c r="J37" s="266">
        <v>0</v>
      </c>
      <c r="K37" s="269">
        <f t="shared" si="1"/>
        <v>2.2889999999999997</v>
      </c>
      <c r="L37" s="260"/>
      <c r="M37" s="268">
        <v>2.2889999999999997</v>
      </c>
      <c r="N37" s="260"/>
      <c r="O37" s="267" t="str">
        <f t="shared" si="2"/>
        <v>EUREON30Y_Quote</v>
      </c>
      <c r="P37" s="266">
        <v>2.2889999999999997</v>
      </c>
      <c r="Q37" s="265" t="e">
        <f>_xll.qlSimpleQuoteSetValue($O37,$P37/100,Trigger)</f>
        <v>#N/A</v>
      </c>
      <c r="R37" s="221"/>
    </row>
    <row r="38" spans="1:18" x14ac:dyDescent="0.2">
      <c r="A38" s="126"/>
      <c r="B38" s="412" t="s">
        <v>77</v>
      </c>
      <c r="C38" s="313" t="s">
        <v>193</v>
      </c>
      <c r="D38" s="313"/>
      <c r="E38" s="311" t="str">
        <f t="shared" si="3"/>
        <v>EUREON40Y</v>
      </c>
      <c r="F38" s="311" t="str">
        <f t="shared" si="0"/>
        <v>EUREON40Y=ICAP</v>
      </c>
      <c r="G38" s="266">
        <v>2.3170000000000002</v>
      </c>
      <c r="H38" s="266">
        <v>2.387</v>
      </c>
      <c r="I38" s="266">
        <v>0</v>
      </c>
      <c r="J38" s="266">
        <v>0</v>
      </c>
      <c r="K38" s="269">
        <f t="shared" si="1"/>
        <v>2.3520000000000003</v>
      </c>
      <c r="L38" s="260"/>
      <c r="M38" s="268">
        <v>2.3520000000000003</v>
      </c>
      <c r="N38" s="260"/>
      <c r="O38" s="267" t="str">
        <f t="shared" si="2"/>
        <v>EUREON40Y_Quote</v>
      </c>
      <c r="P38" s="266">
        <v>2.3520000000000003</v>
      </c>
      <c r="Q38" s="265" t="e">
        <f>_xll.qlSimpleQuoteSetValue($O38,$P38/100,Trigger)</f>
        <v>#N/A</v>
      </c>
      <c r="R38" s="221"/>
    </row>
    <row r="39" spans="1:18" x14ac:dyDescent="0.2">
      <c r="A39" s="126"/>
      <c r="B39" s="412" t="s">
        <v>67</v>
      </c>
      <c r="C39" s="313" t="s">
        <v>193</v>
      </c>
      <c r="D39" s="313"/>
      <c r="E39" s="311" t="str">
        <f t="shared" si="3"/>
        <v>EUREON50Y</v>
      </c>
      <c r="F39" s="311" t="str">
        <f t="shared" si="0"/>
        <v>EUREON50Y=ICAP</v>
      </c>
      <c r="G39" s="266">
        <v>2.3730000000000002</v>
      </c>
      <c r="H39" s="266">
        <v>2.4430000000000001</v>
      </c>
      <c r="I39" s="266">
        <v>0</v>
      </c>
      <c r="J39" s="266">
        <v>0</v>
      </c>
      <c r="K39" s="269">
        <f t="shared" si="1"/>
        <v>2.4080000000000004</v>
      </c>
      <c r="L39" s="260"/>
      <c r="M39" s="268">
        <v>2.4080000000000004</v>
      </c>
      <c r="N39" s="260"/>
      <c r="O39" s="267" t="str">
        <f t="shared" si="2"/>
        <v>EUREON50Y_Quote</v>
      </c>
      <c r="P39" s="266">
        <v>2.4080000000000004</v>
      </c>
      <c r="Q39" s="265" t="e">
        <f>_xll.qlSimpleQuoteSetValue($O39,$P39/100,Trigger)</f>
        <v>#N/A</v>
      </c>
      <c r="R39" s="221"/>
    </row>
    <row r="40" spans="1:18" x14ac:dyDescent="0.2">
      <c r="A40" s="126"/>
      <c r="B40" s="412" t="s">
        <v>57</v>
      </c>
      <c r="C40" s="313" t="s">
        <v>193</v>
      </c>
      <c r="D40" s="313"/>
      <c r="E40" s="311" t="str">
        <f t="shared" si="3"/>
        <v>EUREON60Y</v>
      </c>
      <c r="F40" s="311" t="str">
        <f t="shared" si="0"/>
        <v>EUREON60Y=ICAP</v>
      </c>
      <c r="G40" s="266">
        <v>2.4119999999999999</v>
      </c>
      <c r="H40" s="266">
        <v>2.4820000000000002</v>
      </c>
      <c r="I40" s="266">
        <v>0</v>
      </c>
      <c r="J40" s="266">
        <v>0</v>
      </c>
      <c r="K40" s="269">
        <f t="shared" si="1"/>
        <v>2.4470000000000001</v>
      </c>
      <c r="L40" s="260"/>
      <c r="M40" s="268">
        <v>2.4470000000000001</v>
      </c>
      <c r="N40" s="260"/>
      <c r="O40" s="267" t="str">
        <f t="shared" si="2"/>
        <v>EUREON60Y_Quote</v>
      </c>
      <c r="P40" s="266">
        <v>2.4470000000000001</v>
      </c>
      <c r="Q40" s="265" t="e">
        <f>_xll.qlSimpleQuoteSetValue($O40,$P40/100,Trigger)</f>
        <v>#N/A</v>
      </c>
      <c r="R40" s="221"/>
    </row>
    <row r="41" spans="1:18" ht="13.5" thickBot="1" x14ac:dyDescent="0.25">
      <c r="A41" s="52"/>
      <c r="B41" s="299"/>
      <c r="C41" s="299"/>
      <c r="D41" s="299"/>
      <c r="E41" s="299"/>
      <c r="F41" s="299"/>
      <c r="G41" s="299"/>
      <c r="H41" s="299"/>
      <c r="I41" s="299"/>
      <c r="J41" s="299"/>
      <c r="K41" s="299"/>
      <c r="L41" s="51"/>
      <c r="M41" s="299"/>
      <c r="N41" s="51"/>
      <c r="O41" s="299"/>
      <c r="P41" s="299"/>
      <c r="Q41" s="299"/>
      <c r="R41"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R11"/>
  <sheetViews>
    <sheetView workbookViewId="0"/>
  </sheetViews>
  <sheetFormatPr defaultRowHeight="12.75" x14ac:dyDescent="0.2"/>
  <cols>
    <col min="1" max="1" width="5" style="20" customWidth="1"/>
    <col min="2" max="2" width="3" style="20" bestFit="1" customWidth="1"/>
    <col min="3" max="3" width="3.85546875" style="20" bestFit="1" customWidth="1"/>
    <col min="4" max="4" width="3.42578125" style="20" bestFit="1" customWidth="1"/>
    <col min="5" max="5" width="11.140625" style="20" bestFit="1" customWidth="1"/>
    <col min="6" max="6" width="15.42578125" style="20" bestFit="1" customWidth="1"/>
    <col min="7" max="7" width="6.28515625" style="20" bestFit="1" customWidth="1"/>
    <col min="8" max="9" width="5.7109375" style="20" bestFit="1" customWidth="1"/>
    <col min="10" max="10" width="8.85546875" style="20" bestFit="1" customWidth="1"/>
    <col min="11" max="11" width="5.7109375" style="20" bestFit="1" customWidth="1"/>
    <col min="12" max="12" width="5" style="20" customWidth="1"/>
    <col min="13" max="13" width="5.7109375" style="20" bestFit="1" customWidth="1"/>
    <col min="14" max="14" width="5" style="20" customWidth="1"/>
    <col min="15" max="15" width="19.5703125" style="20" bestFit="1" customWidth="1"/>
    <col min="16" max="17" width="7.7109375" style="20" bestFit="1" customWidth="1"/>
    <col min="18" max="18" width="5" style="20" customWidth="1"/>
    <col min="19" max="19" width="5.140625" style="20" customWidth="1"/>
    <col min="20" max="16384" width="9.140625" style="20"/>
  </cols>
  <sheetData>
    <row r="1" spans="1:18" x14ac:dyDescent="0.2">
      <c r="A1" s="332" t="s">
        <v>311</v>
      </c>
      <c r="B1" s="203"/>
      <c r="C1" s="203"/>
      <c r="D1" s="203"/>
      <c r="E1" s="203"/>
      <c r="F1" s="203"/>
      <c r="G1" s="203"/>
      <c r="H1" s="203"/>
      <c r="I1" s="203"/>
      <c r="J1" s="203"/>
      <c r="K1" s="203"/>
      <c r="L1" s="203"/>
      <c r="M1" s="203"/>
      <c r="N1" s="203"/>
      <c r="O1" s="203"/>
      <c r="P1" s="203"/>
      <c r="Q1" s="203"/>
      <c r="R1" s="200"/>
    </row>
    <row r="2" spans="1:18" x14ac:dyDescent="0.2">
      <c r="A2" s="297"/>
      <c r="B2" s="141"/>
      <c r="C2" s="141"/>
      <c r="D2" s="141"/>
      <c r="E2" s="141"/>
      <c r="F2" s="148" t="s">
        <v>236</v>
      </c>
      <c r="G2" s="141"/>
      <c r="H2" s="141"/>
      <c r="I2" s="141"/>
      <c r="J2" s="141"/>
      <c r="K2" s="141"/>
      <c r="L2" s="260"/>
      <c r="M2" s="260"/>
      <c r="N2" s="260"/>
      <c r="O2" s="330" t="s">
        <v>255</v>
      </c>
      <c r="P2" s="148" t="s">
        <v>147</v>
      </c>
      <c r="Q2" s="141"/>
      <c r="R2" s="53"/>
    </row>
    <row r="3" spans="1:18" x14ac:dyDescent="0.2">
      <c r="A3" s="126"/>
      <c r="B3" s="260"/>
      <c r="C3" s="141"/>
      <c r="D3" s="141"/>
      <c r="E3" s="141"/>
      <c r="F3" s="141"/>
      <c r="G3" s="141"/>
      <c r="H3" s="141"/>
      <c r="I3" s="141"/>
      <c r="J3" s="141"/>
      <c r="K3" s="141"/>
      <c r="L3" s="260"/>
      <c r="M3" s="260"/>
      <c r="N3" s="260"/>
      <c r="O3" s="141"/>
      <c r="P3" s="141"/>
      <c r="Q3" s="292">
        <f>_xll.ohTrigger(Q5:Q10)</f>
        <v>21</v>
      </c>
      <c r="R3" s="221"/>
    </row>
    <row r="4" spans="1:18" ht="22.5" x14ac:dyDescent="0.2">
      <c r="A4" s="126"/>
      <c r="B4" s="392"/>
      <c r="C4" s="206"/>
      <c r="D4" s="198"/>
      <c r="E4" s="198"/>
      <c r="F4" s="291" t="e">
        <f ca="1">_xll.RData(F5:F10,G4:J4,,ReutersRtMode,,G5)</f>
        <v>#NAME?</v>
      </c>
      <c r="G4" s="329" t="s">
        <v>259</v>
      </c>
      <c r="H4" s="329" t="s">
        <v>226</v>
      </c>
      <c r="I4" s="329"/>
      <c r="J4" s="329" t="s">
        <v>301</v>
      </c>
      <c r="K4" s="286" t="s">
        <v>257</v>
      </c>
      <c r="L4" s="260"/>
      <c r="M4" s="289" t="s">
        <v>253</v>
      </c>
      <c r="N4" s="260"/>
      <c r="O4" s="288" t="s">
        <v>252</v>
      </c>
      <c r="P4" s="391" t="s">
        <v>251</v>
      </c>
      <c r="Q4" s="98" t="s">
        <v>250</v>
      </c>
      <c r="R4" s="221"/>
    </row>
    <row r="5" spans="1:18" x14ac:dyDescent="0.2">
      <c r="A5" s="126"/>
      <c r="B5" s="325" t="s">
        <v>300</v>
      </c>
      <c r="C5" s="313" t="s">
        <v>192</v>
      </c>
      <c r="D5" s="313" t="s">
        <v>191</v>
      </c>
      <c r="E5" s="311" t="str">
        <f t="shared" ref="E5:E10" si="0">Currency&amp;$C5&amp;$D5&amp;$B5</f>
        <v>EURECBOISM1</v>
      </c>
      <c r="F5" s="311" t="str">
        <f t="array" ref="F5:F10">Instruments&amp;"="&amp;VLOOKUP(Contributor,ContributorTable,2,FALSE)</f>
        <v>EURECBOISM1=ICAP</v>
      </c>
      <c r="G5" s="266">
        <v>8.5000000000000006E-2</v>
      </c>
      <c r="H5" s="266">
        <v>0.13500000000000001</v>
      </c>
      <c r="I5" s="266" t="s">
        <v>289</v>
      </c>
      <c r="J5" s="414" t="s">
        <v>299</v>
      </c>
      <c r="K5" s="269">
        <f t="shared" ref="K5:K10" si="1">AVERAGE($G5,$H5)</f>
        <v>0.11000000000000001</v>
      </c>
      <c r="L5" s="260"/>
      <c r="M5" s="280">
        <v>0.11000000000000001</v>
      </c>
      <c r="N5" s="260"/>
      <c r="O5" s="279" t="str">
        <f t="shared" ref="O5:O10" si="2">Currency&amp;$C5&amp;$D5&amp;UPPER(TRIM($J5))&amp;$P$2</f>
        <v>EURECBOISAUG13_Quote</v>
      </c>
      <c r="P5" s="278">
        <f t="array" ref="P5:P10">QuoteLive</f>
        <v>0.11000000000000001</v>
      </c>
      <c r="Q5" s="277" t="e">
        <f>_xll.qlSimpleQuoteSetValue($O5,$P5/100,Trigger)</f>
        <v>#N/A</v>
      </c>
      <c r="R5" s="221"/>
    </row>
    <row r="6" spans="1:18" x14ac:dyDescent="0.2">
      <c r="A6" s="126"/>
      <c r="B6" s="314" t="s">
        <v>298</v>
      </c>
      <c r="C6" s="313" t="s">
        <v>192</v>
      </c>
      <c r="D6" s="313" t="s">
        <v>191</v>
      </c>
      <c r="E6" s="311" t="str">
        <f t="shared" si="0"/>
        <v>EURECBOISM2</v>
      </c>
      <c r="F6" s="311" t="str">
        <v>EURECBOISM2=ICAP</v>
      </c>
      <c r="G6" s="266">
        <v>9.7000000000000003E-2</v>
      </c>
      <c r="H6" s="266">
        <v>0.14699999999999999</v>
      </c>
      <c r="I6" s="266" t="s">
        <v>289</v>
      </c>
      <c r="J6" s="414" t="s">
        <v>297</v>
      </c>
      <c r="K6" s="269">
        <f t="shared" si="1"/>
        <v>0.122</v>
      </c>
      <c r="L6" s="260"/>
      <c r="M6" s="268">
        <v>0.122</v>
      </c>
      <c r="N6" s="260"/>
      <c r="O6" s="267" t="str">
        <f t="shared" si="2"/>
        <v>EURECBOISSEP13_Quote</v>
      </c>
      <c r="P6" s="266">
        <v>0.122</v>
      </c>
      <c r="Q6" s="265" t="e">
        <f>_xll.qlSimpleQuoteSetValue($O6,$P6/100,Trigger)</f>
        <v>#N/A</v>
      </c>
      <c r="R6" s="221"/>
    </row>
    <row r="7" spans="1:18" x14ac:dyDescent="0.2">
      <c r="A7" s="126"/>
      <c r="B7" s="314" t="s">
        <v>296</v>
      </c>
      <c r="C7" s="313" t="s">
        <v>192</v>
      </c>
      <c r="D7" s="313" t="s">
        <v>191</v>
      </c>
      <c r="E7" s="311" t="str">
        <f t="shared" si="0"/>
        <v>EURECBOISM3</v>
      </c>
      <c r="F7" s="311" t="str">
        <v>EURECBOISM3=ICAP</v>
      </c>
      <c r="G7" s="266">
        <v>9.5000000000000001E-2</v>
      </c>
      <c r="H7" s="266">
        <v>0.14499999999999999</v>
      </c>
      <c r="I7" s="266" t="s">
        <v>289</v>
      </c>
      <c r="J7" s="414" t="s">
        <v>295</v>
      </c>
      <c r="K7" s="269">
        <f t="shared" si="1"/>
        <v>0.12</v>
      </c>
      <c r="L7" s="260"/>
      <c r="M7" s="268">
        <v>0.12</v>
      </c>
      <c r="N7" s="260"/>
      <c r="O7" s="267" t="str">
        <f t="shared" si="2"/>
        <v>EURECBOISOCT13_Quote</v>
      </c>
      <c r="P7" s="266">
        <v>0.12</v>
      </c>
      <c r="Q7" s="265" t="e">
        <f>_xll.qlSimpleQuoteSetValue($O7,$P7/100,Trigger)</f>
        <v>#N/A</v>
      </c>
      <c r="R7" s="221"/>
    </row>
    <row r="8" spans="1:18" x14ac:dyDescent="0.2">
      <c r="A8" s="126"/>
      <c r="B8" s="314" t="s">
        <v>294</v>
      </c>
      <c r="C8" s="313" t="s">
        <v>192</v>
      </c>
      <c r="D8" s="313" t="s">
        <v>191</v>
      </c>
      <c r="E8" s="311" t="str">
        <f t="shared" si="0"/>
        <v>EURECBOISM4</v>
      </c>
      <c r="F8" s="311" t="str">
        <v>EURECBOISM4=ICAP</v>
      </c>
      <c r="G8" s="266">
        <v>9.8000000000000004E-2</v>
      </c>
      <c r="H8" s="266">
        <v>0.14799999999999999</v>
      </c>
      <c r="I8" s="266" t="s">
        <v>289</v>
      </c>
      <c r="J8" s="414" t="s">
        <v>293</v>
      </c>
      <c r="K8" s="269">
        <f t="shared" si="1"/>
        <v>0.123</v>
      </c>
      <c r="L8" s="260"/>
      <c r="M8" s="268">
        <v>0.123</v>
      </c>
      <c r="N8" s="260"/>
      <c r="O8" s="267" t="str">
        <f t="shared" si="2"/>
        <v>EURECBOISNOV13_Quote</v>
      </c>
      <c r="P8" s="266">
        <v>0.123</v>
      </c>
      <c r="Q8" s="265" t="e">
        <f>_xll.qlSimpleQuoteSetValue($O8,$P8/100,Trigger)</f>
        <v>#N/A</v>
      </c>
      <c r="R8" s="221"/>
    </row>
    <row r="9" spans="1:18" x14ac:dyDescent="0.2">
      <c r="A9" s="126"/>
      <c r="B9" s="314" t="s">
        <v>292</v>
      </c>
      <c r="C9" s="313" t="s">
        <v>192</v>
      </c>
      <c r="D9" s="313" t="s">
        <v>191</v>
      </c>
      <c r="E9" s="311" t="str">
        <f t="shared" si="0"/>
        <v>EURECBOISM5</v>
      </c>
      <c r="F9" s="311" t="str">
        <v>EURECBOISM5=ICAP</v>
      </c>
      <c r="G9" s="266">
        <v>0.12</v>
      </c>
      <c r="H9" s="266">
        <v>0.17</v>
      </c>
      <c r="I9" s="266" t="s">
        <v>289</v>
      </c>
      <c r="J9" s="414" t="s">
        <v>291</v>
      </c>
      <c r="K9" s="269">
        <f t="shared" si="1"/>
        <v>0.14500000000000002</v>
      </c>
      <c r="L9" s="260"/>
      <c r="M9" s="268">
        <v>0.14500000000000002</v>
      </c>
      <c r="N9" s="260"/>
      <c r="O9" s="267" t="str">
        <f t="shared" si="2"/>
        <v>EURECBOISDEC13_Quote</v>
      </c>
      <c r="P9" s="266">
        <v>0.14500000000000002</v>
      </c>
      <c r="Q9" s="265" t="e">
        <f>_xll.qlSimpleQuoteSetValue($O9,$P9/100,Trigger)</f>
        <v>#N/A</v>
      </c>
      <c r="R9" s="221"/>
    </row>
    <row r="10" spans="1:18" x14ac:dyDescent="0.2">
      <c r="A10" s="126"/>
      <c r="B10" s="320" t="s">
        <v>290</v>
      </c>
      <c r="C10" s="319" t="s">
        <v>192</v>
      </c>
      <c r="D10" s="319" t="s">
        <v>191</v>
      </c>
      <c r="E10" s="317" t="str">
        <f t="shared" si="0"/>
        <v>EURECBOISM6</v>
      </c>
      <c r="F10" s="317" t="str">
        <v>EURECBOISM6=ICAP</v>
      </c>
      <c r="G10" s="258">
        <v>0.11799999999999999</v>
      </c>
      <c r="H10" s="258">
        <v>0.16800000000000001</v>
      </c>
      <c r="I10" s="258" t="s">
        <v>289</v>
      </c>
      <c r="J10" s="413" t="s">
        <v>288</v>
      </c>
      <c r="K10" s="262">
        <f t="shared" si="1"/>
        <v>0.14300000000000002</v>
      </c>
      <c r="L10" s="260"/>
      <c r="M10" s="261">
        <v>0.14300000000000002</v>
      </c>
      <c r="N10" s="260"/>
      <c r="O10" s="259" t="str">
        <f t="shared" si="2"/>
        <v>EURECBOISJAN14_Quote</v>
      </c>
      <c r="P10" s="258">
        <v>0.14300000000000002</v>
      </c>
      <c r="Q10" s="257" t="e">
        <f>_xll.qlSimpleQuoteSetValue($O10,$P10/100,Trigger)</f>
        <v>#NUM!</v>
      </c>
      <c r="R10" s="221"/>
    </row>
    <row r="11" spans="1:18" ht="13.5" thickBot="1" x14ac:dyDescent="0.25">
      <c r="A11" s="52"/>
      <c r="B11" s="299"/>
      <c r="C11" s="299"/>
      <c r="D11" s="299"/>
      <c r="E11" s="299"/>
      <c r="F11" s="299"/>
      <c r="G11" s="299"/>
      <c r="H11" s="299"/>
      <c r="I11" s="299"/>
      <c r="J11" s="299"/>
      <c r="K11" s="299"/>
      <c r="L11" s="51"/>
      <c r="M11" s="51"/>
      <c r="N11" s="51"/>
      <c r="O11" s="51"/>
      <c r="P11" s="51"/>
      <c r="Q11" s="51"/>
      <c r="R11" s="387"/>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164</vt:i4>
      </vt:variant>
    </vt:vector>
  </HeadingPairs>
  <TitlesOfParts>
    <vt:vector size="218"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Deposits (2)</vt:lpstr>
      <vt:lpstr>FRA (2)</vt:lpstr>
      <vt:lpstr>Futures1M (2)</vt:lpstr>
      <vt:lpstr>Futures3M (2)</vt:lpstr>
      <vt:lpstr>ImmFra6M</vt:lpstr>
      <vt:lpstr>FuturesConvexityAdjustment</vt:lpstr>
      <vt:lpstr>Swap1M</vt:lpstr>
      <vt:lpstr>SwapIMMDated</vt:lpstr>
      <vt:lpstr>Swap3M (2)</vt:lpstr>
      <vt:lpstr>Swap6M (2)</vt:lpstr>
      <vt:lpstr>BasisSwap1MXM (2)</vt:lpstr>
      <vt:lpstr>BasisSwap3M6M (2)</vt:lpstr>
      <vt:lpstr>BasisSwapXM12M (2)</vt:lpstr>
      <vt:lpstr>OIS (2)</vt:lpstr>
      <vt:lpstr>ECBOIS</vt:lpstr>
      <vt:lpstr>'BasisSwap1MXM (2)'!Contributor</vt:lpstr>
      <vt:lpstr>'BasisSwap3M6M (2)'!Contributor</vt:lpstr>
      <vt:lpstr>'BasisSwapXM12M (2)'!Contributor</vt:lpstr>
      <vt:lpstr>'Deposits (2)'!Contributor</vt:lpstr>
      <vt:lpstr>ECBOIS!Contributor</vt:lpstr>
      <vt:lpstr>'FRA (2)'!Contributor</vt:lpstr>
      <vt:lpstr>FuturesConvexityAdjustment!Contributor</vt:lpstr>
      <vt:lpstr>ImmFra6M!Contributor</vt:lpstr>
      <vt:lpstr>'OIS (2)'!Contributor</vt:lpstr>
      <vt:lpstr>Swap1M!Contributor</vt:lpstr>
      <vt:lpstr>'Swap3M (2)'!Contributor</vt:lpstr>
      <vt:lpstr>'Swap6M (2)'!Contributor</vt:lpstr>
      <vt:lpstr>SwapIMMDated!Contributor</vt:lpstr>
      <vt:lpstr>'Deposits (2)'!Contributors</vt:lpstr>
      <vt:lpstr>Contributors</vt:lpstr>
      <vt:lpstr>'Deposits (2)'!ContributorTable</vt:lpstr>
      <vt:lpstr>ContributorTable</vt:lpstr>
      <vt:lpstr>'BasisSwap1MXM (2)'!Conventions</vt:lpstr>
      <vt:lpstr>'BasisSwap3M6M (2)'!Conventions</vt:lpstr>
      <vt:lpstr>'BasisSwapXM12M (2)'!Conventions</vt:lpstr>
      <vt:lpstr>'Swap3M (2)'!Conventions</vt:lpstr>
      <vt:lpstr>'Swap6M (2)'!Conventions</vt:lpstr>
      <vt:lpstr>'BasisSwap1MXM (2)'!Counter</vt:lpstr>
      <vt:lpstr>'BasisSwap3M6M (2)'!Counter</vt:lpstr>
      <vt:lpstr>'BasisSwapXM12M (2)'!Counter</vt:lpstr>
      <vt:lpstr>'Deposits (2)'!Counter</vt:lpstr>
      <vt:lpstr>ECBOIS!Counter</vt:lpstr>
      <vt:lpstr>'FRA (2)'!Counter</vt:lpstr>
      <vt:lpstr>'Futures1M (2)'!Counter</vt:lpstr>
      <vt:lpstr>'Futures3M (2)'!Counter</vt:lpstr>
      <vt:lpstr>FuturesConvexityAdjustment!Counter</vt:lpstr>
      <vt:lpstr>ImmFra6M!Counter</vt:lpstr>
      <vt:lpstr>'OIS (2)'!Counter</vt:lpstr>
      <vt:lpstr>Swap1M!Counter</vt:lpstr>
      <vt:lpstr>'Swap3M (2)'!Counter</vt:lpstr>
      <vt:lpstr>'Swap6M (2)'!Counter</vt:lpstr>
      <vt:lpstr>SwapIMMDated!Counter</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 (2)'!FuturesCodes</vt:lpstr>
      <vt:lpstr>'Futures3M (2)'!FuturesCodes</vt:lpstr>
      <vt:lpstr>ImmFra6M!FuturesCodes</vt:lpstr>
      <vt:lpstr>'Futures1M (2)'!FuturesDates</vt:lpstr>
      <vt:lpstr>'Futures3M (2)'!FuturesDates</vt:lpstr>
      <vt:lpstr>ImmFra6M!FuturesDates</vt:lpstr>
      <vt:lpstr>'3M (3)'!IborIndex</vt:lpstr>
      <vt:lpstr>'BasisSwap1MXM (2)'!Instruments</vt:lpstr>
      <vt:lpstr>'BasisSwap3M6M (2)'!Instruments</vt:lpstr>
      <vt:lpstr>'BasisSwapXM12M (2)'!Instruments</vt:lpstr>
      <vt:lpstr>'Deposits (2)'!Instruments</vt:lpstr>
      <vt:lpstr>ECBOIS!Instruments</vt:lpstr>
      <vt:lpstr>'FRA (2)'!Instruments</vt:lpstr>
      <vt:lpstr>'Futures1M (2)'!Instruments</vt:lpstr>
      <vt:lpstr>'OIS (2)'!Instruments</vt:lpstr>
      <vt:lpstr>Swap1M!Instruments</vt:lpstr>
      <vt:lpstr>'Swap3M (2)'!Instruments</vt:lpstr>
      <vt:lpstr>'Swap6M (2)'!Instruments</vt:lpstr>
      <vt:lpstr>SwapIMMDated!Instruments</vt:lpstr>
      <vt:lpstr>InterpolationType</vt:lpstr>
      <vt:lpstr>LastUpdate</vt:lpstr>
      <vt:lpstr>'Futures1M (2)'!LiffeCodes</vt:lpstr>
      <vt:lpstr>'Futures3M (2)'!LiffeCodes</vt:lpstr>
      <vt:lpstr>ImmFra6M!LiffeCodes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 (2)'!Quote</vt:lpstr>
      <vt:lpstr>'BasisSwap3M6M (2)'!Quote</vt:lpstr>
      <vt:lpstr>'BasisSwapXM12M (2)'!Quote</vt:lpstr>
      <vt:lpstr>'Deposits (2)'!Quote</vt:lpstr>
      <vt:lpstr>ECBOIS!Quote</vt:lpstr>
      <vt:lpstr>'FRA (2)'!Quote</vt:lpstr>
      <vt:lpstr>'Futures1M (2)'!Quote</vt:lpstr>
      <vt:lpstr>'Futures3M (2)'!Quote</vt:lpstr>
      <vt:lpstr>FuturesConvexityAdjustment!Quote</vt:lpstr>
      <vt:lpstr>ImmFra6M!Quote</vt:lpstr>
      <vt:lpstr>'OIS (2)'!Quote</vt:lpstr>
      <vt:lpstr>Swap1M!Quote</vt:lpstr>
      <vt:lpstr>'Swap3M (2)'!Quote</vt:lpstr>
      <vt:lpstr>'Swap6M (2)'!Quote</vt:lpstr>
      <vt:lpstr>SwapIMMDated!Quote</vt:lpstr>
      <vt:lpstr>'BasisSwap1MXM (2)'!QuoteLive</vt:lpstr>
      <vt:lpstr>'BasisSwap3M6M (2)'!QuoteLive</vt:lpstr>
      <vt:lpstr>'BasisSwapXM12M (2)'!QuoteLive</vt:lpstr>
      <vt:lpstr>'Deposits (2)'!QuoteLive</vt:lpstr>
      <vt:lpstr>ECBOIS!QuoteLive</vt:lpstr>
      <vt:lpstr>'FRA (2)'!QuoteLive</vt:lpstr>
      <vt:lpstr>'Futures1M (2)'!QuoteLive</vt:lpstr>
      <vt:lpstr>'Futures3M (2)'!QuoteLive</vt:lpstr>
      <vt:lpstr>FuturesConvexityAdjustment!QuoteLive</vt:lpstr>
      <vt:lpstr>ImmFra6M!QuoteLive</vt:lpstr>
      <vt:lpstr>'OIS (2)'!QuoteLive</vt:lpstr>
      <vt:lpstr>Swap1M!QuoteLive</vt:lpstr>
      <vt:lpstr>'Swap3M (2)'!QuoteLive</vt:lpstr>
      <vt:lpstr>'Swap6M (2)'!QuoteLive</vt:lpstr>
      <vt:lpstr>SwapIMMDated!QuoteLive</vt:lpstr>
      <vt:lpstr>'BasisSwap1MXM (2)'!QuoteStatic</vt:lpstr>
      <vt:lpstr>'BasisSwap3M6M (2)'!QuoteStatic</vt:lpstr>
      <vt:lpstr>'BasisSwapXM12M (2)'!QuoteStatic</vt:lpstr>
      <vt:lpstr>'Deposits (2)'!QuoteStatic</vt:lpstr>
      <vt:lpstr>ECBOIS!QuoteStatic</vt:lpstr>
      <vt:lpstr>'FRA (2)'!QuoteStatic</vt:lpstr>
      <vt:lpstr>'Futures1M (2)'!QuoteStatic</vt:lpstr>
      <vt:lpstr>'Futures3M (2)'!QuoteStatic</vt:lpstr>
      <vt:lpstr>FuturesConvexityAdjustment!QuoteStatic</vt:lpstr>
      <vt:lpstr>ImmFra6M!QuoteStatic</vt:lpstr>
      <vt:lpstr>'OIS (2)'!QuoteStatic</vt:lpstr>
      <vt:lpstr>Swap1M!QuoteStatic</vt:lpstr>
      <vt:lpstr>'Swap3M (2)'!QuoteStatic</vt:lpstr>
      <vt:lpstr>'Swap6M (2)'!QuoteStatic</vt:lpstr>
      <vt:lpstr>SwapIMMDated!QuoteStatic</vt:lpstr>
      <vt:lpstr>QuoteSuffix</vt:lpstr>
      <vt:lpstr>RateTickValue</vt:lpstr>
      <vt:lpstr>ReutersRtMode</vt:lpstr>
      <vt:lpstr>'Deposits (2)'!SA_TWEAK</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2013-12-10T23:19:40Z</dcterms:modified>
</cp:coreProperties>
</file>
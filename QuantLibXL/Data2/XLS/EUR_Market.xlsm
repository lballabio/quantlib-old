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6">Futures3M!$W$7:$W$48</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H39" i="50" l="1"/>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H10" i="50"/>
  <c r="H9" i="50"/>
  <c r="H8" i="50"/>
  <c r="H7" i="50"/>
  <c r="H6" i="50"/>
  <c r="H5" i="50"/>
  <c r="H4" i="50"/>
  <c r="H3" i="50"/>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7" i="6"/>
  <c r="E11" i="6"/>
  <c r="E20" i="6"/>
  <c r="E19" i="6"/>
  <c r="E18" i="6"/>
  <c r="E22" i="6"/>
  <c r="E10" i="6"/>
  <c r="E21" i="6"/>
  <c r="E9" i="6"/>
  <c r="E12" i="6"/>
  <c r="E6" i="6"/>
  <c r="E17" i="6"/>
  <c r="E13" i="6"/>
  <c r="E14" i="6"/>
  <c r="E15" i="6"/>
  <c r="E16" i="6"/>
  <c r="E8" i="6"/>
  <c r="S2" i="6" l="1"/>
  <c r="S8" i="6" s="1"/>
  <c r="Y2" i="6"/>
  <c r="F10" i="6"/>
  <c r="F12" i="6"/>
  <c r="F9" i="6"/>
  <c r="F22" i="6"/>
  <c r="F19" i="6"/>
  <c r="F20" i="6"/>
  <c r="F15" i="6"/>
  <c r="F8" i="6"/>
  <c r="F14" i="6"/>
  <c r="V8" i="6"/>
  <c r="F6" i="6"/>
  <c r="F17" i="6"/>
  <c r="F13" i="6"/>
  <c r="F16" i="6"/>
  <c r="F18" i="6"/>
  <c r="J6" i="6"/>
  <c r="F11" i="6"/>
  <c r="F21" i="6"/>
  <c r="F7" i="6"/>
  <c r="J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5" i="73"/>
  <c r="G17" i="73"/>
  <c r="G14" i="73"/>
  <c r="G16" i="73"/>
  <c r="G18" i="73"/>
  <c r="G4" i="73"/>
  <c r="G6" i="73"/>
  <c r="G15" i="73"/>
  <c r="G8" i="73"/>
  <c r="G7" i="73"/>
  <c r="G12" i="73"/>
  <c r="G11" i="73"/>
  <c r="D9" i="67"/>
  <c r="G9" i="73"/>
  <c r="G13" i="73"/>
  <c r="G10"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7" i="73"/>
  <c r="K6" i="73"/>
  <c r="G7" i="72"/>
  <c r="G10" i="72"/>
  <c r="G13" i="72"/>
  <c r="G5" i="72"/>
  <c r="K10" i="73"/>
  <c r="G6" i="72"/>
  <c r="K12" i="73"/>
  <c r="G8" i="72"/>
  <c r="G18" i="72"/>
  <c r="G15" i="72"/>
  <c r="K18" i="73"/>
  <c r="G17" i="72"/>
  <c r="K9" i="73"/>
  <c r="K13" i="73"/>
  <c r="G14" i="72"/>
  <c r="K4" i="73"/>
  <c r="G4" i="72"/>
  <c r="K11" i="73"/>
  <c r="K8" i="73"/>
  <c r="K7" i="73"/>
  <c r="G9" i="72"/>
  <c r="K15" i="73"/>
  <c r="G16" i="72"/>
  <c r="G12" i="72"/>
  <c r="K14" i="73"/>
  <c r="K16" i="73"/>
  <c r="K5" i="73"/>
  <c r="G11"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G15" i="71"/>
  <c r="K11" i="72"/>
  <c r="G16" i="71"/>
  <c r="K5" i="72"/>
  <c r="K4" i="72"/>
  <c r="G11" i="71"/>
  <c r="G17" i="71"/>
  <c r="K12" i="72"/>
  <c r="G7" i="71"/>
  <c r="G13" i="71"/>
  <c r="H16" i="73"/>
  <c r="K15" i="72"/>
  <c r="K18" i="72"/>
  <c r="H10" i="73"/>
  <c r="G10" i="71"/>
  <c r="G14" i="71"/>
  <c r="H7" i="73"/>
  <c r="H11" i="73"/>
  <c r="K9" i="72"/>
  <c r="G4" i="71"/>
  <c r="G18" i="71"/>
  <c r="G12" i="71"/>
  <c r="G8" i="71"/>
  <c r="K6" i="72"/>
  <c r="K16" i="72"/>
  <c r="H5" i="73"/>
  <c r="K7" i="72"/>
  <c r="G5" i="71"/>
  <c r="H14" i="73"/>
  <c r="H13" i="73"/>
  <c r="G6" i="71"/>
  <c r="H15" i="73"/>
  <c r="H6" i="73"/>
  <c r="H17" i="73"/>
  <c r="K10" i="72"/>
  <c r="K13" i="72"/>
  <c r="H18" i="73"/>
  <c r="K14" i="72"/>
  <c r="H8" i="73"/>
  <c r="H4" i="73"/>
  <c r="K8" i="72"/>
  <c r="H12" i="73"/>
  <c r="K17" i="72"/>
  <c r="H9"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1" i="73"/>
  <c r="L12" i="73"/>
  <c r="L9" i="73"/>
  <c r="L5" i="73"/>
  <c r="L17" i="73"/>
  <c r="L6" i="73"/>
  <c r="L8" i="73"/>
  <c r="L16" i="73"/>
  <c r="L13" i="73"/>
  <c r="L15" i="73"/>
  <c r="L10" i="73"/>
  <c r="L4" i="73"/>
  <c r="L7" i="73"/>
  <c r="L18" i="73"/>
  <c r="G18" i="70"/>
  <c r="H11" i="72"/>
  <c r="K14" i="71"/>
  <c r="G8" i="70"/>
  <c r="G17" i="70"/>
  <c r="N12" i="73"/>
  <c r="G9" i="70"/>
  <c r="N15" i="73"/>
  <c r="G15" i="70"/>
  <c r="K12" i="71"/>
  <c r="H15" i="72"/>
  <c r="K17" i="71"/>
  <c r="N7" i="73"/>
  <c r="G6" i="70"/>
  <c r="N17" i="73"/>
  <c r="N11" i="73"/>
  <c r="K4" i="71"/>
  <c r="K9" i="71"/>
  <c r="K18" i="71"/>
  <c r="K13" i="71"/>
  <c r="G16" i="70"/>
  <c r="K5" i="71"/>
  <c r="H17" i="72"/>
  <c r="H16" i="72"/>
  <c r="K7" i="71"/>
  <c r="G4" i="70"/>
  <c r="H18" i="72"/>
  <c r="N4" i="73"/>
  <c r="K11" i="71"/>
  <c r="H7" i="72"/>
  <c r="G11" i="70"/>
  <c r="G12" i="70"/>
  <c r="H10" i="72"/>
  <c r="K15" i="71"/>
  <c r="H4" i="72"/>
  <c r="N10" i="73"/>
  <c r="K8" i="71"/>
  <c r="H14" i="72"/>
  <c r="N6" i="73"/>
  <c r="N9" i="73"/>
  <c r="N14" i="73"/>
  <c r="N16" i="73"/>
  <c r="N13" i="73"/>
  <c r="H9" i="72"/>
  <c r="H8" i="72"/>
  <c r="K6" i="71"/>
  <c r="H6" i="72"/>
  <c r="K10" i="71"/>
  <c r="G13" i="70"/>
  <c r="K16" i="71"/>
  <c r="G10" i="70"/>
  <c r="H12" i="72"/>
  <c r="G5" i="70"/>
  <c r="N8" i="73"/>
  <c r="N18" i="73"/>
  <c r="N5" i="73"/>
  <c r="H13" i="72"/>
  <c r="G7" i="70"/>
  <c r="G14" i="70"/>
  <c r="H5"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0" i="72"/>
  <c r="L16" i="72"/>
  <c r="L11" i="72"/>
  <c r="L4" i="72"/>
  <c r="L17" i="72"/>
  <c r="L9" i="72"/>
  <c r="L18" i="72"/>
  <c r="L5" i="72"/>
  <c r="L8" i="72"/>
  <c r="L6" i="72"/>
  <c r="L14" i="72"/>
  <c r="L15" i="72"/>
  <c r="L13" i="72"/>
  <c r="L12" i="72"/>
  <c r="L7" i="72"/>
  <c r="H9" i="71"/>
  <c r="N6" i="70"/>
  <c r="N14" i="70"/>
  <c r="K15" i="70"/>
  <c r="N17" i="70"/>
  <c r="H18" i="71"/>
  <c r="N16" i="70"/>
  <c r="N15" i="70"/>
  <c r="N8" i="72"/>
  <c r="H14" i="71"/>
  <c r="H15" i="71"/>
  <c r="N11" i="70"/>
  <c r="K11" i="70"/>
  <c r="K4" i="70"/>
  <c r="N17" i="72"/>
  <c r="N10" i="72"/>
  <c r="H8" i="71"/>
  <c r="G7" i="69"/>
  <c r="G6" i="69"/>
  <c r="G4" i="69"/>
  <c r="K18" i="70"/>
  <c r="H12" i="71"/>
  <c r="N9" i="72"/>
  <c r="H11" i="71"/>
  <c r="G11" i="69"/>
  <c r="N7" i="72"/>
  <c r="G12" i="69"/>
  <c r="K7" i="70"/>
  <c r="K6" i="70"/>
  <c r="N4" i="72"/>
  <c r="H16" i="71"/>
  <c r="N18" i="72"/>
  <c r="K9" i="70"/>
  <c r="N15" i="72"/>
  <c r="G18" i="69"/>
  <c r="G13" i="69"/>
  <c r="N12" i="72"/>
  <c r="H13" i="71"/>
  <c r="N5" i="72"/>
  <c r="K10" i="70"/>
  <c r="K8" i="70"/>
  <c r="G16" i="69"/>
  <c r="K17" i="70"/>
  <c r="G5" i="69"/>
  <c r="N13" i="72"/>
  <c r="N10" i="70"/>
  <c r="G8" i="69"/>
  <c r="G17" i="69"/>
  <c r="H10" i="71"/>
  <c r="N11" i="72"/>
  <c r="G9" i="69"/>
  <c r="N16" i="72"/>
  <c r="H7" i="71"/>
  <c r="N13" i="70"/>
  <c r="N14" i="72"/>
  <c r="K13" i="70"/>
  <c r="H6" i="71"/>
  <c r="K5" i="70"/>
  <c r="G10" i="69"/>
  <c r="H5" i="71"/>
  <c r="H4" i="71"/>
  <c r="H17" i="71"/>
  <c r="K16" i="70"/>
  <c r="N6" i="72"/>
  <c r="G14" i="69"/>
  <c r="K14" i="70"/>
  <c r="G15" i="69"/>
  <c r="K12" i="70"/>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5" i="71"/>
  <c r="L17" i="71"/>
  <c r="L18" i="71"/>
  <c r="L13" i="71"/>
  <c r="L16" i="71"/>
  <c r="L11" i="71"/>
  <c r="L4" i="71"/>
  <c r="L15" i="71"/>
  <c r="L10" i="71"/>
  <c r="L7" i="71"/>
  <c r="L9" i="71"/>
  <c r="L8" i="71"/>
  <c r="L12" i="71"/>
  <c r="L14" i="71"/>
  <c r="L6" i="71"/>
  <c r="N10" i="71"/>
  <c r="K4" i="69"/>
  <c r="H4" i="70"/>
  <c r="N9" i="71"/>
  <c r="K9" i="69"/>
  <c r="N6" i="71"/>
  <c r="K16" i="69"/>
  <c r="N4" i="71"/>
  <c r="H7" i="70"/>
  <c r="H5" i="70"/>
  <c r="H8" i="70"/>
  <c r="K12" i="69"/>
  <c r="N16" i="71"/>
  <c r="K6" i="69"/>
  <c r="K10" i="69"/>
  <c r="K11" i="69"/>
  <c r="K17" i="69"/>
  <c r="N12" i="71"/>
  <c r="N17" i="71"/>
  <c r="K8" i="69"/>
  <c r="N11" i="71"/>
  <c r="K5" i="69"/>
  <c r="H12" i="70"/>
  <c r="N18" i="71"/>
  <c r="K15" i="69"/>
  <c r="H9" i="70"/>
  <c r="H18" i="70"/>
  <c r="N8" i="71"/>
  <c r="N13" i="71"/>
  <c r="K7" i="69"/>
  <c r="N14" i="71"/>
  <c r="N5" i="71"/>
  <c r="K18" i="69"/>
  <c r="K14" i="69"/>
  <c r="N7" i="71"/>
  <c r="N15" i="71"/>
  <c r="K13"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8" i="70"/>
  <c r="L9" i="70"/>
  <c r="L4" i="70"/>
  <c r="L8" i="70"/>
  <c r="L5" i="70"/>
  <c r="L12" i="70"/>
  <c r="L7" i="70"/>
  <c r="N4" i="70"/>
  <c r="H16" i="69"/>
  <c r="H12" i="69"/>
  <c r="N9" i="70"/>
  <c r="N12" i="70"/>
  <c r="H8" i="69"/>
  <c r="H6" i="69"/>
  <c r="H11" i="69"/>
  <c r="H10" i="69"/>
  <c r="N18" i="70"/>
  <c r="H15" i="69"/>
  <c r="H7" i="69"/>
  <c r="H13" i="69"/>
  <c r="N7" i="70"/>
  <c r="H14" i="69"/>
  <c r="N5" i="70"/>
  <c r="H5" i="69"/>
  <c r="N8" i="70"/>
  <c r="H17" i="69"/>
  <c r="H18" i="69"/>
  <c r="H9" i="69"/>
  <c r="H4" i="69"/>
  <c r="M7" i="70" l="1"/>
  <c r="O7" i="70" s="1"/>
  <c r="M9" i="70"/>
  <c r="O9" i="70" s="1"/>
  <c r="M5" i="70"/>
  <c r="O5" i="70" s="1"/>
  <c r="M8" i="70"/>
  <c r="O8" i="70" s="1"/>
  <c r="M18" i="70"/>
  <c r="O18" i="70" s="1"/>
  <c r="M4" i="70"/>
  <c r="O4" i="70" s="1"/>
  <c r="M12" i="70"/>
  <c r="O12" i="70" s="1"/>
  <c r="M2" i="71"/>
  <c r="L5" i="69"/>
  <c r="L18" i="69"/>
  <c r="L13" i="69"/>
  <c r="L6" i="69"/>
  <c r="L14" i="69"/>
  <c r="L8" i="69"/>
  <c r="L16" i="69"/>
  <c r="L12" i="69"/>
  <c r="L9" i="69"/>
  <c r="L17" i="69"/>
  <c r="L4" i="69"/>
  <c r="L15" i="69"/>
  <c r="L7" i="69"/>
  <c r="L11" i="69"/>
  <c r="L10" i="69"/>
  <c r="N4" i="69"/>
  <c r="N13" i="69"/>
  <c r="N7" i="69"/>
  <c r="N14" i="69"/>
  <c r="N5" i="69"/>
  <c r="N10" i="69"/>
  <c r="N11" i="69"/>
  <c r="N6" i="69"/>
  <c r="N15" i="69"/>
  <c r="N17" i="69"/>
  <c r="N8" i="69"/>
  <c r="N16" i="69"/>
  <c r="N18" i="69"/>
  <c r="N9" i="69"/>
  <c r="N12"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J4" i="21"/>
  <c r="M4" i="22"/>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3" i="22"/>
  <c r="R14"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2" i="23"/>
  <c r="U17" i="23"/>
  <c r="U14" i="23"/>
  <c r="U11" i="23"/>
  <c r="U15" i="23"/>
  <c r="U13" i="23"/>
  <c r="U16"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43" i="24"/>
  <c r="U22" i="24"/>
  <c r="U40" i="24"/>
  <c r="U36" i="24"/>
  <c r="U46" i="24"/>
  <c r="U17" i="24"/>
  <c r="U37" i="24"/>
  <c r="U12" i="24"/>
  <c r="U23" i="24"/>
  <c r="U19" i="24"/>
  <c r="U45" i="24"/>
  <c r="U28" i="24"/>
  <c r="U42" i="24"/>
  <c r="U18" i="24"/>
  <c r="U44" i="24"/>
  <c r="U16" i="24"/>
  <c r="U21" i="24"/>
  <c r="U13" i="24"/>
  <c r="U31" i="24"/>
  <c r="U20" i="24"/>
  <c r="U38" i="24"/>
  <c r="U27" i="24"/>
  <c r="U15" i="24"/>
  <c r="U35" i="24"/>
  <c r="U33" i="24"/>
  <c r="U29" i="24"/>
  <c r="U26" i="24"/>
  <c r="U39" i="24"/>
  <c r="U25" i="24"/>
  <c r="U32" i="24"/>
  <c r="U41" i="24"/>
  <c r="U14" i="24"/>
  <c r="U24" i="24"/>
  <c r="U48" i="24"/>
  <c r="U47" i="24"/>
  <c r="U30" i="24"/>
  <c r="U34"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8" i="25"/>
  <c r="U6" i="25"/>
  <c r="U9" i="25"/>
  <c r="N6" i="25" a="1"/>
  <c r="N8" i="25" l="1"/>
  <c r="N6" i="25"/>
  <c r="N7" i="25"/>
  <c r="N9" i="25"/>
  <c r="O9" i="25"/>
  <c r="O7" i="25"/>
  <c r="O8" i="25"/>
  <c r="Z6" i="25" a="1"/>
  <c r="Z9" i="25" s="1"/>
  <c r="Z6" i="25" l="1"/>
  <c r="Z7" i="25"/>
  <c r="Z8" i="25"/>
  <c r="AD9" i="25"/>
  <c r="H5" i="26"/>
  <c r="N5" i="29"/>
  <c r="N6" i="29"/>
  <c r="T6" i="29"/>
  <c r="T5"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5" i="30"/>
  <c r="Z7" i="30"/>
  <c r="Z8" i="30"/>
  <c r="Z9" i="30"/>
  <c r="Z10"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6" i="31"/>
  <c r="X37"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1" i="31"/>
  <c r="X42" i="31"/>
  <c r="R41" i="31" l="1"/>
  <c r="R42" i="3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5" i="28"/>
  <c r="Y50" i="28"/>
  <c r="Y53" i="28"/>
  <c r="Y52" i="28"/>
  <c r="Y54" i="28"/>
  <c r="Y51"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6" i="50"/>
  <c r="J3" i="49"/>
  <c r="J33" i="50"/>
  <c r="J9" i="50"/>
  <c r="J5" i="50"/>
  <c r="J26" i="49"/>
  <c r="J15" i="49"/>
  <c r="J38" i="50"/>
  <c r="J22" i="49"/>
  <c r="J34" i="49"/>
  <c r="J18" i="49"/>
  <c r="J27" i="50"/>
  <c r="J34" i="50"/>
  <c r="J5" i="49"/>
  <c r="J6" i="49"/>
  <c r="J11" i="49"/>
  <c r="J12" i="49"/>
  <c r="J37" i="50"/>
  <c r="J7" i="50"/>
  <c r="J32" i="50"/>
  <c r="J9" i="49"/>
  <c r="J29" i="50"/>
  <c r="J36" i="49"/>
  <c r="J20" i="49"/>
  <c r="J35" i="50"/>
  <c r="J7" i="49"/>
  <c r="J13" i="49"/>
  <c r="J30" i="49"/>
  <c r="J11" i="50"/>
  <c r="J28" i="50"/>
  <c r="J23" i="49"/>
  <c r="J22" i="50"/>
  <c r="J4" i="49"/>
  <c r="J28" i="49"/>
  <c r="J18" i="50"/>
  <c r="J39" i="49"/>
  <c r="J16" i="49"/>
  <c r="J8" i="49"/>
  <c r="J31" i="49"/>
  <c r="J35" i="49"/>
  <c r="J24" i="49"/>
  <c r="J23" i="50"/>
  <c r="J36" i="50"/>
  <c r="J16" i="50"/>
  <c r="J15" i="50"/>
  <c r="J21" i="50"/>
  <c r="J29" i="49"/>
  <c r="J4" i="50"/>
  <c r="J12" i="50"/>
  <c r="J30" i="50"/>
  <c r="J14" i="49"/>
  <c r="J33" i="49"/>
  <c r="J37" i="49"/>
  <c r="J3" i="50"/>
  <c r="J17" i="49"/>
  <c r="J21" i="49"/>
  <c r="J24" i="50"/>
  <c r="J14" i="50"/>
  <c r="J25" i="49"/>
  <c r="J19" i="49"/>
  <c r="J8" i="50"/>
  <c r="J31" i="50"/>
  <c r="J19" i="50"/>
  <c r="J26" i="50"/>
  <c r="J10" i="49"/>
  <c r="J13" i="50"/>
  <c r="J39" i="50"/>
  <c r="J10" i="50"/>
  <c r="J38" i="49"/>
  <c r="J32" i="49"/>
  <c r="J17" i="50"/>
  <c r="J25" i="50"/>
  <c r="J20" i="50"/>
  <c r="J27" i="49"/>
  <c r="J2" i="49"/>
  <c r="J2" i="50"/>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3" i="41"/>
  <c r="L3" i="40"/>
  <c r="L35" i="42"/>
  <c r="L16" i="42"/>
  <c r="L34" i="42"/>
  <c r="L21" i="42"/>
  <c r="L31" i="42"/>
  <c r="L29" i="42"/>
  <c r="L36" i="42"/>
  <c r="L25" i="42"/>
  <c r="L3" i="43"/>
  <c r="L7" i="41"/>
  <c r="L12" i="41"/>
  <c r="L13" i="42"/>
  <c r="L29" i="41"/>
  <c r="L35" i="41"/>
  <c r="L33" i="42"/>
  <c r="L14" i="42"/>
  <c r="L24" i="41"/>
  <c r="L26" i="42"/>
  <c r="L32" i="41"/>
  <c r="L20" i="42"/>
  <c r="L27" i="41"/>
  <c r="L22" i="42"/>
  <c r="L28" i="41"/>
  <c r="L31" i="41"/>
  <c r="L30" i="42"/>
  <c r="L10" i="42"/>
  <c r="L19" i="41"/>
  <c r="L11" i="42"/>
  <c r="L10" i="41"/>
  <c r="L27" i="42"/>
  <c r="L24" i="42"/>
  <c r="L17" i="42"/>
  <c r="L11" i="41"/>
  <c r="L7" i="42"/>
  <c r="L9" i="41"/>
  <c r="L8" i="42"/>
  <c r="L4" i="42"/>
  <c r="L20" i="41"/>
  <c r="L19" i="42"/>
  <c r="L12" i="42"/>
  <c r="L15" i="41"/>
  <c r="L22" i="41"/>
  <c r="L21" i="41"/>
  <c r="L23" i="42"/>
  <c r="L5" i="42"/>
  <c r="L26" i="41"/>
  <c r="L15" i="42"/>
  <c r="L6" i="42"/>
  <c r="L17" i="41"/>
  <c r="L28" i="42"/>
  <c r="L5" i="41"/>
  <c r="L9" i="42"/>
  <c r="L3" i="41"/>
  <c r="L36" i="41"/>
  <c r="L3" i="42"/>
  <c r="L6" i="41"/>
  <c r="L14" i="41"/>
  <c r="L13" i="41"/>
  <c r="L30" i="41"/>
  <c r="L16" i="41"/>
  <c r="L4" i="41"/>
  <c r="L34" i="41"/>
  <c r="L18" i="41"/>
  <c r="L32" i="42"/>
  <c r="L8" i="41"/>
  <c r="L18" i="42"/>
  <c r="L25" i="41"/>
  <c r="L23" i="41"/>
  <c r="K20" i="49"/>
  <c r="K17" i="50"/>
  <c r="K17" i="49"/>
  <c r="K31" i="50"/>
  <c r="K5" i="49"/>
  <c r="K16" i="50"/>
  <c r="K33" i="50"/>
  <c r="K13" i="50"/>
  <c r="K6" i="50"/>
  <c r="K26" i="50"/>
  <c r="K14" i="49"/>
  <c r="K37" i="50"/>
  <c r="K7" i="50"/>
  <c r="K32" i="49"/>
  <c r="K32" i="50"/>
  <c r="K9" i="49"/>
  <c r="K18" i="50"/>
  <c r="K25" i="49"/>
  <c r="K30" i="50"/>
  <c r="K23" i="50"/>
  <c r="K3" i="49"/>
  <c r="K8" i="49"/>
  <c r="K19" i="49"/>
  <c r="K6" i="49"/>
  <c r="K21" i="49"/>
  <c r="K28" i="50"/>
  <c r="K38" i="50"/>
  <c r="K20" i="50"/>
  <c r="K15" i="50"/>
  <c r="K37" i="49"/>
  <c r="K29" i="50"/>
  <c r="K5" i="50"/>
  <c r="K8" i="50"/>
  <c r="K34" i="49"/>
  <c r="K15" i="49"/>
  <c r="K7" i="49"/>
  <c r="K24" i="49"/>
  <c r="K39" i="50"/>
  <c r="K24" i="50"/>
  <c r="K35" i="49"/>
  <c r="K11" i="50"/>
  <c r="K10" i="49"/>
  <c r="K36" i="50"/>
  <c r="K30" i="49"/>
  <c r="K12" i="50"/>
  <c r="K23" i="49"/>
  <c r="K21" i="50"/>
  <c r="K29" i="49"/>
  <c r="K38" i="49"/>
  <c r="K4" i="49"/>
  <c r="K34" i="50"/>
  <c r="K4" i="50"/>
  <c r="K10" i="50"/>
  <c r="K16" i="49"/>
  <c r="K39" i="49"/>
  <c r="K3" i="50"/>
  <c r="K22" i="50"/>
  <c r="K14" i="50"/>
  <c r="K18" i="49"/>
  <c r="K26" i="49"/>
  <c r="K28" i="49"/>
  <c r="K31" i="49"/>
  <c r="K13" i="49"/>
  <c r="K35" i="50"/>
  <c r="K22" i="49"/>
  <c r="K9" i="50"/>
  <c r="K11" i="49"/>
  <c r="K12" i="49"/>
  <c r="K25" i="50"/>
  <c r="K19" i="50"/>
  <c r="K33" i="49"/>
  <c r="K27" i="49"/>
  <c r="K27" i="50"/>
  <c r="K36" i="49"/>
  <c r="K2" i="50"/>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4" i="43"/>
  <c r="K8" i="40"/>
  <c r="K6" i="40"/>
  <c r="K34" i="43"/>
  <c r="K9" i="43"/>
  <c r="K5" i="43"/>
  <c r="K18" i="40"/>
  <c r="K17" i="43"/>
  <c r="K12" i="40"/>
  <c r="K13" i="43"/>
  <c r="K33" i="43"/>
  <c r="K14" i="43"/>
  <c r="K35" i="43"/>
  <c r="K12" i="43"/>
  <c r="K28" i="43"/>
  <c r="K33" i="40"/>
  <c r="K29" i="43"/>
  <c r="K20" i="40"/>
  <c r="K13" i="40"/>
  <c r="K9" i="40"/>
  <c r="K16" i="40"/>
  <c r="K23" i="43"/>
  <c r="K15" i="40"/>
  <c r="K28" i="40"/>
  <c r="K30" i="40"/>
  <c r="K18" i="43"/>
  <c r="K21" i="43"/>
  <c r="K36" i="40"/>
  <c r="K22" i="43"/>
  <c r="K19" i="40"/>
  <c r="K35" i="40"/>
  <c r="K25" i="43"/>
  <c r="K32" i="40"/>
  <c r="K15" i="43"/>
  <c r="K27" i="43"/>
  <c r="K4" i="40"/>
  <c r="K31" i="43"/>
  <c r="K11" i="40"/>
  <c r="K27" i="40"/>
  <c r="K23" i="40"/>
  <c r="K20" i="43"/>
  <c r="K31" i="40"/>
  <c r="K22" i="40"/>
  <c r="K7" i="43"/>
  <c r="K36" i="43"/>
  <c r="K29" i="40"/>
  <c r="K26" i="40"/>
  <c r="K14" i="40"/>
  <c r="K5" i="40"/>
  <c r="K30" i="43"/>
  <c r="K32" i="43"/>
  <c r="K25" i="40"/>
  <c r="K10" i="43"/>
  <c r="K11" i="43"/>
  <c r="K16" i="43"/>
  <c r="K6" i="43"/>
  <c r="K4" i="43"/>
  <c r="K24" i="40"/>
  <c r="K21" i="40"/>
  <c r="K17" i="40"/>
  <c r="K8" i="43"/>
  <c r="K26" i="43"/>
  <c r="K34" i="40"/>
  <c r="K19" i="43"/>
  <c r="K10" i="40"/>
  <c r="K7" i="40"/>
  <c r="K2" i="40"/>
  <c r="K2" i="41"/>
  <c r="J2" i="42" l="1"/>
  <c r="J2" i="43"/>
  <c r="C1" i="38"/>
  <c r="L22" i="43"/>
  <c r="L12" i="43"/>
  <c r="L22" i="40"/>
  <c r="L36" i="43"/>
  <c r="L4" i="43"/>
  <c r="L10" i="43"/>
  <c r="L26" i="43"/>
  <c r="L19" i="43"/>
  <c r="L8" i="40"/>
  <c r="L23" i="43"/>
  <c r="L15" i="40"/>
  <c r="L31" i="40"/>
  <c r="L12" i="40"/>
  <c r="L6" i="40"/>
  <c r="L29" i="40"/>
  <c r="L32" i="40"/>
  <c r="L25" i="43"/>
  <c r="L7" i="43"/>
  <c r="L20" i="43"/>
  <c r="L30" i="43"/>
  <c r="L19" i="40"/>
  <c r="L27" i="43"/>
  <c r="L4" i="40"/>
  <c r="L5" i="43"/>
  <c r="L8" i="43"/>
  <c r="L34" i="43"/>
  <c r="L17" i="43"/>
  <c r="L9" i="43"/>
  <c r="L35" i="43"/>
  <c r="L35" i="40"/>
  <c r="L26" i="40"/>
  <c r="L15" i="43"/>
  <c r="L11" i="43"/>
  <c r="L17" i="40"/>
  <c r="L24" i="40"/>
  <c r="L14" i="40"/>
  <c r="L16" i="43"/>
  <c r="L6" i="43"/>
  <c r="L16" i="40"/>
  <c r="L31" i="43"/>
  <c r="L33" i="40"/>
  <c r="L23" i="40"/>
  <c r="L7" i="40"/>
  <c r="L25" i="40"/>
  <c r="L29" i="43"/>
  <c r="L24" i="43"/>
  <c r="L11" i="40"/>
  <c r="L21" i="43"/>
  <c r="L33" i="43"/>
  <c r="L36" i="40"/>
  <c r="L30" i="40"/>
  <c r="L13" i="40"/>
  <c r="L9" i="40"/>
  <c r="L10" i="40"/>
  <c r="L28" i="43"/>
  <c r="L27" i="40"/>
  <c r="L34" i="40"/>
  <c r="L5" i="40"/>
  <c r="L18" i="43"/>
  <c r="L32" i="43"/>
  <c r="L18" i="40"/>
  <c r="L20" i="40"/>
  <c r="L13" i="43"/>
  <c r="L28" i="40"/>
  <c r="L14" i="43"/>
  <c r="L21" i="40"/>
  <c r="L2" i="40"/>
  <c r="K2" i="42"/>
  <c r="L2" i="41"/>
  <c r="K2"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51" i="38"/>
  <c r="Y51" i="38" s="1"/>
  <c r="D6" i="38"/>
  <c r="D36" i="38"/>
  <c r="Y36" i="38" s="1"/>
  <c r="D30" i="38"/>
  <c r="Y30" i="38" s="1"/>
  <c r="D3" i="38"/>
  <c r="D23" i="38"/>
  <c r="Y23" i="38" s="1"/>
  <c r="D5" i="38"/>
  <c r="D44" i="38"/>
  <c r="Y44" i="38" s="1"/>
  <c r="D9" i="38"/>
  <c r="D43" i="38"/>
  <c r="Y43" i="38" s="1"/>
  <c r="D7" i="38"/>
  <c r="D27" i="38"/>
  <c r="Y27" i="38" s="1"/>
  <c r="D57" i="38"/>
  <c r="Y57" i="38" s="1"/>
  <c r="D13" i="38"/>
  <c r="D15" i="38"/>
  <c r="D32" i="38"/>
  <c r="Y32" i="38" s="1"/>
  <c r="D39" i="38"/>
  <c r="Y39" i="38" s="1"/>
  <c r="D24" i="38"/>
  <c r="Y24" i="38" s="1"/>
  <c r="D63" i="38"/>
  <c r="Y63" i="38" s="1"/>
  <c r="D16" i="38"/>
  <c r="D56" i="38"/>
  <c r="Y56" i="38" s="1"/>
  <c r="D55" i="38"/>
  <c r="Y55" i="38" s="1"/>
  <c r="D46" i="38"/>
  <c r="Y46" i="38" s="1"/>
  <c r="D33" i="38"/>
  <c r="Y33" i="38" s="1"/>
  <c r="D28" i="38"/>
  <c r="Y28" i="38" s="1"/>
  <c r="D12" i="38"/>
  <c r="D10" i="38"/>
  <c r="D17" i="38"/>
  <c r="D34" i="38"/>
  <c r="Y34" i="38" s="1"/>
  <c r="D14" i="38"/>
  <c r="D60" i="38"/>
  <c r="Y60" i="38" s="1"/>
  <c r="D21" i="38"/>
  <c r="Y21" i="38" s="1"/>
  <c r="D4" i="38"/>
  <c r="D58" i="38"/>
  <c r="Y58" i="38" s="1"/>
  <c r="D37" i="38"/>
  <c r="Y37" i="38" s="1"/>
  <c r="D31" i="38"/>
  <c r="Y31" i="38" s="1"/>
  <c r="D62" i="38"/>
  <c r="Y62" i="38" s="1"/>
  <c r="D48" i="38"/>
  <c r="Y48" i="38" s="1"/>
  <c r="D22" i="38"/>
  <c r="Y22" i="38" s="1"/>
  <c r="D50" i="38"/>
  <c r="Y50" i="38" s="1"/>
  <c r="D53" i="38"/>
  <c r="Y53" i="38" s="1"/>
  <c r="D64" i="38"/>
  <c r="Y64" i="38" s="1"/>
  <c r="D54" i="38"/>
  <c r="Y54" i="38" s="1"/>
  <c r="D35" i="38"/>
  <c r="Y35" i="38" s="1"/>
  <c r="D20" i="38"/>
  <c r="D11" i="38"/>
  <c r="D42" i="38"/>
  <c r="Y42" i="38" s="1"/>
  <c r="D47" i="38"/>
  <c r="Y47" i="38" s="1"/>
  <c r="D19" i="38"/>
  <c r="D29" i="38"/>
  <c r="Y29" i="38" s="1"/>
  <c r="D38" i="38"/>
  <c r="Y38" i="38" s="1"/>
  <c r="D26" i="38"/>
  <c r="Y26" i="38" s="1"/>
  <c r="D40" i="38"/>
  <c r="Y40" i="38" s="1"/>
  <c r="D8" i="38"/>
  <c r="D41" i="38"/>
  <c r="Y41" i="38" s="1"/>
  <c r="D52" i="38"/>
  <c r="Y52" i="38" s="1"/>
  <c r="D25" i="38"/>
  <c r="Y25" i="38" s="1"/>
  <c r="D61" i="38"/>
  <c r="Y61" i="38" s="1"/>
  <c r="D18" i="38"/>
  <c r="D45" i="38"/>
  <c r="Y45" i="38" s="1"/>
  <c r="D59" i="38"/>
  <c r="Y59" i="38" s="1"/>
  <c r="D49" i="38"/>
  <c r="Y49" i="38" s="1"/>
  <c r="L2" i="42"/>
  <c r="L2" i="43"/>
  <c r="C2" i="37" l="1"/>
  <c r="C3" i="37"/>
  <c r="C4" i="37"/>
  <c r="C5" i="37"/>
  <c r="C6" i="37"/>
  <c r="C7" i="37"/>
  <c r="C8" i="37"/>
  <c r="C9" i="37"/>
  <c r="C10" i="37"/>
  <c r="C11" i="37"/>
  <c r="C12" i="37"/>
  <c r="C13" i="37"/>
  <c r="C14" i="37"/>
  <c r="C15" i="37"/>
  <c r="C16" i="37"/>
  <c r="C1" i="36"/>
  <c r="E43" i="38"/>
  <c r="D14" i="37"/>
  <c r="E13" i="38"/>
  <c r="E17" i="38"/>
  <c r="E20" i="38"/>
  <c r="E7" i="38"/>
  <c r="O16" i="38"/>
  <c r="E35" i="38"/>
  <c r="O14" i="38"/>
  <c r="E18" i="38"/>
  <c r="E10" i="38"/>
  <c r="E63" i="38"/>
  <c r="E56" i="38"/>
  <c r="E37" i="38"/>
  <c r="E16" i="38"/>
  <c r="E26" i="38"/>
  <c r="D3" i="37"/>
  <c r="D9" i="37"/>
  <c r="E48" i="38"/>
  <c r="D7" i="37"/>
  <c r="O5" i="38"/>
  <c r="D16" i="37"/>
  <c r="E58" i="38"/>
  <c r="E32" i="38"/>
  <c r="O10" i="38"/>
  <c r="E8" i="38"/>
  <c r="O9" i="38"/>
  <c r="E41" i="38"/>
  <c r="D6" i="37"/>
  <c r="E61" i="38"/>
  <c r="O20" i="38"/>
  <c r="D15" i="37"/>
  <c r="D12" i="37"/>
  <c r="E38" i="38"/>
  <c r="O19" i="38"/>
  <c r="E29" i="38"/>
  <c r="O17" i="38"/>
  <c r="E45" i="38"/>
  <c r="E47" i="38"/>
  <c r="E14" i="38"/>
  <c r="E19" i="38"/>
  <c r="E6" i="38"/>
  <c r="E25" i="38"/>
  <c r="D10" i="37"/>
  <c r="E55" i="38"/>
  <c r="O12" i="38"/>
  <c r="E64" i="38"/>
  <c r="E33" i="38"/>
  <c r="E28" i="38"/>
  <c r="O15" i="38"/>
  <c r="E9" i="38"/>
  <c r="E31" i="38"/>
  <c r="E49" i="38"/>
  <c r="O11" i="38"/>
  <c r="E30" i="38"/>
  <c r="E60" i="38"/>
  <c r="O18" i="38"/>
  <c r="D5" i="37"/>
  <c r="E27" i="38"/>
  <c r="E62" i="38"/>
  <c r="O8" i="38"/>
  <c r="D4" i="37"/>
  <c r="E54" i="38"/>
  <c r="E4" i="38"/>
  <c r="D8" i="37"/>
  <c r="E22" i="38"/>
  <c r="E3" i="38"/>
  <c r="O13" i="38"/>
  <c r="E11" i="38"/>
  <c r="E40" i="38"/>
  <c r="E24" i="38"/>
  <c r="E57" i="38"/>
  <c r="E52" i="38"/>
  <c r="E23" i="38"/>
  <c r="E21" i="38"/>
  <c r="E44" i="38"/>
  <c r="E51" i="38"/>
  <c r="E46" i="38"/>
  <c r="D11" i="37"/>
  <c r="E50" i="38"/>
  <c r="E53" i="38"/>
  <c r="D13" i="37"/>
  <c r="O7" i="38"/>
  <c r="E12" i="38"/>
  <c r="E39" i="38"/>
  <c r="E42" i="38"/>
  <c r="O6" i="38"/>
  <c r="E34" i="38"/>
  <c r="E59" i="38"/>
  <c r="E36" i="38"/>
  <c r="E15" i="38"/>
  <c r="E5" i="38"/>
  <c r="C2" i="36" l="1"/>
  <c r="C3" i="36"/>
  <c r="C4" i="36"/>
  <c r="C5" i="36"/>
  <c r="C6" i="36"/>
  <c r="C7" i="36"/>
  <c r="C8" i="36"/>
  <c r="C9" i="36"/>
  <c r="C10" i="36"/>
  <c r="C11" i="36"/>
  <c r="C12" i="36"/>
  <c r="C13" i="36"/>
  <c r="C1" i="35"/>
  <c r="O6" i="37"/>
  <c r="D4" i="36"/>
  <c r="D13" i="36"/>
  <c r="O14" i="37"/>
  <c r="E16" i="37"/>
  <c r="E3" i="37"/>
  <c r="D12" i="36"/>
  <c r="E15" i="37"/>
  <c r="E14" i="37"/>
  <c r="O5" i="37"/>
  <c r="E9" i="37"/>
  <c r="E5" i="37"/>
  <c r="D8" i="36"/>
  <c r="E11" i="37"/>
  <c r="E6" i="37"/>
  <c r="D10" i="36"/>
  <c r="E4" i="37"/>
  <c r="E13" i="37"/>
  <c r="D11" i="36"/>
  <c r="D6" i="36"/>
  <c r="E7" i="37"/>
  <c r="E8" i="37"/>
  <c r="E10" i="37"/>
  <c r="O11" i="37"/>
  <c r="D7" i="36"/>
  <c r="D9" i="36"/>
  <c r="O7" i="37"/>
  <c r="O8" i="37"/>
  <c r="O9" i="37"/>
  <c r="D5" i="36"/>
  <c r="O10" i="37"/>
  <c r="D3" i="36"/>
  <c r="O13" i="37"/>
  <c r="O12" i="37"/>
  <c r="E12" i="37"/>
  <c r="C2" i="35" l="1"/>
  <c r="C3" i="35"/>
  <c r="C4" i="35"/>
  <c r="C5" i="35"/>
  <c r="C6" i="35"/>
  <c r="C7" i="35"/>
  <c r="C8" i="35"/>
  <c r="C9" i="35"/>
  <c r="C10" i="35"/>
  <c r="C11" i="35"/>
  <c r="C2" i="34"/>
  <c r="C3" i="34"/>
  <c r="C4" i="34"/>
  <c r="E13" i="36"/>
  <c r="O10" i="36"/>
  <c r="D4" i="35"/>
  <c r="O11" i="36"/>
  <c r="E9" i="36"/>
  <c r="D8" i="35"/>
  <c r="O6" i="36"/>
  <c r="E7" i="36"/>
  <c r="D4" i="34"/>
  <c r="E10" i="36"/>
  <c r="E12" i="36"/>
  <c r="D3" i="35"/>
  <c r="D3" i="34"/>
  <c r="O5" i="36"/>
  <c r="D11" i="35"/>
  <c r="E8" i="36"/>
  <c r="D10" i="35"/>
  <c r="O8" i="36"/>
  <c r="D6" i="35"/>
  <c r="E4" i="36"/>
  <c r="E6" i="36"/>
  <c r="O7" i="36"/>
  <c r="E3" i="36"/>
  <c r="D9" i="35"/>
  <c r="O9" i="36"/>
  <c r="D5" i="35"/>
  <c r="E11" i="36"/>
  <c r="E5" i="36"/>
  <c r="D7" i="35"/>
  <c r="D2" i="36"/>
  <c r="D2" i="37"/>
  <c r="D2" i="34"/>
  <c r="D2" i="38"/>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9" i="29"/>
  <c r="F8" i="29"/>
  <c r="F6" i="30"/>
  <c r="F32" i="28"/>
  <c r="E6" i="35"/>
  <c r="F9" i="30"/>
  <c r="F8" i="30"/>
  <c r="F40" i="28"/>
  <c r="E3" i="35"/>
  <c r="F11" i="29"/>
  <c r="E11" i="35"/>
  <c r="O6" i="35"/>
  <c r="F12" i="28"/>
  <c r="F18" i="28"/>
  <c r="F20" i="28"/>
  <c r="O7" i="35"/>
  <c r="F23" i="28"/>
  <c r="F8" i="28"/>
  <c r="F16" i="28"/>
  <c r="F26" i="28"/>
  <c r="F25" i="28"/>
  <c r="F12" i="29"/>
  <c r="F15" i="29"/>
  <c r="E10" i="35"/>
  <c r="E8" i="35"/>
  <c r="F6" i="28"/>
  <c r="F31" i="28"/>
  <c r="E9" i="35"/>
  <c r="F9" i="28"/>
  <c r="O8" i="35"/>
  <c r="F13" i="28"/>
  <c r="F7" i="28"/>
  <c r="F7" i="29"/>
  <c r="F17" i="28"/>
  <c r="F39" i="28"/>
  <c r="F14" i="29"/>
  <c r="F15" i="28"/>
  <c r="F13" i="29"/>
  <c r="E5" i="35"/>
  <c r="F33" i="28"/>
  <c r="F5" i="29"/>
  <c r="F7" i="30"/>
  <c r="F27" i="28"/>
  <c r="F10" i="29"/>
  <c r="E4" i="34"/>
  <c r="O5" i="35"/>
  <c r="E7" i="35"/>
  <c r="F21" i="28"/>
  <c r="O9" i="35"/>
  <c r="F29" i="28"/>
  <c r="F28" i="28"/>
  <c r="F30" i="28"/>
  <c r="F5" i="30"/>
  <c r="F34" i="28"/>
  <c r="F36" i="28"/>
  <c r="F10" i="30"/>
  <c r="F11" i="30"/>
  <c r="F19" i="28"/>
  <c r="F11" i="28"/>
  <c r="E4" i="35"/>
  <c r="F24" i="28"/>
  <c r="F6" i="29"/>
  <c r="F35" i="28"/>
  <c r="F38" i="28"/>
  <c r="D42" i="28"/>
  <c r="F5" i="28"/>
  <c r="F14" i="28"/>
  <c r="F10" i="28"/>
  <c r="F22" i="28"/>
  <c r="F37" i="28"/>
  <c r="E3" i="34"/>
  <c r="E2" i="34"/>
  <c r="E2" i="35"/>
  <c r="E2" i="36"/>
  <c r="E2" i="38"/>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29" i="28"/>
  <c r="G18" i="28"/>
  <c r="F35" i="31"/>
  <c r="Y33" i="28"/>
  <c r="Y6" i="28"/>
  <c r="G5" i="28"/>
  <c r="F22" i="31"/>
  <c r="Y25" i="28"/>
  <c r="Y16" i="28"/>
  <c r="Y37" i="28"/>
  <c r="G38" i="28"/>
  <c r="Y19" i="28"/>
  <c r="G33" i="28"/>
  <c r="Y29" i="28"/>
  <c r="G9" i="29"/>
  <c r="Y31" i="28"/>
  <c r="G32" i="28"/>
  <c r="G7" i="28"/>
  <c r="G35" i="28"/>
  <c r="Y11" i="28"/>
  <c r="G11" i="28"/>
  <c r="Y10" i="29"/>
  <c r="Y12" i="29"/>
  <c r="G7" i="30"/>
  <c r="G31" i="28"/>
  <c r="Y5" i="28"/>
  <c r="G15" i="29"/>
  <c r="G16" i="28"/>
  <c r="F30" i="31"/>
  <c r="Y8" i="28"/>
  <c r="Y21" i="28"/>
  <c r="G12" i="29"/>
  <c r="G13" i="29"/>
  <c r="Y27" i="28"/>
  <c r="Y9" i="28"/>
  <c r="F22" i="32"/>
  <c r="G40" i="28"/>
  <c r="Y14" i="28"/>
  <c r="G20" i="28"/>
  <c r="Y6" i="29"/>
  <c r="Y9" i="29"/>
  <c r="F11" i="32"/>
  <c r="G10" i="28"/>
  <c r="F30" i="32"/>
  <c r="Y13" i="29"/>
  <c r="Y34" i="28"/>
  <c r="F19" i="32"/>
  <c r="G30" i="28"/>
  <c r="G34" i="28"/>
  <c r="Y22" i="28"/>
  <c r="G26" i="28"/>
  <c r="G27" i="28"/>
  <c r="Y7" i="28"/>
  <c r="Y15" i="28"/>
  <c r="Y13" i="28"/>
  <c r="Y17" i="28"/>
  <c r="G37" i="28"/>
  <c r="G17" i="28"/>
  <c r="G14" i="29"/>
  <c r="Y35" i="28"/>
  <c r="G25" i="28"/>
  <c r="G22" i="28"/>
  <c r="F27" i="32"/>
  <c r="G21" i="28"/>
  <c r="G6" i="29"/>
  <c r="Y38" i="28"/>
  <c r="G12" i="28"/>
  <c r="F27" i="31"/>
  <c r="Y23" i="28"/>
  <c r="G8" i="28"/>
  <c r="Y7" i="29"/>
  <c r="Y15" i="29"/>
  <c r="G24" i="28"/>
  <c r="Y36" i="28"/>
  <c r="F16" i="31"/>
  <c r="G11" i="30"/>
  <c r="G23" i="28"/>
  <c r="G28" i="28"/>
  <c r="G39" i="28"/>
  <c r="Y8" i="29"/>
  <c r="Y14" i="29"/>
  <c r="G15" i="28"/>
  <c r="G7" i="29"/>
  <c r="Y11" i="29"/>
  <c r="G6" i="30"/>
  <c r="Y28" i="28"/>
  <c r="G14" i="28"/>
  <c r="G9" i="28"/>
  <c r="Y5" i="29"/>
  <c r="G10" i="30"/>
  <c r="D43" i="28"/>
  <c r="Y18" i="28"/>
  <c r="Y39" i="28"/>
  <c r="G9" i="30"/>
  <c r="Y24" i="28"/>
  <c r="G10" i="29"/>
  <c r="G6" i="28"/>
  <c r="G5" i="29"/>
  <c r="G19" i="28"/>
  <c r="F38" i="32"/>
  <c r="F38" i="31"/>
  <c r="G11" i="29"/>
  <c r="G13" i="28"/>
  <c r="Y32" i="28"/>
  <c r="Y12" i="28"/>
  <c r="F35" i="32"/>
  <c r="G8" i="30"/>
  <c r="G5" i="30"/>
  <c r="F24" i="31"/>
  <c r="Y20" i="28"/>
  <c r="Y10" i="28"/>
  <c r="Y30" i="28"/>
  <c r="F42" i="28"/>
  <c r="Y40" i="28"/>
  <c r="F19" i="31"/>
  <c r="G36" i="28"/>
  <c r="Y26" i="28"/>
  <c r="G8" i="29"/>
  <c r="F32" i="31"/>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G19" i="31"/>
  <c r="F18" i="32"/>
  <c r="AC22" i="31"/>
  <c r="F36" i="32"/>
  <c r="F26" i="32"/>
  <c r="F6" i="31"/>
  <c r="F29" i="31"/>
  <c r="F15" i="31"/>
  <c r="G30" i="31"/>
  <c r="F34" i="32"/>
  <c r="F41" i="31"/>
  <c r="F10" i="31"/>
  <c r="AC24" i="31"/>
  <c r="F25" i="32"/>
  <c r="F40" i="32"/>
  <c r="F13" i="32"/>
  <c r="F42" i="31"/>
  <c r="F29" i="32"/>
  <c r="G42" i="28"/>
  <c r="F25" i="31"/>
  <c r="F7" i="32"/>
  <c r="F33" i="32"/>
  <c r="F14" i="31"/>
  <c r="D44" i="28"/>
  <c r="F26" i="31"/>
  <c r="F31" i="32"/>
  <c r="F23" i="32"/>
  <c r="G11" i="32"/>
  <c r="F11" i="31"/>
  <c r="AC38" i="32"/>
  <c r="G16" i="31"/>
  <c r="F31" i="31"/>
  <c r="AC16" i="31"/>
  <c r="F8" i="31"/>
  <c r="F15" i="32"/>
  <c r="F18" i="31"/>
  <c r="F10" i="32"/>
  <c r="G35" i="31"/>
  <c r="F9" i="32"/>
  <c r="AC19" i="32"/>
  <c r="G30" i="32"/>
  <c r="G27" i="32"/>
  <c r="F21" i="32"/>
  <c r="F20" i="32"/>
  <c r="F20" i="31"/>
  <c r="G38" i="31"/>
  <c r="F32" i="32"/>
  <c r="F39" i="31"/>
  <c r="F16" i="32"/>
  <c r="G38" i="32"/>
  <c r="G22" i="31"/>
  <c r="AC11" i="32"/>
  <c r="AC30" i="31"/>
  <c r="G19" i="32"/>
  <c r="F24" i="32"/>
  <c r="F12" i="32"/>
  <c r="AC27" i="31"/>
  <c r="F28" i="32"/>
  <c r="F41" i="32"/>
  <c r="AC27" i="32"/>
  <c r="F14" i="32"/>
  <c r="AC32" i="31"/>
  <c r="G22" i="32"/>
  <c r="AC30" i="32"/>
  <c r="F33" i="31"/>
  <c r="F13" i="31"/>
  <c r="G32" i="31"/>
  <c r="F17" i="32"/>
  <c r="F39" i="32"/>
  <c r="F43" i="28"/>
  <c r="F36" i="31"/>
  <c r="AC35" i="32"/>
  <c r="G35" i="32"/>
  <c r="G24" i="31"/>
  <c r="F8" i="32"/>
  <c r="F42" i="32"/>
  <c r="F23" i="31"/>
  <c r="F28" i="31"/>
  <c r="F37" i="31"/>
  <c r="F34" i="31"/>
  <c r="G27" i="31"/>
  <c r="AC22" i="32"/>
  <c r="AC19" i="31"/>
  <c r="F17" i="31"/>
  <c r="F9" i="31"/>
  <c r="F6" i="32"/>
  <c r="AC38" i="31"/>
  <c r="AC35" i="31"/>
  <c r="F7" i="31"/>
  <c r="F37" i="32"/>
  <c r="F12" i="31"/>
  <c r="F21"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AC9" i="32"/>
  <c r="G23" i="31"/>
  <c r="G28" i="32"/>
  <c r="G15" i="31"/>
  <c r="G43" i="28"/>
  <c r="AC12" i="32"/>
  <c r="G42" i="31"/>
  <c r="AC40" i="32"/>
  <c r="AC23" i="31"/>
  <c r="AC28" i="32"/>
  <c r="AC17" i="32"/>
  <c r="G34" i="31"/>
  <c r="G29" i="32"/>
  <c r="AC24" i="32"/>
  <c r="G10" i="31"/>
  <c r="AC16" i="32"/>
  <c r="G39" i="31"/>
  <c r="AC18" i="31"/>
  <c r="AC10" i="31"/>
  <c r="AC33" i="32"/>
  <c r="D45" i="28"/>
  <c r="G21" i="31"/>
  <c r="G34" i="32"/>
  <c r="G32" i="32"/>
  <c r="G25" i="31"/>
  <c r="G15" i="32"/>
  <c r="G20" i="31"/>
  <c r="G29" i="31"/>
  <c r="G13" i="32"/>
  <c r="AC29" i="32"/>
  <c r="AC25" i="32"/>
  <c r="G26" i="32"/>
  <c r="AC37" i="32"/>
  <c r="AC40" i="31"/>
  <c r="G40" i="32"/>
  <c r="G6" i="32"/>
  <c r="AC8" i="31"/>
  <c r="G6" i="31"/>
  <c r="AC23" i="32"/>
  <c r="G17" i="32"/>
  <c r="AC13" i="31"/>
  <c r="G8" i="32"/>
  <c r="G39" i="32"/>
  <c r="AC36" i="32"/>
  <c r="AC18" i="32"/>
  <c r="G40" i="31"/>
  <c r="AC15" i="31"/>
  <c r="AC26" i="31"/>
  <c r="AC34" i="32"/>
  <c r="AC21" i="31"/>
  <c r="AC7" i="32"/>
  <c r="G21" i="32"/>
  <c r="AC36" i="31"/>
  <c r="AC11" i="31"/>
  <c r="AC6" i="32"/>
  <c r="AC39" i="31"/>
  <c r="G14" i="32"/>
  <c r="G18" i="32"/>
  <c r="AC12" i="31"/>
  <c r="G31" i="31"/>
  <c r="G41" i="32"/>
  <c r="G33" i="31"/>
  <c r="AC17" i="31"/>
  <c r="AC31" i="32"/>
  <c r="AC28" i="31"/>
  <c r="AC42" i="32"/>
  <c r="G42" i="32"/>
  <c r="G17" i="31"/>
  <c r="AC31" i="31"/>
  <c r="AC39" i="32"/>
  <c r="AC29" i="31"/>
  <c r="AC20" i="32"/>
  <c r="G9" i="32"/>
  <c r="AC25" i="31"/>
  <c r="G12" i="31"/>
  <c r="AC41" i="31"/>
  <c r="G12" i="32"/>
  <c r="AC10" i="32"/>
  <c r="AC13" i="32"/>
  <c r="G20" i="32"/>
  <c r="G31" i="32"/>
  <c r="G41" i="31"/>
  <c r="G9" i="31"/>
  <c r="AC15" i="32"/>
  <c r="AC32" i="32"/>
  <c r="G7" i="32"/>
  <c r="AC9" i="31"/>
  <c r="G10" i="32"/>
  <c r="G36" i="31"/>
  <c r="AC14" i="32"/>
  <c r="AC6" i="31"/>
  <c r="G37" i="31"/>
  <c r="G14" i="31"/>
  <c r="AC42" i="31"/>
  <c r="AC14" i="31"/>
  <c r="G16" i="32"/>
  <c r="F44" i="28"/>
  <c r="G37" i="32"/>
  <c r="AC21" i="32"/>
  <c r="AC41" i="32"/>
  <c r="AC33" i="31"/>
  <c r="G36" i="32"/>
  <c r="G23" i="32"/>
  <c r="G18" i="31"/>
  <c r="G28" i="31"/>
  <c r="AC8" i="32"/>
  <c r="AC7" i="31"/>
  <c r="AC26" i="32"/>
  <c r="G24" i="32"/>
  <c r="G8" i="31"/>
  <c r="G26" i="31"/>
  <c r="G33" i="32"/>
  <c r="G25" i="32"/>
  <c r="AC20" i="31"/>
  <c r="G7" i="31"/>
  <c r="AC34" i="31"/>
  <c r="G13" i="31"/>
  <c r="AC37" i="31"/>
  <c r="G11" i="31"/>
  <c r="E45" i="28" l="1"/>
  <c r="D46" i="28"/>
  <c r="G44" i="28"/>
  <c r="F45" i="28"/>
  <c r="E46" i="28" l="1"/>
  <c r="D47" i="28"/>
  <c r="G45" i="28"/>
  <c r="F46" i="28"/>
  <c r="E47" i="28" l="1"/>
  <c r="D48" i="28"/>
  <c r="G46" i="28"/>
  <c r="F47" i="28"/>
  <c r="E48" i="28" l="1"/>
  <c r="G47" i="28"/>
  <c r="D49" i="28"/>
  <c r="F48" i="28"/>
  <c r="E49" i="28" l="1"/>
  <c r="F49" i="28"/>
  <c r="G48" i="28"/>
  <c r="D50" i="28"/>
  <c r="E50" i="28" l="1"/>
  <c r="D51" i="28"/>
  <c r="F50" i="28"/>
  <c r="G49" i="28"/>
  <c r="E51" i="28" l="1"/>
  <c r="F51" i="28"/>
  <c r="G50" i="28"/>
  <c r="D52" i="28"/>
  <c r="E52" i="28" l="1"/>
  <c r="F52" i="28"/>
  <c r="G51" i="28"/>
  <c r="D53" i="28"/>
  <c r="E53" i="28" l="1"/>
  <c r="D54" i="28"/>
  <c r="D55" i="28"/>
  <c r="F53" i="28"/>
  <c r="G52" i="28"/>
  <c r="E54" i="28" l="1"/>
  <c r="E55" i="28"/>
  <c r="F54" i="28"/>
  <c r="F55" i="28"/>
  <c r="G53" i="28"/>
  <c r="D56" i="28"/>
  <c r="G54" i="28"/>
  <c r="G55" i="28"/>
  <c r="E56" i="28" l="1"/>
  <c r="F56" i="28"/>
  <c r="D57" i="28"/>
  <c r="G56" i="28"/>
  <c r="E57" i="28" l="1"/>
  <c r="D58" i="28"/>
  <c r="F57" i="28"/>
  <c r="G57" i="28"/>
  <c r="E58" i="28" l="1"/>
  <c r="F58" i="28"/>
  <c r="D59" i="28"/>
  <c r="G58" i="28"/>
  <c r="E59" i="28" l="1"/>
  <c r="F59" i="28"/>
  <c r="D60" i="28"/>
  <c r="G59" i="28"/>
  <c r="E60" i="28" l="1"/>
  <c r="F60" i="28"/>
  <c r="D61" i="28"/>
  <c r="G60" i="28"/>
  <c r="E61" i="28" l="1"/>
  <c r="F61" i="28"/>
  <c r="D62" i="28"/>
  <c r="D63" i="28" s="1"/>
  <c r="D64" i="28" s="1"/>
  <c r="D65" i="28" s="1"/>
  <c r="G61" i="28"/>
  <c r="F4" i="29"/>
  <c r="F4" i="30"/>
  <c r="F5" i="32"/>
  <c r="F5" i="31"/>
  <c r="E65" i="28" l="1"/>
  <c r="E64" i="28"/>
  <c r="E63" i="28"/>
  <c r="E62" i="28"/>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F63" i="28"/>
  <c r="E34" i="22"/>
  <c r="E17" i="22"/>
  <c r="E27" i="22"/>
  <c r="E3" i="22"/>
  <c r="E7" i="22"/>
  <c r="D16" i="21"/>
  <c r="D21" i="21"/>
  <c r="E30" i="22"/>
  <c r="E25" i="22"/>
  <c r="D18" i="21"/>
  <c r="E19" i="22"/>
  <c r="D6" i="25" a="1"/>
  <c r="E4" i="22"/>
  <c r="E16" i="22"/>
  <c r="D13" i="21"/>
  <c r="D19" i="21"/>
  <c r="E18" i="22"/>
  <c r="C6" i="26"/>
  <c r="F65" i="28"/>
  <c r="E22" i="22"/>
  <c r="E23" i="22"/>
  <c r="E26" i="22"/>
  <c r="E20" i="22"/>
  <c r="E21" i="22"/>
  <c r="D5" i="21"/>
  <c r="E29" i="22"/>
  <c r="E12" i="22"/>
  <c r="D9" i="21"/>
  <c r="F64" i="28"/>
  <c r="E13" i="22"/>
  <c r="D15" i="21"/>
  <c r="D7" i="21"/>
  <c r="E14" i="22"/>
  <c r="E31" i="22"/>
  <c r="D14" i="21"/>
  <c r="C5" i="26"/>
  <c r="E11" i="22"/>
  <c r="F62" i="28"/>
  <c r="D6" i="23" a="1"/>
  <c r="E35" i="22"/>
  <c r="E6" i="22"/>
  <c r="D17" i="21"/>
  <c r="D10" i="21"/>
  <c r="E15" i="22"/>
  <c r="E28" i="22"/>
  <c r="D20" i="21"/>
  <c r="E5" i="22"/>
  <c r="E32" i="22"/>
  <c r="D6" i="21"/>
  <c r="E8" i="22"/>
  <c r="E9" i="22"/>
  <c r="E33" i="22"/>
  <c r="D22" i="21"/>
  <c r="E10" i="22"/>
  <c r="D11" i="21"/>
  <c r="D8" i="21"/>
  <c r="E24" i="22"/>
  <c r="D66" i="28"/>
  <c r="D12" i="21"/>
  <c r="G63" i="28"/>
  <c r="G62" i="28"/>
  <c r="G4" i="30"/>
  <c r="G5" i="31"/>
  <c r="G65" i="28"/>
  <c r="G64" i="28"/>
  <c r="AC5" i="31"/>
  <c r="G4" i="29"/>
  <c r="G5" i="32"/>
  <c r="AC5" i="32"/>
  <c r="E66"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4" i="23"/>
  <c r="E22" i="21"/>
  <c r="F101" i="25"/>
  <c r="F43" i="25"/>
  <c r="F26" i="23"/>
  <c r="F89" i="25"/>
  <c r="F27" i="25"/>
  <c r="W33" i="22"/>
  <c r="F92" i="23"/>
  <c r="E12" i="21"/>
  <c r="F29" i="22"/>
  <c r="F18" i="25"/>
  <c r="F57" i="23"/>
  <c r="F29" i="25"/>
  <c r="F31" i="22"/>
  <c r="F15" i="25"/>
  <c r="F120" i="25"/>
  <c r="W5" i="22"/>
  <c r="F62" i="25"/>
  <c r="F30" i="25"/>
  <c r="F123" i="25"/>
  <c r="E15" i="21"/>
  <c r="F36" i="23"/>
  <c r="F17" i="23"/>
  <c r="P15" i="21"/>
  <c r="F75" i="25"/>
  <c r="F82" i="25"/>
  <c r="W26" i="22"/>
  <c r="F35" i="22"/>
  <c r="F111" i="23"/>
  <c r="W17" i="22"/>
  <c r="F44" i="25"/>
  <c r="E8" i="21"/>
  <c r="F20" i="22"/>
  <c r="F108" i="23"/>
  <c r="F88" i="25"/>
  <c r="F16" i="22"/>
  <c r="F13" i="22"/>
  <c r="F110" i="23"/>
  <c r="F104" i="23"/>
  <c r="F13" i="25"/>
  <c r="E6" i="21"/>
  <c r="F55" i="23"/>
  <c r="F58" i="25"/>
  <c r="F70" i="25"/>
  <c r="F13" i="23"/>
  <c r="E13" i="21"/>
  <c r="W11" i="22"/>
  <c r="F25" i="23"/>
  <c r="P17" i="21"/>
  <c r="F14" i="22"/>
  <c r="F105" i="25"/>
  <c r="F99" i="25"/>
  <c r="F33" i="23"/>
  <c r="F41" i="23"/>
  <c r="F79" i="25"/>
  <c r="F26" i="25"/>
  <c r="F83" i="25"/>
  <c r="F115" i="23"/>
  <c r="W30" i="22"/>
  <c r="F76" i="23"/>
  <c r="F32" i="22"/>
  <c r="F116" i="25"/>
  <c r="E17" i="21"/>
  <c r="F117" i="23"/>
  <c r="E11" i="21"/>
  <c r="F32" i="23"/>
  <c r="F111" i="25"/>
  <c r="F30" i="23"/>
  <c r="F36" i="25"/>
  <c r="F74" i="25"/>
  <c r="F88" i="23"/>
  <c r="F47" i="25"/>
  <c r="F66" i="25"/>
  <c r="F66" i="28"/>
  <c r="P14" i="21"/>
  <c r="P5" i="21"/>
  <c r="F11" i="25"/>
  <c r="E5" i="21"/>
  <c r="F124" i="23"/>
  <c r="F72" i="23"/>
  <c r="F46" i="23"/>
  <c r="F117" i="25"/>
  <c r="F90" i="25"/>
  <c r="E16" i="21"/>
  <c r="F65" i="25"/>
  <c r="F86" i="25"/>
  <c r="D67" i="28"/>
  <c r="P12" i="21"/>
  <c r="W31" i="22"/>
  <c r="W12" i="22"/>
  <c r="P10" i="21"/>
  <c r="F125" i="23"/>
  <c r="F11" i="22"/>
  <c r="P7" i="21"/>
  <c r="F66" i="23"/>
  <c r="F85" i="23"/>
  <c r="F62" i="23"/>
  <c r="F23" i="23"/>
  <c r="F15" i="23"/>
  <c r="F33" i="25"/>
  <c r="F94" i="23"/>
  <c r="F17" i="22"/>
  <c r="F119" i="25"/>
  <c r="F11" i="23"/>
  <c r="F69" i="23"/>
  <c r="F20" i="23"/>
  <c r="F42" i="25"/>
  <c r="F28" i="22"/>
  <c r="F76" i="25"/>
  <c r="F5" i="22"/>
  <c r="F85" i="25"/>
  <c r="F81" i="23"/>
  <c r="F121" i="25"/>
  <c r="F14" i="25"/>
  <c r="F80" i="23"/>
  <c r="F19" i="25"/>
  <c r="F47" i="23"/>
  <c r="F25" i="25"/>
  <c r="F27" i="23"/>
  <c r="P22" i="21"/>
  <c r="F97" i="25"/>
  <c r="F23" i="22"/>
  <c r="E10" i="21"/>
  <c r="F21" i="22"/>
  <c r="F118" i="23"/>
  <c r="F28" i="25"/>
  <c r="W13" i="22"/>
  <c r="F6" i="25"/>
  <c r="F34" i="25"/>
  <c r="F9" i="23"/>
  <c r="F77" i="25"/>
  <c r="P9" i="21"/>
  <c r="D5" i="26"/>
  <c r="F42" i="23"/>
  <c r="F35" i="23"/>
  <c r="F93" i="25"/>
  <c r="F81" i="25"/>
  <c r="W29" i="22"/>
  <c r="F73" i="25"/>
  <c r="F63" i="25"/>
  <c r="F98" i="25"/>
  <c r="F65" i="23"/>
  <c r="F43" i="23"/>
  <c r="F113" i="25"/>
  <c r="W7" i="22"/>
  <c r="F33" i="22"/>
  <c r="F10" i="22"/>
  <c r="F12" i="23"/>
  <c r="F3" i="22"/>
  <c r="F7" i="22"/>
  <c r="F78" i="25"/>
  <c r="E9" i="21"/>
  <c r="F19" i="23"/>
  <c r="F22" i="25"/>
  <c r="F100" i="23"/>
  <c r="F31" i="23"/>
  <c r="F103" i="25"/>
  <c r="F37" i="23"/>
  <c r="F93" i="23"/>
  <c r="F122" i="25"/>
  <c r="F10" i="25"/>
  <c r="F6" i="22"/>
  <c r="F112" i="23"/>
  <c r="W28" i="22"/>
  <c r="D6" i="26"/>
  <c r="F9" i="22"/>
  <c r="F30" i="22"/>
  <c r="F95" i="25"/>
  <c r="W8" i="22"/>
  <c r="F40" i="23"/>
  <c r="F27" i="22"/>
  <c r="F59" i="25"/>
  <c r="F91" i="23"/>
  <c r="F99" i="23"/>
  <c r="F37" i="25"/>
  <c r="F71" i="23"/>
  <c r="F24" i="22"/>
  <c r="F39" i="23"/>
  <c r="F53" i="25"/>
  <c r="F56" i="25"/>
  <c r="F64" i="25"/>
  <c r="F113" i="23"/>
  <c r="F98" i="23"/>
  <c r="F9" i="25"/>
  <c r="F16" i="23"/>
  <c r="E7" i="21"/>
  <c r="F60" i="25"/>
  <c r="P13" i="21"/>
  <c r="F82" i="23"/>
  <c r="F89" i="23"/>
  <c r="Q5" i="26"/>
  <c r="F59" i="23"/>
  <c r="F51" i="23"/>
  <c r="F94" i="25"/>
  <c r="F97" i="23"/>
  <c r="F34" i="23"/>
  <c r="W9" i="22"/>
  <c r="F51" i="25"/>
  <c r="F48" i="23"/>
  <c r="W25" i="22"/>
  <c r="F87" i="25"/>
  <c r="F50" i="23"/>
  <c r="P18" i="21"/>
  <c r="F44" i="23"/>
  <c r="F54" i="25"/>
  <c r="F53" i="23"/>
  <c r="F22" i="22"/>
  <c r="F39" i="25"/>
  <c r="F41" i="25"/>
  <c r="F95" i="23"/>
  <c r="Q6" i="26"/>
  <c r="F107" i="25"/>
  <c r="F48" i="25"/>
  <c r="F24" i="23"/>
  <c r="F58" i="23"/>
  <c r="F8" i="23"/>
  <c r="F102" i="25"/>
  <c r="F124" i="25"/>
  <c r="F109" i="25"/>
  <c r="F61" i="23"/>
  <c r="W23" i="22"/>
  <c r="F49" i="25"/>
  <c r="F32" i="25"/>
  <c r="F79" i="23"/>
  <c r="F103" i="23"/>
  <c r="F52" i="23"/>
  <c r="E14" i="21"/>
  <c r="W16" i="22"/>
  <c r="F91" i="25"/>
  <c r="F4" i="22"/>
  <c r="F112" i="25"/>
  <c r="F119" i="23"/>
  <c r="F63" i="23"/>
  <c r="F17" i="25"/>
  <c r="F106" i="25"/>
  <c r="F96" i="25"/>
  <c r="F57" i="25"/>
  <c r="P21" i="21"/>
  <c r="F8" i="22"/>
  <c r="F60" i="23"/>
  <c r="F87" i="23"/>
  <c r="F114" i="23"/>
  <c r="F73" i="23"/>
  <c r="P16" i="21"/>
  <c r="F96" i="23"/>
  <c r="P20" i="21"/>
  <c r="F68" i="25"/>
  <c r="F67" i="23"/>
  <c r="F115" i="25"/>
  <c r="F8" i="25"/>
  <c r="F55" i="25"/>
  <c r="F7" i="25"/>
  <c r="F120" i="23"/>
  <c r="F70" i="23"/>
  <c r="E21" i="21"/>
  <c r="F125" i="25"/>
  <c r="F110" i="25"/>
  <c r="E19" i="21"/>
  <c r="F114" i="25"/>
  <c r="F10" i="23"/>
  <c r="F49" i="23"/>
  <c r="F116" i="23"/>
  <c r="F26" i="22"/>
  <c r="P8" i="21"/>
  <c r="F38" i="23"/>
  <c r="F56" i="23"/>
  <c r="F90" i="23"/>
  <c r="F21" i="23"/>
  <c r="F122" i="23"/>
  <c r="F12" i="22"/>
  <c r="F101" i="23"/>
  <c r="W19" i="22"/>
  <c r="P19" i="21"/>
  <c r="F84" i="25"/>
  <c r="F121" i="23"/>
  <c r="W18" i="22"/>
  <c r="F29" i="23"/>
  <c r="F109" i="23"/>
  <c r="P6" i="21"/>
  <c r="W6" i="22"/>
  <c r="F108" i="25"/>
  <c r="F64" i="23"/>
  <c r="F105" i="23"/>
  <c r="F34" i="22"/>
  <c r="F107" i="23"/>
  <c r="P11" i="21"/>
  <c r="F92" i="25"/>
  <c r="F74" i="23"/>
  <c r="F84" i="23"/>
  <c r="F54" i="23"/>
  <c r="F35" i="25"/>
  <c r="F80" i="25"/>
  <c r="F19" i="22"/>
  <c r="F12" i="25"/>
  <c r="E18" i="21"/>
  <c r="F69" i="25"/>
  <c r="F40" i="25"/>
  <c r="F21" i="25"/>
  <c r="F18" i="22"/>
  <c r="W21" i="22"/>
  <c r="F28" i="23"/>
  <c r="F78" i="23"/>
  <c r="F18" i="23"/>
  <c r="F77" i="23"/>
  <c r="F24" i="25"/>
  <c r="F72" i="25"/>
  <c r="W32" i="22"/>
  <c r="F67" i="25"/>
  <c r="F104" i="25"/>
  <c r="F45" i="23"/>
  <c r="F15" i="22"/>
  <c r="F23" i="25"/>
  <c r="F83" i="23"/>
  <c r="W24" i="22"/>
  <c r="F106" i="23"/>
  <c r="F86" i="23"/>
  <c r="F52" i="25"/>
  <c r="F45" i="25"/>
  <c r="F7" i="23"/>
  <c r="F100" i="25"/>
  <c r="F75" i="23"/>
  <c r="F38" i="25"/>
  <c r="F6" i="23"/>
  <c r="F68" i="23"/>
  <c r="F22" i="23"/>
  <c r="F46" i="25"/>
  <c r="W10" i="22"/>
  <c r="F61" i="25"/>
  <c r="W15" i="22"/>
  <c r="F123" i="23"/>
  <c r="W22" i="22"/>
  <c r="F25" i="22"/>
  <c r="F102" i="23"/>
  <c r="F31" i="25"/>
  <c r="E20" i="21"/>
  <c r="W14" i="22"/>
  <c r="F20" i="25"/>
  <c r="F50" i="25"/>
  <c r="F71" i="25"/>
  <c r="F118" i="25"/>
  <c r="F16" i="25"/>
  <c r="W20" i="22"/>
  <c r="W27" i="22"/>
  <c r="F5" i="23"/>
  <c r="F5" i="25"/>
  <c r="D4" i="21"/>
  <c r="C4" i="26"/>
  <c r="G66" i="28"/>
  <c r="E2" i="22"/>
  <c r="E67"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10" i="25"/>
  <c r="G97" i="23"/>
  <c r="G107" i="25"/>
  <c r="G6" i="25"/>
  <c r="G76" i="23"/>
  <c r="G11" i="23"/>
  <c r="G39" i="25"/>
  <c r="G120" i="23"/>
  <c r="G26" i="25"/>
  <c r="G8" i="25"/>
  <c r="G53" i="23"/>
  <c r="G84" i="23"/>
  <c r="G119" i="23"/>
  <c r="G7" i="25"/>
  <c r="F67" i="28"/>
  <c r="G65" i="23"/>
  <c r="G56" i="23"/>
  <c r="G55" i="25"/>
  <c r="G13" i="23"/>
  <c r="G70" i="25"/>
  <c r="G117" i="25"/>
  <c r="G114" i="25"/>
  <c r="G17" i="23"/>
  <c r="G71" i="23"/>
  <c r="G71" i="25"/>
  <c r="G16" i="23"/>
  <c r="G59" i="23"/>
  <c r="G103" i="25"/>
  <c r="G27" i="25"/>
  <c r="G9" i="23"/>
  <c r="G119" i="25"/>
  <c r="G114" i="23"/>
  <c r="G117" i="23"/>
  <c r="G15" i="23"/>
  <c r="G108" i="23"/>
  <c r="G90" i="23"/>
  <c r="G18" i="25"/>
  <c r="G61" i="25"/>
  <c r="G60" i="23"/>
  <c r="G70" i="23"/>
  <c r="G84" i="25"/>
  <c r="G57" i="23"/>
  <c r="G47" i="23"/>
  <c r="G81" i="23"/>
  <c r="G99" i="23"/>
  <c r="G105" i="25"/>
  <c r="G16" i="25"/>
  <c r="G31" i="23"/>
  <c r="G110" i="23"/>
  <c r="G100" i="25"/>
  <c r="G52" i="25"/>
  <c r="G88" i="23"/>
  <c r="G35" i="25"/>
  <c r="G85" i="25"/>
  <c r="G123" i="25"/>
  <c r="G98" i="23"/>
  <c r="G42" i="25"/>
  <c r="G12" i="25"/>
  <c r="G121" i="23"/>
  <c r="G14" i="25"/>
  <c r="G37" i="23"/>
  <c r="G33" i="23"/>
  <c r="G115" i="23"/>
  <c r="G105" i="23"/>
  <c r="G48" i="23"/>
  <c r="G106" i="25"/>
  <c r="G111" i="25"/>
  <c r="G52" i="23"/>
  <c r="G72" i="25"/>
  <c r="G58" i="23"/>
  <c r="G30" i="23"/>
  <c r="G38" i="23"/>
  <c r="G60" i="25"/>
  <c r="G94" i="25"/>
  <c r="G23" i="25"/>
  <c r="G63" i="23"/>
  <c r="G104" i="25"/>
  <c r="G67" i="23"/>
  <c r="G74" i="25"/>
  <c r="G108" i="25"/>
  <c r="G123" i="23"/>
  <c r="G106" i="23"/>
  <c r="G87" i="23"/>
  <c r="G80" i="25"/>
  <c r="G74" i="23"/>
  <c r="G89" i="25"/>
  <c r="G22" i="23"/>
  <c r="G118" i="25"/>
  <c r="G38" i="25"/>
  <c r="G69" i="25"/>
  <c r="G78" i="25"/>
  <c r="G10" i="25"/>
  <c r="G39" i="23"/>
  <c r="G47" i="25"/>
  <c r="G19" i="23"/>
  <c r="G93" i="25"/>
  <c r="G22" i="25"/>
  <c r="G112" i="25"/>
  <c r="G13" i="25"/>
  <c r="G80" i="23"/>
  <c r="G101" i="23"/>
  <c r="G36" i="25"/>
  <c r="G43" i="23"/>
  <c r="G54" i="25"/>
  <c r="G15" i="25"/>
  <c r="G36" i="23"/>
  <c r="G124" i="25"/>
  <c r="G115" i="25"/>
  <c r="G120" i="25"/>
  <c r="G116" i="25"/>
  <c r="Q3" i="26"/>
  <c r="G103" i="23"/>
  <c r="G63" i="25"/>
  <c r="G24" i="23"/>
  <c r="G32" i="25"/>
  <c r="G85" i="23"/>
  <c r="G50" i="25"/>
  <c r="G89" i="23"/>
  <c r="G75" i="23"/>
  <c r="G53" i="25"/>
  <c r="G10" i="23"/>
  <c r="G113" i="23"/>
  <c r="G121" i="25"/>
  <c r="G62" i="23"/>
  <c r="G107" i="23"/>
  <c r="G97" i="25"/>
  <c r="G96" i="25"/>
  <c r="G109" i="25"/>
  <c r="G28" i="23"/>
  <c r="G83" i="25"/>
  <c r="G45" i="23"/>
  <c r="G44" i="25"/>
  <c r="G92" i="23"/>
  <c r="G7" i="23"/>
  <c r="G88" i="25"/>
  <c r="G58" i="25"/>
  <c r="G90" i="25"/>
  <c r="G35" i="23"/>
  <c r="G122" i="23"/>
  <c r="G30" i="25"/>
  <c r="G76" i="25"/>
  <c r="G29" i="23"/>
  <c r="G113" i="25"/>
  <c r="G25" i="23"/>
  <c r="G83" i="23"/>
  <c r="G42" i="23"/>
  <c r="G79" i="25"/>
  <c r="G61" i="23"/>
  <c r="G51" i="25"/>
  <c r="G49" i="25"/>
  <c r="G66" i="23"/>
  <c r="G41" i="23"/>
  <c r="G48" i="25"/>
  <c r="G45" i="25"/>
  <c r="G87" i="25"/>
  <c r="G20" i="23"/>
  <c r="G100" i="23"/>
  <c r="G68" i="25"/>
  <c r="G29" i="25"/>
  <c r="G86" i="23"/>
  <c r="G92" i="25"/>
  <c r="G59" i="25"/>
  <c r="G27" i="23"/>
  <c r="G46" i="25"/>
  <c r="G95" i="25"/>
  <c r="G116" i="23"/>
  <c r="G81" i="25"/>
  <c r="G34" i="23"/>
  <c r="G33" i="25"/>
  <c r="G64" i="23"/>
  <c r="G20" i="25"/>
  <c r="G96" i="23"/>
  <c r="G21" i="25"/>
  <c r="G44" i="23"/>
  <c r="G34" i="25"/>
  <c r="G23" i="23"/>
  <c r="G94" i="23"/>
  <c r="D68" i="28"/>
  <c r="G95" i="23"/>
  <c r="G109" i="23"/>
  <c r="G67" i="25"/>
  <c r="G124" i="23"/>
  <c r="G19" i="25"/>
  <c r="G17" i="25"/>
  <c r="G40" i="23"/>
  <c r="G57" i="25"/>
  <c r="G14" i="23"/>
  <c r="G111" i="23"/>
  <c r="G56" i="25"/>
  <c r="G66" i="25"/>
  <c r="G49" i="23"/>
  <c r="G91" i="23"/>
  <c r="G24" i="25"/>
  <c r="G18" i="23"/>
  <c r="G79" i="23"/>
  <c r="G118" i="23"/>
  <c r="G98" i="25"/>
  <c r="G112" i="23"/>
  <c r="G104" i="23"/>
  <c r="G77" i="25"/>
  <c r="G31" i="25"/>
  <c r="G77" i="23"/>
  <c r="G12" i="23"/>
  <c r="G25" i="25"/>
  <c r="G32" i="23"/>
  <c r="G78" i="23"/>
  <c r="G93" i="23"/>
  <c r="G82" i="23"/>
  <c r="G73" i="23"/>
  <c r="G11" i="25"/>
  <c r="G41" i="25"/>
  <c r="G64" i="25"/>
  <c r="G72" i="23"/>
  <c r="G68" i="23"/>
  <c r="G26" i="23"/>
  <c r="G101" i="25"/>
  <c r="G51" i="23"/>
  <c r="G86" i="25"/>
  <c r="G28" i="25"/>
  <c r="G102" i="23"/>
  <c r="G102" i="25"/>
  <c r="G69" i="23"/>
  <c r="G75" i="25"/>
  <c r="G8" i="23"/>
  <c r="G9" i="25"/>
  <c r="G122" i="25"/>
  <c r="G6" i="23"/>
  <c r="G65" i="25"/>
  <c r="G55" i="23"/>
  <c r="G54" i="23"/>
  <c r="G62" i="25"/>
  <c r="G73" i="25"/>
  <c r="G125" i="25"/>
  <c r="G37" i="25"/>
  <c r="G125" i="23"/>
  <c r="G46" i="23"/>
  <c r="G91" i="25"/>
  <c r="G99" i="25"/>
  <c r="G50" i="23"/>
  <c r="G21" i="23"/>
  <c r="G82" i="25"/>
  <c r="G40" i="25"/>
  <c r="G43" i="25"/>
  <c r="G67" i="28"/>
  <c r="D4" i="26"/>
  <c r="F2" i="22"/>
  <c r="G5" i="23"/>
  <c r="E4" i="21"/>
  <c r="G5" i="25"/>
  <c r="E68" i="28" l="1"/>
  <c r="E5" i="17"/>
  <c r="E5" i="19"/>
  <c r="C6" i="19"/>
  <c r="E5" i="18"/>
  <c r="E4" i="18"/>
  <c r="C7" i="18"/>
  <c r="E6" i="18"/>
  <c r="C6" i="17"/>
  <c r="F68" i="28"/>
  <c r="F5" i="17"/>
  <c r="F5" i="18"/>
  <c r="F5" i="19"/>
  <c r="D69" i="28"/>
  <c r="F6" i="18"/>
  <c r="D70" i="28"/>
  <c r="D71" i="28"/>
  <c r="D72" i="28" s="1"/>
  <c r="D73" i="28" s="1"/>
  <c r="G68" i="28"/>
  <c r="E72" i="28" l="1"/>
  <c r="E71" i="28"/>
  <c r="E70" i="28"/>
  <c r="E69" i="28"/>
  <c r="H3" i="48"/>
  <c r="E73" i="28"/>
  <c r="C7" i="19"/>
  <c r="E6" i="19"/>
  <c r="E7" i="18"/>
  <c r="C8" i="18"/>
  <c r="E4" i="17"/>
  <c r="C7" i="17"/>
  <c r="E6" i="17"/>
  <c r="F71" i="28"/>
  <c r="F72" i="28"/>
  <c r="F7" i="18"/>
  <c r="G5" i="17"/>
  <c r="F6" i="17"/>
  <c r="G6" i="18"/>
  <c r="G5" i="19"/>
  <c r="F6" i="19"/>
  <c r="G5" i="18"/>
  <c r="F70" i="28"/>
  <c r="F69" i="28"/>
  <c r="J3" i="48"/>
  <c r="D74" i="28"/>
  <c r="F73" i="28"/>
  <c r="G71" i="28"/>
  <c r="G72" i="28"/>
  <c r="G69" i="28"/>
  <c r="G73" i="28"/>
  <c r="G70" i="28"/>
  <c r="H4" i="48" l="1"/>
  <c r="H3" i="47"/>
  <c r="E74" i="28"/>
  <c r="E7" i="19"/>
  <c r="C8" i="19"/>
  <c r="E8" i="18"/>
  <c r="C9" i="18"/>
  <c r="C8" i="17"/>
  <c r="E7" i="17"/>
  <c r="F8" i="18"/>
  <c r="G6" i="17"/>
  <c r="D75" i="28"/>
  <c r="G6" i="19"/>
  <c r="G7" i="18"/>
  <c r="F7" i="17"/>
  <c r="K3" i="48"/>
  <c r="J4" i="48"/>
  <c r="F74" i="28"/>
  <c r="J3" i="47"/>
  <c r="F7" i="19"/>
  <c r="G74" i="28"/>
  <c r="H5" i="48" l="1"/>
  <c r="H4" i="47"/>
  <c r="E75" i="28"/>
  <c r="E8" i="19"/>
  <c r="C9" i="19"/>
  <c r="C10" i="18"/>
  <c r="E9" i="18"/>
  <c r="E8" i="17"/>
  <c r="C9" i="17"/>
  <c r="G7" i="19"/>
  <c r="F8" i="19"/>
  <c r="F8" i="17"/>
  <c r="F9" i="18"/>
  <c r="D76" i="28"/>
  <c r="K4" i="48"/>
  <c r="J4" i="47"/>
  <c r="G7" i="17"/>
  <c r="K3" i="47"/>
  <c r="G8" i="18"/>
  <c r="F75" i="28"/>
  <c r="J5" i="48"/>
  <c r="G75" i="28"/>
  <c r="H6" i="48" l="1"/>
  <c r="E76" i="28"/>
  <c r="H5" i="47"/>
  <c r="E4" i="19"/>
  <c r="C10" i="19"/>
  <c r="E9" i="19"/>
  <c r="E10" i="18"/>
  <c r="C11" i="18"/>
  <c r="C10" i="17"/>
  <c r="E9" i="17"/>
  <c r="G9" i="18"/>
  <c r="G8" i="17"/>
  <c r="F10" i="18"/>
  <c r="D77" i="28"/>
  <c r="F76" i="28"/>
  <c r="G8" i="19"/>
  <c r="J6" i="48"/>
  <c r="K4" i="47"/>
  <c r="K5" i="48"/>
  <c r="F9" i="17"/>
  <c r="F9" i="19"/>
  <c r="J5" i="47"/>
  <c r="G76" i="28"/>
  <c r="H7" i="48" l="1"/>
  <c r="E77" i="28"/>
  <c r="H6" i="47"/>
  <c r="E10" i="19"/>
  <c r="C11" i="19"/>
  <c r="E11" i="18"/>
  <c r="C12" i="18"/>
  <c r="E10" i="17"/>
  <c r="C11" i="17"/>
  <c r="K6" i="48"/>
  <c r="J7" i="48"/>
  <c r="G10" i="18"/>
  <c r="K5" i="47"/>
  <c r="F10" i="19"/>
  <c r="J6" i="47"/>
  <c r="G9" i="19"/>
  <c r="F77" i="28"/>
  <c r="F11" i="18"/>
  <c r="F10" i="17"/>
  <c r="G9" i="17"/>
  <c r="G77" i="28"/>
  <c r="F4" i="28"/>
  <c r="H8" i="48" l="1"/>
  <c r="H7" i="47"/>
  <c r="C12" i="19"/>
  <c r="E11" i="19"/>
  <c r="C13" i="18"/>
  <c r="E12" i="18"/>
  <c r="C12" i="17"/>
  <c r="E11" i="17"/>
  <c r="J7" i="47"/>
  <c r="J8" i="48"/>
  <c r="G10" i="17"/>
  <c r="F11" i="19"/>
  <c r="G11" i="18"/>
  <c r="K7" i="48"/>
  <c r="F12" i="18"/>
  <c r="F11" i="17"/>
  <c r="K6" i="47"/>
  <c r="G10" i="19"/>
  <c r="G4" i="28"/>
  <c r="H9" i="48" l="1"/>
  <c r="H8" i="47"/>
  <c r="E12" i="19"/>
  <c r="C13" i="19"/>
  <c r="E13" i="18"/>
  <c r="C14" i="18"/>
  <c r="E12" i="17"/>
  <c r="C13" i="17"/>
  <c r="G11" i="19"/>
  <c r="F13" i="18"/>
  <c r="J8" i="47"/>
  <c r="K7" i="47"/>
  <c r="J9" i="48"/>
  <c r="G11" i="17"/>
  <c r="G12" i="18"/>
  <c r="F12" i="19"/>
  <c r="K8" i="48"/>
  <c r="F12" i="17"/>
  <c r="H10" i="48" l="1"/>
  <c r="H9" i="47"/>
  <c r="E13" i="19"/>
  <c r="C14" i="19"/>
  <c r="C15" i="18"/>
  <c r="E14" i="18"/>
  <c r="E13" i="17"/>
  <c r="C14" i="17"/>
  <c r="G12" i="17"/>
  <c r="J9" i="47"/>
  <c r="F14" i="18"/>
  <c r="K9" i="48"/>
  <c r="K8" i="47"/>
  <c r="G12" i="19"/>
  <c r="F13" i="17"/>
  <c r="F13" i="19"/>
  <c r="J10" i="48"/>
  <c r="G13" i="18"/>
  <c r="H11" i="48" l="1"/>
  <c r="H10" i="47"/>
  <c r="C15" i="19"/>
  <c r="E14" i="19"/>
  <c r="C16" i="18"/>
  <c r="E15" i="18"/>
  <c r="C15" i="17"/>
  <c r="E14" i="17"/>
  <c r="J11" i="48"/>
  <c r="G13" i="19"/>
  <c r="F14" i="17"/>
  <c r="G13" i="17"/>
  <c r="F14" i="19"/>
  <c r="F15" i="18"/>
  <c r="K9" i="47"/>
  <c r="G14" i="18"/>
  <c r="K10" i="48"/>
  <c r="J10" i="47"/>
  <c r="H12" i="48" l="1"/>
  <c r="H11" i="47"/>
  <c r="E15" i="19"/>
  <c r="C16" i="19"/>
  <c r="C17" i="18"/>
  <c r="E16" i="18"/>
  <c r="E15" i="17"/>
  <c r="C16" i="17"/>
  <c r="F15" i="17"/>
  <c r="J12" i="48"/>
  <c r="G14" i="19"/>
  <c r="K11" i="48"/>
  <c r="K10" i="47"/>
  <c r="J11" i="47"/>
  <c r="F15" i="19"/>
  <c r="G14" i="17"/>
  <c r="G15" i="18"/>
  <c r="F16" i="18"/>
  <c r="H13" i="48" l="1"/>
  <c r="H12" i="47"/>
  <c r="E16" i="19"/>
  <c r="C17" i="19"/>
  <c r="C18" i="18"/>
  <c r="E17" i="18"/>
  <c r="E16" i="17"/>
  <c r="C17" i="17"/>
  <c r="K11" i="47"/>
  <c r="G16" i="18"/>
  <c r="J12" i="47"/>
  <c r="F17" i="18"/>
  <c r="K12" i="48"/>
  <c r="G15" i="17"/>
  <c r="G15" i="19"/>
  <c r="J13" i="48"/>
  <c r="F16" i="17"/>
  <c r="F16" i="19"/>
  <c r="H14" i="48" l="1"/>
  <c r="H13" i="47"/>
  <c r="C18" i="19"/>
  <c r="E17" i="19"/>
  <c r="E18" i="18"/>
  <c r="C19" i="18"/>
  <c r="C18" i="17"/>
  <c r="E17" i="17"/>
  <c r="K12" i="47"/>
  <c r="J14" i="48"/>
  <c r="G16" i="17"/>
  <c r="F17" i="19"/>
  <c r="G16" i="19"/>
  <c r="F18" i="18"/>
  <c r="G17" i="18"/>
  <c r="K13" i="48"/>
  <c r="F17" i="17"/>
  <c r="J13" i="47"/>
  <c r="H15" i="48" l="1"/>
  <c r="H14" i="47"/>
  <c r="E18" i="19"/>
  <c r="C19" i="19"/>
  <c r="E19" i="18"/>
  <c r="C20" i="18"/>
  <c r="E18" i="17"/>
  <c r="C19" i="17"/>
  <c r="F19" i="18"/>
  <c r="G17" i="17"/>
  <c r="J14" i="47"/>
  <c r="K14" i="48"/>
  <c r="F18" i="19"/>
  <c r="G18" i="18"/>
  <c r="G17" i="19"/>
  <c r="F18" i="17"/>
  <c r="K13" i="47"/>
  <c r="J15" i="48"/>
  <c r="H16" i="48" l="1"/>
  <c r="H15" i="47"/>
  <c r="C20" i="19"/>
  <c r="E19" i="19"/>
  <c r="C21" i="18"/>
  <c r="E20" i="18"/>
  <c r="C20" i="17"/>
  <c r="E19" i="17"/>
  <c r="G18" i="19"/>
  <c r="G19" i="18"/>
  <c r="K15" i="48"/>
  <c r="G18" i="17"/>
  <c r="J15" i="47"/>
  <c r="F19" i="17"/>
  <c r="K14" i="47"/>
  <c r="F20" i="18"/>
  <c r="J16" i="48"/>
  <c r="F19" i="19"/>
  <c r="H17" i="48" l="1"/>
  <c r="H16" i="47"/>
  <c r="E20" i="19"/>
  <c r="C21" i="19"/>
  <c r="C22" i="18"/>
  <c r="E21" i="18"/>
  <c r="E20" i="17"/>
  <c r="C21" i="17"/>
  <c r="J16" i="47"/>
  <c r="G19" i="17"/>
  <c r="G19" i="19"/>
  <c r="F20" i="19"/>
  <c r="F20" i="17"/>
  <c r="G20" i="18"/>
  <c r="F21" i="18"/>
  <c r="J17" i="48"/>
  <c r="K16" i="48"/>
  <c r="K15" i="47"/>
  <c r="H18" i="48" l="1"/>
  <c r="H17" i="47"/>
  <c r="E21" i="19"/>
  <c r="C22" i="19"/>
  <c r="E22" i="18"/>
  <c r="C23" i="18"/>
  <c r="E21" i="17"/>
  <c r="C22" i="17"/>
  <c r="K16" i="47"/>
  <c r="J17" i="47"/>
  <c r="F22" i="18"/>
  <c r="K17" i="48"/>
  <c r="J18" i="48"/>
  <c r="F21" i="17"/>
  <c r="F21" i="19"/>
  <c r="G21" i="18"/>
  <c r="G20" i="17"/>
  <c r="G20" i="19"/>
  <c r="H19" i="48" l="1"/>
  <c r="H18" i="47"/>
  <c r="C23" i="19"/>
  <c r="E22" i="19"/>
  <c r="C24" i="18"/>
  <c r="E23" i="18"/>
  <c r="C23" i="17"/>
  <c r="E22" i="17"/>
  <c r="J18" i="47"/>
  <c r="G21" i="17"/>
  <c r="F23" i="18"/>
  <c r="K18" i="48"/>
  <c r="K17" i="47"/>
  <c r="F22" i="19"/>
  <c r="G21" i="19"/>
  <c r="F22" i="17"/>
  <c r="J19" i="48"/>
  <c r="G22" i="18"/>
  <c r="H20" i="48" l="1"/>
  <c r="H19" i="47"/>
  <c r="E23" i="19"/>
  <c r="C24" i="19"/>
  <c r="C25" i="18"/>
  <c r="E24" i="18"/>
  <c r="E23" i="17"/>
  <c r="C24" i="17"/>
  <c r="G22" i="19"/>
  <c r="F23" i="17"/>
  <c r="G22" i="17"/>
  <c r="F23" i="19"/>
  <c r="F24" i="18"/>
  <c r="G23" i="18"/>
  <c r="K19" i="48"/>
  <c r="J20" i="48"/>
  <c r="J19" i="47"/>
  <c r="K18" i="47"/>
  <c r="H21" i="48" l="1"/>
  <c r="H20" i="47"/>
  <c r="E24" i="19"/>
  <c r="C25" i="19"/>
  <c r="C26" i="18"/>
  <c r="E25" i="18"/>
  <c r="E24" i="17"/>
  <c r="C25" i="17"/>
  <c r="K20" i="48"/>
  <c r="K19" i="47"/>
  <c r="F25" i="18"/>
  <c r="J21" i="48"/>
  <c r="F24" i="19"/>
  <c r="G24" i="18"/>
  <c r="F24" i="17"/>
  <c r="G23" i="19"/>
  <c r="J20" i="47"/>
  <c r="G23" i="17"/>
  <c r="H22" i="48" l="1"/>
  <c r="H21" i="47"/>
  <c r="C26" i="19"/>
  <c r="E25" i="19"/>
  <c r="E26" i="18"/>
  <c r="C27" i="18"/>
  <c r="C26" i="17"/>
  <c r="E25" i="17"/>
  <c r="J22" i="48"/>
  <c r="F25" i="19"/>
  <c r="G25" i="18"/>
  <c r="G24" i="19"/>
  <c r="K21" i="48"/>
  <c r="G24" i="17"/>
  <c r="F26" i="18"/>
  <c r="F25" i="17"/>
  <c r="K20" i="47"/>
  <c r="J21" i="47"/>
  <c r="H23" i="48" l="1"/>
  <c r="H22" i="47"/>
  <c r="E26" i="19"/>
  <c r="C27" i="19"/>
  <c r="E27" i="18"/>
  <c r="C28" i="18"/>
  <c r="E26" i="17"/>
  <c r="C27" i="17"/>
  <c r="F27" i="18"/>
  <c r="G25" i="19"/>
  <c r="J23" i="48"/>
  <c r="J22" i="47"/>
  <c r="G25" i="17"/>
  <c r="F26" i="19"/>
  <c r="F26" i="17"/>
  <c r="K22" i="48"/>
  <c r="G26" i="18"/>
  <c r="K21" i="47"/>
  <c r="H24" i="48" l="1"/>
  <c r="H23" i="47"/>
  <c r="C28" i="19"/>
  <c r="E27" i="19"/>
  <c r="C29" i="18"/>
  <c r="E28" i="18"/>
  <c r="C28" i="17"/>
  <c r="E27" i="17"/>
  <c r="J24" i="48"/>
  <c r="J23" i="47"/>
  <c r="K23" i="48"/>
  <c r="F28" i="18"/>
  <c r="G26" i="19"/>
  <c r="G26" i="17"/>
  <c r="G27" i="18"/>
  <c r="K22" i="47"/>
  <c r="F27" i="17"/>
  <c r="F27" i="19"/>
  <c r="H25" i="48" l="1"/>
  <c r="H24" i="47"/>
  <c r="E28" i="19"/>
  <c r="C29" i="19"/>
  <c r="C30" i="18"/>
  <c r="E29" i="18"/>
  <c r="E28" i="17"/>
  <c r="C29" i="17"/>
  <c r="F28" i="19"/>
  <c r="J25" i="48"/>
  <c r="J24" i="47"/>
  <c r="F29" i="18"/>
  <c r="G27" i="19"/>
  <c r="K23" i="47"/>
  <c r="G28" i="18"/>
  <c r="K24" i="48"/>
  <c r="G27" i="17"/>
  <c r="F28" i="17"/>
  <c r="H26" i="48" l="1"/>
  <c r="H25" i="47"/>
  <c r="E29" i="19"/>
  <c r="C30" i="19"/>
  <c r="E30" i="18"/>
  <c r="C31" i="18"/>
  <c r="E29" i="17"/>
  <c r="C30" i="17"/>
  <c r="K25" i="48"/>
  <c r="G28" i="19"/>
  <c r="J26" i="48"/>
  <c r="G28" i="17"/>
  <c r="F30" i="18"/>
  <c r="F29" i="17"/>
  <c r="F29" i="19"/>
  <c r="G29" i="18"/>
  <c r="K24" i="47"/>
  <c r="J25" i="47"/>
  <c r="H27" i="48" l="1"/>
  <c r="H26" i="47"/>
  <c r="C31" i="19"/>
  <c r="E30" i="19"/>
  <c r="E31" i="18"/>
  <c r="C32" i="18"/>
  <c r="C31" i="17"/>
  <c r="E30" i="17"/>
  <c r="G29" i="17"/>
  <c r="F30" i="17"/>
  <c r="F30" i="19"/>
  <c r="F31" i="18"/>
  <c r="G30" i="18"/>
  <c r="J27" i="48"/>
  <c r="G29" i="19"/>
  <c r="J26" i="47"/>
  <c r="K25" i="47"/>
  <c r="K26" i="48"/>
  <c r="H28" i="48" l="1"/>
  <c r="H27" i="47"/>
  <c r="E31" i="19"/>
  <c r="C32" i="19"/>
  <c r="C33" i="18"/>
  <c r="E32" i="18"/>
  <c r="C32" i="17"/>
  <c r="E31" i="17"/>
  <c r="K26" i="47"/>
  <c r="J27" i="47"/>
  <c r="G30" i="19"/>
  <c r="G31" i="18"/>
  <c r="K27" i="48"/>
  <c r="G30" i="17"/>
  <c r="F32" i="18"/>
  <c r="F31" i="19"/>
  <c r="J28" i="48"/>
  <c r="F31" i="17"/>
  <c r="H29" i="48" l="1"/>
  <c r="H28" i="47"/>
  <c r="E32" i="19"/>
  <c r="C33" i="19"/>
  <c r="C34" i="18"/>
  <c r="E33" i="18"/>
  <c r="E32" i="17"/>
  <c r="C33" i="17"/>
  <c r="F32" i="19"/>
  <c r="G32" i="18"/>
  <c r="K28" i="48"/>
  <c r="G31" i="19"/>
  <c r="F32" i="17"/>
  <c r="J28" i="47"/>
  <c r="K27" i="47"/>
  <c r="J29" i="48"/>
  <c r="G31" i="17"/>
  <c r="F33" i="18"/>
  <c r="H30" i="48" l="1"/>
  <c r="H29" i="47"/>
  <c r="C34" i="19"/>
  <c r="E33" i="19"/>
  <c r="E34" i="18"/>
  <c r="C35" i="18"/>
  <c r="C34" i="17"/>
  <c r="E33" i="17"/>
  <c r="G32" i="19"/>
  <c r="K29" i="48"/>
  <c r="F34" i="18"/>
  <c r="G33" i="18"/>
  <c r="J30" i="48"/>
  <c r="G32" i="17"/>
  <c r="F33" i="17"/>
  <c r="J29" i="47"/>
  <c r="F33" i="19"/>
  <c r="K28" i="47"/>
  <c r="H31" i="48" l="1"/>
  <c r="H30" i="47"/>
  <c r="E34" i="19"/>
  <c r="C35" i="19"/>
  <c r="E35" i="18"/>
  <c r="C36" i="18"/>
  <c r="E34" i="17"/>
  <c r="C35" i="17"/>
  <c r="F35" i="18"/>
  <c r="F34" i="19"/>
  <c r="F34" i="17"/>
  <c r="G33" i="19"/>
  <c r="J30" i="47"/>
  <c r="K29" i="47"/>
  <c r="G34" i="18"/>
  <c r="K30" i="48"/>
  <c r="G33" i="17"/>
  <c r="J31" i="48"/>
  <c r="H32" i="48" l="1"/>
  <c r="H31" i="47"/>
  <c r="C36" i="19"/>
  <c r="E35" i="19"/>
  <c r="C37" i="18"/>
  <c r="E36" i="18"/>
  <c r="C36" i="17"/>
  <c r="E35" i="17"/>
  <c r="J31" i="47"/>
  <c r="G34" i="19"/>
  <c r="K31" i="48"/>
  <c r="F36" i="18"/>
  <c r="F35" i="17"/>
  <c r="J32" i="48"/>
  <c r="G34" i="17"/>
  <c r="F35" i="19"/>
  <c r="G35" i="18"/>
  <c r="K30" i="47"/>
  <c r="H33" i="48" l="1"/>
  <c r="H32" i="47"/>
  <c r="E36" i="19"/>
  <c r="C37" i="19"/>
  <c r="E37" i="18"/>
  <c r="C38" i="18"/>
  <c r="E36" i="17"/>
  <c r="C37" i="17"/>
  <c r="G35" i="17"/>
  <c r="J33" i="48"/>
  <c r="G35" i="19"/>
  <c r="F36" i="17"/>
  <c r="F36" i="19"/>
  <c r="K31" i="47"/>
  <c r="F37" i="18"/>
  <c r="G36" i="18"/>
  <c r="K32" i="48"/>
  <c r="J32" i="47"/>
  <c r="H34" i="48" l="1"/>
  <c r="H33" i="47"/>
  <c r="E37" i="19"/>
  <c r="C38" i="19"/>
  <c r="E38" i="18"/>
  <c r="C39" i="18"/>
  <c r="E37" i="17"/>
  <c r="C38" i="17"/>
  <c r="J33" i="47"/>
  <c r="K33" i="48"/>
  <c r="J34" i="48"/>
  <c r="G37" i="18"/>
  <c r="F37" i="17"/>
  <c r="F38" i="18"/>
  <c r="K32" i="47"/>
  <c r="G36" i="19"/>
  <c r="F37" i="19"/>
  <c r="G36" i="17"/>
  <c r="H35" i="48" l="1"/>
  <c r="H34" i="47"/>
  <c r="C39" i="19"/>
  <c r="E38" i="19"/>
  <c r="E39" i="18"/>
  <c r="C40" i="18"/>
  <c r="C39" i="17"/>
  <c r="E38" i="17"/>
  <c r="F39" i="18"/>
  <c r="J34" i="47"/>
  <c r="F38" i="19"/>
  <c r="J35" i="48"/>
  <c r="K34" i="48"/>
  <c r="G37" i="17"/>
  <c r="F38" i="17"/>
  <c r="G38" i="18"/>
  <c r="G37" i="19"/>
  <c r="K33" i="47"/>
  <c r="H36" i="48" l="1"/>
  <c r="H35" i="47"/>
  <c r="E39" i="19"/>
  <c r="C40" i="19"/>
  <c r="E40" i="18"/>
  <c r="C41" i="18"/>
  <c r="C40" i="17"/>
  <c r="E39" i="17"/>
  <c r="K34" i="47"/>
  <c r="J35" i="47"/>
  <c r="J36" i="48"/>
  <c r="G39" i="18"/>
  <c r="F39" i="17"/>
  <c r="G38" i="17"/>
  <c r="F39" i="19"/>
  <c r="K35" i="48"/>
  <c r="F40" i="18"/>
  <c r="G38" i="19"/>
  <c r="H37" i="48" l="1"/>
  <c r="H36" i="47"/>
  <c r="C41" i="19"/>
  <c r="E40" i="19"/>
  <c r="E41" i="18"/>
  <c r="C42" i="18"/>
  <c r="E42" i="18" s="1"/>
  <c r="E40" i="17"/>
  <c r="C41" i="17"/>
  <c r="G39" i="19"/>
  <c r="J36" i="47"/>
  <c r="K36" i="48"/>
  <c r="G40" i="18"/>
  <c r="J37" i="48"/>
  <c r="F40" i="17"/>
  <c r="F41" i="18"/>
  <c r="F42" i="18"/>
  <c r="F40" i="19"/>
  <c r="K35" i="47"/>
  <c r="G39" i="17"/>
  <c r="F4" i="18"/>
  <c r="H38" i="48" l="1"/>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43" i="13"/>
  <c r="G39" i="15"/>
  <c r="G30" i="13"/>
  <c r="G47" i="15"/>
  <c r="G63" i="15"/>
  <c r="G37" i="14"/>
  <c r="G64" i="14"/>
  <c r="F6" i="12"/>
  <c r="G56" i="13"/>
  <c r="G8" i="15"/>
  <c r="G19" i="13"/>
  <c r="G35" i="13"/>
  <c r="G61" i="15"/>
  <c r="G10" i="14"/>
  <c r="G11" i="15"/>
  <c r="G26" i="15"/>
  <c r="G40" i="14"/>
  <c r="G23" i="13"/>
  <c r="G22" i="14"/>
  <c r="G35" i="15"/>
  <c r="G66" i="13"/>
  <c r="G29" i="14"/>
  <c r="G27" i="14"/>
  <c r="G31" i="15"/>
  <c r="G38" i="15"/>
  <c r="G46" i="13"/>
  <c r="G21" i="14"/>
  <c r="F19" i="12"/>
  <c r="G44" i="14"/>
  <c r="G36" i="15"/>
  <c r="G40" i="19"/>
  <c r="G34" i="15"/>
  <c r="G31" i="13"/>
  <c r="G56" i="14"/>
  <c r="G31" i="14"/>
  <c r="G48" i="13"/>
  <c r="G40" i="15"/>
  <c r="G37" i="13"/>
  <c r="G59" i="14"/>
  <c r="G26" i="14"/>
  <c r="G40" i="17"/>
  <c r="G30" i="15"/>
  <c r="G15" i="13"/>
  <c r="G11" i="13"/>
  <c r="G12" i="14"/>
  <c r="G60" i="14"/>
  <c r="F18" i="12"/>
  <c r="F20" i="12"/>
  <c r="G42" i="18"/>
  <c r="G20" i="15"/>
  <c r="J38" i="48"/>
  <c r="G9" i="13"/>
  <c r="G13" i="15"/>
  <c r="G52" i="13"/>
  <c r="G66" i="14"/>
  <c r="F11" i="12"/>
  <c r="J37" i="47"/>
  <c r="G61" i="13"/>
  <c r="G33" i="15"/>
  <c r="G50" i="13"/>
  <c r="G22" i="15"/>
  <c r="G7" i="14"/>
  <c r="G27" i="15"/>
  <c r="F15" i="12"/>
  <c r="G14" i="14"/>
  <c r="G33" i="14"/>
  <c r="G62" i="14"/>
  <c r="G35" i="14"/>
  <c r="G55" i="13"/>
  <c r="G32" i="15"/>
  <c r="G9" i="15"/>
  <c r="G33" i="13"/>
  <c r="F12" i="12"/>
  <c r="G12" i="13"/>
  <c r="G52" i="14"/>
  <c r="G17" i="14"/>
  <c r="G18" i="14"/>
  <c r="G64" i="13"/>
  <c r="G23" i="15"/>
  <c r="G55" i="14"/>
  <c r="G37" i="15"/>
  <c r="G43" i="14"/>
  <c r="G58" i="14"/>
  <c r="G15" i="14"/>
  <c r="G52" i="15"/>
  <c r="G53" i="14"/>
  <c r="G21" i="15"/>
  <c r="G54" i="14"/>
  <c r="G57" i="14"/>
  <c r="G58" i="15"/>
  <c r="G29" i="15"/>
  <c r="G41" i="13"/>
  <c r="G56" i="15"/>
  <c r="G63" i="13"/>
  <c r="G20" i="13"/>
  <c r="G62" i="15"/>
  <c r="G25" i="13"/>
  <c r="G8" i="14"/>
  <c r="F41" i="19"/>
  <c r="G60" i="15"/>
  <c r="G18" i="13"/>
  <c r="G65" i="14"/>
  <c r="F42" i="17"/>
  <c r="G21" i="13"/>
  <c r="G41" i="15"/>
  <c r="G41" i="14"/>
  <c r="G47" i="14"/>
  <c r="G7" i="13"/>
  <c r="G59" i="15"/>
  <c r="G40" i="13"/>
  <c r="F17" i="12"/>
  <c r="G58" i="13"/>
  <c r="J39" i="48"/>
  <c r="F16" i="12"/>
  <c r="K36" i="47"/>
  <c r="G53" i="13"/>
  <c r="F7" i="12"/>
  <c r="G46" i="15"/>
  <c r="G49" i="14"/>
  <c r="G51" i="14"/>
  <c r="G42" i="13"/>
  <c r="F10" i="12"/>
  <c r="G10" i="15"/>
  <c r="G29" i="13"/>
  <c r="G13" i="13"/>
  <c r="G41" i="18"/>
  <c r="G24" i="14"/>
  <c r="G7" i="15"/>
  <c r="G51" i="13"/>
  <c r="G45" i="14"/>
  <c r="G65" i="15"/>
  <c r="G23" i="14"/>
  <c r="G10" i="13"/>
  <c r="G8" i="13"/>
  <c r="G39" i="13"/>
  <c r="F42" i="19"/>
  <c r="G57" i="15"/>
  <c r="G63" i="14"/>
  <c r="G43" i="15"/>
  <c r="G36" i="13"/>
  <c r="G60" i="13"/>
  <c r="G12" i="15"/>
  <c r="G55" i="15"/>
  <c r="F13" i="12"/>
  <c r="G42" i="15"/>
  <c r="G19" i="14"/>
  <c r="G27" i="13"/>
  <c r="G49" i="13"/>
  <c r="G38" i="14"/>
  <c r="G48" i="15"/>
  <c r="G17" i="13"/>
  <c r="G9" i="14"/>
  <c r="G65" i="13"/>
  <c r="G14" i="13"/>
  <c r="G46" i="14"/>
  <c r="G61" i="14"/>
  <c r="G44" i="13"/>
  <c r="G28" i="13"/>
  <c r="F9" i="12"/>
  <c r="G54" i="13"/>
  <c r="F8" i="12"/>
  <c r="G36" i="14"/>
  <c r="K37" i="48"/>
  <c r="G25" i="15"/>
  <c r="G45" i="13"/>
  <c r="G16" i="14"/>
  <c r="G16" i="15"/>
  <c r="G59" i="13"/>
  <c r="G45" i="15"/>
  <c r="F41" i="17"/>
  <c r="G34" i="13"/>
  <c r="G32" i="13"/>
  <c r="G44" i="15"/>
  <c r="G53" i="15"/>
  <c r="G19" i="15"/>
  <c r="G20" i="14"/>
  <c r="G48" i="14"/>
  <c r="G17" i="15"/>
  <c r="G25" i="14"/>
  <c r="G26" i="13"/>
  <c r="G47" i="13"/>
  <c r="G32" i="14"/>
  <c r="G15" i="15"/>
  <c r="G18" i="15"/>
  <c r="G66" i="15"/>
  <c r="G24" i="13"/>
  <c r="G30" i="14"/>
  <c r="G13" i="14"/>
  <c r="G50" i="15"/>
  <c r="G38" i="13"/>
  <c r="G64" i="15"/>
  <c r="G24" i="15"/>
  <c r="G57" i="13"/>
  <c r="G11" i="14"/>
  <c r="G62" i="13"/>
  <c r="G28" i="14"/>
  <c r="G49" i="15"/>
  <c r="G14" i="15"/>
  <c r="G42" i="14"/>
  <c r="G34" i="14"/>
  <c r="G16" i="13"/>
  <c r="G22" i="13"/>
  <c r="G39" i="14"/>
  <c r="G51" i="15"/>
  <c r="G28" i="15"/>
  <c r="G50" i="14"/>
  <c r="F14" i="12"/>
  <c r="G54" i="15"/>
  <c r="G4" i="18"/>
  <c r="F4" i="17"/>
  <c r="G6" i="14"/>
  <c r="F4" i="19"/>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H44" i="14"/>
  <c r="G12" i="12"/>
  <c r="G30" i="8"/>
  <c r="G29" i="9"/>
  <c r="H33" i="14"/>
  <c r="H64" i="15"/>
  <c r="G36" i="9"/>
  <c r="H15" i="15"/>
  <c r="J14" i="6"/>
  <c r="H28" i="13"/>
  <c r="H29" i="13"/>
  <c r="G21" i="8"/>
  <c r="G14" i="9"/>
  <c r="G57" i="8"/>
  <c r="G41" i="9"/>
  <c r="F12" i="7"/>
  <c r="G49" i="8"/>
  <c r="G34" i="9"/>
  <c r="G19" i="10"/>
  <c r="G52" i="10"/>
  <c r="H42" i="14"/>
  <c r="H53" i="14"/>
  <c r="J21" i="6"/>
  <c r="H49" i="15"/>
  <c r="F7" i="7"/>
  <c r="H62" i="15"/>
  <c r="G57" i="9"/>
  <c r="G54" i="10"/>
  <c r="H36" i="15"/>
  <c r="G60" i="9"/>
  <c r="H59" i="13"/>
  <c r="G35" i="9"/>
  <c r="H17" i="15"/>
  <c r="G59" i="10"/>
  <c r="F6" i="7"/>
  <c r="H49" i="13"/>
  <c r="G62" i="10"/>
  <c r="G49" i="10"/>
  <c r="G35" i="8"/>
  <c r="H31" i="13"/>
  <c r="G28" i="9"/>
  <c r="G47" i="8"/>
  <c r="G16" i="8"/>
  <c r="G41" i="10"/>
  <c r="G9" i="8"/>
  <c r="H46" i="13"/>
  <c r="G58" i="10"/>
  <c r="F11" i="7"/>
  <c r="G16" i="12"/>
  <c r="G49" i="9"/>
  <c r="G17" i="10"/>
  <c r="G26" i="9"/>
  <c r="G61" i="9"/>
  <c r="G36" i="10"/>
  <c r="G58" i="8"/>
  <c r="H27" i="14"/>
  <c r="G59" i="9"/>
  <c r="H48" i="14"/>
  <c r="H26" i="14"/>
  <c r="G39" i="9"/>
  <c r="H31" i="15"/>
  <c r="F15" i="7"/>
  <c r="H48" i="13"/>
  <c r="H33" i="15"/>
  <c r="H41" i="14"/>
  <c r="G24" i="9"/>
  <c r="H60" i="15"/>
  <c r="H21" i="13"/>
  <c r="G20" i="10"/>
  <c r="H53" i="13"/>
  <c r="G48" i="8"/>
  <c r="H22" i="15"/>
  <c r="G17" i="12"/>
  <c r="G44" i="9"/>
  <c r="H35" i="14"/>
  <c r="G15" i="10"/>
  <c r="H62" i="14"/>
  <c r="H18" i="14"/>
  <c r="G25" i="9"/>
  <c r="H10" i="15"/>
  <c r="H58" i="14"/>
  <c r="G26" i="8"/>
  <c r="G9" i="10"/>
  <c r="G62" i="9"/>
  <c r="H25" i="14"/>
  <c r="G9" i="9"/>
  <c r="H41" i="15"/>
  <c r="G28" i="8"/>
  <c r="G42" i="19"/>
  <c r="H15" i="13"/>
  <c r="H21" i="14"/>
  <c r="G54" i="9"/>
  <c r="H16" i="14"/>
  <c r="J12" i="6"/>
  <c r="G50" i="10"/>
  <c r="J11" i="6"/>
  <c r="H59" i="14"/>
  <c r="G8" i="12"/>
  <c r="G33" i="9"/>
  <c r="H34" i="14"/>
  <c r="G35" i="10"/>
  <c r="H40" i="13"/>
  <c r="H12" i="15"/>
  <c r="H12" i="13"/>
  <c r="G44" i="10"/>
  <c r="G13" i="10"/>
  <c r="H32" i="15"/>
  <c r="G26" i="10"/>
  <c r="H45" i="15"/>
  <c r="G37" i="10"/>
  <c r="G7" i="8"/>
  <c r="G9" i="12"/>
  <c r="G42" i="17"/>
  <c r="H54" i="14"/>
  <c r="G40" i="9"/>
  <c r="G36" i="8"/>
  <c r="H50" i="15"/>
  <c r="G50" i="8"/>
  <c r="H37" i="13"/>
  <c r="G12" i="10"/>
  <c r="G64" i="10"/>
  <c r="K38" i="48"/>
  <c r="H23" i="14"/>
  <c r="H14" i="13"/>
  <c r="F17" i="7"/>
  <c r="G56" i="8"/>
  <c r="G53" i="9"/>
  <c r="G51" i="8"/>
  <c r="H7" i="13"/>
  <c r="J17" i="6"/>
  <c r="H51" i="14"/>
  <c r="G52" i="8"/>
  <c r="G21" i="10"/>
  <c r="H10" i="14"/>
  <c r="G32" i="8"/>
  <c r="H21" i="15"/>
  <c r="H11" i="15"/>
  <c r="H61" i="15"/>
  <c r="G65" i="9"/>
  <c r="G39" i="8"/>
  <c r="G12" i="9"/>
  <c r="G46" i="10"/>
  <c r="H11" i="14"/>
  <c r="G18" i="10"/>
  <c r="H29" i="14"/>
  <c r="H20" i="14"/>
  <c r="G17" i="9"/>
  <c r="G14" i="12"/>
  <c r="H7" i="15"/>
  <c r="J8" i="6"/>
  <c r="F13" i="7"/>
  <c r="K37" i="47"/>
  <c r="G30" i="9"/>
  <c r="H27" i="13"/>
  <c r="H46" i="14"/>
  <c r="G64" i="8"/>
  <c r="H64" i="13"/>
  <c r="H55" i="13"/>
  <c r="H38" i="14"/>
  <c r="G17" i="8"/>
  <c r="H56" i="15"/>
  <c r="G34" i="8"/>
  <c r="G64" i="9"/>
  <c r="H63" i="14"/>
  <c r="H10" i="13"/>
  <c r="H7" i="14"/>
  <c r="H65" i="14"/>
  <c r="G23" i="10"/>
  <c r="G66" i="8"/>
  <c r="H20" i="13"/>
  <c r="G43" i="9"/>
  <c r="G13" i="8"/>
  <c r="H63" i="15"/>
  <c r="G54" i="8"/>
  <c r="G47" i="10"/>
  <c r="H42" i="15"/>
  <c r="H48" i="15"/>
  <c r="H9" i="13"/>
  <c r="H30" i="13"/>
  <c r="G60" i="10"/>
  <c r="G65" i="10"/>
  <c r="H33" i="13"/>
  <c r="H30" i="14"/>
  <c r="G55" i="8"/>
  <c r="F8" i="7"/>
  <c r="G53" i="8"/>
  <c r="G14" i="10"/>
  <c r="G8" i="10"/>
  <c r="J16" i="6"/>
  <c r="G19" i="9"/>
  <c r="G43" i="10"/>
  <c r="G11" i="10"/>
  <c r="H58" i="15"/>
  <c r="H27" i="15"/>
  <c r="G37" i="9"/>
  <c r="H24" i="15"/>
  <c r="G31" i="10"/>
  <c r="G53" i="10"/>
  <c r="G11" i="12"/>
  <c r="H46" i="15"/>
  <c r="H12" i="14"/>
  <c r="H54" i="15"/>
  <c r="H65" i="15"/>
  <c r="G6" i="12"/>
  <c r="H15" i="14"/>
  <c r="G7" i="10"/>
  <c r="F18" i="7"/>
  <c r="H19" i="13"/>
  <c r="H25" i="15"/>
  <c r="G37" i="8"/>
  <c r="G18" i="12"/>
  <c r="G42" i="8"/>
  <c r="H50" i="13"/>
  <c r="H61" i="13"/>
  <c r="H60" i="13"/>
  <c r="H8" i="14"/>
  <c r="J10" i="6"/>
  <c r="G41" i="17"/>
  <c r="H55" i="15"/>
  <c r="H43" i="13"/>
  <c r="G13" i="12"/>
  <c r="G51" i="9"/>
  <c r="G18" i="9"/>
  <c r="G18" i="8"/>
  <c r="G14" i="8"/>
  <c r="H57" i="14"/>
  <c r="G45" i="9"/>
  <c r="H41" i="13"/>
  <c r="G55" i="10"/>
  <c r="H29" i="15"/>
  <c r="G10" i="9"/>
  <c r="G24" i="8"/>
  <c r="H49" i="14"/>
  <c r="G42" i="9"/>
  <c r="H28" i="14"/>
  <c r="H40" i="15"/>
  <c r="G57" i="10"/>
  <c r="J18" i="6"/>
  <c r="H25" i="13"/>
  <c r="J38" i="47"/>
  <c r="H39" i="14"/>
  <c r="G33" i="8"/>
  <c r="G20" i="8"/>
  <c r="G61" i="10"/>
  <c r="H37" i="14"/>
  <c r="H39" i="15"/>
  <c r="G32" i="9"/>
  <c r="G24" i="10"/>
  <c r="H22" i="13"/>
  <c r="G27" i="8"/>
  <c r="L6" i="6"/>
  <c r="G61" i="8"/>
  <c r="G45" i="10"/>
  <c r="G63" i="8"/>
  <c r="H32" i="13"/>
  <c r="G23" i="8"/>
  <c r="G7" i="9"/>
  <c r="G40" i="10"/>
  <c r="H18" i="13"/>
  <c r="G45" i="8"/>
  <c r="G55" i="9"/>
  <c r="H44" i="15"/>
  <c r="G48" i="10"/>
  <c r="H43" i="14"/>
  <c r="F19" i="7"/>
  <c r="F20" i="7"/>
  <c r="G52" i="9"/>
  <c r="G22" i="9"/>
  <c r="H26" i="15"/>
  <c r="H9" i="15"/>
  <c r="H38" i="13"/>
  <c r="Y3" i="28"/>
  <c r="J19" i="6"/>
  <c r="G29" i="8"/>
  <c r="G16" i="9"/>
  <c r="J20" i="6"/>
  <c r="J22" i="6"/>
  <c r="G59" i="8"/>
  <c r="H39" i="13"/>
  <c r="H66" i="14"/>
  <c r="H52" i="15"/>
  <c r="H42" i="13"/>
  <c r="J13" i="6"/>
  <c r="H17" i="13"/>
  <c r="J9" i="6"/>
  <c r="H65" i="13"/>
  <c r="G31" i="8"/>
  <c r="G23" i="9"/>
  <c r="F10" i="7"/>
  <c r="G15" i="12"/>
  <c r="G8" i="8"/>
  <c r="H63" i="13"/>
  <c r="H66" i="15"/>
  <c r="G11" i="8"/>
  <c r="H9" i="14"/>
  <c r="J15" i="6"/>
  <c r="G27" i="10"/>
  <c r="G62" i="8"/>
  <c r="G10" i="12"/>
  <c r="G60" i="8"/>
  <c r="G58" i="9"/>
  <c r="H54" i="13"/>
  <c r="G46" i="8"/>
  <c r="H8" i="15"/>
  <c r="G47" i="9"/>
  <c r="F14" i="7"/>
  <c r="H44" i="13"/>
  <c r="H24" i="13"/>
  <c r="G10" i="10"/>
  <c r="H40" i="14"/>
  <c r="G19" i="8"/>
  <c r="G7" i="12"/>
  <c r="G27" i="9"/>
  <c r="H51" i="15"/>
  <c r="H26" i="13"/>
  <c r="H32" i="14"/>
  <c r="G63" i="9"/>
  <c r="G51" i="10"/>
  <c r="G13" i="9"/>
  <c r="H22" i="14"/>
  <c r="G25" i="10"/>
  <c r="G66" i="9"/>
  <c r="G19" i="12"/>
  <c r="H66" i="13"/>
  <c r="G56" i="9"/>
  <c r="J39" i="47"/>
  <c r="G20" i="9"/>
  <c r="G65" i="8"/>
  <c r="G22" i="8"/>
  <c r="H28" i="15"/>
  <c r="H18" i="15"/>
  <c r="G12" i="8"/>
  <c r="H13" i="14"/>
  <c r="H52" i="13"/>
  <c r="H11" i="13"/>
  <c r="H58" i="13"/>
  <c r="G20" i="12"/>
  <c r="H45" i="14"/>
  <c r="H51" i="13"/>
  <c r="G8" i="9"/>
  <c r="G21" i="9"/>
  <c r="H56" i="14"/>
  <c r="H35" i="15"/>
  <c r="H20" i="15"/>
  <c r="H14" i="15"/>
  <c r="H55" i="14"/>
  <c r="G38" i="8"/>
  <c r="H34" i="13"/>
  <c r="H38" i="15"/>
  <c r="H43" i="15"/>
  <c r="H14" i="14"/>
  <c r="H19" i="15"/>
  <c r="G44" i="8"/>
  <c r="H37" i="15"/>
  <c r="F16" i="7"/>
  <c r="H52" i="14"/>
  <c r="H16" i="13"/>
  <c r="H13" i="13"/>
  <c r="G31" i="9"/>
  <c r="G43" i="8"/>
  <c r="H50" i="14"/>
  <c r="G46" i="9"/>
  <c r="H57" i="13"/>
  <c r="G56" i="10"/>
  <c r="H45" i="13"/>
  <c r="G10" i="8"/>
  <c r="H13" i="15"/>
  <c r="H35" i="13"/>
  <c r="H34" i="15"/>
  <c r="Y48" i="28"/>
  <c r="G50" i="9"/>
  <c r="H60" i="14"/>
  <c r="H57" i="15"/>
  <c r="H19" i="14"/>
  <c r="H36" i="13"/>
  <c r="H31" i="14"/>
  <c r="K39" i="48"/>
  <c r="G11" i="9"/>
  <c r="H47" i="13"/>
  <c r="H53" i="15"/>
  <c r="G22" i="10"/>
  <c r="G48" i="9"/>
  <c r="G25" i="8"/>
  <c r="G28" i="10"/>
  <c r="H47" i="14"/>
  <c r="H24" i="14"/>
  <c r="H56" i="13"/>
  <c r="H36" i="14"/>
  <c r="H23" i="15"/>
  <c r="G30" i="10"/>
  <c r="H30" i="15"/>
  <c r="G41" i="8"/>
  <c r="H47" i="15"/>
  <c r="G34" i="10"/>
  <c r="G38" i="10"/>
  <c r="H62" i="13"/>
  <c r="G15" i="9"/>
  <c r="G63" i="10"/>
  <c r="H64" i="14"/>
  <c r="G40" i="8"/>
  <c r="H16" i="15"/>
  <c r="G16" i="10"/>
  <c r="G39" i="10"/>
  <c r="H17" i="14"/>
  <c r="G42" i="10"/>
  <c r="G32" i="10"/>
  <c r="H59" i="15"/>
  <c r="G15" i="8"/>
  <c r="G38" i="9"/>
  <c r="G29" i="10"/>
  <c r="G66" i="10"/>
  <c r="G41" i="19"/>
  <c r="G33" i="10"/>
  <c r="H23" i="13"/>
  <c r="F9" i="7"/>
  <c r="H61" i="14"/>
  <c r="H8" i="13"/>
  <c r="H6" i="14"/>
  <c r="F5" i="7"/>
  <c r="G6" i="13"/>
  <c r="F5" i="12"/>
  <c r="G6" i="15"/>
  <c r="G4" i="19"/>
  <c r="G4" i="17"/>
  <c r="Y9" i="6" l="1"/>
  <c r="X5" i="19" a="1"/>
  <c r="H21" i="8"/>
  <c r="H17" i="10"/>
  <c r="H64" i="9"/>
  <c r="H52" i="10"/>
  <c r="H17" i="9"/>
  <c r="H25" i="9"/>
  <c r="H33" i="8"/>
  <c r="H63" i="8"/>
  <c r="H57" i="9"/>
  <c r="K9" i="6"/>
  <c r="H43" i="9"/>
  <c r="G9" i="7"/>
  <c r="H59" i="8"/>
  <c r="H19" i="10"/>
  <c r="H47" i="9"/>
  <c r="H20" i="8"/>
  <c r="H53" i="8"/>
  <c r="H43" i="8"/>
  <c r="H46" i="8"/>
  <c r="H60" i="8"/>
  <c r="H31" i="8"/>
  <c r="K20" i="6"/>
  <c r="G16" i="7"/>
  <c r="H59" i="9"/>
  <c r="H40" i="10"/>
  <c r="H41" i="8"/>
  <c r="H24" i="10"/>
  <c r="H7" i="8"/>
  <c r="H27" i="10"/>
  <c r="H50" i="8"/>
  <c r="H45" i="9"/>
  <c r="H15" i="10"/>
  <c r="H8" i="9"/>
  <c r="H37" i="9"/>
  <c r="H44" i="10"/>
  <c r="L13" i="6"/>
  <c r="H16" i="9"/>
  <c r="H26" i="9"/>
  <c r="H55" i="8"/>
  <c r="H49" i="10"/>
  <c r="H18" i="8"/>
  <c r="H53" i="9"/>
  <c r="H37" i="8"/>
  <c r="H66" i="9"/>
  <c r="H39" i="10"/>
  <c r="H64" i="10"/>
  <c r="H18" i="10"/>
  <c r="H9" i="8"/>
  <c r="H29" i="10"/>
  <c r="Z9" i="6"/>
  <c r="H32" i="10"/>
  <c r="H28" i="10"/>
  <c r="H19" i="9"/>
  <c r="H29" i="9"/>
  <c r="H30" i="10"/>
  <c r="H50" i="9"/>
  <c r="H34" i="10"/>
  <c r="H13" i="9"/>
  <c r="H13" i="8"/>
  <c r="G10" i="7"/>
  <c r="H18" i="9"/>
  <c r="H51" i="9"/>
  <c r="H65" i="8"/>
  <c r="H62" i="8"/>
  <c r="H32" i="9"/>
  <c r="K19" i="6"/>
  <c r="G17" i="7"/>
  <c r="K39" i="47"/>
  <c r="H29" i="8"/>
  <c r="H46" i="9"/>
  <c r="H47" i="8"/>
  <c r="H22" i="9"/>
  <c r="H9" i="10"/>
  <c r="H27" i="8"/>
  <c r="L9" i="6"/>
  <c r="G18" i="7"/>
  <c r="H20" i="10"/>
  <c r="L11" i="6"/>
  <c r="H26" i="10"/>
  <c r="H35" i="9"/>
  <c r="H57" i="8"/>
  <c r="H30" i="9"/>
  <c r="H44" i="9"/>
  <c r="H32" i="8"/>
  <c r="G8" i="7"/>
  <c r="H35" i="10"/>
  <c r="H64" i="8"/>
  <c r="H34" i="8"/>
  <c r="K38" i="47"/>
  <c r="H14" i="8"/>
  <c r="H41" i="10"/>
  <c r="H58" i="8"/>
  <c r="H42" i="10"/>
  <c r="H38" i="9"/>
  <c r="H19" i="8"/>
  <c r="H45" i="10"/>
  <c r="H13" i="10"/>
  <c r="H43" i="10"/>
  <c r="H58" i="10"/>
  <c r="H9" i="9"/>
  <c r="H61" i="9"/>
  <c r="H24" i="8"/>
  <c r="H34" i="9"/>
  <c r="G7" i="7"/>
  <c r="H10" i="8"/>
  <c r="H62" i="10"/>
  <c r="H23" i="9"/>
  <c r="H41" i="9"/>
  <c r="H11" i="8"/>
  <c r="H15" i="9"/>
  <c r="L17" i="6"/>
  <c r="H12" i="9"/>
  <c r="H58" i="9"/>
  <c r="H42" i="9"/>
  <c r="K7" i="6"/>
  <c r="H49" i="8"/>
  <c r="H60" i="9"/>
  <c r="H54" i="10"/>
  <c r="H49" i="9"/>
  <c r="H17" i="8"/>
  <c r="H45" i="8"/>
  <c r="H25" i="10"/>
  <c r="H48" i="10"/>
  <c r="L20" i="6"/>
  <c r="H14" i="9"/>
  <c r="G6" i="7"/>
  <c r="H23" i="10"/>
  <c r="H14" i="10"/>
  <c r="H44" i="8"/>
  <c r="H47" i="10"/>
  <c r="H31" i="10"/>
  <c r="L19" i="6"/>
  <c r="H31" i="9"/>
  <c r="H38" i="8"/>
  <c r="H24" i="9"/>
  <c r="H60" i="10"/>
  <c r="H55" i="10"/>
  <c r="H30" i="8"/>
  <c r="H12" i="10"/>
  <c r="H56" i="8"/>
  <c r="H55" i="9"/>
  <c r="H12" i="8"/>
  <c r="H39" i="9"/>
  <c r="H8" i="10"/>
  <c r="H36" i="8"/>
  <c r="H52" i="9"/>
  <c r="G14" i="7"/>
  <c r="H53" i="10"/>
  <c r="H48" i="8"/>
  <c r="H52" i="8"/>
  <c r="H56" i="10"/>
  <c r="L7" i="6"/>
  <c r="H15" i="8"/>
  <c r="H56" i="9"/>
  <c r="H20" i="9"/>
  <c r="H51" i="10"/>
  <c r="H16" i="10"/>
  <c r="G13" i="7"/>
  <c r="H11" i="10"/>
  <c r="H7" i="10"/>
  <c r="H42" i="8"/>
  <c r="H57" i="10"/>
  <c r="H10" i="10"/>
  <c r="G11" i="7"/>
  <c r="H23" i="8"/>
  <c r="H21" i="9"/>
  <c r="H26" i="8"/>
  <c r="H33" i="10"/>
  <c r="H27" i="9"/>
  <c r="H59" i="10"/>
  <c r="L14" i="6"/>
  <c r="H66" i="10"/>
  <c r="H61" i="10"/>
  <c r="H50" i="10"/>
  <c r="H28" i="9"/>
  <c r="G12" i="7"/>
  <c r="G15" i="7"/>
  <c r="G20" i="7"/>
  <c r="H22" i="8"/>
  <c r="H10" i="9"/>
  <c r="H39" i="8"/>
  <c r="K11" i="6"/>
  <c r="H61" i="8"/>
  <c r="H48" i="9"/>
  <c r="H54" i="9"/>
  <c r="H33" i="9"/>
  <c r="H46" i="10"/>
  <c r="H38" i="10"/>
  <c r="H36" i="9"/>
  <c r="H66" i="8"/>
  <c r="H63" i="9"/>
  <c r="H21" i="10"/>
  <c r="H7" i="9"/>
  <c r="H54" i="8"/>
  <c r="H51" i="8"/>
  <c r="H35" i="8"/>
  <c r="H11" i="9"/>
  <c r="K13" i="6"/>
  <c r="H63" i="10"/>
  <c r="H40" i="9"/>
  <c r="H8" i="8"/>
  <c r="H65" i="9"/>
  <c r="H22" i="10"/>
  <c r="H28" i="8"/>
  <c r="H25" i="8"/>
  <c r="H62" i="9"/>
  <c r="H37" i="10"/>
  <c r="H40" i="8"/>
  <c r="H65" i="10"/>
  <c r="H36" i="10"/>
  <c r="G19" i="7"/>
  <c r="H16" i="8"/>
  <c r="G5" i="7"/>
  <c r="H6" i="15"/>
  <c r="G6" i="8"/>
  <c r="G6" i="10"/>
  <c r="G6" i="9"/>
  <c r="G5" i="12"/>
  <c r="H6" i="13"/>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Z15" i="6"/>
  <c r="L12" i="6"/>
  <c r="Z19" i="6"/>
  <c r="K22" i="6"/>
  <c r="Z22" i="6"/>
  <c r="K16" i="6"/>
  <c r="L10" i="6"/>
  <c r="M19" i="6"/>
  <c r="L15" i="6"/>
  <c r="L16" i="6"/>
  <c r="M20" i="6"/>
  <c r="K8" i="6"/>
  <c r="Z16" i="6"/>
  <c r="K15" i="6"/>
  <c r="Z17" i="6"/>
  <c r="Z12" i="6"/>
  <c r="K21" i="6"/>
  <c r="L21" i="6"/>
  <c r="M9" i="6"/>
  <c r="K17" i="6"/>
  <c r="Z20" i="6"/>
  <c r="L8" i="6"/>
  <c r="M13" i="6"/>
  <c r="Z8" i="6"/>
  <c r="K10" i="6"/>
  <c r="Z14" i="6"/>
  <c r="Z18" i="6"/>
  <c r="M11" i="6"/>
  <c r="W9" i="6"/>
  <c r="Z21" i="6"/>
  <c r="Z10" i="6"/>
  <c r="L22" i="6"/>
  <c r="L18" i="6"/>
  <c r="K18" i="6"/>
  <c r="K12" i="6"/>
  <c r="Z11" i="6"/>
  <c r="K14" i="6"/>
  <c r="Z13" i="6"/>
  <c r="M7" i="6"/>
  <c r="H6" i="9"/>
  <c r="J5" i="6"/>
  <c r="H6" i="8"/>
  <c r="H6" i="10"/>
  <c r="AC5" i="19" l="1" a="1"/>
  <c r="AC42" i="19" s="1"/>
  <c r="X5" i="18" a="1"/>
  <c r="W19" i="6"/>
  <c r="M18" i="6"/>
  <c r="W21" i="6"/>
  <c r="W14" i="6"/>
  <c r="W12" i="6"/>
  <c r="AD42" i="19"/>
  <c r="M15" i="6"/>
  <c r="M10" i="6"/>
  <c r="M22" i="6"/>
  <c r="M8" i="6"/>
  <c r="W13" i="6"/>
  <c r="AA9" i="6"/>
  <c r="M17" i="6"/>
  <c r="W8" i="6"/>
  <c r="W20" i="6"/>
  <c r="W15" i="6"/>
  <c r="W11" i="6"/>
  <c r="W16" i="6"/>
  <c r="M16" i="6"/>
  <c r="M21" i="6"/>
  <c r="M12" i="6"/>
  <c r="W17" i="6"/>
  <c r="M14" i="6"/>
  <c r="W22" i="6"/>
  <c r="W18" i="6"/>
  <c r="W10"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A14" i="6"/>
  <c r="AD12" i="19"/>
  <c r="AD23" i="19"/>
  <c r="AD27" i="19"/>
  <c r="AA13" i="6"/>
  <c r="AD17" i="19"/>
  <c r="AD18" i="19"/>
  <c r="AD15" i="19"/>
  <c r="AD13" i="19"/>
  <c r="AD22" i="19"/>
  <c r="AD10" i="19"/>
  <c r="AA20" i="6"/>
  <c r="AD21" i="19"/>
  <c r="AD30" i="19"/>
  <c r="AD11" i="19"/>
  <c r="AD39" i="19"/>
  <c r="AC9" i="6"/>
  <c r="AA12" i="6"/>
  <c r="AA8" i="6"/>
  <c r="AA18" i="6"/>
  <c r="AD20" i="19"/>
  <c r="AA10" i="6"/>
  <c r="AD5" i="19"/>
  <c r="AD14" i="19"/>
  <c r="AD37" i="19"/>
  <c r="AD41" i="19"/>
  <c r="AD19" i="19"/>
  <c r="AA11" i="6"/>
  <c r="AA22" i="6"/>
  <c r="AD40" i="19"/>
  <c r="AD29" i="19"/>
  <c r="AD7" i="19"/>
  <c r="AA15" i="6"/>
  <c r="AD33" i="19"/>
  <c r="AD36" i="19"/>
  <c r="AA17" i="6"/>
  <c r="AD31" i="19"/>
  <c r="AD8" i="19"/>
  <c r="AA19" i="6"/>
  <c r="AD25" i="19"/>
  <c r="AA16" i="6"/>
  <c r="AD38" i="19"/>
  <c r="AD16" i="19"/>
  <c r="AD34" i="19"/>
  <c r="AD6" i="19"/>
  <c r="AD26" i="19"/>
  <c r="AD9" i="19"/>
  <c r="AD28" i="19"/>
  <c r="AD32" i="19"/>
  <c r="AD24" i="19"/>
  <c r="AA21" i="6"/>
  <c r="AD35"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3" i="6"/>
  <c r="AC17" i="6"/>
  <c r="AC15" i="6"/>
  <c r="AC18" i="6"/>
  <c r="AC22" i="6"/>
  <c r="AC16" i="6"/>
  <c r="AC21" i="6"/>
  <c r="AC8" i="6"/>
  <c r="AC20" i="6"/>
  <c r="AC14" i="6"/>
  <c r="AC12" i="6"/>
  <c r="AC10" i="6"/>
  <c r="AC11" i="6"/>
  <c r="AD3" i="19"/>
  <c r="AC19"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17" i="18"/>
  <c r="AD34" i="18"/>
  <c r="AD39" i="18"/>
  <c r="AD19" i="18"/>
  <c r="AD36" i="18"/>
  <c r="AD35" i="18"/>
  <c r="AD9" i="18"/>
  <c r="AD8" i="18"/>
  <c r="AD6" i="18"/>
  <c r="AD41" i="18"/>
  <c r="AD28" i="18"/>
  <c r="AD13" i="18"/>
  <c r="AD5" i="18"/>
  <c r="AD38" i="18"/>
  <c r="AD25" i="18"/>
  <c r="AD37" i="18"/>
  <c r="AD14" i="18"/>
  <c r="AD27" i="18"/>
  <c r="AD10" i="18"/>
  <c r="AD22" i="18"/>
  <c r="AD31" i="18"/>
  <c r="AD26" i="18"/>
  <c r="AD21" i="18"/>
  <c r="AD30" i="18"/>
  <c r="AD18" i="18"/>
  <c r="AD40" i="18"/>
  <c r="AD32" i="18"/>
  <c r="AD15" i="18"/>
  <c r="AD20" i="18"/>
  <c r="AD42" i="18"/>
  <c r="AD29" i="18"/>
  <c r="AD16" i="18"/>
  <c r="AD33" i="18"/>
  <c r="AD12" i="18"/>
  <c r="AD23" i="18"/>
  <c r="AD24" i="18"/>
  <c r="AD11"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AD42" i="17"/>
  <c r="M6" i="25" a="1"/>
  <c r="Y3" i="29"/>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27" i="17"/>
  <c r="AD11" i="17"/>
  <c r="AD10" i="17"/>
  <c r="AD18" i="17"/>
  <c r="AD19" i="17"/>
  <c r="AD33" i="17"/>
  <c r="AD14" i="17"/>
  <c r="AD12" i="17"/>
  <c r="AD26" i="17"/>
  <c r="AD31" i="17"/>
  <c r="AD24" i="17"/>
  <c r="AD32" i="17"/>
  <c r="AD15" i="17"/>
  <c r="AD40" i="17"/>
  <c r="AD25" i="17"/>
  <c r="AD13" i="17"/>
  <c r="AD21" i="17"/>
  <c r="AD7" i="17"/>
  <c r="AD5" i="17"/>
  <c r="AD34" i="17"/>
  <c r="AD29" i="17"/>
  <c r="AD8" i="17"/>
  <c r="AD28" i="17"/>
  <c r="AD39" i="17"/>
  <c r="AD38" i="17"/>
  <c r="AD35" i="17"/>
  <c r="AD41" i="17"/>
  <c r="AD17" i="17"/>
  <c r="AD22" i="17"/>
  <c r="AD20" i="17"/>
  <c r="AD37" i="17"/>
  <c r="AD9" i="17"/>
  <c r="AD23" i="17"/>
  <c r="AD16" i="17"/>
  <c r="AD36" i="17"/>
  <c r="AD6" i="17"/>
  <c r="AD30" i="17"/>
  <c r="M9" i="25" l="1"/>
  <c r="Y6" i="25" s="1" a="1"/>
  <c r="AD3" i="17"/>
  <c r="Y9" i="25" l="1"/>
  <c r="Y6" i="25"/>
  <c r="Y7" i="25"/>
  <c r="Y8" i="25"/>
  <c r="M7" i="24" a="1"/>
  <c r="AA9" i="25"/>
  <c r="AA8" i="25"/>
  <c r="AA6" i="25"/>
  <c r="AA7"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0" i="23"/>
  <c r="AA13" i="23"/>
  <c r="AA14" i="23"/>
  <c r="W3" i="22"/>
  <c r="AA16" i="23"/>
  <c r="D7" i="24" a="1"/>
  <c r="AA8" i="23"/>
  <c r="AA7" i="23"/>
  <c r="AA11" i="23"/>
  <c r="AA6" i="23"/>
  <c r="AA9" i="23"/>
  <c r="AA12" i="23"/>
  <c r="AA17" i="23"/>
  <c r="AA15"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8" i="24"/>
  <c r="F47" i="24"/>
  <c r="F9" i="24"/>
  <c r="F15" i="24"/>
  <c r="F7" i="24"/>
  <c r="F42" i="24"/>
  <c r="F21" i="24"/>
  <c r="F16" i="24"/>
  <c r="F35" i="24"/>
  <c r="F33" i="24"/>
  <c r="F29" i="24"/>
  <c r="AK7" i="24" a="1"/>
  <c r="F34" i="24"/>
  <c r="F31" i="24"/>
  <c r="F38" i="24"/>
  <c r="F32" i="24"/>
  <c r="F12" i="24"/>
  <c r="F13" i="24"/>
  <c r="F14" i="24"/>
  <c r="F20" i="24"/>
  <c r="F41" i="24"/>
  <c r="F36" i="24"/>
  <c r="F48" i="24"/>
  <c r="F24" i="24"/>
  <c r="F26" i="24"/>
  <c r="F46" i="24"/>
  <c r="F25" i="24"/>
  <c r="F39" i="24"/>
  <c r="F17" i="24"/>
  <c r="F11" i="24"/>
  <c r="F43" i="24"/>
  <c r="F23" i="24"/>
  <c r="F27" i="24"/>
  <c r="F30" i="24"/>
  <c r="F8" i="24"/>
  <c r="F37" i="24"/>
  <c r="F10" i="24"/>
  <c r="AA4" i="23"/>
  <c r="F22" i="24"/>
  <c r="F44" i="24"/>
  <c r="F18" i="24"/>
  <c r="F19" i="24"/>
  <c r="F45" i="24"/>
  <c r="F40"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48" i="24"/>
  <c r="Z34" i="24"/>
  <c r="G18" i="24"/>
  <c r="Z22" i="24"/>
  <c r="G48" i="24"/>
  <c r="G45" i="24"/>
  <c r="Z26" i="24"/>
  <c r="G44" i="24"/>
  <c r="Z42" i="24"/>
  <c r="Z15" i="24"/>
  <c r="G21" i="24"/>
  <c r="Z30" i="24"/>
  <c r="Z28" i="24"/>
  <c r="G12" i="24"/>
  <c r="Z16" i="24"/>
  <c r="Z43" i="24"/>
  <c r="G11" i="24"/>
  <c r="G8" i="24"/>
  <c r="Z18" i="24"/>
  <c r="G10" i="24"/>
  <c r="G16" i="24"/>
  <c r="G32" i="24"/>
  <c r="G36" i="24"/>
  <c r="Z44" i="24"/>
  <c r="Z38" i="24"/>
  <c r="Z33" i="24"/>
  <c r="G27" i="24"/>
  <c r="G28" i="24"/>
  <c r="Z21" i="24"/>
  <c r="G22" i="24"/>
  <c r="G25" i="24"/>
  <c r="G14" i="24"/>
  <c r="Z25" i="24"/>
  <c r="Z12" i="24"/>
  <c r="Z36" i="24"/>
  <c r="G43" i="24"/>
  <c r="Z35" i="24"/>
  <c r="G7" i="24"/>
  <c r="Z37" i="24"/>
  <c r="G24" i="24"/>
  <c r="G20" i="24"/>
  <c r="Z40" i="24"/>
  <c r="Z31" i="24"/>
  <c r="G15" i="24"/>
  <c r="G26" i="24"/>
  <c r="G39" i="24"/>
  <c r="Z20" i="24"/>
  <c r="G38" i="24"/>
  <c r="Z7" i="24"/>
  <c r="G41" i="24"/>
  <c r="G42" i="24"/>
  <c r="Z19" i="24"/>
  <c r="Z27" i="24"/>
  <c r="G47" i="24"/>
  <c r="Z24" i="24"/>
  <c r="G9" i="24"/>
  <c r="Z45" i="24"/>
  <c r="G33" i="24"/>
  <c r="G35" i="24"/>
  <c r="Z14" i="24"/>
  <c r="Z32" i="24"/>
  <c r="Z29" i="24"/>
  <c r="Z17" i="24"/>
  <c r="G29" i="24"/>
  <c r="Z8" i="24"/>
  <c r="Z41" i="24"/>
  <c r="G34" i="24"/>
  <c r="G13" i="24"/>
  <c r="G19" i="24"/>
  <c r="Z11" i="24"/>
  <c r="G23" i="24"/>
  <c r="G30" i="24"/>
  <c r="Z23" i="24"/>
  <c r="Z47" i="24"/>
  <c r="Z13" i="24"/>
  <c r="Z9" i="24"/>
  <c r="G40" i="24"/>
  <c r="Z10" i="24"/>
  <c r="G37" i="24"/>
  <c r="G31" i="24"/>
  <c r="G46" i="24"/>
  <c r="G17" i="24"/>
  <c r="Z46" i="24"/>
  <c r="Z3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3" i="24"/>
  <c r="AN13" i="24"/>
  <c r="AN29" i="24"/>
  <c r="AN19" i="24"/>
  <c r="AO43" i="24"/>
  <c r="AN44" i="24"/>
  <c r="AN9" i="24"/>
  <c r="AN14" i="24"/>
  <c r="AN47" i="24"/>
  <c r="AN16" i="24"/>
  <c r="AN24" i="24"/>
  <c r="AN42" i="24"/>
  <c r="AN17" i="24"/>
  <c r="AN18" i="24"/>
  <c r="AN46" i="24"/>
  <c r="AN11" i="24"/>
  <c r="AN35" i="24"/>
  <c r="AN31" i="24"/>
  <c r="AO31" i="24" s="1"/>
  <c r="O3" i="36"/>
  <c r="AN45" i="24"/>
  <c r="O3" i="35"/>
  <c r="AO47" i="24"/>
  <c r="AN21" i="24"/>
  <c r="AN33" i="24"/>
  <c r="AO11" i="24"/>
  <c r="AN40" i="24"/>
  <c r="AN34" i="24"/>
  <c r="AO34" i="24" s="1"/>
  <c r="AN48" i="24"/>
  <c r="AO24" i="24"/>
  <c r="AN37" i="24"/>
  <c r="AN8" i="24"/>
  <c r="AO8" i="24" s="1"/>
  <c r="Z5" i="24"/>
  <c r="AN38" i="24"/>
  <c r="AO13" i="24"/>
  <c r="AN7" i="24"/>
  <c r="AN23" i="24"/>
  <c r="AO23" i="24" s="1"/>
  <c r="AN25" i="24"/>
  <c r="AO25" i="24" s="1"/>
  <c r="AN30" i="24"/>
  <c r="AO30" i="24" s="1"/>
  <c r="AN26" i="24"/>
  <c r="AO16" i="24"/>
  <c r="AN36" i="24"/>
  <c r="AN41" i="24"/>
  <c r="AO41" i="24" s="1"/>
  <c r="AO18" i="24"/>
  <c r="AN20" i="24"/>
  <c r="AO37" i="24"/>
  <c r="AN12" i="24"/>
  <c r="AN28" i="24"/>
  <c r="AN39" i="24"/>
  <c r="AO39" i="24" s="1"/>
  <c r="AO28" i="24"/>
  <c r="AN10" i="24"/>
  <c r="AO10" i="24" s="1"/>
  <c r="AN22" i="24"/>
  <c r="AO22" i="24" s="1"/>
  <c r="AO26" i="24"/>
  <c r="AO40" i="24"/>
  <c r="AN27" i="24"/>
  <c r="AN32" i="24"/>
  <c r="AO32" i="24" s="1"/>
  <c r="AO12" i="24"/>
  <c r="AN15" i="24"/>
  <c r="AO15" i="24" s="1"/>
  <c r="J2" i="47"/>
  <c r="K2" i="47"/>
  <c r="AN6" i="24"/>
  <c r="J2" i="48"/>
  <c r="D7" i="67"/>
  <c r="K2" i="48"/>
  <c r="AO6" i="24"/>
  <c r="AO27" i="24"/>
  <c r="AO45" i="24"/>
  <c r="AO19" i="24"/>
  <c r="AO46" i="24"/>
  <c r="AO9" i="24"/>
  <c r="AO44" i="24"/>
  <c r="AO20" i="24"/>
  <c r="AO35" i="24"/>
  <c r="AO29" i="24"/>
  <c r="AO36" i="24"/>
  <c r="AO33" i="24"/>
  <c r="AO7" i="24"/>
  <c r="AO17" i="24"/>
  <c r="AO38" i="24"/>
  <c r="AO42" i="24"/>
  <c r="AO48" i="24"/>
  <c r="AO14" i="24"/>
  <c r="AO21" i="24"/>
</calcChain>
</file>

<file path=xl/sharedStrings.xml><?xml version="1.0" encoding="utf-8"?>
<sst xmlns="http://schemas.openxmlformats.org/spreadsheetml/2006/main" count="4393" uniqueCount="409">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</sst>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600">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69740032"/>
        <c:axId val="369742208"/>
      </c:scatterChart>
      <c:valAx>
        <c:axId val="36974003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69742208"/>
        <c:crosses val="autoZero"/>
        <c:crossBetween val="midCat"/>
      </c:valAx>
      <c:valAx>
        <c:axId val="36974220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6974003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70869376"/>
        <c:axId val="370871296"/>
      </c:scatterChart>
      <c:valAx>
        <c:axId val="37086937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0871296"/>
        <c:crosses val="autoZero"/>
        <c:crossBetween val="midCat"/>
      </c:valAx>
      <c:valAx>
        <c:axId val="37087129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086937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95" t="s">
        <v>296</v>
      </c>
      <c r="C2" s="596"/>
      <c r="D2" s="596"/>
      <c r="E2" s="596"/>
      <c r="F2" s="597"/>
      <c r="H2" s="595" t="s">
        <v>20</v>
      </c>
      <c r="I2" s="596"/>
      <c r="J2" s="596"/>
      <c r="K2" s="597"/>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41652.222199074073</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20</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41652</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95" t="s">
        <v>136</v>
      </c>
      <c r="I13" s="596"/>
      <c r="J13" s="596"/>
      <c r="K13" s="597"/>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EURYC#0002</v>
      </c>
      <c r="F6" s="6" t="str">
        <f>_xll.ohRangeRetrieveError(E6)</f>
        <v/>
      </c>
      <c r="G6" s="25" t="s">
        <v>37</v>
      </c>
      <c r="H6" s="24" t="s">
        <v>11</v>
      </c>
      <c r="I6" s="28"/>
      <c r="J6" s="22" t="str">
        <f>_xll.qlEonia(G6,E6,Permanent,Trigger,ObjectOverwrite)</f>
        <v>Eonia2#0002</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EURYCSTD#0002</v>
      </c>
      <c r="F7" s="6" t="str">
        <f>_xll.ohRangeRetrieveError(E7)</f>
        <v/>
      </c>
      <c r="G7" s="25" t="s">
        <v>36</v>
      </c>
      <c r="H7" s="24" t="s">
        <v>9</v>
      </c>
      <c r="I7" s="28" t="s">
        <v>36</v>
      </c>
      <c r="J7" s="22" t="str">
        <f>_xll.qlEonia(G7,E7,Permanent,Trigger,ObjectOverwrite)</f>
        <v>Eonia#0002</v>
      </c>
      <c r="K7" s="22" t="str">
        <f>_xll.qlLastFixingQuote(I7&amp;"LastFixing_Quote",J7,Permanent,Trigger,ObjectOverwrite)</f>
        <v>EoniaLastFixing_Quote#0002</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EURiborYCON#0002</v>
      </c>
      <c r="F8" s="6" t="str">
        <f>_xll.ohRangeRetrieveError(E8)</f>
        <v/>
      </c>
      <c r="G8" s="25" t="s">
        <v>35</v>
      </c>
      <c r="H8" s="24" t="s">
        <v>9</v>
      </c>
      <c r="I8" s="23" t="str">
        <f t="shared" ref="I8:I22" si="1">PROPER(Currency)&amp;FamilyName&amp;$G8</f>
        <v>EuriborSW</v>
      </c>
      <c r="J8" s="22" t="str">
        <f>_xll.qlEuribor(I8,G8,E8,Permanent,Trigger,ObjectOverwrite)</f>
        <v>EuriborSW#0002</v>
      </c>
      <c r="K8" s="22" t="str">
        <f>_xll.qlLastFixingQuote(I8&amp;"LastFixing_Quote",J8,Permanent,Trigger,ObjectOverwrite)</f>
        <v>EuriborSWLastFixing_Quote#0002</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EuriborSW#0002</v>
      </c>
      <c r="Z8" s="468">
        <f>_xll.qlIndexFixing($Y8,$T8,TRUE,$V8)</f>
        <v>1.07E-3</v>
      </c>
      <c r="AA8" s="468">
        <f>IF($W8,_xll.qlIndexFixing($Y8,$T8,FALSE,$V8),"-")</f>
        <v>1.07E-3</v>
      </c>
      <c r="AB8" s="468">
        <f t="shared" ref="AB8:AB22" si="3">Z8-AA8</f>
        <v>0</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EURiborYC1M#0002</v>
      </c>
      <c r="F9" s="6" t="str">
        <f>_xll.ohRangeRetrieveError(E9)</f>
        <v/>
      </c>
      <c r="G9" s="25" t="s">
        <v>34</v>
      </c>
      <c r="H9" s="24" t="s">
        <v>9</v>
      </c>
      <c r="I9" s="23" t="str">
        <f t="shared" si="1"/>
        <v>Euribor2W</v>
      </c>
      <c r="J9" s="22" t="str">
        <f>_xll.qlEuribor(I9,G9,E9,Permanent,Trigger,ObjectOverwrite)</f>
        <v>Euribor2W#0002</v>
      </c>
      <c r="K9" s="22" t="str">
        <f>_xll.qlLastFixingQuote(I9&amp;"LastFixing_Quote",J9,Permanent,Trigger,ObjectOverwrite)</f>
        <v>Euribor2WLastFixing_Quote#0002</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Euribor2W#0002</v>
      </c>
      <c r="Z9" s="468">
        <f>_xll.qlIndexFixing($Y9,$T9,TRUE,$V9)</f>
        <v>1.1299999999999999E-3</v>
      </c>
      <c r="AA9" s="468">
        <f>IF($W9,_xll.qlIndexFixing($Y9,$T9,FALSE,$V9),"-")</f>
        <v>1.1299999999999999E-3</v>
      </c>
      <c r="AB9" s="468">
        <f t="shared" si="3"/>
        <v>0</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EURiborYC3M#0002</v>
      </c>
      <c r="F10" s="6" t="str">
        <f>_xll.ohRangeRetrieveError(E10)</f>
        <v/>
      </c>
      <c r="G10" s="25" t="s">
        <v>33</v>
      </c>
      <c r="H10" s="24" t="s">
        <v>8</v>
      </c>
      <c r="I10" s="23" t="str">
        <f t="shared" si="1"/>
        <v>Euribor3W</v>
      </c>
      <c r="J10" s="22" t="str">
        <f>_xll.qlEuribor(I10,G10,E10,Permanent,Trigger,ObjectOverwrite)</f>
        <v>Euribor3W#0002</v>
      </c>
      <c r="K10" s="22" t="str">
        <f>_xll.qlLastFixingQuote(I10&amp;"LastFixing_Quote",J10,Permanent,Trigger,ObjectOverwrite)</f>
        <v>Euribor3WLastFixing_Quote#0002</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Euribor3W#0002</v>
      </c>
      <c r="Z10" s="468">
        <f>_xll.qlIndexFixing($Y10,$T10,TRUE,$V10)</f>
        <v>1.2099999999999999E-3</v>
      </c>
      <c r="AA10" s="468">
        <f>IF($W10,_xll.qlIndexFixing($Y10,$T10,FALSE,$V10),"-")</f>
        <v>1.2099999999999999E-3</v>
      </c>
      <c r="AB10" s="468">
        <f t="shared" si="3"/>
        <v>0</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EURiborYC6M#0002</v>
      </c>
      <c r="F11" s="6" t="str">
        <f>_xll.ohRangeRetrieveError(E11)</f>
        <v/>
      </c>
      <c r="G11" s="25" t="s">
        <v>32</v>
      </c>
      <c r="H11" s="24" t="s">
        <v>8</v>
      </c>
      <c r="I11" s="23" t="str">
        <f t="shared" si="1"/>
        <v>Euribor1M</v>
      </c>
      <c r="J11" s="22" t="str">
        <f>_xll.qlEuribor(I11,G11,E11,Permanent,Trigger,ObjectOverwrite)</f>
        <v>Euribor1M#0002</v>
      </c>
      <c r="K11" s="22" t="str">
        <f>_xll.qlLastFixingQuote(I11&amp;"LastFixing_Quote",J11,Permanent,Trigger,ObjectOverwrite)</f>
        <v>Euribor1MLastFixing_Quote#0002</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Euribor1M#0002</v>
      </c>
      <c r="Z11" s="468">
        <f>_xll.qlIndexFixing($Y11,$T11,TRUE,$V11)</f>
        <v>1.31E-3</v>
      </c>
      <c r="AA11" s="468">
        <f>IF($W11,_xll.qlIndexFixing($Y11,$T11,FALSE,$V11),"-")</f>
        <v>1.31E-3</v>
      </c>
      <c r="AB11" s="468">
        <f t="shared" si="3"/>
        <v>0</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EURiborYC1Y#0002</v>
      </c>
      <c r="F12" s="6" t="str">
        <f>_xll.ohRangeRetrieveError(E12)</f>
        <v/>
      </c>
      <c r="G12" s="25" t="s">
        <v>31</v>
      </c>
      <c r="H12" s="24" t="s">
        <v>7</v>
      </c>
      <c r="I12" s="23" t="str">
        <f t="shared" si="1"/>
        <v>Euribor2M</v>
      </c>
      <c r="J12" s="22" t="str">
        <f>_xll.qlEuribor(I12,G12,E12,Permanent,Trigger,ObjectOverwrite)</f>
        <v>Euribor2M#0002</v>
      </c>
      <c r="K12" s="22" t="str">
        <f>_xll.qlLastFixingQuote(I12&amp;"LastFixing_Quote",J12,Permanent,Trigger,ObjectOverwrite)</f>
        <v>Euribor2MLastFixing_Quote#0002</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Euribor2M#0002</v>
      </c>
      <c r="Z12" s="468">
        <f>_xll.qlIndexFixing($Y12,$T12,TRUE,$V12)</f>
        <v>1.81E-3</v>
      </c>
      <c r="AA12" s="468">
        <f>IF($W12,_xll.qlIndexFixing($Y12,$T12,FALSE,$V12),"-")</f>
        <v>1.81E-3</v>
      </c>
      <c r="AB12" s="468">
        <f t="shared" si="3"/>
        <v>0</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EURiborYCON-Mx#0002</v>
      </c>
      <c r="F13" s="6" t="str">
        <f>_xll.ohRangeRetrieveError(E13)</f>
        <v/>
      </c>
      <c r="G13" s="25" t="s">
        <v>30</v>
      </c>
      <c r="H13" s="24" t="s">
        <v>7</v>
      </c>
      <c r="I13" s="23" t="str">
        <f t="shared" si="1"/>
        <v>Euribor3M</v>
      </c>
      <c r="J13" s="22" t="str">
        <f>_xll.qlEuribor(I13,G13,E13,Permanent,Trigger,ObjectOverwrite)</f>
        <v>Euribor3M#0002</v>
      </c>
      <c r="K13" s="22" t="str">
        <f>_xll.qlLastFixingQuote(I13&amp;"LastFixing_Quote",J13,Permanent,Trigger,ObjectOverwrite)</f>
        <v>Euribor3MLastFixing_Quote#0002</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Euribor3M#0002</v>
      </c>
      <c r="Z13" s="468">
        <f>_xll.qlIndexFixing($Y13,$T13,TRUE,$V13)</f>
        <v>2.2500000000000003E-3</v>
      </c>
      <c r="AA13" s="468">
        <f>IF($W13,_xll.qlIndexFixing($Y13,$T13,FALSE,$V13),"-")</f>
        <v>2.2500000000000003E-3</v>
      </c>
      <c r="AB13" s="468">
        <f t="shared" si="3"/>
        <v>0</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EURiborYC1M-Mx#0002</v>
      </c>
      <c r="F14" s="6" t="str">
        <f>_xll.ohRangeRetrieveError(E14)</f>
        <v/>
      </c>
      <c r="G14" s="25" t="s">
        <v>29</v>
      </c>
      <c r="H14" s="24" t="s">
        <v>7</v>
      </c>
      <c r="I14" s="23" t="str">
        <f t="shared" si="1"/>
        <v>Euribor4M</v>
      </c>
      <c r="J14" s="22" t="str">
        <f>_xll.qlEuribor(I14,G14,E14,Permanent,Trigger,ObjectOverwrite)</f>
        <v>Euribor4M#0002</v>
      </c>
      <c r="K14" s="22" t="str">
        <f>_xll.qlLastFixingQuote(I14&amp;"LastFixing_Quote",J14,Permanent,Trigger,ObjectOverwrite)</f>
        <v>Euribor4MLastFixing_Quote#0002</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Euribor4M#0002</v>
      </c>
      <c r="Z14" s="468">
        <f>_xll.qlIndexFixing($Y14,$T14,TRUE,$V14)</f>
        <v>2.65E-3</v>
      </c>
      <c r="AA14" s="468">
        <f>IF($W14,_xll.qlIndexFixing($Y14,$T14,FALSE,$V14),"-")</f>
        <v>2.65E-3</v>
      </c>
      <c r="AB14" s="468">
        <f t="shared" si="3"/>
        <v>0</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EURiborYC3M-Mx#0002</v>
      </c>
      <c r="F15" s="6" t="str">
        <f>_xll.ohRangeRetrieveError(E15)</f>
        <v/>
      </c>
      <c r="G15" s="25" t="s">
        <v>28</v>
      </c>
      <c r="H15" s="24" t="s">
        <v>6</v>
      </c>
      <c r="I15" s="23" t="str">
        <f t="shared" si="1"/>
        <v>Euribor5M</v>
      </c>
      <c r="J15" s="22" t="str">
        <f>_xll.qlEuribor(I15,G15,E15,Permanent,Trigger,ObjectOverwrite)</f>
        <v>Euribor5M#0002</v>
      </c>
      <c r="K15" s="22" t="str">
        <f>_xll.qlLastFixingQuote(I15&amp;"LastFixing_Quote",J15,Permanent,Trigger,ObjectOverwrite)</f>
        <v>Euribor5MLastFixing_Quote#0002</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Euribor5M#0002</v>
      </c>
      <c r="Z15" s="468">
        <f>_xll.qlIndexFixing($Y15,$T15,TRUE,$V15)</f>
        <v>2.99E-3</v>
      </c>
      <c r="AA15" s="468">
        <f>IF($W15,_xll.qlIndexFixing($Y15,$T15,FALSE,$V15),"-")</f>
        <v>2.99E-3</v>
      </c>
      <c r="AB15" s="468">
        <f t="shared" si="3"/>
        <v>0</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EURiborYC6M-Mx#0002</v>
      </c>
      <c r="F16" s="6" t="str">
        <f>_xll.ohRangeRetrieveError(E16)</f>
        <v/>
      </c>
      <c r="G16" s="25" t="s">
        <v>27</v>
      </c>
      <c r="H16" s="24" t="s">
        <v>6</v>
      </c>
      <c r="I16" s="23" t="str">
        <f t="shared" si="1"/>
        <v>Euribor6M</v>
      </c>
      <c r="J16" s="22" t="str">
        <f>_xll.qlEuribor(I16,G16,E16,Permanent,Trigger,ObjectOverwrite)</f>
        <v>Euribor6M#0002</v>
      </c>
      <c r="K16" s="22" t="str">
        <f>_xll.qlLastFixingQuote(I16&amp;"LastFixing_Quote",J16,Permanent,Trigger,ObjectOverwrite)</f>
        <v>Euribor6MLastFixing_Quote#0002</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Euribor6M#0002</v>
      </c>
      <c r="Z16" s="468">
        <f>_xll.qlIndexFixing($Y16,$T16,TRUE,$V16)</f>
        <v>3.4300000000000003E-3</v>
      </c>
      <c r="AA16" s="468">
        <f>IF($W16,_xll.qlIndexFixing($Y16,$T16,FALSE,$V16),"-")</f>
        <v>3.4300000000000003E-3</v>
      </c>
      <c r="AB16" s="468">
        <f t="shared" si="3"/>
        <v>0</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EURiborYC1Y-Mx#0002</v>
      </c>
      <c r="F17" s="6" t="str">
        <f>_xll.ohRangeRetrieveError(E17)</f>
        <v/>
      </c>
      <c r="G17" s="25" t="s">
        <v>26</v>
      </c>
      <c r="H17" s="24" t="s">
        <v>6</v>
      </c>
      <c r="I17" s="23" t="str">
        <f t="shared" si="1"/>
        <v>Euribor7M</v>
      </c>
      <c r="J17" s="22" t="str">
        <f>_xll.qlEuribor(I17,G17,E17,Permanent,Trigger,ObjectOverwrite)</f>
        <v>Euribor7M#0002</v>
      </c>
      <c r="K17" s="22" t="str">
        <f>_xll.qlLastFixingQuote(I17&amp;"LastFixing_Quote",J17,Permanent,Trigger,ObjectOverwrite)</f>
        <v>Euribor7MLastFixing_Quote#0002</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Euribor7M#0002</v>
      </c>
      <c r="Z17" s="468">
        <f>_xll.qlIndexFixing($Y17,$T17,TRUE,$V17)</f>
        <v>3.7699999999999999E-3</v>
      </c>
      <c r="AA17" s="468">
        <f>IF($W17,_xll.qlIndexFixing($Y17,$T17,FALSE,$V17),"-")</f>
        <v>3.7699999999999999E-3</v>
      </c>
      <c r="AB17" s="468">
        <f t="shared" si="3"/>
        <v>0</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EURLiborYCON#0002</v>
      </c>
      <c r="F18" s="6" t="str">
        <f>_xll.ohRangeRetrieveError(E18)</f>
        <v/>
      </c>
      <c r="G18" s="25" t="s">
        <v>25</v>
      </c>
      <c r="H18" s="24" t="s">
        <v>6</v>
      </c>
      <c r="I18" s="23" t="str">
        <f t="shared" si="1"/>
        <v>Euribor8M</v>
      </c>
      <c r="J18" s="22" t="str">
        <f>_xll.qlEuribor(I18,G18,E18,Permanent,Trigger,ObjectOverwrite)</f>
        <v>Euribor8M#0002</v>
      </c>
      <c r="K18" s="22" t="str">
        <f>_xll.qlLastFixingQuote(I18&amp;"LastFixing_Quote",J18,Permanent,Trigger,ObjectOverwrite)</f>
        <v>Euribor8MLastFixing_Quote#0002</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Euribor8M#0002</v>
      </c>
      <c r="Z18" s="468">
        <f>_xll.qlIndexFixing($Y18,$T18,TRUE,$V18)</f>
        <v>4.1199999999999995E-3</v>
      </c>
      <c r="AA18" s="468">
        <f>IF($W18,_xll.qlIndexFixing($Y18,$T18,FALSE,$V18),"-")</f>
        <v>4.1199999999999995E-3</v>
      </c>
      <c r="AB18" s="468">
        <f t="shared" si="3"/>
        <v>0</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EURLiborYC1M#0002</v>
      </c>
      <c r="F19" s="6" t="str">
        <f>_xll.ohRangeRetrieveError(E19)</f>
        <v/>
      </c>
      <c r="G19" s="25" t="s">
        <v>24</v>
      </c>
      <c r="H19" s="24" t="s">
        <v>5</v>
      </c>
      <c r="I19" s="23" t="str">
        <f t="shared" si="1"/>
        <v>Euribor9M</v>
      </c>
      <c r="J19" s="22" t="str">
        <f>_xll.qlEuribor(I19,G19,E19,Permanent,Trigger,ObjectOverwrite)</f>
        <v>Euribor9M#0002</v>
      </c>
      <c r="K19" s="22" t="str">
        <f>_xll.qlLastFixingQuote(I19&amp;"LastFixing_Quote",J19,Permanent,Trigger,ObjectOverwrite)</f>
        <v>Euribor9MLastFixing_Quote#0002</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Euribor9M#0002</v>
      </c>
      <c r="Z19" s="468">
        <f>_xll.qlIndexFixing($Y19,$T19,TRUE,$V19)</f>
        <v>4.4200000000000003E-3</v>
      </c>
      <c r="AA19" s="468">
        <f>IF($W19,_xll.qlIndexFixing($Y19,$T19,FALSE,$V19),"-")</f>
        <v>4.4200000000000003E-3</v>
      </c>
      <c r="AB19" s="468">
        <f t="shared" si="3"/>
        <v>0</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EURLiborYC3M#0002</v>
      </c>
      <c r="F20" s="6" t="str">
        <f>_xll.ohRangeRetrieveError(E20)</f>
        <v/>
      </c>
      <c r="G20" s="25" t="s">
        <v>23</v>
      </c>
      <c r="H20" s="24" t="s">
        <v>5</v>
      </c>
      <c r="I20" s="23" t="str">
        <f t="shared" si="1"/>
        <v>Euribor10M</v>
      </c>
      <c r="J20" s="22" t="str">
        <f>_xll.qlEuribor(I20,G20,E20,Permanent,Trigger,ObjectOverwrite)</f>
        <v>Euribor10M#0002</v>
      </c>
      <c r="K20" s="22" t="str">
        <f>_xll.qlLastFixingQuote(I20&amp;"LastFixing_Quote",J20,Permanent,Trigger,ObjectOverwrite)</f>
        <v>Euribor10MLastFixing_Quote#0002</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Euribor10M#0002</v>
      </c>
      <c r="Z20" s="468">
        <f>_xll.qlIndexFixing($Y20,$T20,TRUE,$V20)</f>
        <v>4.7299999999999998E-3</v>
      </c>
      <c r="AA20" s="468">
        <f>IF($W20,_xll.qlIndexFixing($Y20,$T20,FALSE,$V20),"-")</f>
        <v>4.7299999999999998E-3</v>
      </c>
      <c r="AB20" s="468">
        <f t="shared" si="3"/>
        <v>0</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EURLiborYC6M#0002</v>
      </c>
      <c r="F21" s="6" t="str">
        <f>_xll.ohRangeRetrieveError(E21)</f>
        <v/>
      </c>
      <c r="G21" s="25" t="s">
        <v>22</v>
      </c>
      <c r="H21" s="24" t="s">
        <v>5</v>
      </c>
      <c r="I21" s="23" t="str">
        <f t="shared" si="1"/>
        <v>Euribor11M</v>
      </c>
      <c r="J21" s="22" t="str">
        <f>_xll.qlEuribor(I21,G21,E21,Permanent,Trigger,ObjectOverwrite)</f>
        <v>Euribor11M#0002</v>
      </c>
      <c r="K21" s="22" t="str">
        <f>_xll.qlLastFixingQuote(I21&amp;"LastFixing_Quote",J21,Permanent,Trigger,ObjectOverwrite)</f>
        <v>Euribor11MLastFixing_Quote#0002</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Euribor11M#0002</v>
      </c>
      <c r="Z21" s="468">
        <f>_xll.qlIndexFixing($Y21,$T21,TRUE,$V21)</f>
        <v>5.0299999999999997E-3</v>
      </c>
      <c r="AA21" s="468">
        <f>IF($W21,_xll.qlIndexFixing($Y21,$T21,FALSE,$V21),"-")</f>
        <v>5.0299999999999997E-3</v>
      </c>
      <c r="AB21" s="468">
        <f t="shared" si="3"/>
        <v>0</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EURLiborYC1Y#0002</v>
      </c>
      <c r="F22" s="6" t="str">
        <f>_xll.ohRangeRetrieveError(E22)</f>
        <v/>
      </c>
      <c r="G22" s="25" t="s">
        <v>21</v>
      </c>
      <c r="H22" s="24" t="s">
        <v>5</v>
      </c>
      <c r="I22" s="23" t="str">
        <f t="shared" si="1"/>
        <v>Euribor1Y</v>
      </c>
      <c r="J22" s="22" t="str">
        <f>_xll.qlEuribor(I22,G22,E22,Permanent,Trigger,ObjectOverwrite)</f>
        <v>Euribor1Y#0002</v>
      </c>
      <c r="K22" s="22" t="str">
        <f>_xll.qlLastFixingQuote(I22&amp;"LastFixing_Quote",J22,Permanent,Trigger,ObjectOverwrite)</f>
        <v>Euribor1YLastFixing_Quote#0002</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Euribor1Y#0002</v>
      </c>
      <c r="Z22" s="458">
        <f>_xll.qlIndexFixing($Y22,$T22,TRUE,$V22)</f>
        <v>5.3500000000000006E-3</v>
      </c>
      <c r="AA22" s="458">
        <f>IF($W22,_xll.qlIndexFixing($Y22,$T22,FALSE,$V22),"-")</f>
        <v>5.3500000000000006E-3</v>
      </c>
      <c r="AB22" s="458">
        <f t="shared" si="3"/>
        <v>0</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Euribor365SW#0002</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Euribor3652W#0002</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Euribor3653W#0002</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Euribor3651M#0002</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Euribor3652M#0002</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Euribor3653M#0002</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Euribor3654M#0002</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Euribor3655M#0002</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Euribor3656M#0002</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Euribor3657M#0002</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Euribor3658M#0002</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Euribor3659M#0002</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Euribor36510M#0002</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Euribor36511M#0002</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Euribor3651Y#0002</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EuriborSwapIsdaFixA1Y#0002</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EuriborSwapIsdaFixA2Y#0002</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EuriborSwapIsdaFixA3Y#0002</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EuriborSwapIsdaFixA4Y#0002</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EuriborSwapIsdaFixA5Y#0002</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EuriborSwapIsdaFixA6Y#0002</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EuriborSwapIsdaFixA7Y#0002</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EuriborSwapIsdaFixA8Y#0002</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EuriborSwapIsdaFixA9Y#0002</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EuriborSwapIsdaFixA10Y#0002</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EuriborSwapIsdaFixA11Y#0002</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EuriborSwapIsdaFixA12Y#0002</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EuriborSwapIsdaFixA13Y#0002</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EuriborSwapIsdaFixA14Y#0002</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EuriborSwapIsdaFixA15Y#0002</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EuriborSwapIsdaFixA16Y#0002</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EuriborSwapIsdaFixA17Y#0002</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EuriborSwapIsdaFixA18Y#0002</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EuriborSwapIsdaFixA19Y#0002</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EuriborSwapIsdaFixA20Y#0002</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EuriborSwapIsdaFixA21Y#0002</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EuriborSwapIsdaFixA22Y#0002</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EuriborSwapIsdaFixA23Y#0002</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EuriborSwapIsdaFixA24Y#0002</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EuriborSwapIsdaFixA25Y#0002</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EuriborSwapIsdaFixA26Y#0002</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EuriborSwapIsdaFixA27Y#0002</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EuriborSwapIsdaFixA28Y#0002</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EuriborSwapIsdaFixA29Y#0002</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EuriborSwapIsdaFixA30Y#0002</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EuriborSwapIsdaFixA31Y#0002</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EuriborSwapIsdaFixA33Y#0002</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EuriborSwapIsdaFixA34Y#0002</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EuriborSwapIsdaFixA35Y#0002</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EuriborSwapIsdaFixA36Y#0002</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EuriborSwapIsdaFixA37Y#0002</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EuriborSwapIsdaFixA38Y#0002</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EuriborSwapIsdaFixA39Y#0002</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EuriborSwapIsdaFixA40Y#0002</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EuriborSwapIsdaFixA41Y#0002</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EuriborSwapIsdaFixA42Y#0002</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EuriborSwapIsdaFixA43Y#0002</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EuriborSwapIsdaFixA44Y#0002</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EuriborSwapIsdaFixA45Y#0002</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EuriborSwapIsdaFixA46Y#0002</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EuriborSwapIsdaFixA47Y#0002</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EuriborSwapIsdaFixA48Y#0002</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EuriborSwapIsdaFixA49Y#0002</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EuriborSwapIsdaFixA50Y#0002</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EuriborSwapIsdaFixA51Y#0002</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EuriborSwapIsdaFixA52Y#0002</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EuriborSwapIsdaFixA53Y#0002</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EuriborSwapIsdaFixA54Y#0002</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EuriborSwapIsdaFixA55Y#0002</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EuriborSwapIsdaFixA56Y#0002</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EuriborSwapIsdaFixA57Y#0002</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EuriborSwapIsdaFixA58Y#0002</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EuriborSwapIsdaFixA59Y#0002</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EuriborSwapIsdaFixB1Y#0002</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EuriborSwapIsdaFixB2Y#0002</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EuriborSwapIsdaFixB3Y#0002</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EuriborSwapIsdaFixB4Y#0002</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EuriborSwapIsdaFixB5Y#0002</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EuriborSwapIsdaFixB6Y#0002</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EuriborSwapIsdaFixB7Y#0002</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EuriborSwapIsdaFixB8Y#0002</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EuriborSwapIsdaFixB9Y#0002</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EuriborSwapIsdaFixB10Y#0002</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EuriborSwapIsdaFixB11Y#0002</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EuriborSwapIsdaFixB12Y#0002</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EuriborSwapIsdaFixB13Y#0002</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EuriborSwapIsdaFixB14Y#0002</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EuriborSwapIsdaFixB15Y#0002</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EuriborSwapIsdaFixB16Y#0002</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EuriborSwapIsdaFixB17Y#0002</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EuriborSwapIsdaFixB18Y#0002</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EuriborSwapIsdaFixB19Y#0002</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EuriborSwapIsdaFixB20Y#0002</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EuriborSwapIsdaFixB21Y#0002</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EuriborSwapIsdaFixB22Y#0002</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EuriborSwapIsdaFixB23Y#0002</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EuriborSwapIsdaFixB24Y#0002</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EuriborSwapIsdaFixB25Y#0002</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EuriborSwapIsdaFixB26Y#0002</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EuriborSwapIsdaFixB27Y#0002</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EuriborSwapIsdaFixB28Y#0002</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EuriborSwapIsdaFixB29Y#0002</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EuriborSwapIsdaFixB30Y#0002</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EuriborSwapIsdaFixB31Y#0002</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EuriborSwapIsdaFixB33Y#0002</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EuriborSwapIsdaFixB34Y#0002</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EuriborSwapIsdaFixB35Y#0002</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EuriborSwapIsdaFixB36Y#0002</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EuriborSwapIsdaFixB37Y#0002</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EuriborSwapIsdaFixB38Y#0002</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EuriborSwapIsdaFixB39Y#0002</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EuriborSwapIsdaFixB40Y#0002</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EuriborSwapIsdaFixB41Y#0002</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EuriborSwapIsdaFixB42Y#0002</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EuriborSwapIsdaFixB43Y#0002</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EuriborSwapIsdaFixB44Y#0002</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EuriborSwapIsdaFixB45Y#0002</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EuriborSwapIsdaFixB46Y#0002</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EuriborSwapIsdaFixB47Y#0002</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EuriborSwapIsdaFixB48Y#0002</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EuriborSwapIsdaFixB49Y#0002</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EuriborSwapIsdaFixB50Y#0002</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EuriborSwapIsdaFixB51Y#0002</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EuriborSwapIsdaFixB52Y#0002</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EuriborSwapIsdaFixB53Y#0002</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EuriborSwapIsdaFixB54Y#0002</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EuriborSwapIsdaFixB55Y#0002</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EuriborSwapIsdaFixB56Y#0002</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EuriborSwapIsdaFixB57Y#0002</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EuriborSwapIsdaFixB58Y#0002</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EuriborSwapIsdaFixB59Y#0002</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EuriborSwapIfrFix1Y#0002</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EuriborSwapIfrFix2Y#0002</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EuriborSwapIfrFix3Y#0002</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EuriborSwapIfrFix4Y#0002</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EuriborSwapIfrFix5Y#0002</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EuriborSwapIfrFix6Y#0002</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EuriborSwapIfrFix7Y#0002</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EuriborSwapIfrFix8Y#0002</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EuriborSwapIfrFix9Y#0002</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EuriborSwapIfrFix10Y#0002</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EuriborSwapIfrFix11Y#0002</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EuriborSwapIfrFix12Y#0002</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EuriborSwapIfrFix13Y#0002</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EuriborSwapIfrFix14Y#0002</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EuriborSwapIfrFix15Y#0002</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EuriborSwapIfrFix16Y#0002</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EuriborSwapIfrFix17Y#0002</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EuriborSwapIfrFix18Y#0002</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EuriborSwapIfrFix19Y#0002</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EuriborSwapIfrFix20Y#0002</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EuriborSwapIfrFix21Y#0002</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EuriborSwapIfrFix22Y#0002</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EuriborSwapIfrFix23Y#0002</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EuriborSwapIfrFix24Y#0002</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EuriborSwapIfrFix25Y#0002</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EuriborSwapIfrFix26Y#0002</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EuriborSwapIfrFix27Y#0002</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EuriborSwapIfrFix28Y#0002</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EuriborSwapIfrFix29Y#0002</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EuriborSwapIfrFix30Y#0002</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EuriborSwapIfrFix31Y#0002</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EuriborSwapIfrFix33Y#0002</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EuriborSwapIfrFix34Y#0002</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EuriborSwapIfrFix35Y#0002</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EuriborSwapIfrFix36Y#0002</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EuriborSwapIfrFix37Y#0002</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EuriborSwapIfrFix38Y#0002</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EuriborSwapIfrFix39Y#0002</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EuriborSwapIfrFix40Y#0002</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EuriborSwapIfrFix41Y#0002</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EuriborSwapIfrFix42Y#0002</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EuriborSwapIfrFix43Y#0002</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EuriborSwapIfrFix44Y#0002</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EuriborSwapIfrFix45Y#0002</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EuriborSwapIfrFix46Y#0002</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EuriborSwapIfrFix47Y#0002</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EuriborSwapIfrFix48Y#0002</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EuriborSwapIfrFix49Y#0002</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EuriborSwapIfrFix50Y#0002</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EuriborSwapIfrFix51Y#0002</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EuriborSwapIfrFix52Y#0002</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EuriborSwapIfrFix53Y#0002</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EuriborSwapIfrFix54Y#0002</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EuriborSwapIfrFix55Y#0002</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EuriborSwapIfrFix56Y#0002</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EuriborSwapIfrFix57Y#0002</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EuriborSwapIfrFix58Y#0002</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EuriborSwapIfrFix59Y#0002</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EurLiborON#0002</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EurLiborSW#0002</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EurLibor2W#0002</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EurLibor1M#0002</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EurLibor2M#0002</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EurLibor3M#0002</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EurLibor4M#0002</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EurLibor5M#0002</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EurLibor6M#0002</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EurLibor7M#0002</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EurLibor8M#0002</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EurLibor9M#0002</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EurLibor10M#0002</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EurLibor11M#0002</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EurLibor1Y#0002</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EurLiborSwapIsdaFixA1Y#0002</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EurLiborSwapIsdaFixA2Y#0002</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EurLiborSwapIsdaFixA3Y#0002</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EurLiborSwapIsdaFixA4Y#0002</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EurLiborSwapIsdaFixA5Y#0002</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EurLiborSwapIsdaFixA6Y#0002</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EurLiborSwapIsdaFixA7Y#0002</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EurLiborSwapIsdaFixA8Y#0002</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EurLiborSwapIsdaFixA9Y#0002</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EurLiborSwapIsdaFixA10Y#0002</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EurLiborSwapIsdaFixA11Y#0002</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EurLiborSwapIsdaFixA12Y#0002</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EurLiborSwapIsdaFixA13Y#0002</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EurLiborSwapIsdaFixA14Y#0002</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EurLiborSwapIsdaFixA15Y#0002</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EurLiborSwapIsdaFixA16Y#0002</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EurLiborSwapIsdaFixA17Y#0002</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EurLiborSwapIsdaFixA18Y#0002</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EurLiborSwapIsdaFixA19Y#0002</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EurLiborSwapIsdaFixA20Y#0002</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EurLiborSwapIsdaFixA21Y#0002</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EurLiborSwapIsdaFixA22Y#0002</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EurLiborSwapIsdaFixA23Y#0002</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EurLiborSwapIsdaFixA24Y#0002</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EurLiborSwapIsdaFixA25Y#0002</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EurLiborSwapIsdaFixA26Y#0002</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EurLiborSwapIsdaFixA27Y#0002</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EurLiborSwapIsdaFixA28Y#0002</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EurLiborSwapIsdaFixA29Y#0002</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EurLiborSwapIsdaFixA30Y#0002</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EurLiborSwapIsdaFixA31Y#0002</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EurLiborSwapIsdaFixA33Y#0002</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EurLiborSwapIsdaFixA34Y#0002</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EurLiborSwapIsdaFixA35Y#0002</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EurLiborSwapIsdaFixA36Y#0002</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EurLiborSwapIsdaFixA37Y#0002</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EurLiborSwapIsdaFixA38Y#0002</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EurLiborSwapIsdaFixA39Y#0002</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EurLiborSwapIsdaFixA40Y#0002</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EurLiborSwapIsdaFixA41Y#0002</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EurLiborSwapIsdaFixA42Y#0002</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EurLiborSwapIsdaFixA43Y#0002</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EurLiborSwapIsdaFixA44Y#0002</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EurLiborSwapIsdaFixA45Y#0002</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EurLiborSwapIsdaFixA46Y#0002</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EurLiborSwapIsdaFixA47Y#0002</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EurLiborSwapIsdaFixA48Y#0002</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EurLiborSwapIsdaFixA49Y#0002</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EurLiborSwapIsdaFixA50Y#0002</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EurLiborSwapIsdaFixA51Y#0002</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EurLiborSwapIsdaFixA52Y#0002</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EurLiborSwapIsdaFixA53Y#0002</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EurLiborSwapIsdaFixA54Y#0002</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EurLiborSwapIsdaFixA55Y#0002</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EurLiborSwapIsdaFixA56Y#0002</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EurLiborSwapIsdaFixA57Y#0002</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EurLiborSwapIsdaFixA58Y#0002</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EurLiborSwapIsdaFixA59Y#0002</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EurLiborSwapIsdaFixB1Y#0002</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EurLiborSwapIsdaFixB2Y#0002</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EurLiborSwapIsdaFixB3Y#0002</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EurLiborSwapIsdaFixB4Y#0002</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EurLiborSwapIsdaFixB5Y#0002</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EurLiborSwapIsdaFixB6Y#0002</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EurLiborSwapIsdaFixB7Y#0002</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EurLiborSwapIsdaFixB8Y#0002</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EurLiborSwapIsdaFixB9Y#0002</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EurLiborSwapIsdaFixB10Y#0002</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EurLiborSwapIsdaFixB11Y#0002</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EurLiborSwapIsdaFixB12Y#0002</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EurLiborSwapIsdaFixB13Y#0002</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EurLiborSwapIsdaFixB14Y#0002</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EurLiborSwapIsdaFixB15Y#0002</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EurLiborSwapIsdaFixB16Y#0002</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EurLiborSwapIsdaFixB17Y#0002</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EurLiborSwapIsdaFixB18Y#0002</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EurLiborSwapIsdaFixB19Y#0002</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EurLiborSwapIsdaFixB20Y#0002</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EurLiborSwapIsdaFixB21Y#0002</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EurLiborSwapIsdaFixB22Y#0002</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EurLiborSwapIsdaFixB23Y#0002</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EurLiborSwapIsdaFixB24Y#0002</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EurLiborSwapIsdaFixB25Y#0002</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EurLiborSwapIsdaFixB26Y#0002</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EurLiborSwapIsdaFixB27Y#0002</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EurLiborSwapIsdaFixB28Y#0002</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EurLiborSwapIsdaFixB29Y#0002</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EurLiborSwapIsdaFixB30Y#0002</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EurLiborSwapIsdaFixB31Y#0002</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EurLiborSwapIsdaFixB33Y#0002</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EurLiborSwapIsdaFixB34Y#0002</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EurLiborSwapIsdaFixB35Y#0002</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EurLiborSwapIsdaFixB36Y#0002</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EurLiborSwapIsdaFixB37Y#0002</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EurLiborSwapIsdaFixB38Y#0002</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EurLiborSwapIsdaFixB39Y#0002</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EurLiborSwapIsdaFixB40Y#0002</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EurLiborSwapIsdaFixB41Y#0002</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EurLiborSwapIsdaFixB42Y#0002</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EurLiborSwapIsdaFixB43Y#0002</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EurLiborSwapIsdaFixB44Y#0002</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EurLiborSwapIsdaFixB45Y#0002</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EurLiborSwapIsdaFixB46Y#0002</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EurLiborSwapIsdaFixB47Y#0002</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EurLiborSwapIsdaFixB48Y#0002</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EurLiborSwapIsdaFixB49Y#0002</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EurLiborSwapIsdaFixB50Y#0002</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EurLiborSwapIsdaFixB51Y#0002</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EurLiborSwapIsdaFixB52Y#0002</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EurLiborSwapIsdaFixB53Y#0002</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EurLiborSwapIsdaFixB54Y#0002</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EurLiborSwapIsdaFixB55Y#0002</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EurLiborSwapIsdaFixB56Y#0002</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EurLiborSwapIsdaFixB57Y#0002</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EurLiborSwapIsdaFixB58Y#0002</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EurLiborSwapIsdaFixB59Y#0002</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EurLiborSwapIfrFix1Y#0002</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EurLiborSwapIfrFix2Y#0002</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EurLiborSwapIfrFix3Y#0002</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EurLiborSwapIfrFix4Y#0002</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EurLiborSwapIfrFix5Y#0002</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EurLiborSwapIfrFix6Y#0002</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EurLiborSwapIfrFix7Y#0002</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EurLiborSwapIfrFix8Y#0002</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EurLiborSwapIfrFix9Y#0002</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EurLiborSwapIfrFix10Y#0002</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EurLiborSwapIfrFix11Y#0002</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EurLiborSwapIfrFix12Y#0002</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EurLiborSwapIfrFix13Y#0002</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EurLiborSwapIfrFix14Y#0002</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EurLiborSwapIfrFix15Y#0002</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EurLiborSwapIfrFix16Y#0002</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EurLiborSwapIfrFix17Y#0002</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EurLiborSwapIfrFix18Y#0002</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EurLiborSwapIfrFix19Y#0002</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EurLiborSwapIfrFix20Y#0002</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EurLiborSwapIfrFix21Y#0002</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EurLiborSwapIfrFix22Y#0002</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EurLiborSwapIfrFix23Y#0002</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EurLiborSwapIfrFix24Y#0002</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EurLiborSwapIfrFix25Y#0002</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EurLiborSwapIfrFix26Y#0002</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EurLiborSwapIfrFix27Y#0002</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EurLiborSwapIfrFix28Y#0002</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EurLiborSwapIfrFix29Y#0002</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EurLiborSwapIfrFix30Y#0002</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EurLiborSwapIfrFix31Y#0002</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EurLiborSwapIfrFix33Y#0002</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EurLiborSwapIfrFix34Y#0002</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EurLiborSwapIfrFix35Y#0002</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EurLiborSwapIfrFix36Y#0002</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EurLiborSwapIfrFix37Y#0002</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EurLiborSwapIfrFix38Y#0002</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EurLiborSwapIfrFix39Y#0002</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EurLiborSwapIfrFix40Y#0002</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EurLiborSwapIfrFix41Y#0002</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EurLiborSwapIfrFix42Y#0002</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EurLiborSwapIfrFix43Y#0002</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EurLiborSwapIfrFix44Y#0002</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EurLiborSwapIfrFix45Y#0002</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EurLiborSwapIfrFix46Y#0002</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EurLiborSwapIfrFix47Y#0002</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EurLiborSwapIfrFix48Y#0002</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EurLiborSwapIfrFix49Y#0002</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EurLiborSwapIfrFix50Y#0002</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EurLiborSwapIfrFix51Y#0002</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EurLiborSwapIfrFix52Y#0002</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EurLiborSwapIfrFix53Y#0002</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EurLiborSwapIfrFix54Y#0002</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EurLiborSwapIfrFix55Y#0002</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EurLiborSwapIfrFix56Y#0002</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EurLiborSwapIfrFix57Y#0002</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EurLiborSwapIfrFix58Y#0002</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EurLiborSwapIfrFix59Y#0002</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obj_0060d#0001</v>
      </c>
      <c r="T3" s="137"/>
      <c r="U3" s="137"/>
      <c r="V3" s="137"/>
      <c r="W3" s="137"/>
      <c r="X3" s="137"/>
      <c r="Y3" s="253"/>
      <c r="Z3" s="253"/>
      <c r="AA3" s="253"/>
      <c r="AB3" s="137"/>
      <c r="AC3" s="137"/>
      <c r="AD3" s="284">
        <f>_xll.ohTrigger(AD5:AD42)</f>
        <v>2</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EUR1E6E6M_Quote#0002</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EUR1E6E1Y_Quote#0002</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EUR1E6E15M_Quote#0002</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EUR1E6E18M_Quote#0002</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EUR1E6E21M_Quote#0002</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EUR1E6E2Y_Quote#0002</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EUR1E6E3Y_Quote#0002</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EUR1E6E4Y_Quote#0002</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EUR1E6E5Y_Quote#0002</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EUR1E6E6Y_Quote#0002</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EUR1E6E7Y_Quote#0002</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EUR1E6E8Y_Quote#0002</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EUR1E6E9Y_Quote#0002</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EUR1E6E10Y_Quote#0002</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EUR1E6E11Y_Quote#0002</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EUR1E6E12Y_Quote#0002</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EUR1E6E13Y_Quote#0002</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EUR1E6E14Y_Quote#0002</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EUR1E6E15Y_Quote#0002</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EUR1E6E16Y_Quote#0002</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EUR1E6E17Y_Quote#0002</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EUR1E6E18Y_Quote#0002</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EUR1E6E19Y_Quote#0002</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EUR1E6E20Y_Quote#0002</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EUR1E6E21Y_Quote#0002</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EUR1E6E22Y_Quote#0002</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EUR1E6E23Y_Quote#0002</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EUR1E6E24Y_Quote#0002</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EUR1E6E25Y_Quote#0002</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EUR1E6E26Y_Quote#0002</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EUR1E6E27Y_Quote#0002</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EUR1E6E28Y_Quote#0002</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EUR1E6E29Y_Quote#0002</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EUR1E6E30Y_Quote#0002</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EUR1E6E35Y_Quote#0002</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EUR1E6E40Y_Quote#0002</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EUR1E6E50Y_Quote#0002</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EUR1E6E60Y_Quote#0002</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obj_0060c#0001</v>
      </c>
      <c r="T3" s="137"/>
      <c r="U3" s="137"/>
      <c r="V3" s="137"/>
      <c r="W3" s="137"/>
      <c r="X3" s="137"/>
      <c r="Y3" s="253"/>
      <c r="Z3" s="253"/>
      <c r="AA3" s="253"/>
      <c r="AB3" s="137"/>
      <c r="AC3" s="137"/>
      <c r="AD3" s="284">
        <f>_xll.ohTrigger(AD5:AD42)</f>
        <v>2</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EUR3E6E6M_Quote#0002</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EUR3E6E1Y_Quote#0002</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EUR3E6E15M_Quote#0002</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EUR3E6E18M_Quote#0002</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EUR3E6E21M_Quote#0002</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EUR3E6E2Y_Quote#0002</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EUR3E6E3Y_Quote#0002</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EUR3E6E4Y_Quote#0002</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EUR3E6E5Y_Quote#0002</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EUR3E6E6Y_Quote#0002</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EUR3E6E7Y_Quote#0002</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EUR3E6E8Y_Quote#0002</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EUR3E6E9Y_Quote#0002</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EUR3E6E10Y_Quote#0002</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EUR3E6E11Y_Quote#0002</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EUR3E6E12Y_Quote#0002</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EUR3E6E13Y_Quote#0002</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EUR3E6E14Y_Quote#0002</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EUR3E6E15Y_Quote#0002</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EUR3E6E16Y_Quote#0002</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EUR3E6E17Y_Quote#0002</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EUR3E6E18Y_Quote#0002</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EUR3E6E19Y_Quote#0002</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EUR3E6E20Y_Quote#0002</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EUR3E6E21Y_Quote#0002</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EUR3E6E22Y_Quote#0002</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EUR3E6E23Y_Quote#0002</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EUR3E6E24Y_Quote#0002</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EUR3E6E25Y_Quote#0002</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EUR3E6E26Y_Quote#0002</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EUR3E6E27Y_Quote#0002</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EUR3E6E28Y_Quote#0002</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EUR3E6E29Y_Quote#0002</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EUR3E6E30Y_Quote#0002</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EUR3E6E35Y_Quote#0002</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EUR3E6E40Y_Quote#0002</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EUR3E6E50Y_Quote#0002</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EUR3E6E60Y_Quote#0002</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obj_0060b#0001</v>
      </c>
      <c r="T3" s="137"/>
      <c r="U3" s="137"/>
      <c r="V3" s="137"/>
      <c r="W3" s="137"/>
      <c r="X3" s="137"/>
      <c r="Y3" s="253"/>
      <c r="Z3" s="253"/>
      <c r="AA3" s="253"/>
      <c r="AB3" s="137"/>
      <c r="AC3" s="137"/>
      <c r="AD3" s="284">
        <f>_xll.ohTrigger(AD5:AD42)</f>
        <v>2</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EUR6E12E6M_Quote#0002</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EUR6E12E1Y_Quote#0002</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EUR6E12E15M_Quote#0002</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EUR6E12E18M_Quote#0002</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EUR6E12E21M_Quote#0002</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EUR6E12E2Y_Quote#0002</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EUR6E12E3Y_Quote#0002</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EUR6E12E4Y_Quote#0002</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EUR6E12E5Y_Quote#0002</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EUR6E12E6Y_Quote#0002</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EUR6E12E7Y_Quote#0002</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EUR6E12E8Y_Quote#0002</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EUR6E12E9Y_Quote#0002</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EUR6E12E10Y_Quote#0002</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EUR6E12E11Y_Quote#0002</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EUR6E12E12Y_Quote#0002</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EUR6E12E13Y_Quote#0002</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EUR6E12E14Y_Quote#0002</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EUR6E12E15Y_Quote#0002</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EUR6E12E16Y_Quote#0002</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EUR6E12E17Y_Quote#0002</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EUR6E12E18Y_Quote#0002</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EUR6E12E19Y_Quote#0002</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EUR6E12E20Y_Quote#0002</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EUR6E12E21Y_Quote#0002</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EUR6E12E22Y_Quote#0002</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EUR6E12E23Y_Quote#0002</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EUR6E12E24Y_Quote#0002</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EUR6E12E25Y_Quote#0002</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EUR6E12E26Y_Quote#0002</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EUR6E12E27Y_Quote#0002</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EUR6E12E28Y_Quote#0002</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EUR6E12E29Y_Quote#0002</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EUR6E12E30Y_Quote#0002</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EUR6E12E35Y_Quote#0002</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EUR6E12E40Y_Quote#0002</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EUR6E12E50Y_Quote#0002</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EUR6E12E60Y_Quote#0002</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2</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EUROND_Quote#0002</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EURTND_Quote#0002</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EURSND_Quote#0002</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EURSWD_Quote#0002</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EUR2WD_Quote#0002</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EUR3WD_Quote#0002</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EUR1MD_Quote#0002</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EUR2MD_Quote#0002</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EUR3MD_Quote#0002</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EUR4MD_Quote#0002</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EUR5MD_Quote#0002</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EUR6MD_Quote#0002</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EUR7MD_Quote#0002</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EUR8MD_Quote#0002</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EUR9MD_Quote#0002</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EUR10MD_Quote#0002</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EUR11MD_Quote#0002</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EUR1YD_Quote#0002</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EURT1F1_Quote#0002</v>
      </c>
      <c r="F3" s="124" t="str">
        <f>_xll.ohRangeRetrieveError(E3)</f>
        <v/>
      </c>
      <c r="G3" s="49"/>
      <c r="I3" s="122"/>
      <c r="J3" s="137"/>
      <c r="K3" s="253"/>
      <c r="L3" s="137"/>
      <c r="M3" s="137"/>
      <c r="N3" s="137"/>
      <c r="O3" s="137"/>
      <c r="P3" s="137"/>
      <c r="Q3" s="137"/>
      <c r="R3" s="137"/>
      <c r="S3" s="253"/>
      <c r="T3" s="253"/>
      <c r="U3" s="253"/>
      <c r="V3" s="137"/>
      <c r="W3" s="284">
        <f>_xll.ohTrigger(W5:W23)</f>
        <v>2</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EURTOM1F1_Quote#0002</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48"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EURT3F1_Quote#0002</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EURTOM3F1_Quote#0002</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EUR1x4F_Quote#0002</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EUR2x5F_Quote#0002</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EUR3x6F_Quote#0002</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EUR4x7F_Quote#0002</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EUR5x8F_Quote#0002</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EUR6x9F_Quote#0002</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EURT6F1_Quote#0002</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EURTOM6F1_Quote#0002</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EUR1x7F_Quote#0002</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EUR2x8F_Quote#0002</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EUR3x9F_Quote#0002</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EUR4x10F_Quote#0002</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EUR5x11F_Quote#0002</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EUR6x12F_Quote#0002</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EUR7x13F_Quote#0002</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EUR8x14F_Quote#0002</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EUR9x15F_Quote#0002</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EUR10x16F_Quote#0002</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EUR11x17F_Quote#0002</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EUR12x18F_Quote#0002</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EUR13x19F_Quote#0002</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EUR14x20F_Quote#0002</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EUR15x21F_Quote#0002</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EUR16x22F_Quote#0002</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EUR17x23F_Quote#0002</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EUR18x24F_Quote#0002</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EURT12F1_Quote#0002</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49">
        <v>0.86399999999999999</v>
      </c>
      <c r="W33" s="547"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EURTOM12F1_Quote#0002</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EUR12x24F_Quote#0002</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2</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EURFUT1MF4_Quote#0002</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EURFUT1MG4_Quote#0002</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EURFUT1MH4_Quote#0002</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EURFUT1MJ4_Quote#0002</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EURFUT1MK4_Quote#0002</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EURFUT1MM4_Quote#0002</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EURFUT1MN4_Quote#0002</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EURFUT1MQ4_Quote#0002</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EURFUT1MU4_Quote#0002</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EURFUT1MV4_Quote#0002</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EURFUT1MX4_Quote#0002</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EURFUT1MZ4_Quote#0002</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EURFUT1MF5_Quote#0002</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EURFUT1MG5_Quote#0002</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EURFUT1MH5_Quote#0002</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EURFUT1MJ5_Quote#0002</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EURFUT1MK5_Quote#0002</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EURFUT1MM5_Quote#0002</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EURFUT1MN5_Quote#0002</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EURFUT1MQ5_Quote#0002</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EURFUT1MU5_Quote#0002</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EURFUT1MV5_Quote#0002</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EURFUT1MX5_Quote#0002</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EURFUT1MZ5_Quote#0002</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EURFUT1MF6_Quote#0002</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EURFUT1MG6_Quote#0002</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EURFUT1MH6_Quote#0002</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EURFUT1MJ6_Quote#0002</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EURFUT1MK6_Quote#0002</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EURFUT1MM6_Quote#0002</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EURFUT1MN6_Quote#0002</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EURFUT1MQ6_Quote#0002</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EURFUT1MU6_Quote#0002</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EURFUT1MV6_Quote#0002</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EURFUT1MX6_Quote#0002</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EURFUT1MZ6_Quote#0002</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EURFUT1MF7_Quote#0002</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EURFUT1MG7_Quote#0002</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EURFUT1MH7_Quote#0002</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EURFUT1MJ7_Quote#0002</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EURFUT1MK7_Quote#0002</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EURFUT1MM7_Quote#0002</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EURFUT1MN7_Quote#0002</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EURFUT1MQ7_Quote#0002</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EURFUT1MU7_Quote#0002</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EURFUT1MV7_Quote#0002</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EURFUT1MX7_Quote#0002</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EURFUT1MZ7_Quote#0002</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EURFUT1MF8_Quote#0002</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EURFUT1MG8_Quote#0002</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EURFUT1MH8_Quote#0002</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EURFUT1MJ8_Quote#0002</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EURFUT1MK8_Quote#0002</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EURFUT1MM8_Quote#0002</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EURFUT1MN8_Quote#0002</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EURFUT1MQ8_Quote#0002</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EURFUT1MU8_Quote#0002</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EURFUT1MV8_Quote#0002</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EURFUT1MX8_Quote#0002</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EURFUT1MZ8_Quote#0002</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EURFUT1MF9_Quote#0002</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EURFUT1MG9_Quote#0002</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EURFUT1MH9_Quote#0002</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EURFUT1MJ9_Quote#0002</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EURFUT1MK9_Quote#0002</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EURFUT1MM9_Quote#0002</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EURFUT1MN9_Quote#0002</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EURFUT1MQ9_Quote#0002</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EURFUT1MU9_Quote#0002</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EURFUT1MV9_Quote#0002</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EURFUT1MX9_Quote#0002</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EURFUT1MZ9_Quote#0002</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EURFUT1MF0_Quote#0002</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EURFUT1MG0_Quote#0002</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EURFUT1MH0_Quote#0002</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EURFUT1MJ0_Quote#0002</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EURFUT1MK0_Quote#0002</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EURFUT1MM0_Quote#0002</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EURFUT1MN0_Quote#0002</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EURFUT1MQ0_Quote#0002</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EURFUT1MU0_Quote#0002</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EURFUT1MV0_Quote#0002</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EURFUT1MX0_Quote#0002</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EURFUT1MZ0_Quote#0002</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EURFUT1MF1_Quote#0002</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EURFUT1MG1_Quote#0002</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EURFUT1MH1_Quote#0002</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EURFUT1MJ1_Quote#0002</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EURFUT1MK1_Quote#0002</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EURFUT1MM1_Quote#0002</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EURFUT1MN1_Quote#0002</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EURFUT1MQ1_Quote#0002</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EURFUT1MU1_Quote#0002</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EURFUT1MV1_Quote#0002</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EURFUT1MX1_Quote#0002</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EURFUT1MZ1_Quote#0002</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EURFUT1MF2_Quote#0002</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EURFUT1MG2_Quote#0002</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EURFUT1MH2_Quote#0002</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EURFUT1MJ2_Quote#0002</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EURFUT1MK2_Quote#0002</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EURFUT1MM2_Quote#0002</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EURFUT1MN2_Quote#0002</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EURFUT1MQ2_Quote#0002</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EURFUT1MU2_Quote#0002</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EURFUT1MV2_Quote#0002</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EURFUT1MX2_Quote#0002</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EURFUT1MZ2_Quote#0002</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EURFUT1MF3_Quote#0002</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EURFUT1MG3_Quote#0002</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EURFUT1MH3_Quote#0002</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EURFUT1MJ3_Quote#0002</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EURFUT1MK3_Quote#0002</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EURFUT1MM3_Quote#0002</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EURFUT1MN3_Quote#0002</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EURFUT1MQ3_Quote#0002</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EURFUT1MU3_Quote#0002</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EURFUT1MV3_Quote#0002</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EURFUT1MX3_Quote#0002</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EURFUT1MZ3_Quote#0002</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2</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EURFUT3MF4_Quote#0002</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QuoteStatic</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EURFUT3MF4ConvAdj_Quote#0002</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EURFUT3MG4_Quote#0002</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EURFUT3MG4ConvAdj_Quote#0002</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EURFUT3MH4_Quote#0002</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EURFUT3MH4ConvAdj_Quote#0002</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EURFUT3MJ4_Quote#0002</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EURFUT3MJ4ConvAdj_Quote#0002</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EURFUT3MK4_Quote#0002</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99.677499999999995</v>
      </c>
      <c r="X11" s="253"/>
      <c r="Y11" s="328">
        <v>99.677499999999995</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EURFUT3MK4ConvAdj_Quote#0002</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EURFUT3MM4_Quote#0002</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v>99.547499999999999</v>
      </c>
      <c r="X12" s="253"/>
      <c r="Y12" s="328">
        <v>99.547499999999999</v>
      </c>
      <c r="Z12" s="262" t="e">
        <f>_xll.qlSimpleQuoteSetValue(F12,Y12,Trigger)</f>
        <v>#N/A</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EURFUT3MM4ConvAdj_Quote#0002</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EURFUT3MN4_Quote#0002</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EURFUT3MN4ConvAdj_Quote#0002</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EURFUT3MQ4_Quote#0002</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EURFUT3MQ4ConvAdj_Quote#0002</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EURFUT3MU4_Quote#0002</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v>99.487499999999997</v>
      </c>
      <c r="X15" s="253"/>
      <c r="Y15" s="328">
        <v>99.487499999999997</v>
      </c>
      <c r="Z15" s="262" t="e">
        <f>_xll.qlSimpleQuoteSetValue(F15,Y15,Trigger)</f>
        <v>#N/A</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EURFUT3MU4ConvAdj_Quote#0002</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EURFUT3MV4_Quote#0002</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EURFUT3MV4ConvAdj_Quote#0002</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EURFUT3MX4_Quote#0002</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EURFUT3MX4ConvAdj_Quote#0002</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EURFUT3MZ4_Quote#0002</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v>99.417500000000004</v>
      </c>
      <c r="X18" s="253"/>
      <c r="Y18" s="328">
        <v>99.417500000000004</v>
      </c>
      <c r="Z18" s="262" t="e">
        <f>_xll.qlSimpleQuoteSetValue(F18,Y18,Trigger)</f>
        <v>#N/A</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EURFUT3MZ4ConvAdj_Quote#0002</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EURFUT3MH5_Quote#0002</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EURFUT3MH5ConvAdj_Quote#0002</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EURFUT3MM5_Quote#0002</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EURFUT3MM5ConvAdj_Quote#0002</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EURFUT3MU5_Quote#0002</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EURFUT3MU5ConvAdj_Quote#0002</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EURFUT3MZ5_Quote#0002</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EURFUT3MZ5ConvAdj_Quote#0002</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EURFUT3MH6_Quote#0002</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EURFUT3MH6ConvAdj_Quote#0002</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EURFUT3MM6_Quote#0002</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99.075000000000003</v>
      </c>
      <c r="X24" s="253"/>
      <c r="Y24" s="328">
        <v>99.075000000000003</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EURFUT3MM6ConvAdj_Quote#0002</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EURFUT3MU6_Quote#0002</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98.95</v>
      </c>
      <c r="X25" s="253"/>
      <c r="Y25" s="328">
        <v>98.95</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EURFUT3MU6ConvAdj_Quote#0002</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EURFUT3MZ6_Quote#0002</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98.802499999999995</v>
      </c>
      <c r="X26" s="253"/>
      <c r="Y26" s="328">
        <v>98.802499999999995</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EURFUT3MZ6ConvAdj_Quote#0002</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EURFUT3MH7_Quote#0002</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EURFUT3MH7ConvAdj_Quote#0002</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EURFUT3MM7_Quote#0002</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EURFUT3MM7ConvAdj_Quote#0002</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EURFUT3MU7_Quote#0002</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98.385000000000005</v>
      </c>
      <c r="X29" s="253"/>
      <c r="Y29" s="328">
        <v>98.385000000000005</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EURFUT3MU7ConvAdj_Quote#0002</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EURFUT3MZ7_Quote#0002</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EURFUT3MZ7ConvAdj_Quote#0002</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EURFUT3MH8_Quote#0002</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98.125</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EURFUT3MH8ConvAdj_Quote#0002</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EURFUT3MM8_Quote#0002</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98.01</v>
      </c>
      <c r="X32" s="253"/>
      <c r="Y32" s="328">
        <v>98.01</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EURFUT3MM8ConvAdj_Quote#0002</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EURFUT3MU8_Quote#0002</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97.922499999999999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EURFUT3MU8ConvAdj_Quote#0002</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EURFUT3MZ8_Quote#0002</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97.834999999999994</v>
      </c>
      <c r="X34" s="253"/>
      <c r="Y34" s="328">
        <v>97.834999999999994</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EURFUT3MZ8ConvAdj_Quote#0002</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EURFUT3MH9_Quote#0002</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97.76</v>
      </c>
      <c r="X35" s="253"/>
      <c r="Y35" s="328">
        <v>97.76</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EURFUT3MH9ConvAdj_Quote#0002</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EURFUT3MM9_Quote#0002</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97.672499999999999</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EURFUT3MM9ConvAdj_Quote#0002</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EURFUT3MU9_Quote#0002</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EURFUT3MU9ConvAdj_Quote#0002</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EURFUT3MZ9_Quote#0002</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EURFUT3MZ9ConvAdj_Quote#0002</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EURFUT3MH0_Quote#0002</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EURFUT3MH0ConvAdj_Quote#0002</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EURFUT3MM0_Quote#0002</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EURFUT3MM0ConvAdj_Quote#0002</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EURFUT3MU0_Quote#0002</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EURFUT3MU0ConvAdj_Quote#0002</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EURFUT3MZ0_Quote#0002</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EURFUT3MZ0ConvAdj_Quote#0002</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EURFUT3MH1_Quote#0002</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EURFUT3MH1ConvAdj_Quote#0002</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EURFUT3MM1_Quote#0002</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EURFUT3MM1ConvAdj_Quote#0002</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EURFUT3MU1_Quote#0002</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EURFUT3MU1ConvAdj_Quote#0002</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EURFUT3MZ1_Quote#0002</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EURFUT3MZ1ConvAdj_Quote#0002</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EURFUT3MH2_Quote#0002</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EURFUT3MH2ConvAdj_Quote#0002</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EURFUT3MM2_Quote#0002</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EURFUT3MM2ConvAdj_Quote#0002</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2</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EURIMMFRA6MF4_Quote#0002</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EURIMMFRA6MG4_Quote#0002</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EURIMMFRA6MH4_Quote#0002</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EURIMMFRA6MJ4_Quote#0002</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EURIMMFRA6MK4_Quote#0002</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EURIMMFRA6MM4_Quote#0002</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EURIMMFRA6MN4_Quote#0002</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EURIMMFRA6MQ4_Quote#0002</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EURIMMFRA6MU4_Quote#0002</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EURIMMFRA6MV4_Quote#0002</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EURIMMFRA6MX4_Quote#0002</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EURIMMFRA6MZ4_Quote#0002</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EURIMMFRA6MF5_Quote#0002</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EURIMMFRA6MG5_Quote#0002</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EURIMMFRA6MH5_Quote#0002</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EURIMMFRA6MJ5_Quote#0002</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EURIMMFRA6MK5_Quote#0002</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EURIMMFRA6MM5_Quote#0002</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EURIMMFRA6MN5_Quote#0002</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EURIMMFRA6MQ5_Quote#0002</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EURIMMFRA6MU5_Quote#0002</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EURIMMFRA6MV5_Quote#0002</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EURIMMFRA6MX5_Quote#0002</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EURIMMFRA6MZ5_Quote#0002</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EURIMMFRA6MF6_Quote#0002</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EURIMMFRA6MG6_Quote#0002</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EURIMMFRA6MH6_Quote#0002</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EURIMMFRA6MJ6_Quote#0002</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EURIMMFRA6MK6_Quote#0002</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EURIMMFRA6MM6_Quote#0002</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EURIMMFRA6MN6_Quote#0002</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EURIMMFRA6MQ6_Quote#0002</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EURIMMFRA6MU6_Quote#0002</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EURIMMFRA6MV6_Quote#0002</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EURIMMFRA6MX6_Quote#0002</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EURIMMFRA6MZ6_Quote#0002</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EURIMMFRA6MF7_Quote#0002</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EURIMMFRA6MG7_Quote#0002</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EURIMMFRA6MH7_Quote#0002</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EURIMMFRA6MJ7_Quote#0002</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EURIMMFRA6MK7_Quote#0002</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EURIMMFRA6MM7_Quote#0002</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EURIMMFRA6MN7_Quote#0002</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EURIMMFRA6MQ7_Quote#0002</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EURIMMFRA6MU7_Quote#0002</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EURIMMFRA6MV7_Quote#0002</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EURIMMFRA6MX7_Quote#0002</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EURIMMFRA6MZ7_Quote#0002</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EURIMMFRA6MF8_Quote#0002</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EURIMMFRA6MG8_Quote#0002</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EURIMMFRA6MH8_Quote#0002</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EURIMMFRA6MJ8_Quote#0002</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EURIMMFRA6MK8_Quote#0002</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EURIMMFRA6MM8_Quote#0002</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EURIMMFRA6MN8_Quote#0002</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EURIMMFRA6MQ8_Quote#0002</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EURIMMFRA6MU8_Quote#0002</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EURIMMFRA6MV8_Quote#0002</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EURIMMFRA6MX8_Quote#0002</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EURIMMFRA6MZ8_Quote#0002</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EURIMMFRA6MF9_Quote#0002</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EURIMMFRA6MG9_Quote#0002</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EURIMMFRA6MH9_Quote#0002</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EURIMMFRA6MJ9_Quote#0002</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EURIMMFRA6MK9_Quote#0002</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EURIMMFRA6MM9_Quote#0002</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EURIMMFRA6MN9_Quote#0002</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EURIMMFRA6MQ9_Quote#0002</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EURIMMFRA6MU9_Quote#0002</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EURIMMFRA6MV9_Quote#0002</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EURIMMFRA6MX9_Quote#0002</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EURIMMFRA6MZ9_Quote#0002</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EURIMMFRA6MF0_Quote#0002</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EURIMMFRA6MG0_Quote#0002</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EURIMMFRA6MH0_Quote#0002</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EURIMMFRA6MJ0_Quote#0002</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EURIMMFRA6MK0_Quote#0002</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EURIMMFRA6MM0_Quote#0002</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EURIMMFRA6MN0_Quote#0002</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EURIMMFRA6MQ0_Quote#0002</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EURIMMFRA6MU0_Quote#0002</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EURIMMFRA6MV0_Quote#0002</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EURIMMFRA6MX0_Quote#0002</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EURIMMFRA6MZ0_Quote#0002</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EURIMMFRA6MF1_Quote#0002</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EURIMMFRA6MG1_Quote#0002</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EURIMMFRA6MH1_Quote#0002</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EURIMMFRA6MJ1_Quote#0002</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EURIMMFRA6MK1_Quote#0002</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EURIMMFRA6MM1_Quote#0002</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EURIMMFRA6MN1_Quote#0002</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EURIMMFRA6MQ1_Quote#0002</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EURIMMFRA6MU1_Quote#0002</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EURIMMFRA6MV1_Quote#0002</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EURIMMFRA6MX1_Quote#0002</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EURIMMFRA6MZ1_Quote#0002</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EURIMMFRA6MF2_Quote#0002</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EURIMMFRA6MG2_Quote#0002</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EURIMMFRA6MH2_Quote#0002</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EURIMMFRA6MJ2_Quote#0002</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EURIMMFRA6MK2_Quote#0002</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EURIMMFRA6MM2_Quote#0002</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EURIMMFRA6MN2_Quote#0002</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EURIMMFRA6MQ2_Quote#0002</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EURIMMFRA6MU2_Quote#0002</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EURIMMFRA6MV2_Quote#0002</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EURIMMFRA6MX2_Quote#0002</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EURIMMFRA6MZ2_Quote#0002</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EURIMMFRA6MF3_Quote#0002</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EURIMMFRA6MG3_Quote#0002</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EURIMMFRA6MH3_Quote#0002</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EURIMMFRA6MJ3_Quote#0002</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EURIMMFRA6MK3_Quote#0002</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EURIMMFRA6MM3_Quote#0002</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EURIMMFRA6MN3_Quote#0002</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EURIMMFRA6MQ3_Quote#0002</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EURIMMFRA6MU3_Quote#0002</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EURIMMFRA6MV3_Quote#0002</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EURIMMFRA6MX3_Quote#0002</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EURIMMFRA6MZ3_Quote#0002</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2</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98" t="s">
        <v>267</v>
      </c>
      <c r="L4" s="599"/>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EURHW_Volatility_Quote#0002</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EURHW_MeanReversion_Quote#0002</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2</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EUREONSW_Quote#0002</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EUREON2W_Quote#0002</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EUREON3W_Quote#0002</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EUREON1M_Quote#0002</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EUREON2M_Quote#0002</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EUREON3M_Quote#0002</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EUREON4M_Quote#0002</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EUREON5M_Quote#0002</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EUREON6M_Quote#0002</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EUREON7M_Quote#0002</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EUREON8M_Quote#0002</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EUREON9M_Quote#0002</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EUREON10M_Quote#0002</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EUREON11M_Quote#0002</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EUREON1Y_Quote#0002</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EUREON15M_Quote#0002</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EUREON18M_Quote#0002</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EUREON21M_Quote#0002</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EUREON2Y_Quote#0002</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EUREON3Y_Quote#0002</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EUREON4Y_Quote#0002</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EUREON5Y_Quote#0002</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EUREON6Y_Quote#0002</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EUREON7Y_Quote#0002</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EUREON8Y_Quote#0002</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EUREON9Y_Quote#0002</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EUREON10Y_Quote#0002</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EUREON11Y_Quote#0002</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EUREON12Y_Quote#0002</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EUREON15Y_Quote#0002</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EUREON20Y_Quote#0002</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EUREON25Y_Quote#0002</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EUREON30Y_Quote#0002</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EUREON40Y_Quote#0002</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EUREON50Y_Quote#0002</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EUREON60Y_Quote#0002</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EURECBOISJAN13_Quote#0002</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EURECBOISFEB13_Quote#0002</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EURECBOISMAR13_Quote#0002</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EURECBOISAPR13_Quote#0002</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EURECBOISMAY13_Quote#0002</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EURECBOISJUN13_Quote#0002</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EURECBOISJUL13_Quote#0002</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2</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EURECBOISAUG13_Quote#0002</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EURECBOISSEP13_Quote#0002</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EURECBOISOCT13_Quote#0002</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EURECBOISNOV13_Quote#0002</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EURECBOISDEC13_Quote#0002</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2</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EUR2X1S_Quote#0002</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EUR3X1S_Quote#0002</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EUR4X1S_Quote#0002</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EUR5X1S_Quote#0002</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EUR6X1S_Quote#0002</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EUR7X1S_Quote#0002</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EUR8X1S_Quote#0002</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EUR9X1S_Quote#0002</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EUR10X1S_Quote#0002</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EUR11X1S_Quote#0002</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EUR12X1S_Quote#0002</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2</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EUR1S12_Quote#0002</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EUR2S12_Quote#0002</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EUR3S12_Quote#0002</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EUR4S12_Quote#0002</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EUR1S24_Quote#0002</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EUR2S24_Quote#0002</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EUR1S36_Quote#0002</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20</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EURAB3E1Y_Quote#0002</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EURAB3E15M_Quote#0002</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EURAB3E18M_Quote#0002</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EURAB3E21M_Quote#0002</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EURAB3E2Y_Quote#0002</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EURAB3E3Y_Quote#0002</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EURAB3E4Y_Quote#0002</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EURAB3E5Y_Quote#0002</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EURAB3E6Y_Quote#0002</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EURAB3E7Y_Quote#0002</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EURAB3E8Y_Quote#0002</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EURAB3E9Y_Quote#0002</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EURAB3E10Y_Quote#0002</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EURAB3E11Y_Quote#0002</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EURAB3E12Y_Quote#0002</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EURAB3E13Y_Quote#0002</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EURAB3E14Y_Quote#0002</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EURAB3E15Y_Quote#0002</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EURAB3E16Y_Quote#0002</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EURAB3E17Y_Quote#0002</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EURAB3E18Y_Quote#0002</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EURAB3E19Y_Quote#0002</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EURAB3E20Y_Quote#0002</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EURAB3E21Y_Quote#0002</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EURAB3E22Y_Quote#0002</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EURAB3E23Y_Quote#0002</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EURAB3E24Y_Quote#0002</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EURAB3E25Y_Quote#0002</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EURAB3E26Y_Quote#0002</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EURAB3E27Y_Quote#0002</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EURAB3E28Y_Quote#0002</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EURAB3E29Y_Quote#0002</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EURAB3E30Y_Quote#0002</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EURAB3E35Y_Quote#0002</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EURAB3E40Y_Quote#0002</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EURAB3E50Y_Quote#0002</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EURAB3E60Y_Quote#0002</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20</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EURAB6E1Y_Quote#0002</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EURAB6E15M_Quote#0002</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EURAB6E18M_Quote#0002</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EURAB6E21M_Quote#0002</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EURAB6E2Y_Quote#0002</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EURAB6E3Y_Quote#0002</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EURAB6E4Y_Quote#0002</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EURAB6E5Y_Quote#0002</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EURAB6E6Y_Quote#0002</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EURAB6E7Y_Quote#0002</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EURAB6E8Y_Quote#0002</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EURAB6E9Y_Quote#0002</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EURAB6E10Y_Quote#0002</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EURAB6E11Y_Quote#0002</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EURAB6E12Y_Quote#0002</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EURAB6E13Y_Quote#0002</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EURAB6E14Y_Quote#0002</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EURAB6E15Y_Quote#0002</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EURAB6E16Y_Quote#0002</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EURAB6E17Y_Quote#0002</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EURAB6E18Y_Quote#0002</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EURAB6E19Y_Quote#0002</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EURAB6E20Y_Quote#0002</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EURAB6E21Y_Quote#0002</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EURAB6E22Y_Quote#0002</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EURAB6E23Y_Quote#0002</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EURAB6E24Y_Quote#0002</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EURAB6E25Y_Quote#0002</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EURAB6E26Y_Quote#0002</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EURAB6E27Y_Quote#0002</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EURAB6E28Y_Quote#0002</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EURAB6E29Y_Quote#0002</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EURAB6E30Y_Quote#0002</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EURAB6E35Y_Quote#0002</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EURAB6E40Y_Quote#0002</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EURAB6E50Y_Quote#0002</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EURAB6E60Y_Quote#0002</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EURTOY_SYNTHON_Quote#0002</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EURTOY2_SYNTHON_Quote#0002</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EUROND_SYNTH1M_Quote#0002</v>
      </c>
      <c r="E3" s="227" t="str">
        <f>_xll.ohRangeRetrieveError(D3)</f>
        <v/>
      </c>
      <c r="F3" s="217"/>
      <c r="H3" s="525"/>
      <c r="I3" s="535"/>
      <c r="J3" s="535"/>
      <c r="K3" s="522"/>
      <c r="L3" s="522"/>
      <c r="M3" s="522"/>
      <c r="N3" s="535"/>
      <c r="O3" s="534">
        <f>_xll.ohTrigger(O5:O8)</f>
        <v>2</v>
      </c>
      <c r="P3" s="519"/>
    </row>
    <row r="4" spans="1:16" x14ac:dyDescent="0.2">
      <c r="A4" s="122"/>
      <c r="B4" s="229" t="s">
        <v>154</v>
      </c>
      <c r="C4" s="129" t="str">
        <f t="shared" si="0"/>
        <v>EURTND_SYNTH1M_Quote</v>
      </c>
      <c r="D4" s="131" t="str">
        <f>_xll.qlSimpleQuote(C4,,RateTickValue,Permanent,Trigger,ObjectOverwrite)</f>
        <v>EURTND_SYNTH1M_Quote#0002</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EURSND_SYNTH1M_Quote#0002</v>
      </c>
      <c r="E5" s="227" t="str">
        <f>_xll.ohRangeRetrieveError(D5)</f>
        <v/>
      </c>
      <c r="F5" s="217"/>
      <c r="H5" s="525"/>
      <c r="I5" s="529" t="s">
        <v>153</v>
      </c>
      <c r="J5" s="555" t="s">
        <v>324</v>
      </c>
      <c r="K5" s="544"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EURSWD_SYNTH1M_Quote#0002</v>
      </c>
      <c r="E6" s="227" t="str">
        <f>_xll.ohRangeRetrieveError(D6)</f>
        <v/>
      </c>
      <c r="F6" s="217"/>
      <c r="H6" s="525"/>
      <c r="I6" s="529" t="s">
        <v>152</v>
      </c>
      <c r="J6" s="555" t="s">
        <v>325</v>
      </c>
      <c r="K6" s="544"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EUR2WD_SYNTH1M_Quote#0002</v>
      </c>
      <c r="E7" s="227" t="str">
        <f>_xll.ohRangeRetrieveError(D7)</f>
        <v/>
      </c>
      <c r="F7" s="217"/>
      <c r="H7" s="525"/>
      <c r="I7" s="529" t="s">
        <v>151</v>
      </c>
      <c r="J7" s="555" t="s">
        <v>326</v>
      </c>
      <c r="K7" s="544"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EUR3WD_SYNTH1M_Quote#0002</v>
      </c>
      <c r="E8" s="227" t="str">
        <f>_xll.ohRangeRetrieveError(D8)</f>
        <v/>
      </c>
      <c r="F8" s="217"/>
      <c r="H8" s="525"/>
      <c r="I8" s="524" t="s">
        <v>150</v>
      </c>
      <c r="J8" s="556" t="s">
        <v>327</v>
      </c>
      <c r="K8" s="544"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EUR1MD_SYNTH1M_Quote#0002</v>
      </c>
      <c r="E9" s="227" t="str">
        <f>_xll.ohRangeRetrieveError(D9)</f>
        <v/>
      </c>
      <c r="F9" s="217"/>
      <c r="H9" s="525"/>
      <c r="I9" s="524" t="s">
        <v>149</v>
      </c>
      <c r="J9" s="556" t="s">
        <v>328</v>
      </c>
      <c r="K9" s="544"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EURTOY_SYNTH1M_Quote#0002</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EURTOY2_SYNTH1M_Quote#0002</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EUROND_SYNTH3M_Quote#0002</v>
      </c>
      <c r="E3" s="234" t="str">
        <f>_xll.ohRangeRetrieveError(D3)</f>
        <v/>
      </c>
      <c r="F3" s="217"/>
      <c r="H3" s="525"/>
      <c r="I3" s="535"/>
      <c r="J3" s="535"/>
      <c r="K3" s="522"/>
      <c r="L3" s="522"/>
      <c r="M3" s="522"/>
      <c r="N3" s="535"/>
      <c r="O3" s="534">
        <f>_xll.ohTrigger(O5:O10)</f>
        <v>2</v>
      </c>
      <c r="P3" s="519"/>
    </row>
    <row r="4" spans="1:16" x14ac:dyDescent="0.2">
      <c r="A4" s="122"/>
      <c r="B4" s="229" t="s">
        <v>154</v>
      </c>
      <c r="C4" s="129" t="str">
        <f t="shared" si="0"/>
        <v>EURTND_SYNTH3M_Quote</v>
      </c>
      <c r="D4" s="129" t="str">
        <f>_xll.qlSimpleQuote(C4,,RateTickValue,Permanent,Trigger,ObjectOverwrite)</f>
        <v>EURTND_SYNTH3M_Quote#0002</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EURSND_SYNTH3M_Quote#0002</v>
      </c>
      <c r="E5" s="234" t="str">
        <f>_xll.ohRangeRetrieveError(D5)</f>
        <v/>
      </c>
      <c r="F5" s="217"/>
      <c r="H5" s="525"/>
      <c r="I5" s="529" t="s">
        <v>153</v>
      </c>
      <c r="J5" s="555" t="s">
        <v>331</v>
      </c>
      <c r="K5" s="544"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EURSWD_SYNTH3M_Quote#0002</v>
      </c>
      <c r="E6" s="234" t="str">
        <f>_xll.ohRangeRetrieveError(D6)</f>
        <v/>
      </c>
      <c r="F6" s="217"/>
      <c r="H6" s="525"/>
      <c r="I6" s="529" t="s">
        <v>152</v>
      </c>
      <c r="J6" s="555" t="s">
        <v>332</v>
      </c>
      <c r="K6" s="544"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EUR2WD_SYNTH3M_Quote#0002</v>
      </c>
      <c r="E7" s="234" t="str">
        <f>_xll.ohRangeRetrieveError(D7)</f>
        <v/>
      </c>
      <c r="F7" s="217"/>
      <c r="H7" s="525"/>
      <c r="I7" s="529" t="s">
        <v>151</v>
      </c>
      <c r="J7" s="555" t="s">
        <v>333</v>
      </c>
      <c r="K7" s="544"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EUR3WD_SYNTH3M_Quote#0002</v>
      </c>
      <c r="E8" s="234" t="str">
        <f>_xll.ohRangeRetrieveError(D8)</f>
        <v/>
      </c>
      <c r="F8" s="217"/>
      <c r="H8" s="525"/>
      <c r="I8" s="524" t="s">
        <v>150</v>
      </c>
      <c r="J8" s="556" t="s">
        <v>334</v>
      </c>
      <c r="K8" s="544"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EUR1MD_SYNTH3M_Quote#0002</v>
      </c>
      <c r="E9" s="234" t="str">
        <f>_xll.ohRangeRetrieveError(D9)</f>
        <v/>
      </c>
      <c r="F9" s="217"/>
      <c r="H9" s="525"/>
      <c r="I9" s="529" t="s">
        <v>149</v>
      </c>
      <c r="J9" s="555" t="s">
        <v>335</v>
      </c>
      <c r="K9" s="544"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EUR2MD_SYNTH3M_Quote#0002</v>
      </c>
      <c r="E10" s="234" t="str">
        <f>_xll.ohRangeRetrieveError(D10)</f>
        <v/>
      </c>
      <c r="F10" s="217"/>
      <c r="H10" s="525"/>
      <c r="I10" s="529" t="s">
        <v>148</v>
      </c>
      <c r="J10" s="555" t="s">
        <v>336</v>
      </c>
      <c r="K10" s="544"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EUR3MD_SYNTH3M_Quote#0002</v>
      </c>
      <c r="E11" s="234" t="str">
        <f>_xll.ohRangeRetrieveError(D11)</f>
        <v/>
      </c>
      <c r="F11" s="217"/>
      <c r="H11" s="525"/>
      <c r="I11" s="524" t="s">
        <v>147</v>
      </c>
      <c r="J11" s="556" t="s">
        <v>337</v>
      </c>
      <c r="K11" s="544"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EURTOY_SYNTH3M_Quote#0002</v>
      </c>
      <c r="E12" s="232" t="str">
        <f>_xll.ohRangeRetrieveError(D12)</f>
        <v/>
      </c>
      <c r="F12" s="217"/>
      <c r="H12" s="546"/>
      <c r="I12" s="545"/>
      <c r="J12" s="545"/>
      <c r="K12" s="545"/>
      <c r="L12" s="545"/>
      <c r="M12" s="545"/>
      <c r="N12" s="545"/>
      <c r="O12" s="545"/>
      <c r="P12" s="516"/>
    </row>
    <row r="13" spans="1:16" x14ac:dyDescent="0.2">
      <c r="A13" s="122"/>
      <c r="B13" s="231" t="s">
        <v>194</v>
      </c>
      <c r="C13" s="118" t="str">
        <f t="shared" si="0"/>
        <v>EURTOY2_SYNTH3M_Quote</v>
      </c>
      <c r="D13" s="118" t="str">
        <f>_xll.qlSimpleQuote(C13,1,RateTickValue,Permanent,Trigger,ObjectOverwrite)</f>
        <v>EURTOY2_SYNTH3M_Quote#0002</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H1" sqref="H1"/>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3" t="s">
        <v>329</v>
      </c>
      <c r="I1" s="542"/>
      <c r="J1" s="542"/>
      <c r="K1" s="542"/>
      <c r="L1" s="542"/>
      <c r="M1" s="542"/>
      <c r="N1" s="542"/>
      <c r="O1" s="542"/>
      <c r="P1" s="550"/>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40"/>
      <c r="I2" s="551"/>
      <c r="J2" s="522"/>
      <c r="K2" s="522"/>
      <c r="L2" s="522"/>
      <c r="M2" s="522"/>
      <c r="N2" s="522"/>
      <c r="O2" s="535"/>
      <c r="P2" s="552"/>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EUROND_SYNTH6M_Quote#0002</v>
      </c>
      <c r="E3" s="232" t="str">
        <f>_xll.ohRangeRetrieveError(D3)</f>
        <v/>
      </c>
      <c r="F3" s="217"/>
      <c r="H3" s="525"/>
      <c r="I3" s="535"/>
      <c r="J3" s="535"/>
      <c r="K3" s="522"/>
      <c r="L3" s="522"/>
      <c r="M3" s="522"/>
      <c r="N3" s="535"/>
      <c r="O3" s="534"/>
      <c r="P3" s="552"/>
    </row>
    <row r="4" spans="1:16" x14ac:dyDescent="0.2">
      <c r="A4" s="122"/>
      <c r="B4" s="229" t="s">
        <v>154</v>
      </c>
      <c r="C4" s="129" t="str">
        <f t="shared" si="0"/>
        <v>EURTND_SYNTH6M_Quote</v>
      </c>
      <c r="D4" s="129" t="str">
        <f>_xll.qlSimpleQuote(C4,,RateTickValue,Permanent,Trigger,ObjectOverwrite)</f>
        <v>EURTND_SYNTH6M_Quote#0002</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EURSND_SYNTH6M_Quote</v>
      </c>
      <c r="D5" s="129" t="str">
        <f>_xll.qlSimpleQuote(C5,,RateTickValue,Permanent,Trigger,ObjectOverwrite)</f>
        <v>EURSND_SYNTH6M_Quote#0002</v>
      </c>
      <c r="E5" s="234" t="str">
        <f>_xll.ohRangeRetrieveError(D5)</f>
        <v/>
      </c>
      <c r="F5" s="217"/>
      <c r="H5" s="540"/>
      <c r="I5" s="529" t="s">
        <v>153</v>
      </c>
      <c r="J5" s="555" t="s">
        <v>338</v>
      </c>
      <c r="K5" s="544" t="s">
        <v>275</v>
      </c>
      <c r="L5" s="553">
        <v>2.5748700219353571E-3</v>
      </c>
      <c r="M5" s="522"/>
      <c r="N5" s="527">
        <f t="array" ref="N5:N14">QuoteStatic</f>
        <v>2.5748700219353571E-3</v>
      </c>
      <c r="O5" s="526" t="e">
        <f>_xll.qlSimpleQuoteSetValue(D5,ROUND(N5,6),EvaluationDate)</f>
        <v>#N/A</v>
      </c>
      <c r="P5" s="552"/>
    </row>
    <row r="6" spans="1:16" x14ac:dyDescent="0.2">
      <c r="A6" s="122"/>
      <c r="B6" s="228" t="s">
        <v>152</v>
      </c>
      <c r="C6" s="129" t="str">
        <f t="shared" si="0"/>
        <v>EURSWD_SYNTH6M_Quote</v>
      </c>
      <c r="D6" s="129" t="str">
        <f>_xll.qlSimpleQuote(C6,,RateTickValue,Permanent,Trigger,ObjectOverwrite)</f>
        <v>EURSWD_SYNTH6M_Quote#0002</v>
      </c>
      <c r="E6" s="234" t="str">
        <f>_xll.ohRangeRetrieveError(D6)</f>
        <v/>
      </c>
      <c r="F6" s="217"/>
      <c r="H6" s="540"/>
      <c r="I6" s="529" t="s">
        <v>152</v>
      </c>
      <c r="J6" s="555" t="s">
        <v>339</v>
      </c>
      <c r="K6" s="544" t="s">
        <v>275</v>
      </c>
      <c r="L6" s="528">
        <v>2.6680916694495167E-3</v>
      </c>
      <c r="M6" s="522"/>
      <c r="N6" s="527">
        <v>2.6680916694495167E-3</v>
      </c>
      <c r="O6" s="526" t="e">
        <f>_xll.qlSimpleQuoteSetValue(D6,ROUND(N6,6),EvaluationDate)</f>
        <v>#N/A</v>
      </c>
      <c r="P6" s="552"/>
    </row>
    <row r="7" spans="1:16" x14ac:dyDescent="0.2">
      <c r="A7" s="122"/>
      <c r="B7" s="228" t="s">
        <v>151</v>
      </c>
      <c r="C7" s="129" t="str">
        <f t="shared" si="0"/>
        <v>EUR2WD_SYNTH6M_Quote</v>
      </c>
      <c r="D7" s="129" t="str">
        <f>_xll.qlSimpleQuote(C7,,RateTickValue,Permanent,Trigger,ObjectOverwrite)</f>
        <v>EUR2WD_SYNTH6M_Quote#0002</v>
      </c>
      <c r="E7" s="234" t="str">
        <f>_xll.ohRangeRetrieveError(D7)</f>
        <v/>
      </c>
      <c r="F7" s="217"/>
      <c r="H7" s="540"/>
      <c r="I7" s="529" t="s">
        <v>151</v>
      </c>
      <c r="J7" s="555" t="s">
        <v>340</v>
      </c>
      <c r="K7" s="544" t="s">
        <v>275</v>
      </c>
      <c r="L7" s="528">
        <v>2.6712295569924476E-3</v>
      </c>
      <c r="M7" s="522"/>
      <c r="N7" s="527">
        <v>2.6712295569924476E-3</v>
      </c>
      <c r="O7" s="526" t="e">
        <f>_xll.qlSimpleQuoteSetValue(D7,ROUND(N7,6),EvaluationDate)</f>
        <v>#N/A</v>
      </c>
      <c r="P7" s="552"/>
    </row>
    <row r="8" spans="1:16" x14ac:dyDescent="0.2">
      <c r="A8" s="122"/>
      <c r="B8" s="228" t="s">
        <v>150</v>
      </c>
      <c r="C8" s="129" t="str">
        <f t="shared" si="0"/>
        <v>EUR3WD_SYNTH6M_Quote</v>
      </c>
      <c r="D8" s="129" t="str">
        <f>_xll.qlSimpleQuote(C8,,RateTickValue,Permanent,Trigger,ObjectOverwrite)</f>
        <v>EUR3WD_SYNTH6M_Quote#0002</v>
      </c>
      <c r="E8" s="234" t="str">
        <f>_xll.ohRangeRetrieveError(D8)</f>
        <v/>
      </c>
      <c r="F8" s="217"/>
      <c r="H8" s="540"/>
      <c r="I8" s="529" t="s">
        <v>150</v>
      </c>
      <c r="J8" s="555" t="s">
        <v>341</v>
      </c>
      <c r="K8" s="544" t="s">
        <v>275</v>
      </c>
      <c r="L8" s="528">
        <v>2.6943674549260556E-3</v>
      </c>
      <c r="M8" s="522"/>
      <c r="N8" s="527">
        <v>2.6943674549260556E-3</v>
      </c>
      <c r="O8" s="526" t="e">
        <f>_xll.qlSimpleQuoteSetValue(D8,ROUND(N8,6),EvaluationDate)</f>
        <v>#N/A</v>
      </c>
      <c r="P8" s="552"/>
    </row>
    <row r="9" spans="1:16" x14ac:dyDescent="0.2">
      <c r="A9" s="122"/>
      <c r="B9" s="228" t="s">
        <v>149</v>
      </c>
      <c r="C9" s="129" t="str">
        <f t="shared" si="0"/>
        <v>EUR1MD_SYNTH6M_Quote</v>
      </c>
      <c r="D9" s="129" t="str">
        <f>_xll.qlSimpleQuote(C9,,RateTickValue,Permanent,Trigger,ObjectOverwrite)</f>
        <v>EUR1MD_SYNTH6M_Quote#0002</v>
      </c>
      <c r="E9" s="234" t="str">
        <f>_xll.ohRangeRetrieveError(D9)</f>
        <v/>
      </c>
      <c r="F9" s="217"/>
      <c r="H9" s="540"/>
      <c r="I9" s="529" t="s">
        <v>149</v>
      </c>
      <c r="J9" s="555" t="s">
        <v>342</v>
      </c>
      <c r="K9" s="544" t="s">
        <v>275</v>
      </c>
      <c r="L9" s="528">
        <v>2.7274216084326001E-3</v>
      </c>
      <c r="M9" s="522"/>
      <c r="N9" s="527">
        <v>2.7274216084326001E-3</v>
      </c>
      <c r="O9" s="526" t="e">
        <f>_xll.qlSimpleQuoteSetValue(D9,ROUND(N9,6),EvaluationDate)</f>
        <v>#N/A</v>
      </c>
      <c r="P9" s="552"/>
    </row>
    <row r="10" spans="1:16" x14ac:dyDescent="0.2">
      <c r="A10" s="122"/>
      <c r="B10" s="228" t="s">
        <v>148</v>
      </c>
      <c r="C10" s="129" t="str">
        <f t="shared" si="0"/>
        <v>EUR2MD_SYNTH6M_Quote</v>
      </c>
      <c r="D10" s="129" t="str">
        <f>_xll.qlSimpleQuote(C10,,RateTickValue,Permanent,Trigger,ObjectOverwrite)</f>
        <v>EUR2MD_SYNTH6M_Quote#0002</v>
      </c>
      <c r="E10" s="234" t="str">
        <f>_xll.ohRangeRetrieveError(D10)</f>
        <v/>
      </c>
      <c r="F10" s="217"/>
      <c r="H10" s="540"/>
      <c r="I10" s="529" t="s">
        <v>148</v>
      </c>
      <c r="J10" s="555" t="s">
        <v>343</v>
      </c>
      <c r="K10" s="544" t="s">
        <v>275</v>
      </c>
      <c r="L10" s="528">
        <v>2.8798894342237729E-3</v>
      </c>
      <c r="M10" s="522"/>
      <c r="N10" s="527">
        <v>2.8798894342237729E-3</v>
      </c>
      <c r="O10" s="526" t="e">
        <f>_xll.qlSimpleQuoteSetValue(D10,ROUND(N10,6),EvaluationDate)</f>
        <v>#N/A</v>
      </c>
      <c r="P10" s="552"/>
    </row>
    <row r="11" spans="1:16" x14ac:dyDescent="0.2">
      <c r="A11" s="122"/>
      <c r="B11" s="228" t="s">
        <v>147</v>
      </c>
      <c r="C11" s="129" t="str">
        <f t="shared" si="0"/>
        <v>EUR3MD_SYNTH6M_Quote</v>
      </c>
      <c r="D11" s="129" t="str">
        <f>_xll.qlSimpleQuote(C11,,RateTickValue,Permanent,Trigger,ObjectOverwrite)</f>
        <v>EUR3MD_SYNTH6M_Quote#0002</v>
      </c>
      <c r="E11" s="234" t="str">
        <f>_xll.ohRangeRetrieveError(D11)</f>
        <v/>
      </c>
      <c r="F11" s="217"/>
      <c r="H11" s="540"/>
      <c r="I11" s="529" t="s">
        <v>147</v>
      </c>
      <c r="J11" s="555" t="s">
        <v>344</v>
      </c>
      <c r="K11" s="544" t="s">
        <v>275</v>
      </c>
      <c r="L11" s="528">
        <v>3.0256626737499284E-3</v>
      </c>
      <c r="M11" s="522"/>
      <c r="N11" s="527">
        <v>3.0256626737499284E-3</v>
      </c>
      <c r="O11" s="526" t="e">
        <f>_xll.qlSimpleQuoteSetValue(D11,ROUND(N11,6),EvaluationDate)</f>
        <v>#N/A</v>
      </c>
      <c r="P11" s="552"/>
    </row>
    <row r="12" spans="1:16" x14ac:dyDescent="0.2">
      <c r="A12" s="122"/>
      <c r="B12" s="228" t="s">
        <v>146</v>
      </c>
      <c r="C12" s="129" t="str">
        <f t="shared" si="0"/>
        <v>EUR4MD_SYNTH6M_Quote</v>
      </c>
      <c r="D12" s="129" t="str">
        <f>_xll.qlSimpleQuote(C12,,RateTickValue,Permanent,Trigger,ObjectOverwrite)</f>
        <v>EUR4MD_SYNTH6M_Quote#0002</v>
      </c>
      <c r="E12" s="234" t="str">
        <f>_xll.ohRangeRetrieveError(D12)</f>
        <v/>
      </c>
      <c r="F12" s="217"/>
      <c r="H12" s="540"/>
      <c r="I12" s="529" t="s">
        <v>146</v>
      </c>
      <c r="J12" s="555" t="s">
        <v>345</v>
      </c>
      <c r="K12" s="544" t="s">
        <v>275</v>
      </c>
      <c r="L12" s="528">
        <v>3.1415196720689146E-3</v>
      </c>
      <c r="M12" s="522"/>
      <c r="N12" s="527">
        <v>3.1415196720689146E-3</v>
      </c>
      <c r="O12" s="526" t="e">
        <f>_xll.qlSimpleQuoteSetValue(D12,ROUND(N12,6),EvaluationDate)</f>
        <v>#N/A</v>
      </c>
      <c r="P12" s="552"/>
    </row>
    <row r="13" spans="1:16" x14ac:dyDescent="0.2">
      <c r="A13" s="122"/>
      <c r="B13" s="228" t="s">
        <v>145</v>
      </c>
      <c r="C13" s="129" t="str">
        <f t="shared" si="0"/>
        <v>EUR5MD_SYNTH6M_Quote</v>
      </c>
      <c r="D13" s="129" t="str">
        <f>_xll.qlSimpleQuote(C13,,RateTickValue,Permanent,Trigger,ObjectOverwrite)</f>
        <v>EUR5MD_SYNTH6M_Quote#0002</v>
      </c>
      <c r="E13" s="234" t="str">
        <f>_xll.ohRangeRetrieveError(D13)</f>
        <v/>
      </c>
      <c r="F13" s="217"/>
      <c r="H13" s="540"/>
      <c r="I13" s="529" t="s">
        <v>145</v>
      </c>
      <c r="J13" s="555" t="s">
        <v>346</v>
      </c>
      <c r="K13" s="544" t="s">
        <v>275</v>
      </c>
      <c r="L13" s="528">
        <v>3.2639874978556424E-3</v>
      </c>
      <c r="M13" s="522"/>
      <c r="N13" s="527">
        <v>3.2639874978556424E-3</v>
      </c>
      <c r="O13" s="526" t="e">
        <f>_xll.qlSimpleQuoteSetValue(D13,ROUND(N13,6),EvaluationDate)</f>
        <v>#N/A</v>
      </c>
      <c r="P13" s="552"/>
    </row>
    <row r="14" spans="1:16" x14ac:dyDescent="0.2">
      <c r="A14" s="122"/>
      <c r="B14" s="231" t="s">
        <v>144</v>
      </c>
      <c r="C14" s="118" t="str">
        <f t="shared" si="0"/>
        <v>EUR6MD_SYNTH6M_Quote</v>
      </c>
      <c r="D14" s="118" t="str">
        <f>_xll.qlSimpleQuote(C14,,RateTickValue,Permanent,Trigger,ObjectOverwrite)</f>
        <v>EUR6MD_SYNTH6M_Quote#0002</v>
      </c>
      <c r="E14" s="230" t="str">
        <f>_xll.ohRangeRetrieveError(D14)</f>
        <v/>
      </c>
      <c r="F14" s="217"/>
      <c r="H14" s="540"/>
      <c r="I14" s="524" t="s">
        <v>144</v>
      </c>
      <c r="J14" s="556" t="s">
        <v>347</v>
      </c>
      <c r="K14" s="544" t="s">
        <v>275</v>
      </c>
      <c r="L14" s="523">
        <v>3.4164553220997771E-3</v>
      </c>
      <c r="M14" s="522"/>
      <c r="N14" s="521">
        <v>3.4164553220997771E-3</v>
      </c>
      <c r="O14" s="520" t="e">
        <f>_xll.qlSimpleQuoteSetValue(D14,ROUND(N14,6),EvaluationDate)</f>
        <v>#N/A</v>
      </c>
      <c r="P14" s="552"/>
    </row>
    <row r="15" spans="1:16" ht="12" thickBot="1" x14ac:dyDescent="0.25">
      <c r="A15" s="122"/>
      <c r="B15" s="228" t="s">
        <v>195</v>
      </c>
      <c r="C15" s="129" t="str">
        <f t="shared" si="0"/>
        <v>EURTOY_SYNTH6M_Quote</v>
      </c>
      <c r="D15" s="129" t="str">
        <f>_xll.qlSimpleQuote(C15,1,RateTickValue,Permanent,Trigger,ObjectOverwrite)</f>
        <v>EURTOY_SYNTH6M_Quote#0002</v>
      </c>
      <c r="E15" s="234" t="str">
        <f>_xll.ohRangeRetrieveError(D15)</f>
        <v/>
      </c>
      <c r="F15" s="217"/>
      <c r="H15" s="518"/>
      <c r="I15" s="517"/>
      <c r="J15" s="517"/>
      <c r="K15" s="517"/>
      <c r="L15" s="517"/>
      <c r="M15" s="517"/>
      <c r="N15" s="517"/>
      <c r="O15" s="517"/>
      <c r="P15" s="554"/>
    </row>
    <row r="16" spans="1:16" x14ac:dyDescent="0.2">
      <c r="A16" s="122"/>
      <c r="B16" s="231" t="s">
        <v>194</v>
      </c>
      <c r="C16" s="118" t="str">
        <f t="shared" si="0"/>
        <v>EURTOY2_SYNTH6M_Quote</v>
      </c>
      <c r="D16" s="118" t="str">
        <f>_xll.qlSimpleQuote(C16,1,RateTickValue,Permanent,Trigger,ObjectOverwrite)</f>
        <v>EURTOY2_SYNTH6M_Quote#0002</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28515625" style="68"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3" t="s">
        <v>329</v>
      </c>
      <c r="I1" s="542"/>
      <c r="J1" s="542"/>
      <c r="K1" s="542"/>
      <c r="L1" s="542"/>
      <c r="M1" s="542"/>
      <c r="N1" s="542"/>
      <c r="O1" s="542"/>
      <c r="P1" s="550"/>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40"/>
      <c r="I2" s="551"/>
      <c r="J2" s="522"/>
      <c r="K2" s="522"/>
      <c r="L2" s="522"/>
      <c r="M2" s="522"/>
      <c r="N2" s="522"/>
      <c r="O2" s="535"/>
      <c r="P2" s="552"/>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EUROND_SYNTH1Y_Quote#0002</v>
      </c>
      <c r="E3" s="234" t="str">
        <f>_xll.ohRangeRetrieveError(D3)</f>
        <v/>
      </c>
      <c r="F3" s="217"/>
      <c r="H3" s="525"/>
      <c r="I3" s="535"/>
      <c r="J3" s="535"/>
      <c r="K3" s="522"/>
      <c r="L3" s="522"/>
      <c r="M3" s="522"/>
      <c r="N3" s="535"/>
      <c r="O3" s="534"/>
      <c r="P3" s="552"/>
    </row>
    <row r="4" spans="1:16" x14ac:dyDescent="0.2">
      <c r="A4" s="122"/>
      <c r="B4" s="229" t="s">
        <v>154</v>
      </c>
      <c r="C4" s="129" t="str">
        <f t="shared" si="0"/>
        <v>EURTND_SYNTH1Y_Quote</v>
      </c>
      <c r="D4" s="129" t="str">
        <f>_xll.qlSimpleQuote(C4,,RateTickValue,Permanent,Trigger,ObjectOverwrite)</f>
        <v>EURTND_SYNTH1Y_Quote#0002</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EURSND_SYNTH1Y_Quote</v>
      </c>
      <c r="D5" s="129" t="str">
        <f>_xll.qlSimpleQuote(C5,,RateTickValue,Permanent,Trigger,ObjectOverwrite)</f>
        <v>EURSND_SYNTH1Y_Quote#0002</v>
      </c>
      <c r="E5" s="234" t="str">
        <f>_xll.ohRangeRetrieveError(D5)</f>
        <v/>
      </c>
      <c r="F5" s="217"/>
      <c r="H5" s="540"/>
      <c r="I5" s="558" t="s">
        <v>153</v>
      </c>
      <c r="J5" s="555" t="s">
        <v>348</v>
      </c>
      <c r="K5" s="544" t="s">
        <v>275</v>
      </c>
      <c r="L5" s="528">
        <v>4.0992859857132552E-3</v>
      </c>
      <c r="M5" s="522"/>
      <c r="N5" s="527">
        <f t="array" ref="N5:N20">QuoteStatic</f>
        <v>4.0992859857132552E-3</v>
      </c>
      <c r="O5" s="526" t="e">
        <f>_xll.qlSimpleQuoteSetValue(D5,ROUND(N5,6),EvaluationDate)</f>
        <v>#N/A</v>
      </c>
      <c r="P5" s="552"/>
    </row>
    <row r="6" spans="1:16" x14ac:dyDescent="0.2">
      <c r="A6" s="122"/>
      <c r="B6" s="228" t="s">
        <v>152</v>
      </c>
      <c r="C6" s="129" t="str">
        <f t="shared" si="0"/>
        <v>EURSWD_SYNTH1Y_Quote</v>
      </c>
      <c r="D6" s="129" t="str">
        <f>_xll.qlSimpleQuote(C6,,RateTickValue,Permanent,Trigger,ObjectOverwrite)</f>
        <v>EURSWD_SYNTH1Y_Quote#0002</v>
      </c>
      <c r="E6" s="234" t="str">
        <f>_xll.ohRangeRetrieveError(D6)</f>
        <v/>
      </c>
      <c r="F6" s="217"/>
      <c r="H6" s="540"/>
      <c r="I6" s="558" t="s">
        <v>152</v>
      </c>
      <c r="J6" s="555" t="s">
        <v>349</v>
      </c>
      <c r="K6" s="544" t="s">
        <v>275</v>
      </c>
      <c r="L6" s="528">
        <v>4.1862169015084143E-3</v>
      </c>
      <c r="M6" s="522"/>
      <c r="N6" s="527">
        <v>4.1862169015084143E-3</v>
      </c>
      <c r="O6" s="526" t="e">
        <f>_xll.qlSimpleQuoteSetValue(D6,ROUND(N6,6),EvaluationDate)</f>
        <v>#N/A</v>
      </c>
      <c r="P6" s="552"/>
    </row>
    <row r="7" spans="1:16" x14ac:dyDescent="0.2">
      <c r="A7" s="122"/>
      <c r="B7" s="228" t="s">
        <v>151</v>
      </c>
      <c r="C7" s="129" t="str">
        <f t="shared" si="0"/>
        <v>EUR2WD_SYNTH1Y_Quote</v>
      </c>
      <c r="D7" s="129" t="str">
        <f>_xll.qlSimpleQuote(C7,,RateTickValue,Permanent,Trigger,ObjectOverwrite)</f>
        <v>EUR2WD_SYNTH1Y_Quote#0002</v>
      </c>
      <c r="E7" s="234" t="str">
        <f>_xll.ohRangeRetrieveError(D7)</f>
        <v/>
      </c>
      <c r="F7" s="217"/>
      <c r="H7" s="540"/>
      <c r="I7" s="558" t="s">
        <v>151</v>
      </c>
      <c r="J7" s="555" t="s">
        <v>350</v>
      </c>
      <c r="K7" s="544" t="s">
        <v>275</v>
      </c>
      <c r="L7" s="528">
        <v>4.1783460085430936E-3</v>
      </c>
      <c r="M7" s="522"/>
      <c r="N7" s="527">
        <v>4.1783460085430936E-3</v>
      </c>
      <c r="O7" s="526" t="e">
        <f>_xll.qlSimpleQuoteSetValue(D7,ROUND(N7,6),EvaluationDate)</f>
        <v>#N/A</v>
      </c>
      <c r="P7" s="552"/>
    </row>
    <row r="8" spans="1:16" x14ac:dyDescent="0.2">
      <c r="A8" s="122"/>
      <c r="B8" s="228" t="s">
        <v>150</v>
      </c>
      <c r="C8" s="129" t="str">
        <f t="shared" si="0"/>
        <v>EUR3WD_SYNTH1Y_Quote</v>
      </c>
      <c r="D8" s="129" t="str">
        <f>_xll.qlSimpleQuote(C8,,RateTickValue,Permanent,Trigger,ObjectOverwrite)</f>
        <v>EUR3WD_SYNTH1Y_Quote#0002</v>
      </c>
      <c r="E8" s="234" t="str">
        <f>_xll.ohRangeRetrieveError(D8)</f>
        <v/>
      </c>
      <c r="F8" s="217"/>
      <c r="H8" s="540"/>
      <c r="I8" s="558" t="s">
        <v>150</v>
      </c>
      <c r="J8" s="555" t="s">
        <v>351</v>
      </c>
      <c r="K8" s="544" t="s">
        <v>275</v>
      </c>
      <c r="L8" s="528">
        <v>4.1904751259684491E-3</v>
      </c>
      <c r="M8" s="522"/>
      <c r="N8" s="527">
        <v>4.1904751259684491E-3</v>
      </c>
      <c r="O8" s="526" t="e">
        <f>_xll.qlSimpleQuoteSetValue(D8,ROUND(N8,6),EvaluationDate)</f>
        <v>#N/A</v>
      </c>
      <c r="P8" s="552"/>
    </row>
    <row r="9" spans="1:16" x14ac:dyDescent="0.2">
      <c r="A9" s="122"/>
      <c r="B9" s="228" t="s">
        <v>149</v>
      </c>
      <c r="C9" s="129" t="str">
        <f t="shared" si="0"/>
        <v>EUR1MD_SYNTH1Y_Quote</v>
      </c>
      <c r="D9" s="129" t="str">
        <f>_xll.qlSimpleQuote(C9,,RateTickValue,Permanent,Trigger,ObjectOverwrite)</f>
        <v>EUR1MD_SYNTH1Y_Quote#0002</v>
      </c>
      <c r="E9" s="234" t="str">
        <f>_xll.ohRangeRetrieveError(D9)</f>
        <v/>
      </c>
      <c r="F9" s="217"/>
      <c r="H9" s="540"/>
      <c r="I9" s="557" t="s">
        <v>149</v>
      </c>
      <c r="J9" s="556" t="s">
        <v>352</v>
      </c>
      <c r="K9" s="544" t="s">
        <v>275</v>
      </c>
      <c r="L9" s="523">
        <v>4.2078024501774917E-3</v>
      </c>
      <c r="M9" s="522"/>
      <c r="N9" s="521">
        <v>4.2078024501774917E-3</v>
      </c>
      <c r="O9" s="520" t="e">
        <f>_xll.qlSimpleQuoteSetValue(D9,ROUND(N9,6),EvaluationDate)</f>
        <v>#N/A</v>
      </c>
      <c r="P9" s="552"/>
    </row>
    <row r="10" spans="1:16" x14ac:dyDescent="0.2">
      <c r="A10" s="122"/>
      <c r="B10" s="228" t="s">
        <v>148</v>
      </c>
      <c r="C10" s="129" t="str">
        <f t="shared" si="0"/>
        <v>EUR2MD_SYNTH1Y_Quote</v>
      </c>
      <c r="D10" s="129" t="str">
        <f>_xll.qlSimpleQuote(C10,,RateTickValue,Permanent,Trigger,ObjectOverwrite)</f>
        <v>EUR2MD_SYNTH1Y_Quote#0002</v>
      </c>
      <c r="E10" s="234" t="str">
        <f>_xll.ohRangeRetrieveError(D10)</f>
        <v/>
      </c>
      <c r="F10" s="217"/>
      <c r="H10" s="540"/>
      <c r="I10" s="558" t="s">
        <v>148</v>
      </c>
      <c r="J10" s="555" t="s">
        <v>353</v>
      </c>
      <c r="K10" s="544" t="s">
        <v>275</v>
      </c>
      <c r="L10" s="528">
        <v>4.3115171051464072E-3</v>
      </c>
      <c r="M10" s="522"/>
      <c r="N10" s="527">
        <v>4.3115171051464072E-3</v>
      </c>
      <c r="O10" s="526" t="e">
        <f>_xll.qlSimpleQuoteSetValue(D10,ROUND(N10,6),EvaluationDate)</f>
        <v>#N/A</v>
      </c>
      <c r="P10" s="552"/>
    </row>
    <row r="11" spans="1:16" x14ac:dyDescent="0.2">
      <c r="A11" s="122"/>
      <c r="B11" s="228" t="s">
        <v>147</v>
      </c>
      <c r="C11" s="129" t="str">
        <f t="shared" si="0"/>
        <v>EUR3MD_SYNTH1Y_Quote</v>
      </c>
      <c r="D11" s="129" t="str">
        <f>_xll.qlSimpleQuote(C11,,RateTickValue,Permanent,Trigger,ObjectOverwrite)</f>
        <v>EUR3MD_SYNTH1Y_Quote#0002</v>
      </c>
      <c r="E11" s="234" t="str">
        <f>_xll.ohRangeRetrieveError(D11)</f>
        <v/>
      </c>
      <c r="F11" s="217"/>
      <c r="H11" s="525"/>
      <c r="I11" s="558" t="s">
        <v>147</v>
      </c>
      <c r="J11" s="555" t="s">
        <v>354</v>
      </c>
      <c r="K11" s="544" t="s">
        <v>275</v>
      </c>
      <c r="L11" s="528">
        <v>4.4069644909205553E-3</v>
      </c>
      <c r="M11" s="522"/>
      <c r="N11" s="527">
        <v>4.4069644909205553E-3</v>
      </c>
      <c r="O11" s="526" t="e">
        <f>_xll.qlSimpleQuoteSetValue(D11,ROUND(N11,6),EvaluationDate)</f>
        <v>#N/A</v>
      </c>
      <c r="P11" s="552"/>
    </row>
    <row r="12" spans="1:16" x14ac:dyDescent="0.2">
      <c r="A12" s="122"/>
      <c r="B12" s="228" t="s">
        <v>146</v>
      </c>
      <c r="C12" s="129" t="str">
        <f t="shared" si="0"/>
        <v>EUR4MD_SYNTH1Y_Quote</v>
      </c>
      <c r="D12" s="129" t="str">
        <f>_xll.qlSimpleQuote(C12,,RateTickValue,Permanent,Trigger,ObjectOverwrite)</f>
        <v>EUR4MD_SYNTH1Y_Quote#0002</v>
      </c>
      <c r="E12" s="234" t="str">
        <f>_xll.ohRangeRetrieveError(D12)</f>
        <v/>
      </c>
      <c r="F12" s="217"/>
      <c r="H12" s="525"/>
      <c r="I12" s="558" t="s">
        <v>146</v>
      </c>
      <c r="J12" s="555" t="s">
        <v>355</v>
      </c>
      <c r="K12" s="544" t="s">
        <v>275</v>
      </c>
      <c r="L12" s="528">
        <v>4.4772136842767844E-3</v>
      </c>
      <c r="M12" s="522"/>
      <c r="N12" s="527">
        <v>4.4772136842767844E-3</v>
      </c>
      <c r="O12" s="526" t="e">
        <f>_xll.qlSimpleQuoteSetValue(D12,ROUND(N12,6),EvaluationDate)</f>
        <v>#N/A</v>
      </c>
      <c r="P12" s="552"/>
    </row>
    <row r="13" spans="1:16" x14ac:dyDescent="0.2">
      <c r="A13" s="122"/>
      <c r="B13" s="228" t="s">
        <v>145</v>
      </c>
      <c r="C13" s="129" t="str">
        <f t="shared" si="0"/>
        <v>EUR5MD_SYNTH1Y_Quote</v>
      </c>
      <c r="D13" s="129" t="str">
        <f>_xll.qlSimpleQuote(C13,,RateTickValue,Permanent,Trigger,ObjectOverwrite)</f>
        <v>EUR5MD_SYNTH1Y_Quote#0002</v>
      </c>
      <c r="E13" s="234" t="str">
        <f>_xll.ohRangeRetrieveError(D13)</f>
        <v/>
      </c>
      <c r="F13" s="217"/>
      <c r="H13" s="525"/>
      <c r="I13" s="558" t="s">
        <v>145</v>
      </c>
      <c r="J13" s="555" t="s">
        <v>356</v>
      </c>
      <c r="K13" s="544" t="s">
        <v>275</v>
      </c>
      <c r="L13" s="528">
        <v>4.550928339241255E-3</v>
      </c>
      <c r="M13" s="522"/>
      <c r="N13" s="527">
        <v>4.550928339241255E-3</v>
      </c>
      <c r="O13" s="526" t="e">
        <f>_xll.qlSimpleQuoteSetValue(D13,ROUND(N13,6),EvaluationDate)</f>
        <v>#N/A</v>
      </c>
      <c r="P13" s="552"/>
    </row>
    <row r="14" spans="1:16" x14ac:dyDescent="0.2">
      <c r="A14" s="122"/>
      <c r="B14" s="228" t="s">
        <v>144</v>
      </c>
      <c r="C14" s="129" t="str">
        <f t="shared" si="0"/>
        <v>EUR6MD_SYNTH1Y_Quote</v>
      </c>
      <c r="D14" s="129" t="str">
        <f>_xll.qlSimpleQuote(C14,,RateTickValue,Permanent,Trigger,ObjectOverwrite)</f>
        <v>EUR6MD_SYNTH1Y_Quote#0002</v>
      </c>
      <c r="E14" s="234" t="str">
        <f>_xll.ohRangeRetrieveError(D14)</f>
        <v/>
      </c>
      <c r="F14" s="217"/>
      <c r="H14" s="525"/>
      <c r="I14" s="558" t="s">
        <v>144</v>
      </c>
      <c r="J14" s="555" t="s">
        <v>357</v>
      </c>
      <c r="K14" s="544" t="s">
        <v>275</v>
      </c>
      <c r="L14" s="528">
        <v>4.6546429926631328E-3</v>
      </c>
      <c r="M14" s="522"/>
      <c r="N14" s="527">
        <v>4.6546429926631328E-3</v>
      </c>
      <c r="O14" s="526" t="e">
        <f>_xll.qlSimpleQuoteSetValue(D14,ROUND(N14,6),EvaluationDate)</f>
        <v>#N/A</v>
      </c>
      <c r="P14" s="552"/>
    </row>
    <row r="15" spans="1:16" x14ac:dyDescent="0.2">
      <c r="A15" s="122"/>
      <c r="B15" s="228" t="s">
        <v>143</v>
      </c>
      <c r="C15" s="129" t="str">
        <f t="shared" si="0"/>
        <v>EUR7MD_SYNTH1Y_Quote</v>
      </c>
      <c r="D15" s="129" t="str">
        <f>_xll.qlSimpleQuote(C15,,RateTickValue,Permanent,Trigger,ObjectOverwrite)</f>
        <v>EUR7MD_SYNTH1Y_Quote#0002</v>
      </c>
      <c r="E15" s="234" t="str">
        <f>_xll.ohRangeRetrieveError(D15)</f>
        <v/>
      </c>
      <c r="F15" s="217"/>
      <c r="H15" s="525"/>
      <c r="I15" s="558" t="s">
        <v>143</v>
      </c>
      <c r="J15" s="555" t="s">
        <v>358</v>
      </c>
      <c r="K15" s="544" t="s">
        <v>275</v>
      </c>
      <c r="L15" s="528">
        <v>4.7466249170884907E-3</v>
      </c>
      <c r="M15" s="522"/>
      <c r="N15" s="527">
        <v>4.7466249170884907E-3</v>
      </c>
      <c r="O15" s="526" t="e">
        <f>_xll.qlSimpleQuoteSetValue(D15,ROUND(N15,6),EvaluationDate)</f>
        <v>#N/A</v>
      </c>
      <c r="P15" s="552"/>
    </row>
    <row r="16" spans="1:16" ht="12" thickBot="1" x14ac:dyDescent="0.25">
      <c r="A16" s="122"/>
      <c r="B16" s="228" t="s">
        <v>142</v>
      </c>
      <c r="C16" s="129" t="str">
        <f t="shared" si="0"/>
        <v>EUR8MD_SYNTH1Y_Quote</v>
      </c>
      <c r="D16" s="129" t="str">
        <f>_xll.qlSimpleQuote(C16,,RateTickValue,Permanent,Trigger,ObjectOverwrite)</f>
        <v>EUR8MD_SYNTH1Y_Quote#0002</v>
      </c>
      <c r="E16" s="234" t="str">
        <f>_xll.ohRangeRetrieveError(D16)</f>
        <v/>
      </c>
      <c r="F16" s="217"/>
      <c r="H16" s="525"/>
      <c r="I16" s="558" t="s">
        <v>142</v>
      </c>
      <c r="J16" s="555" t="s">
        <v>359</v>
      </c>
      <c r="K16" s="544" t="s">
        <v>275</v>
      </c>
      <c r="L16" s="528">
        <v>4.8451413798695914E-3</v>
      </c>
      <c r="M16" s="522"/>
      <c r="N16" s="527">
        <v>4.8451413798695914E-3</v>
      </c>
      <c r="O16" s="526" t="e">
        <f>_xll.qlSimpleQuoteSetValue(D16,ROUND(N16,6),EvaluationDate)</f>
        <v>#N/A</v>
      </c>
      <c r="P16" s="552"/>
    </row>
    <row r="17" spans="1:26" x14ac:dyDescent="0.2">
      <c r="A17" s="122"/>
      <c r="B17" s="228" t="s">
        <v>141</v>
      </c>
      <c r="C17" s="129" t="str">
        <f t="shared" si="0"/>
        <v>EUR9MD_SYNTH1Y_Quote</v>
      </c>
      <c r="D17" s="129" t="str">
        <f>_xll.qlSimpleQuote(C17,,RateTickValue,Permanent,Trigger,ObjectOverwrite)</f>
        <v>EUR9MD_SYNTH1Y_Quote#0002</v>
      </c>
      <c r="E17" s="234" t="str">
        <f>_xll.ohRangeRetrieveError(D17)</f>
        <v/>
      </c>
      <c r="F17" s="217"/>
      <c r="H17" s="525"/>
      <c r="I17" s="558" t="s">
        <v>141</v>
      </c>
      <c r="J17" s="555" t="s">
        <v>360</v>
      </c>
      <c r="K17" s="544" t="s">
        <v>275</v>
      </c>
      <c r="L17" s="528">
        <v>4.9823214964011845E-3</v>
      </c>
      <c r="M17" s="522"/>
      <c r="N17" s="527">
        <v>4.9823214964011845E-3</v>
      </c>
      <c r="O17" s="526" t="e">
        <f>_xll.qlSimpleQuoteSetValue(D17,ROUND(N17,6),EvaluationDate)</f>
        <v>#N/A</v>
      </c>
      <c r="P17" s="552"/>
      <c r="R17" s="586" t="s">
        <v>408</v>
      </c>
      <c r="S17" s="585"/>
      <c r="T17" s="585"/>
      <c r="U17" s="585"/>
      <c r="V17" s="585"/>
      <c r="W17" s="585"/>
      <c r="X17" s="585"/>
      <c r="Y17" s="585"/>
      <c r="Z17" s="584"/>
    </row>
    <row r="18" spans="1:26" x14ac:dyDescent="0.2">
      <c r="A18" s="122"/>
      <c r="B18" s="228" t="s">
        <v>140</v>
      </c>
      <c r="C18" s="129" t="str">
        <f t="shared" si="0"/>
        <v>EUR10MD_SYNTH1Y_Quote</v>
      </c>
      <c r="D18" s="129" t="str">
        <f>_xll.qlSimpleQuote(C18,,RateTickValue,Permanent,Trigger,ObjectOverwrite)</f>
        <v>EUR10MD_SYNTH1Y_Quote#0002</v>
      </c>
      <c r="E18" s="234" t="str">
        <f>_xll.ohRangeRetrieveError(D18)</f>
        <v/>
      </c>
      <c r="F18" s="217"/>
      <c r="H18" s="525"/>
      <c r="I18" s="558" t="s">
        <v>140</v>
      </c>
      <c r="J18" s="555" t="s">
        <v>361</v>
      </c>
      <c r="K18" s="544" t="s">
        <v>275</v>
      </c>
      <c r="L18" s="528">
        <v>5.10083796006865E-3</v>
      </c>
      <c r="M18" s="522"/>
      <c r="N18" s="527">
        <v>5.10083796006865E-3</v>
      </c>
      <c r="O18" s="526" t="e">
        <f>_xll.qlSimpleQuoteSetValue(D18,ROUND(N18,6),EvaluationDate)</f>
        <v>#N/A</v>
      </c>
      <c r="P18" s="552"/>
      <c r="R18" s="583"/>
      <c r="S18" s="582"/>
      <c r="T18" s="565"/>
      <c r="U18" s="565"/>
      <c r="V18" s="565"/>
      <c r="W18" s="565"/>
      <c r="X18" s="565"/>
      <c r="Y18" s="565"/>
      <c r="Z18" s="581"/>
    </row>
    <row r="19" spans="1:26" x14ac:dyDescent="0.2">
      <c r="A19" s="122"/>
      <c r="B19" s="228" t="s">
        <v>139</v>
      </c>
      <c r="C19" s="129" t="str">
        <f t="shared" si="0"/>
        <v>EUR11MD_SYNTH1Y_Quote</v>
      </c>
      <c r="D19" s="129" t="str">
        <f>_xll.qlSimpleQuote(C19,,RateTickValue,Permanent,Trigger,ObjectOverwrite)</f>
        <v>EUR11MD_SYNTH1Y_Quote#0002</v>
      </c>
      <c r="E19" s="234" t="str">
        <f>_xll.ohRangeRetrieveError(D19)</f>
        <v/>
      </c>
      <c r="F19" s="217"/>
      <c r="H19" s="525"/>
      <c r="I19" s="558" t="s">
        <v>139</v>
      </c>
      <c r="J19" s="555" t="s">
        <v>362</v>
      </c>
      <c r="K19" s="544" t="s">
        <v>275</v>
      </c>
      <c r="L19" s="528">
        <v>5.2245526150374354E-3</v>
      </c>
      <c r="M19" s="522"/>
      <c r="N19" s="527">
        <v>5.2245526150374354E-3</v>
      </c>
      <c r="O19" s="526" t="e">
        <f>_xll.qlSimpleQuoteSetValue(D19,ROUND(N19,6),EvaluationDate)</f>
        <v>#N/A</v>
      </c>
      <c r="P19" s="552"/>
      <c r="R19" s="567"/>
      <c r="S19" s="565">
        <v>12</v>
      </c>
      <c r="T19" s="565"/>
      <c r="U19" s="565"/>
      <c r="V19" s="565"/>
      <c r="W19" s="565"/>
      <c r="X19" s="580"/>
      <c r="Y19" s="579"/>
      <c r="Z19" s="562"/>
    </row>
    <row r="20" spans="1:26" x14ac:dyDescent="0.2">
      <c r="A20" s="122"/>
      <c r="B20" s="231" t="s">
        <v>138</v>
      </c>
      <c r="C20" s="118" t="str">
        <f t="shared" si="0"/>
        <v>EUR1YD_SYNTH1Y_Quote</v>
      </c>
      <c r="D20" s="118" t="str">
        <f>_xll.qlSimpleQuote(C20,,RateTickValue,Permanent,Trigger,ObjectOverwrite)</f>
        <v>EUR1YD_SYNTH1Y_Quote#0002</v>
      </c>
      <c r="E20" s="230" t="str">
        <f>_xll.ohRangeRetrieveError(D20)</f>
        <v/>
      </c>
      <c r="F20" s="217"/>
      <c r="H20" s="525"/>
      <c r="I20" s="557" t="s">
        <v>138</v>
      </c>
      <c r="J20" s="556" t="s">
        <v>363</v>
      </c>
      <c r="K20" s="544" t="s">
        <v>275</v>
      </c>
      <c r="L20" s="523">
        <v>5.3500000000000006E-3</v>
      </c>
      <c r="M20" s="522"/>
      <c r="N20" s="521">
        <v>5.3500000000000006E-3</v>
      </c>
      <c r="O20" s="520" t="e">
        <f>_xll.qlSimpleQuoteSetValue(D20,ROUND(N20,6),EvaluationDate)</f>
        <v>#N/A</v>
      </c>
      <c r="P20" s="552"/>
      <c r="R20" s="567"/>
      <c r="S20" s="578"/>
      <c r="T20" s="577" t="s">
        <v>322</v>
      </c>
      <c r="U20" s="565"/>
      <c r="V20" s="576" t="s">
        <v>239</v>
      </c>
      <c r="W20" s="565"/>
      <c r="X20" s="575" t="s">
        <v>237</v>
      </c>
      <c r="Y20" s="574" t="s">
        <v>236</v>
      </c>
      <c r="Z20" s="562"/>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EUR1x13F_SYNTH1Y_Quote#0002</v>
      </c>
      <c r="E21" s="232" t="str">
        <f>_xll.ohRangeRetrieveError(D21)</f>
        <v/>
      </c>
      <c r="F21" s="217"/>
      <c r="H21" s="518"/>
      <c r="I21" s="517"/>
      <c r="J21" s="517"/>
      <c r="K21" s="517"/>
      <c r="L21" s="517"/>
      <c r="M21" s="517"/>
      <c r="N21" s="517"/>
      <c r="O21" s="517"/>
      <c r="P21" s="554"/>
      <c r="R21" s="567">
        <v>1</v>
      </c>
      <c r="S21" s="572" t="str">
        <f t="shared" ref="S21:S64" si="2">R21&amp;"x"&amp;(R21+$S$19)&amp;"F"</f>
        <v>1x13F</v>
      </c>
      <c r="T21" s="588" t="s">
        <v>364</v>
      </c>
      <c r="U21" s="587" t="s">
        <v>275</v>
      </c>
      <c r="V21" s="573">
        <v>5.6113008649779144E-3</v>
      </c>
      <c r="W21" s="565"/>
      <c r="X21" s="591">
        <f t="array" ref="X21:X64">QuoteStatic2</f>
        <v>5.6113008649779144E-3</v>
      </c>
      <c r="Y21" s="571" t="e">
        <f>_xll.qlSimpleQuoteSetValue(D21,ROUND(X21,6),EvaluationDate)</f>
        <v>#N/A</v>
      </c>
      <c r="Z21" s="562"/>
    </row>
    <row r="22" spans="1:26" x14ac:dyDescent="0.2">
      <c r="A22" s="122">
        <v>2</v>
      </c>
      <c r="B22" s="228" t="str">
        <f t="shared" si="1"/>
        <v>2x14F</v>
      </c>
      <c r="C22" s="129" t="str">
        <f t="shared" si="0"/>
        <v>EUR2x14F_SYNTH1Y_Quote</v>
      </c>
      <c r="D22" s="129" t="str">
        <f>_xll.qlSimpleQuote(C22,,RateTickValue,Permanent,Trigger,ObjectOverwrite)</f>
        <v>EUR2x14F_SYNTH1Y_Quote#0002</v>
      </c>
      <c r="E22" s="234" t="str">
        <f>_xll.ohRangeRetrieveError(D22)</f>
        <v/>
      </c>
      <c r="F22" s="217"/>
      <c r="R22" s="567">
        <v>2</v>
      </c>
      <c r="S22" s="569" t="str">
        <f t="shared" si="2"/>
        <v>2x14F</v>
      </c>
      <c r="T22" s="589" t="s">
        <v>365</v>
      </c>
      <c r="U22" s="565" t="s">
        <v>275</v>
      </c>
      <c r="V22" s="570">
        <v>5.8838318701072813E-3</v>
      </c>
      <c r="W22" s="565"/>
      <c r="X22" s="592">
        <v>5.8838318701072813E-3</v>
      </c>
      <c r="Y22" s="568" t="e">
        <f>_xll.qlSimpleQuoteSetValue(D22,ROUND(X22,6),EvaluationDate)</f>
        <v>#N/A</v>
      </c>
      <c r="Z22" s="562"/>
    </row>
    <row r="23" spans="1:26" x14ac:dyDescent="0.2">
      <c r="A23" s="122">
        <v>3</v>
      </c>
      <c r="B23" s="228" t="str">
        <f t="shared" si="1"/>
        <v>3x15F</v>
      </c>
      <c r="C23" s="129" t="str">
        <f t="shared" si="0"/>
        <v>EUR3x15F_SYNTH1Y_Quote</v>
      </c>
      <c r="D23" s="129" t="str">
        <f>_xll.qlSimpleQuote(C23,,RateTickValue,Permanent,Trigger,ObjectOverwrite)</f>
        <v>EUR3x15F_SYNTH1Y_Quote#0002</v>
      </c>
      <c r="E23" s="234" t="str">
        <f>_xll.ohRangeRetrieveError(D23)</f>
        <v/>
      </c>
      <c r="F23" s="217"/>
      <c r="R23" s="567">
        <v>3</v>
      </c>
      <c r="S23" s="569" t="str">
        <f t="shared" si="2"/>
        <v>3x15F</v>
      </c>
      <c r="T23" s="589" t="s">
        <v>366</v>
      </c>
      <c r="U23" s="565" t="s">
        <v>275</v>
      </c>
      <c r="V23" s="570">
        <v>6.1710363935960008E-3</v>
      </c>
      <c r="W23" s="565"/>
      <c r="X23" s="593">
        <v>6.1710363935960008E-3</v>
      </c>
      <c r="Y23" s="568" t="e">
        <f>_xll.qlSimpleQuoteSetValue(D23,ROUND(X23,6),EvaluationDate)</f>
        <v>#N/A</v>
      </c>
      <c r="Z23" s="562"/>
    </row>
    <row r="24" spans="1:26" x14ac:dyDescent="0.2">
      <c r="A24" s="122">
        <v>4</v>
      </c>
      <c r="B24" s="228" t="str">
        <f t="shared" si="1"/>
        <v>4x16F</v>
      </c>
      <c r="C24" s="129" t="str">
        <f t="shared" si="0"/>
        <v>EUR4x16F_SYNTH1Y_Quote</v>
      </c>
      <c r="D24" s="129" t="str">
        <f>_xll.qlSimpleQuote(C24,,RateTickValue,Permanent,Trigger,ObjectOverwrite)</f>
        <v>EUR4x16F_SYNTH1Y_Quote#0002</v>
      </c>
      <c r="E24" s="234" t="str">
        <f>_xll.ohRangeRetrieveError(D24)</f>
        <v/>
      </c>
      <c r="F24" s="217"/>
      <c r="R24" s="567">
        <v>4</v>
      </c>
      <c r="S24" s="569" t="str">
        <f t="shared" si="2"/>
        <v>4x16F</v>
      </c>
      <c r="T24" s="589" t="s">
        <v>367</v>
      </c>
      <c r="U24" s="565" t="s">
        <v>275</v>
      </c>
      <c r="V24" s="570">
        <v>6.4384226156136669E-3</v>
      </c>
      <c r="W24" s="565"/>
      <c r="X24" s="592">
        <v>6.4384226156136669E-3</v>
      </c>
      <c r="Y24" s="568" t="e">
        <f>_xll.qlSimpleQuoteSetValue(D24,ROUND(X24,6),EvaluationDate)</f>
        <v>#N/A</v>
      </c>
      <c r="Z24" s="562"/>
    </row>
    <row r="25" spans="1:26" x14ac:dyDescent="0.2">
      <c r="A25" s="122">
        <v>5</v>
      </c>
      <c r="B25" s="228" t="str">
        <f t="shared" si="1"/>
        <v>5x17F</v>
      </c>
      <c r="C25" s="129" t="str">
        <f t="shared" si="0"/>
        <v>EUR5x17F_SYNTH1Y_Quote</v>
      </c>
      <c r="D25" s="129" t="str">
        <f>_xll.qlSimpleQuote(C25,,RateTickValue,Permanent,Trigger,ObjectOverwrite)</f>
        <v>EUR5x17F_SYNTH1Y_Quote#0002</v>
      </c>
      <c r="E25" s="234" t="str">
        <f>_xll.ohRangeRetrieveError(D25)</f>
        <v/>
      </c>
      <c r="F25" s="217"/>
      <c r="R25" s="567">
        <v>5</v>
      </c>
      <c r="S25" s="569" t="str">
        <f t="shared" si="2"/>
        <v>5x17F</v>
      </c>
      <c r="T25" s="589" t="s">
        <v>368</v>
      </c>
      <c r="U25" s="565" t="s">
        <v>275</v>
      </c>
      <c r="V25" s="570">
        <v>6.7359071822279603E-3</v>
      </c>
      <c r="W25" s="565"/>
      <c r="X25" s="592">
        <v>6.7359071822279603E-3</v>
      </c>
      <c r="Y25" s="568" t="e">
        <f>_xll.qlSimpleQuoteSetValue(D25,ROUND(X25,6),EvaluationDate)</f>
        <v>#N/A</v>
      </c>
      <c r="Z25" s="562"/>
    </row>
    <row r="26" spans="1:26" x14ac:dyDescent="0.2">
      <c r="A26" s="122">
        <v>6</v>
      </c>
      <c r="B26" s="228" t="str">
        <f t="shared" si="1"/>
        <v>6x18F</v>
      </c>
      <c r="C26" s="129" t="str">
        <f t="shared" si="0"/>
        <v>EUR6x18F_SYNTH1Y_Quote</v>
      </c>
      <c r="D26" s="129" t="str">
        <f>_xll.qlSimpleQuote(C26,,RateTickValue,Permanent,Trigger,ObjectOverwrite)</f>
        <v>EUR6x18F_SYNTH1Y_Quote#0002</v>
      </c>
      <c r="E26" s="234" t="str">
        <f>_xll.ohRangeRetrieveError(D26)</f>
        <v/>
      </c>
      <c r="F26" s="217"/>
      <c r="R26" s="567">
        <v>6</v>
      </c>
      <c r="S26" s="569" t="str">
        <f t="shared" si="2"/>
        <v>6x18F</v>
      </c>
      <c r="T26" s="589" t="s">
        <v>369</v>
      </c>
      <c r="U26" s="565" t="s">
        <v>275</v>
      </c>
      <c r="V26" s="570">
        <v>7.0154060175266521E-3</v>
      </c>
      <c r="W26" s="565"/>
      <c r="X26" s="593">
        <v>7.0154060175266521E-3</v>
      </c>
      <c r="Y26" s="568" t="e">
        <f>_xll.qlSimpleQuoteSetValue(D26,ROUND(X26,6),EvaluationDate)</f>
        <v>#N/A</v>
      </c>
      <c r="Z26" s="562"/>
    </row>
    <row r="27" spans="1:26" x14ac:dyDescent="0.2">
      <c r="A27" s="122">
        <v>7</v>
      </c>
      <c r="B27" s="228" t="str">
        <f t="shared" si="1"/>
        <v>7x19F</v>
      </c>
      <c r="C27" s="129" t="str">
        <f t="shared" si="0"/>
        <v>EUR7x19F_SYNTH1Y_Quote</v>
      </c>
      <c r="D27" s="129" t="str">
        <f>_xll.qlSimpleQuote(C27,,RateTickValue,Permanent,Trigger,ObjectOverwrite)</f>
        <v>EUR7x19F_SYNTH1Y_Quote#0002</v>
      </c>
      <c r="E27" s="234" t="str">
        <f>_xll.ohRangeRetrieveError(D27)</f>
        <v/>
      </c>
      <c r="F27" s="217"/>
      <c r="R27" s="567">
        <v>7</v>
      </c>
      <c r="S27" s="569" t="str">
        <f t="shared" si="2"/>
        <v>7x19F</v>
      </c>
      <c r="T27" s="589" t="s">
        <v>370</v>
      </c>
      <c r="U27" s="565" t="s">
        <v>275</v>
      </c>
      <c r="V27" s="570">
        <v>7.3001279633624558E-3</v>
      </c>
      <c r="W27" s="565"/>
      <c r="X27" s="592">
        <v>7.3001279633624558E-3</v>
      </c>
      <c r="Y27" s="568" t="e">
        <f>_xll.qlSimpleQuoteSetValue(D27,ROUND(X27,6),EvaluationDate)</f>
        <v>#N/A</v>
      </c>
      <c r="Z27" s="562"/>
    </row>
    <row r="28" spans="1:26" x14ac:dyDescent="0.2">
      <c r="A28" s="122">
        <v>8</v>
      </c>
      <c r="B28" s="228" t="str">
        <f t="shared" si="1"/>
        <v>8x20F</v>
      </c>
      <c r="C28" s="129" t="str">
        <f t="shared" si="0"/>
        <v>EUR8x20F_SYNTH1Y_Quote</v>
      </c>
      <c r="D28" s="129" t="str">
        <f>_xll.qlSimpleQuote(C28,,RateTickValue,Permanent,Trigger,ObjectOverwrite)</f>
        <v>EUR8x20F_SYNTH1Y_Quote#0002</v>
      </c>
      <c r="E28" s="234" t="str">
        <f>_xll.ohRangeRetrieveError(D28)</f>
        <v/>
      </c>
      <c r="F28" s="217"/>
      <c r="R28" s="567">
        <v>8</v>
      </c>
      <c r="S28" s="569" t="str">
        <f t="shared" si="2"/>
        <v>8x20F</v>
      </c>
      <c r="T28" s="589" t="s">
        <v>371</v>
      </c>
      <c r="U28" s="565" t="s">
        <v>275</v>
      </c>
      <c r="V28" s="570">
        <v>7.560452621025433E-3</v>
      </c>
      <c r="W28" s="565"/>
      <c r="X28" s="592">
        <v>7.560452621025433E-3</v>
      </c>
      <c r="Y28" s="568" t="e">
        <f>_xll.qlSimpleQuoteSetValue(D28,ROUND(X28,6),EvaluationDate)</f>
        <v>#N/A</v>
      </c>
      <c r="Z28" s="562"/>
    </row>
    <row r="29" spans="1:26" x14ac:dyDescent="0.2">
      <c r="A29" s="122">
        <v>9</v>
      </c>
      <c r="B29" s="228" t="str">
        <f t="shared" si="1"/>
        <v>9x21F</v>
      </c>
      <c r="C29" s="129" t="str">
        <f t="shared" si="0"/>
        <v>EUR9x21F_SYNTH1Y_Quote</v>
      </c>
      <c r="D29" s="129" t="str">
        <f>_xll.qlSimpleQuote(C29,,RateTickValue,Permanent,Trigger,ObjectOverwrite)</f>
        <v>EUR9x21F_SYNTH1Y_Quote#0002</v>
      </c>
      <c r="E29" s="234" t="str">
        <f>_xll.ohRangeRetrieveError(D29)</f>
        <v/>
      </c>
      <c r="F29" s="217"/>
      <c r="R29" s="567">
        <v>9</v>
      </c>
      <c r="S29" s="569" t="str">
        <f t="shared" si="2"/>
        <v>9x21F</v>
      </c>
      <c r="T29" s="589" t="s">
        <v>372</v>
      </c>
      <c r="U29" s="565" t="s">
        <v>275</v>
      </c>
      <c r="V29" s="570">
        <v>7.8494499178176445E-3</v>
      </c>
      <c r="W29" s="565"/>
      <c r="X29" s="593">
        <v>7.8494499178176445E-3</v>
      </c>
      <c r="Y29" s="568" t="e">
        <f>_xll.qlSimpleQuoteSetValue(D29,ROUND(X29,6),EvaluationDate)</f>
        <v>#N/A</v>
      </c>
      <c r="Z29" s="562"/>
    </row>
    <row r="30" spans="1:26" x14ac:dyDescent="0.2">
      <c r="A30" s="122">
        <v>10</v>
      </c>
      <c r="B30" s="228" t="str">
        <f t="shared" si="1"/>
        <v>10x22F</v>
      </c>
      <c r="C30" s="129" t="str">
        <f t="shared" si="0"/>
        <v>EUR10x22F_SYNTH1Y_Quote</v>
      </c>
      <c r="D30" s="129" t="str">
        <f>_xll.qlSimpleQuote(C30,,RateTickValue,Permanent,Trigger,ObjectOverwrite)</f>
        <v>EUR10x22F_SYNTH1Y_Quote#0002</v>
      </c>
      <c r="E30" s="234" t="str">
        <f>_xll.ohRangeRetrieveError(D30)</f>
        <v/>
      </c>
      <c r="F30" s="217"/>
      <c r="R30" s="567">
        <v>10</v>
      </c>
      <c r="S30" s="569" t="str">
        <f t="shared" si="2"/>
        <v>10x22F</v>
      </c>
      <c r="T30" s="589" t="s">
        <v>373</v>
      </c>
      <c r="U30" s="565" t="s">
        <v>275</v>
      </c>
      <c r="V30" s="570">
        <v>8.0864295846275209E-3</v>
      </c>
      <c r="W30" s="565"/>
      <c r="X30" s="592">
        <v>8.0864295846275209E-3</v>
      </c>
      <c r="Y30" s="568" t="e">
        <f>_xll.qlSimpleQuoteSetValue(D30,ROUND(X30,6),EvaluationDate)</f>
        <v>#N/A</v>
      </c>
      <c r="Z30" s="562"/>
    </row>
    <row r="31" spans="1:26" x14ac:dyDescent="0.2">
      <c r="A31" s="122">
        <v>11</v>
      </c>
      <c r="B31" s="228" t="str">
        <f t="shared" si="1"/>
        <v>11x23F</v>
      </c>
      <c r="C31" s="129" t="str">
        <f t="shared" si="0"/>
        <v>EUR11x23F_SYNTH1Y_Quote</v>
      </c>
      <c r="D31" s="129" t="str">
        <f>_xll.qlSimpleQuote(C31,,RateTickValue,Permanent,Trigger,ObjectOverwrite)</f>
        <v>EUR11x23F_SYNTH1Y_Quote#0002</v>
      </c>
      <c r="E31" s="234" t="str">
        <f>_xll.ohRangeRetrieveError(D31)</f>
        <v/>
      </c>
      <c r="F31" s="217"/>
      <c r="R31" s="567">
        <v>11</v>
      </c>
      <c r="S31" s="564" t="str">
        <f t="shared" si="2"/>
        <v>11x23F</v>
      </c>
      <c r="T31" s="590" t="s">
        <v>374</v>
      </c>
      <c r="U31" s="565" t="s">
        <v>275</v>
      </c>
      <c r="V31" s="566">
        <v>8.3494230744369097E-3</v>
      </c>
      <c r="W31" s="565"/>
      <c r="X31" s="594">
        <v>8.3494230744369097E-3</v>
      </c>
      <c r="Y31" s="563" t="e">
        <f>_xll.qlSimpleQuoteSetValue(D31,ROUND(X31,6),EvaluationDate)</f>
        <v>#N/A</v>
      </c>
      <c r="Z31" s="562"/>
    </row>
    <row r="32" spans="1:26" x14ac:dyDescent="0.2">
      <c r="A32" s="122">
        <v>13</v>
      </c>
      <c r="B32" s="228" t="str">
        <f t="shared" si="1"/>
        <v>13x25F</v>
      </c>
      <c r="C32" s="129" t="str">
        <f t="shared" si="0"/>
        <v>EUR13x25F_SYNTH1Y_Quote</v>
      </c>
      <c r="D32" s="129" t="str">
        <f>_xll.qlSimpleQuote(C32,,RateTickValue,Permanent,Trigger,ObjectOverwrite)</f>
        <v>EUR13x25F_SYNTH1Y_Quote#0002</v>
      </c>
      <c r="E32" s="234" t="str">
        <f>_xll.ohRangeRetrieveError(D32)</f>
        <v/>
      </c>
      <c r="F32" s="217"/>
      <c r="R32" s="567">
        <v>13</v>
      </c>
      <c r="S32" s="572" t="str">
        <f t="shared" si="2"/>
        <v>13x25F</v>
      </c>
      <c r="T32" s="588" t="s">
        <v>375</v>
      </c>
      <c r="U32" s="565" t="s">
        <v>275</v>
      </c>
      <c r="V32" s="573">
        <v>8.858954243776463E-3</v>
      </c>
      <c r="W32" s="565"/>
      <c r="X32" s="591">
        <v>8.858954243776463E-3</v>
      </c>
      <c r="Y32" s="571" t="e">
        <f>_xll.qlSimpleQuoteSetValue(D32,ROUND(X32,6),EvaluationDate)</f>
        <v>#N/A</v>
      </c>
      <c r="Z32" s="562"/>
    </row>
    <row r="33" spans="1:26" x14ac:dyDescent="0.2">
      <c r="A33" s="122">
        <v>14</v>
      </c>
      <c r="B33" s="228" t="str">
        <f t="shared" si="1"/>
        <v>14x26F</v>
      </c>
      <c r="C33" s="129" t="str">
        <f t="shared" si="0"/>
        <v>EUR14x26F_SYNTH1Y_Quote</v>
      </c>
      <c r="D33" s="129" t="str">
        <f>_xll.qlSimpleQuote(C33,,RateTickValue,Permanent,Trigger,ObjectOverwrite)</f>
        <v>EUR14x26F_SYNTH1Y_Quote#0002</v>
      </c>
      <c r="E33" s="234" t="str">
        <f>_xll.ohRangeRetrieveError(D33)</f>
        <v/>
      </c>
      <c r="F33" s="217"/>
      <c r="R33" s="567">
        <v>14</v>
      </c>
      <c r="S33" s="569" t="str">
        <f t="shared" si="2"/>
        <v>14x26F</v>
      </c>
      <c r="T33" s="589" t="s">
        <v>376</v>
      </c>
      <c r="U33" s="565" t="s">
        <v>275</v>
      </c>
      <c r="V33" s="570">
        <v>9.1208944719800081E-3</v>
      </c>
      <c r="W33" s="565"/>
      <c r="X33" s="592">
        <v>9.1208944719800081E-3</v>
      </c>
      <c r="Y33" s="568" t="e">
        <f>_xll.qlSimpleQuoteSetValue(D33,ROUND(X33,6),EvaluationDate)</f>
        <v>#N/A</v>
      </c>
      <c r="Z33" s="562"/>
    </row>
    <row r="34" spans="1:26" x14ac:dyDescent="0.2">
      <c r="A34" s="122">
        <v>15</v>
      </c>
      <c r="B34" s="228" t="str">
        <f t="shared" si="1"/>
        <v>15x27F</v>
      </c>
      <c r="C34" s="129" t="str">
        <f t="shared" si="0"/>
        <v>EUR15x27F_SYNTH1Y_Quote</v>
      </c>
      <c r="D34" s="129" t="str">
        <f>_xll.qlSimpleQuote(C34,,RateTickValue,Permanent,Trigger,ObjectOverwrite)</f>
        <v>EUR15x27F_SYNTH1Y_Quote#0002</v>
      </c>
      <c r="E34" s="234" t="str">
        <f>_xll.ohRangeRetrieveError(D34)</f>
        <v/>
      </c>
      <c r="F34" s="217"/>
      <c r="R34" s="567">
        <v>15</v>
      </c>
      <c r="S34" s="569" t="str">
        <f t="shared" si="2"/>
        <v>15x27F</v>
      </c>
      <c r="T34" s="589" t="s">
        <v>377</v>
      </c>
      <c r="U34" s="565" t="s">
        <v>275</v>
      </c>
      <c r="V34" s="570">
        <v>9.3677929744322569E-3</v>
      </c>
      <c r="W34" s="565"/>
      <c r="X34" s="592">
        <v>9.3677929744322569E-3</v>
      </c>
      <c r="Y34" s="568" t="e">
        <f>_xll.qlSimpleQuoteSetValue(D34,ROUND(X34,6),EvaluationDate)</f>
        <v>#N/A</v>
      </c>
      <c r="Z34" s="562"/>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EUR16x28F_SYNTH1Y_Quote#0002</v>
      </c>
      <c r="E35" s="234" t="str">
        <f>_xll.ohRangeRetrieveError(D35)</f>
        <v/>
      </c>
      <c r="F35" s="217"/>
      <c r="R35" s="567">
        <v>16</v>
      </c>
      <c r="S35" s="569" t="str">
        <f t="shared" si="2"/>
        <v>16x28F</v>
      </c>
      <c r="T35" s="589" t="s">
        <v>378</v>
      </c>
      <c r="U35" s="565" t="s">
        <v>275</v>
      </c>
      <c r="V35" s="570">
        <v>9.6219312700536637E-3</v>
      </c>
      <c r="W35" s="565"/>
      <c r="X35" s="592">
        <v>9.6219312700536637E-3</v>
      </c>
      <c r="Y35" s="568" t="e">
        <f>_xll.qlSimpleQuoteSetValue(D35,ROUND(X35,6),EvaluationDate)</f>
        <v>#N/A</v>
      </c>
      <c r="Z35" s="562"/>
    </row>
    <row r="36" spans="1:26" x14ac:dyDescent="0.2">
      <c r="A36" s="122">
        <v>17</v>
      </c>
      <c r="B36" s="228" t="str">
        <f t="shared" si="1"/>
        <v>17x29F</v>
      </c>
      <c r="C36" s="129" t="str">
        <f t="shared" si="3"/>
        <v>EUR17x29F_SYNTH1Y_Quote</v>
      </c>
      <c r="D36" s="129" t="str">
        <f>_xll.qlSimpleQuote(C36,,RateTickValue,Permanent,Trigger,ObjectOverwrite)</f>
        <v>EUR17x29F_SYNTH1Y_Quote#0002</v>
      </c>
      <c r="E36" s="234" t="str">
        <f>_xll.ohRangeRetrieveError(D36)</f>
        <v/>
      </c>
      <c r="F36" s="217"/>
      <c r="R36" s="567">
        <v>17</v>
      </c>
      <c r="S36" s="569" t="str">
        <f t="shared" si="2"/>
        <v>17x29F</v>
      </c>
      <c r="T36" s="589" t="s">
        <v>379</v>
      </c>
      <c r="U36" s="565" t="s">
        <v>275</v>
      </c>
      <c r="V36" s="570">
        <v>9.909536119077399E-3</v>
      </c>
      <c r="W36" s="565"/>
      <c r="X36" s="592">
        <v>9.909536119077399E-3</v>
      </c>
      <c r="Y36" s="568" t="e">
        <f>_xll.qlSimpleQuoteSetValue(D36,ROUND(X36,6),EvaluationDate)</f>
        <v>#N/A</v>
      </c>
      <c r="Z36" s="562"/>
    </row>
    <row r="37" spans="1:26" x14ac:dyDescent="0.2">
      <c r="A37" s="122">
        <v>18</v>
      </c>
      <c r="B37" s="228" t="str">
        <f t="shared" si="1"/>
        <v>18x30F</v>
      </c>
      <c r="C37" s="129" t="str">
        <f t="shared" si="3"/>
        <v>EUR18x30F_SYNTH1Y_Quote</v>
      </c>
      <c r="D37" s="129" t="str">
        <f>_xll.qlSimpleQuote(C37,,RateTickValue,Permanent,Trigger,ObjectOverwrite)</f>
        <v>EUR18x30F_SYNTH1Y_Quote#0002</v>
      </c>
      <c r="E37" s="234" t="str">
        <f>_xll.ohRangeRetrieveError(D37)</f>
        <v/>
      </c>
      <c r="F37" s="217"/>
      <c r="R37" s="567">
        <v>18</v>
      </c>
      <c r="S37" s="569" t="str">
        <f t="shared" si="2"/>
        <v>18x30F</v>
      </c>
      <c r="T37" s="589" t="s">
        <v>380</v>
      </c>
      <c r="U37" s="565" t="s">
        <v>275</v>
      </c>
      <c r="V37" s="570">
        <v>1.0159658953358752E-2</v>
      </c>
      <c r="W37" s="565"/>
      <c r="X37" s="592">
        <v>1.0159658953358752E-2</v>
      </c>
      <c r="Y37" s="568" t="e">
        <f>_xll.qlSimpleQuoteSetValue(D37,ROUND(X37,6),EvaluationDate)</f>
        <v>#N/A</v>
      </c>
      <c r="Z37" s="562"/>
    </row>
    <row r="38" spans="1:26" x14ac:dyDescent="0.2">
      <c r="A38" s="122">
        <v>19</v>
      </c>
      <c r="B38" s="228" t="str">
        <f t="shared" si="1"/>
        <v>19x31F</v>
      </c>
      <c r="C38" s="129" t="str">
        <f t="shared" si="3"/>
        <v>EUR19x31F_SYNTH1Y_Quote</v>
      </c>
      <c r="D38" s="129" t="str">
        <f>_xll.qlSimpleQuote(C38,,RateTickValue,Permanent,Trigger,ObjectOverwrite)</f>
        <v>EUR19x31F_SYNTH1Y_Quote#0002</v>
      </c>
      <c r="E38" s="234" t="str">
        <f>_xll.ohRangeRetrieveError(D38)</f>
        <v/>
      </c>
      <c r="F38" s="217"/>
      <c r="R38" s="567">
        <v>19</v>
      </c>
      <c r="S38" s="569" t="str">
        <f t="shared" si="2"/>
        <v>19x31F</v>
      </c>
      <c r="T38" s="589" t="s">
        <v>381</v>
      </c>
      <c r="U38" s="565" t="s">
        <v>275</v>
      </c>
      <c r="V38" s="570">
        <v>1.0443402920874097E-2</v>
      </c>
      <c r="W38" s="565"/>
      <c r="X38" s="592">
        <v>1.0443402920874097E-2</v>
      </c>
      <c r="Y38" s="568" t="e">
        <f>_xll.qlSimpleQuoteSetValue(D38,ROUND(X38,6),EvaluationDate)</f>
        <v>#N/A</v>
      </c>
      <c r="Z38" s="562"/>
    </row>
    <row r="39" spans="1:26" x14ac:dyDescent="0.2">
      <c r="A39" s="122">
        <v>20</v>
      </c>
      <c r="B39" s="228" t="str">
        <f t="shared" si="1"/>
        <v>20x32F</v>
      </c>
      <c r="C39" s="129" t="str">
        <f t="shared" si="3"/>
        <v>EUR20x32F_SYNTH1Y_Quote</v>
      </c>
      <c r="D39" s="129" t="str">
        <f>_xll.qlSimpleQuote(C39,,RateTickValue,Permanent,Trigger,ObjectOverwrite)</f>
        <v>EUR20x32F_SYNTH1Y_Quote#0002</v>
      </c>
      <c r="E39" s="234" t="str">
        <f>_xll.ohRangeRetrieveError(D39)</f>
        <v/>
      </c>
      <c r="F39" s="217"/>
      <c r="R39" s="567">
        <v>20</v>
      </c>
      <c r="S39" s="569" t="str">
        <f t="shared" si="2"/>
        <v>20x32F</v>
      </c>
      <c r="T39" s="589" t="s">
        <v>382</v>
      </c>
      <c r="U39" s="565" t="s">
        <v>275</v>
      </c>
      <c r="V39" s="570">
        <v>1.0732996582378857E-2</v>
      </c>
      <c r="W39" s="565"/>
      <c r="X39" s="592">
        <v>1.0732996582378857E-2</v>
      </c>
      <c r="Y39" s="568" t="e">
        <f>_xll.qlSimpleQuoteSetValue(D39,ROUND(X39,6),EvaluationDate)</f>
        <v>#N/A</v>
      </c>
      <c r="Z39" s="562"/>
    </row>
    <row r="40" spans="1:26" x14ac:dyDescent="0.2">
      <c r="A40" s="122">
        <v>21</v>
      </c>
      <c r="B40" s="228" t="str">
        <f t="shared" si="1"/>
        <v>21x33F</v>
      </c>
      <c r="C40" s="129" t="str">
        <f t="shared" si="3"/>
        <v>EUR21x33F_SYNTH1Y_Quote</v>
      </c>
      <c r="D40" s="129" t="str">
        <f>_xll.qlSimpleQuote(C40,,RateTickValue,Permanent,Trigger,ObjectOverwrite)</f>
        <v>EUR21x33F_SYNTH1Y_Quote#0002</v>
      </c>
      <c r="E40" s="234" t="str">
        <f>_xll.ohRangeRetrieveError(D40)</f>
        <v/>
      </c>
      <c r="F40" s="217"/>
      <c r="R40" s="567">
        <v>21</v>
      </c>
      <c r="S40" s="569" t="str">
        <f t="shared" si="2"/>
        <v>21x33F</v>
      </c>
      <c r="T40" s="589" t="s">
        <v>383</v>
      </c>
      <c r="U40" s="565" t="s">
        <v>275</v>
      </c>
      <c r="V40" s="570">
        <v>1.1033763774660581E-2</v>
      </c>
      <c r="W40" s="565"/>
      <c r="X40" s="592">
        <v>1.1033763774660581E-2</v>
      </c>
      <c r="Y40" s="568" t="e">
        <f>_xll.qlSimpleQuoteSetValue(D40,ROUND(X40,6),EvaluationDate)</f>
        <v>#N/A</v>
      </c>
      <c r="Z40" s="562"/>
    </row>
    <row r="41" spans="1:26" x14ac:dyDescent="0.2">
      <c r="A41" s="122">
        <v>22</v>
      </c>
      <c r="B41" s="228" t="str">
        <f t="shared" si="1"/>
        <v>22x34F</v>
      </c>
      <c r="C41" s="129" t="str">
        <f t="shared" si="3"/>
        <v>EUR22x34F_SYNTH1Y_Quote</v>
      </c>
      <c r="D41" s="129" t="str">
        <f>_xll.qlSimpleQuote(C41,,RateTickValue,Permanent,Trigger,ObjectOverwrite)</f>
        <v>EUR22x34F_SYNTH1Y_Quote#0002</v>
      </c>
      <c r="E41" s="234" t="str">
        <f>_xll.ohRangeRetrieveError(D41)</f>
        <v/>
      </c>
      <c r="F41" s="217"/>
      <c r="R41" s="567">
        <v>22</v>
      </c>
      <c r="S41" s="569" t="str">
        <f t="shared" si="2"/>
        <v>22x34F</v>
      </c>
      <c r="T41" s="589" t="s">
        <v>384</v>
      </c>
      <c r="U41" s="565" t="s">
        <v>275</v>
      </c>
      <c r="V41" s="570">
        <v>1.1340036810969348E-2</v>
      </c>
      <c r="W41" s="565"/>
      <c r="X41" s="592">
        <v>1.1340036810969348E-2</v>
      </c>
      <c r="Y41" s="568" t="e">
        <f>_xll.qlSimpleQuoteSetValue(D41,ROUND(X41,6),EvaluationDate)</f>
        <v>#N/A</v>
      </c>
      <c r="Z41" s="562"/>
    </row>
    <row r="42" spans="1:26" x14ac:dyDescent="0.2">
      <c r="A42" s="122">
        <v>23</v>
      </c>
      <c r="B42" s="228" t="str">
        <f t="shared" si="1"/>
        <v>23x35F</v>
      </c>
      <c r="C42" s="129" t="str">
        <f t="shared" si="3"/>
        <v>EUR23x35F_SYNTH1Y_Quote</v>
      </c>
      <c r="D42" s="129" t="str">
        <f>_xll.qlSimpleQuote(C42,,RateTickValue,Permanent,Trigger,ObjectOverwrite)</f>
        <v>EUR23x35F_SYNTH1Y_Quote#0002</v>
      </c>
      <c r="E42" s="234" t="str">
        <f>_xll.ohRangeRetrieveError(D42)</f>
        <v/>
      </c>
      <c r="F42" s="217"/>
      <c r="R42" s="567">
        <v>23</v>
      </c>
      <c r="S42" s="564" t="str">
        <f t="shared" si="2"/>
        <v>23x35F</v>
      </c>
      <c r="T42" s="590" t="s">
        <v>385</v>
      </c>
      <c r="U42" s="565" t="s">
        <v>275</v>
      </c>
      <c r="V42" s="566">
        <v>1.1692857939366592E-2</v>
      </c>
      <c r="W42" s="565"/>
      <c r="X42" s="594">
        <v>1.1692857939366592E-2</v>
      </c>
      <c r="Y42" s="563" t="e">
        <f>_xll.qlSimpleQuoteSetValue(D42,ROUND(X42,6),EvaluationDate)</f>
        <v>#N/A</v>
      </c>
      <c r="Z42" s="562"/>
    </row>
    <row r="43" spans="1:26" x14ac:dyDescent="0.2">
      <c r="A43" s="122">
        <v>25</v>
      </c>
      <c r="B43" s="228" t="str">
        <f t="shared" si="1"/>
        <v>25x37F</v>
      </c>
      <c r="C43" s="129" t="str">
        <f t="shared" si="3"/>
        <v>EUR25x37F_SYNTH1Y_Quote</v>
      </c>
      <c r="D43" s="129" t="str">
        <f>_xll.qlSimpleQuote(C43,,RateTickValue,Permanent,Trigger,ObjectOverwrite)</f>
        <v>EUR25x37F_SYNTH1Y_Quote#0002</v>
      </c>
      <c r="E43" s="234" t="str">
        <f>_xll.ohRangeRetrieveError(D43)</f>
        <v/>
      </c>
      <c r="F43" s="217"/>
      <c r="R43" s="567">
        <v>25</v>
      </c>
      <c r="S43" s="572" t="str">
        <f t="shared" si="2"/>
        <v>25x37F</v>
      </c>
      <c r="T43" s="588" t="s">
        <v>386</v>
      </c>
      <c r="U43" s="565" t="s">
        <v>275</v>
      </c>
      <c r="V43" s="573">
        <v>1.2421536061353433E-2</v>
      </c>
      <c r="W43" s="565"/>
      <c r="X43" s="591">
        <v>1.2421536061353433E-2</v>
      </c>
      <c r="Y43" s="571" t="e">
        <f>_xll.qlSimpleQuoteSetValue(D43,ROUND(X43,6),EvaluationDate)</f>
        <v>#N/A</v>
      </c>
      <c r="Z43" s="562"/>
    </row>
    <row r="44" spans="1:26" x14ac:dyDescent="0.2">
      <c r="A44" s="122">
        <v>26</v>
      </c>
      <c r="B44" s="228" t="str">
        <f t="shared" si="1"/>
        <v>26x38F</v>
      </c>
      <c r="C44" s="129" t="str">
        <f t="shared" si="3"/>
        <v>EUR26x38F_SYNTH1Y_Quote</v>
      </c>
      <c r="D44" s="129" t="str">
        <f>_xll.qlSimpleQuote(C44,,RateTickValue,Permanent,Trigger,ObjectOverwrite)</f>
        <v>EUR26x38F_SYNTH1Y_Quote#0002</v>
      </c>
      <c r="E44" s="234" t="str">
        <f>_xll.ohRangeRetrieveError(D44)</f>
        <v/>
      </c>
      <c r="F44" s="217"/>
      <c r="R44" s="567">
        <v>26</v>
      </c>
      <c r="S44" s="569" t="str">
        <f t="shared" si="2"/>
        <v>26x38F</v>
      </c>
      <c r="T44" s="589" t="s">
        <v>387</v>
      </c>
      <c r="U44" s="565" t="s">
        <v>275</v>
      </c>
      <c r="V44" s="570">
        <v>1.2847272598213342E-2</v>
      </c>
      <c r="W44" s="565"/>
      <c r="X44" s="592">
        <v>1.2847272598213342E-2</v>
      </c>
      <c r="Y44" s="568" t="e">
        <f>_xll.qlSimpleQuoteSetValue(D44,ROUND(X44,6),EvaluationDate)</f>
        <v>#N/A</v>
      </c>
      <c r="Z44" s="562"/>
    </row>
    <row r="45" spans="1:26" x14ac:dyDescent="0.2">
      <c r="A45" s="122">
        <v>27</v>
      </c>
      <c r="B45" s="228" t="str">
        <f t="shared" si="1"/>
        <v>27x39F</v>
      </c>
      <c r="C45" s="129" t="str">
        <f t="shared" si="3"/>
        <v>EUR27x39F_SYNTH1Y_Quote</v>
      </c>
      <c r="D45" s="129" t="str">
        <f>_xll.qlSimpleQuote(C45,,RateTickValue,Permanent,Trigger,ObjectOverwrite)</f>
        <v>EUR27x39F_SYNTH1Y_Quote#0002</v>
      </c>
      <c r="E45" s="234" t="str">
        <f>_xll.ohRangeRetrieveError(D45)</f>
        <v/>
      </c>
      <c r="F45" s="217"/>
      <c r="R45" s="567">
        <v>27</v>
      </c>
      <c r="S45" s="569" t="str">
        <f t="shared" si="2"/>
        <v>27x39F</v>
      </c>
      <c r="T45" s="589" t="s">
        <v>388</v>
      </c>
      <c r="U45" s="565" t="s">
        <v>275</v>
      </c>
      <c r="V45" s="570">
        <v>1.3221923594660038E-2</v>
      </c>
      <c r="W45" s="565"/>
      <c r="X45" s="592">
        <v>1.3221923594660038E-2</v>
      </c>
      <c r="Y45" s="568" t="e">
        <f>_xll.qlSimpleQuoteSetValue(D45,ROUND(X45,6),EvaluationDate)</f>
        <v>#N/A</v>
      </c>
      <c r="Z45" s="562"/>
    </row>
    <row r="46" spans="1:26" x14ac:dyDescent="0.2">
      <c r="A46" s="122">
        <v>28</v>
      </c>
      <c r="B46" s="228" t="str">
        <f t="shared" si="1"/>
        <v>28x40F</v>
      </c>
      <c r="C46" s="129" t="str">
        <f t="shared" si="3"/>
        <v>EUR28x40F_SYNTH1Y_Quote</v>
      </c>
      <c r="D46" s="129" t="str">
        <f>_xll.qlSimpleQuote(C46,,RateTickValue,Permanent,Trigger,ObjectOverwrite)</f>
        <v>EUR28x40F_SYNTH1Y_Quote#0002</v>
      </c>
      <c r="E46" s="234" t="str">
        <f>_xll.ohRangeRetrieveError(D46)</f>
        <v/>
      </c>
      <c r="F46" s="217"/>
      <c r="R46" s="567">
        <v>28</v>
      </c>
      <c r="S46" s="569" t="str">
        <f t="shared" si="2"/>
        <v>28x40F</v>
      </c>
      <c r="T46" s="589" t="s">
        <v>389</v>
      </c>
      <c r="U46" s="565" t="s">
        <v>275</v>
      </c>
      <c r="V46" s="570">
        <v>1.3664829099526484E-2</v>
      </c>
      <c r="W46" s="565"/>
      <c r="X46" s="592">
        <v>1.3664829099526484E-2</v>
      </c>
      <c r="Y46" s="568" t="e">
        <f>_xll.qlSimpleQuoteSetValue(D46,ROUND(X46,6),EvaluationDate)</f>
        <v>#N/A</v>
      </c>
      <c r="Z46" s="562"/>
    </row>
    <row r="47" spans="1:26" x14ac:dyDescent="0.2">
      <c r="A47" s="122">
        <v>29</v>
      </c>
      <c r="B47" s="228" t="str">
        <f t="shared" si="1"/>
        <v>29x41F</v>
      </c>
      <c r="C47" s="129" t="str">
        <f t="shared" si="3"/>
        <v>EUR29x41F_SYNTH1Y_Quote</v>
      </c>
      <c r="D47" s="129" t="str">
        <f>_xll.qlSimpleQuote(C47,,RateTickValue,Permanent,Trigger,ObjectOverwrite)</f>
        <v>EUR29x41F_SYNTH1Y_Quote#0002</v>
      </c>
      <c r="E47" s="234" t="str">
        <f>_xll.ohRangeRetrieveError(D47)</f>
        <v/>
      </c>
      <c r="F47" s="217"/>
      <c r="R47" s="567">
        <v>29</v>
      </c>
      <c r="S47" s="569" t="str">
        <f t="shared" si="2"/>
        <v>29x41F</v>
      </c>
      <c r="T47" s="589" t="s">
        <v>390</v>
      </c>
      <c r="U47" s="565" t="s">
        <v>275</v>
      </c>
      <c r="V47" s="570">
        <v>1.4103089230879294E-2</v>
      </c>
      <c r="W47" s="565"/>
      <c r="X47" s="592">
        <v>1.4103089230879294E-2</v>
      </c>
      <c r="Y47" s="568" t="e">
        <f>_xll.qlSimpleQuoteSetValue(D47,ROUND(X47,6),EvaluationDate)</f>
        <v>#N/A</v>
      </c>
      <c r="Z47" s="562"/>
    </row>
    <row r="48" spans="1:26" x14ac:dyDescent="0.2">
      <c r="A48" s="122">
        <v>30</v>
      </c>
      <c r="B48" s="228" t="str">
        <f t="shared" si="1"/>
        <v>30x42F</v>
      </c>
      <c r="C48" s="129" t="str">
        <f t="shared" si="3"/>
        <v>EUR30x42F_SYNTH1Y_Quote</v>
      </c>
      <c r="D48" s="129" t="str">
        <f>_xll.qlSimpleQuote(C48,,RateTickValue,Permanent,Trigger,ObjectOverwrite)</f>
        <v>EUR30x42F_SYNTH1Y_Quote#0002</v>
      </c>
      <c r="E48" s="234" t="str">
        <f>_xll.ohRangeRetrieveError(D48)</f>
        <v/>
      </c>
      <c r="F48" s="217"/>
      <c r="R48" s="567">
        <v>30</v>
      </c>
      <c r="S48" s="569" t="str">
        <f t="shared" si="2"/>
        <v>30x42F</v>
      </c>
      <c r="T48" s="589" t="s">
        <v>391</v>
      </c>
      <c r="U48" s="565" t="s">
        <v>275</v>
      </c>
      <c r="V48" s="570">
        <v>1.4523397201147214E-2</v>
      </c>
      <c r="W48" s="565"/>
      <c r="X48" s="592">
        <v>1.4523397201147214E-2</v>
      </c>
      <c r="Y48" s="568" t="e">
        <f>_xll.qlSimpleQuoteSetValue(D48,ROUND(X48,6),EvaluationDate)</f>
        <v>#N/A</v>
      </c>
      <c r="Z48" s="562"/>
    </row>
    <row r="49" spans="1:26" x14ac:dyDescent="0.2">
      <c r="A49" s="122">
        <v>31</v>
      </c>
      <c r="B49" s="228" t="str">
        <f t="shared" si="1"/>
        <v>31x43F</v>
      </c>
      <c r="C49" s="129" t="str">
        <f t="shared" si="3"/>
        <v>EUR31x43F_SYNTH1Y_Quote</v>
      </c>
      <c r="D49" s="129" t="str">
        <f>_xll.qlSimpleQuote(C49,,RateTickValue,Permanent,Trigger,ObjectOverwrite)</f>
        <v>EUR31x43F_SYNTH1Y_Quote#0002</v>
      </c>
      <c r="E49" s="234" t="str">
        <f>_xll.ohRangeRetrieveError(D49)</f>
        <v/>
      </c>
      <c r="F49" s="217"/>
      <c r="R49" s="567">
        <v>31</v>
      </c>
      <c r="S49" s="569" t="str">
        <f t="shared" si="2"/>
        <v>31x43F</v>
      </c>
      <c r="T49" s="589" t="s">
        <v>392</v>
      </c>
      <c r="U49" s="565" t="s">
        <v>275</v>
      </c>
      <c r="V49" s="570">
        <v>1.4988693761706095E-2</v>
      </c>
      <c r="W49" s="565"/>
      <c r="X49" s="592">
        <v>1.4988693761706095E-2</v>
      </c>
      <c r="Y49" s="568" t="e">
        <f>_xll.qlSimpleQuoteSetValue(D49,ROUND(X49,6),EvaluationDate)</f>
        <v>#N/A</v>
      </c>
      <c r="Z49" s="562"/>
    </row>
    <row r="50" spans="1:26" x14ac:dyDescent="0.2">
      <c r="A50" s="122">
        <v>32</v>
      </c>
      <c r="B50" s="228" t="str">
        <f t="shared" si="1"/>
        <v>32x44F</v>
      </c>
      <c r="C50" s="129" t="str">
        <f t="shared" si="3"/>
        <v>EUR32x44F_SYNTH1Y_Quote</v>
      </c>
      <c r="D50" s="129" t="str">
        <f>_xll.qlSimpleQuote(C50,,RateTickValue,Permanent,Trigger,ObjectOverwrite)</f>
        <v>EUR32x44F_SYNTH1Y_Quote#0002</v>
      </c>
      <c r="E50" s="234" t="str">
        <f>_xll.ohRangeRetrieveError(D50)</f>
        <v/>
      </c>
      <c r="F50" s="217"/>
      <c r="R50" s="567">
        <v>32</v>
      </c>
      <c r="S50" s="569" t="str">
        <f t="shared" si="2"/>
        <v>32x44F</v>
      </c>
      <c r="T50" s="589" t="s">
        <v>393</v>
      </c>
      <c r="U50" s="565" t="s">
        <v>275</v>
      </c>
      <c r="V50" s="570">
        <v>1.5451691243807585E-2</v>
      </c>
      <c r="W50" s="565"/>
      <c r="X50" s="592">
        <v>1.5451691243807585E-2</v>
      </c>
      <c r="Y50" s="568" t="e">
        <f>_xll.qlSimpleQuoteSetValue(D50,ROUND(X50,6),EvaluationDate)</f>
        <v>#N/A</v>
      </c>
      <c r="Z50" s="562"/>
    </row>
    <row r="51" spans="1:26" x14ac:dyDescent="0.2">
      <c r="A51" s="122">
        <v>33</v>
      </c>
      <c r="B51" s="228" t="str">
        <f t="shared" si="1"/>
        <v>33x45F</v>
      </c>
      <c r="C51" s="129" t="str">
        <f t="shared" si="3"/>
        <v>EUR33x45F_SYNTH1Y_Quote</v>
      </c>
      <c r="D51" s="129" t="str">
        <f>_xll.qlSimpleQuote(C51,,RateTickValue,Permanent,Trigger,ObjectOverwrite)</f>
        <v>EUR33x45F_SYNTH1Y_Quote#0002</v>
      </c>
      <c r="E51" s="234" t="str">
        <f>_xll.ohRangeRetrieveError(D51)</f>
        <v/>
      </c>
      <c r="F51" s="217"/>
      <c r="R51" s="567">
        <v>33</v>
      </c>
      <c r="S51" s="569" t="str">
        <f t="shared" si="2"/>
        <v>33x45F</v>
      </c>
      <c r="T51" s="589" t="s">
        <v>394</v>
      </c>
      <c r="U51" s="565" t="s">
        <v>275</v>
      </c>
      <c r="V51" s="570">
        <v>1.5875049322471226E-2</v>
      </c>
      <c r="W51" s="565"/>
      <c r="X51" s="592">
        <v>1.5875049322471226E-2</v>
      </c>
      <c r="Y51" s="568" t="e">
        <f>_xll.qlSimpleQuoteSetValue(D51,ROUND(X51,6),EvaluationDate)</f>
        <v>#N/A</v>
      </c>
      <c r="Z51" s="562"/>
    </row>
    <row r="52" spans="1:26" x14ac:dyDescent="0.2">
      <c r="A52" s="122">
        <v>34</v>
      </c>
      <c r="B52" s="228" t="str">
        <f t="shared" si="1"/>
        <v>34x46F</v>
      </c>
      <c r="C52" s="129" t="str">
        <f t="shared" si="3"/>
        <v>EUR34x46F_SYNTH1Y_Quote</v>
      </c>
      <c r="D52" s="129" t="str">
        <f>_xll.qlSimpleQuote(C52,,RateTickValue,Permanent,Trigger,ObjectOverwrite)</f>
        <v>EUR34x46F_SYNTH1Y_Quote#0002</v>
      </c>
      <c r="E52" s="234" t="str">
        <f>_xll.ohRangeRetrieveError(D52)</f>
        <v/>
      </c>
      <c r="F52" s="217"/>
      <c r="R52" s="567">
        <v>34</v>
      </c>
      <c r="S52" s="569" t="str">
        <f t="shared" si="2"/>
        <v>34x46F</v>
      </c>
      <c r="T52" s="589" t="s">
        <v>395</v>
      </c>
      <c r="U52" s="565" t="s">
        <v>275</v>
      </c>
      <c r="V52" s="570">
        <v>1.6331576321631385E-2</v>
      </c>
      <c r="W52" s="565"/>
      <c r="X52" s="592">
        <v>1.6331576321631385E-2</v>
      </c>
      <c r="Y52" s="568" t="e">
        <f>_xll.qlSimpleQuoteSetValue(D52,ROUND(X52,6),EvaluationDate)</f>
        <v>#N/A</v>
      </c>
      <c r="Z52" s="562"/>
    </row>
    <row r="53" spans="1:26" x14ac:dyDescent="0.2">
      <c r="A53" s="122">
        <v>35</v>
      </c>
      <c r="B53" s="228" t="str">
        <f t="shared" si="1"/>
        <v>35x47F</v>
      </c>
      <c r="C53" s="129" t="str">
        <f t="shared" si="3"/>
        <v>EUR35x47F_SYNTH1Y_Quote</v>
      </c>
      <c r="D53" s="129" t="str">
        <f>_xll.qlSimpleQuote(C53,,RateTickValue,Permanent,Trigger,ObjectOverwrite)</f>
        <v>EUR35x47F_SYNTH1Y_Quote#0002</v>
      </c>
      <c r="E53" s="234" t="str">
        <f>_xll.ohRangeRetrieveError(D53)</f>
        <v/>
      </c>
      <c r="F53" s="217"/>
      <c r="R53" s="567">
        <v>35</v>
      </c>
      <c r="S53" s="564" t="str">
        <f t="shared" si="2"/>
        <v>35x47F</v>
      </c>
      <c r="T53" s="590" t="s">
        <v>396</v>
      </c>
      <c r="U53" s="565" t="s">
        <v>275</v>
      </c>
      <c r="V53" s="566">
        <v>1.6820144601446183E-2</v>
      </c>
      <c r="W53" s="565"/>
      <c r="X53" s="594">
        <v>1.6820144601446183E-2</v>
      </c>
      <c r="Y53" s="563" t="e">
        <f>_xll.qlSimpleQuoteSetValue(D53,ROUND(X53,6),EvaluationDate)</f>
        <v>#N/A</v>
      </c>
      <c r="Z53" s="562"/>
    </row>
    <row r="54" spans="1:26" x14ac:dyDescent="0.2">
      <c r="A54" s="122">
        <v>37</v>
      </c>
      <c r="B54" s="228" t="str">
        <f t="shared" si="1"/>
        <v>37x49F</v>
      </c>
      <c r="C54" s="129" t="str">
        <f t="shared" si="3"/>
        <v>EUR37x49F_SYNTH1Y_Quote</v>
      </c>
      <c r="D54" s="129" t="str">
        <f>_xll.qlSimpleQuote(C54,,RateTickValue,Permanent,Trigger,ObjectOverwrite)</f>
        <v>EUR37x49F_SYNTH1Y_Quote#0002</v>
      </c>
      <c r="E54" s="234" t="str">
        <f>_xll.ohRangeRetrieveError(D54)</f>
        <v/>
      </c>
      <c r="F54" s="217"/>
      <c r="R54" s="567">
        <v>37</v>
      </c>
      <c r="S54" s="569" t="str">
        <f t="shared" si="2"/>
        <v>37x49F</v>
      </c>
      <c r="T54" s="589" t="s">
        <v>397</v>
      </c>
      <c r="U54" s="565" t="s">
        <v>275</v>
      </c>
      <c r="V54" s="570">
        <v>1.7750518057689083E-2</v>
      </c>
      <c r="W54" s="565"/>
      <c r="X54" s="592">
        <v>1.7750518057689083E-2</v>
      </c>
      <c r="Y54" s="568" t="e">
        <f>_xll.qlSimpleQuoteSetValue(D54,ROUND(X54,6),EvaluationDate)</f>
        <v>#N/A</v>
      </c>
      <c r="Z54" s="562"/>
    </row>
    <row r="55" spans="1:26" x14ac:dyDescent="0.2">
      <c r="A55" s="122">
        <v>38</v>
      </c>
      <c r="B55" s="228" t="str">
        <f t="shared" si="1"/>
        <v>38x50F</v>
      </c>
      <c r="C55" s="129" t="str">
        <f t="shared" si="3"/>
        <v>EUR38x50F_SYNTH1Y_Quote</v>
      </c>
      <c r="D55" s="129" t="str">
        <f>_xll.qlSimpleQuote(C55,,RateTickValue,Permanent,Trigger,ObjectOverwrite)</f>
        <v>EUR38x50F_SYNTH1Y_Quote#0002</v>
      </c>
      <c r="E55" s="234" t="str">
        <f>_xll.ohRangeRetrieveError(D55)</f>
        <v/>
      </c>
      <c r="F55" s="217"/>
      <c r="R55" s="567">
        <v>38</v>
      </c>
      <c r="S55" s="569" t="str">
        <f t="shared" si="2"/>
        <v>38x50F</v>
      </c>
      <c r="T55" s="589" t="s">
        <v>398</v>
      </c>
      <c r="U55" s="565" t="s">
        <v>275</v>
      </c>
      <c r="V55" s="570">
        <v>1.8201388114236234E-2</v>
      </c>
      <c r="W55" s="565"/>
      <c r="X55" s="592">
        <v>1.8201388114236234E-2</v>
      </c>
      <c r="Y55" s="568" t="e">
        <f>_xll.qlSimpleQuoteSetValue(D55,ROUND(X55,6),EvaluationDate)</f>
        <v>#N/A</v>
      </c>
      <c r="Z55" s="562"/>
    </row>
    <row r="56" spans="1:26" x14ac:dyDescent="0.2">
      <c r="A56" s="122">
        <v>39</v>
      </c>
      <c r="B56" s="228" t="str">
        <f t="shared" si="1"/>
        <v>39x51F</v>
      </c>
      <c r="C56" s="129" t="str">
        <f t="shared" si="3"/>
        <v>EUR39x51F_SYNTH1Y_Quote</v>
      </c>
      <c r="D56" s="129" t="str">
        <f>_xll.qlSimpleQuote(C56,,RateTickValue,Permanent,Trigger,ObjectOverwrite)</f>
        <v>EUR39x51F_SYNTH1Y_Quote#0002</v>
      </c>
      <c r="E56" s="234" t="str">
        <f>_xll.ohRangeRetrieveError(D56)</f>
        <v/>
      </c>
      <c r="F56" s="217"/>
      <c r="R56" s="567">
        <v>39</v>
      </c>
      <c r="S56" s="569" t="str">
        <f t="shared" si="2"/>
        <v>39x51F</v>
      </c>
      <c r="T56" s="589" t="s">
        <v>399</v>
      </c>
      <c r="U56" s="565" t="s">
        <v>275</v>
      </c>
      <c r="V56" s="570">
        <v>1.864784261177032E-2</v>
      </c>
      <c r="W56" s="565"/>
      <c r="X56" s="592">
        <v>1.864784261177032E-2</v>
      </c>
      <c r="Y56" s="568" t="e">
        <f>_xll.qlSimpleQuoteSetValue(D56,ROUND(X56,6),EvaluationDate)</f>
        <v>#N/A</v>
      </c>
      <c r="Z56" s="562"/>
    </row>
    <row r="57" spans="1:26" x14ac:dyDescent="0.2">
      <c r="A57" s="122">
        <v>40</v>
      </c>
      <c r="B57" s="228" t="str">
        <f t="shared" si="1"/>
        <v>40x52F</v>
      </c>
      <c r="C57" s="129" t="str">
        <f t="shared" si="3"/>
        <v>EUR40x52F_SYNTH1Y_Quote</v>
      </c>
      <c r="D57" s="129" t="str">
        <f>_xll.qlSimpleQuote(C57,,RateTickValue,Permanent,Trigger,ObjectOverwrite)</f>
        <v>EUR40x52F_SYNTH1Y_Quote#0002</v>
      </c>
      <c r="E57" s="234" t="str">
        <f>_xll.ohRangeRetrieveError(D57)</f>
        <v/>
      </c>
      <c r="F57" s="217"/>
      <c r="R57" s="567">
        <v>40</v>
      </c>
      <c r="S57" s="569" t="str">
        <f t="shared" si="2"/>
        <v>40x52F</v>
      </c>
      <c r="T57" s="589" t="s">
        <v>400</v>
      </c>
      <c r="U57" s="565" t="s">
        <v>275</v>
      </c>
      <c r="V57" s="570">
        <v>1.9130013164636053E-2</v>
      </c>
      <c r="W57" s="565"/>
      <c r="X57" s="592">
        <v>1.9130013164636053E-2</v>
      </c>
      <c r="Y57" s="568" t="e">
        <f>_xll.qlSimpleQuoteSetValue(D57,ROUND(X57,6),EvaluationDate)</f>
        <v>#N/A</v>
      </c>
      <c r="Z57" s="562"/>
    </row>
    <row r="58" spans="1:26" x14ac:dyDescent="0.2">
      <c r="A58" s="122">
        <v>41</v>
      </c>
      <c r="B58" s="228" t="str">
        <f t="shared" si="1"/>
        <v>41x53F</v>
      </c>
      <c r="C58" s="129" t="str">
        <f t="shared" si="3"/>
        <v>EUR41x53F_SYNTH1Y_Quote</v>
      </c>
      <c r="D58" s="129" t="str">
        <f>_xll.qlSimpleQuote(C58,,RateTickValue,Permanent,Trigger,ObjectOverwrite)</f>
        <v>EUR41x53F_SYNTH1Y_Quote#0002</v>
      </c>
      <c r="E58" s="234" t="str">
        <f>_xll.ohRangeRetrieveError(D58)</f>
        <v/>
      </c>
      <c r="F58" s="217"/>
      <c r="R58" s="567">
        <v>41</v>
      </c>
      <c r="S58" s="569" t="str">
        <f t="shared" si="2"/>
        <v>41x53F</v>
      </c>
      <c r="T58" s="589" t="s">
        <v>401</v>
      </c>
      <c r="U58" s="565" t="s">
        <v>275</v>
      </c>
      <c r="V58" s="570">
        <v>1.9544024938384554E-2</v>
      </c>
      <c r="W58" s="565"/>
      <c r="X58" s="592">
        <v>1.9544024938384554E-2</v>
      </c>
      <c r="Y58" s="568" t="e">
        <f>_xll.qlSimpleQuoteSetValue(D58,ROUND(X58,6),EvaluationDate)</f>
        <v>#N/A</v>
      </c>
      <c r="Z58" s="562"/>
    </row>
    <row r="59" spans="1:26" x14ac:dyDescent="0.2">
      <c r="A59" s="122">
        <v>42</v>
      </c>
      <c r="B59" s="228" t="str">
        <f t="shared" si="1"/>
        <v>42x54F</v>
      </c>
      <c r="C59" s="129" t="str">
        <f t="shared" si="3"/>
        <v>EUR42x54F_SYNTH1Y_Quote</v>
      </c>
      <c r="D59" s="129" t="str">
        <f>_xll.qlSimpleQuote(C59,,RateTickValue,Permanent,Trigger,ObjectOverwrite)</f>
        <v>EUR42x54F_SYNTH1Y_Quote#0002</v>
      </c>
      <c r="E59" s="234" t="str">
        <f>_xll.ohRangeRetrieveError(D59)</f>
        <v/>
      </c>
      <c r="F59" s="217"/>
      <c r="R59" s="567">
        <v>42</v>
      </c>
      <c r="S59" s="569" t="str">
        <f t="shared" si="2"/>
        <v>42x54F</v>
      </c>
      <c r="T59" s="589" t="s">
        <v>402</v>
      </c>
      <c r="U59" s="565" t="s">
        <v>275</v>
      </c>
      <c r="V59" s="570">
        <v>1.996078601604493E-2</v>
      </c>
      <c r="W59" s="565"/>
      <c r="X59" s="592">
        <v>1.996078601604493E-2</v>
      </c>
      <c r="Y59" s="568" t="e">
        <f>_xll.qlSimpleQuoteSetValue(D59,ROUND(X59,6),EvaluationDate)</f>
        <v>#N/A</v>
      </c>
      <c r="Z59" s="562"/>
    </row>
    <row r="60" spans="1:26" x14ac:dyDescent="0.2">
      <c r="A60" s="122">
        <v>43</v>
      </c>
      <c r="B60" s="228" t="str">
        <f t="shared" si="1"/>
        <v>43x55F</v>
      </c>
      <c r="C60" s="129" t="str">
        <f t="shared" si="3"/>
        <v>EUR43x55F_SYNTH1Y_Quote</v>
      </c>
      <c r="D60" s="129" t="str">
        <f>_xll.qlSimpleQuote(C60,,RateTickValue,Permanent,Trigger,ObjectOverwrite)</f>
        <v>EUR43x55F_SYNTH1Y_Quote#0002</v>
      </c>
      <c r="E60" s="234" t="str">
        <f>_xll.ohRangeRetrieveError(D60)</f>
        <v/>
      </c>
      <c r="F60" s="217"/>
      <c r="R60" s="567">
        <v>43</v>
      </c>
      <c r="S60" s="569" t="str">
        <f t="shared" si="2"/>
        <v>43x55F</v>
      </c>
      <c r="T60" s="589" t="s">
        <v>403</v>
      </c>
      <c r="U60" s="565" t="s">
        <v>275</v>
      </c>
      <c r="V60" s="570">
        <v>2.0390228316445585E-2</v>
      </c>
      <c r="W60" s="565"/>
      <c r="X60" s="592">
        <v>2.0390228316445585E-2</v>
      </c>
      <c r="Y60" s="568" t="e">
        <f>_xll.qlSimpleQuoteSetValue(D60,ROUND(X60,6),EvaluationDate)</f>
        <v>#N/A</v>
      </c>
      <c r="Z60" s="562"/>
    </row>
    <row r="61" spans="1:26" x14ac:dyDescent="0.2">
      <c r="A61" s="122">
        <v>44</v>
      </c>
      <c r="B61" s="228" t="str">
        <f t="shared" si="1"/>
        <v>44x56F</v>
      </c>
      <c r="C61" s="129" t="str">
        <f t="shared" si="3"/>
        <v>EUR44x56F_SYNTH1Y_Quote</v>
      </c>
      <c r="D61" s="129" t="str">
        <f>_xll.qlSimpleQuote(C61,,RateTickValue,Permanent,Trigger,ObjectOverwrite)</f>
        <v>EUR44x56F_SYNTH1Y_Quote#0002</v>
      </c>
      <c r="E61" s="234" t="str">
        <f>_xll.ohRangeRetrieveError(D61)</f>
        <v/>
      </c>
      <c r="F61" s="217"/>
      <c r="R61" s="567">
        <v>44</v>
      </c>
      <c r="S61" s="569" t="str">
        <f t="shared" si="2"/>
        <v>44x56F</v>
      </c>
      <c r="T61" s="589" t="s">
        <v>404</v>
      </c>
      <c r="U61" s="565" t="s">
        <v>275</v>
      </c>
      <c r="V61" s="570">
        <v>2.0751370857183326E-2</v>
      </c>
      <c r="W61" s="565"/>
      <c r="X61" s="592">
        <v>2.0751370857183326E-2</v>
      </c>
      <c r="Y61" s="568" t="e">
        <f>_xll.qlSimpleQuoteSetValue(D61,ROUND(X61,6),EvaluationDate)</f>
        <v>#N/A</v>
      </c>
      <c r="Z61" s="562"/>
    </row>
    <row r="62" spans="1:26" x14ac:dyDescent="0.2">
      <c r="A62" s="122">
        <v>45</v>
      </c>
      <c r="B62" s="228" t="str">
        <f t="shared" si="1"/>
        <v>45x57F</v>
      </c>
      <c r="C62" s="129" t="str">
        <f t="shared" si="3"/>
        <v>EUR45x57F_SYNTH1Y_Quote</v>
      </c>
      <c r="D62" s="129" t="str">
        <f>_xll.qlSimpleQuote(C62,,RateTickValue,Permanent,Trigger,ObjectOverwrite)</f>
        <v>EUR45x57F_SYNTH1Y_Quote#0002</v>
      </c>
      <c r="E62" s="234" t="str">
        <f>_xll.ohRangeRetrieveError(D62)</f>
        <v/>
      </c>
      <c r="F62" s="217"/>
      <c r="R62" s="567">
        <v>45</v>
      </c>
      <c r="S62" s="569" t="str">
        <f t="shared" si="2"/>
        <v>45x57F</v>
      </c>
      <c r="T62" s="589" t="s">
        <v>405</v>
      </c>
      <c r="U62" s="565" t="s">
        <v>275</v>
      </c>
      <c r="V62" s="570">
        <v>2.1121268461666561E-2</v>
      </c>
      <c r="W62" s="565"/>
      <c r="X62" s="592">
        <v>2.1121268461666561E-2</v>
      </c>
      <c r="Y62" s="568" t="e">
        <f>_xll.qlSimpleQuoteSetValue(D62,ROUND(X62,6),EvaluationDate)</f>
        <v>#N/A</v>
      </c>
      <c r="Z62" s="562"/>
    </row>
    <row r="63" spans="1:26" x14ac:dyDescent="0.2">
      <c r="A63" s="122">
        <v>46</v>
      </c>
      <c r="B63" s="228" t="str">
        <f t="shared" si="1"/>
        <v>46x58F</v>
      </c>
      <c r="C63" s="129" t="str">
        <f t="shared" si="3"/>
        <v>EUR46x58F_SYNTH1Y_Quote</v>
      </c>
      <c r="D63" s="129" t="str">
        <f>_xll.qlSimpleQuote(C63,,RateTickValue,Permanent,Trigger,ObjectOverwrite)</f>
        <v>EUR46x58F_SYNTH1Y_Quote#0002</v>
      </c>
      <c r="E63" s="234" t="str">
        <f>_xll.ohRangeRetrieveError(D63)</f>
        <v/>
      </c>
      <c r="F63" s="217"/>
      <c r="R63" s="567">
        <v>46</v>
      </c>
      <c r="S63" s="569" t="str">
        <f t="shared" si="2"/>
        <v>46x58F</v>
      </c>
      <c r="T63" s="589" t="s">
        <v>406</v>
      </c>
      <c r="U63" s="565" t="s">
        <v>275</v>
      </c>
      <c r="V63" s="570">
        <v>2.1483451684587505E-2</v>
      </c>
      <c r="W63" s="565"/>
      <c r="X63" s="592">
        <v>2.1483451684587505E-2</v>
      </c>
      <c r="Y63" s="568" t="e">
        <f>_xll.qlSimpleQuoteSetValue(D63,ROUND(X63,6),EvaluationDate)</f>
        <v>#N/A</v>
      </c>
      <c r="Z63" s="562"/>
    </row>
    <row r="64" spans="1:26" x14ac:dyDescent="0.2">
      <c r="A64" s="122">
        <v>47</v>
      </c>
      <c r="B64" s="231" t="str">
        <f t="shared" si="1"/>
        <v>47x59F</v>
      </c>
      <c r="C64" s="118" t="str">
        <f t="shared" si="3"/>
        <v>EUR47x59F_SYNTH1Y_Quote</v>
      </c>
      <c r="D64" s="118" t="str">
        <f>_xll.qlSimpleQuote(C64,,RateTickValue,Permanent,Trigger,ObjectOverwrite)</f>
        <v>EUR47x59F_SYNTH1Y_Quote#0002</v>
      </c>
      <c r="E64" s="230" t="str">
        <f>_xll.ohRangeRetrieveError(D64)</f>
        <v/>
      </c>
      <c r="F64" s="217"/>
      <c r="R64" s="567">
        <v>47</v>
      </c>
      <c r="S64" s="564" t="str">
        <f t="shared" si="2"/>
        <v>47x59F</v>
      </c>
      <c r="T64" s="590" t="s">
        <v>407</v>
      </c>
      <c r="U64" s="565" t="s">
        <v>275</v>
      </c>
      <c r="V64" s="566">
        <v>2.1811003884890847E-2</v>
      </c>
      <c r="W64" s="565"/>
      <c r="X64" s="594">
        <v>2.1811003884890847E-2</v>
      </c>
      <c r="Y64" s="563" t="e">
        <f>_xll.qlSimpleQuoteSetValue(D64,ROUND(X64,6),EvaluationDate)</f>
        <v>#N/A</v>
      </c>
      <c r="Z64" s="562"/>
    </row>
    <row r="65" spans="1:26" ht="12" thickBot="1" x14ac:dyDescent="0.25">
      <c r="A65" s="48"/>
      <c r="B65" s="47"/>
      <c r="C65" s="47"/>
      <c r="D65" s="47"/>
      <c r="E65" s="47"/>
      <c r="F65" s="46"/>
      <c r="R65" s="561"/>
      <c r="S65" s="560"/>
      <c r="T65" s="560"/>
      <c r="U65" s="560"/>
      <c r="V65" s="560"/>
      <c r="W65" s="560"/>
      <c r="X65" s="560"/>
      <c r="Y65" s="560"/>
      <c r="Z65" s="559"/>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EURAB6E2Y_Fwd1w_Quote#0001</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EURAB6E3Y_Fwd1w_Quote#0001</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EURAB6E4Y_Fwd1w_Quote#0001</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EURAB6E5Y_Fwd1w_Quote#0001</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EURAB6E6Y_Fwd1w_Quote#0001</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EURAB6E7Y_Fwd1w_Quote#0001</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EURAB6E8Y_Fwd1w_Quote#0001</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EURAB6E9Y_Fwd1w_Quote#0001</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EURAB6E10Y_Fwd1w_Quote#0001</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EURAB6E11Y_Fwd1w_Quote#0001</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EURAB6E12Y_Fwd1w_Quote#0001</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EURAB6E13Y_Fwd1w_Quote#0001</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EURAB6E14Y_Fwd1w_Quote#0001</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EURAB6E15Y_Fwd1w_Quote#0001</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EURAB6E16Y_Fwd1w_Quote#0001</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EURAB6E17Y_Fwd1w_Quote#0001</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EURAB6E18Y_Fwd1w_Quote#0001</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EURAB6E19Y_Fwd1w_Quote#0001</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EURAB6E20Y_Fwd1w_Quote#0001</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EURAB6E21Y_Fwd1w_Quote#0001</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EURAB6E22Y_Fwd1w_Quote#0001</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EURAB6E23Y_Fwd1w_Quote#0001</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EURAB6E24Y_Fwd1w_Quote#0001</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EURAB6E25Y_Fwd1w_Quote#0001</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EURAB6E26Y_Fwd1w_Quote#0001</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EURAB6E27Y_Fwd1w_Quote#0001</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EURAB6E28Y_Fwd1w_Quote#0001</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EURAB6E29Y_Fwd1w_Quote#0001</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EURAB6E30Y_Fwd1w_Quote#0001</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EURAB6E35Y_Fwd1w_Quote#0001</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EURAB6E40Y_Fwd1w_Quote#0001</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EURAB6E50Y_Fwd1w_Quote#0001</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EURAB6E60Y_Fwd1w_Quote#0001</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EURAB6E2Y_Fwd1w_S6E12E_Quote#0001</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EURAB6E3Y_Fwd1w_S6E12E_Quote#0001</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EURAB6E4Y_Fwd1w_S6E12E_Quote#0001</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EURAB6E5Y_Fwd1w_S6E12E_Quote#0001</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EURAB6E6Y_Fwd1w_S6E12E_Quote#0001</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EURAB6E7Y_Fwd1w_S6E12E_Quote#0001</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EURAB6E8Y_Fwd1w_S6E12E_Quote#0001</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EURAB6E9Y_Fwd1w_S6E12E_Quote#0001</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EURAB6E10Y_Fwd1w_S6E12E_Quote#0001</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EURAB6E11Y_Fwd1w_S6E12E_Quote#0001</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EURAB6E12Y_Fwd1w_S6E12E_Quote#0001</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EURAB6E13Y_Fwd1w_S6E12E_Quote#0001</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EURAB6E14Y_Fwd1w_S6E12E_Quote#0001</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EURAB6E15Y_Fwd1w_S6E12E_Quote#0001</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EURAB6E16Y_Fwd1w_S6E12E_Quote#0001</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EURAB6E17Y_Fwd1w_S6E12E_Quote#0001</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EURAB6E18Y_Fwd1w_S6E12E_Quote#0001</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EURAB6E19Y_Fwd1w_S6E12E_Quote#0001</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EURAB6E20Y_Fwd1w_S6E12E_Quote#0001</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EURAB6E21Y_Fwd1w_S6E12E_Quote#0001</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EURAB6E22Y_Fwd1w_S6E12E_Quote#0001</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EURAB6E23Y_Fwd1w_S6E12E_Quote#0001</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EURAB6E24Y_Fwd1w_S6E12E_Quote#0001</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EURAB6E25Y_Fwd1w_S6E12E_Quote#0001</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EURAB6E26Y_Fwd1w_S6E12E_Quote#0001</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EURAB6E27Y_Fwd1w_S6E12E_Quote#0001</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EURAB6E28Y_Fwd1w_S6E12E_Quote#0001</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EURAB6E29Y_Fwd1w_S6E12E_Quote#0001</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EURAB6E30Y_Fwd1w_S6E12E_Quote#0001</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EURAB6E35Y_Fwd1w_S6E12E_Quote#0001</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EURAB6E40Y_Fwd1w_S6E12E_Quote#0001</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EURAB6E50Y_Fwd1w_S6E12E_Quote#0001</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EURAB6E60Y_Fwd1w_S6E12E_Quote#0001</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EURAB6E1Y_Quote#0002</v>
      </c>
      <c r="G3" s="106" t="s">
        <v>207</v>
      </c>
      <c r="H3" s="237" t="str">
        <f>BasisSwap1MxM!F6</f>
        <v>EUR1E6E1Y_Quote#0002</v>
      </c>
      <c r="I3" s="236" t="str">
        <f t="shared" ref="I3:I39" si="0">Currency&amp;$C3&amp;$D3&amp;"BASIS"&amp;$B3&amp;QuoteSuffix</f>
        <v>EURAB1EBASIS1Y_Quote</v>
      </c>
      <c r="J3" s="236" t="str">
        <f>_xll.qlCompositeQuote(I3,F3,H3,G3,Permanent,Trigger,ObjectOverwrite)</f>
        <v>EURAB1EBASIS1Y_Quote#0002</v>
      </c>
      <c r="K3" s="245" t="str">
        <f>_xll.ohRangeRetrieveError(J3)</f>
        <v/>
      </c>
      <c r="L3" s="49"/>
    </row>
    <row r="4" spans="1:12" x14ac:dyDescent="0.2">
      <c r="A4" s="122"/>
      <c r="B4" s="214" t="s">
        <v>127</v>
      </c>
      <c r="C4" s="106" t="s">
        <v>188</v>
      </c>
      <c r="D4" s="106" t="s">
        <v>123</v>
      </c>
      <c r="E4" s="106" t="s">
        <v>122</v>
      </c>
      <c r="F4" s="236" t="str">
        <f>Swap6M!F7</f>
        <v>EURAB6E15M_Quote#0002</v>
      </c>
      <c r="G4" s="106" t="s">
        <v>207</v>
      </c>
      <c r="H4" s="237" t="str">
        <f>BasisSwap1MxM!F7</f>
        <v>EUR1E6E15M_Quote#0002</v>
      </c>
      <c r="I4" s="236" t="str">
        <f t="shared" si="0"/>
        <v>EURAB1EBASIS15M_Quote</v>
      </c>
      <c r="J4" s="236" t="str">
        <f>_xll.qlCompositeQuote(I4,F4,H4,G4,Permanent,Trigger,ObjectOverwrite)</f>
        <v>EURAB1EBASIS15M_Quote#0002</v>
      </c>
      <c r="K4" s="245" t="str">
        <f>_xll.ohRangeRetrieveError(J4)</f>
        <v/>
      </c>
      <c r="L4" s="49"/>
    </row>
    <row r="5" spans="1:12" x14ac:dyDescent="0.2">
      <c r="A5" s="122"/>
      <c r="B5" s="214" t="s">
        <v>126</v>
      </c>
      <c r="C5" s="106" t="s">
        <v>188</v>
      </c>
      <c r="D5" s="106" t="s">
        <v>123</v>
      </c>
      <c r="E5" s="106" t="s">
        <v>122</v>
      </c>
      <c r="F5" s="236" t="str">
        <f>Swap6M!F8</f>
        <v>EURAB6E18M_Quote#0002</v>
      </c>
      <c r="G5" s="106" t="s">
        <v>207</v>
      </c>
      <c r="H5" s="237" t="str">
        <f>BasisSwap1MxM!F8</f>
        <v>EUR1E6E18M_Quote#0002</v>
      </c>
      <c r="I5" s="236" t="str">
        <f t="shared" si="0"/>
        <v>EURAB1EBASIS18M_Quote</v>
      </c>
      <c r="J5" s="236" t="str">
        <f>_xll.qlCompositeQuote(I5,F5,H5,G5,Permanent,Trigger,ObjectOverwrite)</f>
        <v>EURAB1EBASIS18M_Quote#0002</v>
      </c>
      <c r="K5" s="245" t="str">
        <f>_xll.ohRangeRetrieveError(J5)</f>
        <v/>
      </c>
      <c r="L5" s="49"/>
    </row>
    <row r="6" spans="1:12" x14ac:dyDescent="0.2">
      <c r="A6" s="122"/>
      <c r="B6" s="214" t="s">
        <v>125</v>
      </c>
      <c r="C6" s="106" t="s">
        <v>188</v>
      </c>
      <c r="D6" s="106" t="s">
        <v>123</v>
      </c>
      <c r="E6" s="106" t="s">
        <v>122</v>
      </c>
      <c r="F6" s="236" t="str">
        <f>Swap6M!F9</f>
        <v>EURAB6E21M_Quote#0002</v>
      </c>
      <c r="G6" s="106" t="s">
        <v>207</v>
      </c>
      <c r="H6" s="237" t="str">
        <f>BasisSwap1MxM!F9</f>
        <v>EUR1E6E21M_Quote#0002</v>
      </c>
      <c r="I6" s="236" t="str">
        <f t="shared" si="0"/>
        <v>EURAB1EBASIS21M_Quote</v>
      </c>
      <c r="J6" s="236" t="str">
        <f>_xll.qlCompositeQuote(I6,F6,H6,G6,Permanent,Trigger,ObjectOverwrite)</f>
        <v>EURAB1EBASIS21M_Quote#0002</v>
      </c>
      <c r="K6" s="245" t="str">
        <f>_xll.ohRangeRetrieveError(J6)</f>
        <v/>
      </c>
      <c r="L6" s="49"/>
    </row>
    <row r="7" spans="1:12" x14ac:dyDescent="0.2">
      <c r="A7" s="122"/>
      <c r="B7" s="214" t="s">
        <v>102</v>
      </c>
      <c r="C7" s="106" t="s">
        <v>188</v>
      </c>
      <c r="D7" s="106" t="s">
        <v>123</v>
      </c>
      <c r="E7" s="106" t="s">
        <v>122</v>
      </c>
      <c r="F7" s="236" t="str">
        <f>Swap6M!F10</f>
        <v>EURAB6E2Y_Quote#0002</v>
      </c>
      <c r="G7" s="106" t="s">
        <v>207</v>
      </c>
      <c r="H7" s="237" t="str">
        <f>BasisSwap1MxM!F10</f>
        <v>EUR1E6E2Y_Quote#0002</v>
      </c>
      <c r="I7" s="236" t="str">
        <f t="shared" si="0"/>
        <v>EURAB1EBASIS2Y_Quote</v>
      </c>
      <c r="J7" s="236" t="str">
        <f>_xll.qlCompositeQuote(I7,F7,H7,G7,Permanent,Trigger,ObjectOverwrite)</f>
        <v>EURAB1EBASIS2Y_Quote#0002</v>
      </c>
      <c r="K7" s="245" t="str">
        <f>_xll.ohRangeRetrieveError(J7)</f>
        <v/>
      </c>
      <c r="L7" s="49"/>
    </row>
    <row r="8" spans="1:12" x14ac:dyDescent="0.2">
      <c r="A8" s="122"/>
      <c r="B8" s="214" t="s">
        <v>101</v>
      </c>
      <c r="C8" s="106" t="s">
        <v>188</v>
      </c>
      <c r="D8" s="106" t="s">
        <v>123</v>
      </c>
      <c r="E8" s="106" t="s">
        <v>122</v>
      </c>
      <c r="F8" s="236" t="str">
        <f>Swap6M!F11</f>
        <v>EURAB6E3Y_Quote#0002</v>
      </c>
      <c r="G8" s="106" t="s">
        <v>207</v>
      </c>
      <c r="H8" s="237" t="str">
        <f>BasisSwap1MxM!F11</f>
        <v>EUR1E6E3Y_Quote#0002</v>
      </c>
      <c r="I8" s="236" t="str">
        <f t="shared" si="0"/>
        <v>EURAB1EBASIS3Y_Quote</v>
      </c>
      <c r="J8" s="236" t="str">
        <f>_xll.qlCompositeQuote(I8,F8,H8,G8,Permanent,Trigger,ObjectOverwrite)</f>
        <v>EURAB1EBASIS3Y_Quote#0002</v>
      </c>
      <c r="K8" s="245" t="str">
        <f>_xll.ohRangeRetrieveError(J8)</f>
        <v/>
      </c>
      <c r="L8" s="49"/>
    </row>
    <row r="9" spans="1:12" x14ac:dyDescent="0.2">
      <c r="A9" s="122"/>
      <c r="B9" s="214" t="s">
        <v>100</v>
      </c>
      <c r="C9" s="106" t="s">
        <v>188</v>
      </c>
      <c r="D9" s="106" t="s">
        <v>123</v>
      </c>
      <c r="E9" s="106" t="s">
        <v>122</v>
      </c>
      <c r="F9" s="236" t="str">
        <f>Swap6M!F12</f>
        <v>EURAB6E4Y_Quote#0002</v>
      </c>
      <c r="G9" s="106" t="s">
        <v>207</v>
      </c>
      <c r="H9" s="237" t="str">
        <f>BasisSwap1MxM!F12</f>
        <v>EUR1E6E4Y_Quote#0002</v>
      </c>
      <c r="I9" s="236" t="str">
        <f t="shared" si="0"/>
        <v>EURAB1EBASIS4Y_Quote</v>
      </c>
      <c r="J9" s="236" t="str">
        <f>_xll.qlCompositeQuote(I9,F9,H9,G9,Permanent,Trigger,ObjectOverwrite)</f>
        <v>EURAB1EBASIS4Y_Quote#0002</v>
      </c>
      <c r="K9" s="245" t="str">
        <f>_xll.ohRangeRetrieveError(J9)</f>
        <v/>
      </c>
      <c r="L9" s="49"/>
    </row>
    <row r="10" spans="1:12" x14ac:dyDescent="0.2">
      <c r="A10" s="122"/>
      <c r="B10" s="214" t="s">
        <v>99</v>
      </c>
      <c r="C10" s="106" t="s">
        <v>188</v>
      </c>
      <c r="D10" s="106" t="s">
        <v>123</v>
      </c>
      <c r="E10" s="106" t="s">
        <v>122</v>
      </c>
      <c r="F10" s="236" t="str">
        <f>Swap6M!F13</f>
        <v>EURAB6E5Y_Quote#0002</v>
      </c>
      <c r="G10" s="106" t="s">
        <v>207</v>
      </c>
      <c r="H10" s="237" t="str">
        <f>BasisSwap1MxM!F13</f>
        <v>EUR1E6E5Y_Quote#0002</v>
      </c>
      <c r="I10" s="236" t="str">
        <f t="shared" si="0"/>
        <v>EURAB1EBASIS5Y_Quote</v>
      </c>
      <c r="J10" s="236" t="str">
        <f>_xll.qlCompositeQuote(I10,F10,H10,G10,Permanent,Trigger,ObjectOverwrite)</f>
        <v>EURAB1EBASIS5Y_Quote#0002</v>
      </c>
      <c r="K10" s="245" t="str">
        <f>_xll.ohRangeRetrieveError(J10)</f>
        <v/>
      </c>
      <c r="L10" s="49"/>
    </row>
    <row r="11" spans="1:12" x14ac:dyDescent="0.2">
      <c r="A11" s="122"/>
      <c r="B11" s="214" t="s">
        <v>98</v>
      </c>
      <c r="C11" s="106" t="s">
        <v>188</v>
      </c>
      <c r="D11" s="106" t="s">
        <v>123</v>
      </c>
      <c r="E11" s="106" t="s">
        <v>122</v>
      </c>
      <c r="F11" s="236" t="str">
        <f>Swap6M!F14</f>
        <v>EURAB6E6Y_Quote#0002</v>
      </c>
      <c r="G11" s="106" t="s">
        <v>207</v>
      </c>
      <c r="H11" s="237" t="str">
        <f>BasisSwap1MxM!F14</f>
        <v>EUR1E6E6Y_Quote#0002</v>
      </c>
      <c r="I11" s="236" t="str">
        <f t="shared" si="0"/>
        <v>EURAB1EBASIS6Y_Quote</v>
      </c>
      <c r="J11" s="236" t="str">
        <f>_xll.qlCompositeQuote(I11,F11,H11,G11,Permanent,Trigger,ObjectOverwrite)</f>
        <v>EURAB1EBASIS6Y_Quote#0002</v>
      </c>
      <c r="K11" s="245" t="str">
        <f>_xll.ohRangeRetrieveError(J11)</f>
        <v/>
      </c>
      <c r="L11" s="49"/>
    </row>
    <row r="12" spans="1:12" x14ac:dyDescent="0.2">
      <c r="A12" s="122"/>
      <c r="B12" s="214" t="s">
        <v>97</v>
      </c>
      <c r="C12" s="106" t="s">
        <v>188</v>
      </c>
      <c r="D12" s="106" t="s">
        <v>123</v>
      </c>
      <c r="E12" s="106" t="s">
        <v>122</v>
      </c>
      <c r="F12" s="236" t="str">
        <f>Swap6M!F15</f>
        <v>EURAB6E7Y_Quote#0002</v>
      </c>
      <c r="G12" s="106" t="s">
        <v>207</v>
      </c>
      <c r="H12" s="237" t="str">
        <f>BasisSwap1MxM!F15</f>
        <v>EUR1E6E7Y_Quote#0002</v>
      </c>
      <c r="I12" s="236" t="str">
        <f t="shared" si="0"/>
        <v>EURAB1EBASIS7Y_Quote</v>
      </c>
      <c r="J12" s="236" t="str">
        <f>_xll.qlCompositeQuote(I12,F12,H12,G12,Permanent,Trigger,ObjectOverwrite)</f>
        <v>EURAB1EBASIS7Y_Quote#0002</v>
      </c>
      <c r="K12" s="245" t="str">
        <f>_xll.ohRangeRetrieveError(J12)</f>
        <v/>
      </c>
      <c r="L12" s="49"/>
    </row>
    <row r="13" spans="1:12" x14ac:dyDescent="0.2">
      <c r="A13" s="122"/>
      <c r="B13" s="214" t="s">
        <v>96</v>
      </c>
      <c r="C13" s="106" t="s">
        <v>188</v>
      </c>
      <c r="D13" s="106" t="s">
        <v>123</v>
      </c>
      <c r="E13" s="106" t="s">
        <v>122</v>
      </c>
      <c r="F13" s="236" t="str">
        <f>Swap6M!F16</f>
        <v>EURAB6E8Y_Quote#0002</v>
      </c>
      <c r="G13" s="106" t="s">
        <v>207</v>
      </c>
      <c r="H13" s="237" t="str">
        <f>BasisSwap1MxM!F16</f>
        <v>EUR1E6E8Y_Quote#0002</v>
      </c>
      <c r="I13" s="236" t="str">
        <f t="shared" si="0"/>
        <v>EURAB1EBASIS8Y_Quote</v>
      </c>
      <c r="J13" s="236" t="str">
        <f>_xll.qlCompositeQuote(I13,F13,H13,G13,Permanent,Trigger,ObjectOverwrite)</f>
        <v>EURAB1EBASIS8Y_Quote#0002</v>
      </c>
      <c r="K13" s="245" t="str">
        <f>_xll.ohRangeRetrieveError(J13)</f>
        <v/>
      </c>
      <c r="L13" s="49"/>
    </row>
    <row r="14" spans="1:12" x14ac:dyDescent="0.2">
      <c r="A14" s="122"/>
      <c r="B14" s="214" t="s">
        <v>95</v>
      </c>
      <c r="C14" s="106" t="s">
        <v>188</v>
      </c>
      <c r="D14" s="106" t="s">
        <v>123</v>
      </c>
      <c r="E14" s="106" t="s">
        <v>122</v>
      </c>
      <c r="F14" s="236" t="str">
        <f>Swap6M!F17</f>
        <v>EURAB6E9Y_Quote#0002</v>
      </c>
      <c r="G14" s="106" t="s">
        <v>207</v>
      </c>
      <c r="H14" s="237" t="str">
        <f>BasisSwap1MxM!F17</f>
        <v>EUR1E6E9Y_Quote#0002</v>
      </c>
      <c r="I14" s="236" t="str">
        <f t="shared" si="0"/>
        <v>EURAB1EBASIS9Y_Quote</v>
      </c>
      <c r="J14" s="236" t="str">
        <f>_xll.qlCompositeQuote(I14,F14,H14,G14,Permanent,Trigger,ObjectOverwrite)</f>
        <v>EURAB1EBASIS9Y_Quote#0002</v>
      </c>
      <c r="K14" s="245" t="str">
        <f>_xll.ohRangeRetrieveError(J14)</f>
        <v/>
      </c>
      <c r="L14" s="49"/>
    </row>
    <row r="15" spans="1:12" x14ac:dyDescent="0.2">
      <c r="A15" s="122"/>
      <c r="B15" s="214" t="s">
        <v>94</v>
      </c>
      <c r="C15" s="106" t="s">
        <v>188</v>
      </c>
      <c r="D15" s="106" t="s">
        <v>123</v>
      </c>
      <c r="E15" s="106" t="s">
        <v>122</v>
      </c>
      <c r="F15" s="236" t="str">
        <f>Swap6M!F18</f>
        <v>EURAB6E10Y_Quote#0002</v>
      </c>
      <c r="G15" s="106" t="s">
        <v>207</v>
      </c>
      <c r="H15" s="237" t="str">
        <f>BasisSwap1MxM!F18</f>
        <v>EUR1E6E10Y_Quote#0002</v>
      </c>
      <c r="I15" s="236" t="str">
        <f t="shared" si="0"/>
        <v>EURAB1EBASIS10Y_Quote</v>
      </c>
      <c r="J15" s="236" t="str">
        <f>_xll.qlCompositeQuote(I15,F15,H15,G15,Permanent,Trigger,ObjectOverwrite)</f>
        <v>EURAB1EBASIS10Y_Quote#0002</v>
      </c>
      <c r="K15" s="245" t="str">
        <f>_xll.ohRangeRetrieveError(J15)</f>
        <v/>
      </c>
      <c r="L15" s="49"/>
    </row>
    <row r="16" spans="1:12" x14ac:dyDescent="0.2">
      <c r="A16" s="122"/>
      <c r="B16" s="214" t="s">
        <v>93</v>
      </c>
      <c r="C16" s="106" t="s">
        <v>188</v>
      </c>
      <c r="D16" s="106" t="s">
        <v>123</v>
      </c>
      <c r="E16" s="106" t="s">
        <v>122</v>
      </c>
      <c r="F16" s="236" t="str">
        <f>Swap6M!F19</f>
        <v>EURAB6E11Y_Quote#0002</v>
      </c>
      <c r="G16" s="106" t="s">
        <v>207</v>
      </c>
      <c r="H16" s="237" t="str">
        <f>BasisSwap1MxM!F19</f>
        <v>EUR1E6E11Y_Quote#0002</v>
      </c>
      <c r="I16" s="236" t="str">
        <f t="shared" si="0"/>
        <v>EURAB1EBASIS11Y_Quote</v>
      </c>
      <c r="J16" s="236" t="str">
        <f>_xll.qlCompositeQuote(I16,F16,H16,G16,Permanent,Trigger,ObjectOverwrite)</f>
        <v>EURAB1EBASIS11Y_Quote#0002</v>
      </c>
      <c r="K16" s="245" t="str">
        <f>_xll.ohRangeRetrieveError(J16)</f>
        <v/>
      </c>
      <c r="L16" s="49"/>
    </row>
    <row r="17" spans="1:12" x14ac:dyDescent="0.2">
      <c r="A17" s="122"/>
      <c r="B17" s="214" t="s">
        <v>92</v>
      </c>
      <c r="C17" s="106" t="s">
        <v>188</v>
      </c>
      <c r="D17" s="106" t="s">
        <v>123</v>
      </c>
      <c r="E17" s="106" t="s">
        <v>122</v>
      </c>
      <c r="F17" s="236" t="str">
        <f>Swap6M!F20</f>
        <v>EURAB6E12Y_Quote#0002</v>
      </c>
      <c r="G17" s="106" t="s">
        <v>207</v>
      </c>
      <c r="H17" s="237" t="str">
        <f>BasisSwap1MxM!F20</f>
        <v>EUR1E6E12Y_Quote#0002</v>
      </c>
      <c r="I17" s="236" t="str">
        <f t="shared" si="0"/>
        <v>EURAB1EBASIS12Y_Quote</v>
      </c>
      <c r="J17" s="236" t="str">
        <f>_xll.qlCompositeQuote(I17,F17,H17,G17,Permanent,Trigger,ObjectOverwrite)</f>
        <v>EURAB1EBASIS12Y_Quote#0002</v>
      </c>
      <c r="K17" s="245" t="str">
        <f>_xll.ohRangeRetrieveError(J17)</f>
        <v/>
      </c>
      <c r="L17" s="49"/>
    </row>
    <row r="18" spans="1:12" x14ac:dyDescent="0.2">
      <c r="A18" s="122"/>
      <c r="B18" s="214" t="s">
        <v>91</v>
      </c>
      <c r="C18" s="106" t="s">
        <v>188</v>
      </c>
      <c r="D18" s="106" t="s">
        <v>123</v>
      </c>
      <c r="E18" s="106" t="s">
        <v>122</v>
      </c>
      <c r="F18" s="236" t="str">
        <f>Swap6M!F21</f>
        <v>EURAB6E13Y_Quote#0002</v>
      </c>
      <c r="G18" s="106" t="s">
        <v>207</v>
      </c>
      <c r="H18" s="237" t="str">
        <f>BasisSwap1MxM!F21</f>
        <v>EUR1E6E13Y_Quote#0002</v>
      </c>
      <c r="I18" s="236" t="str">
        <f t="shared" si="0"/>
        <v>EURAB1EBASIS13Y_Quote</v>
      </c>
      <c r="J18" s="236" t="str">
        <f>_xll.qlCompositeQuote(I18,F18,H18,G18,Permanent,Trigger,ObjectOverwrite)</f>
        <v>EURAB1EBASIS13Y_Quote#0002</v>
      </c>
      <c r="K18" s="245" t="str">
        <f>_xll.ohRangeRetrieveError(J18)</f>
        <v/>
      </c>
      <c r="L18" s="49"/>
    </row>
    <row r="19" spans="1:12" x14ac:dyDescent="0.2">
      <c r="A19" s="122"/>
      <c r="B19" s="214" t="s">
        <v>90</v>
      </c>
      <c r="C19" s="106" t="s">
        <v>188</v>
      </c>
      <c r="D19" s="106" t="s">
        <v>123</v>
      </c>
      <c r="E19" s="106" t="s">
        <v>122</v>
      </c>
      <c r="F19" s="236" t="str">
        <f>Swap6M!F22</f>
        <v>EURAB6E14Y_Quote#0002</v>
      </c>
      <c r="G19" s="106" t="s">
        <v>207</v>
      </c>
      <c r="H19" s="237" t="str">
        <f>BasisSwap1MxM!F22</f>
        <v>EUR1E6E14Y_Quote#0002</v>
      </c>
      <c r="I19" s="236" t="str">
        <f t="shared" si="0"/>
        <v>EURAB1EBASIS14Y_Quote</v>
      </c>
      <c r="J19" s="236" t="str">
        <f>_xll.qlCompositeQuote(I19,F19,H19,G19,Permanent,Trigger,ObjectOverwrite)</f>
        <v>EURAB1EBASIS14Y_Quote#0002</v>
      </c>
      <c r="K19" s="245" t="str">
        <f>_xll.ohRangeRetrieveError(J19)</f>
        <v/>
      </c>
      <c r="L19" s="49"/>
    </row>
    <row r="20" spans="1:12" x14ac:dyDescent="0.2">
      <c r="A20" s="122"/>
      <c r="B20" s="214" t="s">
        <v>89</v>
      </c>
      <c r="C20" s="106" t="s">
        <v>188</v>
      </c>
      <c r="D20" s="106" t="s">
        <v>123</v>
      </c>
      <c r="E20" s="106" t="s">
        <v>122</v>
      </c>
      <c r="F20" s="236" t="str">
        <f>Swap6M!F23</f>
        <v>EURAB6E15Y_Quote#0002</v>
      </c>
      <c r="G20" s="106" t="s">
        <v>207</v>
      </c>
      <c r="H20" s="237" t="str">
        <f>BasisSwap1MxM!F23</f>
        <v>EUR1E6E15Y_Quote#0002</v>
      </c>
      <c r="I20" s="236" t="str">
        <f t="shared" si="0"/>
        <v>EURAB1EBASIS15Y_Quote</v>
      </c>
      <c r="J20" s="236" t="str">
        <f>_xll.qlCompositeQuote(I20,F20,H20,G20,Permanent,Trigger,ObjectOverwrite)</f>
        <v>EURAB1EBASIS15Y_Quote#0002</v>
      </c>
      <c r="K20" s="245" t="str">
        <f>_xll.ohRangeRetrieveError(J20)</f>
        <v/>
      </c>
      <c r="L20" s="49"/>
    </row>
    <row r="21" spans="1:12" x14ac:dyDescent="0.2">
      <c r="A21" s="122"/>
      <c r="B21" s="214" t="s">
        <v>88</v>
      </c>
      <c r="C21" s="106" t="s">
        <v>188</v>
      </c>
      <c r="D21" s="106" t="s">
        <v>123</v>
      </c>
      <c r="E21" s="106" t="s">
        <v>122</v>
      </c>
      <c r="F21" s="236" t="str">
        <f>Swap6M!F24</f>
        <v>EURAB6E16Y_Quote#0002</v>
      </c>
      <c r="G21" s="106" t="s">
        <v>207</v>
      </c>
      <c r="H21" s="237" t="str">
        <f>BasisSwap1MxM!F24</f>
        <v>EUR1E6E16Y_Quote#0002</v>
      </c>
      <c r="I21" s="236" t="str">
        <f t="shared" si="0"/>
        <v>EURAB1EBASIS16Y_Quote</v>
      </c>
      <c r="J21" s="236" t="str">
        <f>_xll.qlCompositeQuote(I21,F21,H21,G21,Permanent,Trigger,ObjectOverwrite)</f>
        <v>EURAB1EBASIS16Y_Quote#0002</v>
      </c>
      <c r="K21" s="245" t="str">
        <f>_xll.ohRangeRetrieveError(J21)</f>
        <v/>
      </c>
      <c r="L21" s="49"/>
    </row>
    <row r="22" spans="1:12" x14ac:dyDescent="0.2">
      <c r="A22" s="122"/>
      <c r="B22" s="214" t="s">
        <v>87</v>
      </c>
      <c r="C22" s="106" t="s">
        <v>188</v>
      </c>
      <c r="D22" s="106" t="s">
        <v>123</v>
      </c>
      <c r="E22" s="106" t="s">
        <v>122</v>
      </c>
      <c r="F22" s="236" t="str">
        <f>Swap6M!F25</f>
        <v>EURAB6E17Y_Quote#0002</v>
      </c>
      <c r="G22" s="106" t="s">
        <v>207</v>
      </c>
      <c r="H22" s="237" t="str">
        <f>BasisSwap1MxM!F25</f>
        <v>EUR1E6E17Y_Quote#0002</v>
      </c>
      <c r="I22" s="236" t="str">
        <f t="shared" si="0"/>
        <v>EURAB1EBASIS17Y_Quote</v>
      </c>
      <c r="J22" s="236" t="str">
        <f>_xll.qlCompositeQuote(I22,F22,H22,G22,Permanent,Trigger,ObjectOverwrite)</f>
        <v>EURAB1EBASIS17Y_Quote#0002</v>
      </c>
      <c r="K22" s="245" t="str">
        <f>_xll.ohRangeRetrieveError(J22)</f>
        <v/>
      </c>
      <c r="L22" s="49"/>
    </row>
    <row r="23" spans="1:12" x14ac:dyDescent="0.2">
      <c r="A23" s="122"/>
      <c r="B23" s="214" t="s">
        <v>86</v>
      </c>
      <c r="C23" s="106" t="s">
        <v>188</v>
      </c>
      <c r="D23" s="106" t="s">
        <v>123</v>
      </c>
      <c r="E23" s="106" t="s">
        <v>122</v>
      </c>
      <c r="F23" s="236" t="str">
        <f>Swap6M!F26</f>
        <v>EURAB6E18Y_Quote#0002</v>
      </c>
      <c r="G23" s="106" t="s">
        <v>207</v>
      </c>
      <c r="H23" s="237" t="str">
        <f>BasisSwap1MxM!F26</f>
        <v>EUR1E6E18Y_Quote#0002</v>
      </c>
      <c r="I23" s="236" t="str">
        <f t="shared" si="0"/>
        <v>EURAB1EBASIS18Y_Quote</v>
      </c>
      <c r="J23" s="236" t="str">
        <f>_xll.qlCompositeQuote(I23,F23,H23,G23,Permanent,Trigger,ObjectOverwrite)</f>
        <v>EURAB1EBASIS18Y_Quote#0002</v>
      </c>
      <c r="K23" s="245" t="str">
        <f>_xll.ohRangeRetrieveError(J23)</f>
        <v/>
      </c>
      <c r="L23" s="49"/>
    </row>
    <row r="24" spans="1:12" x14ac:dyDescent="0.2">
      <c r="A24" s="122"/>
      <c r="B24" s="214" t="s">
        <v>85</v>
      </c>
      <c r="C24" s="106" t="s">
        <v>188</v>
      </c>
      <c r="D24" s="106" t="s">
        <v>123</v>
      </c>
      <c r="E24" s="106" t="s">
        <v>122</v>
      </c>
      <c r="F24" s="236" t="str">
        <f>Swap6M!F27</f>
        <v>EURAB6E19Y_Quote#0002</v>
      </c>
      <c r="G24" s="106" t="s">
        <v>207</v>
      </c>
      <c r="H24" s="237" t="str">
        <f>BasisSwap1MxM!F27</f>
        <v>EUR1E6E19Y_Quote#0002</v>
      </c>
      <c r="I24" s="236" t="str">
        <f t="shared" si="0"/>
        <v>EURAB1EBASIS19Y_Quote</v>
      </c>
      <c r="J24" s="236" t="str">
        <f>_xll.qlCompositeQuote(I24,F24,H24,G24,Permanent,Trigger,ObjectOverwrite)</f>
        <v>EURAB1EBASIS19Y_Quote#0002</v>
      </c>
      <c r="K24" s="245" t="str">
        <f>_xll.ohRangeRetrieveError(J24)</f>
        <v/>
      </c>
      <c r="L24" s="49"/>
    </row>
    <row r="25" spans="1:12" x14ac:dyDescent="0.2">
      <c r="A25" s="122"/>
      <c r="B25" s="214" t="s">
        <v>84</v>
      </c>
      <c r="C25" s="106" t="s">
        <v>188</v>
      </c>
      <c r="D25" s="106" t="s">
        <v>123</v>
      </c>
      <c r="E25" s="106" t="s">
        <v>122</v>
      </c>
      <c r="F25" s="236" t="str">
        <f>Swap6M!F28</f>
        <v>EURAB6E20Y_Quote#0002</v>
      </c>
      <c r="G25" s="106" t="s">
        <v>207</v>
      </c>
      <c r="H25" s="237" t="str">
        <f>BasisSwap1MxM!F28</f>
        <v>EUR1E6E20Y_Quote#0002</v>
      </c>
      <c r="I25" s="236" t="str">
        <f t="shared" si="0"/>
        <v>EURAB1EBASIS20Y_Quote</v>
      </c>
      <c r="J25" s="236" t="str">
        <f>_xll.qlCompositeQuote(I25,F25,H25,G25,Permanent,Trigger,ObjectOverwrite)</f>
        <v>EURAB1EBASIS20Y_Quote#0002</v>
      </c>
      <c r="K25" s="245" t="str">
        <f>_xll.ohRangeRetrieveError(J25)</f>
        <v/>
      </c>
      <c r="L25" s="49"/>
    </row>
    <row r="26" spans="1:12" x14ac:dyDescent="0.2">
      <c r="A26" s="122"/>
      <c r="B26" s="214" t="s">
        <v>83</v>
      </c>
      <c r="C26" s="106" t="s">
        <v>188</v>
      </c>
      <c r="D26" s="106" t="s">
        <v>123</v>
      </c>
      <c r="E26" s="106" t="s">
        <v>122</v>
      </c>
      <c r="F26" s="236" t="str">
        <f>Swap6M!F29</f>
        <v>EURAB6E21Y_Quote#0002</v>
      </c>
      <c r="G26" s="106" t="s">
        <v>207</v>
      </c>
      <c r="H26" s="237" t="str">
        <f>BasisSwap1MxM!F29</f>
        <v>EUR1E6E21Y_Quote#0002</v>
      </c>
      <c r="I26" s="236" t="str">
        <f t="shared" si="0"/>
        <v>EURAB1EBASIS21Y_Quote</v>
      </c>
      <c r="J26" s="236" t="str">
        <f>_xll.qlCompositeQuote(I26,F26,H26,G26,Permanent,Trigger,ObjectOverwrite)</f>
        <v>EURAB1EBASIS21Y_Quote#0002</v>
      </c>
      <c r="K26" s="245" t="str">
        <f>_xll.ohRangeRetrieveError(J26)</f>
        <v/>
      </c>
      <c r="L26" s="49"/>
    </row>
    <row r="27" spans="1:12" x14ac:dyDescent="0.2">
      <c r="A27" s="122"/>
      <c r="B27" s="214" t="s">
        <v>82</v>
      </c>
      <c r="C27" s="106" t="s">
        <v>188</v>
      </c>
      <c r="D27" s="106" t="s">
        <v>123</v>
      </c>
      <c r="E27" s="106" t="s">
        <v>122</v>
      </c>
      <c r="F27" s="236" t="str">
        <f>Swap6M!F30</f>
        <v>EURAB6E22Y_Quote#0002</v>
      </c>
      <c r="G27" s="106" t="s">
        <v>207</v>
      </c>
      <c r="H27" s="237" t="str">
        <f>BasisSwap1MxM!F30</f>
        <v>EUR1E6E22Y_Quote#0002</v>
      </c>
      <c r="I27" s="236" t="str">
        <f t="shared" si="0"/>
        <v>EURAB1EBASIS22Y_Quote</v>
      </c>
      <c r="J27" s="236" t="str">
        <f>_xll.qlCompositeQuote(I27,F27,H27,G27,Permanent,Trigger,ObjectOverwrite)</f>
        <v>EURAB1EBASIS22Y_Quote#0002</v>
      </c>
      <c r="K27" s="245" t="str">
        <f>_xll.ohRangeRetrieveError(J27)</f>
        <v/>
      </c>
      <c r="L27" s="49"/>
    </row>
    <row r="28" spans="1:12" x14ac:dyDescent="0.2">
      <c r="A28" s="122"/>
      <c r="B28" s="214" t="s">
        <v>81</v>
      </c>
      <c r="C28" s="106" t="s">
        <v>188</v>
      </c>
      <c r="D28" s="106" t="s">
        <v>123</v>
      </c>
      <c r="E28" s="106" t="s">
        <v>122</v>
      </c>
      <c r="F28" s="236" t="str">
        <f>Swap6M!F31</f>
        <v>EURAB6E23Y_Quote#0002</v>
      </c>
      <c r="G28" s="106" t="s">
        <v>207</v>
      </c>
      <c r="H28" s="237" t="str">
        <f>BasisSwap1MxM!F31</f>
        <v>EUR1E6E23Y_Quote#0002</v>
      </c>
      <c r="I28" s="236" t="str">
        <f t="shared" si="0"/>
        <v>EURAB1EBASIS23Y_Quote</v>
      </c>
      <c r="J28" s="236" t="str">
        <f>_xll.qlCompositeQuote(I28,F28,H28,G28,Permanent,Trigger,ObjectOverwrite)</f>
        <v>EURAB1EBASIS23Y_Quote#0002</v>
      </c>
      <c r="K28" s="245" t="str">
        <f>_xll.ohRangeRetrieveError(J28)</f>
        <v/>
      </c>
      <c r="L28" s="49"/>
    </row>
    <row r="29" spans="1:12" x14ac:dyDescent="0.2">
      <c r="A29" s="122"/>
      <c r="B29" s="214" t="s">
        <v>80</v>
      </c>
      <c r="C29" s="106" t="s">
        <v>188</v>
      </c>
      <c r="D29" s="106" t="s">
        <v>123</v>
      </c>
      <c r="E29" s="106" t="s">
        <v>122</v>
      </c>
      <c r="F29" s="236" t="str">
        <f>Swap6M!F32</f>
        <v>EURAB6E24Y_Quote#0002</v>
      </c>
      <c r="G29" s="106" t="s">
        <v>207</v>
      </c>
      <c r="H29" s="237" t="str">
        <f>BasisSwap1MxM!F32</f>
        <v>EUR1E6E24Y_Quote#0002</v>
      </c>
      <c r="I29" s="236" t="str">
        <f t="shared" si="0"/>
        <v>EURAB1EBASIS24Y_Quote</v>
      </c>
      <c r="J29" s="236" t="str">
        <f>_xll.qlCompositeQuote(I29,F29,H29,G29,Permanent,Trigger,ObjectOverwrite)</f>
        <v>EURAB1EBASIS24Y_Quote#0002</v>
      </c>
      <c r="K29" s="245" t="str">
        <f>_xll.ohRangeRetrieveError(J29)</f>
        <v/>
      </c>
      <c r="L29" s="49"/>
    </row>
    <row r="30" spans="1:12" x14ac:dyDescent="0.2">
      <c r="A30" s="122"/>
      <c r="B30" s="214" t="s">
        <v>79</v>
      </c>
      <c r="C30" s="106" t="s">
        <v>188</v>
      </c>
      <c r="D30" s="106" t="s">
        <v>123</v>
      </c>
      <c r="E30" s="106" t="s">
        <v>122</v>
      </c>
      <c r="F30" s="236" t="str">
        <f>Swap6M!F33</f>
        <v>EURAB6E25Y_Quote#0002</v>
      </c>
      <c r="G30" s="106" t="s">
        <v>207</v>
      </c>
      <c r="H30" s="237" t="str">
        <f>BasisSwap1MxM!F33</f>
        <v>EUR1E6E25Y_Quote#0002</v>
      </c>
      <c r="I30" s="236" t="str">
        <f t="shared" si="0"/>
        <v>EURAB1EBASIS25Y_Quote</v>
      </c>
      <c r="J30" s="236" t="str">
        <f>_xll.qlCompositeQuote(I30,F30,H30,G30,Permanent,Trigger,ObjectOverwrite)</f>
        <v>EURAB1EBASIS25Y_Quote#0002</v>
      </c>
      <c r="K30" s="245" t="str">
        <f>_xll.ohRangeRetrieveError(J30)</f>
        <v/>
      </c>
      <c r="L30" s="49"/>
    </row>
    <row r="31" spans="1:12" x14ac:dyDescent="0.2">
      <c r="A31" s="122"/>
      <c r="B31" s="214" t="s">
        <v>78</v>
      </c>
      <c r="C31" s="106" t="s">
        <v>188</v>
      </c>
      <c r="D31" s="106" t="s">
        <v>123</v>
      </c>
      <c r="E31" s="106" t="s">
        <v>122</v>
      </c>
      <c r="F31" s="236" t="str">
        <f>Swap6M!F34</f>
        <v>EURAB6E26Y_Quote#0002</v>
      </c>
      <c r="G31" s="106" t="s">
        <v>207</v>
      </c>
      <c r="H31" s="237" t="str">
        <f>BasisSwap1MxM!F34</f>
        <v>EUR1E6E26Y_Quote#0002</v>
      </c>
      <c r="I31" s="236" t="str">
        <f t="shared" si="0"/>
        <v>EURAB1EBASIS26Y_Quote</v>
      </c>
      <c r="J31" s="236" t="str">
        <f>_xll.qlCompositeQuote(I31,F31,H31,G31,Permanent,Trigger,ObjectOverwrite)</f>
        <v>EURAB1EBASIS26Y_Quote#0002</v>
      </c>
      <c r="K31" s="245" t="str">
        <f>_xll.ohRangeRetrieveError(J31)</f>
        <v/>
      </c>
      <c r="L31" s="49"/>
    </row>
    <row r="32" spans="1:12" x14ac:dyDescent="0.2">
      <c r="A32" s="122"/>
      <c r="B32" s="214" t="s">
        <v>77</v>
      </c>
      <c r="C32" s="106" t="s">
        <v>188</v>
      </c>
      <c r="D32" s="106" t="s">
        <v>123</v>
      </c>
      <c r="E32" s="106" t="s">
        <v>122</v>
      </c>
      <c r="F32" s="236" t="str">
        <f>Swap6M!F35</f>
        <v>EURAB6E27Y_Quote#0002</v>
      </c>
      <c r="G32" s="106" t="s">
        <v>207</v>
      </c>
      <c r="H32" s="237" t="str">
        <f>BasisSwap1MxM!F35</f>
        <v>EUR1E6E27Y_Quote#0002</v>
      </c>
      <c r="I32" s="236" t="str">
        <f t="shared" si="0"/>
        <v>EURAB1EBASIS27Y_Quote</v>
      </c>
      <c r="J32" s="236" t="str">
        <f>_xll.qlCompositeQuote(I32,F32,H32,G32,Permanent,Trigger,ObjectOverwrite)</f>
        <v>EURAB1EBASIS27Y_Quote#0002</v>
      </c>
      <c r="K32" s="245" t="str">
        <f>_xll.ohRangeRetrieveError(J32)</f>
        <v/>
      </c>
      <c r="L32" s="49"/>
    </row>
    <row r="33" spans="1:12" x14ac:dyDescent="0.2">
      <c r="A33" s="122"/>
      <c r="B33" s="214" t="s">
        <v>76</v>
      </c>
      <c r="C33" s="106" t="s">
        <v>188</v>
      </c>
      <c r="D33" s="106" t="s">
        <v>123</v>
      </c>
      <c r="E33" s="106" t="s">
        <v>122</v>
      </c>
      <c r="F33" s="236" t="str">
        <f>Swap6M!F36</f>
        <v>EURAB6E28Y_Quote#0002</v>
      </c>
      <c r="G33" s="106" t="s">
        <v>207</v>
      </c>
      <c r="H33" s="237" t="str">
        <f>BasisSwap1MxM!F36</f>
        <v>EUR1E6E28Y_Quote#0002</v>
      </c>
      <c r="I33" s="236" t="str">
        <f t="shared" si="0"/>
        <v>EURAB1EBASIS28Y_Quote</v>
      </c>
      <c r="J33" s="236" t="str">
        <f>_xll.qlCompositeQuote(I33,F33,H33,G33,Permanent,Trigger,ObjectOverwrite)</f>
        <v>EURAB1EBASIS28Y_Quote#0002</v>
      </c>
      <c r="K33" s="245" t="str">
        <f>_xll.ohRangeRetrieveError(J33)</f>
        <v/>
      </c>
      <c r="L33" s="49"/>
    </row>
    <row r="34" spans="1:12" x14ac:dyDescent="0.2">
      <c r="A34" s="122"/>
      <c r="B34" s="214" t="s">
        <v>75</v>
      </c>
      <c r="C34" s="106" t="s">
        <v>188</v>
      </c>
      <c r="D34" s="106" t="s">
        <v>123</v>
      </c>
      <c r="E34" s="106" t="s">
        <v>122</v>
      </c>
      <c r="F34" s="236" t="str">
        <f>Swap6M!F37</f>
        <v>EURAB6E29Y_Quote#0002</v>
      </c>
      <c r="G34" s="106" t="s">
        <v>207</v>
      </c>
      <c r="H34" s="237" t="str">
        <f>BasisSwap1MxM!F37</f>
        <v>EUR1E6E29Y_Quote#0002</v>
      </c>
      <c r="I34" s="236" t="str">
        <f t="shared" si="0"/>
        <v>EURAB1EBASIS29Y_Quote</v>
      </c>
      <c r="J34" s="236" t="str">
        <f>_xll.qlCompositeQuote(I34,F34,H34,G34,Permanent,Trigger,ObjectOverwrite)</f>
        <v>EURAB1EBASIS29Y_Quote#0002</v>
      </c>
      <c r="K34" s="245" t="str">
        <f>_xll.ohRangeRetrieveError(J34)</f>
        <v/>
      </c>
      <c r="L34" s="49"/>
    </row>
    <row r="35" spans="1:12" x14ac:dyDescent="0.2">
      <c r="A35" s="122"/>
      <c r="B35" s="214" t="s">
        <v>74</v>
      </c>
      <c r="C35" s="106" t="s">
        <v>188</v>
      </c>
      <c r="D35" s="106" t="s">
        <v>123</v>
      </c>
      <c r="E35" s="106" t="s">
        <v>122</v>
      </c>
      <c r="F35" s="236" t="str">
        <f>Swap6M!F38</f>
        <v>EURAB6E30Y_Quote#0002</v>
      </c>
      <c r="G35" s="106" t="s">
        <v>207</v>
      </c>
      <c r="H35" s="237" t="str">
        <f>BasisSwap1MxM!F38</f>
        <v>EUR1E6E30Y_Quote#0002</v>
      </c>
      <c r="I35" s="236" t="str">
        <f t="shared" si="0"/>
        <v>EURAB1EBASIS30Y_Quote</v>
      </c>
      <c r="J35" s="236" t="str">
        <f>_xll.qlCompositeQuote(I35,F35,H35,G35,Permanent,Trigger,ObjectOverwrite)</f>
        <v>EURAB1EBASIS30Y_Quote#0002</v>
      </c>
      <c r="K35" s="245" t="str">
        <f>_xll.ohRangeRetrieveError(J35)</f>
        <v/>
      </c>
      <c r="L35" s="49"/>
    </row>
    <row r="36" spans="1:12" x14ac:dyDescent="0.2">
      <c r="A36" s="122"/>
      <c r="B36" s="214" t="s">
        <v>69</v>
      </c>
      <c r="C36" s="106" t="s">
        <v>188</v>
      </c>
      <c r="D36" s="106" t="s">
        <v>123</v>
      </c>
      <c r="E36" s="106" t="s">
        <v>122</v>
      </c>
      <c r="F36" s="236" t="str">
        <f>Swap6M!F39</f>
        <v>EURAB6E35Y_Quote#0002</v>
      </c>
      <c r="G36" s="106" t="s">
        <v>207</v>
      </c>
      <c r="H36" s="237" t="str">
        <f>BasisSwap1MxM!F39</f>
        <v>EUR1E6E35Y_Quote#0002</v>
      </c>
      <c r="I36" s="236" t="str">
        <f t="shared" si="0"/>
        <v>EURAB1EBASIS35Y_Quote</v>
      </c>
      <c r="J36" s="236" t="str">
        <f>_xll.qlCompositeQuote(I36,F36,H36,G36,Permanent,Trigger,ObjectOverwrite)</f>
        <v>EURAB1EBASIS35Y_Quote#0002</v>
      </c>
      <c r="K36" s="245" t="str">
        <f>_xll.ohRangeRetrieveError(J36)</f>
        <v/>
      </c>
      <c r="L36" s="49"/>
    </row>
    <row r="37" spans="1:12" x14ac:dyDescent="0.2">
      <c r="A37" s="122"/>
      <c r="B37" s="214" t="s">
        <v>64</v>
      </c>
      <c r="C37" s="106" t="s">
        <v>188</v>
      </c>
      <c r="D37" s="106" t="s">
        <v>123</v>
      </c>
      <c r="E37" s="106" t="s">
        <v>122</v>
      </c>
      <c r="F37" s="236" t="str">
        <f>Swap6M!F40</f>
        <v>EURAB6E40Y_Quote#0002</v>
      </c>
      <c r="G37" s="106" t="s">
        <v>207</v>
      </c>
      <c r="H37" s="237" t="str">
        <f>BasisSwap1MxM!F40</f>
        <v>EUR1E6E40Y_Quote#0002</v>
      </c>
      <c r="I37" s="236" t="str">
        <f t="shared" si="0"/>
        <v>EURAB1EBASIS40Y_Quote</v>
      </c>
      <c r="J37" s="236" t="str">
        <f>_xll.qlCompositeQuote(I37,F37,H37,G37,Permanent,Trigger,ObjectOverwrite)</f>
        <v>EURAB1EBASIS40Y_Quote#0002</v>
      </c>
      <c r="K37" s="245" t="str">
        <f>_xll.ohRangeRetrieveError(J37)</f>
        <v/>
      </c>
      <c r="L37" s="49"/>
    </row>
    <row r="38" spans="1:12" x14ac:dyDescent="0.2">
      <c r="A38" s="122"/>
      <c r="B38" s="214" t="s">
        <v>54</v>
      </c>
      <c r="C38" s="106" t="s">
        <v>188</v>
      </c>
      <c r="D38" s="106" t="s">
        <v>123</v>
      </c>
      <c r="E38" s="106" t="s">
        <v>122</v>
      </c>
      <c r="F38" s="236" t="str">
        <f>Swap6M!F41</f>
        <v>EURAB6E50Y_Quote#0002</v>
      </c>
      <c r="G38" s="106" t="s">
        <v>207</v>
      </c>
      <c r="H38" s="237" t="str">
        <f>BasisSwap1MxM!F41</f>
        <v>EUR1E6E50Y_Quote#0002</v>
      </c>
      <c r="I38" s="236" t="str">
        <f t="shared" si="0"/>
        <v>EURAB1EBASIS50Y_Quote</v>
      </c>
      <c r="J38" s="236" t="str">
        <f>_xll.qlCompositeQuote(I38,F38,H38,G38,Permanent,Trigger,ObjectOverwrite)</f>
        <v>EURAB1EBASIS50Y_Quote#0002</v>
      </c>
      <c r="K38" s="245" t="str">
        <f>_xll.ohRangeRetrieveError(J38)</f>
        <v/>
      </c>
      <c r="L38" s="49"/>
    </row>
    <row r="39" spans="1:12" x14ac:dyDescent="0.2">
      <c r="A39" s="122"/>
      <c r="B39" s="214" t="s">
        <v>44</v>
      </c>
      <c r="C39" s="106" t="s">
        <v>188</v>
      </c>
      <c r="D39" s="106" t="s">
        <v>123</v>
      </c>
      <c r="E39" s="106" t="s">
        <v>122</v>
      </c>
      <c r="F39" s="236" t="str">
        <f>Swap6M!F42</f>
        <v>EURAB6E60Y_Quote#0002</v>
      </c>
      <c r="G39" s="106" t="s">
        <v>207</v>
      </c>
      <c r="H39" s="237" t="str">
        <f>BasisSwap1MxM!F42</f>
        <v>EUR1E6E60Y_Quote#0002</v>
      </c>
      <c r="I39" s="236" t="str">
        <f t="shared" si="0"/>
        <v>EURAB1EBASIS60Y_Quote</v>
      </c>
      <c r="J39" s="236" t="str">
        <f>_xll.qlCompositeQuote(I39,F39,H39,G39,Permanent,Trigger,ObjectOverwrite)</f>
        <v>EURAB1EBASIS60Y_Quote#0002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EURAB6E1Y_Quote#0002</v>
      </c>
      <c r="G3" s="106" t="s">
        <v>207</v>
      </c>
      <c r="H3" s="237" t="str">
        <f>BasisSwap3M6M!F6</f>
        <v>EUR3E6E1Y_Quote#0002</v>
      </c>
      <c r="I3" s="236" t="str">
        <f t="shared" ref="I3:I39" si="0">Currency&amp;$C3&amp;$D3&amp;"BASIS"&amp;$B3&amp;QuoteSuffix</f>
        <v>EURAB3EBASIS1Y_Quote</v>
      </c>
      <c r="J3" s="236" t="str">
        <f>_xll.qlCompositeQuote(I3,F3,H3,G3,Permanent,Trigger,ObjectOverwrite)</f>
        <v>EURAB3EBASIS1Y_Quote#0002</v>
      </c>
      <c r="K3" s="245" t="str">
        <f>_xll.ohRangeRetrieveError(J3)</f>
        <v/>
      </c>
      <c r="L3" s="49"/>
    </row>
    <row r="4" spans="1:12" x14ac:dyDescent="0.2">
      <c r="A4" s="122"/>
      <c r="B4" s="214" t="s">
        <v>127</v>
      </c>
      <c r="C4" s="106" t="s">
        <v>188</v>
      </c>
      <c r="D4" s="106" t="s">
        <v>129</v>
      </c>
      <c r="E4" s="106" t="s">
        <v>122</v>
      </c>
      <c r="F4" s="236" t="str">
        <f>Swap6M!F7</f>
        <v>EURAB6E15M_Quote#0002</v>
      </c>
      <c r="G4" s="106" t="s">
        <v>207</v>
      </c>
      <c r="H4" s="237" t="str">
        <f>BasisSwap3M6M!F7</f>
        <v>EUR3E6E15M_Quote#0002</v>
      </c>
      <c r="I4" s="236" t="str">
        <f t="shared" si="0"/>
        <v>EURAB3EBASIS15M_Quote</v>
      </c>
      <c r="J4" s="236" t="str">
        <f>_xll.qlCompositeQuote(I4,F4,H4,G4,Permanent,Trigger,ObjectOverwrite)</f>
        <v>EURAB3EBASIS15M_Quote#0002</v>
      </c>
      <c r="K4" s="245" t="str">
        <f>_xll.ohRangeRetrieveError(J4)</f>
        <v/>
      </c>
      <c r="L4" s="49"/>
    </row>
    <row r="5" spans="1:12" x14ac:dyDescent="0.2">
      <c r="A5" s="122"/>
      <c r="B5" s="214" t="s">
        <v>126</v>
      </c>
      <c r="C5" s="106" t="s">
        <v>188</v>
      </c>
      <c r="D5" s="106" t="s">
        <v>129</v>
      </c>
      <c r="E5" s="106" t="s">
        <v>122</v>
      </c>
      <c r="F5" s="236" t="str">
        <f>Swap6M!F8</f>
        <v>EURAB6E18M_Quote#0002</v>
      </c>
      <c r="G5" s="106" t="s">
        <v>207</v>
      </c>
      <c r="H5" s="237" t="str">
        <f>BasisSwap3M6M!F8</f>
        <v>EUR3E6E18M_Quote#0002</v>
      </c>
      <c r="I5" s="236" t="str">
        <f t="shared" si="0"/>
        <v>EURAB3EBASIS18M_Quote</v>
      </c>
      <c r="J5" s="236" t="str">
        <f>_xll.qlCompositeQuote(I5,F5,H5,G5,Permanent,Trigger,ObjectOverwrite)</f>
        <v>EURAB3EBASIS18M_Quote#0002</v>
      </c>
      <c r="K5" s="245" t="str">
        <f>_xll.ohRangeRetrieveError(J5)</f>
        <v/>
      </c>
      <c r="L5" s="49"/>
    </row>
    <row r="6" spans="1:12" x14ac:dyDescent="0.2">
      <c r="A6" s="122"/>
      <c r="B6" s="214" t="s">
        <v>125</v>
      </c>
      <c r="C6" s="106" t="s">
        <v>188</v>
      </c>
      <c r="D6" s="106" t="s">
        <v>129</v>
      </c>
      <c r="E6" s="106" t="s">
        <v>122</v>
      </c>
      <c r="F6" s="236" t="str">
        <f>Swap6M!F9</f>
        <v>EURAB6E21M_Quote#0002</v>
      </c>
      <c r="G6" s="106" t="s">
        <v>207</v>
      </c>
      <c r="H6" s="237" t="str">
        <f>BasisSwap3M6M!F9</f>
        <v>EUR3E6E21M_Quote#0002</v>
      </c>
      <c r="I6" s="236" t="str">
        <f t="shared" si="0"/>
        <v>EURAB3EBASIS21M_Quote</v>
      </c>
      <c r="J6" s="236" t="str">
        <f>_xll.qlCompositeQuote(I6,F6,H6,G6,Permanent,Trigger,ObjectOverwrite)</f>
        <v>EURAB3EBASIS21M_Quote#0002</v>
      </c>
      <c r="K6" s="245" t="str">
        <f>_xll.ohRangeRetrieveError(J6)</f>
        <v/>
      </c>
      <c r="L6" s="49"/>
    </row>
    <row r="7" spans="1:12" x14ac:dyDescent="0.2">
      <c r="A7" s="122"/>
      <c r="B7" s="214" t="s">
        <v>102</v>
      </c>
      <c r="C7" s="106" t="s">
        <v>188</v>
      </c>
      <c r="D7" s="106" t="s">
        <v>129</v>
      </c>
      <c r="E7" s="106" t="s">
        <v>122</v>
      </c>
      <c r="F7" s="236" t="str">
        <f>Swap6M!F10</f>
        <v>EURAB6E2Y_Quote#0002</v>
      </c>
      <c r="G7" s="106" t="s">
        <v>207</v>
      </c>
      <c r="H7" s="237" t="str">
        <f>BasisSwap3M6M!F10</f>
        <v>EUR3E6E2Y_Quote#0002</v>
      </c>
      <c r="I7" s="236" t="str">
        <f t="shared" si="0"/>
        <v>EURAB3EBASIS2Y_Quote</v>
      </c>
      <c r="J7" s="236" t="str">
        <f>_xll.qlCompositeQuote(I7,F7,H7,G7,Permanent,Trigger,ObjectOverwrite)</f>
        <v>EURAB3EBASIS2Y_Quote#0002</v>
      </c>
      <c r="K7" s="245" t="str">
        <f>_xll.ohRangeRetrieveError(J7)</f>
        <v/>
      </c>
      <c r="L7" s="49"/>
    </row>
    <row r="8" spans="1:12" x14ac:dyDescent="0.2">
      <c r="A8" s="122"/>
      <c r="B8" s="214" t="s">
        <v>101</v>
      </c>
      <c r="C8" s="106" t="s">
        <v>188</v>
      </c>
      <c r="D8" s="106" t="s">
        <v>129</v>
      </c>
      <c r="E8" s="106" t="s">
        <v>122</v>
      </c>
      <c r="F8" s="236" t="str">
        <f>Swap6M!F11</f>
        <v>EURAB6E3Y_Quote#0002</v>
      </c>
      <c r="G8" s="106" t="s">
        <v>207</v>
      </c>
      <c r="H8" s="237" t="str">
        <f>BasisSwap3M6M!F11</f>
        <v>EUR3E6E3Y_Quote#0002</v>
      </c>
      <c r="I8" s="236" t="str">
        <f t="shared" si="0"/>
        <v>EURAB3EBASIS3Y_Quote</v>
      </c>
      <c r="J8" s="236" t="str">
        <f>_xll.qlCompositeQuote(I8,F8,H8,G8,Permanent,Trigger,ObjectOverwrite)</f>
        <v>EURAB3EBASIS3Y_Quote#0002</v>
      </c>
      <c r="K8" s="245" t="str">
        <f>_xll.ohRangeRetrieveError(J8)</f>
        <v/>
      </c>
      <c r="L8" s="49"/>
    </row>
    <row r="9" spans="1:12" x14ac:dyDescent="0.2">
      <c r="A9" s="122"/>
      <c r="B9" s="214" t="s">
        <v>100</v>
      </c>
      <c r="C9" s="106" t="s">
        <v>188</v>
      </c>
      <c r="D9" s="106" t="s">
        <v>129</v>
      </c>
      <c r="E9" s="106" t="s">
        <v>122</v>
      </c>
      <c r="F9" s="236" t="str">
        <f>Swap6M!F12</f>
        <v>EURAB6E4Y_Quote#0002</v>
      </c>
      <c r="G9" s="106" t="s">
        <v>207</v>
      </c>
      <c r="H9" s="237" t="str">
        <f>BasisSwap3M6M!F12</f>
        <v>EUR3E6E4Y_Quote#0002</v>
      </c>
      <c r="I9" s="236" t="str">
        <f t="shared" si="0"/>
        <v>EURAB3EBASIS4Y_Quote</v>
      </c>
      <c r="J9" s="236" t="str">
        <f>_xll.qlCompositeQuote(I9,F9,H9,G9,Permanent,Trigger,ObjectOverwrite)</f>
        <v>EURAB3EBASIS4Y_Quote#0002</v>
      </c>
      <c r="K9" s="245" t="str">
        <f>_xll.ohRangeRetrieveError(J9)</f>
        <v/>
      </c>
      <c r="L9" s="49"/>
    </row>
    <row r="10" spans="1:12" x14ac:dyDescent="0.2">
      <c r="A10" s="122"/>
      <c r="B10" s="214" t="s">
        <v>99</v>
      </c>
      <c r="C10" s="106" t="s">
        <v>188</v>
      </c>
      <c r="D10" s="106" t="s">
        <v>129</v>
      </c>
      <c r="E10" s="106" t="s">
        <v>122</v>
      </c>
      <c r="F10" s="236" t="str">
        <f>Swap6M!F13</f>
        <v>EURAB6E5Y_Quote#0002</v>
      </c>
      <c r="G10" s="106" t="s">
        <v>207</v>
      </c>
      <c r="H10" s="237" t="str">
        <f>BasisSwap3M6M!F13</f>
        <v>EUR3E6E5Y_Quote#0002</v>
      </c>
      <c r="I10" s="236" t="str">
        <f t="shared" si="0"/>
        <v>EURAB3EBASIS5Y_Quote</v>
      </c>
      <c r="J10" s="236" t="str">
        <f>_xll.qlCompositeQuote(I10,F10,H10,G10,Permanent,Trigger,ObjectOverwrite)</f>
        <v>EURAB3EBASIS5Y_Quote#0002</v>
      </c>
      <c r="K10" s="245" t="str">
        <f>_xll.ohRangeRetrieveError(J10)</f>
        <v/>
      </c>
      <c r="L10" s="49"/>
    </row>
    <row r="11" spans="1:12" x14ac:dyDescent="0.2">
      <c r="A11" s="122"/>
      <c r="B11" s="214" t="s">
        <v>98</v>
      </c>
      <c r="C11" s="106" t="s">
        <v>188</v>
      </c>
      <c r="D11" s="106" t="s">
        <v>129</v>
      </c>
      <c r="E11" s="106" t="s">
        <v>122</v>
      </c>
      <c r="F11" s="236" t="str">
        <f>Swap6M!F14</f>
        <v>EURAB6E6Y_Quote#0002</v>
      </c>
      <c r="G11" s="106" t="s">
        <v>207</v>
      </c>
      <c r="H11" s="237" t="str">
        <f>BasisSwap3M6M!F14</f>
        <v>EUR3E6E6Y_Quote#0002</v>
      </c>
      <c r="I11" s="236" t="str">
        <f t="shared" si="0"/>
        <v>EURAB3EBASIS6Y_Quote</v>
      </c>
      <c r="J11" s="236" t="str">
        <f>_xll.qlCompositeQuote(I11,F11,H11,G11,Permanent,Trigger,ObjectOverwrite)</f>
        <v>EURAB3EBASIS6Y_Quote#0002</v>
      </c>
      <c r="K11" s="245" t="str">
        <f>_xll.ohRangeRetrieveError(J11)</f>
        <v/>
      </c>
      <c r="L11" s="49"/>
    </row>
    <row r="12" spans="1:12" x14ac:dyDescent="0.2">
      <c r="A12" s="122"/>
      <c r="B12" s="214" t="s">
        <v>97</v>
      </c>
      <c r="C12" s="106" t="s">
        <v>188</v>
      </c>
      <c r="D12" s="106" t="s">
        <v>129</v>
      </c>
      <c r="E12" s="106" t="s">
        <v>122</v>
      </c>
      <c r="F12" s="236" t="str">
        <f>Swap6M!F15</f>
        <v>EURAB6E7Y_Quote#0002</v>
      </c>
      <c r="G12" s="106" t="s">
        <v>207</v>
      </c>
      <c r="H12" s="237" t="str">
        <f>BasisSwap3M6M!F15</f>
        <v>EUR3E6E7Y_Quote#0002</v>
      </c>
      <c r="I12" s="236" t="str">
        <f t="shared" si="0"/>
        <v>EURAB3EBASIS7Y_Quote</v>
      </c>
      <c r="J12" s="236" t="str">
        <f>_xll.qlCompositeQuote(I12,F12,H12,G12,Permanent,Trigger,ObjectOverwrite)</f>
        <v>EURAB3EBASIS7Y_Quote#0002</v>
      </c>
      <c r="K12" s="245" t="str">
        <f>_xll.ohRangeRetrieveError(J12)</f>
        <v/>
      </c>
      <c r="L12" s="49"/>
    </row>
    <row r="13" spans="1:12" x14ac:dyDescent="0.2">
      <c r="A13" s="122"/>
      <c r="B13" s="214" t="s">
        <v>96</v>
      </c>
      <c r="C13" s="106" t="s">
        <v>188</v>
      </c>
      <c r="D13" s="106" t="s">
        <v>129</v>
      </c>
      <c r="E13" s="106" t="s">
        <v>122</v>
      </c>
      <c r="F13" s="236" t="str">
        <f>Swap6M!F16</f>
        <v>EURAB6E8Y_Quote#0002</v>
      </c>
      <c r="G13" s="106" t="s">
        <v>207</v>
      </c>
      <c r="H13" s="237" t="str">
        <f>BasisSwap3M6M!F16</f>
        <v>EUR3E6E8Y_Quote#0002</v>
      </c>
      <c r="I13" s="236" t="str">
        <f t="shared" si="0"/>
        <v>EURAB3EBASIS8Y_Quote</v>
      </c>
      <c r="J13" s="236" t="str">
        <f>_xll.qlCompositeQuote(I13,F13,H13,G13,Permanent,Trigger,ObjectOverwrite)</f>
        <v>EURAB3EBASIS8Y_Quote#0002</v>
      </c>
      <c r="K13" s="245" t="str">
        <f>_xll.ohRangeRetrieveError(J13)</f>
        <v/>
      </c>
      <c r="L13" s="49"/>
    </row>
    <row r="14" spans="1:12" x14ac:dyDescent="0.2">
      <c r="A14" s="122"/>
      <c r="B14" s="214" t="s">
        <v>95</v>
      </c>
      <c r="C14" s="106" t="s">
        <v>188</v>
      </c>
      <c r="D14" s="106" t="s">
        <v>129</v>
      </c>
      <c r="E14" s="106" t="s">
        <v>122</v>
      </c>
      <c r="F14" s="236" t="str">
        <f>Swap6M!F17</f>
        <v>EURAB6E9Y_Quote#0002</v>
      </c>
      <c r="G14" s="106" t="s">
        <v>207</v>
      </c>
      <c r="H14" s="237" t="str">
        <f>BasisSwap3M6M!F17</f>
        <v>EUR3E6E9Y_Quote#0002</v>
      </c>
      <c r="I14" s="236" t="str">
        <f t="shared" si="0"/>
        <v>EURAB3EBASIS9Y_Quote</v>
      </c>
      <c r="J14" s="236" t="str">
        <f>_xll.qlCompositeQuote(I14,F14,H14,G14,Permanent,Trigger,ObjectOverwrite)</f>
        <v>EURAB3EBASIS9Y_Quote#0002</v>
      </c>
      <c r="K14" s="245" t="str">
        <f>_xll.ohRangeRetrieveError(J14)</f>
        <v/>
      </c>
      <c r="L14" s="49"/>
    </row>
    <row r="15" spans="1:12" x14ac:dyDescent="0.2">
      <c r="A15" s="122"/>
      <c r="B15" s="214" t="s">
        <v>94</v>
      </c>
      <c r="C15" s="106" t="s">
        <v>188</v>
      </c>
      <c r="D15" s="106" t="s">
        <v>129</v>
      </c>
      <c r="E15" s="106" t="s">
        <v>122</v>
      </c>
      <c r="F15" s="236" t="str">
        <f>Swap6M!F18</f>
        <v>EURAB6E10Y_Quote#0002</v>
      </c>
      <c r="G15" s="106" t="s">
        <v>207</v>
      </c>
      <c r="H15" s="237" t="str">
        <f>BasisSwap3M6M!F18</f>
        <v>EUR3E6E10Y_Quote#0002</v>
      </c>
      <c r="I15" s="236" t="str">
        <f t="shared" si="0"/>
        <v>EURAB3EBASIS10Y_Quote</v>
      </c>
      <c r="J15" s="236" t="str">
        <f>_xll.qlCompositeQuote(I15,F15,H15,G15,Permanent,Trigger,ObjectOverwrite)</f>
        <v>EURAB3EBASIS10Y_Quote#0002</v>
      </c>
      <c r="K15" s="245" t="str">
        <f>_xll.ohRangeRetrieveError(J15)</f>
        <v/>
      </c>
      <c r="L15" s="49"/>
    </row>
    <row r="16" spans="1:12" x14ac:dyDescent="0.2">
      <c r="A16" s="122"/>
      <c r="B16" s="214" t="s">
        <v>93</v>
      </c>
      <c r="C16" s="106" t="s">
        <v>188</v>
      </c>
      <c r="D16" s="106" t="s">
        <v>129</v>
      </c>
      <c r="E16" s="106" t="s">
        <v>122</v>
      </c>
      <c r="F16" s="236" t="str">
        <f>Swap6M!F19</f>
        <v>EURAB6E11Y_Quote#0002</v>
      </c>
      <c r="G16" s="106" t="s">
        <v>207</v>
      </c>
      <c r="H16" s="237" t="str">
        <f>BasisSwap3M6M!F19</f>
        <v>EUR3E6E11Y_Quote#0002</v>
      </c>
      <c r="I16" s="236" t="str">
        <f t="shared" si="0"/>
        <v>EURAB3EBASIS11Y_Quote</v>
      </c>
      <c r="J16" s="236" t="str">
        <f>_xll.qlCompositeQuote(I16,F16,H16,G16,Permanent,Trigger,ObjectOverwrite)</f>
        <v>EURAB3EBASIS11Y_Quote#0002</v>
      </c>
      <c r="K16" s="245" t="str">
        <f>_xll.ohRangeRetrieveError(J16)</f>
        <v/>
      </c>
      <c r="L16" s="49"/>
    </row>
    <row r="17" spans="1:12" x14ac:dyDescent="0.2">
      <c r="A17" s="122"/>
      <c r="B17" s="214" t="s">
        <v>92</v>
      </c>
      <c r="C17" s="106" t="s">
        <v>188</v>
      </c>
      <c r="D17" s="106" t="s">
        <v>129</v>
      </c>
      <c r="E17" s="106" t="s">
        <v>122</v>
      </c>
      <c r="F17" s="236" t="str">
        <f>Swap6M!F20</f>
        <v>EURAB6E12Y_Quote#0002</v>
      </c>
      <c r="G17" s="106" t="s">
        <v>207</v>
      </c>
      <c r="H17" s="237" t="str">
        <f>BasisSwap3M6M!F20</f>
        <v>EUR3E6E12Y_Quote#0002</v>
      </c>
      <c r="I17" s="236" t="str">
        <f t="shared" si="0"/>
        <v>EURAB3EBASIS12Y_Quote</v>
      </c>
      <c r="J17" s="236" t="str">
        <f>_xll.qlCompositeQuote(I17,F17,H17,G17,Permanent,Trigger,ObjectOverwrite)</f>
        <v>EURAB3EBASIS12Y_Quote#0002</v>
      </c>
      <c r="K17" s="245" t="str">
        <f>_xll.ohRangeRetrieveError(J17)</f>
        <v/>
      </c>
      <c r="L17" s="49"/>
    </row>
    <row r="18" spans="1:12" x14ac:dyDescent="0.2">
      <c r="A18" s="122"/>
      <c r="B18" s="214" t="s">
        <v>91</v>
      </c>
      <c r="C18" s="106" t="s">
        <v>188</v>
      </c>
      <c r="D18" s="106" t="s">
        <v>129</v>
      </c>
      <c r="E18" s="106" t="s">
        <v>122</v>
      </c>
      <c r="F18" s="236" t="str">
        <f>Swap6M!F21</f>
        <v>EURAB6E13Y_Quote#0002</v>
      </c>
      <c r="G18" s="106" t="s">
        <v>207</v>
      </c>
      <c r="H18" s="237" t="str">
        <f>BasisSwap3M6M!F21</f>
        <v>EUR3E6E13Y_Quote#0002</v>
      </c>
      <c r="I18" s="236" t="str">
        <f t="shared" si="0"/>
        <v>EURAB3EBASIS13Y_Quote</v>
      </c>
      <c r="J18" s="236" t="str">
        <f>_xll.qlCompositeQuote(I18,F18,H18,G18,Permanent,Trigger,ObjectOverwrite)</f>
        <v>EURAB3EBASIS13Y_Quote#0002</v>
      </c>
      <c r="K18" s="245" t="str">
        <f>_xll.ohRangeRetrieveError(J18)</f>
        <v/>
      </c>
      <c r="L18" s="49"/>
    </row>
    <row r="19" spans="1:12" x14ac:dyDescent="0.2">
      <c r="A19" s="122"/>
      <c r="B19" s="214" t="s">
        <v>90</v>
      </c>
      <c r="C19" s="106" t="s">
        <v>188</v>
      </c>
      <c r="D19" s="106" t="s">
        <v>129</v>
      </c>
      <c r="E19" s="106" t="s">
        <v>122</v>
      </c>
      <c r="F19" s="236" t="str">
        <f>Swap6M!F22</f>
        <v>EURAB6E14Y_Quote#0002</v>
      </c>
      <c r="G19" s="106" t="s">
        <v>207</v>
      </c>
      <c r="H19" s="237" t="str">
        <f>BasisSwap3M6M!F22</f>
        <v>EUR3E6E14Y_Quote#0002</v>
      </c>
      <c r="I19" s="236" t="str">
        <f t="shared" si="0"/>
        <v>EURAB3EBASIS14Y_Quote</v>
      </c>
      <c r="J19" s="236" t="str">
        <f>_xll.qlCompositeQuote(I19,F19,H19,G19,Permanent,Trigger,ObjectOverwrite)</f>
        <v>EURAB3EBASIS14Y_Quote#0002</v>
      </c>
      <c r="K19" s="245" t="str">
        <f>_xll.ohRangeRetrieveError(J19)</f>
        <v/>
      </c>
      <c r="L19" s="49"/>
    </row>
    <row r="20" spans="1:12" x14ac:dyDescent="0.2">
      <c r="A20" s="122"/>
      <c r="B20" s="214" t="s">
        <v>89</v>
      </c>
      <c r="C20" s="106" t="s">
        <v>188</v>
      </c>
      <c r="D20" s="106" t="s">
        <v>129</v>
      </c>
      <c r="E20" s="106" t="s">
        <v>122</v>
      </c>
      <c r="F20" s="236" t="str">
        <f>Swap6M!F23</f>
        <v>EURAB6E15Y_Quote#0002</v>
      </c>
      <c r="G20" s="106" t="s">
        <v>207</v>
      </c>
      <c r="H20" s="237" t="str">
        <f>BasisSwap3M6M!F23</f>
        <v>EUR3E6E15Y_Quote#0002</v>
      </c>
      <c r="I20" s="236" t="str">
        <f t="shared" si="0"/>
        <v>EURAB3EBASIS15Y_Quote</v>
      </c>
      <c r="J20" s="236" t="str">
        <f>_xll.qlCompositeQuote(I20,F20,H20,G20,Permanent,Trigger,ObjectOverwrite)</f>
        <v>EURAB3EBASIS15Y_Quote#0002</v>
      </c>
      <c r="K20" s="245" t="str">
        <f>_xll.ohRangeRetrieveError(J20)</f>
        <v/>
      </c>
      <c r="L20" s="49"/>
    </row>
    <row r="21" spans="1:12" x14ac:dyDescent="0.2">
      <c r="A21" s="122"/>
      <c r="B21" s="214" t="s">
        <v>88</v>
      </c>
      <c r="C21" s="106" t="s">
        <v>188</v>
      </c>
      <c r="D21" s="106" t="s">
        <v>129</v>
      </c>
      <c r="E21" s="106" t="s">
        <v>122</v>
      </c>
      <c r="F21" s="236" t="str">
        <f>Swap6M!F24</f>
        <v>EURAB6E16Y_Quote#0002</v>
      </c>
      <c r="G21" s="106" t="s">
        <v>207</v>
      </c>
      <c r="H21" s="237" t="str">
        <f>BasisSwap3M6M!F24</f>
        <v>EUR3E6E16Y_Quote#0002</v>
      </c>
      <c r="I21" s="236" t="str">
        <f t="shared" si="0"/>
        <v>EURAB3EBASIS16Y_Quote</v>
      </c>
      <c r="J21" s="236" t="str">
        <f>_xll.qlCompositeQuote(I21,F21,H21,G21,Permanent,Trigger,ObjectOverwrite)</f>
        <v>EURAB3EBASIS16Y_Quote#0002</v>
      </c>
      <c r="K21" s="245" t="str">
        <f>_xll.ohRangeRetrieveError(J21)</f>
        <v/>
      </c>
      <c r="L21" s="49"/>
    </row>
    <row r="22" spans="1:12" x14ac:dyDescent="0.2">
      <c r="A22" s="122"/>
      <c r="B22" s="214" t="s">
        <v>87</v>
      </c>
      <c r="C22" s="106" t="s">
        <v>188</v>
      </c>
      <c r="D22" s="106" t="s">
        <v>129</v>
      </c>
      <c r="E22" s="106" t="s">
        <v>122</v>
      </c>
      <c r="F22" s="236" t="str">
        <f>Swap6M!F25</f>
        <v>EURAB6E17Y_Quote#0002</v>
      </c>
      <c r="G22" s="106" t="s">
        <v>207</v>
      </c>
      <c r="H22" s="237" t="str">
        <f>BasisSwap3M6M!F25</f>
        <v>EUR3E6E17Y_Quote#0002</v>
      </c>
      <c r="I22" s="236" t="str">
        <f t="shared" si="0"/>
        <v>EURAB3EBASIS17Y_Quote</v>
      </c>
      <c r="J22" s="236" t="str">
        <f>_xll.qlCompositeQuote(I22,F22,H22,G22,Permanent,Trigger,ObjectOverwrite)</f>
        <v>EURAB3EBASIS17Y_Quote#0002</v>
      </c>
      <c r="K22" s="245" t="str">
        <f>_xll.ohRangeRetrieveError(J22)</f>
        <v/>
      </c>
      <c r="L22" s="49"/>
    </row>
    <row r="23" spans="1:12" x14ac:dyDescent="0.2">
      <c r="A23" s="122"/>
      <c r="B23" s="214" t="s">
        <v>86</v>
      </c>
      <c r="C23" s="106" t="s">
        <v>188</v>
      </c>
      <c r="D23" s="106" t="s">
        <v>129</v>
      </c>
      <c r="E23" s="106" t="s">
        <v>122</v>
      </c>
      <c r="F23" s="236" t="str">
        <f>Swap6M!F26</f>
        <v>EURAB6E18Y_Quote#0002</v>
      </c>
      <c r="G23" s="106" t="s">
        <v>207</v>
      </c>
      <c r="H23" s="237" t="str">
        <f>BasisSwap3M6M!F26</f>
        <v>EUR3E6E18Y_Quote#0002</v>
      </c>
      <c r="I23" s="236" t="str">
        <f t="shared" si="0"/>
        <v>EURAB3EBASIS18Y_Quote</v>
      </c>
      <c r="J23" s="236" t="str">
        <f>_xll.qlCompositeQuote(I23,F23,H23,G23,Permanent,Trigger,ObjectOverwrite)</f>
        <v>EURAB3EBASIS18Y_Quote#0002</v>
      </c>
      <c r="K23" s="245" t="str">
        <f>_xll.ohRangeRetrieveError(J23)</f>
        <v/>
      </c>
      <c r="L23" s="49"/>
    </row>
    <row r="24" spans="1:12" x14ac:dyDescent="0.2">
      <c r="A24" s="122"/>
      <c r="B24" s="214" t="s">
        <v>85</v>
      </c>
      <c r="C24" s="106" t="s">
        <v>188</v>
      </c>
      <c r="D24" s="106" t="s">
        <v>129</v>
      </c>
      <c r="E24" s="106" t="s">
        <v>122</v>
      </c>
      <c r="F24" s="236" t="str">
        <f>Swap6M!F27</f>
        <v>EURAB6E19Y_Quote#0002</v>
      </c>
      <c r="G24" s="106" t="s">
        <v>207</v>
      </c>
      <c r="H24" s="237" t="str">
        <f>BasisSwap3M6M!F27</f>
        <v>EUR3E6E19Y_Quote#0002</v>
      </c>
      <c r="I24" s="236" t="str">
        <f t="shared" si="0"/>
        <v>EURAB3EBASIS19Y_Quote</v>
      </c>
      <c r="J24" s="236" t="str">
        <f>_xll.qlCompositeQuote(I24,F24,H24,G24,Permanent,Trigger,ObjectOverwrite)</f>
        <v>EURAB3EBASIS19Y_Quote#0002</v>
      </c>
      <c r="K24" s="245" t="str">
        <f>_xll.ohRangeRetrieveError(J24)</f>
        <v/>
      </c>
      <c r="L24" s="49"/>
    </row>
    <row r="25" spans="1:12" x14ac:dyDescent="0.2">
      <c r="A25" s="122"/>
      <c r="B25" s="214" t="s">
        <v>84</v>
      </c>
      <c r="C25" s="106" t="s">
        <v>188</v>
      </c>
      <c r="D25" s="106" t="s">
        <v>129</v>
      </c>
      <c r="E25" s="106" t="s">
        <v>122</v>
      </c>
      <c r="F25" s="236" t="str">
        <f>Swap6M!F28</f>
        <v>EURAB6E20Y_Quote#0002</v>
      </c>
      <c r="G25" s="106" t="s">
        <v>207</v>
      </c>
      <c r="H25" s="237" t="str">
        <f>BasisSwap3M6M!F28</f>
        <v>EUR3E6E20Y_Quote#0002</v>
      </c>
      <c r="I25" s="236" t="str">
        <f t="shared" si="0"/>
        <v>EURAB3EBASIS20Y_Quote</v>
      </c>
      <c r="J25" s="236" t="str">
        <f>_xll.qlCompositeQuote(I25,F25,H25,G25,Permanent,Trigger,ObjectOverwrite)</f>
        <v>EURAB3EBASIS20Y_Quote#0002</v>
      </c>
      <c r="K25" s="245" t="str">
        <f>_xll.ohRangeRetrieveError(J25)</f>
        <v/>
      </c>
      <c r="L25" s="49"/>
    </row>
    <row r="26" spans="1:12" x14ac:dyDescent="0.2">
      <c r="A26" s="122"/>
      <c r="B26" s="214" t="s">
        <v>83</v>
      </c>
      <c r="C26" s="106" t="s">
        <v>188</v>
      </c>
      <c r="D26" s="106" t="s">
        <v>129</v>
      </c>
      <c r="E26" s="106" t="s">
        <v>122</v>
      </c>
      <c r="F26" s="236" t="str">
        <f>Swap6M!F29</f>
        <v>EURAB6E21Y_Quote#0002</v>
      </c>
      <c r="G26" s="106" t="s">
        <v>207</v>
      </c>
      <c r="H26" s="237" t="str">
        <f>BasisSwap3M6M!F29</f>
        <v>EUR3E6E21Y_Quote#0002</v>
      </c>
      <c r="I26" s="236" t="str">
        <f t="shared" si="0"/>
        <v>EURAB3EBASIS21Y_Quote</v>
      </c>
      <c r="J26" s="236" t="str">
        <f>_xll.qlCompositeQuote(I26,F26,H26,G26,Permanent,Trigger,ObjectOverwrite)</f>
        <v>EURAB3EBASIS21Y_Quote#0002</v>
      </c>
      <c r="K26" s="245" t="str">
        <f>_xll.ohRangeRetrieveError(J26)</f>
        <v/>
      </c>
      <c r="L26" s="49"/>
    </row>
    <row r="27" spans="1:12" x14ac:dyDescent="0.2">
      <c r="A27" s="122"/>
      <c r="B27" s="214" t="s">
        <v>82</v>
      </c>
      <c r="C27" s="106" t="s">
        <v>188</v>
      </c>
      <c r="D27" s="106" t="s">
        <v>129</v>
      </c>
      <c r="E27" s="106" t="s">
        <v>122</v>
      </c>
      <c r="F27" s="236" t="str">
        <f>Swap6M!F30</f>
        <v>EURAB6E22Y_Quote#0002</v>
      </c>
      <c r="G27" s="106" t="s">
        <v>207</v>
      </c>
      <c r="H27" s="237" t="str">
        <f>BasisSwap3M6M!F30</f>
        <v>EUR3E6E22Y_Quote#0002</v>
      </c>
      <c r="I27" s="236" t="str">
        <f t="shared" si="0"/>
        <v>EURAB3EBASIS22Y_Quote</v>
      </c>
      <c r="J27" s="236" t="str">
        <f>_xll.qlCompositeQuote(I27,F27,H27,G27,Permanent,Trigger,ObjectOverwrite)</f>
        <v>EURAB3EBASIS22Y_Quote#0002</v>
      </c>
      <c r="K27" s="245" t="str">
        <f>_xll.ohRangeRetrieveError(J27)</f>
        <v/>
      </c>
      <c r="L27" s="49"/>
    </row>
    <row r="28" spans="1:12" x14ac:dyDescent="0.2">
      <c r="A28" s="122"/>
      <c r="B28" s="214" t="s">
        <v>81</v>
      </c>
      <c r="C28" s="106" t="s">
        <v>188</v>
      </c>
      <c r="D28" s="106" t="s">
        <v>129</v>
      </c>
      <c r="E28" s="106" t="s">
        <v>122</v>
      </c>
      <c r="F28" s="236" t="str">
        <f>Swap6M!F31</f>
        <v>EURAB6E23Y_Quote#0002</v>
      </c>
      <c r="G28" s="106" t="s">
        <v>207</v>
      </c>
      <c r="H28" s="237" t="str">
        <f>BasisSwap3M6M!F31</f>
        <v>EUR3E6E23Y_Quote#0002</v>
      </c>
      <c r="I28" s="236" t="str">
        <f t="shared" si="0"/>
        <v>EURAB3EBASIS23Y_Quote</v>
      </c>
      <c r="J28" s="236" t="str">
        <f>_xll.qlCompositeQuote(I28,F28,H28,G28,Permanent,Trigger,ObjectOverwrite)</f>
        <v>EURAB3EBASIS23Y_Quote#0002</v>
      </c>
      <c r="K28" s="245" t="str">
        <f>_xll.ohRangeRetrieveError(J28)</f>
        <v/>
      </c>
      <c r="L28" s="49"/>
    </row>
    <row r="29" spans="1:12" x14ac:dyDescent="0.2">
      <c r="A29" s="122"/>
      <c r="B29" s="214" t="s">
        <v>80</v>
      </c>
      <c r="C29" s="106" t="s">
        <v>188</v>
      </c>
      <c r="D29" s="106" t="s">
        <v>129</v>
      </c>
      <c r="E29" s="106" t="s">
        <v>122</v>
      </c>
      <c r="F29" s="236" t="str">
        <f>Swap6M!F32</f>
        <v>EURAB6E24Y_Quote#0002</v>
      </c>
      <c r="G29" s="106" t="s">
        <v>207</v>
      </c>
      <c r="H29" s="237" t="str">
        <f>BasisSwap3M6M!F32</f>
        <v>EUR3E6E24Y_Quote#0002</v>
      </c>
      <c r="I29" s="236" t="str">
        <f t="shared" si="0"/>
        <v>EURAB3EBASIS24Y_Quote</v>
      </c>
      <c r="J29" s="236" t="str">
        <f>_xll.qlCompositeQuote(I29,F29,H29,G29,Permanent,Trigger,ObjectOverwrite)</f>
        <v>EURAB3EBASIS24Y_Quote#0002</v>
      </c>
      <c r="K29" s="245" t="str">
        <f>_xll.ohRangeRetrieveError(J29)</f>
        <v/>
      </c>
      <c r="L29" s="49"/>
    </row>
    <row r="30" spans="1:12" x14ac:dyDescent="0.2">
      <c r="A30" s="122"/>
      <c r="B30" s="214" t="s">
        <v>79</v>
      </c>
      <c r="C30" s="106" t="s">
        <v>188</v>
      </c>
      <c r="D30" s="106" t="s">
        <v>129</v>
      </c>
      <c r="E30" s="106" t="s">
        <v>122</v>
      </c>
      <c r="F30" s="236" t="str">
        <f>Swap6M!F33</f>
        <v>EURAB6E25Y_Quote#0002</v>
      </c>
      <c r="G30" s="106" t="s">
        <v>207</v>
      </c>
      <c r="H30" s="237" t="str">
        <f>BasisSwap3M6M!F33</f>
        <v>EUR3E6E25Y_Quote#0002</v>
      </c>
      <c r="I30" s="236" t="str">
        <f t="shared" si="0"/>
        <v>EURAB3EBASIS25Y_Quote</v>
      </c>
      <c r="J30" s="236" t="str">
        <f>_xll.qlCompositeQuote(I30,F30,H30,G30,Permanent,Trigger,ObjectOverwrite)</f>
        <v>EURAB3EBASIS25Y_Quote#0002</v>
      </c>
      <c r="K30" s="245" t="str">
        <f>_xll.ohRangeRetrieveError(J30)</f>
        <v/>
      </c>
      <c r="L30" s="49"/>
    </row>
    <row r="31" spans="1:12" x14ac:dyDescent="0.2">
      <c r="A31" s="122"/>
      <c r="B31" s="214" t="s">
        <v>78</v>
      </c>
      <c r="C31" s="106" t="s">
        <v>188</v>
      </c>
      <c r="D31" s="106" t="s">
        <v>129</v>
      </c>
      <c r="E31" s="106" t="s">
        <v>122</v>
      </c>
      <c r="F31" s="236" t="str">
        <f>Swap6M!F34</f>
        <v>EURAB6E26Y_Quote#0002</v>
      </c>
      <c r="G31" s="106" t="s">
        <v>207</v>
      </c>
      <c r="H31" s="237" t="str">
        <f>BasisSwap3M6M!F34</f>
        <v>EUR3E6E26Y_Quote#0002</v>
      </c>
      <c r="I31" s="236" t="str">
        <f t="shared" si="0"/>
        <v>EURAB3EBASIS26Y_Quote</v>
      </c>
      <c r="J31" s="236" t="str">
        <f>_xll.qlCompositeQuote(I31,F31,H31,G31,Permanent,Trigger,ObjectOverwrite)</f>
        <v>EURAB3EBASIS26Y_Quote#0002</v>
      </c>
      <c r="K31" s="245" t="str">
        <f>_xll.ohRangeRetrieveError(J31)</f>
        <v/>
      </c>
      <c r="L31" s="49"/>
    </row>
    <row r="32" spans="1:12" x14ac:dyDescent="0.2">
      <c r="A32" s="122"/>
      <c r="B32" s="214" t="s">
        <v>77</v>
      </c>
      <c r="C32" s="106" t="s">
        <v>188</v>
      </c>
      <c r="D32" s="106" t="s">
        <v>129</v>
      </c>
      <c r="E32" s="106" t="s">
        <v>122</v>
      </c>
      <c r="F32" s="236" t="str">
        <f>Swap6M!F35</f>
        <v>EURAB6E27Y_Quote#0002</v>
      </c>
      <c r="G32" s="106" t="s">
        <v>207</v>
      </c>
      <c r="H32" s="237" t="str">
        <f>BasisSwap3M6M!F35</f>
        <v>EUR3E6E27Y_Quote#0002</v>
      </c>
      <c r="I32" s="236" t="str">
        <f t="shared" si="0"/>
        <v>EURAB3EBASIS27Y_Quote</v>
      </c>
      <c r="J32" s="236" t="str">
        <f>_xll.qlCompositeQuote(I32,F32,H32,G32,Permanent,Trigger,ObjectOverwrite)</f>
        <v>EURAB3EBASIS27Y_Quote#0002</v>
      </c>
      <c r="K32" s="245" t="str">
        <f>_xll.ohRangeRetrieveError(J32)</f>
        <v/>
      </c>
      <c r="L32" s="49"/>
    </row>
    <row r="33" spans="1:12" x14ac:dyDescent="0.2">
      <c r="A33" s="122"/>
      <c r="B33" s="214" t="s">
        <v>76</v>
      </c>
      <c r="C33" s="106" t="s">
        <v>188</v>
      </c>
      <c r="D33" s="106" t="s">
        <v>129</v>
      </c>
      <c r="E33" s="106" t="s">
        <v>122</v>
      </c>
      <c r="F33" s="236" t="str">
        <f>Swap6M!F36</f>
        <v>EURAB6E28Y_Quote#0002</v>
      </c>
      <c r="G33" s="106" t="s">
        <v>207</v>
      </c>
      <c r="H33" s="237" t="str">
        <f>BasisSwap3M6M!F36</f>
        <v>EUR3E6E28Y_Quote#0002</v>
      </c>
      <c r="I33" s="236" t="str">
        <f t="shared" si="0"/>
        <v>EURAB3EBASIS28Y_Quote</v>
      </c>
      <c r="J33" s="236" t="str">
        <f>_xll.qlCompositeQuote(I33,F33,H33,G33,Permanent,Trigger,ObjectOverwrite)</f>
        <v>EURAB3EBASIS28Y_Quote#0002</v>
      </c>
      <c r="K33" s="245" t="str">
        <f>_xll.ohRangeRetrieveError(J33)</f>
        <v/>
      </c>
      <c r="L33" s="49"/>
    </row>
    <row r="34" spans="1:12" x14ac:dyDescent="0.2">
      <c r="A34" s="122"/>
      <c r="B34" s="214" t="s">
        <v>75</v>
      </c>
      <c r="C34" s="106" t="s">
        <v>188</v>
      </c>
      <c r="D34" s="106" t="s">
        <v>129</v>
      </c>
      <c r="E34" s="106" t="s">
        <v>122</v>
      </c>
      <c r="F34" s="236" t="str">
        <f>Swap6M!F37</f>
        <v>EURAB6E29Y_Quote#0002</v>
      </c>
      <c r="G34" s="106" t="s">
        <v>207</v>
      </c>
      <c r="H34" s="237" t="str">
        <f>BasisSwap3M6M!F37</f>
        <v>EUR3E6E29Y_Quote#0002</v>
      </c>
      <c r="I34" s="236" t="str">
        <f t="shared" si="0"/>
        <v>EURAB3EBASIS29Y_Quote</v>
      </c>
      <c r="J34" s="236" t="str">
        <f>_xll.qlCompositeQuote(I34,F34,H34,G34,Permanent,Trigger,ObjectOverwrite)</f>
        <v>EURAB3EBASIS29Y_Quote#0002</v>
      </c>
      <c r="K34" s="245" t="str">
        <f>_xll.ohRangeRetrieveError(J34)</f>
        <v/>
      </c>
      <c r="L34" s="49"/>
    </row>
    <row r="35" spans="1:12" x14ac:dyDescent="0.2">
      <c r="A35" s="122"/>
      <c r="B35" s="214" t="s">
        <v>74</v>
      </c>
      <c r="C35" s="106" t="s">
        <v>188</v>
      </c>
      <c r="D35" s="106" t="s">
        <v>129</v>
      </c>
      <c r="E35" s="106" t="s">
        <v>122</v>
      </c>
      <c r="F35" s="236" t="str">
        <f>Swap6M!F38</f>
        <v>EURAB6E30Y_Quote#0002</v>
      </c>
      <c r="G35" s="106" t="s">
        <v>207</v>
      </c>
      <c r="H35" s="237" t="str">
        <f>BasisSwap3M6M!F38</f>
        <v>EUR3E6E30Y_Quote#0002</v>
      </c>
      <c r="I35" s="236" t="str">
        <f t="shared" si="0"/>
        <v>EURAB3EBASIS30Y_Quote</v>
      </c>
      <c r="J35" s="236" t="str">
        <f>_xll.qlCompositeQuote(I35,F35,H35,G35,Permanent,Trigger,ObjectOverwrite)</f>
        <v>EURAB3EBASIS30Y_Quote#0002</v>
      </c>
      <c r="K35" s="245" t="str">
        <f>_xll.ohRangeRetrieveError(J35)</f>
        <v/>
      </c>
      <c r="L35" s="49"/>
    </row>
    <row r="36" spans="1:12" x14ac:dyDescent="0.2">
      <c r="A36" s="122"/>
      <c r="B36" s="214" t="s">
        <v>69</v>
      </c>
      <c r="C36" s="106" t="s">
        <v>188</v>
      </c>
      <c r="D36" s="106" t="s">
        <v>129</v>
      </c>
      <c r="E36" s="106" t="s">
        <v>122</v>
      </c>
      <c r="F36" s="236" t="str">
        <f>Swap6M!F39</f>
        <v>EURAB6E35Y_Quote#0002</v>
      </c>
      <c r="G36" s="106" t="s">
        <v>207</v>
      </c>
      <c r="H36" s="237" t="str">
        <f>BasisSwap3M6M!F39</f>
        <v>EUR3E6E35Y_Quote#0002</v>
      </c>
      <c r="I36" s="236" t="str">
        <f t="shared" si="0"/>
        <v>EURAB3EBASIS35Y_Quote</v>
      </c>
      <c r="J36" s="236" t="str">
        <f>_xll.qlCompositeQuote(I36,F36,H36,G36,Permanent,Trigger,ObjectOverwrite)</f>
        <v>EURAB3EBASIS35Y_Quote#0002</v>
      </c>
      <c r="K36" s="245" t="str">
        <f>_xll.ohRangeRetrieveError(J36)</f>
        <v/>
      </c>
      <c r="L36" s="49"/>
    </row>
    <row r="37" spans="1:12" x14ac:dyDescent="0.2">
      <c r="A37" s="122"/>
      <c r="B37" s="214" t="s">
        <v>64</v>
      </c>
      <c r="C37" s="106" t="s">
        <v>188</v>
      </c>
      <c r="D37" s="106" t="s">
        <v>129</v>
      </c>
      <c r="E37" s="106" t="s">
        <v>122</v>
      </c>
      <c r="F37" s="236" t="str">
        <f>Swap6M!F40</f>
        <v>EURAB6E40Y_Quote#0002</v>
      </c>
      <c r="G37" s="106" t="s">
        <v>207</v>
      </c>
      <c r="H37" s="237" t="str">
        <f>BasisSwap3M6M!F40</f>
        <v>EUR3E6E40Y_Quote#0002</v>
      </c>
      <c r="I37" s="236" t="str">
        <f t="shared" si="0"/>
        <v>EURAB3EBASIS40Y_Quote</v>
      </c>
      <c r="J37" s="236" t="str">
        <f>_xll.qlCompositeQuote(I37,F37,H37,G37,Permanent,Trigger,ObjectOverwrite)</f>
        <v>EURAB3EBASIS40Y_Quote#0002</v>
      </c>
      <c r="K37" s="245" t="str">
        <f>_xll.ohRangeRetrieveError(J37)</f>
        <v/>
      </c>
      <c r="L37" s="49"/>
    </row>
    <row r="38" spans="1:12" x14ac:dyDescent="0.2">
      <c r="A38" s="122"/>
      <c r="B38" s="214" t="s">
        <v>54</v>
      </c>
      <c r="C38" s="106" t="s">
        <v>188</v>
      </c>
      <c r="D38" s="106" t="s">
        <v>129</v>
      </c>
      <c r="E38" s="106" t="s">
        <v>122</v>
      </c>
      <c r="F38" s="236" t="str">
        <f>Swap6M!F41</f>
        <v>EURAB6E50Y_Quote#0002</v>
      </c>
      <c r="G38" s="106" t="s">
        <v>207</v>
      </c>
      <c r="H38" s="237" t="str">
        <f>BasisSwap3M6M!F41</f>
        <v>EUR3E6E50Y_Quote#0002</v>
      </c>
      <c r="I38" s="236" t="str">
        <f t="shared" si="0"/>
        <v>EURAB3EBASIS50Y_Quote</v>
      </c>
      <c r="J38" s="236" t="str">
        <f>_xll.qlCompositeQuote(I38,F38,H38,G38,Permanent,Trigger,ObjectOverwrite)</f>
        <v>EURAB3EBASIS50Y_Quote#0002</v>
      </c>
      <c r="K38" s="245" t="str">
        <f>_xll.ohRangeRetrieveError(J38)</f>
        <v/>
      </c>
      <c r="L38" s="49"/>
    </row>
    <row r="39" spans="1:12" x14ac:dyDescent="0.2">
      <c r="A39" s="122"/>
      <c r="B39" s="214" t="s">
        <v>44</v>
      </c>
      <c r="C39" s="106" t="s">
        <v>188</v>
      </c>
      <c r="D39" s="106" t="s">
        <v>129</v>
      </c>
      <c r="E39" s="106" t="s">
        <v>122</v>
      </c>
      <c r="F39" s="236" t="str">
        <f>Swap6M!F42</f>
        <v>EURAB6E60Y_Quote#0002</v>
      </c>
      <c r="G39" s="106" t="s">
        <v>207</v>
      </c>
      <c r="H39" s="237" t="str">
        <f>BasisSwap3M6M!F42</f>
        <v>EUR3E6E60Y_Quote#0002</v>
      </c>
      <c r="I39" s="236" t="str">
        <f t="shared" si="0"/>
        <v>EURAB3EBASIS60Y_Quote</v>
      </c>
      <c r="J39" s="236" t="str">
        <f>_xll.qlCompositeQuote(I39,F39,H39,G39,Permanent,Trigger,ObjectOverwrite)</f>
        <v>EURAB3EBASIS60Y_Quote#0002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EURAB6EBASIS1Y_Quote#0001</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EURAB6EBASIS15M_Quote#0001</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EURAB6EBASIS18M_Quote#0001</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EURAB6EBASIS21M_Quote#0001</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EURAB6EBASIS2Y_Quote#0001</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EURAB6EBASIS3Y_Quote#0001</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EURAB6EBASIS4Y_Quote#0001</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EURAB6EBASIS5Y_Quote#0001</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EURAB6EBASIS6Y_Quote#0001</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EURAB6EBASIS7Y_Quote#0001</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EURAB6EBASIS8Y_Quote#0001</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EURAB6EBASIS9Y_Quote#0001</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EURAB6EBASIS10Y_Quote#0001</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EURAB6EBASIS11Y_Quote#0001</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EURAB6EBASIS12Y_Quote#0001</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EURAB6EBASIS13Y_Quote#0001</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EURAB6EBASIS14Y_Quote#0001</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EURAB6EBASIS15Y_Quote#0001</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EURAB6EBASIS16Y_Quote#0001</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EURAB6EBASIS17Y_Quote#0001</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EURAB6EBASIS18Y_Quote#0001</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EURAB6EBASIS19Y_Quote#0001</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EURAB6EBASIS20Y_Quote#0001</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EURAB6EBASIS21Y_Quote#0001</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EURAB6EBASIS22Y_Quote#0001</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EURAB6EBASIS23Y_Quote#0001</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EURAB6EBASIS24Y_Quote#0001</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EURAB6EBASIS25Y_Quote#0001</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EURAB6EBASIS26Y_Quote#0001</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EURAB6EBASIS27Y_Quote#0001</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EURAB6EBASIS28Y_Quote#0001</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EURAB6EBASIS29Y_Quote#0001</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EURAB6EBASIS30Y_Quote#0001</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EURAB6EBASIS35Y_Quote#0001</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EURAB6EBASIS40Y_Quote#0001</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EURAB6EBASIS50Y_Quote#0001</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EUR6E12E1Y_Quote#0002</v>
      </c>
      <c r="I3" s="236" t="str">
        <f t="shared" ref="I3:I39" si="1">Currency&amp;$C3&amp;$D3&amp;"BASIS"&amp;$B3&amp;QuoteSuffix</f>
        <v>EURAB12EBASIS1Y_Quote</v>
      </c>
      <c r="J3" s="236" t="str">
        <f>_xll.qlCompositeQuote(I3,F3,H3,G3,Permanent,Trigger,ObjectOverwrite)</f>
        <v>EURAB12EBASIS1Y_Quote#0002</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BasisSwapxM12M!F7</f>
        <v>EUR6E12E15M_Quote#0002</v>
      </c>
      <c r="I4" s="236" t="str">
        <f t="shared" si="1"/>
        <v>EURAB12EBASIS15M_Quote</v>
      </c>
      <c r="J4" s="236" t="str">
        <f>_xll.qlCompositeQuote(I4,F4,H4,G4,Permanent,Trigger,ObjectOverwrite)</f>
        <v>EURAB12EBASIS15M_Quote#0002</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BasisSwapxM12M!F8</f>
        <v>EUR6E12E18M_Quote#0002</v>
      </c>
      <c r="I5" s="236" t="str">
        <f t="shared" si="1"/>
        <v>EURAB12EBASIS18M_Quote</v>
      </c>
      <c r="J5" s="236" t="str">
        <f>_xll.qlCompositeQuote(I5,F5,H5,G5,Permanent,Trigger,ObjectOverwrite)</f>
        <v>EURAB12EBASIS18M_Quote#0002</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BasisSwapxM12M!F9</f>
        <v>EUR6E12E21M_Quote#0002</v>
      </c>
      <c r="I6" s="236" t="str">
        <f t="shared" si="1"/>
        <v>EURAB12EBASIS21M_Quote</v>
      </c>
      <c r="J6" s="236" t="str">
        <f>_xll.qlCompositeQuote(I6,F6,H6,G6,Permanent,Trigger,ObjectOverwrite)</f>
        <v>EURAB12EBASIS21M_Quote#0002</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BasisSwapxM12M!F10</f>
        <v>EUR6E12E2Y_Quote#0002</v>
      </c>
      <c r="I7" s="236" t="str">
        <f t="shared" si="1"/>
        <v>EURAB12EBASIS2Y_Quote</v>
      </c>
      <c r="J7" s="236" t="str">
        <f>_xll.qlCompositeQuote(I7,F7,H7,G7,Permanent,Trigger,ObjectOverwrite)</f>
        <v>EURAB12EBASIS2Y_Quote#0002</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BasisSwapxM12M!F11</f>
        <v>EUR6E12E3Y_Quote#0002</v>
      </c>
      <c r="I8" s="236" t="str">
        <f t="shared" si="1"/>
        <v>EURAB12EBASIS3Y_Quote</v>
      </c>
      <c r="J8" s="236" t="str">
        <f>_xll.qlCompositeQuote(I8,F8,H8,G8,Permanent,Trigger,ObjectOverwrite)</f>
        <v>EURAB12EBASIS3Y_Quote#0002</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BasisSwapxM12M!F12</f>
        <v>EUR6E12E4Y_Quote#0002</v>
      </c>
      <c r="I9" s="236" t="str">
        <f t="shared" si="1"/>
        <v>EURAB12EBASIS4Y_Quote</v>
      </c>
      <c r="J9" s="236" t="str">
        <f>_xll.qlCompositeQuote(I9,F9,H9,G9,Permanent,Trigger,ObjectOverwrite)</f>
        <v>EURAB12EBASIS4Y_Quote#0002</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BasisSwapxM12M!F13</f>
        <v>EUR6E12E5Y_Quote#0002</v>
      </c>
      <c r="I10" s="236" t="str">
        <f t="shared" si="1"/>
        <v>EURAB12EBASIS5Y_Quote</v>
      </c>
      <c r="J10" s="236" t="str">
        <f>_xll.qlCompositeQuote(I10,F10,H10,G10,Permanent,Trigger,ObjectOverwrite)</f>
        <v>EURAB12EBASIS5Y_Quote#0002</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BasisSwapxM12M!F14</f>
        <v>EUR6E12E6Y_Quote#0002</v>
      </c>
      <c r="I11" s="236" t="str">
        <f t="shared" si="1"/>
        <v>EURAB12EBASIS6Y_Quote</v>
      </c>
      <c r="J11" s="236" t="str">
        <f>_xll.qlCompositeQuote(I11,F11,H11,G11,Permanent,Trigger,ObjectOverwrite)</f>
        <v>EURAB12EBASIS6Y_Quote#0002</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BasisSwapxM12M!F15</f>
        <v>EUR6E12E7Y_Quote#0002</v>
      </c>
      <c r="I12" s="236" t="str">
        <f t="shared" si="1"/>
        <v>EURAB12EBASIS7Y_Quote</v>
      </c>
      <c r="J12" s="236" t="str">
        <f>_xll.qlCompositeQuote(I12,F12,H12,G12,Permanent,Trigger,ObjectOverwrite)</f>
        <v>EURAB12EBASIS7Y_Quote#0002</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BasisSwapxM12M!F16</f>
        <v>EUR6E12E8Y_Quote#0002</v>
      </c>
      <c r="I13" s="236" t="str">
        <f t="shared" si="1"/>
        <v>EURAB12EBASIS8Y_Quote</v>
      </c>
      <c r="J13" s="236" t="str">
        <f>_xll.qlCompositeQuote(I13,F13,H13,G13,Permanent,Trigger,ObjectOverwrite)</f>
        <v>EURAB12EBASIS8Y_Quote#0002</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BasisSwapxM12M!F17</f>
        <v>EUR6E12E9Y_Quote#0002</v>
      </c>
      <c r="I14" s="236" t="str">
        <f t="shared" si="1"/>
        <v>EURAB12EBASIS9Y_Quote</v>
      </c>
      <c r="J14" s="236" t="str">
        <f>_xll.qlCompositeQuote(I14,F14,H14,G14,Permanent,Trigger,ObjectOverwrite)</f>
        <v>EURAB12EBASIS9Y_Quote#0002</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BasisSwapxM12M!F18</f>
        <v>EUR6E12E10Y_Quote#0002</v>
      </c>
      <c r="I15" s="236" t="str">
        <f t="shared" si="1"/>
        <v>EURAB12EBASIS10Y_Quote</v>
      </c>
      <c r="J15" s="236" t="str">
        <f>_xll.qlCompositeQuote(I15,F15,H15,G15,Permanent,Trigger,ObjectOverwrite)</f>
        <v>EURAB12EBASIS10Y_Quote#0002</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BasisSwapxM12M!F19</f>
        <v>EUR6E12E11Y_Quote#0002</v>
      </c>
      <c r="I16" s="236" t="str">
        <f t="shared" si="1"/>
        <v>EURAB12EBASIS11Y_Quote</v>
      </c>
      <c r="J16" s="236" t="str">
        <f>_xll.qlCompositeQuote(I16,F16,H16,G16,Permanent,Trigger,ObjectOverwrite)</f>
        <v>EURAB12EBASIS11Y_Quote#0002</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EUR6E12E12Y_Quote#0002</v>
      </c>
      <c r="I17" s="236" t="str">
        <f t="shared" si="1"/>
        <v>EURAB12EBASIS12Y_Quote</v>
      </c>
      <c r="J17" s="236" t="str">
        <f>_xll.qlCompositeQuote(I17,F17,H17,G17,Permanent,Trigger,ObjectOverwrite)</f>
        <v>EURAB12EBASIS12Y_Quote#0002</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EUR6E12E13Y_Quote#0002</v>
      </c>
      <c r="I18" s="236" t="str">
        <f t="shared" si="1"/>
        <v>EURAB12EBASIS13Y_Quote</v>
      </c>
      <c r="J18" s="236" t="str">
        <f>_xll.qlCompositeQuote(I18,F18,H18,G18,Permanent,Trigger,ObjectOverwrite)</f>
        <v>EURAB12EBASIS13Y_Quote#0002</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EUR6E12E14Y_Quote#0002</v>
      </c>
      <c r="I19" s="236" t="str">
        <f t="shared" si="1"/>
        <v>EURAB12EBASIS14Y_Quote</v>
      </c>
      <c r="J19" s="236" t="str">
        <f>_xll.qlCompositeQuote(I19,F19,H19,G19,Permanent,Trigger,ObjectOverwrite)</f>
        <v>EURAB12EBASIS14Y_Quote#0002</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EUR6E12E15Y_Quote#0002</v>
      </c>
      <c r="I20" s="236" t="str">
        <f t="shared" si="1"/>
        <v>EURAB12EBASIS15Y_Quote</v>
      </c>
      <c r="J20" s="236" t="str">
        <f>_xll.qlCompositeQuote(I20,F20,H20,G20,Permanent,Trigger,ObjectOverwrite)</f>
        <v>EURAB12EBASIS15Y_Quote#0002</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EUR6E12E16Y_Quote#0002</v>
      </c>
      <c r="I21" s="236" t="str">
        <f t="shared" si="1"/>
        <v>EURAB12EBASIS16Y_Quote</v>
      </c>
      <c r="J21" s="236" t="str">
        <f>_xll.qlCompositeQuote(I21,F21,H21,G21,Permanent,Trigger,ObjectOverwrite)</f>
        <v>EURAB12EBASIS16Y_Quote#0002</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EUR6E12E17Y_Quote#0002</v>
      </c>
      <c r="I22" s="236" t="str">
        <f t="shared" si="1"/>
        <v>EURAB12EBASIS17Y_Quote</v>
      </c>
      <c r="J22" s="236" t="str">
        <f>_xll.qlCompositeQuote(I22,F22,H22,G22,Permanent,Trigger,ObjectOverwrite)</f>
        <v>EURAB12EBASIS17Y_Quote#0002</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EUR6E12E18Y_Quote#0002</v>
      </c>
      <c r="I23" s="236" t="str">
        <f t="shared" si="1"/>
        <v>EURAB12EBASIS18Y_Quote</v>
      </c>
      <c r="J23" s="236" t="str">
        <f>_xll.qlCompositeQuote(I23,F23,H23,G23,Permanent,Trigger,ObjectOverwrite)</f>
        <v>EURAB12EBASIS18Y_Quote#0002</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EUR6E12E19Y_Quote#0002</v>
      </c>
      <c r="I24" s="236" t="str">
        <f t="shared" si="1"/>
        <v>EURAB12EBASIS19Y_Quote</v>
      </c>
      <c r="J24" s="236" t="str">
        <f>_xll.qlCompositeQuote(I24,F24,H24,G24,Permanent,Trigger,ObjectOverwrite)</f>
        <v>EURAB12EBASIS19Y_Quote#0002</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EUR6E12E20Y_Quote#0002</v>
      </c>
      <c r="I25" s="236" t="str">
        <f t="shared" si="1"/>
        <v>EURAB12EBASIS20Y_Quote</v>
      </c>
      <c r="J25" s="236" t="str">
        <f>_xll.qlCompositeQuote(I25,F25,H25,G25,Permanent,Trigger,ObjectOverwrite)</f>
        <v>EURAB12EBASIS20Y_Quote#0002</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EUR6E12E21Y_Quote#0002</v>
      </c>
      <c r="I26" s="236" t="str">
        <f t="shared" si="1"/>
        <v>EURAB12EBASIS21Y_Quote</v>
      </c>
      <c r="J26" s="236" t="str">
        <f>_xll.qlCompositeQuote(I26,F26,H26,G26,Permanent,Trigger,ObjectOverwrite)</f>
        <v>EURAB12EBASIS21Y_Quote#0002</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EUR6E12E22Y_Quote#0002</v>
      </c>
      <c r="I27" s="236" t="str">
        <f t="shared" si="1"/>
        <v>EURAB12EBASIS22Y_Quote</v>
      </c>
      <c r="J27" s="236" t="str">
        <f>_xll.qlCompositeQuote(I27,F27,H27,G27,Permanent,Trigger,ObjectOverwrite)</f>
        <v>EURAB12EBASIS22Y_Quote#0002</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EUR6E12E23Y_Quote#0002</v>
      </c>
      <c r="I28" s="236" t="str">
        <f t="shared" si="1"/>
        <v>EURAB12EBASIS23Y_Quote</v>
      </c>
      <c r="J28" s="236" t="str">
        <f>_xll.qlCompositeQuote(I28,F28,H28,G28,Permanent,Trigger,ObjectOverwrite)</f>
        <v>EURAB12EBASIS23Y_Quote#0002</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EUR6E12E24Y_Quote#0002</v>
      </c>
      <c r="I29" s="236" t="str">
        <f t="shared" si="1"/>
        <v>EURAB12EBASIS24Y_Quote</v>
      </c>
      <c r="J29" s="236" t="str">
        <f>_xll.qlCompositeQuote(I29,F29,H29,G29,Permanent,Trigger,ObjectOverwrite)</f>
        <v>EURAB12EBASIS24Y_Quote#0002</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EUR6E12E25Y_Quote#0002</v>
      </c>
      <c r="I30" s="236" t="str">
        <f t="shared" si="1"/>
        <v>EURAB12EBASIS25Y_Quote</v>
      </c>
      <c r="J30" s="236" t="str">
        <f>_xll.qlCompositeQuote(I30,F30,H30,G30,Permanent,Trigger,ObjectOverwrite)</f>
        <v>EURAB12EBASIS25Y_Quote#0002</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EUR6E12E26Y_Quote#0002</v>
      </c>
      <c r="I31" s="236" t="str">
        <f t="shared" si="1"/>
        <v>EURAB12EBASIS26Y_Quote</v>
      </c>
      <c r="J31" s="236" t="str">
        <f>_xll.qlCompositeQuote(I31,F31,H31,G31,Permanent,Trigger,ObjectOverwrite)</f>
        <v>EURAB12EBASIS26Y_Quote#0002</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EUR6E12E27Y_Quote#0002</v>
      </c>
      <c r="I32" s="236" t="str">
        <f t="shared" si="1"/>
        <v>EURAB12EBASIS27Y_Quote</v>
      </c>
      <c r="J32" s="236" t="str">
        <f>_xll.qlCompositeQuote(I32,F32,H32,G32,Permanent,Trigger,ObjectOverwrite)</f>
        <v>EURAB12EBASIS27Y_Quote#0002</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EUR6E12E28Y_Quote#0002</v>
      </c>
      <c r="I33" s="236" t="str">
        <f t="shared" si="1"/>
        <v>EURAB12EBASIS28Y_Quote</v>
      </c>
      <c r="J33" s="236" t="str">
        <f>_xll.qlCompositeQuote(I33,F33,H33,G33,Permanent,Trigger,ObjectOverwrite)</f>
        <v>EURAB12EBASIS28Y_Quote#0002</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EUR6E12E29Y_Quote#0002</v>
      </c>
      <c r="I34" s="236" t="str">
        <f t="shared" si="1"/>
        <v>EURAB12EBASIS29Y_Quote</v>
      </c>
      <c r="J34" s="236" t="str">
        <f>_xll.qlCompositeQuote(I34,F34,H34,G34,Permanent,Trigger,ObjectOverwrite)</f>
        <v>EURAB12EBASIS29Y_Quote#0002</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EUR6E12E30Y_Quote#0002</v>
      </c>
      <c r="I35" s="236" t="str">
        <f t="shared" si="1"/>
        <v>EURAB12EBASIS30Y_Quote</v>
      </c>
      <c r="J35" s="236" t="str">
        <f>_xll.qlCompositeQuote(I35,F35,H35,G35,Permanent,Trigger,ObjectOverwrite)</f>
        <v>EURAB12EBASIS30Y_Quote#0002</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EUR6E12E35Y_Quote#0002</v>
      </c>
      <c r="I36" s="236" t="str">
        <f t="shared" si="1"/>
        <v>EURAB12EBASIS35Y_Quote</v>
      </c>
      <c r="J36" s="236" t="str">
        <f>_xll.qlCompositeQuote(I36,F36,H36,G36,Permanent,Trigger,ObjectOverwrite)</f>
        <v>EURAB12EBASIS35Y_Quote#0002</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EUR6E12E40Y_Quote#0002</v>
      </c>
      <c r="I37" s="236" t="str">
        <f t="shared" si="1"/>
        <v>EURAB12EBASIS40Y_Quote</v>
      </c>
      <c r="J37" s="236" t="str">
        <f>_xll.qlCompositeQuote(I37,F37,H37,G37,Permanent,Trigger,ObjectOverwrite)</f>
        <v>EURAB12EBASIS40Y_Quote#0002</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EUR6E12E50Y_Quote#0002</v>
      </c>
      <c r="I38" s="236" t="str">
        <f t="shared" si="1"/>
        <v>EURAB12EBASIS50Y_Quote</v>
      </c>
      <c r="J38" s="236" t="str">
        <f>_xll.qlCompositeQuote(I38,F38,H38,G38,Permanent,Trigger,ObjectOverwrite)</f>
        <v>EURAB12EBASIS50Y_Quote#0002</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EUR6E12E60Y_Quote#0002</v>
      </c>
      <c r="I39" s="236" t="str">
        <f t="shared" si="1"/>
        <v>EURAB12EBASIS60Y_Quote</v>
      </c>
      <c r="J39" s="236" t="str">
        <f>_xll.qlCompositeQuote(I39,F39,H39,G39,Permanent,Trigger,ObjectOverwrite)</f>
        <v>EURAB12EBASIS60Y_Quote#0002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b">
        <f>IF($G4,_xll.qlIndexAddFixings($J4,$E4,$F4/100,TRUE,ISERROR($K4)),NA())</f>
        <v>1</v>
      </c>
      <c r="I4" s="460"/>
      <c r="J4" s="469" t="str">
        <f t="shared" ref="J4:J18" si="1">PROPER(Currency)&amp;$J$2&amp;$C4</f>
        <v>Euribor365SW</v>
      </c>
      <c r="K4" s="468">
        <f>_xll.qlIndexFixing($J4,$E4,TRUE,$G4)</f>
        <v>1.08E-3</v>
      </c>
      <c r="L4" s="468">
        <f>IF($H4,_xll.qlIndexFixing($J4,$E4,FALSE,$G4),"-")</f>
        <v>1.08E-3</v>
      </c>
      <c r="M4" s="468">
        <f t="shared" ref="M4:M18" si="2">K4-L4</f>
        <v>0</v>
      </c>
      <c r="N4" s="467">
        <f>_xll.qlIndexFixing($J4,$E4,TRUE,$L4)</f>
        <v>1.08E-3</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b">
        <f>IF($G5,_xll.qlIndexAddFixings($J5,$E5,$F5/100,TRUE,ISERROR($K5)),NA())</f>
        <v>1</v>
      </c>
      <c r="I5" s="460"/>
      <c r="J5" s="469" t="str">
        <f t="shared" si="1"/>
        <v>Euribor3652W</v>
      </c>
      <c r="K5" s="468">
        <f>_xll.qlIndexFixing($J5,$E5,TRUE,$G5)</f>
        <v>1.15E-3</v>
      </c>
      <c r="L5" s="468">
        <f>IF($H5,_xll.qlIndexFixing($J5,$E5,FALSE,$G5),"-")</f>
        <v>1.15E-3</v>
      </c>
      <c r="M5" s="468">
        <f t="shared" si="2"/>
        <v>0</v>
      </c>
      <c r="N5" s="467">
        <f>_xll.qlIndexFixing($J5,$E5,TRUE,$L5)</f>
        <v>1.15E-3</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b">
        <f>IF($G6,_xll.qlIndexAddFixings($J6,$E6,$F6/100,TRUE,ISERROR($K6)),NA())</f>
        <v>1</v>
      </c>
      <c r="I6" s="460"/>
      <c r="J6" s="469" t="str">
        <f t="shared" si="1"/>
        <v>Euribor3653W</v>
      </c>
      <c r="K6" s="468">
        <f>_xll.qlIndexFixing($J6,$E6,TRUE,$G6)</f>
        <v>1.23E-3</v>
      </c>
      <c r="L6" s="468">
        <f>IF($H6,_xll.qlIndexFixing($J6,$E6,FALSE,$G6),"-")</f>
        <v>1.23E-3</v>
      </c>
      <c r="M6" s="468">
        <f t="shared" si="2"/>
        <v>0</v>
      </c>
      <c r="N6" s="467">
        <f>_xll.qlIndexFixing($J6,$E6,TRUE,$L6)</f>
        <v>1.23E-3</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b">
        <f>IF($G7,_xll.qlIndexAddFixings($J7,$E7,$F7/100,TRUE,ISERROR($K7)),NA())</f>
        <v>1</v>
      </c>
      <c r="I7" s="460"/>
      <c r="J7" s="469" t="str">
        <f t="shared" si="1"/>
        <v>Euribor3651M</v>
      </c>
      <c r="K7" s="468">
        <f>_xll.qlIndexFixing($J7,$E7,TRUE,$G7)</f>
        <v>1.33E-3</v>
      </c>
      <c r="L7" s="468">
        <f>IF($H7,_xll.qlIndexFixing($J7,$E7,FALSE,$G7),"-")</f>
        <v>1.33E-3</v>
      </c>
      <c r="M7" s="468">
        <f t="shared" si="2"/>
        <v>0</v>
      </c>
      <c r="N7" s="467">
        <f>_xll.qlIndexFixing($J7,$E7,TRUE,$L7)</f>
        <v>1.33E-3</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b">
        <f>IF($G8,_xll.qlIndexAddFixings($J8,$E8,$F8/100,TRUE,ISERROR($K8)),NA())</f>
        <v>1</v>
      </c>
      <c r="I8" s="460"/>
      <c r="J8" s="469" t="str">
        <f t="shared" si="1"/>
        <v>Euribor3652M</v>
      </c>
      <c r="K8" s="468">
        <f>_xll.qlIndexFixing($J8,$E8,TRUE,$G8)</f>
        <v>1.8400000000000001E-3</v>
      </c>
      <c r="L8" s="468">
        <f>IF($H8,_xll.qlIndexFixing($J8,$E8,FALSE,$G8),"-")</f>
        <v>1.8400000000000001E-3</v>
      </c>
      <c r="M8" s="468">
        <f t="shared" si="2"/>
        <v>0</v>
      </c>
      <c r="N8" s="467">
        <f>_xll.qlIndexFixing($J8,$E8,TRUE,$L8)</f>
        <v>1.8400000000000001E-3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b">
        <f>IF($G9,_xll.qlIndexAddFixings($J9,$E9,$F9/100,TRUE,ISERROR($K9)),NA())</f>
        <v>1</v>
      </c>
      <c r="I9" s="460"/>
      <c r="J9" s="469" t="str">
        <f t="shared" si="1"/>
        <v>Euribor3653M</v>
      </c>
      <c r="K9" s="468">
        <f>_xll.qlIndexFixing($J9,$E9,TRUE,$G9)</f>
        <v>2.2799999999999999E-3</v>
      </c>
      <c r="L9" s="468">
        <f>IF($H9,_xll.qlIndexFixing($J9,$E9,FALSE,$G9),"-")</f>
        <v>2.2799999999999999E-3</v>
      </c>
      <c r="M9" s="468">
        <f t="shared" si="2"/>
        <v>0</v>
      </c>
      <c r="N9" s="467">
        <f>_xll.qlIndexFixing($J9,$E9,TRUE,$L9)</f>
        <v>2.2799999999999999E-3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b">
        <f>IF($G10,_xll.qlIndexAddFixings($J10,$E10,$F10/100,TRUE,ISERROR($K10)),NA())</f>
        <v>1</v>
      </c>
      <c r="I10" s="460"/>
      <c r="J10" s="469" t="str">
        <f t="shared" si="1"/>
        <v>Euribor3654M</v>
      </c>
      <c r="K10" s="468">
        <f>_xll.qlIndexFixing($J10,$E10,TRUE,$G10)</f>
        <v>2.6900000000000001E-3</v>
      </c>
      <c r="L10" s="468">
        <f>IF($H10,_xll.qlIndexFixing($J10,$E10,FALSE,$G10),"-")</f>
        <v>2.6900000000000001E-3</v>
      </c>
      <c r="M10" s="468">
        <f t="shared" si="2"/>
        <v>0</v>
      </c>
      <c r="N10" s="467">
        <f>_xll.qlIndexFixing($J10,$E10,TRUE,$L10)</f>
        <v>2.6900000000000001E-3</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b">
        <f>IF($G11,_xll.qlIndexAddFixings($J11,$E11,$F11/100,TRUE,ISERROR($K11)),NA())</f>
        <v>1</v>
      </c>
      <c r="I11" s="460"/>
      <c r="J11" s="469" t="str">
        <f t="shared" si="1"/>
        <v>Euribor3655M</v>
      </c>
      <c r="K11" s="468">
        <f>_xll.qlIndexFixing($J11,$E11,TRUE,$G11)</f>
        <v>3.0299999999999997E-3</v>
      </c>
      <c r="L11" s="468">
        <f>IF($H11,_xll.qlIndexFixing($J11,$E11,FALSE,$G11),"-")</f>
        <v>3.0299999999999997E-3</v>
      </c>
      <c r="M11" s="468">
        <f t="shared" si="2"/>
        <v>0</v>
      </c>
      <c r="N11" s="467">
        <f>_xll.qlIndexFixing($J11,$E11,TRUE,$L11)</f>
        <v>3.0299999999999997E-3</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b">
        <f>IF($G12,_xll.qlIndexAddFixings($J12,$E12,$F12/100,TRUE,ISERROR($K12)),NA())</f>
        <v>1</v>
      </c>
      <c r="I12" s="460"/>
      <c r="J12" s="469" t="str">
        <f t="shared" si="1"/>
        <v>Euribor3656M</v>
      </c>
      <c r="K12" s="468">
        <f>_xll.qlIndexFixing($J12,$E12,TRUE,$G12)</f>
        <v>3.4799999999999996E-3</v>
      </c>
      <c r="L12" s="468">
        <f>IF($H12,_xll.qlIndexFixing($J12,$E12,FALSE,$G12),"-")</f>
        <v>3.4799999999999996E-3</v>
      </c>
      <c r="M12" s="468">
        <f t="shared" si="2"/>
        <v>0</v>
      </c>
      <c r="N12" s="467">
        <f>_xll.qlIndexFixing($J12,$E12,TRUE,$L12)</f>
        <v>3.4799999999999996E-3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b">
        <f>IF($G13,_xll.qlIndexAddFixings($J13,$E13,$F13/100,TRUE,ISERROR($K13)),NA())</f>
        <v>1</v>
      </c>
      <c r="I13" s="460"/>
      <c r="J13" s="469" t="str">
        <f t="shared" si="1"/>
        <v>Euribor3657M</v>
      </c>
      <c r="K13" s="468">
        <f>_xll.qlIndexFixing($J13,$E13,TRUE,$G13)</f>
        <v>3.82E-3</v>
      </c>
      <c r="L13" s="468">
        <f>IF($H13,_xll.qlIndexFixing($J13,$E13,FALSE,$G13),"-")</f>
        <v>3.82E-3</v>
      </c>
      <c r="M13" s="468">
        <f t="shared" si="2"/>
        <v>0</v>
      </c>
      <c r="N13" s="467">
        <f>_xll.qlIndexFixing($J13,$E13,TRUE,$L13)</f>
        <v>3.82E-3</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b">
        <f>IF($G14,_xll.qlIndexAddFixings($J14,$E14,$F14/100,TRUE,ISERROR($K14)),NA())</f>
        <v>1</v>
      </c>
      <c r="I14" s="460"/>
      <c r="J14" s="469" t="str">
        <f t="shared" si="1"/>
        <v>Euribor3658M</v>
      </c>
      <c r="K14" s="468">
        <f>_xll.qlIndexFixing($J14,$E14,TRUE,$G14)</f>
        <v>4.1799999999999997E-3</v>
      </c>
      <c r="L14" s="468">
        <f>IF($H14,_xll.qlIndexFixing($J14,$E14,FALSE,$G14),"-")</f>
        <v>4.1799999999999997E-3</v>
      </c>
      <c r="M14" s="468">
        <f t="shared" si="2"/>
        <v>0</v>
      </c>
      <c r="N14" s="467">
        <f>_xll.qlIndexFixing($J14,$E14,TRUE,$L14)</f>
        <v>4.1799999999999997E-3</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b">
        <f>IF($G15,_xll.qlIndexAddFixings($J15,$E15,$F15/100,TRUE,ISERROR($K15)),NA())</f>
        <v>1</v>
      </c>
      <c r="I15" s="460"/>
      <c r="J15" s="469" t="str">
        <f t="shared" si="1"/>
        <v>Euribor3659M</v>
      </c>
      <c r="K15" s="468">
        <f>_xll.qlIndexFixing($J15,$E15,TRUE,$G15)</f>
        <v>4.4800000000000005E-3</v>
      </c>
      <c r="L15" s="468">
        <f>IF($H15,_xll.qlIndexFixing($J15,$E15,FALSE,$G15),"-")</f>
        <v>4.4800000000000005E-3</v>
      </c>
      <c r="M15" s="468">
        <f t="shared" si="2"/>
        <v>0</v>
      </c>
      <c r="N15" s="467">
        <f>_xll.qlIndexFixing($J15,$E15,TRUE,$L15)</f>
        <v>4.4800000000000005E-3</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b">
        <f>IF($G16,_xll.qlIndexAddFixings($J16,$E16,$F16/100,TRUE,ISERROR($K16)),NA())</f>
        <v>1</v>
      </c>
      <c r="I16" s="460"/>
      <c r="J16" s="469" t="str">
        <f t="shared" si="1"/>
        <v>Euribor36510M</v>
      </c>
      <c r="K16" s="468">
        <f>_xll.qlIndexFixing($J16,$E16,TRUE,$G16)</f>
        <v>4.7999999999999996E-3</v>
      </c>
      <c r="L16" s="468">
        <f>IF($H16,_xll.qlIndexFixing($J16,$E16,FALSE,$G16),"-")</f>
        <v>4.7999999999999996E-3</v>
      </c>
      <c r="M16" s="468">
        <f t="shared" si="2"/>
        <v>0</v>
      </c>
      <c r="N16" s="467">
        <f>_xll.qlIndexFixing($J16,$E16,TRUE,$L16)</f>
        <v>4.7999999999999996E-3</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b">
        <f>IF($G17,_xll.qlIndexAddFixings($J17,$E17,$F17/100,TRUE,ISERROR($K17)),NA())</f>
        <v>1</v>
      </c>
      <c r="I17" s="460"/>
      <c r="J17" s="469" t="str">
        <f t="shared" si="1"/>
        <v>Euribor36511M</v>
      </c>
      <c r="K17" s="468">
        <f>_xll.qlIndexFixing($J17,$E17,TRUE,$G17)</f>
        <v>5.1000000000000004E-3</v>
      </c>
      <c r="L17" s="468">
        <f>IF($H17,_xll.qlIndexFixing($J17,$E17,FALSE,$G17),"-")</f>
        <v>5.1000000000000004E-3</v>
      </c>
      <c r="M17" s="468">
        <f t="shared" si="2"/>
        <v>0</v>
      </c>
      <c r="N17" s="467">
        <f>_xll.qlIndexFixing($J17,$E17,TRUE,$L17)</f>
        <v>5.1000000000000004E-3</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b">
        <f>IF($G18,_xll.qlIndexAddFixings($J18,$E18,$F18/100,TRUE,ISERROR($K18)),NA())</f>
        <v>1</v>
      </c>
      <c r="I18" s="460"/>
      <c r="J18" s="459" t="str">
        <f t="shared" si="1"/>
        <v>Euribor3651Y</v>
      </c>
      <c r="K18" s="458">
        <f>_xll.qlIndexFixing($J18,$E18,TRUE,$G18)</f>
        <v>5.4200000000000003E-3</v>
      </c>
      <c r="L18" s="458">
        <f>IF($H18,_xll.qlIndexFixing($J18,$E18,FALSE,$G18),"-")</f>
        <v>5.4200000000000003E-3</v>
      </c>
      <c r="M18" s="458">
        <f t="shared" si="2"/>
        <v>0</v>
      </c>
      <c r="N18" s="457">
        <f>_xll.qlIndexFixing($J18,$E18,TRUE,$L18)</f>
        <v>5.4200000000000003E-3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b">
        <f>IF($G4,_xll.qlIndexAddFixings($J4,$E4,$F4/100,TRUE,ISERROR($K4)),NA())</f>
        <v>1</v>
      </c>
      <c r="I4" s="460"/>
      <c r="J4" s="491" t="str">
        <f t="shared" ref="J4:J18" si="1">PROPER(Currency)&amp;$J$2&amp;$C4</f>
        <v>EurLiborON</v>
      </c>
      <c r="K4" s="490">
        <f>_xll.qlIndexFixing($J4,$E4,TRUE,$G4)</f>
        <v>4.4999999999999999E-4</v>
      </c>
      <c r="L4" s="490">
        <f>IF($H4,_xll.qlIndexFixing($J4,$E4,FALSE,$G4),"-")</f>
        <v>4.4999999999999999E-4</v>
      </c>
      <c r="M4" s="490">
        <f t="shared" ref="M4:M18" si="2">K4-L4</f>
        <v>0</v>
      </c>
      <c r="N4" s="489">
        <f>_xll.qlIndexFixing($J4,$E4,TRUE,$L4)</f>
        <v>4.4999999999999999E-4</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b">
        <f>IF($G5,_xll.qlIndexAddFixings($J5,$E5,$F5/100,TRUE,ISERROR($K5)),NA())</f>
        <v>1</v>
      </c>
      <c r="I5" s="460"/>
      <c r="J5" s="469" t="str">
        <f t="shared" si="1"/>
        <v>EurLiborSW</v>
      </c>
      <c r="K5" s="468">
        <f>_xll.qlIndexFixing($J5,$E5,TRUE,$G5)</f>
        <v>5.5710000000000004E-4</v>
      </c>
      <c r="L5" s="468">
        <f>IF($H5,_xll.qlIndexFixing($J5,$E5,FALSE,$G5),"-")</f>
        <v>5.5710000000000004E-4</v>
      </c>
      <c r="M5" s="468">
        <f t="shared" si="2"/>
        <v>0</v>
      </c>
      <c r="N5" s="467">
        <f>_xll.qlIndexFixing($J5,$E5,TRUE,$L5)</f>
        <v>5.5710000000000004E-4</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b">
        <f>IF($G7,_xll.qlIndexAddFixings($J7,$E7,$F7/100,TRUE,ISERROR($K7)),NA())</f>
        <v>1</v>
      </c>
      <c r="I7" s="460"/>
      <c r="J7" s="469" t="str">
        <f t="shared" si="1"/>
        <v>EurLibor1M</v>
      </c>
      <c r="K7" s="468">
        <f>_xll.qlIndexFixing($J7,$E7,TRUE,$G7)</f>
        <v>8.2860000000000008E-4</v>
      </c>
      <c r="L7" s="468">
        <f>IF($H7,_xll.qlIndexFixing($J7,$E7,FALSE,$G7),"-")</f>
        <v>8.2860000000000008E-4</v>
      </c>
      <c r="M7" s="468">
        <f t="shared" si="2"/>
        <v>0</v>
      </c>
      <c r="N7" s="467">
        <f>_xll.qlIndexFixing($J7,$E7,TRUE,$L7)</f>
        <v>8.2860000000000008E-4</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b">
        <f>IF($G8,_xll.qlIndexAddFixings($J8,$E8,$F8/100,TRUE,ISERROR($K8)),NA())</f>
        <v>1</v>
      </c>
      <c r="I8" s="460"/>
      <c r="J8" s="469" t="str">
        <f t="shared" si="1"/>
        <v>EurLibor2M</v>
      </c>
      <c r="K8" s="468">
        <f>_xll.qlIndexFixing($J8,$E8,TRUE,$G8)</f>
        <v>1.1286E-3</v>
      </c>
      <c r="L8" s="468">
        <f>IF($H8,_xll.qlIndexFixing($J8,$E8,FALSE,$G8),"-")</f>
        <v>1.1286E-3</v>
      </c>
      <c r="M8" s="468">
        <f t="shared" si="2"/>
        <v>0</v>
      </c>
      <c r="N8" s="467">
        <f>_xll.qlIndexFixing($J8,$E8,TRUE,$L8)</f>
        <v>1.1286E-3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b">
        <f>IF($G9,_xll.qlIndexAddFixings($J9,$E9,$F9/100,TRUE,ISERROR($K9)),NA())</f>
        <v>1</v>
      </c>
      <c r="I9" s="460"/>
      <c r="J9" s="469" t="str">
        <f t="shared" si="1"/>
        <v>EurLibor3M</v>
      </c>
      <c r="K9" s="468">
        <f>_xll.qlIndexFixing($J9,$E9,TRUE,$G9)</f>
        <v>1.5214E-3</v>
      </c>
      <c r="L9" s="468">
        <f>IF($H9,_xll.qlIndexFixing($J9,$E9,FALSE,$G9),"-")</f>
        <v>1.5214E-3</v>
      </c>
      <c r="M9" s="468">
        <f t="shared" si="2"/>
        <v>0</v>
      </c>
      <c r="N9" s="467">
        <f>_xll.qlIndexFixing($J9,$E9,TRUE,$L9)</f>
        <v>1.5214E-3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b">
        <f>IF($G12,_xll.qlIndexAddFixings($J12,$E12,$F12/100,TRUE,ISERROR($K12)),NA())</f>
        <v>1</v>
      </c>
      <c r="I12" s="460"/>
      <c r="J12" s="469" t="str">
        <f t="shared" si="1"/>
        <v>EurLibor6M</v>
      </c>
      <c r="K12" s="468">
        <f>_xll.qlIndexFixing($J12,$E12,TRUE,$G12)</f>
        <v>2.6357000000000004E-3</v>
      </c>
      <c r="L12" s="468">
        <f>IF($H12,_xll.qlIndexFixing($J12,$E12,FALSE,$G12),"-")</f>
        <v>2.6357000000000004E-3</v>
      </c>
      <c r="M12" s="468">
        <f t="shared" si="2"/>
        <v>0</v>
      </c>
      <c r="N12" s="467">
        <f>_xll.qlIndexFixing($J12,$E12,TRUE,$L12)</f>
        <v>2.6357000000000004E-3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b">
        <f>IF($G18,_xll.qlIndexAddFixings($J18,$E18,$F18/100,TRUE,ISERROR($K18)),NA())</f>
        <v>1</v>
      </c>
      <c r="I18" s="460"/>
      <c r="J18" s="459" t="str">
        <f t="shared" si="1"/>
        <v>EurLibor1Y</v>
      </c>
      <c r="K18" s="458">
        <f>_xll.qlIndexFixing($J18,$E18,TRUE,$G18)</f>
        <v>4.7143000000000003E-3</v>
      </c>
      <c r="L18" s="458">
        <f>IF($H18,_xll.qlIndexFixing($J18,$E18,FALSE,$G18),"-")</f>
        <v>4.7143000000000003E-3</v>
      </c>
      <c r="M18" s="458">
        <f t="shared" si="2"/>
        <v>0</v>
      </c>
      <c r="N18" s="457">
        <f>_xll.qlIndexFixing($J18,$E18,TRUE,$L18)</f>
        <v>4.7143000000000003E-3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b">
        <f>IF($G4,_xll.qlIndexAddFixings($J4,$E4,$F4/100,TRUE,ISERROR($K4)),NA())</f>
        <v>1</v>
      </c>
      <c r="I4" s="460"/>
      <c r="J4" s="491" t="str">
        <f t="shared" ref="J4:J18" si="1">PROPER(Currency)&amp;$J$2&amp;$C4</f>
        <v>EuriborSwapIsdaFixA1Y</v>
      </c>
      <c r="K4" s="490">
        <f>_xll.qlIndexFixing($J4,$E4,TRUE,$G4)</f>
        <v>3.2400000000000003E-3</v>
      </c>
      <c r="L4" s="490">
        <f>IF($H4,_xll.qlIndexFixing($J4,$E4,FALSE,$G4),"-")</f>
        <v>3.2400000000000003E-3</v>
      </c>
      <c r="M4" s="490">
        <f t="shared" ref="M4:M18" si="2">K4-L4</f>
        <v>0</v>
      </c>
      <c r="N4" s="489">
        <f>_xll.qlIndexFixing($J4,$E4,TRUE,$L4)</f>
        <v>3.2400000000000003E-3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b">
        <f>IF($G5,_xll.qlIndexAddFixings($J5,$E5,$F5/100,TRUE,ISERROR($K5)),NA())</f>
        <v>1</v>
      </c>
      <c r="I5" s="460"/>
      <c r="J5" s="469" t="str">
        <f t="shared" si="1"/>
        <v>EuriborSwapIsdaFixA2Y</v>
      </c>
      <c r="K5" s="468">
        <f>_xll.qlIndexFixing($J5,$E5,TRUE,$G5)</f>
        <v>5.6399999999999992E-3</v>
      </c>
      <c r="L5" s="468">
        <f>IF($H5,_xll.qlIndexFixing($J5,$E5,FALSE,$G5),"-")</f>
        <v>5.6399999999999992E-3</v>
      </c>
      <c r="M5" s="468">
        <f t="shared" si="2"/>
        <v>0</v>
      </c>
      <c r="N5" s="467">
        <f>_xll.qlIndexFixing($J5,$E5,TRUE,$L5)</f>
        <v>5.6399999999999992E-3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b">
        <f>IF($G6,_xll.qlIndexAddFixings($J6,$E6,$F6/100,TRUE,ISERROR($K6)),NA())</f>
        <v>1</v>
      </c>
      <c r="I6" s="460"/>
      <c r="J6" s="469" t="str">
        <f t="shared" si="1"/>
        <v>EuriborSwapIsdaFixA3Y</v>
      </c>
      <c r="K6" s="468">
        <f>_xll.qlIndexFixing($J6,$E6,TRUE,$G6)</f>
        <v>7.2199999999999999E-3</v>
      </c>
      <c r="L6" s="468">
        <f>IF($H6,_xll.qlIndexFixing($J6,$E6,FALSE,$G6),"-")</f>
        <v>7.2199999999999999E-3</v>
      </c>
      <c r="M6" s="468">
        <f t="shared" si="2"/>
        <v>0</v>
      </c>
      <c r="N6" s="467">
        <f>_xll.qlIndexFixing($J6,$E6,TRUE,$L6)</f>
        <v>7.2199999999999999E-3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b">
        <f>IF($G7,_xll.qlIndexAddFixings($J7,$E7,$F7/100,TRUE,ISERROR($K7)),NA())</f>
        <v>1</v>
      </c>
      <c r="I7" s="460"/>
      <c r="J7" s="469" t="str">
        <f t="shared" si="1"/>
        <v>EuriborSwapIsdaFixA4Y</v>
      </c>
      <c r="K7" s="468">
        <f>_xll.qlIndexFixing($J7,$E7,TRUE,$G7)</f>
        <v>9.2500000000000013E-3</v>
      </c>
      <c r="L7" s="468">
        <f>IF($H7,_xll.qlIndexFixing($J7,$E7,FALSE,$G7),"-")</f>
        <v>9.2500000000000013E-3</v>
      </c>
      <c r="M7" s="468">
        <f t="shared" si="2"/>
        <v>0</v>
      </c>
      <c r="N7" s="467">
        <f>_xll.qlIndexFixing($J7,$E7,TRUE,$L7)</f>
        <v>9.2500000000000013E-3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b">
        <f>IF($G8,_xll.qlIndexAddFixings($J8,$E8,$F8/100,TRUE,ISERROR($K8)),NA())</f>
        <v>1</v>
      </c>
      <c r="I8" s="460"/>
      <c r="J8" s="469" t="str">
        <f t="shared" si="1"/>
        <v>EuriborSwapIsdaFixA5Y</v>
      </c>
      <c r="K8" s="468">
        <f>_xll.qlIndexFixing($J8,$E8,TRUE,$G8)</f>
        <v>1.1390000000000001E-2</v>
      </c>
      <c r="L8" s="468">
        <f>IF($H8,_xll.qlIndexFixing($J8,$E8,FALSE,$G8),"-")</f>
        <v>1.1390000000000001E-2</v>
      </c>
      <c r="M8" s="468">
        <f t="shared" si="2"/>
        <v>0</v>
      </c>
      <c r="N8" s="467">
        <f>_xll.qlIndexFixing($J8,$E8,TRUE,$L8)</f>
        <v>1.1390000000000001E-2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b">
        <f>IF($G9,_xll.qlIndexAddFixings($J9,$E9,$F9/100,TRUE,ISERROR($K9)),NA())</f>
        <v>1</v>
      </c>
      <c r="I9" s="460"/>
      <c r="J9" s="469" t="str">
        <f t="shared" si="1"/>
        <v>EuriborSwapIsdaFixA6Y</v>
      </c>
      <c r="K9" s="468">
        <f>_xll.qlIndexFixing($J9,$E9,TRUE,$G9)</f>
        <v>1.329E-2</v>
      </c>
      <c r="L9" s="468">
        <f>IF($H9,_xll.qlIndexFixing($J9,$E9,FALSE,$G9),"-")</f>
        <v>1.329E-2</v>
      </c>
      <c r="M9" s="468">
        <f t="shared" si="2"/>
        <v>0</v>
      </c>
      <c r="N9" s="467">
        <f>_xll.qlIndexFixing($J9,$E9,TRUE,$L9)</f>
        <v>1.329E-2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b">
        <f>IF($G10,_xll.qlIndexAddFixings($J10,$E10,$F10/100,TRUE,ISERROR($K10)),NA())</f>
        <v>1</v>
      </c>
      <c r="I10" s="460"/>
      <c r="J10" s="469" t="str">
        <f t="shared" si="1"/>
        <v>EuriborSwapIsdaFixA7Y</v>
      </c>
      <c r="K10" s="468">
        <f>_xll.qlIndexFixing($J10,$E10,TRUE,$G10)</f>
        <v>1.4990000000000002E-2</v>
      </c>
      <c r="L10" s="468">
        <f>IF($H10,_xll.qlIndexFixing($J10,$E10,FALSE,$G10),"-")</f>
        <v>1.4990000000000002E-2</v>
      </c>
      <c r="M10" s="468">
        <f t="shared" si="2"/>
        <v>0</v>
      </c>
      <c r="N10" s="467">
        <f>_xll.qlIndexFixing($J10,$E10,TRUE,$L10)</f>
        <v>1.4990000000000002E-2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b">
        <f>IF($G11,_xll.qlIndexAddFixings($J11,$E11,$F11/100,TRUE,ISERROR($K11)),NA())</f>
        <v>1</v>
      </c>
      <c r="I11" s="460"/>
      <c r="J11" s="469" t="str">
        <f t="shared" si="1"/>
        <v>EuriborSwapIsdaFixA8Y</v>
      </c>
      <c r="K11" s="468">
        <f>_xll.qlIndexFixing($J11,$E11,TRUE,$G11)</f>
        <v>1.652E-2</v>
      </c>
      <c r="L11" s="468">
        <f>IF($H11,_xll.qlIndexFixing($J11,$E11,FALSE,$G11),"-")</f>
        <v>1.652E-2</v>
      </c>
      <c r="M11" s="468">
        <f t="shared" si="2"/>
        <v>0</v>
      </c>
      <c r="N11" s="467">
        <f>_xll.qlIndexFixing($J11,$E11,TRUE,$L11)</f>
        <v>1.652E-2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b">
        <f>IF($G12,_xll.qlIndexAddFixings($J12,$E12,$F12/100,TRUE,ISERROR($K12)),NA())</f>
        <v>1</v>
      </c>
      <c r="I12" s="460"/>
      <c r="J12" s="469" t="str">
        <f t="shared" si="1"/>
        <v>EuriborSwapIsdaFixA9Y</v>
      </c>
      <c r="K12" s="468">
        <f>_xll.qlIndexFixing($J12,$E12,TRUE,$G12)</f>
        <v>1.7920000000000002E-2</v>
      </c>
      <c r="L12" s="468">
        <f>IF($H12,_xll.qlIndexFixing($J12,$E12,FALSE,$G12),"-")</f>
        <v>1.7920000000000002E-2</v>
      </c>
      <c r="M12" s="468">
        <f t="shared" si="2"/>
        <v>0</v>
      </c>
      <c r="N12" s="467">
        <f>_xll.qlIndexFixing($J12,$E12,TRUE,$L12)</f>
        <v>1.7920000000000002E-2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b">
        <f>IF($G13,_xll.qlIndexAddFixings($J13,$E13,$F13/100,TRUE,ISERROR($K13)),NA())</f>
        <v>1</v>
      </c>
      <c r="I13" s="460"/>
      <c r="J13" s="469" t="str">
        <f t="shared" si="1"/>
        <v>EuriborSwapIsdaFixA10Y</v>
      </c>
      <c r="K13" s="468">
        <f>_xll.qlIndexFixing($J13,$E13,TRUE,$G13)</f>
        <v>1.9199999999999998E-2</v>
      </c>
      <c r="L13" s="468">
        <f>IF($H13,_xll.qlIndexFixing($J13,$E13,FALSE,$G13),"-")</f>
        <v>1.9199999999999998E-2</v>
      </c>
      <c r="M13" s="468">
        <f t="shared" si="2"/>
        <v>0</v>
      </c>
      <c r="N13" s="467">
        <f>_xll.qlIndexFixing($J13,$E13,TRUE,$L13)</f>
        <v>1.9199999999999998E-2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b">
        <f>IF($G14,_xll.qlIndexAddFixings($J14,$E14,$F14/100,TRUE,ISERROR($K14)),NA())</f>
        <v>1</v>
      </c>
      <c r="I14" s="460"/>
      <c r="J14" s="469" t="str">
        <f t="shared" si="1"/>
        <v>EuriborSwapIsdaFixA12Y</v>
      </c>
      <c r="K14" s="468">
        <f>_xll.qlIndexFixing($J14,$E14,TRUE,$G14)</f>
        <v>2.1269999999999997E-2</v>
      </c>
      <c r="L14" s="468">
        <f>IF($H14,_xll.qlIndexFixing($J14,$E14,FALSE,$G14),"-")</f>
        <v>2.1269999999999997E-2</v>
      </c>
      <c r="M14" s="468">
        <f t="shared" si="2"/>
        <v>0</v>
      </c>
      <c r="N14" s="467">
        <f>_xll.qlIndexFixing($J14,$E14,TRUE,$L14)</f>
        <v>2.1269999999999997E-2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b">
        <f>IF($G15,_xll.qlIndexAddFixings($J15,$E15,$F15/100,TRUE,ISERROR($K15)),NA())</f>
        <v>1</v>
      </c>
      <c r="I15" s="460"/>
      <c r="J15" s="469" t="str">
        <f t="shared" si="1"/>
        <v>EuriborSwapIsdaFixA15Y</v>
      </c>
      <c r="K15" s="468">
        <f>_xll.qlIndexFixing($J15,$E15,TRUE,$G15)</f>
        <v>2.3279999999999999E-2</v>
      </c>
      <c r="L15" s="468">
        <f>IF($H15,_xll.qlIndexFixing($J15,$E15,FALSE,$G15),"-")</f>
        <v>2.3279999999999999E-2</v>
      </c>
      <c r="M15" s="468">
        <f t="shared" si="2"/>
        <v>0</v>
      </c>
      <c r="N15" s="467">
        <f>_xll.qlIndexFixing($J15,$E15,TRUE,$L15)</f>
        <v>2.3279999999999999E-2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b">
        <f>IF($G16,_xll.qlIndexAddFixings($J16,$E16,$F16/100,TRUE,ISERROR($K16)),NA())</f>
        <v>1</v>
      </c>
      <c r="I16" s="460"/>
      <c r="J16" s="469" t="str">
        <f t="shared" si="1"/>
        <v>EuriborSwapIsdaFixA20Y</v>
      </c>
      <c r="K16" s="468">
        <f>_xll.qlIndexFixing($J16,$E16,TRUE,$G16)</f>
        <v>2.4420000000000001E-2</v>
      </c>
      <c r="L16" s="468">
        <f>IF($H16,_xll.qlIndexFixing($J16,$E16,FALSE,$G16),"-")</f>
        <v>2.4420000000000001E-2</v>
      </c>
      <c r="M16" s="468">
        <f t="shared" si="2"/>
        <v>0</v>
      </c>
      <c r="N16" s="467">
        <f>_xll.qlIndexFixing($J16,$E16,TRUE,$L16)</f>
        <v>2.4420000000000001E-2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b">
        <f>IF($G17,_xll.qlIndexAddFixings($J17,$E17,$F17/100,TRUE,ISERROR($K17)),NA())</f>
        <v>1</v>
      </c>
      <c r="I17" s="460"/>
      <c r="J17" s="469" t="str">
        <f t="shared" si="1"/>
        <v>EuriborSwapIsdaFixA25Y</v>
      </c>
      <c r="K17" s="468">
        <f>_xll.qlIndexFixing($J17,$E17,TRUE,$G17)</f>
        <v>2.4590000000000001E-2</v>
      </c>
      <c r="L17" s="468">
        <f>IF($H17,_xll.qlIndexFixing($J17,$E17,FALSE,$G17),"-")</f>
        <v>2.4590000000000001E-2</v>
      </c>
      <c r="M17" s="468">
        <f t="shared" si="2"/>
        <v>0</v>
      </c>
      <c r="N17" s="467">
        <f>_xll.qlIndexFixing($J17,$E17,TRUE,$L17)</f>
        <v>2.4590000000000001E-2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b">
        <f>IF($G18,_xll.qlIndexAddFixings($J18,$E18,$F18/100,TRUE,ISERROR($K18)),NA())</f>
        <v>1</v>
      </c>
      <c r="I18" s="460"/>
      <c r="J18" s="459" t="str">
        <f t="shared" si="1"/>
        <v>EuriborSwapIsdaFixA30Y</v>
      </c>
      <c r="K18" s="458">
        <f>_xll.qlIndexFixing($J18,$E18,TRUE,$G18)</f>
        <v>2.452E-2</v>
      </c>
      <c r="L18" s="458">
        <f>IF($H18,_xll.qlIndexFixing($J18,$E18,FALSE,$G18),"-")</f>
        <v>2.452E-2</v>
      </c>
      <c r="M18" s="458">
        <f t="shared" si="2"/>
        <v>0</v>
      </c>
      <c r="N18" s="457">
        <f>_xll.qlIndexFixing($J18,$E18,TRUE,$L18)</f>
        <v>2.452E-2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b">
        <f>IF($G4,_xll.qlIndexAddFixings($J4,$E4,$F4/100,TRUE,ISERROR($K4)),NA())</f>
        <v>1</v>
      </c>
      <c r="I4" s="460"/>
      <c r="J4" s="491" t="str">
        <f t="shared" ref="J4:J18" si="1">PROPER(Currency)&amp;$J$2&amp;$C4</f>
        <v>EurLiborSwapIsdaFixA1Y</v>
      </c>
      <c r="K4" s="490">
        <f>_xll.qlIndexFixing($J4,$E4,TRUE,$G4)</f>
        <v>2.6199999999999999E-3</v>
      </c>
      <c r="L4" s="490">
        <f>IF($H4,_xll.qlIndexFixing($J4,$E4,FALSE,$G4),"-")</f>
        <v>2.6199999999999999E-3</v>
      </c>
      <c r="M4" s="490">
        <f t="shared" ref="M4:M18" si="2">K4-L4</f>
        <v>0</v>
      </c>
      <c r="N4" s="489">
        <f>_xll.qlIndexFixing($J4,$E4,TRUE,$L4)</f>
        <v>2.6199999999999999E-3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b">
        <f>IF($G5,_xll.qlIndexAddFixings($J5,$E5,$F5/100,TRUE,ISERROR($K5)),NA())</f>
        <v>1</v>
      </c>
      <c r="I5" s="460"/>
      <c r="J5" s="469" t="str">
        <f t="shared" si="1"/>
        <v>EurLiborSwapIsdaFixA2Y</v>
      </c>
      <c r="K5" s="468">
        <f>_xll.qlIndexFixing($J5,$E5,TRUE,$G5)</f>
        <v>5.0400000000000002E-3</v>
      </c>
      <c r="L5" s="468">
        <f>IF($H5,_xll.qlIndexFixing($J5,$E5,FALSE,$G5),"-")</f>
        <v>5.0400000000000002E-3</v>
      </c>
      <c r="M5" s="468">
        <f t="shared" si="2"/>
        <v>0</v>
      </c>
      <c r="N5" s="467">
        <f>_xll.qlIndexFixing($J5,$E5,TRUE,$L5)</f>
        <v>5.0400000000000002E-3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b">
        <f>IF($G6,_xll.qlIndexAddFixings($J6,$E6,$F6/100,TRUE,ISERROR($K6)),NA())</f>
        <v>1</v>
      </c>
      <c r="I6" s="460"/>
      <c r="J6" s="469" t="str">
        <f t="shared" si="1"/>
        <v>EurLiborSwapIsdaFixA3Y</v>
      </c>
      <c r="K6" s="468">
        <f>_xll.qlIndexFixing($J6,$E6,TRUE,$G6)</f>
        <v>6.6700000000000006E-3</v>
      </c>
      <c r="L6" s="468">
        <f>IF($H6,_xll.qlIndexFixing($J6,$E6,FALSE,$G6),"-")</f>
        <v>6.6700000000000006E-3</v>
      </c>
      <c r="M6" s="468">
        <f t="shared" si="2"/>
        <v>0</v>
      </c>
      <c r="N6" s="467">
        <f>_xll.qlIndexFixing($J6,$E6,TRUE,$L6)</f>
        <v>6.6700000000000006E-3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b">
        <f>IF($G7,_xll.qlIndexAddFixings($J7,$E7,$F7/100,TRUE,ISERROR($K7)),NA())</f>
        <v>1</v>
      </c>
      <c r="I7" s="460"/>
      <c r="J7" s="469" t="str">
        <f t="shared" si="1"/>
        <v>EurLiborSwapIsdaFixA4Y</v>
      </c>
      <c r="K7" s="468">
        <f>_xll.qlIndexFixing($J7,$E7,TRUE,$G7)</f>
        <v>8.7299999999999999E-3</v>
      </c>
      <c r="L7" s="468">
        <f>IF($H7,_xll.qlIndexFixing($J7,$E7,FALSE,$G7),"-")</f>
        <v>8.7299999999999999E-3</v>
      </c>
      <c r="M7" s="468">
        <f t="shared" si="2"/>
        <v>0</v>
      </c>
      <c r="N7" s="467">
        <f>_xll.qlIndexFixing($J7,$E7,TRUE,$L7)</f>
        <v>8.7299999999999999E-3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b">
        <f>IF($G8,_xll.qlIndexAddFixings($J8,$E8,$F8/100,TRUE,ISERROR($K8)),NA())</f>
        <v>1</v>
      </c>
      <c r="I8" s="460"/>
      <c r="J8" s="469" t="str">
        <f t="shared" si="1"/>
        <v>EurLiborSwapIsdaFixA5Y</v>
      </c>
      <c r="K8" s="468">
        <f>_xll.qlIndexFixing($J8,$E8,TRUE,$G8)</f>
        <v>1.089E-2</v>
      </c>
      <c r="L8" s="468">
        <f>IF($H8,_xll.qlIndexFixing($J8,$E8,FALSE,$G8),"-")</f>
        <v>1.089E-2</v>
      </c>
      <c r="M8" s="468">
        <f t="shared" si="2"/>
        <v>0</v>
      </c>
      <c r="N8" s="467">
        <f>_xll.qlIndexFixing($J8,$E8,TRUE,$L8)</f>
        <v>1.089E-2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b">
        <f>IF($G9,_xll.qlIndexAddFixings($J9,$E9,$F9/100,TRUE,ISERROR($K9)),NA())</f>
        <v>1</v>
      </c>
      <c r="I9" s="460"/>
      <c r="J9" s="469" t="str">
        <f t="shared" si="1"/>
        <v>EurLiborSwapIsdaFixA6Y</v>
      </c>
      <c r="K9" s="468">
        <f>_xll.qlIndexFixing($J9,$E9,TRUE,$G9)</f>
        <v>1.282E-2</v>
      </c>
      <c r="L9" s="468">
        <f>IF($H9,_xll.qlIndexFixing($J9,$E9,FALSE,$G9),"-")</f>
        <v>1.282E-2</v>
      </c>
      <c r="M9" s="468">
        <f t="shared" si="2"/>
        <v>0</v>
      </c>
      <c r="N9" s="467">
        <f>_xll.qlIndexFixing($J9,$E9,TRUE,$L9)</f>
        <v>1.282E-2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b">
        <f>IF($G10,_xll.qlIndexAddFixings($J10,$E10,$F10/100,TRUE,ISERROR($K10)),NA())</f>
        <v>1</v>
      </c>
      <c r="I10" s="460"/>
      <c r="J10" s="469" t="str">
        <f t="shared" si="1"/>
        <v>EurLiborSwapIsdaFixA7Y</v>
      </c>
      <c r="K10" s="468">
        <f>_xll.qlIndexFixing($J10,$E10,TRUE,$G10)</f>
        <v>1.4539999999999999E-2</v>
      </c>
      <c r="L10" s="468">
        <f>IF($H10,_xll.qlIndexFixing($J10,$E10,FALSE,$G10),"-")</f>
        <v>1.4539999999999999E-2</v>
      </c>
      <c r="M10" s="468">
        <f t="shared" si="2"/>
        <v>0</v>
      </c>
      <c r="N10" s="467">
        <f>_xll.qlIndexFixing($J10,$E10,TRUE,$L10)</f>
        <v>1.4539999999999999E-2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b">
        <f>IF($G11,_xll.qlIndexAddFixings($J11,$E11,$F11/100,TRUE,ISERROR($K11)),NA())</f>
        <v>1</v>
      </c>
      <c r="I11" s="460"/>
      <c r="J11" s="469" t="str">
        <f t="shared" si="1"/>
        <v>EurLiborSwapIsdaFixA8Y</v>
      </c>
      <c r="K11" s="468">
        <f>_xll.qlIndexFixing($J11,$E11,TRUE,$G11)</f>
        <v>1.609E-2</v>
      </c>
      <c r="L11" s="468">
        <f>IF($H11,_xll.qlIndexFixing($J11,$E11,FALSE,$G11),"-")</f>
        <v>1.609E-2</v>
      </c>
      <c r="M11" s="468">
        <f t="shared" si="2"/>
        <v>0</v>
      </c>
      <c r="N11" s="467">
        <f>_xll.qlIndexFixing($J11,$E11,TRUE,$L11)</f>
        <v>1.609E-2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b">
        <f>IF($G12,_xll.qlIndexAddFixings($J12,$E12,$F12/100,TRUE,ISERROR($K12)),NA())</f>
        <v>1</v>
      </c>
      <c r="I12" s="460"/>
      <c r="J12" s="469" t="str">
        <f t="shared" si="1"/>
        <v>EurLiborSwapIsdaFixA9Y</v>
      </c>
      <c r="K12" s="468">
        <f>_xll.qlIndexFixing($J12,$E12,TRUE,$G12)</f>
        <v>1.7520000000000001E-2</v>
      </c>
      <c r="L12" s="468">
        <f>IF($H12,_xll.qlIndexFixing($J12,$E12,FALSE,$G12),"-")</f>
        <v>1.7520000000000001E-2</v>
      </c>
      <c r="M12" s="468">
        <f t="shared" si="2"/>
        <v>0</v>
      </c>
      <c r="N12" s="467">
        <f>_xll.qlIndexFixing($J12,$E12,TRUE,$L12)</f>
        <v>1.7520000000000001E-2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b">
        <f>IF($G13,_xll.qlIndexAddFixings($J13,$E13,$F13/100,TRUE,ISERROR($K13)),NA())</f>
        <v>1</v>
      </c>
      <c r="I13" s="460"/>
      <c r="J13" s="469" t="str">
        <f t="shared" si="1"/>
        <v>EurLiborSwapIsdaFixA10Y</v>
      </c>
      <c r="K13" s="468">
        <f>_xll.qlIndexFixing($J13,$E13,TRUE,$G13)</f>
        <v>1.8799999999999997E-2</v>
      </c>
      <c r="L13" s="468">
        <f>IF($H13,_xll.qlIndexFixing($J13,$E13,FALSE,$G13),"-")</f>
        <v>1.8799999999999997E-2</v>
      </c>
      <c r="M13" s="468">
        <f t="shared" si="2"/>
        <v>0</v>
      </c>
      <c r="N13" s="467">
        <f>_xll.qlIndexFixing($J13,$E13,TRUE,$L13)</f>
        <v>1.8799999999999997E-2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b">
        <f>IF($G14,_xll.qlIndexAddFixings($J14,$E14,$F14/100,TRUE,ISERROR($K14)),NA())</f>
        <v>1</v>
      </c>
      <c r="I14" s="460"/>
      <c r="J14" s="469" t="str">
        <f t="shared" si="1"/>
        <v>EurLiborSwapIsdaFixA12Y</v>
      </c>
      <c r="K14" s="468">
        <f>_xll.qlIndexFixing($J14,$E14,TRUE,$G14)</f>
        <v>2.0889999999999999E-2</v>
      </c>
      <c r="L14" s="468">
        <f>IF($H14,_xll.qlIndexFixing($J14,$E14,FALSE,$G14),"-")</f>
        <v>2.0889999999999999E-2</v>
      </c>
      <c r="M14" s="468">
        <f t="shared" si="2"/>
        <v>0</v>
      </c>
      <c r="N14" s="467">
        <f>_xll.qlIndexFixing($J14,$E14,TRUE,$L14)</f>
        <v>2.0889999999999999E-2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b">
        <f>IF($G15,_xll.qlIndexAddFixings($J15,$E15,$F15/100,TRUE,ISERROR($K15)),NA())</f>
        <v>1</v>
      </c>
      <c r="I15" s="460"/>
      <c r="J15" s="469" t="str">
        <f t="shared" si="1"/>
        <v>EurLiborSwapIsdaFixA15Y</v>
      </c>
      <c r="K15" s="468">
        <f>_xll.qlIndexFixing($J15,$E15,TRUE,$G15)</f>
        <v>2.2940000000000002E-2</v>
      </c>
      <c r="L15" s="468">
        <f>IF($H15,_xll.qlIndexFixing($J15,$E15,FALSE,$G15),"-")</f>
        <v>2.2940000000000002E-2</v>
      </c>
      <c r="M15" s="468">
        <f t="shared" si="2"/>
        <v>0</v>
      </c>
      <c r="N15" s="467">
        <f>_xll.qlIndexFixing($J15,$E15,TRUE,$L15)</f>
        <v>2.2940000000000002E-2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b">
        <f>IF($G16,_xll.qlIndexAddFixings($J16,$E16,$F16/100,TRUE,ISERROR($K16)),NA())</f>
        <v>1</v>
      </c>
      <c r="I16" s="460"/>
      <c r="J16" s="469" t="str">
        <f t="shared" si="1"/>
        <v>EurLiborSwapIsdaFixA20Y</v>
      </c>
      <c r="K16" s="468">
        <f>_xll.qlIndexFixing($J16,$E16,TRUE,$G16)</f>
        <v>2.4129999999999999E-2</v>
      </c>
      <c r="L16" s="468">
        <f>IF($H16,_xll.qlIndexFixing($J16,$E16,FALSE,$G16),"-")</f>
        <v>2.4129999999999999E-2</v>
      </c>
      <c r="M16" s="468">
        <f t="shared" si="2"/>
        <v>0</v>
      </c>
      <c r="N16" s="467">
        <f>_xll.qlIndexFixing($J16,$E16,TRUE,$L16)</f>
        <v>2.4129999999999999E-2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b">
        <f>IF($G17,_xll.qlIndexAddFixings($J17,$E17,$F17/100,TRUE,ISERROR($K17)),NA())</f>
        <v>1</v>
      </c>
      <c r="I17" s="460"/>
      <c r="J17" s="469" t="str">
        <f t="shared" si="1"/>
        <v>EurLiborSwapIsdaFixA25Y</v>
      </c>
      <c r="K17" s="468">
        <f>_xll.qlIndexFixing($J17,$E17,TRUE,$G17)</f>
        <v>2.4310000000000002E-2</v>
      </c>
      <c r="L17" s="468">
        <f>IF($H17,_xll.qlIndexFixing($J17,$E17,FALSE,$G17),"-")</f>
        <v>2.4310000000000002E-2</v>
      </c>
      <c r="M17" s="468">
        <f t="shared" si="2"/>
        <v>0</v>
      </c>
      <c r="N17" s="467">
        <f>_xll.qlIndexFixing($J17,$E17,TRUE,$L17)</f>
        <v>2.4310000000000002E-2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b">
        <f>IF($G18,_xll.qlIndexAddFixings($J18,$E18,$F18/100,TRUE,ISERROR($K18)),NA())</f>
        <v>1</v>
      </c>
      <c r="I18" s="460"/>
      <c r="J18" s="459" t="str">
        <f t="shared" si="1"/>
        <v>EurLiborSwapIsdaFixA30Y</v>
      </c>
      <c r="K18" s="458">
        <f>_xll.qlIndexFixing($J18,$E18,TRUE,$G18)</f>
        <v>2.426E-2</v>
      </c>
      <c r="L18" s="458">
        <f>IF($H18,_xll.qlIndexFixing($J18,$E18,FALSE,$G18),"-")</f>
        <v>2.426E-2</v>
      </c>
      <c r="M18" s="458">
        <f t="shared" si="2"/>
        <v>0</v>
      </c>
      <c r="N18" s="457">
        <f>_xll.qlIndexFixing($J18,$E18,TRUE,$L18)</f>
        <v>2.426E-2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b">
        <f>IF($G4,_xll.qlIndexAddFixings($J4,$E4,$F4/100,TRUE,ISERROR($K4)),NA())</f>
        <v>1</v>
      </c>
      <c r="I4" s="460"/>
      <c r="J4" s="491" t="str">
        <f t="shared" ref="J4:J18" si="1">PROPER(Currency)&amp;$J$2&amp;$C4</f>
        <v>EurLiborSwapIsdaFixB1Y</v>
      </c>
      <c r="K4" s="490">
        <f>_xll.qlIndexFixing($J4,$E4,TRUE,$G4)</f>
        <v>2.64E-3</v>
      </c>
      <c r="L4" s="490">
        <f>IF($H4,_xll.qlIndexFixing($J4,$E4,FALSE,$G4),"-")</f>
        <v>2.64E-3</v>
      </c>
      <c r="M4" s="490">
        <f t="shared" ref="M4:M18" si="2">K4-L4</f>
        <v>0</v>
      </c>
      <c r="N4" s="489">
        <f>_xll.qlIndexFixing($J4,$E4,TRUE,$L4)</f>
        <v>2.64E-3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b">
        <f>IF($G5,_xll.qlIndexAddFixings($J5,$E5,$F5/100,TRUE,ISERROR($K5)),NA())</f>
        <v>1</v>
      </c>
      <c r="I5" s="460"/>
      <c r="J5" s="469" t="str">
        <f t="shared" si="1"/>
        <v>EurLiborSwapIsdaFixB2Y</v>
      </c>
      <c r="K5" s="468">
        <f>_xll.qlIndexFixing($J5,$E5,TRUE,$G5)</f>
        <v>5.11E-3</v>
      </c>
      <c r="L5" s="468">
        <f>IF($H5,_xll.qlIndexFixing($J5,$E5,FALSE,$G5),"-")</f>
        <v>5.11E-3</v>
      </c>
      <c r="M5" s="468">
        <f t="shared" si="2"/>
        <v>0</v>
      </c>
      <c r="N5" s="467">
        <f>_xll.qlIndexFixing($J5,$E5,TRUE,$L5)</f>
        <v>5.11E-3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b">
        <f>IF($G6,_xll.qlIndexAddFixings($J6,$E6,$F6/100,TRUE,ISERROR($K6)),NA())</f>
        <v>1</v>
      </c>
      <c r="I6" s="460"/>
      <c r="J6" s="469" t="str">
        <f t="shared" si="1"/>
        <v>EurLiborSwapIsdaFixB3Y</v>
      </c>
      <c r="K6" s="468">
        <f>_xll.qlIndexFixing($J6,$E6,TRUE,$G6)</f>
        <v>6.7600000000000004E-3</v>
      </c>
      <c r="L6" s="468">
        <f>IF($H6,_xll.qlIndexFixing($J6,$E6,FALSE,$G6),"-")</f>
        <v>6.7600000000000004E-3</v>
      </c>
      <c r="M6" s="468">
        <f t="shared" si="2"/>
        <v>0</v>
      </c>
      <c r="N6" s="467">
        <f>_xll.qlIndexFixing($J6,$E6,TRUE,$L6)</f>
        <v>6.7600000000000004E-3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b">
        <f>IF($G7,_xll.qlIndexAddFixings($J7,$E7,$F7/100,TRUE,ISERROR($K7)),NA())</f>
        <v>1</v>
      </c>
      <c r="I7" s="460"/>
      <c r="J7" s="469" t="str">
        <f t="shared" si="1"/>
        <v>EurLiborSwapIsdaFixB4Y</v>
      </c>
      <c r="K7" s="468">
        <f>_xll.qlIndexFixing($J7,$E7,TRUE,$G7)</f>
        <v>8.8500000000000002E-3</v>
      </c>
      <c r="L7" s="468">
        <f>IF($H7,_xll.qlIndexFixing($J7,$E7,FALSE,$G7),"-")</f>
        <v>8.8500000000000002E-3</v>
      </c>
      <c r="M7" s="468">
        <f t="shared" si="2"/>
        <v>0</v>
      </c>
      <c r="N7" s="467">
        <f>_xll.qlIndexFixing($J7,$E7,TRUE,$L7)</f>
        <v>8.8500000000000002E-3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b">
        <f>IF($G8,_xll.qlIndexAddFixings($J8,$E8,$F8/100,TRUE,ISERROR($K8)),NA())</f>
        <v>1</v>
      </c>
      <c r="I8" s="460"/>
      <c r="J8" s="469" t="str">
        <f t="shared" si="1"/>
        <v>EurLiborSwapIsdaFixB5Y</v>
      </c>
      <c r="K8" s="468">
        <f>_xll.qlIndexFixing($J8,$E8,TRUE,$G8)</f>
        <v>1.102E-2</v>
      </c>
      <c r="L8" s="468">
        <f>IF($H8,_xll.qlIndexFixing($J8,$E8,FALSE,$G8),"-")</f>
        <v>1.102E-2</v>
      </c>
      <c r="M8" s="468">
        <f t="shared" si="2"/>
        <v>0</v>
      </c>
      <c r="N8" s="467">
        <f>_xll.qlIndexFixing($J8,$E8,TRUE,$L8)</f>
        <v>1.102E-2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b">
        <f>IF($G9,_xll.qlIndexAddFixings($J9,$E9,$F9/100,TRUE,ISERROR($K9)),NA())</f>
        <v>1</v>
      </c>
      <c r="I9" s="460"/>
      <c r="J9" s="469" t="str">
        <f t="shared" si="1"/>
        <v>EurLiborSwapIsdaFixB6Y</v>
      </c>
      <c r="K9" s="468">
        <f>_xll.qlIndexFixing($J9,$E9,TRUE,$G9)</f>
        <v>1.295E-2</v>
      </c>
      <c r="L9" s="468">
        <f>IF($H9,_xll.qlIndexFixing($J9,$E9,FALSE,$G9),"-")</f>
        <v>1.295E-2</v>
      </c>
      <c r="M9" s="468">
        <f t="shared" si="2"/>
        <v>0</v>
      </c>
      <c r="N9" s="467">
        <f>_xll.qlIndexFixing($J9,$E9,TRUE,$L9)</f>
        <v>1.295E-2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b">
        <f>IF($G10,_xll.qlIndexAddFixings($J10,$E10,$F10/100,TRUE,ISERROR($K10)),NA())</f>
        <v>1</v>
      </c>
      <c r="I10" s="460"/>
      <c r="J10" s="469" t="str">
        <f t="shared" si="1"/>
        <v>EurLiborSwapIsdaFixB7Y</v>
      </c>
      <c r="K10" s="468">
        <f>_xll.qlIndexFixing($J10,$E10,TRUE,$G10)</f>
        <v>1.4670000000000001E-2</v>
      </c>
      <c r="L10" s="468">
        <f>IF($H10,_xll.qlIndexFixing($J10,$E10,FALSE,$G10),"-")</f>
        <v>1.4670000000000001E-2</v>
      </c>
      <c r="M10" s="468">
        <f t="shared" si="2"/>
        <v>0</v>
      </c>
      <c r="N10" s="467">
        <f>_xll.qlIndexFixing($J10,$E10,TRUE,$L10)</f>
        <v>1.4670000000000001E-2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b">
        <f>IF($G11,_xll.qlIndexAddFixings($J11,$E11,$F11/100,TRUE,ISERROR($K11)),NA())</f>
        <v>1</v>
      </c>
      <c r="I11" s="460"/>
      <c r="J11" s="469" t="str">
        <f t="shared" si="1"/>
        <v>EurLiborSwapIsdaFixB8Y</v>
      </c>
      <c r="K11" s="468">
        <f>_xll.qlIndexFixing($J11,$E11,TRUE,$G11)</f>
        <v>1.6230000000000001E-2</v>
      </c>
      <c r="L11" s="468">
        <f>IF($H11,_xll.qlIndexFixing($J11,$E11,FALSE,$G11),"-")</f>
        <v>1.6230000000000001E-2</v>
      </c>
      <c r="M11" s="468">
        <f t="shared" si="2"/>
        <v>0</v>
      </c>
      <c r="N11" s="467">
        <f>_xll.qlIndexFixing($J11,$E11,TRUE,$L11)</f>
        <v>1.6230000000000001E-2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b">
        <f>IF($G12,_xll.qlIndexAddFixings($J12,$E12,$F12/100,TRUE,ISERROR($K12)),NA())</f>
        <v>1</v>
      </c>
      <c r="I12" s="460"/>
      <c r="J12" s="469" t="str">
        <f t="shared" si="1"/>
        <v>EurLiborSwapIsdaFixB9Y</v>
      </c>
      <c r="K12" s="468">
        <f>_xll.qlIndexFixing($J12,$E12,TRUE,$G12)</f>
        <v>1.7649999999999999E-2</v>
      </c>
      <c r="L12" s="468">
        <f>IF($H12,_xll.qlIndexFixing($J12,$E12,FALSE,$G12),"-")</f>
        <v>1.7649999999999999E-2</v>
      </c>
      <c r="M12" s="468">
        <f t="shared" si="2"/>
        <v>0</v>
      </c>
      <c r="N12" s="467">
        <f>_xll.qlIndexFixing($J12,$E12,TRUE,$L12)</f>
        <v>1.7649999999999999E-2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b">
        <f>IF($G13,_xll.qlIndexAddFixings($J13,$E13,$F13/100,TRUE,ISERROR($K13)),NA())</f>
        <v>1</v>
      </c>
      <c r="I13" s="460"/>
      <c r="J13" s="469" t="str">
        <f t="shared" si="1"/>
        <v>EurLiborSwapIsdaFixB10Y</v>
      </c>
      <c r="K13" s="468">
        <f>_xll.qlIndexFixing($J13,$E13,TRUE,$G13)</f>
        <v>1.8929999999999999E-2</v>
      </c>
      <c r="L13" s="468">
        <f>IF($H13,_xll.qlIndexFixing($J13,$E13,FALSE,$G13),"-")</f>
        <v>1.8929999999999999E-2</v>
      </c>
      <c r="M13" s="468">
        <f t="shared" si="2"/>
        <v>0</v>
      </c>
      <c r="N13" s="467">
        <f>_xll.qlIndexFixing($J13,$E13,TRUE,$L13)</f>
        <v>1.8929999999999999E-2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b">
        <f>IF($G14,_xll.qlIndexAddFixings($J14,$E14,$F14/100,TRUE,ISERROR($K14)),NA())</f>
        <v>1</v>
      </c>
      <c r="I14" s="460"/>
      <c r="J14" s="469" t="str">
        <f t="shared" si="1"/>
        <v>EurLiborSwapIsdaFixB12Y</v>
      </c>
      <c r="K14" s="468">
        <f>_xll.qlIndexFixing($J14,$E14,TRUE,$G14)</f>
        <v>2.1000000000000001E-2</v>
      </c>
      <c r="L14" s="468">
        <f>IF($H14,_xll.qlIndexFixing($J14,$E14,FALSE,$G14),"-")</f>
        <v>2.1000000000000001E-2</v>
      </c>
      <c r="M14" s="468">
        <f t="shared" si="2"/>
        <v>0</v>
      </c>
      <c r="N14" s="467">
        <f>_xll.qlIndexFixing($J14,$E14,TRUE,$L14)</f>
        <v>2.1000000000000001E-2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b">
        <f>IF($G15,_xll.qlIndexAddFixings($J15,$E15,$F15/100,TRUE,ISERROR($K15)),NA())</f>
        <v>1</v>
      </c>
      <c r="I15" s="460"/>
      <c r="J15" s="469" t="str">
        <f t="shared" si="1"/>
        <v>EurLiborSwapIsdaFixB15Y</v>
      </c>
      <c r="K15" s="468">
        <f>_xll.qlIndexFixing($J15,$E15,TRUE,$G15)</f>
        <v>2.3010000000000003E-2</v>
      </c>
      <c r="L15" s="468">
        <f>IF($H15,_xll.qlIndexFixing($J15,$E15,FALSE,$G15),"-")</f>
        <v>2.3010000000000003E-2</v>
      </c>
      <c r="M15" s="468">
        <f t="shared" si="2"/>
        <v>0</v>
      </c>
      <c r="N15" s="467">
        <f>_xll.qlIndexFixing($J15,$E15,TRUE,$L15)</f>
        <v>2.3010000000000003E-2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b">
        <f>IF($G16,_xll.qlIndexAddFixings($J16,$E16,$F16/100,TRUE,ISERROR($K16)),NA())</f>
        <v>1</v>
      </c>
      <c r="I16" s="460"/>
      <c r="J16" s="469" t="str">
        <f t="shared" si="1"/>
        <v>EurLiborSwapIsdaFixB20Y</v>
      </c>
      <c r="K16" s="468">
        <f>_xll.qlIndexFixing($J16,$E16,TRUE,$G16)</f>
        <v>2.4150000000000001E-2</v>
      </c>
      <c r="L16" s="468">
        <f>IF($H16,_xll.qlIndexFixing($J16,$E16,FALSE,$G16),"-")</f>
        <v>2.4150000000000001E-2</v>
      </c>
      <c r="M16" s="468">
        <f t="shared" si="2"/>
        <v>0</v>
      </c>
      <c r="N16" s="467">
        <f>_xll.qlIndexFixing($J16,$E16,TRUE,$L16)</f>
        <v>2.4150000000000001E-2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b">
        <f>IF($G17,_xll.qlIndexAddFixings($J17,$E17,$F17/100,TRUE,ISERROR($K17)),NA())</f>
        <v>1</v>
      </c>
      <c r="I17" s="460"/>
      <c r="J17" s="469" t="str">
        <f t="shared" si="1"/>
        <v>EurLiborSwapIsdaFixB25Y</v>
      </c>
      <c r="K17" s="468">
        <f>_xll.qlIndexFixing($J17,$E17,TRUE,$G17)</f>
        <v>2.4329999999999997E-2</v>
      </c>
      <c r="L17" s="468">
        <f>IF($H17,_xll.qlIndexFixing($J17,$E17,FALSE,$G17),"-")</f>
        <v>2.4329999999999997E-2</v>
      </c>
      <c r="M17" s="468">
        <f t="shared" si="2"/>
        <v>0</v>
      </c>
      <c r="N17" s="467">
        <f>_xll.qlIndexFixing($J17,$E17,TRUE,$L17)</f>
        <v>2.4329999999999997E-2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b">
        <f>IF($G18,_xll.qlIndexAddFixings($J18,$E18,$F18/100,TRUE,ISERROR($K18)),NA())</f>
        <v>1</v>
      </c>
      <c r="I18" s="460"/>
      <c r="J18" s="459" t="str">
        <f t="shared" si="1"/>
        <v>EurLiborSwapIsdaFixB30Y</v>
      </c>
      <c r="K18" s="458">
        <f>_xll.qlIndexFixing($J18,$E18,TRUE,$G18)</f>
        <v>2.4279999999999999E-2</v>
      </c>
      <c r="L18" s="458">
        <f>IF($H18,_xll.qlIndexFixing($J18,$E18,FALSE,$G18),"-")</f>
        <v>2.4279999999999999E-2</v>
      </c>
      <c r="M18" s="458">
        <f t="shared" si="2"/>
        <v>0</v>
      </c>
      <c r="N18" s="457">
        <f>_xll.qlIndexFixing($J18,$E18,TRUE,$L18)</f>
        <v>2.4279999999999999E-2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123</vt:i4>
      </vt:variant>
    </vt:vector>
  </HeadingPairs>
  <TitlesOfParts>
    <vt:vector size="165"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Futures3M!QuoteStatic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2014-01-13T13:23:47Z</dcterms:modified>
</cp:coreProperties>
</file>